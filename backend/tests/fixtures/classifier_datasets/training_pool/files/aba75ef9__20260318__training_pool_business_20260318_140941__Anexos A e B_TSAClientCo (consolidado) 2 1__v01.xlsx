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OI369021\Desktop\Venda da ClientCo\Anexo A e B\"/>
    </mc:Choice>
  </mc:AlternateContent>
  <bookViews>
    <workbookView xWindow="0" yWindow="0" windowWidth="15345" windowHeight="3945" tabRatio="868" firstSheet="1" activeTab="1"/>
  </bookViews>
  <sheets>
    <sheet name="Anexo A-TODOS OS SERVIÇOS (OLD)" sheetId="29" state="hidden" r:id="rId1"/>
    <sheet name="Anexo A - TODOS OS SERVIÇOS" sheetId="1" r:id="rId2"/>
    <sheet name="Anexo A - DIN TODOS OS SERVIÇOS" sheetId="17" state="hidden" r:id="rId3"/>
    <sheet name="Anexo A -DIN2 TODOS OS SERVIÇOS" sheetId="16" state="hidden" r:id="rId4"/>
    <sheet name="Anexo A -DRAF TODOS OS SERVIÇOS" sheetId="18" state="hidden" r:id="rId5"/>
    <sheet name="Draft Anexo A - Dinâmica" sheetId="28" state="hidden" r:id="rId6"/>
    <sheet name="Draft Anexo A" sheetId="27" r:id="rId7"/>
    <sheet name="Draft Anexo B" sheetId="21" r:id="rId8"/>
    <sheet name="Anexo B - Aberto por gerente" sheetId="26" r:id="rId9"/>
    <sheet name="Comentários adicionais" sheetId="13" state="hidden" r:id="rId10"/>
    <sheet name="Anexo B - old (até 10-05)" sheetId="19" state="hidden" r:id="rId11"/>
    <sheet name="Anexo B - Modelo Móvel" sheetId="11" state="hidden" r:id="rId12"/>
    <sheet name="Pontos Focais ClientCO" sheetId="12" state="hidden" r:id="rId13"/>
    <sheet name="Produtos ClientCo" sheetId="3" state="hidden" r:id="rId14"/>
  </sheets>
  <definedNames>
    <definedName name="_xlnm._FilterDatabase" localSheetId="1" hidden="1">'Anexo A - TODOS OS SERVIÇOS'!$B$2:$N$217</definedName>
    <definedName name="_xlnm._FilterDatabase" localSheetId="0" hidden="1">'Anexo A-TODOS OS SERVIÇOS (OLD)'!$B$2:$O$321</definedName>
    <definedName name="_xlnm._FilterDatabase" localSheetId="10" hidden="1">'Anexo B - old (até 10-05)'!$A$2:$W$63</definedName>
    <definedName name="_xlnm._FilterDatabase" localSheetId="6" hidden="1">'Draft Anexo A'!$B$2:$E$217</definedName>
    <definedName name="_xlnm._FilterDatabase" localSheetId="7" hidden="1">'Draft Anexo B'!$B$3:$G$14</definedName>
    <definedName name="Z_49CEE367_5EFB_43A6_A8AC_378611FA0BCF_.wvu.FilterData" localSheetId="1" hidden="1">'Anexo A - TODOS OS SERVIÇOS'!$A$2:$I$6</definedName>
    <definedName name="Z_49CEE367_5EFB_43A6_A8AC_378611FA0BCF_.wvu.FilterData" localSheetId="0" hidden="1">'Anexo A-TODOS OS SERVIÇOS (OLD)'!$A$2:$I$7</definedName>
    <definedName name="Z_49CEE367_5EFB_43A6_A8AC_378611FA0BCF_.wvu.FilterData" localSheetId="10" hidden="1">'Anexo B - old (até 10-05)'!$C$2:$BH$313</definedName>
    <definedName name="Z_49CEE367_5EFB_43A6_A8AC_378611FA0BCF_.wvu.FilterData" localSheetId="6" hidden="1">'Draft Anexo A'!$A$2:$E$6</definedName>
    <definedName name="Z_C9815ABB_3DC4_47A9_84D6_09FB286015CF_.wvu.FilterData" localSheetId="1" hidden="1">'Anexo A - TODOS OS SERVIÇOS'!$A$2:$I$6</definedName>
    <definedName name="Z_C9815ABB_3DC4_47A9_84D6_09FB286015CF_.wvu.FilterData" localSheetId="0" hidden="1">'Anexo A-TODOS OS SERVIÇOS (OLD)'!$A$2:$I$7</definedName>
    <definedName name="Z_C9815ABB_3DC4_47A9_84D6_09FB286015CF_.wvu.FilterData" localSheetId="10" hidden="1">'Anexo B - old (até 10-05)'!$C$2:$BH$2</definedName>
    <definedName name="Z_C9815ABB_3DC4_47A9_84D6_09FB286015CF_.wvu.FilterData" localSheetId="6" hidden="1">'Draft Anexo A'!$A$2:$E$6</definedName>
  </definedNames>
  <calcPr calcId="162913"/>
  <customWorkbookViews>
    <customWorkbookView name="Leandro De Moraes Alves - Modo de exibição pessoal" guid="{C9815ABB-3DC4-47A9-84D6-09FB286015CF}" mergeInterval="0" personalView="1" maximized="1" xWindow="-8" yWindow="-8" windowWidth="1382" windowHeight="744" tabRatio="868" activeSheetId="15"/>
    <customWorkbookView name="Karina Duprat Fortes - Modo de exibição pessoal" guid="{49CEE367-5EFB-43A6-A8AC-378611FA0BCF}" mergeInterval="0" personalView="1" maximized="1" xWindow="-8" yWindow="-8" windowWidth="1382" windowHeight="744" tabRatio="868" activeSheetId="6" showComments="commIndAndComment"/>
  </customWorkbookViews>
  <pivotCaches>
    <pivotCache cacheId="0" r:id="rId15"/>
    <pivotCache cacheId="1" r:id="rId1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6" i="18" l="1"/>
  <c r="I57" i="18"/>
  <c r="I58" i="18"/>
  <c r="I59" i="18"/>
  <c r="I60" i="18"/>
  <c r="I61" i="18"/>
  <c r="I62" i="18"/>
  <c r="I63" i="18"/>
  <c r="I64" i="18"/>
  <c r="I55" i="18"/>
  <c r="D14" i="21" l="1"/>
  <c r="H50" i="26" l="1"/>
  <c r="D52" i="26"/>
  <c r="C52" i="26"/>
  <c r="D51" i="26"/>
  <c r="C51" i="26"/>
  <c r="F14" i="21" l="1"/>
  <c r="D15" i="21" s="1"/>
  <c r="E14" i="21"/>
  <c r="G14" i="21"/>
  <c r="D16" i="21" l="1"/>
  <c r="K34" i="16"/>
  <c r="L34" i="16" s="1"/>
  <c r="K35" i="16"/>
  <c r="L35" i="16" s="1"/>
  <c r="H34" i="16"/>
  <c r="I34" i="16" s="1"/>
  <c r="H35" i="16"/>
  <c r="I35" i="16" s="1"/>
  <c r="E34" i="16"/>
  <c r="F34" i="16" s="1"/>
  <c r="E35" i="16"/>
  <c r="F35" i="16" s="1"/>
  <c r="J42" i="26" l="1"/>
  <c r="G42" i="26"/>
  <c r="G43" i="26" l="1"/>
  <c r="L19" i="26"/>
  <c r="L42" i="26" s="1"/>
  <c r="I19" i="26"/>
  <c r="I42" i="26" s="1"/>
  <c r="G44" i="26" l="1"/>
  <c r="K33" i="16"/>
  <c r="L33" i="16" s="1"/>
  <c r="H33" i="16"/>
  <c r="I33" i="16" s="1"/>
  <c r="E33" i="16"/>
  <c r="F33" i="16" s="1"/>
  <c r="I67" i="18"/>
  <c r="K31" i="16"/>
  <c r="L31" i="16" s="1"/>
  <c r="K32" i="16"/>
  <c r="L32" i="16" s="1"/>
  <c r="H31" i="16"/>
  <c r="I31" i="16" s="1"/>
  <c r="H32" i="16"/>
  <c r="I32" i="16" s="1"/>
  <c r="E31" i="16"/>
  <c r="F31" i="16" s="1"/>
  <c r="E32" i="16"/>
  <c r="F32" i="16" s="1"/>
  <c r="K29" i="16" l="1"/>
  <c r="L29" i="16" s="1"/>
  <c r="K30" i="16"/>
  <c r="L30" i="16" s="1"/>
  <c r="H29" i="16"/>
  <c r="I29" i="16" s="1"/>
  <c r="H30" i="16"/>
  <c r="I30" i="16" s="1"/>
  <c r="E29" i="16"/>
  <c r="F29" i="16" s="1"/>
  <c r="E30" i="16"/>
  <c r="F30" i="16" s="1"/>
  <c r="K26" i="16" l="1"/>
  <c r="L26" i="16" s="1"/>
  <c r="K27" i="16"/>
  <c r="L27" i="16" s="1"/>
  <c r="K28" i="16"/>
  <c r="L28" i="16" s="1"/>
  <c r="H26" i="16"/>
  <c r="I26" i="16" s="1"/>
  <c r="H27" i="16"/>
  <c r="I27" i="16" s="1"/>
  <c r="H28" i="16"/>
  <c r="I28" i="16" s="1"/>
  <c r="E26" i="16"/>
  <c r="F26" i="16" s="1"/>
  <c r="E27" i="16"/>
  <c r="F27" i="16" s="1"/>
  <c r="E28" i="16"/>
  <c r="F28" i="16" s="1"/>
  <c r="K5" i="16" l="1"/>
  <c r="L5" i="16" s="1"/>
  <c r="K6" i="16"/>
  <c r="L6" i="16" s="1"/>
  <c r="K7" i="16"/>
  <c r="L7" i="16" s="1"/>
  <c r="K8" i="16"/>
  <c r="L8" i="16" s="1"/>
  <c r="K9" i="16"/>
  <c r="L9" i="16" s="1"/>
  <c r="K10" i="16"/>
  <c r="L10" i="16" s="1"/>
  <c r="K11" i="16"/>
  <c r="L11" i="16" s="1"/>
  <c r="K12" i="16"/>
  <c r="L12" i="16" s="1"/>
  <c r="K13" i="16"/>
  <c r="L13" i="16" s="1"/>
  <c r="K14" i="16"/>
  <c r="L14" i="16" s="1"/>
  <c r="K15" i="16"/>
  <c r="L15" i="16" s="1"/>
  <c r="K16" i="16"/>
  <c r="L16" i="16" s="1"/>
  <c r="K17" i="16"/>
  <c r="L17" i="16" s="1"/>
  <c r="K18" i="16"/>
  <c r="L18" i="16" s="1"/>
  <c r="K19" i="16"/>
  <c r="L19" i="16" s="1"/>
  <c r="K20" i="16"/>
  <c r="L20" i="16" s="1"/>
  <c r="K21" i="16"/>
  <c r="L21" i="16" s="1"/>
  <c r="K22" i="16"/>
  <c r="L22" i="16" s="1"/>
  <c r="K23" i="16"/>
  <c r="L23" i="16" s="1"/>
  <c r="K24" i="16"/>
  <c r="L24" i="16" s="1"/>
  <c r="K25" i="16"/>
  <c r="L25" i="16" s="1"/>
  <c r="K4" i="16"/>
  <c r="L4" i="16" s="1"/>
  <c r="H36" i="19"/>
  <c r="J36" i="19" s="1"/>
  <c r="H35" i="19"/>
  <c r="J35" i="19" s="1"/>
  <c r="H34" i="19"/>
  <c r="J34" i="19" s="1"/>
  <c r="H33" i="19"/>
  <c r="J33" i="19" s="1"/>
  <c r="I54" i="18" l="1"/>
  <c r="I42" i="18"/>
  <c r="I41" i="18"/>
  <c r="C23" i="18"/>
  <c r="E5" i="16" l="1"/>
  <c r="F5" i="16" s="1"/>
  <c r="E6" i="16"/>
  <c r="F6" i="16" s="1"/>
  <c r="E7" i="16"/>
  <c r="F7" i="16" s="1"/>
  <c r="E8" i="16"/>
  <c r="F8" i="16" s="1"/>
  <c r="E9" i="16"/>
  <c r="F9" i="16" s="1"/>
  <c r="E10" i="16"/>
  <c r="F10" i="16" s="1"/>
  <c r="E11" i="16"/>
  <c r="F11" i="16" s="1"/>
  <c r="E12" i="16"/>
  <c r="F12" i="16" s="1"/>
  <c r="E13" i="16"/>
  <c r="F13" i="16" s="1"/>
  <c r="E14" i="16"/>
  <c r="F14" i="16" s="1"/>
  <c r="E15" i="16"/>
  <c r="F15" i="16" s="1"/>
  <c r="E16" i="16"/>
  <c r="F16" i="16" s="1"/>
  <c r="E17" i="16"/>
  <c r="F17" i="16" s="1"/>
  <c r="E18" i="16"/>
  <c r="F18" i="16" s="1"/>
  <c r="E19" i="16"/>
  <c r="F19" i="16" s="1"/>
  <c r="E20" i="16"/>
  <c r="F20" i="16" s="1"/>
  <c r="E21" i="16"/>
  <c r="F21" i="16" s="1"/>
  <c r="E22" i="16"/>
  <c r="F22" i="16" s="1"/>
  <c r="E23" i="16"/>
  <c r="F23" i="16" s="1"/>
  <c r="E24" i="16"/>
  <c r="F24" i="16" s="1"/>
  <c r="E25" i="16"/>
  <c r="F25" i="16" s="1"/>
  <c r="H5" i="16"/>
  <c r="I5" i="16" s="1"/>
  <c r="H6" i="16"/>
  <c r="I6" i="16" s="1"/>
  <c r="H7" i="16"/>
  <c r="I7" i="16" s="1"/>
  <c r="H8" i="16"/>
  <c r="I8" i="16" s="1"/>
  <c r="H9" i="16"/>
  <c r="I9" i="16" s="1"/>
  <c r="H10" i="16"/>
  <c r="I10" i="16" s="1"/>
  <c r="H11" i="16"/>
  <c r="I11" i="16" s="1"/>
  <c r="H12" i="16"/>
  <c r="I12" i="16" s="1"/>
  <c r="H13" i="16"/>
  <c r="I13" i="16" s="1"/>
  <c r="H14" i="16"/>
  <c r="I14" i="16" s="1"/>
  <c r="H15" i="16"/>
  <c r="I15" i="16" s="1"/>
  <c r="H16" i="16"/>
  <c r="I16" i="16" s="1"/>
  <c r="H17" i="16"/>
  <c r="I17" i="16" s="1"/>
  <c r="H18" i="16"/>
  <c r="I18" i="16" s="1"/>
  <c r="H19" i="16"/>
  <c r="I19" i="16" s="1"/>
  <c r="H20" i="16"/>
  <c r="I20" i="16" s="1"/>
  <c r="H21" i="16"/>
  <c r="I21" i="16" s="1"/>
  <c r="H22" i="16"/>
  <c r="I22" i="16" s="1"/>
  <c r="H23" i="16"/>
  <c r="I23" i="16" s="1"/>
  <c r="H24" i="16"/>
  <c r="I24" i="16" s="1"/>
  <c r="H25" i="16"/>
  <c r="I25" i="16" s="1"/>
  <c r="E4" i="16"/>
  <c r="F4" i="16" s="1"/>
  <c r="H4" i="16"/>
  <c r="I4" i="16" s="1"/>
</calcChain>
</file>

<file path=xl/sharedStrings.xml><?xml version="1.0" encoding="utf-8"?>
<sst xmlns="http://schemas.openxmlformats.org/spreadsheetml/2006/main" count="8859" uniqueCount="1488">
  <si>
    <t>URA</t>
  </si>
  <si>
    <t>- Manter os processos atuais de emissão de NF manual, boleto e contabilização da receita.</t>
  </si>
  <si>
    <t>- Emissão de termo de confissão de dívida para parcelamento realizado pelo cliente conforme as regras atuais da Oi.</t>
  </si>
  <si>
    <t>Atendimento</t>
  </si>
  <si>
    <t>- Oi deverá tratar os bilhetes, mantendo os sistemas, regras e processos atuais, até a migração total desses clientes, nos formatos e layout atuais (online e customizadas) para clientes varejo, empresarial e corporativos.</t>
  </si>
  <si>
    <t>Benefits administration​</t>
  </si>
  <si>
    <t>Payroll administration​</t>
  </si>
  <si>
    <t>Admin personnel​</t>
  </si>
  <si>
    <t>URA​</t>
  </si>
  <si>
    <t>Cobilling​</t>
  </si>
  <si>
    <t>Tratamento de bilhetes​</t>
  </si>
  <si>
    <t>Dados históricos anteriores à migração (chamados de clientes que demandem informações históricas)​</t>
  </si>
  <si>
    <t>Dados históricos anteriores à migração (informações necessárias para tratar eventuais ações e processos judiciais)​</t>
  </si>
  <si>
    <t>Demandas internas ​</t>
  </si>
  <si>
    <t>Demandas regulatórias​</t>
  </si>
  <si>
    <t>Disponibilidade de sistemas​</t>
  </si>
  <si>
    <t>Convênios fiscais​</t>
  </si>
  <si>
    <t>Tratamento de inadimplência anterior à migração ​</t>
  </si>
  <si>
    <t>Gestão dos serviços do Contrato​</t>
  </si>
  <si>
    <t>Gestão dos print centers​</t>
  </si>
  <si>
    <t>Contestação de faturas​</t>
  </si>
  <si>
    <t>Atendimento​</t>
  </si>
  <si>
    <t>Janelas de migração ​</t>
  </si>
  <si>
    <t>Disaster recovery ​</t>
  </si>
  <si>
    <t>Consulta à dados históricos de clientes migrados ​</t>
  </si>
  <si>
    <t>Fornecimento de áudio dos atendimentos realizados através do call center ​</t>
  </si>
  <si>
    <t>Gestão de contingência e disponibilidade dos serviços ​</t>
  </si>
  <si>
    <t>Gestão de vulnerabilidades (e aplicação de patches) ​</t>
  </si>
  <si>
    <t>Gerenciamento de mudanças (GMUD´s) ​</t>
  </si>
  <si>
    <t>Gestão de problemas​</t>
  </si>
  <si>
    <t>Gestão de incidentes​</t>
  </si>
  <si>
    <t>Gestão da portabilidade (interna e externa) ​</t>
  </si>
  <si>
    <t>Gestão de roaming interno externo ​</t>
  </si>
  <si>
    <t>Application and data management​</t>
  </si>
  <si>
    <t>Operação de Serviços de Dados Móveis e Serviços Digitais</t>
  </si>
  <si>
    <t>O&amp;M Serviços de Voz​</t>
  </si>
  <si>
    <t>Noc/O&amp;M Gerenciamento de mudanças na rede (GMUD´s)​</t>
  </si>
  <si>
    <t>NOC - Gestão de incidentes de Rede/Resolução de Reclamações de Clientes.​</t>
  </si>
  <si>
    <t>NOC - Disponibilidade da Rede.​</t>
  </si>
  <si>
    <t>Noc - Supervisão de rede e Operação.​</t>
  </si>
  <si>
    <t>Monitoração da Rede​</t>
  </si>
  <si>
    <t>Parametros de configuração VMS​</t>
  </si>
  <si>
    <t>Configuração Serviços de Voz​</t>
  </si>
  <si>
    <t>Parametros de configuração HSS​</t>
  </si>
  <si>
    <t>Parametros de configuração HLR</t>
  </si>
  <si>
    <t>Regras de Descarte (Tráfego Dados)​</t>
  </si>
  <si>
    <t>Integração e Mapeamento de dados​</t>
  </si>
  <si>
    <t>Balanceamento e Distribuição de Trafego​</t>
  </si>
  <si>
    <t>Janela de Manutenção (JM)​</t>
  </si>
  <si>
    <t>Testes de homologação, regressão e sanity​</t>
  </si>
  <si>
    <t>Atividade de Atualização de Software​</t>
  </si>
  <si>
    <t>Serviço de suporte, consultoria, configuração e Integração ​</t>
  </si>
  <si>
    <t>Suporte durante a migração​</t>
  </si>
  <si>
    <t>Prestação de Serviços​</t>
  </si>
  <si>
    <t>Campanhas de atualização​</t>
  </si>
  <si>
    <t>Transferência Base de Dados​</t>
  </si>
  <si>
    <t>Configuração dos elementos​</t>
  </si>
  <si>
    <t>Integração dos elementos​</t>
  </si>
  <si>
    <t>Homologação de roaming​</t>
  </si>
  <si>
    <t>Homologação de sinalização​</t>
  </si>
  <si>
    <t>Integração de elementos de rede do core de voz.​</t>
  </si>
  <si>
    <t>Integração de rotas de voz​</t>
  </si>
  <si>
    <t>Integração de sinalização​</t>
  </si>
  <si>
    <t>Roaming​</t>
  </si>
  <si>
    <t>Configuração ENUM/DNS​</t>
  </si>
  <si>
    <t>Parametrização e serviços suplementares​</t>
  </si>
  <si>
    <t>Serviços de configuração de parâmetros e serviços suplementares em base de dados de usuário (HLR, HSS, etc.)​</t>
  </si>
  <si>
    <t>Definição profile de usuário para as redes 4G, 3G e 2G.​</t>
  </si>
  <si>
    <t>Rotas de voz (ex. TDM, SIP, etc.)​</t>
  </si>
  <si>
    <t>Configuração de links e associações para sinalização​</t>
  </si>
  <si>
    <t>Configuração de roteamento de sinalização de rede (ex. SS7, Diamenter, SIP, etc.)​</t>
  </si>
  <si>
    <t>Configuração de dialling plan, B-number, tradutor de dígitos, etc.​</t>
  </si>
  <si>
    <t>Suporte, acesso e integração de plataformas de rede e TI​</t>
  </si>
  <si>
    <t>Acesso a sistemas para provisionamento​</t>
  </si>
  <si>
    <t>Envio de templates de perfis de SIM cards​</t>
  </si>
  <si>
    <t>Envio de chaves de segurança​</t>
  </si>
  <si>
    <t>Suporte de plataformas​</t>
  </si>
  <si>
    <t>Envio de bases de dados de clientes​</t>
  </si>
  <si>
    <t>Ativação roaming ​</t>
  </si>
  <si>
    <t>Integração DRA/DEA​</t>
  </si>
  <si>
    <t>Campanha Device Manager​</t>
  </si>
  <si>
    <t>Campanha OTA​</t>
  </si>
  <si>
    <t>Integração de elementos de pré-pago e IN​</t>
  </si>
  <si>
    <t>Configuração em elementos de pré-pago e IN​</t>
  </si>
  <si>
    <t>Core network O&amp;M​</t>
  </si>
  <si>
    <t>Operação e Manutenção​</t>
  </si>
  <si>
    <t>Manutenção de Campo N1 (Serviço+Materiais)​</t>
  </si>
  <si>
    <t>Recuperação de  Furto e Vandalismo (Serviço+Materiais)​</t>
  </si>
  <si>
    <t>Gestão integral de sobressalentes (Serviço+Materiais)​</t>
  </si>
  <si>
    <t>Relatórios e acompanhamento do desempenho de rede (Performance Management)​</t>
  </si>
  <si>
    <t>Vendors support​</t>
  </si>
  <si>
    <t>Network monitoring (NOC)​</t>
  </si>
  <si>
    <t>Ferramentas de Otimização​</t>
  </si>
  <si>
    <t>Otimização / O&amp;M​</t>
  </si>
  <si>
    <t>Access network O&amp;M​</t>
  </si>
  <si>
    <t>Execução dos processos de Crédito​</t>
  </si>
  <si>
    <t>Relatórios de CAR e PDD​</t>
  </si>
  <si>
    <t>Geração e distribuição de mailing e de relatórios de performance da operação ​</t>
  </si>
  <si>
    <t>Criação dos dossiês de clientes inadimplentes para ajuizamento, cobrança extrajudicial e recuperação judicial ​</t>
  </si>
  <si>
    <t>Operação de cobrança especializada em clientes grandes empresas, governo e atacado ​</t>
  </si>
  <si>
    <t>Emissão de boletos e segunda vias nas negociações de clientes B2B​</t>
  </si>
  <si>
    <t>Emissão de termo de confissão de dívida para clientes B2B ​</t>
  </si>
  <si>
    <t>Faturamento manual​</t>
  </si>
  <si>
    <t>Parametrizações e Homologações​</t>
  </si>
  <si>
    <t>Controles SOX​</t>
  </si>
  <si>
    <t>Recuperação de faturas​</t>
  </si>
  <si>
    <t>Mediação de bilhetes​</t>
  </si>
  <si>
    <t>Execução da régua de cobrança - Geração de notificação para clientes inadimplentes ​</t>
  </si>
  <si>
    <t>Execução da régua de cobrança - Classificação e reclassificação de status na régua ​</t>
  </si>
  <si>
    <t>Execução da cadeia contábil​</t>
  </si>
  <si>
    <t>Execução da cadeia fiscal​</t>
  </si>
  <si>
    <t>Execução dos processos de fraude ​</t>
  </si>
  <si>
    <t>Execução da cadeia de débito automático ​</t>
  </si>
  <si>
    <t>Execução da cadeia de arrecadação​</t>
  </si>
  <si>
    <t>Execução dos processos de garantia da receita ​</t>
  </si>
  <si>
    <t>Postagem das faturas para os clientes ​</t>
  </si>
  <si>
    <t>Envio dos spools para as print centers ​</t>
  </si>
  <si>
    <t>Disponibilização de faturas online e customizadas ​</t>
  </si>
  <si>
    <t>Validação do billings gerados - consistência, qualidade e confiabilidade ​</t>
  </si>
  <si>
    <t>Emissão de termos de quitação​</t>
  </si>
  <si>
    <t>Tarifação de chamadas, dados e eventos ​</t>
  </si>
  <si>
    <t>Execução de ciclos de Billings​</t>
  </si>
  <si>
    <t>Bill-to-cash​</t>
  </si>
  <si>
    <t>Interceptação Judicial de chamadas e dados ​</t>
  </si>
  <si>
    <t>Solicitação de acessos a outros canais (senhas de app e portal) ​</t>
  </si>
  <si>
    <t>Emissão de Extrato de Serviços Pré-Pago ​</t>
  </si>
  <si>
    <t>Alteração de dados cadastrais/ método de pagamento/data de vencimento ​</t>
  </si>
  <si>
    <t>Conversão de conta para digital (E-Billing)​</t>
  </si>
  <si>
    <t>Cadastramento em débito automático​</t>
  </si>
  <si>
    <t>Emissão de segunda via de conta​</t>
  </si>
  <si>
    <t>Execução da régua de cobrança - Geração de acordo de pagamento ​</t>
  </si>
  <si>
    <t>Troca de Titularidade ​</t>
  </si>
  <si>
    <t>Troca ou Ativação de SIM Card e eSIM ​</t>
  </si>
  <si>
    <t>Troca de número​</t>
  </si>
  <si>
    <t>Solução de Problemas Técnicos ​</t>
  </si>
  <si>
    <t>Portabilidade a outro operador​</t>
  </si>
  <si>
    <t>Customer care​</t>
  </si>
  <si>
    <t>BI sendo prestado pela OI​</t>
  </si>
  <si>
    <t>Reajuste de Planos e Serviços ou ajustes de portfólio (inclusão, exclusão ou alterações) ​</t>
  </si>
  <si>
    <t>Customer data and offer management​</t>
  </si>
  <si>
    <t>Resumo dos serviços descritos no TSA.</t>
  </si>
  <si>
    <t>Patrimônio</t>
  </si>
  <si>
    <r>
      <rPr>
        <b/>
        <sz val="10"/>
        <color rgb="FFF1F1F1"/>
        <rFont val="Arial"/>
        <family val="2"/>
      </rPr>
      <t>Área</t>
    </r>
  </si>
  <si>
    <r>
      <rPr>
        <b/>
        <sz val="10"/>
        <color rgb="FFF1F1F1"/>
        <rFont val="Arial"/>
        <family val="2"/>
      </rPr>
      <t>N2</t>
    </r>
  </si>
  <si>
    <r>
      <rPr>
        <b/>
        <sz val="10"/>
        <color rgb="FFF1F1F1"/>
        <rFont val="Arial"/>
        <family val="2"/>
      </rPr>
      <t>N3</t>
    </r>
  </si>
  <si>
    <r>
      <rPr>
        <b/>
        <sz val="10"/>
        <color rgb="FFF1F1F1"/>
        <rFont val="Arial"/>
        <family val="2"/>
      </rPr>
      <t>Líder</t>
    </r>
  </si>
  <si>
    <r>
      <rPr>
        <b/>
        <sz val="10"/>
        <color rgb="FFF1F1F1"/>
        <rFont val="Arial"/>
        <family val="2"/>
      </rPr>
      <t>E-mail Líder</t>
    </r>
  </si>
  <si>
    <t>Tributos/Fiscal</t>
  </si>
  <si>
    <t>N/A</t>
  </si>
  <si>
    <t>Regulatório</t>
  </si>
  <si>
    <t>katia.pessoa@oi.net.br</t>
  </si>
  <si>
    <t>Jur Tributário</t>
  </si>
  <si>
    <t>Varejo e Empresarial // Atendimento</t>
  </si>
  <si>
    <t>Contestação de chamadas e/ou ​serviços​</t>
  </si>
  <si>
    <t>URA / Atendimento</t>
  </si>
  <si>
    <t>Jur Consumidor</t>
  </si>
  <si>
    <t>Ouvidoria/ Anatel</t>
  </si>
  <si>
    <t>Faturamento</t>
  </si>
  <si>
    <t>Tarifação e repasse</t>
  </si>
  <si>
    <t>Faturamento// Tarifação e Repasse</t>
  </si>
  <si>
    <t>Fatutamento/ Atendimento</t>
  </si>
  <si>
    <t>Contabilidade</t>
  </si>
  <si>
    <t>Atendimento Varejo</t>
  </si>
  <si>
    <t>Retenção Varejo</t>
  </si>
  <si>
    <t>Giane Carla Varela</t>
  </si>
  <si>
    <t>Manuela Alencar da Cruz</t>
  </si>
  <si>
    <t>Thiago Matarazzo</t>
  </si>
  <si>
    <t>Contas a receber/ Cobrança</t>
  </si>
  <si>
    <t>Faturamento// Contas a receber/ Cobrança</t>
  </si>
  <si>
    <t>Contas a receber/Cobrança // Contabilidade</t>
  </si>
  <si>
    <t>Operações de Rede e SI/ Regulatório</t>
  </si>
  <si>
    <t>Logística</t>
  </si>
  <si>
    <t>Operações de Rede e SI/ Energia</t>
  </si>
  <si>
    <t>Sistema TI</t>
  </si>
  <si>
    <t>Infra e Operações de TI</t>
  </si>
  <si>
    <t>Operações de Rede e SI</t>
  </si>
  <si>
    <t>Operações de Rede e SI// Infra e Operações de TI// Sistemas TI</t>
  </si>
  <si>
    <t>Operações de Rede e SI// Infra e Operações de TI</t>
  </si>
  <si>
    <t>Sistemas TI</t>
  </si>
  <si>
    <t>Arquitetura TI</t>
  </si>
  <si>
    <t>Operações de Rede e SI// Infra e Operações de TI// Sistemas TI// Arquitetura TI</t>
  </si>
  <si>
    <t>Infra e Operações de TI/ Sistemas TI</t>
  </si>
  <si>
    <t>Infra e Operações de TI// Ouvidoria/ Anatel</t>
  </si>
  <si>
    <t>Sistemas TI// Infra e Operações de TI// Atendimento</t>
  </si>
  <si>
    <t>Sistemas TI// Infra e Operações de TI// Atendimento// Faturamento</t>
  </si>
  <si>
    <t>Data Analytics</t>
  </si>
  <si>
    <t>Governança// Sistemas TI</t>
  </si>
  <si>
    <t>Infra e Operações de TI// Operações de Rede e SI//  Data Analytics// Governança</t>
  </si>
  <si>
    <t>RH</t>
  </si>
  <si>
    <t>Jur Societário</t>
  </si>
  <si>
    <t>Jur Contratos</t>
  </si>
  <si>
    <t>Jur C Estrategico</t>
  </si>
  <si>
    <t>Infra e Operações de TI/ Tarifação e repasse</t>
  </si>
  <si>
    <t>Andressa Mourão</t>
  </si>
  <si>
    <t>Marcus Vinicius</t>
  </si>
  <si>
    <t>Katia Rolim</t>
  </si>
  <si>
    <t>&lt;andressa.mourao@oi.net.br</t>
  </si>
  <si>
    <t>marcus.oliveira@oi.net.br</t>
  </si>
  <si>
    <t>giane.varela@oi.net.br</t>
  </si>
  <si>
    <t>thiago.matarazzo@oi.net.br</t>
  </si>
  <si>
    <t>manuela.dantas@oi.net.br</t>
  </si>
  <si>
    <t>adriano.israel@oi.net.br</t>
  </si>
  <si>
    <t>Adriano Andrey Israel</t>
  </si>
  <si>
    <t>Incluído (novo)</t>
  </si>
  <si>
    <t>Excluído</t>
  </si>
  <si>
    <t>M &amp; A</t>
  </si>
  <si>
    <t>Luiz Rosa</t>
  </si>
  <si>
    <t>Alessandro Barbosa</t>
  </si>
  <si>
    <t>Charlene Santino</t>
  </si>
  <si>
    <t>charlene.silva@oi.net.br</t>
  </si>
  <si>
    <t>Eduardo Beraldo</t>
  </si>
  <si>
    <t>Viviane de Medeiros</t>
  </si>
  <si>
    <t>viviane.calaca@oi.net.br</t>
  </si>
  <si>
    <t>Transição</t>
  </si>
  <si>
    <t>Elly Resende Silva</t>
  </si>
  <si>
    <t>Karina Duprat</t>
  </si>
  <si>
    <t>karina.fortes@oi.net.br</t>
  </si>
  <si>
    <t>Andre Paradizi</t>
  </si>
  <si>
    <t>Francisco Haick</t>
  </si>
  <si>
    <t>Marcelo Gomes</t>
  </si>
  <si>
    <t>marcelo.gomes@oi.net.br</t>
  </si>
  <si>
    <t>Patrícia Ann</t>
  </si>
  <si>
    <t>pan@oi.net.br</t>
  </si>
  <si>
    <t>Controladoria</t>
  </si>
  <si>
    <t>Patricia Decursi</t>
  </si>
  <si>
    <t>patricia.gouveia@oi.net.br</t>
  </si>
  <si>
    <t>Tesouraria</t>
  </si>
  <si>
    <t>Pedro França</t>
  </si>
  <si>
    <t>Philippe Reis Brasil</t>
  </si>
  <si>
    <t>Philippe Brasil</t>
  </si>
  <si>
    <t>philippe.carmo@oi.net.br</t>
  </si>
  <si>
    <t>Carolina Gava</t>
  </si>
  <si>
    <t>carolina.gava@oi.net.br</t>
  </si>
  <si>
    <t>Seguros</t>
  </si>
  <si>
    <t>Liege Casqueiro</t>
  </si>
  <si>
    <t>liege.casqueiro@oi.net.br</t>
  </si>
  <si>
    <t>Contas a pagar</t>
  </si>
  <si>
    <t>Ana Kelly</t>
  </si>
  <si>
    <t>Manuela Grande</t>
  </si>
  <si>
    <t>manuela.grande@oi.net.br</t>
  </si>
  <si>
    <t>Caixa</t>
  </si>
  <si>
    <t>Eduardo Streit</t>
  </si>
  <si>
    <t>eduardo.streit@oi.net.br</t>
  </si>
  <si>
    <t>Flavia Casali</t>
  </si>
  <si>
    <t>Paulo Vidal</t>
  </si>
  <si>
    <t>paulo.vidal@oi.net.br</t>
  </si>
  <si>
    <t>Erika Braga</t>
  </si>
  <si>
    <t>erika.braga@oi.net.br</t>
  </si>
  <si>
    <t>Hozana Braga</t>
  </si>
  <si>
    <t>hozana.braga@oi.net.br</t>
  </si>
  <si>
    <t>Bruno Macedo</t>
  </si>
  <si>
    <t>Daniel Cattete</t>
  </si>
  <si>
    <t>daniel.sanguedo@oi.net.br</t>
  </si>
  <si>
    <t>Altevo Volatão</t>
  </si>
  <si>
    <t>Iara Braga</t>
  </si>
  <si>
    <t>iara.braga@oi.net.br</t>
  </si>
  <si>
    <t>Fraude</t>
  </si>
  <si>
    <t>Alessandro Varme</t>
  </si>
  <si>
    <t>alessandro.varme@oi.net.br</t>
  </si>
  <si>
    <t>Daniella Ventura</t>
  </si>
  <si>
    <t>Leandro Diogo</t>
  </si>
  <si>
    <t>Marina Silva</t>
  </si>
  <si>
    <t>marina.maciel@oi.net.br</t>
  </si>
  <si>
    <t>Barbara Erthal</t>
  </si>
  <si>
    <t>barbara.erthal@oi.net.br</t>
  </si>
  <si>
    <t>Elen Souto</t>
  </si>
  <si>
    <t>Fabricio Cardoso</t>
  </si>
  <si>
    <t>Derick Ian</t>
  </si>
  <si>
    <t>derick.assis@oi.net.br</t>
  </si>
  <si>
    <t>Adriana Velhote</t>
  </si>
  <si>
    <t>Fernando Raposo</t>
  </si>
  <si>
    <t>Pedro Rique</t>
  </si>
  <si>
    <t>Julia Torres</t>
  </si>
  <si>
    <t>julia.torres@oi.net.br</t>
  </si>
  <si>
    <t>Alessandra Benevides</t>
  </si>
  <si>
    <t>alessandra.benevides@oi.net.br</t>
  </si>
  <si>
    <t>Luiz Felipe Vargas</t>
  </si>
  <si>
    <t>luizf.vargas@oi.net,br</t>
  </si>
  <si>
    <t>Jur Trabalhista</t>
  </si>
  <si>
    <t>Williams Junior</t>
  </si>
  <si>
    <t>Douglas Tostes</t>
  </si>
  <si>
    <t>douglas.coelho@oi.net.br</t>
  </si>
  <si>
    <t>Energia</t>
  </si>
  <si>
    <t>Ana Miguelote</t>
  </si>
  <si>
    <t>Carolina Arlotta</t>
  </si>
  <si>
    <t>carolina.arlotta@oi.net.br</t>
  </si>
  <si>
    <t>Evandro Angelo</t>
  </si>
  <si>
    <t>Bernardo Ieno</t>
  </si>
  <si>
    <t>bernardo.ieno@oi.net.br</t>
  </si>
  <si>
    <t>Marcia Fonseca</t>
  </si>
  <si>
    <t>marcia.fonseca@oi.net.br</t>
  </si>
  <si>
    <t>Suprimentos</t>
  </si>
  <si>
    <t>Luiz Fellipe Vieira</t>
  </si>
  <si>
    <t>Rafael Muniz</t>
  </si>
  <si>
    <t>rafael.muniz@oi.net.br</t>
  </si>
  <si>
    <t>Viviane Perdigão</t>
  </si>
  <si>
    <t>Mariana Doher</t>
  </si>
  <si>
    <t>mariana.doher@oi.net.br</t>
  </si>
  <si>
    <t>Carlos Galvão</t>
  </si>
  <si>
    <t>carlosgalvao@oi.net.br</t>
  </si>
  <si>
    <t>Jorge Correia</t>
  </si>
  <si>
    <t>jorgelsc@oi.net.br</t>
  </si>
  <si>
    <t>RH - Remuneração,
Planejamento e Gestão</t>
  </si>
  <si>
    <t>Ricardo Goulart</t>
  </si>
  <si>
    <t>Valeria Braga</t>
  </si>
  <si>
    <t>valeria.braga@oi.net.br</t>
  </si>
  <si>
    <t>carlos.andrade@oi.net.br&gt;</t>
  </si>
  <si>
    <t>Jussara Petra Rocha</t>
  </si>
  <si>
    <t>jussara.rocha@oi.net.br</t>
  </si>
  <si>
    <t>RH - Relac. Trab., Seg.</t>
  </si>
  <si>
    <t>Ariane Vieira</t>
  </si>
  <si>
    <t>Cintia Rau</t>
  </si>
  <si>
    <t>cintia.rau@oi.net.br</t>
  </si>
  <si>
    <t>Jomerson Almeida</t>
  </si>
  <si>
    <t>Varejo</t>
  </si>
  <si>
    <t>Felicia Rosetti</t>
  </si>
  <si>
    <t>felicia@oi.net.br</t>
  </si>
  <si>
    <t>Daniela Greco</t>
  </si>
  <si>
    <t>daniela.greco@oi.net.br</t>
  </si>
  <si>
    <t>Renato Elias</t>
  </si>
  <si>
    <t>renato.elias@oi.net.br</t>
  </si>
  <si>
    <t>Hugo Spiller</t>
  </si>
  <si>
    <t>hugo.nascimento@oi.net.br</t>
  </si>
  <si>
    <t>Rafael De Almeida</t>
  </si>
  <si>
    <t>rafael.almeida@oi.net.br</t>
  </si>
  <si>
    <t>Priscila Monteza</t>
  </si>
  <si>
    <t>priscila.monteza@oi.net.br</t>
  </si>
  <si>
    <t>Josecler Baptista</t>
  </si>
  <si>
    <t>josecler.alves@oi.net.br</t>
  </si>
  <si>
    <t>Empresarial</t>
  </si>
  <si>
    <t>Luis Filipe Meira</t>
  </si>
  <si>
    <t>Anderson Esteves</t>
  </si>
  <si>
    <t>anderson.esteves@oi.net.br</t>
  </si>
  <si>
    <t>Thiego Sampaio</t>
  </si>
  <si>
    <t>thiego.sampaio@oi.net.br</t>
  </si>
  <si>
    <t>Ana Murad</t>
  </si>
  <si>
    <t>anamurad@oi.net.br</t>
  </si>
  <si>
    <t>Suporte Técnico</t>
  </si>
  <si>
    <t>Comunicação</t>
  </si>
  <si>
    <t>Livia Marquez Rocha</t>
  </si>
  <si>
    <t>Barbara Martinho</t>
  </si>
  <si>
    <t>barbara.martinho@oi.net.br</t>
  </si>
  <si>
    <t>Thiago Vasconcelos</t>
  </si>
  <si>
    <t>Eduardo Pedreira</t>
  </si>
  <si>
    <t>Leonardo Medeiros Serejo</t>
  </si>
  <si>
    <t>leonardo.serejo@oi.net.br</t>
  </si>
  <si>
    <t>Clarita Ferreira</t>
  </si>
  <si>
    <t>clarita.ferreira@oi.net.br</t>
  </si>
  <si>
    <t>Rafael Amorim</t>
  </si>
  <si>
    <t>rafael.amorim@oi.net.br</t>
  </si>
  <si>
    <t>Bruno Diehl</t>
  </si>
  <si>
    <t>Vivian Aparecida</t>
  </si>
  <si>
    <t>Melquiades Neto</t>
  </si>
  <si>
    <t>melchiades.neto@oi.net.br</t>
  </si>
  <si>
    <t>Carolina Darigo</t>
  </si>
  <si>
    <t>carolina.barros@oi.net.br</t>
  </si>
  <si>
    <t>Daniel Nassur</t>
  </si>
  <si>
    <t>daniel.nassur@oi.net.br</t>
  </si>
  <si>
    <t>Carlos Lapa</t>
  </si>
  <si>
    <t>carlos.lapa@oi.net.br</t>
  </si>
  <si>
    <t>Alexandre Furtado</t>
  </si>
  <si>
    <t>Ana Carolina Sarno</t>
  </si>
  <si>
    <t>Taian Nunes Buriche</t>
  </si>
  <si>
    <t>taian@oi.net.br</t>
  </si>
  <si>
    <t>Wagner Triano</t>
  </si>
  <si>
    <t>wagner.triano@oi.net.br</t>
  </si>
  <si>
    <t>Cid Antunes</t>
  </si>
  <si>
    <t>cid.junior@oi.net.br</t>
  </si>
  <si>
    <t>Cesar Nascimento</t>
  </si>
  <si>
    <t>Luis Felipe Wright</t>
  </si>
  <si>
    <t>luis.wright@oi.net.br</t>
  </si>
  <si>
    <t>Sergio Figueiredo</t>
  </si>
  <si>
    <t>sergio.figueiredo@oi.net.br</t>
  </si>
  <si>
    <t>Segurança da Informação</t>
  </si>
  <si>
    <t>River de Morais</t>
  </si>
  <si>
    <t>Nivaldo Santos</t>
  </si>
  <si>
    <t>nivaldo.santos@oi.net.br</t>
  </si>
  <si>
    <t>Ulisses Alves</t>
  </si>
  <si>
    <t>Bruno Palombo</t>
  </si>
  <si>
    <t>bruno.palombo@oi.net.br</t>
  </si>
  <si>
    <t>Riscos/ Controles</t>
  </si>
  <si>
    <t>Kamila Vieira</t>
  </si>
  <si>
    <t>Sob demanda, a Oi deverá desenvolver sistemicamente as inclusões, exclusões, ou alterações de preço (e não de dinâmica) das ofertas dentro das práticas e volumes atuais da Oi de forma a reenquadrar portfólio/clientes.
Envolve implementar, testar e garantir a qualidade em toda cadeia (Front end, Fatura, contabilização, etc.) podendo ser acompanhado pelas Compradoras.
Políticas comerciais, regras, valores e features serão solicitadas pelas Compradoras e serão avaliadas pela Oi quanto a viabilidade técnica, financeira, legal e regulatória. As alterações implantadas terão report para fins de acompanhamento do solicitante.
Qualquer modificação que demande Capex, deverá ser reembolsada e não estará coberta pelo cap do Contrato.</t>
  </si>
  <si>
    <t>Garantir acesso as Compradoras das informações necessárias para tomada de decisões referente aos processos determinados pelo Contrato até a data de migração dos clientes de acordo com o SLA, meio, formato e tecnologia a ser definido entre as partes, respeitando as capacidades tecnológicas e regulações vigentes.</t>
  </si>
  <si>
    <t>Configuração das Interfaces de Integração ​(Bloco 1​)</t>
  </si>
  <si>
    <t>Configuração das Interfaces de Integração​ (Bloco 2)</t>
  </si>
  <si>
    <t>De acordo com as regras e parâmetros atuais, utilizando os recursos, sistemas, plataformas atuais, a Oi deverá:
- Executar serviços de configuração, parametrização e roteamente em elementos de rede para serviços de pré-pago e IN, de acordo com as necessidades das Compradoras.</t>
  </si>
  <si>
    <t>De acordo com as regras e parâmetros atuais, utilizando os recursos, sistemas, plataformas atuais, a Oi deverá:
- Executar serviços de integração para elementos de rede para serviços de pré-pago e IN, de acordo com as necessidades das Compradoras.</t>
  </si>
  <si>
    <t>De acordo com as regras e parâmetros atuais, utilizando os recursos, sistemas, plataformas atuais, a Oi deverá:
- Manter links e conectividade para permitir execução de campanha OTA para atualização de diferentes EFs, tais como PPLMN, HPLMN, IMSI, SMSCAddr, FPLMN, CSP, SPN, pelas Compradoras</t>
  </si>
  <si>
    <t>De acordo com as regras e parâmetros atuais, utilizando os recursos, sistemas, plataformas atuais, a Oi deverá:
- Implantar e manter integração entre DEA e STP Oi com elementos equivalentes das Compradoras.</t>
  </si>
  <si>
    <t>De acordo com as regras e parâmetros atuais, utilizando os recursos, sistemas, plataformas atuais, a Oi deverá:
- Habilitar e manter o roaming de usuários Oi nas redes das Compradoras.</t>
  </si>
  <si>
    <t>De acordo com as regras e parâmetros atuais, utilizando os recursos, sistemas, plataformas atuais, a Oi deverá:
- Extrair e enviar dados de todos os clientes no AuC, HLR e HSS usando o ETL da Oi, de acordo com regras das Compradoras para conversão de serviços e campos específicos, de acordo com as necessidades das Compradoras.</t>
  </si>
  <si>
    <t>De acordo com as regras e parâmetros atuais, utilizando os recursos, sistemas, plataformas atuais, a Oi deverá:
- Suportar plataformas de rede e TI da Oi, integradas a plataformas correspondentes nas Compradoras.</t>
  </si>
  <si>
    <t>De acordo com as regras e parâmetros atuais, utilizando os recursos, sistemas, plataformas atuais, a Oi deverá:
- Migrar chaves utilizadas para criptografar essas bases de dados (HSS/HLR/AuC), e das chaves OTA</t>
  </si>
  <si>
    <t>De acordo com as regras e parâmetros atuais, utilizando os recursos, sistemas, plataformas atuais, a Oi deverá:
- Migrar templates dos perfis da Oi para a plataforma OTA das Compradoras.</t>
  </si>
  <si>
    <t>De acordo com as regras e parâmetros atuais, utilizando os recursos, sistemas, plataformas atuais, a Oi deverá:
- Viabilizar o acesso de sistemas das Compradoras ao provisionamento Oi para desativação de clientes nas bases (HSS+HLR+AuC), e a sistema de portabilidade (FNR) para registro de números portados para as Compradoras.</t>
  </si>
  <si>
    <t>De acordo com as regras e parâmetros atuais, utilizando os recursos, sistemas, plataformas atuais, a Oi deverá:
- Suportar, prover acesso remoto e realizar atividades de integração entre plataformas de rede e TI da Oi e das Compradoras:
- HSS, HLR, AuC, MME, eDNS, DRA (SLF), DEA, STP (FNR), S/P-GW, S/GGSN, OTA, FDA, USSD, MMS, SMSC, Anti-Spam,
PCRF, CTF, Plataforma de BigData, Device Manager, Service Manager, WAP, EIR, GMLC/SMLC, Voice Mail, IVR, Ring Back Tone, SIM Browsing, Provisioning, Inter-AS, IN.</t>
  </si>
  <si>
    <t>De acordo com as regras e parâmetros atuais, utilizando os recursos, sistemas, plataformas atuais, a Oi deverá:
- Configurar árvore de análise de dígitos para definição de encaminhamento para cenários de chamadas de voz.</t>
  </si>
  <si>
    <t>De acordo com as regras e parâmetros atuais, utilizando os recursos, sistemas, plataformas atuais, a Oi deverá:
- Executar serviços de configuração para roteamento de sinalização de rede (ex. SS7, Diamenter, SIP, etc.), de acordo com as necessidades das Compradoras.</t>
  </si>
  <si>
    <t>De acordo com as regras e parâmetros atuais, utilizando os recursos, sistemas, plataformas atuais, a Oi deverá:
- Executar serviços de configuração de links e associações necessárias para sinalização SS7, Diameter, etc, de acordo com as necessidades das Compradoras.</t>
  </si>
  <si>
    <t>De acordo com as regras e parâmetros atuais, utilizando os recursos, sistemas, plataformas atuais, a Oi deverá:
- Executar serviços de configuração de rotas de voz (ex. TDM, SIP, etc.), de acordo com as necessidades das Compradoras.</t>
  </si>
  <si>
    <t>De acordo com as regras e parâmetros atuais, utilizando os recursos, sistemas, plataformas atuais, a Oi deverá:
- Executar serviços de configuração de profile de usuário para as redes 4G, 3G e 2G (ex. HLR, HSS, PCRF, etc.), de acordo com as necessidades das Compradoras.</t>
  </si>
  <si>
    <t>De acordo com as regras e parâmetros atuais, utilizando os recursos, sistemas, plataformas atuais, a Oi deverá:
- Executar serviços de configuração de parâmetros e serviços suplementares em base de dados de usuário (HLR, HSS, etc.), de acordo com as necessidades das Compradoras.</t>
  </si>
  <si>
    <t>De    acordo    com    as    regras    e    parâmetros    atuais,    utilizando    os    recursos,    sistemas,    plataformas    atuais,    a    Oi    deverá: Executar serviços de configuração de parâmetros e serviços suplementares em servidores de aplicação (ex. MMTel) e base de dados de
usuários (ex. HLR, HSS, etc.), de acordo com as necessidades das Compradoras.</t>
  </si>
  <si>
    <t>De acordo com as regras e parâmetros atuais, utilizando os recursos, sistemas, plataformas atuais, a Oi deverá:
-  Executar  serviços  de  configuração  em  elementos  de  core  de  voz  (CS  e  IMS)  para  roaming,  de  acordo  com  as  necessidades  das Compradoras.</t>
  </si>
  <si>
    <t>De acordo com as regras e parâmetros atuais, utilizando os recursos, sistemas, plataformas atuais, a Oi deverá:
- Executar serviços de integração para rede SS7/Sigtran, Diameter, etc, de acordo com as necessidades das Compradoras.</t>
  </si>
  <si>
    <t>De acordo com as regras e parâmetros atuais, utilizando os recursos, sistemas, plataformas atuais, a Oi deverá:
- Executar serviços de integração para rotas de voz baseadas em ISUP, BICC, SIP, etc, de acordo com as necessidades das Compradoras.</t>
  </si>
  <si>
    <t>De acordo com as regras e parâmetros atuais, utilizando os recursos, sistemas, plataformas atuais, a Oi deverá:
- Executar serviços de integração entre elementos de rede do core de voz, de acordo com as necessidades das Compradoras.</t>
  </si>
  <si>
    <t>De acordo com as regras e parâmetros atuais, utilizando os recursos, sistemas, plataformas atuais, a Oi deverá:
-  Executar  serviços  de  homologação  e  testes  para  cenários  envolvendo  sinalização  SS7,  SIP,  Diamenter,  etc.,  de  acordo  com  as necessidades das Compradoras.</t>
  </si>
  <si>
    <t>De acordo com as regras e parâmetros atuais, utilizando os recursos, sistemas, plataformas atuais, a Oi deverá:
-  Executar  serviços  de  homologação  e  testes  para  validação  de  novos  acordos  de  roaming  e  troubleshooting,  de  acordo  com  as necessidades das Compradoras.</t>
  </si>
  <si>
    <t>De acordo com as regras e parâmetros atuais, utilizando os recursos, sistemas, plataformas atuais, a Oi deverá:
- Integrar todos os elementos do Core de Voz, Dados, Sinalização e Plataformas SVA da OI com os elementos Core de Voz, Dados e Plataformas de SVA das Compradoras, de acordo com as necessidades das Compradoras.</t>
  </si>
  <si>
    <t>De acordo com as regras e parâmetros atuais, utilizando os recursos, sistemas, plataformas atuais, a Oi deverá:
- Configurar todos os elementos do Core de Voz, Dados, Sinalização e Plataformas SVA da OI para permitir o registro dos clientes “OI” na Rede das Compradoras, de acordo com as necessidades das Compradoras.</t>
  </si>
  <si>
    <t>De acordo com as regras e parâmetros atuais, utilizando os recursos, sistemas, plataformas atuais, a Oi deverá:
- Configurar todos os elementos do Core de Voz, Dados, Sinalização e Plataformas SVA da OI para permitir o registro dos clientes da(s) compradoras na Rede da OI, de acordo com as necessidades das Compradoras.</t>
  </si>
  <si>
    <t>De acordo com as regras e parâmetros atuais, utilizando os recursos, sistemas, plataformas atuais, a Oi deverá:
- Transferir todos os dados armazenados nas Base de Dados da OI para as Base de Dados das Compradoras, de acordo com as necessidades das Compradoras.</t>
  </si>
  <si>
    <t>De acordo com as regras e parâmetros atuais, utilizando os recursos, sistemas, plataformas atuais, a Oi deverá:
- Prover suporte N1, N2 e N3 durante toda fase de migração, integração e capacitação dos elementos do Core de Voz, Dados e Plataformas SVA, de acordo com as necessidades das Compradoras</t>
  </si>
  <si>
    <t>De acordo com as regras e parâmetros atuais, utilizando os recursos, sistemas, plataformas atuais, a Oi deverá:
- Realizar campanhas de atualização dos Simcards (via Over-the-Air) até que toda base de clientes esteja atualizada, de acordo com as necessidades das Compradoras.</t>
  </si>
  <si>
    <t>De acordo com as regras e parâmetros atuais, utilizando os recursos, sistemas, plataformas atuais, a Oi deverá:
- Suportar os serviços de ordem judicial (interceptação policial, escuta telefônica, coleta de dados etc.) durante toda fase de migração, de acordo com as necessidades das Compradoras.</t>
  </si>
  <si>
    <t>- Prover equipe com profundo conhecimento técnico nos elementos do Core de Voz, Dados, Sinalização e Plataformas SVA que deve trabalhar de forma dedicada e exclusiva durante toda fase de migração, de acordo com as necessidades das Compradoras (incluindo FTEs do perímetro e aqueles fora do perímetro que sejam responsáveis pelo suporte a plataformas compartilhadas com demais empresas do
Grupo Oi).</t>
  </si>
  <si>
    <t>De acordo com as regras e parâmetros atuais, utilizando os recursos, sistemas, plataformas atuais, a Oi deverá:
- Prover serviço de suporte N1, N2 e N3, integração e configuração de todas as plataformas HSS, HLR, AuC, MME, eDNS, DRA (SLF), DEA,  STP  (FNR),  S/P-GW,  S/GGSN,  OTA,  FDA, USSD,  MMS,  SMSC,  Anti-Spam, PCRF,  CTF,  Plataforma de  BigData,  Device Manager, Service Manager, WAP, EIR, GMLC/SMLC, Voice Mail, IVR, Ring Back Tone, SIM Browsing, Provisioning, Inter-AS, IN,
plataformas de serviços de roaming (traffic steering, VHE, etc) durante toda fase de migração.</t>
  </si>
  <si>
    <t>De acordo com as regras e parâmetros atuais, utilizando os recursos, sistemas, plataformas atuais, a Oi deverá:
- Realizar upgrades de Software, Ativação de Features já contratadas e Aplicação de Patches para suportar funcionalidades associadas aos elementos do Core de Voz, Dados, Sinalização e Plataformas SVA.</t>
  </si>
  <si>
    <t>De acordo com as regras e parâmetros atuais, utilizando os recursos, sistemas, plataformas atuais, a Oi deverá:
-   Executar  testes  de  homologação,  regressão  e  sanity  durante  toda  e  qualquer  atividade  de  configuração,  integração  e  adequação relacionada com os elementos do Core de Voz, Dados, Sinalização e Plataformas SVA.</t>
  </si>
  <si>
    <t>De acordo com as regras e parâmetros atuais, utilizando os recursos, sistemas, plataformas atuais, a Oi deverá:
- Executar as janelas de manutenção nos elementos do Core de Voz, Dados, Sinalização e Plataformas SVA em qualquer dia da semana, inclusive  feriados,  no  horário  compreendido  entre  23h00  e  07h00.  O  objetivo  é  assegurar  um  menor  tempo  de  indisponibilidade (downtime) dos serviços.
- Portanto a Oi, se obriga a manter equipe e tudo mais que for necessário para realização das janelas de manutenção, de acordo com as
necessidades das Compradoras.</t>
  </si>
  <si>
    <t>De acordo com as regras e parâmetros atuais, utilizando os recursos, sistemas, plataformas atuais, a Oi deverá:
- Executar as seguintes atividades de acordo com as necessidades das Compradoras:
• Balanceamento de trafego entre os elementos de Sinalização, Voz, Dados e Plataformas SVA.
• Distribuição do trafego de Sinalização, Voz, Dados e SVA conforme capacidade dos elementos.</t>
  </si>
  <si>
    <t>De acordo com as regras e parâmetros atuais, utilizando os recursos, sistemas, plataformas atuais, a Oi deverá:
- Executar todas as atividades de configuração de acordo com as necessidades das Compradoras, tais como, mas não limitadas a:
• Configuração da interface Abis entre BTS e BSC
• Configuração da interface Iub entre NodeB e RNC
• Configuração da interface Gb entre BSC e SGSN
• Configuração da interface A entre BSC e MSC/MSS
• Configuração da interface IuPS entre RNC e SGSN
• Configuração da interface IuCS entre RNC e MGW/MSC
• Configuração da interface S12 entre RNC e S-GW
• Configuração da interface S1-MME entre eNodeB e MME
• Configuração da interface S1-U entre eNodeB e S-GW
• Configuração da interface Gn entre SGSN e GGSN
• Configuração da interface S5/S8 entre S-GW e P-GW</t>
  </si>
  <si>
    <t>De acordo com as regras e parâmetros atuais, utilizando os recursos, sistemas, plataformas atuais, a Oi deverá:
- Executar todas as atividades de configuração de acordo com as necessidades das Compradoras, tais como, mas não limitadas a:
• Configuração da interface SGs entre MME e MSC/MSS
• Configuração da interface Sv entre MME e MSC/MSS
• Configuração da interface S3 entre MME e SGSN
• Configuração da interface S11 entre MME e S-GW
• Configuração da interface S10 entre MMEs (Inter)
• Configuração da interface S6a entre MME e HSS
• Configuração da interface S13 entre MME e EIR
• Configuração da interface Gr entre SGSN e HLR
• Configuração da interface Gf entre SGSN e EIR
• Configuração da interface D entre MSC/MSS e HLR
• Configuração da interface F entre MSC/MSS e EIR
• Configuração da interface Gx entre P-GW e PCRF
• Configuração da interface Gy entre P-GW e OCS</t>
  </si>
  <si>
    <t>De acordo com as regras e parâmetros atuais, utilizando os recursos, sistemas, plataformas atuais, a Oi deverá:
- Executar todas as atividades de configuração de acordo com as necessidades das Compradoras, tais como, mas não limitadas a:
• Configuração e integração via Direct Tunnel
• Configuração de link M3UA com a RNC
• Configuração de link NSVC com a BSC
• Configuração das tabelas de TAI, LAI e VLR-ID
• Configuração e integração via SMPP entre SMSCs
• Configuração e integração via IPX/SPX entre DEAs
• Configuração das tabelas de DPC, OPC e GTs
• Configuração dos Service Key de Originação e Terminação
• Configuração de Rotas e Links IPv4 e IPv6</t>
  </si>
  <si>
    <t>De acordo com as regras e parâmetros atuais, utilizando os recursos, sistemas, plataformas atuais, a Oi deverá:
- Executar todas as atividades de configuração de acordo com as necessidades das Compradoras, tais como, mas não limitadas a:
• Configuração de descarte de URL e IP´s
• Configuração de regras L3 para descarte de IP
• Configuração de regras L4 para descarte na camada de transporte
• Configuração de regras L7 para descarte de URL
• Configuração de novas regras para redirect de tráfego para os Portais de Serviço
• Configuração de novas APNs de Dados de acordo com o tipo de cliente (Pré, Pós, M2M)</t>
  </si>
  <si>
    <t>De acordo com as regras e parâmetros atuais, utilizando os recursos, sistemas, plataformas atuais, a Oi deverá:
- Executar todas  as  atividades  de  configuração  e  adequação  de  todo  e  qualquer parâmetro  configurado  no HLR,  de  acordo  com  as necessidades das Compradoras, tais como, mas não limitadas a:
• TCSI (Terminating Camel Subscription Information)
• OCSI (Originating Camel Subscription Information)
• CSP (Camel Subscription Profile)
• CAT (Subscriber Category)
• STYPE (Subscription Type)
• SCHAR (Subscriber Charging Characteristics)
• RSA (Roaming Service Area Identifier)
• PRBT (Personalized Ring Back Tone)• PLMNO (PLMN Operator)
• PDPCP (Packed Data Protocol Context Profile)
• OBO (Operator Determined Barring Of All Outgoing Calls)
• OBI (Operator Determined Barring Of All Incoming Calls)
• OBA (Operator Determined Barring Of All Incoming And Outgoing Calls)
• OBCC (Operator Determined Barring Of Collect Call Dialling Automatic Call)
• BOIC (Barring Of All Outgoing International Calls)
• NAM (Network Access Mode)</t>
  </si>
  <si>
    <t>De acordo com as regras e parâmetros atuais, utilizando os recursos, sistemas, plataformas atuais, a Oi deverá:
-  Executar  todas  as  atividades  de  configuração  e  adequação  de  todo  e  qualquer  parâmetro  configurado  no  HSS,  de  acordo  com  as necessidades das Compradoras, tais como, mas não limitadas a:
• PROFILEID
• MAXDL
• MAXUL
• APNOIREPLACEMENT
• CONTEXTID
• APN
• BEARERCHARGINGCHARS
• PDNTYPE
• QOSPROFILEARP
• QOSPROFILEQCI
• LCHAR
• BLOQ
• ROAM
• ROAMREST
• SUBIPV4ADDR
• SUBIPV6ADDR</t>
  </si>
  <si>
    <t>De acordo com as regras e parâmetros atuais, utilizando os recursos, sistemas, plataformas atuais, a Oi deverá:
- Executar todas as atividades de configuração e adequação de todo e qualquer parâmetro configurado no Voicemail (VMS), de acordo com as necessidades das Compradoras, tais como, mas não limitadas a:
• MSISDN
• SERVICECLASS
• LANGUAGE
• PASSWORD
• ENTRYAUTHEN
• MESSAGENOTIFY
• USERNAME
• EMAIL
• ZIPCODE
• IDNUMBER
• MWNTYPE
• MWNDEST
• USERSTATUS</t>
  </si>
  <si>
    <t>De acordo com as regras e parâmetros atuais, utilizando os recursos, sistemas, plataformas atuais, a Oi deverá:
-  Suportar,  acompanhar  e  divulgar  todos  os  KPIs  da  rede  durante  toda  a  fase  de  migração,  de  acordo  com  as  necessidades  das Compradoras.</t>
  </si>
  <si>
    <t>De acordo com as regras e parâmetros atuais, utilizando os recursos, sistemas, plataformas atuais, a Oi deverá:
- Executar o monitoramento da rede 24x7 garantindo a disponibilidade dos serviços;
- Gerar reports diários relacionados aos incidentes e Bilhetes de defeitos que envolvam os sistemas ora em operação;
- Resolução dos problemas encontrados no monitoramento de forma remota e/ou com auxílio do time de FLM/N2/N3/Vendor;
- Garantir através do Contrato, headcounts (HCs)suficientes para o monitoramento e tratamento de incidentes de rede (primeiro combate) 24x7. Estes HCs devem ser alterados conforme ocorrerem as migrações de equipamentos de rede bem como clientes para a base das Compradoras.
- Garantir escalonamentos de forma a cumprir com os SLAs acordados e garantir celeridade na solução de falhas.
- Registar os incidentes de rede em ferramentas de workflow, de forma que seja possível acompanhar as ocorrências, a identificação e os tratamentos dos eventos de rede, bem como, ter base histórica para consulta futura.</t>
  </si>
  <si>
    <t>De acordo com as regras e parâmetros atuais, utilizando os recursos, sistemas, plataformas atuais, a Oi deverá:
- Através das atividades de monitoramento, gestão de incidentes, gestão de problemas, gestão de mudanças e gestão de continuidade, manter o nível de disponibilidade dos sistemas de rede dentro do padrões de qualidade.
- Gerar os reports executivos e operacionais semanais associados à disponibilidade/tempo de reparo dos incidentes e causa-raiz.</t>
  </si>
  <si>
    <t>De acordo com as regras e parâmetros atuais, utilizando os recursos, sistemas, plataformas atuais, a Oi deverá:
- Operar, manter, e otimizar os elementos que compõe a rede do Core de Voz Móvel (MGC, MGW, PTS, AGW, SBC’s, Core IMS, HLR, HSS, UDC, EIR, NGiN)
- Atuar na recuperação de falhas e incidências do Core CS (com atuação remota), incluindo hardwares e software dentro dos prazos definidos pelo órgão regulador e/ou das metas de satisfação dos clientes (SLA);
- Promover ações preventivas para redução de falhas e incidentes do Core CS, validação de contingências e garantir efetividade no processo de passagem a produção;
- Fornecer apoio técnico especializado as equipes de campo (N1) para o Core CS;
- Acompanhar os indicadores Desempenho de rede e clientes;
- Realizar Aceitação dos elementos de rede Core CS;
- Analisar, controlar, agendar, liberar e negociar as atividades programadas (GMUD) na rede CORE CS, de acordo com as afetações envolvidas, junto às áreas fornecedoras (interna e externas);
- Fornecer suporte as ocorrências de alta complexidade no Core CS e atuar na recuperação de falhas, inclusive on-site; e
- Acompanhamento e validação de atualização de correção de produto (software) e aplicação de Updates e correções nos elementos da rede.</t>
  </si>
  <si>
    <t>De acordo com as regras e parâmetros atuais, utilizando os recursos, sistemas, plataformas atuais, a Oi deverá:
- Executar todas as configurações nos elementos do Core de Voz e garantir a continuidade da estabilidade dos sistemas envolvidos e da qualidade dos serviços prestados durante as intervenções e após as adequações, sempre através de documentos apropriado; (Configuração de Encaminhamento; Sites; Prefixos, CNG, NUM, Tridígitos, Novos Códigos; Sinalização e Rota; Point Code; Roaming; etc.); e
- Diagnosticar e corrigir as anormalidades e reclamações de clientes provenientes das equipes de Suporte Técnico a Reclamações e
Diagnóstico (STRD) e de rede (SIGITM) recebidas dos Centros de Operação de Rede.</t>
  </si>
  <si>
    <t>De acordo com as regras e parâmetros atuais, utilizando os recursos, sistemas, plataformas atuais, a Oi deverá:
- Gerir as Plataformas e Sistemas envolvendo Soluções e Serviços de Dados (AAA, PCRF, CTF, LCNAT), Plataformas e Serviços de Mensageria (OTA, DM, OSG, SMSC, PMSU, AntiSPAM, E-SMS), Plataformas e Serviços de Valor Agregado (SDP, Site VAS, Torpedo Empresas, Broadcast Nacional, Captive), Soluções de Core PS / EPC (WCDMA e LTE) e Plataformas de Sinalização de Dados e de Serviços de Aprovisionamento (PCRF, DRA, ATR e Habilitação Remota - HRS), para os quais são necessárias as seguintes atribuições:
-  Operar,  Manter  e  Otimizar  os  Sistemas  e  Plataformas,  envolvendo  toda  a  Infraestrutura  Computacional  (Hardware,  Software, Aplicações, Sistemas Operacionais, Web Servers e Banco de Dados);
- Aferir e avaliar, em conjunto com as áreas de desempenho, a performance das Plataformas e Aplicações envolvidas, além dos serviços prestados por Plataformas e sistemas de terceiros relacionados a serviços, providenciando ações preventivas, corretivas e de otimização, bem como suporte ao acionamento dos terceiros fornecedores de serviços, de modo a garantir a disponibilidade e a qualidade destes serviços;
- Diagnosticar as anormalidades e reclamações de clientes provenientes das equipes de Suporte Técnico a Reclamações e Diagnóstico (STRD) e eventos de Rede (sistêmicas - alarmísticas) recebidas do Centro de Operação de Rede (NOC), isolando-as, atuando em ações de contingência, propondo e realizando ações corretivas, acionando equipes próprias e de terceiros, administrando o tempo de solução e a baixa;
- Executar as Manutenções Preventivas nos equipamentos, objetivando minimizar as incidências de falhas e melhorar os índices de ocupação de recursos diante das demandas;
- Elaborar Projetos Básicos e Especificações Técnicas para contratação de serviços técnicos necessários à operação e manutenção das Plataformas, Aplicações e elementos de acesso à Rede de Dados, bem como para adição de anexo de Garantia, Suporte e Assistência Técnica em novas aquisições (RFQs);
- Gerenciar os contratos da área (suporte e recursos), bem como qualificar, mensurar e avaliar os serviços fornecidos;
- Prestar serviço de suporte às ações de homologação de novos equipamentos e novos serviços nas plataformas já em operação;
- Acompanhar a validação em laboratório das soluções de falhas a serem implementadas nos Sistemas e Plataformas em produção;
- Garantir a qualidade dos processos da área, através do monitoramento contínuo dos indicadores de qualidade;
- Agendar, autorizar e validar as intervenções programadas nas plataformas e sistemas de Core PS/EPC em operação;
-  Executar  todas  as  alterações  de  configuração  (corretivas)  nos  elementos  sob  sua  responsabilidade  e  garantir  a  continuidade  da estabilidade dos sistemas envolvidos e da qualidade dos serviços prestados durante as intervenções e após as adequações, sempre através de documentos apropriados;
- Prestar serviço de suporte às áreas relacionadas diretamente a Clientes, Eventos e Negócios;
- Analisar e Validar o Projeto de Implantação e o Termo de Aceitação de Equipamentos, Materiais e Serviços das plataformas e suas aplicações;
- Manter atualizado o cadastro de todos os elementos de Plataformas e Sistemas sob sua gestão.</t>
  </si>
  <si>
    <t>De acordo com as regras e parâmetros atuais, utilizando os recursos, sistemas, plataformas atuais, a Oi deverá:
- Através das atividades de monitoramento, gestão de incidentes, gestão de problemas, gestão de mudanças, gestão de capacidade, gestão de vulnerabilidades e gestão de continuidade, manter o nível de disponibilidade dos sistemas de TI na taxa de sucesso definida; e
- Gerar os reports executivos e operacionais associados</t>
  </si>
  <si>
    <t>De acordo com as regras e parâmetros atuais, utilizando os recursos, sistemas, plataformas atuais, a Oi deverá:
- Restaurar  o serviço  o mais rápido  possível  e  minimizar  o impacto  negativo sobre as  operações  de  negócios,  garantindo  os  níveis acordados de qualidade dos serviços.
- Monitorar, identificar, registrar e comunicar incidentes.
- Solucionar e fechar o incidente</t>
  </si>
  <si>
    <t>De acordo com as regras e parâmetros atuais, utilizando os recursos, sistemas, plataformas atuais, a Oi deverá:
- Acompanhar o ciclo de vida de todos os problemas:
- Investigação e diagnóstico da causa raiz do problema:
- Resposta a demanda dos problemas
- Execução de análise N1
- Direcionamento do problema para níveis mais detalhados de análise (N2 e N3).</t>
  </si>
  <si>
    <t>De acordo com as regras e parâmetros atuais, utilizando os recursos, sistemas, plataformas atuais, a Oi deverá:
- Executar as mudanças em ambiente produtivo com o mínimo de riscos e interrupção para os serviços de TI.
- Registrar, Agendar e Planejar Mudança.
- Validar Planejamento da Mudança.
- Autorizar Implantação da Mudança
- Implantar Mudança
- Realizar Revisão Pós Mudança
- Gerenciar Mudança Emergencial
- Gerenciar Mudança Padrão</t>
  </si>
  <si>
    <t>De acordo com as regras e parâmetros atuais, utilizando os recursos, sistemas, plataformas atuais, a Oi deverá:
- Executar ajustes de hardware e reposições necessárias (manutenção pró-ativa e reativa) para se manter os níveis de disponibilidade e desempenho acordados.
- Gerir contratos e licenciamentos existentes no parque de TI
- Compliance de ativos</t>
  </si>
  <si>
    <t>De acordo com as regras e parâmetros atuais, utilizando os recursos, sistemas, plataformas atuais, a Oi deverá:
- Gerir as vulnerabilidades decorrentes da obsolescência de versões de aplicações (SO, BD e MW) e aplicar os patches para tratar as vulnerabilidades nos servidores corporativos.</t>
  </si>
  <si>
    <t>De acordo com as regras e parâmetros atuais, utilizando os recursos, sistemas, plataformas atuais, a Oi deverá:
- Gerir e validar os procedimentos de recuperação e contorno de indisponibilidades dos sistemas que suportam os processos de negócio.</t>
  </si>
  <si>
    <t>De acordo com as regras e parâmetros atuais, utilizando os recursos, sistemas, plataformas atuais, a Oi deverá:
- Armazenar e gerir os áudios gravados nos atendimentos realizados pelo call center da Oi, até que os clientes sejam migrados e passem a ser atendidos nos sistemas da operadora de destino; e
- Caso seja necessário recuperar uma dessas gravações (áudios), as mesmas serão requisitadas para Oi que deverá disponibilizá-las de
acordo com um formato de solicitação (ex: abertura de ticket) e SLA pré-acordados entre as partes.</t>
  </si>
  <si>
    <t>De acordo com as regras e parâmetros atuais, utilizando os recursos, sistemas, plataformas atuais, a Oi deverá:
- Gerir e validar os procedimentos de recuperação de desastres dos sistemas que suportam os processos de negócio
- Manter o Disaster Recovery
- Testar o Disaster Recovery</t>
  </si>
  <si>
    <t>De acordo com as regras e parâmetros atuais, utilizando os recursos, sistemas, plataformas atuais, a Oi deverá:
- Executar as janelas de migração a serem acordadas conforme definições / plano a ser elaborado em conjunto (por CN, UF, Range de IMSI, Plano, Segmento, etc.).</t>
  </si>
  <si>
    <t>De acordo com as regras e parâmetros atuais, utilizando os recursos, sistemas, plataformas atuais, a Oi deverá:
- Executar a interceptação dos clientes (pela justiça) em sua rede provindos das Compradoras.</t>
  </si>
  <si>
    <t>De acordo com as regras e parâmetros atuais, utilizando os recursos, sistemas, plataformas atuais, a Oi deverá:
- Realizar atendimento aos clientes durante o processo de migração bem como garantir o funcionamento de gestão das ofertas.</t>
  </si>
  <si>
    <t>De acordo com as regras e parâmetros atuais, utilizando os recursos, sistemas, plataformas atuais, a Oi deverá:
- Realizar as contestações de contas retroativas a data de migração do cliente para as Compradoras.</t>
  </si>
  <si>
    <t>- Manter e divulgar para as Compradoras os indicadores e SLAs de gestão das print centers.
- A Oi irá divulgar os indicadores e SLAs, mantendo os sistemas, regras e processos atuais, até a migração total desses clientes, nos formatos e layout atuais (online e customizadas) para clientes varejo, empresarial e corporativos.</t>
  </si>
  <si>
    <t>De acordo com as regras e parâmetros atuais, utilizando os recursos, sistemas, plataformas atuais, a Oi deverá:
- Manter e divulgar os kpis de gestão atualmente utilizados dentro dos prazos atualmente utilizados.</t>
  </si>
  <si>
    <t>De acordo com as regras e parâmetros atuais, utilizando os recursos, sistemas, plataformas atuais, a Oi deverá:
- Tratar nos sistemas Oi o processo de inadimplência dos clientes anteriores a migração para as Compradoras.</t>
  </si>
  <si>
    <t>De acordo com as regras e parâmetros atuais, utilizando os recursos, sistemas, plataformas atuais, a Oi deverá:
- Gerar e entregar os arquivos de convênios fiscais para o Fisco com base nos dados no novo CNPJ</t>
  </si>
  <si>
    <t>De acordo com as regras e parâmetros atuais, utilizando os recursos, sistemas, plataformas atuais, a Oi deverá:
- Realizar a extração e disponibilizar as bases históricas Fiscal/Tributária, Jurídica, Dados de Clientes, Detraf (Fiscal), Detraf Bilhetes, Quebra   de   Sigilo,   Faturas,   Histórico   Anatel/Procon/JEC,   Estoque/CD,   Áudios/gravação   de   ligações   atendimento,   Protocolos
atendimento/ ouvidoria/Anatel, dentre outras necessárias que venham ser identificadas conforme período mínimo definido por Lei.</t>
  </si>
  <si>
    <t>De acordo com as regras e parâmetros atuais, utilizando os recursos, sistemas, plataformas atuais, a Oi deverá:
- Garantir a manutenção da disponibilidade sistêmica do parque de TI com os mesmos patamares dos últimos 24 meses da Oi incluindo monitoramento, acompanhamento e resolução de incidentes de produção, obsolescências, gestão de ativos e manutenção dos data centers.</t>
  </si>
  <si>
    <t>De acordo com as regras e parâmetros atuais, utilizando os recursos, sistemas, plataformas atuais, a Oi deverá:
- Realizar ajustes sistêmicos para demandas regulatórias (tributárias, fiscais e legais), de acordo com as necessidades das Compradoras.</t>
  </si>
  <si>
    <t>De acordo com as regras e parâmetros atuais, utilizando os recursos, sistemas, plataformas atuais, a Oi deverá:
- Disponibilizar tudo aquilo necessário para endereçar demandas de serviços de outras áreas como Marketing, Vendas, Atendimento, etc.</t>
  </si>
  <si>
    <t>De acordo com as regras e parâmetros atuais, utilizando os recursos, sistemas, plataformas atuais, a Oi deverá:
- Tratar em seus sistemas, ou disponibilizar as informações necessárias para tratar eventuais ações e processos judiciais de clientes com datas anteriores à migração massiva ou voluntária realizada para as bases das Compradoras.</t>
  </si>
  <si>
    <t>- Implementar mecânica para viabilizar o tratamento de chamados de clientes que demandem informações históricas anteriores aos dados
migrados massivamente para as bases das Compradoras.</t>
  </si>
  <si>
    <t>- Oi deverá executar o Cobilling do CSP 31/14 para o(s) CSP(s) das Compradoras, mantendo os sistemas, regras e processos atuais, até
a migração total desses clientes, nos formatos e layout atuais (online e customizadas) para clientes varejo, empresarial e corporativos.</t>
  </si>
  <si>
    <t>- OI deverá criar uma lógica de “whitelist” para controlar os clientes já migrados para as Compradoras. Essa whitelist será populada de forma incremental, de acordo com a efetivação das rodadas de migração.
- Caso um cliente já migrado para as Compradoras ligue nos números de atendimento da Oi, fará a vocalização de mensagem informativa
que o número para o canal de atendimento mudou (definido pelo consórcio) e encerrará a ligação.</t>
  </si>
  <si>
    <t>- Tratar os dados necessários para cálculo da folha de pagamento, calcular a folha de pagamento, pagar os respectivos impostos e demais deduções.
- Quanto a migração das informações dos colaboradores a serem transferidos (FTEs) para a Claro, essa também considera a migração em duas fases - a primeira com os dados dos colaboradores e uma segunda fase para migração dos dados históricos. Dessa forma, a Claro
ficará com todas as informações em compliance com as regulamentações.</t>
  </si>
  <si>
    <t>- Manutenção da base e gestão dos benefícios (plano médico, plano odontológico, seguro de vida, vale transporte, previdência privada, auxílio creche, auxílio medicamentos e tíquete refeição/alimentação garantindo a disponibilidade e qualidade dos mesmos;
- Faturar a utilização total dos benefícios, parcela da coparticipação (ainda não descontada) e utilização total (custo empresa) pós closing</t>
  </si>
  <si>
    <t>- Oi deverá recuperar faturas antigas de terminais móveis, mediante solicitações judiciais, regulatórias ou obrigações tributárias, mantendo os sistemas, regras e processos atuais.</t>
  </si>
  <si>
    <t>-Equipe com profundo conhecimento técnico nos elementos de acesso móvel, que deve trabalhar de forma dedicada e exclusiva durante toda fase de migração, de acordo com as necessidades das Compradoras (incluindo FTEs do perímetro e aqueles fora do perímetro que sejam responsáveis pelo suporte a plataformas compartilhadas com demais empresas do Grupo Oi).</t>
  </si>
  <si>
    <t>- Atendimento do port out através dos canais atuais de atendimento da Oi.
- Receber um relatório das solicitações para que as Compradoras possam fazer ofertas para este cliente.
- Devem ser definidos por contrato os níveis de serviço atuais (manutenção dos SLA’s contratuais vigentes).</t>
  </si>
  <si>
    <t>- Oi deverá manter toda infraestrutura e sistemas de URA para direcionamento dos clientes durante o período de transição.
- Envolve a segmentação, marcação e verbalização de árvore de URA, processos e direcionamentos de chamadas conforme padrões e políticas atuais.</t>
  </si>
  <si>
    <t>- Atendimento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Atendimento e Ilha de antifraude). As Compradoras poderão restringir atuação em algum canal, conforme sua estratégia.
- Devem ser mantidos os níveis de serviço atuais (Manutenção dos SLA vigentes).
- Devem ser validadas com o atendimento as regras e SLAs dos contratos em lojas e call centers bem como o modelo de controle, alçadas e políticas dos mesmos.</t>
  </si>
  <si>
    <t>- Atendimento e realização de troubleshooting para solução de problemas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 Atendimento).
- Em caso de insucesso na identificação e correção da falha, abertura de ticket para tratamento offline por equipe especializada com SLA estabelecido para a correção e também para o prazo de resposta ao cliente.
- Devem ser definidos por contrato os níveis de serviço atuais (Manutenção dos SLA vigentes).
- Devem ser validadas com o atendimento as regras e SLAs dos contratos em lojas e call centers bem como o modelo de controle dos mesmos.</t>
  </si>
  <si>
    <t>- Atendimento e realização de trocas de número de linha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e Franquias Oi Atende).
- Deverá manter todas as obrigações regulatórias e também todas as regras e controles vigentes para evitar fraudes.
- Devem ser definidos por contrato os níveis
- Devem ser definidos por Contrato os níveis de serviço atuais (Manutenção dos SLA vigentes).
- Devem ser validadas com o atendimento as regras e SLAs dos contratos em lojas e call centers bem como o modelo de controle dos mesmos.</t>
  </si>
  <si>
    <t>- Atendimento e realização de trocas e ativações de SIM card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e Franquias Oi Atende).
- Deverá manter todas as obrigações regulatórias e também todas as regras e controles vigentes para evitar fraudes.
- Devem ser definidos por contrato os níveis.
- Devem ser definidos por Contrato os níveis de serviço atuais (Manutenção dos SLA vigentes).
- Devem ser validadas com o atendimento as regras e SLAs dos contratos em lojas e call centers bem como o modelo de controle dos mesmos.
- A política de SIM Card deverá seguir estratégia e definições vigentes da Oi</t>
  </si>
  <si>
    <t>- Atendimento e realização de trocas de titularidade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 Atendimento).
- Deverá manter todas as obrigações regulatórias e também todas as regras e controles vigentes para evitar fraudes.
- Devem ser definidos por contrato os níveis de serviço atuais (Manutenção dos SLA vigentes).</t>
  </si>
  <si>
    <t>- Para clientes ainda ativos deve-se manter o mesmo processo de atendimento e negociação de parcelamento atual da Oi.
- Atendimento através dos canais da Oi que realizam esse serviço atualmente e conforme escopo atual de cada canal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Ecommerce, Atendimento e Cognitivos).
- Garantir por contrato que os canais atuais sejam mantidos durante o período de transição.
- Devem ser definidos por contrato os níveis de serviço atuais (Manutenção dos SLA vigentes).
- Os processos de cobrança de terminais móveis pós-pagos inadimplentes serão realizados pela Oi até a data da migração dos clientes
para as Compradoras, incluindo régua de cobrança, notificações, bloqueios, desbloqueios, termos de quitação, renegociação, descontos e parcelamento de dívidas, de acordo com os processos, canais, contratos, políticas e capacidades tecnológicas atuais.</t>
  </si>
  <si>
    <t>- Atendimento aos pedidos de emissão de 2a via de conta através dos canais da Oi que atualmente realiza esse serviço (Lojas próprias, Franquia Oi Atende, App, Ecommerce, Atendimento, Cognitivos, etc.).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t>
  </si>
  <si>
    <t>- Atendimento aos pedidos de cadastramento de débito automático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Bancos, Ecommerce, App, Atendimento, URA e Cognitivos).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t>
  </si>
  <si>
    <t>- Atendimento aos pedidos de conversão de conta digital (E-billing)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Ecommerce, App, Atendimento, URA e Cognitivos).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t>
  </si>
  <si>
    <t>- Atendimento aos pedidos de alteração de dados cadastrais / método de pagamento / data de vencimento através dos canais da Oi que realizam esse serviço atualmente e conforme escopo atual de cada canal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Ecommerce,  App  e Atendimento).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t>
  </si>
  <si>
    <t>- Atendimento aos pedidos de Emissão de Extrato de Serviços Pré-Pago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Ecommerce, App e Atendimento).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t>
  </si>
  <si>
    <t>- Atendimento aos pedidos de Bloqueio e desbloqueio de linha e aparelhos (perda ou roubo) através dos canais da Oi que realizam esse serviço atualmente e conforme escopo atual de cada canal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 Oi Atende, Ecommerce, Atendimento e URA).
- Manter o procedimento atual de bloqueio / desbloqueio de IMEIS conforme diretrizes da ANATEL até a data de migração dos clientes.
-  Compartilhar, periodicamente, o controle de movimentações de suspensões e bloqueios.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
Obs.: deve-se avaliar a possibilidade técnica de buscar uma solução de desbloqueio que já considere uma migração para base da entidade
compradora.</t>
  </si>
  <si>
    <t>- Atendimento  aos  pedidos de  acessos  a  outros  canais  (senhas  de app  e  portal) através  dos  canais  da  Oi  que  realizam  esse  serviço atualmente (Ecommerce e App).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t>
  </si>
  <si>
    <t>- Atendimento pelos canais exigidos e pré-acordados com as instâncias externas para recepção de contatos e reclamações dos Procons Estaduais e o site Consumidor.gov bem como os canais regulados de resposta com a Anatel e Ouvidoria Anatel.
- Os SLAs também já são os estabelecidos e acordados pelos mesmos.</t>
  </si>
  <si>
    <t>- Atendimento e execução aos pedidos de bloqueio judicial de linhas, de acordo com os processos vigentes nos canais de BackOffice da Oi,  mediante  solicitação  da  operadora  responsável  pelo  terminal,  enquanto  a  adquirente  não  tiver  acesso  à  rede  para  programar  os
bloqueios.</t>
  </si>
  <si>
    <t>Execução de interceptação de chamadas e dados e outros serviços de quebra de sigilo, deverá ser realizada pela Oi, mediante solicitação da operadora responsável pelo terminal, devidamente acompanhada do ofício que a requereu, enquanto a adquirente não tiver acesso à
rede para programar as interceptações</t>
  </si>
  <si>
    <t>- A Oi deverá executar o processo de faturamento de terminais móveis, mantendo os sistemas, regras e processos atuais, até a migração total desses clientes.
- Execução de todos os ciclos de billings (majoritários e minoritários) em todos os sistemas de faturamento existentes no parque de TI.
- Execução dos ciclos de billing para processo de Cobilling junto as operadoras (Entrante e Sainte).
- Resolução dos problemas encontrados durante o processamento.</t>
  </si>
  <si>
    <t>A Oi irá executar o processo de tarifação de chamadas/ eventos/ SVAs/ consumo excedentes de terminais móveis, mantendo os sistemas, regras, processos e produtos e ofertas atuais, até a migração total desses clientes.
- O tráfego do CSP das Compradoras continuará a ser tratado como Cobilling
- Execução dos processos de tarifação em todos os sistemas de tarifação (chamadas, eventos e consumos de dados) realizados pelos clientes do segmento móvel.
-  Contemplar  o  processo  de  tarifação  para  chamadas  de  outras  operadoras  (Entrante  e  Sainte)  e  também  Parcerias/CO  faturamento “doações – SVAs”, garantindo o envio e recepção de chamadas.
- Resolução dos problemas encontrados durante o processamento.</t>
  </si>
  <si>
    <t>- Emissão do termo de quitação referentes aos pagamentos das últimas faturas dos clientes móveis, a exceção de clientes corporativos e atacado onde a emissão será manual e sob demanda do cliente.
- Resolução dos problemas encontrados durante o processamento.
- Todas as pendências de emissão dos termos de quitação anteriores a data do fechamento do contrato deverão ser regularizadas.</t>
  </si>
  <si>
    <t>- A Oi irá executar o processo de validação prévia de faturas de terminais móveis, mantendo os sistemas, regras e processos atuais, até a migração total desses clientes.
- Corrigir e reportar o tratamento adotado em caso de desvios identificados mantendo os sistemas, regras, processos e performance atuais, até a migração total desses clientes.
-Executar as validações de consistência sobre o ciclo de billing executado.
- Execução/geração dos processos de Contestação e Críticas das chamadas de cobilling e/ou Parcerias.</t>
  </si>
  <si>
    <t>- Oi irá disponibilizar as faturas de terminais móveis, mantendo os sistemas, regras e processos atuais, até a migração total desses clientes, nos formatos e layout atuais (online e customizadas) para clientes varejo, empresarial e corporativos.
- Carga dos spools faturados nas ferramentas que disponibilizam online os documentos de faturamento.
- Resolução dos problemas encontrados durante o processamento.
- Eventuais necessidades de alterações deverão ser discutidas em relação à custo e prazo.</t>
  </si>
  <si>
    <t>- Oi irá disponibilizar os spools de faturas de terminais móveis para as print centers atuais da Oi (e remunerar os print centers), mantendo os sistemas, regras e processos atuais, até a migração total desses clientes, nos formatos e layout atuais (online e customizadas) para clientes varejo, empresarial e corporativos.
- Conferência do faturamento gerado e consistências cadastrais.
- Disponibilização dos documentos para as empresas de postagem.</t>
  </si>
  <si>
    <t>- Oi irá disponibilizar os documentos de faturamento de terminais móveis para as empresas de postagem, mantendo os sistemas, regras e processos atuais, até a migração total desses clientes, nos formatos e layout atuais (online e customizadas) para clientes varejo, empresarial
e corporativos.</t>
  </si>
  <si>
    <t>- Execução mensal de certificações da receita de serviços de clientes pós-pagos dos segmentos varejo e empresarial nos processos de aprovisionamento, faturamento e cobrança para garantia de integridade do cliente entre essas etapas.
- Execução mensal de certificações da receita de clientes pré-pago e controle nos processos de contabilização da receita, geração de nota fiscal e controle do saldo da plataforma (recarga - consumo x saldo).
- Identificação, tratamento e report dos problemas encontrados mantendo os patamares de recuperação vigentes.
- Geração dos reports executivos e operacionais mensais de casos e oportunidades de recuperação financeira.</t>
  </si>
  <si>
    <t>- Execução dos processos de arrecadação bancária de acordo com processos, regras e sistemas atuais da Oi.
- Troca de arquivos/informações com as instituições financeiras cadastradas.
- Resolução de problemas encontrados durante o processamento</t>
  </si>
  <si>
    <t>- Execução dos processos de débito automático de acordo com processos, regras e sistemas atuais da Oi.
- Troca de arquivos/informações com as instituições cadastradas.
- Resolução de problemas encontrados durante o processamento</t>
  </si>
  <si>
    <t>- Execução dos processos de fraude técnica de acordo com as regras e modelos atuais da Oi.
- Geração dos reports executivos e operacionais para estancar/reverter as perdas.
- Resolução dos problemas encontrados durante o processamento.</t>
  </si>
  <si>
    <t>- Execução dos processos fiscais para as Compradoras de acordo com a legislação vigente respeitando as respectivas regras e modelos atuais da Oi.
- Geração e envio das obrigações acessórias, apuração e pagamento da obrigação principal, de acordo com os sistemas e procedimentos atuais da Oi.
- Consistência contábil, reports executivos e operacionais atualmente executados pela Oi.
- Resolução dos problemas encontrados, referente ao processo de apuração durante a validação das obrigações acessórias e da obrigação principal.</t>
  </si>
  <si>
    <t>- Execução das cadeias contábeis para as Compradoras de acordo com a legislação vigente respeitando as respectivas regras e modelos atuais da Oi- Carga dos arquivos no SAP da Oi.
- Export dos dados para as Compradoras no formato acordado.
- Envio dos arquivos dos convênios XXX, YYY e ZZZ para o fisco.
- Confirmação de recebimento dos arquivos fiscais pelo Fisco- Resolução dos problemas encontrados durante o processamento.</t>
  </si>
  <si>
    <t>- Execução dos processos atuais da Oi associados à régua de cobrança para que os clientes evoluam dentro dos estágios existentes na régua.
- Resolução dos problemas encontrados durante o processamento.</t>
  </si>
  <si>
    <t>- Execução dos processos atuais de comunicações/notificações da Oi conforme regras Regulatórias pertinentes à régua de cobrança.
- Resolução dos problemas encontrados durante o processamento.</t>
  </si>
  <si>
    <t>A Oi irá executar o processo de mediação de bilhetes de terminais móveis, mantendo os sistemas, regras e processos atuais, até a migração total desses clientes.
- O tráfego dos CSPs das Compradoras continuarão a serem tratados como cobilling.
- Análise de todo tipo de tráfego gerado (SMS, Dados, Voz, Cobilling) na entrada, saída e etapas intermediárias da Mediação.
- Controle de críticas e descartes de bilhetes.
- Resolução dos problemas encontrados durante o processamento da Mediação.
- Recuperação e reprocessamento de bilhetes em casos necessários</t>
  </si>
  <si>
    <t>- Manutenção dos controles SOX, entregues para as Auditorias (relativos a toda cadeia Financeira).
-  Coleta  e  armazenamento  de  evidências  solicitadas  pelas  Auditorias  de  acordo  com  os  processos  SOX  vigentes  na  Oi,  dentro  do estabelecido na matriz sox do grupo Oi.</t>
  </si>
  <si>
    <t>- Oi deverá avaliar solicitações das Compradoras de parametrizações e/ ou projetos nos sistemas de billing quanto a viabilidade técnica, financeira, legal e regulatória.
- As alterações implantadas deverão ser testadas e homologadas pela Oi e terão report para fins de acompanhamento do solicitante.</t>
  </si>
  <si>
    <t>- Viabilizar meios de pagamento para as negociações com os clientes, podendo ser via emissão de boletos consolidados, segundas vias ou depósito bancário.
Obs.: Esses meios de pagamento representam um consolidado da negociação para que o cliente não precise pagar diversas faturas.</t>
  </si>
  <si>
    <t>- Negociação da inadimplência de grandes clientes, incluindo baixas de pagamentos por depósito, negociações, reuniões presenciais no cliente, parcelamentos, etc.
- Elaboração de projeções de recuperação, anuais e mensais, follow-up mensal de status de clientes prioritários, contato com gerentes,
diretores e/ou presidentes para negociação.</t>
  </si>
  <si>
    <t>- Criação de dossiês com toda a documentação necessária e disponível para que o jurídico inicie os ajuizamentos.
- Acompanhamento dos processos judiciais junto ao jurídico.</t>
  </si>
  <si>
    <t>- Geração de mailings conforme regras atuais da Oi para a cobrança das assessorias.
- Geração de relatórios de performance mensal atuais da Oi.</t>
  </si>
  <si>
    <t>- Oi deverá gerar os relatórios gerenciais e analíticos de CAR e PDD com visão por segmento e por cliente de acordo com os prazos,
formatos e capacidade tecnológica atuais.</t>
  </si>
  <si>
    <t>- Oi deverá executar os processos de análise de crédito de acordo com as regras e modelos atuais, mantendo sistemas, políticas e níveis de  serviços  para  as  Compradoras  tratando  os  problemas  identificados  e  gerando  os  reports  executivos  e  operacionais  para acompanhamento do processo de aprovação de crédito.
- A performance dessa operação será acompanhada em reports de aprovação e reports de performance de FPD nas visões e aberturas acompanhadas atualmente pela Oi, caso o processo de venda e aquisição ocorra nos CRM da Oi.
- Este item não se refere a vendas, mas sim as movimentações na planta de clientes, p.ex., upgrades, downgrades, contratação de novas
linhas móveis B2B, etc.</t>
  </si>
  <si>
    <t>Execução de atividades de ajuste e configuração de parâmetros físicos e lógicos de RF, de acordo com as regras e parâmetros atuais, utilizando os recursos, sistemas, plataformas atuais, incluindo mas não limitados a:
- Resintonia de frequências
- Bloqueio/Desbloqueio de PLMN
- Bloqueio/Desbloqueio de sites
- Ativação/Desativação de features
- Alterações físicas como tilt e azimute de sites
- Remanejamento de placas/hardware
- Configuração/Reconfiguração de sites</t>
  </si>
  <si>
    <t>De acordo com as regras e parâmetros atuais, utilizando os recursos, sistemas, plataformas atuais, a Oi deverá:
- Garantir o perfeito funcionamento das ferramentas de otimização (como SON, CEM, etc).</t>
  </si>
  <si>
    <t>De acordo com as regras e parâmetros atuais, utilizando os recursos, sistemas, plataformas atuais, a Oi deverá:
- Monitoramento online, falhas, alarmes.</t>
  </si>
  <si>
    <t>De acordo com as regras e parâmetros atuais, utilizando os recursos, sistemas, plataformas atuais, a Oi deverá:
- Prover suporte com provedores de acesso móvel.</t>
  </si>
  <si>
    <t>De acordo com as regras e parâmetros atuais, utilizando os recursos, sistemas, plataformas atuais, a Oi deverá:
- Prover relatórios e acompanhamento do desempenho de rede offline (Performance Management).</t>
  </si>
  <si>
    <t>De acordo com as regras e parâmetros atuais, utilizando os recursos, sistemas, plataformas atuais, a Oi deverá:
- Prover relatórios e acompanhamento do desempenho de rede offline para a Anatel (PMQ/RQUAL).</t>
  </si>
  <si>
    <t>De acordo com as regras e parâmetros atuais, utilizando os recursos, sistemas, plataformas atuais, a Oi deverá:
- Executar o monitoramento da rede 24x7 garantindo a disponibilidade dos serviços;
- Gerar reports diários relacionados aos incidentes e Bilhetes de defeitos que envolvam os sistemas ora em operação;
- Resolução dos problemas encontrados no monitoramento de forma remota e/ou com auxílio do time de FLM/N2/N3/Vendor;
- Garantir através do Contrato, headcounts (HCs) suficientes para o monitoramento e tratamento de incidentes de rede (primeiro combate) 24x7. Estes HCs devem ser alterados conforme ocorrerem as migrações de equipamentos de rede bem como clientes para a base das Compradoras.
- Garantir escalonamentos de forma a cumprir com os SLAs acordados e garantir celeridade na solução de falhas.
- Registar os incidentes de rede em ferramentas de workflow, de forma que seja possível acompanhar as ocorrências, a identificação e os tratamentos dos eventos de rede, bem como, ter base histórica para consulta futura.</t>
  </si>
  <si>
    <t>De acordo com as regras e parâmetros atuais, utilizando os recursos, sistemas, plataformas atuais, a Oi deverá:
- Através das atividades de monitoramento, gestão de incidentes, gestão de problemas, gestão de mudanças e gestão de continuidade, manter o nível de disponibilidade dos sistemas de rede dentro dos padrões de qualidade.
- Gerar os reports executivos e operacionais semanais associados à disponibilidade/tempo de reparo dos incidentes e causa-raiz.</t>
  </si>
  <si>
    <t>De acordo com as regras e parâmetros atuais, utilizando os recursos, sistemas, plataformas atuais, a Oi deverá:
- Restaurar  o serviço  o mais rápido  possível  e  minimizar  o impacto  negativo sobre as  operações  de  negócios,  garantindo  os  níveis acordados de qualidade dos serviços.
- Monitorar, identificar, registrar e comunicar incidentes.
- Solucionar e fechar o incidente.</t>
  </si>
  <si>
    <t>De acordo com as regras e parâmetros atuais, utilizando os recursos, sistemas, plataformas atuais, a Oi deverá:
- Executar atividades preventivas e corretivas, respeitando os acordos pré-definidos de Mudança, a ser alinhado entre as empresas.
- Registrar, Agendar e Planejar Mudança
-  Validar Planejamento da Mudança
- Autorizar Implantação da Mudança
- Implantar Mudança
- Realizar Revisão Pós Mudança
- Gerenciar Mudança Emergencial</t>
  </si>
  <si>
    <t>De acordo com as regras e parâmetros atuais, utilizando os recursos, sistemas, plataformas atuais, a Oi deverá:
- Executar manutenção preventiva e corretiva de infraestrutura (Energia AC/DC e Climatização) e eletrônica de RF tanto no solo quanto na torre.</t>
  </si>
  <si>
    <t>De acordo com as regras e parâmetros atuais, utilizando os recursos, sistemas, plataformas atuais, a Oi deverá:
- Gerir armazenagem, controle de estoque e aquisições, logística de transporte e reparo de hardware para os segmentos de Transmissão, RF e Infraestrutura.</t>
  </si>
  <si>
    <t>- Operacionalizar a recomposição de itens furtados/vandalizados (cabos, gabinetes, hardware, etc.) garantindo a continuidade na prestação do serviço.
-  Caso  não  exista  disponibilidade  de  sobressalentes  em  estoque,  custos  e  prazo  de  recomposição  devem  ser  acordados  com  as
Compradoras.</t>
  </si>
  <si>
    <t>De acordo com as regras e parâmetros atuais, utilizando os recursos, sistemas, plataformas atuais, a Oi deverá:
- Operar e realizar manutenção corretiva para a Rede de Acesso Móvel em eventos especiais;
- Suportar, direcionar e orientar as equipes de manutenção de campo (FLM) nas situações de manutenção corretiva e preventiva;
-  Apoiar  as  equipes  de  Supervisão  de  Rede,  analisando  falhas  críticas  ou  complexas,  verificando  possíveis  correlações  com  outras ocorrências;
- Avaliar as topologias existentes, analisando possíveis melhorias com foco na melhoria da performance da Rede de Acesso Móvel;
- Mapear e identificar possíveis problemas de Rede que necessitem de ampliações de conexões, evitando limitações ou lentidão nos serviços prestados;
- Realizar serviço de Suporte N3 relacionado aos elementos da Rede de Acesso Móvel (ERB), BSC, RNC em âmbito Nacional em regime 24x7;
- Gerar reports diários relacionados aos problemas e indicadores de serviço que envolvam os elementos da Rede de Acesso Móvel;
- Garantir (através do Contrato) HC suficientes para a Operação e Manutenção da Rede de Acesso Móvel em regime 24x7. Estes HCs devem ser alterados conforme ocorrerem as migrações das ERB, bem como clientes para a base das Compradoras.
- Analisar, controlar, liberar e negociar as atividades programadas (GMUD) nos elementos concentradores da Rede de Acesso Móvel, de acordo com as afetações envolvidas, junto às áreas fornecedoras (interna e externas);
- Acompanhar e validar a atualização de correção de produto (software) e aplicação de updates e correções nos elementos concentradores da Rede de Acesso Móvel;
- Gerenciar os contratos da área (suporte e recursos), bem como qualificar, mensurar e avaliar os serviços fornecidos;
- Acompanhar a validação em laboratório das soluções de falhas a serem implementadas nos elementos da Rede de Acesso Móvel em produção;
- Realizar a tratativas e gestão fim a fim para os eventos com impacto de serviço ao cliente, e também a cobrança de prazo as áreas responsáveis;
- Realizar anualmente testes de contingência, a fim de garantir a integridade da rede, e proteção de serviço;
- Garantir triagem e diagnóstico assertivo, buscar sempre que possível a solução remota, sempre realizar a retenção de eventos quando uma causa raiz já estiver em tratativas pelas equipes de campo; e
- Acompanhar os casos reincidentes, e garantir que sejam tratados com solução em definitivo na primeira tratativa.</t>
  </si>
  <si>
    <t>De acordo com as regras e parâmetros atuais, utilizando os recursos, sistemas, plataformas atuais, a Oi deverá:
- Direcionar para as mesas de retenção;
- Executar todas as atividades para disponibilizar e efetivar os port ins e port outs; e
- Resolver os problemas encontrados durante o processamento.</t>
  </si>
  <si>
    <t>De acordo com as regras e parâmetros atuais, utilizando os recursos, sistemas, plataformas atuais, a Oi deverá:
- Executar todas as atividades para tratamento e execução dos acordos de roaming existentes (nacional e internacional);
- Manter a disponibilidade dos sistemas que suportam as atividades de roaming; e
- Resolver os problemas encontrados durante o processamento.</t>
  </si>
  <si>
    <t>De acordo com as regras e parâmetros atuais, utilizando os recursos, sistemas, plataformas atuais, a Oi deverá:
- Disponibilizar tudo aquilo necessário para que as Compradoras possam remotamente ter acesso a todos os indicadores e sistemas da Oi.</t>
  </si>
  <si>
    <t>De acordo com as regras e parâmetros atuais, utilizando os recursos, sistemas, plataformas atuais, a Oi deverá:
- Manter  o  acesso  e  sistemas  que  permitam  funcionamento  da  solução  para  aprovisionamento  remoto  dos  elementos  envolvidos  na migração de usuários da Oi para as Compradoras.</t>
  </si>
  <si>
    <t>NOC - Disponibilidade da Rede</t>
  </si>
  <si>
    <t>Anotações</t>
  </si>
  <si>
    <t>Descrição TSA</t>
  </si>
  <si>
    <t>1.   Customer data and offer management</t>
  </si>
  <si>
    <t>R$ 20.000.000,00 (com base em custo fixo)</t>
  </si>
  <si>
    <t>R$ 124.000.000,00 (com base em número de clientes    não   migrados   para   a   base   da Contratante)</t>
  </si>
  <si>
    <t>R$ 135.000.000,00 (com base em número de sites)</t>
  </si>
  <si>
    <t>R$  67.000.000,00  (com  base  em  número  de clientes    não   migrados   para   a   base   da Contratante)</t>
  </si>
  <si>
    <t>R$ 69.000.000,00 (com base em custo fixo)</t>
  </si>
  <si>
    <t>R$  5.000.000,00  (com  base  em  número  de FTEs)</t>
  </si>
  <si>
    <r>
      <t>R$ 166.000.000,00</t>
    </r>
    <r>
      <rPr>
        <vertAlign val="superscript"/>
        <sz val="11"/>
        <color theme="1"/>
        <rFont val="Simplon BP Regular"/>
      </rPr>
      <t>5</t>
    </r>
    <r>
      <rPr>
        <sz val="11"/>
        <color theme="1"/>
        <rFont val="Simplon BP Regular"/>
      </rPr>
      <t xml:space="preserve"> (com base em número de clientes pós-pago não migrados para a base da Contratante)</t>
    </r>
  </si>
  <si>
    <t>Anexo B</t>
  </si>
  <si>
    <t>Topicos</t>
  </si>
  <si>
    <t>Retirar</t>
  </si>
  <si>
    <t>Cernários</t>
  </si>
  <si>
    <t>Compradora possui STFC e deseja transferir através de uma portabilidade dos assinantes</t>
  </si>
  <si>
    <t>Compradora não possui STFC, mas deseja adquirir a ClientCo prestando também o STFC (necessita de outorga)</t>
  </si>
  <si>
    <t>Compradora não deseja STFC e a Oi continuará prestando o serviço.</t>
  </si>
  <si>
    <t>A Oi se compromete a avaliar atendimento à novas demandas legais, fiscais e regulatórias, efetuadas posteriormente à assinatura do Contrato, avaliando viabilidade técnica, riscos, prazos legais/regulatórios e custo incremental.</t>
  </si>
  <si>
    <t>Ajustes sistêmicos para Regulatório</t>
  </si>
  <si>
    <t>Situações</t>
  </si>
  <si>
    <t>SOBRE O STFC</t>
  </si>
  <si>
    <t>Anexo A (MobileCo)</t>
  </si>
  <si>
    <t>Custo MobileCo</t>
  </si>
  <si>
    <t>Custo ClientCo</t>
  </si>
  <si>
    <t>Comentários</t>
  </si>
  <si>
    <t>2.   Customer care</t>
  </si>
  <si>
    <t>3.   Bill-to-cash</t>
  </si>
  <si>
    <t>4.   Access Network (O&amp;M)</t>
  </si>
  <si>
    <t>5.   Core Network (O&amp;M)</t>
  </si>
  <si>
    <t>6.   Application and data management</t>
  </si>
  <si>
    <t>7.   Admin personnel</t>
  </si>
  <si>
    <r>
      <t xml:space="preserve">Pessoas/ cargos:
Contratos:
Sistemas internos:
</t>
    </r>
    <r>
      <rPr>
        <b/>
        <sz val="11"/>
        <color theme="1"/>
        <rFont val="Simplon BP Regular"/>
      </rPr>
      <t>TOTAL (R$):</t>
    </r>
  </si>
  <si>
    <t>Jur. Tributário</t>
  </si>
  <si>
    <t>Em atualização</t>
  </si>
  <si>
    <t>-</t>
  </si>
  <si>
    <t>CONTRATADA</t>
  </si>
  <si>
    <t>90 dias</t>
  </si>
  <si>
    <t>ACCENTURE DO BRASIL LTDA</t>
  </si>
  <si>
    <t>67.313.221/0001-90</t>
  </si>
  <si>
    <t>PENDENTE</t>
  </si>
  <si>
    <t>COMPARTILHADO</t>
  </si>
  <si>
    <t>23.741.593/0001-42</t>
  </si>
  <si>
    <t>90 DIAS</t>
  </si>
  <si>
    <t>Monitoria da qualidade - Clientes ativos e clientes que já deixaram a base.</t>
  </si>
  <si>
    <t>MYRA</t>
  </si>
  <si>
    <t>30 dias após notificação</t>
  </si>
  <si>
    <t>Não se aplica</t>
  </si>
  <si>
    <t>Bruno De Sousa Oliveira</t>
  </si>
  <si>
    <t>CICLO DA RECEITA - COBRANÇA</t>
  </si>
  <si>
    <t>COBRANÇA - Monitoria da qualidade</t>
  </si>
  <si>
    <t>APOIO A ADIMPLÊNCIA</t>
  </si>
  <si>
    <t>SERVICES</t>
  </si>
  <si>
    <t>00.584.567/0001-52</t>
  </si>
  <si>
    <t>Recuperação de dívidas, atendimento humano receptivo - Clientes ativos e clientes que já deixaram a base.</t>
  </si>
  <si>
    <t>60 dias após notificação</t>
  </si>
  <si>
    <t>COBRANÇA - Recuperação de dívidas, atendimento humano receptivo</t>
  </si>
  <si>
    <t>CONTAX -BO´s Cobrança</t>
  </si>
  <si>
    <t>COBRANÇA - Apoio nos processos de envio de 2ª via de TV e MIS de apoio nos processos de cobrança</t>
  </si>
  <si>
    <t>Recuperação de dívidas - Bureau - Clientes ativos e clientes que já deixaram a base.</t>
  </si>
  <si>
    <t>LIMPA NOME</t>
  </si>
  <si>
    <t>62.173.620/0001-80</t>
  </si>
  <si>
    <t>COBRANÇA - Recuperação de dívidas - Bureau</t>
  </si>
  <si>
    <t>Recuperação de dívidas - Escob - Clientes ativos e clientes que já deixram a base.</t>
  </si>
  <si>
    <t>COBRANÇA - Recuperação de dívidas - Escob</t>
  </si>
  <si>
    <t>LIQ</t>
  </si>
  <si>
    <t>4600053344</t>
  </si>
  <si>
    <t>INOVE</t>
  </si>
  <si>
    <t>08.602.321/0001-78</t>
  </si>
  <si>
    <t>188027</t>
  </si>
  <si>
    <t>4600045816</t>
  </si>
  <si>
    <t>EASYCOB</t>
  </si>
  <si>
    <t>01.575.693/0001-03</t>
  </si>
  <si>
    <t>NA</t>
  </si>
  <si>
    <t>ALTEVO VOLOTAO</t>
  </si>
  <si>
    <t>TRÁFEGO</t>
  </si>
  <si>
    <t>Custo com operação bpo</t>
  </si>
  <si>
    <t>BPO</t>
  </si>
  <si>
    <t>E-SALES SOLUCOES DE INTEGRACAO LTDA</t>
  </si>
  <si>
    <t>FATURAMENTO</t>
  </si>
  <si>
    <t>SERVICES TECH EXPERIENCE INOVACAO E</t>
  </si>
  <si>
    <t>MÔNICA PAETZOLDT</t>
  </si>
  <si>
    <t>LOG &amp; PRINT GRAFICA, DADOS VARIAVEI</t>
  </si>
  <si>
    <t>Impressão de faturas de clientes OI</t>
  </si>
  <si>
    <t>VALID SOLUCOES E SERVICOS DE SEGURA</t>
  </si>
  <si>
    <t>FAST PRINT &amp; SYSTEM LTDA</t>
  </si>
  <si>
    <t xml:space="preserve">MÔNICA PAETZOLDT </t>
  </si>
  <si>
    <t>EMPRESA BRASILEIRA DE CORREIOS E TE</t>
  </si>
  <si>
    <t>Custo com envio (postagem) das faturas dos clientes da Oi</t>
  </si>
  <si>
    <t>NOME FORNECEDOR</t>
  </si>
  <si>
    <t>OBSERVAÇÕES</t>
  </si>
  <si>
    <t>CNPJ</t>
  </si>
  <si>
    <t>CÓDIGO FORNECEDOR</t>
  </si>
  <si>
    <t>PRAZO RESCISÃO</t>
  </si>
  <si>
    <t>CUSTO DA RESCISÃO</t>
  </si>
  <si>
    <t>TERMINO DO CONTRATO</t>
  </si>
  <si>
    <t>GESTOR CONTRATO</t>
  </si>
  <si>
    <t>ÁREA GESTORA CONTRATO</t>
  </si>
  <si>
    <t>Nº CONTRATO</t>
  </si>
  <si>
    <t xml:space="preserve">TIPO DE DESPESA </t>
  </si>
  <si>
    <t>DESCRIÇÃO DESPESA</t>
  </si>
  <si>
    <t>PACOTE</t>
  </si>
  <si>
    <t>CUSTO DO CONTRATO DA TV EM R$ (ORÇAMENTO 2024)</t>
  </si>
  <si>
    <t>INFORMATICA</t>
  </si>
  <si>
    <t>M2B SERVIÇOS INTELIGENTES DE TELECOM LTDA</t>
  </si>
  <si>
    <t>Classif. DROP ou TSA</t>
  </si>
  <si>
    <t>CUSTOS SERVIÇOS/PRODUTOS CLIENTCO (12 MESES)</t>
  </si>
  <si>
    <t>CONTRATO EXCLUSIVO CLIENTCO OU COMPARTILHADO?</t>
  </si>
  <si>
    <t>MACRO TEMA</t>
  </si>
  <si>
    <t>SERVIÇOS</t>
  </si>
  <si>
    <t>VALIDAÇÃO ÁREA (OK/NOK)</t>
  </si>
  <si>
    <t>Governança preenche</t>
  </si>
  <si>
    <t>Área Negócio preenche</t>
  </si>
  <si>
    <t>Não mexer</t>
  </si>
  <si>
    <t>Texto Anexo A (ClientCo)</t>
  </si>
  <si>
    <t>Áreas impactadas</t>
  </si>
  <si>
    <t>Tráfego/Marcus Vinícius</t>
  </si>
  <si>
    <t>Atendimento verejo e emp</t>
  </si>
  <si>
    <t>RA/ Varme</t>
  </si>
  <si>
    <t>Arrecadação/Cobrança/Daniel Cattete</t>
  </si>
  <si>
    <t>Atendimento/Giane Carla</t>
  </si>
  <si>
    <t>Faturamento/Iara</t>
  </si>
  <si>
    <t>EXCLUIR ESTE ITEM</t>
  </si>
  <si>
    <t>Jur Consumidor/Fabrício</t>
  </si>
  <si>
    <t>Crédito</t>
  </si>
  <si>
    <t>Bruno Simões</t>
  </si>
  <si>
    <t>Varejo e Empresarial; Faturamento</t>
  </si>
  <si>
    <t xml:space="preserve">O ponto focal do RH para auxiliar as áreas a mensurar os custos dos profissionais envolvidos no TSA será o Carlos Eduardo da Rocha </t>
  </si>
  <si>
    <t>Contas a receber/ Cobrança/ Atendimento</t>
  </si>
  <si>
    <t>URA / Atendimento/ Joice/ Minha Oi/ Oi_e</t>
  </si>
  <si>
    <t>Vendas (Varejo e Empresarial)</t>
  </si>
  <si>
    <t>E-commerce</t>
  </si>
  <si>
    <t>Luiz Marcelo</t>
  </si>
  <si>
    <t>URA / Atendimento/ Joice/ Minha Oi/ Oi_e/ E-commerce</t>
  </si>
  <si>
    <t>Arrecadação</t>
  </si>
  <si>
    <t>Bloqueio e desbloqueio do serviço de forma temporária</t>
  </si>
  <si>
    <t>Jur Consumidor/ Ouvidoria/ Anatel</t>
  </si>
  <si>
    <t>Solicitação de bloqueio Judicial ​de ações criminais</t>
  </si>
  <si>
    <t>VTAL</t>
  </si>
  <si>
    <t>Operação Rafael Amorim</t>
  </si>
  <si>
    <t>Bloqueio Judicial/ Anatel</t>
  </si>
  <si>
    <t>anderson.rocha@oi.net.br</t>
  </si>
  <si>
    <t>Anderson Nilson Rocha</t>
  </si>
  <si>
    <t>Riscos/ Controles (SOX)</t>
  </si>
  <si>
    <t>Thiago Frambach Mungard</t>
  </si>
  <si>
    <t>thiago.mungard@oi.net.br</t>
  </si>
  <si>
    <t>Rafael Freitas de Amorim</t>
  </si>
  <si>
    <t>João Arlindo Brito Junior</t>
  </si>
  <si>
    <t>joão.brito@oi.net.br</t>
  </si>
  <si>
    <t>Fabrício Ladislau</t>
  </si>
  <si>
    <t>Altevo Carlos de Sá Volotão</t>
  </si>
  <si>
    <t>bruno.simoes@oi.net.br</t>
  </si>
  <si>
    <t>Emanuelle Rocha</t>
  </si>
  <si>
    <t>Fernando Vairolatti</t>
  </si>
  <si>
    <t>luiz.sencier@oi.net.br</t>
  </si>
  <si>
    <t>Carlos Eduardo Da Rocha</t>
  </si>
  <si>
    <t>Total Geral</t>
  </si>
  <si>
    <t>Tributos diretos/ Tributos indiretos/ Fiscal</t>
  </si>
  <si>
    <t>Extração base histórica</t>
  </si>
  <si>
    <t>Sistemas TI// Diversos</t>
  </si>
  <si>
    <t>Durante a reunião, o time sinalizou que devemos excluir o item porque o mesmo não faz parte do perímetro da ClientCo ou é exclusivo do Corporativo.</t>
  </si>
  <si>
    <t>Durante a reunião, o time sinalizou que devemos excluir o item porque o mesmo não faz parte do perímetro da ClientCo.</t>
  </si>
  <si>
    <t>Texto ajustado para bloqueio temporário</t>
  </si>
  <si>
    <r>
      <rPr>
        <u/>
        <sz val="8"/>
        <color theme="1" tint="0.14999847407452621"/>
        <rFont val="Simplon BP Regular"/>
      </rPr>
      <t>No processo de migração dos clientes, os dados serão migrados conforme tabela abaixo:</t>
    </r>
    <r>
      <rPr>
        <sz val="8"/>
        <color theme="1" tint="0.14999847407452621"/>
        <rFont val="Simplon BP Regular"/>
      </rPr>
      <t xml:space="preserve">
 &gt;&gt;&gt; Foto incluída na coluna N) &lt;&lt;&lt;
</t>
    </r>
    <r>
      <rPr>
        <u/>
        <sz val="8"/>
        <color theme="1" tint="0.14999847407452621"/>
        <rFont val="Simplon BP Regular"/>
      </rPr>
      <t>Comentários realizados na época do TSA para o tópico:</t>
    </r>
    <r>
      <rPr>
        <sz val="8"/>
        <color theme="1" tint="0.14999847407452621"/>
        <rFont val="Simplon BP Regular"/>
      </rPr>
      <t xml:space="preserve">
Os dados mencionados na coluna “Dados não migrados para Vivo e TIM e Claro” não serão migrados e devem ser mantidos pela Oi de acordo com  o período regulatório de cada tipo de dado. Caso seja necessário à consulta e/ou recuperação desse dado por parte das Compradoras, os mesmos serão requisitados para Oi que deverá disponibilizá-los de acordo com um formato de solicitação (ex: abertura de ticket), formato de entrega (ex: export em arquivo CSV) e SLA pré-acordados entre as partes.
No  caso  específico  da  Claro,  entende-se  essa  migração  acima  como  uma  fase  1  na  migração  de  dados  dos  clientes,  existindo posteriormente uma fase 2 , num período a ser confirmado e combinado, na qual a totalidade dos históricos dos clientes (“porção Claro”) seriam migrados para a Claro. Dessa forma, a Claro ficará com todas as informações em compliance com as regulamentações.</t>
    </r>
  </si>
  <si>
    <t>Governança vai ver com TI (Patricia Almeida e Vivian)</t>
  </si>
  <si>
    <t>Levar para Bill to cash? Faturamento vai avaliar.</t>
  </si>
  <si>
    <t>Relatórios e acompanhamento do desempenho de rede para Anatel - RQUAL​</t>
  </si>
  <si>
    <t>De acordo com as regras e parâmetros atuais, utilizando os recursos, sistemas, plataformas atuais, a Oi deverá:
- Prover relatórios e acompanhamento do desempenho de rede offline para a Anatel (RQUAL).</t>
  </si>
  <si>
    <t>Tópico ajustado porque PMQ não faz parte do perímetro da ClientCo.</t>
  </si>
  <si>
    <t>ok</t>
  </si>
  <si>
    <t>Execução das cadeias contábeis para as Compradoras de acordo com a legislação vigente respeitando as respectivas regras e modelos atuais da Oi- Carga dos arquivos no SAP da Oi, dos seguintes macro processos: 
 1- Receita, Descontos, ICMS e ISS, conforme ciclo dos Sistemas de Faturamento.
 2- Arrecadação, Parcelamento de Fatura, Cancelamento e Contestação, conforme movimentos dos Sistema de Faturamento e Arrecadação.
 3- Provisão p/ Créditos de Liquidação e Perdas, conforme movimentos dos Sistemas de Arrecadação.
Export dos dados para as Compradoras no formato acordado.</t>
  </si>
  <si>
    <t>Oi deverá gerar os relatórios contábeis de CAR analítico por Unidade de Negócio, por Cliente e por Fatura, de acordo com os prazos.
Oi deverá gerar os relatórios de PDD/PERDAS sintético por Unidade de Negócio, de acordo com os prazos.
Oi deverá gerar o relatório de PDD Parcelamento analítico por Unidade de Negócio, por Cliente e por Fatura, de acordo com os prazos.</t>
  </si>
  <si>
    <t>Bill-to-cash</t>
  </si>
  <si>
    <t>SERVIÇOS ESPECIALIZADOS</t>
  </si>
  <si>
    <t>41301360 - ALOCAÇÃO E REGISTRO DAS DESPESAS DO CONTRATO BPO</t>
  </si>
  <si>
    <t xml:space="preserve">CONTABILIDADE </t>
  </si>
  <si>
    <t>FRANCISCO HAICK</t>
  </si>
  <si>
    <t>Considerando Visão MARS, com atualização de 20% e 5 UPI's</t>
  </si>
  <si>
    <t>- Oi deverá recuperar faturas antigas dos clientes da ClienteCo, mediante solicitações judiciais, regulatórias ou obrigações tributárias, mantendo os sistemas, regras e processos atuais.</t>
  </si>
  <si>
    <t>Jurídico Consumidor/ Regulatório/ Tributário</t>
  </si>
  <si>
    <t>Jurídico  C Estrategico/ Juliana Bitencourt</t>
  </si>
  <si>
    <t>OFERTAS</t>
  </si>
  <si>
    <t>MIGRADOR DE OFERTAS - TI  INFRA (Sustentação para Robotics Siebel 6.3)</t>
  </si>
  <si>
    <t xml:space="preserve">
4600053006</t>
  </si>
  <si>
    <t>TI</t>
  </si>
  <si>
    <t>DANIEL NASSUR</t>
  </si>
  <si>
    <t>210 dias</t>
  </si>
  <si>
    <t>Custo mensal de 72k. Contrato gerido por TI  para infra e operação do Robotics</t>
  </si>
  <si>
    <t>SENA - SIMULADOR DE OFERTAS DE COBRANÇA</t>
  </si>
  <si>
    <t>EXCLUSIVO</t>
  </si>
  <si>
    <t>VAREJO E EMPRESARIAL</t>
  </si>
  <si>
    <t>FELICIA ROSETTI</t>
  </si>
  <si>
    <t> 10% do valor do contrato nos casos de inadimplemento contratual</t>
  </si>
  <si>
    <t> 15 dias</t>
  </si>
  <si>
    <t xml:space="preserve">OFERTAS </t>
  </si>
  <si>
    <t>RENTABILIZAÇÃO - 2 ANALISTA 3 E 1 ANALISTA 1</t>
  </si>
  <si>
    <t>RETENÇÃO - 2 ESPECIALISTAS, 1 ANALISTA 3</t>
  </si>
  <si>
    <t xml:space="preserve">Laboratório Analytics: Capacidade para atender as alavancas de SAC/Retenção do NBA e análises fora NBA para suporte as mesas ( Legado / Nova Fibra) e – 4,30 FTE’s
Demandas de Negócio: Capacidade para configuração de ofertas no NBA e Oi 360. - 1,00 FTE’s
</t>
  </si>
  <si>
    <t>RAFAEL ALMEIDA</t>
  </si>
  <si>
    <t>96.534.094/0002-39</t>
  </si>
  <si>
    <t>5 FTE´S: CONTRATO EXPIRA EM SETEMBRO/2024 E ATIVIDADE SERÁ INTERNALIZADA PELA OI</t>
  </si>
  <si>
    <t>INTERNALIZAÇÃO 5 RESURSOS  NBA- 3 ESPECIALISTAS, 2 ANALISTAS 3</t>
  </si>
  <si>
    <t>CONFIGURAÇÃO DE OFERTAS: 2 ESPECIALISTAS  E 1 ANALISTA 3</t>
  </si>
  <si>
    <t>PRODUTO</t>
  </si>
  <si>
    <t>SVA´S PLANILHA DE CONTRATOS EM ANEXO</t>
  </si>
  <si>
    <t>OTTs PLANILHA DE CONTRATOS EM ANEXO</t>
  </si>
  <si>
    <t>Integrador  SVA e OTTs (Akross)</t>
  </si>
  <si>
    <t>REAJUSTE</t>
  </si>
  <si>
    <t>JURISDICTION</t>
  </si>
  <si>
    <t>Pagamento via contrato de TI (Arbor) para execução.
Custo pontual sob demanda para cada ação de reajuste</t>
  </si>
  <si>
    <t>REAJUSTE DE OFERTAS/PORTFÓLIO - 2 ESPECIALISTAS</t>
  </si>
  <si>
    <t>MIGRADOR DE OFERTAS - 2 ESPECIALISTAS</t>
  </si>
  <si>
    <t>Felícia</t>
  </si>
  <si>
    <t>Dani Greco</t>
  </si>
  <si>
    <t>Tributos Indiretos/ Tribustos Diretos</t>
  </si>
  <si>
    <t>Seguindo as mesmas definições tributárias utilizadas para o TSA do MARS, tais como: utilização dos sistemas fiscais comply, ERP SAP; sem migração do saldo acumulado do CIAP; os mesmos relatórios fiscais para fins de informações gerenciais e analíticas, mesmas obrigações principais e acessórias entregues atualmente pela BTSA.</t>
  </si>
  <si>
    <t>A Oi se compromete a, sob demanda, compartilhar informações já disponíveis ou fornecer detalhamento de viabilidade técnica, prazo e custo incremental de novos desenvolvimentos, para apoio à tomada de decisões referentes aos processos determinados pelo Contrato durante o prazo de vigência do TSA, levando em consideração SLA, meio, formato e tecnologia a serem definidos entre as partes, respeitando as capacidades tecnológicas e regulações vigentes.</t>
  </si>
  <si>
    <t>Bruno Palombo: refinamento de escopo detalhando cenário de solicitação de novos desenvolvimentos com custo incremental</t>
  </si>
  <si>
    <t>De acordo com as regras e parâmetros atuais, utilizando os recursos, sistemas, plataformas atuais, a Oi deverá:
- Manter e divulgar os kpis de gestão atualmente utilizados dentro dos prazos atualmente utilizados.
- Manter em execução procedimentos recorrentes de carga e processamento de informações do negócio
- Manter em execução procedimentos de gestão de campanhas e geração de mailings de aquisição, retenção, rentabilização e relacionamento</t>
  </si>
  <si>
    <t>Bruno Palombo: refinamento de escopo detalhamento manutenção de processos de Data Analytics associados à ClientCO além da gestão de KPIs</t>
  </si>
  <si>
    <t>DATA ANALYTICS</t>
  </si>
  <si>
    <t>FTE Oi  atendimento à solicitações e consultoria informacional</t>
  </si>
  <si>
    <t>Custo 50% time atual  * 2.2</t>
  </si>
  <si>
    <t>Squad BI Prestado ClientCO (6 FTEs desenvolvimento)</t>
  </si>
  <si>
    <t>ULISSES FONSECA ALVES</t>
  </si>
  <si>
    <t>Custo por FTE médio contratos ativos de Serviços DA</t>
  </si>
  <si>
    <t>Estações de trabalho</t>
  </si>
  <si>
    <t>FTE Oi  gestão de campanhas e geração de mailings</t>
  </si>
  <si>
    <t>Serviço Apoio Vendas Consultoria Mailing</t>
  </si>
  <si>
    <t>RTD Nova Fibra - SAS ID</t>
  </si>
  <si>
    <t>RTD Nova Fibra - Azure</t>
  </si>
  <si>
    <t>Rótulos de Linha</t>
  </si>
  <si>
    <t>Marcelo Gomes: o tópico foi alinhado com as áreas impacatdas, o ponto abaixo é apenas um detalhamento do que foi alinhado com as áreas impactadas.
Deve ser avaliado pelos times de Tributos Diretos (Paulo Vidal) e Tributos Indiretos (Érika Braga):  
 Envio dos arquivos dos convênios XXX, YYY e ZZZ para o fisco.
Confirmação de recebimento dos arquivos fiscais pelo Fisco- Resolução dos problemas encontrados durante o processamento.
Obs. O cálculo do PIS, COFINS, FUST e FUNTTEL é realizado pelo time de Tributos Diretos após a liberação/validação pela Contabilidade Operacional, conforme cronograma de fechamento.</t>
  </si>
  <si>
    <t>TSA</t>
  </si>
  <si>
    <t>Obrigação Fiscal  (entrada NF/input SAP/retenções de impostos) - OPERAÇÃO BPO</t>
  </si>
  <si>
    <t>Escrituração de notas fiscais de entrada no SAP emitidas para ClientCo's, retenções de impostos e análises de inconsistências (Operação BPO)</t>
  </si>
  <si>
    <t>OPEX</t>
  </si>
  <si>
    <t>4600052922 item 610</t>
  </si>
  <si>
    <t>Tribuitos/Posto Fiscal</t>
  </si>
  <si>
    <t>31.12.2026</t>
  </si>
  <si>
    <t>96534094000239'</t>
  </si>
  <si>
    <t>CONTRATO POR SERVIÇO/ VOLUME.
O custo de cada Clientco deve ocorrer conforme realização dos volumes. LPU atual R$ 5,64.
Premissa: entradas no GED de NF em 2023 com filtro de aceites em áreas de serviços/equipamentos para fibra. Volume estimado em 4817 NF mês</t>
  </si>
  <si>
    <t>Criação de tequisições de compras e pedidos(célula adm) - OPERAÇÃO BPO</t>
  </si>
  <si>
    <t>Criação das requisições/pedidos de compras para ClientCo's, conforme contrato de fornecedores ou spot, demandado pelas áreas internas gestoras do serviço/equipamentos (Operação BPO)</t>
  </si>
  <si>
    <t>CONTRATO POR SERVIÇO/ VOLUME.
O custo de cada Clientco deve ocorrer conforme realização dos volumes. LPU atual R$ 10,13
Premissa: solicitações sharepoint com filtro de solicitantes em áreas de serviços/equipamentos para fibra. Volume estimado em 300 itens de solicitações mês</t>
  </si>
  <si>
    <t>Criação e Manutenção dos cadastros de Fornecedores, Clientes, códigos de materiais e serviços</t>
  </si>
  <si>
    <t xml:space="preserve">Criação ou manutenção dos cadastro de Fornecedores, clientes, serviços e materiais, parametrizações e adeuqações para as ClientCo's, atendimentos atraves do CDD e SAP, acompanhamento das aprovações com as áreas envolvidas no fluxo, </t>
  </si>
  <si>
    <t>CONTRATO POR SERVIÇO/ VOLUME.
O custo FIXO + VARIÁVEL. Despesa de rateiro caberá apenas para as Clientco's que tiverem demanda. Calculado  o custo fixo para o periodo do TSA</t>
  </si>
  <si>
    <t>Portal de Notas (Sistema de acesso de fornecedores, gestores de aceite e usuários do Posto Fiscal)</t>
  </si>
  <si>
    <t>GED 360/ BRNOTAS</t>
  </si>
  <si>
    <t>Aplicação para cadastro das notas de fornecedores, controle dos documentos fiscais e fluxos definidos para os responsáveis. Relatórios de faturamento dos fornecedores, pendências, SLA, acionamentos.</t>
  </si>
  <si>
    <t>31.10.2024</t>
  </si>
  <si>
    <t>62173620013168'</t>
  </si>
  <si>
    <t>SERASA SA</t>
  </si>
  <si>
    <t xml:space="preserve">CONTRATO POR SERVIÇO/ VOLUME.
O custo ocorrer conforme realização dos volumes. LPU atual R$ 2,40.
Contrato sendo aditivado, venceu em dez23, renovação prevista por mais 36 meses.
</t>
  </si>
  <si>
    <t>Status Anexo A</t>
  </si>
  <si>
    <t>Access Network (O&amp;M</t>
  </si>
  <si>
    <t>Controle de Ativo Imobilizado e Intangível</t>
  </si>
  <si>
    <t>Controle de Despesas e Obrigações Contábeis</t>
  </si>
  <si>
    <t xml:space="preserve">CUSTO TOTAL DO CONTRATO 12 EM R$ </t>
  </si>
  <si>
    <t>Verificar impacto VTAL</t>
  </si>
  <si>
    <t>CONCLUÍDO</t>
  </si>
  <si>
    <t>Aurelio</t>
  </si>
  <si>
    <t xml:space="preserve">R$      738.861 </t>
  </si>
  <si>
    <t xml:space="preserve">R$         40.440 </t>
  </si>
  <si>
    <t xml:space="preserve">R$      933.524 </t>
  </si>
  <si>
    <t xml:space="preserve"> R$         54.998 </t>
  </si>
  <si>
    <t xml:space="preserve">R$         90.269 </t>
  </si>
  <si>
    <t xml:space="preserve">R$      658.535 </t>
  </si>
  <si>
    <t>Produtos</t>
  </si>
  <si>
    <t xml:space="preserve"> Felícia</t>
  </si>
  <si>
    <t>DA</t>
  </si>
  <si>
    <t xml:space="preserve"> Bruno Palombo</t>
  </si>
  <si>
    <t xml:space="preserve"> Julia Villares e Alessandra Lima</t>
  </si>
  <si>
    <t xml:space="preserve"> Carlos Galvão/ Dennis</t>
  </si>
  <si>
    <t xml:space="preserve"> Ricardo</t>
  </si>
  <si>
    <t xml:space="preserve"> Monica</t>
  </si>
  <si>
    <t>Tráfego</t>
  </si>
  <si>
    <t xml:space="preserve"> Marcus Vinícius</t>
  </si>
  <si>
    <t xml:space="preserve"> Alessandro Varme</t>
  </si>
  <si>
    <t>Arrecadação e Cobrança</t>
  </si>
  <si>
    <t xml:space="preserve"> Daniel Cattete</t>
  </si>
  <si>
    <t xml:space="preserve"> Erika Braga</t>
  </si>
  <si>
    <t xml:space="preserve"> Marcelo Gomes</t>
  </si>
  <si>
    <t>Jurídico Consumidor</t>
  </si>
  <si>
    <t xml:space="preserve"> Anderson Nilson</t>
  </si>
  <si>
    <t xml:space="preserve"> Giane Carla</t>
  </si>
  <si>
    <t xml:space="preserve"> Iara</t>
  </si>
  <si>
    <t xml:space="preserve"> Bruno Simões</t>
  </si>
  <si>
    <t>Ura</t>
  </si>
  <si>
    <t xml:space="preserve"> Katia Rolim</t>
  </si>
  <si>
    <t>Vendas (var/ Emp)</t>
  </si>
  <si>
    <t xml:space="preserve"> Emanuelle</t>
  </si>
  <si>
    <t>Ações restritas</t>
  </si>
  <si>
    <t xml:space="preserve"> Walbert</t>
  </si>
  <si>
    <t>Área responsável pelo Report</t>
  </si>
  <si>
    <t>Pessoa responsável pelo Report</t>
  </si>
  <si>
    <t>Contagem de Status Anexo A</t>
  </si>
  <si>
    <t>Motivo da Exclusão (Bruno Palombo): sem tópico e não faz parte do perímetro.</t>
  </si>
  <si>
    <t>Motivo da exclusão (Erika Braga): tema incluído no tópico "Execução da cadeia Fiscal".</t>
  </si>
  <si>
    <t>Motivo da exclusão (Marcus Vinicius): o tópico não faz parte do perímetro da ClientCo.</t>
  </si>
  <si>
    <t xml:space="preserve">Motivo da exclusão (Thiago Frambach/ Kamilla): não temos mais essa classificação de SOX. Como não conseguimos essa segregação, nós entendemos que mesmo que comprador da ClientCo pagasse nós não conseguiríamos realizar os testes.
</t>
  </si>
  <si>
    <t>Suporte Técnico Cellere - Plataforma de Bilhetagem</t>
  </si>
  <si>
    <t>Serviço de Van de Transmissão</t>
  </si>
  <si>
    <t>E-Billing Corporativo</t>
  </si>
  <si>
    <t>Robô de Endereços</t>
  </si>
  <si>
    <t>Custo com operação bpo - Faturamento e Arrecadação</t>
  </si>
  <si>
    <t>Não será rescindido com a venda da ClientCo</t>
  </si>
  <si>
    <t>CELLERE SOLUÇÕES EM TIC AS</t>
  </si>
  <si>
    <t>SAPHETY BRASIL TRANSACOES</t>
  </si>
  <si>
    <t>CADASTRO</t>
  </si>
  <si>
    <t>IARA KELLY DA CRUZ BRAGA</t>
  </si>
  <si>
    <t>Solução para validação online de e-mails</t>
  </si>
  <si>
    <t>Processamento e tarifação de Interconexão, operação de Co-Billing Externo, Fiscal, RFO e Backup</t>
  </si>
  <si>
    <t>Ferramenta Workflow Organon</t>
  </si>
  <si>
    <t>Setup BPO, Prints e Saphety + operação BPO - TSA - Faturamento/Arrecadação</t>
  </si>
  <si>
    <t>COBRANÇA - PA Digital</t>
  </si>
  <si>
    <t>COBRANÇA - PA Virtual</t>
  </si>
  <si>
    <t>COBRANÇA - Ações Massivas de recuperação de Dívida</t>
  </si>
  <si>
    <t>COBRANÇA - Operação Humana de cobrança</t>
  </si>
  <si>
    <t>Nenhum. Será renovado até o Nov/25 no fim do TSA</t>
  </si>
  <si>
    <t>VALIDITY BRASIL CONSULTOR</t>
  </si>
  <si>
    <t>CLEARTECH LTDA</t>
  </si>
  <si>
    <t>A CONTRATAR</t>
  </si>
  <si>
    <t>Terá vigencia até o final do TSA</t>
  </si>
  <si>
    <t>Apoio nos processos de envio de 2ª via e MIS de apoio nos processos de cobrança - Clientes ativos e clientes que já deixram a base.</t>
  </si>
  <si>
    <t>TAHTO</t>
  </si>
  <si>
    <t>15 dias após notificação</t>
  </si>
  <si>
    <t>17.774.087/0001-57</t>
  </si>
  <si>
    <t>M2B</t>
  </si>
  <si>
    <t xml:space="preserve">PA Digital de acionamento ativo de clientes para recuperação de dívida </t>
  </si>
  <si>
    <t>ACCENTURE</t>
  </si>
  <si>
    <t>PA Virtual de acionamento ativo para recuperação de dívida de clientes ativo na base - Incluso valor AWS (1,1MM) , Watson (0,4MM), Whatsapp (1,5MM)</t>
  </si>
  <si>
    <t>Recuperação de dívidas ações digitais - Clientes ativos e clientes que já deixram a base.</t>
  </si>
  <si>
    <t>Operação humana de atendimento ao clientes visando recuperação de dívida</t>
  </si>
  <si>
    <t>Altevo</t>
  </si>
  <si>
    <t>- A Oi deverá executar o processo de faturamento de terminais fibra, mantendo os sistemas, regras e processos atuais, até a migração total desses clientes.
- Execução de todos os ciclos de billings (majoritários e minoritários) em todos os sistemas de faturamento existentes no parque de TI.
- Resolução dos problemas encontrados durante o processamento.</t>
  </si>
  <si>
    <t xml:space="preserve"> - Realização do processo de Tarifação de Voz, SVA e 0500 mantendo os sistemas, regras, processos e produtos e ofertas atuais, até a migração total desses clientes.
- Resolução dos problemas encontrados durante o processamento.</t>
  </si>
  <si>
    <t>- Emissão do termo de quitação referentes aos pagamentos das últimas faturas dos clientes fibra.
- Resolução dos problemas encontrados durante o processamento.
- Todas as pendências de emissão dos termos de quitação anteriores a data do fechamento do contrato deverão ser regularizadas.</t>
  </si>
  <si>
    <t>- A Oi irá executar o processo de validação prévia de faturas de terminais fibra, mantendo os sistemas, regras e processos atuais, até a migração total desses clientes.
- Corrigir e reportar o tratamento adotado em caso de desvios identificados mantendo os sistemas, regras, processos e performance atuais, até a migração total desses clientes.
-Executar as validações de consistência sobre o ciclo de billing executado.</t>
  </si>
  <si>
    <t>- Oi irá disponibilizar as faturas de terminais fibra, mantendo os sistemas, regras e processos atuais, até a migração total desses clientes, nos formatos e layout atuais (online e customizadas) para clientes varejo e empresarial.
- Carga dos spools faturados nas ferramentas que disponibilizam online os documentos de faturamento.
- Resolução dos problemas encontrados durante o processamento.
- Eventuais necessidades de alterações deverão ser discutidas em relação à custo e prazo.</t>
  </si>
  <si>
    <t>- Oi irá disponibilizar os spools de faturas de terminais fibra para as print centers atuais da Oi (e remunerar os print centers), mantendo os sistemas, regras e processos atuais, até a migração total desses clientes, nos formatos e layout atuais (online e customizadas) para clientes varejo e empresarial.
- Conferência do faturamento gerado e consistências cadastrais.
- Disponibilização dos documentos para as empresas de postagem.</t>
  </si>
  <si>
    <t>- Oi irá disponibilizar os documentos de faturamento de terminais fibra para as empresas de postagem, mantendo os sistemas, regras e processos atuais, até a migração total desses clientes, nos formatos e layout atuais (online e customizadas) para clientes varejo e empresarial.
- Os clientes digitais terão seu envio da forma que solicitaram, seja via email ou whatsapp</t>
  </si>
  <si>
    <t>- A Oi irá executar o processo de mediação de bilhetes de terminais Voip da ClientCo, mantendo os sistemas, regras e processos atuais, até a migração total desses clientes.
- Controle de críticas e descartes de bilhetes.
- Resolução dos problemas encontrados durante o processamento da Mediação.
- Recuperação e reprocessamento de bilhetes em casos necessários</t>
  </si>
  <si>
    <t xml:space="preserve">- Oi deverá avaliar solicitações das Compradoras de parametrizações e/ ou projetos nos sistemas de billing quanto a viabilidade.
- As alterações implantadas deverão ser testadas e homologadas pela Oi e terão report para fins de acompanhamento do solicitante.
 - Todas as alterações deverão ser únicas para todos os comprovadores, não podem haver divergencia de regra e pedido entre eles. financeira, legal e regulatória. </t>
  </si>
  <si>
    <t>Motivo da exclusão (Altevo): durante a reunião, o time sinalizou que devemos excluir o item porque o mesmo não faz parte do perímetro da ClientCo ou é exclusivo do Corporativo.</t>
  </si>
  <si>
    <t>- Criação de dossiês com toda a documentação necessária e disponível para que o jurídico inicie os ajuizamentos.</t>
  </si>
  <si>
    <t>Repasse da receita de Fibra das UPI´s ClientCo</t>
  </si>
  <si>
    <t>- Realização de repasse mensal da receita de Fibra, SVA, Oi Expert, Fibra X e Add on para as compradoras.
- Resolução dos problemas encontrados durante apuração do repasse.</t>
  </si>
  <si>
    <t>Co-Billing Interno CSP´s de Outras Operadoras</t>
  </si>
  <si>
    <t>- A Oi S/A prestará o serviço de co-faturamento do CSP de Outras Operadoras originado por terminais Voip da ClientCo.</t>
  </si>
  <si>
    <t>Operação de Interconexão</t>
  </si>
  <si>
    <t>- A Oi irá executar o processo de apuração da Interconexão de bilhetes de terminais Voip da ClientCo, mantendo os sistemas, regras e processos atuais, até a migração total desses clientes.
- Controle de críticas e descartes de bilhetes.
- Resolução dos problemas encontrados durante o processamento da Interconexão.
- Recuperação e reprocessamento de bilhetes em casos necessários</t>
  </si>
  <si>
    <t>Repasse de SVA/Terceiros/0500</t>
  </si>
  <si>
    <t>- Realização da apuração periodica dos valores para repasse de parceiros de SVA/Terceiros/0500 mantendo os sistemas, regras e processos atuais, até a migração total desses clientes.
- Resolução dos problemas encontrados durante apuração do repasse.</t>
  </si>
  <si>
    <t>Relacionamento Finaceiro com as Demais Operadoras</t>
  </si>
  <si>
    <t>- A Oi irá executar o processo de encontro de contas de Interconexão, mantendo os sistemas, regras e processos atuais, até a migração total desses clientes.
- Resolução dos problemas encontrados durante apuração do repasse.</t>
  </si>
  <si>
    <t>Novo tópico</t>
  </si>
  <si>
    <t>- Manter e divulgar para as Compradoras os indicadores e SLAs de gestão das print centers, alinhados como KPIs 
- A Oi irá divulgar os indicadores e SLAs, mantendo os sistemas, regras e processos atuais, até a migração total desses clientes, nos formatos e layout atuais (online e customizadas) para clientes varejo e empresarial</t>
  </si>
  <si>
    <t>- Executar o faturamento do CSP 31 e 14 até a migração do terminal para compradora, mantendo os sistemas, regras e processos atuais.</t>
  </si>
  <si>
    <t>Execução de interceptação de chamadas e dados e outros serviços de quebra de sigilo, deverá ser realizada pela Oi, mediante solicitação da operadora responsável pelo terminal, devidamente acompanhada do ofício que a requereu, enquanto a adquirente não tiver acesso à rede e a obtenção do dados de CDR, para realizar a programação dos terminais e forncimento de extratos de chamadas e dados de conexões a internet.</t>
  </si>
  <si>
    <t>Interceptação judicial ​/ Quebra de Sigilo</t>
  </si>
  <si>
    <t xml:space="preserve">De acordo com as regras e parâmetros atuais, utilizando os recursos, sistemas, plataformas atuais, a Oi deverá:
- Executar a interceptação de voz e dados, exclusivamente de ordens determinadas pela justiça, recebidas diretamente ou encaminhadas pelas compradoras.
- Fornecer, exclusivamente à justiça e autoridades por ela determinadas, o extrato de chamadas originas e recebidas solicitadas nas ordens judiciais.
- Fornecer a justiça e demais autoridades competentes, os registros de conexões de acesso à internet e dados cadastrais.
</t>
  </si>
  <si>
    <t>Status</t>
  </si>
  <si>
    <t>Responsável</t>
  </si>
  <si>
    <t>A Oi se disponibilizará a prover dados dos clientes da base adquirida na negociação, com prazos à serem acordados.</t>
  </si>
  <si>
    <t>A Oi terá responsabilidade de manutenção das plataformas e suas apliçaões, mantendo os serviços, atendendo aos chamados de incidentes, possibilitando à operação e entrega de serviços.</t>
  </si>
  <si>
    <t>A Oi se disponibilizará junto aos compradores, na construção da estratatégia e suporte à migração da base de clientes.</t>
  </si>
  <si>
    <t>A Oi manterá o processo de manutenção dos sistemas, tratamento de bugs, incidentes, garantindo o funcionamento dos produtos e serviços.</t>
  </si>
  <si>
    <t>No Tsa da móvel só tinhamos a parte de operações de Redes, dupliquei para incluir a parte de TI.</t>
  </si>
  <si>
    <t>De acordo com as regras e parâmetros atuais, utilizando os recursos, sistemas, plataformas atuais, a Oi deverá:
- Gerir as vulnerabilidades decorrentes da obsolescência de versões de aplicações</t>
  </si>
  <si>
    <t>A Oi disponibilizará as bases históricas quando houverem migrações de clientes para compradoras.</t>
  </si>
  <si>
    <t>De acordo com as regras e parâmetros atuais, utilizando os recursos, sistemas, plataformas atuais, a Oi deverá:
- Executar as janelas de migração a serem acordadas conforme definições / plano a ser elaborado em conjunto</t>
  </si>
  <si>
    <r>
      <t>Cobilling - </t>
    </r>
    <r>
      <rPr>
        <sz val="11"/>
        <color rgb="FFCD5937"/>
        <rFont val="Calibri"/>
        <family val="2"/>
        <scheme val="minor"/>
      </rPr>
      <t>não faz</t>
    </r>
  </si>
  <si>
    <r>
      <t>Portabilidade - </t>
    </r>
    <r>
      <rPr>
        <sz val="11"/>
        <color rgb="FFCD5937"/>
        <rFont val="Calibri"/>
        <family val="2"/>
        <scheme val="minor"/>
      </rPr>
      <t>só doadora e só empresarial</t>
    </r>
  </si>
  <si>
    <r>
      <t>LDI e LDN - </t>
    </r>
    <r>
      <rPr>
        <sz val="11"/>
        <color rgb="FFCD5937"/>
        <rFont val="Calibri"/>
        <family val="2"/>
        <scheme val="minor"/>
      </rPr>
      <t>só faz com CSP 31</t>
    </r>
  </si>
  <si>
    <r>
      <t>Chamadas a cobrar; </t>
    </r>
    <r>
      <rPr>
        <sz val="11"/>
        <color rgb="FFCD5937"/>
        <rFont val="Calibri"/>
        <family val="2"/>
        <scheme val="minor"/>
      </rPr>
      <t>o cliente nasce com o bloqueio, mas pode solicitar desbloqueio.</t>
    </r>
  </si>
  <si>
    <t>Lista final de desconformidades:</t>
  </si>
  <si>
    <t>A Oi se compromete a avaliar novas demandas legais, fiscais e tributárias, criadas/instituídas posteriormente à assinatura do Contrato (durante o período do TSA), avaliando viabilidade técnica, riscos, prazos legais e custo incremental.
O custo, pelos desenvolvimentos necessários, serão arcados e/ou reembolsamos pela compradora, a depender do que ficar combinado no contrato. Não há como prever, de antemão, quais seriam esses custos, já que não sabemos quais novas obrigações poderiam ser criadas.
Ademais, especificamente ao atendimento à fiscalização tributária, a Oi se compromete em garantir a disposnibilidação da documentação suporte conforme AS IS para atendimento às notificações recebidas pelo Jurídico Tributário.</t>
  </si>
  <si>
    <t>Premissa utilizada pelo Jurídicotributário para elaboração do texto da ClientCo (Alessandra): Tendo em vista que nos foi dito em reunião que a Oi vai se comprometer com as ClientCo a avaliar e levantar os custos para o atendimento das novas demandas legais, relativas a temas fiscais e tributários, que venham a ser instituídas/criadas posteriormente à assinatura do Contrato (desde o closing e durante o período de vigência do TSA).</t>
  </si>
  <si>
    <t>Jurídico Tributário</t>
  </si>
  <si>
    <t>emanuelle.rocha@oi.net.br; karime.bpereira@oi.net.br</t>
  </si>
  <si>
    <t>Oi deverá executar os processos de análise de crédito de acordo com as regras e modelos atuais, mantendo sistemas, políticas e níveis de  serviços  para  as  Compradoras  tratando  os  problemas  identificados  nos processos de aprovação de crédito.
A performance dessa operação será acompanhada em reports de aprovação e reports de performance de FPD nas visões e aberturas acompanhadas atualmente pela Oi, caso o processo de venda e aquisição ocorra nos CRM da Oi.</t>
  </si>
  <si>
    <t>[Bruno Simões] - Descrição validada durante a reunião.</t>
  </si>
  <si>
    <t>RA/ Fraude</t>
  </si>
  <si>
    <t>- Execução mensal de análise de variação da receita de serviços recorrentes dos segmentos varejo e empresarial nas principais alavancas (gross, churn, interrupções de faturamento, migrações, variações de clientes da base, etc)
- Análise mensal das alavancas NTFGA (motivo de Terminais não Faturarem e Gerarem Assinatura) para serviços pós pagos.
- Acompanhamento mensal da despesa de ITX e análise dos desvios (VOIP)</t>
  </si>
  <si>
    <t>- Execução dos processos de fraude subscrição de acordo com as regras e modelos atuais da Oi no modelo preventivo, caso o processo de vendas fique a cargo da Oi.
- Execução dos processos de fraude técnica de acordo com as regras e modelos atuais da Oi (spoofing, fishing, smishing, etc).
- Tratamento de fraudes identificadas no modelo detectivo - pós instalação. (churn e contas a receber)
- Tratamento de out layers de consumo (investigação, retirada e tratamento contábil)
- Tratamento de reclamações de clientes com alegação de fraude, avaliando procedência / improcedência da contestação.</t>
  </si>
  <si>
    <t>Atendimento: Direcionar o item para Contas a Receber/Cobrança. Não tem ação de atendimento, no entanto a ação de  efetuar parcelamento está contida no item regua de cobrança</t>
  </si>
  <si>
    <t>De acordo com as regras e parâmetros atuais, utilizando os recursos, sistemas, plataformas atuais, a Oi deverá:
- Realizar atendimento aos clientes durante o processo de migração de acordo com o escopo de cada canal (Atedimento call center, canais digitais e URA)</t>
  </si>
  <si>
    <t>Oi deverá recuperar faturas antigas , mediante solicitações judiciais, regulatórias ou obrigações tributárias, mantendo os sistemas, regras e processos atuais.</t>
  </si>
  <si>
    <t xml:space="preserve"> - Atendimento aos pedidos de alteração de dados cadastrais / método de pagamento / data de vencimento através dos canais da Oi que realizam esse serviço atualmente e conforme escopo atual de cada canal .(Atedimento call center, canais digitais e URA).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t>
  </si>
  <si>
    <t xml:space="preserve"> - Atendimento aos pedidos de conversão de conta digital (E-billing) através dos canais da Oi que realizam esse serviço atualmente .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t>
  </si>
  <si>
    <t xml:space="preserve"> - Atendimento aos pedidos de emissão de 2a via de conta através dos canais da Oi que atualmente realiza esse serviço  (Atedimento call center, canais digitais e URA).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t>
  </si>
  <si>
    <t xml:space="preserve"> - Para clientes ainda ativos deve-se manter o mesmo processo de atendimento e negociação de parcelamento atual da Oi.
- Atendimento através dos canais da Oi que realizam esse serviço atualmente e conforme escopo atual de cada canal (Atedimento call center, canais digitais e URA).
- Garantir por contrato que os canais atuais sejam mantidos durante o período de transição.
- Devem ser definidos por contrato os níveis de serviço atuais (Manutenção dos SLA vigentes).
- Os processos de cobrança de terminais móveis pós-pagos inadimplentes serão realizados pela Oi até a data da migração dos clientes
para as Compradoras, incluindo régua de cobrança, notificações, bloqueios, desbloqueios, termos de quitação, renegociação, descontos e parcelamento de dívidas, de acordo com os processos, canais, contratos, políticas e capacidades tecnológicas atuais.</t>
  </si>
  <si>
    <t xml:space="preserve"> - Atendimento e realização de trocas de titularidade através dos canais da Oi que realizam esse serviço atualmente (Atendimento Call Center, Canais digitais).
- Deverá manter todas as obrigações regulatórias e também todas as regras e controles vigentes para evitar fraudes.
- Devem ser definidos por contrato os níveis de serviço atuais (Manutenção dos SLA vigentes).</t>
  </si>
  <si>
    <t xml:space="preserve"> - Atendimento e realização de trocas de número de linha através dos canais da Oi que realizam esse serviço atualmente (Atedimento call center)
- Deverá manter todas as obrigações regulatórias e também todas as regras e controles vigentes para evitar fraudes.
- Devem ser definidos por contrato os níveis
- Devem ser definidos por Contrato os níveis de serviço atuais (Manutenção dos SLA vigentes).
- Devem ser validadas com o atendimento as regras e SLAs dos contratos em lojas e call centers bem como o modelo de controle dos mesmos.</t>
  </si>
  <si>
    <t>[Atendimento] - Item duplicado o tema é contestação e já tem um chamado "contestação de faturas"</t>
  </si>
  <si>
    <t>Atendimento presencial</t>
  </si>
  <si>
    <t>[Emanuelle] - Devemos excluir o item porque não temos mais lojas próprias. Todo atendimento deve ser através do SAC e seus canais digitais.</t>
  </si>
  <si>
    <t>Priscila Falco</t>
  </si>
  <si>
    <t>[Bruno Diehl] - O tópico foi excluído porque o tema está contemplado em outros tópicos: Gestão de Problemas, Gerenciamento de mudanças (GMUD´s) e Gestão de Capacidade e ativos</t>
  </si>
  <si>
    <t>Jurídico Consumidor/ Jurídico Cível Estratégico</t>
  </si>
  <si>
    <t>Anderson Nilson</t>
  </si>
  <si>
    <t>Texto foi validado pelo time Jurídico consumidor.
TI contempla o tema dentro do tema "Dados históricos anteriores à migração (chamados de clientes que demandem informações históricas)​".
Obs.: Retiramos a palavra "Fiscal" do tópico.</t>
  </si>
  <si>
    <t>[Bruno Diehl] - Tema excluído porque está contemplado no tópico "Gestão de Problemas".</t>
  </si>
  <si>
    <t>[Bruno Diehl] - Itém excluído porque está contido dentro do tópico "Dados históricos anteriores à migração (chamados de clientes que demandem informações históricas)​".</t>
  </si>
  <si>
    <t>[Bruno Diehl] - Tema excluído porque está contemplado no tópico "Gestão de incidentes".</t>
  </si>
  <si>
    <t>Sistemas de TI</t>
  </si>
  <si>
    <t>"- Manutenção da base e gestão dos benefícios (plano médico, plano odontológico, seguro de vida, vale transporte, previdência privada, auxílio creche, auxílio medicamentos e tíquete refeição/alimentação garantindo a disponibilidade e qualidade dos mesmos;
- Faturar as compradoras toda a utilização de benefícios, parcela da coparticipação (ainda não descontada) e utilização total (custo empresa) pós closing, durante todo o período do TSA.</t>
  </si>
  <si>
    <t>"- Tratar os dados necessários para cálculo da folha de pagamento, calcular a folha de pagamento, pagar os respectivos impostos e demais deduções.
- Quanto a migração das informações dos colaboradores a serem transferidos (FTEs) para as compradoras, essa também considera a migração de todos os dados dos colaboradores e uma única fase.</t>
  </si>
  <si>
    <t>[Bruno Diehl] - Não se aplica para ClientCo</t>
  </si>
  <si>
    <t>Criação de Requisições de compras e pedidos(célula adm) - OPERAÇÃO BPO</t>
  </si>
  <si>
    <t>Hozana Guimarães</t>
  </si>
  <si>
    <t>Diversas áreas</t>
  </si>
  <si>
    <t>-A  Oi deverá executar o processo de lançamentos das NF's de entrada no SAP, com as devidas retenções federais e municipais.
- Execução dos controles internos conforme relação de controles existentes (SOX).
- Devolutiva das criticas para as NF não lançadas pelo Posto Fiscal</t>
  </si>
  <si>
    <t>- A Oi deverá criar os novos pedidos de compras  conforme demandas de serviços e equipamentos que estiverem vinculados aos contratos e verba disponiveis para as ClientCO's</t>
  </si>
  <si>
    <t>- A  Oi deverá executar o processo de cadastro no SAP para as demandas referentes a criação de novos fornecedores, clientes, codigos de materiais e serviços, manutenção dos cadastros ( atualização de dados bancários, ampliações de centros, paramentros de códigos para corretas contabilizações, ajustes de aliquotas, domicilio fiscal  etc, conforme necessidade que surgirem no periodo após drop.
-Extração de relatório com as demandas que forem solicitadas no periodo.</t>
  </si>
  <si>
    <t>- A  Oi deverá garantir o processo sistemico de cadastro, armazenamento das NF's de entrada no BRNOTAS, integração com sistemas SAP para escrituração fiscal no SAP.
- Extração de relatórios das NF cadastrdas, com status de tratamento.
- Consulta das NF emitidas contra as ClientC0's</t>
  </si>
  <si>
    <t>Hosana (Fiscal)</t>
  </si>
  <si>
    <t>Esforço time OI ​</t>
  </si>
  <si>
    <t>PRÓPRIO</t>
  </si>
  <si>
    <t xml:space="preserve"> NA</t>
  </si>
  <si>
    <t xml:space="preserve">Ger. Tributos indiretos e Ger. Tributos diretos </t>
  </si>
  <si>
    <t xml:space="preserve">7 FTE de tributos indiretos 
3 FTE de tributos diretos </t>
  </si>
  <si>
    <t>Ger. Posto Fiscal - Dir Tributos</t>
  </si>
  <si>
    <t>0,25 FTE do Posto Fiscal</t>
  </si>
  <si>
    <t>- Manter o procedimento atual de bloqueio / desbloqueio conforme diretrizes da ANATEL até a data de migração dos clientes, através dos canais da Oi que realizam esse serviço atualmente e conforme escopo atual de cada canal (Atedimento call center, canais digitais e URA).
-  Compartilhar, periodicamente, o controle de movimentações de suspensões e bloqueios.
- Garantir por contrato que os canais atuais sejam mantidos durante o período de transição.
- Devem ser definidos por contrato os níveis de serviço atuais (Manutenção dos SLA vigentes).
- Devem ser validadas com o atendimento as regras e SLAs dos contratos em lojas e call centers bem como o modelo de controle dos mesmos.
Obs.: deve-se avaliar a possibilidade técnica de buscar uma solução de desbloqueio que já considere uma migração para base da entidade
compradora.</t>
  </si>
  <si>
    <t>Execução da cadeia fiscal com a apuração dos impostos municipais (ISS próprio retido), estadual (ICMS) e Federais (próprios e retidos).</t>
  </si>
  <si>
    <t>Gestão dos fluxos de escrituração de NF, cadastro e pedidos.</t>
  </si>
  <si>
    <t>João Arlindo</t>
  </si>
  <si>
    <t>[João] - Serviço exclusivo da Oi Móvel, não se aplica para Clientco.</t>
  </si>
  <si>
    <t>- Atendimento dos Clientes através da URA e canais digitais e realização de troubleshooting para solução das falhas reclamadas pelos Clientes, sejam da Banda Larga e VOIP.
- Em caso de insucesso da solução remota e em sendo pertinente, o Suporte Técnico abre um reparo para o campo para que a falha seja solucionada in loco.
- Além da célula dos do Suporte Técnico que atende a grande maioria dos Clientes do FTTH, existem células especializadas para determinadas tratativas e Produtos. 
- Célula do Suporte Avançado que trata os casos específicos de VoIP e IPTV.
- Célula Repetidor, para o Cliente que apresenta um determinada incidência de entrada no Suporte Técnico.
- Célula  Proactive Care: Célula especializada na tratativa do Cliente FibraX, sendo constituída de um atendimento receptivo e outro ativo que faz uma predição das falhas utilizando de ferramentas e plataformas específicas e entra em contato com o Cliente antecipadamente.
- O Suporte técnico possui também uma célula OFF que  faz a tratativa dos reparos preventivos.
- Devem ser definidos por contrato os níveis de serviço atuais (Manutenção dos SLA vigentes).
- Devem ser validadas com o atendimento as regras e SLAs dos contrato do suporte técnico bem como o modelo de controle destes.</t>
  </si>
  <si>
    <t>Áreas</t>
  </si>
  <si>
    <t>Total de tópicos</t>
  </si>
  <si>
    <t>CONCLUÍDOS</t>
  </si>
  <si>
    <t>(Vários itens)</t>
  </si>
  <si>
    <t>PENDENTES</t>
  </si>
  <si>
    <t>[ Luiz Conha]: Tema excluído porque já está contemplado no tópico "Interceptação judicial ​/ Quebra de Sigilo"</t>
  </si>
  <si>
    <t>Depende da área Oi</t>
  </si>
  <si>
    <t>[Emanuelle] - Apesar do Atendimento ter solicitado a criação desse tópico, foi confirmado pela Emanuelle que o mesmo deve ser excluído porque não temos mais atendimento presencial.</t>
  </si>
  <si>
    <t>´MARS</t>
  </si>
  <si>
    <t>CLIENTCO</t>
  </si>
  <si>
    <t>Total</t>
  </si>
  <si>
    <t>Pendente</t>
  </si>
  <si>
    <t>Concluído</t>
  </si>
  <si>
    <t>RA</t>
  </si>
  <si>
    <t>Concluídos</t>
  </si>
  <si>
    <t>%</t>
  </si>
  <si>
    <t>O tópico engloba o Atendimento e a Ouvidoria.</t>
  </si>
  <si>
    <t>[Walbert] - Não existe demanda para bloqueio judicial fibra/voip.</t>
  </si>
  <si>
    <t>Despesa Arrecadação Fibra</t>
  </si>
  <si>
    <t>N1</t>
  </si>
  <si>
    <t>N2</t>
  </si>
  <si>
    <t>N3</t>
  </si>
  <si>
    <t>N4/ Consultor</t>
  </si>
  <si>
    <t>Fernando Vairolatti Del Negro Fonseca &lt;fernando.fonseca@oi.net.br&gt;</t>
  </si>
  <si>
    <t>Fabricio Bindi &lt;fabricio.bindi@oi.net.br&gt;</t>
  </si>
  <si>
    <t>Emanuelle Rocha &lt;emanuelle.rocha@oi.net.br&gt;</t>
  </si>
  <si>
    <t>Kamila De Vasconcelos Vieira &lt;kamila.vieira@oi.net.br&gt;</t>
  </si>
  <si>
    <t>Duilio De Novaes Alves &lt;duilio.alves@oi.net.br&gt;</t>
  </si>
  <si>
    <t>EM REVISÃO</t>
  </si>
  <si>
    <t>Custo consolidado</t>
  </si>
  <si>
    <t>Erika Braga (5 UPI's)</t>
  </si>
  <si>
    <t>Erika Braga (1 UPI's)</t>
  </si>
  <si>
    <t>Luis Filipe Meira &lt;lfmeira@oi.net.br&gt;</t>
  </si>
  <si>
    <t>Renato Elias &lt;renato.elias@oi.net.br&gt;</t>
  </si>
  <si>
    <t>Felicia Daquino Nonato Rosetti &lt;felicia@oi.net.br&gt;</t>
  </si>
  <si>
    <t>Caio Marcio Gusmon &lt;caio.gusmon@oi.net.br&gt;</t>
  </si>
  <si>
    <t>Ulisses Fonseca Alves &lt;ulisses.alves@oi.net.br&gt;</t>
  </si>
  <si>
    <t>Bruno Palombo &lt;bruno.palombo@oi.net.br&gt;</t>
  </si>
  <si>
    <t>Thalles Eduardo Silva Gracelacio Da Paixao &lt;thalles.paixao@oi.net.br&gt;</t>
  </si>
  <si>
    <t>Fernando Raposo Franco &lt;fernando.franco@oi.net.br&gt;</t>
  </si>
  <si>
    <t>Pedro Rique Nepomuceno &lt;pedro.nepomuceno@oi.net.br&gt;</t>
  </si>
  <si>
    <t>Julia Villares Torres &lt;julia.torres@oi.net.br&gt;</t>
  </si>
  <si>
    <t>Adriana Da Cunha Costa &lt;adriana.costa@oi.net.br&gt;</t>
  </si>
  <si>
    <t>Carlos Vasconcelos Galvao &lt;carlosgalvao@oi.net.br&gt;</t>
  </si>
  <si>
    <t>Ricardo Goulart &lt;rgoulart@oi.net.br&gt;</t>
  </si>
  <si>
    <t>Carlos Eduardo Da Rocha Andrade &lt;carlos.andrade@oi.net.br&gt;; Jussara Petra Rocha &lt;jussara.rocha@oi.net.br&gt;; Valeria Da Conceicao Braga &lt;valeria.braga@oi.net.br&gt;</t>
  </si>
  <si>
    <t>Cristiane Barretto Sales &lt;cristiane.barretto@oi.net.br&gt;</t>
  </si>
  <si>
    <t>Bruno Macedo Soares &lt;bmacedo@oi.net.br&gt;</t>
  </si>
  <si>
    <t>Monica Sant Anna Paetzoldt &lt;monica.paetzoldt@oi.net.br&gt;</t>
  </si>
  <si>
    <t>Altevo Carlos De Sa Volotao &lt;altevo.volotao@oi.net.br&gt;</t>
  </si>
  <si>
    <t>Marcus Vinicius Miguel De Oliveira &lt;marcus.oliveira@oi.net.br&gt;</t>
  </si>
  <si>
    <t>Alessandro Luiz Varme Dias &lt;alessandro.varme@oi.net.br&gt;</t>
  </si>
  <si>
    <t>Daniel Cattete Sanguedo &lt;daniel.sanguedo@oi.net.br&gt;</t>
  </si>
  <si>
    <t>Flavia Casali &lt;flaviacasali@oi.net.br&gt;</t>
  </si>
  <si>
    <t>Erika Braga &lt;erika.braga@oi.net.br&gt;</t>
  </si>
  <si>
    <t>Andre Tavares Paradizi &lt;andre.paradizi@oi.net.br&gt;</t>
  </si>
  <si>
    <t>Francisco Paulo Macambira Haick &lt;francisco.haick@oi.net.br&gt;</t>
  </si>
  <si>
    <t>Marcelo Gomes &lt;marcelo.gomes@oi.net.br&gt;</t>
  </si>
  <si>
    <t>Elen Marques Souto La Croix &lt;elen.souto@oi.net.br&gt;</t>
  </si>
  <si>
    <t>Adriana Velhote De Oliveira &lt;adriana.velhote@oi.net.br&gt;</t>
  </si>
  <si>
    <t>Anderson Nilson Rocha &lt;anderson.rocha@oi.net.br&gt;</t>
  </si>
  <si>
    <t>Jomerson Da Silva Almeida &lt;jomerson.almeida@oi.net.br&gt;</t>
  </si>
  <si>
    <t>Giane Carla Varela &lt;giane.varela@oi.net.br&gt;</t>
  </si>
  <si>
    <t>Iara Kelli Da Cruz Braga &lt;iara.braga@oi.net.br&gt;</t>
  </si>
  <si>
    <t>Bruno Simoes &lt;bruno.simoes@oi.net.br&gt;</t>
  </si>
  <si>
    <t>Hozana Guimaraes De Sa Braga &lt;hozana.braga@oi.net.br&gt;</t>
  </si>
  <si>
    <t>Katia Rolim &lt;katia.pessoa@oi.net.br&gt;</t>
  </si>
  <si>
    <t>Gustavo Roberto Brambila &lt;gbrambila@oi.net.br&gt;</t>
  </si>
  <si>
    <t>Rafael Freitas De Amorim &lt;rafael.amorim@oi.net.br&gt;</t>
  </si>
  <si>
    <t>Fabricio Ladislau &lt;fabricio.ladislau@oi.net.br&gt;</t>
  </si>
  <si>
    <t>Joao Arlindo Brito Junior &lt;joao.brito@oi.net.br&gt;</t>
  </si>
  <si>
    <t>Daniel Junqueira Pinto Hermeto &lt;daniel.hermeto@oi.net.br&gt;</t>
  </si>
  <si>
    <t>Evandro Schimming Smith Angelo &lt;evandro.angelo@oi.net.br&gt;</t>
  </si>
  <si>
    <t>Adriano Andrey Israel &lt;adriano.israel@oi.net.br&gt;</t>
  </si>
  <si>
    <t>Walbert De Almeida Bueno &lt;walbert.bueno@oi.net.br&gt;</t>
  </si>
  <si>
    <t>Thiago Vasconcelos &lt;thiago.vasconcelos@oi.net.br&gt;</t>
  </si>
  <si>
    <t>Priscila Falco Tonidandel &lt;priscila@oi.net.br&gt;</t>
  </si>
  <si>
    <t>Bruno Diehl &lt;bruno.diehl@oi.net.br&gt;</t>
  </si>
  <si>
    <t>Volume</t>
  </si>
  <si>
    <t>Em revisão</t>
  </si>
  <si>
    <t>CONCLUÍDO (VALIDADO + EXCLUÍDO)</t>
  </si>
  <si>
    <t>Tópicos foram substituídos por outros, enviados pela Priscilla Falco</t>
  </si>
  <si>
    <t>LOGISTICA OPERACOES</t>
  </si>
  <si>
    <t xml:space="preserve">DESEMPENHO E S&amp;OP </t>
  </si>
  <si>
    <t>GESTÃO  INFRACOS</t>
  </si>
  <si>
    <t>SOLUCOES E PROJETOS DE TI</t>
  </si>
  <si>
    <t xml:space="preserve">MONITORACAO DOS SERVIÇOS
</t>
  </si>
  <si>
    <t xml:space="preserve">RELACIONAMENTO TÉCNICO DE SERVIÇOS
</t>
  </si>
  <si>
    <t xml:space="preserve">QUALIDADE E EXPERIÊNCIA DE FTTH
</t>
  </si>
  <si>
    <t xml:space="preserve">ATENDIMENTO O&amp;M </t>
  </si>
  <si>
    <t>SEG DE SISTEMAS E INFRA</t>
  </si>
  <si>
    <t>SERV SEGURANCA INFORMACAO</t>
  </si>
  <si>
    <t xml:space="preserve">•Realizar a gestão contratual e orçamentária dos contratos da   VTAL /PSRs/Lógistica/CGR/Engenharia/SI/Contole Operacional/Suporte Técnico/Controle Local;
•Realizar a validação e pagamento mensal dos serviços prestados pelas V.tal, PSRs; 
•Garantir que as InfraCO e PSRs ( atualmente V.TAL/ SEREDE/TELEMONT) cumpram os requisitos de qualidade pré-estabelecidos nos contratos que são medidos mensalmente através de indicadores de qualidade.
•Definir e implantar ações corretivas e preventivas quando houver uma não conformidade contratual pelas InfraCOS e PSRs e fornecedores.
•Ser o canal junto à área responsável para evoluções e adequações nos contratos vigentes;
•Participar do levantamento, modelagem e validação dos processos da empresa.
•Ajustar os processos da empresa promovendo novas melhorias, conforme a análise dos resultados, garantindo a integridade e atualidade dos ativos envolvidos.
•Suportar os projetos estruturantes da garantindo  a implantação dos mesmos sem ferir os processos operacionais na visão cadeia.
</t>
  </si>
  <si>
    <t xml:space="preserve">• Realizar a gestão operacional da disponibilidade do serviço Oi Fibra, garantindo a melhor experiência do cliente;
• Coordenar ações em conjunto com as InfraCOs para garantir a maior disponibilidade do Oi Fibra;
• Realizar a interface técnico-operacional com CGR das InfraCOs
• Monitoramento da disponibilidade do serviço Oi Fibra, dos sistemas e infraestrutura de TI e da performance do KPIs da Jornada do Cliente, com identificação, encaminhamento e comunicação de falhas;
• Garantir a integração da evolução para monitoração da Experiência do Cliente através de cruzamento de dados e criação de dashboards
• Controlar o orçamento de OPEX dos contratos de suporte e das empresas prestadoras de serviços;
• Gestão de incidentes críticos (sala de acompanhamento de crise) e de garantia da continuidade do negócio;
• O&amp;M das plataformas CORE do CEC e OSS Fibra: eSOC, NWCC, SmartWifi, Dataminer OSS (aplicações, storages, bancos de dados e hardware);
• Registro e comunicação dos eventos críticos com impacto ou risco de impacto para a continuidade do negócio, garantindo alinhamento e divulgação das ocorrências para a direção e demais áreas da empresa;
• Garantir o acompanhamento e cumprimento das obrigações regulatórias com tratamento das demandas ANATEL, PROCON e jurídico;
• Fazer a gestão e o acompanhamento do fluxo de aprovação/divulgação das Janelas de Manutenção;
</t>
  </si>
  <si>
    <t>• Realizar o relacionamento técnico digital e humano com o cliente Oi Fibra;
• Garantir a estabilidade e eficiência no atendimento ao cliente através do Suporte Técnico Humano e Digital;
• Desenvolver planos de melhoria para aumentar o NPS, garantindo uma maior satisfação do cliente Oi Fibra
• Suportar tecnicamente a geração de receita nos produtos Oi Expert e Oi Fibra 
• Ampliar a digitalização dos Canais Digitais para o tratamento de Suporte Técnico garantindo a qualidade e satisfação do cliente;
• Garantir incentivo e aumento do uso dos Canais Digitais APP. Técnico Virtual, OI_E, Joice BOT, CO Digital e Assistentes Virtuais;
• Garantir que as soluções digitais operem dentro de forma íntegra e tratar junto as áreas de apoio agilidade no tratamento de anomalias;
• Realizar benchmark de mercado para avaliar as melhores práticas e oportunidades para aumento da digitalização
• Garantir que os projetos de evolução da operação aconteçam dentro do prazo e tragam o retorno esperado para a Oi
• Garantir a validação e especificações técnicas de novas ferramentas de teste e diagnóstico alinhadas com as melhores práticas de mercado.
• Garantir o alinhamento entre a atuação do CO/CL e as unidades regionais responsáveis pelas PSRs;
• Gerir as operações diárias do CO e CL, assegurando atendimento com qualidade para garantir produtividade em Campo de forma a não gerar impacto na cadeia de Reparo, Instalação e Mudança de Endereço;</t>
  </si>
  <si>
    <t>• Suportar tecnicamente a área de mercado em ações para aumento de receita;
• Gerenciar empresa de rede neutra para solução de trouble tickets em defeitos apontados nos produtos do através de reparo e manutenção para Banda Larga(Telemont, Abillity e SEREDE) e prover soluções que reduzam o custo de visitas improdutivas em campo na gestão dos produtos VOIP e IPTV
• Alinhamento com as áreas de negócio, principalmente vendas para definição de estratégia conjuntas com o plano de instalações e visita em parceiros de negócio para tangibilizar essas necessidades;
• Acompanhamento de volume de anomalias na rede e redução desses defeitos percebidos pelo cliente  (FCT);
• Endereçamento e escalonamento de tratamento técnico de demandas dos órgãos regulatórios através de priorização em ferramentas especificas para despacho em controle local e áreas de segundo e terceiro níveis;
• Realização de auditorias informacionais e in loco em campo para identificação de fraudes voltadas ao desvio de equipamentos em campo;
• Gestão sobre a análise e mapeamento de ações para mitigação de riscos operacionais a evitar descontinuidade de serviços importante e processo de relevância para a cia
• Em conjunto com o time regulatório realizamos análises AD-hoc de demandas de órgãos reguladores para entendimento da necessidade de justificativa da cia;
• Promover reuniões de resultados semanais com o time para alinhamento gerencial dos indicadores de performance e acompanhamento das ações em curso e proposição de novas ações</t>
  </si>
  <si>
    <t xml:space="preserve">I. Estratégias de Segurança
a. Desenvolvimento de estratégias personalizadas para redução de riscos e impactos relacionados a falhas, ataques e incidentes de segurança.
b. Implementação de melhores práticas internacionais e padrões de tecnologia para garantir a segurança dos sistemas.
c. Definição de políticas, procedimentos e controles de segurança da informação adequados às necessidades específicas da organização.
d. Elaboração de normas e diretrizes para o desenvolvimento seguro de sistemas e gerenciamento de vulnerabilidades.
e. Consultoria e orientação estratégica para integração da segurança da informação aos objetivos de negócio da empresa.
II. Defesa e Representação Institucional
f. Representação da organização junto a órgãos reguladores, legislativos e de defesa nacional em questões relacionadas à segurança da informação.
g. Combate a riscos de multas, sanções e outras penalidades decorrentes de problemas de segurança tecnológica.
h. Apoio na defesa dos interesses da empresa em debates, projetos e iniciativas ligados à segurança da informação em âmbito nacional e internacional.
III. Gestão de Tecnologias de Proteção
i. Implantação e gerenciamento de tecnologias avançadas de proteção contra ataques cibernéticos.
j. Monitoramento proativo e contínuo de ameaças, com respostas otimizadas para garantir a segurança dos sistemas.
k. Gestão de acessos a sistemas sob gestão de segurança, incluindo concessão de acessos e controle de privilégios.
IV. Conscientização e Educação em Segurança
l. Desenvolvimento e execução de programas de conscientização em segurança da informação para colaboradores e prestadores de serviço.
m. Elaboração de políticas de segurança corporativas e condução de processos de treinamento e educação em segurança para toda a organização.
V. Gestão de Riscos e Compliance
n. Gerenciamento de não conformidades e riscos de segurança, com visibilidade à alta direção.
o. Auditoria de produtos e sistemas para eliminação de riscos que possam prejudicar a empresa.
p. Apoio na definição e implementação de políticas e normas de segurança para garantir a conformidade com obrigações legais e regulatórias.
</t>
  </si>
  <si>
    <t xml:space="preserve">I. Monitoramento e Gerenciamento de Segurança
q. Monitoramento contínuo da infraestrutura de segurança dos clientes B2B para identificação precoce de ameaças e vulnerabilidades.
r. Análise de logs, eventos de segurança e tráfego de rede para detecção de atividades suspeitas ou não autorizadas.
s. Gestão proativa de incidentes de segurança, incluindo resposta imediata e mitigação de ameaças emergentes.
II. Gerenciamento de Dispositivos de Segurança
t. Gerenciamento e configuração de SD-WAN, firewalls, sistemas de detecção e prevenção de intrusões, gateways de segurança de e-mail e outros dispositivos de segurança.
u. Atualizações regulares de firmware e assinaturas de ameaças para garantir a eficácia dos dispositivos de segurança.
III. Análise de Vulnerabilidades
v. Escaneamento periódico de vulnerabilidades em sistemas e aplicações dos clientes B2B para identificação de pontos de falha e exposição.
w. Avaliação de riscos e priorização de correções para minimizar o potencial de exploração de vulnerabilidades.
IV. Relatórios e Análises
x. Geração de relatórios detalhados sobre o estado da segurança da informação, incluindo análises de tendências, métricas de desempenho e recomendações de melhoria.
y. Análise de impacto de incidentes de segurança e ações corretivas realizadas para prevenir recorrências.
V. Suporte Especializado
z. Suporte técnico especializado 24/7 para lidar com incidentes de segurança e fornecer orientação em situações críticas.
aa. Consultoria e assistência na implementação de medidas de segurança adicionais conforme necessário para fortalecer a postura de segurança dos clientes B2B.
VI. Gerenciamento de Serviços e SLAs
bb. Definição e gerenciamento de acordos de nível de serviço (SLAs) para garantir a entrega oportuna e eficaz dos serviços de segurança.
cc. Monitoramento do cumprimento dos SLAs e ajustes conforme necessário para atender às necessidades dos clientes B2B.
</t>
  </si>
  <si>
    <t>Kamila de Vasconcelos</t>
  </si>
  <si>
    <t>Controles Internos</t>
  </si>
  <si>
    <t>Riscos e Controles</t>
  </si>
  <si>
    <t>Conformidade e Sustentabilidade</t>
  </si>
  <si>
    <t>- Revisão, atualização e teste de controles do Ambiente de Controles Internos da Companhia que permeiam todos os processos;
- Gestão das Alçadas da Companhia que permeiam as principais atividades de aprovação;
- Avaliação de Riscos conforme demanda das áreas;
- Gestão dos Riscos Corporativos;
- Gestão dos documentos da Companhia;
- GCN que podem envolver incidentes/crises que impactam o serviço da Fibra.</t>
  </si>
  <si>
    <t xml:space="preserve">- Gestão do canal e atendimento às solicitações de direitos previstos na LGPD por parte de titulares de dados pessoais;
- Avaliação e adequação de contratos e editais, sob o aspecto de privacidade e proteção de dados pessoais, com fornecedores, parceiros e clientes (empresariais);
- Manutenção do registro de operações de tratamento de dados pessoais, na forma do art. 37 da LGPD;
- Identificação e registro de transferências internacionais de dados pessoais na forma do art. 33 da LGPD;
- Identificação, avaliação e tratamento de riscos de privacidade em processos e projetos da Companhia;
- Gestão, tratamento e comunicação - sob demanda - de eventuais incidentes de segurança que envolvam dados pessoais;
- Resposta à ofícios e requerimentos de autoridades públicas, relacionados à privacidade;
- Gestão do canal de denúncias e apuração de relatos;
- Avaliação e adequação da cláusula de Compliance em contratos e editais;
- Realização de análise de integridade de terceiros e colaboradores;
- Realização de testes detectivos de conflitos de interesse; pagamentos à agentes públicos; doações; Brindes e Presentes e etc;
- Resposta à Due Diligence de Terceiros, Parceiros; Investidores e Clientes;
- Realização de processos de Partes Relacionadas; Acompanhamento de relacionamento com países em lista de sanções internacionais.
</t>
  </si>
  <si>
    <t>Auditoria Interna</t>
  </si>
  <si>
    <t xml:space="preserve">- Apuração de casos fraude;
- Auditoria de sistemas e processos que permeiam toda a Cia de acordo com o plano aprovado;
- Acompanhamento e “reteste” de ações corretivas;
- Monitoramento de fraude em processos críticos.
</t>
  </si>
  <si>
    <t>• Planejamento de compras de ONTs
• Planejamento de abastecimento de ONTs de todas as Ufs
• Planejamento de transporte de materiais
•  Reversa de ONTs oriundos de churn e reparo
•  Recondicionamento de ONTs
• Operação de FTTR e Mesh</t>
  </si>
  <si>
    <t xml:space="preserve">• Conduzir os ciclos de S&amp;OP de todos os produtos e serviços da Nova OI, realizando interface direta com os fornecedores parceiros de entrega, como as InfraCo’s e PSR’s;
• Monitorar, ao longo de todo o ciclo de S&amp;OP, as entregas dos fornecedores, prevendo e identificando eventuais desvios com relação ao plano de produção, e atuando na gestão da implantação de ações preventivas e corretivas;
• Contribuir com a elaboração e implantação do plano de longo prazo de expansão dos serviços de Fibra Óptica e de Novos Negócios;
• Elaborar e divulgar mensalmente os planos S&amp;OP para O&amp;M e Rede Externa; 
• Divulgar o plano de materiais necessários para a suportar os planos S&amp;OP vigentes;
• Suportar o cumprimento dos contratos, a partir da aferição dos indicadores de desempenho, especialmente os que impactam o fluxo de pagamentos;
• Promover a apuração e análise dos indicadores operacionais, identificando possíveis desvios e propondo ações corretivas;
</t>
  </si>
  <si>
    <t xml:space="preserve">•Planejamento e implantação de Plataforma / OSS / Serviços;
•Planejamento e  implantação de redes;
•Implatação de Diretrizes de redes;
•Eficiencia Operacional (ações/Indicadores) OS de uso próprio
•Projetos especiais (ESOC,Segregação de plataformas,desenvolvimento dashboards)
•Planejamento de arquitetura de tecnologia e soluções (GTEC, laboratório, dispositivos, devices, eventos e homologações)
</t>
  </si>
  <si>
    <t xml:space="preserve">• Construir um score de propensão de satisfação da experiência de USO (através de soluções de gerenciamento do ambiente do cliente, qualidade da fibra de acesso e gerenciamento do tipo de tráfego)
• Melhorar experiência do uso do Oi Fibra através de ações proativas para abertura de reparo quando detectado o problema preventivamente garantindo alta rentabilidade e baixo custo operacional;
• Propor soluções de MESH para reduzir atrito do cliente voltado a temas de cobertura da rede Wi-Fi;
• Realizar orientação protaiva através dos nosso canais com o cliente sobre o uso dos devices, da rede e como melhorar sua experiência de uso;
• Coordenar em conjunto das áreas técnicas as implementações de casos de uso que melhorem a jornada do cliente, como venda de MESH para e novas soluções como o FTTR;
• Ser responspavel pela gestão dos modelos de predição de NPS;
• Realizar especifcações técnicas para suportar processo de comunicação proativa de oprtunidades de uso de forma automática 
•Elaborar material com recomendações técnicas para subsidiar decisões estratégicas da cia, a exemplo das demandas anti-fraude, desvio de ONT;
• Implantar processos de soluções cognitivas para tratamento das demandas de cliente e OI (Suporte técnico)
•Aumentar a digitalização de self care ao cliente para que tenha autonamonia em tratamento de anamolias </t>
  </si>
  <si>
    <t>Consultoria tributária e atendimento à fiscalização</t>
  </si>
  <si>
    <t>Evandro Schimming</t>
  </si>
  <si>
    <t>VP</t>
  </si>
  <si>
    <t>Auditoria e GRC</t>
  </si>
  <si>
    <t>Regulatório &amp; Institucional</t>
  </si>
  <si>
    <t>Finanças e Relações com investidores</t>
  </si>
  <si>
    <t>Suporte ao Negócio</t>
  </si>
  <si>
    <t>Jurídico</t>
  </si>
  <si>
    <t>Pessoas &amp; Cultura</t>
  </si>
  <si>
    <t>Tecnologia</t>
  </si>
  <si>
    <t>Operações de Redes e SI</t>
  </si>
  <si>
    <t>Oi Fibra</t>
  </si>
  <si>
    <t>Estratégia e Transformação</t>
  </si>
  <si>
    <t>André Morais</t>
  </si>
  <si>
    <t>Ildeu Randolfo</t>
  </si>
  <si>
    <t>Mariana Oliveira</t>
  </si>
  <si>
    <t>Maria Margarete</t>
  </si>
  <si>
    <t>Luis Plaster</t>
  </si>
  <si>
    <t>André Paradizi</t>
  </si>
  <si>
    <t>Pedro Franca</t>
  </si>
  <si>
    <t>Flávia Casali</t>
  </si>
  <si>
    <t>Luiz Mendes</t>
  </si>
  <si>
    <t>Ana Mighelote</t>
  </si>
  <si>
    <t>Marcia Helena</t>
  </si>
  <si>
    <t>Ellen Marques</t>
  </si>
  <si>
    <t>Williams Pereira</t>
  </si>
  <si>
    <t>Silene Berne</t>
  </si>
  <si>
    <t>Ariane Fonseca</t>
  </si>
  <si>
    <t>Sara Crosman</t>
  </si>
  <si>
    <t>Joana Sevilla</t>
  </si>
  <si>
    <t>Elly Resende</t>
  </si>
  <si>
    <t>Consultoria cível estratégico</t>
  </si>
  <si>
    <t>Novi item</t>
  </si>
  <si>
    <t>A Oi se compromete a prestar consultoria jurídica ou viabilizar a interface dos integrantes do grupo com a área jurídica impactada.</t>
  </si>
  <si>
    <t>Jurídico Cível Estratégico</t>
  </si>
  <si>
    <t>Luiz Felipe Neves Do Couto Vargas &lt;luizf.vargas@oi.net.br&gt;</t>
  </si>
  <si>
    <t>Divulgação do Oi Fibra em mídia espontânea</t>
  </si>
  <si>
    <t>Ações ativas ou reativas à PL do Poder Legislativo ou ações do Poder Executivo</t>
  </si>
  <si>
    <t>Elaboração de releases sobre resultados e eventos que ajudem na comercialização ou meloria da imagem do Oi Fibra. Resposta a questionamentos da imprensa sobre o Oi Fibra</t>
  </si>
  <si>
    <t>Acompanhamento e ações pontuais nos Poderes Legislativo e Executivo Federais para mitigar iniciativas que possam prejudicar o Oi Fibra ou incentivar as que tenham impacto postivo</t>
  </si>
  <si>
    <t>Eduardo Levy Cardoso Moreira &lt;eduardo.levy@oi.net.br&gt;</t>
  </si>
  <si>
    <t>Ildeu Randolfo Borges Junior &lt;ildeu.borges@oi.net.br&gt;</t>
  </si>
  <si>
    <t>Eldeu Randolfo</t>
  </si>
  <si>
    <t>Relações Institucionais</t>
  </si>
  <si>
    <t>Hierarquia está diferente da Interativa, lá não tem o Eduardo Levy</t>
  </si>
  <si>
    <t>Eduardo Levy</t>
  </si>
  <si>
    <t>Anexo A</t>
  </si>
  <si>
    <t>Custo Anexo B (1 UPI)</t>
  </si>
  <si>
    <t>Camila Assano</t>
  </si>
  <si>
    <t>Concluído (sem tema)</t>
  </si>
  <si>
    <t>Nathalia Del Carmen</t>
  </si>
  <si>
    <t>Priscilla Bittencourt</t>
  </si>
  <si>
    <t>Maurício Fernandes</t>
  </si>
  <si>
    <t>Rafael Diniz</t>
  </si>
  <si>
    <t>Tatiana Cardozo</t>
  </si>
  <si>
    <t>N4</t>
  </si>
  <si>
    <t>TOTAL</t>
  </si>
  <si>
    <t>Luiz Felipe</t>
  </si>
  <si>
    <t xml:space="preserve">Desenho da Estratégia de Aprendizagem 
Programas Corporativos – novas competências
Demandas Institucionais de treinamento
Gestão de Plataformas (Universidade e Oi Educa +)
Capacitação de Negócios: Varejo | Empresarial | Oi Soluções | Atendimento - DRC
</t>
  </si>
  <si>
    <t xml:space="preserve">Gestão estratégia de R&amp;S (Publicação de vagas, avaliação e seleção de pessoas candidatas)
Condução e Gestão dos Programas de Estágio, Residentes Digitais e Aprendiz 
Gestão da Marca Empregadora (Glassdoor, Indeed e Linkedin)
</t>
  </si>
  <si>
    <t xml:space="preserve">Estratégia e Gestão da jornada de onboarding
Programa Alumni.
</t>
  </si>
  <si>
    <t>Processo do Ciclo de Desempenho: desenvolvimento e manutenção do sistema, produção e publicação de conteúdo, incentivo à execução, monitoramento, análise de dados e melhoria contínua.</t>
  </si>
  <si>
    <t>Processo do Ciclo de Desempenho: desenvolvimento e manutenção do sistema, produção e publicação de conteúdo, planejamento da execução, análise de dados e melhoria contínua.</t>
  </si>
  <si>
    <t xml:space="preserve">Processo do Ciclo de Desempenho: desenvolvimento e manutenção do sistema, produção e publicação de conteúdo, planejamento da execução, análise de dados e melhoria contínua.
</t>
  </si>
  <si>
    <t xml:space="preserve">Apresentação e insights para tomada de decisão.
</t>
  </si>
  <si>
    <t xml:space="preserve"> Controle de posições que serão repostas ou não, liberação de vagas.</t>
  </si>
  <si>
    <t>Análise junto a liderança e execução dos fluxos.</t>
  </si>
  <si>
    <t>Análise junto à liderança e execução dos fluxos.</t>
  </si>
  <si>
    <t>Criação e manutenção do conteúdo, e execução do processo</t>
  </si>
  <si>
    <t>Mapeamento e acompanhamento das etapas da jornada, trabalhando de forma multidisciplinar e gerando tratativas específicas</t>
  </si>
  <si>
    <t>Conversas 1-1, reuniões executivas.</t>
  </si>
  <si>
    <t>Gestão financeira, pagamentos de fornecedores, controle de orçamento.</t>
  </si>
  <si>
    <t>Desenvolvimento de trilhas e de conteúdos para treinamento de competências de liderança.</t>
  </si>
  <si>
    <t xml:space="preserve">Negociar acordos coletivos de trabalho | acompanhamento cota PCD e aprendiz | acompanhamento entradas processos trabalhistas (próprios) | atendimento a fiscalizações) | Consultoria preventiva | Controle estabilidades </t>
  </si>
  <si>
    <t xml:space="preserve">Gerir e ministrar treinamentos legais | gerir treinamento e implantação de brigada de incêndio voluntária | gerir inspeções de segurança predial | gerir ocorrências de acidente de trabalho | gerir, treinar e implantar CIPA | acionar brigada de incêndio voluntária | gerir e emitir PPP para colaborador | gerir a elaboração de mapas de risco | gerir a elaboração PPRA) | Índice de Qualificação do Fornecedor | Gerenciamento de riscos.
</t>
  </si>
  <si>
    <t>Gerir licença e afastamento | gerir check-up executivo | gerir programa de gestante | gerir exame periódico | gerir exame mudança de função | gerir exame admissional, exame de retorno ao trabalho e exame demissional | gerir reintegração, readaptação e reabilitação profissional | emitir ACT</t>
  </si>
  <si>
    <t>Realizar análise dos atestados | realizar agendamento e perícia | gerir reintegração, readaptação, reabilitação,  retorno e reintegração judicial</t>
  </si>
  <si>
    <t xml:space="preserve">Tratar solicitação de intercorrências comportamentais | fiscalizar tratamento de acidente de trabalho ou falecimento de terceiros | tratar solicitação de falecimento | tratar solicitação de acidente de trabalho | gerir programa qualidade de vida | Rodas de conversa | grupos de apoio | Indicadores de saúde mental |  </t>
  </si>
  <si>
    <t>Gestão de Crise no Pilar de Saúde, Segurança e Serviço Social.</t>
  </si>
  <si>
    <t>Efetuar pagamento de férias, rescisões e salários de pessoal | tratar fechamento de múltiplos vínculos, autônomos e expatriados | emitir o resumo da folha de pagamento após cálculos e validações | contabilizar a folha de pagamento | enviar informações legais obrigatórias periódicas para o e-social | criar certificado digital para envio e processamento das obrigações legais | enviar informações legais obrigatórias | liberar pagamento de fornecedores, encargos sociais e tributos legais | conciliar contas contábeis | tratar cancelamento de rescisão | tratar reintegração | conceder acesso |  tratar transferências entre empresas no FPW | Realizar convênio Previdência Privada.</t>
  </si>
  <si>
    <t>Aplicar desconto por uso de benefícios (saúde, odonto, farmácia, VT, VR e Seguro de Vida) | realizar implantação/atualização sistêmica de benefícios  e creche | enviar arquivos de benefícios | pagar fornecedores dos benefícios</t>
  </si>
  <si>
    <t>Agendar exame médico admissional  | Garantir o cadastro do colaborador no sistema de Folha de pagamento</t>
  </si>
  <si>
    <t>Analisar retenção em desligamento voluntário | analisar desligamento involuntário com estabilidade | realizar atendimento pós desligamento | Agendar exame médico demissional</t>
  </si>
  <si>
    <t xml:space="preserve">Auditorias e fiscalização de órgão públicos (receita federal, ministério do trabalho)
</t>
  </si>
  <si>
    <t>Verificar dados do colaborador | tratar demanda de VR, VT, plano saúde, odonto e medicamento | tratar demanda de inclusão, exclusão, alteração e reativação de dependentes | tratar reembolso creche colaboradora fora da Cia | tratar demanda de contracheque | tratar demanda fiança |  tratar demanda de alteração cadastral | tratar demanda de férias | envio informe de rendimentos ex-colaboradores)</t>
  </si>
  <si>
    <t xml:space="preserve">Solicitar atualização cadastral do dependente | validar reembolso creche ou babá | analisar solicitação de VT
</t>
  </si>
  <si>
    <t>Alterar, excluir e criar script | atualizar base relator | implementar melhorias | alterar painel | Gerir o contrato do chatbot</t>
  </si>
  <si>
    <t>Lançar alteração de escala | apurar Horas Extras | tratar demandas de colaborador | realizar cálculo retroativo de frequência | gerar arquivo de apuração para input em folha</t>
  </si>
  <si>
    <t>Definir a estratégia de Remuneração | elaborar e aprovar estudo, gerando insumos para a tomada de decisão do conselho quanto a estratégia de remuneração anual da Cia. Atualizar as Políticas de Remuneração e Movimentação de Pessoal com base na estratégia</t>
  </si>
  <si>
    <t>Realizar avaliações de cargos garantindo a implantação da estrutura que suporte a operação do negócio</t>
  </si>
  <si>
    <t>Gestão das demandas de movimentações, administração de cargos e salários e atendimento as demandas jurídicas e do negócio, via BPs, com demais áreas do RH</t>
  </si>
  <si>
    <t>Gestão, elaboração e aprovação de projetos, pesquisas e estudos da administração de cargos e salários do dia-a-dia da Cia</t>
  </si>
  <si>
    <t>Gestão do pacote de remuneração dos administradores da Cia</t>
  </si>
  <si>
    <t>Gestão, elaboração e aprovação de estudos para Remuneração de curto prazo (bônus executivo e demais empresas e placar e demais empresas com aplicação das regras e políticas dos programas de metas e remuneração</t>
  </si>
  <si>
    <t>Estratégia e governança dos programas RV de vendas das áreas de Negócios (mensal e trimestral</t>
  </si>
  <si>
    <t xml:space="preserve">Análise, controle e operacionalização de demandas da estrutura organizacional | movimentação de posições | gestão da estrutura organizacional | coordenação operacional de reestruturações. Manter atualizada e garantir a aplicação da metodologia para tratamento da estrutura organizacional (desenho, dimensionamento e Miix de cargos), 
Coordenar a operacionalização das reestruturações e incorporações, garantindo a atualização dos movimentos de estrutura organizacional nos sistemas de Gente e Gestão.
</t>
  </si>
  <si>
    <t xml:space="preserve">Planejamento orçamentário anual de pessoal, forecast sazonal e gestão do orçamento do pacote de pessoal)
Manter atualizado os controles, indicadores e segrerações das informações, nas diversas visões necessárias para as áreas.
</t>
  </si>
  <si>
    <t>Definir a estratégia de Benefícios da Cia. | coordenar a contratação de fornecedores de benefícios | implantar e gerir os contratos dos fornecedores de benefícios da Cia, como Saúde, Odonto, Alimentação, etc.</t>
  </si>
  <si>
    <t>Garantir a boa gestão nos processos de pagamento dos fornecedores do direotria de RH, zelando pela assertividade das demandas junto com as áreas, priorizando os compromissos financeiros, cumprimentos dos prazos contratuais e oportunidades na otimização de recursos</t>
  </si>
  <si>
    <t>Fechamento mensal de efetivo e vagas | desenvolver indicadores de pessoas e dashboards | fornecer informações de colaboradores para as demais áreas da empresa</t>
  </si>
  <si>
    <t>Ciclo anual de gestão para resultados</t>
  </si>
  <si>
    <t>Contratar serviços terceirizados | registrar terceiros | subcontratar serviços terceirizados | realizar transição de contratos de serviços terceirizados) | acompanhamento entradas processos trabalhistas (próprios e terceiros</t>
  </si>
  <si>
    <t>Planejar, avaliar, acompanhar e reprogramar as avaliações dos fornecedores pelo IQF/RH</t>
  </si>
  <si>
    <t>Desenvolver soluções, dar suporte técnico, administrar Portal de Gente e tecnicamente organograma</t>
  </si>
  <si>
    <t>Gerir conteúdos de direcionamento para engajamento, manutenção da transparência e fortalecimento da reputação da marca empregadora e mitigação de riscos</t>
  </si>
  <si>
    <t>Gerir conteúdo organizacional para mobilizar promoção e defesa da marca e aceleração de receita, conhecimento do negócio, estímulo à indicação de produtos e ofertas, etc</t>
  </si>
  <si>
    <t>Gerir, produzir e monitor conteúdo para comunicação, massiva e segmentada e identificar as oportunidades de temas a serem comunicados internamente e avaliar a correlação de cada  tema aos objetivos de negócio, de gestão de pessoas ou de gestão da reputação para definição de uma estratégia de divulgação interna e/ou integrada</t>
  </si>
  <si>
    <t>Acompanhamento da performance, da correção de erros, atualização de conteúdo e layout, implantação de melhorias, etc</t>
  </si>
  <si>
    <t>Definição de objetivos estratégicos, coordenação do grupo de trabalho e instrumentos da coleta de dados, elaboração do plano de mobilização para a participação na pesquisa, análise e interpretação de resultados, estruturação de relatórios e apresentação com identificação de insights, padrões e conclusões relevantes</t>
  </si>
  <si>
    <t>Gerir o fornecedor contratado</t>
  </si>
  <si>
    <t>Produção de conteúdos de gente no LinkedIn.</t>
  </si>
  <si>
    <t xml:space="preserve"> Desenho e implantação do programa de onboarding/boas vindas.</t>
  </si>
  <si>
    <t xml:space="preserve">Divulgação / revisão de diretrizes de cultura: missão, visão e valores; e códigos de conduta: ética, conformidade, privacidade, esg
</t>
  </si>
  <si>
    <t>Carlos Eduardo da Rocha Andrade</t>
  </si>
  <si>
    <t>Toda a Oi</t>
  </si>
  <si>
    <t>Sistemas: Universidade Oi Educa
Sharepoint
Teams
Gupy
Pinpeople
Contratos: Gp Treinamento Brasil Ltda
Micropower 
Aovs (Alura) – Término Em Junho/24
Nube-Núcleo Bras.De Estágios Ltda
Linkedin Ireland Limited
Indeed Brasil Pes Empre Ltda (Glassdoor) – Término Em Agosto/24
Pin People Tecnologia Aplicada A Pe
Gupy Tecnologia Em Recrutamento Ltd</t>
  </si>
  <si>
    <t xml:space="preserve">Sistemas: Portal de Gente
Microsoft 365
Pin People
Contratos: Fundação Dom Cabral (venc Fev/25)
Lee Hecht Harrison Consultoria (LHH) (venc Mai/24)
Pin People (venc Dez/24)
</t>
  </si>
  <si>
    <t xml:space="preserve">Sistemas: Docusing
SOC
Contratos: Dasa (checkup executivo)| Energiè (vida.com) | Dual Saúde (exame periódico), AMBIPAR (Verde Gaia) | Indústria e Comércio Leal (EPI) | Ativa Eletro Comercial (EPI) 
</t>
  </si>
  <si>
    <t xml:space="preserve">Sistemas:FPW
BEWEB
E-SOCIAL
SOC
ÚNICO
DOCUSIGN
Contratos: BPO – ACCENTURE 
ÚNICO (Sistemas S) A Oi têm um convênio firmado via FIRJAN. Isso possibilita dedução de % sobre a Folha, definido no convênio. Além disso, pode-se utilizar crédito em treinamentos. 
</t>
  </si>
  <si>
    <t xml:space="preserve">Sistemas:Portal de Gente
FPW
Sharepoint
Contratos: Korn Ferry | Pay Hub (equações de remuneração para faixas salariais – valor anual)
Katalysi (estudo de remuneração pontuais)
LG
</t>
  </si>
  <si>
    <t xml:space="preserve">Sistemas: Portal de Gente
FPW
Valorae
SRT
SQL
POWER BI
Contratos: LG
Valorae
</t>
  </si>
  <si>
    <t xml:space="preserve">Sistemas: Interativa (plataforma Lumis)
Interativa Conecta (sharepoint)
Teams
App Oi Colaborador
Contratos: Agência Frog serviços de internet 
</t>
  </si>
  <si>
    <t xml:space="preserve">Sistemas: Interativa (plataforma Lumis)
Interativa Conecta (sharepoint)
Teams
App Oi Colaborador
</t>
  </si>
  <si>
    <t xml:space="preserve">Aprendizagem
</t>
  </si>
  <si>
    <t>Atração De Talentos</t>
  </si>
  <si>
    <t xml:space="preserve">Acompanhamento Da Jornada Colaborador
</t>
  </si>
  <si>
    <t xml:space="preserve">Conversa de Alinhamento </t>
  </si>
  <si>
    <t xml:space="preserve">Avaliação de Desempenho </t>
  </si>
  <si>
    <t>Mapa de Sucessão</t>
  </si>
  <si>
    <t xml:space="preserve">Report do orçamento de pessoal </t>
  </si>
  <si>
    <t>Gestão de turnover</t>
  </si>
  <si>
    <t>Movimentação de Pessoal</t>
  </si>
  <si>
    <t xml:space="preserve">
Medidas disciplinares</t>
  </si>
  <si>
    <t>Desligamento</t>
  </si>
  <si>
    <t>Reestruturação</t>
  </si>
  <si>
    <t xml:space="preserve">Onboarding executivo </t>
  </si>
  <si>
    <t>Mesa da Jornada do colaborador</t>
  </si>
  <si>
    <t xml:space="preserve">Consultoria e aconselhamento de liderança e gestão </t>
  </si>
  <si>
    <t>Comunicação com a liderança</t>
  </si>
  <si>
    <t xml:space="preserve">Planejamento e Gestão Financeira </t>
  </si>
  <si>
    <t xml:space="preserve">Trilhas de Treinamento </t>
  </si>
  <si>
    <t>Relações Trabalhistas</t>
  </si>
  <si>
    <t xml:space="preserve">Segurança do Trabalho </t>
  </si>
  <si>
    <t xml:space="preserve">Saúde Ocupacional </t>
  </si>
  <si>
    <t xml:space="preserve">Gestão de Licença e Afastamento </t>
  </si>
  <si>
    <t xml:space="preserve">Gestão de Bem Estar </t>
  </si>
  <si>
    <t>Gestão de Crise no Pilar de Saúde, Segurança e Serviço Social</t>
  </si>
  <si>
    <t xml:space="preserve">Processamento da Folha de Pagamento </t>
  </si>
  <si>
    <t xml:space="preserve">Operações de Benefícios </t>
  </si>
  <si>
    <t xml:space="preserve">Operacionalização da Admissão  </t>
  </si>
  <si>
    <t xml:space="preserve">Desligamento de Colaboradores </t>
  </si>
  <si>
    <t xml:space="preserve">Atendimento à Auditoria e Fiscalização de Folha de Pagamento </t>
  </si>
  <si>
    <t>Atendimento Gente Atende</t>
  </si>
  <si>
    <t xml:space="preserve">Solicitações referentes à férias e benefícios feitas através do Portal de Gente </t>
  </si>
  <si>
    <t xml:space="preserve">Gestão do Gente Atende </t>
  </si>
  <si>
    <t xml:space="preserve">
Tratamento de Frequência </t>
  </si>
  <si>
    <t>Remuneração</t>
  </si>
  <si>
    <t xml:space="preserve">Avaliação de cargos </t>
  </si>
  <si>
    <t>Gestão de Cargos e Salários</t>
  </si>
  <si>
    <t xml:space="preserve">Projetos, pesquisas e Estudos de Cargos e Salários </t>
  </si>
  <si>
    <t xml:space="preserve">Remuneração Administradores </t>
  </si>
  <si>
    <t>Remuneração Variável de Curto Prazo</t>
  </si>
  <si>
    <t xml:space="preserve">Remuneração Variável de Vendas  </t>
  </si>
  <si>
    <t xml:space="preserve">Arquitetura Organizacional </t>
  </si>
  <si>
    <t xml:space="preserve">Orçamento de Pessoal </t>
  </si>
  <si>
    <t xml:space="preserve">Gestão de Benefícios </t>
  </si>
  <si>
    <t xml:space="preserve">Gestão dos Pagamentos </t>
  </si>
  <si>
    <t xml:space="preserve">Fechamento de Headcount Mensal </t>
  </si>
  <si>
    <t xml:space="preserve">Gestão para Resultados </t>
  </si>
  <si>
    <t xml:space="preserve">Gestão de Terceiros </t>
  </si>
  <si>
    <t>Gestão de IQF – Pilar RH</t>
  </si>
  <si>
    <t xml:space="preserve">Sistemas RH </t>
  </si>
  <si>
    <t xml:space="preserve">Gestão da Comunicação da Presidência e alta liderança </t>
  </si>
  <si>
    <t xml:space="preserve">Embaixador da marca </t>
  </si>
  <si>
    <t xml:space="preserve">Gestão da comunicação interna e estratégia de engajamento </t>
  </si>
  <si>
    <t xml:space="preserve">Gestão das plataformas de comunicação </t>
  </si>
  <si>
    <t xml:space="preserve">Gestão da pesquisa de engajamento </t>
  </si>
  <si>
    <t>Marca empregadora</t>
  </si>
  <si>
    <t>Onboarding</t>
  </si>
  <si>
    <t>Gestão da comunicação interna e estratégia de engajamento</t>
  </si>
  <si>
    <t>Marcos Aurelio Freire Mendes &lt;marcos.mendes@oi.net.br&gt;</t>
  </si>
  <si>
    <t>Ariane Fonseca Vieira &lt;ariane.vieira@oi.net.br&gt;</t>
  </si>
  <si>
    <t>Carolina Celser Engel &lt;carolina.engel@oi.net.br&gt;</t>
  </si>
  <si>
    <t>Claudia Maria Borborema Bezerra Nunes     &lt;claudia.nunes@oi.net.br&gt;</t>
  </si>
  <si>
    <t>Cintia Zozimo Marques Rau    &lt;cintia.rau@oi.net.br&gt;</t>
  </si>
  <si>
    <t>Riicardo Goulart &lt;rgoulart@oi.net.br&gt;</t>
  </si>
  <si>
    <t>Valeria Da Conceicao Braga    &lt;valeria.braga@oi.net.br&gt;</t>
  </si>
  <si>
    <t>Carlos Eduardo da Rocha Andrade &lt;carlos.andrade@oi.net.br&gt;</t>
  </si>
  <si>
    <t>Jussara Petra Rocha &lt;jussara.rocha@oi.net.br&gt;</t>
  </si>
  <si>
    <t>Silene Cristina Berne &lt;silene@oi.net.br&gt;</t>
  </si>
  <si>
    <t>Custo Anexo B (5 UPI´s)</t>
  </si>
  <si>
    <t>Altevo Carlos</t>
  </si>
  <si>
    <t>Extração, elaboração e envio dos reports para forncedores de Conteúdo</t>
  </si>
  <si>
    <t>Principais Atividades:
- Extração das bases dos CRMs (SINN, SIEBEL, DW)
- Carga das exportações no Banco de Dados
- Validação dos volumes de clientes (check de sanidade)
- Formatação e preenchimento dos reports nos formatos acordados com cada fornecedor
- Envio dos reports e eventuais correções</t>
  </si>
  <si>
    <t>Cálculo dos valores de fauramento</t>
  </si>
  <si>
    <t>Calcular os valores a serem pagos aos Fornecedores, como base nos report gerando racional de faturamentode acordo com as condições contratuais</t>
  </si>
  <si>
    <t>Criação e gestão dos pedidos de compra</t>
  </si>
  <si>
    <t xml:space="preserve">Principais Atividades:
- Interface com setor administrativo para solicitação de criação de Pedido de Compras e RC (requisição de compras) e checks dos documentos criados;
- Envio dos pedidos para os fornecdores.
- Solicitação da aprovação dos pedidos SAP aos gestores responsáveis.
</t>
  </si>
  <si>
    <t>Cálculos, Lançamentos e Justificativas de Provisão e Reclassificaçõs</t>
  </si>
  <si>
    <t xml:space="preserve">Principais Atividades:
-Calculos e análises do valor disponível (EP, WE e PV)
- Cálculos, atualização e análises de repasse, provisão e resultado por programadora, segmento de negocios, UNs e UPIs - real frente ao orçado e forecast´s 
- Acompanhando NFs no GED e SAP
- Calculos e análises de simulações para resultado do pcte e estimativa gasto e uso verba para os próximo meses (cenários)
</t>
  </si>
  <si>
    <t>Emissão de Nota Fiscal e Input da Receita de PagSeguro</t>
  </si>
  <si>
    <t>- geração de nota fiscal no SISRED para parceiros B2B (PagSeguro e Safira); 
- Após a geração da nota fiscal, encaminhar ao parceiro para que efetue o pagamento e ao time de Faturamento;
- Acompanhamento da baixa do pagamento pelo SISRAF;</t>
  </si>
  <si>
    <t>Comissões de Vendas - Validação das politicas comerciais</t>
  </si>
  <si>
    <t>Garantir a aplicabilidade das regras de comissionamento elaboradas pelos diversos canais de vendas</t>
  </si>
  <si>
    <t>Comissões de Vendas - Cálculos de Comissionamento</t>
  </si>
  <si>
    <t>Extração das bases de Vendas (BOV);
Aplicação das Políticas Comerciais;
Aplicação das PADAs de Campanha;
Sign Off dos valores para garantir que as não haja variações injustificadas;
Divulgação dos valores para Regionais e Canais</t>
  </si>
  <si>
    <t>Comissões de Vendas - Cálculo de IQ</t>
  </si>
  <si>
    <t>Extração das bases de Vendas;
Acompanhamento do Churn e Inadimplência;
Divulgação do índice para Regionais e Canais</t>
  </si>
  <si>
    <t>Mauricio Fernandes &lt;mauricio.cardoso@oi.net.br&gt;</t>
  </si>
  <si>
    <t>Maurício</t>
  </si>
  <si>
    <t>Parceiro de Negócio</t>
  </si>
  <si>
    <t>Marcela Lima</t>
  </si>
  <si>
    <t>Valor consolidado de toda diretoria</t>
  </si>
  <si>
    <t>Luiz Fellipe Mendes Vieira &lt;luiz.vieira@oi.net.br&gt;</t>
  </si>
  <si>
    <t>Ernani Sant Ana Da Silva &lt;esantana@oi.net.br&gt;</t>
  </si>
  <si>
    <t>Vanessa De Oliveira Bueno &lt;vanessa.bueno@oi.net.br&gt;</t>
  </si>
  <si>
    <t>Definir da estratégia de Sourcing e executar os processos de Procurement, incluindo negociações e renegociações de contratos.</t>
  </si>
  <si>
    <t>Contratação, renegociação e renovações de acordos para categorias diretas e indiretas</t>
  </si>
  <si>
    <t>Luiz Felipe Mendes</t>
  </si>
  <si>
    <t xml:space="preserve">Gerir Contrato de Compartilhamento SPEs da ClientCo
</t>
  </si>
  <si>
    <t>Ana Thereza Silva Miguelote</t>
  </si>
  <si>
    <t>Carolina Arlotta &lt;carolina.arlotta@oi.net.br&gt;</t>
  </si>
  <si>
    <t>Não tem diferença se é 1 ou 5 UPI´s</t>
  </si>
  <si>
    <t>Gestão de solicitações Consumeristas (JEC, VARA CÍVEL, PROCON e CONSUMIDOR.GOV.BR)</t>
  </si>
  <si>
    <t>Análise Jurídica Consumerista e avaliação de ingresso no polo</t>
  </si>
  <si>
    <t>De acordo com as regras e parâmetros atuais, utilizando os recursos, sistemas, plataformas atuais, a Oi deverá:
- Controlar as demandas Judiciais e Administrativas do Juridico Consumidor, recebidas via e-mail ou sistemas a serem definidos, distribuir para tratamento operacional e controlar resposta para as compradoras.</t>
  </si>
  <si>
    <t>Recebimento da notificação de demanda de terceiro, analise jurídica, encaminhamento ou tratamento dos processos judiciais consumeristas com avaliação de ingresso no polo.</t>
  </si>
  <si>
    <t xml:space="preserve">Jurídico Consumidor/Anderson Rocha / Fabricio Martins
</t>
  </si>
  <si>
    <t>Fabricio Cardoso De Faria Martins &lt;fabricio.martins@oi.net.br&gt;</t>
  </si>
  <si>
    <t>Fernanda Fischer</t>
  </si>
  <si>
    <t>Prestação de serviços regulatórios</t>
  </si>
  <si>
    <t>1. Recebimento, internalização e resposta a Requerimento de Informações e atendimento a fiscalizações 
2. Consultoria e Compliance Regulatório
3. Atuação em processos administrativos da Anatel e DPDC
4. Envio de Informações operacional / econômico-financeiras à Anatel</t>
  </si>
  <si>
    <t>Contencioso Regulatório</t>
  </si>
  <si>
    <t>GCOR (Galvão), GECCR (Margarete),GCRCM (Mariana Doher) e PGRAI (André Morais).</t>
  </si>
  <si>
    <t>Construção de proposta de valor</t>
  </si>
  <si>
    <t>Estratégia de Aquisição</t>
  </si>
  <si>
    <t>Estratégia de Gestão de Base de Clientes</t>
  </si>
  <si>
    <t>Jornadas e Experiência do Cliente</t>
  </si>
  <si>
    <t>Estratégia de Portfólio (produto, pricing e ofertas)</t>
  </si>
  <si>
    <t>Desenvolvimento de negócios e produtos</t>
  </si>
  <si>
    <t>Estratégia de Devices / ONT</t>
  </si>
  <si>
    <t>Comunicação Institucional</t>
  </si>
  <si>
    <t>Comunicação (marca)</t>
  </si>
  <si>
    <t>Estratégia de negociação e compra de mídia</t>
  </si>
  <si>
    <t>Trade Marketing</t>
  </si>
  <si>
    <t>Comunicação (mídia de performance)</t>
  </si>
  <si>
    <t>Estratégia de ferramentas, soluções e plataformas</t>
  </si>
  <si>
    <t>Operacionalização da Estratégia de Portfolio</t>
  </si>
  <si>
    <t>Monitoramento da experiência do cliente</t>
  </si>
  <si>
    <t>Patrocínio e Experiência</t>
  </si>
  <si>
    <t>Gestão de contratos e pagamentos de parceiros de comunicação</t>
  </si>
  <si>
    <t>Planejamento de Vendas, Canais e S&amp;OP</t>
  </si>
  <si>
    <t>Desenvolvimento, estruturação e implementação de Canais</t>
  </si>
  <si>
    <t>Operação de Canais Nacionais de Vendas</t>
  </si>
  <si>
    <t>Operação de canais Regionais de Vendas</t>
  </si>
  <si>
    <t>Operação de trade regional</t>
  </si>
  <si>
    <t>Planejamento das operações de vendas regionais</t>
  </si>
  <si>
    <t>Planejamento das operações de base</t>
  </si>
  <si>
    <t>Acompanhamento e Recuperação da cadeia de instalação do cliente (CRV)</t>
  </si>
  <si>
    <t>Operação de Fidelização e Rentabilização</t>
  </si>
  <si>
    <t>Operações de Atendimento</t>
  </si>
  <si>
    <t>Operação de Ouvidoria</t>
  </si>
  <si>
    <t>Operação de Retenção</t>
  </si>
  <si>
    <t>Estratégia e operação da comunicação com o cliente</t>
  </si>
  <si>
    <t>Estratégia de HP / Definição da demanda de HP e Geomarketing</t>
  </si>
  <si>
    <t>Liberação comercial de HP</t>
  </si>
  <si>
    <t>Operação orçamentária (pagamento de parceiros / comissionamento / compra de conteúdo / revenue assurance / controladoria)</t>
  </si>
  <si>
    <t>Planejamento e Desempenho operacional da Oi Fibra (Planejamento de receita, despesa e gestão da rentabilidade)</t>
  </si>
  <si>
    <t>Operação de Comissionamento e Remuneração</t>
  </si>
  <si>
    <t>Customer Knowledge (operacional - gerenciamento da base de dados - casa / perfil de cliente / contato / já foi cliente</t>
  </si>
  <si>
    <t>Gestão de Contratos</t>
  </si>
  <si>
    <t>Agilidade Organizacional</t>
  </si>
  <si>
    <t>Gestão de Portfolio, Governança e Métricas de Valor</t>
  </si>
  <si>
    <t>Gestão de qualidade de vendas</t>
  </si>
  <si>
    <t>Gestão de qualidade pós vendas</t>
  </si>
  <si>
    <t>Operação de Clientes Novos: Onboarding</t>
  </si>
  <si>
    <t>Gestão de Fraude</t>
  </si>
  <si>
    <t>Plataforma de atendimento (e-Care)</t>
  </si>
  <si>
    <t>Inteligência e estruturação de canais digitais</t>
  </si>
  <si>
    <t>Estratégia e estruturação de Novos canais digitais</t>
  </si>
  <si>
    <t>Estratégia de plataformas digitais</t>
  </si>
  <si>
    <t>Estratégia e inteligência de Canais</t>
  </si>
  <si>
    <t>1. Definição e revisão contínua da Estratégia de atuação de marketing da Oi Fibra seguindo diretrizes de negócio bem como premissas financeiras, entre outros.
2. Responsável por detalhar a entrega de valor para o cliente da Oi Fibra na visão fim a fim (ciclo de vida do cliente), em nível de detalhe e aprofundamento.
3. Mapeamento do tipo de cliente (perfil, caracteristicas, segmentação, persona) para desenvolver soluções da Oi Fibra</t>
  </si>
  <si>
    <t>1. Responsável por todas as estratégias  de aquisiçãode clientes da Oi Fibra.
2. Responsável por Definir a estratégia de  Produtos ofertas e serviços.
3. Define e coordena a Estratégia de venda e atendimento do cliente (Omnicanalidade)</t>
  </si>
  <si>
    <t>1. Responsável por todas as estratégias de Gestão da Base de cliente da Oi Fibra, considerando: 
a) ações de rentabilização, retenção e blindagem e fidelização de clientes 
b) ações para a gestão e redução do churn voluntário e involuntário de clientes
2. Responsável pelo acompanhamento da experiência do cliente propondo, em conjunto com a área de CX, ações de comunicação e  relacionamento com a base</t>
  </si>
  <si>
    <t xml:space="preserve">1. Definir as jornadas propostas para o cliente Oi Fibra com uma visao da sua experiência em um cadeia de valor fim a fim.
2. Definir as principais métricas e Kpis para estas jornadas de modo a acompanhar a satisfação e experiência do cliente ao longo do seu ciclo de vida com a Oi.
3. Propor ajustes contínuos de melhoria desta jornada a partir dos dados analisados, minimizando pontos de atrito com o cliente e maximizando valor.
4. Co-construir com time de Estratégia e Proposição de Valor as jornadas garantindo que estas  sejam viáveis economicamente para a Oi.*
5. Mapear e propor, em conjunto com as áreas, melhorias nos processos que impactam as jornadas dos clientes
6. Responsável pela estratégia e gestão das pesquisas de experiência e satisfação do cliente (NPS, CSAT e outras), co-construindo ações com as áreas responsáveis, que impacte na melhoria da satisfação dos clientes em cada uma das etapas da jornada. </t>
  </si>
  <si>
    <t>1. Definição da estratégia do Portfolio Oi Fibra, incluindo ofertas, serviços de valor agregado e produtos (SVA) para aquisição e base
2. Definição da estratégiado de Go to Market, incluindo estratégia de pricing (produto/sva/tributação)
3. Definição do publico alvo a partir clusterização de clientes prospect (através do mapeamento da concorrência) ou Base Pre definida para a Oi Fibra.
4. Qual o canal ou praça este produto, serviço e oferta será disponibilizado ao cliente da Oi Fibra.</t>
  </si>
  <si>
    <t>1. Viabilizar e coordenar a implantação de produtos e serviços através das plataformas existentes ou a partir de novas soluções, viabilizando a comercialização do portfólio estratégicos da companhia:
2. Definir e alinhar priorização de requisitos (MVP)
3. Elaborar projeto e cronograma de implantação
4. Coordenar o processo de Business Simulation, homologando as entregas funcionais
5. Gestão da Mudança (rollout) junto as áreas impactadas
6. Gestão de backlog e orçamento de projeto</t>
  </si>
  <si>
    <t xml:space="preserve">1. Avaliação das características técnicas dos devices que compoem o produto Oi Fibra
2. Avaliação de custos de devices
3. Avaliação de performance de devices
4. Mapeamento da concorrência – benchmarking
5. Implementar as diretrizes de comunicação na ONT
6. Definição de direcionadores para aquisição de equipamentos, incluindo total cost para a Oi
</t>
  </si>
  <si>
    <t xml:space="preserve">1. Responsável pela Estratégia, gestão e relacionamento  com imprensa  para fomentar as ambições de negocio da Nova Oi e seus clientes.
2. Responsável pela gestão e elaboração dos releases de negócio / regionais para imprensa relacionados ao negócio da Oi Fibra.
3. Responsável pela co-construção de realeases, eventos e patrocínios que potencializem a reputação da Oi frente à imprensa e formadores de opinião.
</t>
  </si>
  <si>
    <t xml:space="preserve">1. Responsável por desenvolver estratégia de marca da Oi de acordo com a visão e missão da empresa.
2. Criação e gestão de ativos de marca
3. Garantir que todas as mensagens de comunicação estejam alinhadas aos guidelines de Marca.
4. Garantir a gestão, criação e distribuição de conteúdo para  todas as plataformas proprietárias Oi (redes sociais, blog), além da gestão, criação e distribuição de conteúdos junto a parceiros de comunicação / influenciadores
</t>
  </si>
  <si>
    <t xml:space="preserve">1. Responsável pela  gestão  dos principais meios de mídia online e off-line alinhado a estratégia de negócio e comunicação da companhia.
2. Negociação   com agências e veículos para compra de mídia online e off-line buscando sempre a eficiência e o melhor mix de meios.
3. Responsável pelo planejamento de campanhas criando os planos de mídia  on /off  da Oi Fibra e institucional.
4. Gestão direta sobre a estratégia e  resultados de mídia paga de canais receptivos (fibra, oi place e novas soluções) e-commerce de fibra com definição dos veículos utilizados medindo as performances de venda, CPA e dispersão.
5. Elaboração das informações detalhadas dos KPIs de campanha de awareness e performance da companhia
6. Garantir separação de xml por produto junto à TI para mensuração e efetividade dos canais
</t>
  </si>
  <si>
    <t xml:space="preserve">1. Responsável por diferenciar produtos e serviços no ponto de venda para maximizar  resultados.
2. Desdobramento da Estratégia da comunicação padronizada por canal e região, executando ações para maximização de vendas por região.
3. Negociação e compras de mídia Regional a partir das diretrizes de comunicação. [MF 6.3.2]
4. Coordenar analises e abordagens regionais de mercado identificando contextos que impactem os clientes.
5. Desenvolvimento e coordenação das campanhas de incentivo regionais para potencializar as vendas em todos os canais, alinhado as politicas comerciais.
</t>
  </si>
  <si>
    <t xml:space="preserve">1. Alavancar as vendas dos canais receptivos de produtos e serviços Oi com eficiência, minimizando a dispersão de cobertura, considerando a granularidade do negócio.
2. Maximizar a volumetria dos canais receptivos
3. Responsável pelo relacionamento com a agencia de mídia digital.
4. Criação de campanhas digitais que maximizem os canais receptivos em conjunto com agência.
5. Busca de novos formatos  de mídia com objetivo de performance
</t>
  </si>
  <si>
    <t xml:space="preserve">1. Garantir que a estratégia de Negócio esteja refletida nos processos e ferramentas dos canais de venda / atendimento
2. Interface entre as áreas op. (regionais e canais de aquisição / atendimento / operações) para identificar necessidades de negócio e traduzir em soluções de processos e ferramentas 
3. Propor melhorias para evolução das soluções (RTD, Order Entry, APP PAP), priorizando uma relação Omnichanel entre os canais
4. Priorizar as diferentes soluções propostas com base no VPL e foco estratégico
5. Especificar e viabilizar em conjunto com TI soluções de ferramentas sistêmicas que permitam maior otimização e eficiência operacional dos processos de venda/ Atendimento (foco em digitalização)
6. Automatização: Identificar melhorias contínuas nos processos e sistemas com foco em redução/eliminação de custos com Back Offices, sempre buscando a melhor experiência
</t>
  </si>
  <si>
    <t xml:space="preserve">1. Implementação de parâmetros operacionais para mailing: tabelas de oferta e layout para compatibilidade com canal
2. Execução e implantação das ofertas através da aprovação (jurídico, regulatório e tributário) e configuração de ofertas com parâmetros para Otimização de ARPU
3. Gestão e configuração do portfólio de oferta por pdv/canal
4. Suporte para construção de materiais de capacitação de produtos e ofertas
6. Coordenação da implantação de novas ofertas
7. Acompanhamento de performance KPIs
</t>
  </si>
  <si>
    <t xml:space="preserve">1. Monitoramento dos principais KPI que refletem a experiência nas jornadas (contestação, ST, etc.)
2. Estabelecer as correlações dos principais indicadores com a Experiência do Cliente
3. Pesquisas ativas da satisfação e das jornadas
4. Gera o indicador NPS Global
5. Gera o indicador NPS das Jornadas
6. Pesquisas Ad Hoc
7. Definir as referencia para os KPIs da experiência
8. Aprofundamento, análises, conhecimento do cliente e insights para transformação da jornada do cliente
9. Acompanhar e Diagnosticar indicadores Regulatório, Rankings e consumidor.gov
10. Garante retroalimentação do monitoramento para  empresa inteira </t>
  </si>
  <si>
    <t>1. Interagir com diferentes stakeholders, desenvolvendo  patrocínios/ eventos  que fortaleçam a reputação da marca  incentivando crescimento sustentável da empresa.]
2. Aumentar o awareness de fibra e presença regional  criando eventos.
3. Co-criação com Trade para projetos de experiência regional
4. Criação e gestão  de projetos incentivados para Oi 
5. Alinhamento com Oi futuro para melhor integração das marcas e geração de oportunidades</t>
  </si>
  <si>
    <t>1. Interface com a controladoria relacionada ao centro de custo da diretoria de comunicação para reports oficiais e visões gerenciais do orçamento. (atualmente ainda pacote PP e com corp) 
2. Definição e acompanhamento de processos para pagamentos da área. Controle de orçamento mensal e trimestral de PP e comcorp, incluindo forecast.
3. Controle das especificidades dos pagamentos de mídia (via agencia, prazos diferentes por meio etc).Validação de RCs por cada frente: produção, mídia, trademarketing e pesquisas de marca.
4. Controle de verba de mídia de pacotes adjacentes (exemplos: DRC e Operações)
5. Gestão de contratos  -  verba e processo de pagamento dos fees incluindo success fee (agencias, parceiros e institutos)</t>
  </si>
  <si>
    <t xml:space="preserve">1. Garantir o ciclo de previsão de vendas e instalação dos processos de planejamento operacional de vendas incluindo metas (POVE) e S&amp;OP - Sales and Operations Planning), abrangendo as Diretrizes da Oi Fibra e todos as premissas Comerciais (produtos, ofertas, capacidade de vendas de todos os canais e regionais, disponibilidade de rede por região) em conjunto com a Oi Fibra e Canais/Regionais.
2. Responsável por discutir e definir com o time de operações (Oi e Redes Neutras) a capacidade de instalação por ciclos quadrimestrais. (avaliar ajustes).
3. Planejamento e desdobramento orçamentário de gross.
4. Suporte ao modelo de roteirização, capacidade de vendas e delimitação das células de atuação.
5. Gestão do Custo Mínimo em garantia (S&amp;OP x realização)
6. Co-estruturar junto ao trade a confecção da mecânica da campanha de incentivo de toda a força de vendas interna e externa bem como a apuração dos resultados.
</t>
  </si>
  <si>
    <t>1. Definir políticas, processos e procedimentos dos canais offline (PAP, PAPEPS, Teleagentes, entre outros);
2. Definir Política Comercial que garanta sustentabilidade da rede de distribuição e alcance as metas de vendas, receita, qualidade e gestão de custos;
3. Definir política de remuneração visando Buscar padrão de excelência no atendimento aos clientes, alinhados com a proposta de valor da Oi Fibra.
4. Garantir alavancas que garantam maior produtividade e qualidade aos canais
5. Identificar oportunidades de negócio pela otimização dos canais existentes ou desenvolvimento de novos canais
6. Coordenação Nacional dos canais com base nos indicadores de negócios (Produtividade, Qualidade das vendas, CAPU, Rentabilidade, Capilaridade, Resultados operacionais, etc.)
7. Implantar mecanismos para medir aderência dos PDVs aos processos e práticas definidos pelo Canal e demais áreas da companhia.
8. Especificar e utilizar ferramentas de avaliação de desempenho dos Canais e Jornada de Venda
9. Identificar necessidades de revisão/modificação da trilha de capacitação incentivando crescimento individual e da equipe
10. Demandar desenvolvimento de materiais de trade e capacitação
11. Garantir a comunicação entre os Canais e demais áreas da companhia</t>
  </si>
  <si>
    <t xml:space="preserve">1. Gestão de relacionamento com EPS e parceiros de vendas nacionais (WEB/Afiliados/Grande Varejo/TLV)
2. Prospecção de novos parceiros e gestão de parceiros de vendas nacionais
3. Responsável pela entrega do resultado dos canais (gestão da performance)
4.Gerir e acompanhar os principais indicadores de qualidade (churn, FPD, aproveitamento e eficácia)
5. Gestão dos indicadores operacionais do dia-a-dia da operação (quartil, tx. de conversão, produtividade, TMA, TMV, etc)
6. Gestão do funil de vendas
7. Otimizar a relação dimensionamento x custo x disponibilidade de mailing por EPS/Operação
8. Garantir a adequação as demandas Regulatórias/Anatel
9. Especificação do modelo de atuação e rotina operacional  dos canais (acessos, procedimentos, processos, etc)
</t>
  </si>
  <si>
    <t xml:space="preserve">1. Operar os canais regionais de vendas desdobrando as estratégias da Oi Fibra garantindo aderência aos processos e ferramentas 
2. Garantir a Aderência dos parceiros em relação modelo de gestão Oi (gestão operacional, ambientação, apresentação pessoal, etc)
3. Entregar resultados nos Canais de Vendas Regionais (operacionais, qualidade, receita, custo, etc) através de acompanhamento diário de indicadores
4. Gestão de capilaridade e produtividade dos canais regionais
5. Dimensionamento de parceiros para entrega de resultados
6. Esteira de prospecção e credenciamento de novos parceiros
7. Fomento de campanhas e ações de vendas visando aceleração de resultados e/ou KPIs específicos 
8. Garantir adequação dos canais de vendas regionais frente as regras da Anatel e Órgãos de Defesa do Cliente
</t>
  </si>
  <si>
    <t xml:space="preserve">1. Executar as atividades de Trade garantindo visibilidade das ofertas e benefícios aos Clientes conforme estratégia;
2. Padronização e aderência das comunicações, estruturação dos PDVs e outras formas de contato com o Cliente conforme estratégia de comunicação e diretrizes da Oi Fibra;
3. Planejamento, produção e logística dos enxovais de campanhas e comunicações de todos os canais de vendas.
4. Gerir orçamentos de verbas regionais (SAV, MAV, VPC e Mídia) com ganhos de rentabilização e gestão de contratos dos fornecedores (agencias, gráfica)
5. Engajar os times de vendas na alavancagem de resultados e disseminação da cultura organizacional através de campanhas de incentivo e endomarketing
6. Benchmark de produtos, oferta e comunicação dos concorrentes 
7. Suporte aos Canais de vendas no planejamento e execução das ações de vendas.
8. Gerir a visibilidade das ofertas e serviços através de canais de comunicação/veículos de mídias regionalizadas com alto impacto, frequência, visibilidade, rentabilização e convergência
</t>
  </si>
  <si>
    <t>1. Gerar informacional dos indicadores suportando a gestão da rotina e resultados (operacionais, qualidade, receita, despesas)
2. Disponibilização dos indicadores de suporte ao negócio (VL, gross, produtividade, capilaridade, quartil, eficácia, FPD, churn, INAD, IQ, custos, saúde financeira, acurácia, TKP)
3. Elaboração e desdobramento das metas POVE e Remuneração Variável de forma granular (UF, cidade, parceiro, GV, GC) 
4. Diagnóstico dos desvios com mapeamento das oportunidades e melhorias (PDCA/SDCA)
5. Participação na construção do plano de HPs regional de curto e longo Prazo
6. apoiar no mapeamento da concorrência [MF4-1]
7. Suporte a Gestão regional (i), canais nacionais (ii), confecção de materiais, painéis de controle, padronização entre Regiões e GVs</t>
  </si>
  <si>
    <t>1. Garantir aderência dos contratos à estratégia dos canais de relacionamento da Oi Fibra, refletindo em menor preço e maior qualidade através de RFP’s e revisão dos contratos/prestadores atuais e avaliação de novos parceiros.
2. Criação e gestão de Orçamento/budget Opex das operações
3. Apuração do faturamento de todos os contratos (apuração, emissão de pedidos, acompanhamento fim a fim do fluxo de pagamento dos fornecedores).
4. Responsável pelo Forecast de chamadas para todas as operações (call Center), garantindo o alinhamento da estratégia Oi 
5. Monitorar e gerenciar o roteamento das chamadas (24 x 7) entre todos os parceiros (EPSs), garantindo o equilíbrio do nível de serviço entre os parceiro
6. Gerenciar a distribuição e migrações de volume no ambiente Oi (roteamento)
7. Acompanhamento, suporte e ações para correção de desvios com as áreas de Planejamento de cada fornecedor e áreas de operação
8. Gerar informacional dos indicadores suportando a gestão da rotina e resultados (operacionais, qualidade, despesas)
9. Criação e gestão de Orçamento/budget Capex do canal
10. Gestão de demandas Regulatórias (Não perturbe, cautelar, etc)
11. Cadastramento de novos parceiros</t>
  </si>
  <si>
    <t xml:space="preserve">1. Garantir eficiência na Instalação, com maior agilidade no tratamento das pendências, reduzindo atrito com o cliente e custos de reagendamento, em conjunto com os times de Operações, Vendas, Planejamento e Parceiro de Rede Neutra.
2. Monitorar as Ordens de Instalação e Serviço em pendenciamento cliente e parte das pendências técnicas;
3. Garantir o tratamento de pendenciamento seja executado conforme diretrizes estratégicas da Oi Fibra seguindo segmentação de clientes;
4. Realizar a gestão do pendenciamento na esteira de obra e slots para agendamento;  
5. Realizar a interface com o cliente para agendamento e tratamento das pendencias
6. Suportar o técnico em campo no tratamento de Correção de OS, Reagendamento e Desistência do Cliente;
7. Suportar o time de Vendas contingenciando falhas sistêmicas
</t>
  </si>
  <si>
    <t>1. Gestão de relacionamento com EPS e parceiros (Canais Digitais e Humanos)
2. Garantir a implementação da estratégia em todos os canais
3. Prospecção de novos parceiros e soluções
4. Responsável pela entrega do resultado dos canais
5. Gerir e acompanhar os principais indicadores de qualidade e performance
6. Gestão dos indicadores operacionais do dia-a-dia da operação (quartil, tx. de conversão, produtividade, TMA, TMV, etc)
7. Gestão do funil de rentabilização/fidelização
8. Otimizar a relação dimensionamento x custo x disponibilidade de mailing pelos Canais
9. Execução de pilotos e novas iniciativas
10. Garantir a adequação as demandas Regulatórias/Anatel
11. P&amp;L e LTV do Canal
12. Definição da politica de remuneração
13. Especificação do modelo de atuação e rotina operacional  dos canais (acessos, procedimentos, processos, campanhas, etc)
14. Gestão contratual dos parceiros/ferramentas</t>
  </si>
  <si>
    <t>1. Responsável por coordenar junto às EPSs e parceiros (canais digitais e humanos) o atendimento aos clientes da Oi Fibra 
2. Garantir a implementação da estratégia em todos os canais digitais e humanos
3. Quando necessario, responsável por prospectar de novos parceiros e soluções
4. Responsável pela gestão de resultados de todos os indicadores das operações de atendimento (quartil, FCR, nota de satisfação, tx. de conversão, produtividade, TMA, rate, etc)
5. Gestão do atendimento eletrônico (URA)
6. Otimizar a relação dimensionamento x custo x disponibilidade de mailing pelos Canais
7. Execução de pilotos e novas iniciativas
8. Garantir a adequação as demandas Regulatórias/Anatel
9. Especificação do modelo de atuação e rotina operacional  dos canais (acessos, procedimentos, processos, campanhas, etc)
10. Gestão contratual dos parceiros/ferramentas</t>
  </si>
  <si>
    <t>1. Implementar a estratégia de atuação nas operações de Ouvidoria (Ouvidoria e BO Anatel)
2. Quando necessário, fazer relacionamento com Anatel
3. Retroalimentar as áreas internas para endereçar a causa raiz dos problemas dos clientes identiuficados em atendimentos e reclamações
4. Garantir a adequação as demandas Regulatórias / Anatel
5. Gestão de relacionamento com EPS e parceiros
6. Responsável pela entrega do resultado conforme metas definidas pela Anatel
7. Gerir e acompanhar os principais indicadores de qualidade e performance
8. Dimensionamento da operação para garantir Nivel de Serviço
9. Especificação da rotina operacional  dos canais (acessos, procedimentos, processos, campanhas, etc)
10. Gestão contratual dos parceiros/ferramentas</t>
  </si>
  <si>
    <t>1. Gestão de relacionamento com EPS e parceiros (Canais Digitais e Humanos)
2. Garantir a implementação da estratégia em todos os canais (Ativo, Receptivo, RACO e App)
3. Prospecção de novos parceiros e soluções
4. Responsável pela entrega do resultado dos canais
5. Gerir e acompanhar os principais indicadores de qualidade e performance
6. Gestão dos indicadores operacionais do dia-a-dia da operação (quartil, tx. de cancelamento, delta ticket, NS, receita retida, etc)
7. Gestão do funil de retenção
8. Otimizar a relação dimensionamento x custo x tx retenção
9. Operacionalização da estratégia de ativo de reversão
10. Execução de pilotos e novas iniciativas
11. Garantir a adequação as demandas Regulatórias/Anatel
12. P&amp;L e LTV da operação
13. Definição da politica de remuneração
14. Especificação do modelo de atuação e rotina operacional  dos canais (acessos, procedimentos, processos, campanhas, etc)
15. Gestão contratual dos parceiros/ferramentas</t>
  </si>
  <si>
    <t>1. Desenvolvimento das jornadas de comunicação com clientes através de canais diretos como e-mail, SMS, WhatsApp, Push, etc) com objetivos:
2. Comerciais (vender, rentabilizar e blindar)
3. Transacionais (faturar, cobrar, agendar...)
4. Relacionais (engajar, celebrar, reconhecer)
5. Care/Incentivos (meio de pagto, uso,...)
6. Definição da estratégia operacional para otimização do resultado (volume de disparos, melhor horário, recorrência...)
7. Martech: Estruturação do MKT Cloud operacionalizando estratégia da Oi Fibra, segmentação de disparos e implantação de estratégia de CRM (IPs, Reputação, Lógica)
8. Parametrização dos dashboards com os principais indicadores de sucesso e gestão na ferramenta</t>
  </si>
  <si>
    <t>1. Definição da estratégia de disponibilização de HP por região, alinhada à estratégia de aquisição de clientes da Oi Fibra
2. Implementar e gerenciar processo que garantam direcionamento eficiente de investimentos (Opex) de expansão de rede da Oi Fibra
3. Gestão para Garantir em conjunto com operações e Parceiro de rede neutra  a execução do plano de construção de rede dentro do plano definido, potencializando a performance de Vendas
4. Acompanhar a Gestão de qualidade dos HPs construidos (cadastros, S/N, solicitados, viabilidade, etc), bem como sua taxa de ocupação
5. Atendimento aos CDDs de Geomarketing
6. Criar inteligência de identificação de mercado potenciais a serem atendidos com maior capilaridade de Fibra com melhorias da Oi Fibra
7.Identificar oportunidades de mercado na planta de HPs implantados para melhoria de performance e redução do custo de MakeWhole (MW) da Oi Fibra
8. Gestão/Validação do custo de MakeWhole (MW)  no contrato juto ao Parceiro de rede neutra
9. Controle de performance de Take Up</t>
  </si>
  <si>
    <t xml:space="preserve">1. Mapear principais etapas e estruturar processo de liberação comercial de Novas Localidades, Municípios e e/ou Estações de Fibra de acordo com as diretrizes da Oi Fibra.
2. Garantir a mobilização das diversas áreas OI e interface com o fornecedor de rede neutra (Ex.:Vtal) para a execução das atividades do checklist de novas localidades FTTH e o lançamento na data planejada.
3. Definir e monitorar os SLAs de cada etapa, atuando como PMO na coordenação das atividades e correção dos desvios.
</t>
  </si>
  <si>
    <t>1. Responsável pela estratégia orçamentária da Operação Oi Fibra, garantindo as diretrizes corporativas, bem como a execução operacional do serviço ao cliente</t>
  </si>
  <si>
    <t xml:space="preserve">1. Garantir Planejamento e gestão da performance de resultados da Diretoria da Oi Fibra nas suas diversas dimensões de Receita, despesas e físicos e seus indicadores chaves (vendas, instalação, qualidade, churn, arpu, conteúdo &amp; SVA, etc) alinhado a estratégia e a sustentabilidade de negócio da Cia.
2. Apurar e acompanhar toda a performance das Oi Fibra apontando possíveis causas dos resultados identificados gerando diagnósticos para tomada de decisão do negócio, seja com foco nas oportunidades ou ações de correção
3. Responsável por gerar e acompanhar o orçamento (receita, despesa e físico) consolidado, assim como todo Forcast
4. Responsável por elaborar prévias/projeções dos físicos e receita e analise dos desvios 
5. Suportar a Cia com materiais para os fóruns de governança
</t>
  </si>
  <si>
    <t>1. Operacionalização da estratégia de comissão definida pelos Canais de Vendas (ex.: PC e IQ) e Relacionamento
3. Apurar e comunicar informações aos parceiros (valores e detalhamento linha-a-linha)
5. Responsável pela definição do fluxo e análise das contestações de comissão pelos parceiros
6. Gestão de pagamento de Nota Fiscal junto ao Posto Fiscal
7. Encontro de comissão/retenção de comissões referente a finalização de contrato
8. Operacionalização e comunicação das políticas de RV para a força de vendas (regionais/canais) e RH: envio de target de atingimento para pagamento e acompanhamento 
9. Operacionalização de Campanhas dos Canais, como também a apuração e pagamento.
10. Operacionalização da estratégia de comissão de Conteúdo e SVA</t>
  </si>
  <si>
    <t xml:space="preserve">1. Garantir a confiabilidade, disponibilidade, abrangência e recência dos dados e Inform.
2. Viabilizar e apoiar nas análises exploratórias, descritivas e inferenciais, para o negócio
3. Apoiar consultivamente nas discussões e implementar KPI para o acompanhamento dos resultados dos processos de negócio na Cia e tomada de decisão
4. A partir das definições de negócio, estruturar as jornadas dos clientes (martech), em modelo ágil, configurando e acompanhando resultados, para possibilitar a melhoria contínua, bem como campanhas por DBM
5. Acelerar e viabilizar modelos de recomendações, preditivos e arquétipos, aplicado ao negócio e operações da Cia.
</t>
  </si>
  <si>
    <t xml:space="preserve">1. Interface com a controladoria para reports oficiais e visões gerenciais do orçamento
2. Definição e acompanhamento de processos para pagamentos das áreas, incluindo forecast.
3. Gestão de contratos  -  verba e processo de pagamento </t>
  </si>
  <si>
    <t>1. Estruturar e Implementar times em torno das diretrizes de portfolio e fluxos de valor para garantir a execução das prioridades da Oi
2. Definir e implementar as melhores práticas de fluxos, ritos e modelos de trabalho, adequando suas aplicações de acordo com a maturidade ágil das equipes, habilitando e evoluindo essa competência na organização;
3. Habilitar todos os papéis ágeis necessários para impulsionar o Business Agility na Oi, tais como Business Owner, PO, líderes de times ágeis (mesas, PODs, Etc), facilitadores de times ágeis
4. Co-constrói e Implementa as melhores praticas para o desenvolvimento de produtos e soluções de forma ágil
5. Acompanhar e monitorar a evolução da maturidade ágil na Oi Fibra, a partir de indicadores
6. Co-constrói estratégias de gestão da mudança, engajamento e capacitação para a cultura Lean-Ágil</t>
  </si>
  <si>
    <t>1. Responsável por definir e implementar Modelo de Gestão e Governança na Oi Fibra;
2. Responsável por implementar a competência Lean Portfolio Management (LPM) na Oi Fibra, coordenando com stakeholders, ritos e cerimonias de gestão de portfolio;
3. Responsável pela definição e gestão do Sistema de Informações de Gerenciamento de Valor (SIGV), com  ferramentas e métricas de gerenciamento do trabalho da Oi Fibra, buscando aumentar a maturidade ágil e a fluidez organizacional;
4. Gestão dos programas da Oi Fibra a partir dos desdobramentos do portfólio;
5. Coordenar a definição dos OKRs estratégicos da Oi Fibra;
6. Propor todos os artefatos necessários para a realização dos ritos;
7. Gestão da capacidade para a alocação dos times e execução das do portfolio (co-construir processo com áreas envolvidas)</t>
  </si>
  <si>
    <t xml:space="preserve">1. Planejar e estruturar o modelo de Qualidade de vendas por meio de indicadores de negócio (quantitativos e qualitativos) com visão analítica e geração de alarmística com abrangência em todos os canais e regionais de vendas, assim como Monitorar e diagnosticar desvios 
2. Indicar oportunidades de processos a fim de sugerir as ações necessárias com o objetivo de maximizar os resultados da Oi e a satisfação dos Clientes da Oi Fibra, atuando para sua permanente otimização (da prospecção aos primeiros pagamentos).
3. Garantir modelo de gestão de desempenho completo que apresente indicadores corretos para acompanhamento (no mínimo com periodicidade diária) que suportem a tomada de decisão da Oi Fibra.
5. Estruturar modelos e processos de Auditoria de Vendas e atuar com as áreas operacionais, direcionando e definindo a melhor abordagem do Cliente conforme constante reavaliação das causas de não qualidade;
</t>
  </si>
  <si>
    <t xml:space="preserve">1. Planejar e estruturar o modelo de Qualidade das operações de relacionamento com cliente por meio de indicadores de negócio e operacionais (quantitativos e qualitativos) com visão analítica e abrangência em todos os canais (humano, URA, Digitais), assim como monitorar e diagnosticar desvios.
2. Monitorar os principais KPIs de atrito e Indicar oportunidades de processos a fim de sugerir para a Oi Fibra as ações necessárias com o objetivo de maximizar os resultados e a satisfação dos Clientes, atuando para sua permanente otimização.
3. Estruturar modelos e processos de Auditoria dos parceiros de relacionamento, seguindo um fluxo de melhoria contínua para redução de erros e atrito com o cliente e suportando o modelo de competição (bonificação/penalização de contratos).
4. Co -Responsável pela Jornada do cliente nos canais de relacionamento e NPS, acompanhando  indicadores de negócio e atrito com clientes (Contact rate, Churn, Contestação, ODCs, Migrações e etc.) em conjunto com a Oi Fibra para  garantir a eficiência dos processos e a  melhor percepção e experiência do cliente.
5. Gestão das operações de Auditoria
</t>
  </si>
  <si>
    <t>1. Desenvolver, implementar  e operar a gestão da experiencia dos novos clientes</t>
  </si>
  <si>
    <t xml:space="preserve">1. Estabelecer critérios de acompanhamento e ações para a redução de fraude na jornada de compra.2.  Fazer a gestao dos acessos de parceiros e stakeholdes nas plataformas de forma a  evitar fraude e uso indevido dos acessos.  </t>
  </si>
  <si>
    <t>1. Responsável por propor jornadas de atendimento ao cliente nas plataformas digitais em conjunto com as áreas de CX e UX para viabilizar o melhor atendimento aos clientes
2. Responsável por desenhar as features com Tecnologia das melhorias que serão implementadas nas plataformas (oi_e, minha Oi, Joice)
3. Responsável pelos indicadores operacionais das plataformas de atendimento digital
4. Responsável pela gestão orçamentária das plataformas</t>
  </si>
  <si>
    <t>1. Responsável pela estruturação para gestão data driven e atuação com visão fim a fim da jornada de compras nos canais digitais, para geração de insights e sugestões de melhoria relevantes para o negócio</t>
  </si>
  <si>
    <t>1. Responsável pela estratégia e implementação de novas formas de captação de lead para os canais digitais</t>
  </si>
  <si>
    <t>1. Responsável pela evolução e Integração das Plataformas de Canais digitais da Oi Fibra de modo a Potencializar o meio digital como ferramenta de vendas em jornadas de compra mais efetivas.</t>
  </si>
  <si>
    <t>1. Definir a estratégia de canal adequado para a abordagem ao cliente garantindo a ocupação de HPs disponíveis ( Melhor  canal para cada tipologia de HP)
2. Definir metas para os canais regionais
3. Definir de indicadores  de Sucesso
4. Definir a Matriz de rentabilidade do canal
5. Desenvolver e implementar novos canais de vendas, de modo a impulsionar os resultados de vendas
6 - co-construir com acom CX a melhor jornada de compra para a estratégia de canais</t>
  </si>
  <si>
    <t>Francisco Tecles &lt;francisco.tecles@oi.net.br&gt;</t>
  </si>
  <si>
    <t>Fernanda Cristina Lisboa Fischer &lt;fernanda.fischer@oi.net.br&gt;</t>
  </si>
  <si>
    <t>Thais Rodrigues Goncalves &lt;thais.goncalves@oi.net.br&gt;</t>
  </si>
  <si>
    <t>Livia Marquez Rocha &lt;livia.marquez@oi.net.br&gt;</t>
  </si>
  <si>
    <t>Fernando Vairolatti Del Negro Fonseca (fernando.fonseca@oi.net.br)</t>
  </si>
  <si>
    <t>Alexandre Guazelli &lt;alexandre.guazelli@oi.net.br&gt;</t>
  </si>
  <si>
    <t>Giovani Cristiano Da Silva &lt;giovani.silva@oi.net.br&gt;</t>
  </si>
  <si>
    <t>volpe</t>
  </si>
  <si>
    <t>Luiz Marcelo Sencier &lt;luiz.sencier@oi.net.br&gt;</t>
  </si>
  <si>
    <t>Juliana Pimenta &lt;juliana.ribeiro@oi.net.br&gt;</t>
  </si>
  <si>
    <t>Mateus Affonso Bandeira &lt;mateusbandeira2@oi.net.br&gt;</t>
  </si>
  <si>
    <t>Andressa Mourao &lt;andressa.mourao@oi.net.br&gt;</t>
  </si>
  <si>
    <t>Fabiana Carolina Leite &lt;fabiana.leite@oi.net.br&gt;</t>
  </si>
  <si>
    <t>Taylor Silva Soares &lt;taylor.soares@oi.net.br&gt;</t>
  </si>
  <si>
    <t>Bruno De Matos Figueiredo &lt;bruno.matos@oi.net.br&gt;</t>
  </si>
  <si>
    <t>Raphael Paglia &lt;raphael.paglia@oi.net.br&gt;</t>
  </si>
  <si>
    <t>Jurídico Consumidor/Anderson Rocha / Fabricio Martins</t>
  </si>
  <si>
    <t>Interação com Tribunais de Justiça, Órgãos e entidades de Relacionamento com consumidores: PROCON, Ouvidoria ANATEL e Consumidor.gov ​</t>
  </si>
  <si>
    <t xml:space="preserve"> - Internalização e definição para tratamento de demandas judiciais e administrativas dos consumidores
 - Atendimento pelos canais exigidos e pré-acordados com as instâncias externas para recepção de contatos e reclamações prevenientes dos Tribunais de Justiça, Procons, site Consumidor.Gov, bem como,  canais regulados de respostas com a Anatel e Ouvidoria Anatel.
- Os SLAs também já são os estabelecidos e acordados pelos mesmos.</t>
  </si>
  <si>
    <t>Dados históricos anteriores à migração (informações necessárias para tratar eventuais ações e processos judiciais e administrativos PROCON e CONSUMIDOR.GOV.BR)​</t>
  </si>
  <si>
    <t>De acordo com as regras e parâmetros atuais, utilizando os recursos, sistemas, plataformas atuais, a Oi deverá:
- Tratar em seus sistemas legados, cumprir determinações judiciais consumeristas, ou disponibilizar as informações necessárias para tratar eventuais ações e processos judiciais ou administrativos, de clientes com datas anteriores à migração massiva ou voluntária realizada para as bases da Compradora.</t>
  </si>
  <si>
    <t>Alessandro informou, no grupo, que o Paradizi alinhou que não tem atividade para essa gerência.</t>
  </si>
  <si>
    <t>Alessandro informou, no grupo, que o Paradizi alinhou que não tem atividade para essa gerência, mas vai depender dos contratos que serão dropados.</t>
  </si>
  <si>
    <t>Programação, BackOffice, Planejamento e Conciliação dos pagamentos</t>
  </si>
  <si>
    <t>- Tratamento e analise dos documentos
- Criação de proposta de pagamento
- Aprovação da proposta de pagamento
- Previa dos pagamentos e solicitação do recurso financeiros por CNPJ
- Confecção dos borderôs
- Aprovação do Pagamento no banco
- Emissão de comprovantes de pagamento
- Registro dos comprovantes de pagamento no sistema
- Importação dos arquivos retorno e dos extratos
- Conciliação contábil das contas bancárias de contas a pagar</t>
  </si>
  <si>
    <t>Projeção do Fluxo de Caixa e acompanhamento do realizado</t>
  </si>
  <si>
    <t>- Projeção do FCD/FCI da(s) SPE(s) de curto e médio prazos
- Previsão diária dos Recebimentos/Pagamentos para controle do Caixa da(s) SPE(s)
- Acompanhamento e report do realizado mensal do Caixa, analisando as principais variações frente a projeção</t>
  </si>
  <si>
    <t>Relacionamento com Bancos</t>
  </si>
  <si>
    <t>- Realizar a implantação operacional da estrutura de acesso aos novos usuários: abertura de conta corrente, criação de acessos, cadastro das empresas, implementação de convênios (folha e CAP)</t>
  </si>
  <si>
    <t>-  Realizar a implantação de convênios de arrecadação nos bancos em que hoje os clientes migrados já possuem relacionamento.  Para os casos em que os clientes não tenham débito automático, garantir a implementação da estrutura de boletos / PIX. Em um cenário co-billing, realizar pós closing.</t>
  </si>
  <si>
    <t>Gestão e Fechamento do Caixa</t>
  </si>
  <si>
    <t>- Em um cenário de co-billing e, em havendo datas pontuais de repasses no mês, realizar o cálculo do float a ser transferido aos compradores. Em um cenário de faturamento direto pelas SPEs, fazer manualmente as transferências diárias onde os bancos não tenham centralização automática</t>
  </si>
  <si>
    <t>- Realizar a rotina operacional de disponibilização de recursos para os pagamentos diários</t>
  </si>
  <si>
    <t>Projeção e Relatórios de Caixa</t>
  </si>
  <si>
    <t>- Confeccionar os relatórios gerenciais de caixa para a construção do fluxo de caixa diário pelo time de FP&amp;A</t>
  </si>
  <si>
    <t>Conciliação Bancária das operações de Tesouraria no SAP</t>
  </si>
  <si>
    <t>-  Executar a conciliação bancária de operações de Tesouraria (Saldo conta contábil x Extrato)</t>
  </si>
  <si>
    <t>Contabilização das operações de Tesouraria no SAP</t>
  </si>
  <si>
    <t>Pedro Andrade Franca &lt;pedro.franca@oi.net.br&gt;</t>
  </si>
  <si>
    <t>Ana Kelly Da Silva Carneiro &lt;ana.carneiro@oi.net.br&gt;</t>
  </si>
  <si>
    <t>Manuela Barros De Sa Grande &lt;manuela.grande@oi.net.br&gt;</t>
  </si>
  <si>
    <t>Eduardo Streit &lt;eduardo.streit@oi.net.br&gt;</t>
  </si>
  <si>
    <t>Fabiana Fares Dib &lt;fabiana.dib@oi.net.br&gt;</t>
  </si>
  <si>
    <t>Carolina Gava 
&lt;carolina.gava@oi.net.br&gt;</t>
  </si>
  <si>
    <t>Janaina Carvalho Martins &lt;janaina.martins@oi.net.br&gt;</t>
  </si>
  <si>
    <t>Philippe Reis Brasil &lt;philippe.carmo@oi.net.br&gt;</t>
  </si>
  <si>
    <t>Elisabete Ribeiro &lt;elisabete.ribeiro@oi.net.br&gt;</t>
  </si>
  <si>
    <t>Tesouraria e Análise de Desempenho</t>
  </si>
  <si>
    <t>Streit</t>
  </si>
  <si>
    <t>De acordo com as regras e parâmetros atuais, utilizando os recursos, sistemas, plataformas atuais, a Oi deverá:
- Tratar em seus sistemas, ou disponibilizar as informações necessárias para tratar eventuais ações e processos judiciais de ex-colaboradores com datas anteriores à migração massiva..</t>
  </si>
  <si>
    <t>Williams Pereira Junior
&lt;williams.pereira@oi.net.br&gt;</t>
  </si>
  <si>
    <t>Douglas Tostes Coelho &lt;douglas.coelho@oi.net.br&gt;</t>
  </si>
  <si>
    <t>[Mariana] - O tópico engloba as áreas: GCOR, GECCR,GCRCM e PGRAI. Ela pediu para colocarmos o Galvão como responsável, na linha da hierarquia.</t>
  </si>
  <si>
    <t>FTE</t>
  </si>
  <si>
    <t>HC</t>
  </si>
  <si>
    <t>Serviços Jurídicos e Tralhista</t>
  </si>
  <si>
    <t>Viviane Lima Marques &lt;viviane.marques@oi.net.br&gt;</t>
  </si>
  <si>
    <t>[Douglas Tostes] - Informou que da Diretoria da Williams, só terá atividade na diretoria "Serviços Jurídicos Regionais".</t>
  </si>
  <si>
    <t>Serviços Jurídicos Regionais</t>
  </si>
  <si>
    <t>Custo</t>
  </si>
  <si>
    <t>Marcelo e Patrícia</t>
  </si>
  <si>
    <t>Karina está verificando que os dados do Adriano Andrei contempla toda diretoria.</t>
  </si>
  <si>
    <t>Bruno Diehl (toda VP)</t>
  </si>
  <si>
    <t>Thiago Vasconcelos (toda VP)</t>
  </si>
  <si>
    <t>Fernanda Fischer (toda VP)</t>
  </si>
  <si>
    <t>Diferença FTE</t>
  </si>
  <si>
    <t>Diferença Custo</t>
  </si>
  <si>
    <t>Status (23/05)</t>
  </si>
  <si>
    <t>Diferença custo</t>
  </si>
  <si>
    <t>Descrição</t>
  </si>
  <si>
    <t>Nome da VP</t>
  </si>
  <si>
    <t>Regulatório e Institucional</t>
  </si>
  <si>
    <t>Execução e Conciliação das Rotinas do Ativo Fixo (Imobilizado/Intangível).</t>
  </si>
  <si>
    <t>Execução e Conciliação das Despesas, parametrizações contábeis e Obrigações junto à Receita Federal.</t>
  </si>
  <si>
    <t>Informações contábeis necessárias para elaboração das Demonstrações Financeiras</t>
  </si>
  <si>
    <t>Elaboração de determinados quadros das Notas Explicativas das Demonstrações Financeiras.</t>
  </si>
  <si>
    <t>[Leandro] - Informação enviada no dia 05/06/24, ou seja, após o disparo oficial do Draft. Retificado para os executivos no dia 05/06</t>
  </si>
  <si>
    <t>Patricia Ann Necyk &lt;pan@oi.net.br&gt;</t>
  </si>
  <si>
    <t>Contagem de VP</t>
  </si>
  <si>
    <t>Realizar atualização da base  PxQ (planilha de controle de sites vz valores de reembolso)</t>
  </si>
  <si>
    <t>Reunião com Compradoras para alinhamentos e tratamento de pendências</t>
  </si>
  <si>
    <t>Realizar atualização do CAR</t>
  </si>
  <si>
    <t>Emissão de NDs e lançamento no SAP</t>
  </si>
  <si>
    <t>Acompanhamento do Pagamento e Conciliação</t>
  </si>
  <si>
    <t xml:space="preserve"> - Executar a contabilização das operações de Tesouraria (Aplicação, Resgate, Rendimentos e Tributação e câmbio). A compradora deve enviar quinzenalmente um controle de excel para carga no SAP (a ser disponibilizado pela Oi), identificando, entre outros, as contas contábeis, debitos e créditos, data de lançamento.</t>
  </si>
  <si>
    <t>Fechamento de Câmbio</t>
  </si>
  <si>
    <t>- Cadastro das empresas nos bancos que operacionalizam câmbio</t>
  </si>
  <si>
    <t>- Fechamento de câmbio para pagamento a fornecedores internacionais</t>
  </si>
  <si>
    <t>Gestão de capacidade e manutenção de ativos​ de TI</t>
  </si>
  <si>
    <t>De acordo com as regras e parâmetros atuais, utilizando os recursos, sistemas, plataformas atuais, a Oi deverá:
- Garantir a manutenção da disponibilidade sistêmica do parque de TI com os mesmos patamares dos últimos 24 meses da Oi incluindo monitoramento, acompanhamento e resolução de incidentes de produção, obsolescências, gestão de ativos e manutenção da infraestrutura de TI nos data centers.</t>
  </si>
  <si>
    <t>Valor atualizado em 14/06/2024 (inclusão do FTTE da Carol Gava).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</si>
</sst>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6" formatCode="&quot;R$&quot;\ #,##0;[Red]\-&quot;R$&quot;\ #,##0"/>
    <numFmt numFmtId="8" formatCode="&quot;R$&quot;\ #,##0.00;[Red]\-&quot;R$&quot;\ #,##0.00"/>
    <numFmt numFmtId="44" formatCode="_-&quot;R$&quot;\ * #,##0.00_-;\-&quot;R$&quot;\ * #,##0.00_-;_-&quot;R$&quot;\ * &quot;-&quot;??_-;_-@_-"/>
    <numFmt numFmtId="43" formatCode="_-* #,##0.00_-;\-* #,##0.00_-;_-* &quot;-&quot;??_-;_-@_-"/>
    <numFmt numFmtId="164" formatCode="&quot;R$&quot;\ #,##0.00"/>
    <numFmt numFmtId="165" formatCode="_-* #,##0_-;\-* #,##0_-;_-* &quot;-&quot;??_-;_-@_-"/>
    <numFmt numFmtId="166" formatCode="0.0%"/>
  </numFmts>
  <fonts count="47">
    <font>
      <sz val="11"/>
      <color theme="1"/>
      <name val="Calibri"/>
      <family val="2"/>
      <scheme val="minor"/>
    </font>
    <font>
      <b/>
      <sz val="11"/>
      <color theme="1"/>
      <name val="Calibri"/>
      <family val="2"/>
      <scheme val="minor"/>
    </font>
    <font>
      <sz val="10"/>
      <color rgb="FF000000"/>
      <name val="Times New Roman"/>
      <family val="1"/>
    </font>
    <font>
      <u/>
      <sz val="11"/>
      <color theme="10"/>
      <name val="Calibri"/>
      <family val="2"/>
      <scheme val="minor"/>
    </font>
    <font>
      <b/>
      <sz val="10"/>
      <name val="Arial"/>
      <family val="2"/>
    </font>
    <font>
      <b/>
      <sz val="10"/>
      <color rgb="FFF1F1F1"/>
      <name val="Arial"/>
      <family val="2"/>
    </font>
    <font>
      <sz val="10"/>
      <color rgb="FF000000"/>
      <name val="Times New Roman"/>
      <family val="1"/>
    </font>
    <font>
      <sz val="10"/>
      <color theme="1"/>
      <name val="Arial"/>
      <family val="2"/>
    </font>
    <font>
      <strike/>
      <sz val="10"/>
      <color theme="1"/>
      <name val="Arial"/>
      <family val="2"/>
    </font>
    <font>
      <u/>
      <sz val="10"/>
      <color theme="1"/>
      <name val="Arial"/>
      <family val="2"/>
    </font>
    <font>
      <sz val="11"/>
      <color theme="1"/>
      <name val="Simplon BP Regular"/>
    </font>
    <font>
      <sz val="10"/>
      <color rgb="FF000000"/>
      <name val="Simplon BP Regular"/>
    </font>
    <font>
      <vertAlign val="superscript"/>
      <sz val="11"/>
      <color theme="1"/>
      <name val="Simplon BP Regular"/>
    </font>
    <font>
      <b/>
      <u/>
      <sz val="11"/>
      <color theme="1"/>
      <name val="Simplon BP Regular"/>
    </font>
    <font>
      <b/>
      <sz val="11"/>
      <color theme="1"/>
      <name val="Simplon BP Regular"/>
    </font>
    <font>
      <b/>
      <sz val="8"/>
      <color rgb="FF00B050"/>
      <name val="Simplon BP Regular"/>
    </font>
    <font>
      <sz val="11"/>
      <color theme="1"/>
      <name val="Calibri"/>
      <family val="2"/>
      <scheme val="minor"/>
    </font>
    <font>
      <sz val="9"/>
      <color theme="1" tint="0.249977111117893"/>
      <name val="Calibri"/>
      <family val="2"/>
      <scheme val="minor"/>
    </font>
    <font>
      <sz val="9"/>
      <color theme="1"/>
      <name val="Calibri"/>
      <family val="2"/>
      <scheme val="minor"/>
    </font>
    <font>
      <sz val="11"/>
      <color theme="1" tint="0.249977111117893"/>
      <name val="Calibri"/>
      <family val="2"/>
      <scheme val="minor"/>
    </font>
    <font>
      <b/>
      <sz val="9"/>
      <color theme="1"/>
      <name val="Simplon BP Regular"/>
      <family val="3"/>
    </font>
    <font>
      <sz val="8"/>
      <color theme="1" tint="0.14999847407452621"/>
      <name val="Simplon BP Regular"/>
    </font>
    <font>
      <sz val="11"/>
      <color theme="1" tint="0.14999847407452621"/>
      <name val="Simplon BP Regular"/>
    </font>
    <font>
      <u/>
      <sz val="8"/>
      <color theme="1" tint="0.14999847407452621"/>
      <name val="Simplon BP Regular"/>
    </font>
    <font>
      <sz val="8"/>
      <color rgb="FF000000"/>
      <name val="Simplon BP Regular"/>
    </font>
    <font>
      <b/>
      <sz val="8"/>
      <color rgb="FFFF0000"/>
      <name val="Simplon BP Regular"/>
    </font>
    <font>
      <sz val="10"/>
      <name val="Calibri"/>
      <family val="2"/>
      <scheme val="minor"/>
    </font>
    <font>
      <sz val="10"/>
      <color theme="1"/>
      <name val="Calibri"/>
      <family val="2"/>
      <scheme val="minor"/>
    </font>
    <font>
      <sz val="8"/>
      <color theme="1" tint="0.249977111117893"/>
      <name val="Simplon BP Regular"/>
    </font>
    <font>
      <sz val="11"/>
      <color rgb="FFFF0000"/>
      <name val="Calibri"/>
      <family val="2"/>
      <scheme val="minor"/>
    </font>
    <font>
      <sz val="11"/>
      <color rgb="FFCD5937"/>
      <name val="Calibri"/>
      <family val="2"/>
      <scheme val="minor"/>
    </font>
    <font>
      <b/>
      <u/>
      <sz val="11"/>
      <color theme="1"/>
      <name val="Calibri"/>
      <family val="2"/>
      <scheme val="minor"/>
    </font>
    <font>
      <sz val="8"/>
      <name val="Simplon BP Regular"/>
    </font>
    <font>
      <b/>
      <sz val="10"/>
      <color theme="1" tint="0.249977111117893"/>
      <name val="Calibri"/>
      <family val="2"/>
      <scheme val="minor"/>
    </font>
    <font>
      <sz val="10"/>
      <color theme="1" tint="0.249977111117893"/>
      <name val="Calibri"/>
      <family val="2"/>
      <scheme val="minor"/>
    </font>
    <font>
      <b/>
      <sz val="11"/>
      <color theme="0"/>
      <name val="Calibri"/>
      <family val="2"/>
      <scheme val="minor"/>
    </font>
    <font>
      <b/>
      <sz val="12"/>
      <color rgb="FF000000"/>
      <name val="Calibri"/>
      <family val="2"/>
    </font>
    <font>
      <sz val="12"/>
      <color rgb="FF000000"/>
      <name val="Calibri"/>
      <family val="2"/>
    </font>
    <font>
      <b/>
      <sz val="12"/>
      <color rgb="FF00B050"/>
      <name val="Calibri"/>
      <family val="2"/>
    </font>
    <font>
      <sz val="11"/>
      <color rgb="FF000000"/>
      <name val="Calibri"/>
      <family val="2"/>
      <scheme val="minor"/>
    </font>
    <font>
      <b/>
      <sz val="8"/>
      <color theme="1" tint="0.14999847407452621"/>
      <name val="Simplon BP Regular"/>
    </font>
    <font>
      <b/>
      <sz val="8"/>
      <color theme="0"/>
      <name val="Simplon BP Regular"/>
    </font>
    <font>
      <sz val="8"/>
      <color theme="1"/>
      <name val="Simplon BP Regular"/>
    </font>
    <font>
      <b/>
      <sz val="10"/>
      <color theme="1" tint="0.14999847407452621"/>
      <name val="Simplon BP Regular"/>
    </font>
    <font>
      <sz val="9"/>
      <color theme="1" tint="0.14999847407452621"/>
      <name val="Simplon BP Regular"/>
    </font>
    <font>
      <sz val="9"/>
      <name val="Simplon BP Regular"/>
    </font>
    <font>
      <sz val="9"/>
      <color theme="1" tint="0.249977111117893"/>
      <name val="Simplon BP Regular"/>
    </font>
  </fonts>
  <fills count="22">
    <fill>
      <patternFill patternType="none"/>
    </fill>
    <fill>
      <patternFill patternType="gray125"/>
    </fill>
    <fill>
      <patternFill patternType="solid">
        <fgColor theme="0"/>
        <bgColor indexed="64"/>
      </patternFill>
    </fill>
    <fill>
      <patternFill patternType="solid">
        <fgColor rgb="FFF2F2F2"/>
        <bgColor indexed="64"/>
      </patternFill>
    </fill>
    <fill>
      <patternFill patternType="solid">
        <fgColor theme="0" tint="-0.249977111117893"/>
        <bgColor indexed="64"/>
      </patternFill>
    </fill>
    <fill>
      <patternFill patternType="solid">
        <fgColor rgb="FF00D217"/>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3"/>
        <bgColor indexed="64"/>
      </patternFill>
    </fill>
    <fill>
      <patternFill patternType="solid">
        <fgColor rgb="FFC5E0B4"/>
        <bgColor indexed="64"/>
      </patternFill>
    </fill>
    <fill>
      <patternFill patternType="solid">
        <fgColor rgb="FFEBF1E9"/>
        <bgColor indexed="64"/>
      </patternFill>
    </fill>
    <fill>
      <patternFill patternType="solid">
        <fgColor theme="2"/>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4" tint="-0.499984740745262"/>
        <bgColor indexed="64"/>
      </patternFill>
    </fill>
    <fill>
      <patternFill patternType="solid">
        <fgColor theme="1" tint="0.249977111117893"/>
        <bgColor indexed="64"/>
      </patternFill>
    </fill>
  </fills>
  <borders count="41">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style="thin">
        <color rgb="FFB0BACC"/>
      </bottom>
      <diagonal/>
    </border>
    <border>
      <left style="thin">
        <color rgb="FFB0BACC"/>
      </left>
      <right/>
      <top style="thin">
        <color rgb="FFB0BACC"/>
      </top>
      <bottom/>
      <diagonal/>
    </border>
    <border>
      <left style="thin">
        <color rgb="FFB0BACC"/>
      </left>
      <right/>
      <top/>
      <bottom style="thin">
        <color rgb="FFB0BACC"/>
      </bottom>
      <diagonal/>
    </border>
    <border>
      <left style="thin">
        <color rgb="FFB0BACC"/>
      </left>
      <right/>
      <top style="thin">
        <color rgb="FFB0BACC"/>
      </top>
      <bottom style="thin">
        <color rgb="FFB0BACC"/>
      </bottom>
      <diagonal/>
    </border>
    <border>
      <left style="thin">
        <color rgb="FFD3D3D3"/>
      </left>
      <right/>
      <top style="thin">
        <color rgb="FFB0BACC"/>
      </top>
      <bottom style="thin">
        <color rgb="FFB0BACC"/>
      </bottom>
      <diagonal/>
    </border>
    <border>
      <left style="thin">
        <color rgb="FFB0BACC"/>
      </left>
      <right style="thin">
        <color rgb="FFB0BACC"/>
      </right>
      <top style="thin">
        <color rgb="FFB0BACC"/>
      </top>
      <bottom/>
      <diagonal/>
    </border>
    <border>
      <left style="thin">
        <color rgb="FFB0BACC"/>
      </left>
      <right style="thin">
        <color rgb="FFB0BACC"/>
      </right>
      <top/>
      <bottom style="thin">
        <color rgb="FFB0BACC"/>
      </bottom>
      <diagonal/>
    </border>
    <border>
      <left style="thin">
        <color rgb="FFB0BACC"/>
      </left>
      <right style="thin">
        <color rgb="FFB0BACC"/>
      </right>
      <top/>
      <bottom/>
      <diagonal/>
    </border>
    <border>
      <left style="thin">
        <color rgb="FFD3D3D3"/>
      </left>
      <right style="thin">
        <color rgb="FFB0BACC"/>
      </right>
      <top style="thin">
        <color rgb="FFB0BACC"/>
      </top>
      <bottom/>
      <diagonal/>
    </border>
    <border>
      <left style="thin">
        <color rgb="FFD3D3D3"/>
      </left>
      <right style="thin">
        <color rgb="FFB0BACC"/>
      </right>
      <top/>
      <bottom style="thin">
        <color rgb="FFB0BACC"/>
      </bottom>
      <diagonal/>
    </border>
    <border>
      <left style="thin">
        <color indexed="64"/>
      </left>
      <right/>
      <top style="thin">
        <color indexed="64"/>
      </top>
      <bottom style="thin">
        <color indexed="64"/>
      </bottom>
      <diagonal/>
    </border>
    <border>
      <left/>
      <right/>
      <top/>
      <bottom style="thin">
        <color theme="4" tint="0.39997558519241921"/>
      </bottom>
      <diagonal/>
    </border>
    <border>
      <left/>
      <right style="thin">
        <color indexed="64"/>
      </right>
      <top style="thin">
        <color indexed="64"/>
      </top>
      <bottom style="thin">
        <color indexed="64"/>
      </bottom>
      <diagonal/>
    </border>
    <border>
      <left style="medium">
        <color rgb="FF70AD47"/>
      </left>
      <right style="medium">
        <color rgb="FF70AD47"/>
      </right>
      <top style="medium">
        <color rgb="FF70AD47"/>
      </top>
      <bottom style="medium">
        <color rgb="FF70AD47"/>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70AD47"/>
      </left>
      <right style="thin">
        <color rgb="FF70AD47"/>
      </right>
      <top style="medium">
        <color rgb="FF70AD47"/>
      </top>
      <bottom style="thin">
        <color rgb="FF70AD47"/>
      </bottom>
      <diagonal/>
    </border>
    <border>
      <left style="thin">
        <color rgb="FF70AD47"/>
      </left>
      <right style="thin">
        <color rgb="FF70AD47"/>
      </right>
      <top style="medium">
        <color rgb="FF70AD47"/>
      </top>
      <bottom style="thin">
        <color rgb="FF70AD47"/>
      </bottom>
      <diagonal/>
    </border>
    <border>
      <left style="thin">
        <color rgb="FF70AD47"/>
      </left>
      <right style="medium">
        <color rgb="FF70AD47"/>
      </right>
      <top style="medium">
        <color rgb="FF70AD47"/>
      </top>
      <bottom style="thin">
        <color rgb="FF70AD47"/>
      </bottom>
      <diagonal/>
    </border>
    <border>
      <left style="medium">
        <color rgb="FF70AD47"/>
      </left>
      <right style="thin">
        <color rgb="FF70AD47"/>
      </right>
      <top style="thin">
        <color rgb="FF70AD47"/>
      </top>
      <bottom style="medium">
        <color rgb="FF70AD47"/>
      </bottom>
      <diagonal/>
    </border>
    <border>
      <left style="thin">
        <color rgb="FF70AD47"/>
      </left>
      <right style="thin">
        <color rgb="FF70AD47"/>
      </right>
      <top style="thin">
        <color rgb="FF70AD47"/>
      </top>
      <bottom style="medium">
        <color rgb="FF70AD47"/>
      </bottom>
      <diagonal/>
    </border>
    <border>
      <left style="thin">
        <color rgb="FF70AD47"/>
      </left>
      <right style="medium">
        <color rgb="FF70AD47"/>
      </right>
      <top style="thin">
        <color rgb="FF70AD47"/>
      </top>
      <bottom style="medium">
        <color rgb="FF70AD47"/>
      </bottom>
      <diagonal/>
    </border>
  </borders>
  <cellStyleXfs count="7">
    <xf numFmtId="0" fontId="0" fillId="0" borderId="0"/>
    <xf numFmtId="0" fontId="2" fillId="0" borderId="0"/>
    <xf numFmtId="0" fontId="3" fillId="0" borderId="0" applyNumberFormat="0" applyFill="0" applyBorder="0" applyAlignment="0" applyProtection="0"/>
    <xf numFmtId="0" fontId="6" fillId="0" borderId="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cellStyleXfs>
  <cellXfs count="324">
    <xf numFmtId="0" fontId="0" fillId="0" borderId="0" xfId="0"/>
    <xf numFmtId="0" fontId="4" fillId="5" borderId="5" xfId="1" applyFont="1" applyFill="1" applyBorder="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center" vertical="center"/>
    </xf>
    <xf numFmtId="0" fontId="7" fillId="0" borderId="0" xfId="0" applyFont="1" applyAlignment="1">
      <alignment horizontal="center" vertical="center"/>
    </xf>
    <xf numFmtId="0" fontId="7" fillId="0" borderId="0" xfId="0" applyFont="1" applyFill="1" applyAlignment="1">
      <alignment horizontal="left" vertical="center"/>
    </xf>
    <xf numFmtId="0" fontId="7" fillId="0" borderId="8" xfId="1" applyFont="1" applyFill="1" applyBorder="1" applyAlignment="1">
      <alignment horizontal="center" vertical="center" wrapText="1"/>
    </xf>
    <xf numFmtId="0" fontId="7" fillId="0" borderId="6" xfId="1" applyFont="1" applyFill="1" applyBorder="1" applyAlignment="1">
      <alignment horizontal="center" vertical="center" wrapText="1"/>
    </xf>
    <xf numFmtId="0" fontId="7" fillId="0" borderId="7" xfId="1" applyFont="1" applyFill="1" applyBorder="1" applyAlignment="1">
      <alignment horizontal="center" vertical="center" wrapText="1"/>
    </xf>
    <xf numFmtId="0" fontId="8" fillId="0" borderId="8" xfId="1" applyFont="1" applyFill="1" applyBorder="1" applyAlignment="1">
      <alignment horizontal="center" vertical="center" wrapText="1"/>
    </xf>
    <xf numFmtId="0" fontId="9" fillId="0" borderId="0" xfId="2" applyFont="1" applyAlignment="1">
      <alignment horizontal="center" vertical="center"/>
    </xf>
    <xf numFmtId="0" fontId="7" fillId="0" borderId="8" xfId="3" applyFont="1" applyFill="1" applyBorder="1" applyAlignment="1">
      <alignment horizontal="center" vertical="center" wrapText="1"/>
    </xf>
    <xf numFmtId="0" fontId="8" fillId="0" borderId="8" xfId="3" applyFont="1" applyFill="1" applyBorder="1" applyAlignment="1">
      <alignment horizontal="center" vertical="center" wrapText="1"/>
    </xf>
    <xf numFmtId="0" fontId="7" fillId="0" borderId="6" xfId="3" applyFont="1" applyFill="1" applyBorder="1" applyAlignment="1">
      <alignment horizontal="center" vertical="center" wrapText="1"/>
    </xf>
    <xf numFmtId="0" fontId="7" fillId="0" borderId="7" xfId="3" applyFont="1" applyFill="1" applyBorder="1" applyAlignment="1">
      <alignment horizontal="center" vertical="center" wrapText="1"/>
    </xf>
    <xf numFmtId="0" fontId="7" fillId="0" borderId="9" xfId="3" applyFont="1" applyFill="1" applyBorder="1" applyAlignment="1">
      <alignment horizontal="center" vertical="center" wrapText="1"/>
    </xf>
    <xf numFmtId="0" fontId="10" fillId="0" borderId="0" xfId="0" applyFont="1"/>
    <xf numFmtId="0" fontId="11" fillId="4" borderId="4"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0" fillId="0" borderId="4" xfId="0" applyFont="1" applyFill="1" applyBorder="1" applyAlignment="1">
      <alignment vertical="center" wrapText="1"/>
    </xf>
    <xf numFmtId="0" fontId="10" fillId="0" borderId="4" xfId="0" applyFont="1" applyFill="1" applyBorder="1" applyAlignment="1">
      <alignment horizontal="left" vertical="center" wrapText="1"/>
    </xf>
    <xf numFmtId="0" fontId="0" fillId="0" borderId="4" xfId="0" applyBorder="1" applyAlignment="1">
      <alignment horizontal="center" vertical="center"/>
    </xf>
    <xf numFmtId="0" fontId="0" fillId="0" borderId="4" xfId="0" applyBorder="1"/>
    <xf numFmtId="0" fontId="15" fillId="0" borderId="4" xfId="0" applyFont="1" applyBorder="1" applyAlignment="1">
      <alignment horizontal="center" vertical="center" wrapText="1"/>
    </xf>
    <xf numFmtId="0" fontId="0" fillId="8" borderId="0" xfId="0" applyFont="1" applyFill="1" applyAlignment="1">
      <alignment horizontal="center" vertical="center"/>
    </xf>
    <xf numFmtId="0" fontId="17" fillId="0" borderId="0" xfId="0" applyFont="1" applyAlignment="1">
      <alignment horizontal="center"/>
    </xf>
    <xf numFmtId="0" fontId="17" fillId="0" borderId="0" xfId="0" applyFont="1" applyAlignment="1">
      <alignment horizontal="center" vertical="center"/>
    </xf>
    <xf numFmtId="0" fontId="17" fillId="0" borderId="0" xfId="0" applyFont="1" applyAlignment="1">
      <alignment horizontal="left" vertical="center"/>
    </xf>
    <xf numFmtId="44" fontId="17" fillId="0" borderId="0" xfId="5" applyFont="1" applyAlignment="1">
      <alignment horizontal="center" vertical="center"/>
    </xf>
    <xf numFmtId="0" fontId="17" fillId="0" borderId="0" xfId="0" applyFont="1" applyFill="1" applyAlignment="1">
      <alignment horizontal="center"/>
    </xf>
    <xf numFmtId="0" fontId="17" fillId="0" borderId="0" xfId="0" applyFont="1" applyFill="1" applyAlignment="1">
      <alignment horizontal="center" vertical="center"/>
    </xf>
    <xf numFmtId="0" fontId="17" fillId="0" borderId="0" xfId="0" applyFont="1" applyFill="1" applyAlignment="1">
      <alignment horizontal="left" vertical="center"/>
    </xf>
    <xf numFmtId="44" fontId="17" fillId="0" borderId="0" xfId="5" applyFont="1" applyFill="1" applyAlignment="1">
      <alignment horizontal="center" vertical="center"/>
    </xf>
    <xf numFmtId="0" fontId="18" fillId="0" borderId="4" xfId="0" applyFont="1" applyFill="1" applyBorder="1" applyAlignment="1">
      <alignment horizontal="center" vertical="center"/>
    </xf>
    <xf numFmtId="43" fontId="18" fillId="0" borderId="4" xfId="4" applyFont="1" applyFill="1" applyBorder="1" applyAlignment="1">
      <alignment horizontal="left"/>
    </xf>
    <xf numFmtId="0" fontId="18" fillId="0" borderId="4" xfId="0" applyFont="1" applyFill="1" applyBorder="1" applyAlignment="1">
      <alignment horizontal="center"/>
    </xf>
    <xf numFmtId="165" fontId="18" fillId="0" borderId="4" xfId="4" applyNumberFormat="1" applyFont="1" applyFill="1" applyBorder="1" applyAlignment="1">
      <alignment horizontal="center" vertical="center"/>
    </xf>
    <xf numFmtId="164" fontId="18" fillId="0" borderId="4" xfId="5" applyNumberFormat="1" applyFont="1" applyFill="1" applyBorder="1" applyAlignment="1">
      <alignment horizontal="center" vertical="center"/>
    </xf>
    <xf numFmtId="43" fontId="18" fillId="0" borderId="4" xfId="4" applyFont="1" applyFill="1" applyBorder="1" applyAlignment="1">
      <alignment horizontal="center" vertical="center"/>
    </xf>
    <xf numFmtId="0" fontId="18" fillId="0" borderId="4" xfId="0" applyFont="1" applyFill="1" applyBorder="1" applyAlignment="1">
      <alignment horizontal="left" vertical="center"/>
    </xf>
    <xf numFmtId="14" fontId="18" fillId="0" borderId="4" xfId="0" applyNumberFormat="1" applyFont="1" applyFill="1" applyBorder="1" applyAlignment="1">
      <alignment horizontal="center" vertical="center"/>
    </xf>
    <xf numFmtId="1" fontId="18" fillId="0" borderId="4" xfId="4" applyNumberFormat="1" applyFont="1" applyFill="1" applyBorder="1" applyAlignment="1">
      <alignment horizontal="center" vertical="center"/>
    </xf>
    <xf numFmtId="0" fontId="18" fillId="0" borderId="4" xfId="4" applyNumberFormat="1" applyFont="1" applyFill="1" applyBorder="1" applyAlignment="1">
      <alignment horizontal="center" vertical="center"/>
    </xf>
    <xf numFmtId="0" fontId="19" fillId="0" borderId="0" xfId="0" applyFont="1" applyAlignment="1">
      <alignment horizontal="center"/>
    </xf>
    <xf numFmtId="43" fontId="20" fillId="9" borderId="4" xfId="4" applyFont="1" applyFill="1" applyBorder="1" applyAlignment="1">
      <alignment horizontal="center" vertical="center" wrapText="1"/>
    </xf>
    <xf numFmtId="44" fontId="20" fillId="9" borderId="4" xfId="5" applyFont="1" applyFill="1" applyBorder="1" applyAlignment="1">
      <alignment horizontal="center" vertical="center" wrapText="1"/>
    </xf>
    <xf numFmtId="0" fontId="20" fillId="9" borderId="4" xfId="0" applyFont="1" applyFill="1" applyBorder="1" applyAlignment="1">
      <alignment horizontal="center" vertical="center" wrapText="1"/>
    </xf>
    <xf numFmtId="43" fontId="18" fillId="2" borderId="4" xfId="4" applyFont="1" applyFill="1" applyBorder="1" applyAlignment="1">
      <alignment horizontal="center" vertical="center"/>
    </xf>
    <xf numFmtId="14" fontId="18" fillId="2" borderId="4" xfId="4" applyNumberFormat="1" applyFont="1" applyFill="1" applyBorder="1" applyAlignment="1">
      <alignment horizontal="center" vertical="center"/>
    </xf>
    <xf numFmtId="1" fontId="18" fillId="2" borderId="4" xfId="0" applyNumberFormat="1" applyFont="1" applyFill="1" applyBorder="1" applyAlignment="1">
      <alignment horizontal="center" vertical="center"/>
    </xf>
    <xf numFmtId="43" fontId="18" fillId="2" borderId="4" xfId="4" applyFont="1" applyFill="1" applyBorder="1" applyAlignment="1">
      <alignment horizontal="left" vertical="center"/>
    </xf>
    <xf numFmtId="164" fontId="18" fillId="2" borderId="4" xfId="4" applyNumberFormat="1" applyFont="1" applyFill="1" applyBorder="1" applyAlignment="1">
      <alignment horizontal="center" vertical="center"/>
    </xf>
    <xf numFmtId="0" fontId="0" fillId="0" borderId="0" xfId="0" applyFont="1"/>
    <xf numFmtId="44" fontId="17" fillId="0" borderId="4" xfId="5" applyFont="1" applyFill="1" applyBorder="1" applyAlignment="1">
      <alignment horizontal="center" vertical="center"/>
    </xf>
    <xf numFmtId="0" fontId="17" fillId="0" borderId="4" xfId="0" applyFont="1" applyFill="1" applyBorder="1" applyAlignment="1">
      <alignment horizontal="center" vertical="center"/>
    </xf>
    <xf numFmtId="0" fontId="0" fillId="2" borderId="0" xfId="0" applyFont="1" applyFill="1"/>
    <xf numFmtId="44" fontId="20" fillId="10" borderId="4" xfId="5" applyFont="1" applyFill="1" applyBorder="1" applyAlignment="1">
      <alignment horizontal="center" vertical="center" wrapText="1"/>
    </xf>
    <xf numFmtId="43" fontId="20" fillId="10" borderId="4" xfId="4" applyFont="1" applyFill="1" applyBorder="1" applyAlignment="1">
      <alignment horizontal="center" vertical="center" wrapText="1"/>
    </xf>
    <xf numFmtId="0" fontId="20" fillId="10" borderId="4" xfId="0" applyFont="1" applyFill="1" applyBorder="1" applyAlignment="1">
      <alignment horizontal="center" vertical="center" wrapText="1"/>
    </xf>
    <xf numFmtId="44" fontId="17" fillId="7" borderId="0" xfId="5" applyFont="1" applyFill="1" applyAlignment="1">
      <alignment horizontal="center" vertical="center"/>
    </xf>
    <xf numFmtId="43" fontId="20" fillId="7" borderId="4" xfId="4" applyFont="1" applyFill="1" applyBorder="1" applyAlignment="1">
      <alignment horizontal="center" vertical="center" wrapText="1"/>
    </xf>
    <xf numFmtId="0" fontId="1" fillId="2" borderId="2" xfId="0" applyFont="1" applyFill="1" applyBorder="1" applyAlignment="1">
      <alignment horizontal="center"/>
    </xf>
    <xf numFmtId="0" fontId="0" fillId="2" borderId="4" xfId="0" applyFont="1" applyFill="1" applyBorder="1"/>
    <xf numFmtId="0" fontId="0" fillId="0" borderId="0" xfId="0" applyAlignment="1">
      <alignment horizontal="center"/>
    </xf>
    <xf numFmtId="0" fontId="7" fillId="0" borderId="0" xfId="0" applyFont="1" applyAlignment="1">
      <alignment horizontal="center"/>
    </xf>
    <xf numFmtId="0" fontId="21" fillId="0" borderId="0" xfId="0" applyFont="1" applyAlignment="1">
      <alignment horizontal="center" vertical="center"/>
    </xf>
    <xf numFmtId="0" fontId="21" fillId="0" borderId="0" xfId="0" applyFont="1" applyAlignment="1">
      <alignment vertical="center"/>
    </xf>
    <xf numFmtId="0" fontId="21" fillId="0" borderId="0" xfId="0" applyFont="1" applyAlignment="1">
      <alignment vertical="top"/>
    </xf>
    <xf numFmtId="0" fontId="21" fillId="0" borderId="0" xfId="0" applyFont="1" applyAlignment="1">
      <alignment horizontal="left" vertical="center"/>
    </xf>
    <xf numFmtId="0" fontId="21" fillId="0" borderId="0" xfId="0" applyFont="1"/>
    <xf numFmtId="0" fontId="21" fillId="0" borderId="4" xfId="0" applyFont="1" applyBorder="1" applyAlignment="1">
      <alignment horizontal="center" vertical="center" wrapText="1"/>
    </xf>
    <xf numFmtId="0" fontId="21" fillId="0" borderId="4" xfId="0" applyFont="1" applyBorder="1" applyAlignment="1">
      <alignment horizontal="left" vertical="center" wrapText="1"/>
    </xf>
    <xf numFmtId="0" fontId="21" fillId="0" borderId="4" xfId="0" applyFont="1" applyBorder="1" applyAlignment="1">
      <alignment horizontal="left" vertical="top" wrapText="1"/>
    </xf>
    <xf numFmtId="0" fontId="21" fillId="0" borderId="4" xfId="0" applyFont="1" applyFill="1" applyBorder="1" applyAlignment="1">
      <alignment horizontal="left" vertical="top" wrapText="1"/>
    </xf>
    <xf numFmtId="0" fontId="21" fillId="2" borderId="4" xfId="0" applyFont="1" applyFill="1" applyBorder="1" applyAlignment="1">
      <alignment horizontal="left" vertical="top" wrapText="1"/>
    </xf>
    <xf numFmtId="0" fontId="21" fillId="0" borderId="4" xfId="0" applyFont="1" applyFill="1" applyBorder="1" applyAlignment="1">
      <alignment vertical="top" wrapText="1"/>
    </xf>
    <xf numFmtId="0" fontId="21" fillId="0" borderId="4" xfId="0" applyFont="1" applyFill="1" applyBorder="1" applyAlignment="1">
      <alignment horizontal="left" vertical="center" wrapText="1"/>
    </xf>
    <xf numFmtId="0" fontId="21" fillId="0" borderId="0" xfId="0" applyFont="1" applyBorder="1" applyAlignment="1">
      <alignment vertical="center"/>
    </xf>
    <xf numFmtId="0" fontId="21" fillId="7" borderId="4" xfId="0" applyFont="1" applyFill="1" applyBorder="1" applyAlignment="1">
      <alignment horizontal="left" vertical="top" wrapText="1"/>
    </xf>
    <xf numFmtId="0" fontId="21" fillId="0" borderId="0" xfId="0" applyFont="1" applyBorder="1" applyAlignment="1">
      <alignment horizontal="center" vertical="center"/>
    </xf>
    <xf numFmtId="0" fontId="21" fillId="0" borderId="4" xfId="0" applyFont="1" applyBorder="1"/>
    <xf numFmtId="0" fontId="21" fillId="0" borderId="4" xfId="0" applyFont="1" applyBorder="1" applyAlignment="1">
      <alignment vertical="top" wrapText="1"/>
    </xf>
    <xf numFmtId="0" fontId="21" fillId="0" borderId="4" xfId="0" applyFont="1" applyFill="1" applyBorder="1" applyAlignment="1">
      <alignment horizontal="left" vertical="center"/>
    </xf>
    <xf numFmtId="0" fontId="22" fillId="0" borderId="0" xfId="0" applyFont="1"/>
    <xf numFmtId="0" fontId="21" fillId="0" borderId="3" xfId="0" applyFont="1" applyBorder="1" applyAlignment="1">
      <alignment vertical="center"/>
    </xf>
    <xf numFmtId="0" fontId="0" fillId="0" borderId="0" xfId="0" pivotButton="1"/>
    <xf numFmtId="0" fontId="0" fillId="0" borderId="0" xfId="0" applyAlignment="1">
      <alignment horizontal="left"/>
    </xf>
    <xf numFmtId="0" fontId="24" fillId="0" borderId="4" xfId="0" applyFont="1" applyBorder="1" applyAlignment="1">
      <alignment horizontal="center" vertical="center" wrapText="1"/>
    </xf>
    <xf numFmtId="0" fontId="21" fillId="3" borderId="2" xfId="0" applyFont="1" applyFill="1" applyBorder="1" applyAlignment="1">
      <alignment vertical="center" wrapText="1"/>
    </xf>
    <xf numFmtId="0" fontId="21" fillId="3" borderId="4" xfId="0" applyFont="1" applyFill="1" applyBorder="1" applyAlignment="1">
      <alignment vertical="center" wrapText="1"/>
    </xf>
    <xf numFmtId="0" fontId="3" fillId="0" borderId="8" xfId="2" applyFill="1" applyBorder="1" applyAlignment="1">
      <alignment horizontal="center" vertical="center" wrapText="1"/>
    </xf>
    <xf numFmtId="0" fontId="26" fillId="0" borderId="4" xfId="0" applyFont="1" applyFill="1" applyBorder="1" applyAlignment="1">
      <alignment horizontal="left" vertical="center"/>
    </xf>
    <xf numFmtId="0" fontId="25" fillId="0" borderId="4" xfId="0" applyFont="1" applyBorder="1" applyAlignment="1">
      <alignment horizontal="center" vertical="center" wrapText="1"/>
    </xf>
    <xf numFmtId="0" fontId="0" fillId="6" borderId="0" xfId="0" applyFill="1"/>
    <xf numFmtId="44" fontId="18" fillId="0" borderId="4" xfId="5" applyFont="1" applyFill="1" applyBorder="1" applyAlignment="1">
      <alignment horizontal="center" vertical="center"/>
    </xf>
    <xf numFmtId="0" fontId="0" fillId="0" borderId="4" xfId="0" applyFont="1" applyFill="1" applyBorder="1"/>
    <xf numFmtId="0" fontId="18" fillId="0" borderId="2" xfId="0" applyFont="1" applyFill="1" applyBorder="1" applyAlignment="1">
      <alignment horizontal="left" vertical="center"/>
    </xf>
    <xf numFmtId="44" fontId="18" fillId="0" borderId="2" xfId="5" applyFont="1" applyFill="1" applyBorder="1" applyAlignment="1">
      <alignment horizontal="center" vertical="center"/>
    </xf>
    <xf numFmtId="44" fontId="18" fillId="0" borderId="4" xfId="0" applyNumberFormat="1" applyFont="1" applyFill="1" applyBorder="1" applyAlignment="1">
      <alignment horizontal="left" vertical="center"/>
    </xf>
    <xf numFmtId="0" fontId="18" fillId="0" borderId="2" xfId="0" applyFont="1" applyFill="1" applyBorder="1" applyAlignment="1">
      <alignment horizontal="center" vertical="center"/>
    </xf>
    <xf numFmtId="6" fontId="18" fillId="0" borderId="2" xfId="5" applyNumberFormat="1" applyFont="1" applyFill="1" applyBorder="1" applyAlignment="1">
      <alignment horizontal="center" vertical="center"/>
    </xf>
    <xf numFmtId="14" fontId="18" fillId="0" borderId="2" xfId="0" applyNumberFormat="1" applyFont="1" applyFill="1" applyBorder="1" applyAlignment="1">
      <alignment horizontal="center" vertical="center"/>
    </xf>
    <xf numFmtId="4" fontId="18" fillId="0" borderId="4" xfId="0" applyNumberFormat="1" applyFont="1" applyFill="1" applyBorder="1" applyAlignment="1">
      <alignment horizontal="left" vertical="center"/>
    </xf>
    <xf numFmtId="0" fontId="18" fillId="0" borderId="4" xfId="0" applyFont="1" applyFill="1" applyBorder="1" applyAlignment="1">
      <alignment horizontal="left" vertical="center" wrapText="1"/>
    </xf>
    <xf numFmtId="0" fontId="18" fillId="0" borderId="0" xfId="0" applyFont="1" applyFill="1" applyBorder="1" applyAlignment="1">
      <alignment horizontal="center" vertical="center"/>
    </xf>
    <xf numFmtId="0" fontId="27" fillId="0" borderId="2" xfId="0" applyFont="1" applyFill="1" applyBorder="1" applyAlignment="1">
      <alignment horizontal="left" vertical="center"/>
    </xf>
    <xf numFmtId="0" fontId="27" fillId="2" borderId="4" xfId="0" applyFont="1" applyFill="1" applyBorder="1" applyAlignment="1">
      <alignment wrapText="1"/>
    </xf>
    <xf numFmtId="0" fontId="27" fillId="0" borderId="2" xfId="0" applyFont="1" applyFill="1" applyBorder="1" applyAlignment="1">
      <alignment horizontal="left" vertical="center" wrapText="1"/>
    </xf>
    <xf numFmtId="44" fontId="27" fillId="0" borderId="4" xfId="5" applyFont="1" applyFill="1" applyBorder="1" applyAlignment="1">
      <alignment horizontal="center" vertical="center"/>
    </xf>
    <xf numFmtId="44" fontId="27" fillId="0" borderId="2" xfId="5" applyFont="1" applyFill="1" applyBorder="1" applyAlignment="1">
      <alignment horizontal="center" vertical="center"/>
    </xf>
    <xf numFmtId="0" fontId="27" fillId="0" borderId="2" xfId="0" applyFont="1" applyFill="1" applyBorder="1" applyAlignment="1">
      <alignment horizontal="center" vertical="center"/>
    </xf>
    <xf numFmtId="0" fontId="27" fillId="0" borderId="2"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7" fillId="0" borderId="4" xfId="0" applyFont="1" applyFill="1" applyBorder="1" applyAlignment="1">
      <alignment horizontal="center"/>
    </xf>
    <xf numFmtId="0" fontId="27" fillId="0" borderId="4" xfId="0" applyFont="1" applyFill="1" applyBorder="1" applyAlignment="1">
      <alignment horizontal="left" vertical="center"/>
    </xf>
    <xf numFmtId="0" fontId="27" fillId="0" borderId="4" xfId="0" applyFont="1" applyFill="1" applyBorder="1" applyAlignment="1">
      <alignment horizontal="left" vertical="center" wrapText="1"/>
    </xf>
    <xf numFmtId="0" fontId="27" fillId="0" borderId="4" xfId="0" applyFont="1" applyFill="1" applyBorder="1" applyAlignment="1">
      <alignment horizontal="center" vertical="center"/>
    </xf>
    <xf numFmtId="0" fontId="27" fillId="2" borderId="4" xfId="0" applyFont="1" applyFill="1" applyBorder="1" applyAlignment="1">
      <alignment horizontal="left" vertical="top" wrapText="1"/>
    </xf>
    <xf numFmtId="0" fontId="18" fillId="0" borderId="0" xfId="0" applyFont="1" applyFill="1" applyAlignment="1">
      <alignment horizontal="left" vertical="center"/>
    </xf>
    <xf numFmtId="44" fontId="18" fillId="0" borderId="0" xfId="5" applyFont="1" applyFill="1" applyAlignment="1">
      <alignment horizontal="center" vertical="center"/>
    </xf>
    <xf numFmtId="0" fontId="18" fillId="0" borderId="0" xfId="0" applyFont="1" applyFill="1" applyAlignment="1">
      <alignment horizontal="center" vertical="center"/>
    </xf>
    <xf numFmtId="0" fontId="18" fillId="0" borderId="0" xfId="0" applyFont="1" applyFill="1" applyAlignment="1">
      <alignment horizontal="center"/>
    </xf>
    <xf numFmtId="0" fontId="0" fillId="0" borderId="0" xfId="0" applyFont="1" applyAlignment="1">
      <alignment horizontal="left" vertical="center" indent="1"/>
    </xf>
    <xf numFmtId="0" fontId="31" fillId="0" borderId="0" xfId="0" applyFont="1" applyAlignment="1">
      <alignment horizontal="left" vertical="center"/>
    </xf>
    <xf numFmtId="0" fontId="29" fillId="0" borderId="0" xfId="0" applyFont="1" applyAlignment="1">
      <alignment horizontal="left"/>
    </xf>
    <xf numFmtId="0" fontId="29" fillId="0" borderId="0" xfId="0" applyNumberFormat="1" applyFont="1"/>
    <xf numFmtId="0" fontId="21" fillId="8" borderId="0" xfId="0" applyFont="1" applyFill="1"/>
    <xf numFmtId="0" fontId="21" fillId="3" borderId="0" xfId="0" applyFont="1" applyFill="1" applyBorder="1" applyAlignment="1">
      <alignment vertical="center" wrapText="1"/>
    </xf>
    <xf numFmtId="0" fontId="32" fillId="0" borderId="4" xfId="0" applyFont="1" applyFill="1" applyBorder="1" applyAlignment="1">
      <alignment horizontal="left" vertical="center" wrapText="1"/>
    </xf>
    <xf numFmtId="0" fontId="32" fillId="0" borderId="4" xfId="0" applyFont="1" applyFill="1" applyBorder="1" applyAlignment="1">
      <alignment vertical="top" wrapText="1"/>
    </xf>
    <xf numFmtId="44" fontId="33" fillId="0" borderId="4" xfId="5" applyFont="1" applyFill="1" applyBorder="1" applyAlignment="1">
      <alignment horizontal="center" vertical="center"/>
    </xf>
    <xf numFmtId="0" fontId="17" fillId="0" borderId="4" xfId="0" applyFont="1" applyFill="1" applyBorder="1" applyAlignment="1">
      <alignment horizontal="center" vertical="center" wrapText="1"/>
    </xf>
    <xf numFmtId="44" fontId="34" fillId="0" borderId="4" xfId="5" applyFont="1" applyFill="1" applyBorder="1" applyAlignment="1">
      <alignment horizontal="center" vertical="center"/>
    </xf>
    <xf numFmtId="0" fontId="34" fillId="0" borderId="4" xfId="0" applyFont="1" applyFill="1" applyBorder="1" applyAlignment="1">
      <alignment horizontal="center" vertical="center"/>
    </xf>
    <xf numFmtId="0" fontId="26" fillId="0" borderId="4" xfId="0" applyFont="1" applyFill="1" applyBorder="1" applyAlignment="1">
      <alignment horizontal="center" vertical="center"/>
    </xf>
    <xf numFmtId="0" fontId="26" fillId="0" borderId="4" xfId="0" applyFont="1" applyFill="1" applyBorder="1" applyAlignment="1">
      <alignment horizontal="center" vertical="center" wrapText="1"/>
    </xf>
    <xf numFmtId="0" fontId="21" fillId="0" borderId="0" xfId="0" applyFont="1" applyFill="1" applyBorder="1" applyAlignment="1">
      <alignment vertical="center"/>
    </xf>
    <xf numFmtId="0" fontId="21" fillId="0" borderId="4" xfId="0" applyFont="1" applyFill="1" applyBorder="1" applyAlignment="1">
      <alignment vertical="center" wrapText="1"/>
    </xf>
    <xf numFmtId="0" fontId="32" fillId="0" borderId="4" xfId="0" quotePrefix="1" applyFont="1" applyFill="1" applyBorder="1" applyAlignment="1">
      <alignment vertical="top" wrapText="1"/>
    </xf>
    <xf numFmtId="0" fontId="15" fillId="0" borderId="4" xfId="0" applyFont="1" applyFill="1" applyBorder="1" applyAlignment="1">
      <alignment horizontal="center" vertical="center" wrapText="1"/>
    </xf>
    <xf numFmtId="0" fontId="21" fillId="0" borderId="0" xfId="0" applyFont="1" applyFill="1"/>
    <xf numFmtId="0" fontId="21" fillId="0" borderId="4" xfId="0" quotePrefix="1" applyFont="1" applyFill="1" applyBorder="1" applyAlignment="1">
      <alignment vertical="top" wrapText="1"/>
    </xf>
    <xf numFmtId="0" fontId="0" fillId="0" borderId="0" xfId="0" applyAlignment="1">
      <alignment horizontal="center" vertical="center"/>
    </xf>
    <xf numFmtId="0" fontId="0" fillId="0" borderId="4" xfId="0" applyFont="1" applyBorder="1" applyAlignment="1">
      <alignment horizontal="left"/>
    </xf>
    <xf numFmtId="166" fontId="0" fillId="0" borderId="4" xfId="6" applyNumberFormat="1" applyFont="1" applyBorder="1" applyAlignment="1">
      <alignment horizontal="center" vertical="center"/>
    </xf>
    <xf numFmtId="0" fontId="21" fillId="0" borderId="0" xfId="0" applyFont="1" applyFill="1" applyBorder="1" applyAlignment="1">
      <alignment horizontal="center" vertical="center"/>
    </xf>
    <xf numFmtId="0" fontId="21" fillId="0" borderId="2" xfId="0" applyFont="1" applyFill="1" applyBorder="1" applyAlignment="1">
      <alignment vertical="center" wrapText="1"/>
    </xf>
    <xf numFmtId="0" fontId="0" fillId="0" borderId="4" xfId="0" applyNumberFormat="1" applyFont="1" applyFill="1" applyBorder="1" applyAlignment="1">
      <alignment horizontal="center" vertical="center"/>
    </xf>
    <xf numFmtId="0" fontId="21" fillId="0" borderId="4" xfId="0" applyFont="1" applyFill="1" applyBorder="1" applyAlignment="1">
      <alignment horizontal="center" vertical="center" wrapText="1"/>
    </xf>
    <xf numFmtId="0" fontId="1" fillId="12" borderId="16" xfId="0" applyFont="1" applyFill="1" applyBorder="1"/>
    <xf numFmtId="16" fontId="0" fillId="0" borderId="0" xfId="0" applyNumberFormat="1"/>
    <xf numFmtId="0" fontId="1" fillId="0" borderId="4" xfId="0" applyFont="1" applyBorder="1" applyAlignment="1">
      <alignment horizontal="center" vertical="center" wrapText="1"/>
    </xf>
    <xf numFmtId="0" fontId="0" fillId="0" borderId="4" xfId="0" applyBorder="1" applyAlignment="1">
      <alignment horizontal="center" vertical="center" wrapText="1"/>
    </xf>
    <xf numFmtId="0" fontId="1" fillId="0" borderId="4" xfId="0" applyFont="1" applyBorder="1" applyAlignment="1">
      <alignment horizontal="left"/>
    </xf>
    <xf numFmtId="0" fontId="1" fillId="0" borderId="4" xfId="0" applyNumberFormat="1" applyFont="1" applyBorder="1"/>
    <xf numFmtId="0" fontId="1" fillId="0" borderId="16" xfId="0" applyFont="1" applyBorder="1" applyAlignment="1">
      <alignment horizontal="left"/>
    </xf>
    <xf numFmtId="0" fontId="1" fillId="0" borderId="16" xfId="0" applyNumberFormat="1" applyFont="1" applyBorder="1"/>
    <xf numFmtId="0" fontId="0" fillId="0" borderId="4" xfId="0" applyBorder="1" applyAlignment="1">
      <alignment horizontal="center"/>
    </xf>
    <xf numFmtId="9" fontId="0" fillId="0" borderId="4" xfId="6" applyFont="1" applyBorder="1" applyAlignment="1">
      <alignment horizontal="center"/>
    </xf>
    <xf numFmtId="16" fontId="0" fillId="0" borderId="4" xfId="0" applyNumberFormat="1" applyBorder="1" applyAlignment="1">
      <alignment horizontal="center"/>
    </xf>
    <xf numFmtId="0" fontId="1" fillId="0" borderId="4" xfId="0" applyNumberFormat="1" applyFont="1" applyFill="1" applyBorder="1" applyAlignment="1">
      <alignment horizontal="center"/>
    </xf>
    <xf numFmtId="0" fontId="1" fillId="0" borderId="4" xfId="0" applyFont="1" applyBorder="1" applyAlignment="1">
      <alignment horizontal="center"/>
    </xf>
    <xf numFmtId="0" fontId="1" fillId="0" borderId="4" xfId="0" applyFont="1" applyFill="1" applyBorder="1" applyAlignment="1">
      <alignment horizontal="center"/>
    </xf>
    <xf numFmtId="44" fontId="27" fillId="0" borderId="4" xfId="5" applyNumberFormat="1" applyFont="1" applyFill="1" applyBorder="1" applyAlignment="1">
      <alignment horizontal="center" vertical="center"/>
    </xf>
    <xf numFmtId="0" fontId="1" fillId="11" borderId="4" xfId="0" applyFont="1" applyFill="1" applyBorder="1" applyAlignment="1">
      <alignment horizontal="left"/>
    </xf>
    <xf numFmtId="0" fontId="1" fillId="11" borderId="4" xfId="0" applyNumberFormat="1" applyFont="1" applyFill="1" applyBorder="1" applyAlignment="1">
      <alignment horizontal="center" vertical="center"/>
    </xf>
    <xf numFmtId="0" fontId="0" fillId="0" borderId="0" xfId="0" applyAlignment="1">
      <alignment wrapText="1"/>
    </xf>
    <xf numFmtId="0" fontId="1" fillId="0" borderId="0" xfId="0" applyFont="1" applyFill="1" applyBorder="1" applyAlignment="1">
      <alignment horizontal="center" vertical="center" wrapText="1"/>
    </xf>
    <xf numFmtId="0" fontId="0" fillId="0" borderId="0" xfId="0" applyFill="1"/>
    <xf numFmtId="0" fontId="35" fillId="0" borderId="0" xfId="0" applyFont="1"/>
    <xf numFmtId="0" fontId="35" fillId="0" borderId="0" xfId="0" applyFont="1" applyAlignment="1">
      <alignment wrapText="1"/>
    </xf>
    <xf numFmtId="0" fontId="35" fillId="14" borderId="4" xfId="0" applyFont="1" applyFill="1" applyBorder="1" applyAlignment="1">
      <alignment horizontal="center" vertical="center" wrapText="1"/>
    </xf>
    <xf numFmtId="164" fontId="0" fillId="0" borderId="4" xfId="0" applyNumberFormat="1" applyFill="1" applyBorder="1" applyAlignment="1">
      <alignment horizontal="center" vertical="center"/>
    </xf>
    <xf numFmtId="164" fontId="0" fillId="0" borderId="0" xfId="0" applyNumberFormat="1" applyAlignment="1">
      <alignment horizontal="center" vertical="center"/>
    </xf>
    <xf numFmtId="8" fontId="37" fillId="16" borderId="18" xfId="0" applyNumberFormat="1" applyFont="1" applyFill="1" applyBorder="1" applyAlignment="1">
      <alignment horizontal="center" vertical="center" wrapText="1"/>
    </xf>
    <xf numFmtId="0" fontId="37" fillId="16" borderId="18"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0" fillId="0" borderId="0" xfId="0" applyAlignment="1">
      <alignment horizontal="left" vertical="center"/>
    </xf>
    <xf numFmtId="0" fontId="0" fillId="0" borderId="4" xfId="0" applyFill="1" applyBorder="1" applyAlignment="1">
      <alignment horizontal="center" vertical="center"/>
    </xf>
    <xf numFmtId="0" fontId="37" fillId="0" borderId="4" xfId="0" applyFont="1" applyFill="1" applyBorder="1" applyAlignment="1">
      <alignment horizontal="center" vertical="center" wrapText="1"/>
    </xf>
    <xf numFmtId="0" fontId="0" fillId="0" borderId="4" xfId="0" applyFont="1" applyFill="1" applyBorder="1" applyAlignment="1">
      <alignment horizontal="center" vertical="center"/>
    </xf>
    <xf numFmtId="164" fontId="0" fillId="0" borderId="4" xfId="0" applyNumberFormat="1" applyFont="1" applyFill="1" applyBorder="1" applyAlignment="1">
      <alignment horizontal="center" vertical="center"/>
    </xf>
    <xf numFmtId="0" fontId="39" fillId="0" borderId="4" xfId="0" applyFont="1" applyFill="1" applyBorder="1" applyAlignment="1">
      <alignment horizontal="center" vertical="center" wrapText="1"/>
    </xf>
    <xf numFmtId="0" fontId="0" fillId="8" borderId="0" xfId="0" applyFill="1" applyAlignment="1">
      <alignment horizontal="left" vertical="center"/>
    </xf>
    <xf numFmtId="0" fontId="28" fillId="0" borderId="4" xfId="0" applyFont="1" applyFill="1" applyBorder="1" applyAlignment="1">
      <alignment horizontal="left" vertical="center" wrapText="1"/>
    </xf>
    <xf numFmtId="0" fontId="0" fillId="0" borderId="0" xfId="0" applyFill="1" applyAlignment="1">
      <alignment horizontal="left" vertical="center"/>
    </xf>
    <xf numFmtId="164" fontId="37" fillId="0" borderId="4" xfId="0" applyNumberFormat="1" applyFont="1" applyFill="1" applyBorder="1" applyAlignment="1">
      <alignment horizontal="center" vertical="center" wrapText="1"/>
    </xf>
    <xf numFmtId="164" fontId="39" fillId="0" borderId="4" xfId="0" applyNumberFormat="1" applyFont="1" applyFill="1" applyBorder="1" applyAlignment="1">
      <alignment horizontal="center" vertical="center" wrapText="1"/>
    </xf>
    <xf numFmtId="0" fontId="37" fillId="11" borderId="4" xfId="0" applyFont="1" applyFill="1" applyBorder="1" applyAlignment="1">
      <alignment horizontal="center" vertical="center" wrapText="1"/>
    </xf>
    <xf numFmtId="0" fontId="0" fillId="11" borderId="4" xfId="0" applyFill="1" applyBorder="1" applyAlignment="1">
      <alignment horizontal="center" vertical="center"/>
    </xf>
    <xf numFmtId="164" fontId="0" fillId="11" borderId="4" xfId="0" applyNumberFormat="1" applyFill="1" applyBorder="1" applyAlignment="1">
      <alignment horizontal="center" vertical="center"/>
    </xf>
    <xf numFmtId="164" fontId="37" fillId="11" borderId="4" xfId="0" applyNumberFormat="1" applyFont="1" applyFill="1" applyBorder="1" applyAlignment="1">
      <alignment horizontal="center" vertical="center" wrapText="1"/>
    </xf>
    <xf numFmtId="0" fontId="0" fillId="11" borderId="4" xfId="0" applyFont="1" applyFill="1" applyBorder="1" applyAlignment="1">
      <alignment horizontal="center" vertical="center"/>
    </xf>
    <xf numFmtId="164" fontId="0" fillId="11" borderId="4" xfId="0" applyNumberFormat="1" applyFont="1" applyFill="1" applyBorder="1" applyAlignment="1">
      <alignment horizontal="center" vertical="center"/>
    </xf>
    <xf numFmtId="0" fontId="38" fillId="11" borderId="4" xfId="0" applyFont="1" applyFill="1" applyBorder="1" applyAlignment="1">
      <alignment horizontal="center" vertical="center" wrapText="1"/>
    </xf>
    <xf numFmtId="164" fontId="39" fillId="11" borderId="4" xfId="0" applyNumberFormat="1" applyFont="1" applyFill="1" applyBorder="1" applyAlignment="1">
      <alignment horizontal="center" vertical="center" wrapText="1"/>
    </xf>
    <xf numFmtId="0" fontId="39" fillId="11" borderId="4" xfId="0" applyFont="1" applyFill="1" applyBorder="1" applyAlignment="1">
      <alignment horizontal="center" vertical="center" wrapText="1"/>
    </xf>
    <xf numFmtId="0" fontId="37" fillId="0" borderId="29" xfId="0" applyFont="1" applyFill="1" applyBorder="1" applyAlignment="1">
      <alignment horizontal="center" vertical="center" wrapText="1"/>
    </xf>
    <xf numFmtId="164" fontId="0" fillId="0" borderId="28" xfId="0" applyNumberFormat="1" applyFill="1" applyBorder="1" applyAlignment="1">
      <alignment horizontal="center" vertical="center"/>
    </xf>
    <xf numFmtId="164" fontId="0" fillId="11" borderId="28" xfId="0" applyNumberFormat="1" applyFill="1" applyBorder="1" applyAlignment="1">
      <alignment horizontal="center" vertical="center"/>
    </xf>
    <xf numFmtId="164" fontId="37" fillId="11" borderId="28" xfId="0" applyNumberFormat="1" applyFont="1" applyFill="1" applyBorder="1" applyAlignment="1">
      <alignment horizontal="center" vertical="center" wrapText="1"/>
    </xf>
    <xf numFmtId="164" fontId="37" fillId="0" borderId="28" xfId="0" applyNumberFormat="1" applyFont="1" applyFill="1" applyBorder="1" applyAlignment="1">
      <alignment horizontal="center" vertical="center" wrapText="1"/>
    </xf>
    <xf numFmtId="164" fontId="0" fillId="0" borderId="28" xfId="0" applyNumberFormat="1" applyFont="1" applyFill="1" applyBorder="1" applyAlignment="1">
      <alignment horizontal="center" vertical="center"/>
    </xf>
    <xf numFmtId="164" fontId="0" fillId="11" borderId="28" xfId="0" applyNumberFormat="1" applyFont="1" applyFill="1" applyBorder="1" applyAlignment="1">
      <alignment horizontal="center" vertical="center"/>
    </xf>
    <xf numFmtId="164" fontId="39" fillId="11" borderId="28" xfId="0" applyNumberFormat="1" applyFont="1" applyFill="1" applyBorder="1" applyAlignment="1">
      <alignment horizontal="center" vertical="center" wrapText="1"/>
    </xf>
    <xf numFmtId="164" fontId="39" fillId="0" borderId="28" xfId="0" applyNumberFormat="1" applyFont="1" applyFill="1" applyBorder="1" applyAlignment="1">
      <alignment horizontal="center" vertical="center" wrapText="1"/>
    </xf>
    <xf numFmtId="0" fontId="37" fillId="11" borderId="29" xfId="0" applyFont="1" applyFill="1" applyBorder="1" applyAlignment="1">
      <alignment horizontal="center" vertical="center" wrapText="1"/>
    </xf>
    <xf numFmtId="0" fontId="35" fillId="18" borderId="32" xfId="0" applyFont="1" applyFill="1" applyBorder="1" applyAlignment="1">
      <alignment horizontal="center" vertical="center"/>
    </xf>
    <xf numFmtId="0" fontId="35" fillId="18" borderId="33" xfId="0" applyFont="1" applyFill="1" applyBorder="1" applyAlignment="1">
      <alignment horizontal="center" vertical="center"/>
    </xf>
    <xf numFmtId="164" fontId="35" fillId="18" borderId="33" xfId="0" applyNumberFormat="1" applyFont="1" applyFill="1" applyBorder="1" applyAlignment="1">
      <alignment horizontal="center" vertical="center"/>
    </xf>
    <xf numFmtId="164" fontId="35" fillId="18" borderId="34" xfId="0" applyNumberFormat="1" applyFont="1" applyFill="1" applyBorder="1" applyAlignment="1">
      <alignment horizontal="center" vertical="center"/>
    </xf>
    <xf numFmtId="0" fontId="36" fillId="6" borderId="20" xfId="0" applyFont="1" applyFill="1" applyBorder="1" applyAlignment="1">
      <alignment horizontal="center" vertical="center" wrapText="1"/>
    </xf>
    <xf numFmtId="0" fontId="36" fillId="10" borderId="20" xfId="0" applyFont="1" applyFill="1" applyBorder="1" applyAlignment="1">
      <alignment horizontal="center" vertical="center" wrapText="1"/>
    </xf>
    <xf numFmtId="0" fontId="36" fillId="10" borderId="28" xfId="0" applyFont="1" applyFill="1" applyBorder="1" applyAlignment="1">
      <alignment horizontal="center" vertical="center" wrapText="1"/>
    </xf>
    <xf numFmtId="2" fontId="0" fillId="0" borderId="4" xfId="0" applyNumberFormat="1" applyFill="1" applyBorder="1" applyAlignment="1">
      <alignment horizontal="center" vertical="center"/>
    </xf>
    <xf numFmtId="2" fontId="0" fillId="11" borderId="4" xfId="0" applyNumberFormat="1" applyFill="1" applyBorder="1" applyAlignment="1">
      <alignment horizontal="center" vertical="center"/>
    </xf>
    <xf numFmtId="2" fontId="37" fillId="11" borderId="4" xfId="0" applyNumberFormat="1" applyFont="1" applyFill="1" applyBorder="1" applyAlignment="1">
      <alignment horizontal="center" vertical="center" wrapText="1"/>
    </xf>
    <xf numFmtId="2" fontId="0" fillId="0" borderId="4" xfId="0" applyNumberFormat="1" applyFont="1" applyFill="1" applyBorder="1" applyAlignment="1">
      <alignment horizontal="center" vertical="center"/>
    </xf>
    <xf numFmtId="2" fontId="0" fillId="11" borderId="4" xfId="0" applyNumberFormat="1" applyFont="1" applyFill="1" applyBorder="1" applyAlignment="1">
      <alignment horizontal="center" vertical="center"/>
    </xf>
    <xf numFmtId="2" fontId="39" fillId="11" borderId="4" xfId="0" applyNumberFormat="1" applyFont="1" applyFill="1" applyBorder="1" applyAlignment="1">
      <alignment horizontal="center" vertical="center" wrapText="1"/>
    </xf>
    <xf numFmtId="2" fontId="39" fillId="0" borderId="4" xfId="0" applyNumberFormat="1" applyFont="1" applyFill="1" applyBorder="1" applyAlignment="1">
      <alignment horizontal="center" vertical="center" wrapText="1"/>
    </xf>
    <xf numFmtId="2" fontId="35" fillId="18" borderId="33" xfId="0" applyNumberFormat="1" applyFont="1" applyFill="1" applyBorder="1" applyAlignment="1">
      <alignment horizontal="center" vertical="center"/>
    </xf>
    <xf numFmtId="1" fontId="35" fillId="18" borderId="33" xfId="0" applyNumberFormat="1" applyFont="1" applyFill="1" applyBorder="1" applyAlignment="1">
      <alignment horizontal="center" vertical="center"/>
    </xf>
    <xf numFmtId="0" fontId="37" fillId="0" borderId="4" xfId="0" applyFont="1" applyFill="1" applyBorder="1" applyAlignment="1">
      <alignment horizontal="center" wrapText="1"/>
    </xf>
    <xf numFmtId="2" fontId="0" fillId="19" borderId="4" xfId="0" applyNumberFormat="1" applyFont="1" applyFill="1" applyBorder="1" applyAlignment="1">
      <alignment horizontal="center" vertical="center"/>
    </xf>
    <xf numFmtId="2" fontId="0" fillId="19" borderId="4" xfId="0" applyNumberFormat="1" applyFill="1" applyBorder="1" applyAlignment="1">
      <alignment horizontal="center" vertical="center"/>
    </xf>
    <xf numFmtId="2" fontId="37" fillId="19" borderId="4" xfId="0" applyNumberFormat="1" applyFont="1" applyFill="1" applyBorder="1" applyAlignment="1">
      <alignment horizontal="center" vertical="center" wrapText="1"/>
    </xf>
    <xf numFmtId="4" fontId="35" fillId="18" borderId="33" xfId="0" applyNumberFormat="1" applyFont="1" applyFill="1" applyBorder="1" applyAlignment="1">
      <alignment horizontal="center" vertical="center"/>
    </xf>
    <xf numFmtId="4" fontId="0" fillId="0" borderId="0" xfId="0" applyNumberFormat="1" applyAlignment="1">
      <alignment horizontal="center"/>
    </xf>
    <xf numFmtId="2" fontId="37" fillId="16" borderId="18" xfId="0" applyNumberFormat="1" applyFont="1" applyFill="1" applyBorder="1" applyAlignment="1">
      <alignment horizontal="center" vertical="center" wrapText="1"/>
    </xf>
    <xf numFmtId="2" fontId="0" fillId="0" borderId="0" xfId="0" applyNumberFormat="1" applyAlignment="1">
      <alignment horizontal="center" vertical="center"/>
    </xf>
    <xf numFmtId="2" fontId="0" fillId="0" borderId="0" xfId="0" applyNumberFormat="1" applyFont="1" applyAlignment="1">
      <alignment horizontal="center" vertical="center"/>
    </xf>
    <xf numFmtId="164" fontId="0" fillId="0" borderId="0" xfId="0" applyNumberFormat="1" applyFont="1" applyAlignment="1">
      <alignment horizontal="center" vertical="center"/>
    </xf>
    <xf numFmtId="0" fontId="36" fillId="6" borderId="39" xfId="0" applyFont="1" applyFill="1" applyBorder="1" applyAlignment="1">
      <alignment horizontal="center" vertical="center" wrapText="1"/>
    </xf>
    <xf numFmtId="0" fontId="36" fillId="10" borderId="39" xfId="0" applyFont="1" applyFill="1" applyBorder="1" applyAlignment="1">
      <alignment horizontal="center" vertical="center" wrapText="1"/>
    </xf>
    <xf numFmtId="0" fontId="36" fillId="10" borderId="40" xfId="0" applyFont="1" applyFill="1" applyBorder="1" applyAlignment="1">
      <alignment horizontal="center" vertical="center" wrapText="1"/>
    </xf>
    <xf numFmtId="0" fontId="36" fillId="17" borderId="18" xfId="0" applyFont="1" applyFill="1" applyBorder="1" applyAlignment="1">
      <alignment horizontal="center" vertical="center" wrapText="1"/>
    </xf>
    <xf numFmtId="4" fontId="36" fillId="17" borderId="18" xfId="0" applyNumberFormat="1" applyFont="1" applyFill="1" applyBorder="1" applyAlignment="1">
      <alignment horizontal="center" vertical="center" wrapText="1"/>
    </xf>
    <xf numFmtId="8" fontId="36" fillId="17" borderId="18" xfId="0" applyNumberFormat="1" applyFont="1" applyFill="1" applyBorder="1" applyAlignment="1">
      <alignment horizontal="center" vertical="center" wrapText="1"/>
    </xf>
    <xf numFmtId="0" fontId="37" fillId="16" borderId="18" xfId="0" applyFont="1" applyFill="1" applyBorder="1" applyAlignment="1">
      <alignment horizontal="left" vertical="center" wrapText="1"/>
    </xf>
    <xf numFmtId="0" fontId="21" fillId="0" borderId="0" xfId="0" applyFont="1" applyAlignment="1">
      <alignment horizontal="left" vertical="top"/>
    </xf>
    <xf numFmtId="0" fontId="22" fillId="0" borderId="0" xfId="0" applyFont="1" applyAlignment="1"/>
    <xf numFmtId="0" fontId="22" fillId="0" borderId="0" xfId="0" applyFont="1" applyBorder="1" applyAlignment="1">
      <alignment horizontal="center"/>
    </xf>
    <xf numFmtId="0" fontId="22" fillId="0" borderId="0" xfId="0" applyFont="1" applyBorder="1" applyAlignment="1"/>
    <xf numFmtId="0" fontId="22" fillId="0" borderId="0" xfId="0" applyFont="1" applyAlignment="1">
      <alignment horizontal="left" vertical="center"/>
    </xf>
    <xf numFmtId="0" fontId="22" fillId="0" borderId="0" xfId="0" applyFont="1" applyAlignment="1">
      <alignment vertical="center"/>
    </xf>
    <xf numFmtId="0" fontId="22" fillId="0" borderId="0" xfId="0" applyFont="1" applyAlignment="1">
      <alignment horizontal="left" vertical="top"/>
    </xf>
    <xf numFmtId="0" fontId="0" fillId="0" borderId="0" xfId="0" pivotButton="1" applyAlignment="1">
      <alignment horizontal="center"/>
    </xf>
    <xf numFmtId="0" fontId="40" fillId="0" borderId="0" xfId="0" applyFont="1" applyBorder="1" applyAlignment="1">
      <alignment horizontal="center" vertical="center"/>
    </xf>
    <xf numFmtId="0" fontId="40" fillId="0" borderId="0" xfId="0" applyFont="1"/>
    <xf numFmtId="0" fontId="41" fillId="20" borderId="4" xfId="0" applyFont="1" applyFill="1" applyBorder="1" applyAlignment="1">
      <alignment horizontal="center" vertical="center" wrapText="1"/>
    </xf>
    <xf numFmtId="0" fontId="41" fillId="20" borderId="15" xfId="0" applyFont="1" applyFill="1" applyBorder="1" applyAlignment="1">
      <alignment horizontal="center" vertical="center" wrapText="1"/>
    </xf>
    <xf numFmtId="0" fontId="41" fillId="20" borderId="4" xfId="0" applyFont="1" applyFill="1" applyBorder="1" applyAlignment="1">
      <alignment horizontal="center" vertical="center"/>
    </xf>
    <xf numFmtId="0" fontId="41" fillId="20" borderId="15" xfId="0" applyFont="1" applyFill="1" applyBorder="1" applyAlignment="1">
      <alignment horizontal="center" vertical="center"/>
    </xf>
    <xf numFmtId="0" fontId="22" fillId="0" borderId="0" xfId="0" applyFont="1" applyBorder="1" applyAlignment="1">
      <alignment horizontal="center" vertical="center"/>
    </xf>
    <xf numFmtId="0" fontId="22" fillId="3" borderId="0" xfId="0" applyFont="1" applyFill="1" applyBorder="1" applyAlignment="1">
      <alignment wrapText="1"/>
    </xf>
    <xf numFmtId="0" fontId="42" fillId="0" borderId="4" xfId="0" applyFont="1" applyBorder="1" applyAlignment="1">
      <alignment horizontal="center" vertical="center" wrapText="1"/>
    </xf>
    <xf numFmtId="1" fontId="0" fillId="0" borderId="0" xfId="0" applyNumberFormat="1" applyAlignment="1">
      <alignment horizontal="center" vertical="center"/>
    </xf>
    <xf numFmtId="9" fontId="0" fillId="0" borderId="0" xfId="6" applyFont="1" applyAlignment="1">
      <alignment horizontal="center" vertical="center"/>
    </xf>
    <xf numFmtId="8" fontId="0" fillId="0" borderId="0" xfId="0" applyNumberFormat="1" applyAlignment="1">
      <alignment horizontal="center" vertical="center"/>
    </xf>
    <xf numFmtId="0" fontId="21" fillId="18" borderId="4" xfId="0" applyFont="1" applyFill="1" applyBorder="1" applyAlignment="1">
      <alignment horizontal="left" vertical="top" wrapText="1"/>
    </xf>
    <xf numFmtId="0" fontId="21" fillId="18" borderId="4" xfId="0" applyFont="1" applyFill="1" applyBorder="1" applyAlignment="1">
      <alignment vertical="top" wrapText="1"/>
    </xf>
    <xf numFmtId="0" fontId="0" fillId="0" borderId="0" xfId="0"/>
    <xf numFmtId="0" fontId="0" fillId="0" borderId="0" xfId="0" applyNumberFormat="1"/>
    <xf numFmtId="0" fontId="41" fillId="21" borderId="4" xfId="0" applyFont="1" applyFill="1" applyBorder="1" applyAlignment="1">
      <alignment horizontal="center" vertical="center" wrapText="1"/>
    </xf>
    <xf numFmtId="0" fontId="21" fillId="21" borderId="4" xfId="0" applyFont="1" applyFill="1" applyBorder="1" applyAlignment="1">
      <alignment horizontal="left" vertical="top" wrapText="1"/>
    </xf>
    <xf numFmtId="0" fontId="21" fillId="21" borderId="4" xfId="0" applyFont="1" applyFill="1" applyBorder="1" applyAlignment="1">
      <alignment vertical="top" wrapText="1"/>
    </xf>
    <xf numFmtId="0" fontId="28" fillId="21" borderId="4" xfId="0" applyFont="1" applyFill="1" applyBorder="1" applyAlignment="1">
      <alignment horizontal="left" vertical="center" wrapText="1"/>
    </xf>
    <xf numFmtId="0" fontId="21" fillId="0" borderId="4" xfId="0" applyFont="1" applyFill="1" applyBorder="1" applyAlignment="1">
      <alignment horizontal="center" vertical="top" wrapText="1"/>
    </xf>
    <xf numFmtId="0" fontId="1" fillId="0" borderId="19" xfId="0" applyFont="1" applyFill="1" applyBorder="1" applyAlignment="1">
      <alignment horizontal="center"/>
    </xf>
    <xf numFmtId="0" fontId="43" fillId="4" borderId="4" xfId="0" applyFont="1" applyFill="1" applyBorder="1" applyAlignment="1">
      <alignment horizontal="center" vertical="center" wrapText="1"/>
    </xf>
    <xf numFmtId="0" fontId="43" fillId="10" borderId="4" xfId="0" applyFont="1" applyFill="1" applyBorder="1" applyAlignment="1">
      <alignment horizontal="center" vertical="center" wrapText="1"/>
    </xf>
    <xf numFmtId="0" fontId="44" fillId="3" borderId="4" xfId="0" applyFont="1" applyFill="1" applyBorder="1" applyAlignment="1">
      <alignment horizontal="left" vertical="center" wrapText="1"/>
    </xf>
    <xf numFmtId="0" fontId="44" fillId="0" borderId="4" xfId="0" applyFont="1" applyBorder="1" applyAlignment="1">
      <alignment vertical="center" wrapText="1"/>
    </xf>
    <xf numFmtId="0" fontId="44" fillId="0" borderId="4" xfId="0" applyFont="1" applyBorder="1" applyAlignment="1">
      <alignment horizontal="left" vertical="top" wrapText="1"/>
    </xf>
    <xf numFmtId="0" fontId="44" fillId="0" borderId="4" xfId="0" applyFont="1" applyFill="1" applyBorder="1" applyAlignment="1">
      <alignment horizontal="left" vertical="top" wrapText="1"/>
    </xf>
    <xf numFmtId="0" fontId="44" fillId="0" borderId="4" xfId="0" applyFont="1" applyFill="1" applyBorder="1" applyAlignment="1">
      <alignment horizontal="left" vertical="center" wrapText="1"/>
    </xf>
    <xf numFmtId="0" fontId="44" fillId="0" borderId="4" xfId="0" applyFont="1" applyFill="1" applyBorder="1" applyAlignment="1">
      <alignment vertical="center" wrapText="1"/>
    </xf>
    <xf numFmtId="0" fontId="45" fillId="0" borderId="4" xfId="0" quotePrefix="1" applyFont="1" applyFill="1" applyBorder="1" applyAlignment="1">
      <alignment horizontal="left" vertical="top" wrapText="1"/>
    </xf>
    <xf numFmtId="0" fontId="44" fillId="0" borderId="4" xfId="0" applyFont="1" applyBorder="1" applyAlignment="1">
      <alignment vertical="top" wrapText="1"/>
    </xf>
    <xf numFmtId="0" fontId="46" fillId="0" borderId="4" xfId="0" applyFont="1" applyFill="1" applyBorder="1" applyAlignment="1">
      <alignment vertical="center" wrapText="1"/>
    </xf>
    <xf numFmtId="0" fontId="44" fillId="0" borderId="4" xfId="0" applyFont="1" applyFill="1" applyBorder="1" applyAlignment="1">
      <alignment vertical="top" wrapText="1"/>
    </xf>
    <xf numFmtId="0" fontId="44" fillId="0" borderId="4" xfId="0" quotePrefix="1" applyFont="1" applyFill="1" applyBorder="1" applyAlignment="1">
      <alignment horizontal="left" vertical="top" wrapText="1"/>
    </xf>
    <xf numFmtId="0" fontId="44" fillId="2" borderId="4" xfId="0" applyFont="1" applyFill="1" applyBorder="1" applyAlignment="1">
      <alignment horizontal="left" vertical="top" wrapText="1"/>
    </xf>
    <xf numFmtId="0" fontId="46" fillId="0" borderId="4" xfId="0" applyFont="1" applyBorder="1" applyAlignment="1">
      <alignment vertical="center" wrapText="1"/>
    </xf>
    <xf numFmtId="0" fontId="46" fillId="0" borderId="4" xfId="0" applyFont="1" applyBorder="1" applyAlignment="1">
      <alignment horizontal="left" vertical="top" wrapText="1"/>
    </xf>
    <xf numFmtId="0" fontId="37" fillId="0" borderId="4" xfId="0" applyFont="1" applyFill="1" applyBorder="1" applyAlignment="1">
      <alignment horizontal="center" vertical="center" wrapText="1"/>
    </xf>
    <xf numFmtId="0" fontId="1" fillId="13" borderId="15" xfId="0" applyFont="1" applyFill="1" applyBorder="1" applyAlignment="1">
      <alignment horizontal="center" vertical="center" wrapText="1"/>
    </xf>
    <xf numFmtId="0" fontId="1" fillId="13" borderId="17" xfId="0" applyFont="1" applyFill="1" applyBorder="1" applyAlignment="1">
      <alignment horizontal="center" vertical="center" wrapText="1"/>
    </xf>
    <xf numFmtId="0" fontId="36" fillId="15" borderId="35" xfId="0" applyFont="1" applyFill="1" applyBorder="1" applyAlignment="1">
      <alignment horizontal="center" vertical="center" wrapText="1"/>
    </xf>
    <xf numFmtId="0" fontId="36" fillId="15" borderId="38" xfId="0" applyFont="1" applyFill="1" applyBorder="1" applyAlignment="1">
      <alignment horizontal="center" vertical="center" wrapText="1"/>
    </xf>
    <xf numFmtId="0" fontId="36" fillId="15" borderId="36" xfId="0" applyFont="1" applyFill="1" applyBorder="1" applyAlignment="1">
      <alignment horizontal="center" vertical="center" wrapText="1"/>
    </xf>
    <xf numFmtId="0" fontId="36" fillId="15" borderId="39" xfId="0" applyFont="1" applyFill="1" applyBorder="1" applyAlignment="1">
      <alignment horizontal="center" vertical="center" wrapText="1"/>
    </xf>
    <xf numFmtId="0" fontId="36" fillId="6" borderId="36" xfId="0" applyFont="1" applyFill="1" applyBorder="1" applyAlignment="1">
      <alignment horizontal="center" vertical="center" wrapText="1"/>
    </xf>
    <xf numFmtId="0" fontId="36" fillId="10" borderId="36" xfId="0" applyFont="1" applyFill="1" applyBorder="1" applyAlignment="1">
      <alignment horizontal="center" vertical="center" wrapText="1"/>
    </xf>
    <xf numFmtId="0" fontId="36" fillId="10" borderId="37" xfId="0" applyFont="1" applyFill="1" applyBorder="1" applyAlignment="1">
      <alignment horizontal="center" vertical="center" wrapText="1"/>
    </xf>
    <xf numFmtId="0" fontId="36" fillId="6" borderId="23" xfId="0" applyFont="1" applyFill="1" applyBorder="1" applyAlignment="1">
      <alignment horizontal="center" vertical="center" wrapText="1"/>
    </xf>
    <xf numFmtId="0" fontId="36" fillId="10" borderId="24" xfId="0" applyFont="1" applyFill="1" applyBorder="1" applyAlignment="1">
      <alignment horizontal="center" vertical="center" wrapText="1"/>
    </xf>
    <xf numFmtId="0" fontId="36" fillId="10" borderId="25" xfId="0" applyFont="1" applyFill="1" applyBorder="1" applyAlignment="1">
      <alignment horizontal="center" vertical="center" wrapText="1"/>
    </xf>
    <xf numFmtId="0" fontId="36" fillId="10" borderId="26" xfId="0" applyFont="1" applyFill="1" applyBorder="1" applyAlignment="1">
      <alignment horizontal="center" vertical="center" wrapText="1"/>
    </xf>
    <xf numFmtId="0" fontId="37" fillId="11" borderId="29" xfId="0" applyFont="1" applyFill="1" applyBorder="1" applyAlignment="1">
      <alignment horizontal="center" vertical="center" wrapText="1"/>
    </xf>
    <xf numFmtId="0" fontId="37" fillId="0" borderId="29"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6" fillId="15" borderId="21" xfId="0" applyFont="1" applyFill="1" applyBorder="1" applyAlignment="1">
      <alignment horizontal="center" vertical="center" wrapText="1"/>
    </xf>
    <xf numFmtId="0" fontId="36" fillId="15" borderId="27" xfId="0" applyFont="1" applyFill="1" applyBorder="1" applyAlignment="1">
      <alignment horizontal="center" vertical="center" wrapText="1"/>
    </xf>
    <xf numFmtId="0" fontId="36" fillId="15" borderId="22" xfId="0" applyFont="1" applyFill="1" applyBorder="1" applyAlignment="1">
      <alignment horizontal="center" vertical="center" wrapText="1"/>
    </xf>
    <xf numFmtId="0" fontId="36" fillId="15" borderId="20" xfId="0" applyFont="1" applyFill="1" applyBorder="1" applyAlignment="1">
      <alignment horizontal="center" vertical="center" wrapText="1"/>
    </xf>
    <xf numFmtId="0" fontId="37" fillId="0" borderId="30" xfId="0" applyFont="1" applyFill="1" applyBorder="1" applyAlignment="1">
      <alignment horizontal="center" vertical="center" wrapText="1"/>
    </xf>
    <xf numFmtId="0" fontId="37" fillId="0" borderId="31" xfId="0" applyFont="1" applyFill="1" applyBorder="1" applyAlignment="1">
      <alignment horizontal="center" vertical="center" wrapText="1"/>
    </xf>
    <xf numFmtId="0" fontId="37" fillId="0" borderId="27" xfId="0" applyFont="1" applyFill="1" applyBorder="1" applyAlignment="1">
      <alignment horizontal="center" vertical="center" wrapText="1"/>
    </xf>
    <xf numFmtId="0" fontId="0" fillId="0" borderId="2" xfId="0" applyFill="1" applyBorder="1" applyAlignment="1">
      <alignment horizontal="center" vertical="center"/>
    </xf>
    <xf numFmtId="0" fontId="0" fillId="0" borderId="19" xfId="0" applyFill="1" applyBorder="1" applyAlignment="1">
      <alignment horizontal="center" vertical="center"/>
    </xf>
    <xf numFmtId="0" fontId="0" fillId="0" borderId="20" xfId="0" applyFill="1" applyBorder="1" applyAlignment="1">
      <alignment horizontal="center" vertical="center"/>
    </xf>
    <xf numFmtId="0" fontId="0" fillId="4" borderId="4" xfId="0" applyFill="1" applyBorder="1" applyAlignment="1">
      <alignment horizontal="center"/>
    </xf>
    <xf numFmtId="0" fontId="0" fillId="2" borderId="1" xfId="0" applyFont="1" applyFill="1" applyBorder="1" applyAlignment="1">
      <alignment horizontal="center"/>
    </xf>
    <xf numFmtId="0" fontId="13" fillId="0" borderId="4" xfId="0" applyFont="1" applyFill="1" applyBorder="1" applyAlignment="1">
      <alignment horizontal="center" vertical="center" wrapText="1"/>
    </xf>
    <xf numFmtId="0" fontId="7" fillId="0" borderId="10" xfId="3" applyFont="1" applyFill="1" applyBorder="1" applyAlignment="1">
      <alignment horizontal="center" vertical="center" wrapText="1"/>
    </xf>
    <xf numFmtId="0" fontId="7" fillId="0" borderId="12" xfId="3" applyFont="1" applyFill="1" applyBorder="1" applyAlignment="1">
      <alignment horizontal="center" vertical="center" wrapText="1"/>
    </xf>
    <xf numFmtId="0" fontId="7" fillId="0" borderId="11" xfId="3" applyFont="1" applyFill="1" applyBorder="1" applyAlignment="1">
      <alignment horizontal="center" vertical="center" wrapText="1"/>
    </xf>
    <xf numFmtId="0" fontId="7" fillId="0" borderId="10" xfId="1" applyFont="1" applyFill="1" applyBorder="1" applyAlignment="1">
      <alignment horizontal="center" vertical="center" wrapText="1"/>
    </xf>
    <xf numFmtId="0" fontId="7" fillId="0" borderId="11" xfId="1" applyFont="1" applyFill="1" applyBorder="1" applyAlignment="1">
      <alignment horizontal="center" vertical="center" wrapText="1"/>
    </xf>
    <xf numFmtId="0" fontId="7" fillId="0" borderId="12" xfId="1" applyFont="1" applyFill="1" applyBorder="1" applyAlignment="1">
      <alignment horizontal="center" vertical="center" wrapText="1"/>
    </xf>
    <xf numFmtId="0" fontId="7" fillId="0" borderId="13" xfId="1" applyFont="1" applyFill="1" applyBorder="1" applyAlignment="1">
      <alignment horizontal="center" vertical="center" wrapText="1"/>
    </xf>
    <xf numFmtId="0" fontId="7" fillId="0" borderId="14" xfId="1" applyFont="1" applyFill="1" applyBorder="1" applyAlignment="1">
      <alignment horizontal="center" vertical="center" wrapText="1"/>
    </xf>
  </cellXfs>
  <cellStyles count="7">
    <cellStyle name="Hiperlink" xfId="2" builtinId="8"/>
    <cellStyle name="Moeda" xfId="5" builtinId="4"/>
    <cellStyle name="Normal" xfId="0" builtinId="0"/>
    <cellStyle name="Normal 2" xfId="1"/>
    <cellStyle name="Normal 3" xfId="3"/>
    <cellStyle name="Porcentagem" xfId="6" builtinId="5"/>
    <cellStyle name="Vírgula" xfId="4" builtinId="3"/>
  </cellStyles>
  <dxfs count="148">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val="0"/>
      </font>
    </dxf>
    <dxf>
      <font>
        <b val="0"/>
      </font>
    </dxf>
    <dxf>
      <font>
        <b/>
      </font>
    </dxf>
    <dxf>
      <font>
        <b/>
      </font>
    </dxf>
    <dxf>
      <fill>
        <patternFill>
          <bgColor theme="0" tint="-0.14999847407452621"/>
        </patternFill>
      </fill>
    </dxf>
    <dxf>
      <fill>
        <patternFill>
          <bgColor theme="0" tint="-0.14999847407452621"/>
        </patternFill>
      </fill>
    </dxf>
    <dxf>
      <fill>
        <patternFill>
          <bgColor theme="3"/>
        </patternFill>
      </fill>
    </dxf>
    <dxf>
      <fill>
        <patternFill>
          <bgColor theme="3"/>
        </patternFill>
      </fill>
    </dxf>
    <dxf>
      <fill>
        <patternFill>
          <bgColor theme="3"/>
        </patternFill>
      </fill>
    </dxf>
    <dxf>
      <font>
        <b/>
      </font>
    </dxf>
    <dxf>
      <font>
        <b/>
      </font>
    </dxf>
    <dxf>
      <font>
        <b/>
      </font>
    </dxf>
    <dxf>
      <font>
        <b val="0"/>
      </font>
    </dxf>
    <dxf>
      <font>
        <b val="0"/>
      </font>
    </dxf>
    <dxf>
      <font>
        <b val="0"/>
      </font>
    </dxf>
    <dxf>
      <font>
        <b/>
      </font>
    </dxf>
    <dxf>
      <font>
        <b/>
      </font>
    </dxf>
    <dxf>
      <font>
        <b/>
      </font>
    </dxf>
    <dxf>
      <font>
        <color theme="0"/>
      </font>
    </dxf>
    <dxf>
      <font>
        <color theme="0"/>
      </font>
    </dxf>
    <dxf>
      <font>
        <color theme="0"/>
      </font>
    </dxf>
    <dxf>
      <fill>
        <patternFill>
          <bgColor theme="1" tint="0.499984740745262"/>
        </patternFill>
      </fill>
    </dxf>
    <dxf>
      <fill>
        <patternFill>
          <bgColor theme="1" tint="0.499984740745262"/>
        </patternFill>
      </fill>
    </dxf>
    <dxf>
      <fill>
        <patternFill>
          <bgColor theme="1" tint="0.499984740745262"/>
        </patternFill>
      </fill>
    </dxf>
    <dxf>
      <border>
        <top style="thin">
          <color indexed="64"/>
        </top>
      </border>
    </dxf>
    <dxf>
      <border>
        <top style="thin">
          <color indexed="64"/>
        </top>
      </border>
    </dxf>
    <dxf>
      <border>
        <top style="thin">
          <color indexed="64"/>
        </top>
      </border>
    </dxf>
    <dxf>
      <fill>
        <patternFill>
          <bgColor theme="7" tint="0.59999389629810485"/>
        </patternFill>
      </fill>
    </dxf>
    <dxf>
      <fill>
        <patternFill>
          <bgColor theme="7" tint="0.59999389629810485"/>
        </patternFill>
      </fill>
    </dxf>
    <dxf>
      <fill>
        <patternFill>
          <bgColor theme="7" tint="0.59999389629810485"/>
        </patternFill>
      </fill>
    </dxf>
    <dxf>
      <alignment wrapText="1" readingOrder="0"/>
    </dxf>
    <dxf>
      <alignment wrapText="1" readingOrder="0"/>
    </dxf>
    <dxf>
      <alignment wrapText="1" readingOrder="0"/>
    </dxf>
    <dxf>
      <fill>
        <patternFill patternType="none">
          <bgColor auto="1"/>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fgColor indexed="64"/>
          <bgColor theme="5" tint="0.39997558519241921"/>
        </patternFill>
      </fill>
    </dxf>
    <dxf>
      <fill>
        <patternFill patternType="solid">
          <bgColor rgb="FFFFFF00"/>
        </patternFill>
      </fill>
    </dxf>
    <dxf>
      <fill>
        <patternFill>
          <bgColor theme="5" tint="0.39997558519241921"/>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font>
        <b/>
      </font>
    </dxf>
    <dxf>
      <font>
        <b/>
      </font>
    </dxf>
    <dxf>
      <font>
        <b/>
      </font>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fill>
        <patternFill patternType="solid">
          <bgColor theme="8" tint="0.79998168889431442"/>
        </patternFill>
      </fill>
    </dxf>
    <dxf>
      <font>
        <color theme="1"/>
      </font>
    </dxf>
    <dxf>
      <font>
        <color theme="1"/>
      </font>
    </dxf>
    <dxf>
      <font>
        <color theme="1"/>
      </font>
    </dxf>
    <dxf>
      <font>
        <color theme="1"/>
      </font>
    </dxf>
    <dxf>
      <font>
        <color theme="1"/>
      </font>
    </dxf>
    <dxf>
      <font>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00B050"/>
        </patternFill>
      </fill>
    </dxf>
    <dxf>
      <fill>
        <patternFill patternType="solid">
          <bgColor rgb="FF00B050"/>
        </patternFill>
      </fill>
    </dxf>
    <dxf>
      <fill>
        <patternFill patternType="solid">
          <bgColor rgb="FFFFFF00"/>
        </patternFill>
      </fill>
    </dxf>
    <dxf>
      <fill>
        <patternFill>
          <bgColor rgb="FFFFFF00"/>
        </patternFill>
      </fill>
    </dxf>
    <dxf>
      <fill>
        <patternFill patternType="solid">
          <bgColor rgb="FFFFC0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ont>
        <color rgb="FFFF0000"/>
      </font>
    </dxf>
    <dxf>
      <font>
        <color rgb="FFFF0000"/>
      </font>
    </dxf>
    <dxf>
      <font>
        <color rgb="FFFF0000"/>
      </fon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00B050"/>
        </patternFill>
      </fill>
    </dxf>
    <dxf>
      <fill>
        <patternFill patternType="solid">
          <bgColor rgb="FF00B050"/>
        </patternFill>
      </fill>
    </dxf>
    <dxf>
      <fill>
        <patternFill patternType="solid">
          <bgColor rgb="FFFFFF00"/>
        </patternFill>
      </fill>
    </dxf>
    <dxf>
      <fill>
        <patternFill>
          <bgColor rgb="FFFFFF00"/>
        </patternFill>
      </fill>
    </dxf>
    <dxf>
      <fill>
        <patternFill patternType="solid">
          <bgColor rgb="FFFFC0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ont>
        <color rgb="FFFF0000"/>
      </font>
    </dxf>
    <dxf>
      <font>
        <color rgb="FFFF0000"/>
      </font>
    </dxf>
    <dxf>
      <font>
        <color rgb="FFFF0000"/>
      </fon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rgb="FF00B050"/>
        </patternFill>
      </fill>
    </dxf>
    <dxf>
      <fill>
        <patternFill patternType="solid">
          <bgColor rgb="FF00B050"/>
        </patternFill>
      </fill>
    </dxf>
    <dxf>
      <fill>
        <patternFill patternType="solid">
          <bgColor rgb="FFFFFF00"/>
        </patternFill>
      </fill>
    </dxf>
    <dxf>
      <fill>
        <patternFill>
          <bgColor rgb="FFFFFF00"/>
        </patternFill>
      </fill>
    </dxf>
    <dxf>
      <fill>
        <patternFill patternType="solid">
          <bgColor rgb="FFFFC0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Tópicos mapeados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'Anexo A -DRAF TODOS OS SERVIÇOS'!$A$3</c:f>
              <c:strCache>
                <c:ptCount val="1"/>
                <c:pt idx="0">
                  <c:v>Total</c:v>
                </c:pt>
              </c:strCache>
            </c:strRef>
          </c:tx>
          <c:spPr>
            <a:solidFill>
              <a:schemeClr val="tx2">
                <a:lumMod val="60000"/>
                <a:lumOff val="40000"/>
              </a:schemeClr>
            </a:solidFill>
            <a:ln>
              <a:noFill/>
            </a:ln>
            <a:effectLst/>
            <a:sp3d/>
          </c:spPr>
          <c:invertIfNegative val="0"/>
          <c:dLbls>
            <c:dLbl>
              <c:idx val="0"/>
              <c:layout>
                <c:manualLayout>
                  <c:x val="0.05"/>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D4-4C8E-A6E1-07ECC4C4502C}"/>
                </c:ext>
              </c:extLst>
            </c:dLbl>
            <c:dLbl>
              <c:idx val="1"/>
              <c:layout>
                <c:manualLayout>
                  <c:x val="3.3333333333333333E-2"/>
                  <c:y val="-5.0925925925925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D4-4C8E-A6E1-07ECC4C450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'Anexo A -DRAF TODOS OS SERVIÇOS'!$B$1:$C$2</c:f>
              <c:strCache>
                <c:ptCount val="2"/>
                <c:pt idx="0">
                  <c:v>´MARS</c:v>
                </c:pt>
                <c:pt idx="1">
                  <c:v>CLIENTCO</c:v>
                </c:pt>
              </c:strCache>
            </c:strRef>
          </c:cat>
          <c:val>
            <c:numRef>
              <c:f>'Anexo A -DRAF TODOS OS SERVIÇOS'!$B$3:$C$3</c:f>
              <c:numCache>
                <c:formatCode>General</c:formatCode>
                <c:ptCount val="2"/>
                <c:pt idx="0">
                  <c:v>148</c:v>
                </c:pt>
                <c:pt idx="1">
                  <c:v>159</c:v>
                </c:pt>
              </c:numCache>
            </c:numRef>
          </c:val>
          <c:extLst>
            <c:ext xmlns:c16="http://schemas.microsoft.com/office/drawing/2014/chart" uri="{C3380CC4-5D6E-409C-BE32-E72D297353CC}">
              <c16:uniqueId val="{00000002-F0D4-4C8E-A6E1-07ECC4C4502C}"/>
            </c:ext>
          </c:extLst>
        </c:ser>
        <c:dLbls>
          <c:showLegendKey val="0"/>
          <c:showVal val="0"/>
          <c:showCatName val="0"/>
          <c:showSerName val="0"/>
          <c:showPercent val="0"/>
          <c:showBubbleSize val="0"/>
        </c:dLbls>
        <c:gapWidth val="150"/>
        <c:shape val="box"/>
        <c:axId val="423105592"/>
        <c:axId val="423105920"/>
        <c:axId val="0"/>
      </c:bar3DChart>
      <c:catAx>
        <c:axId val="423105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423105920"/>
        <c:crosses val="autoZero"/>
        <c:auto val="1"/>
        <c:lblAlgn val="ctr"/>
        <c:lblOffset val="100"/>
        <c:noMultiLvlLbl val="0"/>
      </c:catAx>
      <c:valAx>
        <c:axId val="423105920"/>
        <c:scaling>
          <c:orientation val="minMax"/>
        </c:scaling>
        <c:delete val="1"/>
        <c:axPos val="l"/>
        <c:numFmt formatCode="General" sourceLinked="1"/>
        <c:majorTickMark val="none"/>
        <c:minorTickMark val="none"/>
        <c:tickLblPos val="nextTo"/>
        <c:crossAx val="423105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ClientCo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cked"/>
        <c:varyColors val="0"/>
        <c:ser>
          <c:idx val="0"/>
          <c:order val="0"/>
          <c:tx>
            <c:strRef>
              <c:f>'Anexo A -DRAF TODOS OS SERVIÇOS'!$E$3</c:f>
              <c:strCache>
                <c:ptCount val="1"/>
                <c:pt idx="0">
                  <c:v>Pendente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2.8922631959508844E-3"/>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EE-4EC5-A323-D2E9CAC4D6B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'Anexo A -DRAF TODOS OS SERVIÇOS'!$F$2:$G$2</c:f>
              <c:numCache>
                <c:formatCode>d\-mmm</c:formatCode>
                <c:ptCount val="2"/>
                <c:pt idx="0">
                  <c:v>45401</c:v>
                </c:pt>
                <c:pt idx="1">
                  <c:v>45408</c:v>
                </c:pt>
              </c:numCache>
            </c:numRef>
          </c:cat>
          <c:val>
            <c:numRef>
              <c:f>'Anexo A -DRAF TODOS OS SERVIÇOS'!$F$3:$G$3</c:f>
              <c:numCache>
                <c:formatCode>General</c:formatCode>
                <c:ptCount val="2"/>
                <c:pt idx="0">
                  <c:v>113</c:v>
                </c:pt>
                <c:pt idx="1">
                  <c:v>95</c:v>
                </c:pt>
              </c:numCache>
            </c:numRef>
          </c:val>
          <c:smooth val="0"/>
          <c:extLst>
            <c:ext xmlns:c16="http://schemas.microsoft.com/office/drawing/2014/chart" uri="{C3380CC4-5D6E-409C-BE32-E72D297353CC}">
              <c16:uniqueId val="{00000001-60EE-4EC5-A323-D2E9CAC4D6B6}"/>
            </c:ext>
          </c:extLst>
        </c:ser>
        <c:ser>
          <c:idx val="1"/>
          <c:order val="1"/>
          <c:tx>
            <c:strRef>
              <c:f>'Anexo A -DRAF TODOS OS SERVIÇOS'!$E$4</c:f>
              <c:strCache>
                <c:ptCount val="1"/>
                <c:pt idx="0">
                  <c:v>Concluído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EE-4EC5-A323-D2E9CAC4D6B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'Anexo A -DRAF TODOS OS SERVIÇOS'!$F$2:$G$2</c:f>
              <c:numCache>
                <c:formatCode>d\-mmm</c:formatCode>
                <c:ptCount val="2"/>
                <c:pt idx="0">
                  <c:v>45401</c:v>
                </c:pt>
                <c:pt idx="1">
                  <c:v>45408</c:v>
                </c:pt>
              </c:numCache>
            </c:numRef>
          </c:cat>
          <c:val>
            <c:numRef>
              <c:f>'Anexo A -DRAF TODOS OS SERVIÇOS'!$F$4:$G$4</c:f>
              <c:numCache>
                <c:formatCode>General</c:formatCode>
                <c:ptCount val="2"/>
                <c:pt idx="0">
                  <c:v>46</c:v>
                </c:pt>
                <c:pt idx="1">
                  <c:v>64</c:v>
                </c:pt>
              </c:numCache>
            </c:numRef>
          </c:val>
          <c:smooth val="0"/>
          <c:extLst>
            <c:ext xmlns:c16="http://schemas.microsoft.com/office/drawing/2014/chart" uri="{C3380CC4-5D6E-409C-BE32-E72D297353CC}">
              <c16:uniqueId val="{00000003-60EE-4EC5-A323-D2E9CAC4D6B6}"/>
            </c:ext>
          </c:extLst>
        </c:ser>
        <c:dLbls>
          <c:showLegendKey val="0"/>
          <c:showVal val="0"/>
          <c:showCatName val="0"/>
          <c:showSerName val="0"/>
          <c:showPercent val="0"/>
          <c:showBubbleSize val="0"/>
        </c:dLbls>
        <c:marker val="1"/>
        <c:smooth val="0"/>
        <c:axId val="407209776"/>
        <c:axId val="407208136"/>
      </c:lineChart>
      <c:catAx>
        <c:axId val="407209776"/>
        <c:scaling>
          <c:orientation val="minMax"/>
        </c:scaling>
        <c:delete val="0"/>
        <c:axPos val="b"/>
        <c:numFmt formatCode="d\-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7208136"/>
        <c:crosses val="autoZero"/>
        <c:auto val="0"/>
        <c:lblAlgn val="ctr"/>
        <c:lblOffset val="100"/>
        <c:noMultiLvlLbl val="0"/>
      </c:catAx>
      <c:valAx>
        <c:axId val="407208136"/>
        <c:scaling>
          <c:orientation val="minMax"/>
        </c:scaling>
        <c:delete val="1"/>
        <c:axPos val="l"/>
        <c:numFmt formatCode="General" sourceLinked="1"/>
        <c:majorTickMark val="none"/>
        <c:minorTickMark val="none"/>
        <c:tickLblPos val="nextTo"/>
        <c:crossAx val="407209776"/>
        <c:crossesAt val="45397"/>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Evolução Anexo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'Anexo A -DRAF TODOS OS SERVIÇOS'!$H$39</c:f>
              <c:strCache>
                <c:ptCount val="1"/>
                <c:pt idx="0">
                  <c:v>Concluídos</c:v>
                </c:pt>
              </c:strCache>
            </c:strRef>
          </c:tx>
          <c:spPr>
            <a:solidFill>
              <a:schemeClr val="accent5">
                <a:lumMod val="50000"/>
              </a:schemeClr>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1-2472-4017-A72A-D14C8528CCF4}"/>
              </c:ext>
            </c:extLst>
          </c:dPt>
          <c:dLbls>
            <c:dLbl>
              <c:idx val="0"/>
              <c:layout>
                <c:manualLayout>
                  <c:x val="-2.5462668816039986E-17"/>
                  <c:y val="0.15740740740740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72-4017-A72A-D14C8528CCF4}"/>
                </c:ext>
              </c:extLst>
            </c:dLbl>
            <c:dLbl>
              <c:idx val="1"/>
              <c:layout>
                <c:manualLayout>
                  <c:x val="5.5555555555554534E-3"/>
                  <c:y val="0.111111111111111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72-4017-A72A-D14C8528CCF4}"/>
                </c:ext>
              </c:extLst>
            </c:dLbl>
            <c:dLbl>
              <c:idx val="2"/>
              <c:layout>
                <c:manualLayout>
                  <c:x val="0"/>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72-4017-A72A-D14C8528CC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'Anexo A -DRAF TODOS OS SERVIÇOS'!$G$40:$G$42</c:f>
              <c:strCache>
                <c:ptCount val="3"/>
                <c:pt idx="0">
                  <c:v>Total</c:v>
                </c:pt>
                <c:pt idx="1">
                  <c:v>19/abr</c:v>
                </c:pt>
                <c:pt idx="2">
                  <c:v>26/abr</c:v>
                </c:pt>
              </c:strCache>
            </c:strRef>
          </c:cat>
          <c:val>
            <c:numRef>
              <c:f>'Anexo A -DRAF TODOS OS SERVIÇOS'!$H$40:$H$42</c:f>
              <c:numCache>
                <c:formatCode>General</c:formatCode>
                <c:ptCount val="3"/>
                <c:pt idx="0">
                  <c:v>162</c:v>
                </c:pt>
                <c:pt idx="1">
                  <c:v>46</c:v>
                </c:pt>
                <c:pt idx="2">
                  <c:v>64</c:v>
                </c:pt>
              </c:numCache>
            </c:numRef>
          </c:val>
          <c:extLst>
            <c:ext xmlns:c16="http://schemas.microsoft.com/office/drawing/2014/chart" uri="{C3380CC4-5D6E-409C-BE32-E72D297353CC}">
              <c16:uniqueId val="{00000004-2472-4017-A72A-D14C8528CCF4}"/>
            </c:ext>
          </c:extLst>
        </c:ser>
        <c:dLbls>
          <c:showLegendKey val="0"/>
          <c:showVal val="0"/>
          <c:showCatName val="0"/>
          <c:showSerName val="0"/>
          <c:showPercent val="0"/>
          <c:showBubbleSize val="0"/>
        </c:dLbls>
        <c:gapWidth val="150"/>
        <c:axId val="407495176"/>
        <c:axId val="407494520"/>
      </c:barChart>
      <c:lineChart>
        <c:grouping val="standard"/>
        <c:varyColors val="0"/>
        <c:ser>
          <c:idx val="1"/>
          <c:order val="1"/>
          <c:tx>
            <c:strRef>
              <c:f>'Anexo A -DRAF TODOS OS SERVIÇOS'!$I$39</c:f>
              <c:strCache>
                <c:ptCount val="1"/>
                <c:pt idx="0">
                  <c:v>%</c:v>
                </c:pt>
              </c:strCache>
            </c:strRef>
          </c:tx>
          <c:spPr>
            <a:ln w="28575" cap="rnd">
              <a:solidFill>
                <a:schemeClr val="accent6">
                  <a:lumMod val="75000"/>
                </a:schemeClr>
              </a:solidFill>
              <a:round/>
            </a:ln>
            <a:effectLst/>
          </c:spPr>
          <c:marker>
            <c:symbol val="none"/>
          </c:marker>
          <c:dLbls>
            <c:dLbl>
              <c:idx val="0"/>
              <c:layout>
                <c:manualLayout>
                  <c:x val="-0.05"/>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72-4017-A72A-D14C8528CCF4}"/>
                </c:ext>
              </c:extLst>
            </c:dLbl>
            <c:dLbl>
              <c:idx val="1"/>
              <c:layout>
                <c:manualLayout>
                  <c:x val="-2.7777777777777776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72-4017-A72A-D14C8528CCF4}"/>
                </c:ext>
              </c:extLst>
            </c:dLbl>
            <c:dLbl>
              <c:idx val="2"/>
              <c:layout>
                <c:manualLayout>
                  <c:x val="-3.888888888888889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72-4017-A72A-D14C8528CC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'Anexo A -DRAF TODOS OS SERVIÇOS'!$G$40:$G$42</c:f>
              <c:strCache>
                <c:ptCount val="3"/>
                <c:pt idx="0">
                  <c:v>Total</c:v>
                </c:pt>
                <c:pt idx="1">
                  <c:v>19/abr</c:v>
                </c:pt>
                <c:pt idx="2">
                  <c:v>26/abr</c:v>
                </c:pt>
              </c:strCache>
            </c:strRef>
          </c:cat>
          <c:val>
            <c:numRef>
              <c:f>'Anexo A -DRAF TODOS OS SERVIÇOS'!$I$40:$I$42</c:f>
              <c:numCache>
                <c:formatCode>0%</c:formatCode>
                <c:ptCount val="3"/>
                <c:pt idx="0">
                  <c:v>0</c:v>
                </c:pt>
                <c:pt idx="1">
                  <c:v>0.2839506172839506</c:v>
                </c:pt>
                <c:pt idx="2">
                  <c:v>0.39506172839506171</c:v>
                </c:pt>
              </c:numCache>
            </c:numRef>
          </c:val>
          <c:smooth val="0"/>
          <c:extLst>
            <c:ext xmlns:c16="http://schemas.microsoft.com/office/drawing/2014/chart" uri="{C3380CC4-5D6E-409C-BE32-E72D297353CC}">
              <c16:uniqueId val="{00000008-2472-4017-A72A-D14C8528CCF4}"/>
            </c:ext>
          </c:extLst>
        </c:ser>
        <c:dLbls>
          <c:showLegendKey val="0"/>
          <c:showVal val="0"/>
          <c:showCatName val="0"/>
          <c:showSerName val="0"/>
          <c:showPercent val="0"/>
          <c:showBubbleSize val="0"/>
        </c:dLbls>
        <c:marker val="1"/>
        <c:smooth val="0"/>
        <c:axId val="473641368"/>
        <c:axId val="473643008"/>
      </c:lineChart>
      <c:catAx>
        <c:axId val="407495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7494520"/>
        <c:crosses val="autoZero"/>
        <c:auto val="1"/>
        <c:lblAlgn val="ctr"/>
        <c:lblOffset val="100"/>
        <c:noMultiLvlLbl val="0"/>
      </c:catAx>
      <c:valAx>
        <c:axId val="407494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pt-BR"/>
          </a:p>
        </c:txPr>
        <c:crossAx val="407495176"/>
        <c:crosses val="autoZero"/>
        <c:crossBetween val="between"/>
      </c:valAx>
      <c:valAx>
        <c:axId val="473643008"/>
        <c:scaling>
          <c:orientation val="minMax"/>
          <c:max val="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pt-BR"/>
          </a:p>
        </c:txPr>
        <c:crossAx val="473641368"/>
        <c:crosses val="max"/>
        <c:crossBetween val="between"/>
      </c:valAx>
      <c:catAx>
        <c:axId val="473641368"/>
        <c:scaling>
          <c:orientation val="minMax"/>
        </c:scaling>
        <c:delete val="1"/>
        <c:axPos val="b"/>
        <c:numFmt formatCode="General" sourceLinked="1"/>
        <c:majorTickMark val="none"/>
        <c:minorTickMark val="none"/>
        <c:tickLblPos val="nextTo"/>
        <c:crossAx val="4736430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Evolução</a:t>
            </a:r>
            <a:r>
              <a:rPr lang="en-US" b="1" baseline="0"/>
              <a:t> Anexo A - concluídos</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'Anexo A -DRAF TODOS OS SERVIÇOS'!$H$53</c:f>
              <c:strCache>
                <c:ptCount val="1"/>
                <c:pt idx="0">
                  <c:v>Concluídos</c:v>
                </c:pt>
              </c:strCache>
            </c:strRef>
          </c:tx>
          <c:spPr>
            <a:solidFill>
              <a:schemeClr val="accent6">
                <a:lumMod val="75000"/>
              </a:schemeClr>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DB6A-41FE-8A1E-4C9EE087F6F6}"/>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DB6A-41FE-8A1E-4C9EE087F6F6}"/>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DB6A-41FE-8A1E-4C9EE087F6F6}"/>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7-DB6A-41FE-8A1E-4C9EE087F6F6}"/>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9-DB6A-41FE-8A1E-4C9EE087F6F6}"/>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A-4008-4F14-8850-1D9A8040498B}"/>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13-D1BF-45DD-8E0D-314E4E1999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'Anexo A -DRAF TODOS OS SERVIÇOS'!$G$54:$G$63</c:f>
              <c:strCache>
                <c:ptCount val="10"/>
                <c:pt idx="0">
                  <c:v>Total</c:v>
                </c:pt>
                <c:pt idx="1">
                  <c:v>17/abr</c:v>
                </c:pt>
                <c:pt idx="2">
                  <c:v>19/abr</c:v>
                </c:pt>
                <c:pt idx="3">
                  <c:v>26/abr</c:v>
                </c:pt>
                <c:pt idx="4">
                  <c:v>29/abr</c:v>
                </c:pt>
                <c:pt idx="5">
                  <c:v>02/mai</c:v>
                </c:pt>
                <c:pt idx="6">
                  <c:v>08/mai</c:v>
                </c:pt>
                <c:pt idx="7">
                  <c:v>15/mai</c:v>
                </c:pt>
                <c:pt idx="8">
                  <c:v>21/mai</c:v>
                </c:pt>
                <c:pt idx="9">
                  <c:v>23/mai</c:v>
                </c:pt>
              </c:strCache>
            </c:strRef>
          </c:cat>
          <c:val>
            <c:numRef>
              <c:f>'Anexo A -DRAF TODOS OS SERVIÇOS'!$H$54:$H$63</c:f>
              <c:numCache>
                <c:formatCode>General</c:formatCode>
                <c:ptCount val="10"/>
                <c:pt idx="0">
                  <c:v>317</c:v>
                </c:pt>
                <c:pt idx="1">
                  <c:v>0</c:v>
                </c:pt>
                <c:pt idx="2">
                  <c:v>46</c:v>
                </c:pt>
                <c:pt idx="3">
                  <c:v>64</c:v>
                </c:pt>
                <c:pt idx="4">
                  <c:v>95</c:v>
                </c:pt>
                <c:pt idx="5">
                  <c:v>104</c:v>
                </c:pt>
                <c:pt idx="6">
                  <c:v>88</c:v>
                </c:pt>
                <c:pt idx="7">
                  <c:v>162</c:v>
                </c:pt>
                <c:pt idx="8">
                  <c:v>304</c:v>
                </c:pt>
                <c:pt idx="9">
                  <c:v>314</c:v>
                </c:pt>
              </c:numCache>
            </c:numRef>
          </c:val>
          <c:extLst>
            <c:ext xmlns:c16="http://schemas.microsoft.com/office/drawing/2014/chart" uri="{C3380CC4-5D6E-409C-BE32-E72D297353CC}">
              <c16:uniqueId val="{00000008-DB6A-41FE-8A1E-4C9EE087F6F6}"/>
            </c:ext>
          </c:extLst>
        </c:ser>
        <c:dLbls>
          <c:showLegendKey val="0"/>
          <c:showVal val="0"/>
          <c:showCatName val="0"/>
          <c:showSerName val="0"/>
          <c:showPercent val="0"/>
          <c:showBubbleSize val="0"/>
        </c:dLbls>
        <c:gapWidth val="60"/>
        <c:overlap val="-27"/>
        <c:axId val="430760264"/>
        <c:axId val="430758624"/>
      </c:barChart>
      <c:catAx>
        <c:axId val="430760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30758624"/>
        <c:crosses val="autoZero"/>
        <c:auto val="1"/>
        <c:lblAlgn val="ctr"/>
        <c:lblOffset val="100"/>
        <c:noMultiLvlLbl val="0"/>
      </c:catAx>
      <c:valAx>
        <c:axId val="430758624"/>
        <c:scaling>
          <c:orientation val="minMax"/>
        </c:scaling>
        <c:delete val="1"/>
        <c:axPos val="l"/>
        <c:numFmt formatCode="General" sourceLinked="1"/>
        <c:majorTickMark val="none"/>
        <c:minorTickMark val="none"/>
        <c:tickLblPos val="nextTo"/>
        <c:crossAx val="430760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[Anexos A e B_TSAClientCo (consolidado).xlsx]Draft Anexo A - Dinâmica!Tabela dinâmica6</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sz="1400" b="1" i="0" u="none" strike="noStrike" baseline="0"/>
              <a:t>Draft Anexo A - volume pelo descritivo TSA</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pivotFmt>
      <c:pivotFmt>
        <c:idx val="1"/>
        <c:spPr>
          <a:solidFill>
            <a:schemeClr val="accent6">
              <a:lumMod val="60000"/>
              <a:lumOff val="40000"/>
            </a:schemeClr>
          </a:solidFill>
          <a:ln>
            <a:noFill/>
          </a:ln>
          <a:effectLst/>
        </c:spPr>
        <c:marker>
          <c:symbol val="none"/>
        </c:marker>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6">
              <a:lumMod val="60000"/>
              <a:lumOff val="40000"/>
            </a:schemeClr>
          </a:solidFill>
          <a:ln>
            <a:noFill/>
          </a:ln>
          <a:effectLst/>
        </c:spPr>
        <c:marker>
          <c:symbol val="none"/>
        </c:marker>
      </c:pivotFmt>
      <c:pivotFmt>
        <c:idx val="7"/>
        <c:spPr>
          <a:solidFill>
            <a:schemeClr val="accent6">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'Draft Anexo A - Dinâmica'!$C$2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'Draft Anexo A - Dinâmica'!$B$3:$B$10</c:f>
              <c:strCache>
                <c:ptCount val="7"/>
                <c:pt idx="0">
                  <c:v>Access network O&amp;M​</c:v>
                </c:pt>
                <c:pt idx="1">
                  <c:v>Customer care​</c:v>
                </c:pt>
                <c:pt idx="2">
                  <c:v>Core network O&amp;M​</c:v>
                </c:pt>
                <c:pt idx="3">
                  <c:v>Application and data management​</c:v>
                </c:pt>
                <c:pt idx="4">
                  <c:v>Bill-to-cash​</c:v>
                </c:pt>
                <c:pt idx="5">
                  <c:v>Customer data and offer management​</c:v>
                </c:pt>
                <c:pt idx="6">
                  <c:v>Admin personnel​</c:v>
                </c:pt>
              </c:strCache>
            </c:strRef>
          </c:cat>
          <c:val>
            <c:numRef>
              <c:f>'Draft Anexo A - Dinâmica'!$C$3:$C$10</c:f>
              <c:numCache>
                <c:formatCode>General</c:formatCode>
                <c:ptCount val="7"/>
                <c:pt idx="0">
                  <c:v>3</c:v>
                </c:pt>
                <c:pt idx="1">
                  <c:v>11</c:v>
                </c:pt>
                <c:pt idx="2">
                  <c:v>17</c:v>
                </c:pt>
                <c:pt idx="3">
                  <c:v>20</c:v>
                </c:pt>
                <c:pt idx="4">
                  <c:v>43</c:v>
                </c:pt>
                <c:pt idx="5">
                  <c:v>46</c:v>
                </c:pt>
                <c:pt idx="6">
                  <c:v>75</c:v>
                </c:pt>
              </c:numCache>
            </c:numRef>
          </c:val>
          <c:extLst>
            <c:ext xmlns:c16="http://schemas.microsoft.com/office/drawing/2014/chart" uri="{C3380CC4-5D6E-409C-BE32-E72D297353CC}">
              <c16:uniqueId val="{00000000-8910-4107-BB61-C21A8C690A1F}"/>
            </c:ext>
          </c:extLst>
        </c:ser>
        <c:dLbls>
          <c:dLblPos val="outEnd"/>
          <c:showLegendKey val="0"/>
          <c:showVal val="1"/>
          <c:showCatName val="0"/>
          <c:showSerName val="0"/>
          <c:showPercent val="0"/>
          <c:showBubbleSize val="0"/>
        </c:dLbls>
        <c:gapWidth val="107"/>
        <c:axId val="1358866175"/>
        <c:axId val="1358864927"/>
      </c:barChart>
      <c:catAx>
        <c:axId val="135886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crossAx val="1358864927"/>
        <c:crosses val="autoZero"/>
        <c:auto val="1"/>
        <c:lblAlgn val="ctr"/>
        <c:lblOffset val="100"/>
        <c:noMultiLvlLbl val="0"/>
      </c:catAx>
      <c:valAx>
        <c:axId val="1358864927"/>
        <c:scaling>
          <c:orientation val="minMax"/>
        </c:scaling>
        <c:delete val="1"/>
        <c:axPos val="b"/>
        <c:numFmt formatCode="General" sourceLinked="1"/>
        <c:majorTickMark val="none"/>
        <c:minorTickMark val="none"/>
        <c:tickLblPos val="nextTo"/>
        <c:crossAx val="135886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[Anexos A e B_TSAClientCo (consolidado).xlsx]Draft Anexo A - Dinâmica!Tabela dinâmica1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1" i="0" baseline="0">
                <a:effectLst/>
              </a:rPr>
              <a:t>Draft Anexo A - volume por VP</a:t>
            </a:r>
            <a:endParaRPr lang="pt-BR" sz="14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pivotFmt>
      <c:pivotFmt>
        <c:idx val="1"/>
        <c:spPr>
          <a:solidFill>
            <a:schemeClr val="accent6">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'Draft Anexo A - Dinâmica'!$C$19</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'Draft Anexo A - Dinâmica'!$B$20:$B$29</c:f>
              <c:strCache>
                <c:ptCount val="9"/>
                <c:pt idx="0">
                  <c:v>Auditoria e GRC</c:v>
                </c:pt>
                <c:pt idx="1">
                  <c:v>Regulatório e Institucional</c:v>
                </c:pt>
                <c:pt idx="2">
                  <c:v>Jurídico</c:v>
                </c:pt>
                <c:pt idx="3">
                  <c:v>Suporte ao Negócio</c:v>
                </c:pt>
                <c:pt idx="4">
                  <c:v>Operações de Redes e SI</c:v>
                </c:pt>
                <c:pt idx="5">
                  <c:v>Tecnologia</c:v>
                </c:pt>
                <c:pt idx="6">
                  <c:v>Oi Fibra</c:v>
                </c:pt>
                <c:pt idx="7">
                  <c:v>Finanças e Relações com investidores</c:v>
                </c:pt>
                <c:pt idx="8">
                  <c:v>Pessoas &amp; Cultura</c:v>
                </c:pt>
              </c:strCache>
            </c:strRef>
          </c:cat>
          <c:val>
            <c:numRef>
              <c:f>'Draft Anexo A - Dinâmica'!$C$20:$C$29</c:f>
              <c:numCache>
                <c:formatCode>General</c:formatCode>
                <c:ptCount val="9"/>
                <c:pt idx="0">
                  <c:v>3</c:v>
                </c:pt>
                <c:pt idx="1">
                  <c:v>5</c:v>
                </c:pt>
                <c:pt idx="2">
                  <c:v>8</c:v>
                </c:pt>
                <c:pt idx="3">
                  <c:v>8</c:v>
                </c:pt>
                <c:pt idx="4">
                  <c:v>11</c:v>
                </c:pt>
                <c:pt idx="5">
                  <c:v>19</c:v>
                </c:pt>
                <c:pt idx="6">
                  <c:v>48</c:v>
                </c:pt>
                <c:pt idx="7">
                  <c:v>55</c:v>
                </c:pt>
                <c:pt idx="8">
                  <c:v>58</c:v>
                </c:pt>
              </c:numCache>
            </c:numRef>
          </c:val>
          <c:extLst>
            <c:ext xmlns:c16="http://schemas.microsoft.com/office/drawing/2014/chart" uri="{C3380CC4-5D6E-409C-BE32-E72D297353CC}">
              <c16:uniqueId val="{00000000-9105-4C4F-9098-83D7BE035B35}"/>
            </c:ext>
          </c:extLst>
        </c:ser>
        <c:dLbls>
          <c:showLegendKey val="0"/>
          <c:showVal val="0"/>
          <c:showCatName val="0"/>
          <c:showSerName val="0"/>
          <c:showPercent val="0"/>
          <c:showBubbleSize val="0"/>
        </c:dLbls>
        <c:gapWidth val="107"/>
        <c:axId val="648028880"/>
        <c:axId val="648034704"/>
      </c:barChart>
      <c:catAx>
        <c:axId val="64802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crossAx val="648034704"/>
        <c:crosses val="autoZero"/>
        <c:auto val="1"/>
        <c:lblAlgn val="ctr"/>
        <c:lblOffset val="100"/>
        <c:noMultiLvlLbl val="0"/>
      </c:catAx>
      <c:valAx>
        <c:axId val="648034704"/>
        <c:scaling>
          <c:orientation val="minMax"/>
        </c:scaling>
        <c:delete val="1"/>
        <c:axPos val="b"/>
        <c:numFmt formatCode="General" sourceLinked="1"/>
        <c:majorTickMark val="none"/>
        <c:minorTickMark val="none"/>
        <c:tickLblPos val="nextTo"/>
        <c:crossAx val="648028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24</xdr:col>
      <xdr:colOff>535596</xdr:colOff>
      <xdr:row>57</xdr:row>
      <xdr:rowOff>76200</xdr:rowOff>
    </xdr:from>
    <xdr:to>
      <xdr:col>35</xdr:col>
      <xdr:colOff>180242</xdr:colOff>
      <xdr:row>77</xdr:row>
      <xdr:rowOff>89416</xdr:rowOff>
    </xdr:to>
    <xdr:pic>
      <xdr:nvPicPr>
        <xdr:cNvPr id="2" name="Imagem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873221" y="18440400"/>
          <a:ext cx="6350246" cy="649021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535596</xdr:colOff>
      <xdr:row>39</xdr:row>
      <xdr:rowOff>0</xdr:rowOff>
    </xdr:from>
    <xdr:to>
      <xdr:col>34</xdr:col>
      <xdr:colOff>180241</xdr:colOff>
      <xdr:row>59</xdr:row>
      <xdr:rowOff>13216</xdr:rowOff>
    </xdr:to>
    <xdr:pic>
      <xdr:nvPicPr>
        <xdr:cNvPr id="2" name="Imagem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835246" y="4114800"/>
          <a:ext cx="6350245" cy="6234771"/>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504825</xdr:colOff>
      <xdr:row>6</xdr:row>
      <xdr:rowOff>0</xdr:rowOff>
    </xdr:from>
    <xdr:to>
      <xdr:col>5</xdr:col>
      <xdr:colOff>381000</xdr:colOff>
      <xdr:row>20</xdr:row>
      <xdr:rowOff>38100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66675</xdr:colOff>
      <xdr:row>6</xdr:row>
      <xdr:rowOff>9525</xdr:rowOff>
    </xdr:from>
    <xdr:to>
      <xdr:col>10</xdr:col>
      <xdr:colOff>142875</xdr:colOff>
      <xdr:row>20</xdr:row>
      <xdr:rowOff>85725</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171450</xdr:rowOff>
    </xdr:from>
    <xdr:to>
      <xdr:col>5</xdr:col>
      <xdr:colOff>542925</xdr:colOff>
      <xdr:row>49</xdr:row>
      <xdr:rowOff>57150</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52</xdr:row>
      <xdr:rowOff>114300</xdr:rowOff>
    </xdr:from>
    <xdr:to>
      <xdr:col>5</xdr:col>
      <xdr:colOff>542925</xdr:colOff>
      <xdr:row>69</xdr:row>
      <xdr:rowOff>0</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23812</xdr:colOff>
      <xdr:row>1</xdr:row>
      <xdr:rowOff>19050</xdr:rowOff>
    </xdr:from>
    <xdr:to>
      <xdr:col>11</xdr:col>
      <xdr:colOff>328612</xdr:colOff>
      <xdr:row>15</xdr:row>
      <xdr:rowOff>95250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18</xdr:row>
      <xdr:rowOff>95250</xdr:rowOff>
    </xdr:from>
    <xdr:to>
      <xdr:col>11</xdr:col>
      <xdr:colOff>395287</xdr:colOff>
      <xdr:row>32</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2</xdr:row>
      <xdr:rowOff>59531</xdr:rowOff>
    </xdr:from>
    <xdr:to>
      <xdr:col>22</xdr:col>
      <xdr:colOff>341408</xdr:colOff>
      <xdr:row>26</xdr:row>
      <xdr:rowOff>11340</xdr:rowOff>
    </xdr:to>
    <xdr:pic>
      <xdr:nvPicPr>
        <xdr:cNvPr id="2" name="Imagem 1"/>
        <xdr:cNvPicPr>
          <a:picLocks noChangeAspect="1"/>
        </xdr:cNvPicPr>
      </xdr:nvPicPr>
      <xdr:blipFill>
        <a:blip xmlns:r="http://schemas.openxmlformats.org/officeDocument/2006/relationships" r:embed="rId1"/>
        <a:stretch>
          <a:fillRect/>
        </a:stretch>
      </xdr:blipFill>
      <xdr:spPr>
        <a:xfrm>
          <a:off x="1821656" y="440531"/>
          <a:ext cx="11878565" cy="452380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andro De Moraes Alves" refreshedDate="45454.6097099537" createdVersion="6" refreshedVersion="6" minRefreshableVersion="3" recordCount="320">
  <cacheSource type="worksheet">
    <worksheetSource ref="C2:J1048576" sheet="Anexo A - TODOS OS SERVIÇOS"/>
  </cacheSource>
  <cacheFields count="9">
    <cacheField name="Resumo dos serviços descritos no TSA." numFmtId="0">
      <sharedItems containsBlank="1"/>
    </cacheField>
    <cacheField name="Topicos" numFmtId="0">
      <sharedItems containsBlank="1"/>
    </cacheField>
    <cacheField name="Anexo A (MobileCo)" numFmtId="0">
      <sharedItems containsBlank="1" longText="1"/>
    </cacheField>
    <cacheField name="Texto Anexo A (ClientCo)" numFmtId="0">
      <sharedItems containsBlank="1" longText="1"/>
    </cacheField>
    <cacheField name="Área responsável pelo Report" numFmtId="0">
      <sharedItems containsBlank="1" count="49">
        <s v="Produtos"/>
        <s v="DA"/>
        <s v="Jurídico Tributário"/>
        <s v="Jurídico Cível Estratégico"/>
        <s v="Regulatório"/>
        <s v="RH"/>
        <s v="Faturamento"/>
        <s v="Tráfego"/>
        <s v="RA/ Fraude"/>
        <s v="Arrecadação e Cobrança"/>
        <s v="Tributos/Fiscal"/>
        <s v="Contabilidade"/>
        <s v="Jurídico Consumidor"/>
        <s v="Atendimento"/>
        <s v="Crédito"/>
        <s v="Ura"/>
        <s v="Suporte Técnico"/>
        <s v="Vendas (var/ Emp)"/>
        <s v="Ações restritas"/>
        <s v="Operações de Rede e SI"/>
        <s v="Sistemas TI"/>
        <s v="Logística"/>
        <s v="Controles Internos"/>
        <s v="Relações Institucionais"/>
        <s v="Contencioso Regulatório"/>
        <s v="Parceiro de Negócio"/>
        <s v="Suprimentos"/>
        <s v="Energia"/>
        <s v="Oi Fibra"/>
        <s v="Tesouraria e Análise de Desempenho"/>
        <s v="Serviços Jurídicos e Tralhista"/>
        <m/>
        <s v="Analytics, Gestão, Sistemas E Terceiros" u="1"/>
        <s v="Comunicação Interna" u="1"/>
        <s v="Marca Empregadora" u="1"/>
        <s v="Tema excluído" u="1"/>
        <s v="Rel. Trabalhistas, Saúde, Segurança E Bem Estar" u="1"/>
        <s v="Remuneracao, Beneficios E Planej Organizacional" u="1"/>
        <s v="REAVALIAR" u="1"/>
        <s v="Controles Internos (SOX)" u="1"/>
        <s v=" Tema excluído" u="1"/>
        <s v="Jurídico" u="1"/>
        <s v="RA" u="1"/>
        <s v="Consultoria E Desenvolvimento De Liderança" u="1"/>
        <s v="Controles Internos (SOX): Thiago e Kamila" u="1"/>
        <s v="Aprendizagem Corporativa, Atração E Aceleração De Talentos" u="1"/>
        <s v="RiH" u="1"/>
        <s v="Jur. Tributário" u="1"/>
        <s v="Folha De Pagamento" u="1"/>
      </sharedItems>
    </cacheField>
    <cacheField name="Pessoa responsável pelo Report" numFmtId="0">
      <sharedItems containsBlank="1"/>
    </cacheField>
    <cacheField name="Áreas impactadas" numFmtId="0">
      <sharedItems containsBlank="1"/>
    </cacheField>
    <cacheField name="Anotações" numFmtId="0">
      <sharedItems containsBlank="1" longText="1"/>
    </cacheField>
    <cacheField name="Status Anexo A" numFmtId="0">
      <sharedItems containsBlank="1" count="7">
        <s v="EXCLUIR ESTE ITEM"/>
        <s v="CONCLUÍDO"/>
        <m/>
        <s v="PENDENTE" u="1"/>
        <s v="EM REVISÃO" u="1"/>
        <s v="SERÁ REVISITADO DEVIDO A MUDANÇA DE ESCOPO" u="1"/>
        <s v="Falar com Dennis"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andro De Moraes Alves" refreshedDate="45455.455019328707" createdVersion="6" refreshedVersion="6" minRefreshableVersion="3" recordCount="216">
  <cacheSource type="worksheet">
    <worksheetSource ref="B2:E1048576" sheet="Draft Anexo A"/>
  </cacheSource>
  <cacheFields count="4">
    <cacheField name="VP" numFmtId="0">
      <sharedItems containsBlank="1" count="10">
        <s v="Auditoria e GRC"/>
        <s v="Finanças e Relações com investidores"/>
        <s v="Jurídico"/>
        <s v="Oi Fibra"/>
        <s v="Operações de Redes e SI"/>
        <s v="Pessoas &amp; Cultura"/>
        <s v="Regulatório e Institucional"/>
        <s v="Suporte ao Negócio"/>
        <s v="Tecnologia"/>
        <m/>
      </sharedItems>
    </cacheField>
    <cacheField name="Resumo dos serviços descritos no TSA." numFmtId="0">
      <sharedItems containsBlank="1" count="10">
        <s v="Bill-to-cash​"/>
        <s v="Application and data management​"/>
        <s v="Admin personnel​"/>
        <s v="Customer data and offer management​"/>
        <s v="Customer care​"/>
        <s v="Core network O&amp;M​"/>
        <s v="Access network O&amp;M​"/>
        <m/>
        <s v="Customer data and offer management" u="1"/>
        <s v="Admin Personnel" u="1"/>
      </sharedItems>
    </cacheField>
    <cacheField name="Topicos" numFmtId="0">
      <sharedItems containsBlank="1"/>
    </cacheField>
    <cacheField name="Descrição"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20">
  <r>
    <s v="Customer data and offer management​"/>
    <s v="Reajuste de Planos e Serviços ou ajustes de portfólio (inclusão, exclusão ou alterações) ​"/>
    <s v="Sob demanda, a Oi deverá desenvolver sistemicamente as inclusões, exclusões, ou alterações de preço (e não de dinâmica) das ofertas dentro das práticas e volumes atuais da Oi de forma a reenquadrar portfólio/clientes._x000a_Envolve implementar, testar e garantir a qualidade em toda cadeia (Front end, Fatura, contabilização, etc.) podendo ser acompanhado pelas Compradoras._x000a_Políticas comerciais, regras, valores e features serão solicitadas pelas Compradoras e serão avaliadas pela Oi quanto a viabilidade técnica, financeira, legal e regulatória. As alterações implantadas terão report para fins de acompanhamento do solicitante._x000a_Qualquer modificação que demande Capex, deverá ser reembolsada e não estará coberta pelo cap do Contrato."/>
    <s v="Sob demanda, a Oi deverá desenvolver sistemicamente as inclusões, exclusões, ou alterações de preço (e não de dinâmica) das ofertas dentro das práticas e volumes atuais da Oi de forma a reenquadrar portfólio/clientes._x000a_Envolve implementar, testar e garantir a qualidade em toda cadeia (Front end, Fatura, contabilização, etc.) podendo ser acompanhado pelas Compradoras._x000a_Políticas comerciais, regras, valores e features serão solicitadas pelas Compradoras e serão avaliadas pela Oi quanto a viabilidade técnica, financeira, legal e regulatória. As alterações implantadas terão report para fins de acompanhamento do solicitante._x000a_Qualquer modificação que demande Capex, deverá ser reembolsada e não estará coberta pelo cap do Contrato."/>
    <x v="0"/>
    <s v=" Felícia"/>
    <s v="Varejo e Empresarial; Faturamento"/>
    <m/>
    <x v="0"/>
  </r>
  <r>
    <s v="Customer data and offer management​"/>
    <s v="BI sendo prestado pela OI​"/>
    <s v="Garantir acesso as Compradoras das informações necessárias para tomada de decisões referente aos processos determinados pelo Contrato até a data de migração dos clientes de acordo com o SLA, meio, formato e tecnologia a ser definido entre as partes, respeitando as capacidades tecnológicas e regulações vigentes."/>
    <s v="A Oi se compromete a, sob demanda, compartilhar informações já disponíveis ou fornecer detalhamento de viabilidade técnica, prazo e custo incremental de novos desenvolvimentos, para apoio à tomada de decisões referentes aos processos determinados pelo Contrato durante o prazo de vigência do TSA, levando em consideração SLA, meio, formato e tecnologia a serem definidos entre as partes, respeitando as capacidades tecnológicas e regulações vigentes."/>
    <x v="1"/>
    <s v=" Bruno Palombo"/>
    <s v="Data Analytics"/>
    <s v="Bruno Palombo: refinamento de escopo detalhando cenário de solicitação de novos desenvolvimentos com custo incremental"/>
    <x v="1"/>
  </r>
  <r>
    <s v="Customer data and offer management​"/>
    <s v="Consultoria tributária e atendimento à fiscalização"/>
    <s v="A Oi se compromete a avaliar atendimento à novas demandas legais, fiscais e regulatórias, efetuadas posteriormente à assinatura do Contrato, avaliando viabilidade técnica, riscos, prazos legais/regulatórios e custo incremental."/>
    <s v="A Oi se compromete a avaliar novas demandas legais, fiscais e tributárias, criadas/instituídas posteriormente à assinatura do Contrato (durante o período do TSA), avaliando viabilidade técnica, riscos, prazos legais e custo incremental._x000a_O custo, pelos desenvolvimentos necessários, serão arcados e/ou reembolsamos pela compradora, a depender do que ficar combinado no contrato. Não há como prever, de antemão, quais seriam esses custos, já que não sabemos quais novas obrigações poderiam ser criadas._x000a_Ademais, especificamente ao atendimento à fiscalização tributária, a Oi se compromete em garantir a disposnibilidação da documentação suporte conforme AS IS para atendimento às notificações recebidas pelo Jurídico Tributário."/>
    <x v="2"/>
    <s v=" Julia Villares e Alessandra Lima"/>
    <s v="Jur. Tributário"/>
    <s v="Premissa utilizada pelo Jurídicotributário para elaboração do texto da ClientCo (Alessandra): Tendo em vista que nos foi dito em reunião que a Oi vai se comprometer com as ClientCo a avaliar e levantar os custos para o atendimento das novas demandas legais, relativas a temas fiscais e tributários, que venham a ser instituídas/criadas posteriormente à assinatura do Contrato (desde o closing e durante o período de vigência do TSA)."/>
    <x v="1"/>
  </r>
  <r>
    <s v="Customer data and offer management​"/>
    <s v="Consultoria cível estratégico"/>
    <s v="Novi item"/>
    <s v="A Oi se compromete a prestar consultoria jurídica ou viabilizar a interface dos integrantes do grupo com a área jurídica impactada."/>
    <x v="3"/>
    <s v="Luiz Felipe Vargas"/>
    <m/>
    <m/>
    <x v="1"/>
  </r>
  <r>
    <s v="Customer data and offer management​"/>
    <s v="Ajustes sistêmicos para Regulatório"/>
    <s v="A Oi se compromete a avaliar atendimento à novas demandas legais, fiscais e regulatórias, efetuadas posteriormente à assinatura do Contrato, avaliando viabilidade técnica, riscos, prazos legais/regulatórios e custo incremental."/>
    <s v="A Oi se compromete a avaliar atendimento à novas demandas legais, fiscais e regulatórias, efetuadas posteriormente à assinatura do Contrato, avaliando viabilidade técnica, riscos, prazos legais/regulatórios e custo incremental."/>
    <x v="4"/>
    <s v=" Carlos Galvão/ Dennis"/>
    <s v="Regulatório"/>
    <m/>
    <x v="1"/>
  </r>
  <r>
    <s v="Admin personnel​"/>
    <s v="Payroll administration​"/>
    <s v="- Tratar os dados necessários para cálculo da folha de pagamento, calcular a folha de pagamento, pagar os respectivos impostos e demais deduções._x000a_- Quanto a migração das informações dos colaboradores a serem transferidos (FTEs) para a Claro, essa também considera a migração em duas fases - a primeira com os dados dos colaboradores e uma segunda fase para migração dos dados históricos. Dessa forma, a Claro_x000a_ficará com todas as informações em compliance com as regulamentações."/>
    <s v="&quot;- Tratar os dados necessários para cálculo da folha de pagamento, calcular a folha de pagamento, pagar os respectivos impostos e demais deduções._x000a_- Quanto a migração das informações dos colaboradores a serem transferidos (FTEs) para as compradoras, essa também considera a migração de todos os dados dos colaboradores e uma única fase."/>
    <x v="5"/>
    <s v=" Ricardo"/>
    <s v="RH"/>
    <s v="O ponto focal do RH para auxiliar as áreas a mensurar os custos dos profissionais envolvidos no TSA será o Carlos Eduardo da Rocha "/>
    <x v="0"/>
  </r>
  <r>
    <s v="Admin personnel​"/>
    <s v="Benefits administration​"/>
    <s v="- Manutenção da base e gestão dos benefícios (plano médico, plano odontológico, seguro de vida, vale transporte, previdência privada, auxílio creche, auxílio medicamentos e tíquete refeição/alimentação garantindo a disponibilidade e qualidade dos mesmos;_x000a_- Faturar a utilização total dos benefícios, parcela da coparticipação (ainda não descontada) e utilização total (custo empresa) pós closing"/>
    <s v="&quot;- Manutenção da base e gestão dos benefícios (plano médico, plano odontológico, seguro de vida, vale transporte, previdência privada, auxílio creche, auxílio medicamentos e tíquete refeição/alimentação garantindo a disponibilidade e qualidade dos mesmos;_x000a_- Faturar as compradoras toda a utilização de benefícios, parcela da coparticipação (ainda não descontada) e utilização total (custo empresa) pós closing, durante todo o período do TSA."/>
    <x v="5"/>
    <s v=" Ricardo"/>
    <s v="RH"/>
    <s v="O ponto focal do RH para auxiliar as áreas a mensurar os custos dos profissionais envolvidos no TSA será o Carlos Eduardo da Rocha "/>
    <x v="0"/>
  </r>
  <r>
    <s v="Bill-to-cash​"/>
    <s v="Execução de ciclos de Billings​"/>
    <s v="- A Oi deverá executar o processo de faturamento de terminais móveis, mantendo os sistemas, regras e processos atuais, até a migração total desses clientes._x000a_- Execução de todos os ciclos de billings (majoritários e minoritários) em todos os sistemas de faturamento existentes no parque de TI._x000a_- Execução dos ciclos de billing para processo de Cobilling junto as operadoras (Entrante e Sainte)._x000a_- Resolução dos problemas encontrados durante o processamento."/>
    <s v="- A Oi deverá executar o processo de faturamento de terminais fibra, mantendo os sistemas, regras e processos atuais, até a migração total desses clientes._x000a_- Execução de todos os ciclos de billings (majoritários e minoritários) em todos os sistemas de faturamento existentes no parque de TI._x000a_- Resolução dos problemas encontrados durante o processamento."/>
    <x v="6"/>
    <s v=" Monica"/>
    <s v="Faturamento"/>
    <m/>
    <x v="1"/>
  </r>
  <r>
    <s v="Bill-to-cash​"/>
    <s v="Tarifação de chamadas, dados e eventos ​"/>
    <s v="A Oi irá executar o processo de tarifação de chamadas/ eventos/ SVAs/ consumo excedentes de terminais móveis, mantendo os sistemas, regras, processos e produtos e ofertas atuais, até a migração total desses clientes._x000a_- O tráfego do CSP das Compradoras continuará a ser tratado como Cobilling_x000a_- Execução dos processos de tarifação em todos os sistemas de tarifação (chamadas, eventos e consumos de dados) realizados pelos clientes do segmento móvel._x000a_-  Contemplar  o  processo  de  tarifação  para  chamadas  de  outras  operadoras  (Entrante  e  Sainte)  e  também  Parcerias/CO  faturamento “doações – SVAs”, garantindo o envio e recepção de chamadas._x000a_- Resolução dos problemas encontrados durante o processamento."/>
    <s v=" - Realização do processo de Tarifação de Voz, SVA e 0500 mantendo os sistemas, regras, processos e produtos e ofertas atuais, até a migração total desses clientes._x000a_- Resolução dos problemas encontrados durante o processamento."/>
    <x v="7"/>
    <s v=" Marcus Vinícius"/>
    <s v="Faturamento// Tarifação e Repasse"/>
    <m/>
    <x v="1"/>
  </r>
  <r>
    <s v="Bill-to-cash​"/>
    <s v="Emissão de termos de quitação​"/>
    <s v="- Emissão do termo de quitação referentes aos pagamentos das últimas faturas dos clientes móveis, a exceção de clientes corporativos e atacado onde a emissão será manual e sob demanda do cliente._x000a_- Resolução dos problemas encontrados durante o processamento._x000a_- Todas as pendências de emissão dos termos de quitação anteriores a data do fechamento do contrato deverão ser regularizadas."/>
    <s v="- Emissão do termo de quitação referentes aos pagamentos das últimas faturas dos clientes fibra._x000a_- Resolução dos problemas encontrados durante o processamento._x000a_- Todas as pendências de emissão dos termos de quitação anteriores a data do fechamento do contrato deverão ser regularizadas."/>
    <x v="6"/>
    <s v=" Monica"/>
    <s v="Fatutamento/ Atendimento"/>
    <m/>
    <x v="1"/>
  </r>
  <r>
    <s v="Bill-to-cash​"/>
    <s v="Validação do billings gerados - consistência, qualidade e confiabilidade ​"/>
    <s v="- A Oi irá executar o processo de validação prévia de faturas de terminais móveis, mantendo os sistemas, regras e processos atuais, até a migração total desses clientes._x000a_- Corrigir e reportar o tratamento adotado em caso de desvios identificados mantendo os sistemas, regras, processos e performance atuais, até a migração total desses clientes._x000a_-Executar as validações de consistência sobre o ciclo de billing executado._x000a_- Execução/geração dos processos de Contestação e Críticas das chamadas de cobilling e/ou Parcerias."/>
    <s v="- A Oi irá executar o processo de validação prévia de faturas de terminais fibra, mantendo os sistemas, regras e processos atuais, até a migração total desses clientes._x000a_- Corrigir e reportar o tratamento adotado em caso de desvios identificados mantendo os sistemas, regras, processos e performance atuais, até a migração total desses clientes._x000a_-Executar as validações de consistência sobre o ciclo de billing executado."/>
    <x v="6"/>
    <s v=" Monica"/>
    <s v="Faturamento"/>
    <m/>
    <x v="1"/>
  </r>
  <r>
    <s v="Bill-to-cash​"/>
    <s v="Disponibilização de faturas online e customizadas ​"/>
    <s v="- Oi irá disponibilizar as faturas de terminais móveis, mantendo os sistemas, regras e processos atuais, até a migração total desses clientes, nos formatos e layout atuais (online e customizadas) para clientes varejo, empresarial e corporativos._x000a_- Carga dos spools faturados nas ferramentas que disponibilizam online os documentos de faturamento._x000a_- Resolução dos problemas encontrados durante o processamento._x000a_- Eventuais necessidades de alterações deverão ser discutidas em relação à custo e prazo."/>
    <s v="- Oi irá disponibilizar as faturas de terminais fibra, mantendo os sistemas, regras e processos atuais, até a migração total desses clientes, nos formatos e layout atuais (online e customizadas) para clientes varejo e empresarial._x000a_- Carga dos spools faturados nas ferramentas que disponibilizam online os documentos de faturamento._x000a_- Resolução dos problemas encontrados durante o processamento._x000a_- Eventuais necessidades de alterações deverão ser discutidas em relação à custo e prazo."/>
    <x v="6"/>
    <s v=" Monica"/>
    <s v="Fatutamento/ Atendimento"/>
    <m/>
    <x v="1"/>
  </r>
  <r>
    <s v="Bill-to-cash​"/>
    <s v="Envio dos spools para as print centers ​"/>
    <s v="- Oi irá disponibilizar os spools de faturas de terminais móveis para as print centers atuais da Oi (e remunerar os print centers), mantendo os sistemas, regras e processos atuais, até a migração total desses clientes, nos formatos e layout atuais (online e customizadas) para clientes varejo, empresarial e corporativos._x000a_- Conferência do faturamento gerado e consistências cadastrais._x000a_- Disponibilização dos documentos para as empresas de postagem."/>
    <s v="- Oi irá disponibilizar os spools de faturas de terminais fibra para as print centers atuais da Oi (e remunerar os print centers), mantendo os sistemas, regras e processos atuais, até a migração total desses clientes, nos formatos e layout atuais (online e customizadas) para clientes varejo e empresarial._x000a_- Conferência do faturamento gerado e consistências cadastrais._x000a_- Disponibilização dos documentos para as empresas de postagem."/>
    <x v="6"/>
    <s v=" Monica"/>
    <s v="Faturamento"/>
    <m/>
    <x v="1"/>
  </r>
  <r>
    <s v="Bill-to-cash​"/>
    <s v="Postagem das faturas para os clientes ​"/>
    <s v="- Oi irá disponibilizar os documentos de faturamento de terminais móveis para as empresas de postagem, mantendo os sistemas, regras e processos atuais, até a migração total desses clientes, nos formatos e layout atuais (online e customizadas) para clientes varejo, empresarial_x000a_e corporativos."/>
    <s v="- Oi irá disponibilizar os documentos de faturamento de terminais fibra para as empresas de postagem, mantendo os sistemas, regras e processos atuais, até a migração total desses clientes, nos formatos e layout atuais (online e customizadas) para clientes varejo e empresarial._x000a_- Os clientes digitais terão seu envio da forma que solicitaram, seja via email ou whatsapp"/>
    <x v="6"/>
    <s v=" Monica"/>
    <s v="Faturamento"/>
    <m/>
    <x v="1"/>
  </r>
  <r>
    <s v="Bill-to-cash​"/>
    <s v="Execução dos processos de garantia da receita ​"/>
    <s v="- Execução mensal de certificações da receita de serviços de clientes pós-pagos dos segmentos varejo e empresarial nos processos de aprovisionamento, faturamento e cobrança para garantia de integridade do cliente entre essas etapas._x000a_- Execução mensal de certificações da receita de clientes pré-pago e controle nos processos de contabilização da receita, geração de nota fiscal e controle do saldo da plataforma (recarga - consumo x saldo)._x000a_- Identificação, tratamento e report dos problemas encontrados mantendo os patamares de recuperação vigentes._x000a_- Geração dos reports executivos e operacionais mensais de casos e oportunidades de recuperação financeira."/>
    <s v="- Execução mensal de análise de variação da receita de serviços recorrentes dos segmentos varejo e empresarial nas principais alavancas (gross, churn, interrupções de faturamento, migrações, variações de clientes da base, etc)_x000a_- Análise mensal das alavancas NTFGA (motivo de Terminais não Faturarem e Gerarem Assinatura) para serviços pós pagos._x000a_- Acompanhamento mensal da despesa de ITX e análise dos desvios (VOIP)"/>
    <x v="8"/>
    <s v=" Alessandro Varme"/>
    <s v="RA/ Varme"/>
    <m/>
    <x v="1"/>
  </r>
  <r>
    <s v="Bill-to-cash​"/>
    <s v="Execução da cadeia de arrecadação​"/>
    <s v="- Execução dos processos de arrecadação bancária de acordo com processos, regras e sistemas atuais da Oi._x000a_- Troca de arquivos/informações com as instituições financeiras cadastradas._x000a_- Resolução de problemas encontrados durante o processamento"/>
    <s v="- Execução dos processos de arrecadação bancária de acordo com processos, regras e sistemas atuais da Oi._x000a_- Troca de arquivos/informações com as instituições financeiras cadastradas._x000a_- Resolução de problemas encontrados durante o processamento"/>
    <x v="9"/>
    <s v=" Daniel Cattete"/>
    <s v="Arrecadação/Cobrança/Daniel Cattete"/>
    <m/>
    <x v="1"/>
  </r>
  <r>
    <s v="Bill-to-cash​"/>
    <s v="Execução da cadeia de débito automático ​"/>
    <s v="- Execução dos processos de débito automático de acordo com processos, regras e sistemas atuais da Oi._x000a_- Troca de arquivos/informações com as instituições cadastradas._x000a_- Resolução de problemas encontrados durante o processamento"/>
    <s v="- Execução dos processos de débito automático de acordo com processos, regras e sistemas atuais da Oi._x000a_- Troca de arquivos/informações com as instituições cadastradas._x000a_- Resolução de problemas encontrados durante o processamento"/>
    <x v="9"/>
    <s v=" Daniel Cattete"/>
    <s v="Arrecadação/Cobrança/Daniel Cattete"/>
    <m/>
    <x v="1"/>
  </r>
  <r>
    <s v="Bill-to-cash​"/>
    <s v="Execução dos processos de fraude ​"/>
    <s v="- Execução dos processos de fraude técnica de acordo com as regras e modelos atuais da Oi._x000a_- Geração dos reports executivos e operacionais para estancar/reverter as perdas._x000a_- Resolução dos problemas encontrados durante o processamento."/>
    <s v="- Execução dos processos de fraude subscrição de acordo com as regras e modelos atuais da Oi no modelo preventivo, caso o processo de vendas fique a cargo da Oi._x000a_- Execução dos processos de fraude técnica de acordo com as regras e modelos atuais da Oi (spoofing, fishing, smishing, etc)._x000a_- Tratamento de fraudes identificadas no modelo detectivo - pós instalação. (churn e contas a receber)_x000a_- Tratamento de out layers de consumo (investigação, retirada e tratamento contábil)_x000a_- Tratamento de reclamações de clientes com alegação de fraude, avaliando procedência / improcedência da contestação."/>
    <x v="8"/>
    <s v=" Alessandro Varme"/>
    <s v="Fraude"/>
    <m/>
    <x v="1"/>
  </r>
  <r>
    <s v="Bill-to-cash​"/>
    <s v="Execução da cadeia fiscal​"/>
    <s v="- Execução dos processos fiscais para as Compradoras de acordo com a legislação vigente respeitando as respectivas regras e modelos atuais da Oi._x000a_- Geração e envio das obrigações acessórias, apuração e pagamento da obrigação principal, de acordo com os sistemas e procedimentos atuais da Oi._x000a_- Consistência contábil, reports executivos e operacionais atualmente executados pela Oi._x000a_- Resolução dos problemas encontrados, referente ao processo de apuração durante a validação das obrigações acessórias e da obrigação principal."/>
    <s v="- Execução dos processos fiscais para as Compradoras de acordo com a legislação vigente respeitando as respectivas regras e modelos atuais da Oi._x000a_- Geração e envio das obrigações acessórias, apuração e pagamento da obrigação principal, de acordo com os sistemas e procedimentos atuais da Oi._x000a_- Consistência contábil, reports executivos e operacionais atualmente executados pela Oi._x000a_- Resolução dos problemas encontrados, referente ao processo de apuração durante a validação das obrigações acessórias e da obrigação principal."/>
    <x v="10"/>
    <s v=" Erika Braga"/>
    <s v="Tributos Indiretos/ Tribustos Diretos"/>
    <s v="Seguindo as mesmas definições tributárias utilizadas para o TSA do MARS, tais como: utilização dos sistemas fiscais comply, ERP SAP; sem migração do saldo acumulado do CIAP; os mesmos relatórios fiscais para fins de informações gerenciais e analíticas, mesmas obrigações principais e acessórias entregues atualmente pela BTSA."/>
    <x v="1"/>
  </r>
  <r>
    <s v="Bill-to-cash​"/>
    <s v="Execução da cadeia contábil​"/>
    <s v="- Execução das cadeias contábeis para as Compradoras de acordo com a legislação vigente respeitando as respectivas regras e modelos atuais da Oi- Carga dos arquivos no SAP da Oi._x000a_- Export dos dados para as Compradoras no formato acordado._x000a_- Envio dos arquivos dos convênios XXX, YYY e ZZZ para o fisco._x000a_- Confirmação de recebimento dos arquivos fiscais pelo Fisco- Resolução dos problemas encontrados durante o processamento."/>
    <s v="Execução das cadeias contábeis para as Compradoras de acordo com a legislação vigente respeitando as respectivas regras e modelos atuais da Oi- Carga dos arquivos no SAP da Oi, dos seguintes macro processos: _x000a_ 1- Receita, Descontos, ICMS e ISS, conforme ciclo dos Sistemas de Faturamento._x000a_ 2- Arrecadação, Parcelamento de Fatura, Cancelamento e Contestação, conforme movimentos dos Sistema de Faturamento e Arrecadação._x000a_ 3- Provisão p/ Créditos de Liquidação e Perdas, conforme movimentos dos Sistemas de Arrecadação._x000a_ _x000a_Export dos dados para as Compradoras no formato acordado."/>
    <x v="11"/>
    <s v=" Marcelo Gomes"/>
    <s v="Contabilidade"/>
    <s v="Marcelo Gomes: o tópico foi alinhado com as áreas impacatdas, o ponto abaixo é apenas um detalhamento do que foi alinhado com as áreas impactadas._x000a_Deve ser avaliado pelos times de Tributos Diretos (Paulo Vidal) e Tributos Indiretos (Érika Braga):  _x000a_ Envio dos arquivos dos convênios XXX, YYY e ZZZ para o fisco._x000a_Confirmação de recebimento dos arquivos fiscais pelo Fisco- Resolução dos problemas encontrados durante o processamento._x000a_Obs. O cálculo do PIS, COFINS, FUST e FUNTTEL é realizado pelo time de Tributos Diretos após a liberação/validação pela Contabilidade Operacional, conforme cronograma de fechamento."/>
    <x v="1"/>
  </r>
  <r>
    <s v="Bill-to-cash​"/>
    <s v="Execução da régua de cobrança - Classificação e reclassificação de status na régua ​"/>
    <s v="- Execução dos processos atuais da Oi associados à régua de cobrança para que os clientes evoluam dentro dos estágios existentes na régua._x000a_- Resolução dos problemas encontrados durante o processamento."/>
    <s v="- Execução dos processos atuais da Oi associados à régua de cobrança para que os clientes evoluam dentro dos estágios existentes na régua._x000a_- Resolução dos problemas encontrados durante o processamento."/>
    <x v="9"/>
    <s v=" Daniel Cattete"/>
    <s v="Arrecadação/Cobrança/Daniel Cattete"/>
    <m/>
    <x v="1"/>
  </r>
  <r>
    <s v="Bill-to-cash​"/>
    <s v="Execução da régua de cobrança - Geração de notificação para clientes inadimplentes ​"/>
    <s v="- Execução dos processos atuais de comunicações/notificações da Oi conforme regras Regulatórias pertinentes à régua de cobrança._x000a_- Resolução dos problemas encontrados durante o processamento."/>
    <s v="- Execução dos processos atuais de comunicações/notificações da Oi conforme regras Regulatórias pertinentes à régua de cobrança._x000a_- Resolução dos problemas encontrados durante o processamento."/>
    <x v="9"/>
    <s v=" Daniel Cattete"/>
    <s v="Arrecadação/Cobrança/Daniel Cattete"/>
    <m/>
    <x v="1"/>
  </r>
  <r>
    <s v="Bill-to-cash​"/>
    <s v="Mediação de bilhetes​"/>
    <s v="A Oi irá executar o processo de mediação de bilhetes de terminais móveis, mantendo os sistemas, regras e processos atuais, até a migração total desses clientes._x000a_- O tráfego dos CSPs das Compradoras continuarão a serem tratados como cobilling._x000a_- Análise de todo tipo de tráfego gerado (SMS, Dados, Voz, Cobilling) na entrada, saída e etapas intermediárias da Mediação._x000a_- Controle de críticas e descartes de bilhetes._x000a_- Resolução dos problemas encontrados durante o processamento da Mediação._x000a_- Recuperação e reprocessamento de bilhetes em casos necessários"/>
    <s v="- A Oi irá executar o processo de mediação de bilhetes de terminais Voip da ClientCo, mantendo os sistemas, regras e processos atuais, até a migração total desses clientes._x000a_- Controle de críticas e descartes de bilhetes._x000a_- Resolução dos problemas encontrados durante o processamento da Mediação._x000a_- Recuperação e reprocessamento de bilhetes em casos necessários"/>
    <x v="7"/>
    <s v=" Marcus Vinícius"/>
    <s v="Tráfego/Marcus Vinícius"/>
    <m/>
    <x v="1"/>
  </r>
  <r>
    <s v="Bill-to-cash​"/>
    <s v="Recuperação de faturas​"/>
    <s v="- Oi deverá recuperar faturas antigas de terminais móveis, mediante solicitações judiciais, regulatórias ou obrigações tributárias, mantendo os sistemas, regras e processos atuais."/>
    <s v="- Oi deverá recuperar faturas antigas dos clientes da ClienteCo, mediante solicitações judiciais, regulatórias ou obrigações tributárias, mantendo os sistemas, regras e processos atuais."/>
    <x v="12"/>
    <s v=" Anderson Nilson"/>
    <s v="Jurídico Consumidor/ Regulatório/ Tributário"/>
    <m/>
    <x v="1"/>
  </r>
  <r>
    <s v="Bill-to-cash​"/>
    <s v="Recuperação de faturas​"/>
    <s v="- Oi deverá recuperar faturas antigas de terminais móveis, mediante solicitações judiciais, regulatórias ou obrigações tributárias, mantendo os sistemas, regras e processos atuais."/>
    <s v="Oi deverá recuperar faturas antigas , mediante solicitações judiciais, regulatórias ou obrigações tributárias, mantendo os sistemas, regras e processos atuais."/>
    <x v="13"/>
    <s v=" Giane Carla"/>
    <s v="Atendimento/Giane Carla"/>
    <s v="O tópico engloba o Atendimento e a Ouvidoria."/>
    <x v="0"/>
  </r>
  <r>
    <s v="Bill-to-cash​"/>
    <s v="Parametrizações e Homologações​"/>
    <s v="- Oi deverá avaliar solicitações das Compradoras de parametrizações e/ ou projetos nos sistemas de billing quanto a viabilidade técnica, financeira, legal e regulatória._x000a_- As alterações implantadas deverão ser testadas e homologadas pela Oi e terão report para fins de acompanhamento do solicitante."/>
    <s v="- Oi deverá avaliar solicitações das Compradoras de parametrizações e/ ou projetos nos sistemas de billing quanto a viabilidade._x000a_- As alterações implantadas deverão ser testadas e homologadas pela Oi e terão report para fins de acompanhamento do solicitante._x000a_ - Todas as alterações deverão ser únicas para todos os comprovadores, não podem haver divergencia de regra e pedido entre eles. financeira, legal e regulatória. "/>
    <x v="6"/>
    <s v=" Iara"/>
    <s v="Faturamento/Iara"/>
    <m/>
    <x v="1"/>
  </r>
  <r>
    <s v="Bill-to-cash​"/>
    <s v="Criação dos dossiês de clientes inadimplentes para ajuizamento, cobrança extrajudicial e recuperação judicial ​"/>
    <s v="- Criação de dossiês com toda a documentação necessária e disponível para que o jurídico inicie os ajuizamentos._x000a_- Acompanhamento dos processos judiciais junto ao jurídico."/>
    <s v="- Criação de dossiês com toda a documentação necessária e disponível para que o jurídico inicie os ajuizamentos."/>
    <x v="9"/>
    <s v=" Daniel Cattete"/>
    <s v="Jur Consumidor/Fabrício"/>
    <m/>
    <x v="1"/>
  </r>
  <r>
    <s v="Bill-to-cash​"/>
    <s v="Geração e distribuição de mailing e de relatórios de performance da operação ​"/>
    <s v="- Geração de mailings conforme regras atuais da Oi para a cobrança das assessorias._x000a_- Geração de relatórios de performance mensal atuais da Oi."/>
    <s v="- Geração de mailings conforme regras atuais da Oi para a cobrança das assessorias._x000a_- Geração de relatórios de performance mensal atuais da Oi."/>
    <x v="9"/>
    <s v=" Daniel Cattete"/>
    <s v="Faturamento// Contas a receber/ Cobrança"/>
    <m/>
    <x v="1"/>
  </r>
  <r>
    <s v="Bill-to-cash​"/>
    <s v="Relatórios de CAR e PDD​"/>
    <s v="- Oi deverá gerar os relatórios gerenciais e analíticos de CAR e PDD com visão por segmento e por cliente de acordo com os prazos,_x000a_formatos e capacidade tecnológica atuais."/>
    <s v="Oi deverá gerar os relatórios contábeis de CAR analítico por Unidade de Negócio, por Cliente e por Fatura, de acordo com os prazos._x000a_Oi deverá gerar os relatórios de PDD/PERDAS sintético por Unidade de Negócio, de acordo com os prazos._x000a_Oi deverá gerar o relatório de PDD Parcelamento analítico por Unidade de Negócio, por Cliente e por Fatura, de acordo com os prazos."/>
    <x v="11"/>
    <s v=" Marcelo Gomes"/>
    <s v="Contas a receber/Cobrança // Contabilidade"/>
    <m/>
    <x v="1"/>
  </r>
  <r>
    <s v="Bill-to-cash​"/>
    <s v="Execução dos processos de Crédito​"/>
    <s v="- Oi deverá executar os processos de análise de crédito de acordo com as regras e modelos atuais, mantendo sistemas, políticas e níveis de  serviços  para  as  Compradoras  tratando  os  problemas  identificados  e  gerando  os  reports  executivos  e  operacionais  para acompanhamento do processo de aprovação de crédito._x000a_- A performance dessa operação será acompanhada em reports de aprovação e reports de performance de FPD nas visões e aberturas acompanhadas atualmente pela Oi, caso o processo de venda e aquisição ocorra nos CRM da Oi._x000a_- Este item não se refere a vendas, mas sim as movimentações na planta de clientes, p.ex., upgrades, downgrades, contratação de novas_x000a_linhas móveis B2B, etc."/>
    <s v="Oi deverá executar os processos de análise de crédito de acordo com as regras e modelos atuais, mantendo sistemas, políticas e níveis de  serviços  para  as  Compradoras  tratando  os  problemas  identificados  nos processos de aprovação de crédito._x000a__x000a_A performance dessa operação será acompanhada em reports de aprovação e reports de performance de FPD nas visões e aberturas acompanhadas atualmente pela Oi, caso o processo de venda e aquisição ocorra nos CRM da Oi."/>
    <x v="14"/>
    <s v=" Bruno Simões"/>
    <s v="Contas a receber/ Cobrança"/>
    <s v="[Bruno Simões] - Descrição validada durante a reunião."/>
    <x v="1"/>
  </r>
  <r>
    <s v="Bill-to-cash​"/>
    <s v="Repasse da receita de Fibra das UPI´s ClientCo"/>
    <s v="Novo tópico"/>
    <s v="- Realização de repasse mensal da receita de Fibra, SVA, Oi Expert, Fibra X e Add on para as compradoras._x000a_- Resolução dos problemas encontrados durante apuração do repasse."/>
    <x v="7"/>
    <s v=" Marcus Vinícius"/>
    <s v="Tráfego"/>
    <m/>
    <x v="1"/>
  </r>
  <r>
    <s v="Bill-to-cash​"/>
    <s v="Co-Billing Interno CSP´s de Outras Operadoras"/>
    <s v="Novo tópico"/>
    <s v="- A Oi S/A prestará o serviço de co-faturamento do CSP de Outras Operadoras originado por terminais Voip da ClientCo."/>
    <x v="7"/>
    <s v=" Marcus Vinícius"/>
    <s v="Tráfego"/>
    <m/>
    <x v="1"/>
  </r>
  <r>
    <s v="Bill-to-cash​"/>
    <s v="Operação de Interconexão"/>
    <s v="Novo tópico"/>
    <s v="- A Oi irá executar o processo de apuração da Interconexão de bilhetes de terminais Voip da ClientCo, mantendo os sistemas, regras e processos atuais, até a migração total desses clientes._x000a_- Controle de críticas e descartes de bilhetes._x000a_- Resolução dos problemas encontrados durante o processamento da Interconexão._x000a_- Recuperação e reprocessamento de bilhetes em casos necessários"/>
    <x v="7"/>
    <s v=" Marcus Vinícius"/>
    <s v="Tráfego"/>
    <m/>
    <x v="1"/>
  </r>
  <r>
    <s v="Bill-to-cash​"/>
    <s v="Repasse de SVA/Terceiros/0500"/>
    <s v="Novo tópico"/>
    <s v="- Realização da apuração periodica dos valores para repasse de parceiros de SVA/Terceiros/0500 mantendo os sistemas, regras e processos atuais, até a migração total desses clientes._x000a_- Resolução dos problemas encontrados durante apuração do repasse."/>
    <x v="7"/>
    <s v=" Marcus Vinícius"/>
    <s v="Tráfego"/>
    <m/>
    <x v="1"/>
  </r>
  <r>
    <s v="Bill-to-cash​"/>
    <s v="Relacionamento Finaceiro com as Demais Operadoras"/>
    <s v="Novo tópico"/>
    <s v="- A Oi irá executar o processo de encontro de contas de Interconexão, mantendo os sistemas, regras e processos atuais, até a migração total desses clientes._x000a_- Resolução dos problemas encontrados durante apuração do repasse."/>
    <x v="7"/>
    <s v=" Marcus Vinícius"/>
    <s v="Tráfego"/>
    <m/>
    <x v="1"/>
  </r>
  <r>
    <s v="Bill-to-cash​"/>
    <s v="Obrigação Fiscal  (entrada NF/input SAP/retenções de impostos) - OPERAÇÃO BPO"/>
    <s v="Novo tópico"/>
    <s v="-A  Oi deverá executar o processo de lançamentos das NF's de entrada no SAP, com as devidas retenções federais e municipais._x000a_- Execução dos controles internos conforme relação de controles existentes (SOX)._x000a_- Devolutiva das criticas para as NF não lançadas pelo Posto Fiscal"/>
    <x v="10"/>
    <s v="Hozana Guimarães"/>
    <s v="Tributos/Fiscal"/>
    <m/>
    <x v="1"/>
  </r>
  <r>
    <s v="Bill-to-cash​"/>
    <s v="Criação de Requisições de compras e pedidos(célula adm) - OPERAÇÃO BPO"/>
    <s v="Novo tópico"/>
    <s v="- A Oi deverá criar os novos pedidos de compras  conforme demandas de serviços e equipamentos que estiverem vinculados aos contratos e verba disponiveis para as ClientCO's"/>
    <x v="10"/>
    <s v="Hozana Guimarães"/>
    <s v="Diversas áreas"/>
    <m/>
    <x v="1"/>
  </r>
  <r>
    <s v="Bill-to-cash​"/>
    <s v="Criação e Manutenção dos cadastros de Fornecedores, Clientes, códigos de materiais e serviços"/>
    <s v="Novo tópico"/>
    <s v="- A  Oi deverá executar o processo de cadastro no SAP para as demandas referentes a criação de novos fornecedores, clientes, codigos de materiais e serviços, manutenção dos cadastros ( atualização de dados bancários, ampliações de centros, paramentros de códigos para corretas contabilizações, ajustes de aliquotas, domicilio fiscal  etc, conforme necessidade que surgirem no periodo após drop._x000a_-Extração de relatório com as demandas que forem solicitadas no periodo."/>
    <x v="10"/>
    <s v="Hozana Guimarães"/>
    <s v="Diversas áreas"/>
    <m/>
    <x v="1"/>
  </r>
  <r>
    <s v="Bill-to-cash​"/>
    <s v="Portal de Notas (Sistema de acesso de fornecedores, gestores de aceite e usuários do Posto Fiscal)"/>
    <s v="Novo tópico"/>
    <s v="- A  Oi deverá garantir o processo sistemico de cadastro, armazenamento das NF's de entrada no BRNOTAS, integração com sistemas SAP para escrituração fiscal no SAP._x000a_- Extração de relatórios das NF cadastrdas, com status de tratamento._x000a_- Consulta das NF emitidas contra as ClientC0's"/>
    <x v="10"/>
    <s v="Hozana Guimarães"/>
    <s v="Tributos/Fiscal"/>
    <m/>
    <x v="1"/>
  </r>
  <r>
    <s v="Customer care​"/>
    <s v="Portabilidade a outro operador​"/>
    <s v="- Atendimento do port out através dos canais atuais de atendimento da Oi._x000a_- Receber um relatório das solicitações para que as Compradoras possam fazer ofertas para este cliente._x000a_- Devem ser definidos por contrato os níveis de serviço atuais (manutenção dos SLA’s contratuais vigentes)."/>
    <s v="- Atendimento do port out através dos canais atuais de atendimento da Oi._x000a_- Receber um relatório das solicitações para que as Compradoras possam fazer ofertas para este cliente._x000a_- Devem ser definidos por contrato os níveis de serviço atuais (manutenção dos SLA’s contratuais vigentes)."/>
    <x v="13"/>
    <s v=" Giane Carla"/>
    <s v="Varejo e Empresarial // Atendimento"/>
    <s v="O tópico engloba o Atendimento e a Ouvidoria."/>
    <x v="0"/>
  </r>
  <r>
    <s v="Customer care​"/>
    <s v="URA​"/>
    <s v="- Oi deverá manter toda infraestrutura e sistemas de URA para direcionamento dos clientes durante o período de transição._x000a_- Envolve a segmentação, marcação e verbalização de árvore de URA, processos e direcionamentos de chamadas conforme padrões e políticas atuais."/>
    <s v="- Oi deverá manter toda infraestrutura e sistemas de URA para direcionamento dos clientes durante o período de transição._x000a_- Envolve a segmentação, marcação e verbalização de árvore de URA, processos e direcionamentos de chamadas conforme padrões e políticas atuais."/>
    <x v="15"/>
    <s v=" Katia Rolim"/>
    <s v="URA / Atendimento"/>
    <m/>
    <x v="0"/>
  </r>
  <r>
    <s v="Customer care​"/>
    <s v="Contestação de chamadas e/ou ​serviços​"/>
    <s v="- Atendimento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Atendimento e Ilha de antifraude). As Compradoras poderão restringir atuação em algum canal, conforme sua estratégia._x000a_- Devem ser mantidos os níveis de serviço atuais (Manutenção dos SLA vigentes)._x000a_- Devem ser validadas com o atendimento as regras e SLAs dos contratos em lojas e call centers bem como o modelo de controle, alçadas e políticas dos mesmos."/>
    <s v="EXCLUIR ESTE ITEM"/>
    <x v="13"/>
    <s v=" Giane Carla"/>
    <s v="Atendimento"/>
    <s v="[Atendimento] - Item duplicado o tema é contestação e já tem um chamado &quot;contestação de faturas&quot;"/>
    <x v="0"/>
  </r>
  <r>
    <s v="Customer care​"/>
    <s v="Solução de Problemas Técnicos ​"/>
    <s v="- Atendimento e realização de troubleshooting para solução de problemas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 Atendimento)._x000a_- Em caso de insucesso na identificação e correção da falha, abertura de ticket para tratamento offline por equipe especializada com SLA estabelecido para a correção e também para o prazo de resposta ao cliente._x000a_- Devem ser definidos por contrato os níveis de serviço atuais (Manutenção dos SLA vigentes)._x000a_- Devem ser validadas com o atendimento as regras e SLAs dos contratos em lojas e call centers bem como o modelo de controle dos mesmos."/>
    <s v="- Atendimento dos Clientes através da URA e canais digitais e realização de troubleshooting para solução das falhas reclamadas pelos Clientes, sejam da Banda Larga e VOIP._x000a_- Em caso de insucesso da solução remota e em sendo pertinente, o Suporte Técnico abre um reparo para o campo para que a falha seja solucionada in loco._x000a_- Além da célula dos do Suporte Técnico que atende a grande maioria dos Clientes do FTTH, existem células especializadas para determinadas tratativas e Produtos. _x000a_- Célula do Suporte Avançado que trata os casos específicos de VoIP e IPTV._x000a_- Célula Repetidor, para o Cliente que apresenta um determinada incidência de entrada no Suporte Técnico._x000a_- Célula  Proactive Care: Célula especializada na tratativa do Cliente FibraX, sendo constituída de um atendimento receptivo e outro ativo que faz uma predição das falhas utilizando de ferramentas e plataformas específicas e entra em contato com o Cliente antecipadamente._x000a_- O Suporte técnico possui também uma célula OFF que  faz a tratativa dos reparos preventivos._x000a_- Devem ser definidos por contrato os níveis de serviço atuais (Manutenção dos SLA vigentes)._x000a_- Devem ser validadas com o atendimento as regras e SLAs dos contrato do suporte técnico bem como o modelo de controle destes."/>
    <x v="16"/>
    <s v="João Arlindo"/>
    <s v="Suporte Técnico"/>
    <m/>
    <x v="1"/>
  </r>
  <r>
    <s v="Customer care​"/>
    <s v="Troca de número​"/>
    <s v="- Atendimento e realização de trocas de número de linha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e Franquias Oi Atende)._x000a_- Deverá manter todas as obrigações regulatórias e também todas as regras e controles vigentes para evitar fraudes._x000a_- Devem ser definidos por contrato os níveis_x000a_- Devem ser definidos por Contrato os níveis de serviço atuais (Manutenção dos SLA vigentes)._x000a_- Devem ser validadas com o atendimento as regras e SLAs dos contratos em lojas e call centers bem como o modelo de controle dos mesmos."/>
    <s v=" - Atendimento e realização de trocas de número de linha através dos canais da Oi que realizam esse serviço atualmente (Atedimento call center)_x000a_- Deverá manter todas as obrigações regulatórias e também todas as regras e controles vigentes para evitar fraudes._x000a_- Devem ser definidos por contrato os níveis_x000a_- Devem ser definidos por Contrato os níveis de serviço atuais (Manutenção dos SLA vigentes)._x000a_- Devem ser validadas com o atendimento as regras e SLAs dos contratos em lojas e call centers bem como o modelo de controle dos mesmos."/>
    <x v="13"/>
    <s v=" Giane Carla"/>
    <s v="Atendimento"/>
    <s v="O tópico engloba o Atendimento e a Ouvidoria."/>
    <x v="0"/>
  </r>
  <r>
    <s v="Customer care​"/>
    <s v="Troca ou Ativação de SIM Card e eSIM ​"/>
    <s v="- Atendimento e realização de trocas e ativações de SIM card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e Franquias Oi Atende)._x000a_- Deverá manter todas as obrigações regulatórias e também todas as regras e controles vigentes para evitar fraudes._x000a_- Devem ser definidos por contrato os níveis._x000a_- Devem ser definidos por Contrato os níveis de serviço atuais (Manutenção dos SLA vigentes)._x000a_- Devem ser validadas com o atendimento as regras e SLAs dos contratos em lojas e call centers bem como o modelo de controle dos mesmos._x000a_- A política de SIM Card deverá seguir estratégia e definições vigentes da Oi"/>
    <s v="EXCLUIR ESTE ITEM"/>
    <x v="16"/>
    <s v="João Arlindo"/>
    <s v="Suporte Técnico"/>
    <s v="[João] - Serviço exclusivo da Oi Móvel, não se aplica para Clientco."/>
    <x v="0"/>
  </r>
  <r>
    <s v="Customer care​"/>
    <s v="Troca de Titularidade ​"/>
    <s v="- Atendimento e realização de trocas de titularidade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 Atendimento)._x000a_- Deverá manter todas as obrigações regulatórias e também todas as regras e controles vigentes para evitar fraudes._x000a_- Devem ser definidos por contrato os níveis de serviço atuais (Manutenção dos SLA vigentes)."/>
    <s v=" - Atendimento e realização de trocas de titularidade através dos canais da Oi que realizam esse serviço atualmente (Atendimento Call Center, Canais digitais)._x000a_- Deverá manter todas as obrigações regulatórias e também todas as regras e controles vigentes para evitar fraudes._x000a_- Devem ser definidos por contrato os níveis de serviço atuais (Manutenção dos SLA vigentes)."/>
    <x v="13"/>
    <s v=" Giane Carla"/>
    <s v="Atendimento"/>
    <s v="O tópico engloba o Atendimento e a Ouvidoria."/>
    <x v="0"/>
  </r>
  <r>
    <s v="Customer care​"/>
    <s v="Execução da régua de cobrança - Geração de acordo de pagamento ​"/>
    <s v="- Para clientes ainda ativos deve-se manter o mesmo processo de atendimento e negociação de parcelamento atual da Oi._x000a_- Atendimento através dos canais da Oi que realizam esse serviço atualmente e conforme escopo atual de cada canal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commerce, Atendimento e Cognitivos)._x000a_- Garantir por contrato que os canais atuais sejam mantidos durante o período de transição._x000a_- Devem ser definidos por contrato os níveis de serviço atuais (Manutenção dos SLA vigentes)._x000a_- Os processos de cobrança de terminais móveis pós-pagos inadimplentes serão realizados pela Oi até a data da migração dos clientes_x000a_para as Compradoras, incluindo régua de cobrança, notificações, bloqueios, desbloqueios, termos de quitação, renegociação, descontos e parcelamento de dívidas, de acordo com os processos, canais, contratos, políticas e capacidades tecnológicas atuais."/>
    <s v=" - Para clientes ainda ativos deve-se manter o mesmo processo de atendimento e negociação de parcelamento atual da Oi._x000a_- Atendimento através dos canais da Oi que realizam esse serviço atualmente e conforme escopo atual de cada canal (Atedimento call center, canais digitais e URA)._x000a_- Garantir por contrato que os canais atuais sejam mantidos durante o período de transição._x000a_- Devem ser definidos por contrato os níveis de serviço atuais (Manutenção dos SLA vigentes)._x000a_- Os processos de cobrança de terminais móveis pós-pagos inadimplentes serão realizados pela Oi até a data da migração dos clientes_x000a_para as Compradoras, incluindo régua de cobrança, notificações, bloqueios, desbloqueios, termos de quitação, renegociação, descontos e parcelamento de dívidas, de acordo com os processos, canais, contratos, políticas e capacidades tecnológicas atuais."/>
    <x v="13"/>
    <s v=" Giane Carla"/>
    <s v="Contas a receber/ Cobrança/ Atendimento"/>
    <s v="O tópico engloba o Atendimento e a Ouvidoria."/>
    <x v="0"/>
  </r>
  <r>
    <s v="Customer care​"/>
    <s v="Emissão de segunda via de conta​"/>
    <s v="- Atendimento aos pedidos de emissão de 2a via de conta através dos canais da Oi que atualmente realiza esse serviço (Lojas próprias, Franquia Oi Atende, App, Ecommerce, Atendimento, Cognitivos, etc.).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s v=" - Atendimento aos pedidos de emissão de 2a via de conta através dos canais da Oi que atualmente realiza esse serviço  (Atedimento call center, canais digitais e URA).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x v="13"/>
    <s v=" Giane Carla"/>
    <s v="URA / Atendimento/ Joice/ Minha Oi/ Oi_e"/>
    <s v="O tópico engloba o Atendimento e a Ouvidoria."/>
    <x v="0"/>
  </r>
  <r>
    <s v="Customer care​"/>
    <s v="Cadastramento em débito automático​"/>
    <s v="- Atendimento aos pedidos de cadastramento de débito automático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Bancos, Ecommerce, App, Atendimento, URA e Cognitivos).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s v="EXCLUIR ESTE ITEM"/>
    <x v="17"/>
    <s v=" Emanuelle"/>
    <s v="URA / Atendimento/ Joice/ Minha Oi/ Oi_e/ E-commerce"/>
    <s v="[Emanuelle] - Devemos excluir o item porque não temos mais lojas próprias. Todo atendimento deve ser através do SAC e seus canais digitais."/>
    <x v="0"/>
  </r>
  <r>
    <s v="Customer care​"/>
    <s v="Conversão de conta para digital (E-Billing)​"/>
    <s v="- Atendimento aos pedidos de conversão de conta digital (E-billing)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commerce, App, Atendimento, URA e Cognitivos).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s v=" - Atendimento aos pedidos de conversão de conta digital (E-billing) através dos canais da Oi que realizam esse serviço atualmente .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x v="13"/>
    <s v=" Giane Carla"/>
    <s v="Arrecadação"/>
    <s v="O tópico engloba o Atendimento e a Ouvidoria."/>
    <x v="0"/>
  </r>
  <r>
    <s v="Customer care​"/>
    <s v="Alteração de dados cadastrais/ método de pagamento/data de vencimento ​"/>
    <s v="- Atendimento aos pedidos de alteração de dados cadastrais / método de pagamento / data de vencimento através dos canais da Oi que realizam esse serviço atualmente e conforme escopo atual de cada canal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commerce,  App  e Atendimento).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s v=" - Atendimento aos pedidos de alteração de dados cadastrais / método de pagamento / data de vencimento através dos canais da Oi que realizam esse serviço atualmente e conforme escopo atual de cada canal .(Atedimento call center, canais digitais e URA).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x v="13"/>
    <s v=" Giane Carla"/>
    <s v="Atendimento"/>
    <s v="O tópico engloba o Atendimento e a Ouvidoria."/>
    <x v="0"/>
  </r>
  <r>
    <s v="Customer care​"/>
    <s v="Bloqueio e desbloqueio do serviço de forma temporária"/>
    <s v="- Atendimento aos pedidos de Bloqueio e desbloqueio de linha e aparelhos (perda ou roubo) através dos canais da Oi que realizam esse serviço atualmente e conforme escopo atual de cada canal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 Oi Atende, Ecommerce, Atendimento e URA)._x000a_- Manter o procedimento atual de bloqueio / desbloqueio de IMEIS conforme diretrizes da ANATEL até a data de migração dos clientes._x000a_-  Compartilhar, periodicamente, o controle de movimentações de suspensões e bloqueios.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_x000a_Obs.: deve-se avaliar a possibilidade técnica de buscar uma solução de desbloqueio que já considere uma migração para base da entidade_x000a_compradora."/>
    <s v="- Manter o procedimento atual de bloqueio / desbloqueio conforme diretrizes da ANATEL até a data de migração dos clientes, através dos canais da Oi que realizam esse serviço atualmente e conforme escopo atual de cada canal (Atedimento call center, canais digitais e URA)._x000a_-  Compartilhar, periodicamente, o controle de movimentações de suspensões e bloqueios.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_x000a_Obs.: deve-se avaliar a possibilidade técnica de buscar uma solução de desbloqueio que já considere uma migração para base da entidade_x000a_compradora."/>
    <x v="13"/>
    <s v=" Giane Carla"/>
    <s v="Atendimento"/>
    <s v="Texto ajustado para bloqueio temporário"/>
    <x v="0"/>
  </r>
  <r>
    <s v="Customer care​"/>
    <s v="Solicitação de acessos a outros canais (senhas de app e portal) ​"/>
    <s v="- Atendimento  aos  pedidos de  acessos  a  outros  canais  (senhas  de app  e  portal) através  dos  canais  da  Oi  que  realizam  esse  serviço atualmente (Ecommerce e App).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s v="- Atendimento  aos  pedidos de  acessos  a  outros  canais  (senhas  de app  e  portal) através  dos  canais  da  Oi  que  realizam  esse  serviço atualmente (Ecommerce e App).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x v="13"/>
    <s v=" Giane Carla"/>
    <s v="Atendimento"/>
    <s v="O tópico engloba o Atendimento e a Ouvidoria."/>
    <x v="0"/>
  </r>
  <r>
    <s v="Customer care​"/>
    <s v="Interação com Tribunais de Justiça, Órgãos e entidades de Relacionamento com consumidores: PROCON, Ouvidoria ANATEL e Consumidor.gov ​"/>
    <s v="- Atendimento pelos canais exigidos e pré-acordados com as instâncias externas para recepção de contatos e reclamações dos Procons Estaduais e o site Consumidor.gov bem como os canais regulados de resposta com a Anatel e Ouvidoria Anatel._x000a_- Os SLAs também já são os estabelecidos e acordados pelos mesmos."/>
    <s v=" - Internalização e definição para tratamento de demandas judiciais e administrativas dos consumidores_x000a_ - Atendimento pelos canais exigidos e pré-acordados com as instâncias externas para recepção de contatos e reclamações prevenientes dos Tribunais de Justiça, Procons, site Consumidor.Gov, bem como,  canais regulados de respostas com a Anatel e Ouvidoria Anatel._x000a_- Os SLAs também já são os estabelecidos e acordados pelos mesmos."/>
    <x v="12"/>
    <s v=" Anderson Nilson"/>
    <s v="Jur Consumidor/ Ouvidoria/ Anatel"/>
    <m/>
    <x v="1"/>
  </r>
  <r>
    <s v="Customer care​"/>
    <s v="Solicitação de bloqueio Judicial ​de ações criminais"/>
    <s v="- Atendimento e execução aos pedidos de bloqueio judicial de linhas, de acordo com os processos vigentes nos canais de BackOffice da Oi,  mediante  solicitação  da  operadora  responsável  pelo  terminal,  enquanto  a  adquirente  não  tiver  acesso  à  rede  para  programar  os_x000a_bloqueios."/>
    <s v="EXCLUIR ESTE ITEM"/>
    <x v="18"/>
    <s v=" Walbert"/>
    <s v="VTAL"/>
    <s v="[Walbert] - Não existe demanda para bloqueio judicial fibra/voip."/>
    <x v="0"/>
  </r>
  <r>
    <s v="Customer care​"/>
    <s v="Bloqueio Judicial/ Anatel"/>
    <s v="- Atendimento e execução aos pedidos de bloqueio judicial de linhas, de acordo com os processos vigentes nos canais de BackOffice da Oi,  mediante  solicitação  da  operadora  responsável  pelo  terminal,  enquanto  a  adquirente  não  tiver  acesso  à  rede  para  programar  os_x000a_bloqueios."/>
    <s v="EXCLUIR ESTE ITEM"/>
    <x v="4"/>
    <s v=" Carlos Galvão/ Dennis"/>
    <s v="Operação Rafael Amorim"/>
    <s v="[ Luiz Conha]: Tema excluído porque já está contemplado no tópico &quot;Interceptação judicial ​/ Quebra de Sigilo&quot;"/>
    <x v="0"/>
  </r>
  <r>
    <s v="Customer care​"/>
    <s v="Interceptação Judicial de chamadas e dados ​"/>
    <s v="Execução de interceptação de chamadas e dados e outros serviços de quebra de sigilo, deverá ser realizada pela Oi, mediante solicitação da operadora responsável pelo terminal, devidamente acompanhada do ofício que a requereu, enquanto a adquirente não tiver acesso à_x000a_rede para programar as interceptações"/>
    <s v="Execução de interceptação de chamadas e dados e outros serviços de quebra de sigilo, deverá ser realizada pela Oi, mediante solicitação da operadora responsável pelo terminal, devidamente acompanhada do ofício que a requereu, enquanto a adquirente não tiver acesso à rede e a obtenção do dados de CDR, para realizar a programação dos terminais e forncimento de extratos de chamadas e dados de conexões a internet."/>
    <x v="18"/>
    <s v=" Walbert"/>
    <s v="VTAL"/>
    <m/>
    <x v="1"/>
  </r>
  <r>
    <s v="Customer care​"/>
    <s v="Atendimento presencial"/>
    <s v="Novo tópico"/>
    <s v="EXCLUIR ESTE ITEM"/>
    <x v="17"/>
    <s v=" Emanuelle"/>
    <s v="Atendimento"/>
    <s v="[Emanuelle] - Apesar do Atendimento ter solicitado a criação desse tópico, foi confirmado pela Emanuelle que o mesmo deve ser excluído porque não temos mais atendimento presencial."/>
    <x v="0"/>
  </r>
  <r>
    <s v="Core network O&amp;M​"/>
    <s v="Configuração em elementos de pré-pago e IN​"/>
    <s v="De acordo com as regras e parâmetros atuais, utilizando os recursos, sistemas, plataformas atuais, a Oi deverá:_x000a_- Executar serviços de configuração, parametrização e roteamente em elementos de rede para serviços de pré-pago e IN, de acordo com as necessidades das Compradoras."/>
    <s v="Depende da área Oi"/>
    <x v="19"/>
    <s v="Priscila Falco"/>
    <s v="Operações de Rede e SI"/>
    <s v="Tópicos foram substituídos por outros, enviados pela Priscilla Falco"/>
    <x v="0"/>
  </r>
  <r>
    <s v="Core network O&amp;M​"/>
    <s v="Integração de elementos de pré-pago e IN​"/>
    <s v="De acordo com as regras e parâmetros atuais, utilizando os recursos, sistemas, plataformas atuais, a Oi deverá:_x000a_- Executar serviços de integração para elementos de rede para serviços de pré-pago e IN, de acordo com as necessidades das Compradoras."/>
    <s v="Depende da área Oi"/>
    <x v="19"/>
    <s v="Priscila Falco"/>
    <s v="Operações de Rede e SI"/>
    <s v="Tópicos foram substituídos por outros, enviados pela Priscilla Falco"/>
    <x v="0"/>
  </r>
  <r>
    <s v="Core network O&amp;M​"/>
    <s v="Campanha OTA​"/>
    <s v="De acordo com as regras e parâmetros atuais, utilizando os recursos, sistemas, plataformas atuais, a Oi deverá:_x000a_- Manter links e conectividade para permitir execução de campanha OTA para atualização de diferentes EFs, tais como PPLMN, HPLMN, IMSI, SMSCAddr, FPLMN, CSP, SPN, pelas Compradoras"/>
    <s v="Depende da área Oi"/>
    <x v="19"/>
    <s v="Priscila Falco"/>
    <s v="Operações de Rede e SI"/>
    <s v="Tópicos foram substituídos por outros, enviados pela Priscilla Falco"/>
    <x v="0"/>
  </r>
  <r>
    <s v="Core network O&amp;M​"/>
    <s v="Campanha Device Manager​"/>
    <m/>
    <s v="Depende da área Oi"/>
    <x v="19"/>
    <s v="Priscila Falco"/>
    <s v="Operações de Rede e SI"/>
    <s v="Tópicos foram substituídos por outros, enviados pela Priscilla Falco"/>
    <x v="0"/>
  </r>
  <r>
    <s v="Core network O&amp;M​"/>
    <s v="Integração DRA/DEA​"/>
    <s v="De acordo com as regras e parâmetros atuais, utilizando os recursos, sistemas, plataformas atuais, a Oi deverá:_x000a_- Implantar e manter integração entre DEA e STP Oi com elementos equivalentes das Compradoras."/>
    <s v="Depende da área Oi"/>
    <x v="19"/>
    <s v="Priscila Falco"/>
    <s v="Operações de Rede e SI"/>
    <s v="Tópicos foram substituídos por outros, enviados pela Priscilla Falco"/>
    <x v="0"/>
  </r>
  <r>
    <s v="Core network O&amp;M​"/>
    <s v="Ativação roaming ​"/>
    <s v="De acordo com as regras e parâmetros atuais, utilizando os recursos, sistemas, plataformas atuais, a Oi deverá:_x000a_- Habilitar e manter o roaming de usuários Oi nas redes das Compradoras."/>
    <s v="EXCLUIR ESTE ITEM"/>
    <x v="20"/>
    <s v="Bruno Diehl"/>
    <s v="TI"/>
    <s v="[Bruno Diehl] - Não se aplica para ClientCo"/>
    <x v="0"/>
  </r>
  <r>
    <s v="Core network O&amp;M​"/>
    <s v="Envio de bases de dados de clientes​"/>
    <s v="De acordo com as regras e parâmetros atuais, utilizando os recursos, sistemas, plataformas atuais, a Oi deverá:_x000a_- Extrair e enviar dados de todos os clientes no AuC, HLR e HSS usando o ETL da Oi, de acordo com regras das Compradoras para conversão de serviços e campos específicos, de acordo com as necessidades das Compradoras."/>
    <s v="A Oi se disponibilizará a prover dados dos clientes da base adquirida na negociação, com prazos à serem acordados."/>
    <x v="20"/>
    <s v="Bruno Diehl"/>
    <s v="Sistemas TI"/>
    <m/>
    <x v="1"/>
  </r>
  <r>
    <s v="Core network O&amp;M​"/>
    <s v="Suporte de plataformas​"/>
    <s v="De acordo com as regras e parâmetros atuais, utilizando os recursos, sistemas, plataformas atuais, a Oi deverá:_x000a_- Suportar plataformas de rede e TI da Oi, integradas a plataformas correspondentes nas Compradoras."/>
    <s v="A Oi terá responsabilidade de manutenção das plataformas e suas apliçaões, mantendo os serviços, atendendo aos chamados de incidentes, possibilitando à operação e entrega de serviços."/>
    <x v="20"/>
    <s v="Bruno Diehl"/>
    <s v="Sistemas de TI"/>
    <s v="Verificar impacto VTAL"/>
    <x v="1"/>
  </r>
  <r>
    <s v="Core network O&amp;M​"/>
    <s v="Envio de chaves de segurança​"/>
    <s v="De acordo com as regras e parâmetros atuais, utilizando os recursos, sistemas, plataformas atuais, a Oi deverá:_x000a_- Migrar chaves utilizadas para criptografar essas bases de dados (HSS/HLR/AuC), e das chaves OTA"/>
    <s v="Depende da área Oi"/>
    <x v="19"/>
    <s v="Priscila Falco"/>
    <s v="Operações de Rede e SI// Infra e Operações de TI"/>
    <s v="Tópicos foram substituídos por outros, enviados pela Priscilla Falco"/>
    <x v="0"/>
  </r>
  <r>
    <s v="Core network O&amp;M​"/>
    <s v="Envio de templates de perfis de SIM cards​"/>
    <s v="De acordo com as regras e parâmetros atuais, utilizando os recursos, sistemas, plataformas atuais, a Oi deverá:_x000a_- Migrar templates dos perfis da Oi para a plataforma OTA das Compradoras."/>
    <s v="Depende da área Oi"/>
    <x v="19"/>
    <s v="Priscila Falco"/>
    <s v="N/A"/>
    <s v="Tópicos foram substituídos por outros, enviados pela Priscilla Falco"/>
    <x v="0"/>
  </r>
  <r>
    <s v="Core network O&amp;M​"/>
    <s v="Acesso a sistemas para provisionamento​"/>
    <s v="De acordo com as regras e parâmetros atuais, utilizando os recursos, sistemas, plataformas atuais, a Oi deverá:_x000a_- Viabilizar o acesso de sistemas das Compradoras ao provisionamento Oi para desativação de clientes nas bases (HSS+HLR+AuC), e a sistema de portabilidade (FNR) para registro de números portados para as Compradoras."/>
    <s v="EXCLUIR ESTE ITEM"/>
    <x v="20"/>
    <s v="Bruno Diehl"/>
    <s v="Sistemas TI"/>
    <s v="[Bruno Diehl] - O tópico foi excluído porque o tema está contemplado em outros tópicos: Gestão de Problemas, Gerenciamento de mudanças (GMUD´s) e Gestão de Capacidade e ativos"/>
    <x v="0"/>
  </r>
  <r>
    <s v="Core network O&amp;M​"/>
    <s v="Suporte, acesso e integração de plataformas de rede e TI​"/>
    <s v="De acordo com as regras e parâmetros atuais, utilizando os recursos, sistemas, plataformas atuais, a Oi deverá:_x000a_- Suportar, prover acesso remoto e realizar atividades de integração entre plataformas de rede e TI da Oi e das Compradoras:_x000a_- HSS, HLR, AuC, MME, eDNS, DRA (SLF), DEA, STP (FNR), S/P-GW, S/GGSN, OTA, FDA, USSD, MMS, SMSC, Anti-Spam,_x000a_PCRF, CTF, Plataforma de BigData, Device Manager, Service Manager, WAP, EIR, GMLC/SMLC, Voice Mail, IVR, Ring Back Tone, SIM Browsing, Provisioning, Inter-AS, IN."/>
    <s v="Depende da área Oi"/>
    <x v="19"/>
    <s v="Priscila Falco"/>
    <s v="Operações de Rede e SI// Infra e Operações de TI// Sistemas TI// Arquitetura TI"/>
    <s v="Tópicos foram substituídos por outros, enviados pela Priscilla Falco"/>
    <x v="0"/>
  </r>
  <r>
    <s v="Core network O&amp;M​"/>
    <s v="Configuração de dialling plan, B-number, tradutor de dígitos, etc.​"/>
    <s v="De acordo com as regras e parâmetros atuais, utilizando os recursos, sistemas, plataformas atuais, a Oi deverá:_x000a_- Configurar árvore de análise de dígitos para definição de encaminhamento para cenários de chamadas de voz."/>
    <s v="Depende da área Oi"/>
    <x v="19"/>
    <s v="Priscila Falco"/>
    <s v="Operações de Rede e SI// Infra e Operações de TI// Sistemas TI"/>
    <s v="Tópicos foram substituídos por outros, enviados pela Priscilla Falco"/>
    <x v="0"/>
  </r>
  <r>
    <s v="Core network O&amp;M​"/>
    <s v="Configuração de roteamento de sinalização de rede (ex. SS7, Diamenter, SIP, etc.)​"/>
    <s v="De acordo com as regras e parâmetros atuais, utilizando os recursos, sistemas, plataformas atuais, a Oi deverá:_x000a_- Executar serviços de configuração para roteamento de sinalização de rede (ex. SS7, Diamenter, SIP, etc.), de acordo com as necessidades das Compradoras."/>
    <s v="Depende da área Oi"/>
    <x v="19"/>
    <s v="Priscila Falco"/>
    <s v="Operações de Rede e SI"/>
    <s v="Tópicos foram substituídos por outros, enviados pela Priscilla Falco"/>
    <x v="0"/>
  </r>
  <r>
    <s v="Core network O&amp;M​"/>
    <s v="Configuração de links e associações para sinalização​"/>
    <s v="De acordo com as regras e parâmetros atuais, utilizando os recursos, sistemas, plataformas atuais, a Oi deverá:_x000a_- Executar serviços de configuração de links e associações necessárias para sinalização SS7, Diameter, etc, de acordo com as necessidades das Compradoras."/>
    <s v="Depende da área Oi"/>
    <x v="19"/>
    <s v="Priscila Falco"/>
    <s v="Operações de Rede e SI"/>
    <s v="Tópicos foram substituídos por outros, enviados pela Priscilla Falco"/>
    <x v="0"/>
  </r>
  <r>
    <s v="Core network O&amp;M​"/>
    <s v="Rotas de voz (ex. TDM, SIP, etc.)​"/>
    <s v="De acordo com as regras e parâmetros atuais, utilizando os recursos, sistemas, plataformas atuais, a Oi deverá:_x000a_- Executar serviços de configuração de rotas de voz (ex. TDM, SIP, etc.), de acordo com as necessidades das Compradoras."/>
    <s v="Depende da área Oi"/>
    <x v="19"/>
    <s v="Priscila Falco"/>
    <s v="Operações de Rede e SI"/>
    <s v="Tópicos foram substituídos por outros, enviados pela Priscilla Falco"/>
    <x v="0"/>
  </r>
  <r>
    <s v="Core network O&amp;M​"/>
    <s v="Definição profile de usuário para as redes 4G, 3G e 2G.​"/>
    <s v="De acordo com as regras e parâmetros atuais, utilizando os recursos, sistemas, plataformas atuais, a Oi deverá:_x000a_- Executar serviços de configuração de profile de usuário para as redes 4G, 3G e 2G (ex. HLR, HSS, PCRF, etc.), de acordo com as necessidades das Compradoras."/>
    <s v="Depende da área Oi"/>
    <x v="19"/>
    <s v="Priscila Falco"/>
    <s v="Operações de Rede e SI"/>
    <s v="Tópicos foram substituídos por outros, enviados pela Priscilla Falco"/>
    <x v="0"/>
  </r>
  <r>
    <s v="Core network O&amp;M​"/>
    <s v="Serviços de configuração de parâmetros e serviços suplementares em base de dados de usuário (HLR, HSS, etc.)​"/>
    <s v="De acordo com as regras e parâmetros atuais, utilizando os recursos, sistemas, plataformas atuais, a Oi deverá:_x000a_- Executar serviços de configuração de parâmetros e serviços suplementares em base de dados de usuário (HLR, HSS, etc.), de acordo com as necessidades das Compradoras."/>
    <s v="Depende da área Oi"/>
    <x v="19"/>
    <s v="Priscila Falco"/>
    <s v="Operações de Rede e SI"/>
    <s v="Tópicos foram substituídos por outros, enviados pela Priscilla Falco"/>
    <x v="0"/>
  </r>
  <r>
    <s v="Core network O&amp;M​"/>
    <s v="Parametrização e serviços suplementares​"/>
    <s v="De    acordo    com    as    regras    e    parâmetros    atuais,    utilizando    os    recursos,    sistemas,    plataformas    atuais,    a    Oi    deverá: Executar serviços de configuração de parâmetros e serviços suplementares em servidores de aplicação (ex. MMTel) e base de dados de_x000a_usuários (ex. HLR, HSS, etc.), de acordo com as necessidades das Compradoras."/>
    <s v="Depende da área Oi"/>
    <x v="19"/>
    <s v="Priscila Falco"/>
    <s v="Operações de Rede e SI"/>
    <s v="Tópicos foram substituídos por outros, enviados pela Priscilla Falco"/>
    <x v="0"/>
  </r>
  <r>
    <s v="Core network O&amp;M​"/>
    <s v="Configuração ENUM/DNS​"/>
    <m/>
    <s v="Depende da área Oi"/>
    <x v="19"/>
    <s v="Priscila Falco"/>
    <s v="Operações de Rede e SI"/>
    <s v="Tópicos foram substituídos por outros, enviados pela Priscilla Falco"/>
    <x v="0"/>
  </r>
  <r>
    <s v="Core network O&amp;M​"/>
    <s v="Roaming​"/>
    <s v="De acordo com as regras e parâmetros atuais, utilizando os recursos, sistemas, plataformas atuais, a Oi deverá:_x000a_-  Executar  serviços  de  configuração  em  elementos  de  core  de  voz  (CS  e  IMS)  para  roaming,  de  acordo  com  as  necessidades  das Compradoras."/>
    <s v="EXCLUIR ESTE ITEM"/>
    <x v="20"/>
    <s v="Bruno Diehl"/>
    <s v="TI"/>
    <s v="[Bruno Diehl] - Não se aplica para ClientCo"/>
    <x v="0"/>
  </r>
  <r>
    <s v="Core network O&amp;M​"/>
    <s v="Integração de sinalização​"/>
    <s v="De acordo com as regras e parâmetros atuais, utilizando os recursos, sistemas, plataformas atuais, a Oi deverá:_x000a_- Executar serviços de integração para rede SS7/Sigtran, Diameter, etc, de acordo com as necessidades das Compradoras."/>
    <s v="Depende da área Oi"/>
    <x v="19"/>
    <s v="Priscila Falco"/>
    <s v="Operações de Rede e SI"/>
    <s v="Tópicos foram substituídos por outros, enviados pela Priscilla Falco"/>
    <x v="0"/>
  </r>
  <r>
    <s v="Core network O&amp;M​"/>
    <s v="Integração de rotas de voz​"/>
    <s v="De acordo com as regras e parâmetros atuais, utilizando os recursos, sistemas, plataformas atuais, a Oi deverá:_x000a_- Executar serviços de integração para rotas de voz baseadas em ISUP, BICC, SIP, etc, de acordo com as necessidades das Compradoras."/>
    <s v="Depende da área Oi"/>
    <x v="19"/>
    <s v="Priscila Falco"/>
    <s v="Operações de Rede e SI"/>
    <s v="Tópicos foram substituídos por outros, enviados pela Priscilla Falco"/>
    <x v="0"/>
  </r>
  <r>
    <s v="Core network O&amp;M​"/>
    <s v="Integração de elementos de rede do core de voz.​"/>
    <s v="De acordo com as regras e parâmetros atuais, utilizando os recursos, sistemas, plataformas atuais, a Oi deverá:_x000a_- Executar serviços de integração entre elementos de rede do core de voz, de acordo com as necessidades das Compradoras."/>
    <s v="Depende da área Oi"/>
    <x v="19"/>
    <s v="Priscila Falco"/>
    <s v="Operações de Rede e SI"/>
    <s v="Tópicos foram substituídos por outros, enviados pela Priscilla Falco"/>
    <x v="0"/>
  </r>
  <r>
    <s v="Core network O&amp;M​"/>
    <s v="Homologação de sinalização​"/>
    <s v="De acordo com as regras e parâmetros atuais, utilizando os recursos, sistemas, plataformas atuais, a Oi deverá:_x000a_-  Executar  serviços  de  homologação  e  testes  para  cenários  envolvendo  sinalização  SS7,  SIP,  Diamenter,  etc.,  de  acordo  com  as necessidades das Compradoras."/>
    <s v="Depende da área Oi"/>
    <x v="19"/>
    <s v="Priscila Falco"/>
    <s v="Operações de Rede e SI"/>
    <s v="Tópicos foram substituídos por outros, enviados pela Priscilla Falco"/>
    <x v="0"/>
  </r>
  <r>
    <s v="Core network O&amp;M​"/>
    <s v="Homologação de roaming​"/>
    <s v="De acordo com as regras e parâmetros atuais, utilizando os recursos, sistemas, plataformas atuais, a Oi deverá:_x000a_-  Executar  serviços  de  homologação  e  testes  para  validação  de  novos  acordos  de  roaming  e  troubleshooting,  de  acordo  com  as necessidades das Compradoras."/>
    <s v="EXCLUIR ESTE ITEM"/>
    <x v="20"/>
    <s v="Bruno Diehl"/>
    <s v="TI"/>
    <s v="[Bruno Diehl] - Não se aplica para ClientCo"/>
    <x v="0"/>
  </r>
  <r>
    <s v="Core network O&amp;M​"/>
    <s v="Integração dos elementos​"/>
    <s v="De acordo com as regras e parâmetros atuais, utilizando os recursos, sistemas, plataformas atuais, a Oi deverá:_x000a_- Integrar todos os elementos do Core de Voz, Dados, Sinalização e Plataformas SVA da OI com os elementos Core de Voz, Dados e Plataformas de SVA das Compradoras, de acordo com as necessidades das Compradoras."/>
    <s v="Depende da área Oi"/>
    <x v="19"/>
    <s v="Priscila Falco"/>
    <s v="Operações de Rede e SI"/>
    <s v="Tópicos foram substituídos por outros, enviados pela Priscilla Falco"/>
    <x v="0"/>
  </r>
  <r>
    <s v="Core network O&amp;M​"/>
    <s v="Configuração dos elementos​"/>
    <s v="De acordo com as regras e parâmetros atuais, utilizando os recursos, sistemas, plataformas atuais, a Oi deverá:_x000a_- Configurar todos os elementos do Core de Voz, Dados, Sinalização e Plataformas SVA da OI para permitir o registro dos clientes “OI” na Rede das Compradoras, de acordo com as necessidades das Compradoras."/>
    <s v="Depende da área Oi"/>
    <x v="19"/>
    <s v="Priscila Falco"/>
    <s v="Operações de Rede e SI"/>
    <s v="Tópicos foram substituídos por outros, enviados pela Priscilla Falco"/>
    <x v="0"/>
  </r>
  <r>
    <s v="Core network O&amp;M​"/>
    <s v="Configuração dos elementos​"/>
    <s v="De acordo com as regras e parâmetros atuais, utilizando os recursos, sistemas, plataformas atuais, a Oi deverá:_x000a_- Configurar todos os elementos do Core de Voz, Dados, Sinalização e Plataformas SVA da OI para permitir o registro dos clientes da(s) compradoras na Rede da OI, de acordo com as necessidades das Compradoras."/>
    <s v="Depende da área Oi"/>
    <x v="19"/>
    <s v="Priscila Falco"/>
    <s v="Operações de Rede e SI"/>
    <s v="Tópicos foram substituídos por outros, enviados pela Priscilla Falco"/>
    <x v="0"/>
  </r>
  <r>
    <s v="Core network O&amp;M​"/>
    <s v="Transferência Base de Dados​"/>
    <s v="De acordo com as regras e parâmetros atuais, utilizando os recursos, sistemas, plataformas atuais, a Oi deverá:_x000a_- Transferir todos os dados armazenados nas Base de Dados da OI para as Base de Dados das Compradoras, de acordo com as necessidades das Compradoras."/>
    <s v="Depende da área Oi"/>
    <x v="19"/>
    <s v="Priscila Falco"/>
    <s v="Operações de Rede e SI"/>
    <s v="Tópicos foram substituídos por outros, enviados pela Priscilla Falco"/>
    <x v="0"/>
  </r>
  <r>
    <s v="Core network O&amp;M​"/>
    <s v="Suporte durante a migração​"/>
    <s v="De acordo com as regras e parâmetros atuais, utilizando os recursos, sistemas, plataformas atuais, a Oi deverá:_x000a_- Prover suporte N1, N2 e N3 durante toda fase de migração, integração e capacitação dos elementos do Core de Voz, Dados e Plataformas SVA, de acordo com as necessidades das Compradoras"/>
    <s v="Depende da área Oi"/>
    <x v="19"/>
    <s v="Priscila Falco"/>
    <s v="Operações de Rede e SI// Infra e Operações de TI// Sistemas TI"/>
    <s v="Tópicos foram substituídos por outros, enviados pela Priscilla Falco"/>
    <x v="0"/>
  </r>
  <r>
    <s v="Core network O&amp;M​"/>
    <s v="Campanhas de atualização​"/>
    <s v="De acordo com as regras e parâmetros atuais, utilizando os recursos, sistemas, plataformas atuais, a Oi deverá:_x000a_- Realizar campanhas de atualização dos Simcards (via Over-the-Air) até que toda base de clientes esteja atualizada, de acordo com as necessidades das Compradoras."/>
    <s v="Depende da área Oi"/>
    <x v="19"/>
    <s v="Priscila Falco"/>
    <s v="Operações de Rede e SI"/>
    <s v="Tópicos foram substituídos por outros, enviados pela Priscilla Falco"/>
    <x v="0"/>
  </r>
  <r>
    <s v="Core network O&amp;M​"/>
    <s v="Prestação de Serviços​"/>
    <s v="De acordo com as regras e parâmetros atuais, utilizando os recursos, sistemas, plataformas atuais, a Oi deverá:_x000a_- Suportar os serviços de ordem judicial (interceptação policial, escuta telefônica, coleta de dados etc.) durante toda fase de migração, de acordo com as necessidades das Compradoras."/>
    <s v="Depende da área Oi"/>
    <x v="19"/>
    <s v="Priscila Falco"/>
    <s v="Operações de Rede e SI"/>
    <s v="Tópicos foram substituídos por outros, enviados pela Priscilla Falco"/>
    <x v="0"/>
  </r>
  <r>
    <s v="Core network O&amp;M​"/>
    <s v="Suporte durante a migração​"/>
    <s v="- Prover equipe com profundo conhecimento técnico nos elementos do Core de Voz, Dados, Sinalização e Plataformas SVA que deve trabalhar de forma dedicada e exclusiva durante toda fase de migração, de acordo com as necessidades das Compradoras (incluindo FTEs do perímetro e aqueles fora do perímetro que sejam responsáveis pelo suporte a plataformas compartilhadas com demais empresas do_x000a_Grupo Oi)."/>
    <s v="Depende da área Oi"/>
    <x v="19"/>
    <s v="Priscila Falco"/>
    <s v="Operações de Rede e SI// Infra e Operações de TI// Sistemas TI"/>
    <s v="Tópicos foram substituídos por outros, enviados pela Priscilla Falco"/>
    <x v="0"/>
  </r>
  <r>
    <s v="Core network O&amp;M​"/>
    <s v="Serviço de suporte, consultoria, configuração e Integração ​"/>
    <s v="De acordo com as regras e parâmetros atuais, utilizando os recursos, sistemas, plataformas atuais, a Oi deverá:_x000a_- Prover serviço de suporte N1, N2 e N3, integração e configuração de todas as plataformas HSS, HLR, AuC, MME, eDNS, DRA (SLF), DEA,  STP  (FNR),  S/P-GW,  S/GGSN,  OTA,  FDA, USSD,  MMS,  SMSC,  Anti-Spam, PCRF,  CTF,  Plataforma de  BigData,  Device Manager, Service Manager, WAP, EIR, GMLC/SMLC, Voice Mail, IVR, Ring Back Tone, SIM Browsing, Provisioning, Inter-AS, IN,_x000a_plataformas de serviços de roaming (traffic steering, VHE, etc) durante toda fase de migração."/>
    <s v="Depende da área Oi"/>
    <x v="19"/>
    <s v="Priscila Falco"/>
    <s v="Operações de Rede e SI"/>
    <s v="Tópicos foram substituídos por outros, enviados pela Priscilla Falco"/>
    <x v="0"/>
  </r>
  <r>
    <s v="Core network O&amp;M​"/>
    <s v="Atividade de Atualização de Software​"/>
    <s v="De acordo com as regras e parâmetros atuais, utilizando os recursos, sistemas, plataformas atuais, a Oi deverá:_x000a_- Realizar upgrades de Software, Ativação de Features já contratadas e Aplicação de Patches para suportar funcionalidades associadas aos elementos do Core de Voz, Dados, Sinalização e Plataformas SVA."/>
    <s v="Depende da área Oi"/>
    <x v="19"/>
    <s v="Priscila Falco"/>
    <s v="Operações de Rede e SI"/>
    <s v="Tópicos foram substituídos por outros, enviados pela Priscilla Falco"/>
    <x v="0"/>
  </r>
  <r>
    <s v="Core network O&amp;M​"/>
    <s v="Testes de homologação, regressão e sanity​"/>
    <s v="De acordo com as regras e parâmetros atuais, utilizando os recursos, sistemas, plataformas atuais, a Oi deverá:_x000a_-   Executar  testes  de  homologação,  regressão  e  sanity  durante  toda  e  qualquer  atividade  de  configuração,  integração  e  adequação relacionada com os elementos do Core de Voz, Dados, Sinalização e Plataformas SVA."/>
    <s v="Depende da área Oi"/>
    <x v="19"/>
    <s v="Priscila Falco"/>
    <s v="Operações de Rede e SI"/>
    <s v="Tópicos foram substituídos por outros, enviados pela Priscilla Falco"/>
    <x v="0"/>
  </r>
  <r>
    <s v="Core network O&amp;M​"/>
    <s v="Janela de Manutenção (JM)​"/>
    <s v="De acordo com as regras e parâmetros atuais, utilizando os recursos, sistemas, plataformas atuais, a Oi deverá:_x000a_- Executar as janelas de manutenção nos elementos do Core de Voz, Dados, Sinalização e Plataformas SVA em qualquer dia da semana, inclusive  feriados,  no  horário  compreendido  entre  23h00  e  07h00.  O  objetivo  é  assegurar  um  menor  tempo  de  indisponibilidade (downtime) dos serviços._x000a_- Portanto a Oi, se obriga a manter equipe e tudo mais que for necessário para realização das janelas de manutenção, de acordo com as_x000a_necessidades das Compradoras."/>
    <s v="Depende da área Oi"/>
    <x v="19"/>
    <s v="Priscila Falco"/>
    <s v="Operações de Rede e SI"/>
    <s v="Tópicos foram substituídos por outros, enviados pela Priscilla Falco"/>
    <x v="0"/>
  </r>
  <r>
    <s v="Core network O&amp;M​"/>
    <s v="Balanceamento e Distribuição de Trafego​"/>
    <s v="De acordo com as regras e parâmetros atuais, utilizando os recursos, sistemas, plataformas atuais, a Oi deverá:_x000a_- Executar as seguintes atividades de acordo com as necessidades das Compradoras:_x000a_• Balanceamento de trafego entre os elementos de Sinalização, Voz, Dados e Plataformas SVA._x000a_• Distribuição do trafego de Sinalização, Voz, Dados e SVA conforme capacidade dos elementos."/>
    <s v="Depende da área Oi"/>
    <x v="19"/>
    <s v="Priscila Falco"/>
    <s v="Operações de Rede e SI"/>
    <s v="Tópicos foram substituídos por outros, enviados pela Priscilla Falco"/>
    <x v="0"/>
  </r>
  <r>
    <s v="Core network O&amp;M​"/>
    <s v="Configuração das Interfaces de Integração ​(Bloco 1​)"/>
    <s v="De acordo com as regras e parâmetros atuais, utilizando os recursos, sistemas, plataformas atuais, a Oi deverá:_x000a_- Executar todas as atividades de configuração de acordo com as necessidades das Compradoras, tais como, mas não limitadas a:_x000a_• Configuração da interface Abis entre BTS e BSC_x000a_• Configuração da interface Iub entre NodeB e RNC_x000a_• Configuração da interface Gb entre BSC e SGSN_x000a_• Configuração da interface A entre BSC e MSC/MSS_x000a_• Configuração da interface IuPS entre RNC e SGSN_x000a_• Configuração da interface IuCS entre RNC e MGW/MSC_x000a_• Configuração da interface S12 entre RNC e S-GW_x000a_• Configuração da interface S1-MME entre eNodeB e MME_x000a_• Configuração da interface S1-U entre eNodeB e S-GW_x000a_• Configuração da interface Gn entre SGSN e GGSN_x000a_• Configuração da interface S5/S8 entre S-GW e P-GW"/>
    <s v="Depende da área Oi"/>
    <x v="19"/>
    <s v="Priscila Falco"/>
    <s v="Operações de Rede e SI"/>
    <s v="Tópicos foram substituídos por outros, enviados pela Priscilla Falco"/>
    <x v="0"/>
  </r>
  <r>
    <s v="Core network O&amp;M​"/>
    <s v="Configuração das Interfaces de Integração​ (Bloco 2)"/>
    <s v="De acordo com as regras e parâmetros atuais, utilizando os recursos, sistemas, plataformas atuais, a Oi deverá:_x000a_- Executar todas as atividades de configuração de acordo com as necessidades das Compradoras, tais como, mas não limitadas a:_x000a_• Configuração da interface SGs entre MME e MSC/MSS_x000a_• Configuração da interface Sv entre MME e MSC/MSS_x000a_• Configuração da interface S3 entre MME e SGSN_x000a_• Configuração da interface S11 entre MME e S-GW_x000a_• Configuração da interface S10 entre MMEs (Inter)_x000a_• Configuração da interface S6a entre MME e HSS_x000a_• Configuração da interface S13 entre MME e EIR_x000a_• Configuração da interface Gr entre SGSN e HLR_x000a_• Configuração da interface Gf entre SGSN e EIR_x000a_• Configuração da interface D entre MSC/MSS e HLR_x000a_• Configuração da interface F entre MSC/MSS e EIR_x000a_• Configuração da interface Gx entre P-GW e PCRF_x000a_• Configuração da interface Gy entre P-GW e OCS"/>
    <s v="Depende da área Oi"/>
    <x v="19"/>
    <s v="Priscila Falco"/>
    <s v="Operações de Rede e SI"/>
    <s v="Tópicos foram substituídos por outros, enviados pela Priscilla Falco"/>
    <x v="0"/>
  </r>
  <r>
    <s v="Core network O&amp;M​"/>
    <s v="Integração e Mapeamento de dados​"/>
    <s v="De acordo com as regras e parâmetros atuais, utilizando os recursos, sistemas, plataformas atuais, a Oi deverá:_x000a_- Executar todas as atividades de configuração de acordo com as necessidades das Compradoras, tais como, mas não limitadas a:_x000a_• Configuração e integração via Direct Tunnel_x000a_• Configuração de link M3UA com a RNC_x000a_• Configuração de link NSVC com a BSC_x000a_• Configuração das tabelas de TAI, LAI e VLR-ID_x000a_• Configuração e integração via SMPP entre SMSCs_x000a_• Configuração e integração via IPX/SPX entre DEAs_x000a_• Configuração das tabelas de DPC, OPC e GTs_x000a_• Configuração dos Service Key de Originação e Terminação_x000a_• Configuração de Rotas e Links IPv4 e IPv6"/>
    <s v="Depende da área Oi"/>
    <x v="19"/>
    <s v="Priscila Falco"/>
    <s v="Operações de Rede e SI"/>
    <s v="Tópicos foram substituídos por outros, enviados pela Priscilla Falco"/>
    <x v="0"/>
  </r>
  <r>
    <s v="Core network O&amp;M​"/>
    <s v="Regras de Descarte (Tráfego Dados)​"/>
    <s v="De acordo com as regras e parâmetros atuais, utilizando os recursos, sistemas, plataformas atuais, a Oi deverá:_x000a_- Executar todas as atividades de configuração de acordo com as necessidades das Compradoras, tais como, mas não limitadas a:_x000a_• Configuração de descarte de URL e IP´s_x000a_• Configuração de regras L3 para descarte de IP_x000a_• Configuração de regras L4 para descarte na camada de transporte_x000a_• Configuração de regras L7 para descarte de URL_x000a_• Configuração de novas regras para redirect de tráfego para os Portais de Serviço_x000a_• Configuração de novas APNs de Dados de acordo com o tipo de cliente (Pré, Pós, M2M)"/>
    <s v="Depende da área Oi"/>
    <x v="19"/>
    <s v="Priscila Falco"/>
    <s v="Operações de Rede e SI"/>
    <s v="Tópicos foram substituídos por outros, enviados pela Priscilla Falco"/>
    <x v="0"/>
  </r>
  <r>
    <s v="Core network O&amp;M​"/>
    <s v="Parametros de configuração HLR"/>
    <s v="De acordo com as regras e parâmetros atuais, utilizando os recursos, sistemas, plataformas atuais, a Oi deverá:_x000a_- Executar todas  as  atividades  de  configuração  e  adequação  de  todo  e  qualquer parâmetro  configurado  no HLR,  de  acordo  com  as necessidades das Compradoras, tais como, mas não limitadas a:_x000a_• TCSI (Terminating Camel Subscription Information)_x000a_• OCSI (Originating Camel Subscription Information)_x000a_• CSP (Camel Subscription Profile)_x000a_• CAT (Subscriber Category)_x000a_• STYPE (Subscription Type)_x000a_• SCHAR (Subscriber Charging Characteristics)_x000a_• RSA (Roaming Service Area Identifier)_x000a_• PRBT (Personalized Ring Back Tone)• PLMNO (PLMN Operator)_x000a_• PDPCP (Packed Data Protocol Context Profile)_x000a_• OBO (Operator Determined Barring Of All Outgoing Calls)_x000a_• OBI (Operator Determined Barring Of All Incoming Calls)_x000a_• OBA (Operator Determined Barring Of All Incoming And Outgoing Calls)_x000a_• OBCC (Operator Determined Barring Of Collect Call Dialling Automatic Call)_x000a_• BOIC (Barring Of All Outgoing International Calls)_x000a_• NAM (Network Access Mode)"/>
    <s v="Depende da área Oi"/>
    <x v="19"/>
    <s v="Priscila Falco"/>
    <s v="Operações de Rede e SI"/>
    <s v="Tópicos foram substituídos por outros, enviados pela Priscilla Falco"/>
    <x v="0"/>
  </r>
  <r>
    <s v="Core network O&amp;M​"/>
    <s v="Parametros de configuração HSS​"/>
    <s v="De acordo com as regras e parâmetros atuais, utilizando os recursos, sistemas, plataformas atuais, a Oi deverá:_x000a_-  Executar  todas  as  atividades  de  configuração  e  adequação  de  todo  e  qualquer  parâmetro  configurado  no  HSS,  de  acordo  com  as necessidades das Compradoras, tais como, mas não limitadas a:_x000a_• PROFILEID_x000a_• MAXDL_x000a_• MAXUL_x000a_• APNOIREPLACEMENT_x000a_• CONTEXTID_x000a_• APN_x000a_• BEARERCHARGINGCHARS_x000a_• PDNTYPE_x000a_• QOSPROFILEARP_x000a_• QOSPROFILEQCI_x000a_• LCHAR_x000a_• BLOQ_x000a_• ROAM_x000a_• ROAMREST_x000a_• SUBIPV4ADDR_x000a_• SUBIPV6ADDR"/>
    <s v="Depende da área Oi"/>
    <x v="19"/>
    <s v="Priscila Falco"/>
    <s v="Operações de Rede e SI"/>
    <s v="Tópicos foram substituídos por outros, enviados pela Priscilla Falco"/>
    <x v="0"/>
  </r>
  <r>
    <s v="Core network O&amp;M​"/>
    <s v="Configuração Serviços de Voz​"/>
    <s v="De acordo com as regras e parâmetros atuais, utilizando os recursos, sistemas, plataformas atuais, a Oi deverá:_x000a_- Executar todas as configurações nos elementos do Core de Voz e garantir a continuidade da estabilidade dos sistemas envolvidos e da qualidade dos serviços prestados durante as intervenções e após as adequações, sempre através de documentos apropriado; (Configuração de Encaminhamento; Sites; Prefixos, CNG, NUM, Tridígitos, Novos Códigos; Sinalização e Rota; Point Code; Roaming; etc.); e_x000a_- Diagnosticar e corrigir as anormalidades e reclamações de clientes provenientes das equipes de Suporte Técnico a Reclamações e_x000a_Diagnóstico (STRD) e de rede (SIGITM) recebidas dos Centros de Operação de Rede."/>
    <s v="Depende da área Oi"/>
    <x v="19"/>
    <s v="Priscila Falco"/>
    <s v="Operações de Rede e SI"/>
    <s v="Tópicos foram substituídos por outros, enviados pela Priscilla Falco"/>
    <x v="0"/>
  </r>
  <r>
    <s v="Core network O&amp;M​"/>
    <s v="Parametros de configuração VMS​"/>
    <s v="De acordo com as regras e parâmetros atuais, utilizando os recursos, sistemas, plataformas atuais, a Oi deverá:_x000a_- Executar todas as atividades de configuração e adequação de todo e qualquer parâmetro configurado no Voicemail (VMS), de acordo com as necessidades das Compradoras, tais como, mas não limitadas a:_x000a_• MSISDN_x000a_• SERVICECLASS_x000a_• LANGUAGE_x000a_• PASSWORD_x000a_• ENTRYAUTHEN_x000a_• MESSAGENOTIFY_x000a_• USERNAME_x000a_• EMAIL_x000a_• ZIPCODE_x000a_• IDNUMBER_x000a_• MWNTYPE_x000a_• MWNDEST_x000a_• USERSTATUS"/>
    <s v="Depende da área Oi"/>
    <x v="19"/>
    <s v="Priscila Falco"/>
    <s v="Operações de Rede e SI"/>
    <s v="Tópicos foram substituídos por outros, enviados pela Priscilla Falco"/>
    <x v="0"/>
  </r>
  <r>
    <s v="Core network O&amp;M​"/>
    <s v="Monitoração da Rede​"/>
    <s v="De acordo com as regras e parâmetros atuais, utilizando os recursos, sistemas, plataformas atuais, a Oi deverá:_x000a_-  Suportar,  acompanhar  e  divulgar  todos  os  KPIs  da  rede  durante  toda  a  fase  de  migração,  de  acordo  com  as  necessidades  das Compradoras."/>
    <s v="Depende da área Oi"/>
    <x v="19"/>
    <s v="Priscila Falco"/>
    <s v="Operações de Rede e SI"/>
    <s v="Tópicos foram substituídos por outros, enviados pela Priscilla Falco"/>
    <x v="0"/>
  </r>
  <r>
    <s v="Core network O&amp;M​"/>
    <s v="Noc - Supervisão de rede e Operação.​"/>
    <s v="De acordo com as regras e parâmetros atuais, utilizando os recursos, sistemas, plataformas atuais, a Oi deverá:_x000a_- Executar o monitoramento da rede 24x7 garantindo a disponibilidade dos serviços;_x000a_- Gerar reports diários relacionados aos incidentes e Bilhetes de defeitos que envolvam os sistemas ora em operação;_x000a_- Resolução dos problemas encontrados no monitoramento de forma remota e/ou com auxílio do time de FLM/N2/N3/Vendor;_x000a_- Garantir através do Contrato, headcounts (HCs)suficientes para o monitoramento e tratamento de incidentes de rede (primeiro combate) 24x7. Estes HCs devem ser alterados conforme ocorrerem as migrações de equipamentos de rede bem como clientes para a base das Compradoras._x000a_- Garantir escalonamentos de forma a cumprir com os SLAs acordados e garantir celeridade na solução de falhas._x000a_- Registar os incidentes de rede em ferramentas de workflow, de forma que seja possível acompanhar as ocorrências, a identificação e os tratamentos dos eventos de rede, bem como, ter base histórica para consulta futura."/>
    <s v="Depende da área Oi"/>
    <x v="19"/>
    <s v="Priscila Falco"/>
    <s v="Operações de Rede e SI"/>
    <s v="Tópicos foram substituídos por outros, enviados pela Priscilla Falco"/>
    <x v="0"/>
  </r>
  <r>
    <s v="Core network O&amp;M​"/>
    <s v="NOC - Disponibilidade da Rede.​"/>
    <s v="De acordo com as regras e parâmetros atuais, utilizando os recursos, sistemas, plataformas atuais, a Oi deverá:_x000a_- Através das atividades de monitoramento, gestão de incidentes, gestão de problemas, gestão de mudanças e gestão de continuidade, manter o nível de disponibilidade dos sistemas de rede dentro do padrões de qualidade._x000a_- Gerar os reports executivos e operacionais semanais associados à disponibilidade/tempo de reparo dos incidentes e causa-raiz."/>
    <s v="Depende da área Oi"/>
    <x v="19"/>
    <s v="Priscila Falco"/>
    <s v="Operações de Rede e SI"/>
    <s v="Tópicos foram substituídos por outros, enviados pela Priscilla Falco"/>
    <x v="0"/>
  </r>
  <r>
    <s v="Core network O&amp;M​"/>
    <s v="NOC - Gestão de incidentes de Rede/Resolução de Reclamações de Clientes.​"/>
    <s v="De acordo com as regras e parâmetros atuais, utilizando os recursos, sistemas, plataformas atuais, a Oi deverá:_x000a_- Através das atividades de monitoramento, gestão de incidentes, gestão de problemas, gestão de mudanças e gestão de continuidade, manter o nível de disponibilidade dos sistemas de rede dentro do padrões de qualidade._x000a_- Gerar os reports executivos e operacionais semanais associados à disponibilidade/tempo de reparo dos incidentes e causa-raiz."/>
    <s v="Depende da área Oi"/>
    <x v="19"/>
    <s v="Priscila Falco"/>
    <s v="Operações de Rede e SI"/>
    <s v="Tópicos foram substituídos por outros, enviados pela Priscilla Falco"/>
    <x v="0"/>
  </r>
  <r>
    <s v="Core network O&amp;M​"/>
    <s v="Noc/O&amp;M Gerenciamento de mudanças na rede (GMUD´s)​"/>
    <s v="De acordo com as regras e parâmetros atuais, utilizando os recursos, sistemas, plataformas atuais, a Oi deverá:_x000a_- Através das atividades de monitoramento, gestão de incidentes, gestão de problemas, gestão de mudanças e gestão de continuidade, manter o nível de disponibilidade dos sistemas de rede dentro do padrões de qualidade._x000a_- Gerar os reports executivos e operacionais semanais associados à disponibilidade/tempo de reparo dos incidentes e causa-raiz."/>
    <s v="Depende da área Oi"/>
    <x v="19"/>
    <s v="Priscila Falco"/>
    <s v="Operações de Rede e SI"/>
    <s v="Tópicos foram substituídos por outros, enviados pela Priscilla Falco"/>
    <x v="0"/>
  </r>
  <r>
    <s v="Core network O&amp;M​"/>
    <s v="O&amp;M Serviços de Voz​"/>
    <s v="De acordo com as regras e parâmetros atuais, utilizando os recursos, sistemas, plataformas atuais, a Oi deverá:_x000a_- Operar, manter, e otimizar os elementos que compõe a rede do Core de Voz Móvel (MGC, MGW, PTS, AGW, SBC’s, Core IMS, HLR, HSS, UDC, EIR, NGiN)_x000a_- Atuar na recuperação de falhas e incidências do Core CS (com atuação remota), incluindo hardwares e software dentro dos prazos definidos pelo órgão regulador e/ou das metas de satisfação dos clientes (SLA);_x000a_- Promover ações preventivas para redução de falhas e incidentes do Core CS, validação de contingências e garantir efetividade no processo de passagem a produção;_x000a_- Fornecer apoio técnico especializado as equipes de campo (N1) para o Core CS;_x000a_- Acompanhar os indicadores Desempenho de rede e clientes;_x000a_- Realizar Aceitação dos elementos de rede Core CS;_x000a_- Analisar, controlar, agendar, liberar e negociar as atividades programadas (GMUD) na rede CORE CS, de acordo com as afetações envolvidas, junto às áreas fornecedoras (interna e externas);_x000a_- Fornecer suporte as ocorrências de alta complexidade no Core CS e atuar na recuperação de falhas, inclusive on-site; e_x000a_- Acompanhamento e validação de atualização de correção de produto (software) e aplicação de Updates e correções nos elementos da rede."/>
    <s v="Depende da área Oi"/>
    <x v="19"/>
    <s v="Priscila Falco"/>
    <s v="Operações de Rede e SI"/>
    <s v="Tópicos foram substituídos por outros, enviados pela Priscilla Falco"/>
    <x v="0"/>
  </r>
  <r>
    <s v="Core network O&amp;M​"/>
    <s v="Operação de Serviços de Dados Móveis e Serviços Digitais"/>
    <s v="De acordo com as regras e parâmetros atuais, utilizando os recursos, sistemas, plataformas atuais, a Oi deverá:_x000a_- Gerir as Plataformas e Sistemas envolvendo Soluções e Serviços de Dados (AAA, PCRF, CTF, LCNAT), Plataformas e Serviços de Mensageria (OTA, DM, OSG, SMSC, PMSU, AntiSPAM, E-SMS), Plataformas e Serviços de Valor Agregado (SDP, Site VAS, Torpedo Empresas, Broadcast Nacional, Captive), Soluções de Core PS / EPC (WCDMA e LTE) e Plataformas de Sinalização de Dados e de Serviços de Aprovisionamento (PCRF, DRA, ATR e Habilitação Remota - HRS), para os quais são necessárias as seguintes atribuições:_x000a_-  Operar,  Manter  e  Otimizar  os  Sistemas  e  Plataformas,  envolvendo  toda  a  Infraestrutura  Computacional  (Hardware,  Software, Aplicações, Sistemas Operacionais, Web Servers e Banco de Dados);_x000a_- Aferir e avaliar, em conjunto com as áreas de desempenho, a performance das Plataformas e Aplicações envolvidas, além dos serviços prestados por Plataformas e sistemas de terceiros relacionados a serviços, providenciando ações preventivas, corretivas e de otimização, bem como suporte ao acionamento dos terceiros fornecedores de serviços, de modo a garantir a disponibilidade e a qualidade destes serviços;_x000a_- Diagnosticar as anormalidades e reclamações de clientes provenientes das equipes de Suporte Técnico a Reclamações e Diagnóstico (STRD) e eventos de Rede (sistêmicas - alarmísticas) recebidas do Centro de Operação de Rede (NOC), isolando-as, atuando em ações de contingência, propondo e realizando ações corretivas, acionando equipes próprias e de terceiros, administrando o tempo de solução e a baixa;_x000a_- Executar as Manutenções Preventivas nos equipamentos, objetivando minimizar as incidências de falhas e melhorar os índices de ocupação de recursos diante das demandas;_x000a_- Elaborar Projetos Básicos e Especificações Técnicas para contratação de serviços técnicos necessários à operação e manutenção das Plataformas, Aplicações e elementos de acesso à Rede de Dados, bem como para adição de anexo de Garantia, Suporte e Assistência Técnica em novas aquisições (RFQs);_x000a_- Gerenciar os contratos da área (suporte e recursos), bem como qualificar, mensurar e avaliar os serviços fornecidos;_x000a_- Prestar serviço de suporte às ações de homologação de novos equipamentos e novos serviços nas plataformas já em operação;_x000a_- Acompanhar a validação em laboratório das soluções de falhas a serem implementadas nos Sistemas e Plataformas em produção;_x000a_- Garantir a qualidade dos processos da área, através do monitoramento contínuo dos indicadores de qualidade;_x000a_- Agendar, autorizar e validar as intervenções programadas nas plataformas e sistemas de Core PS/EPC em operação;_x000a_-  Executar  todas  as  alterações  de  configuração  (corretivas)  nos  elementos  sob  sua  responsabilidade  e  garantir  a  continuidade  da estabilidade dos sistemas envolvidos e da qualidade dos serviços prestados durante as intervenções e após as adequações, sempre através de documentos apropriados;_x000a_- Prestar serviço de suporte às áreas relacionadas diretamente a Clientes, Eventos e Negócios;_x000a_- Analisar e Validar o Projeto de Implantação e o Termo de Aceitação de Equipamentos, Materiais e Serviços das plataformas e suas aplicações;_x000a_- Manter atualizado o cadastro de todos os elementos de Plataformas e Sistemas sob sua gestão."/>
    <s v="Depende da área Oi"/>
    <x v="19"/>
    <s v="Priscila Falco"/>
    <s v="Operações de Rede e SI"/>
    <s v="Tópicos foram substituídos por outros, enviados pela Priscilla Falco"/>
    <x v="0"/>
  </r>
  <r>
    <s v="Access network O&amp;M​"/>
    <s v="Otimização / O&amp;M​"/>
    <s v="Execução de atividades de ajuste e configuração de parâmetros físicos e lógicos de RF, de acordo com as regras e parâmetros atuais, utilizando os recursos, sistemas, plataformas atuais, incluindo mas não limitados a:_x000a_- Resintonia de frequências_x000a_- Bloqueio/Desbloqueio de PLMN_x000a_- Bloqueio/Desbloqueio de sites_x000a_- Ativação/Desativação de features_x000a_- Alterações físicas como tilt e azimute de sites_x000a_- Remanejamento de placas/hardware_x000a_- Configuração/Reconfiguração de sites"/>
    <s v="Depende da área Oi"/>
    <x v="19"/>
    <s v="Priscila Falco"/>
    <s v="Operações de Rede e SI"/>
    <s v="Tópicos foram substituídos por outros, enviados pela Priscilla Falco"/>
    <x v="0"/>
  </r>
  <r>
    <s v="Access network O&amp;M​"/>
    <s v="Ferramentas de Otimização​"/>
    <s v="De acordo com as regras e parâmetros atuais, utilizando os recursos, sistemas, plataformas atuais, a Oi deverá:_x000a_- Garantir o perfeito funcionamento das ferramentas de otimização (como SON, CEM, etc)."/>
    <s v="Depende da área Oi"/>
    <x v="19"/>
    <s v="Priscila Falco"/>
    <s v="Operações de Rede e SI"/>
    <s v="Tópicos foram substituídos por outros, enviados pela Priscilla Falco"/>
    <x v="0"/>
  </r>
  <r>
    <s v="Access network O&amp;M​"/>
    <s v="Network monitoring (NOC)​"/>
    <s v="De acordo com as regras e parâmetros atuais, utilizando os recursos, sistemas, plataformas atuais, a Oi deverá:_x000a_- Monitoramento online, falhas, alarmes."/>
    <s v="Depende da área Oi"/>
    <x v="19"/>
    <s v="Priscila Falco"/>
    <s v="Operações de Rede e SI"/>
    <s v="Tópicos foram substituídos por outros, enviados pela Priscilla Falco"/>
    <x v="0"/>
  </r>
  <r>
    <s v="Access network O&amp;M​"/>
    <s v="Vendors support​"/>
    <s v="De acordo com as regras e parâmetros atuais, utilizando os recursos, sistemas, plataformas atuais, a Oi deverá:_x000a_- Prover suporte com provedores de acesso móvel."/>
    <s v="Depende da área Oi"/>
    <x v="19"/>
    <s v="Priscila Falco"/>
    <s v="Operações de Rede e SI"/>
    <s v="Tópicos foram substituídos por outros, enviados pela Priscilla Falco"/>
    <x v="0"/>
  </r>
  <r>
    <s v="Access network O&amp;M​"/>
    <s v="Relatórios e acompanhamento do desempenho de rede (Performance Management)​"/>
    <s v="De acordo com as regras e parâmetros atuais, utilizando os recursos, sistemas, plataformas atuais, a Oi deverá:_x000a_- Prover relatórios e acompanhamento do desempenho de rede offline (Performance Management)."/>
    <s v="Depende da área Oi"/>
    <x v="19"/>
    <s v="Priscila Falco"/>
    <s v="Operações de Rede e SI"/>
    <s v="Tópicos foram substituídos por outros, enviados pela Priscilla Falco"/>
    <x v="0"/>
  </r>
  <r>
    <s v="Access network O&amp;M​"/>
    <s v="Relatórios e acompanhamento do desempenho de rede para Anatel - RQUAL​"/>
    <s v="De acordo com as regras e parâmetros atuais, utilizando os recursos, sistemas, plataformas atuais, a Oi deverá:_x000a_- Prover relatórios e acompanhamento do desempenho de rede offline para a Anatel (PMQ/RQUAL)."/>
    <s v="De acordo com as regras e parâmetros atuais, utilizando os recursos, sistemas, plataformas atuais, a Oi deverá:_x000a_- Prover relatórios e acompanhamento do desempenho de rede offline para a Anatel (RQUAL)."/>
    <x v="4"/>
    <s v=" Carlos Galvão/ Dennis"/>
    <s v="Operações de Rede e SI/ Regulatório"/>
    <s v="Tópico ajustado porque PMQ não faz parte do perímetro da ClientCo."/>
    <x v="1"/>
  </r>
  <r>
    <s v="Access network O&amp;M​"/>
    <s v="Noc - Supervisão de rede e Operação.​"/>
    <s v="De acordo com as regras e parâmetros atuais, utilizando os recursos, sistemas, plataformas atuais, a Oi deverá:_x000a_- Executar o monitoramento da rede 24x7 garantindo a disponibilidade dos serviços;_x000a_- Gerar reports diários relacionados aos incidentes e Bilhetes de defeitos que envolvam os sistemas ora em operação;_x000a_- Resolução dos problemas encontrados no monitoramento de forma remota e/ou com auxílio do time de FLM/N2/N3/Vendor;_x000a_- Garantir através do Contrato, headcounts (HCs) suficientes para o monitoramento e tratamento de incidentes de rede (primeiro combate) 24x7. Estes HCs devem ser alterados conforme ocorrerem as migrações de equipamentos de rede bem como clientes para a base das Compradoras._x000a_- Garantir escalonamentos de forma a cumprir com os SLAs acordados e garantir celeridade na solução de falhas._x000a_- Registar os incidentes de rede em ferramentas de workflow, de forma que seja possível acompanhar as ocorrências, a identificação e os tratamentos dos eventos de rede, bem como, ter base histórica para consulta futura."/>
    <s v="Depende da área Oi"/>
    <x v="19"/>
    <s v="Priscila Falco"/>
    <s v="Operações de Rede e SI"/>
    <s v="Tópicos foram substituídos por outros, enviados pela Priscilla Falco"/>
    <x v="0"/>
  </r>
  <r>
    <s v="Access network O&amp;M​"/>
    <s v="NOC - Disponibilidade da Rede"/>
    <s v="De acordo com as regras e parâmetros atuais, utilizando os recursos, sistemas, plataformas atuais, a Oi deverá:_x000a_- Através das atividades de monitoramento, gestão de incidentes, gestão de problemas, gestão de mudanças e gestão de continuidade, manter o nível de disponibilidade dos sistemas de rede dentro dos padrões de qualidade._x000a_- Gerar os reports executivos e operacionais semanais associados à disponibilidade/tempo de reparo dos incidentes e causa-raiz."/>
    <s v="Depende da área Oi"/>
    <x v="19"/>
    <s v="Priscila Falco"/>
    <s v="Operações de Rede e SI"/>
    <s v="Tópicos foram substituídos por outros, enviados pela Priscilla Falco"/>
    <x v="0"/>
  </r>
  <r>
    <s v="Access network O&amp;M​"/>
    <s v="NOC - Gestão de incidentes de Rede/Resolução de Reclamações de Clientes.​"/>
    <s v="De acordo com as regras e parâmetros atuais, utilizando os recursos, sistemas, plataformas atuais, a Oi deverá:_x000a_- Restaurar  o serviço  o mais rápido  possível  e  minimizar  o impacto  negativo sobre as  operações  de  negócios,  garantindo  os  níveis acordados de qualidade dos serviços._x000a_- Monitorar, identificar, registrar e comunicar incidentes._x000a_- Solucionar e fechar o incidente."/>
    <s v="Depende da área Oi"/>
    <x v="19"/>
    <s v="Priscila Falco"/>
    <s v="Operações de Rede e SI"/>
    <s v="Tópicos foram substituídos por outros, enviados pela Priscilla Falco"/>
    <x v="0"/>
  </r>
  <r>
    <s v="Access network O&amp;M​"/>
    <s v="Noc/O&amp;M Gerenciamento de mudanças na rede (GMUD´s)​"/>
    <s v="De acordo com as regras e parâmetros atuais, utilizando os recursos, sistemas, plataformas atuais, a Oi deverá:_x000a_- Executar atividades preventivas e corretivas, respeitando os acordos pré-definidos de Mudança, a ser alinhado entre as empresas._x000a_- Registrar, Agendar e Planejar Mudança_x000a_-  Validar Planejamento da Mudança_x000a_- Autorizar Implantação da Mudança_x000a_- Implantar Mudança_x000a_- Realizar Revisão Pós Mudança_x000a_- Gerenciar Mudança Emergencial"/>
    <s v="Depende da área Oi"/>
    <x v="19"/>
    <s v="Priscila Falco"/>
    <s v="Operações de Rede e SI"/>
    <s v="Tópicos foram substituídos por outros, enviados pela Priscilla Falco"/>
    <x v="0"/>
  </r>
  <r>
    <s v="Access network O&amp;M​"/>
    <s v="Manutenção de Campo N1 (Serviço+Materiais)​"/>
    <s v="De acordo com as regras e parâmetros atuais, utilizando os recursos, sistemas, plataformas atuais, a Oi deverá:_x000a_- Executar manutenção preventiva e corretiva de infraestrutura (Energia AC/DC e Climatização) e eletrônica de RF tanto no solo quanto na torre."/>
    <s v="Depende da área Oi"/>
    <x v="19"/>
    <s v="Priscila Falco"/>
    <s v="Operações de Rede e SI/ Energia"/>
    <s v="Tópicos foram substituídos por outros, enviados pela Priscilla Falco"/>
    <x v="0"/>
  </r>
  <r>
    <s v="Access network O&amp;M​"/>
    <s v="Gestão integral de sobressalentes (Serviço+Materiais)​"/>
    <s v="De acordo com as regras e parâmetros atuais, utilizando os recursos, sistemas, plataformas atuais, a Oi deverá:_x000a_- Gerir armazenagem, controle de estoque e aquisições, logística de transporte e reparo de hardware para os segmentos de Transmissão, RF e Infraestrutura."/>
    <s v="Depende da área Oi"/>
    <x v="21"/>
    <s v="Priscila Falco"/>
    <s v="Logística"/>
    <s v="Tópicos foram substituídos por outros, enviados pela Priscilla Falco"/>
    <x v="0"/>
  </r>
  <r>
    <s v="Access network O&amp;M​"/>
    <s v="Recuperação de  Furto e Vandalismo (Serviço+Materiais)​"/>
    <s v="- Operacionalizar a recomposição de itens furtados/vandalizados (cabos, gabinetes, hardware, etc.) garantindo a continuidade na prestação do serviço._x000a_-  Caso  não  exista  disponibilidade  de  sobressalentes  em  estoque,  custos  e  prazo  de  recomposição  devem  ser  acordados  com  as_x000a_Compradoras."/>
    <s v="Depende da área Oi"/>
    <x v="21"/>
    <s v="Priscila Falco"/>
    <s v="Logística"/>
    <s v="Tópicos foram substituídos por outros, enviados pela Priscilla Falco"/>
    <x v="0"/>
  </r>
  <r>
    <s v="Access network O&amp;M​"/>
    <s v="Suporte durante a migração​"/>
    <s v="-Equipe com profundo conhecimento técnico nos elementos de acesso móvel, que deve trabalhar de forma dedicada e exclusiva durante toda fase de migração, de acordo com as necessidades das Compradoras (incluindo FTEs do perímetro e aqueles fora do perímetro que sejam responsáveis pelo suporte a plataformas compartilhadas com demais empresas do Grupo Oi)."/>
    <s v="A Oi se disponibilizará junto aos compradores, na construção da estratatégia e suporte à migração da base de clientes."/>
    <x v="20"/>
    <s v="Bruno Diehl"/>
    <s v="Operações de Rede e SI// Infra e Operações de TI// Sistemas TI"/>
    <s v="Verificar impacto VTAL"/>
    <x v="1"/>
  </r>
  <r>
    <s v="Access network O&amp;M​"/>
    <s v="Operação e Manutenção​"/>
    <m/>
    <s v="A Oi manterá o processo de manutenção dos sistemas, tratamento de bugs, incidentes, garantindo o funcionamento dos produtos e serviços."/>
    <x v="20"/>
    <s v="Bruno Diehl"/>
    <m/>
    <s v="No Tsa da móvel só tinhamos a parte de operações de Redes, dupliquei para incluir a parte de TI."/>
    <x v="1"/>
  </r>
  <r>
    <s v="Access network O&amp;M​"/>
    <s v="Operação e Manutenção​"/>
    <s v="De acordo com as regras e parâmetros atuais, utilizando os recursos, sistemas, plataformas atuais, a Oi deverá:_x000a_- Operar e realizar manutenção corretiva para a Rede de Acesso Móvel em eventos especiais;_x000a_- Suportar, direcionar e orientar as equipes de manutenção de campo (FLM) nas situações de manutenção corretiva e preventiva;_x000a_-  Apoiar  as  equipes  de  Supervisão  de  Rede,  analisando  falhas  críticas  ou  complexas,  verificando  possíveis  correlações  com  outras ocorrências;_x000a_- Avaliar as topologias existentes, analisando possíveis melhorias com foco na melhoria da performance da Rede de Acesso Móvel;_x000a_- Mapear e identificar possíveis problemas de Rede que necessitem de ampliações de conexões, evitando limitações ou lentidão nos serviços prestados;_x000a_- Realizar serviço de Suporte N3 relacionado aos elementos da Rede de Acesso Móvel (ERB), BSC, RNC em âmbito Nacional em regime 24x7;_x000a_- Gerar reports diários relacionados aos problemas e indicadores de serviço que envolvam os elementos da Rede de Acesso Móvel;_x000a_- Garantir (através do Contrato) HC suficientes para a Operação e Manutenção da Rede de Acesso Móvel em regime 24x7. Estes HCs devem ser alterados conforme ocorrerem as migrações das ERB, bem como clientes para a base das Compradoras._x000a_- Analisar, controlar, liberar e negociar as atividades programadas (GMUD) nos elementos concentradores da Rede de Acesso Móvel, de acordo com as afetações envolvidas, junto às áreas fornecedoras (interna e externas);_x000a_- Acompanhar e validar a atualização de correção de produto (software) e aplicação de updates e correções nos elementos concentradores da Rede de Acesso Móvel;_x000a_- Gerenciar os contratos da área (suporte e recursos), bem como qualificar, mensurar e avaliar os serviços fornecidos;_x000a_- Acompanhar a validação em laboratório das soluções de falhas a serem implementadas nos elementos da Rede de Acesso Móvel em produção;_x000a_- Realizar a tratativas e gestão fim a fim para os eventos com impacto de serviço ao cliente, e também a cobrança de prazo as áreas responsáveis;_x000a_- Realizar anualmente testes de contingência, a fim de garantir a integridade da rede, e proteção de serviço;_x000a_- Garantir triagem e diagnóstico assertivo, buscar sempre que possível a solução remota, sempre realizar a retenção de eventos quando uma causa raiz já estiver em tratativas pelas equipes de campo; e_x000a_- Acompanhar os casos reincidentes, e garantir que sejam tratados com solução em definitivo na primeira tratativa."/>
    <s v="Depende da área Oi"/>
    <x v="19"/>
    <s v="Priscila Falco"/>
    <s v="Operações de Rede e SI// Infra e Operações de TI"/>
    <s v="Tópicos foram substituídos por outros, enviados pela Priscilla Falco"/>
    <x v="0"/>
  </r>
  <r>
    <s v="Application and data management​"/>
    <s v="Gestão da portabilidade (interna e externa) ​"/>
    <s v="De acordo com as regras e parâmetros atuais, utilizando os recursos, sistemas, plataformas atuais, a Oi deverá:_x000a_- Direcionar para as mesas de retenção;_x000a_- Executar todas as atividades para disponibilizar e efetivar os port ins e port outs; e_x000a_- Resolver os problemas encontrados durante o processamento."/>
    <s v="De acordo com as regras e parâmetros atuais, utilizando os recursos, sistemas, plataformas atuais, a Oi deverá:_x000a_- Direcionar para as mesas de retenção;_x000a_- Executar todas as atividades para disponibilizar e efetivar os port ins e port outs; e_x000a_- Resolver os problemas encontrados durante o processamento."/>
    <x v="20"/>
    <s v="Bruno Diehl"/>
    <s v="Infra e Operações de TI"/>
    <m/>
    <x v="1"/>
  </r>
  <r>
    <s v="Application and data management​"/>
    <s v="Disponibilidade de sistemas​"/>
    <s v="De acordo com as regras e parâmetros atuais, utilizando os recursos, sistemas, plataformas atuais, a Oi deverá:_x000a_- Através das atividades de monitoramento, gestão de incidentes, gestão de problemas, gestão de mudanças, gestão de capacidade, gestão de vulnerabilidades e gestão de continuidade, manter o nível de disponibilidade dos sistemas de TI na taxa de sucesso definida; e_x000a_- Gerar os reports executivos e operacionais associados"/>
    <s v="EXCLUIR ESTE ITEM"/>
    <x v="20"/>
    <s v="Bruno Diehl"/>
    <s v="Infra e Operações de TI"/>
    <s v="[Bruno Diehl] - Tema excluído porque está contemplado no tópico &quot;Gestão de Problemas&quot;."/>
    <x v="0"/>
  </r>
  <r>
    <s v="Application and data management​"/>
    <s v="Gestão de incidentes​"/>
    <s v="De acordo com as regras e parâmetros atuais, utilizando os recursos, sistemas, plataformas atuais, a Oi deverá:_x000a_- Restaurar  o serviço  o mais rápido  possível  e  minimizar  o impacto  negativo sobre as  operações  de  negócios,  garantindo  os  níveis acordados de qualidade dos serviços._x000a_- Monitorar, identificar, registrar e comunicar incidentes._x000a_- Solucionar e fechar o incidente"/>
    <s v="De acordo com as regras e parâmetros atuais, utilizando os recursos, sistemas, plataformas atuais, a Oi deverá:_x000a_- Restaurar  o serviço  o mais rápido  possível  e  minimizar  o impacto  negativo sobre as  operações  de  negócios,  garantindo  os  níveis acordados de qualidade dos serviços._x000a_- Monitorar, identificar, registrar e comunicar incidentes._x000a_- Solucionar e fechar o incidente"/>
    <x v="20"/>
    <s v="Bruno Diehl"/>
    <s v="Infra e Operações de TI"/>
    <m/>
    <x v="1"/>
  </r>
  <r>
    <s v="Application and data management​"/>
    <s v="Gestão de problemas​"/>
    <s v="De acordo com as regras e parâmetros atuais, utilizando os recursos, sistemas, plataformas atuais, a Oi deverá:_x000a_- Acompanhar o ciclo de vida de todos os problemas:_x000a_- Investigação e diagnóstico da causa raiz do problema:_x000a_- Resposta a demanda dos problemas_x000a_- Execução de análise N1_x000a_- Direcionamento do problema para níveis mais detalhados de análise (N2 e N3)."/>
    <s v="De acordo com as regras e parâmetros atuais, utilizando os recursos, sistemas, plataformas atuais, a Oi deverá:_x000a_- Acompanhar o ciclo de vida de todos os problemas:_x000a_- Investigação e diagnóstico da causa raiz do problema:_x000a_- Resposta a demanda dos problemas_x000a_- Execução de análise N1_x000a_- Direcionamento do problema para níveis mais detalhados de análise (N2 e N3)."/>
    <x v="20"/>
    <s v="Bruno Diehl"/>
    <s v="Infra e Operações de TI"/>
    <m/>
    <x v="1"/>
  </r>
  <r>
    <s v="Application and data management​"/>
    <s v="Gerenciamento de mudanças (GMUD´s) ​"/>
    <s v="De acordo com as regras e parâmetros atuais, utilizando os recursos, sistemas, plataformas atuais, a Oi deverá:_x000a_- Executar as mudanças em ambiente produtivo com o mínimo de riscos e interrupção para os serviços de TI._x000a_- Registrar, Agendar e Planejar Mudança._x000a_- Validar Planejamento da Mudança._x000a_- Autorizar Implantação da Mudança_x000a_- Implantar Mudança_x000a_- Realizar Revisão Pós Mudança_x000a_- Gerenciar Mudança Emergencial_x000a_- Gerenciar Mudança Padrão"/>
    <s v="De acordo com as regras e parâmetros atuais, utilizando os recursos, sistemas, plataformas atuais, a Oi deverá:_x000a_- Executar as mudanças em ambiente produtivo com o mínimo de riscos e interrupção para os serviços de TI._x000a_- Registrar, Agendar e Planejar Mudança._x000a_- Validar Planejamento da Mudança._x000a_- Autorizar Implantação da Mudança_x000a_- Implantar Mudança_x000a_- Realizar Revisão Pós Mudança_x000a_- Gerenciar Mudança Emergencial_x000a_- Gerenciar Mudança Padrão"/>
    <x v="20"/>
    <s v="Bruno Diehl"/>
    <s v="Infra e Operações de TI"/>
    <m/>
    <x v="1"/>
  </r>
  <r>
    <s v="Application and data management​"/>
    <s v="Gestão de capacidade e ativos​"/>
    <s v="De acordo com as regras e parâmetros atuais, utilizando os recursos, sistemas, plataformas atuais, a Oi deverá:_x000a_- Executar ajustes de hardware e reposições necessárias (manutenção pró-ativa e reativa) para se manter os níveis de disponibilidade e desempenho acordados._x000a_- Gerir contratos e licenciamentos existentes no parque de TI_x000a_- Compliance de ativos"/>
    <s v="De acordo com as regras e parâmetros atuais, utilizando os recursos, sistemas, plataformas atuais, a Oi deverá:_x000a_- Executar ajustes de hardware e reposições necessárias (manutenção pró-ativa e reativa) para se manter os níveis de disponibilidade e desempenho acordados._x000a_- Gerir contratos e licenciamentos existentes no parque de TI_x000a_- Compliance de ativos"/>
    <x v="20"/>
    <s v="Bruno Diehl"/>
    <s v="Infra e Operações de TI"/>
    <m/>
    <x v="1"/>
  </r>
  <r>
    <s v="Application and data management​"/>
    <s v="Gestão de vulnerabilidades (e aplicação de patches) ​"/>
    <s v="De acordo com as regras e parâmetros atuais, utilizando os recursos, sistemas, plataformas atuais, a Oi deverá:_x000a_- Gerir as vulnerabilidades decorrentes da obsolescência de versões de aplicações (SO, BD e MW) e aplicar os patches para tratar as vulnerabilidades nos servidores corporativos."/>
    <s v="De acordo com as regras e parâmetros atuais, utilizando os recursos, sistemas, plataformas atuais, a Oi deverá:_x000a_- Gerir as vulnerabilidades decorrentes da obsolescência de versões de aplicações"/>
    <x v="20"/>
    <s v="Bruno Diehl"/>
    <s v="Infra e Operações de TI"/>
    <m/>
    <x v="1"/>
  </r>
  <r>
    <s v="Application and data management​"/>
    <s v="Gestão de contingência e disponibilidade dos serviços ​"/>
    <s v="De acordo com as regras e parâmetros atuais, utilizando os recursos, sistemas, plataformas atuais, a Oi deverá:_x000a_- Gerir e validar os procedimentos de recuperação e contorno de indisponibilidades dos sistemas que suportam os processos de negócio."/>
    <s v="De acordo com as regras e parâmetros atuais, utilizando os recursos, sistemas, plataformas atuais, a Oi deverá:_x000a_- Gerir e validar os procedimentos de recuperação e contorno de indisponibilidades dos sistemas que suportam os processos de negócio."/>
    <x v="20"/>
    <s v="Bruno Diehl"/>
    <s v="Infra e Operações de TI"/>
    <m/>
    <x v="1"/>
  </r>
  <r>
    <s v="Application and data management​"/>
    <s v="Fornecimento de áudio dos atendimentos realizados através do call center ​"/>
    <s v="De acordo com as regras e parâmetros atuais, utilizando os recursos, sistemas, plataformas atuais, a Oi deverá:_x000a_- Armazenar e gerir os áudios gravados nos atendimentos realizados pelo call center da Oi, até que os clientes sejam migrados e passem a ser atendidos nos sistemas da operadora de destino; e_x000a_- Caso seja necessário recuperar uma dessas gravações (áudios), as mesmas serão requisitadas para Oi que deverá disponibilizá-las de_x000a_acordo com um formato de solicitação (ex: abertura de ticket) e SLA pré-acordados entre as partes."/>
    <s v="De acordo com as regras e parâmetros atuais, utilizando os recursos, sistemas, plataformas atuais, a Oi deverá:_x000a_- Armazenar e gerir os áudios gravados nos atendimentos realizados pelo call center da Oi, até que os clientes sejam migrados e passem a ser atendidos nos sistemas da operadora de destino; e_x000a_- Caso seja necessário recuperar uma dessas gravações (áudios), as mesmas serão requisitadas para Oi que deverá disponibilizá-las de_x000a_acordo com um formato de solicitação (ex: abertura de ticket) e SLA pré-acordados entre as partes."/>
    <x v="13"/>
    <s v=" Giane Carla"/>
    <s v="Infra e Operações de TI// Ouvidoria/ Anatel"/>
    <s v="O tópico engloba o Atendimento e a Ouvidoria."/>
    <x v="0"/>
  </r>
  <r>
    <s v="Application and data management​"/>
    <s v="Consulta à dados históricos de clientes migrados ​"/>
    <s v="No processo de migração dos clientes, os dados serão migrados conforme tabela abaixo:_x000a_ &gt;&gt;&gt; Foto incluída na coluna N) &lt;&lt;&lt;_x000a__x000a_Comentários realizados na época do TSA para o tópico:_x000a_Os dados mencionados na coluna “Dados não migrados para Vivo e TIM e Claro” não serão migrados e devem ser mantidos pela Oi de acordo com  o período regulatório de cada tipo de dado. Caso seja necessário à consulta e/ou recuperação desse dado por parte das Compradoras, os mesmos serão requisitados para Oi que deverá disponibilizá-los de acordo com um formato de solicitação (ex: abertura de ticket), formato de entrega (ex: export em arquivo CSV) e SLA pré-acordados entre as partes._x000a_No  caso  específico  da  Claro,  entende-se  essa  migração  acima  como  uma  fase  1  na  migração  de  dados  dos  clientes,  existindo posteriormente uma fase 2 , num período a ser confirmado e combinado, na qual a totalidade dos históricos dos clientes (“porção Claro”) seriam migrados para a Claro. Dessa forma, a Claro ficará com todas as informações em compliance com as regulamentações."/>
    <s v="A Oi disponibilizará as bases históricas quando houverem migrações de clientes para compradoras."/>
    <x v="20"/>
    <s v="Bruno Diehl"/>
    <s v="Infra e Operações de TI/ Sistemas TI"/>
    <m/>
    <x v="1"/>
  </r>
  <r>
    <s v="Application and data management​"/>
    <s v="Disaster recovery ​"/>
    <s v="De acordo com as regras e parâmetros atuais, utilizando os recursos, sistemas, plataformas atuais, a Oi deverá:_x000a_- Gerir e validar os procedimentos de recuperação de desastres dos sistemas que suportam os processos de negócio_x000a_- Manter o Disaster Recovery_x000a_- Testar o Disaster Recovery"/>
    <s v="EXCLUIR ESTE ITEM"/>
    <x v="20"/>
    <s v="Bruno Diehl"/>
    <s v="Infra e Operações de TI"/>
    <s v="[Bruno Diehl] - Tema excluído porque está contemplado no tópico &quot;Gestão de Problemas&quot;."/>
    <x v="0"/>
  </r>
  <r>
    <s v="Application and data management​"/>
    <s v="Janelas de migração ​"/>
    <s v="De acordo com as regras e parâmetros atuais, utilizando os recursos, sistemas, plataformas atuais, a Oi deverá:_x000a_- Executar as janelas de migração a serem acordadas conforme definições / plano a ser elaborado em conjunto (por CN, UF, Range de IMSI, Plano, Segmento, etc.)."/>
    <s v="De acordo com as regras e parâmetros atuais, utilizando os recursos, sistemas, plataformas atuais, a Oi deverá:_x000a_- Executar as janelas de migração a serem acordadas conforme definições / plano a ser elaborado em conjunto"/>
    <x v="20"/>
    <s v="Bruno Diehl"/>
    <s v="Infra e Operações de TI/ Sistemas TI"/>
    <m/>
    <x v="1"/>
  </r>
  <r>
    <s v="Application and data management​"/>
    <s v="Interceptação judicial ​/ Quebra de Sigilo"/>
    <s v="De acordo com as regras e parâmetros atuais, utilizando os recursos, sistemas, plataformas atuais, a Oi deverá:_x000a_- Executar a interceptação dos clientes (pela justiça) em sua rede provindos das Compradoras."/>
    <s v="De acordo com as regras e parâmetros atuais, utilizando os recursos, sistemas, plataformas atuais, a Oi deverá:_x000a_- Executar a interceptação de voz e dados, exclusivamente de ordens determinadas pela justiça, recebidas diretamente ou encaminhadas pelas compradoras._x000a_- Fornecer, exclusivamente à justiça e autoridades por ela determinadas, o extrato de chamadas originas e recebidas solicitadas nas ordens judiciais._x000a_- Fornecer a justiça e demais autoridades competentes, os registros de conexões de acesso à internet e dados cadastrais._x000a_"/>
    <x v="18"/>
    <s v=" Walbert"/>
    <s v="Patrimônio"/>
    <m/>
    <x v="1"/>
  </r>
  <r>
    <s v="Application and data management​"/>
    <s v="Atendimento​"/>
    <s v="De acordo com as regras e parâmetros atuais, utilizando os recursos, sistemas, plataformas atuais, a Oi deverá:_x000a_- Realizar atendimento aos clientes durante o processo de migração bem como garantir o funcionamento de gestão das ofertas."/>
    <s v="De acordo com as regras e parâmetros atuais, utilizando os recursos, sistemas, plataformas atuais, a Oi deverá:_x000a_- Realizar atendimento aos clientes durante o processo de migração de acordo com o escopo de cada canal (Atedimento call center, canais digitais e URA)"/>
    <x v="13"/>
    <s v=" Giane Carla"/>
    <s v="Sistemas TI// Infra e Operações de TI// Atendimento"/>
    <s v="O tópico engloba o Atendimento e a Ouvidoria."/>
    <x v="0"/>
  </r>
  <r>
    <s v="Application and data management​"/>
    <s v="Contestação de faturas​"/>
    <s v="De acordo com as regras e parâmetros atuais, utilizando os recursos, sistemas, plataformas atuais, a Oi deverá:_x000a_- Realizar as contestações de contas retroativas a data de migração do cliente para as Compradoras."/>
    <s v="De acordo com as regras e parâmetros atuais, utilizando os recursos, sistemas, plataformas atuais, a Oi deverá:_x000a_- Realizar as contestações de contas retroativas a data de migração do cliente para as Compradoras."/>
    <x v="13"/>
    <s v=" Giane Carla"/>
    <s v="Sistemas TI// Infra e Operações de TI// Atendimento// Faturamento"/>
    <s v="O tópico engloba o Atendimento e a Ouvidoria."/>
    <x v="0"/>
  </r>
  <r>
    <s v="Bill-to-cash​"/>
    <s v="Gestão dos print centers​"/>
    <s v="- Manter e divulgar para as Compradoras os indicadores e SLAs de gestão das print centers._x000a_- A Oi irá divulgar os indicadores e SLAs, mantendo os sistemas, regras e processos atuais, até a migração total desses clientes, nos formatos e layout atuais (online e customizadas) para clientes varejo, empresarial e corporativos."/>
    <s v="- Manter e divulgar para as Compradoras os indicadores e SLAs de gestão das print centers, alinhados como KPIs _x000a_- A Oi irá divulgar os indicadores e SLAs, mantendo os sistemas, regras e processos atuais, até a migração total desses clientes, nos formatos e layout atuais (online e customizadas) para clientes varejo e empresarial"/>
    <x v="6"/>
    <s v=" Monica"/>
    <s v="Faturamento"/>
    <s v="Levar para Bill to cash? Faturamento vai avaliar."/>
    <x v="1"/>
  </r>
  <r>
    <s v="Application and data management​"/>
    <s v="Gestão dos serviços do Contrato​"/>
    <m/>
    <s v="De acordo com as regras e parâmetros atuais, utilizando os recursos, sistemas, plataformas atuais, a Oi deverá:_x000a_- Manter e divulgar os kpis de gestão atualmente utilizados dentro dos prazos atualmente utilizados."/>
    <x v="20"/>
    <s v="Bruno Diehl"/>
    <m/>
    <m/>
    <x v="1"/>
  </r>
  <r>
    <s v="Application and data management​"/>
    <s v="Gestão dos serviços do Contrato​"/>
    <s v="De acordo com as regras e parâmetros atuais, utilizando os recursos, sistemas, plataformas atuais, a Oi deverá:_x000a_- Manter e divulgar os kpis de gestão atualmente utilizados dentro dos prazos atualmente utilizados."/>
    <s v="De acordo com as regras e parâmetros atuais, utilizando os recursos, sistemas, plataformas atuais, a Oi deverá:_x000a_- Manter e divulgar os kpis de gestão atualmente utilizados dentro dos prazos atualmente utilizados._x000a_- Manter em execução procedimentos recorrentes de carga e processamento de informações do negócio_x000a_- Manter em execução procedimentos de gestão de campanhas e geração de mailings de aquisição, retenção, rentabilização e relacionamento"/>
    <x v="1"/>
    <s v=" Bruno Palombo"/>
    <s v="Infra e Operações de TI// Operações de Rede e SI//  Data Analytics// Governança"/>
    <s v="Bruno Palombo: refinamento de escopo detalhamento manutenção de processos de Data Analytics associados à ClientCO além da gestão de KPIs"/>
    <x v="1"/>
  </r>
  <r>
    <s v="Application and data management​"/>
    <s v="Tratamento de inadimplência anterior à migração ​"/>
    <s v="De acordo com as regras e parâmetros atuais, utilizando os recursos, sistemas, plataformas atuais, a Oi deverá:_x000a_- Tratar nos sistemas Oi o processo de inadimplência dos clientes anteriores a migração para as Compradoras."/>
    <s v="De acordo com as regras e parâmetros atuais, utilizando os recursos, sistemas, plataformas atuais, a Oi deverá:_x000a_- Tratar nos sistemas Oi o processo de inadimplência dos clientes anteriores a migração para as Compradoras."/>
    <x v="9"/>
    <s v=" Daniel Cattete"/>
    <s v="Contas a receber/ Cobrança"/>
    <s v="Atendimento: Direcionar o item para Contas a Receber/Cobrança. Não tem ação de atendimento, no entanto a ação de  efetuar parcelamento está contida no item regua de cobrança"/>
    <x v="1"/>
  </r>
  <r>
    <s v="Application and data management​"/>
    <s v="Extração base histórica"/>
    <s v="De acordo com as regras e parâmetros atuais, utilizando os recursos, sistemas, plataformas atuais, a Oi deverá:_x000a_- Realizar a extração e disponibilizar as bases históricas Fiscal/Tributária, Jurídica, Dados de Clientes, Detraf (Fiscal), Detraf Bilhetes, Quebra   de   Sigilo,   Faturas,   Histórico   Anatel/Procon/JEC,   Estoque/CD,   Áudios/gravação   de   ligações   atendimento,   Protocolos_x000a_atendimento/ ouvidoria/Anatel, dentre outras necessárias que venham ser identificadas conforme período mínimo definido por Lei."/>
    <s v="EXCLUIR ESTE ITEM"/>
    <x v="20"/>
    <s v="Bruno Diehl"/>
    <s v="Sistemas TI// Diversos"/>
    <s v="[Bruno Diehl] - Itém excluído porque está contido dentro do tópico &quot;Dados históricos anteriores à migração (chamados de clientes que demandem informações históricas)​&quot;."/>
    <x v="0"/>
  </r>
  <r>
    <s v="Application and data management​"/>
    <s v="Disponibilidade de sistemas​"/>
    <s v="De acordo com as regras e parâmetros atuais, utilizando os recursos, sistemas, plataformas atuais, a Oi deverá:_x000a_- Garantir a manutenção da disponibilidade sistêmica do parque de TI com os mesmos patamares dos últimos 24 meses da Oi incluindo monitoramento, acompanhamento e resolução de incidentes de produção, obsolescências, gestão de ativos e manutenção dos data centers."/>
    <s v="De acordo com as regras e parâmetros atuais, utilizando os recursos, sistemas, plataformas atuais, a Oi deverá:_x000a_- Garantir a manutenção da disponibilidade sistêmica do parque de TI com os mesmos patamares dos últimos 24 meses da Oi incluindo monitoramento, acompanhamento e resolução de incidentes de produção, obsolescências, gestão de ativos e manutenção dos data centers."/>
    <x v="20"/>
    <s v="Bruno Diehl"/>
    <s v="Infra e Operações de TI"/>
    <m/>
    <x v="1"/>
  </r>
  <r>
    <s v="Application and data management​"/>
    <s v="Demandas regulatórias​"/>
    <s v="De acordo com as regras e parâmetros atuais, utilizando os recursos, sistemas, plataformas atuais, a Oi deverá:_x000a_- Realizar ajustes sistêmicos para demandas regulatórias (tributárias, fiscais e legais), de acordo com as necessidades das Compradoras."/>
    <s v="De acordo com as regras e parâmetros atuais, utilizando os recursos, sistemas, plataformas atuais, a Oi deverá:_x000a_- Realizar ajustes sistêmicos para demandas regulatórias (tributárias, fiscais e legais), de acordo com as necessidades das Compradoras."/>
    <x v="4"/>
    <s v=" Carlos Galvão/ Dennis"/>
    <s v="Regulatório"/>
    <m/>
    <x v="0"/>
  </r>
  <r>
    <s v="Application and data management​"/>
    <s v="Demandas internas ​"/>
    <s v="De acordo com as regras e parâmetros atuais, utilizando os recursos, sistemas, plataformas atuais, a Oi deverá:_x000a_- Disponibilizar tudo aquilo necessário para endereçar demandas de serviços de outras áreas como Marketing, Vendas, Atendimento, etc."/>
    <s v="De acordo com as regras e parâmetros atuais, utilizando os recursos, sistemas, plataformas atuais, a Oi deverá:_x000a_- Disponibilizar tudo aquilo necessário para endereçar demandas de serviços de outras áreas como Marketing, Vendas, Atendimento, etc."/>
    <x v="20"/>
    <s v="Bruno Diehl"/>
    <s v="Governança// Sistemas TI"/>
    <m/>
    <x v="1"/>
  </r>
  <r>
    <s v="Application and data management​"/>
    <s v="Dados históricos anteriores à migração (informações necessárias para tratar eventuais ações e processos judiciais e administrativos PROCON e CONSUMIDOR.GOV.BR)​"/>
    <s v="De acordo com as regras e parâmetros atuais, utilizando os recursos, sistemas, plataformas atuais, a Oi deverá:_x000a_- Tratar em seus sistemas, ou disponibilizar as informações necessárias para tratar eventuais ações e processos judiciais de clientes com datas anteriores à migração massiva ou voluntária realizada para as bases das Compradoras."/>
    <s v="De acordo com as regras e parâmetros atuais, utilizando os recursos, sistemas, plataformas atuais, a Oi deverá:_x000a_- Tratar em seus sistemas legados, cumprir determinações judiciais consumeristas, ou disponibilizar as informações necessárias para tratar eventuais ações e processos judiciais ou administrativos, de clientes com datas anteriores à migração massiva ou voluntária realizada para as bases da Compradora."/>
    <x v="12"/>
    <s v="Anderson Nilson"/>
    <s v="Jurídico Consumidor/ Jurídico Cível Estratégico"/>
    <s v="Texto foi validado pelo time Jurídico consumidor._x000a_TI contempla o tema dentro do tema &quot;Dados históricos anteriores à migração (chamados de clientes que demandem informações históricas)​&quot;._x000a_Obs.: Retiramos a palavra &quot;Fiscal&quot; do tópico."/>
    <x v="1"/>
  </r>
  <r>
    <s v="Application and data management​"/>
    <s v="Dados históricos anteriores à migração (chamados de clientes que demandem informações históricas)​"/>
    <s v="- Implementar mecânica para viabilizar o tratamento de chamados de clientes que demandem informações históricas anteriores aos dados_x000a_migrados massivamente para as bases das Compradoras."/>
    <s v="- Implementar mecânica para viabilizar o tratamento de chamados de clientes que demandem informações históricas anteriores aos dados_x000a_migrados massivamente para as bases das Compradoras."/>
    <x v="20"/>
    <s v="Bruno Diehl"/>
    <s v="Jurídico  C Estrategico/ Juliana Bitencourt"/>
    <s v="Governança vai ver com TI (Patricia Almeida e Vivian)"/>
    <x v="1"/>
  </r>
  <r>
    <s v="Application and data management​"/>
    <s v="Tratamento de bilhetes​"/>
    <s v="- Oi deverá tratar os bilhetes, mantendo os sistemas, regras e processos atuais, até a migração total desses clientes, nos formatos e layout atuais (online e customizadas) para clientes varejo, empresarial e corporativos."/>
    <s v="EXCLUIR ESTE ITEM"/>
    <x v="20"/>
    <s v="Bruno Diehl"/>
    <s v="Infra e Operações de TI/ Tarifação e repasse"/>
    <s v="[Bruno Diehl] - O tópico foi excluído porque o tema está contemplado em outros tópicos: Gestão de Problemas, Gerenciamento de mudanças (GMUD´s) e Gestão de Capacidade e ativos"/>
    <x v="0"/>
  </r>
  <r>
    <s v="Application and data management​"/>
    <s v="Cobilling​"/>
    <s v="- Oi deverá executar o Cobilling do CSP 31/14 para o(s) CSP(s) das Compradoras, mantendo os sistemas, regras e processos atuais, até_x000a_a migração total desses clientes, nos formatos e layout atuais (online e customizadas) para clientes varejo, empresarial e corporativos."/>
    <s v="- Executar o faturamento do CSP 31 e 14 até a migração do terminal para compradora, mantendo os sistemas, regras e processos atuais."/>
    <x v="7"/>
    <s v=" Marcus Vinícius"/>
    <s v="Tarifação e repasse"/>
    <m/>
    <x v="1"/>
  </r>
  <r>
    <s v="Application and data management​"/>
    <s v="URA​"/>
    <s v="- OI deverá criar uma lógica de “whitelist” para controlar os clientes já migrados para as Compradoras. Essa whitelist será populada de forma incremental, de acordo com a efetivação das rodadas de migração._x000a_- Caso um cliente já migrado para as Compradoras ligue nos números de atendimento da Oi, fará a vocalização de mensagem informativa_x000a_que o número para o canal de atendimento mudou (definido pelo consórcio) e encerrará a ligação."/>
    <s v="- OI deverá criar uma lógica de “whitelist” para controlar os clientes já migrados para as Compradoras. Essa whitelist será populada de forma incremental, de acordo com a efetivação das rodadas de migração._x000a_- Caso um cliente já migrado para as Compradoras ligue nos números de atendimento da Oi, fará a vocalização de mensagem informativa_x000a_que o número para o canal de atendimento mudou (definido pelo consórcio) e encerrará a ligação."/>
    <x v="15"/>
    <s v=" Katia Rolim"/>
    <s v="URA / Atendimento"/>
    <m/>
    <x v="0"/>
  </r>
  <r>
    <s v="Application and data management​"/>
    <m/>
    <s v="De acordo com as regras e parâmetros atuais, utilizando os recursos, sistemas, plataformas atuais, a Oi deverá:_x000a_- Manter  o  acesso  e  sistemas  que  permitam  funcionamento  da  solução  para  aprovisionamento  remoto  dos  elementos  envolvidos  na migração de usuários da Oi para as Compradoras."/>
    <s v="EXCLUIR ESTE ITEM"/>
    <x v="20"/>
    <s v="Bruno Diehl"/>
    <s v="Sistemas TI"/>
    <s v="[Bruno Diehl] - Tema excluído porque está contemplado no tópico &quot;Gestão de incidentes&quot;."/>
    <x v="0"/>
  </r>
  <r>
    <s v="Bill-to-cash​"/>
    <s v="Controles SOX​"/>
    <s v="- Manutenção dos controles SOX, entregues para as Auditorias (relativos a toda cadeia Financeira)._x000a_-  Coleta  e  armazenamento  de  evidências  solicitadas  pelas  Auditorias  de  acordo  com  os  processos  SOX  vigentes  na  Oi,  dentro  do estabelecido na matriz sox do grupo Oi."/>
    <s v="EXCLUIR ESTE ITEM"/>
    <x v="22"/>
    <s v="Kamila de Vasconcelos"/>
    <s v="Riscos/ Controles"/>
    <s v="Motivo da exclusão (Thiago Frambach/ Kamilla): não temos mais essa classificação de SOX. Como não conseguimos essa segregação, nós entendemos que mesmo que comprador da ClientCo pagasse nós não conseguiríamos realizar os testes._x000a_"/>
    <x v="0"/>
  </r>
  <r>
    <s v="Bill-to-cash​"/>
    <s v="Faturamento manual​"/>
    <s v="- Manter os processos atuais de emissão de NF manual, boleto e contabilização da receita."/>
    <s v="EXCLUIR ESTE ITEM"/>
    <x v="6"/>
    <s v=" Monica"/>
    <s v="NA"/>
    <s v="Durante a reunião, o time sinalizou que devemos excluir o item porque o mesmo não faz parte do perímetro da ClientCo ou é exclusivo do Corporativo."/>
    <x v="0"/>
  </r>
  <r>
    <s v="Bill-to-cash​"/>
    <s v="Emissão de termo de confissão de dívida para clientes B2B ​"/>
    <s v="- Emissão de termo de confissão de dívida para parcelamento realizado pelo cliente conforme as regras atuais da Oi."/>
    <s v="EXCLUIR ESTE ITEM"/>
    <x v="6"/>
    <s v=" Monica"/>
    <s v="NA"/>
    <s v="Durante a reunião, o time sinalizou que devemos excluir o item porque o mesmo não faz parte do perímetro da ClientCo ou é exclusivo do Corporativo."/>
    <x v="0"/>
  </r>
  <r>
    <s v="Customer care​"/>
    <s v="Emissão de Extrato de Serviços Pré-Pago ​"/>
    <s v="- Atendimento aos pedidos de Emissão de Extrato de Serviços Pré-Pago através dos canais da Oi que realizam esse serviço atualmente (Lojas  Próprias  -  discricionário  à  Oi  decidir  quais  lojas  irá  manter,  ou  com  os  custos  pagos  pelas  Compradoras.  Um  eventual decomissionamento  de  loja  própria  deve  antes  ser  submetido  antes  às  Compradoras  que,  caso  queiram  mantê-la,  assumirão  a responsabilidade pelo seu custo; Franquias Oi Atende, Ecommerce, App e Atendimento)._x000a_- Garantir por contrato que os canais atuais sejam mantidos durante o período de transição._x000a_- Devem ser definidos por contrato os níveis de serviço atuais (Manutenção dos SLA vigentes)._x000a_- Devem ser validadas com o atendimento as regras e SLAs dos contratos em lojas e call centers bem como o modelo de controle dos mesmos."/>
    <s v="EXCLUIR ESTE ITEM"/>
    <x v="6"/>
    <s v=" Monica"/>
    <s v="N/A"/>
    <s v="Durante a reunião, o time sinalizou que devemos excluir o item porque o mesmo não faz parte do perímetro da ClientCo."/>
    <x v="0"/>
  </r>
  <r>
    <s v="Application and data management​"/>
    <s v="Gestão de roaming interno externo ​"/>
    <s v="De acordo com as regras e parâmetros atuais, utilizando os recursos, sistemas, plataformas atuais, a Oi deverá:_x000a_- Executar todas as atividades para tratamento e execução dos acordos de roaming existentes (nacional e internacional);_x000a_- Manter a disponibilidade dos sistemas que suportam as atividades de roaming; e_x000a_- Resolver os problemas encontrados durante o processamento."/>
    <s v="EXCLUIR ESTE ITEM"/>
    <x v="7"/>
    <s v=" Marcus Vinícius"/>
    <s v="N/A"/>
    <s v="Motivo da exclusão (Marcus Vinicius): o tópico não faz parte do perímetro da ClientCo."/>
    <x v="0"/>
  </r>
  <r>
    <s v="Application and data management​"/>
    <s v="Convênios fiscais​"/>
    <s v="De acordo com as regras e parâmetros atuais, utilizando os recursos, sistemas, plataformas atuais, a Oi deverá:_x000a_- Gerar e entregar os arquivos de convênios fiscais para o Fisco com base nos dados no novo CNPJ"/>
    <s v="EXCLUIR ESTE ITEM"/>
    <x v="10"/>
    <s v=" Erika Braga"/>
    <s v="Tributos diretos/ Tributos indiretos/ Fiscal"/>
    <s v="Motivo da exclusão (Erika Braga): tema incluído no tópico &quot;Execução da cadeia Fiscal&quot;."/>
    <x v="0"/>
  </r>
  <r>
    <s v="Application and data management​"/>
    <m/>
    <s v="De acordo com as regras e parâmetros atuais, utilizando os recursos, sistemas, plataformas atuais, a Oi deverá:_x000a_- Disponibilizar tudo aquilo necessário para que as Compradoras possam remotamente ter acesso a todos os indicadores e sistemas da Oi."/>
    <s v="EXCLUIR ESTE ITEM"/>
    <x v="1"/>
    <s v=" Bruno Palombo"/>
    <s v="DA"/>
    <s v="Motivo da Exclusão (Bruno Palombo): sem tópico e não faz parte do perímetro."/>
    <x v="0"/>
  </r>
  <r>
    <s v="Bill-to-cash​"/>
    <s v="Emissão de boletos e segunda vias nas negociações de clientes B2B​"/>
    <s v="- Viabilizar meios de pagamento para as negociações com os clientes, podendo ser via emissão de boletos consolidados, segundas vias ou depósito bancário._x000a_Obs.: Esses meios de pagamento representam um consolidado da negociação para que o cliente não precise pagar diversas faturas."/>
    <s v="EXCLUIR ESTE ITEM"/>
    <x v="9"/>
    <s v=" Daniel Cattete"/>
    <s v="Faturamento"/>
    <s v="Motivo da exclusão (Altevo): durante a reunião, o time sinalizou que devemos excluir o item porque o mesmo não faz parte do perímetro da ClientCo ou é exclusivo do Corporativo."/>
    <x v="0"/>
  </r>
  <r>
    <s v="Bill-to-cash​"/>
    <s v="Operação de cobrança especializada em clientes grandes empresas, governo e atacado ​"/>
    <s v="- Negociação da inadimplência de grandes clientes, incluindo baixas de pagamentos por depósito, negociações, reuniões presenciais no cliente, parcelamentos, etc._x000a_- Elaboração de projeções de recuperação, anuais e mensais, follow-up mensal de status de clientes prioritários, contato com gerentes,_x000a_diretores e/ou presidentes para negociação."/>
    <s v="EXCLUIR ESTE ITEM"/>
    <x v="9"/>
    <s v=" Daniel Cattete"/>
    <s v="Atendimento"/>
    <s v="Motivo da exclusão (Altevo): durante a reunião, o time sinalizou que devemos excluir o item porque o mesmo não faz parte do perímetro da ClientCo ou é exclusivo do Corporativo."/>
    <x v="0"/>
  </r>
  <r>
    <s v="Core network O&amp;M​"/>
    <s v="LOGISTICA OPERACOES"/>
    <s v="Novo tópico"/>
    <s v="• Planejamento de compras de ONTs_x000a_• Planejamento de abastecimento de ONTs de todas as Ufs_x000a_• Planejamento de transporte de materiais_x000a_•  Reversa de ONTs oriundos de churn e reparo_x000a_•  Recondicionamento de ONTs_x000a_• Operação de FTTR e Mesh"/>
    <x v="19"/>
    <s v="Priscila Falco"/>
    <m/>
    <m/>
    <x v="1"/>
  </r>
  <r>
    <s v="Core network O&amp;M​"/>
    <s v="DESEMPENHO E S&amp;OP "/>
    <s v="Novo tópico"/>
    <s v="• Conduzir os ciclos de S&amp;OP de todos os produtos e serviços da Nova OI, realizando interface direta com os fornecedores parceiros de entrega, como as InfraCo’s e PSR’s;_x000a_• Monitorar, ao longo de todo o ciclo de S&amp;OP, as entregas dos fornecedores, prevendo e identificando eventuais desvios com relação ao plano de produção, e atuando na gestão da implantação de ações preventivas e corretivas;_x000a_• Contribuir com a elaboração e implantação do plano de longo prazo de expansão dos serviços de Fibra Óptica e de Novos Negócios;_x000a_• Elaborar e divulgar mensalmente os planos S&amp;OP para O&amp;M e Rede Externa; _x000a_• Divulgar o plano de materiais necessários para a suportar os planos S&amp;OP vigentes;_x000a_• Suportar o cumprimento dos contratos, a partir da aferição dos indicadores de desempenho, especialmente os que impactam o fluxo de pagamentos;_x000a_• Promover a apuração e análise dos indicadores operacionais, identificando possíveis desvios e propondo ações corretivas;_x000a_"/>
    <x v="19"/>
    <s v="Priscila Falco"/>
    <m/>
    <m/>
    <x v="1"/>
  </r>
  <r>
    <s v="Core network O&amp;M​"/>
    <s v="GESTÃO  INFRACOS"/>
    <s v="Novo tópico"/>
    <s v="•Realizar a gestão contratual e orçamentária dos contratos da   VTAL /PSRs/Lógistica/CGR/Engenharia/SI/Contole Operacional/Suporte Técnico/Controle Local;_x000a_•Realizar a validação e pagamento mensal dos serviços prestados pelas V.tal, PSRs; _x000a_•Garantir que as InfraCO e PSRs ( atualmente V.TAL/ SEREDE/TELEMONT) cumpram os requisitos de qualidade pré-estabelecidos nos contratos que são medidos mensalmente através de indicadores de qualidade._x000a_•Definir e implantar ações corretivas e preventivas quando houver uma não conformidade contratual pelas InfraCOS e PSRs e fornecedores._x000a_•Ser o canal junto à área responsável para evoluções e adequações nos contratos vigentes;_x000a_•Participar do levantamento, modelagem e validação dos processos da empresa._x000a_•Ajustar os processos da empresa promovendo novas melhorias, conforme a análise dos resultados, garantindo a integridade e atualidade dos ativos envolvidos._x000a_•Suportar os projetos estruturantes da garantindo  a implantação dos mesmos sem ferir os processos operacionais na visão cadeia._x000a__x000a__x000a__x000a_"/>
    <x v="19"/>
    <s v="Priscila Falco"/>
    <m/>
    <m/>
    <x v="1"/>
  </r>
  <r>
    <s v="Core network O&amp;M​"/>
    <s v="SOLUCOES E PROJETOS DE TI"/>
    <s v="Novo tópico"/>
    <s v="•Planejamento e implantação de Plataforma / OSS / Serviços;_x000a_•Planejamento e  implantação de redes;_x000a_•Implatação de Diretrizes de redes;_x000a_•Eficiencia Operacional (ações/Indicadores) OS de uso próprio_x000a_•Projetos especiais (ESOC,Segregação de plataformas,desenvolvimento dashboards)_x000a_•Planejamento de arquitetura de tecnologia e soluções (GTEC, laboratório, dispositivos, devices, eventos e homologações)_x000a__x000a__x000a_"/>
    <x v="19"/>
    <s v="Priscila Falco"/>
    <m/>
    <m/>
    <x v="1"/>
  </r>
  <r>
    <s v="Core network O&amp;M​"/>
    <s v="MONITORACAO DOS SERVIÇOS_x000a_"/>
    <s v="Novo tópico"/>
    <s v="• Realizar a gestão operacional da disponibilidade do serviço Oi Fibra, garantindo a melhor experiência do cliente;_x000a_• Coordenar ações em conjunto com as InfraCOs para garantir a maior disponibilidade do Oi Fibra;_x000a_• Realizar a interface técnico-operacional com CGR das InfraCOs_x000a_• Monitoramento da disponibilidade do serviço Oi Fibra, dos sistemas e infraestrutura de TI e da performance do KPIs da Jornada do Cliente, com identificação, encaminhamento e comunicação de falhas;_x000a_• Garantir a integração da evolução para monitoração da Experiência do Cliente através de cruzamento de dados e criação de dashboards_x000a_• Controlar o orçamento de OPEX dos contratos de suporte e das empresas prestadoras de serviços;_x000a_• Gestão de incidentes críticos (sala de acompanhamento de crise) e de garantia da continuidade do negócio;_x000a_• O&amp;M das plataformas CORE do CEC e OSS Fibra: eSOC, NWCC, SmartWifi, Dataminer OSS (aplicações, storages, bancos de dados e hardware);_x000a_• Registro e comunicação dos eventos críticos com impacto ou risco de impacto para a continuidade do negócio, garantindo alinhamento e divulgação das ocorrências para a direção e demais áreas da empresa;_x000a_• Garantir o acompanhamento e cumprimento das obrigações regulatórias com tratamento das demandas ANATEL, PROCON e jurídico;_x000a_• Fazer a gestão e o acompanhamento do fluxo de aprovação/divulgação das Janelas de Manutenção;_x000a_"/>
    <x v="19"/>
    <s v="Priscila Falco"/>
    <s v="Operações de Rede e SI/ Energia"/>
    <m/>
    <x v="1"/>
  </r>
  <r>
    <s v="Core network O&amp;M​"/>
    <s v="RELACIONAMENTO TÉCNICO DE SERVIÇOS_x000a_"/>
    <s v="Novo tópico"/>
    <s v="• Realizar o relacionamento técnico digital e humano com o cliente Oi Fibra;_x000a_• Garantir a estabilidade e eficiência no atendimento ao cliente através do Suporte Técnico Humano e Digital;_x000a_• Desenvolver planos de melhoria para aumentar o NPS, garantindo uma maior satisfação do cliente Oi Fibra_x000a_• Suportar tecnicamente a geração de receita nos produtos Oi Expert e Oi Fibra _x000a_• Ampliar a digitalização dos Canais Digitais para o tratamento de Suporte Técnico garantindo a qualidade e satisfação do cliente;_x000a_• Garantir incentivo e aumento do uso dos Canais Digitais APP. Técnico Virtual, OI_E, Joice BOT, CO Digital e Assistentes Virtuais;_x000a_• Garantir que as soluções digitais operem dentro de forma íntegra e tratar junto as áreas de apoio agilidade no tratamento de anomalias;_x000a_• Realizar benchmark de mercado para avaliar as melhores práticas e oportunidades para aumento da digitalização_x000a_• Garantir que os projetos de evolução da operação aconteçam dentro do prazo e tragam o retorno esperado para a Oi_x000a_• Garantir a validação e especificações técnicas de novas ferramentas de teste e diagnóstico alinhadas com as melhores práticas de mercado._x000a_• Garantir o alinhamento entre a atuação do CO/CL e as unidades regionais responsáveis pelas PSRs;_x000a_• Gerir as operações diárias do CO e CL, assegurando atendimento com qualidade para garantir produtividade em Campo de forma a não gerar impacto na cadeia de Reparo, Instalação e Mudança de Endereço;"/>
    <x v="19"/>
    <s v="Priscila Falco"/>
    <s v="Operações de Rede e SI"/>
    <m/>
    <x v="1"/>
  </r>
  <r>
    <s v="Core network O&amp;M​"/>
    <s v="QUALIDADE E EXPERIÊNCIA DE FTTH_x000a_"/>
    <s v="Novo tópico"/>
    <s v="• Construir um score de propensão de satisfação da experiência de USO (através de soluções de gerenciamento do ambiente do cliente, qualidade da fibra de acesso e gerenciamento do tipo de tráfego)_x000a_• Melhorar experiência do uso do Oi Fibra através de ações proativas para abertura de reparo quando detectado o problema preventivamente garantindo alta rentabilidade e baixo custo operacional;_x000a_• Propor soluções de MESH para reduzir atrito do cliente voltado a temas de cobertura da rede Wi-Fi;_x000a_• Realizar orientação protaiva através dos nosso canais com o cliente sobre o uso dos devices, da rede e como melhorar sua experiência de uso;_x000a_• Coordenar em conjunto das áreas técnicas as implementações de casos de uso que melhorem a jornada do cliente, como venda de MESH para e novas soluções como o FTTR;_x000a_• Ser responspavel pela gestão dos modelos de predição de NPS;_x000a_• Realizar especifcações técnicas para suportar processo de comunicação proativa de oprtunidades de uso de forma automática _x000a_•Elaborar material com recomendações técnicas para subsidiar decisões estratégicas da cia, a exemplo das demandas anti-fraude, desvio de ONT;_x000a_• Implantar processos de soluções cognitivas para tratamento das demandas de cliente e OI (Suporte técnico)_x000a_•Aumentar a digitalização de self care ao cliente para que tenha autonamonia em tratamento de anamolias "/>
    <x v="19"/>
    <s v="Priscila Falco"/>
    <s v="Operações de Rede e SI"/>
    <m/>
    <x v="1"/>
  </r>
  <r>
    <s v="Core network O&amp;M​"/>
    <s v="ATENDIMENTO O&amp;M "/>
    <s v="Novo tópico"/>
    <s v="• Suportar tecnicamente a área de mercado em ações para aumento de receita;_x000a_• Gerenciar empresa de rede neutra para solução de trouble tickets em defeitos apontados nos produtos do através de reparo e manutenção para Banda Larga(Telemont, Abillity e SEREDE) e prover soluções que reduzam o custo de visitas improdutivas em campo na gestão dos produtos VOIP e IPTV_x000a_• Alinhamento com as áreas de negócio, principalmente vendas para definição de estratégia conjuntas com o plano de instalações e visita em parceiros de negócio para tangibilizar essas necessidades;_x000a_• Acompanhamento de volume de anomalias na rede e redução desses defeitos percebidos pelo cliente  (FCT);_x000a_• Endereçamento e escalonamento de tratamento técnico de demandas dos órgãos regulatórios através de priorização em ferramentas especificas para despacho em controle local e áreas de segundo e terceiro níveis;_x000a_• Realização de auditorias informacionais e in loco em campo para identificação de fraudes voltadas ao desvio de equipamentos em campo;_x000a_• Gestão sobre a análise e mapeamento de ações para mitigação de riscos operacionais a evitar descontinuidade de serviços importante e processo de relevância para a cia_x000a_• Em conjunto com o time regulatório realizamos análises AD-hoc de demandas de órgãos reguladores para entendimento da necessidade de justificativa da cia;_x000a_• Promover reuniões de resultados semanais com o time para alinhamento gerencial dos indicadores de performance e acompanhamento das ações em curso e proposição de novas ações"/>
    <x v="19"/>
    <s v="Priscila Falco"/>
    <s v="Operações de Rede e SI"/>
    <m/>
    <x v="1"/>
  </r>
  <r>
    <s v="Core network O&amp;M​"/>
    <s v="SEG DE SISTEMAS E INFRA"/>
    <s v="Novo tópico"/>
    <s v="I. Estratégias de Segurança_x000a_a. Desenvolvimento de estratégias personalizadas para redução de riscos e impactos relacionados a falhas, ataques e incidentes de segurança._x000a_b. Implementação de melhores práticas internacionais e padrões de tecnologia para garantir a segurança dos sistemas._x000a_c. Definição de políticas, procedimentos e controles de segurança da informação adequados às necessidades específicas da organização._x000a_d. Elaboração de normas e diretrizes para o desenvolvimento seguro de sistemas e gerenciamento de vulnerabilidades._x000a_e. Consultoria e orientação estratégica para integração da segurança da informação aos objetivos de negócio da empresa._x000a_II. Defesa e Representação Institucional_x000a_f. Representação da organização junto a órgãos reguladores, legislativos e de defesa nacional em questões relacionadas à segurança da informação._x000a_g. Combate a riscos de multas, sanções e outras penalidades decorrentes de problemas de segurança tecnológica._x000a_h. Apoio na defesa dos interesses da empresa em debates, projetos e iniciativas ligados à segurança da informação em âmbito nacional e internacional._x000a_III. Gestão de Tecnologias de Proteção_x000a_i. Implantação e gerenciamento de tecnologias avançadas de proteção contra ataques cibernéticos._x000a_j. Monitoramento proativo e contínuo de ameaças, com respostas otimizadas para garantir a segurança dos sistemas._x000a_k. Gestão de acessos a sistemas sob gestão de segurança, incluindo concessão de acessos e controle de privilégios._x000a_IV. Conscientização e Educação em Segurança_x000a_l. Desenvolvimento e execução de programas de conscientização em segurança da informação para colaboradores e prestadores de serviço._x000a_m. Elaboração de políticas de segurança corporativas e condução de processos de treinamento e educação em segurança para toda a organização._x000a_V. Gestão de Riscos e Compliance_x000a_n. Gerenciamento de não conformidades e riscos de segurança, com visibilidade à alta direção._x000a_o. Auditoria de produtos e sistemas para eliminação de riscos que possam prejudicar a empresa._x000a_p. Apoio na definição e implementação de políticas e normas de segurança para garantir a conformidade com obrigações legais e regulatórias._x000a__x000a_"/>
    <x v="19"/>
    <s v="Priscila Falco"/>
    <s v="Operações de Rede e SI"/>
    <m/>
    <x v="1"/>
  </r>
  <r>
    <s v="Core network O&amp;M​"/>
    <s v="SERV SEGURANCA INFORMACAO"/>
    <s v="Novo tópico"/>
    <s v="I. Monitoramento e Gerenciamento de Segurança_x000a_q. Monitoramento contínuo da infraestrutura de segurança dos clientes B2B para identificação precoce de ameaças e vulnerabilidades._x000a_r. Análise de logs, eventos de segurança e tráfego de rede para detecção de atividades suspeitas ou não autorizadas._x000a_s. Gestão proativa de incidentes de segurança, incluindo resposta imediata e mitigação de ameaças emergentes._x000a_II. Gerenciamento de Dispositivos de Segurança_x000a_t. Gerenciamento e configuração de SD-WAN, firewalls, sistemas de detecção e prevenção de intrusões, gateways de segurança de e-mail e outros dispositivos de segurança._x000a_u. Atualizações regulares de firmware e assinaturas de ameaças para garantir a eficácia dos dispositivos de segurança._x000a_III. Análise de Vulnerabilidades_x000a_v. Escaneamento periódico de vulnerabilidades em sistemas e aplicações dos clientes B2B para identificação de pontos de falha e exposição._x000a_w. Avaliação de riscos e priorização de correções para minimizar o potencial de exploração de vulnerabilidades._x000a_IV. Relatórios e Análises_x000a_x. Geração de relatórios detalhados sobre o estado da segurança da informação, incluindo análises de tendências, métricas de desempenho e recomendações de melhoria._x000a_y. Análise de impacto de incidentes de segurança e ações corretivas realizadas para prevenir recorrências._x000a_V. Suporte Especializado_x000a_z. Suporte técnico especializado 24/7 para lidar com incidentes de segurança e fornecer orientação em situações críticas._x000a_aa. Consultoria e assistência na implementação de medidas de segurança adicionais conforme necessário para fortalecer a postura de segurança dos clientes B2B._x000a_VI. Gerenciamento de Serviços e SLAs_x000a_bb. Definição e gerenciamento de acordos de nível de serviço (SLAs) para garantir a entrega oportuna e eficaz dos serviços de segurança._x000a_cc. Monitoramento do cumprimento dos SLAs e ajustes conforme necessário para atender às necessidades dos clientes B2B._x000a__x000a_"/>
    <x v="19"/>
    <s v="Priscila Falco"/>
    <s v="Operações de Rede e SI"/>
    <m/>
    <x v="1"/>
  </r>
  <r>
    <s v="Bill-to-cash​"/>
    <s v="Riscos e Controles"/>
    <s v="Novo tópico"/>
    <s v="- Revisão, atualização e teste de controles do Ambiente de Controles Internos da Companhia que permeiam todos os processos;_x000a_- Gestão das Alçadas da Companhia que permeiam as principais atividades de aprovação;_x000a_- Avaliação de Riscos conforme demanda das áreas;_x000a_- Gestão dos Riscos Corporativos;_x000a_- Gestão dos documentos da Companhia;_x000a_- GCN que podem envolver incidentes/crises que impactam o serviço da Fibra."/>
    <x v="22"/>
    <s v="Kamila de Vasconcelos"/>
    <m/>
    <m/>
    <x v="1"/>
  </r>
  <r>
    <s v="Bill-to-cash​"/>
    <s v="Conformidade e Sustentabilidade"/>
    <s v="Novo tópico"/>
    <s v="- Gestão do canal e atendimento às solicitações de direitos previstos na LGPD por parte de titulares de dados pessoais;_x000a_- Avaliação e adequação de contratos e editais, sob o aspecto de privacidade e proteção de dados pessoais, com fornecedores, parceiros e clientes (empresariais);_x000a_- Manutenção do registro de operações de tratamento de dados pessoais, na forma do art. 37 da LGPD;_x000a_- Identificação e registro de transferências internacionais de dados pessoais na forma do art. 33 da LGPD;_x000a_- Identificação, avaliação e tratamento de riscos de privacidade em processos e projetos da Companhia;_x000a_- Gestão, tratamento e comunicação - sob demanda - de eventuais incidentes de segurança que envolvam dados pessoais;_x000a_- Resposta à ofícios e requerimentos de autoridades públicas, relacionados à privacidade;_x000a_- Gestão do canal de denúncias e apuração de relatos;_x000a_- Avaliação e adequação da cláusula de Compliance em contratos e editais;_x000a_- Realização de análise de integridade de terceiros e colaboradores;_x000a_- Realização de testes detectivos de conflitos de interesse; pagamentos à agentes públicos; doações; Brindes e Presentes e etc;_x000a_- Resposta à Due Diligence de Terceiros, Parceiros; Investidores e Clientes;_x000a_- Realização de processos de Partes Relacionadas; Acompanhamento de relacionamento com países em lista de sanções internacionais._x000a_"/>
    <x v="22"/>
    <s v="Kamila de Vasconcelos"/>
    <m/>
    <m/>
    <x v="1"/>
  </r>
  <r>
    <s v="Bill-to-cash​"/>
    <s v="Auditoria Interna"/>
    <s v="Novo tópico"/>
    <s v="- Apuração de casos fraude;_x000a_- Auditoria de sistemas e processos que permeiam toda a Cia de acordo com o plano aprovado;_x000a_- Acompanhamento e “reteste” de ações corretivas;_x000a_- Monitoramento de fraude em processos críticos._x000a_"/>
    <x v="22"/>
    <s v="Kamila de Vasconcelos"/>
    <m/>
    <m/>
    <x v="1"/>
  </r>
  <r>
    <s v="Admin personnel​"/>
    <s v="Divulgação do Oi Fibra em mídia espontânea"/>
    <s v="Novo tópico"/>
    <s v="Elaboração de releases sobre resultados e eventos que ajudem na comercialização ou meloria da imagem do Oi Fibra. Resposta a questionamentos da imprensa sobre o Oi Fibra"/>
    <x v="23"/>
    <s v="Eldeu Randolfo"/>
    <m/>
    <m/>
    <x v="1"/>
  </r>
  <r>
    <s v="Admin personnel​"/>
    <s v="Ações ativas ou reativas à PL do Poder Legislativo ou ações do Poder Executivo"/>
    <s v="Novo tópico"/>
    <s v="Acompanhamento e ações pontuais nos Poderes Legislativo e Executivo Federais para mitigar iniciativas que possam prejudicar o Oi Fibra ou incentivar as que tenham impacto postivo"/>
    <x v="23"/>
    <s v="Eldeu Randolfo"/>
    <m/>
    <m/>
    <x v="1"/>
  </r>
  <r>
    <s v="Customer data and offer management​"/>
    <s v="Prestação de serviços regulatórios"/>
    <s v="Novo tópico"/>
    <s v="1. Recebimento, internalização e resposta a Requerimento de Informações e atendimento a fiscalizações _x000a_2. Consultoria e Compliance Regulatório_x000a_3. Atuação em processos administrativos da Anatel e DPDC_x000a_4. Envio de Informações operacional / econômico-financeiras à Anatel"/>
    <x v="24"/>
    <s v="Mariana Doher"/>
    <s v="GCOR (Galvão), GECCR (Margarete),GCRCM (Mariana Doher) e PGRAI (André Morais)."/>
    <s v="[Mariana] - O tópico engloba as áreas: GCOR, GECCR,GCRCM e PGRAI. Ela pediu para colocarmos o Galvão como responsável, na linha da hierarquia."/>
    <x v="1"/>
  </r>
  <r>
    <s v="Admin personnel​"/>
    <s v="Aprendizagem_x000a_"/>
    <s v="Novo tópico"/>
    <s v="Desenho da Estratégia de Aprendizagem _x000a_Programas Corporativos – novas competências_x000a_Demandas Institucionais de treinamento_x000a_Gestão de Plataformas (Universidade e Oi Educa +)_x000a_Capacitação de Negócios: Varejo | Empresarial | Oi Soluções | Atendimento - DRC_x000a_"/>
    <x v="5"/>
    <s v="Carlos Eduardo da Rocha Andrade"/>
    <s v="Toda a Oi"/>
    <s v="Sistemas: Universidade Oi Educa_x000a_Sharepoint_x000a_Teams_x000a_Gupy_x000a_Pinpeople_x000a_Contratos: Gp Treinamento Brasil Ltda_x000a_Micropower _x000a_Aovs (Alura) – Término Em Junho/24_x000a_Nube-Núcleo Bras.De Estágios Ltda_x000a_Linkedin Ireland Limited_x000a_Indeed Brasil Pes Empre Ltda (Glassdoor) – Término Em Agosto/24_x000a_Pin People Tecnologia Aplicada A Pe_x000a_Gupy Tecnologia Em Recrutamento Ltd"/>
    <x v="1"/>
  </r>
  <r>
    <s v="Admin personnel​"/>
    <s v="Atração De Talentos"/>
    <s v="Novo tópico"/>
    <s v="Gestão estratégia de R&amp;S (Publicação de vagas, avaliação e seleção de pessoas candidatas)_x000a_Condução e Gestão dos Programas de Estágio, Residentes Digitais e Aprendiz _x000a_Gestão da Marca Empregadora (Glassdoor, Indeed e Linkedin)_x000a_"/>
    <x v="5"/>
    <s v="Carlos Eduardo da Rocha Andrade"/>
    <s v="Toda a Oi"/>
    <s v="Sistemas: Universidade Oi Educa_x000a_Sharepoint_x000a_Teams_x000a_Gupy_x000a_Pinpeople_x000a_Contratos: Gp Treinamento Brasil Ltda_x000a_Micropower _x000a_Aovs (Alura) – Término Em Junho/24_x000a_Nube-Núcleo Bras.De Estágios Ltda_x000a_Linkedin Ireland Limited_x000a_Indeed Brasil Pes Empre Ltda (Glassdoor) – Término Em Agosto/24_x000a_Pin People Tecnologia Aplicada A Pe_x000a_Gupy Tecnologia Em Recrutamento Ltd"/>
    <x v="1"/>
  </r>
  <r>
    <s v="Admin personnel​"/>
    <s v="Acompanhamento Da Jornada Colaborador_x000a_"/>
    <s v="Novo tópico"/>
    <s v="Estratégia e Gestão da jornada de onboarding_x000a_Programa Alumni._x000a_"/>
    <x v="5"/>
    <s v="Carlos Eduardo da Rocha Andrade"/>
    <s v="Toda a Oi"/>
    <s v="Sistemas: Universidade Oi Educa_x000a_Sharepoint_x000a_Teams_x000a_Gupy_x000a_Pinpeople_x000a_Contratos: Gp Treinamento Brasil Ltda_x000a_Micropower _x000a_Aovs (Alura) – Término Em Junho/24_x000a_Nube-Núcleo Bras.De Estágios Ltda_x000a_Linkedin Ireland Limited_x000a_Indeed Brasil Pes Empre Ltda (Glassdoor) – Término Em Agosto/24_x000a_Pin People Tecnologia Aplicada A Pe_x000a_Gupy Tecnologia Em Recrutamento Ltd"/>
    <x v="1"/>
  </r>
  <r>
    <s v="Admin personnel​"/>
    <s v="Conversa de Alinhamento "/>
    <s v="Novo tópico"/>
    <s v="Processo do Ciclo de Desempenho: desenvolvimento e manutenção do sistema, produção e publicação de conteúdo, incentivo à execução, monitoramento, análise de dados e melhoria contínua."/>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Avaliação de Desempenho "/>
    <s v="Novo tópico"/>
    <s v="Processo do Ciclo de Desempenho: desenvolvimento e manutenção do sistema, produção e publicação de conteúdo, planejamento da execução, análise de dados e melhoria contínua."/>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Mapa de Sucessão"/>
    <s v="Novo tópico"/>
    <s v="Processo do Ciclo de Desempenho: desenvolvimento e manutenção do sistema, produção e publicação de conteúdo, planejamento da execução, análise de dados e melhoria contínua._x000a_"/>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Report do orçamento de pessoal "/>
    <s v="Novo tópico"/>
    <s v="Apresentação e insights para tomada de decisão._x000a__x000a_"/>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Gestão de turnover"/>
    <s v="Novo tópico"/>
    <s v=" Controle de posições que serão repostas ou não, liberação de vagas."/>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Movimentação de Pessoal"/>
    <s v="Novo tópico"/>
    <s v="Análise junto a liderança e execução dos fluxos."/>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_x000a_Medidas disciplinares"/>
    <s v="Novo tópico"/>
    <s v="Análise junto à liderança e execução dos fluxos."/>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Desligamento"/>
    <s v="Novo tópico"/>
    <s v="Análise junto à liderança e execução dos fluxos."/>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Reestruturação"/>
    <s v="Novo tópico"/>
    <s v="Análise junto à liderança e execução dos fluxos."/>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Onboarding executivo "/>
    <s v="Novo tópico"/>
    <s v="Criação e manutenção do conteúdo, e execução do processo"/>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Mesa da Jornada do colaborador"/>
    <s v="Novo tópico"/>
    <s v="Mapeamento e acompanhamento das etapas da jornada, trabalhando de forma multidisciplinar e gerando tratativas específicas"/>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Consultoria e aconselhamento de liderança e gestão "/>
    <s v="Novo tópico"/>
    <s v="Conversas 1-1, reuniões executivas."/>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Comunicação com a liderança"/>
    <s v="Novo tópico"/>
    <s v="Conversas 1-1, reuniões executivas."/>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Planejamento e Gestão Financeira "/>
    <s v="Novo tópico"/>
    <s v="Gestão financeira, pagamentos de fornecedores, controle de orçamento."/>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Trilhas de Treinamento "/>
    <s v="Novo tópico"/>
    <s v="Desenvolvimento de trilhas e de conteúdos para treinamento de competências de liderança."/>
    <x v="5"/>
    <s v="Carlos Eduardo da Rocha Andrade"/>
    <s v="Toda a Oi"/>
    <s v="Sistemas: Portal de Gente_x000a_Microsoft 365_x000a_Pin People_x000a__x000a_Contratos: Fundação Dom Cabral (venc Fev/25)_x000a_Lee Hecht Harrison Consultoria (LHH) (venc Mai/24)_x000a_Pin People (venc Dez/24)_x000a_"/>
    <x v="1"/>
  </r>
  <r>
    <s v="Admin personnel​"/>
    <s v="Relações Trabalhistas"/>
    <s v="Novo tópico"/>
    <s v="Negociar acordos coletivos de trabalho | acompanhamento cota PCD e aprendiz | acompanhamento entradas processos trabalhistas (próprios) | atendimento a fiscalizações) | Consultoria preventiva | Controle estabilidades "/>
    <x v="5"/>
    <s v="Carlos Eduardo da Rocha Andrade"/>
    <s v="Toda a Oi"/>
    <s v="Sistemas: Docusing_x000a__x000a_SOC_x000a__x000a_Contratos: Dasa (checkup executivo)| Energiè (vida.com) | Dual Saúde (exame periódico), AMBIPAR (Verde Gaia) | Indústria e Comércio Leal (EPI) | Ativa Eletro Comercial (EPI) _x000a__x000a_"/>
    <x v="1"/>
  </r>
  <r>
    <s v="Admin personnel​"/>
    <s v="Segurança do Trabalho "/>
    <s v="Novo tópico"/>
    <s v="Gerir e ministrar treinamentos legais | gerir treinamento e implantação de brigada de incêndio voluntária | gerir inspeções de segurança predial | gerir ocorrências de acidente de trabalho | gerir, treinar e implantar CIPA | acionar brigada de incêndio voluntária | gerir e emitir PPP para colaborador | gerir a elaboração de mapas de risco | gerir a elaboração PPRA) | Índice de Qualificação do Fornecedor | Gerenciamento de riscos._x000a_"/>
    <x v="5"/>
    <s v="Carlos Eduardo da Rocha Andrade"/>
    <s v="Toda a Oi"/>
    <s v="Sistemas: Docusing_x000a__x000a_SOC_x000a__x000a_Contratos: Dasa (checkup executivo)| Energiè (vida.com) | Dual Saúde (exame periódico), AMBIPAR (Verde Gaia) | Indústria e Comércio Leal (EPI) | Ativa Eletro Comercial (EPI) _x000a__x000a_"/>
    <x v="1"/>
  </r>
  <r>
    <s v="Admin personnel​"/>
    <s v="Saúde Ocupacional "/>
    <s v="Novo tópico"/>
    <s v="Gerir licença e afastamento | gerir check-up executivo | gerir programa de gestante | gerir exame periódico | gerir exame mudança de função | gerir exame admissional, exame de retorno ao trabalho e exame demissional | gerir reintegração, readaptação e reabilitação profissional | emitir ACT"/>
    <x v="5"/>
    <s v="Carlos Eduardo da Rocha Andrade"/>
    <s v="Toda a Oi"/>
    <s v="Sistemas: Docusing_x000a__x000a_SOC_x000a__x000a_Contratos: Dasa (checkup executivo)| Energiè (vida.com) | Dual Saúde (exame periódico), AMBIPAR (Verde Gaia) | Indústria e Comércio Leal (EPI) | Ativa Eletro Comercial (EPI) _x000a__x000a_"/>
    <x v="1"/>
  </r>
  <r>
    <s v="Admin personnel​"/>
    <s v="Gestão de Licença e Afastamento "/>
    <s v="Novo tópico"/>
    <s v="Realizar análise dos atestados | realizar agendamento e perícia | gerir reintegração, readaptação, reabilitação,  retorno e reintegração judicial"/>
    <x v="5"/>
    <s v="Carlos Eduardo da Rocha Andrade"/>
    <s v="Toda a Oi"/>
    <s v="Sistemas: Docusing_x000a__x000a_SOC_x000a__x000a_Contratos: Dasa (checkup executivo)| Energiè (vida.com) | Dual Saúde (exame periódico), AMBIPAR (Verde Gaia) | Indústria e Comércio Leal (EPI) | Ativa Eletro Comercial (EPI) _x000a__x000a_"/>
    <x v="1"/>
  </r>
  <r>
    <s v="Admin personnel​"/>
    <s v="Gestão de Bem Estar "/>
    <s v="Novo tópico"/>
    <s v="Tratar solicitação de intercorrências comportamentais | fiscalizar tratamento de acidente de trabalho ou falecimento de terceiros | tratar solicitação de falecimento | tratar solicitação de acidente de trabalho | gerir programa qualidade de vida | Rodas de conversa | grupos de apoio | Indicadores de saúde mental |  "/>
    <x v="5"/>
    <s v="Carlos Eduardo da Rocha Andrade"/>
    <s v="Toda a Oi"/>
    <s v="Sistemas: Docusing_x000a__x000a_SOC_x000a__x000a_Contratos: Dasa (checkup executivo)| Energiè (vida.com) | Dual Saúde (exame periódico), AMBIPAR (Verde Gaia) | Indústria e Comércio Leal (EPI) | Ativa Eletro Comercial (EPI) _x000a__x000a_"/>
    <x v="1"/>
  </r>
  <r>
    <s v="Admin personnel​"/>
    <s v="Gestão de Crise no Pilar de Saúde, Segurança e Serviço Social"/>
    <s v="Novo tópico"/>
    <s v="Gestão de Crise no Pilar de Saúde, Segurança e Serviço Social."/>
    <x v="5"/>
    <s v="Carlos Eduardo da Rocha Andrade"/>
    <s v="Toda a Oi"/>
    <s v="Sistemas: Docusing_x000a__x000a_SOC_x000a__x000a_Contratos: Dasa (checkup executivo)| Energiè (vida.com) | Dual Saúde (exame periódico), AMBIPAR (Verde Gaia) | Indústria e Comércio Leal (EPI) | Ativa Eletro Comercial (EPI) _x000a__x000a_"/>
    <x v="1"/>
  </r>
  <r>
    <s v="Admin personnel​"/>
    <s v="Processamento da Folha de Pagamento "/>
    <s v="Novo tópico"/>
    <s v="Efetuar pagamento de férias, rescisões e salários de pessoal | tratar fechamento de múltiplos vínculos, autônomos e expatriados | emitir o resumo da folha de pagamento após cálculos e validações | contabilizar a folha de pagamento | enviar informações legais obrigatórias periódicas para o e-social | criar certificado digital para envio e processamento das obrigações legais | enviar informações legais obrigatórias | liberar pagamento de fornecedores, encargos sociais e tributos legais | conciliar contas contábeis | tratar cancelamento de rescisão | tratar reintegração | conceder acesso |  tratar transferências entre empresas no FPW | Realizar convênio Previdência Privada."/>
    <x v="5"/>
    <s v="Carlos Eduardo da Rocha Andrade"/>
    <s v="Toda a Oi"/>
    <s v="Sistemas:FPW_x000a_BEWEB_x000a_E-SOCIAL_x000a_SOC_x000a_ÚNICO_x000a_DOCUSIGN_x000a__x000a_Contratos: BPO – ACCENTURE _x000a_ÚNICO (Sistemas S) A Oi têm um convênio firmado via FIRJAN. Isso possibilita dedução de % sobre a Folha, definido no convênio. Além disso, pode-se utilizar crédito em treinamentos. _x000a__x000a__x000a__x000a_"/>
    <x v="1"/>
  </r>
  <r>
    <s v="Admin personnel​"/>
    <s v="Operações de Benefícios "/>
    <s v="Novo tópico"/>
    <s v="Aplicar desconto por uso de benefícios (saúde, odonto, farmácia, VT, VR e Seguro de Vida) | realizar implantação/atualização sistêmica de benefícios  e creche | enviar arquivos de benefícios | pagar fornecedores dos benefícios"/>
    <x v="5"/>
    <s v="Carlos Eduardo da Rocha Andrade"/>
    <s v="Toda a Oi"/>
    <s v="Sistemas:FPW_x000a_BEWEB_x000a_E-SOCIAL_x000a_SOC_x000a_ÚNICO_x000a_DOCUSIGN_x000a__x000a_Contratos: BPO – ACCENTURE _x000a_ÚNICO (Sistemas S) A Oi têm um convênio firmado via FIRJAN. Isso possibilita dedução de % sobre a Folha, definido no convênio. Além disso, pode-se utilizar crédito em treinamentos. _x000a__x000a__x000a__x000a_"/>
    <x v="1"/>
  </r>
  <r>
    <s v="Admin personnel​"/>
    <s v="Operacionalização da Admissão  "/>
    <s v="Novo tópico"/>
    <s v="Agendar exame médico admissional  | Garantir o cadastro do colaborador no sistema de Folha de pagamento"/>
    <x v="5"/>
    <s v="Carlos Eduardo da Rocha Andrade"/>
    <s v="Toda a Oi"/>
    <s v="Sistemas:FPW_x000a_BEWEB_x000a_E-SOCIAL_x000a_SOC_x000a_ÚNICO_x000a_DOCUSIGN_x000a__x000a_Contratos: BPO – ACCENTURE _x000a_ÚNICO (Sistemas S) A Oi têm um convênio firmado via FIRJAN. Isso possibilita dedução de % sobre a Folha, definido no convênio. Além disso, pode-se utilizar crédito em treinamentos. _x000a__x000a__x000a__x000a_"/>
    <x v="1"/>
  </r>
  <r>
    <s v="Admin personnel​"/>
    <s v="Desligamento de Colaboradores "/>
    <s v="Novo tópico"/>
    <s v="Analisar retenção em desligamento voluntário | analisar desligamento involuntário com estabilidade | realizar atendimento pós desligamento | Agendar exame médico demissional"/>
    <x v="5"/>
    <s v="Carlos Eduardo da Rocha Andrade"/>
    <s v="Toda a Oi"/>
    <s v="Sistemas:FPW_x000a_BEWEB_x000a_E-SOCIAL_x000a_SOC_x000a_ÚNICO_x000a_DOCUSIGN_x000a__x000a_Contratos: BPO – ACCENTURE _x000a_ÚNICO (Sistemas S) A Oi têm um convênio firmado via FIRJAN. Isso possibilita dedução de % sobre a Folha, definido no convênio. Além disso, pode-se utilizar crédito em treinamentos. _x000a__x000a__x000a__x000a_"/>
    <x v="1"/>
  </r>
  <r>
    <s v="Admin personnel​"/>
    <s v="Atendimento à Auditoria e Fiscalização de Folha de Pagamento "/>
    <s v="Novo tópico"/>
    <s v="Auditorias e fiscalização de órgão públicos (receita federal, ministério do trabalho)_x000a_"/>
    <x v="5"/>
    <s v="Carlos Eduardo da Rocha Andrade"/>
    <s v="Toda a Oi"/>
    <s v="Sistemas:FPW_x000a_BEWEB_x000a_E-SOCIAL_x000a_SOC_x000a_ÚNICO_x000a_DOCUSIGN_x000a__x000a_Contratos: BPO – ACCENTURE _x000a_ÚNICO (Sistemas S) A Oi têm um convênio firmado via FIRJAN. Isso possibilita dedução de % sobre a Folha, definido no convênio. Além disso, pode-se utilizar crédito em treinamentos. _x000a__x000a__x000a__x000a_"/>
    <x v="1"/>
  </r>
  <r>
    <s v="Admin personnel​"/>
    <s v="Atendimento Gente Atende"/>
    <s v="Novo tópico"/>
    <s v="Verificar dados do colaborador | tratar demanda de VR, VT, plano saúde, odonto e medicamento | tratar demanda de inclusão, exclusão, alteração e reativação de dependentes | tratar reembolso creche colaboradora fora da Cia | tratar demanda de contracheque | tratar demanda fiança |  tratar demanda de alteração cadastral | tratar demanda de férias | envio informe de rendimentos ex-colaboradores)"/>
    <x v="5"/>
    <s v="Carlos Eduardo da Rocha Andrade"/>
    <s v="Toda a Oi"/>
    <s v="Sistemas:FPW_x000a_BEWEB_x000a_E-SOCIAL_x000a_SOC_x000a_ÚNICO_x000a_DOCUSIGN_x000a__x000a_Contratos: BPO – ACCENTURE _x000a_ÚNICO (Sistemas S) A Oi têm um convênio firmado via FIRJAN. Isso possibilita dedução de % sobre a Folha, definido no convênio. Além disso, pode-se utilizar crédito em treinamentos. _x000a__x000a__x000a__x000a_"/>
    <x v="1"/>
  </r>
  <r>
    <s v="Admin personnel​"/>
    <s v="Solicitações referentes à férias e benefícios feitas através do Portal de Gente "/>
    <s v="Novo tópico"/>
    <s v="Solicitar atualização cadastral do dependente | validar reembolso creche ou babá | analisar solicitação de VT_x000a_"/>
    <x v="5"/>
    <s v="Carlos Eduardo da Rocha Andrade"/>
    <s v="Toda a Oi"/>
    <s v="Sistemas:FPW_x000a_BEWEB_x000a_E-SOCIAL_x000a_SOC_x000a_ÚNICO_x000a_DOCUSIGN_x000a__x000a_Contratos: BPO – ACCENTURE _x000a_ÚNICO (Sistemas S) A Oi têm um convênio firmado via FIRJAN. Isso possibilita dedução de % sobre a Folha, definido no convênio. Além disso, pode-se utilizar crédito em treinamentos. _x000a__x000a__x000a__x000a_"/>
    <x v="1"/>
  </r>
  <r>
    <s v="Admin personnel​"/>
    <s v="Gestão do Gente Atende "/>
    <s v="Novo tópico"/>
    <s v="Alterar, excluir e criar script | atualizar base relator | implementar melhorias | alterar painel | Gerir o contrato do chatbot"/>
    <x v="5"/>
    <s v="Carlos Eduardo da Rocha Andrade"/>
    <s v="Toda a Oi"/>
    <s v="Sistemas:FPW_x000a_BEWEB_x000a_E-SOCIAL_x000a_SOC_x000a_ÚNICO_x000a_DOCUSIGN_x000a__x000a_Contratos: BPO – ACCENTURE _x000a_ÚNICO (Sistemas S) A Oi têm um convênio firmado via FIRJAN. Isso possibilita dedução de % sobre a Folha, definido no convênio. Além disso, pode-se utilizar crédito em treinamentos. _x000a__x000a__x000a__x000a_"/>
    <x v="1"/>
  </r>
  <r>
    <s v="Admin personnel​"/>
    <s v="_x000a_Tratamento de Frequência "/>
    <s v="Novo tópico"/>
    <s v="Lançar alteração de escala | apurar Horas Extras | tratar demandas de colaborador | realizar cálculo retroativo de frequência | gerar arquivo de apuração para input em folha"/>
    <x v="5"/>
    <s v="Carlos Eduardo da Rocha Andrade"/>
    <s v="Toda a Oi"/>
    <s v="Sistemas:FPW_x000a_BEWEB_x000a_E-SOCIAL_x000a_SOC_x000a_ÚNICO_x000a_DOCUSIGN_x000a__x000a_Contratos: BPO – ACCENTURE _x000a_ÚNICO (Sistemas S) A Oi têm um convênio firmado via FIRJAN. Isso possibilita dedução de % sobre a Folha, definido no convênio. Além disso, pode-se utilizar crédito em treinamentos. _x000a__x000a__x000a__x000a_"/>
    <x v="1"/>
  </r>
  <r>
    <s v="Admin personnel​"/>
    <s v="Remuneração"/>
    <s v="Novo tópico"/>
    <s v="Definir a estratégia de Remuneração | elaborar e aprovar estudo, gerando insumos para a tomada de decisão do conselho quanto a estratégia de remuneração anual da Cia. Atualizar as Políticas de Remuneração e Movimentação de Pessoal com base na estratégia"/>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Avaliação de cargos "/>
    <s v="Novo tópico"/>
    <s v="Realizar avaliações de cargos garantindo a implantação da estrutura que suporte a operação do negócio"/>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Gestão de Cargos e Salários"/>
    <s v="Novo tópico"/>
    <s v="Gestão das demandas de movimentações, administração de cargos e salários e atendimento as demandas jurídicas e do negócio, via BPs, com demais áreas do RH"/>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Projetos, pesquisas e Estudos de Cargos e Salários "/>
    <s v="Novo tópico"/>
    <s v="Gestão, elaboração e aprovação de projetos, pesquisas e estudos da administração de cargos e salários do dia-a-dia da Cia"/>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Remuneração Administradores "/>
    <s v="Novo tópico"/>
    <s v="Gestão do pacote de remuneração dos administradores da Cia"/>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Remuneração Variável de Curto Prazo"/>
    <s v="Novo tópico"/>
    <s v="Gestão, elaboração e aprovação de estudos para Remuneração de curto prazo (bônus executivo e demais empresas e placar e demais empresas com aplicação das regras e políticas dos programas de metas e remuneração"/>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Remuneração Variável de Vendas  "/>
    <s v="Novo tópico"/>
    <s v="Estratégia e governança dos programas RV de vendas das áreas de Negócios (mensal e trimestral"/>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Arquitetura Organizacional "/>
    <s v="Novo tópico"/>
    <s v="Análise, controle e operacionalização de demandas da estrutura organizacional | movimentação de posições | gestão da estrutura organizacional | coordenação operacional de reestruturações. Manter atualizada e garantir a aplicação da metodologia para tratamento da estrutura organizacional (desenho, dimensionamento e Miix de cargos), _x000a__x000a_Coordenar a operacionalização das reestruturações e incorporações, garantindo a atualização dos movimentos de estrutura organizacional nos sistemas de Gente e Gestão._x000a_"/>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Orçamento de Pessoal "/>
    <s v="Novo tópico"/>
    <s v="Planejamento orçamentário anual de pessoal, forecast sazonal e gestão do orçamento do pacote de pessoal)_x000a__x000a_Manter atualizado os controles, indicadores e segrerações das informações, nas diversas visões necessárias para as áreas._x000a_"/>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Gestão de Benefícios "/>
    <s v="Novo tópico"/>
    <s v="Definir a estratégia de Benefícios da Cia. | coordenar a contratação de fornecedores de benefícios | implantar e gerir os contratos dos fornecedores de benefícios da Cia, como Saúde, Odonto, Alimentação, etc."/>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Gestão dos Pagamentos "/>
    <s v="Novo tópico"/>
    <s v="Garantir a boa gestão nos processos de pagamento dos fornecedores do direotria de RH, zelando pela assertividade das demandas junto com as áreas, priorizando os compromissos financeiros, cumprimentos dos prazos contratuais e oportunidades na otimização de recursos"/>
    <x v="5"/>
    <s v="Carlos Eduardo da Rocha Andrade"/>
    <s v="Toda a Oi"/>
    <s v="Sistemas:Portal de Gente_x000a_FPW_x000a_Sharepoint_x000a__x000a__x000a_Contratos: Korn Ferry | Pay Hub (equações de remuneração para faixas salariais – valor anual)_x000a_Katalysi (estudo de remuneração pontuais)_x000a_LG_x000a__x000a__x000a__x000a_"/>
    <x v="1"/>
  </r>
  <r>
    <s v="Admin personnel​"/>
    <s v="Fechamento de Headcount Mensal "/>
    <s v="Novo tópico"/>
    <s v="Fechamento mensal de efetivo e vagas | desenvolver indicadores de pessoas e dashboards | fornecer informações de colaboradores para as demais áreas da empresa"/>
    <x v="5"/>
    <s v="Carlos Eduardo da Rocha Andrade"/>
    <s v="Toda a Oi"/>
    <s v="Sistemas: Portal de Gente_x000a_FPW_x000a_Valorae_x000a_SRT_x000a_SQL_x000a_POWER BI_x000a__x000a__x000a__x000a_Contratos: LG_x000a_Valorae_x000a__x000a__x000a__x000a__x000a_"/>
    <x v="1"/>
  </r>
  <r>
    <s v="Admin personnel​"/>
    <s v="Gestão para Resultados "/>
    <s v="Novo tópico"/>
    <s v="Ciclo anual de gestão para resultados"/>
    <x v="5"/>
    <s v="Carlos Eduardo da Rocha Andrade"/>
    <s v="Toda a Oi"/>
    <s v="Sistemas: Portal de Gente_x000a_FPW_x000a_Valorae_x000a_SRT_x000a_SQL_x000a_POWER BI_x000a__x000a__x000a__x000a_Contratos: LG_x000a_Valorae_x000a__x000a__x000a__x000a__x000a_"/>
    <x v="1"/>
  </r>
  <r>
    <s v="Admin personnel​"/>
    <s v="Gestão de Terceiros "/>
    <s v="Novo tópico"/>
    <s v="Contratar serviços terceirizados | registrar terceiros | subcontratar serviços terceirizados | realizar transição de contratos de serviços terceirizados) | acompanhamento entradas processos trabalhistas (próprios e terceiros"/>
    <x v="5"/>
    <s v="Carlos Eduardo da Rocha Andrade"/>
    <s v="Toda a Oi"/>
    <s v="Sistemas: Portal de Gente_x000a_FPW_x000a_Valorae_x000a_SRT_x000a_SQL_x000a_POWER BI_x000a__x000a__x000a__x000a_Contratos: LG_x000a_Valorae_x000a__x000a__x000a__x000a__x000a_"/>
    <x v="1"/>
  </r>
  <r>
    <s v="Admin personnel​"/>
    <s v="Gestão de IQF – Pilar RH"/>
    <s v="Novo tópico"/>
    <s v="Planejar, avaliar, acompanhar e reprogramar as avaliações dos fornecedores pelo IQF/RH"/>
    <x v="5"/>
    <s v="Carlos Eduardo da Rocha Andrade"/>
    <s v="Toda a Oi"/>
    <s v="Sistemas: Portal de Gente_x000a_FPW_x000a_Valorae_x000a_SRT_x000a_SQL_x000a_POWER BI_x000a__x000a__x000a__x000a_Contratos: LG_x000a_Valorae_x000a__x000a__x000a__x000a__x000a_"/>
    <x v="1"/>
  </r>
  <r>
    <s v="Admin personnel​"/>
    <s v="Sistemas RH "/>
    <s v="Novo tópico"/>
    <s v="Desenvolver soluções, dar suporte técnico, administrar Portal de Gente e tecnicamente organograma"/>
    <x v="5"/>
    <s v="Carlos Eduardo da Rocha Andrade"/>
    <s v="Toda a Oi"/>
    <s v="Sistemas: Portal de Gente_x000a_FPW_x000a_Valorae_x000a_SRT_x000a_SQL_x000a_POWER BI_x000a__x000a__x000a__x000a_Contratos: LG_x000a_Valorae_x000a__x000a__x000a__x000a__x000a_"/>
    <x v="1"/>
  </r>
  <r>
    <s v="Admin personnel​"/>
    <s v="Gestão da Comunicação da Presidência e alta liderança "/>
    <s v="Novo tópico"/>
    <s v="Gerir conteúdos de direcionamento para engajamento, manutenção da transparência e fortalecimento da reputação da marca empregadora e mitigação de riscos"/>
    <x v="5"/>
    <s v="Carlos Eduardo da Rocha Andrade"/>
    <s v="Toda a Oi"/>
    <s v="Sistemas: Interativa (plataforma Lumis)_x000a_Interativa Conecta (sharepoint)_x000a_Teams_x000a_App Oi Colaborador_x000a__x000a__x000a__x000a_Contratos: Agência Frog serviços de internet _x000a__x000a__x000a__x000a__x000a_"/>
    <x v="1"/>
  </r>
  <r>
    <s v="Admin personnel​"/>
    <s v="Embaixador da marca "/>
    <s v="Novo tópico"/>
    <s v="Gerir conteúdo organizacional para mobilizar promoção e defesa da marca e aceleração de receita, conhecimento do negócio, estímulo à indicação de produtos e ofertas, etc"/>
    <x v="5"/>
    <s v="Carlos Eduardo da Rocha Andrade"/>
    <s v="Toda a Oi"/>
    <s v="Sistemas: Interativa (plataforma Lumis)_x000a_Interativa Conecta (sharepoint)_x000a_Teams_x000a_App Oi Colaborador_x000a__x000a__x000a__x000a_Contratos: Agência Frog serviços de internet _x000a__x000a__x000a__x000a__x000a_"/>
    <x v="1"/>
  </r>
  <r>
    <s v="Admin personnel​"/>
    <s v="Gestão da comunicação interna e estratégia de engajamento "/>
    <s v="Novo tópico"/>
    <s v="Gerir, produzir e monitor conteúdo para comunicação, massiva e segmentada e identificar as oportunidades de temas a serem comunicados internamente e avaliar a correlação de cada  tema aos objetivos de negócio, de gestão de pessoas ou de gestão da reputação para definição de uma estratégia de divulgação interna e/ou integrada"/>
    <x v="5"/>
    <s v="Carlos Eduardo da Rocha Andrade"/>
    <s v="Toda a Oi"/>
    <s v="Sistemas: Interativa (plataforma Lumis)_x000a_Interativa Conecta (sharepoint)_x000a_Teams_x000a_App Oi Colaborador_x000a__x000a__x000a__x000a_Contratos: Agência Frog serviços de internet _x000a__x000a__x000a__x000a__x000a_"/>
    <x v="1"/>
  </r>
  <r>
    <s v="Admin personnel​"/>
    <s v="Gestão das plataformas de comunicação "/>
    <s v="Novo tópico"/>
    <s v="Acompanhamento da performance, da correção de erros, atualização de conteúdo e layout, implantação de melhorias, etc"/>
    <x v="5"/>
    <s v="Carlos Eduardo da Rocha Andrade"/>
    <s v="Toda a Oi"/>
    <s v="Sistemas: Interativa (plataforma Lumis)_x000a_Interativa Conecta (sharepoint)_x000a_Teams_x000a_App Oi Colaborador_x000a__x000a__x000a__x000a_Contratos: Agência Frog serviços de internet _x000a__x000a__x000a__x000a__x000a_"/>
    <x v="1"/>
  </r>
  <r>
    <s v="Admin personnel​"/>
    <s v="Gestão da pesquisa de engajamento "/>
    <s v="Novo tópico"/>
    <s v="Definição de objetivos estratégicos, coordenação do grupo de trabalho e instrumentos da coleta de dados, elaboração do plano de mobilização para a participação na pesquisa, análise e interpretação de resultados, estruturação de relatórios e apresentação com identificação de insights, padrões e conclusões relevantes"/>
    <x v="5"/>
    <s v="Carlos Eduardo da Rocha Andrade"/>
    <s v="Toda a Oi"/>
    <s v="Sistemas: Interativa (plataforma Lumis)_x000a_Interativa Conecta (sharepoint)_x000a_Teams_x000a_App Oi Colaborador_x000a__x000a__x000a__x000a_Contratos: Agência Frog serviços de internet _x000a__x000a__x000a__x000a__x000a_"/>
    <x v="1"/>
  </r>
  <r>
    <s v="Admin personnel​"/>
    <s v="Gestão de Terceiros "/>
    <s v="Novo tópico"/>
    <s v="Gerir o fornecedor contratado"/>
    <x v="5"/>
    <s v="Carlos Eduardo da Rocha Andrade"/>
    <s v="Toda a Oi"/>
    <s v="Sistemas: Interativa (plataforma Lumis)_x000a_Interativa Conecta (sharepoint)_x000a_Teams_x000a_App Oi Colaborador_x000a__x000a__x000a__x000a_Contratos: Agência Frog serviços de internet _x000a__x000a__x000a__x000a__x000a_"/>
    <x v="1"/>
  </r>
  <r>
    <s v="Admin personnel​"/>
    <s v="Marca empregadora"/>
    <s v="Novo tópico"/>
    <s v="Produção de conteúdos de gente no LinkedIn."/>
    <x v="5"/>
    <s v="Carlos Eduardo da Rocha Andrade"/>
    <s v="Toda a Oi"/>
    <s v="Sistemas: Interativa (plataforma Lumis)_x000a_Interativa Conecta (sharepoint)_x000a_Teams_x000a_App Oi Colaborador_x000a__x000a__x000a__x000a__x000a__x000a_"/>
    <x v="1"/>
  </r>
  <r>
    <s v="Admin personnel​"/>
    <s v="Onboarding"/>
    <s v="Novo tópico"/>
    <s v=" Desenho e implantação do programa de onboarding/boas vindas."/>
    <x v="5"/>
    <s v="Carlos Eduardo da Rocha Andrade"/>
    <s v="Toda a Oi"/>
    <s v="Sistemas: Interativa (plataforma Lumis)_x000a_Interativa Conecta (sharepoint)_x000a_Teams_x000a_App Oi Colaborador_x000a__x000a__x000a__x000a__x000a__x000a_"/>
    <x v="1"/>
  </r>
  <r>
    <s v="Admin personnel​"/>
    <s v="Gestão da comunicação interna e estratégia de engajamento"/>
    <s v="Novo tópico"/>
    <s v="Divulgação / revisão de diretrizes de cultura: missão, visão e valores; e códigos de conduta: ética, conformidade, privacidade, esg_x000a__x000a_"/>
    <x v="5"/>
    <s v="Carlos Eduardo da Rocha Andrade"/>
    <s v="Toda a Oi"/>
    <s v="Sistemas: Interativa (plataforma Lumis)_x000a_Interativa Conecta (sharepoint)_x000a_Teams_x000a_App Oi Colaborador_x000a__x000a__x000a__x000a__x000a__x000a_"/>
    <x v="1"/>
  </r>
  <r>
    <s v="Bill-to-cash​"/>
    <s v="Extração, elaboração e envio dos reports para forncedores de Conteúdo"/>
    <s v="Novo tópico"/>
    <s v="Principais Atividades:_x000a_- Extração das bases dos CRMs (SINN, SIEBEL, DW)_x000a_- Carga das exportações no Banco de Dados_x000a_- Validação dos volumes de clientes (check de sanidade)_x000a_- Formatação e preenchimento dos reports nos formatos acordados com cada fornecedor_x000a_- Envio dos reports e eventuais correções"/>
    <x v="25"/>
    <s v="Maurício"/>
    <m/>
    <m/>
    <x v="1"/>
  </r>
  <r>
    <s v="Bill-to-cash​"/>
    <s v="Cálculo dos valores de fauramento"/>
    <s v="Novo tópico"/>
    <s v="Calcular os valores a serem pagos aos Fornecedores, como base nos report gerando racional de faturamentode acordo com as condições contratuais"/>
    <x v="25"/>
    <s v="Maurício"/>
    <m/>
    <m/>
    <x v="1"/>
  </r>
  <r>
    <s v="Bill-to-cash​"/>
    <s v="Criação e gestão dos pedidos de compra"/>
    <s v="Novo tópico"/>
    <s v="Principais Atividades:_x000a_- Interface com setor administrativo para solicitação de criação de Pedido de Compras e RC (requisição de compras) e checks dos documentos criados;_x000a_- Envio dos pedidos para os fornecdores._x000a_- Solicitação da aprovação dos pedidos SAP aos gestores responsáveis._x000a_"/>
    <x v="25"/>
    <s v="Maurício"/>
    <m/>
    <m/>
    <x v="1"/>
  </r>
  <r>
    <s v="Bill-to-cash​"/>
    <s v="Cálculos, Lançamentos e Justificativas de Provisão e Reclassificaçõs"/>
    <s v="Novo tópico"/>
    <s v="Principais Atividades:_x000a_-Calculos e análises do valor disponível (EP, WE e PV)_x000a_- Cálculos, atualização e análises de repasse, provisão e resultado por programadora, segmento de negocios, UNs e UPIs - real frente ao orçado e forecast´s _x000a_- Acompanhando NFs no GED e SAP_x000a_- Calculos e análises de simulações para resultado do pcte e estimativa gasto e uso verba para os próximo meses (cenários)_x000a_"/>
    <x v="25"/>
    <s v="Maurício"/>
    <m/>
    <m/>
    <x v="1"/>
  </r>
  <r>
    <s v="Bill-to-cash​"/>
    <s v="Emissão de Nota Fiscal e Input da Receita de PagSeguro"/>
    <s v="Novo tópico"/>
    <s v="- geração de nota fiscal no SISRED para parceiros B2B (PagSeguro e Safira); _x000a_- Após a geração da nota fiscal, encaminhar ao parceiro para que efetue o pagamento e ao time de Faturamento;_x000a_- Acompanhamento da baixa do pagamento pelo SISRAF;"/>
    <x v="25"/>
    <s v="Maurício"/>
    <m/>
    <m/>
    <x v="1"/>
  </r>
  <r>
    <s v="Bill-to-cash​"/>
    <s v="Comissões de Vendas - Validação das politicas comerciais"/>
    <s v="Novo tópico"/>
    <s v="Garantir a aplicabilidade das regras de comissionamento elaboradas pelos diversos canais de vendas"/>
    <x v="25"/>
    <s v="Maurício"/>
    <m/>
    <m/>
    <x v="1"/>
  </r>
  <r>
    <s v="Bill-to-cash​"/>
    <s v="Comissões de Vendas - Cálculos de Comissionamento"/>
    <s v="Novo tópico"/>
    <s v="Extração das bases de Vendas (BOV);_x000a_Aplicação das Políticas Comerciais;_x000a_Aplicação das PADAs de Campanha;_x000a_Sign Off dos valores para garantir que as não haja variações injustificadas;_x000a_Divulgação dos valores para Regionais e Canais"/>
    <x v="25"/>
    <s v="Maurício"/>
    <m/>
    <m/>
    <x v="1"/>
  </r>
  <r>
    <s v="Bill-to-cash​"/>
    <s v="Comissões de Vendas - Cálculo de IQ"/>
    <s v="Novo tópico"/>
    <s v="Extração das bases de Vendas;_x000a_Acompanhamento do Churn e Inadimplência;_x000a_Divulgação do índice para Regionais e Canais"/>
    <x v="25"/>
    <s v="Maurício"/>
    <m/>
    <m/>
    <x v="1"/>
  </r>
  <r>
    <s v="Admin personnel​"/>
    <s v="Contratação, renegociação e renovações de acordos para categorias diretas e indiretas"/>
    <s v="Novo tópico"/>
    <s v="Definir da estratégia de Sourcing e executar os processos de Procurement, incluindo negociações e renegociações de contratos."/>
    <x v="26"/>
    <s v="Luiz Felipe Mendes"/>
    <m/>
    <m/>
    <x v="1"/>
  </r>
  <r>
    <s v="Core network O&amp;M​"/>
    <s v="Gerir Contrato de Compartilhamento SPEs da ClientCo_x000a_"/>
    <s v="Novo tópico"/>
    <s v="Realizar atualização da base  PxQ (planilha de controle de sites vz valores de reembolso)"/>
    <x v="27"/>
    <s v="Ana Miguelote"/>
    <m/>
    <m/>
    <x v="1"/>
  </r>
  <r>
    <s v="Core network O&amp;M​"/>
    <s v="Gerir Contrato de Compartilhamento SPEs da ClientCo_x000a_"/>
    <s v="Novo tópico"/>
    <s v="Reunião com Compradoras para alinhamentos e tratamento de pendências"/>
    <x v="27"/>
    <s v="Ana Miguelote"/>
    <m/>
    <m/>
    <x v="1"/>
  </r>
  <r>
    <s v="Core network O&amp;M​"/>
    <s v="Gerir Contrato de Compartilhamento SPEs da ClientCo_x000a_"/>
    <s v="Novo tópico"/>
    <s v="Realizar atualização do CAR"/>
    <x v="27"/>
    <s v="Ana Miguelote"/>
    <m/>
    <m/>
    <x v="1"/>
  </r>
  <r>
    <s v="Core network O&amp;M​"/>
    <s v="Gerir Contrato de Compartilhamento SPEs da ClientCo_x000a_"/>
    <s v="Novo tópico"/>
    <s v="Emissão de NDs e lançamento no SAP"/>
    <x v="27"/>
    <s v="Ana Miguelote"/>
    <m/>
    <m/>
    <x v="1"/>
  </r>
  <r>
    <s v="Core network O&amp;M​"/>
    <s v="Gerir Contrato de Compartilhamento SPEs da ClientCo_x000a_"/>
    <s v="Novo tópico"/>
    <s v="Acompanhamento do Pagamento e Conciliação"/>
    <x v="27"/>
    <s v="Ana Miguelote"/>
    <m/>
    <m/>
    <x v="1"/>
  </r>
  <r>
    <s v="Customer care​"/>
    <s v="Gestão de solicitações Consumeristas (JEC, VARA CÍVEL, PROCON e CONSUMIDOR.GOV.BR)"/>
    <s v="Novo tópico"/>
    <s v="De acordo com as regras e parâmetros atuais, utilizando os recursos, sistemas, plataformas atuais, a Oi deverá:_x000a_- Controlar as demandas Judiciais e Administrativas do Juridico Consumidor, recebidas via e-mail ou sistemas a serem definidos, distribuir para tratamento operacional e controlar resposta para as compradoras."/>
    <x v="12"/>
    <s v="Anderson Nilson"/>
    <s v="Jurídico Consumidor/Anderson Rocha / Fabricio Martins"/>
    <m/>
    <x v="1"/>
  </r>
  <r>
    <s v="Customer care​"/>
    <s v="Análise Jurídica Consumerista e avaliação de ingresso no polo"/>
    <s v="Novo tópico"/>
    <s v="Recebimento da notificação de demanda de terceiro, analise jurídica, encaminhamento ou tratamento dos processos judiciais consumeristas com avaliação de ingresso no polo."/>
    <x v="12"/>
    <s v="Anderson Nilson"/>
    <s v="Jurídico Consumidor/Anderson Rocha / Fabricio Martins_x000a_"/>
    <m/>
    <x v="1"/>
  </r>
  <r>
    <s v="Customer data and offer management​"/>
    <s v="Construção de proposta de valor"/>
    <s v="Novo tópico"/>
    <s v="1. Definição e revisão contínua da Estratégia de atuação de marketing da Oi Fibra seguindo diretrizes de negócio bem como premissas financeiras, entre outros._x000a_2. Responsável por detalhar a entrega de valor para o cliente da Oi Fibra na visão fim a fim (ciclo de vida do cliente), em nível de detalhe e aprofundamento._x000a_3. Mapeamento do tipo de cliente (perfil, caracteristicas, segmentação, persona) para desenvolver soluções da Oi Fibra"/>
    <x v="28"/>
    <s v="Fernanda Fischer"/>
    <m/>
    <m/>
    <x v="1"/>
  </r>
  <r>
    <s v="Customer data and offer management​"/>
    <s v="Estratégia de Aquisição"/>
    <s v="Novo tópico"/>
    <s v="1. Responsável por todas as estratégias  de aquisiçãode clientes da Oi Fibra._x000a_2. Responsável por Definir a estratégia de  Produtos ofertas e serviços._x000a_3. Define e coordena a Estratégia de venda e atendimento do cliente (Omnicanalidade)"/>
    <x v="28"/>
    <s v="Fernanda Fischer"/>
    <m/>
    <m/>
    <x v="1"/>
  </r>
  <r>
    <s v="Customer data and offer management​"/>
    <s v="Estratégia de Gestão de Base de Clientes"/>
    <s v="Novo tópico"/>
    <s v="1. Responsável por todas as estratégias de Gestão da Base de cliente da Oi Fibra, considerando: _x000a_a) ações de rentabilização, retenção e blindagem e fidelização de clientes _x000a_b) ações para a gestão e redução do churn voluntário e involuntário de clientes_x000a_2. Responsável pelo acompanhamento da experiência do cliente propondo, em conjunto com a área de CX, ações de comunicação e  relacionamento com a base"/>
    <x v="28"/>
    <s v="Fernanda Fischer"/>
    <m/>
    <m/>
    <x v="1"/>
  </r>
  <r>
    <s v="Customer data and offer management​"/>
    <s v="Jornadas e Experiência do Cliente"/>
    <s v="Novo tópico"/>
    <s v="1. Definir as jornadas propostas para o cliente Oi Fibra com uma visao da sua experiência em um cadeia de valor fim a fim._x000a_2. Definir as principais métricas e Kpis para estas jornadas de modo a acompanhar a satisfação e experiência do cliente ao longo do seu ciclo de vida com a Oi._x000a_3. Propor ajustes contínuos de melhoria desta jornada a partir dos dados analisados, minimizando pontos de atrito com o cliente e maximizando valor._x000a_4. Co-construir com time de Estratégia e Proposição de Valor as jornadas garantindo que estas  sejam viáveis economicamente para a Oi.*_x000a_5. Mapear e propor, em conjunto com as áreas, melhorias nos processos que impactam as jornadas dos clientes_x000a_6. Responsável pela estratégia e gestão das pesquisas de experiência e satisfação do cliente (NPS, CSAT e outras), co-construindo ações com as áreas responsáveis, que impacte na melhoria da satisfação dos clientes em cada uma das etapas da jornada. "/>
    <x v="28"/>
    <s v="Fernanda Fischer"/>
    <m/>
    <m/>
    <x v="1"/>
  </r>
  <r>
    <s v="Customer data and offer management​"/>
    <s v="Estratégia de Portfólio (produto, pricing e ofertas)"/>
    <s v="Novo tópico"/>
    <s v="1. Definição da estratégia do Portfolio Oi Fibra, incluindo ofertas, serviços de valor agregado e produtos (SVA) para aquisição e base_x000a_2. Definição da estratégiado de Go to Market, incluindo estratégia de pricing (produto/sva/tributação)_x000a_3. Definição do publico alvo a partir clusterização de clientes prospect (através do mapeamento da concorrência) ou Base Pre definida para a Oi Fibra._x000a_4. Qual o canal ou praça este produto, serviço e oferta será disponibilizado ao cliente da Oi Fibra."/>
    <x v="28"/>
    <s v="Fernanda Fischer"/>
    <m/>
    <m/>
    <x v="1"/>
  </r>
  <r>
    <s v="Customer data and offer management​"/>
    <s v="Desenvolvimento de negócios e produtos"/>
    <s v="Novo tópico"/>
    <s v="1. Viabilizar e coordenar a implantação de produtos e serviços através das plataformas existentes ou a partir de novas soluções, viabilizando a comercialização do portfólio estratégicos da companhia:_x000a_2. Definir e alinhar priorização de requisitos (MVP)_x000a_3. Elaborar projeto e cronograma de implantação_x000a_4. Coordenar o processo de Business Simulation, homologando as entregas funcionais_x000a_5. Gestão da Mudança (rollout) junto as áreas impactadas_x000a_6. Gestão de backlog e orçamento de projeto"/>
    <x v="28"/>
    <s v="Fernanda Fischer"/>
    <m/>
    <m/>
    <x v="1"/>
  </r>
  <r>
    <s v="Customer data and offer management​"/>
    <s v="Estratégia de Devices / ONT"/>
    <s v="Novo tópico"/>
    <s v="1. Avaliação das características técnicas dos devices que compoem o produto Oi Fibra_x000a_2. Avaliação de custos de devices_x000a_3. Avaliação de performance de devices_x000a_4. Mapeamento da concorrência – benchmarking_x000a_5. Implementar as diretrizes de comunicação na ONT_x000a_6. Definição de direcionadores para aquisição de equipamentos, incluindo total cost para a Oi_x000a_"/>
    <x v="28"/>
    <s v="Fernanda Fischer"/>
    <m/>
    <m/>
    <x v="1"/>
  </r>
  <r>
    <s v="Customer data and offer management​"/>
    <s v="Comunicação Institucional"/>
    <s v="Novo tópico"/>
    <s v="1. Responsável pela Estratégia, gestão e relacionamento  com imprensa  para fomentar as ambições de negocio da Nova Oi e seus clientes._x000a_2. Responsável pela gestão e elaboração dos releases de negócio / regionais para imprensa relacionados ao negócio da Oi Fibra._x000a_3. Responsável pela co-construção de realeases, eventos e patrocínios que potencializem a reputação da Oi frente à imprensa e formadores de opinião._x000a_"/>
    <x v="28"/>
    <s v="Fernanda Fischer"/>
    <m/>
    <m/>
    <x v="1"/>
  </r>
  <r>
    <s v="Customer data and offer management​"/>
    <s v="Comunicação (marca)"/>
    <s v="Novo tópico"/>
    <s v="1. Responsável por desenvolver estratégia de marca da Oi de acordo com a visão e missão da empresa._x000a_2. Criação e gestão de ativos de marca_x000a_3. Garantir que todas as mensagens de comunicação estejam alinhadas aos guidelines de Marca._x000a_4. Garantir a gestão, criação e distribuição de conteúdo para  todas as plataformas proprietárias Oi (redes sociais, blog), além da gestão, criação e distribuição de conteúdos junto a parceiros de comunicação / influenciadores_x000a_"/>
    <x v="28"/>
    <s v="Fernanda Fischer"/>
    <m/>
    <m/>
    <x v="1"/>
  </r>
  <r>
    <s v="Customer data and offer management​"/>
    <s v="Estratégia de negociação e compra de mídia"/>
    <s v="Novo tópico"/>
    <s v="1. Responsável pela  gestão  dos principais meios de mídia online e off-line alinhado a estratégia de negócio e comunicação da companhia._x000a_2. Negociação   com agências e veículos para compra de mídia online e off-line buscando sempre a eficiência e o melhor mix de meios._x000a_3. Responsável pelo planejamento de campanhas criando os planos de mídia  on /off  da Oi Fibra e institucional._x000a_4. Gestão direta sobre a estratégia e  resultados de mídia paga de canais receptivos (fibra, oi place e novas soluções) e-commerce de fibra com definição dos veículos utilizados medindo as performances de venda, CPA e dispersão._x000a_5. Elaboração das informações detalhadas dos KPIs de campanha de awareness e performance da companhia_x000a_6. Garantir separação de xml por produto junto à TI para mensuração e efetividade dos canais_x000a_"/>
    <x v="28"/>
    <s v="Fernanda Fischer"/>
    <m/>
    <m/>
    <x v="1"/>
  </r>
  <r>
    <s v="Customer data and offer management​"/>
    <s v="Trade Marketing"/>
    <s v="Novo tópico"/>
    <s v="1. Responsável por diferenciar produtos e serviços no ponto de venda para maximizar  resultados._x000a_2. Desdobramento da Estratégia da comunicação padronizada por canal e região, executando ações para maximização de vendas por região._x000a_3. Negociação e compras de mídia Regional a partir das diretrizes de comunicação. [MF 6.3.2]_x000a_4. Coordenar analises e abordagens regionais de mercado identificando contextos que impactem os clientes._x000a_5. Desenvolvimento e coordenação das campanhas de incentivo regionais para potencializar as vendas em todos os canais, alinhado as politicas comerciais._x000a_"/>
    <x v="28"/>
    <s v="Fernanda Fischer"/>
    <m/>
    <m/>
    <x v="1"/>
  </r>
  <r>
    <s v="Customer data and offer management​"/>
    <s v="Comunicação (mídia de performance)"/>
    <s v="Novo tópico"/>
    <s v="1. Alavancar as vendas dos canais receptivos de produtos e serviços Oi com eficiência, minimizando a dispersão de cobertura, considerando a granularidade do negócio._x000a_2. Maximizar a volumetria dos canais receptivos_x000a_3. Responsável pelo relacionamento com a agencia de mídia digital._x000a_4. Criação de campanhas digitais que maximizem os canais receptivos em conjunto com agência._x000a_5. Busca de novos formatos  de mídia com objetivo de performance_x000a_"/>
    <x v="28"/>
    <s v="Fernanda Fischer"/>
    <m/>
    <m/>
    <x v="1"/>
  </r>
  <r>
    <s v="Customer data and offer management​"/>
    <s v="Estratégia de ferramentas, soluções e plataformas"/>
    <s v="Novo tópico"/>
    <s v="1. Garantir que a estratégia de Negócio esteja refletida nos processos e ferramentas dos canais de venda / atendimento_x000a_2. Interface entre as áreas op. (regionais e canais de aquisição / atendimento / operações) para identificar necessidades de negócio e traduzir em soluções de processos e ferramentas _x000a_3. Propor melhorias para evolução das soluções (RTD, Order Entry, APP PAP), priorizando uma relação Omnichanel entre os canais_x000a_4. Priorizar as diferentes soluções propostas com base no VPL e foco estratégico_x000a_5. Especificar e viabilizar em conjunto com TI soluções de ferramentas sistêmicas que permitam maior otimização e eficiência operacional dos processos de venda/ Atendimento (foco em digitalização)_x000a_6. Automatização: Identificar melhorias contínuas nos processos e sistemas com foco em redução/eliminação de custos com Back Offices, sempre buscando a melhor experiência_x000a_"/>
    <x v="28"/>
    <s v="Fernanda Fischer"/>
    <m/>
    <m/>
    <x v="1"/>
  </r>
  <r>
    <s v="Customer data and offer management​"/>
    <s v="Operacionalização da Estratégia de Portfolio"/>
    <s v="Novo tópico"/>
    <s v="1. Implementação de parâmetros operacionais para mailing: tabelas de oferta e layout para compatibilidade com canal_x000a_2. Execução e implantação das ofertas através da aprovação (jurídico, regulatório e tributário) e configuração de ofertas com parâmetros para Otimização de ARPU_x000a_3. Gestão e configuração do portfólio de oferta por pdv/canal_x000a_4. Suporte para construção de materiais de capacitação de produtos e ofertas_x000a_6. Coordenação da implantação de novas ofertas_x000a_7. Acompanhamento de performance KPIs_x000a__x000a_"/>
    <x v="28"/>
    <s v="Fernanda Fischer"/>
    <m/>
    <m/>
    <x v="1"/>
  </r>
  <r>
    <s v="Application and data management​"/>
    <s v="Monitoramento da experiência do cliente"/>
    <s v="Novo tópico"/>
    <s v="1. Monitoramento dos principais KPI que refletem a experiência nas jornadas (contestação, ST, etc.)_x000a_2. Estabelecer as correlações dos principais indicadores com a Experiência do Cliente_x000a_3. Pesquisas ativas da satisfação e das jornadas_x000a_4. Gera o indicador NPS Global_x000a_5. Gera o indicador NPS das Jornadas_x000a_6. Pesquisas Ad Hoc_x000a_7. Definir as referencia para os KPIs da experiência_x000a_8. Aprofundamento, análises, conhecimento do cliente e insights para transformação da jornada do cliente_x000a_9. Acompanhar e Diagnosticar indicadores Regulatório, Rankings e consumidor.gov_x000a_10. Garante retroalimentação do monitoramento para  empresa inteira "/>
    <x v="28"/>
    <s v="Fernanda Fischer"/>
    <m/>
    <m/>
    <x v="1"/>
  </r>
  <r>
    <s v="Customer data and offer management​"/>
    <s v="Patrocínio e Experiência"/>
    <s v="Novo tópico"/>
    <s v="1. Interagir com diferentes stakeholders, desenvolvendo  patrocínios/ eventos  que fortaleçam a reputação da marca  incentivando crescimento sustentável da empresa.]_x000a_2. Aumentar o awareness de fibra e presença regional  criando eventos._x000a_3. Co-criação com Trade para projetos de experiência regional_x000a_4. Criação e gestão  de projetos incentivados para Oi _x000a_5. Alinhamento com Oi futuro para melhor integração das marcas e geração de oportunidades"/>
    <x v="28"/>
    <s v="Fernanda Fischer"/>
    <m/>
    <m/>
    <x v="1"/>
  </r>
  <r>
    <s v="Customer data and offer management​"/>
    <s v="Gestão de contratos e pagamentos de parceiros de comunicação"/>
    <s v="Novo tópico"/>
    <s v="1. Interface com a controladoria relacionada ao centro de custo da diretoria de comunicação para reports oficiais e visões gerenciais do orçamento. (atualmente ainda pacote PP e com corp) _x000a_2. Definição e acompanhamento de processos para pagamentos da área. Controle de orçamento mensal e trimestral de PP e comcorp, incluindo forecast._x000a_3. Controle das especificidades dos pagamentos de mídia (via agencia, prazos diferentes por meio etc).Validação de RCs por cada frente: produção, mídia, trademarketing e pesquisas de marca._x000a_4. Controle de verba de mídia de pacotes adjacentes (exemplos: DRC e Operações)_x000a_5. Gestão de contratos  -  verba e processo de pagamento dos fees incluindo success fee (agencias, parceiros e institutos)"/>
    <x v="28"/>
    <s v="Fernanda Fischer"/>
    <m/>
    <m/>
    <x v="1"/>
  </r>
  <r>
    <s v="Customer data and offer management​"/>
    <s v="Planejamento de Vendas, Canais e S&amp;OP"/>
    <s v="Novo tópico"/>
    <s v="1. Garantir o ciclo de previsão de vendas e instalação dos processos de planejamento operacional de vendas incluindo metas (POVE) e S&amp;OP - Sales and Operations Planning), abrangendo as Diretrizes da Oi Fibra e todos as premissas Comerciais (produtos, ofertas, capacidade de vendas de todos os canais e regionais, disponibilidade de rede por região) em conjunto com a Oi Fibra e Canais/Regionais._x000a_2. Responsável por discutir e definir com o time de operações (Oi e Redes Neutras) a capacidade de instalação por ciclos quadrimestrais. (avaliar ajustes)._x000a_3. Planejamento e desdobramento orçamentário de gross._x000a_4. Suporte ao modelo de roteirização, capacidade de vendas e delimitação das células de atuação._x000a_5. Gestão do Custo Mínimo em garantia (S&amp;OP x realização)_x000a_6. Co-estruturar junto ao trade a confecção da mecânica da campanha de incentivo de toda a força de vendas interna e externa bem como a apuração dos resultados._x000a_"/>
    <x v="28"/>
    <s v="Fernanda Fischer"/>
    <m/>
    <m/>
    <x v="1"/>
  </r>
  <r>
    <s v="Customer data and offer management​"/>
    <s v="Desenvolvimento, estruturação e implementação de Canais"/>
    <s v="Novo tópico"/>
    <s v="1. Definir políticas, processos e procedimentos dos canais offline (PAP, PAPEPS, Teleagentes, entre outros);_x000a_2. Definir Política Comercial que garanta sustentabilidade da rede de distribuição e alcance as metas de vendas, receita, qualidade e gestão de custos;_x000a_3. Definir política de remuneração visando Buscar padrão de excelência no atendimento aos clientes, alinhados com a proposta de valor da Oi Fibra._x000a_4. Garantir alavancas que garantam maior produtividade e qualidade aos canais_x000a_5. Identificar oportunidades de negócio pela otimização dos canais existentes ou desenvolvimento de novos canais_x000a_6. Coordenação Nacional dos canais com base nos indicadores de negócios (Produtividade, Qualidade das vendas, CAPU, Rentabilidade, Capilaridade, Resultados operacionais, etc.)_x000a_7. Implantar mecanismos para medir aderência dos PDVs aos processos e práticas definidos pelo Canal e demais áreas da companhia._x000a_8. Especificar e utilizar ferramentas de avaliação de desempenho dos Canais e Jornada de Venda_x000a_9. Identificar necessidades de revisão/modificação da trilha de capacitação incentivando crescimento individual e da equipe_x000a_10. Demandar desenvolvimento de materiais de trade e capacitação_x000a_11. Garantir a comunicação entre os Canais e demais áreas da companhia"/>
    <x v="28"/>
    <s v="Fernanda Fischer"/>
    <m/>
    <m/>
    <x v="1"/>
  </r>
  <r>
    <s v="Customer data and offer management​"/>
    <s v="Operação de Canais Nacionais de Vendas"/>
    <s v="Novo tópico"/>
    <s v="1. Gestão de relacionamento com EPS e parceiros de vendas nacionais (WEB/Afiliados/Grande Varejo/TLV)_x000a_2. Prospecção de novos parceiros e gestão de parceiros de vendas nacionais_x000a_3. Responsável pela entrega do resultado dos canais (gestão da performance)_x000a_4.Gerir e acompanhar os principais indicadores de qualidade (churn, FPD, aproveitamento e eficácia)_x000a_5. Gestão dos indicadores operacionais do dia-a-dia da operação (quartil, tx. de conversão, produtividade, TMA, TMV, etc)_x000a_6. Gestão do funil de vendas_x000a_7. Otimizar a relação dimensionamento x custo x disponibilidade de mailing por EPS/Operação_x000a_8. Garantir a adequação as demandas Regulatórias/Anatel_x000a_9. Especificação do modelo de atuação e rotina operacional  dos canais (acessos, procedimentos, processos, etc)_x000a_"/>
    <x v="28"/>
    <s v="Fernanda Fischer"/>
    <m/>
    <m/>
    <x v="1"/>
  </r>
  <r>
    <s v="Customer data and offer management​"/>
    <s v="Operação de canais Regionais de Vendas"/>
    <s v="Novo tópico"/>
    <s v="1. Operar os canais regionais de vendas desdobrando as estratégias da Oi Fibra garantindo aderência aos processos e ferramentas _x000a_2. Garantir a Aderência dos parceiros em relação modelo de gestão Oi (gestão operacional, ambientação, apresentação pessoal, etc)_x000a_3. Entregar resultados nos Canais de Vendas Regionais (operacionais, qualidade, receita, custo, etc) através de acompanhamento diário de indicadores_x000a_4. Gestão de capilaridade e produtividade dos canais regionais_x000a_5. Dimensionamento de parceiros para entrega de resultados_x000a_6. Esteira de prospecção e credenciamento de novos parceiros_x000a_7. Fomento de campanhas e ações de vendas visando aceleração de resultados e/ou KPIs específicos _x000a_8. Garantir adequação dos canais de vendas regionais frente as regras da Anatel e Órgãos de Defesa do Cliente_x000a__x000a_"/>
    <x v="28"/>
    <s v="Fernanda Fischer"/>
    <m/>
    <m/>
    <x v="1"/>
  </r>
  <r>
    <s v="Customer data and offer management​"/>
    <s v="Operação de trade regional"/>
    <s v="Novo tópico"/>
    <s v="1. Executar as atividades de Trade garantindo visibilidade das ofertas e benefícios aos Clientes conforme estratégia;_x000a_2. Padronização e aderência das comunicações, estruturação dos PDVs e outras formas de contato com o Cliente conforme estratégia de comunicação e diretrizes da Oi Fibra;_x000a_3. Planejamento, produção e logística dos enxovais de campanhas e comunicações de todos os canais de vendas._x000a_4. Gerir orçamentos de verbas regionais (SAV, MAV, VPC e Mídia) com ganhos de rentabilização e gestão de contratos dos fornecedores (agencias, gráfica)_x000a_5. Engajar os times de vendas na alavancagem de resultados e disseminação da cultura organizacional através de campanhas de incentivo e endomarketing_x000a_6. Benchmark de produtos, oferta e comunicação dos concorrentes _x000a_7. Suporte aos Canais de vendas no planejamento e execução das ações de vendas._x000a_8. Gerir a visibilidade das ofertas e serviços através de canais de comunicação/veículos de mídias regionalizadas com alto impacto, frequência, visibilidade, rentabilização e convergência_x000a_"/>
    <x v="28"/>
    <s v="Fernanda Fischer"/>
    <m/>
    <m/>
    <x v="1"/>
  </r>
  <r>
    <s v="Customer data and offer management​"/>
    <s v="Planejamento das operações de vendas regionais"/>
    <s v="Novo tópico"/>
    <s v="1. Gerar informacional dos indicadores suportando a gestão da rotina e resultados (operacionais, qualidade, receita, despesas)_x000a_2. Disponibilização dos indicadores de suporte ao negócio (VL, gross, produtividade, capilaridade, quartil, eficácia, FPD, churn, INAD, IQ, custos, saúde financeira, acurácia, TKP)_x000a_3. Elaboração e desdobramento das metas POVE e Remuneração Variável de forma granular (UF, cidade, parceiro, GV, GC) _x000a_4. Diagnóstico dos desvios com mapeamento das oportunidades e melhorias (PDCA/SDCA)_x000a_5. Participação na construção do plano de HPs regional de curto e longo Prazo_x000a_6. apoiar no mapeamento da concorrência [MF4-1]_x000a_7. Suporte a Gestão regional (i), canais nacionais (ii), confecção de materiais, painéis de controle, padronização entre Regiões e GVs"/>
    <x v="28"/>
    <s v="Fernanda Fischer"/>
    <m/>
    <m/>
    <x v="1"/>
  </r>
  <r>
    <s v="Customer data and offer management​"/>
    <s v="Planejamento das operações de base"/>
    <s v="Novo tópico"/>
    <s v="1. Garantir aderência dos contratos à estratégia dos canais de relacionamento da Oi Fibra, refletindo em menor preço e maior qualidade através de RFP’s e revisão dos contratos/prestadores atuais e avaliação de novos parceiros._x000a_2. Criação e gestão de Orçamento/budget Opex das operações_x000a_3. Apuração do faturamento de todos os contratos (apuração, emissão de pedidos, acompanhamento fim a fim do fluxo de pagamento dos fornecedores)._x000a_4. Responsável pelo Forecast de chamadas para todas as operações (call Center), garantindo o alinhamento da estratégia Oi _x000a_5. Monitorar e gerenciar o roteamento das chamadas (24 x 7) entre todos os parceiros (EPSs), garantindo o equilíbrio do nível de serviço entre os parceiro_x000a_6. Gerenciar a distribuição e migrações de volume no ambiente Oi (roteamento)_x000a_7. Acompanhamento, suporte e ações para correção de desvios com as áreas de Planejamento de cada fornecedor e áreas de operação_x000a_8. Gerar informacional dos indicadores suportando a gestão da rotina e resultados (operacionais, qualidade, despesas)_x000a_9. Criação e gestão de Orçamento/budget Capex do canal_x000a_10. Gestão de demandas Regulatórias (Não perturbe, cautelar, etc)_x000a_11. Cadastramento de novos parceiros"/>
    <x v="28"/>
    <s v="Fernanda Fischer"/>
    <m/>
    <m/>
    <x v="1"/>
  </r>
  <r>
    <s v="Customer data and offer management​"/>
    <s v="Acompanhamento e Recuperação da cadeia de instalação do cliente (CRV)"/>
    <s v="Novo tópico"/>
    <s v="1. Garantir eficiência na Instalação, com maior agilidade no tratamento das pendências, reduzindo atrito com o cliente e custos de reagendamento, em conjunto com os times de Operações, Vendas, Planejamento e Parceiro de Rede Neutra._x000a_2. Monitorar as Ordens de Instalação e Serviço em pendenciamento cliente e parte das pendências técnicas;_x000a_3. Garantir o tratamento de pendenciamento seja executado conforme diretrizes estratégicas da Oi Fibra seguindo segmentação de clientes;_x000a_4. Realizar a gestão do pendenciamento na esteira de obra e slots para agendamento;  _x000a_5. Realizar a interface com o cliente para agendamento e tratamento das pendencias_x000a_6. Suportar o técnico em campo no tratamento de Correção de OS, Reagendamento e Desistência do Cliente;_x000a_7. Suportar o time de Vendas contingenciando falhas sistêmicas_x000a_"/>
    <x v="28"/>
    <s v="Fernanda Fischer"/>
    <m/>
    <m/>
    <x v="1"/>
  </r>
  <r>
    <s v="Customer data and offer management​"/>
    <s v="Operação de Fidelização e Rentabilização"/>
    <s v="Novo tópico"/>
    <s v="1. Gestão de relacionamento com EPS e parceiros (Canais Digitais e Humanos)_x000a_2. Garantir a implementação da estratégia em todos os canais_x000a_3. Prospecção de novos parceiros e soluções_x000a_4. Responsável pela entrega do resultado dos canais_x000a_5. Gerir e acompanhar os principais indicadores de qualidade e performance_x000a_6. Gestão dos indicadores operacionais do dia-a-dia da operação (quartil, tx. de conversão, produtividade, TMA, TMV, etc)_x000a_7. Gestão do funil de rentabilização/fidelização_x000a_8. Otimizar a relação dimensionamento x custo x disponibilidade de mailing pelos Canais_x000a_9. Execução de pilotos e novas iniciativas_x000a_10. Garantir a adequação as demandas Regulatórias/Anatel_x000a_11. P&amp;L e LTV do Canal_x000a_12. Definição da politica de remuneração_x000a_13. Especificação do modelo de atuação e rotina operacional  dos canais (acessos, procedimentos, processos, campanhas, etc)_x000a_14. Gestão contratual dos parceiros/ferramentas"/>
    <x v="28"/>
    <s v="Fernanda Fischer"/>
    <m/>
    <m/>
    <x v="1"/>
  </r>
  <r>
    <s v="Customer care​"/>
    <s v="Operações de Atendimento"/>
    <s v="Novo tópico"/>
    <s v="1. Responsável por coordenar junto às EPSs e parceiros (canais digitais e humanos) o atendimento aos clientes da Oi Fibra _x000a_2. Garantir a implementação da estratégia em todos os canais digitais e humanos_x000a_3. Quando necessario, responsável por prospectar de novos parceiros e soluções_x000a_4. Responsável pela gestão de resultados de todos os indicadores das operações de atendimento (quartil, FCR, nota de satisfação, tx. de conversão, produtividade, TMA, rate, etc)_x000a_5. Gestão do atendimento eletrônico (URA)_x000a_6. Otimizar a relação dimensionamento x custo x disponibilidade de mailing pelos Canais_x000a_7. Execução de pilotos e novas iniciativas_x000a_8. Garantir a adequação as demandas Regulatórias/Anatel_x000a_9. Especificação do modelo de atuação e rotina operacional  dos canais (acessos, procedimentos, processos, campanhas, etc)_x000a_10. Gestão contratual dos parceiros/ferramentas"/>
    <x v="28"/>
    <s v="Fernanda Fischer"/>
    <m/>
    <m/>
    <x v="1"/>
  </r>
  <r>
    <s v="Customer care​"/>
    <s v="Operação de Ouvidoria"/>
    <s v="Novo tópico"/>
    <s v="1. Implementar a estratégia de atuação nas operações de Ouvidoria (Ouvidoria e BO Anatel)_x000a_2. Quando necessário, fazer relacionamento com Anatel_x000a_3. Retroalimentar as áreas internas para endereçar a causa raiz dos problemas dos clientes identiuficados em atendimentos e reclamações_x000a_4. Garantir a adequação as demandas Regulatórias / Anatel_x000a_5. Gestão de relacionamento com EPS e parceiros_x000a_6. Responsável pela entrega do resultado conforme metas definidas pela Anatel_x000a_7. Gerir e acompanhar os principais indicadores de qualidade e performance_x000a_8. Dimensionamento da operação para garantir Nivel de Serviço_x000a_9. Especificação da rotina operacional  dos canais (acessos, procedimentos, processos, campanhas, etc)_x000a_10. Gestão contratual dos parceiros/ferramentas"/>
    <x v="28"/>
    <s v="Fernanda Fischer"/>
    <m/>
    <m/>
    <x v="1"/>
  </r>
  <r>
    <s v="Customer care​"/>
    <s v="Operação de Retenção"/>
    <s v="Novo tópico"/>
    <s v="1. Gestão de relacionamento com EPS e parceiros (Canais Digitais e Humanos)_x000a_2. Garantir a implementação da estratégia em todos os canais (Ativo, Receptivo, RACO e App)_x000a_3. Prospecção de novos parceiros e soluções_x000a_4. Responsável pela entrega do resultado dos canais_x000a_5. Gerir e acompanhar os principais indicadores de qualidade e performance_x000a_6. Gestão dos indicadores operacionais do dia-a-dia da operação (quartil, tx. de cancelamento, delta ticket, NS, receita retida, etc)_x000a_7. Gestão do funil de retenção_x000a_8. Otimizar a relação dimensionamento x custo x tx retenção_x000a_9. Operacionalização da estratégia de ativo de reversão_x000a_10. Execução de pilotos e novas iniciativas_x000a_11. Garantir a adequação as demandas Regulatórias/Anatel_x000a_12. P&amp;L e LTV da operação_x000a_13. Definição da politica de remuneração_x000a_14. Especificação do modelo de atuação e rotina operacional  dos canais (acessos, procedimentos, processos, campanhas, etc)_x000a_15. Gestão contratual dos parceiros/ferramentas"/>
    <x v="28"/>
    <s v="Fernanda Fischer"/>
    <m/>
    <m/>
    <x v="1"/>
  </r>
  <r>
    <s v="Customer care​"/>
    <s v="Estratégia e operação da comunicação com o cliente"/>
    <s v="Novo tópico"/>
    <s v="1. Desenvolvimento das jornadas de comunicação com clientes através de canais diretos como e-mail, SMS, WhatsApp, Push, etc) com objetivos:_x000a_2. Comerciais (vender, rentabilizar e blindar)_x000a_3. Transacionais (faturar, cobrar, agendar...)_x000a_4. Relacionais (engajar, celebrar, reconhecer)_x000a_5. Care/Incentivos (meio de pagto, uso,...)_x000a_6. Definição da estratégia operacional para otimização do resultado (volume de disparos, melhor horário, recorrência...)_x000a_7. Martech: Estruturação do MKT Cloud operacionalizando estratégia da Oi Fibra, segmentação de disparos e implantação de estratégia de CRM (IPs, Reputação, Lógica)_x000a_8. Parametrização dos dashboards com os principais indicadores de sucesso e gestão na ferramenta"/>
    <x v="28"/>
    <s v="Fernanda Fischer"/>
    <m/>
    <m/>
    <x v="1"/>
  </r>
  <r>
    <s v="Customer data and offer management​"/>
    <s v="Estratégia de HP / Definição da demanda de HP e Geomarketing"/>
    <s v="Novo tópico"/>
    <s v="1. Definição da estratégia de disponibilização de HP por região, alinhada à estratégia de aquisição de clientes da Oi Fibra_x000a_2. Implementar e gerenciar processo que garantam direcionamento eficiente de investimentos (Opex) de expansão de rede da Oi Fibra_x000a_3. Gestão para Garantir em conjunto com operações e Parceiro de rede neutra  a execução do plano de construção de rede dentro do plano definido, potencializando a performance de Vendas_x000a_4. Acompanhar a Gestão de qualidade dos HPs construidos (cadastros, S/N, solicitados, viabilidade, etc), bem como sua taxa de ocupação_x000a_5. Atendimento aos CDDs de Geomarketing_x000a_6. Criar inteligência de identificação de mercado potenciais a serem atendidos com maior capilaridade de Fibra com melhorias da Oi Fibra_x000a_7.Identificar oportunidades de mercado na planta de HPs implantados para melhoria de performance e redução do custo de MakeWhole (MW) da Oi Fibra_x000a_8. Gestão/Validação do custo de MakeWhole (MW)  no contrato juto ao Parceiro de rede neutra_x000a_9. Controle de performance de Take Up"/>
    <x v="28"/>
    <s v="Fernanda Fischer"/>
    <m/>
    <m/>
    <x v="1"/>
  </r>
  <r>
    <s v="Customer data and offer management​"/>
    <s v="Liberação comercial de HP"/>
    <s v="Novo tópico"/>
    <s v="1. Mapear principais etapas e estruturar processo de liberação comercial de Novas Localidades, Municípios e e/ou Estações de Fibra de acordo com as diretrizes da Oi Fibra._x000a_2. Garantir a mobilização das diversas áreas OI e interface com o fornecedor de rede neutra (Ex.:Vtal) para a execução das atividades do checklist de novas localidades FTTH e o lançamento na data planejada._x000a_3. Definir e monitorar os SLAs de cada etapa, atuando como PMO na coordenação das atividades e correção dos desvios._x000a_"/>
    <x v="28"/>
    <s v="Fernanda Fischer"/>
    <m/>
    <m/>
    <x v="1"/>
  </r>
  <r>
    <s v="Customer data and offer management​"/>
    <s v="Operação orçamentária (pagamento de parceiros / comissionamento / compra de conteúdo / revenue assurance / controladoria)"/>
    <s v="Novo tópico"/>
    <s v="1. Responsável pela estratégia orçamentária da Operação Oi Fibra, garantindo as diretrizes corporativas, bem como a execução operacional do serviço ao cliente"/>
    <x v="28"/>
    <s v="Fernanda Fischer"/>
    <m/>
    <m/>
    <x v="1"/>
  </r>
  <r>
    <s v="Customer data and offer management​"/>
    <s v="Planejamento e Desempenho operacional da Oi Fibra (Planejamento de receita, despesa e gestão da rentabilidade)"/>
    <s v="Novo tópico"/>
    <s v="1. Garantir Planejamento e gestão da performance de resultados da Diretoria da Oi Fibra nas suas diversas dimensões de Receita, despesas e físicos e seus indicadores chaves (vendas, instalação, qualidade, churn, arpu, conteúdo &amp; SVA, etc) alinhado a estratégia e a sustentabilidade de negócio da Cia._x000a_2. Apurar e acompanhar toda a performance das Oi Fibra apontando possíveis causas dos resultados identificados gerando diagnósticos para tomada de decisão do negócio, seja com foco nas oportunidades ou ações de correção_x000a_3. Responsável por gerar e acompanhar o orçamento (receita, despesa e físico) consolidado, assim como todo Forcast_x000a_4. Responsável por elaborar prévias/projeções dos físicos e receita e analise dos desvios _x000a_5. Suportar a Cia com materiais para os fóruns de governança_x000a_"/>
    <x v="28"/>
    <s v="Fernanda Fischer"/>
    <m/>
    <m/>
    <x v="1"/>
  </r>
  <r>
    <s v="Customer data and offer management​"/>
    <s v="Operação de Comissionamento e Remuneração"/>
    <s v="Novo tópico"/>
    <s v="1. Operacionalização da estratégia de comissão definida pelos Canais de Vendas (ex.: PC e IQ) e Relacionamento_x000a_3. Apurar e comunicar informações aos parceiros (valores e detalhamento linha-a-linha)_x000a_5. Responsável pela definição do fluxo e análise das contestações de comissão pelos parceiros_x000a_6. Gestão de pagamento de Nota Fiscal junto ao Posto Fiscal_x000a_7. Encontro de comissão/retenção de comissões referente a finalização de contrato_x000a_8. Operacionalização e comunicação das políticas de RV para a força de vendas (regionais/canais) e RH: envio de target de atingimento para pagamento e acompanhamento _x000a_9. Operacionalização de Campanhas dos Canais, como também a apuração e pagamento._x000a_10. Operacionalização da estratégia de comissão de Conteúdo e SVA"/>
    <x v="28"/>
    <s v="Fernanda Fischer"/>
    <m/>
    <m/>
    <x v="1"/>
  </r>
  <r>
    <s v="Customer data and offer management​"/>
    <s v="Customer Knowledge (operacional - gerenciamento da base de dados - casa / perfil de cliente / contato / já foi cliente"/>
    <s v="Novo tópico"/>
    <s v="1. Garantir a confiabilidade, disponibilidade, abrangência e recência dos dados e Inform._x000a_2. Viabilizar e apoiar nas análises exploratórias, descritivas e inferenciais, para o negócio_x000a_3. Apoiar consultivamente nas discussões e implementar KPI para o acompanhamento dos resultados dos processos de negócio na Cia e tomada de decisão_x000a_4. A partir das definições de negócio, estruturar as jornadas dos clientes (martech), em modelo ágil, configurando e acompanhando resultados, para possibilitar a melhoria contínua, bem como campanhas por DBM_x000a_5. Acelerar e viabilizar modelos de recomendações, preditivos e arquétipos, aplicado ao negócio e operações da Cia._x000a__x000a_"/>
    <x v="28"/>
    <s v="Fernanda Fischer"/>
    <m/>
    <m/>
    <x v="1"/>
  </r>
  <r>
    <s v="Customer data and offer management​"/>
    <s v="Gestão de Contratos"/>
    <s v="Novo tópico"/>
    <s v="1. Interface com a controladoria para reports oficiais e visões gerenciais do orçamento_x000a_2. Definição e acompanhamento de processos para pagamentos das áreas, incluindo forecast._x000a_3. Gestão de contratos  -  verba e processo de pagamento "/>
    <x v="28"/>
    <s v="Fernanda Fischer"/>
    <m/>
    <m/>
    <x v="1"/>
  </r>
  <r>
    <s v="Customer data and offer management​"/>
    <s v="Agilidade Organizacional"/>
    <s v="Novo tópico"/>
    <s v="1. Estruturar e Implementar times em torno das diretrizes de portfolio e fluxos de valor para garantir a execução das prioridades da Oi_x000a_2. Definir e implementar as melhores práticas de fluxos, ritos e modelos de trabalho, adequando suas aplicações de acordo com a maturidade ágil das equipes, habilitando e evoluindo essa competência na organização;_x000a_3. Habilitar todos os papéis ágeis necessários para impulsionar o Business Agility na Oi, tais como Business Owner, PO, líderes de times ágeis (mesas, PODs, Etc), facilitadores de times ágeis_x000a_4. Co-constrói e Implementa as melhores praticas para o desenvolvimento de produtos e soluções de forma ágil_x000a_5. Acompanhar e monitorar a evolução da maturidade ágil na Oi Fibra, a partir de indicadores_x000a_6. Co-constrói estratégias de gestão da mudança, engajamento e capacitação para a cultura Lean-Ágil"/>
    <x v="28"/>
    <s v="Fernanda Fischer"/>
    <m/>
    <m/>
    <x v="1"/>
  </r>
  <r>
    <s v="Customer data and offer management​"/>
    <s v="Gestão de Portfolio, Governança e Métricas de Valor"/>
    <s v="Novo tópico"/>
    <s v="1. Responsável por definir e implementar Modelo de Gestão e Governança na Oi Fibra;_x000a_2. Responsável por implementar a competência Lean Portfolio Management (LPM) na Oi Fibra, coordenando com stakeholders, ritos e cerimonias de gestão de portfolio;_x000a_3. Responsável pela definição e gestão do Sistema de Informações de Gerenciamento de Valor (SIGV), com  ferramentas e métricas de gerenciamento do trabalho da Oi Fibra, buscando aumentar a maturidade ágil e a fluidez organizacional;_x000a_4. Gestão dos programas da Oi Fibra a partir dos desdobramentos do portfólio;_x000a_5. Coordenar a definição dos OKRs estratégicos da Oi Fibra;_x000a_6. Propor todos os artefatos necessários para a realização dos ritos;_x000a_7. Gestão da capacidade para a alocação dos times e execução das do portfolio (co-construir processo com áreas envolvidas)"/>
    <x v="28"/>
    <s v="Fernanda Fischer"/>
    <m/>
    <m/>
    <x v="1"/>
  </r>
  <r>
    <s v="Customer data and offer management​"/>
    <s v="Gestão de qualidade de vendas"/>
    <s v="Novo tópico"/>
    <s v="1. Planejar e estruturar o modelo de Qualidade de vendas por meio de indicadores de negócio (quantitativos e qualitativos) com visão analítica e geração de alarmística com abrangência em todos os canais e regionais de vendas, assim como Monitorar e diagnosticar desvios _x000a_2. Indicar oportunidades de processos a fim de sugerir as ações necessárias com o objetivo de maximizar os resultados da Oi e a satisfação dos Clientes da Oi Fibra, atuando para sua permanente otimização (da prospecção aos primeiros pagamentos)._x000a_3. Garantir modelo de gestão de desempenho completo que apresente indicadores corretos para acompanhamento (no mínimo com periodicidade diária) que suportem a tomada de decisão da Oi Fibra._x000a_5. Estruturar modelos e processos de Auditoria de Vendas e atuar com as áreas operacionais, direcionando e definindo a melhor abordagem do Cliente conforme constante reavaliação das causas de não qualidade;_x000a_"/>
    <x v="28"/>
    <s v="Fernanda Fischer"/>
    <m/>
    <m/>
    <x v="1"/>
  </r>
  <r>
    <s v="Customer care​"/>
    <s v="Gestão de qualidade pós vendas"/>
    <s v="Novo tópico"/>
    <s v="1. Planejar e estruturar o modelo de Qualidade das operações de relacionamento com cliente por meio de indicadores de negócio e operacionais (quantitativos e qualitativos) com visão analítica e abrangência em todos os canais (humano, URA, Digitais), assim como monitorar e diagnosticar desvios._x000a_2. Monitorar os principais KPIs de atrito e Indicar oportunidades de processos a fim de sugerir para a Oi Fibra as ações necessárias com o objetivo de maximizar os resultados e a satisfação dos Clientes, atuando para sua permanente otimização._x000a_3. Estruturar modelos e processos de Auditoria dos parceiros de relacionamento, seguindo um fluxo de melhoria contínua para redução de erros e atrito com o cliente e suportando o modelo de competição (bonificação/penalização de contratos)._x000a_4. Co -Responsável pela Jornada do cliente nos canais de relacionamento e NPS, acompanhando  indicadores de negócio e atrito com clientes (Contact rate, Churn, Contestação, ODCs, Migrações e etc.) em conjunto com a Oi Fibra para  garantir a eficiência dos processos e a  melhor percepção e experiência do cliente._x000a_5. Gestão das operações de Auditoria_x000a_"/>
    <x v="28"/>
    <s v="Fernanda Fischer"/>
    <m/>
    <m/>
    <x v="1"/>
  </r>
  <r>
    <s v="Customer data and offer management​"/>
    <s v="Operação de Clientes Novos: Onboarding"/>
    <s v="Novo tópico"/>
    <s v="1. Desenvolver, implementar  e operar a gestão da experiencia dos novos clientes"/>
    <x v="28"/>
    <s v="Fernanda Fischer"/>
    <m/>
    <m/>
    <x v="1"/>
  </r>
  <r>
    <s v="Customer data and offer management​"/>
    <s v="Gestão de Fraude"/>
    <s v="Novo tópico"/>
    <s v="1. Estabelecer critérios de acompanhamento e ações para a redução de fraude na jornada de compra.2.  Fazer a gestao dos acessos de parceiros e stakeholdes nas plataformas de forma a  evitar fraude e uso indevido dos acessos.  "/>
    <x v="28"/>
    <s v="Fernanda Fischer"/>
    <m/>
    <m/>
    <x v="1"/>
  </r>
  <r>
    <s v="Customer care​"/>
    <s v="Plataforma de atendimento (e-Care)"/>
    <s v="Novo tópico"/>
    <s v="1. Responsável por propor jornadas de atendimento ao cliente nas plataformas digitais em conjunto com as áreas de CX e UX para viabilizar o melhor atendimento aos clientes_x000a_2. Responsável por desenhar as features com Tecnologia das melhorias que serão implementadas nas plataformas (oi_e, minha Oi, Joice)_x000a_3. Responsável pelos indicadores operacionais das plataformas de atendimento digital_x000a_4. Responsável pela gestão orçamentária das plataformas"/>
    <x v="28"/>
    <s v="Fernanda Fischer"/>
    <m/>
    <m/>
    <x v="1"/>
  </r>
  <r>
    <s v="Customer data and offer management​"/>
    <s v="Inteligência e estruturação de canais digitais"/>
    <s v="Novo tópico"/>
    <s v="1. Responsável pela estruturação para gestão data driven e atuação com visão fim a fim da jornada de compras nos canais digitais, para geração de insights e sugestões de melhoria relevantes para o negócio"/>
    <x v="28"/>
    <s v="Fernanda Fischer"/>
    <m/>
    <m/>
    <x v="1"/>
  </r>
  <r>
    <s v="Customer data and offer management​"/>
    <s v="Estratégia e estruturação de Novos canais digitais"/>
    <s v="Novo tópico"/>
    <s v="1. Responsável pela estratégia e implementação de novas formas de captação de lead para os canais digitais"/>
    <x v="28"/>
    <s v="Fernanda Fischer"/>
    <m/>
    <m/>
    <x v="1"/>
  </r>
  <r>
    <s v="Customer data and offer management​"/>
    <s v="Estratégia de plataformas digitais"/>
    <s v="Novo tópico"/>
    <s v="1. Responsável pela evolução e Integração das Plataformas de Canais digitais da Oi Fibra de modo a Potencializar o meio digital como ferramenta de vendas em jornadas de compra mais efetivas."/>
    <x v="28"/>
    <s v="Fernanda Fischer"/>
    <m/>
    <m/>
    <x v="1"/>
  </r>
  <r>
    <s v="Customer data and offer management​"/>
    <s v="Estratégia e inteligência de Canais"/>
    <s v="Novo tópico"/>
    <s v="1. Definir a estratégia de canal adequado para a abordagem ao cliente garantindo a ocupação de HPs disponíveis ( Melhor  canal para cada tipologia de HP)_x000a_2. Definir metas para os canais regionais_x000a_3. Definir de indicadores  de Sucesso_x000a_4. Definir a Matriz de rentabilidade do canal_x000a_5. Desenvolver e implementar novos canais de vendas, de modo a impulsionar os resultados de vendas_x000a_6 - co-construir com acom CX a melhor jornada de compra para a estratégia de canais"/>
    <x v="28"/>
    <s v="Fernanda Fischer"/>
    <m/>
    <m/>
    <x v="1"/>
  </r>
  <r>
    <s v="Admin personnel​"/>
    <s v="Programação, BackOffice, Planejamento e Conciliação dos pagamentos"/>
    <s v="Novo tópico"/>
    <s v="- Tratamento e analise dos documentos_x000a_- Criação de proposta de pagamento_x000a_- Aprovação da proposta de pagamento_x000a_- Previa dos pagamentos e solicitação do recurso financeiros por CNPJ_x000a_- Confecção dos borderôs_x000a_- Aprovação do Pagamento no banco_x000a_- Emissão de comprovantes de pagamento_x000a_- Registro dos comprovantes de pagamento no sistema_x000a_- Importação dos arquivos retorno e dos extratos_x000a_- Conciliação contábil das contas bancárias de contas a pagar"/>
    <x v="29"/>
    <s v="Streit"/>
    <m/>
    <m/>
    <x v="1"/>
  </r>
  <r>
    <s v="Admin personnel​"/>
    <s v="Projeção do Fluxo de Caixa e acompanhamento do realizado"/>
    <s v="Novo tópico"/>
    <s v="- Projeção do FCD/FCI da(s) SPE(s) de curto e médio prazos_x000a_- Previsão diária dos Recebimentos/Pagamentos para controle do Caixa da(s) SPE(s)_x000a_- Acompanhamento e report do realizado mensal do Caixa, analisando as principais variações frente a projeção"/>
    <x v="29"/>
    <s v="Streit"/>
    <m/>
    <m/>
    <x v="1"/>
  </r>
  <r>
    <s v="Admin personnel​"/>
    <s v="Relacionamento com Bancos"/>
    <s v="Novo tópico"/>
    <s v="- Realizar a implantação operacional da estrutura de acesso aos novos usuários: abertura de conta corrente, criação de acessos, cadastro das empresas, implementação de convênios (folha e CAP)"/>
    <x v="29"/>
    <s v="Streit"/>
    <m/>
    <m/>
    <x v="1"/>
  </r>
  <r>
    <s v="Admin personnel​"/>
    <s v="Relacionamento com Bancos"/>
    <s v="Novo tópico"/>
    <s v="-  Realizar a implantação de convênios de arrecadação nos bancos em que hoje os clientes migrados já possuem relacionamento.  Para os casos em que os clientes não tenham débito automático, garantir a implementação da estrutura de boletos / PIX. Em um cenário co-billing, realizar pós closing."/>
    <x v="29"/>
    <s v="Streit"/>
    <m/>
    <m/>
    <x v="1"/>
  </r>
  <r>
    <s v="Admin personnel​"/>
    <s v="Gestão e Fechamento do Caixa"/>
    <s v="Novo tópico"/>
    <s v="- Em um cenário de co-billing e, em havendo datas pontuais de repasses no mês, realizar o cálculo do float a ser transferido aos compradores. Em um cenário de faturamento direto pelas SPEs, fazer manualmente as transferências diárias onde os bancos não tenham centralização automática"/>
    <x v="29"/>
    <s v="Streit"/>
    <m/>
    <m/>
    <x v="1"/>
  </r>
  <r>
    <s v="Admin personnel​"/>
    <s v="Gestão e Fechamento do Caixa"/>
    <s v="Novo tópico"/>
    <s v="- Realizar a rotina operacional de disponibilização de recursos para os pagamentos diários"/>
    <x v="29"/>
    <s v="Streit"/>
    <m/>
    <m/>
    <x v="1"/>
  </r>
  <r>
    <s v="Admin personnel​"/>
    <s v="Fechamento de Câmbio"/>
    <s v="Novo tópico"/>
    <s v="- Cadastro das empresas nos bancos que operacionalizam câmbio"/>
    <x v="29"/>
    <s v="Carolina Gava"/>
    <m/>
    <m/>
    <x v="1"/>
  </r>
  <r>
    <s v="Admin personnel​"/>
    <s v="Fechamento de Câmbio"/>
    <s v="Novo tópico"/>
    <s v="- Fechamento de câmbio para pagamento a fornecedores internacionais"/>
    <x v="29"/>
    <s v="Carolina Gava"/>
    <m/>
    <m/>
    <x v="1"/>
  </r>
  <r>
    <s v="Admin personnel​"/>
    <s v="Projeção e Relatórios de Caixa"/>
    <s v="Novo tópico"/>
    <s v="- Confeccionar os relatórios gerenciais de caixa para a construção do fluxo de caixa diário pelo time de FP&amp;A"/>
    <x v="29"/>
    <s v="Streit"/>
    <m/>
    <m/>
    <x v="1"/>
  </r>
  <r>
    <s v="Admin personnel​"/>
    <s v="Conciliação Bancária das operações de Tesouraria no SAP"/>
    <s v="Novo tópico"/>
    <s v="-  Executar a conciliação bancária de operações de Tesouraria (Saldo conta contábil x Extrato)"/>
    <x v="29"/>
    <s v="Streit"/>
    <m/>
    <m/>
    <x v="1"/>
  </r>
  <r>
    <s v="Admin personnel​"/>
    <s v="Contabilização das operações de Tesouraria no SAP"/>
    <s v="Novo tópico"/>
    <s v=" - Executar a contabilização das operações de Tesouraria (Aplicação, Resgate, Rendimentos e Tributação e câmbio). A compradora deve enviar quinzenalmente um controle de excel para carga no SAP (a ser disponibilizado pela Oi), identificando, entre outros, as contas contábeis, debitos e créditos, data de lançamento."/>
    <x v="29"/>
    <s v="Streit"/>
    <m/>
    <m/>
    <x v="1"/>
  </r>
  <r>
    <s v="Application and data management​"/>
    <s v="Dados históricos anteriores à migração (informações necessárias para tratar eventuais ações e processos judiciais)​"/>
    <s v="Novo tópico"/>
    <s v="De acordo com as regras e parâmetros atuais, utilizando os recursos, sistemas, plataformas atuais, a Oi deverá:_x000a_- Tratar em seus sistemas, ou disponibilizar as informações necessárias para tratar eventuais ações e processos judiciais de ex-colaboradores com datas anteriores à migração massiva.."/>
    <x v="30"/>
    <s v="Douglas Tostes"/>
    <s v="Serviços Jurídicos Regionais"/>
    <s v="[Douglas Tostes] - Informou que da Diretoria da Williams, só terá atividade na diretoria &quot;Serviços Jurídicos Regionais&quot;."/>
    <x v="1"/>
  </r>
  <r>
    <s v="Admin personnel​"/>
    <s v="Controle de Ativo Imobilizado e Intangível"/>
    <s v="Novo tópico"/>
    <s v="Execução e Conciliação das Rotinas do Ativo Fixo (Imobilizado/Intangível)."/>
    <x v="11"/>
    <s v=" Marcelo Gomes"/>
    <m/>
    <s v="[Leandro] - Informação enviada no dia 05/06/24, ou seja, após o disparo oficial do Draft. Retificado para os executivos no dia 05/06"/>
    <x v="1"/>
  </r>
  <r>
    <s v="Admin personnel​"/>
    <s v="Controle de Despesas e Obrigações Contábeis"/>
    <s v="Novo tópico"/>
    <s v="Execução e Conciliação das Despesas, parametrizações contábeis e Obrigações junto à Receita Federal."/>
    <x v="11"/>
    <s v=" Marcelo Gomes"/>
    <m/>
    <s v="[Leandro] - Informação enviada no dia 05/06/24, ou seja, após o disparo oficial do Draft. Retificado para os executivos no dia 05/06"/>
    <x v="1"/>
  </r>
  <r>
    <s v="Admin personnel​"/>
    <s v="Informações contábeis necessárias para elaboração das Demonstrações Financeiras"/>
    <s v="Novo tópico"/>
    <s v="Elaboração de determinados quadros das Notas Explicativas das Demonstrações Financeiras."/>
    <x v="11"/>
    <s v=" Marcelo Gomes"/>
    <m/>
    <s v="[Leandro] - Informação enviada no dia 05/06/24, ou seja, após o disparo oficial do Draft. Retificado para os executivos no dia 05/06"/>
    <x v="1"/>
  </r>
  <r>
    <m/>
    <m/>
    <m/>
    <m/>
    <x v="31"/>
    <m/>
    <m/>
    <m/>
    <x v="2"/>
  </r>
</pivotCacheRecords>
</file>

<file path=xl/pivotCache/pivotCacheRecords2.xml><?xml version="1.0" encoding="utf-8"?>
<pivotCacheRecords xmlns="http://schemas.openxmlformats.org/spreadsheetml/2006/main" xmlns:r="http://schemas.openxmlformats.org/officeDocument/2006/relationships" count="216">
  <r>
    <x v="0"/>
    <x v="0"/>
    <s v="Riscos e Controles"/>
    <s v="- Revisão, atualização e teste de controles do Ambiente de Controles Internos da Companhia que permeiam todos os processos;_x000a_- Gestão das Alçadas da Companhia que permeiam as principais atividades de aprovação;_x000a_- Avaliação de Riscos conforme demanda das áreas;_x000a_- Gestão dos Riscos Corporativos;_x000a_- Gestão dos documentos da Companhia;_x000a_- GCN que podem envolver incidentes/crises que impactam o serviço da Fibra."/>
  </r>
  <r>
    <x v="0"/>
    <x v="0"/>
    <s v="Conformidade e Sustentabilidade"/>
    <s v="- Gestão do canal e atendimento às solicitações de direitos previstos na LGPD por parte de titulares de dados pessoais;_x000a_- Avaliação e adequação de contratos e editais, sob o aspecto de privacidade e proteção de dados pessoais, com fornecedores, parceiros e clientes (empresariais);_x000a_- Manutenção do registro de operações de tratamento de dados pessoais, na forma do art. 37 da LGPD;_x000a_- Identificação e registro de transferências internacionais de dados pessoais na forma do art. 33 da LGPD;_x000a_- Identificação, avaliação e tratamento de riscos de privacidade em processos e projetos da Companhia;_x000a_- Gestão, tratamento e comunicação - sob demanda - de eventuais incidentes de segurança que envolvam dados pessoais;_x000a_- Resposta à ofícios e requerimentos de autoridades públicas, relacionados à privacidade;_x000a_- Gestão do canal de denúncias e apuração de relatos;_x000a_- Avaliação e adequação da cláusula de Compliance em contratos e editais;_x000a_- Realização de análise de integridade de terceiros e colaboradores;_x000a_- Realização de testes detectivos de conflitos de interesse; pagamentos à agentes públicos; doações; Brindes e Presentes e etc;_x000a_- Resposta à Due Diligence de Terceiros, Parceiros; Investidores e Clientes;_x000a_- Realização de processos de Partes Relacionadas; Acompanhamento de relacionamento com países em lista de sanções internacionais._x000a_"/>
  </r>
  <r>
    <x v="0"/>
    <x v="0"/>
    <s v="Auditoria Interna"/>
    <s v="- Apuração de casos fraude;_x000a_- Auditoria de sistemas e processos que permeiam toda a Cia de acordo com o plano aprovado;_x000a_- Acompanhamento e “reteste” de ações corretivas;_x000a_- Monitoramento de fraude em processos críticos._x000a_"/>
  </r>
  <r>
    <x v="1"/>
    <x v="0"/>
    <s v="Execução de ciclos de Billings​"/>
    <s v="- A Oi deverá executar o processo de faturamento de terminais fibra, mantendo os sistemas, regras e processos atuais, até a migração total desses clientes._x000a_- Execução de todos os ciclos de billings (majoritários e minoritários) em todos os sistemas de faturamento existentes no parque de TI._x000a_- Resolução dos problemas encontrados durante o processamento."/>
  </r>
  <r>
    <x v="1"/>
    <x v="0"/>
    <s v="Tarifação de chamadas, dados e eventos ​"/>
    <s v=" - Realização do processo de Tarifação de Voz, SVA e 0500 mantendo os sistemas, regras, processos e produtos e ofertas atuais, até a migração total desses clientes._x000a_- Resolução dos problemas encontrados durante o processamento."/>
  </r>
  <r>
    <x v="1"/>
    <x v="0"/>
    <s v="Emissão de termos de quitação​"/>
    <s v="- Emissão do termo de quitação referentes aos pagamentos das últimas faturas dos clientes fibra._x000a_- Resolução dos problemas encontrados durante o processamento._x000a_- Todas as pendências de emissão dos termos de quitação anteriores a data do fechamento do contrato deverão ser regularizadas."/>
  </r>
  <r>
    <x v="1"/>
    <x v="0"/>
    <s v="Validação do billings gerados - consistência, qualidade e confiabilidade ​"/>
    <s v="- A Oi irá executar o processo de validação prévia de faturas de terminais fibra, mantendo os sistemas, regras e processos atuais, até a migração total desses clientes._x000a_- Corrigir e reportar o tratamento adotado em caso de desvios identificados mantendo os sistemas, regras, processos e performance atuais, até a migração total desses clientes._x000a_-Executar as validações de consistência sobre o ciclo de billing executado."/>
  </r>
  <r>
    <x v="1"/>
    <x v="0"/>
    <s v="Disponibilização de faturas online e customizadas ​"/>
    <s v="- Oi irá disponibilizar as faturas de terminais fibra, mantendo os sistemas, regras e processos atuais, até a migração total desses clientes, nos formatos e layout atuais (online e customizadas) para clientes varejo e empresarial._x000a_- Carga dos spools faturados nas ferramentas que disponibilizam online os documentos de faturamento._x000a_- Resolução dos problemas encontrados durante o processamento._x000a_- Eventuais necessidades de alterações deverão ser discutidas em relação à custo e prazo."/>
  </r>
  <r>
    <x v="1"/>
    <x v="0"/>
    <s v="Envio dos spools para as print centers ​"/>
    <s v="- Oi irá disponibilizar os spools de faturas de terminais fibra para as print centers atuais da Oi (e remunerar os print centers), mantendo os sistemas, regras e processos atuais, até a migração total desses clientes, nos formatos e layout atuais (online e customizadas) para clientes varejo e empresarial._x000a_- Conferência do faturamento gerado e consistências cadastrais._x000a_- Disponibilização dos documentos para as empresas de postagem."/>
  </r>
  <r>
    <x v="1"/>
    <x v="0"/>
    <s v="Postagem das faturas para os clientes ​"/>
    <s v="- Oi irá disponibilizar os documentos de faturamento de terminais fibra para as empresas de postagem, mantendo os sistemas, regras e processos atuais, até a migração total desses clientes, nos formatos e layout atuais (online e customizadas) para clientes varejo e empresarial._x000a_- Os clientes digitais terão seu envio da forma que solicitaram, seja via email ou whatsapp"/>
  </r>
  <r>
    <x v="1"/>
    <x v="0"/>
    <s v="Execução dos processos de garantia da receita ​"/>
    <s v="- Execução mensal de análise de variação da receita de serviços recorrentes dos segmentos varejo e empresarial nas principais alavancas (gross, churn, interrupções de faturamento, migrações, variações de clientes da base, etc)_x000a_- Análise mensal das alavancas NTFGA (motivo de Terminais não Faturarem e Gerarem Assinatura) para serviços pós pagos._x000a_- Acompanhamento mensal da despesa de ITX e análise dos desvios (VOIP)"/>
  </r>
  <r>
    <x v="1"/>
    <x v="0"/>
    <s v="Execução da cadeia de arrecadação​"/>
    <s v="- Execução dos processos de arrecadação bancária de acordo com processos, regras e sistemas atuais da Oi._x000a_- Troca de arquivos/informações com as instituições financeiras cadastradas._x000a_- Resolução de problemas encontrados durante o processamento"/>
  </r>
  <r>
    <x v="1"/>
    <x v="0"/>
    <s v="Execução da cadeia de débito automático ​"/>
    <s v="- Execução dos processos de débito automático de acordo com processos, regras e sistemas atuais da Oi._x000a_- Troca de arquivos/informações com as instituições cadastradas._x000a_- Resolução de problemas encontrados durante o processamento"/>
  </r>
  <r>
    <x v="1"/>
    <x v="0"/>
    <s v="Execução dos processos de fraude ​"/>
    <s v="- Execução dos processos de fraude subscrição de acordo com as regras e modelos atuais da Oi no modelo preventivo, caso o processo de vendas fique a cargo da Oi._x000a_- Execução dos processos de fraude técnica de acordo com as regras e modelos atuais da Oi (spoofing, fishing, smishing, etc)._x000a_- Tratamento de fraudes identificadas no modelo detectivo - pós instalação. (churn e contas a receber)_x000a_- Tratamento de out layers de consumo (investigação, retirada e tratamento contábil)_x000a_- Tratamento de reclamações de clientes com alegação de fraude, avaliando procedência / improcedência da contestação."/>
  </r>
  <r>
    <x v="1"/>
    <x v="0"/>
    <s v="Execução da cadeia fiscal​"/>
    <s v="- Execução dos processos fiscais para as Compradoras de acordo com a legislação vigente respeitando as respectivas regras e modelos atuais da Oi._x000a_- Geração e envio das obrigações acessórias, apuração e pagamento da obrigação principal, de acordo com os sistemas e procedimentos atuais da Oi._x000a_- Consistência contábil, reports executivos e operacionais atualmente executados pela Oi._x000a_- Resolução dos problemas encontrados, referente ao processo de apuração durante a validação das obrigações acessórias e da obrigação principal."/>
  </r>
  <r>
    <x v="1"/>
    <x v="0"/>
    <s v="Execução da cadeia contábil​"/>
    <s v="Execução das cadeias contábeis para as Compradoras de acordo com a legislação vigente respeitando as respectivas regras e modelos atuais da Oi- Carga dos arquivos no SAP da Oi, dos seguintes macro processos: _x000a_ 1- Receita, Descontos, ICMS e ISS, conforme ciclo dos Sistemas de Faturamento._x000a_ 2- Arrecadação, Parcelamento de Fatura, Cancelamento e Contestação, conforme movimentos dos Sistema de Faturamento e Arrecadação._x000a_ 3- Provisão p/ Créditos de Liquidação e Perdas, conforme movimentos dos Sistemas de Arrecadação._x000a_ _x000a_Export dos dados para as Compradoras no formato acordado."/>
  </r>
  <r>
    <x v="1"/>
    <x v="0"/>
    <s v="Execução da régua de cobrança - Classificação e reclassificação de status na régua ​"/>
    <s v="- Execução dos processos atuais da Oi associados à régua de cobrança para que os clientes evoluam dentro dos estágios existentes na régua._x000a_- Resolução dos problemas encontrados durante o processamento."/>
  </r>
  <r>
    <x v="1"/>
    <x v="0"/>
    <s v="Execução da régua de cobrança - Geração de notificação para clientes inadimplentes ​"/>
    <s v="- Execução dos processos atuais de comunicações/notificações da Oi conforme regras Regulatórias pertinentes à régua de cobrança._x000a_- Resolução dos problemas encontrados durante o processamento."/>
  </r>
  <r>
    <x v="1"/>
    <x v="0"/>
    <s v="Mediação de bilhetes​"/>
    <s v="- A Oi irá executar o processo de mediação de bilhetes de terminais Voip da ClientCo, mantendo os sistemas, regras e processos atuais, até a migração total desses clientes._x000a_- Controle de críticas e descartes de bilhetes._x000a_- Resolução dos problemas encontrados durante o processamento da Mediação._x000a_- Recuperação e reprocessamento de bilhetes em casos necessários"/>
  </r>
  <r>
    <x v="1"/>
    <x v="0"/>
    <s v="Parametrizações e Homologações​"/>
    <s v="- Oi deverá avaliar solicitações das Compradoras de parametrizações e/ ou projetos nos sistemas de billing quanto a viabilidade._x000a_- As alterações implantadas deverão ser testadas e homologadas pela Oi e terão report para fins de acompanhamento do solicitante._x000a_ - Todas as alterações deverão ser únicas para todos os comprovadores, não podem haver divergencia de regra e pedido entre eles. financeira, legal e regulatória. "/>
  </r>
  <r>
    <x v="1"/>
    <x v="0"/>
    <s v="Criação dos dossiês de clientes inadimplentes para ajuizamento, cobrança extrajudicial e recuperação judicial ​"/>
    <s v="- Criação de dossiês com toda a documentação necessária e disponível para que o jurídico inicie os ajuizamentos."/>
  </r>
  <r>
    <x v="1"/>
    <x v="0"/>
    <s v="Geração e distribuição de mailing e de relatórios de performance da operação ​"/>
    <s v="- Geração de mailings conforme regras atuais da Oi para a cobrança das assessorias._x000a_- Geração de relatórios de performance mensal atuais da Oi."/>
  </r>
  <r>
    <x v="1"/>
    <x v="0"/>
    <s v="Relatórios de CAR e PDD​"/>
    <s v="Oi deverá gerar os relatórios contábeis de CAR analítico por Unidade de Negócio, por Cliente e por Fatura, de acordo com os prazos._x000a_Oi deverá gerar os relatórios de PDD/PERDAS sintético por Unidade de Negócio, de acordo com os prazos._x000a_Oi deverá gerar o relatório de PDD Parcelamento analítico por Unidade de Negócio, por Cliente e por Fatura, de acordo com os prazos."/>
  </r>
  <r>
    <x v="1"/>
    <x v="0"/>
    <s v="Execução dos processos de Crédito​"/>
    <s v="Oi deverá executar os processos de análise de crédito de acordo com as regras e modelos atuais, mantendo sistemas, políticas e níveis de  serviços  para  as  Compradoras  tratando  os  problemas  identificados  nos processos de aprovação de crédito._x000a__x000a_A performance dessa operação será acompanhada em reports de aprovação e reports de performance de FPD nas visões e aberturas acompanhadas atualmente pela Oi, caso o processo de venda e aquisição ocorra nos CRM da Oi."/>
  </r>
  <r>
    <x v="1"/>
    <x v="0"/>
    <s v="Repasse da receita de Fibra das UPI´s ClientCo"/>
    <s v="- Realização de repasse mensal da receita de Fibra, SVA, Oi Expert, Fibra X e Add on para as compradoras._x000a_- Resolução dos problemas encontrados durante apuração do repasse."/>
  </r>
  <r>
    <x v="1"/>
    <x v="0"/>
    <s v="Co-Billing Interno CSP´s de Outras Operadoras"/>
    <s v="- A Oi S/A prestará o serviço de co-faturamento do CSP de Outras Operadoras originado por terminais Voip da ClientCo."/>
  </r>
  <r>
    <x v="1"/>
    <x v="0"/>
    <s v="Operação de Interconexão"/>
    <s v="- A Oi irá executar o processo de apuração da Interconexão de bilhetes de terminais Voip da ClientCo, mantendo os sistemas, regras e processos atuais, até a migração total desses clientes._x000a_- Controle de críticas e descartes de bilhetes._x000a_- Resolução dos problemas encontrados durante o processamento da Interconexão._x000a_- Recuperação e reprocessamento de bilhetes em casos necessários"/>
  </r>
  <r>
    <x v="1"/>
    <x v="0"/>
    <s v="Repasse de SVA/Terceiros/0500"/>
    <s v="- Realização da apuração periodica dos valores para repasse de parceiros de SVA/Terceiros/0500 mantendo os sistemas, regras e processos atuais, até a migração total desses clientes._x000a_- Resolução dos problemas encontrados durante apuração do repasse."/>
  </r>
  <r>
    <x v="1"/>
    <x v="0"/>
    <s v="Relacionamento Finaceiro com as Demais Operadoras"/>
    <s v="- A Oi irá executar o processo de encontro de contas de Interconexão, mantendo os sistemas, regras e processos atuais, até a migração total desses clientes._x000a_- Resolução dos problemas encontrados durante apuração do repasse."/>
  </r>
  <r>
    <x v="1"/>
    <x v="0"/>
    <s v="Obrigação Fiscal  (entrada NF/input SAP/retenções de impostos) - OPERAÇÃO BPO"/>
    <s v="-A  Oi deverá executar o processo de lançamentos das NF's de entrada no SAP, com as devidas retenções federais e municipais._x000a_- Execução dos controles internos conforme relação de controles existentes (SOX)._x000a_- Devolutiva das criticas para as NF não lançadas pelo Posto Fiscal"/>
  </r>
  <r>
    <x v="1"/>
    <x v="0"/>
    <s v="Criação de Requisições de compras e pedidos(célula adm) - OPERAÇÃO BPO"/>
    <s v="- A Oi deverá criar os novos pedidos de compras  conforme demandas de serviços e equipamentos que estiverem vinculados aos contratos e verba disponiveis para as ClientCO's"/>
  </r>
  <r>
    <x v="1"/>
    <x v="0"/>
    <s v="Criação e Manutenção dos cadastros de Fornecedores, Clientes, códigos de materiais e serviços"/>
    <s v="- A  Oi deverá executar o processo de cadastro no SAP para as demandas referentes a criação de novos fornecedores, clientes, codigos de materiais e serviços, manutenção dos cadastros ( atualização de dados bancários, ampliações de centros, paramentros de códigos para corretas contabilizações, ajustes de aliquotas, domicilio fiscal  etc, conforme necessidade que surgirem no periodo após drop._x000a_-Extração de relatório com as demandas que forem solicitadas no periodo."/>
  </r>
  <r>
    <x v="1"/>
    <x v="0"/>
    <s v="Portal de Notas (Sistema de acesso de fornecedores, gestores de aceite e usuários do Posto Fiscal)"/>
    <s v="- A  Oi deverá garantir o processo sistemico de cadastro, armazenamento das NF's de entrada no BRNOTAS, integração com sistemas SAP para escrituração fiscal no SAP._x000a_- Extração de relatórios das NF cadastrdas, com status de tratamento._x000a_- Consulta das NF emitidas contra as ClientC0's"/>
  </r>
  <r>
    <x v="1"/>
    <x v="0"/>
    <s v="Gestão dos print centers​"/>
    <s v="- Manter e divulgar para as Compradoras os indicadores e SLAs de gestão das print centers, alinhados como KPIs _x000a_- A Oi irá divulgar os indicadores e SLAs, mantendo os sistemas, regras e processos atuais, até a migração total desses clientes, nos formatos e layout atuais (online e customizadas) para clientes varejo e empresarial"/>
  </r>
  <r>
    <x v="1"/>
    <x v="1"/>
    <s v="Tratamento de inadimplência anterior à migração ​"/>
    <s v="De acordo com as regras e parâmetros atuais, utilizando os recursos, sistemas, plataformas atuais, a Oi deverá:_x000a_- Tratar nos sistemas Oi o processo de inadimplência dos clientes anteriores a migração para as Compradoras."/>
  </r>
  <r>
    <x v="1"/>
    <x v="1"/>
    <s v="Cobilling​"/>
    <s v="- Executar o faturamento do CSP 31 e 14 até a migração do terminal para compradora, mantendo os sistemas, regras e processos atuais."/>
  </r>
  <r>
    <x v="1"/>
    <x v="0"/>
    <s v="Extração, elaboração e envio dos reports para forncedores de Conteúdo"/>
    <s v="Principais Atividades:_x000a_- Extração das bases dos CRMs (SINN, SIEBEL, DW)_x000a_- Carga das exportações no Banco de Dados_x000a_- Validação dos volumes de clientes (check de sanidade)_x000a_- Formatação e preenchimento dos reports nos formatos acordados com cada fornecedor_x000a_- Envio dos reports e eventuais correções"/>
  </r>
  <r>
    <x v="1"/>
    <x v="0"/>
    <s v="Cálculo dos valores de fauramento"/>
    <s v="Calcular os valores a serem pagos aos Fornecedores, como base nos report gerando racional de faturamentode acordo com as condições contratuais"/>
  </r>
  <r>
    <x v="1"/>
    <x v="0"/>
    <s v="Criação e gestão dos pedidos de compra"/>
    <s v="Principais Atividades:_x000a_- Interface com setor administrativo para solicitação de criação de Pedido de Compras e RC (requisição de compras) e checks dos documentos criados;_x000a_- Envio dos pedidos para os fornecdores._x000a_- Solicitação da aprovação dos pedidos SAP aos gestores responsáveis._x000a_"/>
  </r>
  <r>
    <x v="1"/>
    <x v="0"/>
    <s v="Cálculos, Lançamentos e Justificativas de Provisão e Reclassificaçõs"/>
    <s v="Principais Atividades:_x000a_-Calculos e análises do valor disponível (EP, WE e PV)_x000a_- Cálculos, atualização e análises de repasse, provisão e resultado por programadora, segmento de negocios, UNs e UPIs - real frente ao orçado e forecast´s _x000a_- Acompanhando NFs no GED e SAP_x000a_- Calculos e análises de simulações para resultado do pcte e estimativa gasto e uso verba para os próximo meses (cenários)_x000a_"/>
  </r>
  <r>
    <x v="1"/>
    <x v="0"/>
    <s v="Emissão de Nota Fiscal e Input da Receita de PagSeguro"/>
    <s v="- geração de nota fiscal no SISRED para parceiros B2B (PagSeguro e Safira); _x000a_- Após a geração da nota fiscal, encaminhar ao parceiro para que efetue o pagamento e ao time de Faturamento;_x000a_- Acompanhamento da baixa do pagamento pelo SISRAF;"/>
  </r>
  <r>
    <x v="1"/>
    <x v="0"/>
    <s v="Comissões de Vendas - Validação das politicas comerciais"/>
    <s v="Garantir a aplicabilidade das regras de comissionamento elaboradas pelos diversos canais de vendas"/>
  </r>
  <r>
    <x v="1"/>
    <x v="0"/>
    <s v="Comissões de Vendas - Cálculos de Comissionamento"/>
    <s v="Extração das bases de Vendas (BOV);_x000a_Aplicação das Políticas Comerciais;_x000a_Aplicação das PADAs de Campanha;_x000a_Sign Off dos valores para garantir que as não haja variações injustificadas;_x000a_Divulgação dos valores para Regionais e Canais"/>
  </r>
  <r>
    <x v="1"/>
    <x v="0"/>
    <s v="Comissões de Vendas - Cálculo de IQ"/>
    <s v="Extração das bases de Vendas;_x000a_Acompanhamento do Churn e Inadimplência;_x000a_Divulgação do índice para Regionais e Canais"/>
  </r>
  <r>
    <x v="1"/>
    <x v="2"/>
    <s v="Programação, BackOffice, Planejamento e Conciliação dos pagamentos"/>
    <s v="- Tratamento e analise dos documentos_x000a_- Criação de proposta de pagamento_x000a_- Aprovação da proposta de pagamento_x000a_- Previa dos pagamentos e solicitação do recurso financeiros por CNPJ_x000a_- Confecção dos borderôs_x000a_- Aprovação do Pagamento no banco_x000a_- Emissão de comprovantes de pagamento_x000a_- Registro dos comprovantes de pagamento no sistema_x000a_- Importação dos arquivos retorno e dos extratos_x000a_- Conciliação contábil das contas bancárias de contas a pagar"/>
  </r>
  <r>
    <x v="1"/>
    <x v="2"/>
    <s v="Projeção do Fluxo de Caixa e acompanhamento do realizado"/>
    <s v="- Projeção do FCD/FCI da(s) SPE(s) de curto e médio prazos_x000a_- Previsão diária dos Recebimentos/Pagamentos para controle do Caixa da(s) SPE(s)_x000a_- Acompanhamento e report do realizado mensal do Caixa, analisando as principais variações frente a projeção"/>
  </r>
  <r>
    <x v="1"/>
    <x v="2"/>
    <s v="Relacionamento com Bancos"/>
    <s v="- Realizar a implantação operacional da estrutura de acesso aos novos usuários: abertura de conta corrente, criação de acessos, cadastro das empresas, implementação de convênios (folha e CAP)"/>
  </r>
  <r>
    <x v="1"/>
    <x v="2"/>
    <s v="Relacionamento com Bancos"/>
    <s v="-  Realizar a implantação de convênios de arrecadação nos bancos em que hoje os clientes migrados já possuem relacionamento.  Para os casos em que os clientes não tenham débito automático, garantir a implementação da estrutura de boletos / PIX. Em um cenário co-billing, realizar pós closing."/>
  </r>
  <r>
    <x v="1"/>
    <x v="2"/>
    <s v="Gestão e Fechamento do Caixa"/>
    <s v="- Em um cenário de co-billing e, em havendo datas pontuais de repasses no mês, realizar o cálculo do float a ser transferido aos compradores. Em um cenário de faturamento direto pelas SPEs, fazer manualmente as transferências diárias onde os bancos não tenham centralização automática"/>
  </r>
  <r>
    <x v="1"/>
    <x v="2"/>
    <s v="Gestão e Fechamento do Caixa"/>
    <s v="- Realizar a rotina operacional de disponibilização de recursos para os pagamentos diários"/>
  </r>
  <r>
    <x v="1"/>
    <x v="2"/>
    <s v="Fechamento de Câmbio"/>
    <s v="- Cadastro das empresas nos bancos que operacionalizam câmbio"/>
  </r>
  <r>
    <x v="1"/>
    <x v="2"/>
    <s v="Fechamento de Câmbio"/>
    <s v="- Fechamento de câmbio para pagamento a fornecedores internacionais"/>
  </r>
  <r>
    <x v="1"/>
    <x v="2"/>
    <s v="Projeção e Relatórios de Caixa"/>
    <s v="- Confeccionar os relatórios gerenciais de caixa para a construção do fluxo de caixa diário pelo time de FP&amp;A"/>
  </r>
  <r>
    <x v="1"/>
    <x v="2"/>
    <s v="Conciliação Bancária das operações de Tesouraria no SAP"/>
    <s v="-  Executar a conciliação bancária de operações de Tesouraria (Saldo conta contábil x Extrato)"/>
  </r>
  <r>
    <x v="1"/>
    <x v="2"/>
    <s v="Contabilização das operações de Tesouraria no SAP"/>
    <s v=" - Executar a contabilização das operações de Tesouraria (Aplicação, Resgate, Rendimentos e Tributação e câmbio). A compradora deve enviar quinzenalmente um controle de excel para carga no SAP (a ser disponibilizado pela Oi), identificando, entre outros, as contas contábeis, debitos e créditos, data de lançamento."/>
  </r>
  <r>
    <x v="1"/>
    <x v="2"/>
    <s v="Controle de Ativo Imobilizado e Intangível"/>
    <s v="Execução e Conciliação das Rotinas do Ativo Fixo (Imobilizado/Intangível)."/>
  </r>
  <r>
    <x v="1"/>
    <x v="2"/>
    <s v="Controle de Despesas e Obrigações Contábeis"/>
    <s v="Execução e Conciliação das Despesas, parametrizações contábeis e Obrigações junto à Receita Federal."/>
  </r>
  <r>
    <x v="1"/>
    <x v="2"/>
    <s v="Informações contábeis necessárias para elaboração das Demonstrações Financeiras"/>
    <s v="Elaboração de determinados quadros das Notas Explicativas das Demonstrações Financeiras."/>
  </r>
  <r>
    <x v="2"/>
    <x v="3"/>
    <s v="Consultoria tributária e atendimento à fiscalização"/>
    <s v="A Oi se compromete a avaliar novas demandas legais, fiscais e tributárias, criadas/instituídas posteriormente à assinatura do Contrato (durante o período do TSA), avaliando viabilidade técnica, riscos, prazos legais e custo incremental._x000a_O custo, pelos desenvolvimentos necessários, serão arcados e/ou reembolsamos pela compradora, a depender do que ficar combinado no contrato. Não há como prever, de antemão, quais seriam esses custos, já que não sabemos quais novas obrigações poderiam ser criadas._x000a_Ademais, especificamente ao atendimento à fiscalização tributária, a Oi se compromete em garantir a disposnibilidação da documentação suporte conforme AS IS para atendimento às notificações recebidas pelo Jurídico Tributário."/>
  </r>
  <r>
    <x v="2"/>
    <x v="3"/>
    <s v="Consultoria cível estratégico"/>
    <s v="A Oi se compromete a prestar consultoria jurídica ou viabilizar a interface dos integrantes do grupo com a área jurídica impactada."/>
  </r>
  <r>
    <x v="2"/>
    <x v="0"/>
    <s v="Recuperação de faturas​"/>
    <s v="- Oi deverá recuperar faturas antigas dos clientes da ClienteCo, mediante solicitações judiciais, regulatórias ou obrigações tributárias, mantendo os sistemas, regras e processos atuais."/>
  </r>
  <r>
    <x v="2"/>
    <x v="4"/>
    <s v="Interação com Tribunais de Justiça, Órgãos e entidades de Relacionamento com consumidores: PROCON, Ouvidoria ANATEL e Consumidor.gov ​"/>
    <s v=" - Internalização e definição para tratamento de demandas judiciais e administrativas dos consumidores_x000a_ - Atendimento pelos canais exigidos e pré-acordados com as instâncias externas para recepção de contatos e reclamações prevenientes dos Tribunais de Justiça, Procons, site Consumidor.Gov, bem como,  canais regulados de respostas com a Anatel e Ouvidoria Anatel._x000a_- Os SLAs também já são os estabelecidos e acordados pelos mesmos."/>
  </r>
  <r>
    <x v="2"/>
    <x v="1"/>
    <s v="Dados históricos anteriores à migração (informações necessárias para tratar eventuais ações e processos judiciais e administrativos PROCON e CONSUMIDOR.GOV.BR)​"/>
    <s v="De acordo com as regras e parâmetros atuais, utilizando os recursos, sistemas, plataformas atuais, a Oi deverá:_x000a_- Tratar em seus sistemas legados, cumprir determinações judiciais consumeristas, ou disponibilizar as informações necessárias para tratar eventuais ações e processos judiciais ou administrativos, de clientes com datas anteriores à migração massiva ou voluntária realizada para as bases da Compradora."/>
  </r>
  <r>
    <x v="2"/>
    <x v="4"/>
    <s v="Gestão de solicitações Consumeristas (JEC, VARA CÍVEL, PROCON e CONSUMIDOR.GOV.BR)"/>
    <s v="De acordo com as regras e parâmetros atuais, utilizando os recursos, sistemas, plataformas atuais, a Oi deverá:_x000a_- Controlar as demandas Judiciais e Administrativas do Juridico Consumidor, recebidas via e-mail ou sistemas a serem definidos, distribuir para tratamento operacional e controlar resposta para as compradoras."/>
  </r>
  <r>
    <x v="2"/>
    <x v="4"/>
    <s v="Análise Jurídica Consumerista e avaliação de ingresso no polo"/>
    <s v="Recebimento da notificação de demanda de terceiro, analise jurídica, encaminhamento ou tratamento dos processos judiciais consumeristas com avaliação de ingresso no polo."/>
  </r>
  <r>
    <x v="2"/>
    <x v="1"/>
    <s v="Dados históricos anteriores à migração (informações necessárias para tratar eventuais ações e processos judiciais)​"/>
    <s v="De acordo com as regras e parâmetros atuais, utilizando os recursos, sistemas, plataformas atuais, a Oi deverá:_x000a_- Tratar em seus sistemas, ou disponibilizar as informações necessárias para tratar eventuais ações e processos judiciais de ex-colaboradores com datas anteriores à migração massiva.."/>
  </r>
  <r>
    <x v="3"/>
    <x v="3"/>
    <s v="Construção de proposta de valor"/>
    <s v="1. Definição e revisão contínua da Estratégia de atuação de marketing da Oi Fibra seguindo diretrizes de negócio bem como premissas financeiras, entre outros._x000a_2. Responsável por detalhar a entrega de valor para o cliente da Oi Fibra na visão fim a fim (ciclo de vida do cliente), em nível de detalhe e aprofundamento._x000a_3. Mapeamento do tipo de cliente (perfil, caracteristicas, segmentação, persona) para desenvolver soluções da Oi Fibra"/>
  </r>
  <r>
    <x v="3"/>
    <x v="3"/>
    <s v="Estratégia de Aquisição"/>
    <s v="1. Responsável por todas as estratégias  de aquisiçãode clientes da Oi Fibra._x000a_2. Responsável por Definir a estratégia de  Produtos ofertas e serviços._x000a_3. Define e coordena a Estratégia de venda e atendimento do cliente (Omnicanalidade)"/>
  </r>
  <r>
    <x v="3"/>
    <x v="3"/>
    <s v="Estratégia de Gestão de Base de Clientes"/>
    <s v="1. Responsável por todas as estratégias de Gestão da Base de cliente da Oi Fibra, considerando: _x000a_a) ações de rentabilização, retenção e blindagem e fidelização de clientes _x000a_b) ações para a gestão e redução do churn voluntário e involuntário de clientes_x000a_2. Responsável pelo acompanhamento da experiência do cliente propondo, em conjunto com a área de CX, ações de comunicação e  relacionamento com a base"/>
  </r>
  <r>
    <x v="3"/>
    <x v="3"/>
    <s v="Jornadas e Experiência do Cliente"/>
    <s v="1. Definir as jornadas propostas para o cliente Oi Fibra com uma visao da sua experiência em um cadeia de valor fim a fim._x000a_2. Definir as principais métricas e Kpis para estas jornadas de modo a acompanhar a satisfação e experiência do cliente ao longo do seu ciclo de vida com a Oi._x000a_3. Propor ajustes contínuos de melhoria desta jornada a partir dos dados analisados, minimizando pontos de atrito com o cliente e maximizando valor._x000a_4. Co-construir com time de Estratégia e Proposição de Valor as jornadas garantindo que estas  sejam viáveis economicamente para a Oi.*_x000a_5. Mapear e propor, em conjunto com as áreas, melhorias nos processos que impactam as jornadas dos clientes_x000a_6. Responsável pela estratégia e gestão das pesquisas de experiência e satisfação do cliente (NPS, CSAT e outras), co-construindo ações com as áreas responsáveis, que impacte na melhoria da satisfação dos clientes em cada uma das etapas da jornada. "/>
  </r>
  <r>
    <x v="3"/>
    <x v="3"/>
    <s v="Estratégia de Portfólio (produto, pricing e ofertas)"/>
    <s v="1. Definição da estratégia do Portfolio Oi Fibra, incluindo ofertas, serviços de valor agregado e produtos (SVA) para aquisição e base_x000a_2. Definição da estratégiado de Go to Market, incluindo estratégia de pricing (produto/sva/tributação)_x000a_3. Definição do publico alvo a partir clusterização de clientes prospect (através do mapeamento da concorrência) ou Base Pre definida para a Oi Fibra._x000a_4. Qual o canal ou praça este produto, serviço e oferta será disponibilizado ao cliente da Oi Fibra."/>
  </r>
  <r>
    <x v="3"/>
    <x v="3"/>
    <s v="Desenvolvimento de negócios e produtos"/>
    <s v="1. Viabilizar e coordenar a implantação de produtos e serviços através das plataformas existentes ou a partir de novas soluções, viabilizando a comercialização do portfólio estratégicos da companhia:_x000a_2. Definir e alinhar priorização de requisitos (MVP)_x000a_3. Elaborar projeto e cronograma de implantação_x000a_4. Coordenar o processo de Business Simulation, homologando as entregas funcionais_x000a_5. Gestão da Mudança (rollout) junto as áreas impactadas_x000a_6. Gestão de backlog e orçamento de projeto"/>
  </r>
  <r>
    <x v="3"/>
    <x v="3"/>
    <s v="Estratégia de Devices / ONT"/>
    <s v="1. Avaliação das características técnicas dos devices que compoem o produto Oi Fibra_x000a_2. Avaliação de custos de devices_x000a_3. Avaliação de performance de devices_x000a_4. Mapeamento da concorrência – benchmarking_x000a_5. Implementar as diretrizes de comunicação na ONT_x000a_6. Definição de direcionadores para aquisição de equipamentos, incluindo total cost para a Oi_x000a_"/>
  </r>
  <r>
    <x v="3"/>
    <x v="3"/>
    <s v="Comunicação Institucional"/>
    <s v="1. Responsável pela Estratégia, gestão e relacionamento  com imprensa  para fomentar as ambições de negocio da Nova Oi e seus clientes._x000a_2. Responsável pela gestão e elaboração dos releases de negócio / regionais para imprensa relacionados ao negócio da Oi Fibra._x000a_3. Responsável pela co-construção de realeases, eventos e patrocínios que potencializem a reputação da Oi frente à imprensa e formadores de opinião._x000a_"/>
  </r>
  <r>
    <x v="3"/>
    <x v="3"/>
    <s v="Comunicação (marca)"/>
    <s v="1. Responsável por desenvolver estratégia de marca da Oi de acordo com a visão e missão da empresa._x000a_2. Criação e gestão de ativos de marca_x000a_3. Garantir que todas as mensagens de comunicação estejam alinhadas aos guidelines de Marca._x000a_4. Garantir a gestão, criação e distribuição de conteúdo para  todas as plataformas proprietárias Oi (redes sociais, blog), além da gestão, criação e distribuição de conteúdos junto a parceiros de comunicação / influenciadores_x000a_"/>
  </r>
  <r>
    <x v="3"/>
    <x v="3"/>
    <s v="Estratégia de negociação e compra de mídia"/>
    <s v="1. Responsável pela  gestão  dos principais meios de mídia online e off-line alinhado a estratégia de negócio e comunicação da companhia._x000a_2. Negociação   com agências e veículos para compra de mídia online e off-line buscando sempre a eficiência e o melhor mix de meios._x000a_3. Responsável pelo planejamento de campanhas criando os planos de mídia  on /off  da Oi Fibra e institucional._x000a_4. Gestão direta sobre a estratégia e  resultados de mídia paga de canais receptivos (fibra, oi place e novas soluções) e-commerce de fibra com definição dos veículos utilizados medindo as performances de venda, CPA e dispersão._x000a_5. Elaboração das informações detalhadas dos KPIs de campanha de awareness e performance da companhia_x000a_6. Garantir separação de xml por produto junto à TI para mensuração e efetividade dos canais_x000a_"/>
  </r>
  <r>
    <x v="3"/>
    <x v="3"/>
    <s v="Trade Marketing"/>
    <s v="1. Responsável por diferenciar produtos e serviços no ponto de venda para maximizar  resultados._x000a_2. Desdobramento da Estratégia da comunicação padronizada por canal e região, executando ações para maximização de vendas por região._x000a_3. Negociação e compras de mídia Regional a partir das diretrizes de comunicação. [MF 6.3.2]_x000a_4. Coordenar analises e abordagens regionais de mercado identificando contextos que impactem os clientes._x000a_5. Desenvolvimento e coordenação das campanhas de incentivo regionais para potencializar as vendas em todos os canais, alinhado as politicas comerciais._x000a_"/>
  </r>
  <r>
    <x v="3"/>
    <x v="3"/>
    <s v="Comunicação (mídia de performance)"/>
    <s v="1. Alavancar as vendas dos canais receptivos de produtos e serviços Oi com eficiência, minimizando a dispersão de cobertura, considerando a granularidade do negócio._x000a_2. Maximizar a volumetria dos canais receptivos_x000a_3. Responsável pelo relacionamento com a agencia de mídia digital._x000a_4. Criação de campanhas digitais que maximizem os canais receptivos em conjunto com agência._x000a_5. Busca de novos formatos  de mídia com objetivo de performance_x000a_"/>
  </r>
  <r>
    <x v="3"/>
    <x v="3"/>
    <s v="Estratégia de ferramentas, soluções e plataformas"/>
    <s v="1. Garantir que a estratégia de Negócio esteja refletida nos processos e ferramentas dos canais de venda / atendimento_x000a_2. Interface entre as áreas op. (regionais e canais de aquisição / atendimento / operações) para identificar necessidades de negócio e traduzir em soluções de processos e ferramentas _x000a_3. Propor melhorias para evolução das soluções (RTD, Order Entry, APP PAP), priorizando uma relação Omnichanel entre os canais_x000a_4. Priorizar as diferentes soluções propostas com base no VPL e foco estratégico_x000a_5. Especificar e viabilizar em conjunto com TI soluções de ferramentas sistêmicas que permitam maior otimização e eficiência operacional dos processos de venda/ Atendimento (foco em digitalização)_x000a_6. Automatização: Identificar melhorias contínuas nos processos e sistemas com foco em redução/eliminação de custos com Back Offices, sempre buscando a melhor experiência_x000a_"/>
  </r>
  <r>
    <x v="3"/>
    <x v="3"/>
    <s v="Operacionalização da Estratégia de Portfolio"/>
    <s v="1. Implementação de parâmetros operacionais para mailing: tabelas de oferta e layout para compatibilidade com canal_x000a_2. Execução e implantação das ofertas através da aprovação (jurídico, regulatório e tributário) e configuração de ofertas com parâmetros para Otimização de ARPU_x000a_3. Gestão e configuração do portfólio de oferta por pdv/canal_x000a_4. Suporte para construção de materiais de capacitação de produtos e ofertas_x000a_6. Coordenação da implantação de novas ofertas_x000a_7. Acompanhamento de performance KPIs_x000a__x000a_"/>
  </r>
  <r>
    <x v="3"/>
    <x v="1"/>
    <s v="Monitoramento da experiência do cliente"/>
    <s v="1. Monitoramento dos principais KPI que refletem a experiência nas jornadas (contestação, ST, etc.)_x000a_2. Estabelecer as correlações dos principais indicadores com a Experiência do Cliente_x000a_3. Pesquisas ativas da satisfação e das jornadas_x000a_4. Gera o indicador NPS Global_x000a_5. Gera o indicador NPS das Jornadas_x000a_6. Pesquisas Ad Hoc_x000a_7. Definir as referencia para os KPIs da experiência_x000a_8. Aprofundamento, análises, conhecimento do cliente e insights para transformação da jornada do cliente_x000a_9. Acompanhar e Diagnosticar indicadores Regulatório, Rankings e consumidor.gov_x000a_10. Garante retroalimentação do monitoramento para  empresa inteira "/>
  </r>
  <r>
    <x v="3"/>
    <x v="3"/>
    <s v="Patrocínio e Experiência"/>
    <s v="1. Interagir com diferentes stakeholders, desenvolvendo  patrocínios/ eventos  que fortaleçam a reputação da marca  incentivando crescimento sustentável da empresa.]_x000a_2. Aumentar o awareness de fibra e presença regional  criando eventos._x000a_3. Co-criação com Trade para projetos de experiência regional_x000a_4. Criação e gestão  de projetos incentivados para Oi _x000a_5. Alinhamento com Oi futuro para melhor integração das marcas e geração de oportunidades"/>
  </r>
  <r>
    <x v="3"/>
    <x v="3"/>
    <s v="Gestão de contratos e pagamentos de parceiros de comunicação"/>
    <s v="1. Interface com a controladoria relacionada ao centro de custo da diretoria de comunicação para reports oficiais e visões gerenciais do orçamento. (atualmente ainda pacote PP e com corp) _x000a_2. Definição e acompanhamento de processos para pagamentos da área. Controle de orçamento mensal e trimestral de PP e comcorp, incluindo forecast._x000a_3. Controle das especificidades dos pagamentos de mídia (via agencia, prazos diferentes por meio etc).Validação de RCs por cada frente: produção, mídia, trademarketing e pesquisas de marca._x000a_4. Controle de verba de mídia de pacotes adjacentes (exemplos: DRC e Operações)_x000a_5. Gestão de contratos  -  verba e processo de pagamento dos fees incluindo success fee (agencias, parceiros e institutos)"/>
  </r>
  <r>
    <x v="3"/>
    <x v="3"/>
    <s v="Planejamento de Vendas, Canais e S&amp;OP"/>
    <s v="1. Garantir o ciclo de previsão de vendas e instalação dos processos de planejamento operacional de vendas incluindo metas (POVE) e S&amp;OP - Sales and Operations Planning), abrangendo as Diretrizes da Oi Fibra e todos as premissas Comerciais (produtos, ofertas, capacidade de vendas de todos os canais e regionais, disponibilidade de rede por região) em conjunto com a Oi Fibra e Canais/Regionais._x000a_2. Responsável por discutir e definir com o time de operações (Oi e Redes Neutras) a capacidade de instalação por ciclos quadrimestrais. (avaliar ajustes)._x000a_3. Planejamento e desdobramento orçamentário de gross._x000a_4. Suporte ao modelo de roteirização, capacidade de vendas e delimitação das células de atuação._x000a_5. Gestão do Custo Mínimo em garantia (S&amp;OP x realização)_x000a_6. Co-estruturar junto ao trade a confecção da mecânica da campanha de incentivo de toda a força de vendas interna e externa bem como a apuração dos resultados._x000a_"/>
  </r>
  <r>
    <x v="3"/>
    <x v="3"/>
    <s v="Desenvolvimento, estruturação e implementação de Canais"/>
    <s v="1. Definir políticas, processos e procedimentos dos canais offline (PAP, PAPEPS, Teleagentes, entre outros);_x000a_2. Definir Política Comercial que garanta sustentabilidade da rede de distribuição e alcance as metas de vendas, receita, qualidade e gestão de custos;_x000a_3. Definir política de remuneração visando Buscar padrão de excelência no atendimento aos clientes, alinhados com a proposta de valor da Oi Fibra._x000a_4. Garantir alavancas que garantam maior produtividade e qualidade aos canais_x000a_5. Identificar oportunidades de negócio pela otimização dos canais existentes ou desenvolvimento de novos canais_x000a_6. Coordenação Nacional dos canais com base nos indicadores de negócios (Produtividade, Qualidade das vendas, CAPU, Rentabilidade, Capilaridade, Resultados operacionais, etc.)_x000a_7. Implantar mecanismos para medir aderência dos PDVs aos processos e práticas definidos pelo Canal e demais áreas da companhia._x000a_8. Especificar e utilizar ferramentas de avaliação de desempenho dos Canais e Jornada de Venda_x000a_9. Identificar necessidades de revisão/modificação da trilha de capacitação incentivando crescimento individual e da equipe_x000a_10. Demandar desenvolvimento de materiais de trade e capacitação_x000a_11. Garantir a comunicação entre os Canais e demais áreas da companhia"/>
  </r>
  <r>
    <x v="3"/>
    <x v="3"/>
    <s v="Operação de Canais Nacionais de Vendas"/>
    <s v="1. Gestão de relacionamento com EPS e parceiros de vendas nacionais (WEB/Afiliados/Grande Varejo/TLV)_x000a_2. Prospecção de novos parceiros e gestão de parceiros de vendas nacionais_x000a_3. Responsável pela entrega do resultado dos canais (gestão da performance)_x000a_4.Gerir e acompanhar os principais indicadores de qualidade (churn, FPD, aproveitamento e eficácia)_x000a_5. Gestão dos indicadores operacionais do dia-a-dia da operação (quartil, tx. de conversão, produtividade, TMA, TMV, etc)_x000a_6. Gestão do funil de vendas_x000a_7. Otimizar a relação dimensionamento x custo x disponibilidade de mailing por EPS/Operação_x000a_8. Garantir a adequação as demandas Regulatórias/Anatel_x000a_9. Especificação do modelo de atuação e rotina operacional  dos canais (acessos, procedimentos, processos, etc)_x000a_"/>
  </r>
  <r>
    <x v="3"/>
    <x v="3"/>
    <s v="Operação de canais Regionais de Vendas"/>
    <s v="1. Operar os canais regionais de vendas desdobrando as estratégias da Oi Fibra garantindo aderência aos processos e ferramentas _x000a_2. Garantir a Aderência dos parceiros em relação modelo de gestão Oi (gestão operacional, ambientação, apresentação pessoal, etc)_x000a_3. Entregar resultados nos Canais de Vendas Regionais (operacionais, qualidade, receita, custo, etc) através de acompanhamento diário de indicadores_x000a_4. Gestão de capilaridade e produtividade dos canais regionais_x000a_5. Dimensionamento de parceiros para entrega de resultados_x000a_6. Esteira de prospecção e credenciamento de novos parceiros_x000a_7. Fomento de campanhas e ações de vendas visando aceleração de resultados e/ou KPIs específicos _x000a_8. Garantir adequação dos canais de vendas regionais frente as regras da Anatel e Órgãos de Defesa do Cliente_x000a__x000a_"/>
  </r>
  <r>
    <x v="3"/>
    <x v="3"/>
    <s v="Operação de trade regional"/>
    <s v="1. Executar as atividades de Trade garantindo visibilidade das ofertas e benefícios aos Clientes conforme estratégia;_x000a_2. Padronização e aderência das comunicações, estruturação dos PDVs e outras formas de contato com o Cliente conforme estratégia de comunicação e diretrizes da Oi Fibra;_x000a_3. Planejamento, produção e logística dos enxovais de campanhas e comunicações de todos os canais de vendas._x000a_4. Gerir orçamentos de verbas regionais (SAV, MAV, VPC e Mídia) com ganhos de rentabilização e gestão de contratos dos fornecedores (agencias, gráfica)_x000a_5. Engajar os times de vendas na alavancagem de resultados e disseminação da cultura organizacional através de campanhas de incentivo e endomarketing_x000a_6. Benchmark de produtos, oferta e comunicação dos concorrentes _x000a_7. Suporte aos Canais de vendas no planejamento e execução das ações de vendas._x000a_8. Gerir a visibilidade das ofertas e serviços através de canais de comunicação/veículos de mídias regionalizadas com alto impacto, frequência, visibilidade, rentabilização e convergência_x000a_"/>
  </r>
  <r>
    <x v="3"/>
    <x v="3"/>
    <s v="Planejamento das operações de vendas regionais"/>
    <s v="1. Gerar informacional dos indicadores suportando a gestão da rotina e resultados (operacionais, qualidade, receita, despesas)_x000a_2. Disponibilização dos indicadores de suporte ao negócio (VL, gross, produtividade, capilaridade, quartil, eficácia, FPD, churn, INAD, IQ, custos, saúde financeira, acurácia, TKP)_x000a_3. Elaboração e desdobramento das metas POVE e Remuneração Variável de forma granular (UF, cidade, parceiro, GV, GC) _x000a_4. Diagnóstico dos desvios com mapeamento das oportunidades e melhorias (PDCA/SDCA)_x000a_5. Participação na construção do plano de HPs regional de curto e longo Prazo_x000a_6. apoiar no mapeamento da concorrência [MF4-1]_x000a_7. Suporte a Gestão regional (i), canais nacionais (ii), confecção de materiais, painéis de controle, padronização entre Regiões e GVs"/>
  </r>
  <r>
    <x v="3"/>
    <x v="3"/>
    <s v="Planejamento das operações de base"/>
    <s v="1. Garantir aderência dos contratos à estratégia dos canais de relacionamento da Oi Fibra, refletindo em menor preço e maior qualidade através de RFP’s e revisão dos contratos/prestadores atuais e avaliação de novos parceiros._x000a_2. Criação e gestão de Orçamento/budget Opex das operações_x000a_3. Apuração do faturamento de todos os contratos (apuração, emissão de pedidos, acompanhamento fim a fim do fluxo de pagamento dos fornecedores)._x000a_4. Responsável pelo Forecast de chamadas para todas as operações (call Center), garantindo o alinhamento da estratégia Oi _x000a_5. Monitorar e gerenciar o roteamento das chamadas (24 x 7) entre todos os parceiros (EPSs), garantindo o equilíbrio do nível de serviço entre os parceiro_x000a_6. Gerenciar a distribuição e migrações de volume no ambiente Oi (roteamento)_x000a_7. Acompanhamento, suporte e ações para correção de desvios com as áreas de Planejamento de cada fornecedor e áreas de operação_x000a_8. Gerar informacional dos indicadores suportando a gestão da rotina e resultados (operacionais, qualidade, despesas)_x000a_9. Criação e gestão de Orçamento/budget Capex do canal_x000a_10. Gestão de demandas Regulatórias (Não perturbe, cautelar, etc)_x000a_11. Cadastramento de novos parceiros"/>
  </r>
  <r>
    <x v="3"/>
    <x v="3"/>
    <s v="Acompanhamento e Recuperação da cadeia de instalação do cliente (CRV)"/>
    <s v="1. Garantir eficiência na Instalação, com maior agilidade no tratamento das pendências, reduzindo atrito com o cliente e custos de reagendamento, em conjunto com os times de Operações, Vendas, Planejamento e Parceiro de Rede Neutra._x000a_2. Monitorar as Ordens de Instalação e Serviço em pendenciamento cliente e parte das pendências técnicas;_x000a_3. Garantir o tratamento de pendenciamento seja executado conforme diretrizes estratégicas da Oi Fibra seguindo segmentação de clientes;_x000a_4. Realizar a gestão do pendenciamento na esteira de obra e slots para agendamento;  _x000a_5. Realizar a interface com o cliente para agendamento e tratamento das pendencias_x000a_6. Suportar o técnico em campo no tratamento de Correção de OS, Reagendamento e Desistência do Cliente;_x000a_7. Suportar o time de Vendas contingenciando falhas sistêmicas_x000a_"/>
  </r>
  <r>
    <x v="3"/>
    <x v="3"/>
    <s v="Operação de Fidelização e Rentabilização"/>
    <s v="1. Gestão de relacionamento com EPS e parceiros (Canais Digitais e Humanos)_x000a_2. Garantir a implementação da estratégia em todos os canais_x000a_3. Prospecção de novos parceiros e soluções_x000a_4. Responsável pela entrega do resultado dos canais_x000a_5. Gerir e acompanhar os principais indicadores de qualidade e performance_x000a_6. Gestão dos indicadores operacionais do dia-a-dia da operação (quartil, tx. de conversão, produtividade, TMA, TMV, etc)_x000a_7. Gestão do funil de rentabilização/fidelização_x000a_8. Otimizar a relação dimensionamento x custo x disponibilidade de mailing pelos Canais_x000a_9. Execução de pilotos e novas iniciativas_x000a_10. Garantir a adequação as demandas Regulatórias/Anatel_x000a_11. P&amp;L e LTV do Canal_x000a_12. Definição da politica de remuneração_x000a_13. Especificação do modelo de atuação e rotina operacional  dos canais (acessos, procedimentos, processos, campanhas, etc)_x000a_14. Gestão contratual dos parceiros/ferramentas"/>
  </r>
  <r>
    <x v="3"/>
    <x v="4"/>
    <s v="Operações de Atendimento"/>
    <s v="1. Responsável por coordenar junto às EPSs e parceiros (canais digitais e humanos) o atendimento aos clientes da Oi Fibra _x000a_2. Garantir a implementação da estratégia em todos os canais digitais e humanos_x000a_3. Quando necessario, responsável por prospectar de novos parceiros e soluções_x000a_4. Responsável pela gestão de resultados de todos os indicadores das operações de atendimento (quartil, FCR, nota de satisfação, tx. de conversão, produtividade, TMA, rate, etc)_x000a_5. Gestão do atendimento eletrônico (URA)_x000a_6. Otimizar a relação dimensionamento x custo x disponibilidade de mailing pelos Canais_x000a_7. Execução de pilotos e novas iniciativas_x000a_8. Garantir a adequação as demandas Regulatórias/Anatel_x000a_9. Especificação do modelo de atuação e rotina operacional  dos canais (acessos, procedimentos, processos, campanhas, etc)_x000a_10. Gestão contratual dos parceiros/ferramentas"/>
  </r>
  <r>
    <x v="3"/>
    <x v="4"/>
    <s v="Operação de Ouvidoria"/>
    <s v="1. Implementar a estratégia de atuação nas operações de Ouvidoria (Ouvidoria e BO Anatel)_x000a_2. Quando necessário, fazer relacionamento com Anatel_x000a_3. Retroalimentar as áreas internas para endereçar a causa raiz dos problemas dos clientes identiuficados em atendimentos e reclamações_x000a_4. Garantir a adequação as demandas Regulatórias / Anatel_x000a_5. Gestão de relacionamento com EPS e parceiros_x000a_6. Responsável pela entrega do resultado conforme metas definidas pela Anatel_x000a_7. Gerir e acompanhar os principais indicadores de qualidade e performance_x000a_8. Dimensionamento da operação para garantir Nivel de Serviço_x000a_9. Especificação da rotina operacional  dos canais (acessos, procedimentos, processos, campanhas, etc)_x000a_10. Gestão contratual dos parceiros/ferramentas"/>
  </r>
  <r>
    <x v="3"/>
    <x v="4"/>
    <s v="Operação de Retenção"/>
    <s v="1. Gestão de relacionamento com EPS e parceiros (Canais Digitais e Humanos)_x000a_2. Garantir a implementação da estratégia em todos os canais (Ativo, Receptivo, RACO e App)_x000a_3. Prospecção de novos parceiros e soluções_x000a_4. Responsável pela entrega do resultado dos canais_x000a_5. Gerir e acompanhar os principais indicadores de qualidade e performance_x000a_6. Gestão dos indicadores operacionais do dia-a-dia da operação (quartil, tx. de cancelamento, delta ticket, NS, receita retida, etc)_x000a_7. Gestão do funil de retenção_x000a_8. Otimizar a relação dimensionamento x custo x tx retenção_x000a_9. Operacionalização da estratégia de ativo de reversão_x000a_10. Execução de pilotos e novas iniciativas_x000a_11. Garantir a adequação as demandas Regulatórias/Anatel_x000a_12. P&amp;L e LTV da operação_x000a_13. Definição da politica de remuneração_x000a_14. Especificação do modelo de atuação e rotina operacional  dos canais (acessos, procedimentos, processos, campanhas, etc)_x000a_15. Gestão contratual dos parceiros/ferramentas"/>
  </r>
  <r>
    <x v="3"/>
    <x v="4"/>
    <s v="Estratégia e operação da comunicação com o cliente"/>
    <s v="1. Desenvolvimento das jornadas de comunicação com clientes através de canais diretos como e-mail, SMS, WhatsApp, Push, etc) com objetivos:_x000a_2. Comerciais (vender, rentabilizar e blindar)_x000a_3. Transacionais (faturar, cobrar, agendar...)_x000a_4. Relacionais (engajar, celebrar, reconhecer)_x000a_5. Care/Incentivos (meio de pagto, uso,...)_x000a_6. Definição da estratégia operacional para otimização do resultado (volume de disparos, melhor horário, recorrência...)_x000a_7. Martech: Estruturação do MKT Cloud operacionalizando estratégia da Oi Fibra, segmentação de disparos e implantação de estratégia de CRM (IPs, Reputação, Lógica)_x000a_8. Parametrização dos dashboards com os principais indicadores de sucesso e gestão na ferramenta"/>
  </r>
  <r>
    <x v="3"/>
    <x v="3"/>
    <s v="Estratégia de HP / Definição da demanda de HP e Geomarketing"/>
    <s v="1. Definição da estratégia de disponibilização de HP por região, alinhada à estratégia de aquisição de clientes da Oi Fibra_x000a_2. Implementar e gerenciar processo que garantam direcionamento eficiente de investimentos (Opex) de expansão de rede da Oi Fibra_x000a_3. Gestão para Garantir em conjunto com operações e Parceiro de rede neutra  a execução do plano de construção de rede dentro do plano definido, potencializando a performance de Vendas_x000a_4. Acompanhar a Gestão de qualidade dos HPs construidos (cadastros, S/N, solicitados, viabilidade, etc), bem como sua taxa de ocupação_x000a_5. Atendimento aos CDDs de Geomarketing_x000a_6. Criar inteligência de identificação de mercado potenciais a serem atendidos com maior capilaridade de Fibra com melhorias da Oi Fibra_x000a_7.Identificar oportunidades de mercado na planta de HPs implantados para melhoria de performance e redução do custo de MakeWhole (MW) da Oi Fibra_x000a_8. Gestão/Validação do custo de MakeWhole (MW)  no contrato juto ao Parceiro de rede neutra_x000a_9. Controle de performance de Take Up"/>
  </r>
  <r>
    <x v="3"/>
    <x v="3"/>
    <s v="Liberação comercial de HP"/>
    <s v="1. Mapear principais etapas e estruturar processo de liberação comercial de Novas Localidades, Municípios e e/ou Estações de Fibra de acordo com as diretrizes da Oi Fibra._x000a_2. Garantir a mobilização das diversas áreas OI e interface com o fornecedor de rede neutra (Ex.:Vtal) para a execução das atividades do checklist de novas localidades FTTH e o lançamento na data planejada._x000a_3. Definir e monitorar os SLAs de cada etapa, atuando como PMO na coordenação das atividades e correção dos desvios._x000a_"/>
  </r>
  <r>
    <x v="3"/>
    <x v="3"/>
    <s v="Operação orçamentária (pagamento de parceiros / comissionamento / compra de conteúdo / revenue assurance / controladoria)"/>
    <s v="1. Responsável pela estratégia orçamentária da Operação Oi Fibra, garantindo as diretrizes corporativas, bem como a execução operacional do serviço ao cliente"/>
  </r>
  <r>
    <x v="3"/>
    <x v="3"/>
    <s v="Planejamento e Desempenho operacional da Oi Fibra (Planejamento de receita, despesa e gestão da rentabilidade)"/>
    <s v="1. Garantir Planejamento e gestão da performance de resultados da Diretoria da Oi Fibra nas suas diversas dimensões de Receita, despesas e físicos e seus indicadores chaves (vendas, instalação, qualidade, churn, arpu, conteúdo &amp; SVA, etc) alinhado a estratégia e a sustentabilidade de negócio da Cia._x000a_2. Apurar e acompanhar toda a performance das Oi Fibra apontando possíveis causas dos resultados identificados gerando diagnósticos para tomada de decisão do negócio, seja com foco nas oportunidades ou ações de correção_x000a_3. Responsável por gerar e acompanhar o orçamento (receita, despesa e físico) consolidado, assim como todo Forcast_x000a_4. Responsável por elaborar prévias/projeções dos físicos e receita e analise dos desvios _x000a_5. Suportar a Cia com materiais para os fóruns de governança_x000a_"/>
  </r>
  <r>
    <x v="3"/>
    <x v="3"/>
    <s v="Operação de Comissionamento e Remuneração"/>
    <s v="1. Operacionalização da estratégia de comissão definida pelos Canais de Vendas (ex.: PC e IQ) e Relacionamento_x000a_3. Apurar e comunicar informações aos parceiros (valores e detalhamento linha-a-linha)_x000a_5. Responsável pela definição do fluxo e análise das contestações de comissão pelos parceiros_x000a_6. Gestão de pagamento de Nota Fiscal junto ao Posto Fiscal_x000a_7. Encontro de comissão/retenção de comissões referente a finalização de contrato_x000a_8. Operacionalização e comunicação das políticas de RV para a força de vendas (regionais/canais) e RH: envio de target de atingimento para pagamento e acompanhamento _x000a_9. Operacionalização de Campanhas dos Canais, como também a apuração e pagamento._x000a_10. Operacionalização da estratégia de comissão de Conteúdo e SVA"/>
  </r>
  <r>
    <x v="3"/>
    <x v="3"/>
    <s v="Customer Knowledge (operacional - gerenciamento da base de dados - casa / perfil de cliente / contato / já foi cliente"/>
    <s v="1. Garantir a confiabilidade, disponibilidade, abrangência e recência dos dados e Inform._x000a_2. Viabilizar e apoiar nas análises exploratórias, descritivas e inferenciais, para o negócio_x000a_3. Apoiar consultivamente nas discussões e implementar KPI para o acompanhamento dos resultados dos processos de negócio na Cia e tomada de decisão_x000a_4. A partir das definições de negócio, estruturar as jornadas dos clientes (martech), em modelo ágil, configurando e acompanhando resultados, para possibilitar a melhoria contínua, bem como campanhas por DBM_x000a_5. Acelerar e viabilizar modelos de recomendações, preditivos e arquétipos, aplicado ao negócio e operações da Cia._x000a__x000a_"/>
  </r>
  <r>
    <x v="3"/>
    <x v="3"/>
    <s v="Gestão de Contratos"/>
    <s v="1. Interface com a controladoria para reports oficiais e visões gerenciais do orçamento_x000a_2. Definição e acompanhamento de processos para pagamentos das áreas, incluindo forecast._x000a_3. Gestão de contratos  -  verba e processo de pagamento "/>
  </r>
  <r>
    <x v="3"/>
    <x v="3"/>
    <s v="Agilidade Organizacional"/>
    <s v="1. Estruturar e Implementar times em torno das diretrizes de portfolio e fluxos de valor para garantir a execução das prioridades da Oi_x000a_2. Definir e implementar as melhores práticas de fluxos, ritos e modelos de trabalho, adequando suas aplicações de acordo com a maturidade ágil das equipes, habilitando e evoluindo essa competência na organização;_x000a_3. Habilitar todos os papéis ágeis necessários para impulsionar o Business Agility na Oi, tais como Business Owner, PO, líderes de times ágeis (mesas, PODs, Etc), facilitadores de times ágeis_x000a_4. Co-constrói e Implementa as melhores praticas para o desenvolvimento de produtos e soluções de forma ágil_x000a_5. Acompanhar e monitorar a evolução da maturidade ágil na Oi Fibra, a partir de indicadores_x000a_6. Co-constrói estratégias de gestão da mudança, engajamento e capacitação para a cultura Lean-Ágil"/>
  </r>
  <r>
    <x v="3"/>
    <x v="3"/>
    <s v="Gestão de Portfolio, Governança e Métricas de Valor"/>
    <s v="1. Responsável por definir e implementar Modelo de Gestão e Governança na Oi Fibra;_x000a_2. Responsável por implementar a competência Lean Portfolio Management (LPM) na Oi Fibra, coordenando com stakeholders, ritos e cerimonias de gestão de portfolio;_x000a_3. Responsável pela definição e gestão do Sistema de Informações de Gerenciamento de Valor (SIGV), com  ferramentas e métricas de gerenciamento do trabalho da Oi Fibra, buscando aumentar a maturidade ágil e a fluidez organizacional;_x000a_4. Gestão dos programas da Oi Fibra a partir dos desdobramentos do portfólio;_x000a_5. Coordenar a definição dos OKRs estratégicos da Oi Fibra;_x000a_6. Propor todos os artefatos necessários para a realização dos ritos;_x000a_7. Gestão da capacidade para a alocação dos times e execução das do portfolio (co-construir processo com áreas envolvidas)"/>
  </r>
  <r>
    <x v="3"/>
    <x v="3"/>
    <s v="Gestão de qualidade de vendas"/>
    <s v="1. Planejar e estruturar o modelo de Qualidade de vendas por meio de indicadores de negócio (quantitativos e qualitativos) com visão analítica e geração de alarmística com abrangência em todos os canais e regionais de vendas, assim como Monitorar e diagnosticar desvios _x000a_2. Indicar oportunidades de processos a fim de sugerir as ações necessárias com o objetivo de maximizar os resultados da Oi e a satisfação dos Clientes da Oi Fibra, atuando para sua permanente otimização (da prospecção aos primeiros pagamentos)._x000a_3. Garantir modelo de gestão de desempenho completo que apresente indicadores corretos para acompanhamento (no mínimo com periodicidade diária) que suportem a tomada de decisão da Oi Fibra._x000a_5. Estruturar modelos e processos de Auditoria de Vendas e atuar com as áreas operacionais, direcionando e definindo a melhor abordagem do Cliente conforme constante reavaliação das causas de não qualidade;_x000a_"/>
  </r>
  <r>
    <x v="3"/>
    <x v="4"/>
    <s v="Gestão de qualidade pós vendas"/>
    <s v="1. Planejar e estruturar o modelo de Qualidade das operações de relacionamento com cliente por meio de indicadores de negócio e operacionais (quantitativos e qualitativos) com visão analítica e abrangência em todos os canais (humano, URA, Digitais), assim como monitorar e diagnosticar desvios._x000a_2. Monitorar os principais KPIs de atrito e Indicar oportunidades de processos a fim de sugerir para a Oi Fibra as ações necessárias com o objetivo de maximizar os resultados e a satisfação dos Clientes, atuando para sua permanente otimização._x000a_3. Estruturar modelos e processos de Auditoria dos parceiros de relacionamento, seguindo um fluxo de melhoria contínua para redução de erros e atrito com o cliente e suportando o modelo de competição (bonificação/penalização de contratos)._x000a_4. Co -Responsável pela Jornada do cliente nos canais de relacionamento e NPS, acompanhando  indicadores de negócio e atrito com clientes (Contact rate, Churn, Contestação, ODCs, Migrações e etc.) em conjunto com a Oi Fibra para  garantir a eficiência dos processos e a  melhor percepção e experiência do cliente._x000a_5. Gestão das operações de Auditoria_x000a_"/>
  </r>
  <r>
    <x v="3"/>
    <x v="3"/>
    <s v="Operação de Clientes Novos: Onboarding"/>
    <s v="1. Desenvolver, implementar  e operar a gestão da experiencia dos novos clientes"/>
  </r>
  <r>
    <x v="3"/>
    <x v="3"/>
    <s v="Gestão de Fraude"/>
    <s v="1. Estabelecer critérios de acompanhamento e ações para a redução de fraude na jornada de compra.2.  Fazer a gestao dos acessos de parceiros e stakeholdes nas plataformas de forma a  evitar fraude e uso indevido dos acessos.  "/>
  </r>
  <r>
    <x v="3"/>
    <x v="4"/>
    <s v="Plataforma de atendimento (e-Care)"/>
    <s v="1. Responsável por propor jornadas de atendimento ao cliente nas plataformas digitais em conjunto com as áreas de CX e UX para viabilizar o melhor atendimento aos clientes_x000a_2. Responsável por desenhar as features com Tecnologia das melhorias que serão implementadas nas plataformas (oi_e, minha Oi, Joice)_x000a_3. Responsável pelos indicadores operacionais das plataformas de atendimento digital_x000a_4. Responsável pela gestão orçamentária das plataformas"/>
  </r>
  <r>
    <x v="3"/>
    <x v="3"/>
    <s v="Inteligência e estruturação de canais digitais"/>
    <s v="1. Responsável pela estruturação para gestão data driven e atuação com visão fim a fim da jornada de compras nos canais digitais, para geração de insights e sugestões de melhoria relevantes para o negócio"/>
  </r>
  <r>
    <x v="3"/>
    <x v="3"/>
    <s v="Estratégia e estruturação de Novos canais digitais"/>
    <s v="1. Responsável pela estratégia e implementação de novas formas de captação de lead para os canais digitais"/>
  </r>
  <r>
    <x v="3"/>
    <x v="3"/>
    <s v="Estratégia de plataformas digitais"/>
    <s v="1. Responsável pela evolução e Integração das Plataformas de Canais digitais da Oi Fibra de modo a Potencializar o meio digital como ferramenta de vendas em jornadas de compra mais efetivas."/>
  </r>
  <r>
    <x v="3"/>
    <x v="3"/>
    <s v="Estratégia e inteligência de Canais"/>
    <s v="1. Definir a estratégia de canal adequado para a abordagem ao cliente garantindo a ocupação de HPs disponíveis ( Melhor  canal para cada tipologia de HP)_x000a_2. Definir metas para os canais regionais_x000a_3. Definir de indicadores  de Sucesso_x000a_4. Definir a Matriz de rentabilidade do canal_x000a_5. Desenvolver e implementar novos canais de vendas, de modo a impulsionar os resultados de vendas_x000a_6 - co-construir com acom CX a melhor jornada de compra para a estratégia de canais"/>
  </r>
  <r>
    <x v="4"/>
    <x v="4"/>
    <s v="Solução de Problemas Técnicos ​"/>
    <s v="- Atendimento dos Clientes através da URA e canais digitais e realização de troubleshooting para solução das falhas reclamadas pelos Clientes, sejam da Banda Larga e VOIP._x000a_- Em caso de insucesso da solução remota e em sendo pertinente, o Suporte Técnico abre um reparo para o campo para que a falha seja solucionada in loco._x000a_- Além da célula dos do Suporte Técnico que atende a grande maioria dos Clientes do FTTH, existem células especializadas para determinadas tratativas e Produtos. _x000a_- Célula do Suporte Avançado que trata os casos específicos de VoIP e IPTV._x000a_- Célula Repetidor, para o Cliente que apresenta um determinada incidência de entrada no Suporte Técnico._x000a_- Célula  Proactive Care: Célula especializada na tratativa do Cliente FibraX, sendo constituída de um atendimento receptivo e outro ativo que faz uma predição das falhas utilizando de ferramentas e plataformas específicas e entra em contato com o Cliente antecipadamente._x000a_- O Suporte técnico possui também uma célula OFF que  faz a tratativa dos reparos preventivos._x000a_- Devem ser definidos por contrato os níveis de serviço atuais (Manutenção dos SLA vigentes)._x000a_- Devem ser validadas com o atendimento as regras e SLAs dos contrato do suporte técnico bem como o modelo de controle destes."/>
  </r>
  <r>
    <x v="4"/>
    <x v="5"/>
    <s v="LOGISTICA OPERACOES"/>
    <s v="• Planejamento de compras de ONTs_x000a_• Planejamento de abastecimento de ONTs de todas as Ufs_x000a_• Planejamento de transporte de materiais_x000a_•  Reversa de ONTs oriundos de churn e reparo_x000a_•  Recondicionamento de ONTs_x000a_• Operação de FTTR e Mesh"/>
  </r>
  <r>
    <x v="4"/>
    <x v="5"/>
    <s v="DESEMPENHO E S&amp;OP "/>
    <s v="• Conduzir os ciclos de S&amp;OP de todos os produtos e serviços da Nova OI, realizando interface direta com os fornecedores parceiros de entrega, como as InfraCo’s e PSR’s;_x000a_• Monitorar, ao longo de todo o ciclo de S&amp;OP, as entregas dos fornecedores, prevendo e identificando eventuais desvios com relação ao plano de produção, e atuando na gestão da implantação de ações preventivas e corretivas;_x000a_• Contribuir com a elaboração e implantação do plano de longo prazo de expansão dos serviços de Fibra Óptica e de Novos Negócios;_x000a_• Elaborar e divulgar mensalmente os planos S&amp;OP para O&amp;M e Rede Externa; _x000a_• Divulgar o plano de materiais necessários para a suportar os planos S&amp;OP vigentes;_x000a_• Suportar o cumprimento dos contratos, a partir da aferição dos indicadores de desempenho, especialmente os que impactam o fluxo de pagamentos;_x000a_• Promover a apuração e análise dos indicadores operacionais, identificando possíveis desvios e propondo ações corretivas;_x000a_"/>
  </r>
  <r>
    <x v="4"/>
    <x v="5"/>
    <s v="GESTÃO  INFRACOS"/>
    <s v="•Realizar a gestão contratual e orçamentária dos contratos da   VTAL /PSRs/Lógistica/CGR/Engenharia/SI/Contole Operacional/Suporte Técnico/Controle Local;_x000a_•Realizar a validação e pagamento mensal dos serviços prestados pelas V.tal, PSRs; _x000a_•Garantir que as InfraCO e PSRs ( atualmente V.TAL/ SEREDE/TELEMONT) cumpram os requisitos de qualidade pré-estabelecidos nos contratos que são medidos mensalmente através de indicadores de qualidade._x000a_•Definir e implantar ações corretivas e preventivas quando houver uma não conformidade contratual pelas InfraCOS e PSRs e fornecedores._x000a_•Ser o canal junto à área responsável para evoluções e adequações nos contratos vigentes;_x000a_•Participar do levantamento, modelagem e validação dos processos da empresa._x000a_•Ajustar os processos da empresa promovendo novas melhorias, conforme a análise dos resultados, garantindo a integridade e atualidade dos ativos envolvidos._x000a_•Suportar os projetos estruturantes da garantindo  a implantação dos mesmos sem ferir os processos operacionais na visão cadeia._x000a__x000a__x000a__x000a_"/>
  </r>
  <r>
    <x v="4"/>
    <x v="5"/>
    <s v="SOLUCOES E PROJETOS DE TI"/>
    <s v="•Planejamento e implantação de Plataforma / OSS / Serviços;_x000a_•Planejamento e  implantação de redes;_x000a_•Implatação de Diretrizes de redes;_x000a_•Eficiencia Operacional (ações/Indicadores) OS de uso próprio_x000a_•Projetos especiais (ESOC,Segregação de plataformas,desenvolvimento dashboards)_x000a_•Planejamento de arquitetura de tecnologia e soluções (GTEC, laboratório, dispositivos, devices, eventos e homologações)_x000a__x000a__x000a_"/>
  </r>
  <r>
    <x v="4"/>
    <x v="5"/>
    <s v="MONITORACAO DOS SERVIÇOS_x000a_"/>
    <s v="• Realizar a gestão operacional da disponibilidade do serviço Oi Fibra, garantindo a melhor experiência do cliente;_x000a_• Coordenar ações em conjunto com as InfraCOs para garantir a maior disponibilidade do Oi Fibra;_x000a_• Realizar a interface técnico-operacional com CGR das InfraCOs_x000a_• Monitoramento da disponibilidade do serviço Oi Fibra, dos sistemas e infraestrutura de TI e da performance do KPIs da Jornada do Cliente, com identificação, encaminhamento e comunicação de falhas;_x000a_• Garantir a integração da evolução para monitoração da Experiência do Cliente através de cruzamento de dados e criação de dashboards_x000a_• Controlar o orçamento de OPEX dos contratos de suporte e das empresas prestadoras de serviços;_x000a_• Gestão de incidentes críticos (sala de acompanhamento de crise) e de garantia da continuidade do negócio;_x000a_• O&amp;M das plataformas CORE do CEC e OSS Fibra: eSOC, NWCC, SmartWifi, Dataminer OSS (aplicações, storages, bancos de dados e hardware);_x000a_• Registro e comunicação dos eventos críticos com impacto ou risco de impacto para a continuidade do negócio, garantindo alinhamento e divulgação das ocorrências para a direção e demais áreas da empresa;_x000a_• Garantir o acompanhamento e cumprimento das obrigações regulatórias com tratamento das demandas ANATEL, PROCON e jurídico;_x000a_• Fazer a gestão e o acompanhamento do fluxo de aprovação/divulgação das Janelas de Manutenção;_x000a_"/>
  </r>
  <r>
    <x v="4"/>
    <x v="5"/>
    <s v="RELACIONAMENTO TÉCNICO DE SERVIÇOS_x000a_"/>
    <s v="• Realizar o relacionamento técnico digital e humano com o cliente Oi Fibra;_x000a_• Garantir a estabilidade e eficiência no atendimento ao cliente através do Suporte Técnico Humano e Digital;_x000a_• Desenvolver planos de melhoria para aumentar o NPS, garantindo uma maior satisfação do cliente Oi Fibra_x000a_• Suportar tecnicamente a geração de receita nos produtos Oi Expert e Oi Fibra _x000a_• Ampliar a digitalização dos Canais Digitais para o tratamento de Suporte Técnico garantindo a qualidade e satisfação do cliente;_x000a_• Garantir incentivo e aumento do uso dos Canais Digitais APP. Técnico Virtual, OI_E, Joice BOT, CO Digital e Assistentes Virtuais;_x000a_• Garantir que as soluções digitais operem dentro de forma íntegra e tratar junto as áreas de apoio agilidade no tratamento de anomalias;_x000a_• Realizar benchmark de mercado para avaliar as melhores práticas e oportunidades para aumento da digitalização_x000a_• Garantir que os projetos de evolução da operação aconteçam dentro do prazo e tragam o retorno esperado para a Oi_x000a_• Garantir a validação e especificações técnicas de novas ferramentas de teste e diagnóstico alinhadas com as melhores práticas de mercado._x000a_• Garantir o alinhamento entre a atuação do CO/CL e as unidades regionais responsáveis pelas PSRs;_x000a_• Gerir as operações diárias do CO e CL, assegurando atendimento com qualidade para garantir produtividade em Campo de forma a não gerar impacto na cadeia de Reparo, Instalação e Mudança de Endereço;"/>
  </r>
  <r>
    <x v="4"/>
    <x v="5"/>
    <s v="QUALIDADE E EXPERIÊNCIA DE FTTH_x000a_"/>
    <s v="• Construir um score de propensão de satisfação da experiência de USO (através de soluções de gerenciamento do ambiente do cliente, qualidade da fibra de acesso e gerenciamento do tipo de tráfego)_x000a_• Melhorar experiência do uso do Oi Fibra através de ações proativas para abertura de reparo quando detectado o problema preventivamente garantindo alta rentabilidade e baixo custo operacional;_x000a_• Propor soluções de MESH para reduzir atrito do cliente voltado a temas de cobertura da rede Wi-Fi;_x000a_• Realizar orientação protaiva através dos nosso canais com o cliente sobre o uso dos devices, da rede e como melhorar sua experiência de uso;_x000a_• Coordenar em conjunto das áreas técnicas as implementações de casos de uso que melhorem a jornada do cliente, como venda de MESH para e novas soluções como o FTTR;_x000a_• Ser responspavel pela gestão dos modelos de predição de NPS;_x000a_• Realizar especifcações técnicas para suportar processo de comunicação proativa de oprtunidades de uso de forma automática _x000a_•Elaborar material com recomendações técnicas para subsidiar decisões estratégicas da cia, a exemplo das demandas anti-fraude, desvio de ONT;_x000a_• Implantar processos de soluções cognitivas para tratamento das demandas de cliente e OI (Suporte técnico)_x000a_•Aumentar a digitalização de self care ao cliente para que tenha autonamonia em tratamento de anamolias "/>
  </r>
  <r>
    <x v="4"/>
    <x v="5"/>
    <s v="ATENDIMENTO O&amp;M "/>
    <s v="• Suportar tecnicamente a área de mercado em ações para aumento de receita;_x000a_• Gerenciar empresa de rede neutra para solução de trouble tickets em defeitos apontados nos produtos do através de reparo e manutenção para Banda Larga(Telemont, Abillity e SEREDE) e prover soluções que reduzam o custo de visitas improdutivas em campo na gestão dos produtos VOIP e IPTV_x000a_• Alinhamento com as áreas de negócio, principalmente vendas para definição de estratégia conjuntas com o plano de instalações e visita em parceiros de negócio para tangibilizar essas necessidades;_x000a_• Acompanhamento de volume de anomalias na rede e redução desses defeitos percebidos pelo cliente  (FCT);_x000a_• Endereçamento e escalonamento de tratamento técnico de demandas dos órgãos regulatórios através de priorização em ferramentas especificas para despacho em controle local e áreas de segundo e terceiro níveis;_x000a_• Realização de auditorias informacionais e in loco em campo para identificação de fraudes voltadas ao desvio de equipamentos em campo;_x000a_• Gestão sobre a análise e mapeamento de ações para mitigação de riscos operacionais a evitar descontinuidade de serviços importante e processo de relevância para a cia_x000a_• Em conjunto com o time regulatório realizamos análises AD-hoc de demandas de órgãos reguladores para entendimento da necessidade de justificativa da cia;_x000a_• Promover reuniões de resultados semanais com o time para alinhamento gerencial dos indicadores de performance e acompanhamento das ações em curso e proposição de novas ações"/>
  </r>
  <r>
    <x v="4"/>
    <x v="5"/>
    <s v="SEG DE SISTEMAS E INFRA"/>
    <s v="I. Estratégias de Segurança_x000a_a. Desenvolvimento de estratégias personalizadas para redução de riscos e impactos relacionados a falhas, ataques e incidentes de segurança._x000a_b. Implementação de melhores práticas internacionais e padrões de tecnologia para garantir a segurança dos sistemas._x000a_c. Definição de políticas, procedimentos e controles de segurança da informação adequados às necessidades específicas da organização._x000a_d. Elaboração de normas e diretrizes para o desenvolvimento seguro de sistemas e gerenciamento de vulnerabilidades._x000a_e. Consultoria e orientação estratégica para integração da segurança da informação aos objetivos de negócio da empresa._x000a_II. Defesa e Representação Institucional_x000a_f. Representação da organização junto a órgãos reguladores, legislativos e de defesa nacional em questões relacionadas à segurança da informação._x000a_g. Combate a riscos de multas, sanções e outras penalidades decorrentes de problemas de segurança tecnológica._x000a_h. Apoio na defesa dos interesses da empresa em debates, projetos e iniciativas ligados à segurança da informação em âmbito nacional e internacional._x000a_III. Gestão de Tecnologias de Proteção_x000a_i. Implantação e gerenciamento de tecnologias avançadas de proteção contra ataques cibernéticos._x000a_j. Monitoramento proativo e contínuo de ameaças, com respostas otimizadas para garantir a segurança dos sistemas._x000a_k. Gestão de acessos a sistemas sob gestão de segurança, incluindo concessão de acessos e controle de privilégios._x000a_IV. Conscientização e Educação em Segurança_x000a_l. Desenvolvimento e execução de programas de conscientização em segurança da informação para colaboradores e prestadores de serviço._x000a_m. Elaboração de políticas de segurança corporativas e condução de processos de treinamento e educação em segurança para toda a organização._x000a_V. Gestão de Riscos e Compliance_x000a_n. Gerenciamento de não conformidades e riscos de segurança, com visibilidade à alta direção._x000a_o. Auditoria de produtos e sistemas para eliminação de riscos que possam prejudicar a empresa._x000a_p. Apoio na definição e implementação de políticas e normas de segurança para garantir a conformidade com obrigações legais e regulatórias._x000a__x000a_"/>
  </r>
  <r>
    <x v="4"/>
    <x v="5"/>
    <s v="SERV SEGURANCA INFORMACAO"/>
    <s v="I. Monitoramento e Gerenciamento de Segurança_x000a_q. Monitoramento contínuo da infraestrutura de segurança dos clientes B2B para identificação precoce de ameaças e vulnerabilidades._x000a_r. Análise de logs, eventos de segurança e tráfego de rede para detecção de atividades suspeitas ou não autorizadas._x000a_s. Gestão proativa de incidentes de segurança, incluindo resposta imediata e mitigação de ameaças emergentes._x000a_II. Gerenciamento de Dispositivos de Segurança_x000a_t. Gerenciamento e configuração de SD-WAN, firewalls, sistemas de detecção e prevenção de intrusões, gateways de segurança de e-mail e outros dispositivos de segurança._x000a_u. Atualizações regulares de firmware e assinaturas de ameaças para garantir a eficácia dos dispositivos de segurança._x000a_III. Análise de Vulnerabilidades_x000a_v. Escaneamento periódico de vulnerabilidades em sistemas e aplicações dos clientes B2B para identificação de pontos de falha e exposição._x000a_w. Avaliação de riscos e priorização de correções para minimizar o potencial de exploração de vulnerabilidades._x000a_IV. Relatórios e Análises_x000a_x. Geração de relatórios detalhados sobre o estado da segurança da informação, incluindo análises de tendências, métricas de desempenho e recomendações de melhoria._x000a_y. Análise de impacto de incidentes de segurança e ações corretivas realizadas para prevenir recorrências._x000a_V. Suporte Especializado_x000a_z. Suporte técnico especializado 24/7 para lidar com incidentes de segurança e fornecer orientação em situações críticas._x000a_aa. Consultoria e assistência na implementação de medidas de segurança adicionais conforme necessário para fortalecer a postura de segurança dos clientes B2B._x000a_VI. Gerenciamento de Serviços e SLAs_x000a_bb. Definição e gerenciamento de acordos de nível de serviço (SLAs) para garantir a entrega oportuna e eficaz dos serviços de segurança._x000a_cc. Monitoramento do cumprimento dos SLAs e ajustes conforme necessário para atender às necessidades dos clientes B2B._x000a__x000a_"/>
  </r>
  <r>
    <x v="5"/>
    <x v="2"/>
    <s v="Aprendizagem_x000a_"/>
    <s v="Desenho da Estratégia de Aprendizagem _x000a_Programas Corporativos – novas competências_x000a_Demandas Institucionais de treinamento_x000a_Gestão de Plataformas (Universidade e Oi Educa +)_x000a_Capacitação de Negócios: Varejo | Empresarial | Oi Soluções | Atendimento - DRC_x000a_"/>
  </r>
  <r>
    <x v="5"/>
    <x v="2"/>
    <s v="Atração De Talentos"/>
    <s v="Gestão estratégia de R&amp;S (Publicação de vagas, avaliação e seleção de pessoas candidatas)_x000a_Condução e Gestão dos Programas de Estágio, Residentes Digitais e Aprendiz _x000a_Gestão da Marca Empregadora (Glassdoor, Indeed e Linkedin)_x000a_"/>
  </r>
  <r>
    <x v="5"/>
    <x v="2"/>
    <s v="Acompanhamento Da Jornada Colaborador_x000a_"/>
    <s v="Estratégia e Gestão da jornada de onboarding_x000a_Programa Alumni._x000a_"/>
  </r>
  <r>
    <x v="5"/>
    <x v="2"/>
    <s v="Conversa de Alinhamento "/>
    <s v="Processo do Ciclo de Desempenho: desenvolvimento e manutenção do sistema, produção e publicação de conteúdo, incentivo à execução, monitoramento, análise de dados e melhoria contínua."/>
  </r>
  <r>
    <x v="5"/>
    <x v="2"/>
    <s v="Avaliação de Desempenho "/>
    <s v="Processo do Ciclo de Desempenho: desenvolvimento e manutenção do sistema, produção e publicação de conteúdo, planejamento da execução, análise de dados e melhoria contínua."/>
  </r>
  <r>
    <x v="5"/>
    <x v="2"/>
    <s v="Mapa de Sucessão"/>
    <s v="Processo do Ciclo de Desempenho: desenvolvimento e manutenção do sistema, produção e publicação de conteúdo, planejamento da execução, análise de dados e melhoria contínua._x000a_"/>
  </r>
  <r>
    <x v="5"/>
    <x v="2"/>
    <s v="Report do orçamento de pessoal "/>
    <s v="Apresentação e insights para tomada de decisão._x000a__x000a_"/>
  </r>
  <r>
    <x v="5"/>
    <x v="2"/>
    <s v="Gestão de turnover"/>
    <s v=" Controle de posições que serão repostas ou não, liberação de vagas."/>
  </r>
  <r>
    <x v="5"/>
    <x v="2"/>
    <s v="Movimentação de Pessoal"/>
    <s v="Análise junto a liderança e execução dos fluxos."/>
  </r>
  <r>
    <x v="5"/>
    <x v="2"/>
    <s v="_x000a_Medidas disciplinares"/>
    <s v="Análise junto à liderança e execução dos fluxos."/>
  </r>
  <r>
    <x v="5"/>
    <x v="2"/>
    <s v="Desligamento"/>
    <s v="Análise junto à liderança e execução dos fluxos."/>
  </r>
  <r>
    <x v="5"/>
    <x v="2"/>
    <s v="Reestruturação"/>
    <s v="Análise junto à liderança e execução dos fluxos."/>
  </r>
  <r>
    <x v="5"/>
    <x v="2"/>
    <s v="Onboarding executivo "/>
    <s v="Criação e manutenção do conteúdo, e execução do processo"/>
  </r>
  <r>
    <x v="5"/>
    <x v="2"/>
    <s v="Mesa da Jornada do colaborador"/>
    <s v="Mapeamento e acompanhamento das etapas da jornada, trabalhando de forma multidisciplinar e gerando tratativas específicas"/>
  </r>
  <r>
    <x v="5"/>
    <x v="2"/>
    <s v="Consultoria e aconselhamento de liderança e gestão "/>
    <s v="Conversas 1-1, reuniões executivas."/>
  </r>
  <r>
    <x v="5"/>
    <x v="2"/>
    <s v="Comunicação com a liderança"/>
    <s v="Conversas 1-1, reuniões executivas."/>
  </r>
  <r>
    <x v="5"/>
    <x v="2"/>
    <s v="Planejamento e Gestão Financeira "/>
    <s v="Gestão financeira, pagamentos de fornecedores, controle de orçamento."/>
  </r>
  <r>
    <x v="5"/>
    <x v="2"/>
    <s v="Trilhas de Treinamento "/>
    <s v="Desenvolvimento de trilhas e de conteúdos para treinamento de competências de liderança."/>
  </r>
  <r>
    <x v="5"/>
    <x v="2"/>
    <s v="Relações Trabalhistas"/>
    <s v="Negociar acordos coletivos de trabalho | acompanhamento cota PCD e aprendiz | acompanhamento entradas processos trabalhistas (próprios) | atendimento a fiscalizações) | Consultoria preventiva | Controle estabilidades "/>
  </r>
  <r>
    <x v="5"/>
    <x v="2"/>
    <s v="Segurança do Trabalho "/>
    <s v="Gerir e ministrar treinamentos legais | gerir treinamento e implantação de brigada de incêndio voluntária | gerir inspeções de segurança predial | gerir ocorrências de acidente de trabalho | gerir, treinar e implantar CIPA | acionar brigada de incêndio voluntária | gerir e emitir PPP para colaborador | gerir a elaboração de mapas de risco | gerir a elaboração PPRA) | Índice de Qualificação do Fornecedor | Gerenciamento de riscos._x000a_"/>
  </r>
  <r>
    <x v="5"/>
    <x v="2"/>
    <s v="Saúde Ocupacional "/>
    <s v="Gerir licença e afastamento | gerir check-up executivo | gerir programa de gestante | gerir exame periódico | gerir exame mudança de função | gerir exame admissional, exame de retorno ao trabalho e exame demissional | gerir reintegração, readaptação e reabilitação profissional | emitir ACT"/>
  </r>
  <r>
    <x v="5"/>
    <x v="2"/>
    <s v="Gestão de Licença e Afastamento "/>
    <s v="Realizar análise dos atestados | realizar agendamento e perícia | gerir reintegração, readaptação, reabilitação,  retorno e reintegração judicial"/>
  </r>
  <r>
    <x v="5"/>
    <x v="2"/>
    <s v="Gestão de Bem Estar "/>
    <s v="Tratar solicitação de intercorrências comportamentais | fiscalizar tratamento de acidente de trabalho ou falecimento de terceiros | tratar solicitação de falecimento | tratar solicitação de acidente de trabalho | gerir programa qualidade de vida | Rodas de conversa | grupos de apoio | Indicadores de saúde mental |  "/>
  </r>
  <r>
    <x v="5"/>
    <x v="2"/>
    <s v="Gestão de Crise no Pilar de Saúde, Segurança e Serviço Social"/>
    <s v="Gestão de Crise no Pilar de Saúde, Segurança e Serviço Social."/>
  </r>
  <r>
    <x v="5"/>
    <x v="2"/>
    <s v="Processamento da Folha de Pagamento "/>
    <s v="Efetuar pagamento de férias, rescisões e salários de pessoal | tratar fechamento de múltiplos vínculos, autônomos e expatriados | emitir o resumo da folha de pagamento após cálculos e validações | contabilizar a folha de pagamento | enviar informações legais obrigatórias periódicas para o e-social | criar certificado digital para envio e processamento das obrigações legais | enviar informações legais obrigatórias | liberar pagamento de fornecedores, encargos sociais e tributos legais | conciliar contas contábeis | tratar cancelamento de rescisão | tratar reintegração | conceder acesso |  tratar transferências entre empresas no FPW | Realizar convênio Previdência Privada."/>
  </r>
  <r>
    <x v="5"/>
    <x v="2"/>
    <s v="Operações de Benefícios "/>
    <s v="Aplicar desconto por uso de benefícios (saúde, odonto, farmácia, VT, VR e Seguro de Vida) | realizar implantação/atualização sistêmica de benefícios  e creche | enviar arquivos de benefícios | pagar fornecedores dos benefícios"/>
  </r>
  <r>
    <x v="5"/>
    <x v="2"/>
    <s v="Operacionalização da Admissão  "/>
    <s v="Agendar exame médico admissional  | Garantir o cadastro do colaborador no sistema de Folha de pagamento"/>
  </r>
  <r>
    <x v="5"/>
    <x v="2"/>
    <s v="Desligamento de Colaboradores "/>
    <s v="Analisar retenção em desligamento voluntário | analisar desligamento involuntário com estabilidade | realizar atendimento pós desligamento | Agendar exame médico demissional"/>
  </r>
  <r>
    <x v="5"/>
    <x v="2"/>
    <s v="Atendimento à Auditoria e Fiscalização de Folha de Pagamento "/>
    <s v="Auditorias e fiscalização de órgão públicos (receita federal, ministério do trabalho)_x000a_"/>
  </r>
  <r>
    <x v="5"/>
    <x v="2"/>
    <s v="Atendimento Gente Atende"/>
    <s v="Verificar dados do colaborador | tratar demanda de VR, VT, plano saúde, odonto e medicamento | tratar demanda de inclusão, exclusão, alteração e reativação de dependentes | tratar reembolso creche colaboradora fora da Cia | tratar demanda de contracheque | tratar demanda fiança |  tratar demanda de alteração cadastral | tratar demanda de férias | envio informe de rendimentos ex-colaboradores)"/>
  </r>
  <r>
    <x v="5"/>
    <x v="2"/>
    <s v="Solicitações referentes à férias e benefícios feitas através do Portal de Gente "/>
    <s v="Solicitar atualização cadastral do dependente | validar reembolso creche ou babá | analisar solicitação de VT_x000a_"/>
  </r>
  <r>
    <x v="5"/>
    <x v="2"/>
    <s v="Gestão do Gente Atende "/>
    <s v="Alterar, excluir e criar script | atualizar base relator | implementar melhorias | alterar painel | Gerir o contrato do chatbot"/>
  </r>
  <r>
    <x v="5"/>
    <x v="2"/>
    <s v="_x000a_Tratamento de Frequência "/>
    <s v="Lançar alteração de escala | apurar Horas Extras | tratar demandas de colaborador | realizar cálculo retroativo de frequência | gerar arquivo de apuração para input em folha"/>
  </r>
  <r>
    <x v="5"/>
    <x v="2"/>
    <s v="Remuneração"/>
    <s v="Definir a estratégia de Remuneração | elaborar e aprovar estudo, gerando insumos para a tomada de decisão do conselho quanto a estratégia de remuneração anual da Cia. Atualizar as Políticas de Remuneração e Movimentação de Pessoal com base na estratégia"/>
  </r>
  <r>
    <x v="5"/>
    <x v="2"/>
    <s v="Avaliação de cargos "/>
    <s v="Realizar avaliações de cargos garantindo a implantação da estrutura que suporte a operação do negócio"/>
  </r>
  <r>
    <x v="5"/>
    <x v="2"/>
    <s v="Gestão de Cargos e Salários"/>
    <s v="Gestão das demandas de movimentações, administração de cargos e salários e atendimento as demandas jurídicas e do negócio, via BPs, com demais áreas do RH"/>
  </r>
  <r>
    <x v="5"/>
    <x v="2"/>
    <s v="Projetos, pesquisas e Estudos de Cargos e Salários "/>
    <s v="Gestão, elaboração e aprovação de projetos, pesquisas e estudos da administração de cargos e salários do dia-a-dia da Cia"/>
  </r>
  <r>
    <x v="5"/>
    <x v="2"/>
    <s v="Remuneração Administradores "/>
    <s v="Gestão do pacote de remuneração dos administradores da Cia"/>
  </r>
  <r>
    <x v="5"/>
    <x v="2"/>
    <s v="Remuneração Variável de Curto Prazo"/>
    <s v="Gestão, elaboração e aprovação de estudos para Remuneração de curto prazo (bônus executivo e demais empresas e placar e demais empresas com aplicação das regras e políticas dos programas de metas e remuneração"/>
  </r>
  <r>
    <x v="5"/>
    <x v="2"/>
    <s v="Remuneração Variável de Vendas  "/>
    <s v="Estratégia e governança dos programas RV de vendas das áreas de Negócios (mensal e trimestral"/>
  </r>
  <r>
    <x v="5"/>
    <x v="2"/>
    <s v="Arquitetura Organizacional "/>
    <s v="Análise, controle e operacionalização de demandas da estrutura organizacional | movimentação de posições | gestão da estrutura organizacional | coordenação operacional de reestruturações. Manter atualizada e garantir a aplicação da metodologia para tratamento da estrutura organizacional (desenho, dimensionamento e Miix de cargos), _x000a__x000a_Coordenar a operacionalização das reestruturações e incorporações, garantindo a atualização dos movimentos de estrutura organizacional nos sistemas de Gente e Gestão._x000a_"/>
  </r>
  <r>
    <x v="5"/>
    <x v="2"/>
    <s v="Orçamento de Pessoal "/>
    <s v="Planejamento orçamentário anual de pessoal, forecast sazonal e gestão do orçamento do pacote de pessoal)_x000a__x000a_Manter atualizado os controles, indicadores e segrerações das informações, nas diversas visões necessárias para as áreas._x000a_"/>
  </r>
  <r>
    <x v="5"/>
    <x v="2"/>
    <s v="Gestão de Benefícios "/>
    <s v="Definir a estratégia de Benefícios da Cia. | coordenar a contratação de fornecedores de benefícios | implantar e gerir os contratos dos fornecedores de benefícios da Cia, como Saúde, Odonto, Alimentação, etc."/>
  </r>
  <r>
    <x v="5"/>
    <x v="2"/>
    <s v="Gestão dos Pagamentos "/>
    <s v="Garantir a boa gestão nos processos de pagamento dos fornecedores do direotria de RH, zelando pela assertividade das demandas junto com as áreas, priorizando os compromissos financeiros, cumprimentos dos prazos contratuais e oportunidades na otimização de recursos"/>
  </r>
  <r>
    <x v="5"/>
    <x v="2"/>
    <s v="Fechamento de Headcount Mensal "/>
    <s v="Fechamento mensal de efetivo e vagas | desenvolver indicadores de pessoas e dashboards | fornecer informações de colaboradores para as demais áreas da empresa"/>
  </r>
  <r>
    <x v="5"/>
    <x v="2"/>
    <s v="Gestão para Resultados "/>
    <s v="Ciclo anual de gestão para resultados"/>
  </r>
  <r>
    <x v="5"/>
    <x v="2"/>
    <s v="Gestão de Terceiros "/>
    <s v="Contratar serviços terceirizados | registrar terceiros | subcontratar serviços terceirizados | realizar transição de contratos de serviços terceirizados) | acompanhamento entradas processos trabalhistas (próprios e terceiros"/>
  </r>
  <r>
    <x v="5"/>
    <x v="2"/>
    <s v="Gestão de IQF – Pilar RH"/>
    <s v="Planejar, avaliar, acompanhar e reprogramar as avaliações dos fornecedores pelo IQF/RH"/>
  </r>
  <r>
    <x v="5"/>
    <x v="2"/>
    <s v="Sistemas RH "/>
    <s v="Desenvolver soluções, dar suporte técnico, administrar Portal de Gente e tecnicamente organograma"/>
  </r>
  <r>
    <x v="5"/>
    <x v="2"/>
    <s v="Gestão da Comunicação da Presidência e alta liderança "/>
    <s v="Gerir conteúdos de direcionamento para engajamento, manutenção da transparência e fortalecimento da reputação da marca empregadora e mitigação de riscos"/>
  </r>
  <r>
    <x v="5"/>
    <x v="2"/>
    <s v="Embaixador da marca "/>
    <s v="Gerir conteúdo organizacional para mobilizar promoção e defesa da marca e aceleração de receita, conhecimento do negócio, estímulo à indicação de produtos e ofertas, etc"/>
  </r>
  <r>
    <x v="5"/>
    <x v="2"/>
    <s v="Gestão da comunicação interna e estratégia de engajamento "/>
    <s v="Gerir, produzir e monitor conteúdo para comunicação, massiva e segmentada e identificar as oportunidades de temas a serem comunicados internamente e avaliar a correlação de cada  tema aos objetivos de negócio, de gestão de pessoas ou de gestão da reputação para definição de uma estratégia de divulgação interna e/ou integrada"/>
  </r>
  <r>
    <x v="5"/>
    <x v="2"/>
    <s v="Gestão das plataformas de comunicação "/>
    <s v="Acompanhamento da performance, da correção de erros, atualização de conteúdo e layout, implantação de melhorias, etc"/>
  </r>
  <r>
    <x v="5"/>
    <x v="2"/>
    <s v="Gestão da pesquisa de engajamento "/>
    <s v="Definição de objetivos estratégicos, coordenação do grupo de trabalho e instrumentos da coleta de dados, elaboração do plano de mobilização para a participação na pesquisa, análise e interpretação de resultados, estruturação de relatórios e apresentação com identificação de insights, padrões e conclusões relevantes"/>
  </r>
  <r>
    <x v="5"/>
    <x v="2"/>
    <s v="Gestão de Terceiros "/>
    <s v="Gerir o fornecedor contratado"/>
  </r>
  <r>
    <x v="5"/>
    <x v="2"/>
    <s v="Marca empregadora"/>
    <s v="Produção de conteúdos de gente no LinkedIn."/>
  </r>
  <r>
    <x v="5"/>
    <x v="2"/>
    <s v="Onboarding"/>
    <s v=" Desenho e implantação do programa de onboarding/boas vindas."/>
  </r>
  <r>
    <x v="5"/>
    <x v="2"/>
    <s v="Gestão da comunicação interna e estratégia de engajamento"/>
    <s v="Divulgação / revisão de diretrizes de cultura: missão, visão e valores; e códigos de conduta: ética, conformidade, privacidade, esg_x000a__x000a_"/>
  </r>
  <r>
    <x v="6"/>
    <x v="3"/>
    <s v="Ajustes sistêmicos para Regulatório"/>
    <s v="A Oi se compromete a avaliar atendimento à novas demandas legais, fiscais e regulatórias, efetuadas posteriormente à assinatura do Contrato, avaliando viabilidade técnica, riscos, prazos legais/regulatórios e custo incremental."/>
  </r>
  <r>
    <x v="6"/>
    <x v="6"/>
    <s v="Relatórios e acompanhamento do desempenho de rede para Anatel - RQUAL​"/>
    <s v="De acordo com as regras e parâmetros atuais, utilizando os recursos, sistemas, plataformas atuais, a Oi deverá:_x000a_- Prover relatórios e acompanhamento do desempenho de rede offline para a Anatel (RQUAL)."/>
  </r>
  <r>
    <x v="6"/>
    <x v="2"/>
    <s v="Divulgação do Oi Fibra em mídia espontânea"/>
    <s v="Elaboração de releases sobre resultados e eventos que ajudem na comercialização ou meloria da imagem do Oi Fibra. Resposta a questionamentos da imprensa sobre o Oi Fibra"/>
  </r>
  <r>
    <x v="6"/>
    <x v="2"/>
    <s v="Ações ativas ou reativas à PL do Poder Legislativo ou ações do Poder Executivo"/>
    <s v="Acompanhamento e ações pontuais nos Poderes Legislativo e Executivo Federais para mitigar iniciativas que possam prejudicar o Oi Fibra ou incentivar as que tenham impacto postivo"/>
  </r>
  <r>
    <x v="6"/>
    <x v="3"/>
    <s v="Prestação de serviços regulatórios"/>
    <s v="1. Recebimento, internalização e resposta a Requerimento de Informações e atendimento a fiscalizações _x000a_2. Consultoria e Compliance Regulatório_x000a_3. Atuação em processos administrativos da Anatel e DPDC_x000a_4. Envio de Informações operacional / econômico-financeiras à Anatel"/>
  </r>
  <r>
    <x v="7"/>
    <x v="4"/>
    <s v="Interceptação Judicial de chamadas e dados ​"/>
    <s v="Execução de interceptação de chamadas e dados e outros serviços de quebra de sigilo, deverá ser realizada pela Oi, mediante solicitação da operadora responsável pelo terminal, devidamente acompanhada do ofício que a requereu, enquanto a adquirente não tiver acesso à rede e a obtenção do dados de CDR, para realizar a programação dos terminais e forncimento de extratos de chamadas e dados de conexões a internet."/>
  </r>
  <r>
    <x v="7"/>
    <x v="1"/>
    <s v="Interceptação judicial ​/ Quebra de Sigilo"/>
    <s v="De acordo com as regras e parâmetros atuais, utilizando os recursos, sistemas, plataformas atuais, a Oi deverá:_x000a_- Executar a interceptação de voz e dados, exclusivamente de ordens determinadas pela justiça, recebidas diretamente ou encaminhadas pelas compradoras._x000a_- Fornecer, exclusivamente à justiça e autoridades por ela determinadas, o extrato de chamadas originas e recebidas solicitadas nas ordens judiciais._x000a_- Fornecer a justiça e demais autoridades competentes, os registros de conexões de acesso à internet e dados cadastrais._x000a_"/>
  </r>
  <r>
    <x v="7"/>
    <x v="2"/>
    <s v="Contratação, renegociação e renovações de acordos para categorias diretas e indiretas"/>
    <s v="Definir da estratégia de Sourcing e executar os processos de Procurement, incluindo negociações e renegociações de contratos."/>
  </r>
  <r>
    <x v="7"/>
    <x v="5"/>
    <s v="Gerir Contrato de Compartilhamento SPEs da ClientCo_x000a_"/>
    <s v="Realizar atualização da base  PxQ (planilha de controle de sites vz valores de reembolso)"/>
  </r>
  <r>
    <x v="7"/>
    <x v="5"/>
    <s v="Gerir Contrato de Compartilhamento SPEs da ClientCo_x000a_"/>
    <s v="Reunião com Compradoras para alinhamentos e tratamento de pendências"/>
  </r>
  <r>
    <x v="7"/>
    <x v="5"/>
    <s v="Gerir Contrato de Compartilhamento SPEs da ClientCo_x000a_"/>
    <s v="Realizar atualização do CAR"/>
  </r>
  <r>
    <x v="7"/>
    <x v="5"/>
    <s v="Gerir Contrato de Compartilhamento SPEs da ClientCo_x000a_"/>
    <s v="Emissão de NDs e lançamento no SAP"/>
  </r>
  <r>
    <x v="7"/>
    <x v="5"/>
    <s v="Gerir Contrato de Compartilhamento SPEs da ClientCo_x000a_"/>
    <s v="Acompanhamento do Pagamento e Conciliação"/>
  </r>
  <r>
    <x v="8"/>
    <x v="3"/>
    <s v="BI sendo prestado pela OI​"/>
    <s v="A Oi se compromete a, sob demanda, compartilhar informações já disponíveis ou fornecer detalhamento de viabilidade técnica, prazo e custo incremental de novos desenvolvimentos, para apoio à tomada de decisões referentes aos processos determinados pelo Contrato durante o prazo de vigência do TSA, levando em consideração SLA, meio, formato e tecnologia a serem definidos entre as partes, respeitando as capacidades tecnológicas e regulações vigentes."/>
  </r>
  <r>
    <x v="8"/>
    <x v="5"/>
    <s v="Envio de bases de dados de clientes​"/>
    <s v="A Oi se disponibilizará a prover dados dos clientes da base adquirida na negociação, com prazos à serem acordados."/>
  </r>
  <r>
    <x v="8"/>
    <x v="5"/>
    <s v="Suporte de plataformas​"/>
    <s v="A Oi terá responsabilidade de manutenção das plataformas e suas apliçaões, mantendo os serviços, atendendo aos chamados de incidentes, possibilitando à operação e entrega de serviços."/>
  </r>
  <r>
    <x v="8"/>
    <x v="6"/>
    <s v="Suporte durante a migração​"/>
    <s v="A Oi se disponibilizará junto aos compradores, na construção da estratatégia e suporte à migração da base de clientes."/>
  </r>
  <r>
    <x v="8"/>
    <x v="6"/>
    <s v="Operação e Manutenção​"/>
    <s v="A Oi manterá o processo de manutenção dos sistemas, tratamento de bugs, incidentes, garantindo o funcionamento dos produtos e serviços."/>
  </r>
  <r>
    <x v="8"/>
    <x v="1"/>
    <s v="Gestão da portabilidade (interna e externa) ​"/>
    <s v="De acordo com as regras e parâmetros atuais, utilizando os recursos, sistemas, plataformas atuais, a Oi deverá:_x000a_- Direcionar para as mesas de retenção;_x000a_- Executar todas as atividades para disponibilizar e efetivar os port ins e port outs; e_x000a_- Resolver os problemas encontrados durante o processamento."/>
  </r>
  <r>
    <x v="8"/>
    <x v="1"/>
    <s v="Gestão de incidentes​"/>
    <s v="De acordo com as regras e parâmetros atuais, utilizando os recursos, sistemas, plataformas atuais, a Oi deverá:_x000a_- Restaurar  o serviço  o mais rápido  possível  e  minimizar  o impacto  negativo sobre as  operações  de  negócios,  garantindo  os  níveis acordados de qualidade dos serviços._x000a_- Monitorar, identificar, registrar e comunicar incidentes._x000a_- Solucionar e fechar o incidente"/>
  </r>
  <r>
    <x v="8"/>
    <x v="1"/>
    <s v="Gestão de problemas​"/>
    <s v="De acordo com as regras e parâmetros atuais, utilizando os recursos, sistemas, plataformas atuais, a Oi deverá:_x000a_- Acompanhar o ciclo de vida de todos os problemas:_x000a_- Investigação e diagnóstico da causa raiz do problema:_x000a_- Resposta a demanda dos problemas_x000a_- Execução de análise N1_x000a_- Direcionamento do problema para níveis mais detalhados de análise (N2 e N3)."/>
  </r>
  <r>
    <x v="8"/>
    <x v="1"/>
    <s v="Gerenciamento de mudanças (GMUD´s) ​"/>
    <s v="De acordo com as regras e parâmetros atuais, utilizando os recursos, sistemas, plataformas atuais, a Oi deverá:_x000a_- Executar as mudanças em ambiente produtivo com o mínimo de riscos e interrupção para os serviços de TI._x000a_- Registrar, Agendar e Planejar Mudança._x000a_- Validar Planejamento da Mudança._x000a_- Autorizar Implantação da Mudança_x000a_- Implantar Mudança_x000a_- Realizar Revisão Pós Mudança_x000a_- Gerenciar Mudança Emergencial_x000a_- Gerenciar Mudança Padrão"/>
  </r>
  <r>
    <x v="8"/>
    <x v="1"/>
    <s v="Gestão de capacidade e manutenção de ativos​ de TI"/>
    <s v="De acordo com as regras e parâmetros atuais, utilizando os recursos, sistemas, plataformas atuais, a Oi deverá:_x000a_- Executar ajustes de hardware e reposições necessárias (manutenção pró-ativa e reativa) para se manter os níveis de disponibilidade e desempenho acordados._x000a_- Gerir contratos e licenciamentos existentes no parque de TI_x000a_- Compliance de ativos"/>
  </r>
  <r>
    <x v="8"/>
    <x v="1"/>
    <s v="Gestão de vulnerabilidades (e aplicação de patches) ​"/>
    <s v="De acordo com as regras e parâmetros atuais, utilizando os recursos, sistemas, plataformas atuais, a Oi deverá:_x000a_- Gerir as vulnerabilidades decorrentes da obsolescência de versões de aplicações"/>
  </r>
  <r>
    <x v="8"/>
    <x v="1"/>
    <s v="Gestão de contingência e disponibilidade dos serviços ​"/>
    <s v="De acordo com as regras e parâmetros atuais, utilizando os recursos, sistemas, plataformas atuais, a Oi deverá:_x000a_- Gerir e validar os procedimentos de recuperação e contorno de indisponibilidades dos sistemas que suportam os processos de negócio."/>
  </r>
  <r>
    <x v="8"/>
    <x v="1"/>
    <s v="Consulta à dados históricos de clientes migrados ​"/>
    <s v="A Oi disponibilizará as bases históricas quando houverem migrações de clientes para compradoras."/>
  </r>
  <r>
    <x v="8"/>
    <x v="1"/>
    <s v="Janelas de migração ​"/>
    <s v="De acordo com as regras e parâmetros atuais, utilizando os recursos, sistemas, plataformas atuais, a Oi deverá:_x000a_- Executar as janelas de migração a serem acordadas conforme definições / plano a ser elaborado em conjunto"/>
  </r>
  <r>
    <x v="8"/>
    <x v="1"/>
    <s v="Gestão dos serviços do Contrato​"/>
    <s v="De acordo com as regras e parâmetros atuais, utilizando os recursos, sistemas, plataformas atuais, a Oi deverá:_x000a_- Manter e divulgar os kpis de gestão atualmente utilizados dentro dos prazos atualmente utilizados."/>
  </r>
  <r>
    <x v="8"/>
    <x v="1"/>
    <s v="Gestão dos serviços do Contrato​"/>
    <s v="De acordo com as regras e parâmetros atuais, utilizando os recursos, sistemas, plataformas atuais, a Oi deverá:_x000a_- Manter e divulgar os kpis de gestão atualmente utilizados dentro dos prazos atualmente utilizados._x000a_- Manter em execução procedimentos recorrentes de carga e processamento de informações do negócio_x000a_- Manter em execução procedimentos de gestão de campanhas e geração de mailings de aquisição, retenção, rentabilização e relacionamento"/>
  </r>
  <r>
    <x v="8"/>
    <x v="1"/>
    <s v="Disponibilidade de sistemas​"/>
    <s v="De acordo com as regras e parâmetros atuais, utilizando os recursos, sistemas, plataformas atuais, a Oi deverá:_x000a_- Garantir a manutenção da disponibilidade sistêmica do parque de TI com os mesmos patamares dos últimos 24 meses da Oi incluindo monitoramento, acompanhamento e resolução de incidentes de produção, obsolescências, gestão de ativos e manutenção da infraestrutura de TI nos data centers."/>
  </r>
  <r>
    <x v="8"/>
    <x v="1"/>
    <s v="Demandas internas ​"/>
    <s v="De acordo com as regras e parâmetros atuais, utilizando os recursos, sistemas, plataformas atuais, a Oi deverá:_x000a_- Disponibilizar tudo aquilo necessário para endereçar demandas de serviços de outras áreas como Marketing, Vendas, Atendimento, etc."/>
  </r>
  <r>
    <x v="8"/>
    <x v="1"/>
    <s v="Dados históricos anteriores à migração (chamados de clientes que demandem informações históricas)​"/>
    <s v="- Implementar mecânica para viabilizar o tratamento de chamados de clientes que demandem informações históricas anteriores aos dados_x000a_migrados massivamente para as bases das Compradoras."/>
  </r>
  <r>
    <x v="9"/>
    <x v="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ela dinâmica3"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E4:F5" firstHeaderRow="1" firstDataRow="1" firstDataCol="1" rowPageCount="1" colPageCount="1"/>
  <pivotFields count="9">
    <pivotField showAll="0"/>
    <pivotField showAll="0"/>
    <pivotField showAll="0"/>
    <pivotField showAll="0"/>
    <pivotField axis="axisRow" showAll="0" sortType="descending">
      <items count="50">
        <item x="18"/>
        <item x="9"/>
        <item x="13"/>
        <item x="11"/>
        <item x="14"/>
        <item x="1"/>
        <item x="6"/>
        <item m="1" x="41"/>
        <item x="12"/>
        <item x="21"/>
        <item x="19"/>
        <item x="0"/>
        <item m="1" x="42"/>
        <item x="4"/>
        <item m="1" x="46"/>
        <item x="20"/>
        <item x="16"/>
        <item m="1" x="35"/>
        <item x="7"/>
        <item x="10"/>
        <item x="15"/>
        <item x="17"/>
        <item x="31"/>
        <item m="1" x="44"/>
        <item m="1" x="40"/>
        <item m="1" x="39"/>
        <item x="5"/>
        <item m="1" x="47"/>
        <item x="2"/>
        <item x="8"/>
        <item m="1" x="38"/>
        <item x="22"/>
        <item x="3"/>
        <item x="23"/>
        <item m="1" x="45"/>
        <item m="1" x="43"/>
        <item m="1" x="36"/>
        <item m="1" x="48"/>
        <item m="1" x="37"/>
        <item m="1" x="32"/>
        <item m="1" x="33"/>
        <item m="1" x="34"/>
        <item x="25"/>
        <item x="26"/>
        <item x="27"/>
        <item x="24"/>
        <item x="28"/>
        <item x="29"/>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multipleItemSelectionAllowed="1" showAll="0">
      <items count="8">
        <item h="1" x="1"/>
        <item m="1" x="3"/>
        <item h="1" x="2"/>
        <item h="1" x="0"/>
        <item h="1" m="1" x="5"/>
        <item h="1" m="1" x="6"/>
        <item h="1" m="1" x="4"/>
        <item t="default"/>
      </items>
    </pivotField>
  </pivotFields>
  <rowFields count="1">
    <field x="4"/>
  </rowFields>
  <rowItems count="1">
    <i t="grand">
      <x/>
    </i>
  </rowItems>
  <colItems count="1">
    <i/>
  </colItems>
  <pageFields count="1">
    <pageField fld="8" hier="-1"/>
  </pageFields>
  <dataFields count="1">
    <dataField name="Contagem de Status Anexo A" fld="8" subtotal="count" baseField="0" baseItem="0"/>
  </dataFields>
  <formats count="19">
    <format dxfId="109">
      <pivotArea dataOnly="0" labelOnly="1" fieldPosition="0">
        <references count="2">
          <reference field="4" count="1">
            <x v="1"/>
          </reference>
          <reference field="8" count="1" selected="0">
            <x v="0"/>
          </reference>
        </references>
      </pivotArea>
    </format>
    <format dxfId="108">
      <pivotArea dataOnly="0" labelOnly="1" fieldPosition="0">
        <references count="2">
          <reference field="4" count="1">
            <x v="18"/>
          </reference>
          <reference field="8" count="1" selected="0">
            <x v="0"/>
          </reference>
        </references>
      </pivotArea>
    </format>
    <format dxfId="107">
      <pivotArea dataOnly="0" labelOnly="1" fieldPosition="0">
        <references count="2">
          <reference field="4" count="1">
            <x v="18"/>
          </reference>
          <reference field="8" count="1" selected="0">
            <x v="1"/>
          </reference>
        </references>
      </pivotArea>
    </format>
    <format dxfId="106">
      <pivotArea dataOnly="0" labelOnly="1" fieldPosition="0">
        <references count="2">
          <reference field="4" count="1">
            <x v="18"/>
          </reference>
          <reference field="8" count="1" selected="0">
            <x v="1"/>
          </reference>
        </references>
      </pivotArea>
    </format>
    <format dxfId="105">
      <pivotArea dataOnly="0" labelOnly="1" fieldPosition="0">
        <references count="2">
          <reference field="4" count="1">
            <x v="1"/>
          </reference>
          <reference field="8" count="1" selected="0">
            <x v="1"/>
          </reference>
        </references>
      </pivotArea>
    </format>
    <format dxfId="104">
      <pivotArea collapsedLevelsAreSubtotals="1" fieldPosition="0">
        <references count="2">
          <reference field="4" count="1">
            <x v="10"/>
          </reference>
          <reference field="8" count="1" selected="0">
            <x v="1"/>
          </reference>
        </references>
      </pivotArea>
    </format>
    <format dxfId="103">
      <pivotArea dataOnly="0" labelOnly="1" fieldPosition="0">
        <references count="2">
          <reference field="4" count="1">
            <x v="10"/>
          </reference>
          <reference field="8" count="1" selected="0">
            <x v="1"/>
          </reference>
        </references>
      </pivotArea>
    </format>
    <format dxfId="102">
      <pivotArea collapsedLevelsAreSubtotals="1" fieldPosition="0">
        <references count="2">
          <reference field="4" count="1">
            <x v="10"/>
          </reference>
          <reference field="8" count="1" selected="0">
            <x v="1"/>
          </reference>
        </references>
      </pivotArea>
    </format>
    <format dxfId="101">
      <pivotArea dataOnly="0" labelOnly="1" fieldPosition="0">
        <references count="2">
          <reference field="4" count="1">
            <x v="10"/>
          </reference>
          <reference field="8" count="1" selected="0">
            <x v="1"/>
          </reference>
        </references>
      </pivotArea>
    </format>
    <format dxfId="100">
      <pivotArea dataOnly="0" labelOnly="1" fieldPosition="0">
        <references count="2">
          <reference field="4" count="1">
            <x v="18"/>
          </reference>
          <reference field="8" count="1" selected="0">
            <x v="0"/>
          </reference>
        </references>
      </pivotArea>
    </format>
    <format dxfId="99">
      <pivotArea dataOnly="0" labelOnly="1" fieldPosition="0">
        <references count="2">
          <reference field="4" count="1">
            <x v="1"/>
          </reference>
          <reference field="8" count="1" selected="0">
            <x v="0"/>
          </reference>
        </references>
      </pivotArea>
    </format>
    <format dxfId="98">
      <pivotArea dataOnly="0" labelOnly="1" fieldPosition="0">
        <references count="2">
          <reference field="4" count="1">
            <x v="1"/>
          </reference>
          <reference field="8" count="1" selected="0">
            <x v="1"/>
          </reference>
        </references>
      </pivotArea>
    </format>
    <format dxfId="97">
      <pivotArea dataOnly="0" labelOnly="1" fieldPosition="0">
        <references count="2">
          <reference field="4" count="1">
            <x v="18"/>
          </reference>
          <reference field="8" count="1" selected="0">
            <x v="1"/>
          </reference>
        </references>
      </pivotArea>
    </format>
    <format dxfId="96">
      <pivotArea collapsedLevelsAreSubtotals="1" fieldPosition="0">
        <references count="1">
          <reference field="8" count="1">
            <x v="3"/>
          </reference>
        </references>
      </pivotArea>
    </format>
    <format dxfId="95">
      <pivotArea collapsedLevelsAreSubtotals="1" fieldPosition="0">
        <references count="2">
          <reference field="4" count="8">
            <x v="0"/>
            <x v="1"/>
            <x v="5"/>
            <x v="6"/>
            <x v="18"/>
            <x v="19"/>
            <x v="25"/>
            <x v="26"/>
          </reference>
          <reference field="8" count="1" selected="0">
            <x v="3"/>
          </reference>
        </references>
      </pivotArea>
    </format>
    <format dxfId="94">
      <pivotArea grandRow="1" outline="0" collapsedLevelsAreSubtotals="1" fieldPosition="0"/>
    </format>
    <format dxfId="93">
      <pivotArea dataOnly="0" labelOnly="1" fieldPosition="0">
        <references count="1">
          <reference field="8" count="1">
            <x v="3"/>
          </reference>
        </references>
      </pivotArea>
    </format>
    <format dxfId="92">
      <pivotArea dataOnly="0" labelOnly="1" grandRow="1" outline="0" fieldPosition="0"/>
    </format>
    <format dxfId="91">
      <pivotArea dataOnly="0" labelOnly="1" fieldPosition="0">
        <references count="2">
          <reference field="4" count="8">
            <x v="0"/>
            <x v="1"/>
            <x v="5"/>
            <x v="6"/>
            <x v="18"/>
            <x v="19"/>
            <x v="25"/>
            <x v="26"/>
          </reference>
          <reference field="8"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2"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4:B36" firstHeaderRow="1" firstDataRow="1" firstDataCol="1" rowPageCount="1" colPageCount="1"/>
  <pivotFields count="9">
    <pivotField showAll="0"/>
    <pivotField showAll="0"/>
    <pivotField showAll="0"/>
    <pivotField showAll="0"/>
    <pivotField axis="axisRow" showAll="0" sortType="descending">
      <items count="50">
        <item x="18"/>
        <item x="9"/>
        <item x="13"/>
        <item x="11"/>
        <item x="14"/>
        <item x="1"/>
        <item x="6"/>
        <item m="1" x="41"/>
        <item x="12"/>
        <item x="21"/>
        <item x="19"/>
        <item x="0"/>
        <item m="1" x="42"/>
        <item x="4"/>
        <item m="1" x="46"/>
        <item x="20"/>
        <item x="16"/>
        <item m="1" x="35"/>
        <item x="7"/>
        <item x="10"/>
        <item x="15"/>
        <item x="17"/>
        <item x="31"/>
        <item m="1" x="44"/>
        <item m="1" x="40"/>
        <item m="1" x="39"/>
        <item x="5"/>
        <item m="1" x="47"/>
        <item x="2"/>
        <item x="8"/>
        <item m="1" x="38"/>
        <item x="22"/>
        <item x="3"/>
        <item x="23"/>
        <item m="1" x="45"/>
        <item m="1" x="43"/>
        <item m="1" x="36"/>
        <item m="1" x="48"/>
        <item m="1" x="37"/>
        <item m="1" x="32"/>
        <item m="1" x="33"/>
        <item m="1" x="34"/>
        <item x="25"/>
        <item x="26"/>
        <item x="27"/>
        <item x="24"/>
        <item x="28"/>
        <item x="29"/>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multipleItemSelectionAllowed="1" showAll="0">
      <items count="8">
        <item x="1"/>
        <item h="1" m="1" x="3"/>
        <item h="1" x="2"/>
        <item x="0"/>
        <item h="1" m="1" x="5"/>
        <item h="1" m="1" x="6"/>
        <item m="1" x="4"/>
        <item t="default"/>
      </items>
    </pivotField>
  </pivotFields>
  <rowFields count="1">
    <field x="4"/>
  </rowFields>
  <rowItems count="32">
    <i>
      <x v="10"/>
    </i>
    <i>
      <x v="26"/>
    </i>
    <i>
      <x v="46"/>
    </i>
    <i>
      <x v="15"/>
    </i>
    <i>
      <x v="2"/>
    </i>
    <i>
      <x v="47"/>
    </i>
    <i>
      <x v="6"/>
    </i>
    <i>
      <x v="1"/>
    </i>
    <i>
      <x v="18"/>
    </i>
    <i>
      <x v="42"/>
    </i>
    <i>
      <x v="19"/>
    </i>
    <i>
      <x v="3"/>
    </i>
    <i>
      <x v="8"/>
    </i>
    <i>
      <x v="44"/>
    </i>
    <i>
      <x v="31"/>
    </i>
    <i>
      <x v="13"/>
    </i>
    <i>
      <x/>
    </i>
    <i>
      <x v="5"/>
    </i>
    <i>
      <x v="16"/>
    </i>
    <i>
      <x v="33"/>
    </i>
    <i>
      <x v="9"/>
    </i>
    <i>
      <x v="21"/>
    </i>
    <i>
      <x v="20"/>
    </i>
    <i>
      <x v="29"/>
    </i>
    <i>
      <x v="32"/>
    </i>
    <i>
      <x v="11"/>
    </i>
    <i>
      <x v="4"/>
    </i>
    <i>
      <x v="43"/>
    </i>
    <i>
      <x v="48"/>
    </i>
    <i>
      <x v="28"/>
    </i>
    <i>
      <x v="45"/>
    </i>
    <i t="grand">
      <x/>
    </i>
  </rowItems>
  <colItems count="1">
    <i/>
  </colItems>
  <pageFields count="1">
    <pageField fld="8" hier="-1"/>
  </pageFields>
  <dataFields count="1">
    <dataField name="Contagem de Status Anexo A" fld="8" subtotal="count" baseField="0" baseItem="0"/>
  </dataFields>
  <formats count="19">
    <format dxfId="128">
      <pivotArea dataOnly="0" labelOnly="1" fieldPosition="0">
        <references count="2">
          <reference field="4" count="1">
            <x v="1"/>
          </reference>
          <reference field="8" count="1" selected="0">
            <x v="0"/>
          </reference>
        </references>
      </pivotArea>
    </format>
    <format dxfId="127">
      <pivotArea dataOnly="0" labelOnly="1" fieldPosition="0">
        <references count="2">
          <reference field="4" count="1">
            <x v="18"/>
          </reference>
          <reference field="8" count="1" selected="0">
            <x v="0"/>
          </reference>
        </references>
      </pivotArea>
    </format>
    <format dxfId="126">
      <pivotArea dataOnly="0" labelOnly="1" fieldPosition="0">
        <references count="2">
          <reference field="4" count="1">
            <x v="18"/>
          </reference>
          <reference field="8" count="1" selected="0">
            <x v="1"/>
          </reference>
        </references>
      </pivotArea>
    </format>
    <format dxfId="125">
      <pivotArea dataOnly="0" labelOnly="1" fieldPosition="0">
        <references count="2">
          <reference field="4" count="1">
            <x v="18"/>
          </reference>
          <reference field="8" count="1" selected="0">
            <x v="1"/>
          </reference>
        </references>
      </pivotArea>
    </format>
    <format dxfId="124">
      <pivotArea dataOnly="0" labelOnly="1" fieldPosition="0">
        <references count="2">
          <reference field="4" count="1">
            <x v="1"/>
          </reference>
          <reference field="8" count="1" selected="0">
            <x v="1"/>
          </reference>
        </references>
      </pivotArea>
    </format>
    <format dxfId="123">
      <pivotArea collapsedLevelsAreSubtotals="1" fieldPosition="0">
        <references count="2">
          <reference field="4" count="1">
            <x v="10"/>
          </reference>
          <reference field="8" count="1" selected="0">
            <x v="1"/>
          </reference>
        </references>
      </pivotArea>
    </format>
    <format dxfId="122">
      <pivotArea dataOnly="0" labelOnly="1" fieldPosition="0">
        <references count="2">
          <reference field="4" count="1">
            <x v="10"/>
          </reference>
          <reference field="8" count="1" selected="0">
            <x v="1"/>
          </reference>
        </references>
      </pivotArea>
    </format>
    <format dxfId="121">
      <pivotArea collapsedLevelsAreSubtotals="1" fieldPosition="0">
        <references count="2">
          <reference field="4" count="1">
            <x v="10"/>
          </reference>
          <reference field="8" count="1" selected="0">
            <x v="1"/>
          </reference>
        </references>
      </pivotArea>
    </format>
    <format dxfId="120">
      <pivotArea dataOnly="0" labelOnly="1" fieldPosition="0">
        <references count="2">
          <reference field="4" count="1">
            <x v="10"/>
          </reference>
          <reference field="8" count="1" selected="0">
            <x v="1"/>
          </reference>
        </references>
      </pivotArea>
    </format>
    <format dxfId="119">
      <pivotArea dataOnly="0" labelOnly="1" fieldPosition="0">
        <references count="2">
          <reference field="4" count="1">
            <x v="18"/>
          </reference>
          <reference field="8" count="1" selected="0">
            <x v="0"/>
          </reference>
        </references>
      </pivotArea>
    </format>
    <format dxfId="118">
      <pivotArea dataOnly="0" labelOnly="1" fieldPosition="0">
        <references count="2">
          <reference field="4" count="1">
            <x v="1"/>
          </reference>
          <reference field="8" count="1" selected="0">
            <x v="0"/>
          </reference>
        </references>
      </pivotArea>
    </format>
    <format dxfId="117">
      <pivotArea dataOnly="0" labelOnly="1" fieldPosition="0">
        <references count="2">
          <reference field="4" count="1">
            <x v="1"/>
          </reference>
          <reference field="8" count="1" selected="0">
            <x v="1"/>
          </reference>
        </references>
      </pivotArea>
    </format>
    <format dxfId="116">
      <pivotArea dataOnly="0" labelOnly="1" fieldPosition="0">
        <references count="2">
          <reference field="4" count="1">
            <x v="18"/>
          </reference>
          <reference field="8" count="1" selected="0">
            <x v="1"/>
          </reference>
        </references>
      </pivotArea>
    </format>
    <format dxfId="115">
      <pivotArea collapsedLevelsAreSubtotals="1" fieldPosition="0">
        <references count="1">
          <reference field="8" count="1">
            <x v="3"/>
          </reference>
        </references>
      </pivotArea>
    </format>
    <format dxfId="114">
      <pivotArea collapsedLevelsAreSubtotals="1" fieldPosition="0">
        <references count="2">
          <reference field="4" count="8">
            <x v="0"/>
            <x v="1"/>
            <x v="5"/>
            <x v="6"/>
            <x v="18"/>
            <x v="19"/>
            <x v="25"/>
            <x v="26"/>
          </reference>
          <reference field="8" count="1" selected="0">
            <x v="3"/>
          </reference>
        </references>
      </pivotArea>
    </format>
    <format dxfId="113">
      <pivotArea grandRow="1" outline="0" collapsedLevelsAreSubtotals="1" fieldPosition="0"/>
    </format>
    <format dxfId="112">
      <pivotArea dataOnly="0" labelOnly="1" fieldPosition="0">
        <references count="1">
          <reference field="8" count="1">
            <x v="3"/>
          </reference>
        </references>
      </pivotArea>
    </format>
    <format dxfId="111">
      <pivotArea dataOnly="0" labelOnly="1" grandRow="1" outline="0" fieldPosition="0"/>
    </format>
    <format dxfId="110">
      <pivotArea dataOnly="0" labelOnly="1" fieldPosition="0">
        <references count="2">
          <reference field="4" count="8">
            <x v="0"/>
            <x v="1"/>
            <x v="5"/>
            <x v="6"/>
            <x v="18"/>
            <x v="19"/>
            <x v="25"/>
            <x v="26"/>
          </reference>
          <reference field="8"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ela dinâ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H4:I5" firstHeaderRow="1" firstDataRow="1" firstDataCol="1" rowPageCount="1" colPageCount="1"/>
  <pivotFields count="9">
    <pivotField showAll="0"/>
    <pivotField showAll="0"/>
    <pivotField showAll="0"/>
    <pivotField showAll="0"/>
    <pivotField axis="axisRow" showAll="0" sortType="descending">
      <items count="50">
        <item x="18"/>
        <item x="9"/>
        <item x="13"/>
        <item x="11"/>
        <item x="14"/>
        <item x="1"/>
        <item x="6"/>
        <item m="1" x="41"/>
        <item x="12"/>
        <item x="21"/>
        <item x="19"/>
        <item x="0"/>
        <item m="1" x="42"/>
        <item x="4"/>
        <item m="1" x="46"/>
        <item x="20"/>
        <item x="16"/>
        <item m="1" x="35"/>
        <item x="7"/>
        <item x="10"/>
        <item x="15"/>
        <item x="17"/>
        <item x="31"/>
        <item m="1" x="44"/>
        <item m="1" x="40"/>
        <item m="1" x="39"/>
        <item x="5"/>
        <item m="1" x="47"/>
        <item x="2"/>
        <item x="8"/>
        <item m="1" x="38"/>
        <item x="22"/>
        <item x="3"/>
        <item x="23"/>
        <item m="1" x="45"/>
        <item m="1" x="43"/>
        <item m="1" x="36"/>
        <item m="1" x="48"/>
        <item m="1" x="37"/>
        <item m="1" x="32"/>
        <item m="1" x="33"/>
        <item m="1" x="34"/>
        <item x="25"/>
        <item x="26"/>
        <item x="27"/>
        <item x="24"/>
        <item x="28"/>
        <item x="29"/>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multipleItemSelectionAllowed="1" showAll="0">
      <items count="8">
        <item h="1" x="1"/>
        <item h="1" m="1" x="3"/>
        <item h="1" x="2"/>
        <item h="1" x="0"/>
        <item h="1" m="1" x="5"/>
        <item h="1" m="1" x="6"/>
        <item m="1" x="4"/>
        <item t="default"/>
      </items>
    </pivotField>
  </pivotFields>
  <rowFields count="1">
    <field x="4"/>
  </rowFields>
  <rowItems count="1">
    <i t="grand">
      <x/>
    </i>
  </rowItems>
  <colItems count="1">
    <i/>
  </colItems>
  <pageFields count="1">
    <pageField fld="8" hier="-1"/>
  </pageFields>
  <dataFields count="1">
    <dataField name="Contagem de Status Anexo A" fld="8" subtotal="count" baseField="0" baseItem="0"/>
  </dataFields>
  <formats count="19">
    <format dxfId="147">
      <pivotArea dataOnly="0" labelOnly="1" fieldPosition="0">
        <references count="2">
          <reference field="4" count="1">
            <x v="1"/>
          </reference>
          <reference field="8" count="1" selected="0">
            <x v="0"/>
          </reference>
        </references>
      </pivotArea>
    </format>
    <format dxfId="146">
      <pivotArea dataOnly="0" labelOnly="1" fieldPosition="0">
        <references count="2">
          <reference field="4" count="1">
            <x v="18"/>
          </reference>
          <reference field="8" count="1" selected="0">
            <x v="0"/>
          </reference>
        </references>
      </pivotArea>
    </format>
    <format dxfId="145">
      <pivotArea dataOnly="0" labelOnly="1" fieldPosition="0">
        <references count="2">
          <reference field="4" count="1">
            <x v="18"/>
          </reference>
          <reference field="8" count="1" selected="0">
            <x v="1"/>
          </reference>
        </references>
      </pivotArea>
    </format>
    <format dxfId="144">
      <pivotArea dataOnly="0" labelOnly="1" fieldPosition="0">
        <references count="2">
          <reference field="4" count="1">
            <x v="18"/>
          </reference>
          <reference field="8" count="1" selected="0">
            <x v="1"/>
          </reference>
        </references>
      </pivotArea>
    </format>
    <format dxfId="143">
      <pivotArea dataOnly="0" labelOnly="1" fieldPosition="0">
        <references count="2">
          <reference field="4" count="1">
            <x v="1"/>
          </reference>
          <reference field="8" count="1" selected="0">
            <x v="1"/>
          </reference>
        </references>
      </pivotArea>
    </format>
    <format dxfId="142">
      <pivotArea collapsedLevelsAreSubtotals="1" fieldPosition="0">
        <references count="2">
          <reference field="4" count="1">
            <x v="10"/>
          </reference>
          <reference field="8" count="1" selected="0">
            <x v="1"/>
          </reference>
        </references>
      </pivotArea>
    </format>
    <format dxfId="141">
      <pivotArea dataOnly="0" labelOnly="1" fieldPosition="0">
        <references count="2">
          <reference field="4" count="1">
            <x v="10"/>
          </reference>
          <reference field="8" count="1" selected="0">
            <x v="1"/>
          </reference>
        </references>
      </pivotArea>
    </format>
    <format dxfId="140">
      <pivotArea collapsedLevelsAreSubtotals="1" fieldPosition="0">
        <references count="2">
          <reference field="4" count="1">
            <x v="10"/>
          </reference>
          <reference field="8" count="1" selected="0">
            <x v="1"/>
          </reference>
        </references>
      </pivotArea>
    </format>
    <format dxfId="139">
      <pivotArea dataOnly="0" labelOnly="1" fieldPosition="0">
        <references count="2">
          <reference field="4" count="1">
            <x v="10"/>
          </reference>
          <reference field="8" count="1" selected="0">
            <x v="1"/>
          </reference>
        </references>
      </pivotArea>
    </format>
    <format dxfId="138">
      <pivotArea dataOnly="0" labelOnly="1" fieldPosition="0">
        <references count="2">
          <reference field="4" count="1">
            <x v="18"/>
          </reference>
          <reference field="8" count="1" selected="0">
            <x v="0"/>
          </reference>
        </references>
      </pivotArea>
    </format>
    <format dxfId="137">
      <pivotArea dataOnly="0" labelOnly="1" fieldPosition="0">
        <references count="2">
          <reference field="4" count="1">
            <x v="1"/>
          </reference>
          <reference field="8" count="1" selected="0">
            <x v="0"/>
          </reference>
        </references>
      </pivotArea>
    </format>
    <format dxfId="136">
      <pivotArea dataOnly="0" labelOnly="1" fieldPosition="0">
        <references count="2">
          <reference field="4" count="1">
            <x v="1"/>
          </reference>
          <reference field="8" count="1" selected="0">
            <x v="1"/>
          </reference>
        </references>
      </pivotArea>
    </format>
    <format dxfId="135">
      <pivotArea dataOnly="0" labelOnly="1" fieldPosition="0">
        <references count="2">
          <reference field="4" count="1">
            <x v="18"/>
          </reference>
          <reference field="8" count="1" selected="0">
            <x v="1"/>
          </reference>
        </references>
      </pivotArea>
    </format>
    <format dxfId="134">
      <pivotArea collapsedLevelsAreSubtotals="1" fieldPosition="0">
        <references count="1">
          <reference field="8" count="1">
            <x v="3"/>
          </reference>
        </references>
      </pivotArea>
    </format>
    <format dxfId="133">
      <pivotArea collapsedLevelsAreSubtotals="1" fieldPosition="0">
        <references count="2">
          <reference field="4" count="8">
            <x v="0"/>
            <x v="1"/>
            <x v="5"/>
            <x v="6"/>
            <x v="18"/>
            <x v="19"/>
            <x v="25"/>
            <x v="26"/>
          </reference>
          <reference field="8" count="1" selected="0">
            <x v="3"/>
          </reference>
        </references>
      </pivotArea>
    </format>
    <format dxfId="132">
      <pivotArea grandRow="1" outline="0" collapsedLevelsAreSubtotals="1" fieldPosition="0"/>
    </format>
    <format dxfId="131">
      <pivotArea dataOnly="0" labelOnly="1" fieldPosition="0">
        <references count="1">
          <reference field="8" count="1">
            <x v="3"/>
          </reference>
        </references>
      </pivotArea>
    </format>
    <format dxfId="130">
      <pivotArea dataOnly="0" labelOnly="1" grandRow="1" outline="0" fieldPosition="0"/>
    </format>
    <format dxfId="129">
      <pivotArea dataOnly="0" labelOnly="1" fieldPosition="0">
        <references count="2">
          <reference field="4" count="8">
            <x v="0"/>
            <x v="1"/>
            <x v="5"/>
            <x v="6"/>
            <x v="18"/>
            <x v="19"/>
            <x v="25"/>
            <x v="26"/>
          </reference>
          <reference field="8"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ela dinâ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rowHeaderCaption="Áreas">
  <location ref="B3:C35" firstHeaderRow="1" firstDataRow="1" firstDataCol="1"/>
  <pivotFields count="9">
    <pivotField showAll="0"/>
    <pivotField showAll="0"/>
    <pivotField showAll="0"/>
    <pivotField showAll="0"/>
    <pivotField axis="axisRow" dataField="1" showAll="0">
      <items count="50">
        <item x="18"/>
        <item x="9"/>
        <item x="13"/>
        <item x="11"/>
        <item x="14"/>
        <item x="1"/>
        <item x="6"/>
        <item m="1" x="41"/>
        <item x="12"/>
        <item x="21"/>
        <item x="19"/>
        <item x="0"/>
        <item m="1" x="42"/>
        <item x="4"/>
        <item m="1" x="46"/>
        <item x="20"/>
        <item x="16"/>
        <item m="1" x="35"/>
        <item x="7"/>
        <item x="10"/>
        <item x="15"/>
        <item x="17"/>
        <item h="1" x="31"/>
        <item m="1" x="44"/>
        <item m="1" x="40"/>
        <item m="1" x="39"/>
        <item x="5"/>
        <item m="1" x="47"/>
        <item x="2"/>
        <item x="8"/>
        <item m="1" x="38"/>
        <item x="22"/>
        <item x="3"/>
        <item x="23"/>
        <item m="1" x="45"/>
        <item m="1" x="43"/>
        <item m="1" x="36"/>
        <item m="1" x="48"/>
        <item m="1" x="37"/>
        <item m="1" x="32"/>
        <item m="1" x="33"/>
        <item m="1" x="34"/>
        <item x="25"/>
        <item x="26"/>
        <item x="27"/>
        <item x="24"/>
        <item x="28"/>
        <item x="29"/>
        <item x="30"/>
        <item t="default"/>
      </items>
    </pivotField>
    <pivotField showAll="0"/>
    <pivotField showAll="0"/>
    <pivotField showAll="0"/>
    <pivotField showAll="0">
      <items count="8">
        <item x="1"/>
        <item m="1" x="3"/>
        <item h="1" x="2"/>
        <item x="0"/>
        <item m="1" x="5"/>
        <item m="1" x="6"/>
        <item h="1" m="1" x="4"/>
        <item t="default"/>
      </items>
    </pivotField>
  </pivotFields>
  <rowFields count="1">
    <field x="4"/>
  </rowFields>
  <rowItems count="32">
    <i>
      <x/>
    </i>
    <i>
      <x v="1"/>
    </i>
    <i>
      <x v="2"/>
    </i>
    <i>
      <x v="3"/>
    </i>
    <i>
      <x v="4"/>
    </i>
    <i>
      <x v="5"/>
    </i>
    <i>
      <x v="6"/>
    </i>
    <i>
      <x v="8"/>
    </i>
    <i>
      <x v="9"/>
    </i>
    <i>
      <x v="10"/>
    </i>
    <i>
      <x v="11"/>
    </i>
    <i>
      <x v="13"/>
    </i>
    <i>
      <x v="15"/>
    </i>
    <i>
      <x v="16"/>
    </i>
    <i>
      <x v="18"/>
    </i>
    <i>
      <x v="19"/>
    </i>
    <i>
      <x v="20"/>
    </i>
    <i>
      <x v="21"/>
    </i>
    <i>
      <x v="26"/>
    </i>
    <i>
      <x v="28"/>
    </i>
    <i>
      <x v="29"/>
    </i>
    <i>
      <x v="31"/>
    </i>
    <i>
      <x v="32"/>
    </i>
    <i>
      <x v="33"/>
    </i>
    <i>
      <x v="42"/>
    </i>
    <i>
      <x v="43"/>
    </i>
    <i>
      <x v="44"/>
    </i>
    <i>
      <x v="45"/>
    </i>
    <i>
      <x v="46"/>
    </i>
    <i>
      <x v="47"/>
    </i>
    <i>
      <x v="48"/>
    </i>
    <i t="grand">
      <x/>
    </i>
  </rowItems>
  <colItems count="1">
    <i/>
  </colItems>
  <dataFields count="1">
    <dataField name="Total de tópicos" fld="4" subtotal="count" baseField="0" baseItem="0"/>
  </dataFields>
  <formats count="85">
    <format dxfId="90">
      <pivotArea grandRow="1" outline="0" collapsedLevelsAreSubtotals="1" fieldPosition="0"/>
    </format>
    <format dxfId="89">
      <pivotArea dataOnly="0" labelOnly="1" grandRow="1" outline="0" fieldPosition="0"/>
    </format>
    <format dxfId="88">
      <pivotArea type="all" dataOnly="0" outline="0" fieldPosition="0"/>
    </format>
    <format dxfId="87">
      <pivotArea outline="0" collapsedLevelsAreSubtotals="1" fieldPosition="0"/>
    </format>
    <format dxfId="86">
      <pivotArea field="8" type="button" dataOnly="0" labelOnly="1" outline="0"/>
    </format>
    <format dxfId="85">
      <pivotArea dataOnly="0" labelOnly="1" outline="0" axis="axisValues" fieldPosition="0"/>
    </format>
    <format dxfId="84">
      <pivotArea dataOnly="0" labelOnly="1" grandRow="1" outline="0" fieldPosition="0"/>
    </format>
    <format dxfId="83">
      <pivotArea dataOnly="0" labelOnly="1" outline="0" axis="axisValues" fieldPosition="0"/>
    </format>
    <format dxfId="82">
      <pivotArea grandRow="1" outline="0" collapsedLevelsAreSubtotals="1" fieldPosition="0"/>
    </format>
    <format dxfId="81">
      <pivotArea field="4" type="button" dataOnly="0" labelOnly="1" outline="0" axis="axisRow" fieldPosition="0"/>
    </format>
    <format dxfId="80">
      <pivotArea dataOnly="0" labelOnly="1" outline="0" axis="axisValues" fieldPosition="0"/>
    </format>
    <format dxfId="79">
      <pivotArea dataOnly="0" labelOnly="1" outline="0" axis="axisValues" fieldPosition="0"/>
    </format>
    <format dxfId="78">
      <pivotArea field="4" type="button" dataOnly="0" labelOnly="1" outline="0" axis="axisRow" fieldPosition="0"/>
    </format>
    <format dxfId="77">
      <pivotArea dataOnly="0" labelOnly="1" outline="0" axis="axisValues" fieldPosition="0"/>
    </format>
    <format dxfId="76">
      <pivotArea dataOnly="0" labelOnly="1" outline="0" axis="axisValues" fieldPosition="0"/>
    </format>
    <format dxfId="75">
      <pivotArea field="4" type="button" dataOnly="0" labelOnly="1" outline="0" axis="axisRow" fieldPosition="0"/>
    </format>
    <format dxfId="74">
      <pivotArea dataOnly="0" labelOnly="1" outline="0" axis="axisValues" fieldPosition="0"/>
    </format>
    <format dxfId="73">
      <pivotArea dataOnly="0" labelOnly="1" outline="0" axis="axisValues" fieldPosition="0"/>
    </format>
    <format dxfId="72">
      <pivotArea outline="0" collapsedLevelsAreSubtotals="1" fieldPosition="0"/>
    </format>
    <format dxfId="71">
      <pivotArea dataOnly="0" labelOnly="1" outline="0" axis="axisValues" fieldPosition="0"/>
    </format>
    <format dxfId="70">
      <pivotArea dataOnly="0" labelOnly="1" outline="0" axis="axisValues" fieldPosition="0"/>
    </format>
    <format dxfId="69">
      <pivotArea outline="0" collapsedLevelsAreSubtotals="1" fieldPosition="0"/>
    </format>
    <format dxfId="68">
      <pivotArea dataOnly="0" labelOnly="1" outline="0" axis="axisValues"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4" type="button" dataOnly="0" labelOnly="1" outline="0" axis="axisRow" fieldPosition="0"/>
    </format>
    <format dxfId="63">
      <pivotArea dataOnly="0" labelOnly="1" outline="0" axis="axisValues" fieldPosition="0"/>
    </format>
    <format dxfId="62">
      <pivotArea dataOnly="0" labelOnly="1" fieldPosition="0">
        <references count="1">
          <reference field="4" count="0"/>
        </references>
      </pivotArea>
    </format>
    <format dxfId="61">
      <pivotArea dataOnly="0" labelOnly="1" grandRow="1" outline="0" fieldPosition="0"/>
    </format>
    <format dxfId="60">
      <pivotArea dataOnly="0" labelOnly="1" outline="0" axis="axisValues" fieldPosition="0"/>
    </format>
    <format dxfId="59">
      <pivotArea field="4" type="button" dataOnly="0" labelOnly="1" outline="0" axis="axisRow" fieldPosition="0"/>
    </format>
    <format dxfId="58">
      <pivotArea dataOnly="0" labelOnly="1" outline="0" axis="axisValues" fieldPosition="0"/>
    </format>
    <format dxfId="57">
      <pivotArea dataOnly="0" labelOnly="1" outline="0" axis="axisValues" fieldPosition="0"/>
    </format>
    <format dxfId="56">
      <pivotArea grandRow="1" outline="0" collapsedLevelsAreSubtotals="1" fieldPosition="0"/>
    </format>
    <format dxfId="55">
      <pivotArea dataOnly="0" labelOnly="1" grandRow="1" outline="0" fieldPosition="0"/>
    </format>
    <format dxfId="54">
      <pivotArea collapsedLevelsAreSubtotals="1" fieldPosition="0">
        <references count="1">
          <reference field="4" count="1">
            <x v="10"/>
          </reference>
        </references>
      </pivotArea>
    </format>
    <format dxfId="53">
      <pivotArea collapsedLevelsAreSubtotals="1" fieldPosition="0">
        <references count="1">
          <reference field="4" count="1">
            <x v="2"/>
          </reference>
        </references>
      </pivotArea>
    </format>
    <format dxfId="52">
      <pivotArea collapsedLevelsAreSubtotals="1" fieldPosition="0">
        <references count="1">
          <reference field="4" count="1">
            <x v="2"/>
          </reference>
        </references>
      </pivotArea>
    </format>
    <format dxfId="51">
      <pivotArea collapsedLevelsAreSubtotals="1" fieldPosition="0">
        <references count="1">
          <reference field="4" count="1">
            <x v="18"/>
          </reference>
        </references>
      </pivotArea>
    </format>
    <format dxfId="50">
      <pivotArea collapsedLevelsAreSubtotals="1" fieldPosition="0">
        <references count="1">
          <reference field="4" count="1">
            <x v="1"/>
          </reference>
        </references>
      </pivotArea>
    </format>
    <format dxfId="49">
      <pivotArea collapsedLevelsAreSubtotals="1" fieldPosition="0">
        <references count="1">
          <reference field="4" count="1">
            <x v="13"/>
          </reference>
        </references>
      </pivotArea>
    </format>
    <format dxfId="48">
      <pivotArea collapsedLevelsAreSubtotals="1" fieldPosition="0">
        <references count="1">
          <reference field="4" count="1">
            <x v="8"/>
          </reference>
        </references>
      </pivotArea>
    </format>
    <format dxfId="47">
      <pivotArea collapsedLevelsAreSubtotals="1" fieldPosition="0">
        <references count="1">
          <reference field="4" count="1">
            <x v="21"/>
          </reference>
        </references>
      </pivotArea>
    </format>
    <format dxfId="46">
      <pivotArea collapsedLevelsAreSubtotals="1" fieldPosition="0">
        <references count="1">
          <reference field="4" count="1">
            <x v="19"/>
          </reference>
        </references>
      </pivotArea>
    </format>
    <format dxfId="45">
      <pivotArea collapsedLevelsAreSubtotals="1" fieldPosition="0">
        <references count="1">
          <reference field="4" count="1">
            <x v="25"/>
          </reference>
        </references>
      </pivotArea>
    </format>
    <format dxfId="44">
      <pivotArea collapsedLevelsAreSubtotals="1" fieldPosition="0">
        <references count="1">
          <reference field="4" count="1">
            <x v="28"/>
          </reference>
        </references>
      </pivotArea>
    </format>
    <format dxfId="43">
      <pivotArea collapsedLevelsAreSubtotals="1" fieldPosition="0">
        <references count="1">
          <reference field="4" count="1">
            <x v="1"/>
          </reference>
        </references>
      </pivotArea>
    </format>
    <format dxfId="42">
      <pivotArea collapsedLevelsAreSubtotals="1" fieldPosition="0">
        <references count="1">
          <reference field="4" count="1">
            <x v="2"/>
          </reference>
        </references>
      </pivotArea>
    </format>
    <format dxfId="41">
      <pivotArea collapsedLevelsAreSubtotals="1" fieldPosition="0">
        <references count="1">
          <reference field="4" count="0"/>
        </references>
      </pivotArea>
    </format>
    <format dxfId="40">
      <pivotArea field="4" type="button" dataOnly="0" labelOnly="1" outline="0" axis="axisRow" fieldPosition="0"/>
    </format>
    <format dxfId="39">
      <pivotArea dataOnly="0" labelOnly="1" outline="0" axis="axisValues" fieldPosition="0"/>
    </format>
    <format dxfId="38">
      <pivotArea dataOnly="0" labelOnly="1" outline="0" axis="axisValues" fieldPosition="0"/>
    </format>
    <format dxfId="37">
      <pivotArea field="4" type="button" dataOnly="0" labelOnly="1" outline="0" axis="axisRow" fieldPosition="0"/>
    </format>
    <format dxfId="36">
      <pivotArea dataOnly="0" labelOnly="1" outline="0" axis="axisValues" fieldPosition="0"/>
    </format>
    <format dxfId="35">
      <pivotArea dataOnly="0" labelOnly="1" outline="0" axis="axisValues" fieldPosition="0"/>
    </format>
    <format dxfId="34">
      <pivotArea field="4" type="button" dataOnly="0" labelOnly="1" outline="0" axis="axisRow" fieldPosition="0"/>
    </format>
    <format dxfId="33">
      <pivotArea dataOnly="0" labelOnly="1" outline="0" axis="axisValues" fieldPosition="0"/>
    </format>
    <format dxfId="32">
      <pivotArea dataOnly="0" labelOnly="1" outline="0" axis="axisValues" fieldPosition="0"/>
    </format>
    <format dxfId="31">
      <pivotArea field="4" type="button" dataOnly="0" labelOnly="1" outline="0" axis="axisRow" fieldPosition="0"/>
    </format>
    <format dxfId="30">
      <pivotArea dataOnly="0" labelOnly="1" outline="0" axis="axisValues" fieldPosition="0"/>
    </format>
    <format dxfId="29">
      <pivotArea dataOnly="0" labelOnly="1" outline="0" axis="axisValues" fieldPosition="0"/>
    </format>
    <format dxfId="28">
      <pivotArea field="4" type="button" dataOnly="0" labelOnly="1" outline="0" axis="axisRow" fieldPosition="0"/>
    </format>
    <format dxfId="27">
      <pivotArea dataOnly="0" labelOnly="1" outline="0" axis="axisValues" fieldPosition="0"/>
    </format>
    <format dxfId="26">
      <pivotArea dataOnly="0" labelOnly="1" outline="0" axis="axisValues" fieldPosition="0"/>
    </format>
    <format dxfId="25">
      <pivotArea field="4" type="button" dataOnly="0" labelOnly="1" outline="0" axis="axisRow" fieldPosition="0"/>
    </format>
    <format dxfId="24">
      <pivotArea dataOnly="0" labelOnly="1" outline="0" axis="axisValues" fieldPosition="0"/>
    </format>
    <format dxfId="23">
      <pivotArea dataOnly="0" labelOnly="1" outline="0" axis="axisValues" fieldPosition="0"/>
    </format>
    <format dxfId="22">
      <pivotArea field="4" type="button" dataOnly="0" labelOnly="1" outline="0" axis="axisRow" fieldPosition="0"/>
    </format>
    <format dxfId="21">
      <pivotArea dataOnly="0" labelOnly="1" outline="0" axis="axisValues" fieldPosition="0"/>
    </format>
    <format dxfId="20">
      <pivotArea dataOnly="0" labelOnly="1" outline="0" axis="axisValues" fieldPosition="0"/>
    </format>
    <format dxfId="19">
      <pivotArea field="4" type="button" dataOnly="0" labelOnly="1" outline="0" axis="axisRow" fieldPosition="0"/>
    </format>
    <format dxfId="18">
      <pivotArea dataOnly="0" labelOnly="1" outline="0" axis="axisValues" fieldPosition="0"/>
    </format>
    <format dxfId="17">
      <pivotArea dataOnly="0" labelOnly="1" outline="0" axis="axisValues" fieldPosition="0"/>
    </format>
    <format dxfId="16">
      <pivotArea field="4" type="button" dataOnly="0" labelOnly="1" outline="0" axis="axisRow" fieldPosition="0"/>
    </format>
    <format dxfId="15">
      <pivotArea dataOnly="0" labelOnly="1" outline="0" axis="axisValues" fieldPosition="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 dxfId="11">
      <pivotArea grandRow="1" outline="0" collapsedLevelsAreSubtotals="1" fieldPosition="0"/>
    </format>
    <format dxfId="10">
      <pivotArea dataOnly="0" labelOnly="1" grandRow="1" outline="0" fieldPosition="0"/>
    </format>
    <format dxfId="9">
      <pivotArea grandRow="1" outline="0" collapsedLevelsAreSubtotals="1" fieldPosition="0"/>
    </format>
    <format dxfId="8">
      <pivotArea dataOnly="0" labelOnly="1" grandRow="1" outline="0" fieldPosition="0"/>
    </format>
    <format dxfId="7">
      <pivotArea grandRow="1" outline="0" collapsedLevelsAreSubtotals="1" fieldPosition="0"/>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ela dinâmica6"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23">
  <location ref="B2:C10" firstHeaderRow="1" firstDataRow="1" firstDataCol="1"/>
  <pivotFields count="4">
    <pivotField showAll="0" defaultSubtotal="0"/>
    <pivotField axis="axisRow" dataField="1" showAll="0" sortType="ascending">
      <items count="11">
        <item x="6"/>
        <item x="2"/>
        <item x="1"/>
        <item x="0"/>
        <item x="5"/>
        <item x="3"/>
        <item x="4"/>
        <item h="1" x="7"/>
        <item h="1" m="1" x="8"/>
        <item h="1" m="1" x="9"/>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8">
    <i>
      <x/>
    </i>
    <i>
      <x v="6"/>
    </i>
    <i>
      <x v="4"/>
    </i>
    <i>
      <x v="2"/>
    </i>
    <i>
      <x v="3"/>
    </i>
    <i>
      <x v="5"/>
    </i>
    <i>
      <x v="1"/>
    </i>
    <i t="grand">
      <x/>
    </i>
  </rowItems>
  <colItems count="1">
    <i/>
  </colItems>
  <dataFields count="1">
    <dataField name="Volume" fld="1" subtotal="count" baseField="0" baseItem="0"/>
  </dataFields>
  <formats count="3">
    <format dxfId="2">
      <pivotArea field="1" type="button" dataOnly="0" labelOnly="1" outline="0" axis="axisRow" fieldPosition="0"/>
    </format>
    <format dxfId="1">
      <pivotArea dataOnly="0" labelOnly="1" outline="0" axis="axisValues" fieldPosition="0"/>
    </format>
    <format dxfId="0">
      <pivotArea dataOnly="0" labelOnly="1" outline="0" axis="axisValues" fieldPosition="0"/>
    </format>
  </formats>
  <chartFormats count="4">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abela dinâmica1"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24">
  <location ref="B19:C29" firstHeaderRow="1" firstDataRow="1" firstDataCol="1"/>
  <pivotFields count="4">
    <pivotField axis="axisRow" dataField="1" showAll="0" sortType="ascending" defaultSubtotal="0">
      <items count="10">
        <item x="0"/>
        <item x="1"/>
        <item x="2"/>
        <item x="3"/>
        <item x="4"/>
        <item x="5"/>
        <item x="6"/>
        <item x="7"/>
        <item x="8"/>
        <item h="1" x="9"/>
      </items>
      <autoSortScope>
        <pivotArea dataOnly="0" outline="0" fieldPosition="0">
          <references count="1">
            <reference field="4294967294" count="1" selected="0">
              <x v="0"/>
            </reference>
          </references>
        </pivotArea>
      </autoSortScope>
    </pivotField>
    <pivotField showAll="0">
      <items count="11">
        <item x="6"/>
        <item x="2"/>
        <item x="1"/>
        <item x="0"/>
        <item x="5"/>
        <item x="3"/>
        <item x="4"/>
        <item h="1" x="7"/>
        <item h="1" m="1" x="8"/>
        <item h="1" m="1" x="9"/>
        <item t="default"/>
      </items>
    </pivotField>
    <pivotField showAll="0"/>
    <pivotField showAll="0"/>
  </pivotFields>
  <rowFields count="1">
    <field x="0"/>
  </rowFields>
  <rowItems count="10">
    <i>
      <x/>
    </i>
    <i>
      <x v="6"/>
    </i>
    <i>
      <x v="2"/>
    </i>
    <i>
      <x v="7"/>
    </i>
    <i>
      <x v="4"/>
    </i>
    <i>
      <x v="8"/>
    </i>
    <i>
      <x v="3"/>
    </i>
    <i>
      <x v="1"/>
    </i>
    <i>
      <x v="5"/>
    </i>
    <i t="grand">
      <x/>
    </i>
  </rowItems>
  <colItems count="1">
    <i/>
  </colItems>
  <dataFields count="1">
    <dataField name="Contagem de VP" fld="0" subtotal="count" baseField="0" baseItem="0"/>
  </dataFields>
  <formats count="3">
    <format dxfId="5">
      <pivotArea field="1" type="button" dataOnly="0" labelOnly="1" outline="0"/>
    </format>
    <format dxfId="4">
      <pivotArea dataOnly="0" labelOnly="1" outline="0" axis="axisValues" fieldPosition="0"/>
    </format>
    <format dxfId="3">
      <pivotArea dataOnly="0" labelOnly="1" outline="0" axis="axisValues" fieldPosition="0"/>
    </format>
  </formats>
  <chartFormats count="3">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6" Type="http://schemas.openxmlformats.org/officeDocument/2006/relationships/hyperlink" Target="mailto:douglas.coelho@oi.net.br" TargetMode="External"/><Relationship Id="rId21" Type="http://schemas.openxmlformats.org/officeDocument/2006/relationships/hyperlink" Target="mailto:barbara.erthal@oi.net.br" TargetMode="External"/><Relationship Id="rId42" Type="http://schemas.openxmlformats.org/officeDocument/2006/relationships/hyperlink" Target="mailto:priscila.monteza@oi.net.br" TargetMode="External"/><Relationship Id="rId47" Type="http://schemas.openxmlformats.org/officeDocument/2006/relationships/hyperlink" Target="mailto:barbara.martinho@oi.net.br" TargetMode="External"/><Relationship Id="rId63" Type="http://schemas.openxmlformats.org/officeDocument/2006/relationships/hyperlink" Target="mailto:katia.pessoa@oi.net.br" TargetMode="External"/><Relationship Id="rId68" Type="http://schemas.openxmlformats.org/officeDocument/2006/relationships/hyperlink" Target="mailto:marcus.oliveira@oi.net.br" TargetMode="External"/><Relationship Id="rId2" Type="http://schemas.openxmlformats.org/officeDocument/2006/relationships/printerSettings" Target="../printerSettings/printerSettings13.bin"/><Relationship Id="rId16" Type="http://schemas.openxmlformats.org/officeDocument/2006/relationships/hyperlink" Target="mailto:hozana.braga@oi.net.br" TargetMode="External"/><Relationship Id="rId29" Type="http://schemas.openxmlformats.org/officeDocument/2006/relationships/hyperlink" Target="mailto:rafael.muniz@oi.net.br" TargetMode="External"/><Relationship Id="rId11" Type="http://schemas.openxmlformats.org/officeDocument/2006/relationships/hyperlink" Target="mailto:liege.casqueiro@oi.net.br" TargetMode="External"/><Relationship Id="rId24" Type="http://schemas.openxmlformats.org/officeDocument/2006/relationships/hyperlink" Target="mailto:julia.torres@oi.net.br" TargetMode="External"/><Relationship Id="rId32" Type="http://schemas.openxmlformats.org/officeDocument/2006/relationships/hyperlink" Target="mailto:valeria.braga@oi.net.br" TargetMode="External"/><Relationship Id="rId37" Type="http://schemas.openxmlformats.org/officeDocument/2006/relationships/hyperlink" Target="mailto:felicia@oi.net.br" TargetMode="External"/><Relationship Id="rId40" Type="http://schemas.openxmlformats.org/officeDocument/2006/relationships/hyperlink" Target="mailto:hugo.nascimento@oi.net.br" TargetMode="External"/><Relationship Id="rId45" Type="http://schemas.openxmlformats.org/officeDocument/2006/relationships/hyperlink" Target="mailto:thiego.sampaio@oi.net.br" TargetMode="External"/><Relationship Id="rId53" Type="http://schemas.openxmlformats.org/officeDocument/2006/relationships/hyperlink" Target="mailto:daniel.nassur@oi.net.br" TargetMode="External"/><Relationship Id="rId58" Type="http://schemas.openxmlformats.org/officeDocument/2006/relationships/hyperlink" Target="mailto:luis.wright@oi.net.br" TargetMode="External"/><Relationship Id="rId66" Type="http://schemas.openxmlformats.org/officeDocument/2006/relationships/hyperlink" Target="mailto:manuela.dantas@oi.net.br" TargetMode="External"/><Relationship Id="rId74" Type="http://schemas.openxmlformats.org/officeDocument/2006/relationships/printerSettings" Target="../printerSettings/printerSettings14.bin"/><Relationship Id="rId5" Type="http://schemas.openxmlformats.org/officeDocument/2006/relationships/hyperlink" Target="mailto:karina.fortes@oi.net.br" TargetMode="External"/><Relationship Id="rId61" Type="http://schemas.openxmlformats.org/officeDocument/2006/relationships/hyperlink" Target="mailto:bruno.palombo@oi.net.br" TargetMode="External"/><Relationship Id="rId19" Type="http://schemas.openxmlformats.org/officeDocument/2006/relationships/hyperlink" Target="mailto:alessandro.varme@oi.net.br" TargetMode="External"/><Relationship Id="rId14" Type="http://schemas.openxmlformats.org/officeDocument/2006/relationships/hyperlink" Target="mailto:paulo.vidal@oi.net.br" TargetMode="External"/><Relationship Id="rId22" Type="http://schemas.openxmlformats.org/officeDocument/2006/relationships/hyperlink" Target="mailto:derick.assis@oi.net.br" TargetMode="External"/><Relationship Id="rId27" Type="http://schemas.openxmlformats.org/officeDocument/2006/relationships/hyperlink" Target="mailto:carolina.arlotta@oi.net.br" TargetMode="External"/><Relationship Id="rId30" Type="http://schemas.openxmlformats.org/officeDocument/2006/relationships/hyperlink" Target="mailto:carlosgalvao@oi.net.br" TargetMode="External"/><Relationship Id="rId35" Type="http://schemas.openxmlformats.org/officeDocument/2006/relationships/hyperlink" Target="mailto:cintia.rau@oi.net.br" TargetMode="External"/><Relationship Id="rId43" Type="http://schemas.openxmlformats.org/officeDocument/2006/relationships/hyperlink" Target="mailto:josecler.alves@oi.net.br" TargetMode="External"/><Relationship Id="rId48" Type="http://schemas.openxmlformats.org/officeDocument/2006/relationships/hyperlink" Target="mailto:leonardo.serejo@oi.net.br" TargetMode="External"/><Relationship Id="rId56" Type="http://schemas.openxmlformats.org/officeDocument/2006/relationships/hyperlink" Target="mailto:wagner.triano@oi.net.br" TargetMode="External"/><Relationship Id="rId64" Type="http://schemas.openxmlformats.org/officeDocument/2006/relationships/hyperlink" Target="mailto:bruno.simoes@oi.net.br" TargetMode="External"/><Relationship Id="rId69" Type="http://schemas.openxmlformats.org/officeDocument/2006/relationships/hyperlink" Target="mailto:mariana.doher@oi.net.br" TargetMode="External"/><Relationship Id="rId8" Type="http://schemas.openxmlformats.org/officeDocument/2006/relationships/hyperlink" Target="mailto:patricia.gouveia@oi.net.br" TargetMode="External"/><Relationship Id="rId51" Type="http://schemas.openxmlformats.org/officeDocument/2006/relationships/hyperlink" Target="mailto:melchiades.neto@oi.net.br" TargetMode="External"/><Relationship Id="rId72" Type="http://schemas.openxmlformats.org/officeDocument/2006/relationships/hyperlink" Target="mailto:emanuelle.rocha@oi.net.br" TargetMode="External"/><Relationship Id="rId3" Type="http://schemas.openxmlformats.org/officeDocument/2006/relationships/hyperlink" Target="mailto:charlene.silva@oi.net.br" TargetMode="External"/><Relationship Id="rId12" Type="http://schemas.openxmlformats.org/officeDocument/2006/relationships/hyperlink" Target="mailto:manuela.grande@oi.net.br" TargetMode="External"/><Relationship Id="rId17" Type="http://schemas.openxmlformats.org/officeDocument/2006/relationships/hyperlink" Target="mailto:daniel.sanguedo@oi.net.br" TargetMode="External"/><Relationship Id="rId25" Type="http://schemas.openxmlformats.org/officeDocument/2006/relationships/hyperlink" Target="mailto:alessandra.benevides@oi.net.br" TargetMode="External"/><Relationship Id="rId33" Type="http://schemas.openxmlformats.org/officeDocument/2006/relationships/hyperlink" Target="mailto:carlos.andrade@oi.net.br%3E" TargetMode="External"/><Relationship Id="rId38" Type="http://schemas.openxmlformats.org/officeDocument/2006/relationships/hyperlink" Target="mailto:daniela.greco@oi.net.br" TargetMode="External"/><Relationship Id="rId46" Type="http://schemas.openxmlformats.org/officeDocument/2006/relationships/hyperlink" Target="mailto:anamurad@oi.net.br" TargetMode="External"/><Relationship Id="rId59" Type="http://schemas.openxmlformats.org/officeDocument/2006/relationships/hyperlink" Target="mailto:sergio.figueiredo@oi.net.br" TargetMode="External"/><Relationship Id="rId67" Type="http://schemas.openxmlformats.org/officeDocument/2006/relationships/hyperlink" Target="mailto:adriano.israel@oi.net.br" TargetMode="External"/><Relationship Id="rId20" Type="http://schemas.openxmlformats.org/officeDocument/2006/relationships/hyperlink" Target="mailto:marina.maciel@oi.net.br" TargetMode="External"/><Relationship Id="rId41" Type="http://schemas.openxmlformats.org/officeDocument/2006/relationships/hyperlink" Target="mailto:rafael.almeida@oi.net.br" TargetMode="External"/><Relationship Id="rId54" Type="http://schemas.openxmlformats.org/officeDocument/2006/relationships/hyperlink" Target="mailto:carlos.lapa@oi.net.br" TargetMode="External"/><Relationship Id="rId62" Type="http://schemas.openxmlformats.org/officeDocument/2006/relationships/hyperlink" Target="mailto:marcia.fonseca@oi.net.br" TargetMode="External"/><Relationship Id="rId70" Type="http://schemas.openxmlformats.org/officeDocument/2006/relationships/hyperlink" Target="mailto:thiago.mungard@oi.net.br" TargetMode="External"/><Relationship Id="rId1" Type="http://schemas.openxmlformats.org/officeDocument/2006/relationships/printerSettings" Target="../printerSettings/printerSettings12.bin"/><Relationship Id="rId6" Type="http://schemas.openxmlformats.org/officeDocument/2006/relationships/hyperlink" Target="mailto:marcelo.gomes@oi.net.br" TargetMode="External"/><Relationship Id="rId15" Type="http://schemas.openxmlformats.org/officeDocument/2006/relationships/hyperlink" Target="mailto:erika.braga@oi.net.br" TargetMode="External"/><Relationship Id="rId23" Type="http://schemas.openxmlformats.org/officeDocument/2006/relationships/hyperlink" Target="mailto:anderson.rocha@oi.net.br" TargetMode="External"/><Relationship Id="rId28" Type="http://schemas.openxmlformats.org/officeDocument/2006/relationships/hyperlink" Target="mailto:bernardo.ieno@oi.net.br" TargetMode="External"/><Relationship Id="rId36" Type="http://schemas.openxmlformats.org/officeDocument/2006/relationships/hyperlink" Target="mailto:diego.avelar@oi.net.br" TargetMode="External"/><Relationship Id="rId49" Type="http://schemas.openxmlformats.org/officeDocument/2006/relationships/hyperlink" Target="mailto:clarita.ferreira@oi.net.br" TargetMode="External"/><Relationship Id="rId57" Type="http://schemas.openxmlformats.org/officeDocument/2006/relationships/hyperlink" Target="mailto:cid.junior@oi.net.br" TargetMode="External"/><Relationship Id="rId10" Type="http://schemas.openxmlformats.org/officeDocument/2006/relationships/hyperlink" Target="mailto:carolina.gava@oi.net.br" TargetMode="External"/><Relationship Id="rId31" Type="http://schemas.openxmlformats.org/officeDocument/2006/relationships/hyperlink" Target="mailto:jorgelsc@oi.net.br" TargetMode="External"/><Relationship Id="rId44" Type="http://schemas.openxmlformats.org/officeDocument/2006/relationships/hyperlink" Target="mailto:anderson.esteves@oi.net.br" TargetMode="External"/><Relationship Id="rId52" Type="http://schemas.openxmlformats.org/officeDocument/2006/relationships/hyperlink" Target="mailto:carolina.barros@oi.net.br" TargetMode="External"/><Relationship Id="rId60" Type="http://schemas.openxmlformats.org/officeDocument/2006/relationships/hyperlink" Target="mailto:nivaldo.santos@oi.net.br" TargetMode="External"/><Relationship Id="rId65" Type="http://schemas.openxmlformats.org/officeDocument/2006/relationships/hyperlink" Target="mailto:thiago.matarazzo@oi.net.br" TargetMode="External"/><Relationship Id="rId73" Type="http://schemas.openxmlformats.org/officeDocument/2006/relationships/hyperlink" Target="mailto:luiz.sencier@oi.net.br" TargetMode="External"/><Relationship Id="rId4" Type="http://schemas.openxmlformats.org/officeDocument/2006/relationships/hyperlink" Target="mailto:viviane.calaca@oi.net.br" TargetMode="External"/><Relationship Id="rId9" Type="http://schemas.openxmlformats.org/officeDocument/2006/relationships/hyperlink" Target="mailto:philippe.carmo@oi.net.br" TargetMode="External"/><Relationship Id="rId13" Type="http://schemas.openxmlformats.org/officeDocument/2006/relationships/hyperlink" Target="mailto:eduardo.streit@oi.net.br" TargetMode="External"/><Relationship Id="rId18" Type="http://schemas.openxmlformats.org/officeDocument/2006/relationships/hyperlink" Target="mailto:iara.braga@oi.net.br" TargetMode="External"/><Relationship Id="rId39" Type="http://schemas.openxmlformats.org/officeDocument/2006/relationships/hyperlink" Target="mailto:renato.elias@oi.net.br" TargetMode="External"/><Relationship Id="rId34" Type="http://schemas.openxmlformats.org/officeDocument/2006/relationships/hyperlink" Target="mailto:jussara.rocha@oi.net.br" TargetMode="External"/><Relationship Id="rId50" Type="http://schemas.openxmlformats.org/officeDocument/2006/relationships/hyperlink" Target="mailto:rafael.amorim@oi.net.br" TargetMode="External"/><Relationship Id="rId55" Type="http://schemas.openxmlformats.org/officeDocument/2006/relationships/hyperlink" Target="mailto:taian@oi.net.br" TargetMode="External"/><Relationship Id="rId7" Type="http://schemas.openxmlformats.org/officeDocument/2006/relationships/hyperlink" Target="mailto:pan@oi.net.br" TargetMode="External"/><Relationship Id="rId71" Type="http://schemas.openxmlformats.org/officeDocument/2006/relationships/hyperlink" Target="mailto:jo&#227;o.brito@oi.net.br"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XFA321"/>
  <sheetViews>
    <sheetView showGridLines="0" topLeftCell="F1" zoomScale="90" zoomScaleNormal="90" workbookViewId="0">
      <pane ySplit="2" topLeftCell="A3" activePane="bottomLeft" state="frozen"/>
      <selection activeCell="C314" sqref="C314"/>
      <selection pane="bottomLeft" activeCell="G13" sqref="G13"/>
    </sheetView>
  </sheetViews>
  <sheetFormatPr defaultRowHeight="11.25"/>
  <cols>
    <col min="1" max="1" width="2.28515625" style="79" bestFit="1" customWidth="1"/>
    <col min="2" max="2" width="21" style="65" customWidth="1"/>
    <col min="3" max="3" width="41.7109375" style="66" customWidth="1"/>
    <col min="4" max="4" width="5.140625" style="67" customWidth="1"/>
    <col min="5" max="5" width="65.5703125" style="67" customWidth="1"/>
    <col min="6" max="7" width="31.140625" style="65" customWidth="1"/>
    <col min="8" max="8" width="31.140625" style="68" customWidth="1"/>
    <col min="9" max="9" width="31.140625" style="65" customWidth="1"/>
    <col min="10" max="10" width="17" style="65" customWidth="1"/>
    <col min="11" max="11" width="30.85546875" style="65" customWidth="1"/>
    <col min="12" max="15" width="31.140625" style="68" customWidth="1"/>
    <col min="16" max="16384" width="9.140625" style="69"/>
  </cols>
  <sheetData>
    <row r="1" spans="1:15" ht="12" customHeight="1"/>
    <row r="2" spans="1:15" s="249" customFormat="1" ht="31.5" customHeight="1">
      <c r="A2" s="248"/>
      <c r="B2" s="250" t="s">
        <v>140</v>
      </c>
      <c r="C2" s="251" t="s">
        <v>537</v>
      </c>
      <c r="D2" s="264" t="s">
        <v>547</v>
      </c>
      <c r="E2" s="250" t="s">
        <v>639</v>
      </c>
      <c r="F2" s="250" t="s">
        <v>820</v>
      </c>
      <c r="G2" s="250" t="s">
        <v>821</v>
      </c>
      <c r="H2" s="250" t="s">
        <v>640</v>
      </c>
      <c r="I2" s="250" t="s">
        <v>526</v>
      </c>
      <c r="J2" s="252" t="s">
        <v>780</v>
      </c>
      <c r="K2" s="253" t="s">
        <v>1467</v>
      </c>
      <c r="L2" s="251" t="s">
        <v>976</v>
      </c>
      <c r="M2" s="251" t="s">
        <v>977</v>
      </c>
      <c r="N2" s="251" t="s">
        <v>978</v>
      </c>
      <c r="O2" s="251" t="s">
        <v>979</v>
      </c>
    </row>
    <row r="3" spans="1:15" ht="25.5" customHeight="1">
      <c r="A3" s="127"/>
      <c r="B3" s="88" t="s">
        <v>139</v>
      </c>
      <c r="C3" s="71" t="s">
        <v>138</v>
      </c>
      <c r="D3" s="72" t="s">
        <v>382</v>
      </c>
      <c r="E3" s="73" t="s">
        <v>382</v>
      </c>
      <c r="F3" s="76" t="s">
        <v>794</v>
      </c>
      <c r="G3" s="76" t="s">
        <v>795</v>
      </c>
      <c r="H3" s="71" t="s">
        <v>651</v>
      </c>
      <c r="I3" s="71"/>
      <c r="J3" s="23" t="s">
        <v>647</v>
      </c>
      <c r="K3" s="256" t="s">
        <v>1078</v>
      </c>
      <c r="L3" s="71" t="s">
        <v>981</v>
      </c>
      <c r="M3" s="71" t="s">
        <v>989</v>
      </c>
      <c r="N3" s="71" t="s">
        <v>990</v>
      </c>
      <c r="O3" s="71" t="s">
        <v>991</v>
      </c>
    </row>
    <row r="4" spans="1:15" ht="25.5" customHeight="1">
      <c r="A4" s="127"/>
      <c r="B4" s="88" t="s">
        <v>139</v>
      </c>
      <c r="C4" s="76" t="s">
        <v>137</v>
      </c>
      <c r="D4" s="265" t="s">
        <v>383</v>
      </c>
      <c r="E4" s="73" t="s">
        <v>741</v>
      </c>
      <c r="F4" s="76" t="s">
        <v>796</v>
      </c>
      <c r="G4" s="76" t="s">
        <v>797</v>
      </c>
      <c r="H4" s="71" t="s">
        <v>185</v>
      </c>
      <c r="I4" s="71" t="s">
        <v>742</v>
      </c>
      <c r="J4" s="23" t="s">
        <v>786</v>
      </c>
      <c r="K4" s="256" t="s">
        <v>1076</v>
      </c>
      <c r="L4" s="71" t="s">
        <v>992</v>
      </c>
      <c r="M4" s="71" t="s">
        <v>993</v>
      </c>
      <c r="N4" s="71" t="s">
        <v>994</v>
      </c>
      <c r="O4" s="71" t="s">
        <v>560</v>
      </c>
    </row>
    <row r="5" spans="1:15" ht="25.5" customHeight="1">
      <c r="A5" s="127"/>
      <c r="B5" s="88" t="s">
        <v>139</v>
      </c>
      <c r="C5" s="76" t="s">
        <v>1067</v>
      </c>
      <c r="D5" s="265" t="s">
        <v>543</v>
      </c>
      <c r="E5" s="73" t="s">
        <v>903</v>
      </c>
      <c r="F5" s="71" t="s">
        <v>905</v>
      </c>
      <c r="G5" s="76" t="s">
        <v>798</v>
      </c>
      <c r="H5" s="71" t="s">
        <v>558</v>
      </c>
      <c r="I5" s="71" t="s">
        <v>904</v>
      </c>
      <c r="J5" s="23" t="s">
        <v>786</v>
      </c>
      <c r="K5" s="256" t="s">
        <v>1074</v>
      </c>
      <c r="L5" s="71" t="s">
        <v>995</v>
      </c>
      <c r="M5" s="71" t="s">
        <v>996</v>
      </c>
      <c r="N5" s="71" t="s">
        <v>997</v>
      </c>
      <c r="O5" s="71" t="s">
        <v>998</v>
      </c>
    </row>
    <row r="6" spans="1:15" ht="25.5" customHeight="1">
      <c r="A6" s="127"/>
      <c r="B6" s="88" t="s">
        <v>139</v>
      </c>
      <c r="C6" s="76" t="s">
        <v>1098</v>
      </c>
      <c r="D6" s="265" t="s">
        <v>1099</v>
      </c>
      <c r="E6" s="73" t="s">
        <v>1100</v>
      </c>
      <c r="F6" s="71" t="s">
        <v>1101</v>
      </c>
      <c r="G6" s="76" t="s">
        <v>276</v>
      </c>
      <c r="H6" s="71"/>
      <c r="I6" s="71"/>
      <c r="J6" s="23" t="s">
        <v>786</v>
      </c>
      <c r="K6" s="256" t="s">
        <v>1074</v>
      </c>
      <c r="L6" s="71" t="s">
        <v>995</v>
      </c>
      <c r="M6" s="71" t="s">
        <v>996</v>
      </c>
      <c r="N6" s="71" t="s">
        <v>1102</v>
      </c>
      <c r="O6" s="71"/>
    </row>
    <row r="7" spans="1:15" ht="25.5" customHeight="1">
      <c r="A7" s="127"/>
      <c r="B7" s="88" t="s">
        <v>139</v>
      </c>
      <c r="C7" s="76" t="s">
        <v>544</v>
      </c>
      <c r="D7" s="265" t="s">
        <v>543</v>
      </c>
      <c r="E7" s="73" t="s">
        <v>543</v>
      </c>
      <c r="F7" s="76" t="s">
        <v>149</v>
      </c>
      <c r="G7" s="76" t="s">
        <v>799</v>
      </c>
      <c r="H7" s="71" t="s">
        <v>149</v>
      </c>
      <c r="I7" s="71"/>
      <c r="J7" s="23" t="s">
        <v>786</v>
      </c>
      <c r="K7" s="256" t="s">
        <v>1468</v>
      </c>
      <c r="L7" s="71" t="s">
        <v>999</v>
      </c>
      <c r="M7" s="71" t="s">
        <v>999</v>
      </c>
      <c r="N7" s="71" t="s">
        <v>1000</v>
      </c>
      <c r="O7" s="71" t="s">
        <v>560</v>
      </c>
    </row>
    <row r="8" spans="1:15" ht="25.5" customHeight="1">
      <c r="A8" s="77"/>
      <c r="B8" s="89" t="s">
        <v>7</v>
      </c>
      <c r="C8" s="71" t="s">
        <v>6</v>
      </c>
      <c r="D8" s="72" t="s">
        <v>461</v>
      </c>
      <c r="E8" s="72" t="s">
        <v>934</v>
      </c>
      <c r="F8" s="76" t="s">
        <v>188</v>
      </c>
      <c r="G8" s="76" t="s">
        <v>800</v>
      </c>
      <c r="H8" s="71" t="s">
        <v>188</v>
      </c>
      <c r="I8" s="72" t="s">
        <v>652</v>
      </c>
      <c r="J8" s="23" t="s">
        <v>647</v>
      </c>
      <c r="K8" s="256" t="s">
        <v>1075</v>
      </c>
      <c r="L8" s="71" t="s">
        <v>1247</v>
      </c>
      <c r="M8" s="71" t="s">
        <v>1001</v>
      </c>
      <c r="N8" s="71" t="s">
        <v>1002</v>
      </c>
      <c r="O8" s="71" t="s">
        <v>560</v>
      </c>
    </row>
    <row r="9" spans="1:15" ht="25.5" customHeight="1">
      <c r="A9" s="77"/>
      <c r="B9" s="89" t="s">
        <v>7</v>
      </c>
      <c r="C9" s="71" t="s">
        <v>5</v>
      </c>
      <c r="D9" s="72" t="s">
        <v>462</v>
      </c>
      <c r="E9" s="72" t="s">
        <v>933</v>
      </c>
      <c r="F9" s="76" t="s">
        <v>188</v>
      </c>
      <c r="G9" s="76" t="s">
        <v>800</v>
      </c>
      <c r="H9" s="71" t="s">
        <v>188</v>
      </c>
      <c r="I9" s="72" t="s">
        <v>652</v>
      </c>
      <c r="J9" s="23" t="s">
        <v>647</v>
      </c>
      <c r="K9" s="256" t="s">
        <v>1075</v>
      </c>
      <c r="L9" s="71" t="s">
        <v>1247</v>
      </c>
      <c r="M9" s="71" t="s">
        <v>1001</v>
      </c>
      <c r="N9" s="71" t="s">
        <v>1002</v>
      </c>
      <c r="O9" s="71" t="s">
        <v>560</v>
      </c>
    </row>
    <row r="10" spans="1:15" ht="25.5" customHeight="1">
      <c r="A10" s="77"/>
      <c r="B10" s="89" t="s">
        <v>122</v>
      </c>
      <c r="C10" s="76" t="s">
        <v>121</v>
      </c>
      <c r="D10" s="266" t="s">
        <v>483</v>
      </c>
      <c r="E10" s="75" t="s">
        <v>861</v>
      </c>
      <c r="F10" s="76" t="s">
        <v>157</v>
      </c>
      <c r="G10" s="76" t="s">
        <v>801</v>
      </c>
      <c r="H10" s="71" t="s">
        <v>157</v>
      </c>
      <c r="I10" s="71"/>
      <c r="J10" s="23" t="s">
        <v>786</v>
      </c>
      <c r="K10" s="256" t="s">
        <v>1072</v>
      </c>
      <c r="L10" s="71" t="s">
        <v>1003</v>
      </c>
      <c r="M10" s="71" t="s">
        <v>1004</v>
      </c>
      <c r="N10" s="71" t="s">
        <v>1005</v>
      </c>
      <c r="O10" s="71" t="s">
        <v>560</v>
      </c>
    </row>
    <row r="11" spans="1:15" ht="25.5" customHeight="1">
      <c r="A11" s="77"/>
      <c r="B11" s="89" t="s">
        <v>122</v>
      </c>
      <c r="C11" s="76" t="s">
        <v>120</v>
      </c>
      <c r="D11" s="266" t="s">
        <v>484</v>
      </c>
      <c r="E11" s="75" t="s">
        <v>862</v>
      </c>
      <c r="F11" s="76" t="s">
        <v>802</v>
      </c>
      <c r="G11" s="76" t="s">
        <v>803</v>
      </c>
      <c r="H11" s="71" t="s">
        <v>159</v>
      </c>
      <c r="I11" s="71"/>
      <c r="J11" s="23" t="s">
        <v>786</v>
      </c>
      <c r="K11" s="256" t="s">
        <v>1072</v>
      </c>
      <c r="L11" s="71" t="s">
        <v>1003</v>
      </c>
      <c r="M11" s="71" t="s">
        <v>1004</v>
      </c>
      <c r="N11" s="71" t="s">
        <v>1006</v>
      </c>
      <c r="O11" s="71" t="s">
        <v>1007</v>
      </c>
    </row>
    <row r="12" spans="1:15" ht="25.5" customHeight="1">
      <c r="A12" s="77"/>
      <c r="B12" s="89" t="s">
        <v>122</v>
      </c>
      <c r="C12" s="76" t="s">
        <v>119</v>
      </c>
      <c r="D12" s="266" t="s">
        <v>485</v>
      </c>
      <c r="E12" s="75" t="s">
        <v>863</v>
      </c>
      <c r="F12" s="76" t="s">
        <v>157</v>
      </c>
      <c r="G12" s="76" t="s">
        <v>801</v>
      </c>
      <c r="H12" s="71" t="s">
        <v>160</v>
      </c>
      <c r="I12" s="71"/>
      <c r="J12" s="23" t="s">
        <v>786</v>
      </c>
      <c r="K12" s="256" t="s">
        <v>1072</v>
      </c>
      <c r="L12" s="71" t="s">
        <v>1003</v>
      </c>
      <c r="M12" s="71" t="s">
        <v>1004</v>
      </c>
      <c r="N12" s="71" t="s">
        <v>1005</v>
      </c>
      <c r="O12" s="71" t="s">
        <v>560</v>
      </c>
    </row>
    <row r="13" spans="1:15" ht="25.5" customHeight="1">
      <c r="A13" s="77"/>
      <c r="B13" s="89" t="s">
        <v>122</v>
      </c>
      <c r="C13" s="76" t="s">
        <v>118</v>
      </c>
      <c r="D13" s="266" t="s">
        <v>486</v>
      </c>
      <c r="E13" s="75" t="s">
        <v>864</v>
      </c>
      <c r="F13" s="76" t="s">
        <v>157</v>
      </c>
      <c r="G13" s="76" t="s">
        <v>801</v>
      </c>
      <c r="H13" s="71" t="s">
        <v>157</v>
      </c>
      <c r="I13" s="71"/>
      <c r="J13" s="23" t="s">
        <v>786</v>
      </c>
      <c r="K13" s="256" t="s">
        <v>1072</v>
      </c>
      <c r="L13" s="71" t="s">
        <v>1003</v>
      </c>
      <c r="M13" s="71" t="s">
        <v>1004</v>
      </c>
      <c r="N13" s="71" t="s">
        <v>1005</v>
      </c>
      <c r="O13" s="71" t="s">
        <v>560</v>
      </c>
    </row>
    <row r="14" spans="1:15" ht="25.5" customHeight="1">
      <c r="A14" s="77"/>
      <c r="B14" s="89" t="s">
        <v>122</v>
      </c>
      <c r="C14" s="76" t="s">
        <v>117</v>
      </c>
      <c r="D14" s="266" t="s">
        <v>487</v>
      </c>
      <c r="E14" s="75" t="s">
        <v>865</v>
      </c>
      <c r="F14" s="76" t="s">
        <v>157</v>
      </c>
      <c r="G14" s="76" t="s">
        <v>801</v>
      </c>
      <c r="H14" s="71" t="s">
        <v>160</v>
      </c>
      <c r="I14" s="71"/>
      <c r="J14" s="23" t="s">
        <v>786</v>
      </c>
      <c r="K14" s="256" t="s">
        <v>1072</v>
      </c>
      <c r="L14" s="71" t="s">
        <v>1003</v>
      </c>
      <c r="M14" s="71" t="s">
        <v>1004</v>
      </c>
      <c r="N14" s="71" t="s">
        <v>1005</v>
      </c>
      <c r="O14" s="71" t="s">
        <v>560</v>
      </c>
    </row>
    <row r="15" spans="1:15" ht="25.5" customHeight="1">
      <c r="A15" s="77"/>
      <c r="B15" s="89" t="s">
        <v>122</v>
      </c>
      <c r="C15" s="76" t="s">
        <v>116</v>
      </c>
      <c r="D15" s="266" t="s">
        <v>488</v>
      </c>
      <c r="E15" s="75" t="s">
        <v>866</v>
      </c>
      <c r="F15" s="76" t="s">
        <v>157</v>
      </c>
      <c r="G15" s="76" t="s">
        <v>801</v>
      </c>
      <c r="H15" s="71" t="s">
        <v>157</v>
      </c>
      <c r="I15" s="71"/>
      <c r="J15" s="23" t="s">
        <v>786</v>
      </c>
      <c r="K15" s="256" t="s">
        <v>1072</v>
      </c>
      <c r="L15" s="71" t="s">
        <v>1003</v>
      </c>
      <c r="M15" s="71" t="s">
        <v>1004</v>
      </c>
      <c r="N15" s="71" t="s">
        <v>1005</v>
      </c>
      <c r="O15" s="71" t="s">
        <v>560</v>
      </c>
    </row>
    <row r="16" spans="1:15" ht="25.5" customHeight="1">
      <c r="A16" s="77"/>
      <c r="B16" s="89" t="s">
        <v>122</v>
      </c>
      <c r="C16" s="76" t="s">
        <v>115</v>
      </c>
      <c r="D16" s="266" t="s">
        <v>489</v>
      </c>
      <c r="E16" s="75" t="s">
        <v>867</v>
      </c>
      <c r="F16" s="76" t="s">
        <v>157</v>
      </c>
      <c r="G16" s="76" t="s">
        <v>801</v>
      </c>
      <c r="H16" s="71" t="s">
        <v>157</v>
      </c>
      <c r="I16" s="71"/>
      <c r="J16" s="23" t="s">
        <v>786</v>
      </c>
      <c r="K16" s="256" t="s">
        <v>1072</v>
      </c>
      <c r="L16" s="71" t="s">
        <v>1003</v>
      </c>
      <c r="M16" s="71" t="s">
        <v>1004</v>
      </c>
      <c r="N16" s="71" t="s">
        <v>1005</v>
      </c>
      <c r="O16" s="71" t="s">
        <v>560</v>
      </c>
    </row>
    <row r="17" spans="1:15" ht="25.5" customHeight="1">
      <c r="A17" s="77"/>
      <c r="B17" s="89" t="s">
        <v>122</v>
      </c>
      <c r="C17" s="76" t="s">
        <v>114</v>
      </c>
      <c r="D17" s="266" t="s">
        <v>490</v>
      </c>
      <c r="E17" s="75" t="s">
        <v>910</v>
      </c>
      <c r="F17" s="76" t="s">
        <v>909</v>
      </c>
      <c r="G17" s="76" t="s">
        <v>804</v>
      </c>
      <c r="H17" s="71" t="s">
        <v>643</v>
      </c>
      <c r="I17" s="71"/>
      <c r="J17" s="23" t="s">
        <v>786</v>
      </c>
      <c r="K17" s="256" t="s">
        <v>1072</v>
      </c>
      <c r="L17" s="71" t="s">
        <v>1003</v>
      </c>
      <c r="M17" s="71" t="s">
        <v>1004</v>
      </c>
      <c r="N17" s="71" t="s">
        <v>1008</v>
      </c>
      <c r="O17" s="71" t="s">
        <v>560</v>
      </c>
    </row>
    <row r="18" spans="1:15" ht="25.5" customHeight="1">
      <c r="A18" s="77"/>
      <c r="B18" s="89" t="s">
        <v>122</v>
      </c>
      <c r="C18" s="76" t="s">
        <v>113</v>
      </c>
      <c r="D18" s="266" t="s">
        <v>491</v>
      </c>
      <c r="E18" s="75" t="s">
        <v>491</v>
      </c>
      <c r="F18" s="76" t="s">
        <v>805</v>
      </c>
      <c r="G18" s="76" t="s">
        <v>806</v>
      </c>
      <c r="H18" s="71" t="s">
        <v>644</v>
      </c>
      <c r="I18" s="71"/>
      <c r="J18" s="23" t="s">
        <v>786</v>
      </c>
      <c r="K18" s="256" t="s">
        <v>1072</v>
      </c>
      <c r="L18" s="71" t="s">
        <v>1003</v>
      </c>
      <c r="M18" s="71" t="s">
        <v>1004</v>
      </c>
      <c r="N18" s="71" t="s">
        <v>1009</v>
      </c>
      <c r="O18" s="71" t="s">
        <v>560</v>
      </c>
    </row>
    <row r="19" spans="1:15" ht="25.5" customHeight="1">
      <c r="A19" s="77"/>
      <c r="B19" s="89" t="s">
        <v>122</v>
      </c>
      <c r="C19" s="76" t="s">
        <v>112</v>
      </c>
      <c r="D19" s="266" t="s">
        <v>492</v>
      </c>
      <c r="E19" s="75" t="s">
        <v>492</v>
      </c>
      <c r="F19" s="76" t="s">
        <v>805</v>
      </c>
      <c r="G19" s="76" t="s">
        <v>806</v>
      </c>
      <c r="H19" s="71" t="s">
        <v>644</v>
      </c>
      <c r="I19" s="71"/>
      <c r="J19" s="23" t="s">
        <v>786</v>
      </c>
      <c r="K19" s="256" t="s">
        <v>1072</v>
      </c>
      <c r="L19" s="71" t="s">
        <v>1003</v>
      </c>
      <c r="M19" s="71" t="s">
        <v>1004</v>
      </c>
      <c r="N19" s="71" t="s">
        <v>1009</v>
      </c>
      <c r="O19" s="71" t="s">
        <v>560</v>
      </c>
    </row>
    <row r="20" spans="1:15" ht="25.5" customHeight="1">
      <c r="A20" s="77"/>
      <c r="B20" s="89" t="s">
        <v>122</v>
      </c>
      <c r="C20" s="76" t="s">
        <v>111</v>
      </c>
      <c r="D20" s="266" t="s">
        <v>493</v>
      </c>
      <c r="E20" s="75" t="s">
        <v>911</v>
      </c>
      <c r="F20" s="76" t="s">
        <v>909</v>
      </c>
      <c r="G20" s="76" t="s">
        <v>804</v>
      </c>
      <c r="H20" s="71" t="s">
        <v>256</v>
      </c>
      <c r="I20" s="71"/>
      <c r="J20" s="23" t="s">
        <v>786</v>
      </c>
      <c r="K20" s="256" t="s">
        <v>1072</v>
      </c>
      <c r="L20" s="71" t="s">
        <v>1003</v>
      </c>
      <c r="M20" s="71" t="s">
        <v>1004</v>
      </c>
      <c r="N20" s="71" t="s">
        <v>1008</v>
      </c>
      <c r="O20" s="71" t="s">
        <v>560</v>
      </c>
    </row>
    <row r="21" spans="1:15" ht="25.5" customHeight="1">
      <c r="A21" s="77"/>
      <c r="B21" s="89" t="s">
        <v>122</v>
      </c>
      <c r="C21" s="76" t="s">
        <v>110</v>
      </c>
      <c r="D21" s="266" t="s">
        <v>494</v>
      </c>
      <c r="E21" s="75" t="s">
        <v>494</v>
      </c>
      <c r="F21" s="76" t="s">
        <v>147</v>
      </c>
      <c r="G21" s="76" t="s">
        <v>807</v>
      </c>
      <c r="H21" s="71" t="s">
        <v>739</v>
      </c>
      <c r="I21" s="72" t="s">
        <v>740</v>
      </c>
      <c r="J21" s="23" t="s">
        <v>786</v>
      </c>
      <c r="K21" s="256" t="s">
        <v>1072</v>
      </c>
      <c r="L21" s="71" t="s">
        <v>1003</v>
      </c>
      <c r="M21" s="71" t="s">
        <v>1010</v>
      </c>
      <c r="N21" s="71" t="s">
        <v>1011</v>
      </c>
      <c r="O21" s="71" t="s">
        <v>560</v>
      </c>
    </row>
    <row r="22" spans="1:15" ht="25.5" customHeight="1">
      <c r="A22" s="77"/>
      <c r="B22" s="89" t="s">
        <v>122</v>
      </c>
      <c r="C22" s="76" t="s">
        <v>109</v>
      </c>
      <c r="D22" s="266" t="s">
        <v>495</v>
      </c>
      <c r="E22" s="75" t="s">
        <v>695</v>
      </c>
      <c r="F22" s="76" t="s">
        <v>161</v>
      </c>
      <c r="G22" s="76" t="s">
        <v>808</v>
      </c>
      <c r="H22" s="71" t="s">
        <v>161</v>
      </c>
      <c r="I22" s="72" t="s">
        <v>757</v>
      </c>
      <c r="J22" s="23" t="s">
        <v>786</v>
      </c>
      <c r="K22" s="256" t="s">
        <v>1072</v>
      </c>
      <c r="L22" s="71" t="s">
        <v>1003</v>
      </c>
      <c r="M22" s="71" t="s">
        <v>1012</v>
      </c>
      <c r="N22" s="71" t="s">
        <v>1013</v>
      </c>
      <c r="O22" s="71" t="s">
        <v>1014</v>
      </c>
    </row>
    <row r="23" spans="1:15" ht="25.5" customHeight="1">
      <c r="A23" s="77"/>
      <c r="B23" s="89" t="s">
        <v>122</v>
      </c>
      <c r="C23" s="76" t="s">
        <v>108</v>
      </c>
      <c r="D23" s="266" t="s">
        <v>496</v>
      </c>
      <c r="E23" s="75" t="s">
        <v>496</v>
      </c>
      <c r="F23" s="76" t="s">
        <v>805</v>
      </c>
      <c r="G23" s="76" t="s">
        <v>806</v>
      </c>
      <c r="H23" s="71" t="s">
        <v>644</v>
      </c>
      <c r="I23" s="71"/>
      <c r="J23" s="23" t="s">
        <v>786</v>
      </c>
      <c r="K23" s="256" t="s">
        <v>1072</v>
      </c>
      <c r="L23" s="71" t="s">
        <v>1003</v>
      </c>
      <c r="M23" s="71" t="s">
        <v>1004</v>
      </c>
      <c r="N23" s="71" t="s">
        <v>1009</v>
      </c>
      <c r="O23" s="71" t="s">
        <v>560</v>
      </c>
    </row>
    <row r="24" spans="1:15" ht="25.5" customHeight="1">
      <c r="A24" s="77"/>
      <c r="B24" s="89" t="s">
        <v>122</v>
      </c>
      <c r="C24" s="76" t="s">
        <v>107</v>
      </c>
      <c r="D24" s="266" t="s">
        <v>497</v>
      </c>
      <c r="E24" s="75" t="s">
        <v>497</v>
      </c>
      <c r="F24" s="76" t="s">
        <v>805</v>
      </c>
      <c r="G24" s="76" t="s">
        <v>806</v>
      </c>
      <c r="H24" s="71" t="s">
        <v>644</v>
      </c>
      <c r="I24" s="71"/>
      <c r="J24" s="23" t="s">
        <v>786</v>
      </c>
      <c r="K24" s="256" t="s">
        <v>1072</v>
      </c>
      <c r="L24" s="71" t="s">
        <v>1003</v>
      </c>
      <c r="M24" s="71" t="s">
        <v>1004</v>
      </c>
      <c r="N24" s="71" t="s">
        <v>1009</v>
      </c>
      <c r="O24" s="71" t="s">
        <v>560</v>
      </c>
    </row>
    <row r="25" spans="1:15" ht="25.5" customHeight="1">
      <c r="A25" s="77"/>
      <c r="B25" s="89" t="s">
        <v>122</v>
      </c>
      <c r="C25" s="76" t="s">
        <v>106</v>
      </c>
      <c r="D25" s="266" t="s">
        <v>498</v>
      </c>
      <c r="E25" s="75" t="s">
        <v>868</v>
      </c>
      <c r="F25" s="76" t="s">
        <v>802</v>
      </c>
      <c r="G25" s="76" t="s">
        <v>803</v>
      </c>
      <c r="H25" s="71" t="s">
        <v>641</v>
      </c>
      <c r="I25" s="71"/>
      <c r="J25" s="23" t="s">
        <v>786</v>
      </c>
      <c r="K25" s="256" t="s">
        <v>1072</v>
      </c>
      <c r="L25" s="71" t="s">
        <v>1003</v>
      </c>
      <c r="M25" s="71" t="s">
        <v>1004</v>
      </c>
      <c r="N25" s="71" t="s">
        <v>1006</v>
      </c>
      <c r="O25" s="71" t="s">
        <v>1007</v>
      </c>
    </row>
    <row r="26" spans="1:15" ht="25.5" customHeight="1">
      <c r="A26" s="77"/>
      <c r="B26" s="89" t="s">
        <v>122</v>
      </c>
      <c r="C26" s="76" t="s">
        <v>105</v>
      </c>
      <c r="D26" s="266" t="s">
        <v>463</v>
      </c>
      <c r="E26" s="75" t="s">
        <v>703</v>
      </c>
      <c r="F26" s="76" t="s">
        <v>809</v>
      </c>
      <c r="G26" s="76" t="s">
        <v>810</v>
      </c>
      <c r="H26" s="71" t="s">
        <v>704</v>
      </c>
      <c r="I26" s="71"/>
      <c r="J26" s="23" t="s">
        <v>786</v>
      </c>
      <c r="K26" s="256" t="s">
        <v>1074</v>
      </c>
      <c r="L26" s="71" t="s">
        <v>995</v>
      </c>
      <c r="M26" s="71" t="s">
        <v>1015</v>
      </c>
      <c r="N26" s="71" t="s">
        <v>1016</v>
      </c>
      <c r="O26" s="71" t="s">
        <v>1017</v>
      </c>
    </row>
    <row r="27" spans="1:15" ht="25.5" customHeight="1">
      <c r="A27" s="77"/>
      <c r="B27" s="89" t="s">
        <v>122</v>
      </c>
      <c r="C27" s="71" t="s">
        <v>105</v>
      </c>
      <c r="D27" s="75" t="s">
        <v>463</v>
      </c>
      <c r="E27" s="75" t="s">
        <v>914</v>
      </c>
      <c r="F27" s="76" t="s">
        <v>3</v>
      </c>
      <c r="G27" s="76" t="s">
        <v>811</v>
      </c>
      <c r="H27" s="71" t="s">
        <v>645</v>
      </c>
      <c r="I27" s="71" t="s">
        <v>973</v>
      </c>
      <c r="J27" s="23" t="s">
        <v>647</v>
      </c>
      <c r="K27" s="256" t="s">
        <v>1078</v>
      </c>
      <c r="L27" s="71" t="s">
        <v>981</v>
      </c>
      <c r="M27" s="71" t="s">
        <v>1018</v>
      </c>
      <c r="N27" s="71" t="s">
        <v>1019</v>
      </c>
      <c r="O27" s="71" t="s">
        <v>560</v>
      </c>
    </row>
    <row r="28" spans="1:15" ht="25.5" customHeight="1">
      <c r="A28" s="77"/>
      <c r="B28" s="89" t="s">
        <v>122</v>
      </c>
      <c r="C28" s="76" t="s">
        <v>103</v>
      </c>
      <c r="D28" s="266" t="s">
        <v>500</v>
      </c>
      <c r="E28" s="75" t="s">
        <v>869</v>
      </c>
      <c r="F28" s="76" t="s">
        <v>157</v>
      </c>
      <c r="G28" s="76" t="s">
        <v>812</v>
      </c>
      <c r="H28" s="71" t="s">
        <v>646</v>
      </c>
      <c r="I28" s="71"/>
      <c r="J28" s="23" t="s">
        <v>786</v>
      </c>
      <c r="K28" s="256" t="s">
        <v>1072</v>
      </c>
      <c r="L28" s="71" t="s">
        <v>1003</v>
      </c>
      <c r="M28" s="71" t="s">
        <v>1004</v>
      </c>
      <c r="N28" s="71" t="s">
        <v>1020</v>
      </c>
      <c r="O28" s="71" t="s">
        <v>560</v>
      </c>
    </row>
    <row r="29" spans="1:15" ht="25.5" customHeight="1">
      <c r="A29" s="77"/>
      <c r="B29" s="89" t="s">
        <v>122</v>
      </c>
      <c r="C29" s="76" t="s">
        <v>98</v>
      </c>
      <c r="D29" s="266" t="s">
        <v>503</v>
      </c>
      <c r="E29" s="75" t="s">
        <v>871</v>
      </c>
      <c r="F29" s="76" t="s">
        <v>805</v>
      </c>
      <c r="G29" s="76" t="s">
        <v>806</v>
      </c>
      <c r="H29" s="71" t="s">
        <v>648</v>
      </c>
      <c r="I29" s="71"/>
      <c r="J29" s="23" t="s">
        <v>786</v>
      </c>
      <c r="K29" s="256" t="s">
        <v>1072</v>
      </c>
      <c r="L29" s="71" t="s">
        <v>1003</v>
      </c>
      <c r="M29" s="71" t="s">
        <v>1004</v>
      </c>
      <c r="N29" s="71" t="s">
        <v>1009</v>
      </c>
      <c r="O29" s="71" t="s">
        <v>560</v>
      </c>
    </row>
    <row r="30" spans="1:15" ht="25.5" customHeight="1">
      <c r="A30" s="77"/>
      <c r="B30" s="89" t="s">
        <v>122</v>
      </c>
      <c r="C30" s="76" t="s">
        <v>97</v>
      </c>
      <c r="D30" s="266" t="s">
        <v>504</v>
      </c>
      <c r="E30" s="75" t="s">
        <v>504</v>
      </c>
      <c r="F30" s="76" t="s">
        <v>805</v>
      </c>
      <c r="G30" s="76" t="s">
        <v>806</v>
      </c>
      <c r="H30" s="71" t="s">
        <v>168</v>
      </c>
      <c r="I30" s="71"/>
      <c r="J30" s="23" t="s">
        <v>786</v>
      </c>
      <c r="K30" s="256" t="s">
        <v>1072</v>
      </c>
      <c r="L30" s="71" t="s">
        <v>1003</v>
      </c>
      <c r="M30" s="71" t="s">
        <v>1004</v>
      </c>
      <c r="N30" s="71" t="s">
        <v>1009</v>
      </c>
      <c r="O30" s="71" t="s">
        <v>560</v>
      </c>
    </row>
    <row r="31" spans="1:15" ht="25.5" customHeight="1">
      <c r="A31" s="77"/>
      <c r="B31" s="89" t="s">
        <v>122</v>
      </c>
      <c r="C31" s="76" t="s">
        <v>96</v>
      </c>
      <c r="D31" s="266" t="s">
        <v>505</v>
      </c>
      <c r="E31" s="75" t="s">
        <v>696</v>
      </c>
      <c r="F31" s="76" t="s">
        <v>161</v>
      </c>
      <c r="G31" s="76" t="s">
        <v>808</v>
      </c>
      <c r="H31" s="71" t="s">
        <v>169</v>
      </c>
      <c r="I31" s="71"/>
      <c r="J31" s="23" t="s">
        <v>786</v>
      </c>
      <c r="K31" s="256" t="s">
        <v>1072</v>
      </c>
      <c r="L31" s="71" t="s">
        <v>1003</v>
      </c>
      <c r="M31" s="71" t="s">
        <v>1012</v>
      </c>
      <c r="N31" s="71" t="s">
        <v>1013</v>
      </c>
      <c r="O31" s="71" t="s">
        <v>1014</v>
      </c>
    </row>
    <row r="32" spans="1:15" ht="25.5" customHeight="1">
      <c r="A32" s="77"/>
      <c r="B32" s="89" t="s">
        <v>122</v>
      </c>
      <c r="C32" s="76" t="s">
        <v>95</v>
      </c>
      <c r="D32" s="266" t="s">
        <v>506</v>
      </c>
      <c r="E32" s="75" t="s">
        <v>907</v>
      </c>
      <c r="F32" s="76" t="s">
        <v>649</v>
      </c>
      <c r="G32" s="76" t="s">
        <v>813</v>
      </c>
      <c r="H32" s="71" t="s">
        <v>167</v>
      </c>
      <c r="I32" s="71" t="s">
        <v>908</v>
      </c>
      <c r="J32" s="23" t="s">
        <v>786</v>
      </c>
      <c r="K32" s="256" t="s">
        <v>1072</v>
      </c>
      <c r="L32" s="71" t="s">
        <v>1003</v>
      </c>
      <c r="M32" s="71" t="s">
        <v>1004</v>
      </c>
      <c r="N32" s="71" t="s">
        <v>560</v>
      </c>
      <c r="O32" s="71" t="s">
        <v>1021</v>
      </c>
    </row>
    <row r="33" spans="1:15" ht="25.5" customHeight="1">
      <c r="A33" s="77"/>
      <c r="B33" s="89" t="s">
        <v>122</v>
      </c>
      <c r="C33" s="76" t="s">
        <v>872</v>
      </c>
      <c r="D33" s="266" t="s">
        <v>882</v>
      </c>
      <c r="E33" s="75" t="s">
        <v>873</v>
      </c>
      <c r="F33" s="76" t="s">
        <v>802</v>
      </c>
      <c r="G33" s="76" t="s">
        <v>803</v>
      </c>
      <c r="H33" s="76" t="s">
        <v>802</v>
      </c>
      <c r="I33" s="71"/>
      <c r="J33" s="23" t="s">
        <v>786</v>
      </c>
      <c r="K33" s="256" t="s">
        <v>1072</v>
      </c>
      <c r="L33" s="71" t="s">
        <v>1003</v>
      </c>
      <c r="M33" s="71" t="s">
        <v>1004</v>
      </c>
      <c r="N33" s="71" t="s">
        <v>1006</v>
      </c>
      <c r="O33" s="71" t="s">
        <v>1007</v>
      </c>
    </row>
    <row r="34" spans="1:15" ht="25.5" customHeight="1">
      <c r="A34" s="77"/>
      <c r="B34" s="89" t="s">
        <v>122</v>
      </c>
      <c r="C34" s="76" t="s">
        <v>874</v>
      </c>
      <c r="D34" s="266" t="s">
        <v>882</v>
      </c>
      <c r="E34" s="75" t="s">
        <v>875</v>
      </c>
      <c r="F34" s="76" t="s">
        <v>802</v>
      </c>
      <c r="G34" s="76" t="s">
        <v>803</v>
      </c>
      <c r="H34" s="76" t="s">
        <v>802</v>
      </c>
      <c r="I34" s="71"/>
      <c r="J34" s="23" t="s">
        <v>786</v>
      </c>
      <c r="K34" s="256" t="s">
        <v>1072</v>
      </c>
      <c r="L34" s="71" t="s">
        <v>1003</v>
      </c>
      <c r="M34" s="71" t="s">
        <v>1004</v>
      </c>
      <c r="N34" s="71" t="s">
        <v>1006</v>
      </c>
      <c r="O34" s="71" t="s">
        <v>1007</v>
      </c>
    </row>
    <row r="35" spans="1:15" ht="25.5" customHeight="1">
      <c r="A35" s="77"/>
      <c r="B35" s="89" t="s">
        <v>122</v>
      </c>
      <c r="C35" s="76" t="s">
        <v>876</v>
      </c>
      <c r="D35" s="266" t="s">
        <v>882</v>
      </c>
      <c r="E35" s="75" t="s">
        <v>877</v>
      </c>
      <c r="F35" s="76" t="s">
        <v>802</v>
      </c>
      <c r="G35" s="76" t="s">
        <v>803</v>
      </c>
      <c r="H35" s="76" t="s">
        <v>802</v>
      </c>
      <c r="I35" s="71"/>
      <c r="J35" s="23" t="s">
        <v>786</v>
      </c>
      <c r="K35" s="256" t="s">
        <v>1072</v>
      </c>
      <c r="L35" s="71" t="s">
        <v>1003</v>
      </c>
      <c r="M35" s="71" t="s">
        <v>1004</v>
      </c>
      <c r="N35" s="71" t="s">
        <v>1006</v>
      </c>
      <c r="O35" s="71" t="s">
        <v>1007</v>
      </c>
    </row>
    <row r="36" spans="1:15" ht="25.5" customHeight="1">
      <c r="A36" s="77"/>
      <c r="B36" s="89" t="s">
        <v>122</v>
      </c>
      <c r="C36" s="76" t="s">
        <v>878</v>
      </c>
      <c r="D36" s="266" t="s">
        <v>882</v>
      </c>
      <c r="E36" s="75" t="s">
        <v>879</v>
      </c>
      <c r="F36" s="76" t="s">
        <v>802</v>
      </c>
      <c r="G36" s="76" t="s">
        <v>803</v>
      </c>
      <c r="H36" s="76" t="s">
        <v>802</v>
      </c>
      <c r="I36" s="71"/>
      <c r="J36" s="23" t="s">
        <v>786</v>
      </c>
      <c r="K36" s="256" t="s">
        <v>1072</v>
      </c>
      <c r="L36" s="71" t="s">
        <v>1003</v>
      </c>
      <c r="M36" s="71" t="s">
        <v>1004</v>
      </c>
      <c r="N36" s="71" t="s">
        <v>1006</v>
      </c>
      <c r="O36" s="71" t="s">
        <v>1007</v>
      </c>
    </row>
    <row r="37" spans="1:15" ht="25.5" customHeight="1">
      <c r="A37" s="77"/>
      <c r="B37" s="89" t="s">
        <v>122</v>
      </c>
      <c r="C37" s="76" t="s">
        <v>880</v>
      </c>
      <c r="D37" s="266" t="s">
        <v>882</v>
      </c>
      <c r="E37" s="75" t="s">
        <v>881</v>
      </c>
      <c r="F37" s="76" t="s">
        <v>802</v>
      </c>
      <c r="G37" s="76" t="s">
        <v>803</v>
      </c>
      <c r="H37" s="76" t="s">
        <v>802</v>
      </c>
      <c r="I37" s="71"/>
      <c r="J37" s="23" t="s">
        <v>786</v>
      </c>
      <c r="K37" s="256" t="s">
        <v>1072</v>
      </c>
      <c r="L37" s="71" t="s">
        <v>1003</v>
      </c>
      <c r="M37" s="71" t="s">
        <v>1004</v>
      </c>
      <c r="N37" s="71" t="s">
        <v>1006</v>
      </c>
      <c r="O37" s="71" t="s">
        <v>1007</v>
      </c>
    </row>
    <row r="38" spans="1:15" s="140" customFormat="1" ht="25.5" customHeight="1">
      <c r="A38" s="136"/>
      <c r="B38" s="137" t="s">
        <v>122</v>
      </c>
      <c r="C38" s="76" t="s">
        <v>759</v>
      </c>
      <c r="D38" s="266" t="s">
        <v>882</v>
      </c>
      <c r="E38" s="138" t="s">
        <v>939</v>
      </c>
      <c r="F38" s="76" t="s">
        <v>147</v>
      </c>
      <c r="G38" s="76" t="s">
        <v>937</v>
      </c>
      <c r="H38" s="76" t="s">
        <v>147</v>
      </c>
      <c r="I38" s="76"/>
      <c r="J38" s="139" t="s">
        <v>786</v>
      </c>
      <c r="K38" s="256" t="s">
        <v>1072</v>
      </c>
      <c r="L38" s="71" t="s">
        <v>1003</v>
      </c>
      <c r="M38" s="71" t="s">
        <v>1010</v>
      </c>
      <c r="N38" s="71" t="s">
        <v>1022</v>
      </c>
      <c r="O38" s="71" t="s">
        <v>560</v>
      </c>
    </row>
    <row r="39" spans="1:15" s="140" customFormat="1" ht="25.5" customHeight="1">
      <c r="A39" s="136"/>
      <c r="B39" s="137" t="s">
        <v>122</v>
      </c>
      <c r="C39" s="76" t="s">
        <v>936</v>
      </c>
      <c r="D39" s="266" t="s">
        <v>882</v>
      </c>
      <c r="E39" s="138" t="s">
        <v>940</v>
      </c>
      <c r="F39" s="76" t="s">
        <v>147</v>
      </c>
      <c r="G39" s="76" t="s">
        <v>937</v>
      </c>
      <c r="H39" s="76" t="s">
        <v>938</v>
      </c>
      <c r="I39" s="76"/>
      <c r="J39" s="139" t="s">
        <v>786</v>
      </c>
      <c r="K39" s="256" t="s">
        <v>1072</v>
      </c>
      <c r="L39" s="71" t="s">
        <v>1003</v>
      </c>
      <c r="M39" s="71" t="s">
        <v>1010</v>
      </c>
      <c r="N39" s="71" t="s">
        <v>1022</v>
      </c>
      <c r="O39" s="71" t="s">
        <v>560</v>
      </c>
    </row>
    <row r="40" spans="1:15" s="140" customFormat="1" ht="25.5" customHeight="1">
      <c r="A40" s="136"/>
      <c r="B40" s="137" t="s">
        <v>122</v>
      </c>
      <c r="C40" s="76" t="s">
        <v>770</v>
      </c>
      <c r="D40" s="266" t="s">
        <v>882</v>
      </c>
      <c r="E40" s="138" t="s">
        <v>941</v>
      </c>
      <c r="F40" s="76" t="s">
        <v>147</v>
      </c>
      <c r="G40" s="76" t="s">
        <v>937</v>
      </c>
      <c r="H40" s="76" t="s">
        <v>938</v>
      </c>
      <c r="I40" s="76"/>
      <c r="J40" s="139" t="s">
        <v>786</v>
      </c>
      <c r="K40" s="256" t="s">
        <v>1072</v>
      </c>
      <c r="L40" s="71" t="s">
        <v>1003</v>
      </c>
      <c r="M40" s="71" t="s">
        <v>1010</v>
      </c>
      <c r="N40" s="71" t="s">
        <v>1022</v>
      </c>
      <c r="O40" s="71" t="s">
        <v>560</v>
      </c>
    </row>
    <row r="41" spans="1:15" s="140" customFormat="1" ht="25.5" customHeight="1">
      <c r="A41" s="136"/>
      <c r="B41" s="137" t="s">
        <v>122</v>
      </c>
      <c r="C41" s="76" t="s">
        <v>773</v>
      </c>
      <c r="D41" s="266" t="s">
        <v>882</v>
      </c>
      <c r="E41" s="138" t="s">
        <v>942</v>
      </c>
      <c r="F41" s="76" t="s">
        <v>147</v>
      </c>
      <c r="G41" s="76" t="s">
        <v>937</v>
      </c>
      <c r="H41" s="76" t="s">
        <v>147</v>
      </c>
      <c r="I41" s="76"/>
      <c r="J41" s="139" t="s">
        <v>786</v>
      </c>
      <c r="K41" s="256" t="s">
        <v>1072</v>
      </c>
      <c r="L41" s="71" t="s">
        <v>1003</v>
      </c>
      <c r="M41" s="71" t="s">
        <v>1010</v>
      </c>
      <c r="N41" s="71" t="s">
        <v>1022</v>
      </c>
      <c r="O41" s="71" t="s">
        <v>560</v>
      </c>
    </row>
    <row r="42" spans="1:15" ht="25.5" customHeight="1">
      <c r="B42" s="88" t="s">
        <v>136</v>
      </c>
      <c r="C42" s="71" t="s">
        <v>135</v>
      </c>
      <c r="D42" s="75" t="s">
        <v>465</v>
      </c>
      <c r="E42" s="75" t="s">
        <v>465</v>
      </c>
      <c r="F42" s="76" t="s">
        <v>3</v>
      </c>
      <c r="G42" s="76" t="s">
        <v>811</v>
      </c>
      <c r="H42" s="71" t="s">
        <v>152</v>
      </c>
      <c r="I42" s="71" t="s">
        <v>973</v>
      </c>
      <c r="J42" s="23" t="s">
        <v>647</v>
      </c>
      <c r="K42" s="256" t="s">
        <v>1078</v>
      </c>
      <c r="L42" s="71" t="s">
        <v>981</v>
      </c>
      <c r="M42" s="71" t="s">
        <v>1018</v>
      </c>
      <c r="N42" s="71" t="s">
        <v>1019</v>
      </c>
      <c r="O42" s="71" t="s">
        <v>560</v>
      </c>
    </row>
    <row r="43" spans="1:15" ht="25.5" customHeight="1">
      <c r="B43" s="88" t="s">
        <v>136</v>
      </c>
      <c r="C43" s="71" t="s">
        <v>8</v>
      </c>
      <c r="D43" s="75" t="s">
        <v>466</v>
      </c>
      <c r="E43" s="75" t="s">
        <v>466</v>
      </c>
      <c r="F43" s="76" t="s">
        <v>814</v>
      </c>
      <c r="G43" s="76" t="s">
        <v>815</v>
      </c>
      <c r="H43" s="71" t="s">
        <v>154</v>
      </c>
      <c r="I43" s="70"/>
      <c r="J43" s="23" t="s">
        <v>647</v>
      </c>
      <c r="K43" s="256" t="s">
        <v>1078</v>
      </c>
      <c r="L43" s="71" t="s">
        <v>981</v>
      </c>
      <c r="M43" s="71" t="s">
        <v>1018</v>
      </c>
      <c r="N43" s="71" t="s">
        <v>1023</v>
      </c>
      <c r="O43" s="71" t="s">
        <v>560</v>
      </c>
    </row>
    <row r="44" spans="1:15" ht="25.5" customHeight="1">
      <c r="B44" s="88" t="s">
        <v>136</v>
      </c>
      <c r="C44" s="71" t="s">
        <v>153</v>
      </c>
      <c r="D44" s="75" t="s">
        <v>467</v>
      </c>
      <c r="E44" s="75" t="s">
        <v>647</v>
      </c>
      <c r="F44" s="76" t="s">
        <v>3</v>
      </c>
      <c r="G44" s="76" t="s">
        <v>811</v>
      </c>
      <c r="H44" s="71" t="s">
        <v>3</v>
      </c>
      <c r="I44" s="70" t="s">
        <v>921</v>
      </c>
      <c r="J44" s="23" t="s">
        <v>647</v>
      </c>
      <c r="K44" s="256" t="s">
        <v>1078</v>
      </c>
      <c r="L44" s="71" t="s">
        <v>981</v>
      </c>
      <c r="M44" s="71" t="s">
        <v>1018</v>
      </c>
      <c r="N44" s="71" t="s">
        <v>1019</v>
      </c>
      <c r="O44" s="71" t="s">
        <v>560</v>
      </c>
    </row>
    <row r="45" spans="1:15" ht="25.5" customHeight="1">
      <c r="B45" s="88" t="s">
        <v>136</v>
      </c>
      <c r="C45" s="76" t="s">
        <v>134</v>
      </c>
      <c r="D45" s="266" t="s">
        <v>468</v>
      </c>
      <c r="E45" s="141" t="s">
        <v>956</v>
      </c>
      <c r="F45" s="76" t="s">
        <v>337</v>
      </c>
      <c r="G45" s="76" t="s">
        <v>954</v>
      </c>
      <c r="H45" s="71" t="s">
        <v>337</v>
      </c>
      <c r="I45" s="70"/>
      <c r="J45" s="23" t="s">
        <v>786</v>
      </c>
      <c r="K45" s="256" t="s">
        <v>1077</v>
      </c>
      <c r="L45" s="71" t="s">
        <v>1024</v>
      </c>
      <c r="M45" s="71" t="s">
        <v>1025</v>
      </c>
      <c r="N45" s="71" t="s">
        <v>1026</v>
      </c>
      <c r="O45" s="71" t="s">
        <v>1027</v>
      </c>
    </row>
    <row r="46" spans="1:15" ht="25.5" customHeight="1">
      <c r="B46" s="88" t="s">
        <v>136</v>
      </c>
      <c r="C46" s="71" t="s">
        <v>133</v>
      </c>
      <c r="D46" s="75" t="s">
        <v>469</v>
      </c>
      <c r="E46" s="75" t="s">
        <v>920</v>
      </c>
      <c r="F46" s="76" t="s">
        <v>3</v>
      </c>
      <c r="G46" s="76" t="s">
        <v>811</v>
      </c>
      <c r="H46" s="71" t="s">
        <v>3</v>
      </c>
      <c r="I46" s="71" t="s">
        <v>973</v>
      </c>
      <c r="J46" s="23" t="s">
        <v>647</v>
      </c>
      <c r="K46" s="256" t="s">
        <v>1078</v>
      </c>
      <c r="L46" s="71" t="s">
        <v>981</v>
      </c>
      <c r="M46" s="71" t="s">
        <v>1018</v>
      </c>
      <c r="N46" s="71" t="s">
        <v>1019</v>
      </c>
      <c r="O46" s="71" t="s">
        <v>560</v>
      </c>
    </row>
    <row r="47" spans="1:15" ht="25.5" customHeight="1">
      <c r="B47" s="88" t="s">
        <v>136</v>
      </c>
      <c r="C47" s="71" t="s">
        <v>132</v>
      </c>
      <c r="D47" s="75" t="s">
        <v>470</v>
      </c>
      <c r="E47" s="75" t="s">
        <v>647</v>
      </c>
      <c r="F47" s="76" t="s">
        <v>337</v>
      </c>
      <c r="G47" s="76" t="s">
        <v>954</v>
      </c>
      <c r="H47" s="71" t="s">
        <v>337</v>
      </c>
      <c r="I47" s="70" t="s">
        <v>955</v>
      </c>
      <c r="J47" s="23" t="s">
        <v>647</v>
      </c>
      <c r="K47" s="256" t="s">
        <v>1077</v>
      </c>
      <c r="L47" s="71" t="s">
        <v>1024</v>
      </c>
      <c r="M47" s="71" t="s">
        <v>1025</v>
      </c>
      <c r="N47" s="71" t="s">
        <v>1026</v>
      </c>
      <c r="O47" s="71" t="s">
        <v>1027</v>
      </c>
    </row>
    <row r="48" spans="1:15" ht="25.5" customHeight="1">
      <c r="B48" s="88" t="s">
        <v>136</v>
      </c>
      <c r="C48" s="71" t="s">
        <v>131</v>
      </c>
      <c r="D48" s="75" t="s">
        <v>471</v>
      </c>
      <c r="E48" s="75" t="s">
        <v>919</v>
      </c>
      <c r="F48" s="76" t="s">
        <v>3</v>
      </c>
      <c r="G48" s="76" t="s">
        <v>811</v>
      </c>
      <c r="H48" s="71" t="s">
        <v>3</v>
      </c>
      <c r="I48" s="71" t="s">
        <v>973</v>
      </c>
      <c r="J48" s="23" t="s">
        <v>647</v>
      </c>
      <c r="K48" s="256" t="s">
        <v>1078</v>
      </c>
      <c r="L48" s="71" t="s">
        <v>981</v>
      </c>
      <c r="M48" s="71" t="s">
        <v>1018</v>
      </c>
      <c r="N48" s="71" t="s">
        <v>1019</v>
      </c>
      <c r="O48" s="71" t="s">
        <v>560</v>
      </c>
    </row>
    <row r="49" spans="1:16381" ht="25.5" customHeight="1">
      <c r="B49" s="88" t="s">
        <v>136</v>
      </c>
      <c r="C49" s="71" t="s">
        <v>130</v>
      </c>
      <c r="D49" s="75" t="s">
        <v>472</v>
      </c>
      <c r="E49" s="75" t="s">
        <v>918</v>
      </c>
      <c r="F49" s="76" t="s">
        <v>3</v>
      </c>
      <c r="G49" s="76" t="s">
        <v>811</v>
      </c>
      <c r="H49" s="71" t="s">
        <v>653</v>
      </c>
      <c r="I49" s="71" t="s">
        <v>973</v>
      </c>
      <c r="J49" s="23" t="s">
        <v>647</v>
      </c>
      <c r="K49" s="256" t="s">
        <v>1078</v>
      </c>
      <c r="L49" s="71" t="s">
        <v>981</v>
      </c>
      <c r="M49" s="71" t="s">
        <v>1018</v>
      </c>
      <c r="N49" s="71" t="s">
        <v>1019</v>
      </c>
      <c r="O49" s="71" t="s">
        <v>560</v>
      </c>
    </row>
    <row r="50" spans="1:16381" ht="25.5" customHeight="1">
      <c r="B50" s="88" t="s">
        <v>136</v>
      </c>
      <c r="C50" s="71" t="s">
        <v>129</v>
      </c>
      <c r="D50" s="75" t="s">
        <v>473</v>
      </c>
      <c r="E50" s="75" t="s">
        <v>917</v>
      </c>
      <c r="F50" s="76" t="s">
        <v>3</v>
      </c>
      <c r="G50" s="76" t="s">
        <v>811</v>
      </c>
      <c r="H50" s="71" t="s">
        <v>654</v>
      </c>
      <c r="I50" s="71" t="s">
        <v>973</v>
      </c>
      <c r="J50" s="23" t="s">
        <v>647</v>
      </c>
      <c r="K50" s="256" t="s">
        <v>1078</v>
      </c>
      <c r="L50" s="71" t="s">
        <v>981</v>
      </c>
      <c r="M50" s="71" t="s">
        <v>1018</v>
      </c>
      <c r="N50" s="71" t="s">
        <v>1019</v>
      </c>
      <c r="O50" s="71" t="s">
        <v>560</v>
      </c>
    </row>
    <row r="51" spans="1:16381" ht="25.5" customHeight="1">
      <c r="B51" s="88" t="s">
        <v>136</v>
      </c>
      <c r="C51" s="71" t="s">
        <v>128</v>
      </c>
      <c r="D51" s="75" t="s">
        <v>474</v>
      </c>
      <c r="E51" s="75" t="s">
        <v>647</v>
      </c>
      <c r="F51" s="76" t="s">
        <v>816</v>
      </c>
      <c r="G51" s="76" t="s">
        <v>817</v>
      </c>
      <c r="H51" s="71" t="s">
        <v>658</v>
      </c>
      <c r="I51" s="72" t="s">
        <v>923</v>
      </c>
      <c r="J51" s="23" t="s">
        <v>647</v>
      </c>
      <c r="K51" s="256" t="s">
        <v>1078</v>
      </c>
      <c r="L51" s="71" t="s">
        <v>981</v>
      </c>
      <c r="M51" s="71" t="s">
        <v>980</v>
      </c>
      <c r="N51" s="71" t="s">
        <v>982</v>
      </c>
      <c r="O51" s="71" t="s">
        <v>560</v>
      </c>
    </row>
    <row r="52" spans="1:16381" ht="25.5" customHeight="1">
      <c r="B52" s="88" t="s">
        <v>136</v>
      </c>
      <c r="C52" s="71" t="s">
        <v>127</v>
      </c>
      <c r="D52" s="75" t="s">
        <v>475</v>
      </c>
      <c r="E52" s="75" t="s">
        <v>916</v>
      </c>
      <c r="F52" s="76" t="s">
        <v>3</v>
      </c>
      <c r="G52" s="76" t="s">
        <v>811</v>
      </c>
      <c r="H52" s="71" t="s">
        <v>659</v>
      </c>
      <c r="I52" s="71" t="s">
        <v>973</v>
      </c>
      <c r="J52" s="23" t="s">
        <v>647</v>
      </c>
      <c r="K52" s="256" t="s">
        <v>1078</v>
      </c>
      <c r="L52" s="71" t="s">
        <v>981</v>
      </c>
      <c r="M52" s="71" t="s">
        <v>1018</v>
      </c>
      <c r="N52" s="71" t="s">
        <v>1019</v>
      </c>
      <c r="O52" s="71" t="s">
        <v>560</v>
      </c>
    </row>
    <row r="53" spans="1:16381" ht="25.5" customHeight="1">
      <c r="B53" s="88" t="s">
        <v>136</v>
      </c>
      <c r="C53" s="71" t="s">
        <v>126</v>
      </c>
      <c r="D53" s="75" t="s">
        <v>476</v>
      </c>
      <c r="E53" s="75" t="s">
        <v>915</v>
      </c>
      <c r="F53" s="76" t="s">
        <v>3</v>
      </c>
      <c r="G53" s="76" t="s">
        <v>811</v>
      </c>
      <c r="H53" s="71" t="s">
        <v>3</v>
      </c>
      <c r="I53" s="71" t="s">
        <v>973</v>
      </c>
      <c r="J53" s="23" t="s">
        <v>647</v>
      </c>
      <c r="K53" s="256" t="s">
        <v>1078</v>
      </c>
      <c r="L53" s="71" t="s">
        <v>981</v>
      </c>
      <c r="M53" s="71" t="s">
        <v>1018</v>
      </c>
      <c r="N53" s="71" t="s">
        <v>1019</v>
      </c>
      <c r="O53" s="71" t="s">
        <v>560</v>
      </c>
    </row>
    <row r="54" spans="1:16381" ht="25.5" customHeight="1">
      <c r="B54" s="88" t="s">
        <v>136</v>
      </c>
      <c r="C54" s="71" t="s">
        <v>660</v>
      </c>
      <c r="D54" s="75" t="s">
        <v>478</v>
      </c>
      <c r="E54" s="75" t="s">
        <v>951</v>
      </c>
      <c r="F54" s="76" t="s">
        <v>3</v>
      </c>
      <c r="G54" s="76" t="s">
        <v>811</v>
      </c>
      <c r="H54" s="71" t="s">
        <v>3</v>
      </c>
      <c r="I54" s="71" t="s">
        <v>687</v>
      </c>
      <c r="J54" s="23" t="s">
        <v>647</v>
      </c>
      <c r="K54" s="256" t="s">
        <v>1078</v>
      </c>
      <c r="L54" s="71" t="s">
        <v>981</v>
      </c>
      <c r="M54" s="71" t="s">
        <v>1018</v>
      </c>
      <c r="N54" s="71" t="s">
        <v>1019</v>
      </c>
      <c r="O54" s="71" t="s">
        <v>560</v>
      </c>
    </row>
    <row r="55" spans="1:16381" ht="25.5" customHeight="1">
      <c r="B55" s="88" t="s">
        <v>136</v>
      </c>
      <c r="C55" s="71" t="s">
        <v>124</v>
      </c>
      <c r="D55" s="75" t="s">
        <v>479</v>
      </c>
      <c r="E55" s="75" t="s">
        <v>479</v>
      </c>
      <c r="F55" s="76" t="s">
        <v>3</v>
      </c>
      <c r="G55" s="76" t="s">
        <v>811</v>
      </c>
      <c r="H55" s="71" t="s">
        <v>3</v>
      </c>
      <c r="I55" s="71" t="s">
        <v>973</v>
      </c>
      <c r="J55" s="23" t="s">
        <v>647</v>
      </c>
      <c r="K55" s="256" t="s">
        <v>1078</v>
      </c>
      <c r="L55" s="71" t="s">
        <v>981</v>
      </c>
      <c r="M55" s="71" t="s">
        <v>1018</v>
      </c>
      <c r="N55" s="71" t="s">
        <v>1019</v>
      </c>
      <c r="O55" s="71" t="s">
        <v>560</v>
      </c>
    </row>
    <row r="56" spans="1:16381" ht="25.5" customHeight="1">
      <c r="B56" s="88" t="s">
        <v>136</v>
      </c>
      <c r="C56" s="76" t="s">
        <v>1414</v>
      </c>
      <c r="D56" s="266" t="s">
        <v>480</v>
      </c>
      <c r="E56" s="75" t="s">
        <v>1415</v>
      </c>
      <c r="F56" s="76" t="s">
        <v>809</v>
      </c>
      <c r="G56" s="76" t="s">
        <v>810</v>
      </c>
      <c r="H56" s="71" t="s">
        <v>661</v>
      </c>
      <c r="I56" s="70"/>
      <c r="J56" s="23" t="s">
        <v>786</v>
      </c>
      <c r="K56" s="256" t="s">
        <v>1074</v>
      </c>
      <c r="L56" s="71" t="s">
        <v>995</v>
      </c>
      <c r="M56" s="71" t="s">
        <v>1015</v>
      </c>
      <c r="N56" s="71" t="s">
        <v>1016</v>
      </c>
      <c r="O56" s="71" t="s">
        <v>1017</v>
      </c>
    </row>
    <row r="57" spans="1:16381" ht="25.5" customHeight="1">
      <c r="B57" s="88" t="s">
        <v>136</v>
      </c>
      <c r="C57" s="71" t="s">
        <v>662</v>
      </c>
      <c r="D57" s="75" t="s">
        <v>481</v>
      </c>
      <c r="E57" s="75" t="s">
        <v>647</v>
      </c>
      <c r="F57" s="76" t="s">
        <v>818</v>
      </c>
      <c r="G57" s="76" t="s">
        <v>819</v>
      </c>
      <c r="H57" s="71" t="s">
        <v>663</v>
      </c>
      <c r="I57" s="70" t="s">
        <v>974</v>
      </c>
      <c r="J57" s="23" t="s">
        <v>647</v>
      </c>
      <c r="K57" s="256" t="s">
        <v>1073</v>
      </c>
      <c r="L57" s="71" t="s">
        <v>1028</v>
      </c>
      <c r="M57" s="71" t="s">
        <v>1029</v>
      </c>
      <c r="N57" s="71" t="s">
        <v>1030</v>
      </c>
      <c r="O57" s="71" t="s">
        <v>1031</v>
      </c>
    </row>
    <row r="58" spans="1:16381" s="126" customFormat="1" ht="25.5" customHeight="1">
      <c r="A58" s="127"/>
      <c r="B58" s="88" t="s">
        <v>136</v>
      </c>
      <c r="C58" s="71" t="s">
        <v>665</v>
      </c>
      <c r="D58" s="74" t="s">
        <v>481</v>
      </c>
      <c r="E58" s="75" t="s">
        <v>647</v>
      </c>
      <c r="F58" s="76" t="s">
        <v>149</v>
      </c>
      <c r="G58" s="71" t="s">
        <v>799</v>
      </c>
      <c r="H58" s="71" t="s">
        <v>664</v>
      </c>
      <c r="I58" s="87" t="s">
        <v>962</v>
      </c>
      <c r="J58" s="23" t="s">
        <v>647</v>
      </c>
      <c r="K58" s="256" t="s">
        <v>1468</v>
      </c>
      <c r="L58" s="71" t="s">
        <v>999</v>
      </c>
      <c r="M58" s="71" t="s">
        <v>999</v>
      </c>
      <c r="N58" s="71" t="s">
        <v>1000</v>
      </c>
      <c r="O58" s="71" t="s">
        <v>560</v>
      </c>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c r="CC58" s="69"/>
      <c r="CD58" s="69"/>
      <c r="CE58" s="69"/>
      <c r="CF58" s="69"/>
      <c r="CG58" s="69"/>
      <c r="CH58" s="69"/>
      <c r="CI58" s="69"/>
      <c r="CJ58" s="69"/>
      <c r="CK58" s="69"/>
      <c r="CL58" s="69"/>
      <c r="CM58" s="69"/>
      <c r="CN58" s="69"/>
      <c r="CO58" s="69"/>
      <c r="CP58" s="69"/>
      <c r="CQ58" s="69"/>
      <c r="CR58" s="69"/>
      <c r="CS58" s="69"/>
      <c r="CT58" s="69"/>
      <c r="CU58" s="69"/>
      <c r="CV58" s="69"/>
      <c r="CW58" s="69"/>
      <c r="CX58" s="69"/>
      <c r="CY58" s="69"/>
      <c r="CZ58" s="69"/>
      <c r="DA58" s="69"/>
      <c r="DB58" s="69"/>
      <c r="DC58" s="69"/>
      <c r="DD58" s="69"/>
      <c r="DE58" s="69"/>
      <c r="DF58" s="69"/>
      <c r="DG58" s="69"/>
      <c r="DH58" s="69"/>
      <c r="DI58" s="69"/>
      <c r="DJ58" s="69"/>
      <c r="DK58" s="69"/>
      <c r="DL58" s="69"/>
      <c r="DM58" s="69"/>
      <c r="DN58" s="69"/>
      <c r="DO58" s="69"/>
      <c r="DP58" s="69"/>
      <c r="DQ58" s="69"/>
      <c r="DR58" s="69"/>
      <c r="DS58" s="69"/>
      <c r="DT58" s="69"/>
      <c r="DU58" s="69"/>
      <c r="DV58" s="69"/>
      <c r="DW58" s="69"/>
      <c r="DX58" s="69"/>
      <c r="DY58" s="69"/>
      <c r="DZ58" s="69"/>
      <c r="EA58" s="69"/>
      <c r="EB58" s="69"/>
      <c r="EC58" s="69"/>
      <c r="ED58" s="69"/>
      <c r="EE58" s="69"/>
      <c r="EF58" s="69"/>
      <c r="EG58" s="69"/>
      <c r="EH58" s="69"/>
      <c r="EI58" s="69"/>
      <c r="EJ58" s="69"/>
      <c r="EK58" s="69"/>
      <c r="EL58" s="69"/>
      <c r="EM58" s="69"/>
      <c r="EN58" s="69"/>
      <c r="EO58" s="69"/>
      <c r="EP58" s="69"/>
      <c r="EQ58" s="69"/>
      <c r="ER58" s="69"/>
      <c r="ES58" s="69"/>
      <c r="ET58" s="69"/>
      <c r="EU58" s="69"/>
      <c r="EV58" s="69"/>
      <c r="EW58" s="69"/>
      <c r="EX58" s="69"/>
      <c r="EY58" s="69"/>
      <c r="EZ58" s="69"/>
      <c r="FA58" s="69"/>
      <c r="FB58" s="69"/>
      <c r="FC58" s="69"/>
      <c r="FD58" s="69"/>
      <c r="FE58" s="69"/>
      <c r="FF58" s="69"/>
      <c r="FG58" s="69"/>
      <c r="FH58" s="69"/>
      <c r="FI58" s="69"/>
      <c r="FJ58" s="69"/>
      <c r="FK58" s="69"/>
      <c r="FL58" s="69"/>
      <c r="FM58" s="69"/>
      <c r="FN58" s="69"/>
      <c r="FO58" s="69"/>
      <c r="FP58" s="69"/>
      <c r="FQ58" s="69"/>
      <c r="FR58" s="69"/>
      <c r="FS58" s="69"/>
      <c r="FT58" s="69"/>
      <c r="FU58" s="69"/>
      <c r="FV58" s="69"/>
      <c r="FW58" s="69"/>
      <c r="FX58" s="69"/>
      <c r="FY58" s="69"/>
      <c r="FZ58" s="69"/>
      <c r="GA58" s="69"/>
      <c r="GB58" s="69"/>
      <c r="GC58" s="69"/>
      <c r="GD58" s="69"/>
      <c r="GE58" s="69"/>
      <c r="GF58" s="69"/>
      <c r="GG58" s="69"/>
      <c r="GH58" s="69"/>
      <c r="GI58" s="69"/>
      <c r="GJ58" s="69"/>
      <c r="GK58" s="69"/>
      <c r="GL58" s="69"/>
      <c r="GM58" s="69"/>
      <c r="GN58" s="69"/>
      <c r="GO58" s="69"/>
      <c r="GP58" s="69"/>
      <c r="GQ58" s="69"/>
      <c r="GR58" s="69"/>
      <c r="GS58" s="69"/>
      <c r="GT58" s="69"/>
      <c r="GU58" s="69"/>
      <c r="GV58" s="69"/>
      <c r="GW58" s="69"/>
      <c r="GX58" s="69"/>
      <c r="GY58" s="69"/>
      <c r="GZ58" s="69"/>
      <c r="HA58" s="69"/>
      <c r="HB58" s="69"/>
      <c r="HC58" s="69"/>
      <c r="HD58" s="69"/>
      <c r="HE58" s="69"/>
      <c r="HF58" s="69"/>
      <c r="HG58" s="69"/>
      <c r="HH58" s="69"/>
      <c r="HI58" s="69"/>
      <c r="HJ58" s="69"/>
      <c r="HK58" s="69"/>
      <c r="HL58" s="69"/>
      <c r="HM58" s="69"/>
      <c r="HN58" s="69"/>
      <c r="HO58" s="69"/>
      <c r="HP58" s="69"/>
      <c r="HQ58" s="69"/>
      <c r="HR58" s="69"/>
      <c r="HS58" s="69"/>
      <c r="HT58" s="69"/>
      <c r="HU58" s="69"/>
      <c r="HV58" s="69"/>
      <c r="HW58" s="69"/>
      <c r="HX58" s="69"/>
      <c r="HY58" s="69"/>
      <c r="HZ58" s="69"/>
      <c r="IA58" s="69"/>
      <c r="IB58" s="69"/>
      <c r="IC58" s="69"/>
      <c r="ID58" s="69"/>
      <c r="IE58" s="69"/>
      <c r="IF58" s="69"/>
      <c r="IG58" s="69"/>
      <c r="IH58" s="69"/>
      <c r="II58" s="69"/>
      <c r="IJ58" s="69"/>
      <c r="IK58" s="69"/>
      <c r="IL58" s="69"/>
      <c r="IM58" s="69"/>
      <c r="IN58" s="69"/>
      <c r="IO58" s="69"/>
      <c r="IP58" s="69"/>
      <c r="IQ58" s="69"/>
      <c r="IR58" s="69"/>
      <c r="IS58" s="69"/>
      <c r="IT58" s="69"/>
      <c r="IU58" s="69"/>
      <c r="IV58" s="69"/>
      <c r="IW58" s="69"/>
      <c r="IX58" s="69"/>
      <c r="IY58" s="69"/>
      <c r="IZ58" s="69"/>
      <c r="JA58" s="69"/>
      <c r="JB58" s="69"/>
      <c r="JC58" s="69"/>
      <c r="JD58" s="69"/>
      <c r="JE58" s="69"/>
      <c r="JF58" s="69"/>
      <c r="JG58" s="69"/>
      <c r="JH58" s="69"/>
      <c r="JI58" s="69"/>
      <c r="JJ58" s="69"/>
      <c r="JK58" s="69"/>
      <c r="JL58" s="69"/>
      <c r="JM58" s="69"/>
      <c r="JN58" s="69"/>
      <c r="JO58" s="69"/>
      <c r="JP58" s="69"/>
      <c r="JQ58" s="69"/>
      <c r="JR58" s="69"/>
      <c r="JS58" s="69"/>
      <c r="JT58" s="69"/>
      <c r="JU58" s="69"/>
      <c r="JV58" s="69"/>
      <c r="JW58" s="69"/>
      <c r="JX58" s="69"/>
      <c r="JY58" s="69"/>
      <c r="JZ58" s="69"/>
      <c r="KA58" s="69"/>
      <c r="KB58" s="69"/>
      <c r="KC58" s="69"/>
      <c r="KD58" s="69"/>
      <c r="KE58" s="69"/>
      <c r="KF58" s="69"/>
      <c r="KG58" s="69"/>
      <c r="KH58" s="69"/>
      <c r="KI58" s="69"/>
      <c r="KJ58" s="69"/>
      <c r="KK58" s="69"/>
      <c r="KL58" s="69"/>
      <c r="KM58" s="69"/>
      <c r="KN58" s="69"/>
      <c r="KO58" s="69"/>
      <c r="KP58" s="69"/>
      <c r="KQ58" s="69"/>
      <c r="KR58" s="69"/>
      <c r="KS58" s="69"/>
      <c r="KT58" s="69"/>
      <c r="KU58" s="69"/>
      <c r="KV58" s="69"/>
      <c r="KW58" s="69"/>
      <c r="KX58" s="69"/>
      <c r="KY58" s="69"/>
      <c r="KZ58" s="69"/>
      <c r="LA58" s="69"/>
      <c r="LB58" s="69"/>
      <c r="LC58" s="69"/>
      <c r="LD58" s="69"/>
      <c r="LE58" s="69"/>
      <c r="LF58" s="69"/>
      <c r="LG58" s="69"/>
      <c r="LH58" s="69"/>
      <c r="LI58" s="69"/>
      <c r="LJ58" s="69"/>
      <c r="LK58" s="69"/>
      <c r="LL58" s="69"/>
      <c r="LM58" s="69"/>
      <c r="LN58" s="69"/>
      <c r="LO58" s="69"/>
      <c r="LP58" s="69"/>
      <c r="LQ58" s="69"/>
      <c r="LR58" s="69"/>
      <c r="LS58" s="69"/>
      <c r="LT58" s="69"/>
      <c r="LU58" s="69"/>
      <c r="LV58" s="69"/>
      <c r="LW58" s="69"/>
      <c r="LX58" s="69"/>
      <c r="LY58" s="69"/>
      <c r="LZ58" s="69"/>
      <c r="MA58" s="69"/>
      <c r="MB58" s="69"/>
      <c r="MC58" s="69"/>
      <c r="MD58" s="69"/>
      <c r="ME58" s="69"/>
      <c r="MF58" s="69"/>
      <c r="MG58" s="69"/>
      <c r="MH58" s="69"/>
      <c r="MI58" s="69"/>
      <c r="MJ58" s="69"/>
      <c r="MK58" s="69"/>
      <c r="ML58" s="69"/>
      <c r="MM58" s="69"/>
      <c r="MN58" s="69"/>
      <c r="MO58" s="69"/>
      <c r="MP58" s="69"/>
      <c r="MQ58" s="69"/>
      <c r="MR58" s="69"/>
      <c r="MS58" s="69"/>
      <c r="MT58" s="69"/>
      <c r="MU58" s="69"/>
      <c r="MV58" s="69"/>
      <c r="MW58" s="69"/>
      <c r="MX58" s="69"/>
      <c r="MY58" s="69"/>
      <c r="MZ58" s="69"/>
      <c r="NA58" s="69"/>
      <c r="NB58" s="69"/>
      <c r="NC58" s="69"/>
      <c r="ND58" s="69"/>
      <c r="NE58" s="69"/>
      <c r="NF58" s="69"/>
      <c r="NG58" s="69"/>
      <c r="NH58" s="69"/>
      <c r="NI58" s="69"/>
      <c r="NJ58" s="69"/>
      <c r="NK58" s="69"/>
      <c r="NL58" s="69"/>
      <c r="NM58" s="69"/>
      <c r="NN58" s="69"/>
      <c r="NO58" s="69"/>
      <c r="NP58" s="69"/>
      <c r="NQ58" s="69"/>
      <c r="NR58" s="69"/>
      <c r="NS58" s="69"/>
      <c r="NT58" s="69"/>
      <c r="NU58" s="69"/>
      <c r="NV58" s="69"/>
      <c r="NW58" s="69"/>
      <c r="NX58" s="69"/>
      <c r="NY58" s="69"/>
      <c r="NZ58" s="69"/>
      <c r="OA58" s="69"/>
      <c r="OB58" s="69"/>
      <c r="OC58" s="69"/>
      <c r="OD58" s="69"/>
      <c r="OE58" s="69"/>
      <c r="OF58" s="69"/>
      <c r="OG58" s="69"/>
      <c r="OH58" s="69"/>
      <c r="OI58" s="69"/>
      <c r="OJ58" s="69"/>
      <c r="OK58" s="69"/>
      <c r="OL58" s="69"/>
      <c r="OM58" s="69"/>
      <c r="ON58" s="69"/>
      <c r="OO58" s="69"/>
      <c r="OP58" s="69"/>
      <c r="OQ58" s="69"/>
      <c r="OR58" s="69"/>
      <c r="OS58" s="69"/>
      <c r="OT58" s="69"/>
      <c r="OU58" s="69"/>
      <c r="OV58" s="69"/>
      <c r="OW58" s="69"/>
      <c r="OX58" s="69"/>
      <c r="OY58" s="69"/>
      <c r="OZ58" s="69"/>
      <c r="PA58" s="69"/>
      <c r="PB58" s="69"/>
      <c r="PC58" s="69"/>
      <c r="PD58" s="69"/>
      <c r="PE58" s="69"/>
      <c r="PF58" s="69"/>
      <c r="PG58" s="69"/>
      <c r="PH58" s="69"/>
      <c r="PI58" s="69"/>
      <c r="PJ58" s="69"/>
      <c r="PK58" s="69"/>
      <c r="PL58" s="69"/>
      <c r="PM58" s="69"/>
      <c r="PN58" s="69"/>
      <c r="PO58" s="69"/>
      <c r="PP58" s="69"/>
      <c r="PQ58" s="69"/>
      <c r="PR58" s="69"/>
      <c r="PS58" s="69"/>
      <c r="PT58" s="69"/>
      <c r="PU58" s="69"/>
      <c r="PV58" s="69"/>
      <c r="PW58" s="69"/>
      <c r="PX58" s="69"/>
      <c r="PY58" s="69"/>
      <c r="PZ58" s="69"/>
      <c r="QA58" s="69"/>
      <c r="QB58" s="69"/>
      <c r="QC58" s="69"/>
      <c r="QD58" s="69"/>
      <c r="QE58" s="69"/>
      <c r="QF58" s="69"/>
      <c r="QG58" s="69"/>
      <c r="QH58" s="69"/>
      <c r="QI58" s="69"/>
      <c r="QJ58" s="69"/>
      <c r="QK58" s="69"/>
      <c r="QL58" s="69"/>
      <c r="QM58" s="69"/>
      <c r="QN58" s="69"/>
      <c r="QO58" s="69"/>
      <c r="QP58" s="69"/>
      <c r="QQ58" s="69"/>
      <c r="QR58" s="69"/>
      <c r="QS58" s="69"/>
      <c r="QT58" s="69"/>
      <c r="QU58" s="69"/>
      <c r="QV58" s="69"/>
      <c r="QW58" s="69"/>
      <c r="QX58" s="69"/>
      <c r="QY58" s="69"/>
      <c r="QZ58" s="69"/>
      <c r="RA58" s="69"/>
      <c r="RB58" s="69"/>
      <c r="RC58" s="69"/>
      <c r="RD58" s="69"/>
      <c r="RE58" s="69"/>
      <c r="RF58" s="69"/>
      <c r="RG58" s="69"/>
      <c r="RH58" s="69"/>
      <c r="RI58" s="69"/>
      <c r="RJ58" s="69"/>
      <c r="RK58" s="69"/>
      <c r="RL58" s="69"/>
      <c r="RM58" s="69"/>
      <c r="RN58" s="69"/>
      <c r="RO58" s="69"/>
      <c r="RP58" s="69"/>
      <c r="RQ58" s="69"/>
      <c r="RR58" s="69"/>
      <c r="RS58" s="69"/>
      <c r="RT58" s="69"/>
      <c r="RU58" s="69"/>
      <c r="RV58" s="69"/>
      <c r="RW58" s="69"/>
      <c r="RX58" s="69"/>
      <c r="RY58" s="69"/>
      <c r="RZ58" s="69"/>
      <c r="SA58" s="69"/>
      <c r="SB58" s="69"/>
      <c r="SC58" s="69"/>
      <c r="SD58" s="69"/>
      <c r="SE58" s="69"/>
      <c r="SF58" s="69"/>
      <c r="SG58" s="69"/>
      <c r="SH58" s="69"/>
      <c r="SI58" s="69"/>
      <c r="SJ58" s="69"/>
      <c r="SK58" s="69"/>
      <c r="SL58" s="69"/>
      <c r="SM58" s="69"/>
      <c r="SN58" s="69"/>
      <c r="SO58" s="69"/>
      <c r="SP58" s="69"/>
      <c r="SQ58" s="69"/>
      <c r="SR58" s="69"/>
      <c r="SS58" s="69"/>
      <c r="ST58" s="69"/>
      <c r="SU58" s="69"/>
      <c r="SV58" s="69"/>
      <c r="SW58" s="69"/>
      <c r="SX58" s="69"/>
      <c r="SY58" s="69"/>
      <c r="SZ58" s="69"/>
      <c r="TA58" s="69"/>
      <c r="TB58" s="69"/>
      <c r="TC58" s="69"/>
      <c r="TD58" s="69"/>
      <c r="TE58" s="69"/>
      <c r="TF58" s="69"/>
      <c r="TG58" s="69"/>
      <c r="TH58" s="69"/>
      <c r="TI58" s="69"/>
      <c r="TJ58" s="69"/>
      <c r="TK58" s="69"/>
      <c r="TL58" s="69"/>
      <c r="TM58" s="69"/>
      <c r="TN58" s="69"/>
      <c r="TO58" s="69"/>
      <c r="TP58" s="69"/>
      <c r="TQ58" s="69"/>
      <c r="TR58" s="69"/>
      <c r="TS58" s="69"/>
      <c r="TT58" s="69"/>
      <c r="TU58" s="69"/>
      <c r="TV58" s="69"/>
      <c r="TW58" s="69"/>
      <c r="TX58" s="69"/>
      <c r="TY58" s="69"/>
      <c r="TZ58" s="69"/>
      <c r="UA58" s="69"/>
      <c r="UB58" s="69"/>
      <c r="UC58" s="69"/>
      <c r="UD58" s="69"/>
      <c r="UE58" s="69"/>
      <c r="UF58" s="69"/>
      <c r="UG58" s="69"/>
      <c r="UH58" s="69"/>
      <c r="UI58" s="69"/>
      <c r="UJ58" s="69"/>
      <c r="UK58" s="69"/>
      <c r="UL58" s="69"/>
      <c r="UM58" s="69"/>
      <c r="UN58" s="69"/>
      <c r="UO58" s="69"/>
      <c r="UP58" s="69"/>
      <c r="UQ58" s="69"/>
      <c r="UR58" s="69"/>
      <c r="US58" s="69"/>
      <c r="UT58" s="69"/>
      <c r="UU58" s="69"/>
      <c r="UV58" s="69"/>
      <c r="UW58" s="69"/>
      <c r="UX58" s="69"/>
      <c r="UY58" s="69"/>
      <c r="UZ58" s="69"/>
      <c r="VA58" s="69"/>
      <c r="VB58" s="69"/>
      <c r="VC58" s="69"/>
      <c r="VD58" s="69"/>
      <c r="VE58" s="69"/>
      <c r="VF58" s="69"/>
      <c r="VG58" s="69"/>
      <c r="VH58" s="69"/>
      <c r="VI58" s="69"/>
      <c r="VJ58" s="69"/>
      <c r="VK58" s="69"/>
      <c r="VL58" s="69"/>
      <c r="VM58" s="69"/>
      <c r="VN58" s="69"/>
      <c r="VO58" s="69"/>
      <c r="VP58" s="69"/>
      <c r="VQ58" s="69"/>
      <c r="VR58" s="69"/>
      <c r="VS58" s="69"/>
      <c r="VT58" s="69"/>
      <c r="VU58" s="69"/>
      <c r="VV58" s="69"/>
      <c r="VW58" s="69"/>
      <c r="VX58" s="69"/>
      <c r="VY58" s="69"/>
      <c r="VZ58" s="69"/>
      <c r="WA58" s="69"/>
      <c r="WB58" s="69"/>
      <c r="WC58" s="69"/>
      <c r="WD58" s="69"/>
      <c r="WE58" s="69"/>
      <c r="WF58" s="69"/>
      <c r="WG58" s="69"/>
      <c r="WH58" s="69"/>
      <c r="WI58" s="69"/>
      <c r="WJ58" s="69"/>
      <c r="WK58" s="69"/>
      <c r="WL58" s="69"/>
      <c r="WM58" s="69"/>
      <c r="WN58" s="69"/>
      <c r="WO58" s="69"/>
      <c r="WP58" s="69"/>
      <c r="WQ58" s="69"/>
      <c r="WR58" s="69"/>
      <c r="WS58" s="69"/>
      <c r="WT58" s="69"/>
      <c r="WU58" s="69"/>
      <c r="WV58" s="69"/>
      <c r="WW58" s="69"/>
      <c r="WX58" s="69"/>
      <c r="WY58" s="69"/>
      <c r="WZ58" s="69"/>
      <c r="XA58" s="69"/>
      <c r="XB58" s="69"/>
      <c r="XC58" s="69"/>
      <c r="XD58" s="69"/>
      <c r="XE58" s="69"/>
      <c r="XF58" s="69"/>
      <c r="XG58" s="69"/>
      <c r="XH58" s="69"/>
      <c r="XI58" s="69"/>
      <c r="XJ58" s="69"/>
      <c r="XK58" s="69"/>
      <c r="XL58" s="69"/>
      <c r="XM58" s="69"/>
      <c r="XN58" s="69"/>
      <c r="XO58" s="69"/>
      <c r="XP58" s="69"/>
      <c r="XQ58" s="69"/>
      <c r="XR58" s="69"/>
      <c r="XS58" s="69"/>
      <c r="XT58" s="69"/>
      <c r="XU58" s="69"/>
      <c r="XV58" s="69"/>
      <c r="XW58" s="69"/>
      <c r="XX58" s="69"/>
      <c r="XY58" s="69"/>
      <c r="XZ58" s="69"/>
      <c r="YA58" s="69"/>
      <c r="YB58" s="69"/>
      <c r="YC58" s="69"/>
      <c r="YD58" s="69"/>
      <c r="YE58" s="69"/>
      <c r="YF58" s="69"/>
      <c r="YG58" s="69"/>
      <c r="YH58" s="69"/>
      <c r="YI58" s="69"/>
      <c r="YJ58" s="69"/>
      <c r="YK58" s="69"/>
      <c r="YL58" s="69"/>
      <c r="YM58" s="69"/>
      <c r="YN58" s="69"/>
      <c r="YO58" s="69"/>
      <c r="YP58" s="69"/>
      <c r="YQ58" s="69"/>
      <c r="YR58" s="69"/>
      <c r="YS58" s="69"/>
      <c r="YT58" s="69"/>
      <c r="YU58" s="69"/>
      <c r="YV58" s="69"/>
      <c r="YW58" s="69"/>
      <c r="YX58" s="69"/>
      <c r="YY58" s="69"/>
      <c r="YZ58" s="69"/>
      <c r="ZA58" s="69"/>
      <c r="ZB58" s="69"/>
      <c r="ZC58" s="69"/>
      <c r="ZD58" s="69"/>
      <c r="ZE58" s="69"/>
      <c r="ZF58" s="69"/>
      <c r="ZG58" s="69"/>
      <c r="ZH58" s="69"/>
      <c r="ZI58" s="69"/>
      <c r="ZJ58" s="69"/>
      <c r="ZK58" s="69"/>
      <c r="ZL58" s="69"/>
      <c r="ZM58" s="69"/>
      <c r="ZN58" s="69"/>
      <c r="ZO58" s="69"/>
      <c r="ZP58" s="69"/>
      <c r="ZQ58" s="69"/>
      <c r="ZR58" s="69"/>
      <c r="ZS58" s="69"/>
      <c r="ZT58" s="69"/>
      <c r="ZU58" s="69"/>
      <c r="ZV58" s="69"/>
      <c r="ZW58" s="69"/>
      <c r="ZX58" s="69"/>
      <c r="ZY58" s="69"/>
      <c r="ZZ58" s="69"/>
      <c r="AAA58" s="69"/>
      <c r="AAB58" s="69"/>
      <c r="AAC58" s="69"/>
      <c r="AAD58" s="69"/>
      <c r="AAE58" s="69"/>
      <c r="AAF58" s="69"/>
      <c r="AAG58" s="69"/>
      <c r="AAH58" s="69"/>
      <c r="AAI58" s="69"/>
      <c r="AAJ58" s="69"/>
      <c r="AAK58" s="69"/>
      <c r="AAL58" s="69"/>
      <c r="AAM58" s="69"/>
      <c r="AAN58" s="69"/>
      <c r="AAO58" s="69"/>
      <c r="AAP58" s="69"/>
      <c r="AAQ58" s="69"/>
      <c r="AAR58" s="69"/>
      <c r="AAS58" s="69"/>
      <c r="AAT58" s="69"/>
      <c r="AAU58" s="69"/>
      <c r="AAV58" s="69"/>
      <c r="AAW58" s="69"/>
      <c r="AAX58" s="69"/>
      <c r="AAY58" s="69"/>
      <c r="AAZ58" s="69"/>
      <c r="ABA58" s="69"/>
      <c r="ABB58" s="69"/>
      <c r="ABC58" s="69"/>
      <c r="ABD58" s="69"/>
      <c r="ABE58" s="69"/>
      <c r="ABF58" s="69"/>
      <c r="ABG58" s="69"/>
      <c r="ABH58" s="69"/>
      <c r="ABI58" s="69"/>
      <c r="ABJ58" s="69"/>
      <c r="ABK58" s="69"/>
      <c r="ABL58" s="69"/>
      <c r="ABM58" s="69"/>
      <c r="ABN58" s="69"/>
      <c r="ABO58" s="69"/>
      <c r="ABP58" s="69"/>
      <c r="ABQ58" s="69"/>
      <c r="ABR58" s="69"/>
      <c r="ABS58" s="69"/>
      <c r="ABT58" s="69"/>
      <c r="ABU58" s="69"/>
      <c r="ABV58" s="69"/>
      <c r="ABW58" s="69"/>
      <c r="ABX58" s="69"/>
      <c r="ABY58" s="69"/>
      <c r="ABZ58" s="69"/>
      <c r="ACA58" s="69"/>
      <c r="ACB58" s="69"/>
      <c r="ACC58" s="69"/>
      <c r="ACD58" s="69"/>
      <c r="ACE58" s="69"/>
      <c r="ACF58" s="69"/>
      <c r="ACG58" s="69"/>
      <c r="ACH58" s="69"/>
      <c r="ACI58" s="69"/>
      <c r="ACJ58" s="69"/>
      <c r="ACK58" s="69"/>
      <c r="ACL58" s="69"/>
      <c r="ACM58" s="69"/>
      <c r="ACN58" s="69"/>
      <c r="ACO58" s="69"/>
      <c r="ACP58" s="69"/>
      <c r="ACQ58" s="69"/>
      <c r="ACR58" s="69"/>
      <c r="ACS58" s="69"/>
      <c r="ACT58" s="69"/>
      <c r="ACU58" s="69"/>
      <c r="ACV58" s="69"/>
      <c r="ACW58" s="69"/>
      <c r="ACX58" s="69"/>
      <c r="ACY58" s="69"/>
      <c r="ACZ58" s="69"/>
      <c r="ADA58" s="69"/>
      <c r="ADB58" s="69"/>
      <c r="ADC58" s="69"/>
      <c r="ADD58" s="69"/>
      <c r="ADE58" s="69"/>
      <c r="ADF58" s="69"/>
      <c r="ADG58" s="69"/>
      <c r="ADH58" s="69"/>
      <c r="ADI58" s="69"/>
      <c r="ADJ58" s="69"/>
      <c r="ADK58" s="69"/>
      <c r="ADL58" s="69"/>
      <c r="ADM58" s="69"/>
      <c r="ADN58" s="69"/>
      <c r="ADO58" s="69"/>
      <c r="ADP58" s="69"/>
      <c r="ADQ58" s="69"/>
      <c r="ADR58" s="69"/>
      <c r="ADS58" s="69"/>
      <c r="ADT58" s="69"/>
      <c r="ADU58" s="69"/>
      <c r="ADV58" s="69"/>
      <c r="ADW58" s="69"/>
      <c r="ADX58" s="69"/>
      <c r="ADY58" s="69"/>
      <c r="ADZ58" s="69"/>
      <c r="AEA58" s="69"/>
      <c r="AEB58" s="69"/>
      <c r="AEC58" s="69"/>
      <c r="AED58" s="69"/>
      <c r="AEE58" s="69"/>
      <c r="AEF58" s="69"/>
      <c r="AEG58" s="69"/>
      <c r="AEH58" s="69"/>
      <c r="AEI58" s="69"/>
      <c r="AEJ58" s="69"/>
      <c r="AEK58" s="69"/>
      <c r="AEL58" s="69"/>
      <c r="AEM58" s="69"/>
      <c r="AEN58" s="69"/>
      <c r="AEO58" s="69"/>
      <c r="AEP58" s="69"/>
      <c r="AEQ58" s="69"/>
      <c r="AER58" s="69"/>
      <c r="AES58" s="69"/>
      <c r="AET58" s="69"/>
      <c r="AEU58" s="69"/>
      <c r="AEV58" s="69"/>
      <c r="AEW58" s="69"/>
      <c r="AEX58" s="69"/>
      <c r="AEY58" s="69"/>
      <c r="AEZ58" s="69"/>
      <c r="AFA58" s="69"/>
      <c r="AFB58" s="69"/>
      <c r="AFC58" s="69"/>
      <c r="AFD58" s="69"/>
      <c r="AFE58" s="69"/>
      <c r="AFF58" s="69"/>
      <c r="AFG58" s="69"/>
      <c r="AFH58" s="69"/>
      <c r="AFI58" s="69"/>
      <c r="AFJ58" s="69"/>
      <c r="AFK58" s="69"/>
      <c r="AFL58" s="69"/>
      <c r="AFM58" s="69"/>
      <c r="AFN58" s="69"/>
      <c r="AFO58" s="69"/>
      <c r="AFP58" s="69"/>
      <c r="AFQ58" s="69"/>
      <c r="AFR58" s="69"/>
      <c r="AFS58" s="69"/>
      <c r="AFT58" s="69"/>
      <c r="AFU58" s="69"/>
      <c r="AFV58" s="69"/>
      <c r="AFW58" s="69"/>
      <c r="AFX58" s="69"/>
      <c r="AFY58" s="69"/>
      <c r="AFZ58" s="69"/>
      <c r="AGA58" s="69"/>
      <c r="AGB58" s="69"/>
      <c r="AGC58" s="69"/>
      <c r="AGD58" s="69"/>
      <c r="AGE58" s="69"/>
      <c r="AGF58" s="69"/>
      <c r="AGG58" s="69"/>
      <c r="AGH58" s="69"/>
      <c r="AGI58" s="69"/>
      <c r="AGJ58" s="69"/>
      <c r="AGK58" s="69"/>
      <c r="AGL58" s="69"/>
      <c r="AGM58" s="69"/>
      <c r="AGN58" s="69"/>
      <c r="AGO58" s="69"/>
      <c r="AGP58" s="69"/>
      <c r="AGQ58" s="69"/>
      <c r="AGR58" s="69"/>
      <c r="AGS58" s="69"/>
      <c r="AGT58" s="69"/>
      <c r="AGU58" s="69"/>
      <c r="AGV58" s="69"/>
      <c r="AGW58" s="69"/>
      <c r="AGX58" s="69"/>
      <c r="AGY58" s="69"/>
      <c r="AGZ58" s="69"/>
      <c r="AHA58" s="69"/>
      <c r="AHB58" s="69"/>
      <c r="AHC58" s="69"/>
      <c r="AHD58" s="69"/>
      <c r="AHE58" s="69"/>
      <c r="AHF58" s="69"/>
      <c r="AHG58" s="69"/>
      <c r="AHH58" s="69"/>
      <c r="AHI58" s="69"/>
      <c r="AHJ58" s="69"/>
      <c r="AHK58" s="69"/>
      <c r="AHL58" s="69"/>
      <c r="AHM58" s="69"/>
      <c r="AHN58" s="69"/>
      <c r="AHO58" s="69"/>
      <c r="AHP58" s="69"/>
      <c r="AHQ58" s="69"/>
      <c r="AHR58" s="69"/>
      <c r="AHS58" s="69"/>
      <c r="AHT58" s="69"/>
      <c r="AHU58" s="69"/>
      <c r="AHV58" s="69"/>
      <c r="AHW58" s="69"/>
      <c r="AHX58" s="69"/>
      <c r="AHY58" s="69"/>
      <c r="AHZ58" s="69"/>
      <c r="AIA58" s="69"/>
      <c r="AIB58" s="69"/>
      <c r="AIC58" s="69"/>
      <c r="AID58" s="69"/>
      <c r="AIE58" s="69"/>
      <c r="AIF58" s="69"/>
      <c r="AIG58" s="69"/>
      <c r="AIH58" s="69"/>
      <c r="AII58" s="69"/>
      <c r="AIJ58" s="69"/>
      <c r="AIK58" s="69"/>
      <c r="AIL58" s="69"/>
      <c r="AIM58" s="69"/>
      <c r="AIN58" s="69"/>
      <c r="AIO58" s="69"/>
      <c r="AIP58" s="69"/>
      <c r="AIQ58" s="69"/>
      <c r="AIR58" s="69"/>
      <c r="AIS58" s="69"/>
      <c r="AIT58" s="69"/>
      <c r="AIU58" s="69"/>
      <c r="AIV58" s="69"/>
      <c r="AIW58" s="69"/>
      <c r="AIX58" s="69"/>
      <c r="AIY58" s="69"/>
      <c r="AIZ58" s="69"/>
      <c r="AJA58" s="69"/>
      <c r="AJB58" s="69"/>
      <c r="AJC58" s="69"/>
      <c r="AJD58" s="69"/>
      <c r="AJE58" s="69"/>
      <c r="AJF58" s="69"/>
      <c r="AJG58" s="69"/>
      <c r="AJH58" s="69"/>
      <c r="AJI58" s="69"/>
      <c r="AJJ58" s="69"/>
      <c r="AJK58" s="69"/>
      <c r="AJL58" s="69"/>
      <c r="AJM58" s="69"/>
      <c r="AJN58" s="69"/>
      <c r="AJO58" s="69"/>
      <c r="AJP58" s="69"/>
      <c r="AJQ58" s="69"/>
      <c r="AJR58" s="69"/>
      <c r="AJS58" s="69"/>
      <c r="AJT58" s="69"/>
      <c r="AJU58" s="69"/>
      <c r="AJV58" s="69"/>
      <c r="AJW58" s="69"/>
      <c r="AJX58" s="69"/>
      <c r="AJY58" s="69"/>
      <c r="AJZ58" s="69"/>
      <c r="AKA58" s="69"/>
      <c r="AKB58" s="69"/>
      <c r="AKC58" s="69"/>
      <c r="AKD58" s="69"/>
      <c r="AKE58" s="69"/>
      <c r="AKF58" s="69"/>
      <c r="AKG58" s="69"/>
      <c r="AKH58" s="69"/>
      <c r="AKI58" s="69"/>
      <c r="AKJ58" s="69"/>
      <c r="AKK58" s="69"/>
      <c r="AKL58" s="69"/>
      <c r="AKM58" s="69"/>
      <c r="AKN58" s="69"/>
      <c r="AKO58" s="69"/>
      <c r="AKP58" s="69"/>
      <c r="AKQ58" s="69"/>
      <c r="AKR58" s="69"/>
      <c r="AKS58" s="69"/>
      <c r="AKT58" s="69"/>
      <c r="AKU58" s="69"/>
      <c r="AKV58" s="69"/>
      <c r="AKW58" s="69"/>
      <c r="AKX58" s="69"/>
      <c r="AKY58" s="69"/>
      <c r="AKZ58" s="69"/>
      <c r="ALA58" s="69"/>
      <c r="ALB58" s="69"/>
      <c r="ALC58" s="69"/>
      <c r="ALD58" s="69"/>
      <c r="ALE58" s="69"/>
      <c r="ALF58" s="69"/>
      <c r="ALG58" s="69"/>
      <c r="ALH58" s="69"/>
      <c r="ALI58" s="69"/>
      <c r="ALJ58" s="69"/>
      <c r="ALK58" s="69"/>
      <c r="ALL58" s="69"/>
      <c r="ALM58" s="69"/>
      <c r="ALN58" s="69"/>
      <c r="ALO58" s="69"/>
      <c r="ALP58" s="69"/>
      <c r="ALQ58" s="69"/>
      <c r="ALR58" s="69"/>
      <c r="ALS58" s="69"/>
      <c r="ALT58" s="69"/>
      <c r="ALU58" s="69"/>
      <c r="ALV58" s="69"/>
      <c r="ALW58" s="69"/>
      <c r="ALX58" s="69"/>
      <c r="ALY58" s="69"/>
      <c r="ALZ58" s="69"/>
      <c r="AMA58" s="69"/>
      <c r="AMB58" s="69"/>
      <c r="AMC58" s="69"/>
      <c r="AMD58" s="69"/>
      <c r="AME58" s="69"/>
      <c r="AMF58" s="69"/>
      <c r="AMG58" s="69"/>
      <c r="AMH58" s="69"/>
      <c r="AMI58" s="69"/>
      <c r="AMJ58" s="69"/>
      <c r="AMK58" s="69"/>
      <c r="AML58" s="69"/>
      <c r="AMM58" s="69"/>
      <c r="AMN58" s="69"/>
      <c r="AMO58" s="69"/>
      <c r="AMP58" s="69"/>
      <c r="AMQ58" s="69"/>
      <c r="AMR58" s="69"/>
      <c r="AMS58" s="69"/>
      <c r="AMT58" s="69"/>
      <c r="AMU58" s="69"/>
      <c r="AMV58" s="69"/>
      <c r="AMW58" s="69"/>
      <c r="AMX58" s="69"/>
      <c r="AMY58" s="69"/>
      <c r="AMZ58" s="69"/>
      <c r="ANA58" s="69"/>
      <c r="ANB58" s="69"/>
      <c r="ANC58" s="69"/>
      <c r="AND58" s="69"/>
      <c r="ANE58" s="69"/>
      <c r="ANF58" s="69"/>
      <c r="ANG58" s="69"/>
      <c r="ANH58" s="69"/>
      <c r="ANI58" s="69"/>
      <c r="ANJ58" s="69"/>
      <c r="ANK58" s="69"/>
      <c r="ANL58" s="69"/>
      <c r="ANM58" s="69"/>
      <c r="ANN58" s="69"/>
      <c r="ANO58" s="69"/>
      <c r="ANP58" s="69"/>
      <c r="ANQ58" s="69"/>
      <c r="ANR58" s="69"/>
      <c r="ANS58" s="69"/>
      <c r="ANT58" s="69"/>
      <c r="ANU58" s="69"/>
      <c r="ANV58" s="69"/>
      <c r="ANW58" s="69"/>
      <c r="ANX58" s="69"/>
      <c r="ANY58" s="69"/>
      <c r="ANZ58" s="69"/>
      <c r="AOA58" s="69"/>
      <c r="AOB58" s="69"/>
      <c r="AOC58" s="69"/>
      <c r="AOD58" s="69"/>
      <c r="AOE58" s="69"/>
      <c r="AOF58" s="69"/>
      <c r="AOG58" s="69"/>
      <c r="AOH58" s="69"/>
      <c r="AOI58" s="69"/>
      <c r="AOJ58" s="69"/>
      <c r="AOK58" s="69"/>
      <c r="AOL58" s="69"/>
      <c r="AOM58" s="69"/>
      <c r="AON58" s="69"/>
      <c r="AOO58" s="69"/>
      <c r="AOP58" s="69"/>
      <c r="AOQ58" s="69"/>
      <c r="AOR58" s="69"/>
      <c r="AOS58" s="69"/>
      <c r="AOT58" s="69"/>
      <c r="AOU58" s="69"/>
      <c r="AOV58" s="69"/>
      <c r="AOW58" s="69"/>
      <c r="AOX58" s="69"/>
      <c r="AOY58" s="69"/>
      <c r="AOZ58" s="69"/>
      <c r="APA58" s="69"/>
      <c r="APB58" s="69"/>
      <c r="APC58" s="69"/>
      <c r="APD58" s="69"/>
      <c r="APE58" s="69"/>
      <c r="APF58" s="69"/>
      <c r="APG58" s="69"/>
      <c r="APH58" s="69"/>
      <c r="API58" s="69"/>
      <c r="APJ58" s="69"/>
      <c r="APK58" s="69"/>
      <c r="APL58" s="69"/>
      <c r="APM58" s="69"/>
      <c r="APN58" s="69"/>
      <c r="APO58" s="69"/>
      <c r="APP58" s="69"/>
      <c r="APQ58" s="69"/>
      <c r="APR58" s="69"/>
      <c r="APS58" s="69"/>
      <c r="APT58" s="69"/>
      <c r="APU58" s="69"/>
      <c r="APV58" s="69"/>
      <c r="APW58" s="69"/>
      <c r="APX58" s="69"/>
      <c r="APY58" s="69"/>
      <c r="APZ58" s="69"/>
      <c r="AQA58" s="69"/>
      <c r="AQB58" s="69"/>
      <c r="AQC58" s="69"/>
      <c r="AQD58" s="69"/>
      <c r="AQE58" s="69"/>
      <c r="AQF58" s="69"/>
      <c r="AQG58" s="69"/>
      <c r="AQH58" s="69"/>
      <c r="AQI58" s="69"/>
      <c r="AQJ58" s="69"/>
      <c r="AQK58" s="69"/>
      <c r="AQL58" s="69"/>
      <c r="AQM58" s="69"/>
      <c r="AQN58" s="69"/>
      <c r="AQO58" s="69"/>
      <c r="AQP58" s="69"/>
      <c r="AQQ58" s="69"/>
      <c r="AQR58" s="69"/>
      <c r="AQS58" s="69"/>
      <c r="AQT58" s="69"/>
      <c r="AQU58" s="69"/>
      <c r="AQV58" s="69"/>
      <c r="AQW58" s="69"/>
      <c r="AQX58" s="69"/>
      <c r="AQY58" s="69"/>
      <c r="AQZ58" s="69"/>
      <c r="ARA58" s="69"/>
      <c r="ARB58" s="69"/>
      <c r="ARC58" s="69"/>
      <c r="ARD58" s="69"/>
      <c r="ARE58" s="69"/>
      <c r="ARF58" s="69"/>
      <c r="ARG58" s="69"/>
      <c r="ARH58" s="69"/>
      <c r="ARI58" s="69"/>
      <c r="ARJ58" s="69"/>
      <c r="ARK58" s="69"/>
      <c r="ARL58" s="69"/>
      <c r="ARM58" s="69"/>
      <c r="ARN58" s="69"/>
      <c r="ARO58" s="69"/>
      <c r="ARP58" s="69"/>
      <c r="ARQ58" s="69"/>
      <c r="ARR58" s="69"/>
      <c r="ARS58" s="69"/>
      <c r="ART58" s="69"/>
      <c r="ARU58" s="69"/>
      <c r="ARV58" s="69"/>
      <c r="ARW58" s="69"/>
      <c r="ARX58" s="69"/>
      <c r="ARY58" s="69"/>
      <c r="ARZ58" s="69"/>
      <c r="ASA58" s="69"/>
      <c r="ASB58" s="69"/>
      <c r="ASC58" s="69"/>
      <c r="ASD58" s="69"/>
      <c r="ASE58" s="69"/>
      <c r="ASF58" s="69"/>
      <c r="ASG58" s="69"/>
      <c r="ASH58" s="69"/>
      <c r="ASI58" s="69"/>
      <c r="ASJ58" s="69"/>
      <c r="ASK58" s="69"/>
      <c r="ASL58" s="69"/>
      <c r="ASM58" s="69"/>
      <c r="ASN58" s="69"/>
      <c r="ASO58" s="69"/>
      <c r="ASP58" s="69"/>
      <c r="ASQ58" s="69"/>
      <c r="ASR58" s="69"/>
      <c r="ASS58" s="69"/>
      <c r="AST58" s="69"/>
      <c r="ASU58" s="69"/>
      <c r="ASV58" s="69"/>
      <c r="ASW58" s="69"/>
      <c r="ASX58" s="69"/>
      <c r="ASY58" s="69"/>
      <c r="ASZ58" s="69"/>
      <c r="ATA58" s="69"/>
      <c r="ATB58" s="69"/>
      <c r="ATC58" s="69"/>
      <c r="ATD58" s="69"/>
      <c r="ATE58" s="69"/>
      <c r="ATF58" s="69"/>
      <c r="ATG58" s="69"/>
      <c r="ATH58" s="69"/>
      <c r="ATI58" s="69"/>
      <c r="ATJ58" s="69"/>
      <c r="ATK58" s="69"/>
      <c r="ATL58" s="69"/>
      <c r="ATM58" s="69"/>
      <c r="ATN58" s="69"/>
      <c r="ATO58" s="69"/>
      <c r="ATP58" s="69"/>
      <c r="ATQ58" s="69"/>
      <c r="ATR58" s="69"/>
      <c r="ATS58" s="69"/>
      <c r="ATT58" s="69"/>
      <c r="ATU58" s="69"/>
      <c r="ATV58" s="69"/>
      <c r="ATW58" s="69"/>
      <c r="ATX58" s="69"/>
      <c r="ATY58" s="69"/>
      <c r="ATZ58" s="69"/>
      <c r="AUA58" s="69"/>
      <c r="AUB58" s="69"/>
      <c r="AUC58" s="69"/>
      <c r="AUD58" s="69"/>
      <c r="AUE58" s="69"/>
      <c r="AUF58" s="69"/>
      <c r="AUG58" s="69"/>
      <c r="AUH58" s="69"/>
      <c r="AUI58" s="69"/>
      <c r="AUJ58" s="69"/>
      <c r="AUK58" s="69"/>
      <c r="AUL58" s="69"/>
      <c r="AUM58" s="69"/>
      <c r="AUN58" s="69"/>
      <c r="AUO58" s="69"/>
      <c r="AUP58" s="69"/>
      <c r="AUQ58" s="69"/>
      <c r="AUR58" s="69"/>
      <c r="AUS58" s="69"/>
      <c r="AUT58" s="69"/>
      <c r="AUU58" s="69"/>
      <c r="AUV58" s="69"/>
      <c r="AUW58" s="69"/>
      <c r="AUX58" s="69"/>
      <c r="AUY58" s="69"/>
      <c r="AUZ58" s="69"/>
      <c r="AVA58" s="69"/>
      <c r="AVB58" s="69"/>
      <c r="AVC58" s="69"/>
      <c r="AVD58" s="69"/>
      <c r="AVE58" s="69"/>
      <c r="AVF58" s="69"/>
      <c r="AVG58" s="69"/>
      <c r="AVH58" s="69"/>
      <c r="AVI58" s="69"/>
      <c r="AVJ58" s="69"/>
      <c r="AVK58" s="69"/>
      <c r="AVL58" s="69"/>
      <c r="AVM58" s="69"/>
      <c r="AVN58" s="69"/>
      <c r="AVO58" s="69"/>
      <c r="AVP58" s="69"/>
      <c r="AVQ58" s="69"/>
      <c r="AVR58" s="69"/>
      <c r="AVS58" s="69"/>
      <c r="AVT58" s="69"/>
      <c r="AVU58" s="69"/>
      <c r="AVV58" s="69"/>
      <c r="AVW58" s="69"/>
      <c r="AVX58" s="69"/>
      <c r="AVY58" s="69"/>
      <c r="AVZ58" s="69"/>
      <c r="AWA58" s="69"/>
      <c r="AWB58" s="69"/>
      <c r="AWC58" s="69"/>
      <c r="AWD58" s="69"/>
      <c r="AWE58" s="69"/>
      <c r="AWF58" s="69"/>
      <c r="AWG58" s="69"/>
      <c r="AWH58" s="69"/>
      <c r="AWI58" s="69"/>
      <c r="AWJ58" s="69"/>
      <c r="AWK58" s="69"/>
      <c r="AWL58" s="69"/>
      <c r="AWM58" s="69"/>
      <c r="AWN58" s="69"/>
      <c r="AWO58" s="69"/>
      <c r="AWP58" s="69"/>
      <c r="AWQ58" s="69"/>
      <c r="AWR58" s="69"/>
      <c r="AWS58" s="69"/>
      <c r="AWT58" s="69"/>
      <c r="AWU58" s="69"/>
      <c r="AWV58" s="69"/>
      <c r="AWW58" s="69"/>
      <c r="AWX58" s="69"/>
      <c r="AWY58" s="69"/>
      <c r="AWZ58" s="69"/>
      <c r="AXA58" s="69"/>
      <c r="AXB58" s="69"/>
      <c r="AXC58" s="69"/>
      <c r="AXD58" s="69"/>
      <c r="AXE58" s="69"/>
      <c r="AXF58" s="69"/>
      <c r="AXG58" s="69"/>
      <c r="AXH58" s="69"/>
      <c r="AXI58" s="69"/>
      <c r="AXJ58" s="69"/>
      <c r="AXK58" s="69"/>
      <c r="AXL58" s="69"/>
      <c r="AXM58" s="69"/>
      <c r="AXN58" s="69"/>
      <c r="AXO58" s="69"/>
      <c r="AXP58" s="69"/>
      <c r="AXQ58" s="69"/>
      <c r="AXR58" s="69"/>
      <c r="AXS58" s="69"/>
      <c r="AXT58" s="69"/>
      <c r="AXU58" s="69"/>
      <c r="AXV58" s="69"/>
      <c r="AXW58" s="69"/>
      <c r="AXX58" s="69"/>
      <c r="AXY58" s="69"/>
      <c r="AXZ58" s="69"/>
      <c r="AYA58" s="69"/>
      <c r="AYB58" s="69"/>
      <c r="AYC58" s="69"/>
      <c r="AYD58" s="69"/>
      <c r="AYE58" s="69"/>
      <c r="AYF58" s="69"/>
      <c r="AYG58" s="69"/>
      <c r="AYH58" s="69"/>
      <c r="AYI58" s="69"/>
      <c r="AYJ58" s="69"/>
      <c r="AYK58" s="69"/>
      <c r="AYL58" s="69"/>
      <c r="AYM58" s="69"/>
      <c r="AYN58" s="69"/>
      <c r="AYO58" s="69"/>
      <c r="AYP58" s="69"/>
      <c r="AYQ58" s="69"/>
      <c r="AYR58" s="69"/>
      <c r="AYS58" s="69"/>
      <c r="AYT58" s="69"/>
      <c r="AYU58" s="69"/>
      <c r="AYV58" s="69"/>
      <c r="AYW58" s="69"/>
      <c r="AYX58" s="69"/>
      <c r="AYY58" s="69"/>
      <c r="AYZ58" s="69"/>
      <c r="AZA58" s="69"/>
      <c r="AZB58" s="69"/>
      <c r="AZC58" s="69"/>
      <c r="AZD58" s="69"/>
      <c r="AZE58" s="69"/>
      <c r="AZF58" s="69"/>
      <c r="AZG58" s="69"/>
      <c r="AZH58" s="69"/>
      <c r="AZI58" s="69"/>
      <c r="AZJ58" s="69"/>
      <c r="AZK58" s="69"/>
      <c r="AZL58" s="69"/>
      <c r="AZM58" s="69"/>
      <c r="AZN58" s="69"/>
      <c r="AZO58" s="69"/>
      <c r="AZP58" s="69"/>
      <c r="AZQ58" s="69"/>
      <c r="AZR58" s="69"/>
      <c r="AZS58" s="69"/>
      <c r="AZT58" s="69"/>
      <c r="AZU58" s="69"/>
      <c r="AZV58" s="69"/>
      <c r="AZW58" s="69"/>
      <c r="AZX58" s="69"/>
      <c r="AZY58" s="69"/>
      <c r="AZZ58" s="69"/>
      <c r="BAA58" s="69"/>
      <c r="BAB58" s="69"/>
      <c r="BAC58" s="69"/>
      <c r="BAD58" s="69"/>
      <c r="BAE58" s="69"/>
      <c r="BAF58" s="69"/>
      <c r="BAG58" s="69"/>
      <c r="BAH58" s="69"/>
      <c r="BAI58" s="69"/>
      <c r="BAJ58" s="69"/>
      <c r="BAK58" s="69"/>
      <c r="BAL58" s="69"/>
      <c r="BAM58" s="69"/>
      <c r="BAN58" s="69"/>
      <c r="BAO58" s="69"/>
      <c r="BAP58" s="69"/>
      <c r="BAQ58" s="69"/>
      <c r="BAR58" s="69"/>
      <c r="BAS58" s="69"/>
      <c r="BAT58" s="69"/>
      <c r="BAU58" s="69"/>
      <c r="BAV58" s="69"/>
      <c r="BAW58" s="69"/>
      <c r="BAX58" s="69"/>
      <c r="BAY58" s="69"/>
      <c r="BAZ58" s="69"/>
      <c r="BBA58" s="69"/>
      <c r="BBB58" s="69"/>
      <c r="BBC58" s="69"/>
      <c r="BBD58" s="69"/>
      <c r="BBE58" s="69"/>
      <c r="BBF58" s="69"/>
      <c r="BBG58" s="69"/>
      <c r="BBH58" s="69"/>
      <c r="BBI58" s="69"/>
      <c r="BBJ58" s="69"/>
      <c r="BBK58" s="69"/>
      <c r="BBL58" s="69"/>
      <c r="BBM58" s="69"/>
      <c r="BBN58" s="69"/>
      <c r="BBO58" s="69"/>
      <c r="BBP58" s="69"/>
      <c r="BBQ58" s="69"/>
      <c r="BBR58" s="69"/>
      <c r="BBS58" s="69"/>
      <c r="BBT58" s="69"/>
      <c r="BBU58" s="69"/>
      <c r="BBV58" s="69"/>
      <c r="BBW58" s="69"/>
      <c r="BBX58" s="69"/>
      <c r="BBY58" s="69"/>
      <c r="BBZ58" s="69"/>
      <c r="BCA58" s="69"/>
      <c r="BCB58" s="69"/>
      <c r="BCC58" s="69"/>
      <c r="BCD58" s="69"/>
      <c r="BCE58" s="69"/>
      <c r="BCF58" s="69"/>
      <c r="BCG58" s="69"/>
      <c r="BCH58" s="69"/>
      <c r="BCI58" s="69"/>
      <c r="BCJ58" s="69"/>
      <c r="BCK58" s="69"/>
      <c r="BCL58" s="69"/>
      <c r="BCM58" s="69"/>
      <c r="BCN58" s="69"/>
      <c r="BCO58" s="69"/>
      <c r="BCP58" s="69"/>
      <c r="BCQ58" s="69"/>
      <c r="BCR58" s="69"/>
      <c r="BCS58" s="69"/>
      <c r="BCT58" s="69"/>
      <c r="BCU58" s="69"/>
      <c r="BCV58" s="69"/>
      <c r="BCW58" s="69"/>
      <c r="BCX58" s="69"/>
      <c r="BCY58" s="69"/>
      <c r="BCZ58" s="69"/>
      <c r="BDA58" s="69"/>
      <c r="BDB58" s="69"/>
      <c r="BDC58" s="69"/>
      <c r="BDD58" s="69"/>
      <c r="BDE58" s="69"/>
      <c r="BDF58" s="69"/>
      <c r="BDG58" s="69"/>
      <c r="BDH58" s="69"/>
      <c r="BDI58" s="69"/>
      <c r="BDJ58" s="69"/>
      <c r="BDK58" s="69"/>
      <c r="BDL58" s="69"/>
      <c r="BDM58" s="69"/>
      <c r="BDN58" s="69"/>
      <c r="BDO58" s="69"/>
      <c r="BDP58" s="69"/>
      <c r="BDQ58" s="69"/>
      <c r="BDR58" s="69"/>
      <c r="BDS58" s="69"/>
      <c r="BDT58" s="69"/>
      <c r="BDU58" s="69"/>
      <c r="BDV58" s="69"/>
      <c r="BDW58" s="69"/>
      <c r="BDX58" s="69"/>
      <c r="BDY58" s="69"/>
      <c r="BDZ58" s="69"/>
      <c r="BEA58" s="69"/>
      <c r="BEB58" s="69"/>
      <c r="BEC58" s="69"/>
      <c r="BED58" s="69"/>
      <c r="BEE58" s="69"/>
      <c r="BEF58" s="69"/>
      <c r="BEG58" s="69"/>
      <c r="BEH58" s="69"/>
      <c r="BEI58" s="69"/>
      <c r="BEJ58" s="69"/>
      <c r="BEK58" s="69"/>
      <c r="BEL58" s="69"/>
      <c r="BEM58" s="69"/>
      <c r="BEN58" s="69"/>
      <c r="BEO58" s="69"/>
      <c r="BEP58" s="69"/>
      <c r="BEQ58" s="69"/>
      <c r="BER58" s="69"/>
      <c r="BES58" s="69"/>
      <c r="BET58" s="69"/>
      <c r="BEU58" s="69"/>
      <c r="BEV58" s="69"/>
      <c r="BEW58" s="69"/>
      <c r="BEX58" s="69"/>
      <c r="BEY58" s="69"/>
      <c r="BEZ58" s="69"/>
      <c r="BFA58" s="69"/>
      <c r="BFB58" s="69"/>
      <c r="BFC58" s="69"/>
      <c r="BFD58" s="69"/>
      <c r="BFE58" s="69"/>
      <c r="BFF58" s="69"/>
      <c r="BFG58" s="69"/>
      <c r="BFH58" s="69"/>
      <c r="BFI58" s="69"/>
      <c r="BFJ58" s="69"/>
      <c r="BFK58" s="69"/>
      <c r="BFL58" s="69"/>
      <c r="BFM58" s="69"/>
      <c r="BFN58" s="69"/>
      <c r="BFO58" s="69"/>
      <c r="BFP58" s="69"/>
      <c r="BFQ58" s="69"/>
      <c r="BFR58" s="69"/>
      <c r="BFS58" s="69"/>
      <c r="BFT58" s="69"/>
      <c r="BFU58" s="69"/>
      <c r="BFV58" s="69"/>
      <c r="BFW58" s="69"/>
      <c r="BFX58" s="69"/>
      <c r="BFY58" s="69"/>
      <c r="BFZ58" s="69"/>
      <c r="BGA58" s="69"/>
      <c r="BGB58" s="69"/>
      <c r="BGC58" s="69"/>
      <c r="BGD58" s="69"/>
      <c r="BGE58" s="69"/>
      <c r="BGF58" s="69"/>
      <c r="BGG58" s="69"/>
      <c r="BGH58" s="69"/>
      <c r="BGI58" s="69"/>
      <c r="BGJ58" s="69"/>
      <c r="BGK58" s="69"/>
      <c r="BGL58" s="69"/>
      <c r="BGM58" s="69"/>
      <c r="BGN58" s="69"/>
      <c r="BGO58" s="69"/>
      <c r="BGP58" s="69"/>
      <c r="BGQ58" s="69"/>
      <c r="BGR58" s="69"/>
      <c r="BGS58" s="69"/>
      <c r="BGT58" s="69"/>
      <c r="BGU58" s="69"/>
      <c r="BGV58" s="69"/>
      <c r="BGW58" s="69"/>
      <c r="BGX58" s="69"/>
      <c r="BGY58" s="69"/>
      <c r="BGZ58" s="69"/>
      <c r="BHA58" s="69"/>
      <c r="BHB58" s="69"/>
      <c r="BHC58" s="69"/>
      <c r="BHD58" s="69"/>
      <c r="BHE58" s="69"/>
      <c r="BHF58" s="69"/>
      <c r="BHG58" s="69"/>
      <c r="BHH58" s="69"/>
      <c r="BHI58" s="69"/>
      <c r="BHJ58" s="69"/>
      <c r="BHK58" s="69"/>
      <c r="BHL58" s="69"/>
      <c r="BHM58" s="69"/>
      <c r="BHN58" s="69"/>
      <c r="BHO58" s="69"/>
      <c r="BHP58" s="69"/>
      <c r="BHQ58" s="69"/>
      <c r="BHR58" s="69"/>
      <c r="BHS58" s="69"/>
      <c r="BHT58" s="69"/>
      <c r="BHU58" s="69"/>
      <c r="BHV58" s="69"/>
      <c r="BHW58" s="69"/>
      <c r="BHX58" s="69"/>
      <c r="BHY58" s="69"/>
      <c r="BHZ58" s="69"/>
      <c r="BIA58" s="69"/>
      <c r="BIB58" s="69"/>
      <c r="BIC58" s="69"/>
      <c r="BID58" s="69"/>
      <c r="BIE58" s="69"/>
      <c r="BIF58" s="69"/>
      <c r="BIG58" s="69"/>
      <c r="BIH58" s="69"/>
      <c r="BII58" s="69"/>
      <c r="BIJ58" s="69"/>
      <c r="BIK58" s="69"/>
      <c r="BIL58" s="69"/>
      <c r="BIM58" s="69"/>
      <c r="BIN58" s="69"/>
      <c r="BIO58" s="69"/>
      <c r="BIP58" s="69"/>
      <c r="BIQ58" s="69"/>
      <c r="BIR58" s="69"/>
      <c r="BIS58" s="69"/>
      <c r="BIT58" s="69"/>
      <c r="BIU58" s="69"/>
      <c r="BIV58" s="69"/>
      <c r="BIW58" s="69"/>
      <c r="BIX58" s="69"/>
      <c r="BIY58" s="69"/>
      <c r="BIZ58" s="69"/>
      <c r="BJA58" s="69"/>
      <c r="BJB58" s="69"/>
      <c r="BJC58" s="69"/>
      <c r="BJD58" s="69"/>
      <c r="BJE58" s="69"/>
      <c r="BJF58" s="69"/>
      <c r="BJG58" s="69"/>
      <c r="BJH58" s="69"/>
      <c r="BJI58" s="69"/>
      <c r="BJJ58" s="69"/>
      <c r="BJK58" s="69"/>
      <c r="BJL58" s="69"/>
      <c r="BJM58" s="69"/>
      <c r="BJN58" s="69"/>
      <c r="BJO58" s="69"/>
      <c r="BJP58" s="69"/>
      <c r="BJQ58" s="69"/>
      <c r="BJR58" s="69"/>
      <c r="BJS58" s="69"/>
      <c r="BJT58" s="69"/>
      <c r="BJU58" s="69"/>
      <c r="BJV58" s="69"/>
      <c r="BJW58" s="69"/>
      <c r="BJX58" s="69"/>
      <c r="BJY58" s="69"/>
      <c r="BJZ58" s="69"/>
      <c r="BKA58" s="69"/>
      <c r="BKB58" s="69"/>
      <c r="BKC58" s="69"/>
      <c r="BKD58" s="69"/>
      <c r="BKE58" s="69"/>
      <c r="BKF58" s="69"/>
      <c r="BKG58" s="69"/>
      <c r="BKH58" s="69"/>
      <c r="BKI58" s="69"/>
      <c r="BKJ58" s="69"/>
      <c r="BKK58" s="69"/>
      <c r="BKL58" s="69"/>
      <c r="BKM58" s="69"/>
      <c r="BKN58" s="69"/>
      <c r="BKO58" s="69"/>
      <c r="BKP58" s="69"/>
      <c r="BKQ58" s="69"/>
      <c r="BKR58" s="69"/>
      <c r="BKS58" s="69"/>
      <c r="BKT58" s="69"/>
      <c r="BKU58" s="69"/>
      <c r="BKV58" s="69"/>
      <c r="BKW58" s="69"/>
      <c r="BKX58" s="69"/>
      <c r="BKY58" s="69"/>
      <c r="BKZ58" s="69"/>
      <c r="BLA58" s="69"/>
      <c r="BLB58" s="69"/>
      <c r="BLC58" s="69"/>
      <c r="BLD58" s="69"/>
      <c r="BLE58" s="69"/>
      <c r="BLF58" s="69"/>
      <c r="BLG58" s="69"/>
      <c r="BLH58" s="69"/>
      <c r="BLI58" s="69"/>
      <c r="BLJ58" s="69"/>
      <c r="BLK58" s="69"/>
      <c r="BLL58" s="69"/>
      <c r="BLM58" s="69"/>
      <c r="BLN58" s="69"/>
      <c r="BLO58" s="69"/>
      <c r="BLP58" s="69"/>
      <c r="BLQ58" s="69"/>
      <c r="BLR58" s="69"/>
      <c r="BLS58" s="69"/>
      <c r="BLT58" s="69"/>
      <c r="BLU58" s="69"/>
      <c r="BLV58" s="69"/>
      <c r="BLW58" s="69"/>
      <c r="BLX58" s="69"/>
      <c r="BLY58" s="69"/>
      <c r="BLZ58" s="69"/>
      <c r="BMA58" s="69"/>
      <c r="BMB58" s="69"/>
      <c r="BMC58" s="69"/>
      <c r="BMD58" s="69"/>
      <c r="BME58" s="69"/>
      <c r="BMF58" s="69"/>
      <c r="BMG58" s="69"/>
      <c r="BMH58" s="69"/>
      <c r="BMI58" s="69"/>
      <c r="BMJ58" s="69"/>
      <c r="BMK58" s="69"/>
      <c r="BML58" s="69"/>
      <c r="BMM58" s="69"/>
      <c r="BMN58" s="69"/>
      <c r="BMO58" s="69"/>
      <c r="BMP58" s="69"/>
      <c r="BMQ58" s="69"/>
      <c r="BMR58" s="69"/>
      <c r="BMS58" s="69"/>
      <c r="BMT58" s="69"/>
      <c r="BMU58" s="69"/>
      <c r="BMV58" s="69"/>
      <c r="BMW58" s="69"/>
      <c r="BMX58" s="69"/>
      <c r="BMY58" s="69"/>
      <c r="BMZ58" s="69"/>
      <c r="BNA58" s="69"/>
      <c r="BNB58" s="69"/>
      <c r="BNC58" s="69"/>
      <c r="BND58" s="69"/>
      <c r="BNE58" s="69"/>
      <c r="BNF58" s="69"/>
      <c r="BNG58" s="69"/>
      <c r="BNH58" s="69"/>
      <c r="BNI58" s="69"/>
      <c r="BNJ58" s="69"/>
      <c r="BNK58" s="69"/>
      <c r="BNL58" s="69"/>
      <c r="BNM58" s="69"/>
      <c r="BNN58" s="69"/>
      <c r="BNO58" s="69"/>
      <c r="BNP58" s="69"/>
      <c r="BNQ58" s="69"/>
      <c r="BNR58" s="69"/>
      <c r="BNS58" s="69"/>
      <c r="BNT58" s="69"/>
      <c r="BNU58" s="69"/>
      <c r="BNV58" s="69"/>
      <c r="BNW58" s="69"/>
      <c r="BNX58" s="69"/>
      <c r="BNY58" s="69"/>
      <c r="BNZ58" s="69"/>
      <c r="BOA58" s="69"/>
      <c r="BOB58" s="69"/>
      <c r="BOC58" s="69"/>
      <c r="BOD58" s="69"/>
      <c r="BOE58" s="69"/>
      <c r="BOF58" s="69"/>
      <c r="BOG58" s="69"/>
      <c r="BOH58" s="69"/>
      <c r="BOI58" s="69"/>
      <c r="BOJ58" s="69"/>
      <c r="BOK58" s="69"/>
      <c r="BOL58" s="69"/>
      <c r="BOM58" s="69"/>
      <c r="BON58" s="69"/>
      <c r="BOO58" s="69"/>
      <c r="BOP58" s="69"/>
      <c r="BOQ58" s="69"/>
      <c r="BOR58" s="69"/>
      <c r="BOS58" s="69"/>
      <c r="BOT58" s="69"/>
      <c r="BOU58" s="69"/>
      <c r="BOV58" s="69"/>
      <c r="BOW58" s="69"/>
      <c r="BOX58" s="69"/>
      <c r="BOY58" s="69"/>
      <c r="BOZ58" s="69"/>
      <c r="BPA58" s="69"/>
      <c r="BPB58" s="69"/>
      <c r="BPC58" s="69"/>
      <c r="BPD58" s="69"/>
      <c r="BPE58" s="69"/>
      <c r="BPF58" s="69"/>
      <c r="BPG58" s="69"/>
      <c r="BPH58" s="69"/>
      <c r="BPI58" s="69"/>
      <c r="BPJ58" s="69"/>
      <c r="BPK58" s="69"/>
      <c r="BPL58" s="69"/>
      <c r="BPM58" s="69"/>
      <c r="BPN58" s="69"/>
      <c r="BPO58" s="69"/>
      <c r="BPP58" s="69"/>
      <c r="BPQ58" s="69"/>
      <c r="BPR58" s="69"/>
      <c r="BPS58" s="69"/>
      <c r="BPT58" s="69"/>
      <c r="BPU58" s="69"/>
      <c r="BPV58" s="69"/>
      <c r="BPW58" s="69"/>
      <c r="BPX58" s="69"/>
      <c r="BPY58" s="69"/>
      <c r="BPZ58" s="69"/>
      <c r="BQA58" s="69"/>
      <c r="BQB58" s="69"/>
      <c r="BQC58" s="69"/>
      <c r="BQD58" s="69"/>
      <c r="BQE58" s="69"/>
      <c r="BQF58" s="69"/>
      <c r="BQG58" s="69"/>
      <c r="BQH58" s="69"/>
      <c r="BQI58" s="69"/>
      <c r="BQJ58" s="69"/>
      <c r="BQK58" s="69"/>
      <c r="BQL58" s="69"/>
      <c r="BQM58" s="69"/>
      <c r="BQN58" s="69"/>
      <c r="BQO58" s="69"/>
      <c r="BQP58" s="69"/>
      <c r="BQQ58" s="69"/>
      <c r="BQR58" s="69"/>
      <c r="BQS58" s="69"/>
      <c r="BQT58" s="69"/>
      <c r="BQU58" s="69"/>
      <c r="BQV58" s="69"/>
      <c r="BQW58" s="69"/>
      <c r="BQX58" s="69"/>
      <c r="BQY58" s="69"/>
      <c r="BQZ58" s="69"/>
      <c r="BRA58" s="69"/>
      <c r="BRB58" s="69"/>
      <c r="BRC58" s="69"/>
      <c r="BRD58" s="69"/>
      <c r="BRE58" s="69"/>
      <c r="BRF58" s="69"/>
      <c r="BRG58" s="69"/>
      <c r="BRH58" s="69"/>
      <c r="BRI58" s="69"/>
      <c r="BRJ58" s="69"/>
      <c r="BRK58" s="69"/>
      <c r="BRL58" s="69"/>
      <c r="BRM58" s="69"/>
      <c r="BRN58" s="69"/>
      <c r="BRO58" s="69"/>
      <c r="BRP58" s="69"/>
      <c r="BRQ58" s="69"/>
      <c r="BRR58" s="69"/>
      <c r="BRS58" s="69"/>
      <c r="BRT58" s="69"/>
      <c r="BRU58" s="69"/>
      <c r="BRV58" s="69"/>
      <c r="BRW58" s="69"/>
      <c r="BRX58" s="69"/>
      <c r="BRY58" s="69"/>
      <c r="BRZ58" s="69"/>
      <c r="BSA58" s="69"/>
      <c r="BSB58" s="69"/>
      <c r="BSC58" s="69"/>
      <c r="BSD58" s="69"/>
      <c r="BSE58" s="69"/>
      <c r="BSF58" s="69"/>
      <c r="BSG58" s="69"/>
      <c r="BSH58" s="69"/>
      <c r="BSI58" s="69"/>
      <c r="BSJ58" s="69"/>
      <c r="BSK58" s="69"/>
      <c r="BSL58" s="69"/>
      <c r="BSM58" s="69"/>
      <c r="BSN58" s="69"/>
      <c r="BSO58" s="69"/>
      <c r="BSP58" s="69"/>
      <c r="BSQ58" s="69"/>
      <c r="BSR58" s="69"/>
      <c r="BSS58" s="69"/>
      <c r="BST58" s="69"/>
      <c r="BSU58" s="69"/>
      <c r="BSV58" s="69"/>
      <c r="BSW58" s="69"/>
      <c r="BSX58" s="69"/>
      <c r="BSY58" s="69"/>
      <c r="BSZ58" s="69"/>
      <c r="BTA58" s="69"/>
      <c r="BTB58" s="69"/>
      <c r="BTC58" s="69"/>
      <c r="BTD58" s="69"/>
      <c r="BTE58" s="69"/>
      <c r="BTF58" s="69"/>
      <c r="BTG58" s="69"/>
      <c r="BTH58" s="69"/>
      <c r="BTI58" s="69"/>
      <c r="BTJ58" s="69"/>
      <c r="BTK58" s="69"/>
      <c r="BTL58" s="69"/>
      <c r="BTM58" s="69"/>
      <c r="BTN58" s="69"/>
      <c r="BTO58" s="69"/>
      <c r="BTP58" s="69"/>
      <c r="BTQ58" s="69"/>
      <c r="BTR58" s="69"/>
      <c r="BTS58" s="69"/>
      <c r="BTT58" s="69"/>
      <c r="BTU58" s="69"/>
      <c r="BTV58" s="69"/>
      <c r="BTW58" s="69"/>
      <c r="BTX58" s="69"/>
      <c r="BTY58" s="69"/>
      <c r="BTZ58" s="69"/>
      <c r="BUA58" s="69"/>
      <c r="BUB58" s="69"/>
      <c r="BUC58" s="69"/>
      <c r="BUD58" s="69"/>
      <c r="BUE58" s="69"/>
      <c r="BUF58" s="69"/>
      <c r="BUG58" s="69"/>
      <c r="BUH58" s="69"/>
      <c r="BUI58" s="69"/>
      <c r="BUJ58" s="69"/>
      <c r="BUK58" s="69"/>
      <c r="BUL58" s="69"/>
      <c r="BUM58" s="69"/>
      <c r="BUN58" s="69"/>
      <c r="BUO58" s="69"/>
      <c r="BUP58" s="69"/>
      <c r="BUQ58" s="69"/>
      <c r="BUR58" s="69"/>
      <c r="BUS58" s="69"/>
      <c r="BUT58" s="69"/>
      <c r="BUU58" s="69"/>
      <c r="BUV58" s="69"/>
      <c r="BUW58" s="69"/>
      <c r="BUX58" s="69"/>
      <c r="BUY58" s="69"/>
      <c r="BUZ58" s="69"/>
      <c r="BVA58" s="69"/>
      <c r="BVB58" s="69"/>
      <c r="BVC58" s="69"/>
      <c r="BVD58" s="69"/>
      <c r="BVE58" s="69"/>
      <c r="BVF58" s="69"/>
      <c r="BVG58" s="69"/>
      <c r="BVH58" s="69"/>
      <c r="BVI58" s="69"/>
      <c r="BVJ58" s="69"/>
      <c r="BVK58" s="69"/>
      <c r="BVL58" s="69"/>
      <c r="BVM58" s="69"/>
      <c r="BVN58" s="69"/>
      <c r="BVO58" s="69"/>
      <c r="BVP58" s="69"/>
      <c r="BVQ58" s="69"/>
      <c r="BVR58" s="69"/>
      <c r="BVS58" s="69"/>
      <c r="BVT58" s="69"/>
      <c r="BVU58" s="69"/>
      <c r="BVV58" s="69"/>
      <c r="BVW58" s="69"/>
      <c r="BVX58" s="69"/>
      <c r="BVY58" s="69"/>
      <c r="BVZ58" s="69"/>
      <c r="BWA58" s="69"/>
      <c r="BWB58" s="69"/>
      <c r="BWC58" s="69"/>
      <c r="BWD58" s="69"/>
      <c r="BWE58" s="69"/>
      <c r="BWF58" s="69"/>
      <c r="BWG58" s="69"/>
      <c r="BWH58" s="69"/>
      <c r="BWI58" s="69"/>
      <c r="BWJ58" s="69"/>
      <c r="BWK58" s="69"/>
      <c r="BWL58" s="69"/>
      <c r="BWM58" s="69"/>
      <c r="BWN58" s="69"/>
      <c r="BWO58" s="69"/>
      <c r="BWP58" s="69"/>
      <c r="BWQ58" s="69"/>
      <c r="BWR58" s="69"/>
      <c r="BWS58" s="69"/>
      <c r="BWT58" s="69"/>
      <c r="BWU58" s="69"/>
      <c r="BWV58" s="69"/>
      <c r="BWW58" s="69"/>
      <c r="BWX58" s="69"/>
      <c r="BWY58" s="69"/>
      <c r="BWZ58" s="69"/>
      <c r="BXA58" s="69"/>
      <c r="BXB58" s="69"/>
      <c r="BXC58" s="69"/>
      <c r="BXD58" s="69"/>
      <c r="BXE58" s="69"/>
      <c r="BXF58" s="69"/>
      <c r="BXG58" s="69"/>
      <c r="BXH58" s="69"/>
      <c r="BXI58" s="69"/>
      <c r="BXJ58" s="69"/>
      <c r="BXK58" s="69"/>
      <c r="BXL58" s="69"/>
      <c r="BXM58" s="69"/>
      <c r="BXN58" s="69"/>
      <c r="BXO58" s="69"/>
      <c r="BXP58" s="69"/>
      <c r="BXQ58" s="69"/>
      <c r="BXR58" s="69"/>
      <c r="BXS58" s="69"/>
      <c r="BXT58" s="69"/>
      <c r="BXU58" s="69"/>
      <c r="BXV58" s="69"/>
      <c r="BXW58" s="69"/>
      <c r="BXX58" s="69"/>
      <c r="BXY58" s="69"/>
      <c r="BXZ58" s="69"/>
      <c r="BYA58" s="69"/>
      <c r="BYB58" s="69"/>
      <c r="BYC58" s="69"/>
      <c r="BYD58" s="69"/>
      <c r="BYE58" s="69"/>
      <c r="BYF58" s="69"/>
      <c r="BYG58" s="69"/>
      <c r="BYH58" s="69"/>
      <c r="BYI58" s="69"/>
      <c r="BYJ58" s="69"/>
      <c r="BYK58" s="69"/>
      <c r="BYL58" s="69"/>
      <c r="BYM58" s="69"/>
      <c r="BYN58" s="69"/>
      <c r="BYO58" s="69"/>
      <c r="BYP58" s="69"/>
      <c r="BYQ58" s="69"/>
      <c r="BYR58" s="69"/>
      <c r="BYS58" s="69"/>
      <c r="BYT58" s="69"/>
      <c r="BYU58" s="69"/>
      <c r="BYV58" s="69"/>
      <c r="BYW58" s="69"/>
      <c r="BYX58" s="69"/>
      <c r="BYY58" s="69"/>
      <c r="BYZ58" s="69"/>
      <c r="BZA58" s="69"/>
      <c r="BZB58" s="69"/>
      <c r="BZC58" s="69"/>
      <c r="BZD58" s="69"/>
      <c r="BZE58" s="69"/>
      <c r="BZF58" s="69"/>
      <c r="BZG58" s="69"/>
      <c r="BZH58" s="69"/>
      <c r="BZI58" s="69"/>
      <c r="BZJ58" s="69"/>
      <c r="BZK58" s="69"/>
      <c r="BZL58" s="69"/>
      <c r="BZM58" s="69"/>
      <c r="BZN58" s="69"/>
      <c r="BZO58" s="69"/>
      <c r="BZP58" s="69"/>
      <c r="BZQ58" s="69"/>
      <c r="BZR58" s="69"/>
      <c r="BZS58" s="69"/>
      <c r="BZT58" s="69"/>
      <c r="BZU58" s="69"/>
      <c r="BZV58" s="69"/>
      <c r="BZW58" s="69"/>
      <c r="BZX58" s="69"/>
      <c r="BZY58" s="69"/>
      <c r="BZZ58" s="69"/>
      <c r="CAA58" s="69"/>
      <c r="CAB58" s="69"/>
      <c r="CAC58" s="69"/>
      <c r="CAD58" s="69"/>
      <c r="CAE58" s="69"/>
      <c r="CAF58" s="69"/>
      <c r="CAG58" s="69"/>
      <c r="CAH58" s="69"/>
      <c r="CAI58" s="69"/>
      <c r="CAJ58" s="69"/>
      <c r="CAK58" s="69"/>
      <c r="CAL58" s="69"/>
      <c r="CAM58" s="69"/>
      <c r="CAN58" s="69"/>
      <c r="CAO58" s="69"/>
      <c r="CAP58" s="69"/>
      <c r="CAQ58" s="69"/>
      <c r="CAR58" s="69"/>
      <c r="CAS58" s="69"/>
      <c r="CAT58" s="69"/>
      <c r="CAU58" s="69"/>
      <c r="CAV58" s="69"/>
      <c r="CAW58" s="69"/>
      <c r="CAX58" s="69"/>
      <c r="CAY58" s="69"/>
      <c r="CAZ58" s="69"/>
      <c r="CBA58" s="69"/>
      <c r="CBB58" s="69"/>
      <c r="CBC58" s="69"/>
      <c r="CBD58" s="69"/>
      <c r="CBE58" s="69"/>
      <c r="CBF58" s="69"/>
      <c r="CBG58" s="69"/>
      <c r="CBH58" s="69"/>
      <c r="CBI58" s="69"/>
      <c r="CBJ58" s="69"/>
      <c r="CBK58" s="69"/>
      <c r="CBL58" s="69"/>
      <c r="CBM58" s="69"/>
      <c r="CBN58" s="69"/>
      <c r="CBO58" s="69"/>
      <c r="CBP58" s="69"/>
      <c r="CBQ58" s="69"/>
      <c r="CBR58" s="69"/>
      <c r="CBS58" s="69"/>
      <c r="CBT58" s="69"/>
      <c r="CBU58" s="69"/>
      <c r="CBV58" s="69"/>
      <c r="CBW58" s="69"/>
      <c r="CBX58" s="69"/>
      <c r="CBY58" s="69"/>
      <c r="CBZ58" s="69"/>
      <c r="CCA58" s="69"/>
      <c r="CCB58" s="69"/>
      <c r="CCC58" s="69"/>
      <c r="CCD58" s="69"/>
      <c r="CCE58" s="69"/>
      <c r="CCF58" s="69"/>
      <c r="CCG58" s="69"/>
      <c r="CCH58" s="69"/>
      <c r="CCI58" s="69"/>
      <c r="CCJ58" s="69"/>
      <c r="CCK58" s="69"/>
      <c r="CCL58" s="69"/>
      <c r="CCM58" s="69"/>
      <c r="CCN58" s="69"/>
      <c r="CCO58" s="69"/>
      <c r="CCP58" s="69"/>
      <c r="CCQ58" s="69"/>
      <c r="CCR58" s="69"/>
      <c r="CCS58" s="69"/>
      <c r="CCT58" s="69"/>
      <c r="CCU58" s="69"/>
      <c r="CCV58" s="69"/>
      <c r="CCW58" s="69"/>
      <c r="CCX58" s="69"/>
      <c r="CCY58" s="69"/>
      <c r="CCZ58" s="69"/>
      <c r="CDA58" s="69"/>
      <c r="CDB58" s="69"/>
      <c r="CDC58" s="69"/>
      <c r="CDD58" s="69"/>
      <c r="CDE58" s="69"/>
      <c r="CDF58" s="69"/>
      <c r="CDG58" s="69"/>
      <c r="CDH58" s="69"/>
      <c r="CDI58" s="69"/>
      <c r="CDJ58" s="69"/>
      <c r="CDK58" s="69"/>
      <c r="CDL58" s="69"/>
      <c r="CDM58" s="69"/>
      <c r="CDN58" s="69"/>
      <c r="CDO58" s="69"/>
      <c r="CDP58" s="69"/>
      <c r="CDQ58" s="69"/>
      <c r="CDR58" s="69"/>
      <c r="CDS58" s="69"/>
      <c r="CDT58" s="69"/>
      <c r="CDU58" s="69"/>
      <c r="CDV58" s="69"/>
      <c r="CDW58" s="69"/>
      <c r="CDX58" s="69"/>
      <c r="CDY58" s="69"/>
      <c r="CDZ58" s="69"/>
      <c r="CEA58" s="69"/>
      <c r="CEB58" s="69"/>
      <c r="CEC58" s="69"/>
      <c r="CED58" s="69"/>
      <c r="CEE58" s="69"/>
      <c r="CEF58" s="69"/>
      <c r="CEG58" s="69"/>
      <c r="CEH58" s="69"/>
      <c r="CEI58" s="69"/>
      <c r="CEJ58" s="69"/>
      <c r="CEK58" s="69"/>
      <c r="CEL58" s="69"/>
      <c r="CEM58" s="69"/>
      <c r="CEN58" s="69"/>
      <c r="CEO58" s="69"/>
      <c r="CEP58" s="69"/>
      <c r="CEQ58" s="69"/>
      <c r="CER58" s="69"/>
      <c r="CES58" s="69"/>
      <c r="CET58" s="69"/>
      <c r="CEU58" s="69"/>
      <c r="CEV58" s="69"/>
      <c r="CEW58" s="69"/>
      <c r="CEX58" s="69"/>
      <c r="CEY58" s="69"/>
      <c r="CEZ58" s="69"/>
      <c r="CFA58" s="69"/>
      <c r="CFB58" s="69"/>
      <c r="CFC58" s="69"/>
      <c r="CFD58" s="69"/>
      <c r="CFE58" s="69"/>
      <c r="CFF58" s="69"/>
      <c r="CFG58" s="69"/>
      <c r="CFH58" s="69"/>
      <c r="CFI58" s="69"/>
      <c r="CFJ58" s="69"/>
      <c r="CFK58" s="69"/>
      <c r="CFL58" s="69"/>
      <c r="CFM58" s="69"/>
      <c r="CFN58" s="69"/>
      <c r="CFO58" s="69"/>
      <c r="CFP58" s="69"/>
      <c r="CFQ58" s="69"/>
      <c r="CFR58" s="69"/>
      <c r="CFS58" s="69"/>
      <c r="CFT58" s="69"/>
      <c r="CFU58" s="69"/>
      <c r="CFV58" s="69"/>
      <c r="CFW58" s="69"/>
      <c r="CFX58" s="69"/>
      <c r="CFY58" s="69"/>
      <c r="CFZ58" s="69"/>
      <c r="CGA58" s="69"/>
      <c r="CGB58" s="69"/>
      <c r="CGC58" s="69"/>
      <c r="CGD58" s="69"/>
      <c r="CGE58" s="69"/>
      <c r="CGF58" s="69"/>
      <c r="CGG58" s="69"/>
      <c r="CGH58" s="69"/>
      <c r="CGI58" s="69"/>
      <c r="CGJ58" s="69"/>
      <c r="CGK58" s="69"/>
      <c r="CGL58" s="69"/>
      <c r="CGM58" s="69"/>
      <c r="CGN58" s="69"/>
      <c r="CGO58" s="69"/>
      <c r="CGP58" s="69"/>
      <c r="CGQ58" s="69"/>
      <c r="CGR58" s="69"/>
      <c r="CGS58" s="69"/>
      <c r="CGT58" s="69"/>
      <c r="CGU58" s="69"/>
      <c r="CGV58" s="69"/>
      <c r="CGW58" s="69"/>
      <c r="CGX58" s="69"/>
      <c r="CGY58" s="69"/>
      <c r="CGZ58" s="69"/>
      <c r="CHA58" s="69"/>
      <c r="CHB58" s="69"/>
      <c r="CHC58" s="69"/>
      <c r="CHD58" s="69"/>
      <c r="CHE58" s="69"/>
      <c r="CHF58" s="69"/>
      <c r="CHG58" s="69"/>
      <c r="CHH58" s="69"/>
      <c r="CHI58" s="69"/>
      <c r="CHJ58" s="69"/>
      <c r="CHK58" s="69"/>
      <c r="CHL58" s="69"/>
      <c r="CHM58" s="69"/>
      <c r="CHN58" s="69"/>
      <c r="CHO58" s="69"/>
      <c r="CHP58" s="69"/>
      <c r="CHQ58" s="69"/>
      <c r="CHR58" s="69"/>
      <c r="CHS58" s="69"/>
      <c r="CHT58" s="69"/>
      <c r="CHU58" s="69"/>
      <c r="CHV58" s="69"/>
      <c r="CHW58" s="69"/>
      <c r="CHX58" s="69"/>
      <c r="CHY58" s="69"/>
      <c r="CHZ58" s="69"/>
      <c r="CIA58" s="69"/>
      <c r="CIB58" s="69"/>
      <c r="CIC58" s="69"/>
      <c r="CID58" s="69"/>
      <c r="CIE58" s="69"/>
      <c r="CIF58" s="69"/>
      <c r="CIG58" s="69"/>
      <c r="CIH58" s="69"/>
      <c r="CII58" s="69"/>
      <c r="CIJ58" s="69"/>
      <c r="CIK58" s="69"/>
      <c r="CIL58" s="69"/>
      <c r="CIM58" s="69"/>
      <c r="CIN58" s="69"/>
      <c r="CIO58" s="69"/>
      <c r="CIP58" s="69"/>
      <c r="CIQ58" s="69"/>
      <c r="CIR58" s="69"/>
      <c r="CIS58" s="69"/>
      <c r="CIT58" s="69"/>
      <c r="CIU58" s="69"/>
      <c r="CIV58" s="69"/>
      <c r="CIW58" s="69"/>
      <c r="CIX58" s="69"/>
      <c r="CIY58" s="69"/>
      <c r="CIZ58" s="69"/>
      <c r="CJA58" s="69"/>
      <c r="CJB58" s="69"/>
      <c r="CJC58" s="69"/>
      <c r="CJD58" s="69"/>
      <c r="CJE58" s="69"/>
      <c r="CJF58" s="69"/>
      <c r="CJG58" s="69"/>
      <c r="CJH58" s="69"/>
      <c r="CJI58" s="69"/>
      <c r="CJJ58" s="69"/>
      <c r="CJK58" s="69"/>
      <c r="CJL58" s="69"/>
      <c r="CJM58" s="69"/>
      <c r="CJN58" s="69"/>
      <c r="CJO58" s="69"/>
      <c r="CJP58" s="69"/>
      <c r="CJQ58" s="69"/>
      <c r="CJR58" s="69"/>
      <c r="CJS58" s="69"/>
      <c r="CJT58" s="69"/>
      <c r="CJU58" s="69"/>
      <c r="CJV58" s="69"/>
      <c r="CJW58" s="69"/>
      <c r="CJX58" s="69"/>
      <c r="CJY58" s="69"/>
      <c r="CJZ58" s="69"/>
      <c r="CKA58" s="69"/>
      <c r="CKB58" s="69"/>
      <c r="CKC58" s="69"/>
      <c r="CKD58" s="69"/>
      <c r="CKE58" s="69"/>
      <c r="CKF58" s="69"/>
      <c r="CKG58" s="69"/>
      <c r="CKH58" s="69"/>
      <c r="CKI58" s="69"/>
      <c r="CKJ58" s="69"/>
      <c r="CKK58" s="69"/>
      <c r="CKL58" s="69"/>
      <c r="CKM58" s="69"/>
      <c r="CKN58" s="69"/>
      <c r="CKO58" s="69"/>
      <c r="CKP58" s="69"/>
      <c r="CKQ58" s="69"/>
      <c r="CKR58" s="69"/>
      <c r="CKS58" s="69"/>
      <c r="CKT58" s="69"/>
      <c r="CKU58" s="69"/>
      <c r="CKV58" s="69"/>
      <c r="CKW58" s="69"/>
      <c r="CKX58" s="69"/>
      <c r="CKY58" s="69"/>
      <c r="CKZ58" s="69"/>
      <c r="CLA58" s="69"/>
      <c r="CLB58" s="69"/>
      <c r="CLC58" s="69"/>
      <c r="CLD58" s="69"/>
      <c r="CLE58" s="69"/>
      <c r="CLF58" s="69"/>
      <c r="CLG58" s="69"/>
      <c r="CLH58" s="69"/>
      <c r="CLI58" s="69"/>
      <c r="CLJ58" s="69"/>
      <c r="CLK58" s="69"/>
      <c r="CLL58" s="69"/>
      <c r="CLM58" s="69"/>
      <c r="CLN58" s="69"/>
      <c r="CLO58" s="69"/>
      <c r="CLP58" s="69"/>
      <c r="CLQ58" s="69"/>
      <c r="CLR58" s="69"/>
      <c r="CLS58" s="69"/>
      <c r="CLT58" s="69"/>
      <c r="CLU58" s="69"/>
      <c r="CLV58" s="69"/>
      <c r="CLW58" s="69"/>
      <c r="CLX58" s="69"/>
      <c r="CLY58" s="69"/>
      <c r="CLZ58" s="69"/>
      <c r="CMA58" s="69"/>
      <c r="CMB58" s="69"/>
      <c r="CMC58" s="69"/>
      <c r="CMD58" s="69"/>
      <c r="CME58" s="69"/>
      <c r="CMF58" s="69"/>
      <c r="CMG58" s="69"/>
      <c r="CMH58" s="69"/>
      <c r="CMI58" s="69"/>
      <c r="CMJ58" s="69"/>
      <c r="CMK58" s="69"/>
      <c r="CML58" s="69"/>
      <c r="CMM58" s="69"/>
      <c r="CMN58" s="69"/>
      <c r="CMO58" s="69"/>
      <c r="CMP58" s="69"/>
      <c r="CMQ58" s="69"/>
      <c r="CMR58" s="69"/>
      <c r="CMS58" s="69"/>
      <c r="CMT58" s="69"/>
      <c r="CMU58" s="69"/>
      <c r="CMV58" s="69"/>
      <c r="CMW58" s="69"/>
      <c r="CMX58" s="69"/>
      <c r="CMY58" s="69"/>
      <c r="CMZ58" s="69"/>
      <c r="CNA58" s="69"/>
      <c r="CNB58" s="69"/>
      <c r="CNC58" s="69"/>
      <c r="CND58" s="69"/>
      <c r="CNE58" s="69"/>
      <c r="CNF58" s="69"/>
      <c r="CNG58" s="69"/>
      <c r="CNH58" s="69"/>
      <c r="CNI58" s="69"/>
      <c r="CNJ58" s="69"/>
      <c r="CNK58" s="69"/>
      <c r="CNL58" s="69"/>
      <c r="CNM58" s="69"/>
      <c r="CNN58" s="69"/>
      <c r="CNO58" s="69"/>
      <c r="CNP58" s="69"/>
      <c r="CNQ58" s="69"/>
      <c r="CNR58" s="69"/>
      <c r="CNS58" s="69"/>
      <c r="CNT58" s="69"/>
      <c r="CNU58" s="69"/>
      <c r="CNV58" s="69"/>
      <c r="CNW58" s="69"/>
      <c r="CNX58" s="69"/>
      <c r="CNY58" s="69"/>
      <c r="CNZ58" s="69"/>
      <c r="COA58" s="69"/>
      <c r="COB58" s="69"/>
      <c r="COC58" s="69"/>
      <c r="COD58" s="69"/>
      <c r="COE58" s="69"/>
      <c r="COF58" s="69"/>
      <c r="COG58" s="69"/>
      <c r="COH58" s="69"/>
      <c r="COI58" s="69"/>
      <c r="COJ58" s="69"/>
      <c r="COK58" s="69"/>
      <c r="COL58" s="69"/>
      <c r="COM58" s="69"/>
      <c r="CON58" s="69"/>
      <c r="COO58" s="69"/>
      <c r="COP58" s="69"/>
      <c r="COQ58" s="69"/>
      <c r="COR58" s="69"/>
      <c r="COS58" s="69"/>
      <c r="COT58" s="69"/>
      <c r="COU58" s="69"/>
      <c r="COV58" s="69"/>
      <c r="COW58" s="69"/>
      <c r="COX58" s="69"/>
      <c r="COY58" s="69"/>
      <c r="COZ58" s="69"/>
      <c r="CPA58" s="69"/>
      <c r="CPB58" s="69"/>
      <c r="CPC58" s="69"/>
      <c r="CPD58" s="69"/>
      <c r="CPE58" s="69"/>
      <c r="CPF58" s="69"/>
      <c r="CPG58" s="69"/>
      <c r="CPH58" s="69"/>
      <c r="CPI58" s="69"/>
      <c r="CPJ58" s="69"/>
      <c r="CPK58" s="69"/>
      <c r="CPL58" s="69"/>
      <c r="CPM58" s="69"/>
      <c r="CPN58" s="69"/>
      <c r="CPO58" s="69"/>
      <c r="CPP58" s="69"/>
      <c r="CPQ58" s="69"/>
      <c r="CPR58" s="69"/>
      <c r="CPS58" s="69"/>
      <c r="CPT58" s="69"/>
      <c r="CPU58" s="69"/>
      <c r="CPV58" s="69"/>
      <c r="CPW58" s="69"/>
      <c r="CPX58" s="69"/>
      <c r="CPY58" s="69"/>
      <c r="CPZ58" s="69"/>
      <c r="CQA58" s="69"/>
      <c r="CQB58" s="69"/>
      <c r="CQC58" s="69"/>
      <c r="CQD58" s="69"/>
      <c r="CQE58" s="69"/>
      <c r="CQF58" s="69"/>
      <c r="CQG58" s="69"/>
      <c r="CQH58" s="69"/>
      <c r="CQI58" s="69"/>
      <c r="CQJ58" s="69"/>
      <c r="CQK58" s="69"/>
      <c r="CQL58" s="69"/>
      <c r="CQM58" s="69"/>
      <c r="CQN58" s="69"/>
      <c r="CQO58" s="69"/>
      <c r="CQP58" s="69"/>
      <c r="CQQ58" s="69"/>
      <c r="CQR58" s="69"/>
      <c r="CQS58" s="69"/>
      <c r="CQT58" s="69"/>
      <c r="CQU58" s="69"/>
      <c r="CQV58" s="69"/>
      <c r="CQW58" s="69"/>
      <c r="CQX58" s="69"/>
      <c r="CQY58" s="69"/>
      <c r="CQZ58" s="69"/>
      <c r="CRA58" s="69"/>
      <c r="CRB58" s="69"/>
      <c r="CRC58" s="69"/>
      <c r="CRD58" s="69"/>
      <c r="CRE58" s="69"/>
      <c r="CRF58" s="69"/>
      <c r="CRG58" s="69"/>
      <c r="CRH58" s="69"/>
      <c r="CRI58" s="69"/>
      <c r="CRJ58" s="69"/>
      <c r="CRK58" s="69"/>
      <c r="CRL58" s="69"/>
      <c r="CRM58" s="69"/>
      <c r="CRN58" s="69"/>
      <c r="CRO58" s="69"/>
      <c r="CRP58" s="69"/>
      <c r="CRQ58" s="69"/>
      <c r="CRR58" s="69"/>
      <c r="CRS58" s="69"/>
      <c r="CRT58" s="69"/>
      <c r="CRU58" s="69"/>
      <c r="CRV58" s="69"/>
      <c r="CRW58" s="69"/>
      <c r="CRX58" s="69"/>
      <c r="CRY58" s="69"/>
      <c r="CRZ58" s="69"/>
      <c r="CSA58" s="69"/>
      <c r="CSB58" s="69"/>
      <c r="CSC58" s="69"/>
      <c r="CSD58" s="69"/>
      <c r="CSE58" s="69"/>
      <c r="CSF58" s="69"/>
      <c r="CSG58" s="69"/>
      <c r="CSH58" s="69"/>
      <c r="CSI58" s="69"/>
      <c r="CSJ58" s="69"/>
      <c r="CSK58" s="69"/>
      <c r="CSL58" s="69"/>
      <c r="CSM58" s="69"/>
      <c r="CSN58" s="69"/>
      <c r="CSO58" s="69"/>
      <c r="CSP58" s="69"/>
      <c r="CSQ58" s="69"/>
      <c r="CSR58" s="69"/>
      <c r="CSS58" s="69"/>
      <c r="CST58" s="69"/>
      <c r="CSU58" s="69"/>
      <c r="CSV58" s="69"/>
      <c r="CSW58" s="69"/>
      <c r="CSX58" s="69"/>
      <c r="CSY58" s="69"/>
      <c r="CSZ58" s="69"/>
      <c r="CTA58" s="69"/>
      <c r="CTB58" s="69"/>
      <c r="CTC58" s="69"/>
      <c r="CTD58" s="69"/>
      <c r="CTE58" s="69"/>
      <c r="CTF58" s="69"/>
      <c r="CTG58" s="69"/>
      <c r="CTH58" s="69"/>
      <c r="CTI58" s="69"/>
      <c r="CTJ58" s="69"/>
      <c r="CTK58" s="69"/>
      <c r="CTL58" s="69"/>
      <c r="CTM58" s="69"/>
      <c r="CTN58" s="69"/>
      <c r="CTO58" s="69"/>
      <c r="CTP58" s="69"/>
      <c r="CTQ58" s="69"/>
      <c r="CTR58" s="69"/>
      <c r="CTS58" s="69"/>
      <c r="CTT58" s="69"/>
      <c r="CTU58" s="69"/>
      <c r="CTV58" s="69"/>
      <c r="CTW58" s="69"/>
      <c r="CTX58" s="69"/>
      <c r="CTY58" s="69"/>
      <c r="CTZ58" s="69"/>
      <c r="CUA58" s="69"/>
      <c r="CUB58" s="69"/>
      <c r="CUC58" s="69"/>
      <c r="CUD58" s="69"/>
      <c r="CUE58" s="69"/>
      <c r="CUF58" s="69"/>
      <c r="CUG58" s="69"/>
      <c r="CUH58" s="69"/>
      <c r="CUI58" s="69"/>
      <c r="CUJ58" s="69"/>
      <c r="CUK58" s="69"/>
      <c r="CUL58" s="69"/>
      <c r="CUM58" s="69"/>
      <c r="CUN58" s="69"/>
      <c r="CUO58" s="69"/>
      <c r="CUP58" s="69"/>
      <c r="CUQ58" s="69"/>
      <c r="CUR58" s="69"/>
      <c r="CUS58" s="69"/>
      <c r="CUT58" s="69"/>
      <c r="CUU58" s="69"/>
      <c r="CUV58" s="69"/>
      <c r="CUW58" s="69"/>
      <c r="CUX58" s="69"/>
      <c r="CUY58" s="69"/>
      <c r="CUZ58" s="69"/>
      <c r="CVA58" s="69"/>
      <c r="CVB58" s="69"/>
      <c r="CVC58" s="69"/>
      <c r="CVD58" s="69"/>
      <c r="CVE58" s="69"/>
      <c r="CVF58" s="69"/>
      <c r="CVG58" s="69"/>
      <c r="CVH58" s="69"/>
      <c r="CVI58" s="69"/>
      <c r="CVJ58" s="69"/>
      <c r="CVK58" s="69"/>
      <c r="CVL58" s="69"/>
      <c r="CVM58" s="69"/>
      <c r="CVN58" s="69"/>
      <c r="CVO58" s="69"/>
      <c r="CVP58" s="69"/>
      <c r="CVQ58" s="69"/>
      <c r="CVR58" s="69"/>
      <c r="CVS58" s="69"/>
      <c r="CVT58" s="69"/>
      <c r="CVU58" s="69"/>
      <c r="CVV58" s="69"/>
      <c r="CVW58" s="69"/>
      <c r="CVX58" s="69"/>
      <c r="CVY58" s="69"/>
      <c r="CVZ58" s="69"/>
      <c r="CWA58" s="69"/>
      <c r="CWB58" s="69"/>
      <c r="CWC58" s="69"/>
      <c r="CWD58" s="69"/>
      <c r="CWE58" s="69"/>
      <c r="CWF58" s="69"/>
      <c r="CWG58" s="69"/>
      <c r="CWH58" s="69"/>
      <c r="CWI58" s="69"/>
      <c r="CWJ58" s="69"/>
      <c r="CWK58" s="69"/>
      <c r="CWL58" s="69"/>
      <c r="CWM58" s="69"/>
      <c r="CWN58" s="69"/>
      <c r="CWO58" s="69"/>
      <c r="CWP58" s="69"/>
      <c r="CWQ58" s="69"/>
      <c r="CWR58" s="69"/>
      <c r="CWS58" s="69"/>
      <c r="CWT58" s="69"/>
      <c r="CWU58" s="69"/>
      <c r="CWV58" s="69"/>
      <c r="CWW58" s="69"/>
      <c r="CWX58" s="69"/>
      <c r="CWY58" s="69"/>
      <c r="CWZ58" s="69"/>
      <c r="CXA58" s="69"/>
      <c r="CXB58" s="69"/>
      <c r="CXC58" s="69"/>
      <c r="CXD58" s="69"/>
      <c r="CXE58" s="69"/>
      <c r="CXF58" s="69"/>
      <c r="CXG58" s="69"/>
      <c r="CXH58" s="69"/>
      <c r="CXI58" s="69"/>
      <c r="CXJ58" s="69"/>
      <c r="CXK58" s="69"/>
      <c r="CXL58" s="69"/>
      <c r="CXM58" s="69"/>
      <c r="CXN58" s="69"/>
      <c r="CXO58" s="69"/>
      <c r="CXP58" s="69"/>
      <c r="CXQ58" s="69"/>
      <c r="CXR58" s="69"/>
      <c r="CXS58" s="69"/>
      <c r="CXT58" s="69"/>
      <c r="CXU58" s="69"/>
      <c r="CXV58" s="69"/>
      <c r="CXW58" s="69"/>
      <c r="CXX58" s="69"/>
      <c r="CXY58" s="69"/>
      <c r="CXZ58" s="69"/>
      <c r="CYA58" s="69"/>
      <c r="CYB58" s="69"/>
      <c r="CYC58" s="69"/>
      <c r="CYD58" s="69"/>
      <c r="CYE58" s="69"/>
      <c r="CYF58" s="69"/>
      <c r="CYG58" s="69"/>
      <c r="CYH58" s="69"/>
      <c r="CYI58" s="69"/>
      <c r="CYJ58" s="69"/>
      <c r="CYK58" s="69"/>
      <c r="CYL58" s="69"/>
      <c r="CYM58" s="69"/>
      <c r="CYN58" s="69"/>
      <c r="CYO58" s="69"/>
      <c r="CYP58" s="69"/>
      <c r="CYQ58" s="69"/>
      <c r="CYR58" s="69"/>
      <c r="CYS58" s="69"/>
      <c r="CYT58" s="69"/>
      <c r="CYU58" s="69"/>
      <c r="CYV58" s="69"/>
      <c r="CYW58" s="69"/>
      <c r="CYX58" s="69"/>
      <c r="CYY58" s="69"/>
      <c r="CYZ58" s="69"/>
      <c r="CZA58" s="69"/>
      <c r="CZB58" s="69"/>
      <c r="CZC58" s="69"/>
      <c r="CZD58" s="69"/>
      <c r="CZE58" s="69"/>
      <c r="CZF58" s="69"/>
      <c r="CZG58" s="69"/>
      <c r="CZH58" s="69"/>
      <c r="CZI58" s="69"/>
      <c r="CZJ58" s="69"/>
      <c r="CZK58" s="69"/>
      <c r="CZL58" s="69"/>
      <c r="CZM58" s="69"/>
      <c r="CZN58" s="69"/>
      <c r="CZO58" s="69"/>
      <c r="CZP58" s="69"/>
      <c r="CZQ58" s="69"/>
      <c r="CZR58" s="69"/>
      <c r="CZS58" s="69"/>
      <c r="CZT58" s="69"/>
      <c r="CZU58" s="69"/>
      <c r="CZV58" s="69"/>
      <c r="CZW58" s="69"/>
      <c r="CZX58" s="69"/>
      <c r="CZY58" s="69"/>
      <c r="CZZ58" s="69"/>
      <c r="DAA58" s="69"/>
      <c r="DAB58" s="69"/>
      <c r="DAC58" s="69"/>
      <c r="DAD58" s="69"/>
      <c r="DAE58" s="69"/>
      <c r="DAF58" s="69"/>
      <c r="DAG58" s="69"/>
      <c r="DAH58" s="69"/>
      <c r="DAI58" s="69"/>
      <c r="DAJ58" s="69"/>
      <c r="DAK58" s="69"/>
      <c r="DAL58" s="69"/>
      <c r="DAM58" s="69"/>
      <c r="DAN58" s="69"/>
      <c r="DAO58" s="69"/>
      <c r="DAP58" s="69"/>
      <c r="DAQ58" s="69"/>
      <c r="DAR58" s="69"/>
      <c r="DAS58" s="69"/>
      <c r="DAT58" s="69"/>
      <c r="DAU58" s="69"/>
      <c r="DAV58" s="69"/>
      <c r="DAW58" s="69"/>
      <c r="DAX58" s="69"/>
      <c r="DAY58" s="69"/>
      <c r="DAZ58" s="69"/>
      <c r="DBA58" s="69"/>
      <c r="DBB58" s="69"/>
      <c r="DBC58" s="69"/>
      <c r="DBD58" s="69"/>
      <c r="DBE58" s="69"/>
      <c r="DBF58" s="69"/>
      <c r="DBG58" s="69"/>
      <c r="DBH58" s="69"/>
      <c r="DBI58" s="69"/>
      <c r="DBJ58" s="69"/>
      <c r="DBK58" s="69"/>
      <c r="DBL58" s="69"/>
      <c r="DBM58" s="69"/>
      <c r="DBN58" s="69"/>
      <c r="DBO58" s="69"/>
      <c r="DBP58" s="69"/>
      <c r="DBQ58" s="69"/>
      <c r="DBR58" s="69"/>
      <c r="DBS58" s="69"/>
      <c r="DBT58" s="69"/>
      <c r="DBU58" s="69"/>
      <c r="DBV58" s="69"/>
      <c r="DBW58" s="69"/>
      <c r="DBX58" s="69"/>
      <c r="DBY58" s="69"/>
      <c r="DBZ58" s="69"/>
      <c r="DCA58" s="69"/>
      <c r="DCB58" s="69"/>
      <c r="DCC58" s="69"/>
      <c r="DCD58" s="69"/>
      <c r="DCE58" s="69"/>
      <c r="DCF58" s="69"/>
      <c r="DCG58" s="69"/>
      <c r="DCH58" s="69"/>
      <c r="DCI58" s="69"/>
      <c r="DCJ58" s="69"/>
      <c r="DCK58" s="69"/>
      <c r="DCL58" s="69"/>
      <c r="DCM58" s="69"/>
      <c r="DCN58" s="69"/>
      <c r="DCO58" s="69"/>
      <c r="DCP58" s="69"/>
      <c r="DCQ58" s="69"/>
      <c r="DCR58" s="69"/>
      <c r="DCS58" s="69"/>
      <c r="DCT58" s="69"/>
      <c r="DCU58" s="69"/>
      <c r="DCV58" s="69"/>
      <c r="DCW58" s="69"/>
      <c r="DCX58" s="69"/>
      <c r="DCY58" s="69"/>
      <c r="DCZ58" s="69"/>
      <c r="DDA58" s="69"/>
      <c r="DDB58" s="69"/>
      <c r="DDC58" s="69"/>
      <c r="DDD58" s="69"/>
      <c r="DDE58" s="69"/>
      <c r="DDF58" s="69"/>
      <c r="DDG58" s="69"/>
      <c r="DDH58" s="69"/>
      <c r="DDI58" s="69"/>
      <c r="DDJ58" s="69"/>
      <c r="DDK58" s="69"/>
      <c r="DDL58" s="69"/>
      <c r="DDM58" s="69"/>
      <c r="DDN58" s="69"/>
      <c r="DDO58" s="69"/>
      <c r="DDP58" s="69"/>
      <c r="DDQ58" s="69"/>
      <c r="DDR58" s="69"/>
      <c r="DDS58" s="69"/>
      <c r="DDT58" s="69"/>
      <c r="DDU58" s="69"/>
      <c r="DDV58" s="69"/>
      <c r="DDW58" s="69"/>
      <c r="DDX58" s="69"/>
      <c r="DDY58" s="69"/>
      <c r="DDZ58" s="69"/>
      <c r="DEA58" s="69"/>
      <c r="DEB58" s="69"/>
      <c r="DEC58" s="69"/>
      <c r="DED58" s="69"/>
      <c r="DEE58" s="69"/>
      <c r="DEF58" s="69"/>
      <c r="DEG58" s="69"/>
      <c r="DEH58" s="69"/>
      <c r="DEI58" s="69"/>
      <c r="DEJ58" s="69"/>
      <c r="DEK58" s="69"/>
      <c r="DEL58" s="69"/>
      <c r="DEM58" s="69"/>
      <c r="DEN58" s="69"/>
      <c r="DEO58" s="69"/>
      <c r="DEP58" s="69"/>
      <c r="DEQ58" s="69"/>
      <c r="DER58" s="69"/>
      <c r="DES58" s="69"/>
      <c r="DET58" s="69"/>
      <c r="DEU58" s="69"/>
      <c r="DEV58" s="69"/>
      <c r="DEW58" s="69"/>
      <c r="DEX58" s="69"/>
      <c r="DEY58" s="69"/>
      <c r="DEZ58" s="69"/>
      <c r="DFA58" s="69"/>
      <c r="DFB58" s="69"/>
      <c r="DFC58" s="69"/>
      <c r="DFD58" s="69"/>
      <c r="DFE58" s="69"/>
      <c r="DFF58" s="69"/>
      <c r="DFG58" s="69"/>
      <c r="DFH58" s="69"/>
      <c r="DFI58" s="69"/>
      <c r="DFJ58" s="69"/>
      <c r="DFK58" s="69"/>
      <c r="DFL58" s="69"/>
      <c r="DFM58" s="69"/>
      <c r="DFN58" s="69"/>
      <c r="DFO58" s="69"/>
      <c r="DFP58" s="69"/>
      <c r="DFQ58" s="69"/>
      <c r="DFR58" s="69"/>
      <c r="DFS58" s="69"/>
      <c r="DFT58" s="69"/>
      <c r="DFU58" s="69"/>
      <c r="DFV58" s="69"/>
      <c r="DFW58" s="69"/>
      <c r="DFX58" s="69"/>
      <c r="DFY58" s="69"/>
      <c r="DFZ58" s="69"/>
      <c r="DGA58" s="69"/>
      <c r="DGB58" s="69"/>
      <c r="DGC58" s="69"/>
      <c r="DGD58" s="69"/>
      <c r="DGE58" s="69"/>
      <c r="DGF58" s="69"/>
      <c r="DGG58" s="69"/>
      <c r="DGH58" s="69"/>
      <c r="DGI58" s="69"/>
      <c r="DGJ58" s="69"/>
      <c r="DGK58" s="69"/>
      <c r="DGL58" s="69"/>
      <c r="DGM58" s="69"/>
      <c r="DGN58" s="69"/>
      <c r="DGO58" s="69"/>
      <c r="DGP58" s="69"/>
      <c r="DGQ58" s="69"/>
      <c r="DGR58" s="69"/>
      <c r="DGS58" s="69"/>
      <c r="DGT58" s="69"/>
      <c r="DGU58" s="69"/>
      <c r="DGV58" s="69"/>
      <c r="DGW58" s="69"/>
      <c r="DGX58" s="69"/>
      <c r="DGY58" s="69"/>
      <c r="DGZ58" s="69"/>
      <c r="DHA58" s="69"/>
      <c r="DHB58" s="69"/>
      <c r="DHC58" s="69"/>
      <c r="DHD58" s="69"/>
      <c r="DHE58" s="69"/>
      <c r="DHF58" s="69"/>
      <c r="DHG58" s="69"/>
      <c r="DHH58" s="69"/>
      <c r="DHI58" s="69"/>
      <c r="DHJ58" s="69"/>
      <c r="DHK58" s="69"/>
      <c r="DHL58" s="69"/>
      <c r="DHM58" s="69"/>
      <c r="DHN58" s="69"/>
      <c r="DHO58" s="69"/>
      <c r="DHP58" s="69"/>
      <c r="DHQ58" s="69"/>
      <c r="DHR58" s="69"/>
      <c r="DHS58" s="69"/>
      <c r="DHT58" s="69"/>
      <c r="DHU58" s="69"/>
      <c r="DHV58" s="69"/>
      <c r="DHW58" s="69"/>
      <c r="DHX58" s="69"/>
      <c r="DHY58" s="69"/>
      <c r="DHZ58" s="69"/>
      <c r="DIA58" s="69"/>
      <c r="DIB58" s="69"/>
      <c r="DIC58" s="69"/>
      <c r="DID58" s="69"/>
      <c r="DIE58" s="69"/>
      <c r="DIF58" s="69"/>
      <c r="DIG58" s="69"/>
      <c r="DIH58" s="69"/>
      <c r="DII58" s="69"/>
      <c r="DIJ58" s="69"/>
      <c r="DIK58" s="69"/>
      <c r="DIL58" s="69"/>
      <c r="DIM58" s="69"/>
      <c r="DIN58" s="69"/>
      <c r="DIO58" s="69"/>
      <c r="DIP58" s="69"/>
      <c r="DIQ58" s="69"/>
      <c r="DIR58" s="69"/>
      <c r="DIS58" s="69"/>
      <c r="DIT58" s="69"/>
      <c r="DIU58" s="69"/>
      <c r="DIV58" s="69"/>
      <c r="DIW58" s="69"/>
      <c r="DIX58" s="69"/>
      <c r="DIY58" s="69"/>
      <c r="DIZ58" s="69"/>
      <c r="DJA58" s="69"/>
      <c r="DJB58" s="69"/>
      <c r="DJC58" s="69"/>
      <c r="DJD58" s="69"/>
      <c r="DJE58" s="69"/>
      <c r="DJF58" s="69"/>
      <c r="DJG58" s="69"/>
      <c r="DJH58" s="69"/>
      <c r="DJI58" s="69"/>
      <c r="DJJ58" s="69"/>
      <c r="DJK58" s="69"/>
      <c r="DJL58" s="69"/>
      <c r="DJM58" s="69"/>
      <c r="DJN58" s="69"/>
      <c r="DJO58" s="69"/>
      <c r="DJP58" s="69"/>
      <c r="DJQ58" s="69"/>
      <c r="DJR58" s="69"/>
      <c r="DJS58" s="69"/>
      <c r="DJT58" s="69"/>
      <c r="DJU58" s="69"/>
      <c r="DJV58" s="69"/>
      <c r="DJW58" s="69"/>
      <c r="DJX58" s="69"/>
      <c r="DJY58" s="69"/>
      <c r="DJZ58" s="69"/>
      <c r="DKA58" s="69"/>
      <c r="DKB58" s="69"/>
      <c r="DKC58" s="69"/>
      <c r="DKD58" s="69"/>
      <c r="DKE58" s="69"/>
      <c r="DKF58" s="69"/>
      <c r="DKG58" s="69"/>
      <c r="DKH58" s="69"/>
      <c r="DKI58" s="69"/>
      <c r="DKJ58" s="69"/>
      <c r="DKK58" s="69"/>
      <c r="DKL58" s="69"/>
      <c r="DKM58" s="69"/>
      <c r="DKN58" s="69"/>
      <c r="DKO58" s="69"/>
      <c r="DKP58" s="69"/>
      <c r="DKQ58" s="69"/>
      <c r="DKR58" s="69"/>
      <c r="DKS58" s="69"/>
      <c r="DKT58" s="69"/>
      <c r="DKU58" s="69"/>
      <c r="DKV58" s="69"/>
      <c r="DKW58" s="69"/>
      <c r="DKX58" s="69"/>
      <c r="DKY58" s="69"/>
      <c r="DKZ58" s="69"/>
      <c r="DLA58" s="69"/>
      <c r="DLB58" s="69"/>
      <c r="DLC58" s="69"/>
      <c r="DLD58" s="69"/>
      <c r="DLE58" s="69"/>
      <c r="DLF58" s="69"/>
      <c r="DLG58" s="69"/>
      <c r="DLH58" s="69"/>
      <c r="DLI58" s="69"/>
      <c r="DLJ58" s="69"/>
      <c r="DLK58" s="69"/>
      <c r="DLL58" s="69"/>
      <c r="DLM58" s="69"/>
      <c r="DLN58" s="69"/>
      <c r="DLO58" s="69"/>
      <c r="DLP58" s="69"/>
      <c r="DLQ58" s="69"/>
      <c r="DLR58" s="69"/>
      <c r="DLS58" s="69"/>
      <c r="DLT58" s="69"/>
      <c r="DLU58" s="69"/>
      <c r="DLV58" s="69"/>
      <c r="DLW58" s="69"/>
      <c r="DLX58" s="69"/>
      <c r="DLY58" s="69"/>
      <c r="DLZ58" s="69"/>
      <c r="DMA58" s="69"/>
      <c r="DMB58" s="69"/>
      <c r="DMC58" s="69"/>
      <c r="DMD58" s="69"/>
      <c r="DME58" s="69"/>
      <c r="DMF58" s="69"/>
      <c r="DMG58" s="69"/>
      <c r="DMH58" s="69"/>
      <c r="DMI58" s="69"/>
      <c r="DMJ58" s="69"/>
      <c r="DMK58" s="69"/>
      <c r="DML58" s="69"/>
      <c r="DMM58" s="69"/>
      <c r="DMN58" s="69"/>
      <c r="DMO58" s="69"/>
      <c r="DMP58" s="69"/>
      <c r="DMQ58" s="69"/>
      <c r="DMR58" s="69"/>
      <c r="DMS58" s="69"/>
      <c r="DMT58" s="69"/>
      <c r="DMU58" s="69"/>
      <c r="DMV58" s="69"/>
      <c r="DMW58" s="69"/>
      <c r="DMX58" s="69"/>
      <c r="DMY58" s="69"/>
      <c r="DMZ58" s="69"/>
      <c r="DNA58" s="69"/>
      <c r="DNB58" s="69"/>
      <c r="DNC58" s="69"/>
      <c r="DND58" s="69"/>
      <c r="DNE58" s="69"/>
      <c r="DNF58" s="69"/>
      <c r="DNG58" s="69"/>
      <c r="DNH58" s="69"/>
      <c r="DNI58" s="69"/>
      <c r="DNJ58" s="69"/>
      <c r="DNK58" s="69"/>
      <c r="DNL58" s="69"/>
      <c r="DNM58" s="69"/>
      <c r="DNN58" s="69"/>
      <c r="DNO58" s="69"/>
      <c r="DNP58" s="69"/>
      <c r="DNQ58" s="69"/>
      <c r="DNR58" s="69"/>
      <c r="DNS58" s="69"/>
      <c r="DNT58" s="69"/>
      <c r="DNU58" s="69"/>
      <c r="DNV58" s="69"/>
      <c r="DNW58" s="69"/>
      <c r="DNX58" s="69"/>
      <c r="DNY58" s="69"/>
      <c r="DNZ58" s="69"/>
      <c r="DOA58" s="69"/>
      <c r="DOB58" s="69"/>
      <c r="DOC58" s="69"/>
      <c r="DOD58" s="69"/>
      <c r="DOE58" s="69"/>
      <c r="DOF58" s="69"/>
      <c r="DOG58" s="69"/>
      <c r="DOH58" s="69"/>
      <c r="DOI58" s="69"/>
      <c r="DOJ58" s="69"/>
      <c r="DOK58" s="69"/>
      <c r="DOL58" s="69"/>
      <c r="DOM58" s="69"/>
      <c r="DON58" s="69"/>
      <c r="DOO58" s="69"/>
      <c r="DOP58" s="69"/>
      <c r="DOQ58" s="69"/>
      <c r="DOR58" s="69"/>
      <c r="DOS58" s="69"/>
      <c r="DOT58" s="69"/>
      <c r="DOU58" s="69"/>
      <c r="DOV58" s="69"/>
      <c r="DOW58" s="69"/>
      <c r="DOX58" s="69"/>
      <c r="DOY58" s="69"/>
      <c r="DOZ58" s="69"/>
      <c r="DPA58" s="69"/>
      <c r="DPB58" s="69"/>
      <c r="DPC58" s="69"/>
      <c r="DPD58" s="69"/>
      <c r="DPE58" s="69"/>
      <c r="DPF58" s="69"/>
      <c r="DPG58" s="69"/>
      <c r="DPH58" s="69"/>
      <c r="DPI58" s="69"/>
      <c r="DPJ58" s="69"/>
      <c r="DPK58" s="69"/>
      <c r="DPL58" s="69"/>
      <c r="DPM58" s="69"/>
      <c r="DPN58" s="69"/>
      <c r="DPO58" s="69"/>
      <c r="DPP58" s="69"/>
      <c r="DPQ58" s="69"/>
      <c r="DPR58" s="69"/>
      <c r="DPS58" s="69"/>
      <c r="DPT58" s="69"/>
      <c r="DPU58" s="69"/>
      <c r="DPV58" s="69"/>
      <c r="DPW58" s="69"/>
      <c r="DPX58" s="69"/>
      <c r="DPY58" s="69"/>
      <c r="DPZ58" s="69"/>
      <c r="DQA58" s="69"/>
      <c r="DQB58" s="69"/>
      <c r="DQC58" s="69"/>
      <c r="DQD58" s="69"/>
      <c r="DQE58" s="69"/>
      <c r="DQF58" s="69"/>
      <c r="DQG58" s="69"/>
      <c r="DQH58" s="69"/>
      <c r="DQI58" s="69"/>
      <c r="DQJ58" s="69"/>
      <c r="DQK58" s="69"/>
      <c r="DQL58" s="69"/>
      <c r="DQM58" s="69"/>
      <c r="DQN58" s="69"/>
      <c r="DQO58" s="69"/>
      <c r="DQP58" s="69"/>
      <c r="DQQ58" s="69"/>
      <c r="DQR58" s="69"/>
      <c r="DQS58" s="69"/>
      <c r="DQT58" s="69"/>
      <c r="DQU58" s="69"/>
      <c r="DQV58" s="69"/>
      <c r="DQW58" s="69"/>
      <c r="DQX58" s="69"/>
      <c r="DQY58" s="69"/>
      <c r="DQZ58" s="69"/>
      <c r="DRA58" s="69"/>
      <c r="DRB58" s="69"/>
      <c r="DRC58" s="69"/>
      <c r="DRD58" s="69"/>
      <c r="DRE58" s="69"/>
      <c r="DRF58" s="69"/>
      <c r="DRG58" s="69"/>
      <c r="DRH58" s="69"/>
      <c r="DRI58" s="69"/>
      <c r="DRJ58" s="69"/>
      <c r="DRK58" s="69"/>
      <c r="DRL58" s="69"/>
      <c r="DRM58" s="69"/>
      <c r="DRN58" s="69"/>
      <c r="DRO58" s="69"/>
      <c r="DRP58" s="69"/>
      <c r="DRQ58" s="69"/>
      <c r="DRR58" s="69"/>
      <c r="DRS58" s="69"/>
      <c r="DRT58" s="69"/>
      <c r="DRU58" s="69"/>
      <c r="DRV58" s="69"/>
      <c r="DRW58" s="69"/>
      <c r="DRX58" s="69"/>
      <c r="DRY58" s="69"/>
      <c r="DRZ58" s="69"/>
      <c r="DSA58" s="69"/>
      <c r="DSB58" s="69"/>
      <c r="DSC58" s="69"/>
      <c r="DSD58" s="69"/>
      <c r="DSE58" s="69"/>
      <c r="DSF58" s="69"/>
      <c r="DSG58" s="69"/>
      <c r="DSH58" s="69"/>
      <c r="DSI58" s="69"/>
      <c r="DSJ58" s="69"/>
      <c r="DSK58" s="69"/>
      <c r="DSL58" s="69"/>
      <c r="DSM58" s="69"/>
      <c r="DSN58" s="69"/>
      <c r="DSO58" s="69"/>
      <c r="DSP58" s="69"/>
      <c r="DSQ58" s="69"/>
      <c r="DSR58" s="69"/>
      <c r="DSS58" s="69"/>
      <c r="DST58" s="69"/>
      <c r="DSU58" s="69"/>
      <c r="DSV58" s="69"/>
      <c r="DSW58" s="69"/>
      <c r="DSX58" s="69"/>
      <c r="DSY58" s="69"/>
      <c r="DSZ58" s="69"/>
      <c r="DTA58" s="69"/>
      <c r="DTB58" s="69"/>
      <c r="DTC58" s="69"/>
      <c r="DTD58" s="69"/>
      <c r="DTE58" s="69"/>
      <c r="DTF58" s="69"/>
      <c r="DTG58" s="69"/>
      <c r="DTH58" s="69"/>
      <c r="DTI58" s="69"/>
      <c r="DTJ58" s="69"/>
      <c r="DTK58" s="69"/>
      <c r="DTL58" s="69"/>
      <c r="DTM58" s="69"/>
      <c r="DTN58" s="69"/>
      <c r="DTO58" s="69"/>
      <c r="DTP58" s="69"/>
      <c r="DTQ58" s="69"/>
      <c r="DTR58" s="69"/>
      <c r="DTS58" s="69"/>
      <c r="DTT58" s="69"/>
      <c r="DTU58" s="69"/>
      <c r="DTV58" s="69"/>
      <c r="DTW58" s="69"/>
      <c r="DTX58" s="69"/>
      <c r="DTY58" s="69"/>
      <c r="DTZ58" s="69"/>
      <c r="DUA58" s="69"/>
      <c r="DUB58" s="69"/>
      <c r="DUC58" s="69"/>
      <c r="DUD58" s="69"/>
      <c r="DUE58" s="69"/>
      <c r="DUF58" s="69"/>
      <c r="DUG58" s="69"/>
      <c r="DUH58" s="69"/>
      <c r="DUI58" s="69"/>
      <c r="DUJ58" s="69"/>
      <c r="DUK58" s="69"/>
      <c r="DUL58" s="69"/>
      <c r="DUM58" s="69"/>
      <c r="DUN58" s="69"/>
      <c r="DUO58" s="69"/>
      <c r="DUP58" s="69"/>
      <c r="DUQ58" s="69"/>
      <c r="DUR58" s="69"/>
      <c r="DUS58" s="69"/>
      <c r="DUT58" s="69"/>
      <c r="DUU58" s="69"/>
      <c r="DUV58" s="69"/>
      <c r="DUW58" s="69"/>
      <c r="DUX58" s="69"/>
      <c r="DUY58" s="69"/>
      <c r="DUZ58" s="69"/>
      <c r="DVA58" s="69"/>
      <c r="DVB58" s="69"/>
      <c r="DVC58" s="69"/>
      <c r="DVD58" s="69"/>
      <c r="DVE58" s="69"/>
      <c r="DVF58" s="69"/>
      <c r="DVG58" s="69"/>
      <c r="DVH58" s="69"/>
      <c r="DVI58" s="69"/>
      <c r="DVJ58" s="69"/>
      <c r="DVK58" s="69"/>
      <c r="DVL58" s="69"/>
      <c r="DVM58" s="69"/>
      <c r="DVN58" s="69"/>
      <c r="DVO58" s="69"/>
      <c r="DVP58" s="69"/>
      <c r="DVQ58" s="69"/>
      <c r="DVR58" s="69"/>
      <c r="DVS58" s="69"/>
      <c r="DVT58" s="69"/>
      <c r="DVU58" s="69"/>
      <c r="DVV58" s="69"/>
      <c r="DVW58" s="69"/>
      <c r="DVX58" s="69"/>
      <c r="DVY58" s="69"/>
      <c r="DVZ58" s="69"/>
      <c r="DWA58" s="69"/>
      <c r="DWB58" s="69"/>
      <c r="DWC58" s="69"/>
      <c r="DWD58" s="69"/>
      <c r="DWE58" s="69"/>
      <c r="DWF58" s="69"/>
      <c r="DWG58" s="69"/>
      <c r="DWH58" s="69"/>
      <c r="DWI58" s="69"/>
      <c r="DWJ58" s="69"/>
      <c r="DWK58" s="69"/>
      <c r="DWL58" s="69"/>
      <c r="DWM58" s="69"/>
      <c r="DWN58" s="69"/>
      <c r="DWO58" s="69"/>
      <c r="DWP58" s="69"/>
      <c r="DWQ58" s="69"/>
      <c r="DWR58" s="69"/>
      <c r="DWS58" s="69"/>
      <c r="DWT58" s="69"/>
      <c r="DWU58" s="69"/>
      <c r="DWV58" s="69"/>
      <c r="DWW58" s="69"/>
      <c r="DWX58" s="69"/>
      <c r="DWY58" s="69"/>
      <c r="DWZ58" s="69"/>
      <c r="DXA58" s="69"/>
      <c r="DXB58" s="69"/>
      <c r="DXC58" s="69"/>
      <c r="DXD58" s="69"/>
      <c r="DXE58" s="69"/>
      <c r="DXF58" s="69"/>
      <c r="DXG58" s="69"/>
      <c r="DXH58" s="69"/>
      <c r="DXI58" s="69"/>
      <c r="DXJ58" s="69"/>
      <c r="DXK58" s="69"/>
      <c r="DXL58" s="69"/>
      <c r="DXM58" s="69"/>
      <c r="DXN58" s="69"/>
      <c r="DXO58" s="69"/>
      <c r="DXP58" s="69"/>
      <c r="DXQ58" s="69"/>
      <c r="DXR58" s="69"/>
      <c r="DXS58" s="69"/>
      <c r="DXT58" s="69"/>
      <c r="DXU58" s="69"/>
      <c r="DXV58" s="69"/>
      <c r="DXW58" s="69"/>
      <c r="DXX58" s="69"/>
      <c r="DXY58" s="69"/>
      <c r="DXZ58" s="69"/>
      <c r="DYA58" s="69"/>
      <c r="DYB58" s="69"/>
      <c r="DYC58" s="69"/>
      <c r="DYD58" s="69"/>
      <c r="DYE58" s="69"/>
      <c r="DYF58" s="69"/>
      <c r="DYG58" s="69"/>
      <c r="DYH58" s="69"/>
      <c r="DYI58" s="69"/>
      <c r="DYJ58" s="69"/>
      <c r="DYK58" s="69"/>
      <c r="DYL58" s="69"/>
      <c r="DYM58" s="69"/>
      <c r="DYN58" s="69"/>
      <c r="DYO58" s="69"/>
      <c r="DYP58" s="69"/>
      <c r="DYQ58" s="69"/>
      <c r="DYR58" s="69"/>
      <c r="DYS58" s="69"/>
      <c r="DYT58" s="69"/>
      <c r="DYU58" s="69"/>
      <c r="DYV58" s="69"/>
      <c r="DYW58" s="69"/>
      <c r="DYX58" s="69"/>
      <c r="DYY58" s="69"/>
      <c r="DYZ58" s="69"/>
      <c r="DZA58" s="69"/>
      <c r="DZB58" s="69"/>
      <c r="DZC58" s="69"/>
      <c r="DZD58" s="69"/>
      <c r="DZE58" s="69"/>
      <c r="DZF58" s="69"/>
      <c r="DZG58" s="69"/>
      <c r="DZH58" s="69"/>
      <c r="DZI58" s="69"/>
      <c r="DZJ58" s="69"/>
      <c r="DZK58" s="69"/>
      <c r="DZL58" s="69"/>
      <c r="DZM58" s="69"/>
      <c r="DZN58" s="69"/>
      <c r="DZO58" s="69"/>
      <c r="DZP58" s="69"/>
      <c r="DZQ58" s="69"/>
      <c r="DZR58" s="69"/>
      <c r="DZS58" s="69"/>
      <c r="DZT58" s="69"/>
      <c r="DZU58" s="69"/>
      <c r="DZV58" s="69"/>
      <c r="DZW58" s="69"/>
      <c r="DZX58" s="69"/>
      <c r="DZY58" s="69"/>
      <c r="DZZ58" s="69"/>
      <c r="EAA58" s="69"/>
      <c r="EAB58" s="69"/>
      <c r="EAC58" s="69"/>
      <c r="EAD58" s="69"/>
      <c r="EAE58" s="69"/>
      <c r="EAF58" s="69"/>
      <c r="EAG58" s="69"/>
      <c r="EAH58" s="69"/>
      <c r="EAI58" s="69"/>
      <c r="EAJ58" s="69"/>
      <c r="EAK58" s="69"/>
      <c r="EAL58" s="69"/>
      <c r="EAM58" s="69"/>
      <c r="EAN58" s="69"/>
      <c r="EAO58" s="69"/>
      <c r="EAP58" s="69"/>
      <c r="EAQ58" s="69"/>
      <c r="EAR58" s="69"/>
      <c r="EAS58" s="69"/>
      <c r="EAT58" s="69"/>
      <c r="EAU58" s="69"/>
      <c r="EAV58" s="69"/>
      <c r="EAW58" s="69"/>
      <c r="EAX58" s="69"/>
      <c r="EAY58" s="69"/>
      <c r="EAZ58" s="69"/>
      <c r="EBA58" s="69"/>
      <c r="EBB58" s="69"/>
      <c r="EBC58" s="69"/>
      <c r="EBD58" s="69"/>
      <c r="EBE58" s="69"/>
      <c r="EBF58" s="69"/>
      <c r="EBG58" s="69"/>
      <c r="EBH58" s="69"/>
      <c r="EBI58" s="69"/>
      <c r="EBJ58" s="69"/>
      <c r="EBK58" s="69"/>
      <c r="EBL58" s="69"/>
      <c r="EBM58" s="69"/>
      <c r="EBN58" s="69"/>
      <c r="EBO58" s="69"/>
      <c r="EBP58" s="69"/>
      <c r="EBQ58" s="69"/>
      <c r="EBR58" s="69"/>
      <c r="EBS58" s="69"/>
      <c r="EBT58" s="69"/>
      <c r="EBU58" s="69"/>
      <c r="EBV58" s="69"/>
      <c r="EBW58" s="69"/>
      <c r="EBX58" s="69"/>
      <c r="EBY58" s="69"/>
      <c r="EBZ58" s="69"/>
      <c r="ECA58" s="69"/>
      <c r="ECB58" s="69"/>
      <c r="ECC58" s="69"/>
      <c r="ECD58" s="69"/>
      <c r="ECE58" s="69"/>
      <c r="ECF58" s="69"/>
      <c r="ECG58" s="69"/>
      <c r="ECH58" s="69"/>
      <c r="ECI58" s="69"/>
      <c r="ECJ58" s="69"/>
      <c r="ECK58" s="69"/>
      <c r="ECL58" s="69"/>
      <c r="ECM58" s="69"/>
      <c r="ECN58" s="69"/>
      <c r="ECO58" s="69"/>
      <c r="ECP58" s="69"/>
      <c r="ECQ58" s="69"/>
      <c r="ECR58" s="69"/>
      <c r="ECS58" s="69"/>
      <c r="ECT58" s="69"/>
      <c r="ECU58" s="69"/>
      <c r="ECV58" s="69"/>
      <c r="ECW58" s="69"/>
      <c r="ECX58" s="69"/>
      <c r="ECY58" s="69"/>
      <c r="ECZ58" s="69"/>
      <c r="EDA58" s="69"/>
      <c r="EDB58" s="69"/>
      <c r="EDC58" s="69"/>
      <c r="EDD58" s="69"/>
      <c r="EDE58" s="69"/>
      <c r="EDF58" s="69"/>
      <c r="EDG58" s="69"/>
      <c r="EDH58" s="69"/>
      <c r="EDI58" s="69"/>
      <c r="EDJ58" s="69"/>
      <c r="EDK58" s="69"/>
      <c r="EDL58" s="69"/>
      <c r="EDM58" s="69"/>
      <c r="EDN58" s="69"/>
      <c r="EDO58" s="69"/>
      <c r="EDP58" s="69"/>
      <c r="EDQ58" s="69"/>
      <c r="EDR58" s="69"/>
      <c r="EDS58" s="69"/>
      <c r="EDT58" s="69"/>
      <c r="EDU58" s="69"/>
      <c r="EDV58" s="69"/>
      <c r="EDW58" s="69"/>
      <c r="EDX58" s="69"/>
      <c r="EDY58" s="69"/>
      <c r="EDZ58" s="69"/>
      <c r="EEA58" s="69"/>
      <c r="EEB58" s="69"/>
      <c r="EEC58" s="69"/>
      <c r="EED58" s="69"/>
      <c r="EEE58" s="69"/>
      <c r="EEF58" s="69"/>
      <c r="EEG58" s="69"/>
      <c r="EEH58" s="69"/>
      <c r="EEI58" s="69"/>
      <c r="EEJ58" s="69"/>
      <c r="EEK58" s="69"/>
      <c r="EEL58" s="69"/>
      <c r="EEM58" s="69"/>
      <c r="EEN58" s="69"/>
      <c r="EEO58" s="69"/>
      <c r="EEP58" s="69"/>
      <c r="EEQ58" s="69"/>
      <c r="EER58" s="69"/>
      <c r="EES58" s="69"/>
      <c r="EET58" s="69"/>
      <c r="EEU58" s="69"/>
      <c r="EEV58" s="69"/>
      <c r="EEW58" s="69"/>
      <c r="EEX58" s="69"/>
      <c r="EEY58" s="69"/>
      <c r="EEZ58" s="69"/>
      <c r="EFA58" s="69"/>
      <c r="EFB58" s="69"/>
      <c r="EFC58" s="69"/>
      <c r="EFD58" s="69"/>
      <c r="EFE58" s="69"/>
      <c r="EFF58" s="69"/>
      <c r="EFG58" s="69"/>
      <c r="EFH58" s="69"/>
      <c r="EFI58" s="69"/>
      <c r="EFJ58" s="69"/>
      <c r="EFK58" s="69"/>
      <c r="EFL58" s="69"/>
      <c r="EFM58" s="69"/>
      <c r="EFN58" s="69"/>
      <c r="EFO58" s="69"/>
      <c r="EFP58" s="69"/>
      <c r="EFQ58" s="69"/>
      <c r="EFR58" s="69"/>
      <c r="EFS58" s="69"/>
      <c r="EFT58" s="69"/>
      <c r="EFU58" s="69"/>
      <c r="EFV58" s="69"/>
      <c r="EFW58" s="69"/>
      <c r="EFX58" s="69"/>
      <c r="EFY58" s="69"/>
      <c r="EFZ58" s="69"/>
      <c r="EGA58" s="69"/>
      <c r="EGB58" s="69"/>
      <c r="EGC58" s="69"/>
      <c r="EGD58" s="69"/>
      <c r="EGE58" s="69"/>
      <c r="EGF58" s="69"/>
      <c r="EGG58" s="69"/>
      <c r="EGH58" s="69"/>
      <c r="EGI58" s="69"/>
      <c r="EGJ58" s="69"/>
      <c r="EGK58" s="69"/>
      <c r="EGL58" s="69"/>
      <c r="EGM58" s="69"/>
      <c r="EGN58" s="69"/>
      <c r="EGO58" s="69"/>
      <c r="EGP58" s="69"/>
      <c r="EGQ58" s="69"/>
      <c r="EGR58" s="69"/>
      <c r="EGS58" s="69"/>
      <c r="EGT58" s="69"/>
      <c r="EGU58" s="69"/>
      <c r="EGV58" s="69"/>
      <c r="EGW58" s="69"/>
      <c r="EGX58" s="69"/>
      <c r="EGY58" s="69"/>
      <c r="EGZ58" s="69"/>
      <c r="EHA58" s="69"/>
      <c r="EHB58" s="69"/>
      <c r="EHC58" s="69"/>
      <c r="EHD58" s="69"/>
      <c r="EHE58" s="69"/>
      <c r="EHF58" s="69"/>
      <c r="EHG58" s="69"/>
      <c r="EHH58" s="69"/>
      <c r="EHI58" s="69"/>
      <c r="EHJ58" s="69"/>
      <c r="EHK58" s="69"/>
      <c r="EHL58" s="69"/>
      <c r="EHM58" s="69"/>
      <c r="EHN58" s="69"/>
      <c r="EHO58" s="69"/>
      <c r="EHP58" s="69"/>
      <c r="EHQ58" s="69"/>
      <c r="EHR58" s="69"/>
      <c r="EHS58" s="69"/>
      <c r="EHT58" s="69"/>
      <c r="EHU58" s="69"/>
      <c r="EHV58" s="69"/>
      <c r="EHW58" s="69"/>
      <c r="EHX58" s="69"/>
      <c r="EHY58" s="69"/>
      <c r="EHZ58" s="69"/>
      <c r="EIA58" s="69"/>
      <c r="EIB58" s="69"/>
      <c r="EIC58" s="69"/>
      <c r="EID58" s="69"/>
      <c r="EIE58" s="69"/>
      <c r="EIF58" s="69"/>
      <c r="EIG58" s="69"/>
      <c r="EIH58" s="69"/>
      <c r="EII58" s="69"/>
      <c r="EIJ58" s="69"/>
      <c r="EIK58" s="69"/>
      <c r="EIL58" s="69"/>
      <c r="EIM58" s="69"/>
      <c r="EIN58" s="69"/>
      <c r="EIO58" s="69"/>
      <c r="EIP58" s="69"/>
      <c r="EIQ58" s="69"/>
      <c r="EIR58" s="69"/>
      <c r="EIS58" s="69"/>
      <c r="EIT58" s="69"/>
      <c r="EIU58" s="69"/>
      <c r="EIV58" s="69"/>
      <c r="EIW58" s="69"/>
      <c r="EIX58" s="69"/>
      <c r="EIY58" s="69"/>
      <c r="EIZ58" s="69"/>
      <c r="EJA58" s="69"/>
      <c r="EJB58" s="69"/>
      <c r="EJC58" s="69"/>
      <c r="EJD58" s="69"/>
      <c r="EJE58" s="69"/>
      <c r="EJF58" s="69"/>
      <c r="EJG58" s="69"/>
      <c r="EJH58" s="69"/>
      <c r="EJI58" s="69"/>
      <c r="EJJ58" s="69"/>
      <c r="EJK58" s="69"/>
      <c r="EJL58" s="69"/>
      <c r="EJM58" s="69"/>
      <c r="EJN58" s="69"/>
      <c r="EJO58" s="69"/>
      <c r="EJP58" s="69"/>
      <c r="EJQ58" s="69"/>
      <c r="EJR58" s="69"/>
      <c r="EJS58" s="69"/>
      <c r="EJT58" s="69"/>
      <c r="EJU58" s="69"/>
      <c r="EJV58" s="69"/>
      <c r="EJW58" s="69"/>
      <c r="EJX58" s="69"/>
      <c r="EJY58" s="69"/>
      <c r="EJZ58" s="69"/>
      <c r="EKA58" s="69"/>
      <c r="EKB58" s="69"/>
      <c r="EKC58" s="69"/>
      <c r="EKD58" s="69"/>
      <c r="EKE58" s="69"/>
      <c r="EKF58" s="69"/>
      <c r="EKG58" s="69"/>
      <c r="EKH58" s="69"/>
      <c r="EKI58" s="69"/>
      <c r="EKJ58" s="69"/>
      <c r="EKK58" s="69"/>
      <c r="EKL58" s="69"/>
      <c r="EKM58" s="69"/>
      <c r="EKN58" s="69"/>
      <c r="EKO58" s="69"/>
      <c r="EKP58" s="69"/>
      <c r="EKQ58" s="69"/>
      <c r="EKR58" s="69"/>
      <c r="EKS58" s="69"/>
      <c r="EKT58" s="69"/>
      <c r="EKU58" s="69"/>
      <c r="EKV58" s="69"/>
      <c r="EKW58" s="69"/>
      <c r="EKX58" s="69"/>
      <c r="EKY58" s="69"/>
      <c r="EKZ58" s="69"/>
      <c r="ELA58" s="69"/>
      <c r="ELB58" s="69"/>
      <c r="ELC58" s="69"/>
      <c r="ELD58" s="69"/>
      <c r="ELE58" s="69"/>
      <c r="ELF58" s="69"/>
      <c r="ELG58" s="69"/>
      <c r="ELH58" s="69"/>
      <c r="ELI58" s="69"/>
      <c r="ELJ58" s="69"/>
      <c r="ELK58" s="69"/>
      <c r="ELL58" s="69"/>
      <c r="ELM58" s="69"/>
      <c r="ELN58" s="69"/>
      <c r="ELO58" s="69"/>
      <c r="ELP58" s="69"/>
      <c r="ELQ58" s="69"/>
      <c r="ELR58" s="69"/>
      <c r="ELS58" s="69"/>
      <c r="ELT58" s="69"/>
      <c r="ELU58" s="69"/>
      <c r="ELV58" s="69"/>
      <c r="ELW58" s="69"/>
      <c r="ELX58" s="69"/>
      <c r="ELY58" s="69"/>
      <c r="ELZ58" s="69"/>
      <c r="EMA58" s="69"/>
      <c r="EMB58" s="69"/>
      <c r="EMC58" s="69"/>
      <c r="EMD58" s="69"/>
      <c r="EME58" s="69"/>
      <c r="EMF58" s="69"/>
      <c r="EMG58" s="69"/>
      <c r="EMH58" s="69"/>
      <c r="EMI58" s="69"/>
      <c r="EMJ58" s="69"/>
      <c r="EMK58" s="69"/>
      <c r="EML58" s="69"/>
      <c r="EMM58" s="69"/>
      <c r="EMN58" s="69"/>
      <c r="EMO58" s="69"/>
      <c r="EMP58" s="69"/>
      <c r="EMQ58" s="69"/>
      <c r="EMR58" s="69"/>
      <c r="EMS58" s="69"/>
      <c r="EMT58" s="69"/>
      <c r="EMU58" s="69"/>
      <c r="EMV58" s="69"/>
      <c r="EMW58" s="69"/>
      <c r="EMX58" s="69"/>
      <c r="EMY58" s="69"/>
      <c r="EMZ58" s="69"/>
      <c r="ENA58" s="69"/>
      <c r="ENB58" s="69"/>
      <c r="ENC58" s="69"/>
      <c r="END58" s="69"/>
      <c r="ENE58" s="69"/>
      <c r="ENF58" s="69"/>
      <c r="ENG58" s="69"/>
      <c r="ENH58" s="69"/>
      <c r="ENI58" s="69"/>
      <c r="ENJ58" s="69"/>
      <c r="ENK58" s="69"/>
      <c r="ENL58" s="69"/>
      <c r="ENM58" s="69"/>
      <c r="ENN58" s="69"/>
      <c r="ENO58" s="69"/>
      <c r="ENP58" s="69"/>
      <c r="ENQ58" s="69"/>
      <c r="ENR58" s="69"/>
      <c r="ENS58" s="69"/>
      <c r="ENT58" s="69"/>
      <c r="ENU58" s="69"/>
      <c r="ENV58" s="69"/>
      <c r="ENW58" s="69"/>
      <c r="ENX58" s="69"/>
      <c r="ENY58" s="69"/>
      <c r="ENZ58" s="69"/>
      <c r="EOA58" s="69"/>
      <c r="EOB58" s="69"/>
      <c r="EOC58" s="69"/>
      <c r="EOD58" s="69"/>
      <c r="EOE58" s="69"/>
      <c r="EOF58" s="69"/>
      <c r="EOG58" s="69"/>
      <c r="EOH58" s="69"/>
      <c r="EOI58" s="69"/>
      <c r="EOJ58" s="69"/>
      <c r="EOK58" s="69"/>
      <c r="EOL58" s="69"/>
      <c r="EOM58" s="69"/>
      <c r="EON58" s="69"/>
      <c r="EOO58" s="69"/>
      <c r="EOP58" s="69"/>
      <c r="EOQ58" s="69"/>
      <c r="EOR58" s="69"/>
      <c r="EOS58" s="69"/>
      <c r="EOT58" s="69"/>
      <c r="EOU58" s="69"/>
      <c r="EOV58" s="69"/>
      <c r="EOW58" s="69"/>
      <c r="EOX58" s="69"/>
      <c r="EOY58" s="69"/>
      <c r="EOZ58" s="69"/>
      <c r="EPA58" s="69"/>
      <c r="EPB58" s="69"/>
      <c r="EPC58" s="69"/>
      <c r="EPD58" s="69"/>
      <c r="EPE58" s="69"/>
      <c r="EPF58" s="69"/>
      <c r="EPG58" s="69"/>
      <c r="EPH58" s="69"/>
      <c r="EPI58" s="69"/>
      <c r="EPJ58" s="69"/>
      <c r="EPK58" s="69"/>
      <c r="EPL58" s="69"/>
      <c r="EPM58" s="69"/>
      <c r="EPN58" s="69"/>
      <c r="EPO58" s="69"/>
      <c r="EPP58" s="69"/>
      <c r="EPQ58" s="69"/>
      <c r="EPR58" s="69"/>
      <c r="EPS58" s="69"/>
      <c r="EPT58" s="69"/>
      <c r="EPU58" s="69"/>
      <c r="EPV58" s="69"/>
      <c r="EPW58" s="69"/>
      <c r="EPX58" s="69"/>
      <c r="EPY58" s="69"/>
      <c r="EPZ58" s="69"/>
      <c r="EQA58" s="69"/>
      <c r="EQB58" s="69"/>
      <c r="EQC58" s="69"/>
      <c r="EQD58" s="69"/>
      <c r="EQE58" s="69"/>
      <c r="EQF58" s="69"/>
      <c r="EQG58" s="69"/>
      <c r="EQH58" s="69"/>
      <c r="EQI58" s="69"/>
      <c r="EQJ58" s="69"/>
      <c r="EQK58" s="69"/>
      <c r="EQL58" s="69"/>
      <c r="EQM58" s="69"/>
      <c r="EQN58" s="69"/>
      <c r="EQO58" s="69"/>
      <c r="EQP58" s="69"/>
      <c r="EQQ58" s="69"/>
      <c r="EQR58" s="69"/>
      <c r="EQS58" s="69"/>
      <c r="EQT58" s="69"/>
      <c r="EQU58" s="69"/>
      <c r="EQV58" s="69"/>
      <c r="EQW58" s="69"/>
      <c r="EQX58" s="69"/>
      <c r="EQY58" s="69"/>
      <c r="EQZ58" s="69"/>
      <c r="ERA58" s="69"/>
      <c r="ERB58" s="69"/>
      <c r="ERC58" s="69"/>
      <c r="ERD58" s="69"/>
      <c r="ERE58" s="69"/>
      <c r="ERF58" s="69"/>
      <c r="ERG58" s="69"/>
      <c r="ERH58" s="69"/>
      <c r="ERI58" s="69"/>
      <c r="ERJ58" s="69"/>
      <c r="ERK58" s="69"/>
      <c r="ERL58" s="69"/>
      <c r="ERM58" s="69"/>
      <c r="ERN58" s="69"/>
      <c r="ERO58" s="69"/>
      <c r="ERP58" s="69"/>
      <c r="ERQ58" s="69"/>
      <c r="ERR58" s="69"/>
      <c r="ERS58" s="69"/>
      <c r="ERT58" s="69"/>
      <c r="ERU58" s="69"/>
      <c r="ERV58" s="69"/>
      <c r="ERW58" s="69"/>
      <c r="ERX58" s="69"/>
      <c r="ERY58" s="69"/>
      <c r="ERZ58" s="69"/>
      <c r="ESA58" s="69"/>
      <c r="ESB58" s="69"/>
      <c r="ESC58" s="69"/>
      <c r="ESD58" s="69"/>
      <c r="ESE58" s="69"/>
      <c r="ESF58" s="69"/>
      <c r="ESG58" s="69"/>
      <c r="ESH58" s="69"/>
      <c r="ESI58" s="69"/>
      <c r="ESJ58" s="69"/>
      <c r="ESK58" s="69"/>
      <c r="ESL58" s="69"/>
      <c r="ESM58" s="69"/>
      <c r="ESN58" s="69"/>
      <c r="ESO58" s="69"/>
      <c r="ESP58" s="69"/>
      <c r="ESQ58" s="69"/>
      <c r="ESR58" s="69"/>
      <c r="ESS58" s="69"/>
      <c r="EST58" s="69"/>
      <c r="ESU58" s="69"/>
      <c r="ESV58" s="69"/>
      <c r="ESW58" s="69"/>
      <c r="ESX58" s="69"/>
      <c r="ESY58" s="69"/>
      <c r="ESZ58" s="69"/>
      <c r="ETA58" s="69"/>
      <c r="ETB58" s="69"/>
      <c r="ETC58" s="69"/>
      <c r="ETD58" s="69"/>
      <c r="ETE58" s="69"/>
      <c r="ETF58" s="69"/>
      <c r="ETG58" s="69"/>
      <c r="ETH58" s="69"/>
      <c r="ETI58" s="69"/>
      <c r="ETJ58" s="69"/>
      <c r="ETK58" s="69"/>
      <c r="ETL58" s="69"/>
      <c r="ETM58" s="69"/>
      <c r="ETN58" s="69"/>
      <c r="ETO58" s="69"/>
      <c r="ETP58" s="69"/>
      <c r="ETQ58" s="69"/>
      <c r="ETR58" s="69"/>
      <c r="ETS58" s="69"/>
      <c r="ETT58" s="69"/>
      <c r="ETU58" s="69"/>
      <c r="ETV58" s="69"/>
      <c r="ETW58" s="69"/>
      <c r="ETX58" s="69"/>
      <c r="ETY58" s="69"/>
      <c r="ETZ58" s="69"/>
      <c r="EUA58" s="69"/>
      <c r="EUB58" s="69"/>
      <c r="EUC58" s="69"/>
      <c r="EUD58" s="69"/>
      <c r="EUE58" s="69"/>
      <c r="EUF58" s="69"/>
      <c r="EUG58" s="69"/>
      <c r="EUH58" s="69"/>
      <c r="EUI58" s="69"/>
      <c r="EUJ58" s="69"/>
      <c r="EUK58" s="69"/>
      <c r="EUL58" s="69"/>
      <c r="EUM58" s="69"/>
      <c r="EUN58" s="69"/>
      <c r="EUO58" s="69"/>
      <c r="EUP58" s="69"/>
      <c r="EUQ58" s="69"/>
      <c r="EUR58" s="69"/>
      <c r="EUS58" s="69"/>
      <c r="EUT58" s="69"/>
      <c r="EUU58" s="69"/>
      <c r="EUV58" s="69"/>
      <c r="EUW58" s="69"/>
      <c r="EUX58" s="69"/>
      <c r="EUY58" s="69"/>
      <c r="EUZ58" s="69"/>
      <c r="EVA58" s="69"/>
      <c r="EVB58" s="69"/>
      <c r="EVC58" s="69"/>
      <c r="EVD58" s="69"/>
      <c r="EVE58" s="69"/>
      <c r="EVF58" s="69"/>
      <c r="EVG58" s="69"/>
      <c r="EVH58" s="69"/>
      <c r="EVI58" s="69"/>
      <c r="EVJ58" s="69"/>
      <c r="EVK58" s="69"/>
      <c r="EVL58" s="69"/>
      <c r="EVM58" s="69"/>
      <c r="EVN58" s="69"/>
      <c r="EVO58" s="69"/>
      <c r="EVP58" s="69"/>
      <c r="EVQ58" s="69"/>
      <c r="EVR58" s="69"/>
      <c r="EVS58" s="69"/>
      <c r="EVT58" s="69"/>
      <c r="EVU58" s="69"/>
      <c r="EVV58" s="69"/>
      <c r="EVW58" s="69"/>
      <c r="EVX58" s="69"/>
      <c r="EVY58" s="69"/>
      <c r="EVZ58" s="69"/>
      <c r="EWA58" s="69"/>
      <c r="EWB58" s="69"/>
      <c r="EWC58" s="69"/>
      <c r="EWD58" s="69"/>
      <c r="EWE58" s="69"/>
      <c r="EWF58" s="69"/>
      <c r="EWG58" s="69"/>
      <c r="EWH58" s="69"/>
      <c r="EWI58" s="69"/>
      <c r="EWJ58" s="69"/>
      <c r="EWK58" s="69"/>
      <c r="EWL58" s="69"/>
      <c r="EWM58" s="69"/>
      <c r="EWN58" s="69"/>
      <c r="EWO58" s="69"/>
      <c r="EWP58" s="69"/>
      <c r="EWQ58" s="69"/>
      <c r="EWR58" s="69"/>
      <c r="EWS58" s="69"/>
      <c r="EWT58" s="69"/>
      <c r="EWU58" s="69"/>
      <c r="EWV58" s="69"/>
      <c r="EWW58" s="69"/>
      <c r="EWX58" s="69"/>
      <c r="EWY58" s="69"/>
      <c r="EWZ58" s="69"/>
      <c r="EXA58" s="69"/>
      <c r="EXB58" s="69"/>
      <c r="EXC58" s="69"/>
      <c r="EXD58" s="69"/>
      <c r="EXE58" s="69"/>
      <c r="EXF58" s="69"/>
      <c r="EXG58" s="69"/>
      <c r="EXH58" s="69"/>
      <c r="EXI58" s="69"/>
      <c r="EXJ58" s="69"/>
      <c r="EXK58" s="69"/>
      <c r="EXL58" s="69"/>
      <c r="EXM58" s="69"/>
      <c r="EXN58" s="69"/>
      <c r="EXO58" s="69"/>
      <c r="EXP58" s="69"/>
      <c r="EXQ58" s="69"/>
      <c r="EXR58" s="69"/>
      <c r="EXS58" s="69"/>
      <c r="EXT58" s="69"/>
      <c r="EXU58" s="69"/>
      <c r="EXV58" s="69"/>
      <c r="EXW58" s="69"/>
      <c r="EXX58" s="69"/>
      <c r="EXY58" s="69"/>
      <c r="EXZ58" s="69"/>
      <c r="EYA58" s="69"/>
      <c r="EYB58" s="69"/>
      <c r="EYC58" s="69"/>
      <c r="EYD58" s="69"/>
      <c r="EYE58" s="69"/>
      <c r="EYF58" s="69"/>
      <c r="EYG58" s="69"/>
      <c r="EYH58" s="69"/>
      <c r="EYI58" s="69"/>
      <c r="EYJ58" s="69"/>
      <c r="EYK58" s="69"/>
      <c r="EYL58" s="69"/>
      <c r="EYM58" s="69"/>
      <c r="EYN58" s="69"/>
      <c r="EYO58" s="69"/>
      <c r="EYP58" s="69"/>
      <c r="EYQ58" s="69"/>
      <c r="EYR58" s="69"/>
      <c r="EYS58" s="69"/>
      <c r="EYT58" s="69"/>
      <c r="EYU58" s="69"/>
      <c r="EYV58" s="69"/>
      <c r="EYW58" s="69"/>
      <c r="EYX58" s="69"/>
      <c r="EYY58" s="69"/>
      <c r="EYZ58" s="69"/>
      <c r="EZA58" s="69"/>
      <c r="EZB58" s="69"/>
      <c r="EZC58" s="69"/>
      <c r="EZD58" s="69"/>
      <c r="EZE58" s="69"/>
      <c r="EZF58" s="69"/>
      <c r="EZG58" s="69"/>
      <c r="EZH58" s="69"/>
      <c r="EZI58" s="69"/>
      <c r="EZJ58" s="69"/>
      <c r="EZK58" s="69"/>
      <c r="EZL58" s="69"/>
      <c r="EZM58" s="69"/>
      <c r="EZN58" s="69"/>
      <c r="EZO58" s="69"/>
      <c r="EZP58" s="69"/>
      <c r="EZQ58" s="69"/>
      <c r="EZR58" s="69"/>
      <c r="EZS58" s="69"/>
      <c r="EZT58" s="69"/>
      <c r="EZU58" s="69"/>
      <c r="EZV58" s="69"/>
      <c r="EZW58" s="69"/>
      <c r="EZX58" s="69"/>
      <c r="EZY58" s="69"/>
      <c r="EZZ58" s="69"/>
      <c r="FAA58" s="69"/>
      <c r="FAB58" s="69"/>
      <c r="FAC58" s="69"/>
      <c r="FAD58" s="69"/>
      <c r="FAE58" s="69"/>
      <c r="FAF58" s="69"/>
      <c r="FAG58" s="69"/>
      <c r="FAH58" s="69"/>
      <c r="FAI58" s="69"/>
      <c r="FAJ58" s="69"/>
      <c r="FAK58" s="69"/>
      <c r="FAL58" s="69"/>
      <c r="FAM58" s="69"/>
      <c r="FAN58" s="69"/>
      <c r="FAO58" s="69"/>
      <c r="FAP58" s="69"/>
      <c r="FAQ58" s="69"/>
      <c r="FAR58" s="69"/>
      <c r="FAS58" s="69"/>
      <c r="FAT58" s="69"/>
      <c r="FAU58" s="69"/>
      <c r="FAV58" s="69"/>
      <c r="FAW58" s="69"/>
      <c r="FAX58" s="69"/>
      <c r="FAY58" s="69"/>
      <c r="FAZ58" s="69"/>
      <c r="FBA58" s="69"/>
      <c r="FBB58" s="69"/>
      <c r="FBC58" s="69"/>
      <c r="FBD58" s="69"/>
      <c r="FBE58" s="69"/>
      <c r="FBF58" s="69"/>
      <c r="FBG58" s="69"/>
      <c r="FBH58" s="69"/>
      <c r="FBI58" s="69"/>
      <c r="FBJ58" s="69"/>
      <c r="FBK58" s="69"/>
      <c r="FBL58" s="69"/>
      <c r="FBM58" s="69"/>
      <c r="FBN58" s="69"/>
      <c r="FBO58" s="69"/>
      <c r="FBP58" s="69"/>
      <c r="FBQ58" s="69"/>
      <c r="FBR58" s="69"/>
      <c r="FBS58" s="69"/>
      <c r="FBT58" s="69"/>
      <c r="FBU58" s="69"/>
      <c r="FBV58" s="69"/>
      <c r="FBW58" s="69"/>
      <c r="FBX58" s="69"/>
      <c r="FBY58" s="69"/>
      <c r="FBZ58" s="69"/>
      <c r="FCA58" s="69"/>
      <c r="FCB58" s="69"/>
      <c r="FCC58" s="69"/>
      <c r="FCD58" s="69"/>
      <c r="FCE58" s="69"/>
      <c r="FCF58" s="69"/>
      <c r="FCG58" s="69"/>
      <c r="FCH58" s="69"/>
      <c r="FCI58" s="69"/>
      <c r="FCJ58" s="69"/>
      <c r="FCK58" s="69"/>
      <c r="FCL58" s="69"/>
      <c r="FCM58" s="69"/>
      <c r="FCN58" s="69"/>
      <c r="FCO58" s="69"/>
      <c r="FCP58" s="69"/>
      <c r="FCQ58" s="69"/>
      <c r="FCR58" s="69"/>
      <c r="FCS58" s="69"/>
      <c r="FCT58" s="69"/>
      <c r="FCU58" s="69"/>
      <c r="FCV58" s="69"/>
      <c r="FCW58" s="69"/>
      <c r="FCX58" s="69"/>
      <c r="FCY58" s="69"/>
      <c r="FCZ58" s="69"/>
      <c r="FDA58" s="69"/>
      <c r="FDB58" s="69"/>
      <c r="FDC58" s="69"/>
      <c r="FDD58" s="69"/>
      <c r="FDE58" s="69"/>
      <c r="FDF58" s="69"/>
      <c r="FDG58" s="69"/>
      <c r="FDH58" s="69"/>
      <c r="FDI58" s="69"/>
      <c r="FDJ58" s="69"/>
      <c r="FDK58" s="69"/>
      <c r="FDL58" s="69"/>
      <c r="FDM58" s="69"/>
      <c r="FDN58" s="69"/>
      <c r="FDO58" s="69"/>
      <c r="FDP58" s="69"/>
      <c r="FDQ58" s="69"/>
      <c r="FDR58" s="69"/>
      <c r="FDS58" s="69"/>
      <c r="FDT58" s="69"/>
      <c r="FDU58" s="69"/>
      <c r="FDV58" s="69"/>
      <c r="FDW58" s="69"/>
      <c r="FDX58" s="69"/>
      <c r="FDY58" s="69"/>
      <c r="FDZ58" s="69"/>
      <c r="FEA58" s="69"/>
      <c r="FEB58" s="69"/>
      <c r="FEC58" s="69"/>
      <c r="FED58" s="69"/>
      <c r="FEE58" s="69"/>
      <c r="FEF58" s="69"/>
      <c r="FEG58" s="69"/>
      <c r="FEH58" s="69"/>
      <c r="FEI58" s="69"/>
      <c r="FEJ58" s="69"/>
      <c r="FEK58" s="69"/>
      <c r="FEL58" s="69"/>
      <c r="FEM58" s="69"/>
      <c r="FEN58" s="69"/>
      <c r="FEO58" s="69"/>
      <c r="FEP58" s="69"/>
      <c r="FEQ58" s="69"/>
      <c r="FER58" s="69"/>
      <c r="FES58" s="69"/>
      <c r="FET58" s="69"/>
      <c r="FEU58" s="69"/>
      <c r="FEV58" s="69"/>
      <c r="FEW58" s="69"/>
      <c r="FEX58" s="69"/>
      <c r="FEY58" s="69"/>
      <c r="FEZ58" s="69"/>
      <c r="FFA58" s="69"/>
      <c r="FFB58" s="69"/>
      <c r="FFC58" s="69"/>
      <c r="FFD58" s="69"/>
      <c r="FFE58" s="69"/>
      <c r="FFF58" s="69"/>
      <c r="FFG58" s="69"/>
      <c r="FFH58" s="69"/>
      <c r="FFI58" s="69"/>
      <c r="FFJ58" s="69"/>
      <c r="FFK58" s="69"/>
      <c r="FFL58" s="69"/>
      <c r="FFM58" s="69"/>
      <c r="FFN58" s="69"/>
      <c r="FFO58" s="69"/>
      <c r="FFP58" s="69"/>
      <c r="FFQ58" s="69"/>
      <c r="FFR58" s="69"/>
      <c r="FFS58" s="69"/>
      <c r="FFT58" s="69"/>
      <c r="FFU58" s="69"/>
      <c r="FFV58" s="69"/>
      <c r="FFW58" s="69"/>
      <c r="FFX58" s="69"/>
      <c r="FFY58" s="69"/>
      <c r="FFZ58" s="69"/>
      <c r="FGA58" s="69"/>
      <c r="FGB58" s="69"/>
      <c r="FGC58" s="69"/>
      <c r="FGD58" s="69"/>
      <c r="FGE58" s="69"/>
      <c r="FGF58" s="69"/>
      <c r="FGG58" s="69"/>
      <c r="FGH58" s="69"/>
      <c r="FGI58" s="69"/>
      <c r="FGJ58" s="69"/>
      <c r="FGK58" s="69"/>
      <c r="FGL58" s="69"/>
      <c r="FGM58" s="69"/>
      <c r="FGN58" s="69"/>
      <c r="FGO58" s="69"/>
      <c r="FGP58" s="69"/>
      <c r="FGQ58" s="69"/>
      <c r="FGR58" s="69"/>
      <c r="FGS58" s="69"/>
      <c r="FGT58" s="69"/>
      <c r="FGU58" s="69"/>
      <c r="FGV58" s="69"/>
      <c r="FGW58" s="69"/>
      <c r="FGX58" s="69"/>
      <c r="FGY58" s="69"/>
      <c r="FGZ58" s="69"/>
      <c r="FHA58" s="69"/>
      <c r="FHB58" s="69"/>
      <c r="FHC58" s="69"/>
      <c r="FHD58" s="69"/>
      <c r="FHE58" s="69"/>
      <c r="FHF58" s="69"/>
      <c r="FHG58" s="69"/>
      <c r="FHH58" s="69"/>
      <c r="FHI58" s="69"/>
      <c r="FHJ58" s="69"/>
      <c r="FHK58" s="69"/>
      <c r="FHL58" s="69"/>
      <c r="FHM58" s="69"/>
      <c r="FHN58" s="69"/>
      <c r="FHO58" s="69"/>
      <c r="FHP58" s="69"/>
      <c r="FHQ58" s="69"/>
      <c r="FHR58" s="69"/>
      <c r="FHS58" s="69"/>
      <c r="FHT58" s="69"/>
      <c r="FHU58" s="69"/>
      <c r="FHV58" s="69"/>
      <c r="FHW58" s="69"/>
      <c r="FHX58" s="69"/>
      <c r="FHY58" s="69"/>
      <c r="FHZ58" s="69"/>
      <c r="FIA58" s="69"/>
      <c r="FIB58" s="69"/>
      <c r="FIC58" s="69"/>
      <c r="FID58" s="69"/>
      <c r="FIE58" s="69"/>
      <c r="FIF58" s="69"/>
      <c r="FIG58" s="69"/>
      <c r="FIH58" s="69"/>
      <c r="FII58" s="69"/>
      <c r="FIJ58" s="69"/>
      <c r="FIK58" s="69"/>
      <c r="FIL58" s="69"/>
      <c r="FIM58" s="69"/>
      <c r="FIN58" s="69"/>
      <c r="FIO58" s="69"/>
      <c r="FIP58" s="69"/>
      <c r="FIQ58" s="69"/>
      <c r="FIR58" s="69"/>
      <c r="FIS58" s="69"/>
      <c r="FIT58" s="69"/>
      <c r="FIU58" s="69"/>
      <c r="FIV58" s="69"/>
      <c r="FIW58" s="69"/>
      <c r="FIX58" s="69"/>
      <c r="FIY58" s="69"/>
      <c r="FIZ58" s="69"/>
      <c r="FJA58" s="69"/>
      <c r="FJB58" s="69"/>
      <c r="FJC58" s="69"/>
      <c r="FJD58" s="69"/>
      <c r="FJE58" s="69"/>
      <c r="FJF58" s="69"/>
      <c r="FJG58" s="69"/>
      <c r="FJH58" s="69"/>
      <c r="FJI58" s="69"/>
      <c r="FJJ58" s="69"/>
      <c r="FJK58" s="69"/>
      <c r="FJL58" s="69"/>
      <c r="FJM58" s="69"/>
      <c r="FJN58" s="69"/>
      <c r="FJO58" s="69"/>
      <c r="FJP58" s="69"/>
      <c r="FJQ58" s="69"/>
      <c r="FJR58" s="69"/>
      <c r="FJS58" s="69"/>
      <c r="FJT58" s="69"/>
      <c r="FJU58" s="69"/>
      <c r="FJV58" s="69"/>
      <c r="FJW58" s="69"/>
      <c r="FJX58" s="69"/>
      <c r="FJY58" s="69"/>
      <c r="FJZ58" s="69"/>
      <c r="FKA58" s="69"/>
      <c r="FKB58" s="69"/>
      <c r="FKC58" s="69"/>
      <c r="FKD58" s="69"/>
      <c r="FKE58" s="69"/>
      <c r="FKF58" s="69"/>
      <c r="FKG58" s="69"/>
      <c r="FKH58" s="69"/>
      <c r="FKI58" s="69"/>
      <c r="FKJ58" s="69"/>
      <c r="FKK58" s="69"/>
      <c r="FKL58" s="69"/>
      <c r="FKM58" s="69"/>
      <c r="FKN58" s="69"/>
      <c r="FKO58" s="69"/>
      <c r="FKP58" s="69"/>
      <c r="FKQ58" s="69"/>
      <c r="FKR58" s="69"/>
      <c r="FKS58" s="69"/>
      <c r="FKT58" s="69"/>
      <c r="FKU58" s="69"/>
      <c r="FKV58" s="69"/>
      <c r="FKW58" s="69"/>
      <c r="FKX58" s="69"/>
      <c r="FKY58" s="69"/>
      <c r="FKZ58" s="69"/>
      <c r="FLA58" s="69"/>
      <c r="FLB58" s="69"/>
      <c r="FLC58" s="69"/>
      <c r="FLD58" s="69"/>
      <c r="FLE58" s="69"/>
      <c r="FLF58" s="69"/>
      <c r="FLG58" s="69"/>
      <c r="FLH58" s="69"/>
      <c r="FLI58" s="69"/>
      <c r="FLJ58" s="69"/>
      <c r="FLK58" s="69"/>
      <c r="FLL58" s="69"/>
      <c r="FLM58" s="69"/>
      <c r="FLN58" s="69"/>
      <c r="FLO58" s="69"/>
      <c r="FLP58" s="69"/>
      <c r="FLQ58" s="69"/>
      <c r="FLR58" s="69"/>
      <c r="FLS58" s="69"/>
      <c r="FLT58" s="69"/>
      <c r="FLU58" s="69"/>
      <c r="FLV58" s="69"/>
      <c r="FLW58" s="69"/>
      <c r="FLX58" s="69"/>
      <c r="FLY58" s="69"/>
      <c r="FLZ58" s="69"/>
      <c r="FMA58" s="69"/>
      <c r="FMB58" s="69"/>
      <c r="FMC58" s="69"/>
      <c r="FMD58" s="69"/>
      <c r="FME58" s="69"/>
      <c r="FMF58" s="69"/>
      <c r="FMG58" s="69"/>
      <c r="FMH58" s="69"/>
      <c r="FMI58" s="69"/>
      <c r="FMJ58" s="69"/>
      <c r="FMK58" s="69"/>
      <c r="FML58" s="69"/>
      <c r="FMM58" s="69"/>
      <c r="FMN58" s="69"/>
      <c r="FMO58" s="69"/>
      <c r="FMP58" s="69"/>
      <c r="FMQ58" s="69"/>
      <c r="FMR58" s="69"/>
      <c r="FMS58" s="69"/>
      <c r="FMT58" s="69"/>
      <c r="FMU58" s="69"/>
      <c r="FMV58" s="69"/>
      <c r="FMW58" s="69"/>
      <c r="FMX58" s="69"/>
      <c r="FMY58" s="69"/>
      <c r="FMZ58" s="69"/>
      <c r="FNA58" s="69"/>
      <c r="FNB58" s="69"/>
      <c r="FNC58" s="69"/>
      <c r="FND58" s="69"/>
      <c r="FNE58" s="69"/>
      <c r="FNF58" s="69"/>
      <c r="FNG58" s="69"/>
      <c r="FNH58" s="69"/>
      <c r="FNI58" s="69"/>
      <c r="FNJ58" s="69"/>
      <c r="FNK58" s="69"/>
      <c r="FNL58" s="69"/>
      <c r="FNM58" s="69"/>
      <c r="FNN58" s="69"/>
      <c r="FNO58" s="69"/>
      <c r="FNP58" s="69"/>
      <c r="FNQ58" s="69"/>
      <c r="FNR58" s="69"/>
      <c r="FNS58" s="69"/>
      <c r="FNT58" s="69"/>
      <c r="FNU58" s="69"/>
      <c r="FNV58" s="69"/>
      <c r="FNW58" s="69"/>
      <c r="FNX58" s="69"/>
      <c r="FNY58" s="69"/>
      <c r="FNZ58" s="69"/>
      <c r="FOA58" s="69"/>
      <c r="FOB58" s="69"/>
      <c r="FOC58" s="69"/>
      <c r="FOD58" s="69"/>
      <c r="FOE58" s="69"/>
      <c r="FOF58" s="69"/>
      <c r="FOG58" s="69"/>
      <c r="FOH58" s="69"/>
      <c r="FOI58" s="69"/>
      <c r="FOJ58" s="69"/>
      <c r="FOK58" s="69"/>
      <c r="FOL58" s="69"/>
      <c r="FOM58" s="69"/>
      <c r="FON58" s="69"/>
      <c r="FOO58" s="69"/>
      <c r="FOP58" s="69"/>
      <c r="FOQ58" s="69"/>
      <c r="FOR58" s="69"/>
      <c r="FOS58" s="69"/>
      <c r="FOT58" s="69"/>
      <c r="FOU58" s="69"/>
      <c r="FOV58" s="69"/>
      <c r="FOW58" s="69"/>
      <c r="FOX58" s="69"/>
      <c r="FOY58" s="69"/>
      <c r="FOZ58" s="69"/>
      <c r="FPA58" s="69"/>
      <c r="FPB58" s="69"/>
      <c r="FPC58" s="69"/>
      <c r="FPD58" s="69"/>
      <c r="FPE58" s="69"/>
      <c r="FPF58" s="69"/>
      <c r="FPG58" s="69"/>
      <c r="FPH58" s="69"/>
      <c r="FPI58" s="69"/>
      <c r="FPJ58" s="69"/>
      <c r="FPK58" s="69"/>
      <c r="FPL58" s="69"/>
      <c r="FPM58" s="69"/>
      <c r="FPN58" s="69"/>
      <c r="FPO58" s="69"/>
      <c r="FPP58" s="69"/>
      <c r="FPQ58" s="69"/>
      <c r="FPR58" s="69"/>
      <c r="FPS58" s="69"/>
      <c r="FPT58" s="69"/>
      <c r="FPU58" s="69"/>
      <c r="FPV58" s="69"/>
      <c r="FPW58" s="69"/>
      <c r="FPX58" s="69"/>
      <c r="FPY58" s="69"/>
      <c r="FPZ58" s="69"/>
      <c r="FQA58" s="69"/>
      <c r="FQB58" s="69"/>
      <c r="FQC58" s="69"/>
      <c r="FQD58" s="69"/>
      <c r="FQE58" s="69"/>
      <c r="FQF58" s="69"/>
      <c r="FQG58" s="69"/>
      <c r="FQH58" s="69"/>
      <c r="FQI58" s="69"/>
      <c r="FQJ58" s="69"/>
      <c r="FQK58" s="69"/>
      <c r="FQL58" s="69"/>
      <c r="FQM58" s="69"/>
      <c r="FQN58" s="69"/>
      <c r="FQO58" s="69"/>
      <c r="FQP58" s="69"/>
      <c r="FQQ58" s="69"/>
      <c r="FQR58" s="69"/>
      <c r="FQS58" s="69"/>
      <c r="FQT58" s="69"/>
      <c r="FQU58" s="69"/>
      <c r="FQV58" s="69"/>
      <c r="FQW58" s="69"/>
      <c r="FQX58" s="69"/>
      <c r="FQY58" s="69"/>
      <c r="FQZ58" s="69"/>
      <c r="FRA58" s="69"/>
      <c r="FRB58" s="69"/>
      <c r="FRC58" s="69"/>
      <c r="FRD58" s="69"/>
      <c r="FRE58" s="69"/>
      <c r="FRF58" s="69"/>
      <c r="FRG58" s="69"/>
      <c r="FRH58" s="69"/>
      <c r="FRI58" s="69"/>
      <c r="FRJ58" s="69"/>
      <c r="FRK58" s="69"/>
      <c r="FRL58" s="69"/>
      <c r="FRM58" s="69"/>
      <c r="FRN58" s="69"/>
      <c r="FRO58" s="69"/>
      <c r="FRP58" s="69"/>
      <c r="FRQ58" s="69"/>
      <c r="FRR58" s="69"/>
      <c r="FRS58" s="69"/>
      <c r="FRT58" s="69"/>
      <c r="FRU58" s="69"/>
      <c r="FRV58" s="69"/>
      <c r="FRW58" s="69"/>
      <c r="FRX58" s="69"/>
      <c r="FRY58" s="69"/>
      <c r="FRZ58" s="69"/>
      <c r="FSA58" s="69"/>
      <c r="FSB58" s="69"/>
      <c r="FSC58" s="69"/>
      <c r="FSD58" s="69"/>
      <c r="FSE58" s="69"/>
      <c r="FSF58" s="69"/>
      <c r="FSG58" s="69"/>
      <c r="FSH58" s="69"/>
      <c r="FSI58" s="69"/>
      <c r="FSJ58" s="69"/>
      <c r="FSK58" s="69"/>
      <c r="FSL58" s="69"/>
      <c r="FSM58" s="69"/>
      <c r="FSN58" s="69"/>
      <c r="FSO58" s="69"/>
      <c r="FSP58" s="69"/>
      <c r="FSQ58" s="69"/>
      <c r="FSR58" s="69"/>
      <c r="FSS58" s="69"/>
      <c r="FST58" s="69"/>
      <c r="FSU58" s="69"/>
      <c r="FSV58" s="69"/>
      <c r="FSW58" s="69"/>
      <c r="FSX58" s="69"/>
      <c r="FSY58" s="69"/>
      <c r="FSZ58" s="69"/>
      <c r="FTA58" s="69"/>
      <c r="FTB58" s="69"/>
      <c r="FTC58" s="69"/>
      <c r="FTD58" s="69"/>
      <c r="FTE58" s="69"/>
      <c r="FTF58" s="69"/>
      <c r="FTG58" s="69"/>
      <c r="FTH58" s="69"/>
      <c r="FTI58" s="69"/>
      <c r="FTJ58" s="69"/>
      <c r="FTK58" s="69"/>
      <c r="FTL58" s="69"/>
      <c r="FTM58" s="69"/>
      <c r="FTN58" s="69"/>
      <c r="FTO58" s="69"/>
      <c r="FTP58" s="69"/>
      <c r="FTQ58" s="69"/>
      <c r="FTR58" s="69"/>
      <c r="FTS58" s="69"/>
      <c r="FTT58" s="69"/>
      <c r="FTU58" s="69"/>
      <c r="FTV58" s="69"/>
      <c r="FTW58" s="69"/>
      <c r="FTX58" s="69"/>
      <c r="FTY58" s="69"/>
      <c r="FTZ58" s="69"/>
      <c r="FUA58" s="69"/>
      <c r="FUB58" s="69"/>
      <c r="FUC58" s="69"/>
      <c r="FUD58" s="69"/>
      <c r="FUE58" s="69"/>
      <c r="FUF58" s="69"/>
      <c r="FUG58" s="69"/>
      <c r="FUH58" s="69"/>
      <c r="FUI58" s="69"/>
      <c r="FUJ58" s="69"/>
      <c r="FUK58" s="69"/>
      <c r="FUL58" s="69"/>
      <c r="FUM58" s="69"/>
      <c r="FUN58" s="69"/>
      <c r="FUO58" s="69"/>
      <c r="FUP58" s="69"/>
      <c r="FUQ58" s="69"/>
      <c r="FUR58" s="69"/>
      <c r="FUS58" s="69"/>
      <c r="FUT58" s="69"/>
      <c r="FUU58" s="69"/>
      <c r="FUV58" s="69"/>
      <c r="FUW58" s="69"/>
      <c r="FUX58" s="69"/>
      <c r="FUY58" s="69"/>
      <c r="FUZ58" s="69"/>
      <c r="FVA58" s="69"/>
      <c r="FVB58" s="69"/>
      <c r="FVC58" s="69"/>
      <c r="FVD58" s="69"/>
      <c r="FVE58" s="69"/>
      <c r="FVF58" s="69"/>
      <c r="FVG58" s="69"/>
      <c r="FVH58" s="69"/>
      <c r="FVI58" s="69"/>
      <c r="FVJ58" s="69"/>
      <c r="FVK58" s="69"/>
      <c r="FVL58" s="69"/>
      <c r="FVM58" s="69"/>
      <c r="FVN58" s="69"/>
      <c r="FVO58" s="69"/>
      <c r="FVP58" s="69"/>
      <c r="FVQ58" s="69"/>
      <c r="FVR58" s="69"/>
      <c r="FVS58" s="69"/>
      <c r="FVT58" s="69"/>
      <c r="FVU58" s="69"/>
      <c r="FVV58" s="69"/>
      <c r="FVW58" s="69"/>
      <c r="FVX58" s="69"/>
      <c r="FVY58" s="69"/>
      <c r="FVZ58" s="69"/>
      <c r="FWA58" s="69"/>
      <c r="FWB58" s="69"/>
      <c r="FWC58" s="69"/>
      <c r="FWD58" s="69"/>
      <c r="FWE58" s="69"/>
      <c r="FWF58" s="69"/>
      <c r="FWG58" s="69"/>
      <c r="FWH58" s="69"/>
      <c r="FWI58" s="69"/>
      <c r="FWJ58" s="69"/>
      <c r="FWK58" s="69"/>
      <c r="FWL58" s="69"/>
      <c r="FWM58" s="69"/>
      <c r="FWN58" s="69"/>
      <c r="FWO58" s="69"/>
      <c r="FWP58" s="69"/>
      <c r="FWQ58" s="69"/>
      <c r="FWR58" s="69"/>
      <c r="FWS58" s="69"/>
      <c r="FWT58" s="69"/>
      <c r="FWU58" s="69"/>
      <c r="FWV58" s="69"/>
      <c r="FWW58" s="69"/>
      <c r="FWX58" s="69"/>
      <c r="FWY58" s="69"/>
      <c r="FWZ58" s="69"/>
      <c r="FXA58" s="69"/>
      <c r="FXB58" s="69"/>
      <c r="FXC58" s="69"/>
      <c r="FXD58" s="69"/>
      <c r="FXE58" s="69"/>
      <c r="FXF58" s="69"/>
      <c r="FXG58" s="69"/>
      <c r="FXH58" s="69"/>
      <c r="FXI58" s="69"/>
      <c r="FXJ58" s="69"/>
      <c r="FXK58" s="69"/>
      <c r="FXL58" s="69"/>
      <c r="FXM58" s="69"/>
      <c r="FXN58" s="69"/>
      <c r="FXO58" s="69"/>
      <c r="FXP58" s="69"/>
      <c r="FXQ58" s="69"/>
      <c r="FXR58" s="69"/>
      <c r="FXS58" s="69"/>
      <c r="FXT58" s="69"/>
      <c r="FXU58" s="69"/>
      <c r="FXV58" s="69"/>
      <c r="FXW58" s="69"/>
      <c r="FXX58" s="69"/>
      <c r="FXY58" s="69"/>
      <c r="FXZ58" s="69"/>
      <c r="FYA58" s="69"/>
      <c r="FYB58" s="69"/>
      <c r="FYC58" s="69"/>
      <c r="FYD58" s="69"/>
      <c r="FYE58" s="69"/>
      <c r="FYF58" s="69"/>
      <c r="FYG58" s="69"/>
      <c r="FYH58" s="69"/>
      <c r="FYI58" s="69"/>
      <c r="FYJ58" s="69"/>
      <c r="FYK58" s="69"/>
      <c r="FYL58" s="69"/>
      <c r="FYM58" s="69"/>
      <c r="FYN58" s="69"/>
      <c r="FYO58" s="69"/>
      <c r="FYP58" s="69"/>
      <c r="FYQ58" s="69"/>
      <c r="FYR58" s="69"/>
      <c r="FYS58" s="69"/>
      <c r="FYT58" s="69"/>
      <c r="FYU58" s="69"/>
      <c r="FYV58" s="69"/>
      <c r="FYW58" s="69"/>
      <c r="FYX58" s="69"/>
      <c r="FYY58" s="69"/>
      <c r="FYZ58" s="69"/>
      <c r="FZA58" s="69"/>
      <c r="FZB58" s="69"/>
      <c r="FZC58" s="69"/>
      <c r="FZD58" s="69"/>
      <c r="FZE58" s="69"/>
      <c r="FZF58" s="69"/>
      <c r="FZG58" s="69"/>
      <c r="FZH58" s="69"/>
      <c r="FZI58" s="69"/>
      <c r="FZJ58" s="69"/>
      <c r="FZK58" s="69"/>
      <c r="FZL58" s="69"/>
      <c r="FZM58" s="69"/>
      <c r="FZN58" s="69"/>
      <c r="FZO58" s="69"/>
      <c r="FZP58" s="69"/>
      <c r="FZQ58" s="69"/>
      <c r="FZR58" s="69"/>
      <c r="FZS58" s="69"/>
      <c r="FZT58" s="69"/>
      <c r="FZU58" s="69"/>
      <c r="FZV58" s="69"/>
      <c r="FZW58" s="69"/>
      <c r="FZX58" s="69"/>
      <c r="FZY58" s="69"/>
      <c r="FZZ58" s="69"/>
      <c r="GAA58" s="69"/>
      <c r="GAB58" s="69"/>
      <c r="GAC58" s="69"/>
      <c r="GAD58" s="69"/>
      <c r="GAE58" s="69"/>
      <c r="GAF58" s="69"/>
      <c r="GAG58" s="69"/>
      <c r="GAH58" s="69"/>
      <c r="GAI58" s="69"/>
      <c r="GAJ58" s="69"/>
      <c r="GAK58" s="69"/>
      <c r="GAL58" s="69"/>
      <c r="GAM58" s="69"/>
      <c r="GAN58" s="69"/>
      <c r="GAO58" s="69"/>
      <c r="GAP58" s="69"/>
      <c r="GAQ58" s="69"/>
      <c r="GAR58" s="69"/>
      <c r="GAS58" s="69"/>
      <c r="GAT58" s="69"/>
      <c r="GAU58" s="69"/>
      <c r="GAV58" s="69"/>
      <c r="GAW58" s="69"/>
      <c r="GAX58" s="69"/>
      <c r="GAY58" s="69"/>
      <c r="GAZ58" s="69"/>
      <c r="GBA58" s="69"/>
      <c r="GBB58" s="69"/>
      <c r="GBC58" s="69"/>
      <c r="GBD58" s="69"/>
      <c r="GBE58" s="69"/>
      <c r="GBF58" s="69"/>
      <c r="GBG58" s="69"/>
      <c r="GBH58" s="69"/>
      <c r="GBI58" s="69"/>
      <c r="GBJ58" s="69"/>
      <c r="GBK58" s="69"/>
      <c r="GBL58" s="69"/>
      <c r="GBM58" s="69"/>
      <c r="GBN58" s="69"/>
      <c r="GBO58" s="69"/>
      <c r="GBP58" s="69"/>
      <c r="GBQ58" s="69"/>
      <c r="GBR58" s="69"/>
      <c r="GBS58" s="69"/>
      <c r="GBT58" s="69"/>
      <c r="GBU58" s="69"/>
      <c r="GBV58" s="69"/>
      <c r="GBW58" s="69"/>
      <c r="GBX58" s="69"/>
      <c r="GBY58" s="69"/>
      <c r="GBZ58" s="69"/>
      <c r="GCA58" s="69"/>
      <c r="GCB58" s="69"/>
      <c r="GCC58" s="69"/>
      <c r="GCD58" s="69"/>
      <c r="GCE58" s="69"/>
      <c r="GCF58" s="69"/>
      <c r="GCG58" s="69"/>
      <c r="GCH58" s="69"/>
      <c r="GCI58" s="69"/>
      <c r="GCJ58" s="69"/>
      <c r="GCK58" s="69"/>
      <c r="GCL58" s="69"/>
      <c r="GCM58" s="69"/>
      <c r="GCN58" s="69"/>
      <c r="GCO58" s="69"/>
      <c r="GCP58" s="69"/>
      <c r="GCQ58" s="69"/>
      <c r="GCR58" s="69"/>
      <c r="GCS58" s="69"/>
      <c r="GCT58" s="69"/>
      <c r="GCU58" s="69"/>
      <c r="GCV58" s="69"/>
      <c r="GCW58" s="69"/>
      <c r="GCX58" s="69"/>
      <c r="GCY58" s="69"/>
      <c r="GCZ58" s="69"/>
      <c r="GDA58" s="69"/>
      <c r="GDB58" s="69"/>
      <c r="GDC58" s="69"/>
      <c r="GDD58" s="69"/>
      <c r="GDE58" s="69"/>
      <c r="GDF58" s="69"/>
      <c r="GDG58" s="69"/>
      <c r="GDH58" s="69"/>
      <c r="GDI58" s="69"/>
      <c r="GDJ58" s="69"/>
      <c r="GDK58" s="69"/>
      <c r="GDL58" s="69"/>
      <c r="GDM58" s="69"/>
      <c r="GDN58" s="69"/>
      <c r="GDO58" s="69"/>
      <c r="GDP58" s="69"/>
      <c r="GDQ58" s="69"/>
      <c r="GDR58" s="69"/>
      <c r="GDS58" s="69"/>
      <c r="GDT58" s="69"/>
      <c r="GDU58" s="69"/>
      <c r="GDV58" s="69"/>
      <c r="GDW58" s="69"/>
      <c r="GDX58" s="69"/>
      <c r="GDY58" s="69"/>
      <c r="GDZ58" s="69"/>
      <c r="GEA58" s="69"/>
      <c r="GEB58" s="69"/>
      <c r="GEC58" s="69"/>
      <c r="GED58" s="69"/>
      <c r="GEE58" s="69"/>
      <c r="GEF58" s="69"/>
      <c r="GEG58" s="69"/>
      <c r="GEH58" s="69"/>
      <c r="GEI58" s="69"/>
      <c r="GEJ58" s="69"/>
      <c r="GEK58" s="69"/>
      <c r="GEL58" s="69"/>
      <c r="GEM58" s="69"/>
      <c r="GEN58" s="69"/>
      <c r="GEO58" s="69"/>
      <c r="GEP58" s="69"/>
      <c r="GEQ58" s="69"/>
      <c r="GER58" s="69"/>
      <c r="GES58" s="69"/>
      <c r="GET58" s="69"/>
      <c r="GEU58" s="69"/>
      <c r="GEV58" s="69"/>
      <c r="GEW58" s="69"/>
      <c r="GEX58" s="69"/>
      <c r="GEY58" s="69"/>
      <c r="GEZ58" s="69"/>
      <c r="GFA58" s="69"/>
      <c r="GFB58" s="69"/>
      <c r="GFC58" s="69"/>
      <c r="GFD58" s="69"/>
      <c r="GFE58" s="69"/>
      <c r="GFF58" s="69"/>
      <c r="GFG58" s="69"/>
      <c r="GFH58" s="69"/>
      <c r="GFI58" s="69"/>
      <c r="GFJ58" s="69"/>
      <c r="GFK58" s="69"/>
      <c r="GFL58" s="69"/>
      <c r="GFM58" s="69"/>
      <c r="GFN58" s="69"/>
      <c r="GFO58" s="69"/>
      <c r="GFP58" s="69"/>
      <c r="GFQ58" s="69"/>
      <c r="GFR58" s="69"/>
      <c r="GFS58" s="69"/>
      <c r="GFT58" s="69"/>
      <c r="GFU58" s="69"/>
      <c r="GFV58" s="69"/>
      <c r="GFW58" s="69"/>
      <c r="GFX58" s="69"/>
      <c r="GFY58" s="69"/>
      <c r="GFZ58" s="69"/>
      <c r="GGA58" s="69"/>
      <c r="GGB58" s="69"/>
      <c r="GGC58" s="69"/>
      <c r="GGD58" s="69"/>
      <c r="GGE58" s="69"/>
      <c r="GGF58" s="69"/>
      <c r="GGG58" s="69"/>
      <c r="GGH58" s="69"/>
      <c r="GGI58" s="69"/>
      <c r="GGJ58" s="69"/>
      <c r="GGK58" s="69"/>
      <c r="GGL58" s="69"/>
      <c r="GGM58" s="69"/>
      <c r="GGN58" s="69"/>
      <c r="GGO58" s="69"/>
      <c r="GGP58" s="69"/>
      <c r="GGQ58" s="69"/>
      <c r="GGR58" s="69"/>
      <c r="GGS58" s="69"/>
      <c r="GGT58" s="69"/>
      <c r="GGU58" s="69"/>
      <c r="GGV58" s="69"/>
      <c r="GGW58" s="69"/>
      <c r="GGX58" s="69"/>
      <c r="GGY58" s="69"/>
      <c r="GGZ58" s="69"/>
      <c r="GHA58" s="69"/>
      <c r="GHB58" s="69"/>
      <c r="GHC58" s="69"/>
      <c r="GHD58" s="69"/>
      <c r="GHE58" s="69"/>
      <c r="GHF58" s="69"/>
      <c r="GHG58" s="69"/>
      <c r="GHH58" s="69"/>
      <c r="GHI58" s="69"/>
      <c r="GHJ58" s="69"/>
      <c r="GHK58" s="69"/>
      <c r="GHL58" s="69"/>
      <c r="GHM58" s="69"/>
      <c r="GHN58" s="69"/>
      <c r="GHO58" s="69"/>
      <c r="GHP58" s="69"/>
      <c r="GHQ58" s="69"/>
      <c r="GHR58" s="69"/>
      <c r="GHS58" s="69"/>
      <c r="GHT58" s="69"/>
      <c r="GHU58" s="69"/>
      <c r="GHV58" s="69"/>
      <c r="GHW58" s="69"/>
      <c r="GHX58" s="69"/>
      <c r="GHY58" s="69"/>
      <c r="GHZ58" s="69"/>
      <c r="GIA58" s="69"/>
      <c r="GIB58" s="69"/>
      <c r="GIC58" s="69"/>
      <c r="GID58" s="69"/>
      <c r="GIE58" s="69"/>
      <c r="GIF58" s="69"/>
      <c r="GIG58" s="69"/>
      <c r="GIH58" s="69"/>
      <c r="GII58" s="69"/>
      <c r="GIJ58" s="69"/>
      <c r="GIK58" s="69"/>
      <c r="GIL58" s="69"/>
      <c r="GIM58" s="69"/>
      <c r="GIN58" s="69"/>
      <c r="GIO58" s="69"/>
      <c r="GIP58" s="69"/>
      <c r="GIQ58" s="69"/>
      <c r="GIR58" s="69"/>
      <c r="GIS58" s="69"/>
      <c r="GIT58" s="69"/>
      <c r="GIU58" s="69"/>
      <c r="GIV58" s="69"/>
      <c r="GIW58" s="69"/>
      <c r="GIX58" s="69"/>
      <c r="GIY58" s="69"/>
      <c r="GIZ58" s="69"/>
      <c r="GJA58" s="69"/>
      <c r="GJB58" s="69"/>
      <c r="GJC58" s="69"/>
      <c r="GJD58" s="69"/>
      <c r="GJE58" s="69"/>
      <c r="GJF58" s="69"/>
      <c r="GJG58" s="69"/>
      <c r="GJH58" s="69"/>
      <c r="GJI58" s="69"/>
      <c r="GJJ58" s="69"/>
      <c r="GJK58" s="69"/>
      <c r="GJL58" s="69"/>
      <c r="GJM58" s="69"/>
      <c r="GJN58" s="69"/>
      <c r="GJO58" s="69"/>
      <c r="GJP58" s="69"/>
      <c r="GJQ58" s="69"/>
      <c r="GJR58" s="69"/>
      <c r="GJS58" s="69"/>
      <c r="GJT58" s="69"/>
      <c r="GJU58" s="69"/>
      <c r="GJV58" s="69"/>
      <c r="GJW58" s="69"/>
      <c r="GJX58" s="69"/>
      <c r="GJY58" s="69"/>
      <c r="GJZ58" s="69"/>
      <c r="GKA58" s="69"/>
      <c r="GKB58" s="69"/>
      <c r="GKC58" s="69"/>
      <c r="GKD58" s="69"/>
      <c r="GKE58" s="69"/>
      <c r="GKF58" s="69"/>
      <c r="GKG58" s="69"/>
      <c r="GKH58" s="69"/>
      <c r="GKI58" s="69"/>
      <c r="GKJ58" s="69"/>
      <c r="GKK58" s="69"/>
      <c r="GKL58" s="69"/>
      <c r="GKM58" s="69"/>
      <c r="GKN58" s="69"/>
      <c r="GKO58" s="69"/>
      <c r="GKP58" s="69"/>
      <c r="GKQ58" s="69"/>
      <c r="GKR58" s="69"/>
      <c r="GKS58" s="69"/>
      <c r="GKT58" s="69"/>
      <c r="GKU58" s="69"/>
      <c r="GKV58" s="69"/>
      <c r="GKW58" s="69"/>
      <c r="GKX58" s="69"/>
      <c r="GKY58" s="69"/>
      <c r="GKZ58" s="69"/>
      <c r="GLA58" s="69"/>
      <c r="GLB58" s="69"/>
      <c r="GLC58" s="69"/>
      <c r="GLD58" s="69"/>
      <c r="GLE58" s="69"/>
      <c r="GLF58" s="69"/>
      <c r="GLG58" s="69"/>
      <c r="GLH58" s="69"/>
      <c r="GLI58" s="69"/>
      <c r="GLJ58" s="69"/>
      <c r="GLK58" s="69"/>
      <c r="GLL58" s="69"/>
      <c r="GLM58" s="69"/>
      <c r="GLN58" s="69"/>
      <c r="GLO58" s="69"/>
      <c r="GLP58" s="69"/>
      <c r="GLQ58" s="69"/>
      <c r="GLR58" s="69"/>
      <c r="GLS58" s="69"/>
      <c r="GLT58" s="69"/>
      <c r="GLU58" s="69"/>
      <c r="GLV58" s="69"/>
      <c r="GLW58" s="69"/>
      <c r="GLX58" s="69"/>
      <c r="GLY58" s="69"/>
      <c r="GLZ58" s="69"/>
      <c r="GMA58" s="69"/>
      <c r="GMB58" s="69"/>
      <c r="GMC58" s="69"/>
      <c r="GMD58" s="69"/>
      <c r="GME58" s="69"/>
      <c r="GMF58" s="69"/>
      <c r="GMG58" s="69"/>
      <c r="GMH58" s="69"/>
      <c r="GMI58" s="69"/>
      <c r="GMJ58" s="69"/>
      <c r="GMK58" s="69"/>
      <c r="GML58" s="69"/>
      <c r="GMM58" s="69"/>
      <c r="GMN58" s="69"/>
      <c r="GMO58" s="69"/>
      <c r="GMP58" s="69"/>
      <c r="GMQ58" s="69"/>
      <c r="GMR58" s="69"/>
      <c r="GMS58" s="69"/>
      <c r="GMT58" s="69"/>
      <c r="GMU58" s="69"/>
      <c r="GMV58" s="69"/>
      <c r="GMW58" s="69"/>
      <c r="GMX58" s="69"/>
      <c r="GMY58" s="69"/>
      <c r="GMZ58" s="69"/>
      <c r="GNA58" s="69"/>
      <c r="GNB58" s="69"/>
      <c r="GNC58" s="69"/>
      <c r="GND58" s="69"/>
      <c r="GNE58" s="69"/>
      <c r="GNF58" s="69"/>
      <c r="GNG58" s="69"/>
      <c r="GNH58" s="69"/>
      <c r="GNI58" s="69"/>
      <c r="GNJ58" s="69"/>
      <c r="GNK58" s="69"/>
      <c r="GNL58" s="69"/>
      <c r="GNM58" s="69"/>
      <c r="GNN58" s="69"/>
      <c r="GNO58" s="69"/>
      <c r="GNP58" s="69"/>
      <c r="GNQ58" s="69"/>
      <c r="GNR58" s="69"/>
      <c r="GNS58" s="69"/>
      <c r="GNT58" s="69"/>
      <c r="GNU58" s="69"/>
      <c r="GNV58" s="69"/>
      <c r="GNW58" s="69"/>
      <c r="GNX58" s="69"/>
      <c r="GNY58" s="69"/>
      <c r="GNZ58" s="69"/>
      <c r="GOA58" s="69"/>
      <c r="GOB58" s="69"/>
      <c r="GOC58" s="69"/>
      <c r="GOD58" s="69"/>
      <c r="GOE58" s="69"/>
      <c r="GOF58" s="69"/>
      <c r="GOG58" s="69"/>
      <c r="GOH58" s="69"/>
      <c r="GOI58" s="69"/>
      <c r="GOJ58" s="69"/>
      <c r="GOK58" s="69"/>
      <c r="GOL58" s="69"/>
      <c r="GOM58" s="69"/>
      <c r="GON58" s="69"/>
      <c r="GOO58" s="69"/>
      <c r="GOP58" s="69"/>
      <c r="GOQ58" s="69"/>
      <c r="GOR58" s="69"/>
      <c r="GOS58" s="69"/>
      <c r="GOT58" s="69"/>
      <c r="GOU58" s="69"/>
      <c r="GOV58" s="69"/>
      <c r="GOW58" s="69"/>
      <c r="GOX58" s="69"/>
      <c r="GOY58" s="69"/>
      <c r="GOZ58" s="69"/>
      <c r="GPA58" s="69"/>
      <c r="GPB58" s="69"/>
      <c r="GPC58" s="69"/>
      <c r="GPD58" s="69"/>
      <c r="GPE58" s="69"/>
      <c r="GPF58" s="69"/>
      <c r="GPG58" s="69"/>
      <c r="GPH58" s="69"/>
      <c r="GPI58" s="69"/>
      <c r="GPJ58" s="69"/>
      <c r="GPK58" s="69"/>
      <c r="GPL58" s="69"/>
      <c r="GPM58" s="69"/>
      <c r="GPN58" s="69"/>
      <c r="GPO58" s="69"/>
      <c r="GPP58" s="69"/>
      <c r="GPQ58" s="69"/>
      <c r="GPR58" s="69"/>
      <c r="GPS58" s="69"/>
      <c r="GPT58" s="69"/>
      <c r="GPU58" s="69"/>
      <c r="GPV58" s="69"/>
      <c r="GPW58" s="69"/>
      <c r="GPX58" s="69"/>
      <c r="GPY58" s="69"/>
      <c r="GPZ58" s="69"/>
      <c r="GQA58" s="69"/>
      <c r="GQB58" s="69"/>
      <c r="GQC58" s="69"/>
      <c r="GQD58" s="69"/>
      <c r="GQE58" s="69"/>
      <c r="GQF58" s="69"/>
      <c r="GQG58" s="69"/>
      <c r="GQH58" s="69"/>
      <c r="GQI58" s="69"/>
      <c r="GQJ58" s="69"/>
      <c r="GQK58" s="69"/>
      <c r="GQL58" s="69"/>
      <c r="GQM58" s="69"/>
      <c r="GQN58" s="69"/>
      <c r="GQO58" s="69"/>
      <c r="GQP58" s="69"/>
      <c r="GQQ58" s="69"/>
      <c r="GQR58" s="69"/>
      <c r="GQS58" s="69"/>
      <c r="GQT58" s="69"/>
      <c r="GQU58" s="69"/>
      <c r="GQV58" s="69"/>
      <c r="GQW58" s="69"/>
      <c r="GQX58" s="69"/>
      <c r="GQY58" s="69"/>
      <c r="GQZ58" s="69"/>
      <c r="GRA58" s="69"/>
      <c r="GRB58" s="69"/>
      <c r="GRC58" s="69"/>
      <c r="GRD58" s="69"/>
      <c r="GRE58" s="69"/>
      <c r="GRF58" s="69"/>
      <c r="GRG58" s="69"/>
      <c r="GRH58" s="69"/>
      <c r="GRI58" s="69"/>
      <c r="GRJ58" s="69"/>
      <c r="GRK58" s="69"/>
      <c r="GRL58" s="69"/>
      <c r="GRM58" s="69"/>
      <c r="GRN58" s="69"/>
      <c r="GRO58" s="69"/>
      <c r="GRP58" s="69"/>
      <c r="GRQ58" s="69"/>
      <c r="GRR58" s="69"/>
      <c r="GRS58" s="69"/>
      <c r="GRT58" s="69"/>
      <c r="GRU58" s="69"/>
      <c r="GRV58" s="69"/>
      <c r="GRW58" s="69"/>
      <c r="GRX58" s="69"/>
      <c r="GRY58" s="69"/>
      <c r="GRZ58" s="69"/>
      <c r="GSA58" s="69"/>
      <c r="GSB58" s="69"/>
      <c r="GSC58" s="69"/>
      <c r="GSD58" s="69"/>
      <c r="GSE58" s="69"/>
      <c r="GSF58" s="69"/>
      <c r="GSG58" s="69"/>
      <c r="GSH58" s="69"/>
      <c r="GSI58" s="69"/>
      <c r="GSJ58" s="69"/>
      <c r="GSK58" s="69"/>
      <c r="GSL58" s="69"/>
      <c r="GSM58" s="69"/>
      <c r="GSN58" s="69"/>
      <c r="GSO58" s="69"/>
      <c r="GSP58" s="69"/>
      <c r="GSQ58" s="69"/>
      <c r="GSR58" s="69"/>
      <c r="GSS58" s="69"/>
      <c r="GST58" s="69"/>
      <c r="GSU58" s="69"/>
      <c r="GSV58" s="69"/>
      <c r="GSW58" s="69"/>
      <c r="GSX58" s="69"/>
      <c r="GSY58" s="69"/>
      <c r="GSZ58" s="69"/>
      <c r="GTA58" s="69"/>
      <c r="GTB58" s="69"/>
      <c r="GTC58" s="69"/>
      <c r="GTD58" s="69"/>
      <c r="GTE58" s="69"/>
      <c r="GTF58" s="69"/>
      <c r="GTG58" s="69"/>
      <c r="GTH58" s="69"/>
      <c r="GTI58" s="69"/>
      <c r="GTJ58" s="69"/>
      <c r="GTK58" s="69"/>
      <c r="GTL58" s="69"/>
      <c r="GTM58" s="69"/>
      <c r="GTN58" s="69"/>
      <c r="GTO58" s="69"/>
      <c r="GTP58" s="69"/>
      <c r="GTQ58" s="69"/>
      <c r="GTR58" s="69"/>
      <c r="GTS58" s="69"/>
      <c r="GTT58" s="69"/>
      <c r="GTU58" s="69"/>
      <c r="GTV58" s="69"/>
      <c r="GTW58" s="69"/>
      <c r="GTX58" s="69"/>
      <c r="GTY58" s="69"/>
      <c r="GTZ58" s="69"/>
      <c r="GUA58" s="69"/>
      <c r="GUB58" s="69"/>
      <c r="GUC58" s="69"/>
      <c r="GUD58" s="69"/>
      <c r="GUE58" s="69"/>
      <c r="GUF58" s="69"/>
      <c r="GUG58" s="69"/>
      <c r="GUH58" s="69"/>
      <c r="GUI58" s="69"/>
      <c r="GUJ58" s="69"/>
      <c r="GUK58" s="69"/>
      <c r="GUL58" s="69"/>
      <c r="GUM58" s="69"/>
      <c r="GUN58" s="69"/>
      <c r="GUO58" s="69"/>
      <c r="GUP58" s="69"/>
      <c r="GUQ58" s="69"/>
      <c r="GUR58" s="69"/>
      <c r="GUS58" s="69"/>
      <c r="GUT58" s="69"/>
      <c r="GUU58" s="69"/>
      <c r="GUV58" s="69"/>
      <c r="GUW58" s="69"/>
      <c r="GUX58" s="69"/>
      <c r="GUY58" s="69"/>
      <c r="GUZ58" s="69"/>
      <c r="GVA58" s="69"/>
      <c r="GVB58" s="69"/>
      <c r="GVC58" s="69"/>
      <c r="GVD58" s="69"/>
      <c r="GVE58" s="69"/>
      <c r="GVF58" s="69"/>
      <c r="GVG58" s="69"/>
      <c r="GVH58" s="69"/>
      <c r="GVI58" s="69"/>
      <c r="GVJ58" s="69"/>
      <c r="GVK58" s="69"/>
      <c r="GVL58" s="69"/>
      <c r="GVM58" s="69"/>
      <c r="GVN58" s="69"/>
      <c r="GVO58" s="69"/>
      <c r="GVP58" s="69"/>
      <c r="GVQ58" s="69"/>
      <c r="GVR58" s="69"/>
      <c r="GVS58" s="69"/>
      <c r="GVT58" s="69"/>
      <c r="GVU58" s="69"/>
      <c r="GVV58" s="69"/>
      <c r="GVW58" s="69"/>
      <c r="GVX58" s="69"/>
      <c r="GVY58" s="69"/>
      <c r="GVZ58" s="69"/>
      <c r="GWA58" s="69"/>
      <c r="GWB58" s="69"/>
      <c r="GWC58" s="69"/>
      <c r="GWD58" s="69"/>
      <c r="GWE58" s="69"/>
      <c r="GWF58" s="69"/>
      <c r="GWG58" s="69"/>
      <c r="GWH58" s="69"/>
      <c r="GWI58" s="69"/>
      <c r="GWJ58" s="69"/>
      <c r="GWK58" s="69"/>
      <c r="GWL58" s="69"/>
      <c r="GWM58" s="69"/>
      <c r="GWN58" s="69"/>
      <c r="GWO58" s="69"/>
      <c r="GWP58" s="69"/>
      <c r="GWQ58" s="69"/>
      <c r="GWR58" s="69"/>
      <c r="GWS58" s="69"/>
      <c r="GWT58" s="69"/>
      <c r="GWU58" s="69"/>
      <c r="GWV58" s="69"/>
      <c r="GWW58" s="69"/>
      <c r="GWX58" s="69"/>
      <c r="GWY58" s="69"/>
      <c r="GWZ58" s="69"/>
      <c r="GXA58" s="69"/>
      <c r="GXB58" s="69"/>
      <c r="GXC58" s="69"/>
      <c r="GXD58" s="69"/>
      <c r="GXE58" s="69"/>
      <c r="GXF58" s="69"/>
      <c r="GXG58" s="69"/>
      <c r="GXH58" s="69"/>
      <c r="GXI58" s="69"/>
      <c r="GXJ58" s="69"/>
      <c r="GXK58" s="69"/>
      <c r="GXL58" s="69"/>
      <c r="GXM58" s="69"/>
      <c r="GXN58" s="69"/>
      <c r="GXO58" s="69"/>
      <c r="GXP58" s="69"/>
      <c r="GXQ58" s="69"/>
      <c r="GXR58" s="69"/>
      <c r="GXS58" s="69"/>
      <c r="GXT58" s="69"/>
      <c r="GXU58" s="69"/>
      <c r="GXV58" s="69"/>
      <c r="GXW58" s="69"/>
      <c r="GXX58" s="69"/>
      <c r="GXY58" s="69"/>
      <c r="GXZ58" s="69"/>
      <c r="GYA58" s="69"/>
      <c r="GYB58" s="69"/>
      <c r="GYC58" s="69"/>
      <c r="GYD58" s="69"/>
      <c r="GYE58" s="69"/>
      <c r="GYF58" s="69"/>
      <c r="GYG58" s="69"/>
      <c r="GYH58" s="69"/>
      <c r="GYI58" s="69"/>
      <c r="GYJ58" s="69"/>
      <c r="GYK58" s="69"/>
      <c r="GYL58" s="69"/>
      <c r="GYM58" s="69"/>
      <c r="GYN58" s="69"/>
      <c r="GYO58" s="69"/>
      <c r="GYP58" s="69"/>
      <c r="GYQ58" s="69"/>
      <c r="GYR58" s="69"/>
      <c r="GYS58" s="69"/>
      <c r="GYT58" s="69"/>
      <c r="GYU58" s="69"/>
      <c r="GYV58" s="69"/>
      <c r="GYW58" s="69"/>
      <c r="GYX58" s="69"/>
      <c r="GYY58" s="69"/>
      <c r="GYZ58" s="69"/>
      <c r="GZA58" s="69"/>
      <c r="GZB58" s="69"/>
      <c r="GZC58" s="69"/>
      <c r="GZD58" s="69"/>
      <c r="GZE58" s="69"/>
      <c r="GZF58" s="69"/>
      <c r="GZG58" s="69"/>
      <c r="GZH58" s="69"/>
      <c r="GZI58" s="69"/>
      <c r="GZJ58" s="69"/>
      <c r="GZK58" s="69"/>
      <c r="GZL58" s="69"/>
      <c r="GZM58" s="69"/>
      <c r="GZN58" s="69"/>
      <c r="GZO58" s="69"/>
      <c r="GZP58" s="69"/>
      <c r="GZQ58" s="69"/>
      <c r="GZR58" s="69"/>
      <c r="GZS58" s="69"/>
      <c r="GZT58" s="69"/>
      <c r="GZU58" s="69"/>
      <c r="GZV58" s="69"/>
      <c r="GZW58" s="69"/>
      <c r="GZX58" s="69"/>
      <c r="GZY58" s="69"/>
      <c r="GZZ58" s="69"/>
      <c r="HAA58" s="69"/>
      <c r="HAB58" s="69"/>
      <c r="HAC58" s="69"/>
      <c r="HAD58" s="69"/>
      <c r="HAE58" s="69"/>
      <c r="HAF58" s="69"/>
      <c r="HAG58" s="69"/>
      <c r="HAH58" s="69"/>
      <c r="HAI58" s="69"/>
      <c r="HAJ58" s="69"/>
      <c r="HAK58" s="69"/>
      <c r="HAL58" s="69"/>
      <c r="HAM58" s="69"/>
      <c r="HAN58" s="69"/>
      <c r="HAO58" s="69"/>
      <c r="HAP58" s="69"/>
      <c r="HAQ58" s="69"/>
      <c r="HAR58" s="69"/>
      <c r="HAS58" s="69"/>
      <c r="HAT58" s="69"/>
      <c r="HAU58" s="69"/>
      <c r="HAV58" s="69"/>
      <c r="HAW58" s="69"/>
      <c r="HAX58" s="69"/>
      <c r="HAY58" s="69"/>
      <c r="HAZ58" s="69"/>
      <c r="HBA58" s="69"/>
      <c r="HBB58" s="69"/>
      <c r="HBC58" s="69"/>
      <c r="HBD58" s="69"/>
      <c r="HBE58" s="69"/>
      <c r="HBF58" s="69"/>
      <c r="HBG58" s="69"/>
      <c r="HBH58" s="69"/>
      <c r="HBI58" s="69"/>
      <c r="HBJ58" s="69"/>
      <c r="HBK58" s="69"/>
      <c r="HBL58" s="69"/>
      <c r="HBM58" s="69"/>
      <c r="HBN58" s="69"/>
      <c r="HBO58" s="69"/>
      <c r="HBP58" s="69"/>
      <c r="HBQ58" s="69"/>
      <c r="HBR58" s="69"/>
      <c r="HBS58" s="69"/>
      <c r="HBT58" s="69"/>
      <c r="HBU58" s="69"/>
      <c r="HBV58" s="69"/>
      <c r="HBW58" s="69"/>
      <c r="HBX58" s="69"/>
      <c r="HBY58" s="69"/>
      <c r="HBZ58" s="69"/>
      <c r="HCA58" s="69"/>
      <c r="HCB58" s="69"/>
      <c r="HCC58" s="69"/>
      <c r="HCD58" s="69"/>
      <c r="HCE58" s="69"/>
      <c r="HCF58" s="69"/>
      <c r="HCG58" s="69"/>
      <c r="HCH58" s="69"/>
      <c r="HCI58" s="69"/>
      <c r="HCJ58" s="69"/>
      <c r="HCK58" s="69"/>
      <c r="HCL58" s="69"/>
      <c r="HCM58" s="69"/>
      <c r="HCN58" s="69"/>
      <c r="HCO58" s="69"/>
      <c r="HCP58" s="69"/>
      <c r="HCQ58" s="69"/>
      <c r="HCR58" s="69"/>
      <c r="HCS58" s="69"/>
      <c r="HCT58" s="69"/>
      <c r="HCU58" s="69"/>
      <c r="HCV58" s="69"/>
      <c r="HCW58" s="69"/>
      <c r="HCX58" s="69"/>
      <c r="HCY58" s="69"/>
      <c r="HCZ58" s="69"/>
      <c r="HDA58" s="69"/>
      <c r="HDB58" s="69"/>
      <c r="HDC58" s="69"/>
      <c r="HDD58" s="69"/>
      <c r="HDE58" s="69"/>
      <c r="HDF58" s="69"/>
      <c r="HDG58" s="69"/>
      <c r="HDH58" s="69"/>
      <c r="HDI58" s="69"/>
      <c r="HDJ58" s="69"/>
      <c r="HDK58" s="69"/>
      <c r="HDL58" s="69"/>
      <c r="HDM58" s="69"/>
      <c r="HDN58" s="69"/>
      <c r="HDO58" s="69"/>
      <c r="HDP58" s="69"/>
      <c r="HDQ58" s="69"/>
      <c r="HDR58" s="69"/>
      <c r="HDS58" s="69"/>
      <c r="HDT58" s="69"/>
      <c r="HDU58" s="69"/>
      <c r="HDV58" s="69"/>
      <c r="HDW58" s="69"/>
      <c r="HDX58" s="69"/>
      <c r="HDY58" s="69"/>
      <c r="HDZ58" s="69"/>
      <c r="HEA58" s="69"/>
      <c r="HEB58" s="69"/>
      <c r="HEC58" s="69"/>
      <c r="HED58" s="69"/>
      <c r="HEE58" s="69"/>
      <c r="HEF58" s="69"/>
      <c r="HEG58" s="69"/>
      <c r="HEH58" s="69"/>
      <c r="HEI58" s="69"/>
      <c r="HEJ58" s="69"/>
      <c r="HEK58" s="69"/>
      <c r="HEL58" s="69"/>
      <c r="HEM58" s="69"/>
      <c r="HEN58" s="69"/>
      <c r="HEO58" s="69"/>
      <c r="HEP58" s="69"/>
      <c r="HEQ58" s="69"/>
      <c r="HER58" s="69"/>
      <c r="HES58" s="69"/>
      <c r="HET58" s="69"/>
      <c r="HEU58" s="69"/>
      <c r="HEV58" s="69"/>
      <c r="HEW58" s="69"/>
      <c r="HEX58" s="69"/>
      <c r="HEY58" s="69"/>
      <c r="HEZ58" s="69"/>
      <c r="HFA58" s="69"/>
      <c r="HFB58" s="69"/>
      <c r="HFC58" s="69"/>
      <c r="HFD58" s="69"/>
      <c r="HFE58" s="69"/>
      <c r="HFF58" s="69"/>
      <c r="HFG58" s="69"/>
      <c r="HFH58" s="69"/>
      <c r="HFI58" s="69"/>
      <c r="HFJ58" s="69"/>
      <c r="HFK58" s="69"/>
      <c r="HFL58" s="69"/>
      <c r="HFM58" s="69"/>
      <c r="HFN58" s="69"/>
      <c r="HFO58" s="69"/>
      <c r="HFP58" s="69"/>
      <c r="HFQ58" s="69"/>
      <c r="HFR58" s="69"/>
      <c r="HFS58" s="69"/>
      <c r="HFT58" s="69"/>
      <c r="HFU58" s="69"/>
      <c r="HFV58" s="69"/>
      <c r="HFW58" s="69"/>
      <c r="HFX58" s="69"/>
      <c r="HFY58" s="69"/>
      <c r="HFZ58" s="69"/>
      <c r="HGA58" s="69"/>
      <c r="HGB58" s="69"/>
      <c r="HGC58" s="69"/>
      <c r="HGD58" s="69"/>
      <c r="HGE58" s="69"/>
      <c r="HGF58" s="69"/>
      <c r="HGG58" s="69"/>
      <c r="HGH58" s="69"/>
      <c r="HGI58" s="69"/>
      <c r="HGJ58" s="69"/>
      <c r="HGK58" s="69"/>
      <c r="HGL58" s="69"/>
      <c r="HGM58" s="69"/>
      <c r="HGN58" s="69"/>
      <c r="HGO58" s="69"/>
      <c r="HGP58" s="69"/>
      <c r="HGQ58" s="69"/>
      <c r="HGR58" s="69"/>
      <c r="HGS58" s="69"/>
      <c r="HGT58" s="69"/>
      <c r="HGU58" s="69"/>
      <c r="HGV58" s="69"/>
      <c r="HGW58" s="69"/>
      <c r="HGX58" s="69"/>
      <c r="HGY58" s="69"/>
      <c r="HGZ58" s="69"/>
      <c r="HHA58" s="69"/>
      <c r="HHB58" s="69"/>
      <c r="HHC58" s="69"/>
      <c r="HHD58" s="69"/>
      <c r="HHE58" s="69"/>
      <c r="HHF58" s="69"/>
      <c r="HHG58" s="69"/>
      <c r="HHH58" s="69"/>
      <c r="HHI58" s="69"/>
      <c r="HHJ58" s="69"/>
      <c r="HHK58" s="69"/>
      <c r="HHL58" s="69"/>
      <c r="HHM58" s="69"/>
      <c r="HHN58" s="69"/>
      <c r="HHO58" s="69"/>
      <c r="HHP58" s="69"/>
      <c r="HHQ58" s="69"/>
      <c r="HHR58" s="69"/>
      <c r="HHS58" s="69"/>
      <c r="HHT58" s="69"/>
      <c r="HHU58" s="69"/>
      <c r="HHV58" s="69"/>
      <c r="HHW58" s="69"/>
      <c r="HHX58" s="69"/>
      <c r="HHY58" s="69"/>
      <c r="HHZ58" s="69"/>
      <c r="HIA58" s="69"/>
      <c r="HIB58" s="69"/>
      <c r="HIC58" s="69"/>
      <c r="HID58" s="69"/>
      <c r="HIE58" s="69"/>
      <c r="HIF58" s="69"/>
      <c r="HIG58" s="69"/>
      <c r="HIH58" s="69"/>
      <c r="HII58" s="69"/>
      <c r="HIJ58" s="69"/>
      <c r="HIK58" s="69"/>
      <c r="HIL58" s="69"/>
      <c r="HIM58" s="69"/>
      <c r="HIN58" s="69"/>
      <c r="HIO58" s="69"/>
      <c r="HIP58" s="69"/>
      <c r="HIQ58" s="69"/>
      <c r="HIR58" s="69"/>
      <c r="HIS58" s="69"/>
      <c r="HIT58" s="69"/>
      <c r="HIU58" s="69"/>
      <c r="HIV58" s="69"/>
      <c r="HIW58" s="69"/>
      <c r="HIX58" s="69"/>
      <c r="HIY58" s="69"/>
      <c r="HIZ58" s="69"/>
      <c r="HJA58" s="69"/>
      <c r="HJB58" s="69"/>
      <c r="HJC58" s="69"/>
      <c r="HJD58" s="69"/>
      <c r="HJE58" s="69"/>
      <c r="HJF58" s="69"/>
      <c r="HJG58" s="69"/>
      <c r="HJH58" s="69"/>
      <c r="HJI58" s="69"/>
      <c r="HJJ58" s="69"/>
      <c r="HJK58" s="69"/>
      <c r="HJL58" s="69"/>
      <c r="HJM58" s="69"/>
      <c r="HJN58" s="69"/>
      <c r="HJO58" s="69"/>
      <c r="HJP58" s="69"/>
      <c r="HJQ58" s="69"/>
      <c r="HJR58" s="69"/>
      <c r="HJS58" s="69"/>
      <c r="HJT58" s="69"/>
      <c r="HJU58" s="69"/>
      <c r="HJV58" s="69"/>
      <c r="HJW58" s="69"/>
      <c r="HJX58" s="69"/>
      <c r="HJY58" s="69"/>
      <c r="HJZ58" s="69"/>
      <c r="HKA58" s="69"/>
      <c r="HKB58" s="69"/>
      <c r="HKC58" s="69"/>
      <c r="HKD58" s="69"/>
      <c r="HKE58" s="69"/>
      <c r="HKF58" s="69"/>
      <c r="HKG58" s="69"/>
      <c r="HKH58" s="69"/>
      <c r="HKI58" s="69"/>
      <c r="HKJ58" s="69"/>
      <c r="HKK58" s="69"/>
      <c r="HKL58" s="69"/>
      <c r="HKM58" s="69"/>
      <c r="HKN58" s="69"/>
      <c r="HKO58" s="69"/>
      <c r="HKP58" s="69"/>
      <c r="HKQ58" s="69"/>
      <c r="HKR58" s="69"/>
      <c r="HKS58" s="69"/>
      <c r="HKT58" s="69"/>
      <c r="HKU58" s="69"/>
      <c r="HKV58" s="69"/>
      <c r="HKW58" s="69"/>
      <c r="HKX58" s="69"/>
      <c r="HKY58" s="69"/>
      <c r="HKZ58" s="69"/>
      <c r="HLA58" s="69"/>
      <c r="HLB58" s="69"/>
      <c r="HLC58" s="69"/>
      <c r="HLD58" s="69"/>
      <c r="HLE58" s="69"/>
      <c r="HLF58" s="69"/>
      <c r="HLG58" s="69"/>
      <c r="HLH58" s="69"/>
      <c r="HLI58" s="69"/>
      <c r="HLJ58" s="69"/>
      <c r="HLK58" s="69"/>
      <c r="HLL58" s="69"/>
      <c r="HLM58" s="69"/>
      <c r="HLN58" s="69"/>
      <c r="HLO58" s="69"/>
      <c r="HLP58" s="69"/>
      <c r="HLQ58" s="69"/>
      <c r="HLR58" s="69"/>
      <c r="HLS58" s="69"/>
      <c r="HLT58" s="69"/>
      <c r="HLU58" s="69"/>
      <c r="HLV58" s="69"/>
      <c r="HLW58" s="69"/>
      <c r="HLX58" s="69"/>
      <c r="HLY58" s="69"/>
      <c r="HLZ58" s="69"/>
      <c r="HMA58" s="69"/>
      <c r="HMB58" s="69"/>
      <c r="HMC58" s="69"/>
      <c r="HMD58" s="69"/>
      <c r="HME58" s="69"/>
      <c r="HMF58" s="69"/>
      <c r="HMG58" s="69"/>
      <c r="HMH58" s="69"/>
      <c r="HMI58" s="69"/>
      <c r="HMJ58" s="69"/>
      <c r="HMK58" s="69"/>
      <c r="HML58" s="69"/>
      <c r="HMM58" s="69"/>
      <c r="HMN58" s="69"/>
      <c r="HMO58" s="69"/>
      <c r="HMP58" s="69"/>
      <c r="HMQ58" s="69"/>
      <c r="HMR58" s="69"/>
      <c r="HMS58" s="69"/>
      <c r="HMT58" s="69"/>
      <c r="HMU58" s="69"/>
      <c r="HMV58" s="69"/>
      <c r="HMW58" s="69"/>
      <c r="HMX58" s="69"/>
      <c r="HMY58" s="69"/>
      <c r="HMZ58" s="69"/>
      <c r="HNA58" s="69"/>
      <c r="HNB58" s="69"/>
      <c r="HNC58" s="69"/>
      <c r="HND58" s="69"/>
      <c r="HNE58" s="69"/>
      <c r="HNF58" s="69"/>
      <c r="HNG58" s="69"/>
      <c r="HNH58" s="69"/>
      <c r="HNI58" s="69"/>
      <c r="HNJ58" s="69"/>
      <c r="HNK58" s="69"/>
      <c r="HNL58" s="69"/>
      <c r="HNM58" s="69"/>
      <c r="HNN58" s="69"/>
      <c r="HNO58" s="69"/>
      <c r="HNP58" s="69"/>
      <c r="HNQ58" s="69"/>
      <c r="HNR58" s="69"/>
      <c r="HNS58" s="69"/>
      <c r="HNT58" s="69"/>
      <c r="HNU58" s="69"/>
      <c r="HNV58" s="69"/>
      <c r="HNW58" s="69"/>
      <c r="HNX58" s="69"/>
      <c r="HNY58" s="69"/>
      <c r="HNZ58" s="69"/>
      <c r="HOA58" s="69"/>
      <c r="HOB58" s="69"/>
      <c r="HOC58" s="69"/>
      <c r="HOD58" s="69"/>
      <c r="HOE58" s="69"/>
      <c r="HOF58" s="69"/>
      <c r="HOG58" s="69"/>
      <c r="HOH58" s="69"/>
      <c r="HOI58" s="69"/>
      <c r="HOJ58" s="69"/>
      <c r="HOK58" s="69"/>
      <c r="HOL58" s="69"/>
      <c r="HOM58" s="69"/>
      <c r="HON58" s="69"/>
      <c r="HOO58" s="69"/>
      <c r="HOP58" s="69"/>
      <c r="HOQ58" s="69"/>
      <c r="HOR58" s="69"/>
      <c r="HOS58" s="69"/>
      <c r="HOT58" s="69"/>
      <c r="HOU58" s="69"/>
      <c r="HOV58" s="69"/>
      <c r="HOW58" s="69"/>
      <c r="HOX58" s="69"/>
      <c r="HOY58" s="69"/>
      <c r="HOZ58" s="69"/>
      <c r="HPA58" s="69"/>
      <c r="HPB58" s="69"/>
      <c r="HPC58" s="69"/>
      <c r="HPD58" s="69"/>
      <c r="HPE58" s="69"/>
      <c r="HPF58" s="69"/>
      <c r="HPG58" s="69"/>
      <c r="HPH58" s="69"/>
      <c r="HPI58" s="69"/>
      <c r="HPJ58" s="69"/>
      <c r="HPK58" s="69"/>
      <c r="HPL58" s="69"/>
      <c r="HPM58" s="69"/>
      <c r="HPN58" s="69"/>
      <c r="HPO58" s="69"/>
      <c r="HPP58" s="69"/>
      <c r="HPQ58" s="69"/>
      <c r="HPR58" s="69"/>
      <c r="HPS58" s="69"/>
      <c r="HPT58" s="69"/>
      <c r="HPU58" s="69"/>
      <c r="HPV58" s="69"/>
      <c r="HPW58" s="69"/>
      <c r="HPX58" s="69"/>
      <c r="HPY58" s="69"/>
      <c r="HPZ58" s="69"/>
      <c r="HQA58" s="69"/>
      <c r="HQB58" s="69"/>
      <c r="HQC58" s="69"/>
      <c r="HQD58" s="69"/>
      <c r="HQE58" s="69"/>
      <c r="HQF58" s="69"/>
      <c r="HQG58" s="69"/>
      <c r="HQH58" s="69"/>
      <c r="HQI58" s="69"/>
      <c r="HQJ58" s="69"/>
      <c r="HQK58" s="69"/>
      <c r="HQL58" s="69"/>
      <c r="HQM58" s="69"/>
      <c r="HQN58" s="69"/>
      <c r="HQO58" s="69"/>
      <c r="HQP58" s="69"/>
      <c r="HQQ58" s="69"/>
      <c r="HQR58" s="69"/>
      <c r="HQS58" s="69"/>
      <c r="HQT58" s="69"/>
      <c r="HQU58" s="69"/>
      <c r="HQV58" s="69"/>
      <c r="HQW58" s="69"/>
      <c r="HQX58" s="69"/>
      <c r="HQY58" s="69"/>
      <c r="HQZ58" s="69"/>
      <c r="HRA58" s="69"/>
      <c r="HRB58" s="69"/>
      <c r="HRC58" s="69"/>
      <c r="HRD58" s="69"/>
      <c r="HRE58" s="69"/>
      <c r="HRF58" s="69"/>
      <c r="HRG58" s="69"/>
      <c r="HRH58" s="69"/>
      <c r="HRI58" s="69"/>
      <c r="HRJ58" s="69"/>
      <c r="HRK58" s="69"/>
      <c r="HRL58" s="69"/>
      <c r="HRM58" s="69"/>
      <c r="HRN58" s="69"/>
      <c r="HRO58" s="69"/>
      <c r="HRP58" s="69"/>
      <c r="HRQ58" s="69"/>
      <c r="HRR58" s="69"/>
      <c r="HRS58" s="69"/>
      <c r="HRT58" s="69"/>
      <c r="HRU58" s="69"/>
      <c r="HRV58" s="69"/>
      <c r="HRW58" s="69"/>
      <c r="HRX58" s="69"/>
      <c r="HRY58" s="69"/>
      <c r="HRZ58" s="69"/>
      <c r="HSA58" s="69"/>
      <c r="HSB58" s="69"/>
      <c r="HSC58" s="69"/>
      <c r="HSD58" s="69"/>
      <c r="HSE58" s="69"/>
      <c r="HSF58" s="69"/>
      <c r="HSG58" s="69"/>
      <c r="HSH58" s="69"/>
      <c r="HSI58" s="69"/>
      <c r="HSJ58" s="69"/>
      <c r="HSK58" s="69"/>
      <c r="HSL58" s="69"/>
      <c r="HSM58" s="69"/>
      <c r="HSN58" s="69"/>
      <c r="HSO58" s="69"/>
      <c r="HSP58" s="69"/>
      <c r="HSQ58" s="69"/>
      <c r="HSR58" s="69"/>
      <c r="HSS58" s="69"/>
      <c r="HST58" s="69"/>
      <c r="HSU58" s="69"/>
      <c r="HSV58" s="69"/>
      <c r="HSW58" s="69"/>
      <c r="HSX58" s="69"/>
      <c r="HSY58" s="69"/>
      <c r="HSZ58" s="69"/>
      <c r="HTA58" s="69"/>
      <c r="HTB58" s="69"/>
      <c r="HTC58" s="69"/>
      <c r="HTD58" s="69"/>
      <c r="HTE58" s="69"/>
      <c r="HTF58" s="69"/>
      <c r="HTG58" s="69"/>
      <c r="HTH58" s="69"/>
      <c r="HTI58" s="69"/>
      <c r="HTJ58" s="69"/>
      <c r="HTK58" s="69"/>
      <c r="HTL58" s="69"/>
      <c r="HTM58" s="69"/>
      <c r="HTN58" s="69"/>
      <c r="HTO58" s="69"/>
      <c r="HTP58" s="69"/>
      <c r="HTQ58" s="69"/>
      <c r="HTR58" s="69"/>
      <c r="HTS58" s="69"/>
      <c r="HTT58" s="69"/>
      <c r="HTU58" s="69"/>
      <c r="HTV58" s="69"/>
      <c r="HTW58" s="69"/>
      <c r="HTX58" s="69"/>
      <c r="HTY58" s="69"/>
      <c r="HTZ58" s="69"/>
      <c r="HUA58" s="69"/>
      <c r="HUB58" s="69"/>
      <c r="HUC58" s="69"/>
      <c r="HUD58" s="69"/>
      <c r="HUE58" s="69"/>
      <c r="HUF58" s="69"/>
      <c r="HUG58" s="69"/>
      <c r="HUH58" s="69"/>
      <c r="HUI58" s="69"/>
      <c r="HUJ58" s="69"/>
      <c r="HUK58" s="69"/>
      <c r="HUL58" s="69"/>
      <c r="HUM58" s="69"/>
      <c r="HUN58" s="69"/>
      <c r="HUO58" s="69"/>
      <c r="HUP58" s="69"/>
      <c r="HUQ58" s="69"/>
      <c r="HUR58" s="69"/>
      <c r="HUS58" s="69"/>
      <c r="HUT58" s="69"/>
      <c r="HUU58" s="69"/>
      <c r="HUV58" s="69"/>
      <c r="HUW58" s="69"/>
      <c r="HUX58" s="69"/>
      <c r="HUY58" s="69"/>
      <c r="HUZ58" s="69"/>
      <c r="HVA58" s="69"/>
      <c r="HVB58" s="69"/>
      <c r="HVC58" s="69"/>
      <c r="HVD58" s="69"/>
      <c r="HVE58" s="69"/>
      <c r="HVF58" s="69"/>
      <c r="HVG58" s="69"/>
      <c r="HVH58" s="69"/>
      <c r="HVI58" s="69"/>
      <c r="HVJ58" s="69"/>
      <c r="HVK58" s="69"/>
      <c r="HVL58" s="69"/>
      <c r="HVM58" s="69"/>
      <c r="HVN58" s="69"/>
      <c r="HVO58" s="69"/>
      <c r="HVP58" s="69"/>
      <c r="HVQ58" s="69"/>
      <c r="HVR58" s="69"/>
      <c r="HVS58" s="69"/>
      <c r="HVT58" s="69"/>
      <c r="HVU58" s="69"/>
      <c r="HVV58" s="69"/>
      <c r="HVW58" s="69"/>
      <c r="HVX58" s="69"/>
      <c r="HVY58" s="69"/>
      <c r="HVZ58" s="69"/>
      <c r="HWA58" s="69"/>
      <c r="HWB58" s="69"/>
      <c r="HWC58" s="69"/>
      <c r="HWD58" s="69"/>
      <c r="HWE58" s="69"/>
      <c r="HWF58" s="69"/>
      <c r="HWG58" s="69"/>
      <c r="HWH58" s="69"/>
      <c r="HWI58" s="69"/>
      <c r="HWJ58" s="69"/>
      <c r="HWK58" s="69"/>
      <c r="HWL58" s="69"/>
      <c r="HWM58" s="69"/>
      <c r="HWN58" s="69"/>
      <c r="HWO58" s="69"/>
      <c r="HWP58" s="69"/>
      <c r="HWQ58" s="69"/>
      <c r="HWR58" s="69"/>
      <c r="HWS58" s="69"/>
      <c r="HWT58" s="69"/>
      <c r="HWU58" s="69"/>
      <c r="HWV58" s="69"/>
      <c r="HWW58" s="69"/>
      <c r="HWX58" s="69"/>
      <c r="HWY58" s="69"/>
      <c r="HWZ58" s="69"/>
      <c r="HXA58" s="69"/>
      <c r="HXB58" s="69"/>
      <c r="HXC58" s="69"/>
      <c r="HXD58" s="69"/>
      <c r="HXE58" s="69"/>
      <c r="HXF58" s="69"/>
      <c r="HXG58" s="69"/>
      <c r="HXH58" s="69"/>
      <c r="HXI58" s="69"/>
      <c r="HXJ58" s="69"/>
      <c r="HXK58" s="69"/>
      <c r="HXL58" s="69"/>
      <c r="HXM58" s="69"/>
      <c r="HXN58" s="69"/>
      <c r="HXO58" s="69"/>
      <c r="HXP58" s="69"/>
      <c r="HXQ58" s="69"/>
      <c r="HXR58" s="69"/>
      <c r="HXS58" s="69"/>
      <c r="HXT58" s="69"/>
      <c r="HXU58" s="69"/>
      <c r="HXV58" s="69"/>
      <c r="HXW58" s="69"/>
      <c r="HXX58" s="69"/>
      <c r="HXY58" s="69"/>
      <c r="HXZ58" s="69"/>
      <c r="HYA58" s="69"/>
      <c r="HYB58" s="69"/>
      <c r="HYC58" s="69"/>
      <c r="HYD58" s="69"/>
      <c r="HYE58" s="69"/>
      <c r="HYF58" s="69"/>
      <c r="HYG58" s="69"/>
      <c r="HYH58" s="69"/>
      <c r="HYI58" s="69"/>
      <c r="HYJ58" s="69"/>
      <c r="HYK58" s="69"/>
      <c r="HYL58" s="69"/>
      <c r="HYM58" s="69"/>
      <c r="HYN58" s="69"/>
      <c r="HYO58" s="69"/>
      <c r="HYP58" s="69"/>
      <c r="HYQ58" s="69"/>
      <c r="HYR58" s="69"/>
      <c r="HYS58" s="69"/>
      <c r="HYT58" s="69"/>
      <c r="HYU58" s="69"/>
      <c r="HYV58" s="69"/>
      <c r="HYW58" s="69"/>
      <c r="HYX58" s="69"/>
      <c r="HYY58" s="69"/>
      <c r="HYZ58" s="69"/>
      <c r="HZA58" s="69"/>
      <c r="HZB58" s="69"/>
      <c r="HZC58" s="69"/>
      <c r="HZD58" s="69"/>
      <c r="HZE58" s="69"/>
      <c r="HZF58" s="69"/>
      <c r="HZG58" s="69"/>
      <c r="HZH58" s="69"/>
      <c r="HZI58" s="69"/>
      <c r="HZJ58" s="69"/>
      <c r="HZK58" s="69"/>
      <c r="HZL58" s="69"/>
      <c r="HZM58" s="69"/>
      <c r="HZN58" s="69"/>
      <c r="HZO58" s="69"/>
      <c r="HZP58" s="69"/>
      <c r="HZQ58" s="69"/>
      <c r="HZR58" s="69"/>
      <c r="HZS58" s="69"/>
      <c r="HZT58" s="69"/>
      <c r="HZU58" s="69"/>
      <c r="HZV58" s="69"/>
      <c r="HZW58" s="69"/>
      <c r="HZX58" s="69"/>
      <c r="HZY58" s="69"/>
      <c r="HZZ58" s="69"/>
      <c r="IAA58" s="69"/>
      <c r="IAB58" s="69"/>
      <c r="IAC58" s="69"/>
      <c r="IAD58" s="69"/>
      <c r="IAE58" s="69"/>
      <c r="IAF58" s="69"/>
      <c r="IAG58" s="69"/>
      <c r="IAH58" s="69"/>
      <c r="IAI58" s="69"/>
      <c r="IAJ58" s="69"/>
      <c r="IAK58" s="69"/>
      <c r="IAL58" s="69"/>
      <c r="IAM58" s="69"/>
      <c r="IAN58" s="69"/>
      <c r="IAO58" s="69"/>
      <c r="IAP58" s="69"/>
      <c r="IAQ58" s="69"/>
      <c r="IAR58" s="69"/>
      <c r="IAS58" s="69"/>
      <c r="IAT58" s="69"/>
      <c r="IAU58" s="69"/>
      <c r="IAV58" s="69"/>
      <c r="IAW58" s="69"/>
      <c r="IAX58" s="69"/>
      <c r="IAY58" s="69"/>
      <c r="IAZ58" s="69"/>
      <c r="IBA58" s="69"/>
      <c r="IBB58" s="69"/>
      <c r="IBC58" s="69"/>
      <c r="IBD58" s="69"/>
      <c r="IBE58" s="69"/>
      <c r="IBF58" s="69"/>
      <c r="IBG58" s="69"/>
      <c r="IBH58" s="69"/>
      <c r="IBI58" s="69"/>
      <c r="IBJ58" s="69"/>
      <c r="IBK58" s="69"/>
      <c r="IBL58" s="69"/>
      <c r="IBM58" s="69"/>
      <c r="IBN58" s="69"/>
      <c r="IBO58" s="69"/>
      <c r="IBP58" s="69"/>
      <c r="IBQ58" s="69"/>
      <c r="IBR58" s="69"/>
      <c r="IBS58" s="69"/>
      <c r="IBT58" s="69"/>
      <c r="IBU58" s="69"/>
      <c r="IBV58" s="69"/>
      <c r="IBW58" s="69"/>
      <c r="IBX58" s="69"/>
      <c r="IBY58" s="69"/>
      <c r="IBZ58" s="69"/>
      <c r="ICA58" s="69"/>
      <c r="ICB58" s="69"/>
      <c r="ICC58" s="69"/>
      <c r="ICD58" s="69"/>
      <c r="ICE58" s="69"/>
      <c r="ICF58" s="69"/>
      <c r="ICG58" s="69"/>
      <c r="ICH58" s="69"/>
      <c r="ICI58" s="69"/>
      <c r="ICJ58" s="69"/>
      <c r="ICK58" s="69"/>
      <c r="ICL58" s="69"/>
      <c r="ICM58" s="69"/>
      <c r="ICN58" s="69"/>
      <c r="ICO58" s="69"/>
      <c r="ICP58" s="69"/>
      <c r="ICQ58" s="69"/>
      <c r="ICR58" s="69"/>
      <c r="ICS58" s="69"/>
      <c r="ICT58" s="69"/>
      <c r="ICU58" s="69"/>
      <c r="ICV58" s="69"/>
      <c r="ICW58" s="69"/>
      <c r="ICX58" s="69"/>
      <c r="ICY58" s="69"/>
      <c r="ICZ58" s="69"/>
      <c r="IDA58" s="69"/>
      <c r="IDB58" s="69"/>
      <c r="IDC58" s="69"/>
      <c r="IDD58" s="69"/>
      <c r="IDE58" s="69"/>
      <c r="IDF58" s="69"/>
      <c r="IDG58" s="69"/>
      <c r="IDH58" s="69"/>
      <c r="IDI58" s="69"/>
      <c r="IDJ58" s="69"/>
      <c r="IDK58" s="69"/>
      <c r="IDL58" s="69"/>
      <c r="IDM58" s="69"/>
      <c r="IDN58" s="69"/>
      <c r="IDO58" s="69"/>
      <c r="IDP58" s="69"/>
      <c r="IDQ58" s="69"/>
      <c r="IDR58" s="69"/>
      <c r="IDS58" s="69"/>
      <c r="IDT58" s="69"/>
      <c r="IDU58" s="69"/>
      <c r="IDV58" s="69"/>
      <c r="IDW58" s="69"/>
      <c r="IDX58" s="69"/>
      <c r="IDY58" s="69"/>
      <c r="IDZ58" s="69"/>
      <c r="IEA58" s="69"/>
      <c r="IEB58" s="69"/>
      <c r="IEC58" s="69"/>
      <c r="IED58" s="69"/>
      <c r="IEE58" s="69"/>
      <c r="IEF58" s="69"/>
      <c r="IEG58" s="69"/>
      <c r="IEH58" s="69"/>
      <c r="IEI58" s="69"/>
      <c r="IEJ58" s="69"/>
      <c r="IEK58" s="69"/>
      <c r="IEL58" s="69"/>
      <c r="IEM58" s="69"/>
      <c r="IEN58" s="69"/>
      <c r="IEO58" s="69"/>
      <c r="IEP58" s="69"/>
      <c r="IEQ58" s="69"/>
      <c r="IER58" s="69"/>
      <c r="IES58" s="69"/>
      <c r="IET58" s="69"/>
      <c r="IEU58" s="69"/>
      <c r="IEV58" s="69"/>
      <c r="IEW58" s="69"/>
      <c r="IEX58" s="69"/>
      <c r="IEY58" s="69"/>
      <c r="IEZ58" s="69"/>
      <c r="IFA58" s="69"/>
      <c r="IFB58" s="69"/>
      <c r="IFC58" s="69"/>
      <c r="IFD58" s="69"/>
      <c r="IFE58" s="69"/>
      <c r="IFF58" s="69"/>
      <c r="IFG58" s="69"/>
      <c r="IFH58" s="69"/>
      <c r="IFI58" s="69"/>
      <c r="IFJ58" s="69"/>
      <c r="IFK58" s="69"/>
      <c r="IFL58" s="69"/>
      <c r="IFM58" s="69"/>
      <c r="IFN58" s="69"/>
      <c r="IFO58" s="69"/>
      <c r="IFP58" s="69"/>
      <c r="IFQ58" s="69"/>
      <c r="IFR58" s="69"/>
      <c r="IFS58" s="69"/>
      <c r="IFT58" s="69"/>
      <c r="IFU58" s="69"/>
      <c r="IFV58" s="69"/>
      <c r="IFW58" s="69"/>
      <c r="IFX58" s="69"/>
      <c r="IFY58" s="69"/>
      <c r="IFZ58" s="69"/>
      <c r="IGA58" s="69"/>
      <c r="IGB58" s="69"/>
      <c r="IGC58" s="69"/>
      <c r="IGD58" s="69"/>
      <c r="IGE58" s="69"/>
      <c r="IGF58" s="69"/>
      <c r="IGG58" s="69"/>
      <c r="IGH58" s="69"/>
      <c r="IGI58" s="69"/>
      <c r="IGJ58" s="69"/>
      <c r="IGK58" s="69"/>
      <c r="IGL58" s="69"/>
      <c r="IGM58" s="69"/>
      <c r="IGN58" s="69"/>
      <c r="IGO58" s="69"/>
      <c r="IGP58" s="69"/>
      <c r="IGQ58" s="69"/>
      <c r="IGR58" s="69"/>
      <c r="IGS58" s="69"/>
      <c r="IGT58" s="69"/>
      <c r="IGU58" s="69"/>
      <c r="IGV58" s="69"/>
      <c r="IGW58" s="69"/>
      <c r="IGX58" s="69"/>
      <c r="IGY58" s="69"/>
      <c r="IGZ58" s="69"/>
      <c r="IHA58" s="69"/>
      <c r="IHB58" s="69"/>
      <c r="IHC58" s="69"/>
      <c r="IHD58" s="69"/>
      <c r="IHE58" s="69"/>
      <c r="IHF58" s="69"/>
      <c r="IHG58" s="69"/>
      <c r="IHH58" s="69"/>
      <c r="IHI58" s="69"/>
      <c r="IHJ58" s="69"/>
      <c r="IHK58" s="69"/>
      <c r="IHL58" s="69"/>
      <c r="IHM58" s="69"/>
      <c r="IHN58" s="69"/>
      <c r="IHO58" s="69"/>
      <c r="IHP58" s="69"/>
      <c r="IHQ58" s="69"/>
      <c r="IHR58" s="69"/>
      <c r="IHS58" s="69"/>
      <c r="IHT58" s="69"/>
      <c r="IHU58" s="69"/>
      <c r="IHV58" s="69"/>
      <c r="IHW58" s="69"/>
      <c r="IHX58" s="69"/>
      <c r="IHY58" s="69"/>
      <c r="IHZ58" s="69"/>
      <c r="IIA58" s="69"/>
      <c r="IIB58" s="69"/>
      <c r="IIC58" s="69"/>
      <c r="IID58" s="69"/>
      <c r="IIE58" s="69"/>
      <c r="IIF58" s="69"/>
      <c r="IIG58" s="69"/>
      <c r="IIH58" s="69"/>
      <c r="III58" s="69"/>
      <c r="IIJ58" s="69"/>
      <c r="IIK58" s="69"/>
      <c r="IIL58" s="69"/>
      <c r="IIM58" s="69"/>
      <c r="IIN58" s="69"/>
      <c r="IIO58" s="69"/>
      <c r="IIP58" s="69"/>
      <c r="IIQ58" s="69"/>
      <c r="IIR58" s="69"/>
      <c r="IIS58" s="69"/>
      <c r="IIT58" s="69"/>
      <c r="IIU58" s="69"/>
      <c r="IIV58" s="69"/>
      <c r="IIW58" s="69"/>
      <c r="IIX58" s="69"/>
      <c r="IIY58" s="69"/>
      <c r="IIZ58" s="69"/>
      <c r="IJA58" s="69"/>
      <c r="IJB58" s="69"/>
      <c r="IJC58" s="69"/>
      <c r="IJD58" s="69"/>
      <c r="IJE58" s="69"/>
      <c r="IJF58" s="69"/>
      <c r="IJG58" s="69"/>
      <c r="IJH58" s="69"/>
      <c r="IJI58" s="69"/>
      <c r="IJJ58" s="69"/>
      <c r="IJK58" s="69"/>
      <c r="IJL58" s="69"/>
      <c r="IJM58" s="69"/>
      <c r="IJN58" s="69"/>
      <c r="IJO58" s="69"/>
      <c r="IJP58" s="69"/>
      <c r="IJQ58" s="69"/>
      <c r="IJR58" s="69"/>
      <c r="IJS58" s="69"/>
      <c r="IJT58" s="69"/>
      <c r="IJU58" s="69"/>
      <c r="IJV58" s="69"/>
      <c r="IJW58" s="69"/>
      <c r="IJX58" s="69"/>
      <c r="IJY58" s="69"/>
      <c r="IJZ58" s="69"/>
      <c r="IKA58" s="69"/>
      <c r="IKB58" s="69"/>
      <c r="IKC58" s="69"/>
      <c r="IKD58" s="69"/>
      <c r="IKE58" s="69"/>
      <c r="IKF58" s="69"/>
      <c r="IKG58" s="69"/>
      <c r="IKH58" s="69"/>
      <c r="IKI58" s="69"/>
      <c r="IKJ58" s="69"/>
      <c r="IKK58" s="69"/>
      <c r="IKL58" s="69"/>
      <c r="IKM58" s="69"/>
      <c r="IKN58" s="69"/>
      <c r="IKO58" s="69"/>
      <c r="IKP58" s="69"/>
      <c r="IKQ58" s="69"/>
      <c r="IKR58" s="69"/>
      <c r="IKS58" s="69"/>
      <c r="IKT58" s="69"/>
      <c r="IKU58" s="69"/>
      <c r="IKV58" s="69"/>
      <c r="IKW58" s="69"/>
      <c r="IKX58" s="69"/>
      <c r="IKY58" s="69"/>
      <c r="IKZ58" s="69"/>
      <c r="ILA58" s="69"/>
      <c r="ILB58" s="69"/>
      <c r="ILC58" s="69"/>
      <c r="ILD58" s="69"/>
      <c r="ILE58" s="69"/>
      <c r="ILF58" s="69"/>
      <c r="ILG58" s="69"/>
      <c r="ILH58" s="69"/>
      <c r="ILI58" s="69"/>
      <c r="ILJ58" s="69"/>
      <c r="ILK58" s="69"/>
      <c r="ILL58" s="69"/>
      <c r="ILM58" s="69"/>
      <c r="ILN58" s="69"/>
      <c r="ILO58" s="69"/>
      <c r="ILP58" s="69"/>
      <c r="ILQ58" s="69"/>
      <c r="ILR58" s="69"/>
      <c r="ILS58" s="69"/>
      <c r="ILT58" s="69"/>
      <c r="ILU58" s="69"/>
      <c r="ILV58" s="69"/>
      <c r="ILW58" s="69"/>
      <c r="ILX58" s="69"/>
      <c r="ILY58" s="69"/>
      <c r="ILZ58" s="69"/>
      <c r="IMA58" s="69"/>
      <c r="IMB58" s="69"/>
      <c r="IMC58" s="69"/>
      <c r="IMD58" s="69"/>
      <c r="IME58" s="69"/>
      <c r="IMF58" s="69"/>
      <c r="IMG58" s="69"/>
      <c r="IMH58" s="69"/>
      <c r="IMI58" s="69"/>
      <c r="IMJ58" s="69"/>
      <c r="IMK58" s="69"/>
      <c r="IML58" s="69"/>
      <c r="IMM58" s="69"/>
      <c r="IMN58" s="69"/>
      <c r="IMO58" s="69"/>
      <c r="IMP58" s="69"/>
      <c r="IMQ58" s="69"/>
      <c r="IMR58" s="69"/>
      <c r="IMS58" s="69"/>
      <c r="IMT58" s="69"/>
      <c r="IMU58" s="69"/>
      <c r="IMV58" s="69"/>
      <c r="IMW58" s="69"/>
      <c r="IMX58" s="69"/>
      <c r="IMY58" s="69"/>
      <c r="IMZ58" s="69"/>
      <c r="INA58" s="69"/>
      <c r="INB58" s="69"/>
      <c r="INC58" s="69"/>
      <c r="IND58" s="69"/>
      <c r="INE58" s="69"/>
      <c r="INF58" s="69"/>
      <c r="ING58" s="69"/>
      <c r="INH58" s="69"/>
      <c r="INI58" s="69"/>
      <c r="INJ58" s="69"/>
      <c r="INK58" s="69"/>
      <c r="INL58" s="69"/>
      <c r="INM58" s="69"/>
      <c r="INN58" s="69"/>
      <c r="INO58" s="69"/>
      <c r="INP58" s="69"/>
      <c r="INQ58" s="69"/>
      <c r="INR58" s="69"/>
      <c r="INS58" s="69"/>
      <c r="INT58" s="69"/>
      <c r="INU58" s="69"/>
      <c r="INV58" s="69"/>
      <c r="INW58" s="69"/>
      <c r="INX58" s="69"/>
      <c r="INY58" s="69"/>
      <c r="INZ58" s="69"/>
      <c r="IOA58" s="69"/>
      <c r="IOB58" s="69"/>
      <c r="IOC58" s="69"/>
      <c r="IOD58" s="69"/>
      <c r="IOE58" s="69"/>
      <c r="IOF58" s="69"/>
      <c r="IOG58" s="69"/>
      <c r="IOH58" s="69"/>
      <c r="IOI58" s="69"/>
      <c r="IOJ58" s="69"/>
      <c r="IOK58" s="69"/>
      <c r="IOL58" s="69"/>
      <c r="IOM58" s="69"/>
      <c r="ION58" s="69"/>
      <c r="IOO58" s="69"/>
      <c r="IOP58" s="69"/>
      <c r="IOQ58" s="69"/>
      <c r="IOR58" s="69"/>
      <c r="IOS58" s="69"/>
      <c r="IOT58" s="69"/>
      <c r="IOU58" s="69"/>
      <c r="IOV58" s="69"/>
      <c r="IOW58" s="69"/>
      <c r="IOX58" s="69"/>
      <c r="IOY58" s="69"/>
      <c r="IOZ58" s="69"/>
      <c r="IPA58" s="69"/>
      <c r="IPB58" s="69"/>
      <c r="IPC58" s="69"/>
      <c r="IPD58" s="69"/>
      <c r="IPE58" s="69"/>
      <c r="IPF58" s="69"/>
      <c r="IPG58" s="69"/>
      <c r="IPH58" s="69"/>
      <c r="IPI58" s="69"/>
      <c r="IPJ58" s="69"/>
      <c r="IPK58" s="69"/>
      <c r="IPL58" s="69"/>
      <c r="IPM58" s="69"/>
      <c r="IPN58" s="69"/>
      <c r="IPO58" s="69"/>
      <c r="IPP58" s="69"/>
      <c r="IPQ58" s="69"/>
      <c r="IPR58" s="69"/>
      <c r="IPS58" s="69"/>
      <c r="IPT58" s="69"/>
      <c r="IPU58" s="69"/>
      <c r="IPV58" s="69"/>
      <c r="IPW58" s="69"/>
      <c r="IPX58" s="69"/>
      <c r="IPY58" s="69"/>
      <c r="IPZ58" s="69"/>
      <c r="IQA58" s="69"/>
      <c r="IQB58" s="69"/>
      <c r="IQC58" s="69"/>
      <c r="IQD58" s="69"/>
      <c r="IQE58" s="69"/>
      <c r="IQF58" s="69"/>
      <c r="IQG58" s="69"/>
      <c r="IQH58" s="69"/>
      <c r="IQI58" s="69"/>
      <c r="IQJ58" s="69"/>
      <c r="IQK58" s="69"/>
      <c r="IQL58" s="69"/>
      <c r="IQM58" s="69"/>
      <c r="IQN58" s="69"/>
      <c r="IQO58" s="69"/>
      <c r="IQP58" s="69"/>
      <c r="IQQ58" s="69"/>
      <c r="IQR58" s="69"/>
      <c r="IQS58" s="69"/>
      <c r="IQT58" s="69"/>
      <c r="IQU58" s="69"/>
      <c r="IQV58" s="69"/>
      <c r="IQW58" s="69"/>
      <c r="IQX58" s="69"/>
      <c r="IQY58" s="69"/>
      <c r="IQZ58" s="69"/>
      <c r="IRA58" s="69"/>
      <c r="IRB58" s="69"/>
      <c r="IRC58" s="69"/>
      <c r="IRD58" s="69"/>
      <c r="IRE58" s="69"/>
      <c r="IRF58" s="69"/>
      <c r="IRG58" s="69"/>
      <c r="IRH58" s="69"/>
      <c r="IRI58" s="69"/>
      <c r="IRJ58" s="69"/>
      <c r="IRK58" s="69"/>
      <c r="IRL58" s="69"/>
      <c r="IRM58" s="69"/>
      <c r="IRN58" s="69"/>
      <c r="IRO58" s="69"/>
      <c r="IRP58" s="69"/>
      <c r="IRQ58" s="69"/>
      <c r="IRR58" s="69"/>
      <c r="IRS58" s="69"/>
      <c r="IRT58" s="69"/>
      <c r="IRU58" s="69"/>
      <c r="IRV58" s="69"/>
      <c r="IRW58" s="69"/>
      <c r="IRX58" s="69"/>
      <c r="IRY58" s="69"/>
      <c r="IRZ58" s="69"/>
      <c r="ISA58" s="69"/>
      <c r="ISB58" s="69"/>
      <c r="ISC58" s="69"/>
      <c r="ISD58" s="69"/>
      <c r="ISE58" s="69"/>
      <c r="ISF58" s="69"/>
      <c r="ISG58" s="69"/>
      <c r="ISH58" s="69"/>
      <c r="ISI58" s="69"/>
      <c r="ISJ58" s="69"/>
      <c r="ISK58" s="69"/>
      <c r="ISL58" s="69"/>
      <c r="ISM58" s="69"/>
      <c r="ISN58" s="69"/>
      <c r="ISO58" s="69"/>
      <c r="ISP58" s="69"/>
      <c r="ISQ58" s="69"/>
      <c r="ISR58" s="69"/>
      <c r="ISS58" s="69"/>
      <c r="IST58" s="69"/>
      <c r="ISU58" s="69"/>
      <c r="ISV58" s="69"/>
      <c r="ISW58" s="69"/>
      <c r="ISX58" s="69"/>
      <c r="ISY58" s="69"/>
      <c r="ISZ58" s="69"/>
      <c r="ITA58" s="69"/>
      <c r="ITB58" s="69"/>
      <c r="ITC58" s="69"/>
      <c r="ITD58" s="69"/>
      <c r="ITE58" s="69"/>
      <c r="ITF58" s="69"/>
      <c r="ITG58" s="69"/>
      <c r="ITH58" s="69"/>
      <c r="ITI58" s="69"/>
      <c r="ITJ58" s="69"/>
      <c r="ITK58" s="69"/>
      <c r="ITL58" s="69"/>
      <c r="ITM58" s="69"/>
      <c r="ITN58" s="69"/>
      <c r="ITO58" s="69"/>
      <c r="ITP58" s="69"/>
      <c r="ITQ58" s="69"/>
      <c r="ITR58" s="69"/>
      <c r="ITS58" s="69"/>
      <c r="ITT58" s="69"/>
      <c r="ITU58" s="69"/>
      <c r="ITV58" s="69"/>
      <c r="ITW58" s="69"/>
      <c r="ITX58" s="69"/>
      <c r="ITY58" s="69"/>
      <c r="ITZ58" s="69"/>
      <c r="IUA58" s="69"/>
      <c r="IUB58" s="69"/>
      <c r="IUC58" s="69"/>
      <c r="IUD58" s="69"/>
      <c r="IUE58" s="69"/>
      <c r="IUF58" s="69"/>
      <c r="IUG58" s="69"/>
      <c r="IUH58" s="69"/>
      <c r="IUI58" s="69"/>
      <c r="IUJ58" s="69"/>
      <c r="IUK58" s="69"/>
      <c r="IUL58" s="69"/>
      <c r="IUM58" s="69"/>
      <c r="IUN58" s="69"/>
      <c r="IUO58" s="69"/>
      <c r="IUP58" s="69"/>
      <c r="IUQ58" s="69"/>
      <c r="IUR58" s="69"/>
      <c r="IUS58" s="69"/>
      <c r="IUT58" s="69"/>
      <c r="IUU58" s="69"/>
      <c r="IUV58" s="69"/>
      <c r="IUW58" s="69"/>
      <c r="IUX58" s="69"/>
      <c r="IUY58" s="69"/>
      <c r="IUZ58" s="69"/>
      <c r="IVA58" s="69"/>
      <c r="IVB58" s="69"/>
      <c r="IVC58" s="69"/>
      <c r="IVD58" s="69"/>
      <c r="IVE58" s="69"/>
      <c r="IVF58" s="69"/>
      <c r="IVG58" s="69"/>
      <c r="IVH58" s="69"/>
      <c r="IVI58" s="69"/>
      <c r="IVJ58" s="69"/>
      <c r="IVK58" s="69"/>
      <c r="IVL58" s="69"/>
      <c r="IVM58" s="69"/>
      <c r="IVN58" s="69"/>
      <c r="IVO58" s="69"/>
      <c r="IVP58" s="69"/>
      <c r="IVQ58" s="69"/>
      <c r="IVR58" s="69"/>
      <c r="IVS58" s="69"/>
      <c r="IVT58" s="69"/>
      <c r="IVU58" s="69"/>
      <c r="IVV58" s="69"/>
      <c r="IVW58" s="69"/>
      <c r="IVX58" s="69"/>
      <c r="IVY58" s="69"/>
      <c r="IVZ58" s="69"/>
      <c r="IWA58" s="69"/>
      <c r="IWB58" s="69"/>
      <c r="IWC58" s="69"/>
      <c r="IWD58" s="69"/>
      <c r="IWE58" s="69"/>
      <c r="IWF58" s="69"/>
      <c r="IWG58" s="69"/>
      <c r="IWH58" s="69"/>
      <c r="IWI58" s="69"/>
      <c r="IWJ58" s="69"/>
      <c r="IWK58" s="69"/>
      <c r="IWL58" s="69"/>
      <c r="IWM58" s="69"/>
      <c r="IWN58" s="69"/>
      <c r="IWO58" s="69"/>
      <c r="IWP58" s="69"/>
      <c r="IWQ58" s="69"/>
      <c r="IWR58" s="69"/>
      <c r="IWS58" s="69"/>
      <c r="IWT58" s="69"/>
      <c r="IWU58" s="69"/>
      <c r="IWV58" s="69"/>
      <c r="IWW58" s="69"/>
      <c r="IWX58" s="69"/>
      <c r="IWY58" s="69"/>
      <c r="IWZ58" s="69"/>
      <c r="IXA58" s="69"/>
      <c r="IXB58" s="69"/>
      <c r="IXC58" s="69"/>
      <c r="IXD58" s="69"/>
      <c r="IXE58" s="69"/>
      <c r="IXF58" s="69"/>
      <c r="IXG58" s="69"/>
      <c r="IXH58" s="69"/>
      <c r="IXI58" s="69"/>
      <c r="IXJ58" s="69"/>
      <c r="IXK58" s="69"/>
      <c r="IXL58" s="69"/>
      <c r="IXM58" s="69"/>
      <c r="IXN58" s="69"/>
      <c r="IXO58" s="69"/>
      <c r="IXP58" s="69"/>
      <c r="IXQ58" s="69"/>
      <c r="IXR58" s="69"/>
      <c r="IXS58" s="69"/>
      <c r="IXT58" s="69"/>
      <c r="IXU58" s="69"/>
      <c r="IXV58" s="69"/>
      <c r="IXW58" s="69"/>
      <c r="IXX58" s="69"/>
      <c r="IXY58" s="69"/>
      <c r="IXZ58" s="69"/>
      <c r="IYA58" s="69"/>
      <c r="IYB58" s="69"/>
      <c r="IYC58" s="69"/>
      <c r="IYD58" s="69"/>
      <c r="IYE58" s="69"/>
      <c r="IYF58" s="69"/>
      <c r="IYG58" s="69"/>
      <c r="IYH58" s="69"/>
      <c r="IYI58" s="69"/>
      <c r="IYJ58" s="69"/>
      <c r="IYK58" s="69"/>
      <c r="IYL58" s="69"/>
      <c r="IYM58" s="69"/>
      <c r="IYN58" s="69"/>
      <c r="IYO58" s="69"/>
      <c r="IYP58" s="69"/>
      <c r="IYQ58" s="69"/>
      <c r="IYR58" s="69"/>
      <c r="IYS58" s="69"/>
      <c r="IYT58" s="69"/>
      <c r="IYU58" s="69"/>
      <c r="IYV58" s="69"/>
      <c r="IYW58" s="69"/>
      <c r="IYX58" s="69"/>
      <c r="IYY58" s="69"/>
      <c r="IYZ58" s="69"/>
      <c r="IZA58" s="69"/>
      <c r="IZB58" s="69"/>
      <c r="IZC58" s="69"/>
      <c r="IZD58" s="69"/>
      <c r="IZE58" s="69"/>
      <c r="IZF58" s="69"/>
      <c r="IZG58" s="69"/>
      <c r="IZH58" s="69"/>
      <c r="IZI58" s="69"/>
      <c r="IZJ58" s="69"/>
      <c r="IZK58" s="69"/>
      <c r="IZL58" s="69"/>
      <c r="IZM58" s="69"/>
      <c r="IZN58" s="69"/>
      <c r="IZO58" s="69"/>
      <c r="IZP58" s="69"/>
      <c r="IZQ58" s="69"/>
      <c r="IZR58" s="69"/>
      <c r="IZS58" s="69"/>
      <c r="IZT58" s="69"/>
      <c r="IZU58" s="69"/>
      <c r="IZV58" s="69"/>
      <c r="IZW58" s="69"/>
      <c r="IZX58" s="69"/>
      <c r="IZY58" s="69"/>
      <c r="IZZ58" s="69"/>
      <c r="JAA58" s="69"/>
      <c r="JAB58" s="69"/>
      <c r="JAC58" s="69"/>
      <c r="JAD58" s="69"/>
      <c r="JAE58" s="69"/>
      <c r="JAF58" s="69"/>
      <c r="JAG58" s="69"/>
      <c r="JAH58" s="69"/>
      <c r="JAI58" s="69"/>
      <c r="JAJ58" s="69"/>
      <c r="JAK58" s="69"/>
      <c r="JAL58" s="69"/>
      <c r="JAM58" s="69"/>
      <c r="JAN58" s="69"/>
      <c r="JAO58" s="69"/>
      <c r="JAP58" s="69"/>
      <c r="JAQ58" s="69"/>
      <c r="JAR58" s="69"/>
      <c r="JAS58" s="69"/>
      <c r="JAT58" s="69"/>
      <c r="JAU58" s="69"/>
      <c r="JAV58" s="69"/>
      <c r="JAW58" s="69"/>
      <c r="JAX58" s="69"/>
      <c r="JAY58" s="69"/>
      <c r="JAZ58" s="69"/>
      <c r="JBA58" s="69"/>
      <c r="JBB58" s="69"/>
      <c r="JBC58" s="69"/>
      <c r="JBD58" s="69"/>
      <c r="JBE58" s="69"/>
      <c r="JBF58" s="69"/>
      <c r="JBG58" s="69"/>
      <c r="JBH58" s="69"/>
      <c r="JBI58" s="69"/>
      <c r="JBJ58" s="69"/>
      <c r="JBK58" s="69"/>
      <c r="JBL58" s="69"/>
      <c r="JBM58" s="69"/>
      <c r="JBN58" s="69"/>
      <c r="JBO58" s="69"/>
      <c r="JBP58" s="69"/>
      <c r="JBQ58" s="69"/>
      <c r="JBR58" s="69"/>
      <c r="JBS58" s="69"/>
      <c r="JBT58" s="69"/>
      <c r="JBU58" s="69"/>
      <c r="JBV58" s="69"/>
      <c r="JBW58" s="69"/>
      <c r="JBX58" s="69"/>
      <c r="JBY58" s="69"/>
      <c r="JBZ58" s="69"/>
      <c r="JCA58" s="69"/>
      <c r="JCB58" s="69"/>
      <c r="JCC58" s="69"/>
      <c r="JCD58" s="69"/>
      <c r="JCE58" s="69"/>
      <c r="JCF58" s="69"/>
      <c r="JCG58" s="69"/>
      <c r="JCH58" s="69"/>
      <c r="JCI58" s="69"/>
      <c r="JCJ58" s="69"/>
      <c r="JCK58" s="69"/>
      <c r="JCL58" s="69"/>
      <c r="JCM58" s="69"/>
      <c r="JCN58" s="69"/>
      <c r="JCO58" s="69"/>
      <c r="JCP58" s="69"/>
      <c r="JCQ58" s="69"/>
      <c r="JCR58" s="69"/>
      <c r="JCS58" s="69"/>
      <c r="JCT58" s="69"/>
      <c r="JCU58" s="69"/>
      <c r="JCV58" s="69"/>
      <c r="JCW58" s="69"/>
      <c r="JCX58" s="69"/>
      <c r="JCY58" s="69"/>
      <c r="JCZ58" s="69"/>
      <c r="JDA58" s="69"/>
      <c r="JDB58" s="69"/>
      <c r="JDC58" s="69"/>
      <c r="JDD58" s="69"/>
      <c r="JDE58" s="69"/>
      <c r="JDF58" s="69"/>
      <c r="JDG58" s="69"/>
      <c r="JDH58" s="69"/>
      <c r="JDI58" s="69"/>
      <c r="JDJ58" s="69"/>
      <c r="JDK58" s="69"/>
      <c r="JDL58" s="69"/>
      <c r="JDM58" s="69"/>
      <c r="JDN58" s="69"/>
      <c r="JDO58" s="69"/>
      <c r="JDP58" s="69"/>
      <c r="JDQ58" s="69"/>
      <c r="JDR58" s="69"/>
      <c r="JDS58" s="69"/>
      <c r="JDT58" s="69"/>
      <c r="JDU58" s="69"/>
      <c r="JDV58" s="69"/>
      <c r="JDW58" s="69"/>
      <c r="JDX58" s="69"/>
      <c r="JDY58" s="69"/>
      <c r="JDZ58" s="69"/>
      <c r="JEA58" s="69"/>
      <c r="JEB58" s="69"/>
      <c r="JEC58" s="69"/>
      <c r="JED58" s="69"/>
      <c r="JEE58" s="69"/>
      <c r="JEF58" s="69"/>
      <c r="JEG58" s="69"/>
      <c r="JEH58" s="69"/>
      <c r="JEI58" s="69"/>
      <c r="JEJ58" s="69"/>
      <c r="JEK58" s="69"/>
      <c r="JEL58" s="69"/>
      <c r="JEM58" s="69"/>
      <c r="JEN58" s="69"/>
      <c r="JEO58" s="69"/>
      <c r="JEP58" s="69"/>
      <c r="JEQ58" s="69"/>
      <c r="JER58" s="69"/>
      <c r="JES58" s="69"/>
      <c r="JET58" s="69"/>
      <c r="JEU58" s="69"/>
      <c r="JEV58" s="69"/>
      <c r="JEW58" s="69"/>
      <c r="JEX58" s="69"/>
      <c r="JEY58" s="69"/>
      <c r="JEZ58" s="69"/>
      <c r="JFA58" s="69"/>
      <c r="JFB58" s="69"/>
      <c r="JFC58" s="69"/>
      <c r="JFD58" s="69"/>
      <c r="JFE58" s="69"/>
      <c r="JFF58" s="69"/>
      <c r="JFG58" s="69"/>
      <c r="JFH58" s="69"/>
      <c r="JFI58" s="69"/>
      <c r="JFJ58" s="69"/>
      <c r="JFK58" s="69"/>
      <c r="JFL58" s="69"/>
      <c r="JFM58" s="69"/>
      <c r="JFN58" s="69"/>
      <c r="JFO58" s="69"/>
      <c r="JFP58" s="69"/>
      <c r="JFQ58" s="69"/>
      <c r="JFR58" s="69"/>
      <c r="JFS58" s="69"/>
      <c r="JFT58" s="69"/>
      <c r="JFU58" s="69"/>
      <c r="JFV58" s="69"/>
      <c r="JFW58" s="69"/>
      <c r="JFX58" s="69"/>
      <c r="JFY58" s="69"/>
      <c r="JFZ58" s="69"/>
      <c r="JGA58" s="69"/>
      <c r="JGB58" s="69"/>
      <c r="JGC58" s="69"/>
      <c r="JGD58" s="69"/>
      <c r="JGE58" s="69"/>
      <c r="JGF58" s="69"/>
      <c r="JGG58" s="69"/>
      <c r="JGH58" s="69"/>
      <c r="JGI58" s="69"/>
      <c r="JGJ58" s="69"/>
      <c r="JGK58" s="69"/>
      <c r="JGL58" s="69"/>
      <c r="JGM58" s="69"/>
      <c r="JGN58" s="69"/>
      <c r="JGO58" s="69"/>
      <c r="JGP58" s="69"/>
      <c r="JGQ58" s="69"/>
      <c r="JGR58" s="69"/>
      <c r="JGS58" s="69"/>
      <c r="JGT58" s="69"/>
      <c r="JGU58" s="69"/>
      <c r="JGV58" s="69"/>
      <c r="JGW58" s="69"/>
      <c r="JGX58" s="69"/>
      <c r="JGY58" s="69"/>
      <c r="JGZ58" s="69"/>
      <c r="JHA58" s="69"/>
      <c r="JHB58" s="69"/>
      <c r="JHC58" s="69"/>
      <c r="JHD58" s="69"/>
      <c r="JHE58" s="69"/>
      <c r="JHF58" s="69"/>
      <c r="JHG58" s="69"/>
      <c r="JHH58" s="69"/>
      <c r="JHI58" s="69"/>
      <c r="JHJ58" s="69"/>
      <c r="JHK58" s="69"/>
      <c r="JHL58" s="69"/>
      <c r="JHM58" s="69"/>
      <c r="JHN58" s="69"/>
      <c r="JHO58" s="69"/>
      <c r="JHP58" s="69"/>
      <c r="JHQ58" s="69"/>
      <c r="JHR58" s="69"/>
      <c r="JHS58" s="69"/>
      <c r="JHT58" s="69"/>
      <c r="JHU58" s="69"/>
      <c r="JHV58" s="69"/>
      <c r="JHW58" s="69"/>
      <c r="JHX58" s="69"/>
      <c r="JHY58" s="69"/>
      <c r="JHZ58" s="69"/>
      <c r="JIA58" s="69"/>
      <c r="JIB58" s="69"/>
      <c r="JIC58" s="69"/>
      <c r="JID58" s="69"/>
      <c r="JIE58" s="69"/>
      <c r="JIF58" s="69"/>
      <c r="JIG58" s="69"/>
      <c r="JIH58" s="69"/>
      <c r="JII58" s="69"/>
      <c r="JIJ58" s="69"/>
      <c r="JIK58" s="69"/>
      <c r="JIL58" s="69"/>
      <c r="JIM58" s="69"/>
      <c r="JIN58" s="69"/>
      <c r="JIO58" s="69"/>
      <c r="JIP58" s="69"/>
      <c r="JIQ58" s="69"/>
      <c r="JIR58" s="69"/>
      <c r="JIS58" s="69"/>
      <c r="JIT58" s="69"/>
      <c r="JIU58" s="69"/>
      <c r="JIV58" s="69"/>
      <c r="JIW58" s="69"/>
      <c r="JIX58" s="69"/>
      <c r="JIY58" s="69"/>
      <c r="JIZ58" s="69"/>
      <c r="JJA58" s="69"/>
      <c r="JJB58" s="69"/>
      <c r="JJC58" s="69"/>
      <c r="JJD58" s="69"/>
      <c r="JJE58" s="69"/>
      <c r="JJF58" s="69"/>
      <c r="JJG58" s="69"/>
      <c r="JJH58" s="69"/>
      <c r="JJI58" s="69"/>
      <c r="JJJ58" s="69"/>
      <c r="JJK58" s="69"/>
      <c r="JJL58" s="69"/>
      <c r="JJM58" s="69"/>
      <c r="JJN58" s="69"/>
      <c r="JJO58" s="69"/>
      <c r="JJP58" s="69"/>
      <c r="JJQ58" s="69"/>
      <c r="JJR58" s="69"/>
      <c r="JJS58" s="69"/>
      <c r="JJT58" s="69"/>
      <c r="JJU58" s="69"/>
      <c r="JJV58" s="69"/>
      <c r="JJW58" s="69"/>
      <c r="JJX58" s="69"/>
      <c r="JJY58" s="69"/>
      <c r="JJZ58" s="69"/>
      <c r="JKA58" s="69"/>
      <c r="JKB58" s="69"/>
      <c r="JKC58" s="69"/>
      <c r="JKD58" s="69"/>
      <c r="JKE58" s="69"/>
      <c r="JKF58" s="69"/>
      <c r="JKG58" s="69"/>
      <c r="JKH58" s="69"/>
      <c r="JKI58" s="69"/>
      <c r="JKJ58" s="69"/>
      <c r="JKK58" s="69"/>
      <c r="JKL58" s="69"/>
      <c r="JKM58" s="69"/>
      <c r="JKN58" s="69"/>
      <c r="JKO58" s="69"/>
      <c r="JKP58" s="69"/>
      <c r="JKQ58" s="69"/>
      <c r="JKR58" s="69"/>
      <c r="JKS58" s="69"/>
      <c r="JKT58" s="69"/>
      <c r="JKU58" s="69"/>
      <c r="JKV58" s="69"/>
      <c r="JKW58" s="69"/>
      <c r="JKX58" s="69"/>
      <c r="JKY58" s="69"/>
      <c r="JKZ58" s="69"/>
      <c r="JLA58" s="69"/>
      <c r="JLB58" s="69"/>
      <c r="JLC58" s="69"/>
      <c r="JLD58" s="69"/>
      <c r="JLE58" s="69"/>
      <c r="JLF58" s="69"/>
      <c r="JLG58" s="69"/>
      <c r="JLH58" s="69"/>
      <c r="JLI58" s="69"/>
      <c r="JLJ58" s="69"/>
      <c r="JLK58" s="69"/>
      <c r="JLL58" s="69"/>
      <c r="JLM58" s="69"/>
      <c r="JLN58" s="69"/>
      <c r="JLO58" s="69"/>
      <c r="JLP58" s="69"/>
      <c r="JLQ58" s="69"/>
      <c r="JLR58" s="69"/>
      <c r="JLS58" s="69"/>
      <c r="JLT58" s="69"/>
      <c r="JLU58" s="69"/>
      <c r="JLV58" s="69"/>
      <c r="JLW58" s="69"/>
      <c r="JLX58" s="69"/>
      <c r="JLY58" s="69"/>
      <c r="JLZ58" s="69"/>
      <c r="JMA58" s="69"/>
      <c r="JMB58" s="69"/>
      <c r="JMC58" s="69"/>
      <c r="JMD58" s="69"/>
      <c r="JME58" s="69"/>
      <c r="JMF58" s="69"/>
      <c r="JMG58" s="69"/>
      <c r="JMH58" s="69"/>
      <c r="JMI58" s="69"/>
      <c r="JMJ58" s="69"/>
      <c r="JMK58" s="69"/>
      <c r="JML58" s="69"/>
      <c r="JMM58" s="69"/>
      <c r="JMN58" s="69"/>
      <c r="JMO58" s="69"/>
      <c r="JMP58" s="69"/>
      <c r="JMQ58" s="69"/>
      <c r="JMR58" s="69"/>
      <c r="JMS58" s="69"/>
      <c r="JMT58" s="69"/>
      <c r="JMU58" s="69"/>
      <c r="JMV58" s="69"/>
      <c r="JMW58" s="69"/>
      <c r="JMX58" s="69"/>
      <c r="JMY58" s="69"/>
      <c r="JMZ58" s="69"/>
      <c r="JNA58" s="69"/>
      <c r="JNB58" s="69"/>
      <c r="JNC58" s="69"/>
      <c r="JND58" s="69"/>
      <c r="JNE58" s="69"/>
      <c r="JNF58" s="69"/>
      <c r="JNG58" s="69"/>
      <c r="JNH58" s="69"/>
      <c r="JNI58" s="69"/>
      <c r="JNJ58" s="69"/>
      <c r="JNK58" s="69"/>
      <c r="JNL58" s="69"/>
      <c r="JNM58" s="69"/>
      <c r="JNN58" s="69"/>
      <c r="JNO58" s="69"/>
      <c r="JNP58" s="69"/>
      <c r="JNQ58" s="69"/>
      <c r="JNR58" s="69"/>
      <c r="JNS58" s="69"/>
      <c r="JNT58" s="69"/>
      <c r="JNU58" s="69"/>
      <c r="JNV58" s="69"/>
      <c r="JNW58" s="69"/>
      <c r="JNX58" s="69"/>
      <c r="JNY58" s="69"/>
      <c r="JNZ58" s="69"/>
      <c r="JOA58" s="69"/>
      <c r="JOB58" s="69"/>
      <c r="JOC58" s="69"/>
      <c r="JOD58" s="69"/>
      <c r="JOE58" s="69"/>
      <c r="JOF58" s="69"/>
      <c r="JOG58" s="69"/>
      <c r="JOH58" s="69"/>
      <c r="JOI58" s="69"/>
      <c r="JOJ58" s="69"/>
      <c r="JOK58" s="69"/>
      <c r="JOL58" s="69"/>
      <c r="JOM58" s="69"/>
      <c r="JON58" s="69"/>
      <c r="JOO58" s="69"/>
      <c r="JOP58" s="69"/>
      <c r="JOQ58" s="69"/>
      <c r="JOR58" s="69"/>
      <c r="JOS58" s="69"/>
      <c r="JOT58" s="69"/>
      <c r="JOU58" s="69"/>
      <c r="JOV58" s="69"/>
      <c r="JOW58" s="69"/>
      <c r="JOX58" s="69"/>
      <c r="JOY58" s="69"/>
      <c r="JOZ58" s="69"/>
      <c r="JPA58" s="69"/>
      <c r="JPB58" s="69"/>
      <c r="JPC58" s="69"/>
      <c r="JPD58" s="69"/>
      <c r="JPE58" s="69"/>
      <c r="JPF58" s="69"/>
      <c r="JPG58" s="69"/>
      <c r="JPH58" s="69"/>
      <c r="JPI58" s="69"/>
      <c r="JPJ58" s="69"/>
      <c r="JPK58" s="69"/>
      <c r="JPL58" s="69"/>
      <c r="JPM58" s="69"/>
      <c r="JPN58" s="69"/>
      <c r="JPO58" s="69"/>
      <c r="JPP58" s="69"/>
      <c r="JPQ58" s="69"/>
      <c r="JPR58" s="69"/>
      <c r="JPS58" s="69"/>
      <c r="JPT58" s="69"/>
      <c r="JPU58" s="69"/>
      <c r="JPV58" s="69"/>
      <c r="JPW58" s="69"/>
      <c r="JPX58" s="69"/>
      <c r="JPY58" s="69"/>
      <c r="JPZ58" s="69"/>
      <c r="JQA58" s="69"/>
      <c r="JQB58" s="69"/>
      <c r="JQC58" s="69"/>
      <c r="JQD58" s="69"/>
      <c r="JQE58" s="69"/>
      <c r="JQF58" s="69"/>
      <c r="JQG58" s="69"/>
      <c r="JQH58" s="69"/>
      <c r="JQI58" s="69"/>
      <c r="JQJ58" s="69"/>
      <c r="JQK58" s="69"/>
      <c r="JQL58" s="69"/>
      <c r="JQM58" s="69"/>
      <c r="JQN58" s="69"/>
      <c r="JQO58" s="69"/>
      <c r="JQP58" s="69"/>
      <c r="JQQ58" s="69"/>
      <c r="JQR58" s="69"/>
      <c r="JQS58" s="69"/>
      <c r="JQT58" s="69"/>
      <c r="JQU58" s="69"/>
      <c r="JQV58" s="69"/>
      <c r="JQW58" s="69"/>
      <c r="JQX58" s="69"/>
      <c r="JQY58" s="69"/>
      <c r="JQZ58" s="69"/>
      <c r="JRA58" s="69"/>
      <c r="JRB58" s="69"/>
      <c r="JRC58" s="69"/>
      <c r="JRD58" s="69"/>
      <c r="JRE58" s="69"/>
      <c r="JRF58" s="69"/>
      <c r="JRG58" s="69"/>
      <c r="JRH58" s="69"/>
      <c r="JRI58" s="69"/>
      <c r="JRJ58" s="69"/>
      <c r="JRK58" s="69"/>
      <c r="JRL58" s="69"/>
      <c r="JRM58" s="69"/>
      <c r="JRN58" s="69"/>
      <c r="JRO58" s="69"/>
      <c r="JRP58" s="69"/>
      <c r="JRQ58" s="69"/>
      <c r="JRR58" s="69"/>
      <c r="JRS58" s="69"/>
      <c r="JRT58" s="69"/>
      <c r="JRU58" s="69"/>
      <c r="JRV58" s="69"/>
      <c r="JRW58" s="69"/>
      <c r="JRX58" s="69"/>
      <c r="JRY58" s="69"/>
      <c r="JRZ58" s="69"/>
      <c r="JSA58" s="69"/>
      <c r="JSB58" s="69"/>
      <c r="JSC58" s="69"/>
      <c r="JSD58" s="69"/>
      <c r="JSE58" s="69"/>
      <c r="JSF58" s="69"/>
      <c r="JSG58" s="69"/>
      <c r="JSH58" s="69"/>
      <c r="JSI58" s="69"/>
      <c r="JSJ58" s="69"/>
      <c r="JSK58" s="69"/>
      <c r="JSL58" s="69"/>
      <c r="JSM58" s="69"/>
      <c r="JSN58" s="69"/>
      <c r="JSO58" s="69"/>
      <c r="JSP58" s="69"/>
      <c r="JSQ58" s="69"/>
      <c r="JSR58" s="69"/>
      <c r="JSS58" s="69"/>
      <c r="JST58" s="69"/>
      <c r="JSU58" s="69"/>
      <c r="JSV58" s="69"/>
      <c r="JSW58" s="69"/>
      <c r="JSX58" s="69"/>
      <c r="JSY58" s="69"/>
      <c r="JSZ58" s="69"/>
      <c r="JTA58" s="69"/>
      <c r="JTB58" s="69"/>
      <c r="JTC58" s="69"/>
      <c r="JTD58" s="69"/>
      <c r="JTE58" s="69"/>
      <c r="JTF58" s="69"/>
      <c r="JTG58" s="69"/>
      <c r="JTH58" s="69"/>
      <c r="JTI58" s="69"/>
      <c r="JTJ58" s="69"/>
      <c r="JTK58" s="69"/>
      <c r="JTL58" s="69"/>
      <c r="JTM58" s="69"/>
      <c r="JTN58" s="69"/>
      <c r="JTO58" s="69"/>
      <c r="JTP58" s="69"/>
      <c r="JTQ58" s="69"/>
      <c r="JTR58" s="69"/>
      <c r="JTS58" s="69"/>
      <c r="JTT58" s="69"/>
      <c r="JTU58" s="69"/>
      <c r="JTV58" s="69"/>
      <c r="JTW58" s="69"/>
      <c r="JTX58" s="69"/>
      <c r="JTY58" s="69"/>
      <c r="JTZ58" s="69"/>
      <c r="JUA58" s="69"/>
      <c r="JUB58" s="69"/>
      <c r="JUC58" s="69"/>
      <c r="JUD58" s="69"/>
      <c r="JUE58" s="69"/>
      <c r="JUF58" s="69"/>
      <c r="JUG58" s="69"/>
      <c r="JUH58" s="69"/>
      <c r="JUI58" s="69"/>
      <c r="JUJ58" s="69"/>
      <c r="JUK58" s="69"/>
      <c r="JUL58" s="69"/>
      <c r="JUM58" s="69"/>
      <c r="JUN58" s="69"/>
      <c r="JUO58" s="69"/>
      <c r="JUP58" s="69"/>
      <c r="JUQ58" s="69"/>
      <c r="JUR58" s="69"/>
      <c r="JUS58" s="69"/>
      <c r="JUT58" s="69"/>
      <c r="JUU58" s="69"/>
      <c r="JUV58" s="69"/>
      <c r="JUW58" s="69"/>
      <c r="JUX58" s="69"/>
      <c r="JUY58" s="69"/>
      <c r="JUZ58" s="69"/>
      <c r="JVA58" s="69"/>
      <c r="JVB58" s="69"/>
      <c r="JVC58" s="69"/>
      <c r="JVD58" s="69"/>
      <c r="JVE58" s="69"/>
      <c r="JVF58" s="69"/>
      <c r="JVG58" s="69"/>
      <c r="JVH58" s="69"/>
      <c r="JVI58" s="69"/>
      <c r="JVJ58" s="69"/>
      <c r="JVK58" s="69"/>
      <c r="JVL58" s="69"/>
      <c r="JVM58" s="69"/>
      <c r="JVN58" s="69"/>
      <c r="JVO58" s="69"/>
      <c r="JVP58" s="69"/>
      <c r="JVQ58" s="69"/>
      <c r="JVR58" s="69"/>
      <c r="JVS58" s="69"/>
      <c r="JVT58" s="69"/>
      <c r="JVU58" s="69"/>
      <c r="JVV58" s="69"/>
      <c r="JVW58" s="69"/>
      <c r="JVX58" s="69"/>
      <c r="JVY58" s="69"/>
      <c r="JVZ58" s="69"/>
      <c r="JWA58" s="69"/>
      <c r="JWB58" s="69"/>
      <c r="JWC58" s="69"/>
      <c r="JWD58" s="69"/>
      <c r="JWE58" s="69"/>
      <c r="JWF58" s="69"/>
      <c r="JWG58" s="69"/>
      <c r="JWH58" s="69"/>
      <c r="JWI58" s="69"/>
      <c r="JWJ58" s="69"/>
      <c r="JWK58" s="69"/>
      <c r="JWL58" s="69"/>
      <c r="JWM58" s="69"/>
      <c r="JWN58" s="69"/>
      <c r="JWO58" s="69"/>
      <c r="JWP58" s="69"/>
      <c r="JWQ58" s="69"/>
      <c r="JWR58" s="69"/>
      <c r="JWS58" s="69"/>
      <c r="JWT58" s="69"/>
      <c r="JWU58" s="69"/>
      <c r="JWV58" s="69"/>
      <c r="JWW58" s="69"/>
      <c r="JWX58" s="69"/>
      <c r="JWY58" s="69"/>
      <c r="JWZ58" s="69"/>
      <c r="JXA58" s="69"/>
      <c r="JXB58" s="69"/>
      <c r="JXC58" s="69"/>
      <c r="JXD58" s="69"/>
      <c r="JXE58" s="69"/>
      <c r="JXF58" s="69"/>
      <c r="JXG58" s="69"/>
      <c r="JXH58" s="69"/>
      <c r="JXI58" s="69"/>
      <c r="JXJ58" s="69"/>
      <c r="JXK58" s="69"/>
      <c r="JXL58" s="69"/>
      <c r="JXM58" s="69"/>
      <c r="JXN58" s="69"/>
      <c r="JXO58" s="69"/>
      <c r="JXP58" s="69"/>
      <c r="JXQ58" s="69"/>
      <c r="JXR58" s="69"/>
      <c r="JXS58" s="69"/>
      <c r="JXT58" s="69"/>
      <c r="JXU58" s="69"/>
      <c r="JXV58" s="69"/>
      <c r="JXW58" s="69"/>
      <c r="JXX58" s="69"/>
      <c r="JXY58" s="69"/>
      <c r="JXZ58" s="69"/>
      <c r="JYA58" s="69"/>
      <c r="JYB58" s="69"/>
      <c r="JYC58" s="69"/>
      <c r="JYD58" s="69"/>
      <c r="JYE58" s="69"/>
      <c r="JYF58" s="69"/>
      <c r="JYG58" s="69"/>
      <c r="JYH58" s="69"/>
      <c r="JYI58" s="69"/>
      <c r="JYJ58" s="69"/>
      <c r="JYK58" s="69"/>
      <c r="JYL58" s="69"/>
      <c r="JYM58" s="69"/>
      <c r="JYN58" s="69"/>
      <c r="JYO58" s="69"/>
      <c r="JYP58" s="69"/>
      <c r="JYQ58" s="69"/>
      <c r="JYR58" s="69"/>
      <c r="JYS58" s="69"/>
      <c r="JYT58" s="69"/>
      <c r="JYU58" s="69"/>
      <c r="JYV58" s="69"/>
      <c r="JYW58" s="69"/>
      <c r="JYX58" s="69"/>
      <c r="JYY58" s="69"/>
      <c r="JYZ58" s="69"/>
      <c r="JZA58" s="69"/>
      <c r="JZB58" s="69"/>
      <c r="JZC58" s="69"/>
      <c r="JZD58" s="69"/>
      <c r="JZE58" s="69"/>
      <c r="JZF58" s="69"/>
      <c r="JZG58" s="69"/>
      <c r="JZH58" s="69"/>
      <c r="JZI58" s="69"/>
      <c r="JZJ58" s="69"/>
      <c r="JZK58" s="69"/>
      <c r="JZL58" s="69"/>
      <c r="JZM58" s="69"/>
      <c r="JZN58" s="69"/>
      <c r="JZO58" s="69"/>
      <c r="JZP58" s="69"/>
      <c r="JZQ58" s="69"/>
      <c r="JZR58" s="69"/>
      <c r="JZS58" s="69"/>
      <c r="JZT58" s="69"/>
      <c r="JZU58" s="69"/>
      <c r="JZV58" s="69"/>
      <c r="JZW58" s="69"/>
      <c r="JZX58" s="69"/>
      <c r="JZY58" s="69"/>
      <c r="JZZ58" s="69"/>
      <c r="KAA58" s="69"/>
      <c r="KAB58" s="69"/>
      <c r="KAC58" s="69"/>
      <c r="KAD58" s="69"/>
      <c r="KAE58" s="69"/>
      <c r="KAF58" s="69"/>
      <c r="KAG58" s="69"/>
      <c r="KAH58" s="69"/>
      <c r="KAI58" s="69"/>
      <c r="KAJ58" s="69"/>
      <c r="KAK58" s="69"/>
      <c r="KAL58" s="69"/>
      <c r="KAM58" s="69"/>
      <c r="KAN58" s="69"/>
      <c r="KAO58" s="69"/>
      <c r="KAP58" s="69"/>
      <c r="KAQ58" s="69"/>
      <c r="KAR58" s="69"/>
      <c r="KAS58" s="69"/>
      <c r="KAT58" s="69"/>
      <c r="KAU58" s="69"/>
      <c r="KAV58" s="69"/>
      <c r="KAW58" s="69"/>
      <c r="KAX58" s="69"/>
      <c r="KAY58" s="69"/>
      <c r="KAZ58" s="69"/>
      <c r="KBA58" s="69"/>
      <c r="KBB58" s="69"/>
      <c r="KBC58" s="69"/>
      <c r="KBD58" s="69"/>
      <c r="KBE58" s="69"/>
      <c r="KBF58" s="69"/>
      <c r="KBG58" s="69"/>
      <c r="KBH58" s="69"/>
      <c r="KBI58" s="69"/>
      <c r="KBJ58" s="69"/>
      <c r="KBK58" s="69"/>
      <c r="KBL58" s="69"/>
      <c r="KBM58" s="69"/>
      <c r="KBN58" s="69"/>
      <c r="KBO58" s="69"/>
      <c r="KBP58" s="69"/>
      <c r="KBQ58" s="69"/>
      <c r="KBR58" s="69"/>
      <c r="KBS58" s="69"/>
      <c r="KBT58" s="69"/>
      <c r="KBU58" s="69"/>
      <c r="KBV58" s="69"/>
      <c r="KBW58" s="69"/>
      <c r="KBX58" s="69"/>
      <c r="KBY58" s="69"/>
      <c r="KBZ58" s="69"/>
      <c r="KCA58" s="69"/>
      <c r="KCB58" s="69"/>
      <c r="KCC58" s="69"/>
      <c r="KCD58" s="69"/>
      <c r="KCE58" s="69"/>
      <c r="KCF58" s="69"/>
      <c r="KCG58" s="69"/>
      <c r="KCH58" s="69"/>
      <c r="KCI58" s="69"/>
      <c r="KCJ58" s="69"/>
      <c r="KCK58" s="69"/>
      <c r="KCL58" s="69"/>
      <c r="KCM58" s="69"/>
      <c r="KCN58" s="69"/>
      <c r="KCO58" s="69"/>
      <c r="KCP58" s="69"/>
      <c r="KCQ58" s="69"/>
      <c r="KCR58" s="69"/>
      <c r="KCS58" s="69"/>
      <c r="KCT58" s="69"/>
      <c r="KCU58" s="69"/>
      <c r="KCV58" s="69"/>
      <c r="KCW58" s="69"/>
      <c r="KCX58" s="69"/>
      <c r="KCY58" s="69"/>
      <c r="KCZ58" s="69"/>
      <c r="KDA58" s="69"/>
      <c r="KDB58" s="69"/>
      <c r="KDC58" s="69"/>
      <c r="KDD58" s="69"/>
      <c r="KDE58" s="69"/>
      <c r="KDF58" s="69"/>
      <c r="KDG58" s="69"/>
      <c r="KDH58" s="69"/>
      <c r="KDI58" s="69"/>
      <c r="KDJ58" s="69"/>
      <c r="KDK58" s="69"/>
      <c r="KDL58" s="69"/>
      <c r="KDM58" s="69"/>
      <c r="KDN58" s="69"/>
      <c r="KDO58" s="69"/>
      <c r="KDP58" s="69"/>
      <c r="KDQ58" s="69"/>
      <c r="KDR58" s="69"/>
      <c r="KDS58" s="69"/>
      <c r="KDT58" s="69"/>
      <c r="KDU58" s="69"/>
      <c r="KDV58" s="69"/>
      <c r="KDW58" s="69"/>
      <c r="KDX58" s="69"/>
      <c r="KDY58" s="69"/>
      <c r="KDZ58" s="69"/>
      <c r="KEA58" s="69"/>
      <c r="KEB58" s="69"/>
      <c r="KEC58" s="69"/>
      <c r="KED58" s="69"/>
      <c r="KEE58" s="69"/>
      <c r="KEF58" s="69"/>
      <c r="KEG58" s="69"/>
      <c r="KEH58" s="69"/>
      <c r="KEI58" s="69"/>
      <c r="KEJ58" s="69"/>
      <c r="KEK58" s="69"/>
      <c r="KEL58" s="69"/>
      <c r="KEM58" s="69"/>
      <c r="KEN58" s="69"/>
      <c r="KEO58" s="69"/>
      <c r="KEP58" s="69"/>
      <c r="KEQ58" s="69"/>
      <c r="KER58" s="69"/>
      <c r="KES58" s="69"/>
      <c r="KET58" s="69"/>
      <c r="KEU58" s="69"/>
      <c r="KEV58" s="69"/>
      <c r="KEW58" s="69"/>
      <c r="KEX58" s="69"/>
      <c r="KEY58" s="69"/>
      <c r="KEZ58" s="69"/>
      <c r="KFA58" s="69"/>
      <c r="KFB58" s="69"/>
      <c r="KFC58" s="69"/>
      <c r="KFD58" s="69"/>
      <c r="KFE58" s="69"/>
      <c r="KFF58" s="69"/>
      <c r="KFG58" s="69"/>
      <c r="KFH58" s="69"/>
      <c r="KFI58" s="69"/>
      <c r="KFJ58" s="69"/>
      <c r="KFK58" s="69"/>
      <c r="KFL58" s="69"/>
      <c r="KFM58" s="69"/>
      <c r="KFN58" s="69"/>
      <c r="KFO58" s="69"/>
      <c r="KFP58" s="69"/>
      <c r="KFQ58" s="69"/>
      <c r="KFR58" s="69"/>
      <c r="KFS58" s="69"/>
      <c r="KFT58" s="69"/>
      <c r="KFU58" s="69"/>
      <c r="KFV58" s="69"/>
      <c r="KFW58" s="69"/>
      <c r="KFX58" s="69"/>
      <c r="KFY58" s="69"/>
      <c r="KFZ58" s="69"/>
      <c r="KGA58" s="69"/>
      <c r="KGB58" s="69"/>
      <c r="KGC58" s="69"/>
      <c r="KGD58" s="69"/>
      <c r="KGE58" s="69"/>
      <c r="KGF58" s="69"/>
      <c r="KGG58" s="69"/>
      <c r="KGH58" s="69"/>
      <c r="KGI58" s="69"/>
      <c r="KGJ58" s="69"/>
      <c r="KGK58" s="69"/>
      <c r="KGL58" s="69"/>
      <c r="KGM58" s="69"/>
      <c r="KGN58" s="69"/>
      <c r="KGO58" s="69"/>
      <c r="KGP58" s="69"/>
      <c r="KGQ58" s="69"/>
      <c r="KGR58" s="69"/>
      <c r="KGS58" s="69"/>
      <c r="KGT58" s="69"/>
      <c r="KGU58" s="69"/>
      <c r="KGV58" s="69"/>
      <c r="KGW58" s="69"/>
      <c r="KGX58" s="69"/>
      <c r="KGY58" s="69"/>
      <c r="KGZ58" s="69"/>
      <c r="KHA58" s="69"/>
      <c r="KHB58" s="69"/>
      <c r="KHC58" s="69"/>
      <c r="KHD58" s="69"/>
      <c r="KHE58" s="69"/>
      <c r="KHF58" s="69"/>
      <c r="KHG58" s="69"/>
      <c r="KHH58" s="69"/>
      <c r="KHI58" s="69"/>
      <c r="KHJ58" s="69"/>
      <c r="KHK58" s="69"/>
      <c r="KHL58" s="69"/>
      <c r="KHM58" s="69"/>
      <c r="KHN58" s="69"/>
      <c r="KHO58" s="69"/>
      <c r="KHP58" s="69"/>
      <c r="KHQ58" s="69"/>
      <c r="KHR58" s="69"/>
      <c r="KHS58" s="69"/>
      <c r="KHT58" s="69"/>
      <c r="KHU58" s="69"/>
      <c r="KHV58" s="69"/>
      <c r="KHW58" s="69"/>
      <c r="KHX58" s="69"/>
      <c r="KHY58" s="69"/>
      <c r="KHZ58" s="69"/>
      <c r="KIA58" s="69"/>
      <c r="KIB58" s="69"/>
      <c r="KIC58" s="69"/>
      <c r="KID58" s="69"/>
      <c r="KIE58" s="69"/>
      <c r="KIF58" s="69"/>
      <c r="KIG58" s="69"/>
      <c r="KIH58" s="69"/>
      <c r="KII58" s="69"/>
      <c r="KIJ58" s="69"/>
      <c r="KIK58" s="69"/>
      <c r="KIL58" s="69"/>
      <c r="KIM58" s="69"/>
      <c r="KIN58" s="69"/>
      <c r="KIO58" s="69"/>
      <c r="KIP58" s="69"/>
      <c r="KIQ58" s="69"/>
      <c r="KIR58" s="69"/>
      <c r="KIS58" s="69"/>
      <c r="KIT58" s="69"/>
      <c r="KIU58" s="69"/>
      <c r="KIV58" s="69"/>
      <c r="KIW58" s="69"/>
      <c r="KIX58" s="69"/>
      <c r="KIY58" s="69"/>
      <c r="KIZ58" s="69"/>
      <c r="KJA58" s="69"/>
      <c r="KJB58" s="69"/>
      <c r="KJC58" s="69"/>
      <c r="KJD58" s="69"/>
      <c r="KJE58" s="69"/>
      <c r="KJF58" s="69"/>
      <c r="KJG58" s="69"/>
      <c r="KJH58" s="69"/>
      <c r="KJI58" s="69"/>
      <c r="KJJ58" s="69"/>
      <c r="KJK58" s="69"/>
      <c r="KJL58" s="69"/>
      <c r="KJM58" s="69"/>
      <c r="KJN58" s="69"/>
      <c r="KJO58" s="69"/>
      <c r="KJP58" s="69"/>
      <c r="KJQ58" s="69"/>
      <c r="KJR58" s="69"/>
      <c r="KJS58" s="69"/>
      <c r="KJT58" s="69"/>
      <c r="KJU58" s="69"/>
      <c r="KJV58" s="69"/>
      <c r="KJW58" s="69"/>
      <c r="KJX58" s="69"/>
      <c r="KJY58" s="69"/>
      <c r="KJZ58" s="69"/>
      <c r="KKA58" s="69"/>
      <c r="KKB58" s="69"/>
      <c r="KKC58" s="69"/>
      <c r="KKD58" s="69"/>
      <c r="KKE58" s="69"/>
      <c r="KKF58" s="69"/>
      <c r="KKG58" s="69"/>
      <c r="KKH58" s="69"/>
      <c r="KKI58" s="69"/>
      <c r="KKJ58" s="69"/>
      <c r="KKK58" s="69"/>
      <c r="KKL58" s="69"/>
      <c r="KKM58" s="69"/>
      <c r="KKN58" s="69"/>
      <c r="KKO58" s="69"/>
      <c r="KKP58" s="69"/>
      <c r="KKQ58" s="69"/>
      <c r="KKR58" s="69"/>
      <c r="KKS58" s="69"/>
      <c r="KKT58" s="69"/>
      <c r="KKU58" s="69"/>
      <c r="KKV58" s="69"/>
      <c r="KKW58" s="69"/>
      <c r="KKX58" s="69"/>
      <c r="KKY58" s="69"/>
      <c r="KKZ58" s="69"/>
      <c r="KLA58" s="69"/>
      <c r="KLB58" s="69"/>
      <c r="KLC58" s="69"/>
      <c r="KLD58" s="69"/>
      <c r="KLE58" s="69"/>
      <c r="KLF58" s="69"/>
      <c r="KLG58" s="69"/>
      <c r="KLH58" s="69"/>
      <c r="KLI58" s="69"/>
      <c r="KLJ58" s="69"/>
      <c r="KLK58" s="69"/>
      <c r="KLL58" s="69"/>
      <c r="KLM58" s="69"/>
      <c r="KLN58" s="69"/>
      <c r="KLO58" s="69"/>
      <c r="KLP58" s="69"/>
      <c r="KLQ58" s="69"/>
      <c r="KLR58" s="69"/>
      <c r="KLS58" s="69"/>
      <c r="KLT58" s="69"/>
      <c r="KLU58" s="69"/>
      <c r="KLV58" s="69"/>
      <c r="KLW58" s="69"/>
      <c r="KLX58" s="69"/>
      <c r="KLY58" s="69"/>
      <c r="KLZ58" s="69"/>
      <c r="KMA58" s="69"/>
      <c r="KMB58" s="69"/>
      <c r="KMC58" s="69"/>
      <c r="KMD58" s="69"/>
      <c r="KME58" s="69"/>
      <c r="KMF58" s="69"/>
      <c r="KMG58" s="69"/>
      <c r="KMH58" s="69"/>
      <c r="KMI58" s="69"/>
      <c r="KMJ58" s="69"/>
      <c r="KMK58" s="69"/>
      <c r="KML58" s="69"/>
      <c r="KMM58" s="69"/>
      <c r="KMN58" s="69"/>
      <c r="KMO58" s="69"/>
      <c r="KMP58" s="69"/>
      <c r="KMQ58" s="69"/>
      <c r="KMR58" s="69"/>
      <c r="KMS58" s="69"/>
      <c r="KMT58" s="69"/>
      <c r="KMU58" s="69"/>
      <c r="KMV58" s="69"/>
      <c r="KMW58" s="69"/>
      <c r="KMX58" s="69"/>
      <c r="KMY58" s="69"/>
      <c r="KMZ58" s="69"/>
      <c r="KNA58" s="69"/>
      <c r="KNB58" s="69"/>
      <c r="KNC58" s="69"/>
      <c r="KND58" s="69"/>
      <c r="KNE58" s="69"/>
      <c r="KNF58" s="69"/>
      <c r="KNG58" s="69"/>
      <c r="KNH58" s="69"/>
      <c r="KNI58" s="69"/>
      <c r="KNJ58" s="69"/>
      <c r="KNK58" s="69"/>
      <c r="KNL58" s="69"/>
      <c r="KNM58" s="69"/>
      <c r="KNN58" s="69"/>
      <c r="KNO58" s="69"/>
      <c r="KNP58" s="69"/>
      <c r="KNQ58" s="69"/>
      <c r="KNR58" s="69"/>
      <c r="KNS58" s="69"/>
      <c r="KNT58" s="69"/>
      <c r="KNU58" s="69"/>
      <c r="KNV58" s="69"/>
      <c r="KNW58" s="69"/>
      <c r="KNX58" s="69"/>
      <c r="KNY58" s="69"/>
      <c r="KNZ58" s="69"/>
      <c r="KOA58" s="69"/>
      <c r="KOB58" s="69"/>
      <c r="KOC58" s="69"/>
      <c r="KOD58" s="69"/>
      <c r="KOE58" s="69"/>
      <c r="KOF58" s="69"/>
      <c r="KOG58" s="69"/>
      <c r="KOH58" s="69"/>
      <c r="KOI58" s="69"/>
      <c r="KOJ58" s="69"/>
      <c r="KOK58" s="69"/>
      <c r="KOL58" s="69"/>
      <c r="KOM58" s="69"/>
      <c r="KON58" s="69"/>
      <c r="KOO58" s="69"/>
      <c r="KOP58" s="69"/>
      <c r="KOQ58" s="69"/>
      <c r="KOR58" s="69"/>
      <c r="KOS58" s="69"/>
      <c r="KOT58" s="69"/>
      <c r="KOU58" s="69"/>
      <c r="KOV58" s="69"/>
      <c r="KOW58" s="69"/>
      <c r="KOX58" s="69"/>
      <c r="KOY58" s="69"/>
      <c r="KOZ58" s="69"/>
      <c r="KPA58" s="69"/>
      <c r="KPB58" s="69"/>
      <c r="KPC58" s="69"/>
      <c r="KPD58" s="69"/>
      <c r="KPE58" s="69"/>
      <c r="KPF58" s="69"/>
      <c r="KPG58" s="69"/>
      <c r="KPH58" s="69"/>
      <c r="KPI58" s="69"/>
      <c r="KPJ58" s="69"/>
      <c r="KPK58" s="69"/>
      <c r="KPL58" s="69"/>
      <c r="KPM58" s="69"/>
      <c r="KPN58" s="69"/>
      <c r="KPO58" s="69"/>
      <c r="KPP58" s="69"/>
      <c r="KPQ58" s="69"/>
      <c r="KPR58" s="69"/>
      <c r="KPS58" s="69"/>
      <c r="KPT58" s="69"/>
      <c r="KPU58" s="69"/>
      <c r="KPV58" s="69"/>
      <c r="KPW58" s="69"/>
      <c r="KPX58" s="69"/>
      <c r="KPY58" s="69"/>
      <c r="KPZ58" s="69"/>
      <c r="KQA58" s="69"/>
      <c r="KQB58" s="69"/>
      <c r="KQC58" s="69"/>
      <c r="KQD58" s="69"/>
      <c r="KQE58" s="69"/>
      <c r="KQF58" s="69"/>
      <c r="KQG58" s="69"/>
      <c r="KQH58" s="69"/>
      <c r="KQI58" s="69"/>
      <c r="KQJ58" s="69"/>
      <c r="KQK58" s="69"/>
      <c r="KQL58" s="69"/>
      <c r="KQM58" s="69"/>
      <c r="KQN58" s="69"/>
      <c r="KQO58" s="69"/>
      <c r="KQP58" s="69"/>
      <c r="KQQ58" s="69"/>
      <c r="KQR58" s="69"/>
      <c r="KQS58" s="69"/>
      <c r="KQT58" s="69"/>
      <c r="KQU58" s="69"/>
      <c r="KQV58" s="69"/>
      <c r="KQW58" s="69"/>
      <c r="KQX58" s="69"/>
      <c r="KQY58" s="69"/>
      <c r="KQZ58" s="69"/>
      <c r="KRA58" s="69"/>
      <c r="KRB58" s="69"/>
      <c r="KRC58" s="69"/>
      <c r="KRD58" s="69"/>
      <c r="KRE58" s="69"/>
      <c r="KRF58" s="69"/>
      <c r="KRG58" s="69"/>
      <c r="KRH58" s="69"/>
      <c r="KRI58" s="69"/>
      <c r="KRJ58" s="69"/>
      <c r="KRK58" s="69"/>
      <c r="KRL58" s="69"/>
      <c r="KRM58" s="69"/>
      <c r="KRN58" s="69"/>
      <c r="KRO58" s="69"/>
      <c r="KRP58" s="69"/>
      <c r="KRQ58" s="69"/>
      <c r="KRR58" s="69"/>
      <c r="KRS58" s="69"/>
      <c r="KRT58" s="69"/>
      <c r="KRU58" s="69"/>
      <c r="KRV58" s="69"/>
      <c r="KRW58" s="69"/>
      <c r="KRX58" s="69"/>
      <c r="KRY58" s="69"/>
      <c r="KRZ58" s="69"/>
      <c r="KSA58" s="69"/>
      <c r="KSB58" s="69"/>
      <c r="KSC58" s="69"/>
      <c r="KSD58" s="69"/>
      <c r="KSE58" s="69"/>
      <c r="KSF58" s="69"/>
      <c r="KSG58" s="69"/>
      <c r="KSH58" s="69"/>
      <c r="KSI58" s="69"/>
      <c r="KSJ58" s="69"/>
      <c r="KSK58" s="69"/>
      <c r="KSL58" s="69"/>
      <c r="KSM58" s="69"/>
      <c r="KSN58" s="69"/>
      <c r="KSO58" s="69"/>
      <c r="KSP58" s="69"/>
      <c r="KSQ58" s="69"/>
      <c r="KSR58" s="69"/>
      <c r="KSS58" s="69"/>
      <c r="KST58" s="69"/>
      <c r="KSU58" s="69"/>
      <c r="KSV58" s="69"/>
      <c r="KSW58" s="69"/>
      <c r="KSX58" s="69"/>
      <c r="KSY58" s="69"/>
      <c r="KSZ58" s="69"/>
      <c r="KTA58" s="69"/>
      <c r="KTB58" s="69"/>
      <c r="KTC58" s="69"/>
      <c r="KTD58" s="69"/>
      <c r="KTE58" s="69"/>
      <c r="KTF58" s="69"/>
      <c r="KTG58" s="69"/>
      <c r="KTH58" s="69"/>
      <c r="KTI58" s="69"/>
      <c r="KTJ58" s="69"/>
      <c r="KTK58" s="69"/>
      <c r="KTL58" s="69"/>
      <c r="KTM58" s="69"/>
      <c r="KTN58" s="69"/>
      <c r="KTO58" s="69"/>
      <c r="KTP58" s="69"/>
      <c r="KTQ58" s="69"/>
      <c r="KTR58" s="69"/>
      <c r="KTS58" s="69"/>
      <c r="KTT58" s="69"/>
      <c r="KTU58" s="69"/>
      <c r="KTV58" s="69"/>
      <c r="KTW58" s="69"/>
      <c r="KTX58" s="69"/>
      <c r="KTY58" s="69"/>
      <c r="KTZ58" s="69"/>
      <c r="KUA58" s="69"/>
      <c r="KUB58" s="69"/>
      <c r="KUC58" s="69"/>
      <c r="KUD58" s="69"/>
      <c r="KUE58" s="69"/>
      <c r="KUF58" s="69"/>
      <c r="KUG58" s="69"/>
      <c r="KUH58" s="69"/>
      <c r="KUI58" s="69"/>
      <c r="KUJ58" s="69"/>
      <c r="KUK58" s="69"/>
      <c r="KUL58" s="69"/>
      <c r="KUM58" s="69"/>
      <c r="KUN58" s="69"/>
      <c r="KUO58" s="69"/>
      <c r="KUP58" s="69"/>
      <c r="KUQ58" s="69"/>
      <c r="KUR58" s="69"/>
      <c r="KUS58" s="69"/>
      <c r="KUT58" s="69"/>
      <c r="KUU58" s="69"/>
      <c r="KUV58" s="69"/>
      <c r="KUW58" s="69"/>
      <c r="KUX58" s="69"/>
      <c r="KUY58" s="69"/>
      <c r="KUZ58" s="69"/>
      <c r="KVA58" s="69"/>
      <c r="KVB58" s="69"/>
      <c r="KVC58" s="69"/>
      <c r="KVD58" s="69"/>
      <c r="KVE58" s="69"/>
      <c r="KVF58" s="69"/>
      <c r="KVG58" s="69"/>
      <c r="KVH58" s="69"/>
      <c r="KVI58" s="69"/>
      <c r="KVJ58" s="69"/>
      <c r="KVK58" s="69"/>
      <c r="KVL58" s="69"/>
      <c r="KVM58" s="69"/>
      <c r="KVN58" s="69"/>
      <c r="KVO58" s="69"/>
      <c r="KVP58" s="69"/>
      <c r="KVQ58" s="69"/>
      <c r="KVR58" s="69"/>
      <c r="KVS58" s="69"/>
      <c r="KVT58" s="69"/>
      <c r="KVU58" s="69"/>
      <c r="KVV58" s="69"/>
      <c r="KVW58" s="69"/>
      <c r="KVX58" s="69"/>
      <c r="KVY58" s="69"/>
      <c r="KVZ58" s="69"/>
      <c r="KWA58" s="69"/>
      <c r="KWB58" s="69"/>
      <c r="KWC58" s="69"/>
      <c r="KWD58" s="69"/>
      <c r="KWE58" s="69"/>
      <c r="KWF58" s="69"/>
      <c r="KWG58" s="69"/>
      <c r="KWH58" s="69"/>
      <c r="KWI58" s="69"/>
      <c r="KWJ58" s="69"/>
      <c r="KWK58" s="69"/>
      <c r="KWL58" s="69"/>
      <c r="KWM58" s="69"/>
      <c r="KWN58" s="69"/>
      <c r="KWO58" s="69"/>
      <c r="KWP58" s="69"/>
      <c r="KWQ58" s="69"/>
      <c r="KWR58" s="69"/>
      <c r="KWS58" s="69"/>
      <c r="KWT58" s="69"/>
      <c r="KWU58" s="69"/>
      <c r="KWV58" s="69"/>
      <c r="KWW58" s="69"/>
      <c r="KWX58" s="69"/>
      <c r="KWY58" s="69"/>
      <c r="KWZ58" s="69"/>
      <c r="KXA58" s="69"/>
      <c r="KXB58" s="69"/>
      <c r="KXC58" s="69"/>
      <c r="KXD58" s="69"/>
      <c r="KXE58" s="69"/>
      <c r="KXF58" s="69"/>
      <c r="KXG58" s="69"/>
      <c r="KXH58" s="69"/>
      <c r="KXI58" s="69"/>
      <c r="KXJ58" s="69"/>
      <c r="KXK58" s="69"/>
      <c r="KXL58" s="69"/>
      <c r="KXM58" s="69"/>
      <c r="KXN58" s="69"/>
      <c r="KXO58" s="69"/>
      <c r="KXP58" s="69"/>
      <c r="KXQ58" s="69"/>
      <c r="KXR58" s="69"/>
      <c r="KXS58" s="69"/>
      <c r="KXT58" s="69"/>
      <c r="KXU58" s="69"/>
      <c r="KXV58" s="69"/>
      <c r="KXW58" s="69"/>
      <c r="KXX58" s="69"/>
      <c r="KXY58" s="69"/>
      <c r="KXZ58" s="69"/>
      <c r="KYA58" s="69"/>
      <c r="KYB58" s="69"/>
      <c r="KYC58" s="69"/>
      <c r="KYD58" s="69"/>
      <c r="KYE58" s="69"/>
      <c r="KYF58" s="69"/>
      <c r="KYG58" s="69"/>
      <c r="KYH58" s="69"/>
      <c r="KYI58" s="69"/>
      <c r="KYJ58" s="69"/>
      <c r="KYK58" s="69"/>
      <c r="KYL58" s="69"/>
      <c r="KYM58" s="69"/>
      <c r="KYN58" s="69"/>
      <c r="KYO58" s="69"/>
      <c r="KYP58" s="69"/>
      <c r="KYQ58" s="69"/>
      <c r="KYR58" s="69"/>
      <c r="KYS58" s="69"/>
      <c r="KYT58" s="69"/>
      <c r="KYU58" s="69"/>
      <c r="KYV58" s="69"/>
      <c r="KYW58" s="69"/>
      <c r="KYX58" s="69"/>
      <c r="KYY58" s="69"/>
      <c r="KYZ58" s="69"/>
      <c r="KZA58" s="69"/>
      <c r="KZB58" s="69"/>
      <c r="KZC58" s="69"/>
      <c r="KZD58" s="69"/>
      <c r="KZE58" s="69"/>
      <c r="KZF58" s="69"/>
      <c r="KZG58" s="69"/>
      <c r="KZH58" s="69"/>
      <c r="KZI58" s="69"/>
      <c r="KZJ58" s="69"/>
      <c r="KZK58" s="69"/>
      <c r="KZL58" s="69"/>
      <c r="KZM58" s="69"/>
      <c r="KZN58" s="69"/>
      <c r="KZO58" s="69"/>
      <c r="KZP58" s="69"/>
      <c r="KZQ58" s="69"/>
      <c r="KZR58" s="69"/>
      <c r="KZS58" s="69"/>
      <c r="KZT58" s="69"/>
      <c r="KZU58" s="69"/>
      <c r="KZV58" s="69"/>
      <c r="KZW58" s="69"/>
      <c r="KZX58" s="69"/>
      <c r="KZY58" s="69"/>
      <c r="KZZ58" s="69"/>
      <c r="LAA58" s="69"/>
      <c r="LAB58" s="69"/>
      <c r="LAC58" s="69"/>
      <c r="LAD58" s="69"/>
      <c r="LAE58" s="69"/>
      <c r="LAF58" s="69"/>
      <c r="LAG58" s="69"/>
      <c r="LAH58" s="69"/>
      <c r="LAI58" s="69"/>
      <c r="LAJ58" s="69"/>
      <c r="LAK58" s="69"/>
      <c r="LAL58" s="69"/>
      <c r="LAM58" s="69"/>
      <c r="LAN58" s="69"/>
      <c r="LAO58" s="69"/>
      <c r="LAP58" s="69"/>
      <c r="LAQ58" s="69"/>
      <c r="LAR58" s="69"/>
      <c r="LAS58" s="69"/>
      <c r="LAT58" s="69"/>
      <c r="LAU58" s="69"/>
      <c r="LAV58" s="69"/>
      <c r="LAW58" s="69"/>
      <c r="LAX58" s="69"/>
      <c r="LAY58" s="69"/>
      <c r="LAZ58" s="69"/>
      <c r="LBA58" s="69"/>
      <c r="LBB58" s="69"/>
      <c r="LBC58" s="69"/>
      <c r="LBD58" s="69"/>
      <c r="LBE58" s="69"/>
      <c r="LBF58" s="69"/>
      <c r="LBG58" s="69"/>
      <c r="LBH58" s="69"/>
      <c r="LBI58" s="69"/>
      <c r="LBJ58" s="69"/>
      <c r="LBK58" s="69"/>
      <c r="LBL58" s="69"/>
      <c r="LBM58" s="69"/>
      <c r="LBN58" s="69"/>
      <c r="LBO58" s="69"/>
      <c r="LBP58" s="69"/>
      <c r="LBQ58" s="69"/>
      <c r="LBR58" s="69"/>
      <c r="LBS58" s="69"/>
      <c r="LBT58" s="69"/>
      <c r="LBU58" s="69"/>
      <c r="LBV58" s="69"/>
      <c r="LBW58" s="69"/>
      <c r="LBX58" s="69"/>
      <c r="LBY58" s="69"/>
      <c r="LBZ58" s="69"/>
      <c r="LCA58" s="69"/>
      <c r="LCB58" s="69"/>
      <c r="LCC58" s="69"/>
      <c r="LCD58" s="69"/>
      <c r="LCE58" s="69"/>
      <c r="LCF58" s="69"/>
      <c r="LCG58" s="69"/>
      <c r="LCH58" s="69"/>
      <c r="LCI58" s="69"/>
      <c r="LCJ58" s="69"/>
      <c r="LCK58" s="69"/>
      <c r="LCL58" s="69"/>
      <c r="LCM58" s="69"/>
      <c r="LCN58" s="69"/>
      <c r="LCO58" s="69"/>
      <c r="LCP58" s="69"/>
      <c r="LCQ58" s="69"/>
      <c r="LCR58" s="69"/>
      <c r="LCS58" s="69"/>
      <c r="LCT58" s="69"/>
      <c r="LCU58" s="69"/>
      <c r="LCV58" s="69"/>
      <c r="LCW58" s="69"/>
      <c r="LCX58" s="69"/>
      <c r="LCY58" s="69"/>
      <c r="LCZ58" s="69"/>
      <c r="LDA58" s="69"/>
      <c r="LDB58" s="69"/>
      <c r="LDC58" s="69"/>
      <c r="LDD58" s="69"/>
      <c r="LDE58" s="69"/>
      <c r="LDF58" s="69"/>
      <c r="LDG58" s="69"/>
      <c r="LDH58" s="69"/>
      <c r="LDI58" s="69"/>
      <c r="LDJ58" s="69"/>
      <c r="LDK58" s="69"/>
      <c r="LDL58" s="69"/>
      <c r="LDM58" s="69"/>
      <c r="LDN58" s="69"/>
      <c r="LDO58" s="69"/>
      <c r="LDP58" s="69"/>
      <c r="LDQ58" s="69"/>
      <c r="LDR58" s="69"/>
      <c r="LDS58" s="69"/>
      <c r="LDT58" s="69"/>
      <c r="LDU58" s="69"/>
      <c r="LDV58" s="69"/>
      <c r="LDW58" s="69"/>
      <c r="LDX58" s="69"/>
      <c r="LDY58" s="69"/>
      <c r="LDZ58" s="69"/>
      <c r="LEA58" s="69"/>
      <c r="LEB58" s="69"/>
      <c r="LEC58" s="69"/>
      <c r="LED58" s="69"/>
      <c r="LEE58" s="69"/>
      <c r="LEF58" s="69"/>
      <c r="LEG58" s="69"/>
      <c r="LEH58" s="69"/>
      <c r="LEI58" s="69"/>
      <c r="LEJ58" s="69"/>
      <c r="LEK58" s="69"/>
      <c r="LEL58" s="69"/>
      <c r="LEM58" s="69"/>
      <c r="LEN58" s="69"/>
      <c r="LEO58" s="69"/>
      <c r="LEP58" s="69"/>
      <c r="LEQ58" s="69"/>
      <c r="LER58" s="69"/>
      <c r="LES58" s="69"/>
      <c r="LET58" s="69"/>
      <c r="LEU58" s="69"/>
      <c r="LEV58" s="69"/>
      <c r="LEW58" s="69"/>
      <c r="LEX58" s="69"/>
      <c r="LEY58" s="69"/>
      <c r="LEZ58" s="69"/>
      <c r="LFA58" s="69"/>
      <c r="LFB58" s="69"/>
      <c r="LFC58" s="69"/>
      <c r="LFD58" s="69"/>
      <c r="LFE58" s="69"/>
      <c r="LFF58" s="69"/>
      <c r="LFG58" s="69"/>
      <c r="LFH58" s="69"/>
      <c r="LFI58" s="69"/>
      <c r="LFJ58" s="69"/>
      <c r="LFK58" s="69"/>
      <c r="LFL58" s="69"/>
      <c r="LFM58" s="69"/>
      <c r="LFN58" s="69"/>
      <c r="LFO58" s="69"/>
      <c r="LFP58" s="69"/>
      <c r="LFQ58" s="69"/>
      <c r="LFR58" s="69"/>
      <c r="LFS58" s="69"/>
      <c r="LFT58" s="69"/>
      <c r="LFU58" s="69"/>
      <c r="LFV58" s="69"/>
      <c r="LFW58" s="69"/>
      <c r="LFX58" s="69"/>
      <c r="LFY58" s="69"/>
      <c r="LFZ58" s="69"/>
      <c r="LGA58" s="69"/>
      <c r="LGB58" s="69"/>
      <c r="LGC58" s="69"/>
      <c r="LGD58" s="69"/>
      <c r="LGE58" s="69"/>
      <c r="LGF58" s="69"/>
      <c r="LGG58" s="69"/>
      <c r="LGH58" s="69"/>
      <c r="LGI58" s="69"/>
      <c r="LGJ58" s="69"/>
      <c r="LGK58" s="69"/>
      <c r="LGL58" s="69"/>
      <c r="LGM58" s="69"/>
      <c r="LGN58" s="69"/>
      <c r="LGO58" s="69"/>
      <c r="LGP58" s="69"/>
      <c r="LGQ58" s="69"/>
      <c r="LGR58" s="69"/>
      <c r="LGS58" s="69"/>
      <c r="LGT58" s="69"/>
      <c r="LGU58" s="69"/>
      <c r="LGV58" s="69"/>
      <c r="LGW58" s="69"/>
      <c r="LGX58" s="69"/>
      <c r="LGY58" s="69"/>
      <c r="LGZ58" s="69"/>
      <c r="LHA58" s="69"/>
      <c r="LHB58" s="69"/>
      <c r="LHC58" s="69"/>
      <c r="LHD58" s="69"/>
      <c r="LHE58" s="69"/>
      <c r="LHF58" s="69"/>
      <c r="LHG58" s="69"/>
      <c r="LHH58" s="69"/>
      <c r="LHI58" s="69"/>
      <c r="LHJ58" s="69"/>
      <c r="LHK58" s="69"/>
      <c r="LHL58" s="69"/>
      <c r="LHM58" s="69"/>
      <c r="LHN58" s="69"/>
      <c r="LHO58" s="69"/>
      <c r="LHP58" s="69"/>
      <c r="LHQ58" s="69"/>
      <c r="LHR58" s="69"/>
      <c r="LHS58" s="69"/>
      <c r="LHT58" s="69"/>
      <c r="LHU58" s="69"/>
      <c r="LHV58" s="69"/>
      <c r="LHW58" s="69"/>
      <c r="LHX58" s="69"/>
      <c r="LHY58" s="69"/>
      <c r="LHZ58" s="69"/>
      <c r="LIA58" s="69"/>
      <c r="LIB58" s="69"/>
      <c r="LIC58" s="69"/>
      <c r="LID58" s="69"/>
      <c r="LIE58" s="69"/>
      <c r="LIF58" s="69"/>
      <c r="LIG58" s="69"/>
      <c r="LIH58" s="69"/>
      <c r="LII58" s="69"/>
      <c r="LIJ58" s="69"/>
      <c r="LIK58" s="69"/>
      <c r="LIL58" s="69"/>
      <c r="LIM58" s="69"/>
      <c r="LIN58" s="69"/>
      <c r="LIO58" s="69"/>
      <c r="LIP58" s="69"/>
      <c r="LIQ58" s="69"/>
      <c r="LIR58" s="69"/>
      <c r="LIS58" s="69"/>
      <c r="LIT58" s="69"/>
      <c r="LIU58" s="69"/>
      <c r="LIV58" s="69"/>
      <c r="LIW58" s="69"/>
      <c r="LIX58" s="69"/>
      <c r="LIY58" s="69"/>
      <c r="LIZ58" s="69"/>
      <c r="LJA58" s="69"/>
      <c r="LJB58" s="69"/>
      <c r="LJC58" s="69"/>
      <c r="LJD58" s="69"/>
      <c r="LJE58" s="69"/>
      <c r="LJF58" s="69"/>
      <c r="LJG58" s="69"/>
      <c r="LJH58" s="69"/>
      <c r="LJI58" s="69"/>
      <c r="LJJ58" s="69"/>
      <c r="LJK58" s="69"/>
      <c r="LJL58" s="69"/>
      <c r="LJM58" s="69"/>
      <c r="LJN58" s="69"/>
      <c r="LJO58" s="69"/>
      <c r="LJP58" s="69"/>
      <c r="LJQ58" s="69"/>
      <c r="LJR58" s="69"/>
      <c r="LJS58" s="69"/>
      <c r="LJT58" s="69"/>
      <c r="LJU58" s="69"/>
      <c r="LJV58" s="69"/>
      <c r="LJW58" s="69"/>
      <c r="LJX58" s="69"/>
      <c r="LJY58" s="69"/>
      <c r="LJZ58" s="69"/>
      <c r="LKA58" s="69"/>
      <c r="LKB58" s="69"/>
      <c r="LKC58" s="69"/>
      <c r="LKD58" s="69"/>
      <c r="LKE58" s="69"/>
      <c r="LKF58" s="69"/>
      <c r="LKG58" s="69"/>
      <c r="LKH58" s="69"/>
      <c r="LKI58" s="69"/>
      <c r="LKJ58" s="69"/>
      <c r="LKK58" s="69"/>
      <c r="LKL58" s="69"/>
      <c r="LKM58" s="69"/>
      <c r="LKN58" s="69"/>
      <c r="LKO58" s="69"/>
      <c r="LKP58" s="69"/>
      <c r="LKQ58" s="69"/>
      <c r="LKR58" s="69"/>
      <c r="LKS58" s="69"/>
      <c r="LKT58" s="69"/>
      <c r="LKU58" s="69"/>
      <c r="LKV58" s="69"/>
      <c r="LKW58" s="69"/>
      <c r="LKX58" s="69"/>
      <c r="LKY58" s="69"/>
      <c r="LKZ58" s="69"/>
      <c r="LLA58" s="69"/>
      <c r="LLB58" s="69"/>
      <c r="LLC58" s="69"/>
      <c r="LLD58" s="69"/>
      <c r="LLE58" s="69"/>
      <c r="LLF58" s="69"/>
      <c r="LLG58" s="69"/>
      <c r="LLH58" s="69"/>
      <c r="LLI58" s="69"/>
      <c r="LLJ58" s="69"/>
      <c r="LLK58" s="69"/>
      <c r="LLL58" s="69"/>
      <c r="LLM58" s="69"/>
      <c r="LLN58" s="69"/>
      <c r="LLO58" s="69"/>
      <c r="LLP58" s="69"/>
      <c r="LLQ58" s="69"/>
      <c r="LLR58" s="69"/>
      <c r="LLS58" s="69"/>
      <c r="LLT58" s="69"/>
      <c r="LLU58" s="69"/>
      <c r="LLV58" s="69"/>
      <c r="LLW58" s="69"/>
      <c r="LLX58" s="69"/>
      <c r="LLY58" s="69"/>
      <c r="LLZ58" s="69"/>
      <c r="LMA58" s="69"/>
      <c r="LMB58" s="69"/>
      <c r="LMC58" s="69"/>
      <c r="LMD58" s="69"/>
      <c r="LME58" s="69"/>
      <c r="LMF58" s="69"/>
      <c r="LMG58" s="69"/>
      <c r="LMH58" s="69"/>
      <c r="LMI58" s="69"/>
      <c r="LMJ58" s="69"/>
      <c r="LMK58" s="69"/>
      <c r="LML58" s="69"/>
      <c r="LMM58" s="69"/>
      <c r="LMN58" s="69"/>
      <c r="LMO58" s="69"/>
      <c r="LMP58" s="69"/>
      <c r="LMQ58" s="69"/>
      <c r="LMR58" s="69"/>
      <c r="LMS58" s="69"/>
      <c r="LMT58" s="69"/>
      <c r="LMU58" s="69"/>
      <c r="LMV58" s="69"/>
      <c r="LMW58" s="69"/>
      <c r="LMX58" s="69"/>
      <c r="LMY58" s="69"/>
      <c r="LMZ58" s="69"/>
      <c r="LNA58" s="69"/>
      <c r="LNB58" s="69"/>
      <c r="LNC58" s="69"/>
      <c r="LND58" s="69"/>
      <c r="LNE58" s="69"/>
      <c r="LNF58" s="69"/>
      <c r="LNG58" s="69"/>
      <c r="LNH58" s="69"/>
      <c r="LNI58" s="69"/>
      <c r="LNJ58" s="69"/>
      <c r="LNK58" s="69"/>
      <c r="LNL58" s="69"/>
      <c r="LNM58" s="69"/>
      <c r="LNN58" s="69"/>
      <c r="LNO58" s="69"/>
      <c r="LNP58" s="69"/>
      <c r="LNQ58" s="69"/>
      <c r="LNR58" s="69"/>
      <c r="LNS58" s="69"/>
      <c r="LNT58" s="69"/>
      <c r="LNU58" s="69"/>
      <c r="LNV58" s="69"/>
      <c r="LNW58" s="69"/>
      <c r="LNX58" s="69"/>
      <c r="LNY58" s="69"/>
      <c r="LNZ58" s="69"/>
      <c r="LOA58" s="69"/>
      <c r="LOB58" s="69"/>
      <c r="LOC58" s="69"/>
      <c r="LOD58" s="69"/>
      <c r="LOE58" s="69"/>
      <c r="LOF58" s="69"/>
      <c r="LOG58" s="69"/>
      <c r="LOH58" s="69"/>
      <c r="LOI58" s="69"/>
      <c r="LOJ58" s="69"/>
      <c r="LOK58" s="69"/>
      <c r="LOL58" s="69"/>
      <c r="LOM58" s="69"/>
      <c r="LON58" s="69"/>
      <c r="LOO58" s="69"/>
      <c r="LOP58" s="69"/>
      <c r="LOQ58" s="69"/>
      <c r="LOR58" s="69"/>
      <c r="LOS58" s="69"/>
      <c r="LOT58" s="69"/>
      <c r="LOU58" s="69"/>
      <c r="LOV58" s="69"/>
      <c r="LOW58" s="69"/>
      <c r="LOX58" s="69"/>
      <c r="LOY58" s="69"/>
      <c r="LOZ58" s="69"/>
      <c r="LPA58" s="69"/>
      <c r="LPB58" s="69"/>
      <c r="LPC58" s="69"/>
      <c r="LPD58" s="69"/>
      <c r="LPE58" s="69"/>
      <c r="LPF58" s="69"/>
      <c r="LPG58" s="69"/>
      <c r="LPH58" s="69"/>
      <c r="LPI58" s="69"/>
      <c r="LPJ58" s="69"/>
      <c r="LPK58" s="69"/>
      <c r="LPL58" s="69"/>
      <c r="LPM58" s="69"/>
      <c r="LPN58" s="69"/>
      <c r="LPO58" s="69"/>
      <c r="LPP58" s="69"/>
      <c r="LPQ58" s="69"/>
      <c r="LPR58" s="69"/>
      <c r="LPS58" s="69"/>
      <c r="LPT58" s="69"/>
      <c r="LPU58" s="69"/>
      <c r="LPV58" s="69"/>
      <c r="LPW58" s="69"/>
      <c r="LPX58" s="69"/>
      <c r="LPY58" s="69"/>
      <c r="LPZ58" s="69"/>
      <c r="LQA58" s="69"/>
      <c r="LQB58" s="69"/>
      <c r="LQC58" s="69"/>
      <c r="LQD58" s="69"/>
      <c r="LQE58" s="69"/>
      <c r="LQF58" s="69"/>
      <c r="LQG58" s="69"/>
      <c r="LQH58" s="69"/>
      <c r="LQI58" s="69"/>
      <c r="LQJ58" s="69"/>
      <c r="LQK58" s="69"/>
      <c r="LQL58" s="69"/>
      <c r="LQM58" s="69"/>
      <c r="LQN58" s="69"/>
      <c r="LQO58" s="69"/>
      <c r="LQP58" s="69"/>
      <c r="LQQ58" s="69"/>
      <c r="LQR58" s="69"/>
      <c r="LQS58" s="69"/>
      <c r="LQT58" s="69"/>
      <c r="LQU58" s="69"/>
      <c r="LQV58" s="69"/>
      <c r="LQW58" s="69"/>
      <c r="LQX58" s="69"/>
      <c r="LQY58" s="69"/>
      <c r="LQZ58" s="69"/>
      <c r="LRA58" s="69"/>
      <c r="LRB58" s="69"/>
      <c r="LRC58" s="69"/>
      <c r="LRD58" s="69"/>
      <c r="LRE58" s="69"/>
      <c r="LRF58" s="69"/>
      <c r="LRG58" s="69"/>
      <c r="LRH58" s="69"/>
      <c r="LRI58" s="69"/>
      <c r="LRJ58" s="69"/>
      <c r="LRK58" s="69"/>
      <c r="LRL58" s="69"/>
      <c r="LRM58" s="69"/>
      <c r="LRN58" s="69"/>
      <c r="LRO58" s="69"/>
      <c r="LRP58" s="69"/>
      <c r="LRQ58" s="69"/>
      <c r="LRR58" s="69"/>
      <c r="LRS58" s="69"/>
      <c r="LRT58" s="69"/>
      <c r="LRU58" s="69"/>
      <c r="LRV58" s="69"/>
      <c r="LRW58" s="69"/>
      <c r="LRX58" s="69"/>
      <c r="LRY58" s="69"/>
      <c r="LRZ58" s="69"/>
      <c r="LSA58" s="69"/>
      <c r="LSB58" s="69"/>
      <c r="LSC58" s="69"/>
      <c r="LSD58" s="69"/>
      <c r="LSE58" s="69"/>
      <c r="LSF58" s="69"/>
      <c r="LSG58" s="69"/>
      <c r="LSH58" s="69"/>
      <c r="LSI58" s="69"/>
      <c r="LSJ58" s="69"/>
      <c r="LSK58" s="69"/>
      <c r="LSL58" s="69"/>
      <c r="LSM58" s="69"/>
      <c r="LSN58" s="69"/>
      <c r="LSO58" s="69"/>
      <c r="LSP58" s="69"/>
      <c r="LSQ58" s="69"/>
      <c r="LSR58" s="69"/>
      <c r="LSS58" s="69"/>
      <c r="LST58" s="69"/>
      <c r="LSU58" s="69"/>
      <c r="LSV58" s="69"/>
      <c r="LSW58" s="69"/>
      <c r="LSX58" s="69"/>
      <c r="LSY58" s="69"/>
      <c r="LSZ58" s="69"/>
      <c r="LTA58" s="69"/>
      <c r="LTB58" s="69"/>
      <c r="LTC58" s="69"/>
      <c r="LTD58" s="69"/>
      <c r="LTE58" s="69"/>
      <c r="LTF58" s="69"/>
      <c r="LTG58" s="69"/>
      <c r="LTH58" s="69"/>
      <c r="LTI58" s="69"/>
      <c r="LTJ58" s="69"/>
      <c r="LTK58" s="69"/>
      <c r="LTL58" s="69"/>
      <c r="LTM58" s="69"/>
      <c r="LTN58" s="69"/>
      <c r="LTO58" s="69"/>
      <c r="LTP58" s="69"/>
      <c r="LTQ58" s="69"/>
      <c r="LTR58" s="69"/>
      <c r="LTS58" s="69"/>
      <c r="LTT58" s="69"/>
      <c r="LTU58" s="69"/>
      <c r="LTV58" s="69"/>
      <c r="LTW58" s="69"/>
      <c r="LTX58" s="69"/>
      <c r="LTY58" s="69"/>
      <c r="LTZ58" s="69"/>
      <c r="LUA58" s="69"/>
      <c r="LUB58" s="69"/>
      <c r="LUC58" s="69"/>
      <c r="LUD58" s="69"/>
      <c r="LUE58" s="69"/>
      <c r="LUF58" s="69"/>
      <c r="LUG58" s="69"/>
      <c r="LUH58" s="69"/>
      <c r="LUI58" s="69"/>
      <c r="LUJ58" s="69"/>
      <c r="LUK58" s="69"/>
      <c r="LUL58" s="69"/>
      <c r="LUM58" s="69"/>
      <c r="LUN58" s="69"/>
      <c r="LUO58" s="69"/>
      <c r="LUP58" s="69"/>
      <c r="LUQ58" s="69"/>
      <c r="LUR58" s="69"/>
      <c r="LUS58" s="69"/>
      <c r="LUT58" s="69"/>
      <c r="LUU58" s="69"/>
      <c r="LUV58" s="69"/>
      <c r="LUW58" s="69"/>
      <c r="LUX58" s="69"/>
      <c r="LUY58" s="69"/>
      <c r="LUZ58" s="69"/>
      <c r="LVA58" s="69"/>
      <c r="LVB58" s="69"/>
      <c r="LVC58" s="69"/>
      <c r="LVD58" s="69"/>
      <c r="LVE58" s="69"/>
      <c r="LVF58" s="69"/>
      <c r="LVG58" s="69"/>
      <c r="LVH58" s="69"/>
      <c r="LVI58" s="69"/>
      <c r="LVJ58" s="69"/>
      <c r="LVK58" s="69"/>
      <c r="LVL58" s="69"/>
      <c r="LVM58" s="69"/>
      <c r="LVN58" s="69"/>
      <c r="LVO58" s="69"/>
      <c r="LVP58" s="69"/>
      <c r="LVQ58" s="69"/>
      <c r="LVR58" s="69"/>
      <c r="LVS58" s="69"/>
      <c r="LVT58" s="69"/>
      <c r="LVU58" s="69"/>
      <c r="LVV58" s="69"/>
      <c r="LVW58" s="69"/>
      <c r="LVX58" s="69"/>
      <c r="LVY58" s="69"/>
      <c r="LVZ58" s="69"/>
      <c r="LWA58" s="69"/>
      <c r="LWB58" s="69"/>
      <c r="LWC58" s="69"/>
      <c r="LWD58" s="69"/>
      <c r="LWE58" s="69"/>
      <c r="LWF58" s="69"/>
      <c r="LWG58" s="69"/>
      <c r="LWH58" s="69"/>
      <c r="LWI58" s="69"/>
      <c r="LWJ58" s="69"/>
      <c r="LWK58" s="69"/>
      <c r="LWL58" s="69"/>
      <c r="LWM58" s="69"/>
      <c r="LWN58" s="69"/>
      <c r="LWO58" s="69"/>
      <c r="LWP58" s="69"/>
      <c r="LWQ58" s="69"/>
      <c r="LWR58" s="69"/>
      <c r="LWS58" s="69"/>
      <c r="LWT58" s="69"/>
      <c r="LWU58" s="69"/>
      <c r="LWV58" s="69"/>
      <c r="LWW58" s="69"/>
      <c r="LWX58" s="69"/>
      <c r="LWY58" s="69"/>
      <c r="LWZ58" s="69"/>
      <c r="LXA58" s="69"/>
      <c r="LXB58" s="69"/>
      <c r="LXC58" s="69"/>
      <c r="LXD58" s="69"/>
      <c r="LXE58" s="69"/>
      <c r="LXF58" s="69"/>
      <c r="LXG58" s="69"/>
      <c r="LXH58" s="69"/>
      <c r="LXI58" s="69"/>
      <c r="LXJ58" s="69"/>
      <c r="LXK58" s="69"/>
      <c r="LXL58" s="69"/>
      <c r="LXM58" s="69"/>
      <c r="LXN58" s="69"/>
      <c r="LXO58" s="69"/>
      <c r="LXP58" s="69"/>
      <c r="LXQ58" s="69"/>
      <c r="LXR58" s="69"/>
      <c r="LXS58" s="69"/>
      <c r="LXT58" s="69"/>
      <c r="LXU58" s="69"/>
      <c r="LXV58" s="69"/>
      <c r="LXW58" s="69"/>
      <c r="LXX58" s="69"/>
      <c r="LXY58" s="69"/>
      <c r="LXZ58" s="69"/>
      <c r="LYA58" s="69"/>
      <c r="LYB58" s="69"/>
      <c r="LYC58" s="69"/>
      <c r="LYD58" s="69"/>
      <c r="LYE58" s="69"/>
      <c r="LYF58" s="69"/>
      <c r="LYG58" s="69"/>
      <c r="LYH58" s="69"/>
      <c r="LYI58" s="69"/>
      <c r="LYJ58" s="69"/>
      <c r="LYK58" s="69"/>
      <c r="LYL58" s="69"/>
      <c r="LYM58" s="69"/>
      <c r="LYN58" s="69"/>
      <c r="LYO58" s="69"/>
      <c r="LYP58" s="69"/>
      <c r="LYQ58" s="69"/>
      <c r="LYR58" s="69"/>
      <c r="LYS58" s="69"/>
      <c r="LYT58" s="69"/>
      <c r="LYU58" s="69"/>
      <c r="LYV58" s="69"/>
      <c r="LYW58" s="69"/>
      <c r="LYX58" s="69"/>
      <c r="LYY58" s="69"/>
      <c r="LYZ58" s="69"/>
      <c r="LZA58" s="69"/>
      <c r="LZB58" s="69"/>
      <c r="LZC58" s="69"/>
      <c r="LZD58" s="69"/>
      <c r="LZE58" s="69"/>
      <c r="LZF58" s="69"/>
      <c r="LZG58" s="69"/>
      <c r="LZH58" s="69"/>
      <c r="LZI58" s="69"/>
      <c r="LZJ58" s="69"/>
      <c r="LZK58" s="69"/>
      <c r="LZL58" s="69"/>
      <c r="LZM58" s="69"/>
      <c r="LZN58" s="69"/>
      <c r="LZO58" s="69"/>
      <c r="LZP58" s="69"/>
      <c r="LZQ58" s="69"/>
      <c r="LZR58" s="69"/>
      <c r="LZS58" s="69"/>
      <c r="LZT58" s="69"/>
      <c r="LZU58" s="69"/>
      <c r="LZV58" s="69"/>
      <c r="LZW58" s="69"/>
      <c r="LZX58" s="69"/>
      <c r="LZY58" s="69"/>
      <c r="LZZ58" s="69"/>
      <c r="MAA58" s="69"/>
      <c r="MAB58" s="69"/>
      <c r="MAC58" s="69"/>
      <c r="MAD58" s="69"/>
      <c r="MAE58" s="69"/>
      <c r="MAF58" s="69"/>
      <c r="MAG58" s="69"/>
      <c r="MAH58" s="69"/>
      <c r="MAI58" s="69"/>
      <c r="MAJ58" s="69"/>
      <c r="MAK58" s="69"/>
      <c r="MAL58" s="69"/>
      <c r="MAM58" s="69"/>
      <c r="MAN58" s="69"/>
      <c r="MAO58" s="69"/>
      <c r="MAP58" s="69"/>
      <c r="MAQ58" s="69"/>
      <c r="MAR58" s="69"/>
      <c r="MAS58" s="69"/>
      <c r="MAT58" s="69"/>
      <c r="MAU58" s="69"/>
      <c r="MAV58" s="69"/>
      <c r="MAW58" s="69"/>
      <c r="MAX58" s="69"/>
      <c r="MAY58" s="69"/>
      <c r="MAZ58" s="69"/>
      <c r="MBA58" s="69"/>
      <c r="MBB58" s="69"/>
      <c r="MBC58" s="69"/>
      <c r="MBD58" s="69"/>
      <c r="MBE58" s="69"/>
      <c r="MBF58" s="69"/>
      <c r="MBG58" s="69"/>
      <c r="MBH58" s="69"/>
      <c r="MBI58" s="69"/>
      <c r="MBJ58" s="69"/>
      <c r="MBK58" s="69"/>
      <c r="MBL58" s="69"/>
      <c r="MBM58" s="69"/>
      <c r="MBN58" s="69"/>
      <c r="MBO58" s="69"/>
      <c r="MBP58" s="69"/>
      <c r="MBQ58" s="69"/>
      <c r="MBR58" s="69"/>
      <c r="MBS58" s="69"/>
      <c r="MBT58" s="69"/>
      <c r="MBU58" s="69"/>
      <c r="MBV58" s="69"/>
      <c r="MBW58" s="69"/>
      <c r="MBX58" s="69"/>
      <c r="MBY58" s="69"/>
      <c r="MBZ58" s="69"/>
      <c r="MCA58" s="69"/>
      <c r="MCB58" s="69"/>
      <c r="MCC58" s="69"/>
      <c r="MCD58" s="69"/>
      <c r="MCE58" s="69"/>
      <c r="MCF58" s="69"/>
      <c r="MCG58" s="69"/>
      <c r="MCH58" s="69"/>
      <c r="MCI58" s="69"/>
      <c r="MCJ58" s="69"/>
      <c r="MCK58" s="69"/>
      <c r="MCL58" s="69"/>
      <c r="MCM58" s="69"/>
      <c r="MCN58" s="69"/>
      <c r="MCO58" s="69"/>
      <c r="MCP58" s="69"/>
      <c r="MCQ58" s="69"/>
      <c r="MCR58" s="69"/>
      <c r="MCS58" s="69"/>
      <c r="MCT58" s="69"/>
      <c r="MCU58" s="69"/>
      <c r="MCV58" s="69"/>
      <c r="MCW58" s="69"/>
      <c r="MCX58" s="69"/>
      <c r="MCY58" s="69"/>
      <c r="MCZ58" s="69"/>
      <c r="MDA58" s="69"/>
      <c r="MDB58" s="69"/>
      <c r="MDC58" s="69"/>
      <c r="MDD58" s="69"/>
      <c r="MDE58" s="69"/>
      <c r="MDF58" s="69"/>
      <c r="MDG58" s="69"/>
      <c r="MDH58" s="69"/>
      <c r="MDI58" s="69"/>
      <c r="MDJ58" s="69"/>
      <c r="MDK58" s="69"/>
      <c r="MDL58" s="69"/>
      <c r="MDM58" s="69"/>
      <c r="MDN58" s="69"/>
      <c r="MDO58" s="69"/>
      <c r="MDP58" s="69"/>
      <c r="MDQ58" s="69"/>
      <c r="MDR58" s="69"/>
      <c r="MDS58" s="69"/>
      <c r="MDT58" s="69"/>
      <c r="MDU58" s="69"/>
      <c r="MDV58" s="69"/>
      <c r="MDW58" s="69"/>
      <c r="MDX58" s="69"/>
      <c r="MDY58" s="69"/>
      <c r="MDZ58" s="69"/>
      <c r="MEA58" s="69"/>
      <c r="MEB58" s="69"/>
      <c r="MEC58" s="69"/>
      <c r="MED58" s="69"/>
      <c r="MEE58" s="69"/>
      <c r="MEF58" s="69"/>
      <c r="MEG58" s="69"/>
      <c r="MEH58" s="69"/>
      <c r="MEI58" s="69"/>
      <c r="MEJ58" s="69"/>
      <c r="MEK58" s="69"/>
      <c r="MEL58" s="69"/>
      <c r="MEM58" s="69"/>
      <c r="MEN58" s="69"/>
      <c r="MEO58" s="69"/>
      <c r="MEP58" s="69"/>
      <c r="MEQ58" s="69"/>
      <c r="MER58" s="69"/>
      <c r="MES58" s="69"/>
      <c r="MET58" s="69"/>
      <c r="MEU58" s="69"/>
      <c r="MEV58" s="69"/>
      <c r="MEW58" s="69"/>
      <c r="MEX58" s="69"/>
      <c r="MEY58" s="69"/>
      <c r="MEZ58" s="69"/>
      <c r="MFA58" s="69"/>
      <c r="MFB58" s="69"/>
      <c r="MFC58" s="69"/>
      <c r="MFD58" s="69"/>
      <c r="MFE58" s="69"/>
      <c r="MFF58" s="69"/>
      <c r="MFG58" s="69"/>
      <c r="MFH58" s="69"/>
      <c r="MFI58" s="69"/>
      <c r="MFJ58" s="69"/>
      <c r="MFK58" s="69"/>
      <c r="MFL58" s="69"/>
      <c r="MFM58" s="69"/>
      <c r="MFN58" s="69"/>
      <c r="MFO58" s="69"/>
      <c r="MFP58" s="69"/>
      <c r="MFQ58" s="69"/>
      <c r="MFR58" s="69"/>
      <c r="MFS58" s="69"/>
      <c r="MFT58" s="69"/>
      <c r="MFU58" s="69"/>
      <c r="MFV58" s="69"/>
      <c r="MFW58" s="69"/>
      <c r="MFX58" s="69"/>
      <c r="MFY58" s="69"/>
      <c r="MFZ58" s="69"/>
      <c r="MGA58" s="69"/>
      <c r="MGB58" s="69"/>
      <c r="MGC58" s="69"/>
      <c r="MGD58" s="69"/>
      <c r="MGE58" s="69"/>
      <c r="MGF58" s="69"/>
      <c r="MGG58" s="69"/>
      <c r="MGH58" s="69"/>
      <c r="MGI58" s="69"/>
      <c r="MGJ58" s="69"/>
      <c r="MGK58" s="69"/>
      <c r="MGL58" s="69"/>
      <c r="MGM58" s="69"/>
      <c r="MGN58" s="69"/>
      <c r="MGO58" s="69"/>
      <c r="MGP58" s="69"/>
      <c r="MGQ58" s="69"/>
      <c r="MGR58" s="69"/>
      <c r="MGS58" s="69"/>
      <c r="MGT58" s="69"/>
      <c r="MGU58" s="69"/>
      <c r="MGV58" s="69"/>
      <c r="MGW58" s="69"/>
      <c r="MGX58" s="69"/>
      <c r="MGY58" s="69"/>
      <c r="MGZ58" s="69"/>
      <c r="MHA58" s="69"/>
      <c r="MHB58" s="69"/>
      <c r="MHC58" s="69"/>
      <c r="MHD58" s="69"/>
      <c r="MHE58" s="69"/>
      <c r="MHF58" s="69"/>
      <c r="MHG58" s="69"/>
      <c r="MHH58" s="69"/>
      <c r="MHI58" s="69"/>
      <c r="MHJ58" s="69"/>
      <c r="MHK58" s="69"/>
      <c r="MHL58" s="69"/>
      <c r="MHM58" s="69"/>
      <c r="MHN58" s="69"/>
      <c r="MHO58" s="69"/>
      <c r="MHP58" s="69"/>
      <c r="MHQ58" s="69"/>
      <c r="MHR58" s="69"/>
      <c r="MHS58" s="69"/>
      <c r="MHT58" s="69"/>
      <c r="MHU58" s="69"/>
      <c r="MHV58" s="69"/>
      <c r="MHW58" s="69"/>
      <c r="MHX58" s="69"/>
      <c r="MHY58" s="69"/>
      <c r="MHZ58" s="69"/>
      <c r="MIA58" s="69"/>
      <c r="MIB58" s="69"/>
      <c r="MIC58" s="69"/>
      <c r="MID58" s="69"/>
      <c r="MIE58" s="69"/>
      <c r="MIF58" s="69"/>
      <c r="MIG58" s="69"/>
      <c r="MIH58" s="69"/>
      <c r="MII58" s="69"/>
      <c r="MIJ58" s="69"/>
      <c r="MIK58" s="69"/>
      <c r="MIL58" s="69"/>
      <c r="MIM58" s="69"/>
      <c r="MIN58" s="69"/>
      <c r="MIO58" s="69"/>
      <c r="MIP58" s="69"/>
      <c r="MIQ58" s="69"/>
      <c r="MIR58" s="69"/>
      <c r="MIS58" s="69"/>
      <c r="MIT58" s="69"/>
      <c r="MIU58" s="69"/>
      <c r="MIV58" s="69"/>
      <c r="MIW58" s="69"/>
      <c r="MIX58" s="69"/>
      <c r="MIY58" s="69"/>
      <c r="MIZ58" s="69"/>
      <c r="MJA58" s="69"/>
      <c r="MJB58" s="69"/>
      <c r="MJC58" s="69"/>
      <c r="MJD58" s="69"/>
      <c r="MJE58" s="69"/>
      <c r="MJF58" s="69"/>
      <c r="MJG58" s="69"/>
      <c r="MJH58" s="69"/>
      <c r="MJI58" s="69"/>
      <c r="MJJ58" s="69"/>
      <c r="MJK58" s="69"/>
      <c r="MJL58" s="69"/>
      <c r="MJM58" s="69"/>
      <c r="MJN58" s="69"/>
      <c r="MJO58" s="69"/>
      <c r="MJP58" s="69"/>
      <c r="MJQ58" s="69"/>
      <c r="MJR58" s="69"/>
      <c r="MJS58" s="69"/>
      <c r="MJT58" s="69"/>
      <c r="MJU58" s="69"/>
      <c r="MJV58" s="69"/>
      <c r="MJW58" s="69"/>
      <c r="MJX58" s="69"/>
      <c r="MJY58" s="69"/>
      <c r="MJZ58" s="69"/>
      <c r="MKA58" s="69"/>
      <c r="MKB58" s="69"/>
      <c r="MKC58" s="69"/>
      <c r="MKD58" s="69"/>
      <c r="MKE58" s="69"/>
      <c r="MKF58" s="69"/>
      <c r="MKG58" s="69"/>
      <c r="MKH58" s="69"/>
      <c r="MKI58" s="69"/>
      <c r="MKJ58" s="69"/>
      <c r="MKK58" s="69"/>
      <c r="MKL58" s="69"/>
      <c r="MKM58" s="69"/>
      <c r="MKN58" s="69"/>
      <c r="MKO58" s="69"/>
      <c r="MKP58" s="69"/>
      <c r="MKQ58" s="69"/>
      <c r="MKR58" s="69"/>
      <c r="MKS58" s="69"/>
      <c r="MKT58" s="69"/>
      <c r="MKU58" s="69"/>
      <c r="MKV58" s="69"/>
      <c r="MKW58" s="69"/>
      <c r="MKX58" s="69"/>
      <c r="MKY58" s="69"/>
      <c r="MKZ58" s="69"/>
      <c r="MLA58" s="69"/>
      <c r="MLB58" s="69"/>
      <c r="MLC58" s="69"/>
      <c r="MLD58" s="69"/>
      <c r="MLE58" s="69"/>
      <c r="MLF58" s="69"/>
      <c r="MLG58" s="69"/>
      <c r="MLH58" s="69"/>
      <c r="MLI58" s="69"/>
      <c r="MLJ58" s="69"/>
      <c r="MLK58" s="69"/>
      <c r="MLL58" s="69"/>
      <c r="MLM58" s="69"/>
      <c r="MLN58" s="69"/>
      <c r="MLO58" s="69"/>
      <c r="MLP58" s="69"/>
      <c r="MLQ58" s="69"/>
      <c r="MLR58" s="69"/>
      <c r="MLS58" s="69"/>
      <c r="MLT58" s="69"/>
      <c r="MLU58" s="69"/>
      <c r="MLV58" s="69"/>
      <c r="MLW58" s="69"/>
      <c r="MLX58" s="69"/>
      <c r="MLY58" s="69"/>
      <c r="MLZ58" s="69"/>
      <c r="MMA58" s="69"/>
      <c r="MMB58" s="69"/>
      <c r="MMC58" s="69"/>
      <c r="MMD58" s="69"/>
      <c r="MME58" s="69"/>
      <c r="MMF58" s="69"/>
      <c r="MMG58" s="69"/>
      <c r="MMH58" s="69"/>
      <c r="MMI58" s="69"/>
      <c r="MMJ58" s="69"/>
      <c r="MMK58" s="69"/>
      <c r="MML58" s="69"/>
      <c r="MMM58" s="69"/>
      <c r="MMN58" s="69"/>
      <c r="MMO58" s="69"/>
      <c r="MMP58" s="69"/>
      <c r="MMQ58" s="69"/>
      <c r="MMR58" s="69"/>
      <c r="MMS58" s="69"/>
      <c r="MMT58" s="69"/>
      <c r="MMU58" s="69"/>
      <c r="MMV58" s="69"/>
      <c r="MMW58" s="69"/>
      <c r="MMX58" s="69"/>
      <c r="MMY58" s="69"/>
      <c r="MMZ58" s="69"/>
      <c r="MNA58" s="69"/>
      <c r="MNB58" s="69"/>
      <c r="MNC58" s="69"/>
      <c r="MND58" s="69"/>
      <c r="MNE58" s="69"/>
      <c r="MNF58" s="69"/>
      <c r="MNG58" s="69"/>
      <c r="MNH58" s="69"/>
      <c r="MNI58" s="69"/>
      <c r="MNJ58" s="69"/>
      <c r="MNK58" s="69"/>
      <c r="MNL58" s="69"/>
      <c r="MNM58" s="69"/>
      <c r="MNN58" s="69"/>
      <c r="MNO58" s="69"/>
      <c r="MNP58" s="69"/>
      <c r="MNQ58" s="69"/>
      <c r="MNR58" s="69"/>
      <c r="MNS58" s="69"/>
      <c r="MNT58" s="69"/>
      <c r="MNU58" s="69"/>
      <c r="MNV58" s="69"/>
      <c r="MNW58" s="69"/>
      <c r="MNX58" s="69"/>
      <c r="MNY58" s="69"/>
      <c r="MNZ58" s="69"/>
      <c r="MOA58" s="69"/>
      <c r="MOB58" s="69"/>
      <c r="MOC58" s="69"/>
      <c r="MOD58" s="69"/>
      <c r="MOE58" s="69"/>
      <c r="MOF58" s="69"/>
      <c r="MOG58" s="69"/>
      <c r="MOH58" s="69"/>
      <c r="MOI58" s="69"/>
      <c r="MOJ58" s="69"/>
      <c r="MOK58" s="69"/>
      <c r="MOL58" s="69"/>
      <c r="MOM58" s="69"/>
      <c r="MON58" s="69"/>
      <c r="MOO58" s="69"/>
      <c r="MOP58" s="69"/>
      <c r="MOQ58" s="69"/>
      <c r="MOR58" s="69"/>
      <c r="MOS58" s="69"/>
      <c r="MOT58" s="69"/>
      <c r="MOU58" s="69"/>
      <c r="MOV58" s="69"/>
      <c r="MOW58" s="69"/>
      <c r="MOX58" s="69"/>
      <c r="MOY58" s="69"/>
      <c r="MOZ58" s="69"/>
      <c r="MPA58" s="69"/>
      <c r="MPB58" s="69"/>
      <c r="MPC58" s="69"/>
      <c r="MPD58" s="69"/>
      <c r="MPE58" s="69"/>
      <c r="MPF58" s="69"/>
      <c r="MPG58" s="69"/>
      <c r="MPH58" s="69"/>
      <c r="MPI58" s="69"/>
      <c r="MPJ58" s="69"/>
      <c r="MPK58" s="69"/>
      <c r="MPL58" s="69"/>
      <c r="MPM58" s="69"/>
      <c r="MPN58" s="69"/>
      <c r="MPO58" s="69"/>
      <c r="MPP58" s="69"/>
      <c r="MPQ58" s="69"/>
      <c r="MPR58" s="69"/>
      <c r="MPS58" s="69"/>
      <c r="MPT58" s="69"/>
      <c r="MPU58" s="69"/>
      <c r="MPV58" s="69"/>
      <c r="MPW58" s="69"/>
      <c r="MPX58" s="69"/>
      <c r="MPY58" s="69"/>
      <c r="MPZ58" s="69"/>
      <c r="MQA58" s="69"/>
      <c r="MQB58" s="69"/>
      <c r="MQC58" s="69"/>
      <c r="MQD58" s="69"/>
      <c r="MQE58" s="69"/>
      <c r="MQF58" s="69"/>
      <c r="MQG58" s="69"/>
      <c r="MQH58" s="69"/>
      <c r="MQI58" s="69"/>
      <c r="MQJ58" s="69"/>
      <c r="MQK58" s="69"/>
      <c r="MQL58" s="69"/>
      <c r="MQM58" s="69"/>
      <c r="MQN58" s="69"/>
      <c r="MQO58" s="69"/>
      <c r="MQP58" s="69"/>
      <c r="MQQ58" s="69"/>
      <c r="MQR58" s="69"/>
      <c r="MQS58" s="69"/>
      <c r="MQT58" s="69"/>
      <c r="MQU58" s="69"/>
      <c r="MQV58" s="69"/>
      <c r="MQW58" s="69"/>
      <c r="MQX58" s="69"/>
      <c r="MQY58" s="69"/>
      <c r="MQZ58" s="69"/>
      <c r="MRA58" s="69"/>
      <c r="MRB58" s="69"/>
      <c r="MRC58" s="69"/>
      <c r="MRD58" s="69"/>
      <c r="MRE58" s="69"/>
      <c r="MRF58" s="69"/>
      <c r="MRG58" s="69"/>
      <c r="MRH58" s="69"/>
      <c r="MRI58" s="69"/>
      <c r="MRJ58" s="69"/>
      <c r="MRK58" s="69"/>
      <c r="MRL58" s="69"/>
      <c r="MRM58" s="69"/>
      <c r="MRN58" s="69"/>
      <c r="MRO58" s="69"/>
      <c r="MRP58" s="69"/>
      <c r="MRQ58" s="69"/>
      <c r="MRR58" s="69"/>
      <c r="MRS58" s="69"/>
      <c r="MRT58" s="69"/>
      <c r="MRU58" s="69"/>
      <c r="MRV58" s="69"/>
      <c r="MRW58" s="69"/>
      <c r="MRX58" s="69"/>
      <c r="MRY58" s="69"/>
      <c r="MRZ58" s="69"/>
      <c r="MSA58" s="69"/>
      <c r="MSB58" s="69"/>
      <c r="MSC58" s="69"/>
      <c r="MSD58" s="69"/>
      <c r="MSE58" s="69"/>
      <c r="MSF58" s="69"/>
      <c r="MSG58" s="69"/>
      <c r="MSH58" s="69"/>
      <c r="MSI58" s="69"/>
      <c r="MSJ58" s="69"/>
      <c r="MSK58" s="69"/>
      <c r="MSL58" s="69"/>
      <c r="MSM58" s="69"/>
      <c r="MSN58" s="69"/>
      <c r="MSO58" s="69"/>
      <c r="MSP58" s="69"/>
      <c r="MSQ58" s="69"/>
      <c r="MSR58" s="69"/>
      <c r="MSS58" s="69"/>
      <c r="MST58" s="69"/>
      <c r="MSU58" s="69"/>
      <c r="MSV58" s="69"/>
      <c r="MSW58" s="69"/>
      <c r="MSX58" s="69"/>
      <c r="MSY58" s="69"/>
      <c r="MSZ58" s="69"/>
      <c r="MTA58" s="69"/>
      <c r="MTB58" s="69"/>
      <c r="MTC58" s="69"/>
      <c r="MTD58" s="69"/>
      <c r="MTE58" s="69"/>
      <c r="MTF58" s="69"/>
      <c r="MTG58" s="69"/>
      <c r="MTH58" s="69"/>
      <c r="MTI58" s="69"/>
      <c r="MTJ58" s="69"/>
      <c r="MTK58" s="69"/>
      <c r="MTL58" s="69"/>
      <c r="MTM58" s="69"/>
      <c r="MTN58" s="69"/>
      <c r="MTO58" s="69"/>
      <c r="MTP58" s="69"/>
      <c r="MTQ58" s="69"/>
      <c r="MTR58" s="69"/>
      <c r="MTS58" s="69"/>
      <c r="MTT58" s="69"/>
      <c r="MTU58" s="69"/>
      <c r="MTV58" s="69"/>
      <c r="MTW58" s="69"/>
      <c r="MTX58" s="69"/>
      <c r="MTY58" s="69"/>
      <c r="MTZ58" s="69"/>
      <c r="MUA58" s="69"/>
      <c r="MUB58" s="69"/>
      <c r="MUC58" s="69"/>
      <c r="MUD58" s="69"/>
      <c r="MUE58" s="69"/>
      <c r="MUF58" s="69"/>
      <c r="MUG58" s="69"/>
      <c r="MUH58" s="69"/>
      <c r="MUI58" s="69"/>
      <c r="MUJ58" s="69"/>
      <c r="MUK58" s="69"/>
      <c r="MUL58" s="69"/>
      <c r="MUM58" s="69"/>
      <c r="MUN58" s="69"/>
      <c r="MUO58" s="69"/>
      <c r="MUP58" s="69"/>
      <c r="MUQ58" s="69"/>
      <c r="MUR58" s="69"/>
      <c r="MUS58" s="69"/>
      <c r="MUT58" s="69"/>
      <c r="MUU58" s="69"/>
      <c r="MUV58" s="69"/>
      <c r="MUW58" s="69"/>
      <c r="MUX58" s="69"/>
      <c r="MUY58" s="69"/>
      <c r="MUZ58" s="69"/>
      <c r="MVA58" s="69"/>
      <c r="MVB58" s="69"/>
      <c r="MVC58" s="69"/>
      <c r="MVD58" s="69"/>
      <c r="MVE58" s="69"/>
      <c r="MVF58" s="69"/>
      <c r="MVG58" s="69"/>
      <c r="MVH58" s="69"/>
      <c r="MVI58" s="69"/>
      <c r="MVJ58" s="69"/>
      <c r="MVK58" s="69"/>
      <c r="MVL58" s="69"/>
      <c r="MVM58" s="69"/>
      <c r="MVN58" s="69"/>
      <c r="MVO58" s="69"/>
      <c r="MVP58" s="69"/>
      <c r="MVQ58" s="69"/>
      <c r="MVR58" s="69"/>
      <c r="MVS58" s="69"/>
      <c r="MVT58" s="69"/>
      <c r="MVU58" s="69"/>
      <c r="MVV58" s="69"/>
      <c r="MVW58" s="69"/>
      <c r="MVX58" s="69"/>
      <c r="MVY58" s="69"/>
      <c r="MVZ58" s="69"/>
      <c r="MWA58" s="69"/>
      <c r="MWB58" s="69"/>
      <c r="MWC58" s="69"/>
      <c r="MWD58" s="69"/>
      <c r="MWE58" s="69"/>
      <c r="MWF58" s="69"/>
      <c r="MWG58" s="69"/>
      <c r="MWH58" s="69"/>
      <c r="MWI58" s="69"/>
      <c r="MWJ58" s="69"/>
      <c r="MWK58" s="69"/>
      <c r="MWL58" s="69"/>
      <c r="MWM58" s="69"/>
      <c r="MWN58" s="69"/>
      <c r="MWO58" s="69"/>
      <c r="MWP58" s="69"/>
      <c r="MWQ58" s="69"/>
      <c r="MWR58" s="69"/>
      <c r="MWS58" s="69"/>
      <c r="MWT58" s="69"/>
      <c r="MWU58" s="69"/>
      <c r="MWV58" s="69"/>
      <c r="MWW58" s="69"/>
      <c r="MWX58" s="69"/>
      <c r="MWY58" s="69"/>
      <c r="MWZ58" s="69"/>
      <c r="MXA58" s="69"/>
      <c r="MXB58" s="69"/>
      <c r="MXC58" s="69"/>
      <c r="MXD58" s="69"/>
      <c r="MXE58" s="69"/>
      <c r="MXF58" s="69"/>
      <c r="MXG58" s="69"/>
      <c r="MXH58" s="69"/>
      <c r="MXI58" s="69"/>
      <c r="MXJ58" s="69"/>
      <c r="MXK58" s="69"/>
      <c r="MXL58" s="69"/>
      <c r="MXM58" s="69"/>
      <c r="MXN58" s="69"/>
      <c r="MXO58" s="69"/>
      <c r="MXP58" s="69"/>
      <c r="MXQ58" s="69"/>
      <c r="MXR58" s="69"/>
      <c r="MXS58" s="69"/>
      <c r="MXT58" s="69"/>
      <c r="MXU58" s="69"/>
      <c r="MXV58" s="69"/>
      <c r="MXW58" s="69"/>
      <c r="MXX58" s="69"/>
      <c r="MXY58" s="69"/>
      <c r="MXZ58" s="69"/>
      <c r="MYA58" s="69"/>
      <c r="MYB58" s="69"/>
      <c r="MYC58" s="69"/>
      <c r="MYD58" s="69"/>
      <c r="MYE58" s="69"/>
      <c r="MYF58" s="69"/>
      <c r="MYG58" s="69"/>
      <c r="MYH58" s="69"/>
      <c r="MYI58" s="69"/>
      <c r="MYJ58" s="69"/>
      <c r="MYK58" s="69"/>
      <c r="MYL58" s="69"/>
      <c r="MYM58" s="69"/>
      <c r="MYN58" s="69"/>
      <c r="MYO58" s="69"/>
      <c r="MYP58" s="69"/>
      <c r="MYQ58" s="69"/>
      <c r="MYR58" s="69"/>
      <c r="MYS58" s="69"/>
      <c r="MYT58" s="69"/>
      <c r="MYU58" s="69"/>
      <c r="MYV58" s="69"/>
      <c r="MYW58" s="69"/>
      <c r="MYX58" s="69"/>
      <c r="MYY58" s="69"/>
      <c r="MYZ58" s="69"/>
      <c r="MZA58" s="69"/>
      <c r="MZB58" s="69"/>
      <c r="MZC58" s="69"/>
      <c r="MZD58" s="69"/>
      <c r="MZE58" s="69"/>
      <c r="MZF58" s="69"/>
      <c r="MZG58" s="69"/>
      <c r="MZH58" s="69"/>
      <c r="MZI58" s="69"/>
      <c r="MZJ58" s="69"/>
      <c r="MZK58" s="69"/>
      <c r="MZL58" s="69"/>
      <c r="MZM58" s="69"/>
      <c r="MZN58" s="69"/>
      <c r="MZO58" s="69"/>
      <c r="MZP58" s="69"/>
      <c r="MZQ58" s="69"/>
      <c r="MZR58" s="69"/>
      <c r="MZS58" s="69"/>
      <c r="MZT58" s="69"/>
      <c r="MZU58" s="69"/>
      <c r="MZV58" s="69"/>
      <c r="MZW58" s="69"/>
      <c r="MZX58" s="69"/>
      <c r="MZY58" s="69"/>
      <c r="MZZ58" s="69"/>
      <c r="NAA58" s="69"/>
      <c r="NAB58" s="69"/>
      <c r="NAC58" s="69"/>
      <c r="NAD58" s="69"/>
      <c r="NAE58" s="69"/>
      <c r="NAF58" s="69"/>
      <c r="NAG58" s="69"/>
      <c r="NAH58" s="69"/>
      <c r="NAI58" s="69"/>
      <c r="NAJ58" s="69"/>
      <c r="NAK58" s="69"/>
      <c r="NAL58" s="69"/>
      <c r="NAM58" s="69"/>
      <c r="NAN58" s="69"/>
      <c r="NAO58" s="69"/>
      <c r="NAP58" s="69"/>
      <c r="NAQ58" s="69"/>
      <c r="NAR58" s="69"/>
      <c r="NAS58" s="69"/>
      <c r="NAT58" s="69"/>
      <c r="NAU58" s="69"/>
      <c r="NAV58" s="69"/>
      <c r="NAW58" s="69"/>
      <c r="NAX58" s="69"/>
      <c r="NAY58" s="69"/>
      <c r="NAZ58" s="69"/>
      <c r="NBA58" s="69"/>
      <c r="NBB58" s="69"/>
      <c r="NBC58" s="69"/>
      <c r="NBD58" s="69"/>
      <c r="NBE58" s="69"/>
      <c r="NBF58" s="69"/>
      <c r="NBG58" s="69"/>
      <c r="NBH58" s="69"/>
      <c r="NBI58" s="69"/>
      <c r="NBJ58" s="69"/>
      <c r="NBK58" s="69"/>
      <c r="NBL58" s="69"/>
      <c r="NBM58" s="69"/>
      <c r="NBN58" s="69"/>
      <c r="NBO58" s="69"/>
      <c r="NBP58" s="69"/>
      <c r="NBQ58" s="69"/>
      <c r="NBR58" s="69"/>
      <c r="NBS58" s="69"/>
      <c r="NBT58" s="69"/>
      <c r="NBU58" s="69"/>
      <c r="NBV58" s="69"/>
      <c r="NBW58" s="69"/>
      <c r="NBX58" s="69"/>
      <c r="NBY58" s="69"/>
      <c r="NBZ58" s="69"/>
      <c r="NCA58" s="69"/>
      <c r="NCB58" s="69"/>
      <c r="NCC58" s="69"/>
      <c r="NCD58" s="69"/>
      <c r="NCE58" s="69"/>
      <c r="NCF58" s="69"/>
      <c r="NCG58" s="69"/>
      <c r="NCH58" s="69"/>
      <c r="NCI58" s="69"/>
      <c r="NCJ58" s="69"/>
      <c r="NCK58" s="69"/>
      <c r="NCL58" s="69"/>
      <c r="NCM58" s="69"/>
      <c r="NCN58" s="69"/>
      <c r="NCO58" s="69"/>
      <c r="NCP58" s="69"/>
      <c r="NCQ58" s="69"/>
      <c r="NCR58" s="69"/>
      <c r="NCS58" s="69"/>
      <c r="NCT58" s="69"/>
      <c r="NCU58" s="69"/>
      <c r="NCV58" s="69"/>
      <c r="NCW58" s="69"/>
      <c r="NCX58" s="69"/>
      <c r="NCY58" s="69"/>
      <c r="NCZ58" s="69"/>
      <c r="NDA58" s="69"/>
      <c r="NDB58" s="69"/>
      <c r="NDC58" s="69"/>
      <c r="NDD58" s="69"/>
      <c r="NDE58" s="69"/>
      <c r="NDF58" s="69"/>
      <c r="NDG58" s="69"/>
      <c r="NDH58" s="69"/>
      <c r="NDI58" s="69"/>
      <c r="NDJ58" s="69"/>
      <c r="NDK58" s="69"/>
      <c r="NDL58" s="69"/>
      <c r="NDM58" s="69"/>
      <c r="NDN58" s="69"/>
      <c r="NDO58" s="69"/>
      <c r="NDP58" s="69"/>
      <c r="NDQ58" s="69"/>
      <c r="NDR58" s="69"/>
      <c r="NDS58" s="69"/>
      <c r="NDT58" s="69"/>
      <c r="NDU58" s="69"/>
      <c r="NDV58" s="69"/>
      <c r="NDW58" s="69"/>
      <c r="NDX58" s="69"/>
      <c r="NDY58" s="69"/>
      <c r="NDZ58" s="69"/>
      <c r="NEA58" s="69"/>
      <c r="NEB58" s="69"/>
      <c r="NEC58" s="69"/>
      <c r="NED58" s="69"/>
      <c r="NEE58" s="69"/>
      <c r="NEF58" s="69"/>
      <c r="NEG58" s="69"/>
      <c r="NEH58" s="69"/>
      <c r="NEI58" s="69"/>
      <c r="NEJ58" s="69"/>
      <c r="NEK58" s="69"/>
      <c r="NEL58" s="69"/>
      <c r="NEM58" s="69"/>
      <c r="NEN58" s="69"/>
      <c r="NEO58" s="69"/>
      <c r="NEP58" s="69"/>
      <c r="NEQ58" s="69"/>
      <c r="NER58" s="69"/>
      <c r="NES58" s="69"/>
      <c r="NET58" s="69"/>
      <c r="NEU58" s="69"/>
      <c r="NEV58" s="69"/>
      <c r="NEW58" s="69"/>
      <c r="NEX58" s="69"/>
      <c r="NEY58" s="69"/>
      <c r="NEZ58" s="69"/>
      <c r="NFA58" s="69"/>
      <c r="NFB58" s="69"/>
      <c r="NFC58" s="69"/>
      <c r="NFD58" s="69"/>
      <c r="NFE58" s="69"/>
      <c r="NFF58" s="69"/>
      <c r="NFG58" s="69"/>
      <c r="NFH58" s="69"/>
      <c r="NFI58" s="69"/>
      <c r="NFJ58" s="69"/>
      <c r="NFK58" s="69"/>
      <c r="NFL58" s="69"/>
      <c r="NFM58" s="69"/>
      <c r="NFN58" s="69"/>
      <c r="NFO58" s="69"/>
      <c r="NFP58" s="69"/>
      <c r="NFQ58" s="69"/>
      <c r="NFR58" s="69"/>
      <c r="NFS58" s="69"/>
      <c r="NFT58" s="69"/>
      <c r="NFU58" s="69"/>
      <c r="NFV58" s="69"/>
      <c r="NFW58" s="69"/>
      <c r="NFX58" s="69"/>
      <c r="NFY58" s="69"/>
      <c r="NFZ58" s="69"/>
      <c r="NGA58" s="69"/>
      <c r="NGB58" s="69"/>
      <c r="NGC58" s="69"/>
      <c r="NGD58" s="69"/>
      <c r="NGE58" s="69"/>
      <c r="NGF58" s="69"/>
      <c r="NGG58" s="69"/>
      <c r="NGH58" s="69"/>
      <c r="NGI58" s="69"/>
      <c r="NGJ58" s="69"/>
      <c r="NGK58" s="69"/>
      <c r="NGL58" s="69"/>
      <c r="NGM58" s="69"/>
      <c r="NGN58" s="69"/>
      <c r="NGO58" s="69"/>
      <c r="NGP58" s="69"/>
      <c r="NGQ58" s="69"/>
      <c r="NGR58" s="69"/>
      <c r="NGS58" s="69"/>
      <c r="NGT58" s="69"/>
      <c r="NGU58" s="69"/>
      <c r="NGV58" s="69"/>
      <c r="NGW58" s="69"/>
      <c r="NGX58" s="69"/>
      <c r="NGY58" s="69"/>
      <c r="NGZ58" s="69"/>
      <c r="NHA58" s="69"/>
      <c r="NHB58" s="69"/>
      <c r="NHC58" s="69"/>
      <c r="NHD58" s="69"/>
      <c r="NHE58" s="69"/>
      <c r="NHF58" s="69"/>
      <c r="NHG58" s="69"/>
      <c r="NHH58" s="69"/>
      <c r="NHI58" s="69"/>
      <c r="NHJ58" s="69"/>
      <c r="NHK58" s="69"/>
      <c r="NHL58" s="69"/>
      <c r="NHM58" s="69"/>
      <c r="NHN58" s="69"/>
      <c r="NHO58" s="69"/>
      <c r="NHP58" s="69"/>
      <c r="NHQ58" s="69"/>
      <c r="NHR58" s="69"/>
      <c r="NHS58" s="69"/>
      <c r="NHT58" s="69"/>
      <c r="NHU58" s="69"/>
      <c r="NHV58" s="69"/>
      <c r="NHW58" s="69"/>
      <c r="NHX58" s="69"/>
      <c r="NHY58" s="69"/>
      <c r="NHZ58" s="69"/>
      <c r="NIA58" s="69"/>
      <c r="NIB58" s="69"/>
      <c r="NIC58" s="69"/>
      <c r="NID58" s="69"/>
      <c r="NIE58" s="69"/>
      <c r="NIF58" s="69"/>
      <c r="NIG58" s="69"/>
      <c r="NIH58" s="69"/>
      <c r="NII58" s="69"/>
      <c r="NIJ58" s="69"/>
      <c r="NIK58" s="69"/>
      <c r="NIL58" s="69"/>
      <c r="NIM58" s="69"/>
      <c r="NIN58" s="69"/>
      <c r="NIO58" s="69"/>
      <c r="NIP58" s="69"/>
      <c r="NIQ58" s="69"/>
      <c r="NIR58" s="69"/>
      <c r="NIS58" s="69"/>
      <c r="NIT58" s="69"/>
      <c r="NIU58" s="69"/>
      <c r="NIV58" s="69"/>
      <c r="NIW58" s="69"/>
      <c r="NIX58" s="69"/>
      <c r="NIY58" s="69"/>
      <c r="NIZ58" s="69"/>
      <c r="NJA58" s="69"/>
      <c r="NJB58" s="69"/>
      <c r="NJC58" s="69"/>
      <c r="NJD58" s="69"/>
      <c r="NJE58" s="69"/>
      <c r="NJF58" s="69"/>
      <c r="NJG58" s="69"/>
      <c r="NJH58" s="69"/>
      <c r="NJI58" s="69"/>
      <c r="NJJ58" s="69"/>
      <c r="NJK58" s="69"/>
      <c r="NJL58" s="69"/>
      <c r="NJM58" s="69"/>
      <c r="NJN58" s="69"/>
      <c r="NJO58" s="69"/>
      <c r="NJP58" s="69"/>
      <c r="NJQ58" s="69"/>
      <c r="NJR58" s="69"/>
      <c r="NJS58" s="69"/>
      <c r="NJT58" s="69"/>
      <c r="NJU58" s="69"/>
      <c r="NJV58" s="69"/>
      <c r="NJW58" s="69"/>
      <c r="NJX58" s="69"/>
      <c r="NJY58" s="69"/>
      <c r="NJZ58" s="69"/>
      <c r="NKA58" s="69"/>
      <c r="NKB58" s="69"/>
      <c r="NKC58" s="69"/>
      <c r="NKD58" s="69"/>
      <c r="NKE58" s="69"/>
      <c r="NKF58" s="69"/>
      <c r="NKG58" s="69"/>
      <c r="NKH58" s="69"/>
      <c r="NKI58" s="69"/>
      <c r="NKJ58" s="69"/>
      <c r="NKK58" s="69"/>
      <c r="NKL58" s="69"/>
      <c r="NKM58" s="69"/>
      <c r="NKN58" s="69"/>
      <c r="NKO58" s="69"/>
      <c r="NKP58" s="69"/>
      <c r="NKQ58" s="69"/>
      <c r="NKR58" s="69"/>
      <c r="NKS58" s="69"/>
      <c r="NKT58" s="69"/>
      <c r="NKU58" s="69"/>
      <c r="NKV58" s="69"/>
      <c r="NKW58" s="69"/>
      <c r="NKX58" s="69"/>
      <c r="NKY58" s="69"/>
      <c r="NKZ58" s="69"/>
      <c r="NLA58" s="69"/>
      <c r="NLB58" s="69"/>
      <c r="NLC58" s="69"/>
      <c r="NLD58" s="69"/>
      <c r="NLE58" s="69"/>
      <c r="NLF58" s="69"/>
      <c r="NLG58" s="69"/>
      <c r="NLH58" s="69"/>
      <c r="NLI58" s="69"/>
      <c r="NLJ58" s="69"/>
      <c r="NLK58" s="69"/>
      <c r="NLL58" s="69"/>
      <c r="NLM58" s="69"/>
      <c r="NLN58" s="69"/>
      <c r="NLO58" s="69"/>
      <c r="NLP58" s="69"/>
      <c r="NLQ58" s="69"/>
      <c r="NLR58" s="69"/>
      <c r="NLS58" s="69"/>
      <c r="NLT58" s="69"/>
      <c r="NLU58" s="69"/>
      <c r="NLV58" s="69"/>
      <c r="NLW58" s="69"/>
      <c r="NLX58" s="69"/>
      <c r="NLY58" s="69"/>
      <c r="NLZ58" s="69"/>
      <c r="NMA58" s="69"/>
      <c r="NMB58" s="69"/>
      <c r="NMC58" s="69"/>
      <c r="NMD58" s="69"/>
      <c r="NME58" s="69"/>
      <c r="NMF58" s="69"/>
      <c r="NMG58" s="69"/>
      <c r="NMH58" s="69"/>
      <c r="NMI58" s="69"/>
      <c r="NMJ58" s="69"/>
      <c r="NMK58" s="69"/>
      <c r="NML58" s="69"/>
      <c r="NMM58" s="69"/>
      <c r="NMN58" s="69"/>
      <c r="NMO58" s="69"/>
      <c r="NMP58" s="69"/>
      <c r="NMQ58" s="69"/>
      <c r="NMR58" s="69"/>
      <c r="NMS58" s="69"/>
      <c r="NMT58" s="69"/>
      <c r="NMU58" s="69"/>
      <c r="NMV58" s="69"/>
      <c r="NMW58" s="69"/>
      <c r="NMX58" s="69"/>
      <c r="NMY58" s="69"/>
      <c r="NMZ58" s="69"/>
      <c r="NNA58" s="69"/>
      <c r="NNB58" s="69"/>
      <c r="NNC58" s="69"/>
      <c r="NND58" s="69"/>
      <c r="NNE58" s="69"/>
      <c r="NNF58" s="69"/>
      <c r="NNG58" s="69"/>
      <c r="NNH58" s="69"/>
      <c r="NNI58" s="69"/>
      <c r="NNJ58" s="69"/>
      <c r="NNK58" s="69"/>
      <c r="NNL58" s="69"/>
      <c r="NNM58" s="69"/>
      <c r="NNN58" s="69"/>
      <c r="NNO58" s="69"/>
      <c r="NNP58" s="69"/>
      <c r="NNQ58" s="69"/>
      <c r="NNR58" s="69"/>
      <c r="NNS58" s="69"/>
      <c r="NNT58" s="69"/>
      <c r="NNU58" s="69"/>
      <c r="NNV58" s="69"/>
      <c r="NNW58" s="69"/>
      <c r="NNX58" s="69"/>
      <c r="NNY58" s="69"/>
      <c r="NNZ58" s="69"/>
      <c r="NOA58" s="69"/>
      <c r="NOB58" s="69"/>
      <c r="NOC58" s="69"/>
      <c r="NOD58" s="69"/>
      <c r="NOE58" s="69"/>
      <c r="NOF58" s="69"/>
      <c r="NOG58" s="69"/>
      <c r="NOH58" s="69"/>
      <c r="NOI58" s="69"/>
      <c r="NOJ58" s="69"/>
      <c r="NOK58" s="69"/>
      <c r="NOL58" s="69"/>
      <c r="NOM58" s="69"/>
      <c r="NON58" s="69"/>
      <c r="NOO58" s="69"/>
      <c r="NOP58" s="69"/>
      <c r="NOQ58" s="69"/>
      <c r="NOR58" s="69"/>
      <c r="NOS58" s="69"/>
      <c r="NOT58" s="69"/>
      <c r="NOU58" s="69"/>
      <c r="NOV58" s="69"/>
      <c r="NOW58" s="69"/>
      <c r="NOX58" s="69"/>
      <c r="NOY58" s="69"/>
      <c r="NOZ58" s="69"/>
      <c r="NPA58" s="69"/>
      <c r="NPB58" s="69"/>
      <c r="NPC58" s="69"/>
      <c r="NPD58" s="69"/>
      <c r="NPE58" s="69"/>
      <c r="NPF58" s="69"/>
      <c r="NPG58" s="69"/>
      <c r="NPH58" s="69"/>
      <c r="NPI58" s="69"/>
      <c r="NPJ58" s="69"/>
      <c r="NPK58" s="69"/>
      <c r="NPL58" s="69"/>
      <c r="NPM58" s="69"/>
      <c r="NPN58" s="69"/>
      <c r="NPO58" s="69"/>
      <c r="NPP58" s="69"/>
      <c r="NPQ58" s="69"/>
      <c r="NPR58" s="69"/>
      <c r="NPS58" s="69"/>
      <c r="NPT58" s="69"/>
      <c r="NPU58" s="69"/>
      <c r="NPV58" s="69"/>
      <c r="NPW58" s="69"/>
      <c r="NPX58" s="69"/>
      <c r="NPY58" s="69"/>
      <c r="NPZ58" s="69"/>
      <c r="NQA58" s="69"/>
      <c r="NQB58" s="69"/>
      <c r="NQC58" s="69"/>
      <c r="NQD58" s="69"/>
      <c r="NQE58" s="69"/>
      <c r="NQF58" s="69"/>
      <c r="NQG58" s="69"/>
      <c r="NQH58" s="69"/>
      <c r="NQI58" s="69"/>
      <c r="NQJ58" s="69"/>
      <c r="NQK58" s="69"/>
      <c r="NQL58" s="69"/>
      <c r="NQM58" s="69"/>
      <c r="NQN58" s="69"/>
      <c r="NQO58" s="69"/>
      <c r="NQP58" s="69"/>
      <c r="NQQ58" s="69"/>
      <c r="NQR58" s="69"/>
      <c r="NQS58" s="69"/>
      <c r="NQT58" s="69"/>
      <c r="NQU58" s="69"/>
      <c r="NQV58" s="69"/>
      <c r="NQW58" s="69"/>
      <c r="NQX58" s="69"/>
      <c r="NQY58" s="69"/>
      <c r="NQZ58" s="69"/>
      <c r="NRA58" s="69"/>
      <c r="NRB58" s="69"/>
      <c r="NRC58" s="69"/>
      <c r="NRD58" s="69"/>
      <c r="NRE58" s="69"/>
      <c r="NRF58" s="69"/>
      <c r="NRG58" s="69"/>
      <c r="NRH58" s="69"/>
      <c r="NRI58" s="69"/>
      <c r="NRJ58" s="69"/>
      <c r="NRK58" s="69"/>
      <c r="NRL58" s="69"/>
      <c r="NRM58" s="69"/>
      <c r="NRN58" s="69"/>
      <c r="NRO58" s="69"/>
      <c r="NRP58" s="69"/>
      <c r="NRQ58" s="69"/>
      <c r="NRR58" s="69"/>
      <c r="NRS58" s="69"/>
      <c r="NRT58" s="69"/>
      <c r="NRU58" s="69"/>
      <c r="NRV58" s="69"/>
      <c r="NRW58" s="69"/>
      <c r="NRX58" s="69"/>
      <c r="NRY58" s="69"/>
      <c r="NRZ58" s="69"/>
      <c r="NSA58" s="69"/>
      <c r="NSB58" s="69"/>
      <c r="NSC58" s="69"/>
      <c r="NSD58" s="69"/>
      <c r="NSE58" s="69"/>
      <c r="NSF58" s="69"/>
      <c r="NSG58" s="69"/>
      <c r="NSH58" s="69"/>
      <c r="NSI58" s="69"/>
      <c r="NSJ58" s="69"/>
      <c r="NSK58" s="69"/>
      <c r="NSL58" s="69"/>
      <c r="NSM58" s="69"/>
      <c r="NSN58" s="69"/>
      <c r="NSO58" s="69"/>
      <c r="NSP58" s="69"/>
      <c r="NSQ58" s="69"/>
      <c r="NSR58" s="69"/>
      <c r="NSS58" s="69"/>
      <c r="NST58" s="69"/>
      <c r="NSU58" s="69"/>
      <c r="NSV58" s="69"/>
      <c r="NSW58" s="69"/>
      <c r="NSX58" s="69"/>
      <c r="NSY58" s="69"/>
      <c r="NSZ58" s="69"/>
      <c r="NTA58" s="69"/>
      <c r="NTB58" s="69"/>
      <c r="NTC58" s="69"/>
      <c r="NTD58" s="69"/>
      <c r="NTE58" s="69"/>
      <c r="NTF58" s="69"/>
      <c r="NTG58" s="69"/>
      <c r="NTH58" s="69"/>
      <c r="NTI58" s="69"/>
      <c r="NTJ58" s="69"/>
      <c r="NTK58" s="69"/>
      <c r="NTL58" s="69"/>
      <c r="NTM58" s="69"/>
      <c r="NTN58" s="69"/>
      <c r="NTO58" s="69"/>
      <c r="NTP58" s="69"/>
      <c r="NTQ58" s="69"/>
      <c r="NTR58" s="69"/>
      <c r="NTS58" s="69"/>
      <c r="NTT58" s="69"/>
      <c r="NTU58" s="69"/>
      <c r="NTV58" s="69"/>
      <c r="NTW58" s="69"/>
      <c r="NTX58" s="69"/>
      <c r="NTY58" s="69"/>
      <c r="NTZ58" s="69"/>
      <c r="NUA58" s="69"/>
      <c r="NUB58" s="69"/>
      <c r="NUC58" s="69"/>
      <c r="NUD58" s="69"/>
      <c r="NUE58" s="69"/>
      <c r="NUF58" s="69"/>
      <c r="NUG58" s="69"/>
      <c r="NUH58" s="69"/>
      <c r="NUI58" s="69"/>
      <c r="NUJ58" s="69"/>
      <c r="NUK58" s="69"/>
      <c r="NUL58" s="69"/>
      <c r="NUM58" s="69"/>
      <c r="NUN58" s="69"/>
      <c r="NUO58" s="69"/>
      <c r="NUP58" s="69"/>
      <c r="NUQ58" s="69"/>
      <c r="NUR58" s="69"/>
      <c r="NUS58" s="69"/>
      <c r="NUT58" s="69"/>
      <c r="NUU58" s="69"/>
      <c r="NUV58" s="69"/>
      <c r="NUW58" s="69"/>
      <c r="NUX58" s="69"/>
      <c r="NUY58" s="69"/>
      <c r="NUZ58" s="69"/>
      <c r="NVA58" s="69"/>
      <c r="NVB58" s="69"/>
      <c r="NVC58" s="69"/>
      <c r="NVD58" s="69"/>
      <c r="NVE58" s="69"/>
      <c r="NVF58" s="69"/>
      <c r="NVG58" s="69"/>
      <c r="NVH58" s="69"/>
      <c r="NVI58" s="69"/>
      <c r="NVJ58" s="69"/>
      <c r="NVK58" s="69"/>
      <c r="NVL58" s="69"/>
      <c r="NVM58" s="69"/>
      <c r="NVN58" s="69"/>
      <c r="NVO58" s="69"/>
      <c r="NVP58" s="69"/>
      <c r="NVQ58" s="69"/>
      <c r="NVR58" s="69"/>
      <c r="NVS58" s="69"/>
      <c r="NVT58" s="69"/>
      <c r="NVU58" s="69"/>
      <c r="NVV58" s="69"/>
      <c r="NVW58" s="69"/>
      <c r="NVX58" s="69"/>
      <c r="NVY58" s="69"/>
      <c r="NVZ58" s="69"/>
      <c r="NWA58" s="69"/>
      <c r="NWB58" s="69"/>
      <c r="NWC58" s="69"/>
      <c r="NWD58" s="69"/>
      <c r="NWE58" s="69"/>
      <c r="NWF58" s="69"/>
      <c r="NWG58" s="69"/>
      <c r="NWH58" s="69"/>
      <c r="NWI58" s="69"/>
      <c r="NWJ58" s="69"/>
      <c r="NWK58" s="69"/>
      <c r="NWL58" s="69"/>
      <c r="NWM58" s="69"/>
      <c r="NWN58" s="69"/>
      <c r="NWO58" s="69"/>
      <c r="NWP58" s="69"/>
      <c r="NWQ58" s="69"/>
      <c r="NWR58" s="69"/>
      <c r="NWS58" s="69"/>
      <c r="NWT58" s="69"/>
      <c r="NWU58" s="69"/>
      <c r="NWV58" s="69"/>
      <c r="NWW58" s="69"/>
      <c r="NWX58" s="69"/>
      <c r="NWY58" s="69"/>
      <c r="NWZ58" s="69"/>
      <c r="NXA58" s="69"/>
      <c r="NXB58" s="69"/>
      <c r="NXC58" s="69"/>
      <c r="NXD58" s="69"/>
      <c r="NXE58" s="69"/>
      <c r="NXF58" s="69"/>
      <c r="NXG58" s="69"/>
      <c r="NXH58" s="69"/>
      <c r="NXI58" s="69"/>
      <c r="NXJ58" s="69"/>
      <c r="NXK58" s="69"/>
      <c r="NXL58" s="69"/>
      <c r="NXM58" s="69"/>
      <c r="NXN58" s="69"/>
      <c r="NXO58" s="69"/>
      <c r="NXP58" s="69"/>
      <c r="NXQ58" s="69"/>
      <c r="NXR58" s="69"/>
      <c r="NXS58" s="69"/>
      <c r="NXT58" s="69"/>
      <c r="NXU58" s="69"/>
      <c r="NXV58" s="69"/>
      <c r="NXW58" s="69"/>
      <c r="NXX58" s="69"/>
      <c r="NXY58" s="69"/>
      <c r="NXZ58" s="69"/>
      <c r="NYA58" s="69"/>
      <c r="NYB58" s="69"/>
      <c r="NYC58" s="69"/>
      <c r="NYD58" s="69"/>
      <c r="NYE58" s="69"/>
      <c r="NYF58" s="69"/>
      <c r="NYG58" s="69"/>
      <c r="NYH58" s="69"/>
      <c r="NYI58" s="69"/>
      <c r="NYJ58" s="69"/>
      <c r="NYK58" s="69"/>
      <c r="NYL58" s="69"/>
      <c r="NYM58" s="69"/>
      <c r="NYN58" s="69"/>
      <c r="NYO58" s="69"/>
      <c r="NYP58" s="69"/>
      <c r="NYQ58" s="69"/>
      <c r="NYR58" s="69"/>
      <c r="NYS58" s="69"/>
      <c r="NYT58" s="69"/>
      <c r="NYU58" s="69"/>
      <c r="NYV58" s="69"/>
      <c r="NYW58" s="69"/>
      <c r="NYX58" s="69"/>
      <c r="NYY58" s="69"/>
      <c r="NYZ58" s="69"/>
      <c r="NZA58" s="69"/>
      <c r="NZB58" s="69"/>
      <c r="NZC58" s="69"/>
      <c r="NZD58" s="69"/>
      <c r="NZE58" s="69"/>
      <c r="NZF58" s="69"/>
      <c r="NZG58" s="69"/>
      <c r="NZH58" s="69"/>
      <c r="NZI58" s="69"/>
      <c r="NZJ58" s="69"/>
      <c r="NZK58" s="69"/>
      <c r="NZL58" s="69"/>
      <c r="NZM58" s="69"/>
      <c r="NZN58" s="69"/>
      <c r="NZO58" s="69"/>
      <c r="NZP58" s="69"/>
      <c r="NZQ58" s="69"/>
      <c r="NZR58" s="69"/>
      <c r="NZS58" s="69"/>
      <c r="NZT58" s="69"/>
      <c r="NZU58" s="69"/>
      <c r="NZV58" s="69"/>
      <c r="NZW58" s="69"/>
      <c r="NZX58" s="69"/>
      <c r="NZY58" s="69"/>
      <c r="NZZ58" s="69"/>
      <c r="OAA58" s="69"/>
      <c r="OAB58" s="69"/>
      <c r="OAC58" s="69"/>
      <c r="OAD58" s="69"/>
      <c r="OAE58" s="69"/>
      <c r="OAF58" s="69"/>
      <c r="OAG58" s="69"/>
      <c r="OAH58" s="69"/>
      <c r="OAI58" s="69"/>
      <c r="OAJ58" s="69"/>
      <c r="OAK58" s="69"/>
      <c r="OAL58" s="69"/>
      <c r="OAM58" s="69"/>
      <c r="OAN58" s="69"/>
      <c r="OAO58" s="69"/>
      <c r="OAP58" s="69"/>
      <c r="OAQ58" s="69"/>
      <c r="OAR58" s="69"/>
      <c r="OAS58" s="69"/>
      <c r="OAT58" s="69"/>
      <c r="OAU58" s="69"/>
      <c r="OAV58" s="69"/>
      <c r="OAW58" s="69"/>
      <c r="OAX58" s="69"/>
      <c r="OAY58" s="69"/>
      <c r="OAZ58" s="69"/>
      <c r="OBA58" s="69"/>
      <c r="OBB58" s="69"/>
      <c r="OBC58" s="69"/>
      <c r="OBD58" s="69"/>
      <c r="OBE58" s="69"/>
      <c r="OBF58" s="69"/>
      <c r="OBG58" s="69"/>
      <c r="OBH58" s="69"/>
      <c r="OBI58" s="69"/>
      <c r="OBJ58" s="69"/>
      <c r="OBK58" s="69"/>
      <c r="OBL58" s="69"/>
      <c r="OBM58" s="69"/>
      <c r="OBN58" s="69"/>
      <c r="OBO58" s="69"/>
      <c r="OBP58" s="69"/>
      <c r="OBQ58" s="69"/>
      <c r="OBR58" s="69"/>
      <c r="OBS58" s="69"/>
      <c r="OBT58" s="69"/>
      <c r="OBU58" s="69"/>
      <c r="OBV58" s="69"/>
      <c r="OBW58" s="69"/>
      <c r="OBX58" s="69"/>
      <c r="OBY58" s="69"/>
      <c r="OBZ58" s="69"/>
      <c r="OCA58" s="69"/>
      <c r="OCB58" s="69"/>
      <c r="OCC58" s="69"/>
      <c r="OCD58" s="69"/>
      <c r="OCE58" s="69"/>
      <c r="OCF58" s="69"/>
      <c r="OCG58" s="69"/>
      <c r="OCH58" s="69"/>
      <c r="OCI58" s="69"/>
      <c r="OCJ58" s="69"/>
      <c r="OCK58" s="69"/>
      <c r="OCL58" s="69"/>
      <c r="OCM58" s="69"/>
      <c r="OCN58" s="69"/>
      <c r="OCO58" s="69"/>
      <c r="OCP58" s="69"/>
      <c r="OCQ58" s="69"/>
      <c r="OCR58" s="69"/>
      <c r="OCS58" s="69"/>
      <c r="OCT58" s="69"/>
      <c r="OCU58" s="69"/>
      <c r="OCV58" s="69"/>
      <c r="OCW58" s="69"/>
      <c r="OCX58" s="69"/>
      <c r="OCY58" s="69"/>
      <c r="OCZ58" s="69"/>
      <c r="ODA58" s="69"/>
      <c r="ODB58" s="69"/>
      <c r="ODC58" s="69"/>
      <c r="ODD58" s="69"/>
      <c r="ODE58" s="69"/>
      <c r="ODF58" s="69"/>
      <c r="ODG58" s="69"/>
      <c r="ODH58" s="69"/>
      <c r="ODI58" s="69"/>
      <c r="ODJ58" s="69"/>
      <c r="ODK58" s="69"/>
      <c r="ODL58" s="69"/>
      <c r="ODM58" s="69"/>
      <c r="ODN58" s="69"/>
      <c r="ODO58" s="69"/>
      <c r="ODP58" s="69"/>
      <c r="ODQ58" s="69"/>
      <c r="ODR58" s="69"/>
      <c r="ODS58" s="69"/>
      <c r="ODT58" s="69"/>
      <c r="ODU58" s="69"/>
      <c r="ODV58" s="69"/>
      <c r="ODW58" s="69"/>
      <c r="ODX58" s="69"/>
      <c r="ODY58" s="69"/>
      <c r="ODZ58" s="69"/>
      <c r="OEA58" s="69"/>
      <c r="OEB58" s="69"/>
      <c r="OEC58" s="69"/>
      <c r="OED58" s="69"/>
      <c r="OEE58" s="69"/>
      <c r="OEF58" s="69"/>
      <c r="OEG58" s="69"/>
      <c r="OEH58" s="69"/>
      <c r="OEI58" s="69"/>
      <c r="OEJ58" s="69"/>
      <c r="OEK58" s="69"/>
      <c r="OEL58" s="69"/>
      <c r="OEM58" s="69"/>
      <c r="OEN58" s="69"/>
      <c r="OEO58" s="69"/>
      <c r="OEP58" s="69"/>
      <c r="OEQ58" s="69"/>
      <c r="OER58" s="69"/>
      <c r="OES58" s="69"/>
      <c r="OET58" s="69"/>
      <c r="OEU58" s="69"/>
      <c r="OEV58" s="69"/>
      <c r="OEW58" s="69"/>
      <c r="OEX58" s="69"/>
      <c r="OEY58" s="69"/>
      <c r="OEZ58" s="69"/>
      <c r="OFA58" s="69"/>
      <c r="OFB58" s="69"/>
      <c r="OFC58" s="69"/>
      <c r="OFD58" s="69"/>
      <c r="OFE58" s="69"/>
      <c r="OFF58" s="69"/>
      <c r="OFG58" s="69"/>
      <c r="OFH58" s="69"/>
      <c r="OFI58" s="69"/>
      <c r="OFJ58" s="69"/>
      <c r="OFK58" s="69"/>
      <c r="OFL58" s="69"/>
      <c r="OFM58" s="69"/>
      <c r="OFN58" s="69"/>
      <c r="OFO58" s="69"/>
      <c r="OFP58" s="69"/>
      <c r="OFQ58" s="69"/>
      <c r="OFR58" s="69"/>
      <c r="OFS58" s="69"/>
      <c r="OFT58" s="69"/>
      <c r="OFU58" s="69"/>
      <c r="OFV58" s="69"/>
      <c r="OFW58" s="69"/>
      <c r="OFX58" s="69"/>
      <c r="OFY58" s="69"/>
      <c r="OFZ58" s="69"/>
      <c r="OGA58" s="69"/>
      <c r="OGB58" s="69"/>
      <c r="OGC58" s="69"/>
      <c r="OGD58" s="69"/>
      <c r="OGE58" s="69"/>
      <c r="OGF58" s="69"/>
      <c r="OGG58" s="69"/>
      <c r="OGH58" s="69"/>
      <c r="OGI58" s="69"/>
      <c r="OGJ58" s="69"/>
      <c r="OGK58" s="69"/>
      <c r="OGL58" s="69"/>
      <c r="OGM58" s="69"/>
      <c r="OGN58" s="69"/>
      <c r="OGO58" s="69"/>
      <c r="OGP58" s="69"/>
      <c r="OGQ58" s="69"/>
      <c r="OGR58" s="69"/>
      <c r="OGS58" s="69"/>
      <c r="OGT58" s="69"/>
      <c r="OGU58" s="69"/>
      <c r="OGV58" s="69"/>
      <c r="OGW58" s="69"/>
      <c r="OGX58" s="69"/>
      <c r="OGY58" s="69"/>
      <c r="OGZ58" s="69"/>
      <c r="OHA58" s="69"/>
      <c r="OHB58" s="69"/>
      <c r="OHC58" s="69"/>
      <c r="OHD58" s="69"/>
      <c r="OHE58" s="69"/>
      <c r="OHF58" s="69"/>
      <c r="OHG58" s="69"/>
      <c r="OHH58" s="69"/>
      <c r="OHI58" s="69"/>
      <c r="OHJ58" s="69"/>
      <c r="OHK58" s="69"/>
      <c r="OHL58" s="69"/>
      <c r="OHM58" s="69"/>
      <c r="OHN58" s="69"/>
      <c r="OHO58" s="69"/>
      <c r="OHP58" s="69"/>
      <c r="OHQ58" s="69"/>
      <c r="OHR58" s="69"/>
      <c r="OHS58" s="69"/>
      <c r="OHT58" s="69"/>
      <c r="OHU58" s="69"/>
      <c r="OHV58" s="69"/>
      <c r="OHW58" s="69"/>
      <c r="OHX58" s="69"/>
      <c r="OHY58" s="69"/>
      <c r="OHZ58" s="69"/>
      <c r="OIA58" s="69"/>
      <c r="OIB58" s="69"/>
      <c r="OIC58" s="69"/>
      <c r="OID58" s="69"/>
      <c r="OIE58" s="69"/>
      <c r="OIF58" s="69"/>
      <c r="OIG58" s="69"/>
      <c r="OIH58" s="69"/>
      <c r="OII58" s="69"/>
      <c r="OIJ58" s="69"/>
      <c r="OIK58" s="69"/>
      <c r="OIL58" s="69"/>
      <c r="OIM58" s="69"/>
      <c r="OIN58" s="69"/>
      <c r="OIO58" s="69"/>
      <c r="OIP58" s="69"/>
      <c r="OIQ58" s="69"/>
      <c r="OIR58" s="69"/>
      <c r="OIS58" s="69"/>
      <c r="OIT58" s="69"/>
      <c r="OIU58" s="69"/>
      <c r="OIV58" s="69"/>
      <c r="OIW58" s="69"/>
      <c r="OIX58" s="69"/>
      <c r="OIY58" s="69"/>
      <c r="OIZ58" s="69"/>
      <c r="OJA58" s="69"/>
      <c r="OJB58" s="69"/>
      <c r="OJC58" s="69"/>
      <c r="OJD58" s="69"/>
      <c r="OJE58" s="69"/>
      <c r="OJF58" s="69"/>
      <c r="OJG58" s="69"/>
      <c r="OJH58" s="69"/>
      <c r="OJI58" s="69"/>
      <c r="OJJ58" s="69"/>
      <c r="OJK58" s="69"/>
      <c r="OJL58" s="69"/>
      <c r="OJM58" s="69"/>
      <c r="OJN58" s="69"/>
      <c r="OJO58" s="69"/>
      <c r="OJP58" s="69"/>
      <c r="OJQ58" s="69"/>
      <c r="OJR58" s="69"/>
      <c r="OJS58" s="69"/>
      <c r="OJT58" s="69"/>
      <c r="OJU58" s="69"/>
      <c r="OJV58" s="69"/>
      <c r="OJW58" s="69"/>
      <c r="OJX58" s="69"/>
      <c r="OJY58" s="69"/>
      <c r="OJZ58" s="69"/>
      <c r="OKA58" s="69"/>
      <c r="OKB58" s="69"/>
      <c r="OKC58" s="69"/>
      <c r="OKD58" s="69"/>
      <c r="OKE58" s="69"/>
      <c r="OKF58" s="69"/>
      <c r="OKG58" s="69"/>
      <c r="OKH58" s="69"/>
      <c r="OKI58" s="69"/>
      <c r="OKJ58" s="69"/>
      <c r="OKK58" s="69"/>
      <c r="OKL58" s="69"/>
      <c r="OKM58" s="69"/>
      <c r="OKN58" s="69"/>
      <c r="OKO58" s="69"/>
      <c r="OKP58" s="69"/>
      <c r="OKQ58" s="69"/>
      <c r="OKR58" s="69"/>
      <c r="OKS58" s="69"/>
      <c r="OKT58" s="69"/>
      <c r="OKU58" s="69"/>
      <c r="OKV58" s="69"/>
      <c r="OKW58" s="69"/>
      <c r="OKX58" s="69"/>
      <c r="OKY58" s="69"/>
      <c r="OKZ58" s="69"/>
      <c r="OLA58" s="69"/>
      <c r="OLB58" s="69"/>
      <c r="OLC58" s="69"/>
      <c r="OLD58" s="69"/>
      <c r="OLE58" s="69"/>
      <c r="OLF58" s="69"/>
      <c r="OLG58" s="69"/>
      <c r="OLH58" s="69"/>
      <c r="OLI58" s="69"/>
      <c r="OLJ58" s="69"/>
      <c r="OLK58" s="69"/>
      <c r="OLL58" s="69"/>
      <c r="OLM58" s="69"/>
      <c r="OLN58" s="69"/>
      <c r="OLO58" s="69"/>
      <c r="OLP58" s="69"/>
      <c r="OLQ58" s="69"/>
      <c r="OLR58" s="69"/>
      <c r="OLS58" s="69"/>
      <c r="OLT58" s="69"/>
      <c r="OLU58" s="69"/>
      <c r="OLV58" s="69"/>
      <c r="OLW58" s="69"/>
      <c r="OLX58" s="69"/>
      <c r="OLY58" s="69"/>
      <c r="OLZ58" s="69"/>
      <c r="OMA58" s="69"/>
      <c r="OMB58" s="69"/>
      <c r="OMC58" s="69"/>
      <c r="OMD58" s="69"/>
      <c r="OME58" s="69"/>
      <c r="OMF58" s="69"/>
      <c r="OMG58" s="69"/>
      <c r="OMH58" s="69"/>
      <c r="OMI58" s="69"/>
      <c r="OMJ58" s="69"/>
      <c r="OMK58" s="69"/>
      <c r="OML58" s="69"/>
      <c r="OMM58" s="69"/>
      <c r="OMN58" s="69"/>
      <c r="OMO58" s="69"/>
      <c r="OMP58" s="69"/>
      <c r="OMQ58" s="69"/>
      <c r="OMR58" s="69"/>
      <c r="OMS58" s="69"/>
      <c r="OMT58" s="69"/>
      <c r="OMU58" s="69"/>
      <c r="OMV58" s="69"/>
      <c r="OMW58" s="69"/>
      <c r="OMX58" s="69"/>
      <c r="OMY58" s="69"/>
      <c r="OMZ58" s="69"/>
      <c r="ONA58" s="69"/>
      <c r="ONB58" s="69"/>
      <c r="ONC58" s="69"/>
      <c r="OND58" s="69"/>
      <c r="ONE58" s="69"/>
      <c r="ONF58" s="69"/>
      <c r="ONG58" s="69"/>
      <c r="ONH58" s="69"/>
      <c r="ONI58" s="69"/>
      <c r="ONJ58" s="69"/>
      <c r="ONK58" s="69"/>
      <c r="ONL58" s="69"/>
      <c r="ONM58" s="69"/>
      <c r="ONN58" s="69"/>
      <c r="ONO58" s="69"/>
      <c r="ONP58" s="69"/>
      <c r="ONQ58" s="69"/>
      <c r="ONR58" s="69"/>
      <c r="ONS58" s="69"/>
      <c r="ONT58" s="69"/>
      <c r="ONU58" s="69"/>
      <c r="ONV58" s="69"/>
      <c r="ONW58" s="69"/>
      <c r="ONX58" s="69"/>
      <c r="ONY58" s="69"/>
      <c r="ONZ58" s="69"/>
      <c r="OOA58" s="69"/>
      <c r="OOB58" s="69"/>
      <c r="OOC58" s="69"/>
      <c r="OOD58" s="69"/>
      <c r="OOE58" s="69"/>
      <c r="OOF58" s="69"/>
      <c r="OOG58" s="69"/>
      <c r="OOH58" s="69"/>
      <c r="OOI58" s="69"/>
      <c r="OOJ58" s="69"/>
      <c r="OOK58" s="69"/>
      <c r="OOL58" s="69"/>
      <c r="OOM58" s="69"/>
      <c r="OON58" s="69"/>
      <c r="OOO58" s="69"/>
      <c r="OOP58" s="69"/>
      <c r="OOQ58" s="69"/>
      <c r="OOR58" s="69"/>
      <c r="OOS58" s="69"/>
      <c r="OOT58" s="69"/>
      <c r="OOU58" s="69"/>
      <c r="OOV58" s="69"/>
      <c r="OOW58" s="69"/>
      <c r="OOX58" s="69"/>
      <c r="OOY58" s="69"/>
      <c r="OOZ58" s="69"/>
      <c r="OPA58" s="69"/>
      <c r="OPB58" s="69"/>
      <c r="OPC58" s="69"/>
      <c r="OPD58" s="69"/>
      <c r="OPE58" s="69"/>
      <c r="OPF58" s="69"/>
      <c r="OPG58" s="69"/>
      <c r="OPH58" s="69"/>
      <c r="OPI58" s="69"/>
      <c r="OPJ58" s="69"/>
      <c r="OPK58" s="69"/>
      <c r="OPL58" s="69"/>
      <c r="OPM58" s="69"/>
      <c r="OPN58" s="69"/>
      <c r="OPO58" s="69"/>
      <c r="OPP58" s="69"/>
      <c r="OPQ58" s="69"/>
      <c r="OPR58" s="69"/>
      <c r="OPS58" s="69"/>
      <c r="OPT58" s="69"/>
      <c r="OPU58" s="69"/>
      <c r="OPV58" s="69"/>
      <c r="OPW58" s="69"/>
      <c r="OPX58" s="69"/>
      <c r="OPY58" s="69"/>
      <c r="OPZ58" s="69"/>
      <c r="OQA58" s="69"/>
      <c r="OQB58" s="69"/>
      <c r="OQC58" s="69"/>
      <c r="OQD58" s="69"/>
      <c r="OQE58" s="69"/>
      <c r="OQF58" s="69"/>
      <c r="OQG58" s="69"/>
      <c r="OQH58" s="69"/>
      <c r="OQI58" s="69"/>
      <c r="OQJ58" s="69"/>
      <c r="OQK58" s="69"/>
      <c r="OQL58" s="69"/>
      <c r="OQM58" s="69"/>
      <c r="OQN58" s="69"/>
      <c r="OQO58" s="69"/>
      <c r="OQP58" s="69"/>
      <c r="OQQ58" s="69"/>
      <c r="OQR58" s="69"/>
      <c r="OQS58" s="69"/>
      <c r="OQT58" s="69"/>
      <c r="OQU58" s="69"/>
      <c r="OQV58" s="69"/>
      <c r="OQW58" s="69"/>
      <c r="OQX58" s="69"/>
      <c r="OQY58" s="69"/>
      <c r="OQZ58" s="69"/>
      <c r="ORA58" s="69"/>
      <c r="ORB58" s="69"/>
      <c r="ORC58" s="69"/>
      <c r="ORD58" s="69"/>
      <c r="ORE58" s="69"/>
      <c r="ORF58" s="69"/>
      <c r="ORG58" s="69"/>
      <c r="ORH58" s="69"/>
      <c r="ORI58" s="69"/>
      <c r="ORJ58" s="69"/>
      <c r="ORK58" s="69"/>
      <c r="ORL58" s="69"/>
      <c r="ORM58" s="69"/>
      <c r="ORN58" s="69"/>
      <c r="ORO58" s="69"/>
      <c r="ORP58" s="69"/>
      <c r="ORQ58" s="69"/>
      <c r="ORR58" s="69"/>
      <c r="ORS58" s="69"/>
      <c r="ORT58" s="69"/>
      <c r="ORU58" s="69"/>
      <c r="ORV58" s="69"/>
      <c r="ORW58" s="69"/>
      <c r="ORX58" s="69"/>
      <c r="ORY58" s="69"/>
      <c r="ORZ58" s="69"/>
      <c r="OSA58" s="69"/>
      <c r="OSB58" s="69"/>
      <c r="OSC58" s="69"/>
      <c r="OSD58" s="69"/>
      <c r="OSE58" s="69"/>
      <c r="OSF58" s="69"/>
      <c r="OSG58" s="69"/>
      <c r="OSH58" s="69"/>
      <c r="OSI58" s="69"/>
      <c r="OSJ58" s="69"/>
      <c r="OSK58" s="69"/>
      <c r="OSL58" s="69"/>
      <c r="OSM58" s="69"/>
      <c r="OSN58" s="69"/>
      <c r="OSO58" s="69"/>
      <c r="OSP58" s="69"/>
      <c r="OSQ58" s="69"/>
      <c r="OSR58" s="69"/>
      <c r="OSS58" s="69"/>
      <c r="OST58" s="69"/>
      <c r="OSU58" s="69"/>
      <c r="OSV58" s="69"/>
      <c r="OSW58" s="69"/>
      <c r="OSX58" s="69"/>
      <c r="OSY58" s="69"/>
      <c r="OSZ58" s="69"/>
      <c r="OTA58" s="69"/>
      <c r="OTB58" s="69"/>
      <c r="OTC58" s="69"/>
      <c r="OTD58" s="69"/>
      <c r="OTE58" s="69"/>
      <c r="OTF58" s="69"/>
      <c r="OTG58" s="69"/>
      <c r="OTH58" s="69"/>
      <c r="OTI58" s="69"/>
      <c r="OTJ58" s="69"/>
      <c r="OTK58" s="69"/>
      <c r="OTL58" s="69"/>
      <c r="OTM58" s="69"/>
      <c r="OTN58" s="69"/>
      <c r="OTO58" s="69"/>
      <c r="OTP58" s="69"/>
      <c r="OTQ58" s="69"/>
      <c r="OTR58" s="69"/>
      <c r="OTS58" s="69"/>
      <c r="OTT58" s="69"/>
      <c r="OTU58" s="69"/>
      <c r="OTV58" s="69"/>
      <c r="OTW58" s="69"/>
      <c r="OTX58" s="69"/>
      <c r="OTY58" s="69"/>
      <c r="OTZ58" s="69"/>
      <c r="OUA58" s="69"/>
      <c r="OUB58" s="69"/>
      <c r="OUC58" s="69"/>
      <c r="OUD58" s="69"/>
      <c r="OUE58" s="69"/>
      <c r="OUF58" s="69"/>
      <c r="OUG58" s="69"/>
      <c r="OUH58" s="69"/>
      <c r="OUI58" s="69"/>
      <c r="OUJ58" s="69"/>
      <c r="OUK58" s="69"/>
      <c r="OUL58" s="69"/>
      <c r="OUM58" s="69"/>
      <c r="OUN58" s="69"/>
      <c r="OUO58" s="69"/>
      <c r="OUP58" s="69"/>
      <c r="OUQ58" s="69"/>
      <c r="OUR58" s="69"/>
      <c r="OUS58" s="69"/>
      <c r="OUT58" s="69"/>
      <c r="OUU58" s="69"/>
      <c r="OUV58" s="69"/>
      <c r="OUW58" s="69"/>
      <c r="OUX58" s="69"/>
      <c r="OUY58" s="69"/>
      <c r="OUZ58" s="69"/>
      <c r="OVA58" s="69"/>
      <c r="OVB58" s="69"/>
      <c r="OVC58" s="69"/>
      <c r="OVD58" s="69"/>
      <c r="OVE58" s="69"/>
      <c r="OVF58" s="69"/>
      <c r="OVG58" s="69"/>
      <c r="OVH58" s="69"/>
      <c r="OVI58" s="69"/>
      <c r="OVJ58" s="69"/>
      <c r="OVK58" s="69"/>
      <c r="OVL58" s="69"/>
      <c r="OVM58" s="69"/>
      <c r="OVN58" s="69"/>
      <c r="OVO58" s="69"/>
      <c r="OVP58" s="69"/>
      <c r="OVQ58" s="69"/>
      <c r="OVR58" s="69"/>
      <c r="OVS58" s="69"/>
      <c r="OVT58" s="69"/>
      <c r="OVU58" s="69"/>
      <c r="OVV58" s="69"/>
      <c r="OVW58" s="69"/>
      <c r="OVX58" s="69"/>
      <c r="OVY58" s="69"/>
      <c r="OVZ58" s="69"/>
      <c r="OWA58" s="69"/>
      <c r="OWB58" s="69"/>
      <c r="OWC58" s="69"/>
      <c r="OWD58" s="69"/>
      <c r="OWE58" s="69"/>
      <c r="OWF58" s="69"/>
      <c r="OWG58" s="69"/>
      <c r="OWH58" s="69"/>
      <c r="OWI58" s="69"/>
      <c r="OWJ58" s="69"/>
      <c r="OWK58" s="69"/>
      <c r="OWL58" s="69"/>
      <c r="OWM58" s="69"/>
      <c r="OWN58" s="69"/>
      <c r="OWO58" s="69"/>
      <c r="OWP58" s="69"/>
      <c r="OWQ58" s="69"/>
      <c r="OWR58" s="69"/>
      <c r="OWS58" s="69"/>
      <c r="OWT58" s="69"/>
      <c r="OWU58" s="69"/>
      <c r="OWV58" s="69"/>
      <c r="OWW58" s="69"/>
      <c r="OWX58" s="69"/>
      <c r="OWY58" s="69"/>
      <c r="OWZ58" s="69"/>
      <c r="OXA58" s="69"/>
      <c r="OXB58" s="69"/>
      <c r="OXC58" s="69"/>
      <c r="OXD58" s="69"/>
      <c r="OXE58" s="69"/>
      <c r="OXF58" s="69"/>
      <c r="OXG58" s="69"/>
      <c r="OXH58" s="69"/>
      <c r="OXI58" s="69"/>
      <c r="OXJ58" s="69"/>
      <c r="OXK58" s="69"/>
      <c r="OXL58" s="69"/>
      <c r="OXM58" s="69"/>
      <c r="OXN58" s="69"/>
      <c r="OXO58" s="69"/>
      <c r="OXP58" s="69"/>
      <c r="OXQ58" s="69"/>
      <c r="OXR58" s="69"/>
      <c r="OXS58" s="69"/>
      <c r="OXT58" s="69"/>
      <c r="OXU58" s="69"/>
      <c r="OXV58" s="69"/>
      <c r="OXW58" s="69"/>
      <c r="OXX58" s="69"/>
      <c r="OXY58" s="69"/>
      <c r="OXZ58" s="69"/>
      <c r="OYA58" s="69"/>
      <c r="OYB58" s="69"/>
      <c r="OYC58" s="69"/>
      <c r="OYD58" s="69"/>
      <c r="OYE58" s="69"/>
      <c r="OYF58" s="69"/>
      <c r="OYG58" s="69"/>
      <c r="OYH58" s="69"/>
      <c r="OYI58" s="69"/>
      <c r="OYJ58" s="69"/>
      <c r="OYK58" s="69"/>
      <c r="OYL58" s="69"/>
      <c r="OYM58" s="69"/>
      <c r="OYN58" s="69"/>
      <c r="OYO58" s="69"/>
      <c r="OYP58" s="69"/>
      <c r="OYQ58" s="69"/>
      <c r="OYR58" s="69"/>
      <c r="OYS58" s="69"/>
      <c r="OYT58" s="69"/>
      <c r="OYU58" s="69"/>
      <c r="OYV58" s="69"/>
      <c r="OYW58" s="69"/>
      <c r="OYX58" s="69"/>
      <c r="OYY58" s="69"/>
      <c r="OYZ58" s="69"/>
      <c r="OZA58" s="69"/>
      <c r="OZB58" s="69"/>
      <c r="OZC58" s="69"/>
      <c r="OZD58" s="69"/>
      <c r="OZE58" s="69"/>
      <c r="OZF58" s="69"/>
      <c r="OZG58" s="69"/>
      <c r="OZH58" s="69"/>
      <c r="OZI58" s="69"/>
      <c r="OZJ58" s="69"/>
      <c r="OZK58" s="69"/>
      <c r="OZL58" s="69"/>
      <c r="OZM58" s="69"/>
      <c r="OZN58" s="69"/>
      <c r="OZO58" s="69"/>
      <c r="OZP58" s="69"/>
      <c r="OZQ58" s="69"/>
      <c r="OZR58" s="69"/>
      <c r="OZS58" s="69"/>
      <c r="OZT58" s="69"/>
      <c r="OZU58" s="69"/>
      <c r="OZV58" s="69"/>
      <c r="OZW58" s="69"/>
      <c r="OZX58" s="69"/>
      <c r="OZY58" s="69"/>
      <c r="OZZ58" s="69"/>
      <c r="PAA58" s="69"/>
      <c r="PAB58" s="69"/>
      <c r="PAC58" s="69"/>
      <c r="PAD58" s="69"/>
      <c r="PAE58" s="69"/>
      <c r="PAF58" s="69"/>
      <c r="PAG58" s="69"/>
      <c r="PAH58" s="69"/>
      <c r="PAI58" s="69"/>
      <c r="PAJ58" s="69"/>
      <c r="PAK58" s="69"/>
      <c r="PAL58" s="69"/>
      <c r="PAM58" s="69"/>
      <c r="PAN58" s="69"/>
      <c r="PAO58" s="69"/>
      <c r="PAP58" s="69"/>
      <c r="PAQ58" s="69"/>
      <c r="PAR58" s="69"/>
      <c r="PAS58" s="69"/>
      <c r="PAT58" s="69"/>
      <c r="PAU58" s="69"/>
      <c r="PAV58" s="69"/>
      <c r="PAW58" s="69"/>
      <c r="PAX58" s="69"/>
      <c r="PAY58" s="69"/>
      <c r="PAZ58" s="69"/>
      <c r="PBA58" s="69"/>
      <c r="PBB58" s="69"/>
      <c r="PBC58" s="69"/>
      <c r="PBD58" s="69"/>
      <c r="PBE58" s="69"/>
      <c r="PBF58" s="69"/>
      <c r="PBG58" s="69"/>
      <c r="PBH58" s="69"/>
      <c r="PBI58" s="69"/>
      <c r="PBJ58" s="69"/>
      <c r="PBK58" s="69"/>
      <c r="PBL58" s="69"/>
      <c r="PBM58" s="69"/>
      <c r="PBN58" s="69"/>
      <c r="PBO58" s="69"/>
      <c r="PBP58" s="69"/>
      <c r="PBQ58" s="69"/>
      <c r="PBR58" s="69"/>
      <c r="PBS58" s="69"/>
      <c r="PBT58" s="69"/>
      <c r="PBU58" s="69"/>
      <c r="PBV58" s="69"/>
      <c r="PBW58" s="69"/>
      <c r="PBX58" s="69"/>
      <c r="PBY58" s="69"/>
      <c r="PBZ58" s="69"/>
      <c r="PCA58" s="69"/>
      <c r="PCB58" s="69"/>
      <c r="PCC58" s="69"/>
      <c r="PCD58" s="69"/>
      <c r="PCE58" s="69"/>
      <c r="PCF58" s="69"/>
      <c r="PCG58" s="69"/>
      <c r="PCH58" s="69"/>
      <c r="PCI58" s="69"/>
      <c r="PCJ58" s="69"/>
      <c r="PCK58" s="69"/>
      <c r="PCL58" s="69"/>
      <c r="PCM58" s="69"/>
      <c r="PCN58" s="69"/>
      <c r="PCO58" s="69"/>
      <c r="PCP58" s="69"/>
      <c r="PCQ58" s="69"/>
      <c r="PCR58" s="69"/>
      <c r="PCS58" s="69"/>
      <c r="PCT58" s="69"/>
      <c r="PCU58" s="69"/>
      <c r="PCV58" s="69"/>
      <c r="PCW58" s="69"/>
      <c r="PCX58" s="69"/>
      <c r="PCY58" s="69"/>
      <c r="PCZ58" s="69"/>
      <c r="PDA58" s="69"/>
      <c r="PDB58" s="69"/>
      <c r="PDC58" s="69"/>
      <c r="PDD58" s="69"/>
      <c r="PDE58" s="69"/>
      <c r="PDF58" s="69"/>
      <c r="PDG58" s="69"/>
      <c r="PDH58" s="69"/>
      <c r="PDI58" s="69"/>
      <c r="PDJ58" s="69"/>
      <c r="PDK58" s="69"/>
      <c r="PDL58" s="69"/>
      <c r="PDM58" s="69"/>
      <c r="PDN58" s="69"/>
      <c r="PDO58" s="69"/>
      <c r="PDP58" s="69"/>
      <c r="PDQ58" s="69"/>
      <c r="PDR58" s="69"/>
      <c r="PDS58" s="69"/>
      <c r="PDT58" s="69"/>
      <c r="PDU58" s="69"/>
      <c r="PDV58" s="69"/>
      <c r="PDW58" s="69"/>
      <c r="PDX58" s="69"/>
      <c r="PDY58" s="69"/>
      <c r="PDZ58" s="69"/>
      <c r="PEA58" s="69"/>
      <c r="PEB58" s="69"/>
      <c r="PEC58" s="69"/>
      <c r="PED58" s="69"/>
      <c r="PEE58" s="69"/>
      <c r="PEF58" s="69"/>
      <c r="PEG58" s="69"/>
      <c r="PEH58" s="69"/>
      <c r="PEI58" s="69"/>
      <c r="PEJ58" s="69"/>
      <c r="PEK58" s="69"/>
      <c r="PEL58" s="69"/>
      <c r="PEM58" s="69"/>
      <c r="PEN58" s="69"/>
      <c r="PEO58" s="69"/>
      <c r="PEP58" s="69"/>
      <c r="PEQ58" s="69"/>
      <c r="PER58" s="69"/>
      <c r="PES58" s="69"/>
      <c r="PET58" s="69"/>
      <c r="PEU58" s="69"/>
      <c r="PEV58" s="69"/>
      <c r="PEW58" s="69"/>
      <c r="PEX58" s="69"/>
      <c r="PEY58" s="69"/>
      <c r="PEZ58" s="69"/>
      <c r="PFA58" s="69"/>
      <c r="PFB58" s="69"/>
      <c r="PFC58" s="69"/>
      <c r="PFD58" s="69"/>
      <c r="PFE58" s="69"/>
      <c r="PFF58" s="69"/>
      <c r="PFG58" s="69"/>
      <c r="PFH58" s="69"/>
      <c r="PFI58" s="69"/>
      <c r="PFJ58" s="69"/>
      <c r="PFK58" s="69"/>
      <c r="PFL58" s="69"/>
      <c r="PFM58" s="69"/>
      <c r="PFN58" s="69"/>
      <c r="PFO58" s="69"/>
      <c r="PFP58" s="69"/>
      <c r="PFQ58" s="69"/>
      <c r="PFR58" s="69"/>
      <c r="PFS58" s="69"/>
      <c r="PFT58" s="69"/>
      <c r="PFU58" s="69"/>
      <c r="PFV58" s="69"/>
      <c r="PFW58" s="69"/>
      <c r="PFX58" s="69"/>
      <c r="PFY58" s="69"/>
      <c r="PFZ58" s="69"/>
      <c r="PGA58" s="69"/>
      <c r="PGB58" s="69"/>
      <c r="PGC58" s="69"/>
      <c r="PGD58" s="69"/>
      <c r="PGE58" s="69"/>
      <c r="PGF58" s="69"/>
      <c r="PGG58" s="69"/>
      <c r="PGH58" s="69"/>
      <c r="PGI58" s="69"/>
      <c r="PGJ58" s="69"/>
      <c r="PGK58" s="69"/>
      <c r="PGL58" s="69"/>
      <c r="PGM58" s="69"/>
      <c r="PGN58" s="69"/>
      <c r="PGO58" s="69"/>
      <c r="PGP58" s="69"/>
      <c r="PGQ58" s="69"/>
      <c r="PGR58" s="69"/>
      <c r="PGS58" s="69"/>
      <c r="PGT58" s="69"/>
      <c r="PGU58" s="69"/>
      <c r="PGV58" s="69"/>
      <c r="PGW58" s="69"/>
      <c r="PGX58" s="69"/>
      <c r="PGY58" s="69"/>
      <c r="PGZ58" s="69"/>
      <c r="PHA58" s="69"/>
      <c r="PHB58" s="69"/>
      <c r="PHC58" s="69"/>
      <c r="PHD58" s="69"/>
      <c r="PHE58" s="69"/>
      <c r="PHF58" s="69"/>
      <c r="PHG58" s="69"/>
      <c r="PHH58" s="69"/>
      <c r="PHI58" s="69"/>
      <c r="PHJ58" s="69"/>
      <c r="PHK58" s="69"/>
      <c r="PHL58" s="69"/>
      <c r="PHM58" s="69"/>
      <c r="PHN58" s="69"/>
      <c r="PHO58" s="69"/>
      <c r="PHP58" s="69"/>
      <c r="PHQ58" s="69"/>
      <c r="PHR58" s="69"/>
      <c r="PHS58" s="69"/>
      <c r="PHT58" s="69"/>
      <c r="PHU58" s="69"/>
      <c r="PHV58" s="69"/>
      <c r="PHW58" s="69"/>
      <c r="PHX58" s="69"/>
      <c r="PHY58" s="69"/>
      <c r="PHZ58" s="69"/>
      <c r="PIA58" s="69"/>
      <c r="PIB58" s="69"/>
      <c r="PIC58" s="69"/>
      <c r="PID58" s="69"/>
      <c r="PIE58" s="69"/>
      <c r="PIF58" s="69"/>
      <c r="PIG58" s="69"/>
      <c r="PIH58" s="69"/>
      <c r="PII58" s="69"/>
      <c r="PIJ58" s="69"/>
      <c r="PIK58" s="69"/>
      <c r="PIL58" s="69"/>
      <c r="PIM58" s="69"/>
      <c r="PIN58" s="69"/>
      <c r="PIO58" s="69"/>
      <c r="PIP58" s="69"/>
      <c r="PIQ58" s="69"/>
      <c r="PIR58" s="69"/>
      <c r="PIS58" s="69"/>
      <c r="PIT58" s="69"/>
      <c r="PIU58" s="69"/>
      <c r="PIV58" s="69"/>
      <c r="PIW58" s="69"/>
      <c r="PIX58" s="69"/>
      <c r="PIY58" s="69"/>
      <c r="PIZ58" s="69"/>
      <c r="PJA58" s="69"/>
      <c r="PJB58" s="69"/>
      <c r="PJC58" s="69"/>
      <c r="PJD58" s="69"/>
      <c r="PJE58" s="69"/>
      <c r="PJF58" s="69"/>
      <c r="PJG58" s="69"/>
      <c r="PJH58" s="69"/>
      <c r="PJI58" s="69"/>
      <c r="PJJ58" s="69"/>
      <c r="PJK58" s="69"/>
      <c r="PJL58" s="69"/>
      <c r="PJM58" s="69"/>
      <c r="PJN58" s="69"/>
      <c r="PJO58" s="69"/>
      <c r="PJP58" s="69"/>
      <c r="PJQ58" s="69"/>
      <c r="PJR58" s="69"/>
      <c r="PJS58" s="69"/>
      <c r="PJT58" s="69"/>
      <c r="PJU58" s="69"/>
      <c r="PJV58" s="69"/>
      <c r="PJW58" s="69"/>
      <c r="PJX58" s="69"/>
      <c r="PJY58" s="69"/>
      <c r="PJZ58" s="69"/>
      <c r="PKA58" s="69"/>
      <c r="PKB58" s="69"/>
      <c r="PKC58" s="69"/>
      <c r="PKD58" s="69"/>
      <c r="PKE58" s="69"/>
      <c r="PKF58" s="69"/>
      <c r="PKG58" s="69"/>
      <c r="PKH58" s="69"/>
      <c r="PKI58" s="69"/>
      <c r="PKJ58" s="69"/>
      <c r="PKK58" s="69"/>
      <c r="PKL58" s="69"/>
      <c r="PKM58" s="69"/>
      <c r="PKN58" s="69"/>
      <c r="PKO58" s="69"/>
      <c r="PKP58" s="69"/>
      <c r="PKQ58" s="69"/>
      <c r="PKR58" s="69"/>
      <c r="PKS58" s="69"/>
      <c r="PKT58" s="69"/>
      <c r="PKU58" s="69"/>
      <c r="PKV58" s="69"/>
      <c r="PKW58" s="69"/>
      <c r="PKX58" s="69"/>
      <c r="PKY58" s="69"/>
      <c r="PKZ58" s="69"/>
      <c r="PLA58" s="69"/>
      <c r="PLB58" s="69"/>
      <c r="PLC58" s="69"/>
      <c r="PLD58" s="69"/>
      <c r="PLE58" s="69"/>
      <c r="PLF58" s="69"/>
      <c r="PLG58" s="69"/>
      <c r="PLH58" s="69"/>
      <c r="PLI58" s="69"/>
      <c r="PLJ58" s="69"/>
      <c r="PLK58" s="69"/>
      <c r="PLL58" s="69"/>
      <c r="PLM58" s="69"/>
      <c r="PLN58" s="69"/>
      <c r="PLO58" s="69"/>
      <c r="PLP58" s="69"/>
      <c r="PLQ58" s="69"/>
      <c r="PLR58" s="69"/>
      <c r="PLS58" s="69"/>
      <c r="PLT58" s="69"/>
      <c r="PLU58" s="69"/>
      <c r="PLV58" s="69"/>
      <c r="PLW58" s="69"/>
      <c r="PLX58" s="69"/>
      <c r="PLY58" s="69"/>
      <c r="PLZ58" s="69"/>
      <c r="PMA58" s="69"/>
      <c r="PMB58" s="69"/>
      <c r="PMC58" s="69"/>
      <c r="PMD58" s="69"/>
      <c r="PME58" s="69"/>
      <c r="PMF58" s="69"/>
      <c r="PMG58" s="69"/>
      <c r="PMH58" s="69"/>
      <c r="PMI58" s="69"/>
      <c r="PMJ58" s="69"/>
      <c r="PMK58" s="69"/>
      <c r="PML58" s="69"/>
      <c r="PMM58" s="69"/>
      <c r="PMN58" s="69"/>
      <c r="PMO58" s="69"/>
      <c r="PMP58" s="69"/>
      <c r="PMQ58" s="69"/>
      <c r="PMR58" s="69"/>
      <c r="PMS58" s="69"/>
      <c r="PMT58" s="69"/>
      <c r="PMU58" s="69"/>
      <c r="PMV58" s="69"/>
      <c r="PMW58" s="69"/>
      <c r="PMX58" s="69"/>
      <c r="PMY58" s="69"/>
      <c r="PMZ58" s="69"/>
      <c r="PNA58" s="69"/>
      <c r="PNB58" s="69"/>
      <c r="PNC58" s="69"/>
      <c r="PND58" s="69"/>
      <c r="PNE58" s="69"/>
      <c r="PNF58" s="69"/>
      <c r="PNG58" s="69"/>
      <c r="PNH58" s="69"/>
      <c r="PNI58" s="69"/>
      <c r="PNJ58" s="69"/>
      <c r="PNK58" s="69"/>
      <c r="PNL58" s="69"/>
      <c r="PNM58" s="69"/>
      <c r="PNN58" s="69"/>
      <c r="PNO58" s="69"/>
      <c r="PNP58" s="69"/>
      <c r="PNQ58" s="69"/>
      <c r="PNR58" s="69"/>
      <c r="PNS58" s="69"/>
      <c r="PNT58" s="69"/>
      <c r="PNU58" s="69"/>
      <c r="PNV58" s="69"/>
      <c r="PNW58" s="69"/>
      <c r="PNX58" s="69"/>
      <c r="PNY58" s="69"/>
      <c r="PNZ58" s="69"/>
      <c r="POA58" s="69"/>
      <c r="POB58" s="69"/>
      <c r="POC58" s="69"/>
      <c r="POD58" s="69"/>
      <c r="POE58" s="69"/>
      <c r="POF58" s="69"/>
      <c r="POG58" s="69"/>
      <c r="POH58" s="69"/>
      <c r="POI58" s="69"/>
      <c r="POJ58" s="69"/>
      <c r="POK58" s="69"/>
      <c r="POL58" s="69"/>
      <c r="POM58" s="69"/>
      <c r="PON58" s="69"/>
      <c r="POO58" s="69"/>
      <c r="POP58" s="69"/>
      <c r="POQ58" s="69"/>
      <c r="POR58" s="69"/>
      <c r="POS58" s="69"/>
      <c r="POT58" s="69"/>
      <c r="POU58" s="69"/>
      <c r="POV58" s="69"/>
      <c r="POW58" s="69"/>
      <c r="POX58" s="69"/>
      <c r="POY58" s="69"/>
      <c r="POZ58" s="69"/>
      <c r="PPA58" s="69"/>
      <c r="PPB58" s="69"/>
      <c r="PPC58" s="69"/>
      <c r="PPD58" s="69"/>
      <c r="PPE58" s="69"/>
      <c r="PPF58" s="69"/>
      <c r="PPG58" s="69"/>
      <c r="PPH58" s="69"/>
      <c r="PPI58" s="69"/>
      <c r="PPJ58" s="69"/>
      <c r="PPK58" s="69"/>
      <c r="PPL58" s="69"/>
      <c r="PPM58" s="69"/>
      <c r="PPN58" s="69"/>
      <c r="PPO58" s="69"/>
      <c r="PPP58" s="69"/>
      <c r="PPQ58" s="69"/>
      <c r="PPR58" s="69"/>
      <c r="PPS58" s="69"/>
      <c r="PPT58" s="69"/>
      <c r="PPU58" s="69"/>
      <c r="PPV58" s="69"/>
      <c r="PPW58" s="69"/>
      <c r="PPX58" s="69"/>
      <c r="PPY58" s="69"/>
      <c r="PPZ58" s="69"/>
      <c r="PQA58" s="69"/>
      <c r="PQB58" s="69"/>
      <c r="PQC58" s="69"/>
      <c r="PQD58" s="69"/>
      <c r="PQE58" s="69"/>
      <c r="PQF58" s="69"/>
      <c r="PQG58" s="69"/>
      <c r="PQH58" s="69"/>
      <c r="PQI58" s="69"/>
      <c r="PQJ58" s="69"/>
      <c r="PQK58" s="69"/>
      <c r="PQL58" s="69"/>
      <c r="PQM58" s="69"/>
      <c r="PQN58" s="69"/>
      <c r="PQO58" s="69"/>
      <c r="PQP58" s="69"/>
      <c r="PQQ58" s="69"/>
      <c r="PQR58" s="69"/>
      <c r="PQS58" s="69"/>
      <c r="PQT58" s="69"/>
      <c r="PQU58" s="69"/>
      <c r="PQV58" s="69"/>
      <c r="PQW58" s="69"/>
      <c r="PQX58" s="69"/>
      <c r="PQY58" s="69"/>
      <c r="PQZ58" s="69"/>
      <c r="PRA58" s="69"/>
      <c r="PRB58" s="69"/>
      <c r="PRC58" s="69"/>
      <c r="PRD58" s="69"/>
      <c r="PRE58" s="69"/>
      <c r="PRF58" s="69"/>
      <c r="PRG58" s="69"/>
      <c r="PRH58" s="69"/>
      <c r="PRI58" s="69"/>
      <c r="PRJ58" s="69"/>
      <c r="PRK58" s="69"/>
      <c r="PRL58" s="69"/>
      <c r="PRM58" s="69"/>
      <c r="PRN58" s="69"/>
      <c r="PRO58" s="69"/>
      <c r="PRP58" s="69"/>
      <c r="PRQ58" s="69"/>
      <c r="PRR58" s="69"/>
      <c r="PRS58" s="69"/>
      <c r="PRT58" s="69"/>
      <c r="PRU58" s="69"/>
      <c r="PRV58" s="69"/>
      <c r="PRW58" s="69"/>
      <c r="PRX58" s="69"/>
      <c r="PRY58" s="69"/>
      <c r="PRZ58" s="69"/>
      <c r="PSA58" s="69"/>
      <c r="PSB58" s="69"/>
      <c r="PSC58" s="69"/>
      <c r="PSD58" s="69"/>
      <c r="PSE58" s="69"/>
      <c r="PSF58" s="69"/>
      <c r="PSG58" s="69"/>
      <c r="PSH58" s="69"/>
      <c r="PSI58" s="69"/>
      <c r="PSJ58" s="69"/>
      <c r="PSK58" s="69"/>
      <c r="PSL58" s="69"/>
      <c r="PSM58" s="69"/>
      <c r="PSN58" s="69"/>
      <c r="PSO58" s="69"/>
      <c r="PSP58" s="69"/>
      <c r="PSQ58" s="69"/>
      <c r="PSR58" s="69"/>
      <c r="PSS58" s="69"/>
      <c r="PST58" s="69"/>
      <c r="PSU58" s="69"/>
      <c r="PSV58" s="69"/>
      <c r="PSW58" s="69"/>
      <c r="PSX58" s="69"/>
      <c r="PSY58" s="69"/>
      <c r="PSZ58" s="69"/>
      <c r="PTA58" s="69"/>
      <c r="PTB58" s="69"/>
      <c r="PTC58" s="69"/>
      <c r="PTD58" s="69"/>
      <c r="PTE58" s="69"/>
      <c r="PTF58" s="69"/>
      <c r="PTG58" s="69"/>
      <c r="PTH58" s="69"/>
      <c r="PTI58" s="69"/>
      <c r="PTJ58" s="69"/>
      <c r="PTK58" s="69"/>
      <c r="PTL58" s="69"/>
      <c r="PTM58" s="69"/>
      <c r="PTN58" s="69"/>
      <c r="PTO58" s="69"/>
      <c r="PTP58" s="69"/>
      <c r="PTQ58" s="69"/>
      <c r="PTR58" s="69"/>
      <c r="PTS58" s="69"/>
      <c r="PTT58" s="69"/>
      <c r="PTU58" s="69"/>
      <c r="PTV58" s="69"/>
      <c r="PTW58" s="69"/>
      <c r="PTX58" s="69"/>
      <c r="PTY58" s="69"/>
      <c r="PTZ58" s="69"/>
      <c r="PUA58" s="69"/>
      <c r="PUB58" s="69"/>
      <c r="PUC58" s="69"/>
      <c r="PUD58" s="69"/>
      <c r="PUE58" s="69"/>
      <c r="PUF58" s="69"/>
      <c r="PUG58" s="69"/>
      <c r="PUH58" s="69"/>
      <c r="PUI58" s="69"/>
      <c r="PUJ58" s="69"/>
      <c r="PUK58" s="69"/>
      <c r="PUL58" s="69"/>
      <c r="PUM58" s="69"/>
      <c r="PUN58" s="69"/>
      <c r="PUO58" s="69"/>
      <c r="PUP58" s="69"/>
      <c r="PUQ58" s="69"/>
      <c r="PUR58" s="69"/>
      <c r="PUS58" s="69"/>
      <c r="PUT58" s="69"/>
      <c r="PUU58" s="69"/>
      <c r="PUV58" s="69"/>
      <c r="PUW58" s="69"/>
      <c r="PUX58" s="69"/>
      <c r="PUY58" s="69"/>
      <c r="PUZ58" s="69"/>
      <c r="PVA58" s="69"/>
      <c r="PVB58" s="69"/>
      <c r="PVC58" s="69"/>
      <c r="PVD58" s="69"/>
      <c r="PVE58" s="69"/>
      <c r="PVF58" s="69"/>
      <c r="PVG58" s="69"/>
      <c r="PVH58" s="69"/>
      <c r="PVI58" s="69"/>
      <c r="PVJ58" s="69"/>
      <c r="PVK58" s="69"/>
      <c r="PVL58" s="69"/>
      <c r="PVM58" s="69"/>
      <c r="PVN58" s="69"/>
      <c r="PVO58" s="69"/>
      <c r="PVP58" s="69"/>
      <c r="PVQ58" s="69"/>
      <c r="PVR58" s="69"/>
      <c r="PVS58" s="69"/>
      <c r="PVT58" s="69"/>
      <c r="PVU58" s="69"/>
      <c r="PVV58" s="69"/>
      <c r="PVW58" s="69"/>
      <c r="PVX58" s="69"/>
      <c r="PVY58" s="69"/>
      <c r="PVZ58" s="69"/>
      <c r="PWA58" s="69"/>
      <c r="PWB58" s="69"/>
      <c r="PWC58" s="69"/>
      <c r="PWD58" s="69"/>
      <c r="PWE58" s="69"/>
      <c r="PWF58" s="69"/>
      <c r="PWG58" s="69"/>
      <c r="PWH58" s="69"/>
      <c r="PWI58" s="69"/>
      <c r="PWJ58" s="69"/>
      <c r="PWK58" s="69"/>
      <c r="PWL58" s="69"/>
      <c r="PWM58" s="69"/>
      <c r="PWN58" s="69"/>
      <c r="PWO58" s="69"/>
      <c r="PWP58" s="69"/>
      <c r="PWQ58" s="69"/>
      <c r="PWR58" s="69"/>
      <c r="PWS58" s="69"/>
      <c r="PWT58" s="69"/>
      <c r="PWU58" s="69"/>
      <c r="PWV58" s="69"/>
      <c r="PWW58" s="69"/>
      <c r="PWX58" s="69"/>
      <c r="PWY58" s="69"/>
      <c r="PWZ58" s="69"/>
      <c r="PXA58" s="69"/>
      <c r="PXB58" s="69"/>
      <c r="PXC58" s="69"/>
      <c r="PXD58" s="69"/>
      <c r="PXE58" s="69"/>
      <c r="PXF58" s="69"/>
      <c r="PXG58" s="69"/>
      <c r="PXH58" s="69"/>
      <c r="PXI58" s="69"/>
      <c r="PXJ58" s="69"/>
      <c r="PXK58" s="69"/>
      <c r="PXL58" s="69"/>
      <c r="PXM58" s="69"/>
      <c r="PXN58" s="69"/>
      <c r="PXO58" s="69"/>
      <c r="PXP58" s="69"/>
      <c r="PXQ58" s="69"/>
      <c r="PXR58" s="69"/>
      <c r="PXS58" s="69"/>
      <c r="PXT58" s="69"/>
      <c r="PXU58" s="69"/>
      <c r="PXV58" s="69"/>
      <c r="PXW58" s="69"/>
      <c r="PXX58" s="69"/>
      <c r="PXY58" s="69"/>
      <c r="PXZ58" s="69"/>
      <c r="PYA58" s="69"/>
      <c r="PYB58" s="69"/>
      <c r="PYC58" s="69"/>
      <c r="PYD58" s="69"/>
      <c r="PYE58" s="69"/>
      <c r="PYF58" s="69"/>
      <c r="PYG58" s="69"/>
      <c r="PYH58" s="69"/>
      <c r="PYI58" s="69"/>
      <c r="PYJ58" s="69"/>
      <c r="PYK58" s="69"/>
      <c r="PYL58" s="69"/>
      <c r="PYM58" s="69"/>
      <c r="PYN58" s="69"/>
      <c r="PYO58" s="69"/>
      <c r="PYP58" s="69"/>
      <c r="PYQ58" s="69"/>
      <c r="PYR58" s="69"/>
      <c r="PYS58" s="69"/>
      <c r="PYT58" s="69"/>
      <c r="PYU58" s="69"/>
      <c r="PYV58" s="69"/>
      <c r="PYW58" s="69"/>
      <c r="PYX58" s="69"/>
      <c r="PYY58" s="69"/>
      <c r="PYZ58" s="69"/>
      <c r="PZA58" s="69"/>
      <c r="PZB58" s="69"/>
      <c r="PZC58" s="69"/>
      <c r="PZD58" s="69"/>
      <c r="PZE58" s="69"/>
      <c r="PZF58" s="69"/>
      <c r="PZG58" s="69"/>
      <c r="PZH58" s="69"/>
      <c r="PZI58" s="69"/>
      <c r="PZJ58" s="69"/>
      <c r="PZK58" s="69"/>
      <c r="PZL58" s="69"/>
      <c r="PZM58" s="69"/>
      <c r="PZN58" s="69"/>
      <c r="PZO58" s="69"/>
      <c r="PZP58" s="69"/>
      <c r="PZQ58" s="69"/>
      <c r="PZR58" s="69"/>
      <c r="PZS58" s="69"/>
      <c r="PZT58" s="69"/>
      <c r="PZU58" s="69"/>
      <c r="PZV58" s="69"/>
      <c r="PZW58" s="69"/>
      <c r="PZX58" s="69"/>
      <c r="PZY58" s="69"/>
      <c r="PZZ58" s="69"/>
      <c r="QAA58" s="69"/>
      <c r="QAB58" s="69"/>
      <c r="QAC58" s="69"/>
      <c r="QAD58" s="69"/>
      <c r="QAE58" s="69"/>
      <c r="QAF58" s="69"/>
      <c r="QAG58" s="69"/>
      <c r="QAH58" s="69"/>
      <c r="QAI58" s="69"/>
      <c r="QAJ58" s="69"/>
      <c r="QAK58" s="69"/>
      <c r="QAL58" s="69"/>
      <c r="QAM58" s="69"/>
      <c r="QAN58" s="69"/>
      <c r="QAO58" s="69"/>
      <c r="QAP58" s="69"/>
      <c r="QAQ58" s="69"/>
      <c r="QAR58" s="69"/>
      <c r="QAS58" s="69"/>
      <c r="QAT58" s="69"/>
      <c r="QAU58" s="69"/>
      <c r="QAV58" s="69"/>
      <c r="QAW58" s="69"/>
      <c r="QAX58" s="69"/>
      <c r="QAY58" s="69"/>
      <c r="QAZ58" s="69"/>
      <c r="QBA58" s="69"/>
      <c r="QBB58" s="69"/>
      <c r="QBC58" s="69"/>
      <c r="QBD58" s="69"/>
      <c r="QBE58" s="69"/>
      <c r="QBF58" s="69"/>
      <c r="QBG58" s="69"/>
      <c r="QBH58" s="69"/>
      <c r="QBI58" s="69"/>
      <c r="QBJ58" s="69"/>
      <c r="QBK58" s="69"/>
      <c r="QBL58" s="69"/>
      <c r="QBM58" s="69"/>
      <c r="QBN58" s="69"/>
      <c r="QBO58" s="69"/>
      <c r="QBP58" s="69"/>
      <c r="QBQ58" s="69"/>
      <c r="QBR58" s="69"/>
      <c r="QBS58" s="69"/>
      <c r="QBT58" s="69"/>
      <c r="QBU58" s="69"/>
      <c r="QBV58" s="69"/>
      <c r="QBW58" s="69"/>
      <c r="QBX58" s="69"/>
      <c r="QBY58" s="69"/>
      <c r="QBZ58" s="69"/>
      <c r="QCA58" s="69"/>
      <c r="QCB58" s="69"/>
      <c r="QCC58" s="69"/>
      <c r="QCD58" s="69"/>
      <c r="QCE58" s="69"/>
      <c r="QCF58" s="69"/>
      <c r="QCG58" s="69"/>
      <c r="QCH58" s="69"/>
      <c r="QCI58" s="69"/>
      <c r="QCJ58" s="69"/>
      <c r="QCK58" s="69"/>
      <c r="QCL58" s="69"/>
      <c r="QCM58" s="69"/>
      <c r="QCN58" s="69"/>
      <c r="QCO58" s="69"/>
      <c r="QCP58" s="69"/>
      <c r="QCQ58" s="69"/>
      <c r="QCR58" s="69"/>
      <c r="QCS58" s="69"/>
      <c r="QCT58" s="69"/>
      <c r="QCU58" s="69"/>
      <c r="QCV58" s="69"/>
      <c r="QCW58" s="69"/>
      <c r="QCX58" s="69"/>
      <c r="QCY58" s="69"/>
      <c r="QCZ58" s="69"/>
      <c r="QDA58" s="69"/>
      <c r="QDB58" s="69"/>
      <c r="QDC58" s="69"/>
      <c r="QDD58" s="69"/>
      <c r="QDE58" s="69"/>
      <c r="QDF58" s="69"/>
      <c r="QDG58" s="69"/>
      <c r="QDH58" s="69"/>
      <c r="QDI58" s="69"/>
      <c r="QDJ58" s="69"/>
      <c r="QDK58" s="69"/>
      <c r="QDL58" s="69"/>
      <c r="QDM58" s="69"/>
      <c r="QDN58" s="69"/>
      <c r="QDO58" s="69"/>
      <c r="QDP58" s="69"/>
      <c r="QDQ58" s="69"/>
      <c r="QDR58" s="69"/>
      <c r="QDS58" s="69"/>
      <c r="QDT58" s="69"/>
      <c r="QDU58" s="69"/>
      <c r="QDV58" s="69"/>
      <c r="QDW58" s="69"/>
      <c r="QDX58" s="69"/>
      <c r="QDY58" s="69"/>
      <c r="QDZ58" s="69"/>
      <c r="QEA58" s="69"/>
      <c r="QEB58" s="69"/>
      <c r="QEC58" s="69"/>
      <c r="QED58" s="69"/>
      <c r="QEE58" s="69"/>
      <c r="QEF58" s="69"/>
      <c r="QEG58" s="69"/>
      <c r="QEH58" s="69"/>
      <c r="QEI58" s="69"/>
      <c r="QEJ58" s="69"/>
      <c r="QEK58" s="69"/>
      <c r="QEL58" s="69"/>
      <c r="QEM58" s="69"/>
      <c r="QEN58" s="69"/>
      <c r="QEO58" s="69"/>
      <c r="QEP58" s="69"/>
      <c r="QEQ58" s="69"/>
      <c r="QER58" s="69"/>
      <c r="QES58" s="69"/>
      <c r="QET58" s="69"/>
      <c r="QEU58" s="69"/>
      <c r="QEV58" s="69"/>
      <c r="QEW58" s="69"/>
      <c r="QEX58" s="69"/>
      <c r="QEY58" s="69"/>
      <c r="QEZ58" s="69"/>
      <c r="QFA58" s="69"/>
      <c r="QFB58" s="69"/>
      <c r="QFC58" s="69"/>
      <c r="QFD58" s="69"/>
      <c r="QFE58" s="69"/>
      <c r="QFF58" s="69"/>
      <c r="QFG58" s="69"/>
      <c r="QFH58" s="69"/>
      <c r="QFI58" s="69"/>
      <c r="QFJ58" s="69"/>
      <c r="QFK58" s="69"/>
      <c r="QFL58" s="69"/>
      <c r="QFM58" s="69"/>
      <c r="QFN58" s="69"/>
      <c r="QFO58" s="69"/>
      <c r="QFP58" s="69"/>
      <c r="QFQ58" s="69"/>
      <c r="QFR58" s="69"/>
      <c r="QFS58" s="69"/>
      <c r="QFT58" s="69"/>
      <c r="QFU58" s="69"/>
      <c r="QFV58" s="69"/>
      <c r="QFW58" s="69"/>
      <c r="QFX58" s="69"/>
      <c r="QFY58" s="69"/>
      <c r="QFZ58" s="69"/>
      <c r="QGA58" s="69"/>
      <c r="QGB58" s="69"/>
      <c r="QGC58" s="69"/>
      <c r="QGD58" s="69"/>
      <c r="QGE58" s="69"/>
      <c r="QGF58" s="69"/>
      <c r="QGG58" s="69"/>
      <c r="QGH58" s="69"/>
      <c r="QGI58" s="69"/>
      <c r="QGJ58" s="69"/>
      <c r="QGK58" s="69"/>
      <c r="QGL58" s="69"/>
      <c r="QGM58" s="69"/>
      <c r="QGN58" s="69"/>
      <c r="QGO58" s="69"/>
      <c r="QGP58" s="69"/>
      <c r="QGQ58" s="69"/>
      <c r="QGR58" s="69"/>
      <c r="QGS58" s="69"/>
      <c r="QGT58" s="69"/>
      <c r="QGU58" s="69"/>
      <c r="QGV58" s="69"/>
      <c r="QGW58" s="69"/>
      <c r="QGX58" s="69"/>
      <c r="QGY58" s="69"/>
      <c r="QGZ58" s="69"/>
      <c r="QHA58" s="69"/>
      <c r="QHB58" s="69"/>
      <c r="QHC58" s="69"/>
      <c r="QHD58" s="69"/>
      <c r="QHE58" s="69"/>
      <c r="QHF58" s="69"/>
      <c r="QHG58" s="69"/>
      <c r="QHH58" s="69"/>
      <c r="QHI58" s="69"/>
      <c r="QHJ58" s="69"/>
      <c r="QHK58" s="69"/>
      <c r="QHL58" s="69"/>
      <c r="QHM58" s="69"/>
      <c r="QHN58" s="69"/>
      <c r="QHO58" s="69"/>
      <c r="QHP58" s="69"/>
      <c r="QHQ58" s="69"/>
      <c r="QHR58" s="69"/>
      <c r="QHS58" s="69"/>
      <c r="QHT58" s="69"/>
      <c r="QHU58" s="69"/>
      <c r="QHV58" s="69"/>
      <c r="QHW58" s="69"/>
      <c r="QHX58" s="69"/>
      <c r="QHY58" s="69"/>
      <c r="QHZ58" s="69"/>
      <c r="QIA58" s="69"/>
      <c r="QIB58" s="69"/>
      <c r="QIC58" s="69"/>
      <c r="QID58" s="69"/>
      <c r="QIE58" s="69"/>
      <c r="QIF58" s="69"/>
      <c r="QIG58" s="69"/>
      <c r="QIH58" s="69"/>
      <c r="QII58" s="69"/>
      <c r="QIJ58" s="69"/>
      <c r="QIK58" s="69"/>
      <c r="QIL58" s="69"/>
      <c r="QIM58" s="69"/>
      <c r="QIN58" s="69"/>
      <c r="QIO58" s="69"/>
      <c r="QIP58" s="69"/>
      <c r="QIQ58" s="69"/>
      <c r="QIR58" s="69"/>
      <c r="QIS58" s="69"/>
      <c r="QIT58" s="69"/>
      <c r="QIU58" s="69"/>
      <c r="QIV58" s="69"/>
      <c r="QIW58" s="69"/>
      <c r="QIX58" s="69"/>
      <c r="QIY58" s="69"/>
      <c r="QIZ58" s="69"/>
      <c r="QJA58" s="69"/>
      <c r="QJB58" s="69"/>
      <c r="QJC58" s="69"/>
      <c r="QJD58" s="69"/>
      <c r="QJE58" s="69"/>
      <c r="QJF58" s="69"/>
      <c r="QJG58" s="69"/>
      <c r="QJH58" s="69"/>
      <c r="QJI58" s="69"/>
      <c r="QJJ58" s="69"/>
      <c r="QJK58" s="69"/>
      <c r="QJL58" s="69"/>
      <c r="QJM58" s="69"/>
      <c r="QJN58" s="69"/>
      <c r="QJO58" s="69"/>
      <c r="QJP58" s="69"/>
      <c r="QJQ58" s="69"/>
      <c r="QJR58" s="69"/>
      <c r="QJS58" s="69"/>
      <c r="QJT58" s="69"/>
      <c r="QJU58" s="69"/>
      <c r="QJV58" s="69"/>
      <c r="QJW58" s="69"/>
      <c r="QJX58" s="69"/>
      <c r="QJY58" s="69"/>
      <c r="QJZ58" s="69"/>
      <c r="QKA58" s="69"/>
      <c r="QKB58" s="69"/>
      <c r="QKC58" s="69"/>
      <c r="QKD58" s="69"/>
      <c r="QKE58" s="69"/>
      <c r="QKF58" s="69"/>
      <c r="QKG58" s="69"/>
      <c r="QKH58" s="69"/>
      <c r="QKI58" s="69"/>
      <c r="QKJ58" s="69"/>
      <c r="QKK58" s="69"/>
      <c r="QKL58" s="69"/>
      <c r="QKM58" s="69"/>
      <c r="QKN58" s="69"/>
      <c r="QKO58" s="69"/>
      <c r="QKP58" s="69"/>
      <c r="QKQ58" s="69"/>
      <c r="QKR58" s="69"/>
      <c r="QKS58" s="69"/>
      <c r="QKT58" s="69"/>
      <c r="QKU58" s="69"/>
      <c r="QKV58" s="69"/>
      <c r="QKW58" s="69"/>
      <c r="QKX58" s="69"/>
      <c r="QKY58" s="69"/>
      <c r="QKZ58" s="69"/>
      <c r="QLA58" s="69"/>
      <c r="QLB58" s="69"/>
      <c r="QLC58" s="69"/>
      <c r="QLD58" s="69"/>
      <c r="QLE58" s="69"/>
      <c r="QLF58" s="69"/>
      <c r="QLG58" s="69"/>
      <c r="QLH58" s="69"/>
      <c r="QLI58" s="69"/>
      <c r="QLJ58" s="69"/>
      <c r="QLK58" s="69"/>
      <c r="QLL58" s="69"/>
      <c r="QLM58" s="69"/>
      <c r="QLN58" s="69"/>
      <c r="QLO58" s="69"/>
      <c r="QLP58" s="69"/>
      <c r="QLQ58" s="69"/>
      <c r="QLR58" s="69"/>
      <c r="QLS58" s="69"/>
      <c r="QLT58" s="69"/>
      <c r="QLU58" s="69"/>
      <c r="QLV58" s="69"/>
      <c r="QLW58" s="69"/>
      <c r="QLX58" s="69"/>
      <c r="QLY58" s="69"/>
      <c r="QLZ58" s="69"/>
      <c r="QMA58" s="69"/>
      <c r="QMB58" s="69"/>
      <c r="QMC58" s="69"/>
      <c r="QMD58" s="69"/>
      <c r="QME58" s="69"/>
      <c r="QMF58" s="69"/>
      <c r="QMG58" s="69"/>
      <c r="QMH58" s="69"/>
      <c r="QMI58" s="69"/>
      <c r="QMJ58" s="69"/>
      <c r="QMK58" s="69"/>
      <c r="QML58" s="69"/>
      <c r="QMM58" s="69"/>
      <c r="QMN58" s="69"/>
      <c r="QMO58" s="69"/>
      <c r="QMP58" s="69"/>
      <c r="QMQ58" s="69"/>
      <c r="QMR58" s="69"/>
      <c r="QMS58" s="69"/>
      <c r="QMT58" s="69"/>
      <c r="QMU58" s="69"/>
      <c r="QMV58" s="69"/>
      <c r="QMW58" s="69"/>
      <c r="QMX58" s="69"/>
      <c r="QMY58" s="69"/>
      <c r="QMZ58" s="69"/>
      <c r="QNA58" s="69"/>
      <c r="QNB58" s="69"/>
      <c r="QNC58" s="69"/>
      <c r="QND58" s="69"/>
      <c r="QNE58" s="69"/>
      <c r="QNF58" s="69"/>
      <c r="QNG58" s="69"/>
      <c r="QNH58" s="69"/>
      <c r="QNI58" s="69"/>
      <c r="QNJ58" s="69"/>
      <c r="QNK58" s="69"/>
      <c r="QNL58" s="69"/>
      <c r="QNM58" s="69"/>
      <c r="QNN58" s="69"/>
      <c r="QNO58" s="69"/>
      <c r="QNP58" s="69"/>
      <c r="QNQ58" s="69"/>
      <c r="QNR58" s="69"/>
      <c r="QNS58" s="69"/>
      <c r="QNT58" s="69"/>
      <c r="QNU58" s="69"/>
      <c r="QNV58" s="69"/>
      <c r="QNW58" s="69"/>
      <c r="QNX58" s="69"/>
      <c r="QNY58" s="69"/>
      <c r="QNZ58" s="69"/>
      <c r="QOA58" s="69"/>
      <c r="QOB58" s="69"/>
      <c r="QOC58" s="69"/>
      <c r="QOD58" s="69"/>
      <c r="QOE58" s="69"/>
      <c r="QOF58" s="69"/>
      <c r="QOG58" s="69"/>
      <c r="QOH58" s="69"/>
      <c r="QOI58" s="69"/>
      <c r="QOJ58" s="69"/>
      <c r="QOK58" s="69"/>
      <c r="QOL58" s="69"/>
      <c r="QOM58" s="69"/>
      <c r="QON58" s="69"/>
      <c r="QOO58" s="69"/>
      <c r="QOP58" s="69"/>
      <c r="QOQ58" s="69"/>
      <c r="QOR58" s="69"/>
      <c r="QOS58" s="69"/>
      <c r="QOT58" s="69"/>
      <c r="QOU58" s="69"/>
      <c r="QOV58" s="69"/>
      <c r="QOW58" s="69"/>
      <c r="QOX58" s="69"/>
      <c r="QOY58" s="69"/>
      <c r="QOZ58" s="69"/>
      <c r="QPA58" s="69"/>
      <c r="QPB58" s="69"/>
      <c r="QPC58" s="69"/>
      <c r="QPD58" s="69"/>
      <c r="QPE58" s="69"/>
      <c r="QPF58" s="69"/>
      <c r="QPG58" s="69"/>
      <c r="QPH58" s="69"/>
      <c r="QPI58" s="69"/>
      <c r="QPJ58" s="69"/>
      <c r="QPK58" s="69"/>
      <c r="QPL58" s="69"/>
      <c r="QPM58" s="69"/>
      <c r="QPN58" s="69"/>
      <c r="QPO58" s="69"/>
      <c r="QPP58" s="69"/>
      <c r="QPQ58" s="69"/>
      <c r="QPR58" s="69"/>
      <c r="QPS58" s="69"/>
      <c r="QPT58" s="69"/>
      <c r="QPU58" s="69"/>
      <c r="QPV58" s="69"/>
      <c r="QPW58" s="69"/>
      <c r="QPX58" s="69"/>
      <c r="QPY58" s="69"/>
      <c r="QPZ58" s="69"/>
      <c r="QQA58" s="69"/>
      <c r="QQB58" s="69"/>
      <c r="QQC58" s="69"/>
      <c r="QQD58" s="69"/>
      <c r="QQE58" s="69"/>
      <c r="QQF58" s="69"/>
      <c r="QQG58" s="69"/>
      <c r="QQH58" s="69"/>
      <c r="QQI58" s="69"/>
      <c r="QQJ58" s="69"/>
      <c r="QQK58" s="69"/>
      <c r="QQL58" s="69"/>
      <c r="QQM58" s="69"/>
      <c r="QQN58" s="69"/>
      <c r="QQO58" s="69"/>
      <c r="QQP58" s="69"/>
      <c r="QQQ58" s="69"/>
      <c r="QQR58" s="69"/>
      <c r="QQS58" s="69"/>
      <c r="QQT58" s="69"/>
      <c r="QQU58" s="69"/>
      <c r="QQV58" s="69"/>
      <c r="QQW58" s="69"/>
      <c r="QQX58" s="69"/>
      <c r="QQY58" s="69"/>
      <c r="QQZ58" s="69"/>
      <c r="QRA58" s="69"/>
      <c r="QRB58" s="69"/>
      <c r="QRC58" s="69"/>
      <c r="QRD58" s="69"/>
      <c r="QRE58" s="69"/>
      <c r="QRF58" s="69"/>
      <c r="QRG58" s="69"/>
      <c r="QRH58" s="69"/>
      <c r="QRI58" s="69"/>
      <c r="QRJ58" s="69"/>
      <c r="QRK58" s="69"/>
      <c r="QRL58" s="69"/>
      <c r="QRM58" s="69"/>
      <c r="QRN58" s="69"/>
      <c r="QRO58" s="69"/>
      <c r="QRP58" s="69"/>
      <c r="QRQ58" s="69"/>
      <c r="QRR58" s="69"/>
      <c r="QRS58" s="69"/>
      <c r="QRT58" s="69"/>
      <c r="QRU58" s="69"/>
      <c r="QRV58" s="69"/>
      <c r="QRW58" s="69"/>
      <c r="QRX58" s="69"/>
      <c r="QRY58" s="69"/>
      <c r="QRZ58" s="69"/>
      <c r="QSA58" s="69"/>
      <c r="QSB58" s="69"/>
      <c r="QSC58" s="69"/>
      <c r="QSD58" s="69"/>
      <c r="QSE58" s="69"/>
      <c r="QSF58" s="69"/>
      <c r="QSG58" s="69"/>
      <c r="QSH58" s="69"/>
      <c r="QSI58" s="69"/>
      <c r="QSJ58" s="69"/>
      <c r="QSK58" s="69"/>
      <c r="QSL58" s="69"/>
      <c r="QSM58" s="69"/>
      <c r="QSN58" s="69"/>
      <c r="QSO58" s="69"/>
      <c r="QSP58" s="69"/>
      <c r="QSQ58" s="69"/>
      <c r="QSR58" s="69"/>
      <c r="QSS58" s="69"/>
      <c r="QST58" s="69"/>
      <c r="QSU58" s="69"/>
      <c r="QSV58" s="69"/>
      <c r="QSW58" s="69"/>
      <c r="QSX58" s="69"/>
      <c r="QSY58" s="69"/>
      <c r="QSZ58" s="69"/>
      <c r="QTA58" s="69"/>
      <c r="QTB58" s="69"/>
      <c r="QTC58" s="69"/>
      <c r="QTD58" s="69"/>
      <c r="QTE58" s="69"/>
      <c r="QTF58" s="69"/>
      <c r="QTG58" s="69"/>
      <c r="QTH58" s="69"/>
      <c r="QTI58" s="69"/>
      <c r="QTJ58" s="69"/>
      <c r="QTK58" s="69"/>
      <c r="QTL58" s="69"/>
      <c r="QTM58" s="69"/>
      <c r="QTN58" s="69"/>
      <c r="QTO58" s="69"/>
      <c r="QTP58" s="69"/>
      <c r="QTQ58" s="69"/>
      <c r="QTR58" s="69"/>
      <c r="QTS58" s="69"/>
      <c r="QTT58" s="69"/>
      <c r="QTU58" s="69"/>
      <c r="QTV58" s="69"/>
      <c r="QTW58" s="69"/>
      <c r="QTX58" s="69"/>
      <c r="QTY58" s="69"/>
      <c r="QTZ58" s="69"/>
      <c r="QUA58" s="69"/>
      <c r="QUB58" s="69"/>
      <c r="QUC58" s="69"/>
      <c r="QUD58" s="69"/>
      <c r="QUE58" s="69"/>
      <c r="QUF58" s="69"/>
      <c r="QUG58" s="69"/>
      <c r="QUH58" s="69"/>
      <c r="QUI58" s="69"/>
      <c r="QUJ58" s="69"/>
      <c r="QUK58" s="69"/>
      <c r="QUL58" s="69"/>
      <c r="QUM58" s="69"/>
      <c r="QUN58" s="69"/>
      <c r="QUO58" s="69"/>
      <c r="QUP58" s="69"/>
      <c r="QUQ58" s="69"/>
      <c r="QUR58" s="69"/>
      <c r="QUS58" s="69"/>
      <c r="QUT58" s="69"/>
      <c r="QUU58" s="69"/>
      <c r="QUV58" s="69"/>
      <c r="QUW58" s="69"/>
      <c r="QUX58" s="69"/>
      <c r="QUY58" s="69"/>
      <c r="QUZ58" s="69"/>
      <c r="QVA58" s="69"/>
      <c r="QVB58" s="69"/>
      <c r="QVC58" s="69"/>
      <c r="QVD58" s="69"/>
      <c r="QVE58" s="69"/>
      <c r="QVF58" s="69"/>
      <c r="QVG58" s="69"/>
      <c r="QVH58" s="69"/>
      <c r="QVI58" s="69"/>
      <c r="QVJ58" s="69"/>
      <c r="QVK58" s="69"/>
      <c r="QVL58" s="69"/>
      <c r="QVM58" s="69"/>
      <c r="QVN58" s="69"/>
      <c r="QVO58" s="69"/>
      <c r="QVP58" s="69"/>
      <c r="QVQ58" s="69"/>
      <c r="QVR58" s="69"/>
      <c r="QVS58" s="69"/>
      <c r="QVT58" s="69"/>
      <c r="QVU58" s="69"/>
      <c r="QVV58" s="69"/>
      <c r="QVW58" s="69"/>
      <c r="QVX58" s="69"/>
      <c r="QVY58" s="69"/>
      <c r="QVZ58" s="69"/>
      <c r="QWA58" s="69"/>
      <c r="QWB58" s="69"/>
      <c r="QWC58" s="69"/>
      <c r="QWD58" s="69"/>
      <c r="QWE58" s="69"/>
      <c r="QWF58" s="69"/>
      <c r="QWG58" s="69"/>
      <c r="QWH58" s="69"/>
      <c r="QWI58" s="69"/>
      <c r="QWJ58" s="69"/>
      <c r="QWK58" s="69"/>
      <c r="QWL58" s="69"/>
      <c r="QWM58" s="69"/>
      <c r="QWN58" s="69"/>
      <c r="QWO58" s="69"/>
      <c r="QWP58" s="69"/>
      <c r="QWQ58" s="69"/>
      <c r="QWR58" s="69"/>
      <c r="QWS58" s="69"/>
      <c r="QWT58" s="69"/>
      <c r="QWU58" s="69"/>
      <c r="QWV58" s="69"/>
      <c r="QWW58" s="69"/>
      <c r="QWX58" s="69"/>
      <c r="QWY58" s="69"/>
      <c r="QWZ58" s="69"/>
      <c r="QXA58" s="69"/>
      <c r="QXB58" s="69"/>
      <c r="QXC58" s="69"/>
      <c r="QXD58" s="69"/>
      <c r="QXE58" s="69"/>
      <c r="QXF58" s="69"/>
      <c r="QXG58" s="69"/>
      <c r="QXH58" s="69"/>
      <c r="QXI58" s="69"/>
      <c r="QXJ58" s="69"/>
      <c r="QXK58" s="69"/>
      <c r="QXL58" s="69"/>
      <c r="QXM58" s="69"/>
      <c r="QXN58" s="69"/>
      <c r="QXO58" s="69"/>
      <c r="QXP58" s="69"/>
      <c r="QXQ58" s="69"/>
      <c r="QXR58" s="69"/>
      <c r="QXS58" s="69"/>
      <c r="QXT58" s="69"/>
      <c r="QXU58" s="69"/>
      <c r="QXV58" s="69"/>
      <c r="QXW58" s="69"/>
      <c r="QXX58" s="69"/>
      <c r="QXY58" s="69"/>
      <c r="QXZ58" s="69"/>
      <c r="QYA58" s="69"/>
      <c r="QYB58" s="69"/>
      <c r="QYC58" s="69"/>
      <c r="QYD58" s="69"/>
      <c r="QYE58" s="69"/>
      <c r="QYF58" s="69"/>
      <c r="QYG58" s="69"/>
      <c r="QYH58" s="69"/>
      <c r="QYI58" s="69"/>
      <c r="QYJ58" s="69"/>
      <c r="QYK58" s="69"/>
      <c r="QYL58" s="69"/>
      <c r="QYM58" s="69"/>
      <c r="QYN58" s="69"/>
      <c r="QYO58" s="69"/>
      <c r="QYP58" s="69"/>
      <c r="QYQ58" s="69"/>
      <c r="QYR58" s="69"/>
      <c r="QYS58" s="69"/>
      <c r="QYT58" s="69"/>
      <c r="QYU58" s="69"/>
      <c r="QYV58" s="69"/>
      <c r="QYW58" s="69"/>
      <c r="QYX58" s="69"/>
      <c r="QYY58" s="69"/>
      <c r="QYZ58" s="69"/>
      <c r="QZA58" s="69"/>
      <c r="QZB58" s="69"/>
      <c r="QZC58" s="69"/>
      <c r="QZD58" s="69"/>
      <c r="QZE58" s="69"/>
      <c r="QZF58" s="69"/>
      <c r="QZG58" s="69"/>
      <c r="QZH58" s="69"/>
      <c r="QZI58" s="69"/>
      <c r="QZJ58" s="69"/>
      <c r="QZK58" s="69"/>
      <c r="QZL58" s="69"/>
      <c r="QZM58" s="69"/>
      <c r="QZN58" s="69"/>
      <c r="QZO58" s="69"/>
      <c r="QZP58" s="69"/>
      <c r="QZQ58" s="69"/>
      <c r="QZR58" s="69"/>
      <c r="QZS58" s="69"/>
      <c r="QZT58" s="69"/>
      <c r="QZU58" s="69"/>
      <c r="QZV58" s="69"/>
      <c r="QZW58" s="69"/>
      <c r="QZX58" s="69"/>
      <c r="QZY58" s="69"/>
      <c r="QZZ58" s="69"/>
      <c r="RAA58" s="69"/>
      <c r="RAB58" s="69"/>
      <c r="RAC58" s="69"/>
      <c r="RAD58" s="69"/>
      <c r="RAE58" s="69"/>
      <c r="RAF58" s="69"/>
      <c r="RAG58" s="69"/>
      <c r="RAH58" s="69"/>
      <c r="RAI58" s="69"/>
      <c r="RAJ58" s="69"/>
      <c r="RAK58" s="69"/>
      <c r="RAL58" s="69"/>
      <c r="RAM58" s="69"/>
      <c r="RAN58" s="69"/>
      <c r="RAO58" s="69"/>
      <c r="RAP58" s="69"/>
      <c r="RAQ58" s="69"/>
      <c r="RAR58" s="69"/>
      <c r="RAS58" s="69"/>
      <c r="RAT58" s="69"/>
      <c r="RAU58" s="69"/>
      <c r="RAV58" s="69"/>
      <c r="RAW58" s="69"/>
      <c r="RAX58" s="69"/>
      <c r="RAY58" s="69"/>
      <c r="RAZ58" s="69"/>
      <c r="RBA58" s="69"/>
      <c r="RBB58" s="69"/>
      <c r="RBC58" s="69"/>
      <c r="RBD58" s="69"/>
      <c r="RBE58" s="69"/>
      <c r="RBF58" s="69"/>
      <c r="RBG58" s="69"/>
      <c r="RBH58" s="69"/>
      <c r="RBI58" s="69"/>
      <c r="RBJ58" s="69"/>
      <c r="RBK58" s="69"/>
      <c r="RBL58" s="69"/>
      <c r="RBM58" s="69"/>
      <c r="RBN58" s="69"/>
      <c r="RBO58" s="69"/>
      <c r="RBP58" s="69"/>
      <c r="RBQ58" s="69"/>
      <c r="RBR58" s="69"/>
      <c r="RBS58" s="69"/>
      <c r="RBT58" s="69"/>
      <c r="RBU58" s="69"/>
      <c r="RBV58" s="69"/>
      <c r="RBW58" s="69"/>
      <c r="RBX58" s="69"/>
      <c r="RBY58" s="69"/>
      <c r="RBZ58" s="69"/>
      <c r="RCA58" s="69"/>
      <c r="RCB58" s="69"/>
      <c r="RCC58" s="69"/>
      <c r="RCD58" s="69"/>
      <c r="RCE58" s="69"/>
      <c r="RCF58" s="69"/>
      <c r="RCG58" s="69"/>
      <c r="RCH58" s="69"/>
      <c r="RCI58" s="69"/>
      <c r="RCJ58" s="69"/>
      <c r="RCK58" s="69"/>
      <c r="RCL58" s="69"/>
      <c r="RCM58" s="69"/>
      <c r="RCN58" s="69"/>
      <c r="RCO58" s="69"/>
      <c r="RCP58" s="69"/>
      <c r="RCQ58" s="69"/>
      <c r="RCR58" s="69"/>
      <c r="RCS58" s="69"/>
      <c r="RCT58" s="69"/>
      <c r="RCU58" s="69"/>
      <c r="RCV58" s="69"/>
      <c r="RCW58" s="69"/>
      <c r="RCX58" s="69"/>
      <c r="RCY58" s="69"/>
      <c r="RCZ58" s="69"/>
      <c r="RDA58" s="69"/>
      <c r="RDB58" s="69"/>
      <c r="RDC58" s="69"/>
      <c r="RDD58" s="69"/>
      <c r="RDE58" s="69"/>
      <c r="RDF58" s="69"/>
      <c r="RDG58" s="69"/>
      <c r="RDH58" s="69"/>
      <c r="RDI58" s="69"/>
      <c r="RDJ58" s="69"/>
      <c r="RDK58" s="69"/>
      <c r="RDL58" s="69"/>
      <c r="RDM58" s="69"/>
      <c r="RDN58" s="69"/>
      <c r="RDO58" s="69"/>
      <c r="RDP58" s="69"/>
      <c r="RDQ58" s="69"/>
      <c r="RDR58" s="69"/>
      <c r="RDS58" s="69"/>
      <c r="RDT58" s="69"/>
      <c r="RDU58" s="69"/>
      <c r="RDV58" s="69"/>
      <c r="RDW58" s="69"/>
      <c r="RDX58" s="69"/>
      <c r="RDY58" s="69"/>
      <c r="RDZ58" s="69"/>
      <c r="REA58" s="69"/>
      <c r="REB58" s="69"/>
      <c r="REC58" s="69"/>
      <c r="RED58" s="69"/>
      <c r="REE58" s="69"/>
      <c r="REF58" s="69"/>
      <c r="REG58" s="69"/>
      <c r="REH58" s="69"/>
      <c r="REI58" s="69"/>
      <c r="REJ58" s="69"/>
      <c r="REK58" s="69"/>
      <c r="REL58" s="69"/>
      <c r="REM58" s="69"/>
      <c r="REN58" s="69"/>
      <c r="REO58" s="69"/>
      <c r="REP58" s="69"/>
      <c r="REQ58" s="69"/>
      <c r="RER58" s="69"/>
      <c r="RES58" s="69"/>
      <c r="RET58" s="69"/>
      <c r="REU58" s="69"/>
      <c r="REV58" s="69"/>
      <c r="REW58" s="69"/>
      <c r="REX58" s="69"/>
      <c r="REY58" s="69"/>
      <c r="REZ58" s="69"/>
      <c r="RFA58" s="69"/>
      <c r="RFB58" s="69"/>
      <c r="RFC58" s="69"/>
      <c r="RFD58" s="69"/>
      <c r="RFE58" s="69"/>
      <c r="RFF58" s="69"/>
      <c r="RFG58" s="69"/>
      <c r="RFH58" s="69"/>
      <c r="RFI58" s="69"/>
      <c r="RFJ58" s="69"/>
      <c r="RFK58" s="69"/>
      <c r="RFL58" s="69"/>
      <c r="RFM58" s="69"/>
      <c r="RFN58" s="69"/>
      <c r="RFO58" s="69"/>
      <c r="RFP58" s="69"/>
      <c r="RFQ58" s="69"/>
      <c r="RFR58" s="69"/>
      <c r="RFS58" s="69"/>
      <c r="RFT58" s="69"/>
      <c r="RFU58" s="69"/>
      <c r="RFV58" s="69"/>
      <c r="RFW58" s="69"/>
      <c r="RFX58" s="69"/>
      <c r="RFY58" s="69"/>
      <c r="RFZ58" s="69"/>
      <c r="RGA58" s="69"/>
      <c r="RGB58" s="69"/>
      <c r="RGC58" s="69"/>
      <c r="RGD58" s="69"/>
      <c r="RGE58" s="69"/>
      <c r="RGF58" s="69"/>
      <c r="RGG58" s="69"/>
      <c r="RGH58" s="69"/>
      <c r="RGI58" s="69"/>
      <c r="RGJ58" s="69"/>
      <c r="RGK58" s="69"/>
      <c r="RGL58" s="69"/>
      <c r="RGM58" s="69"/>
      <c r="RGN58" s="69"/>
      <c r="RGO58" s="69"/>
      <c r="RGP58" s="69"/>
      <c r="RGQ58" s="69"/>
      <c r="RGR58" s="69"/>
      <c r="RGS58" s="69"/>
      <c r="RGT58" s="69"/>
      <c r="RGU58" s="69"/>
      <c r="RGV58" s="69"/>
      <c r="RGW58" s="69"/>
      <c r="RGX58" s="69"/>
      <c r="RGY58" s="69"/>
      <c r="RGZ58" s="69"/>
      <c r="RHA58" s="69"/>
      <c r="RHB58" s="69"/>
      <c r="RHC58" s="69"/>
      <c r="RHD58" s="69"/>
      <c r="RHE58" s="69"/>
      <c r="RHF58" s="69"/>
      <c r="RHG58" s="69"/>
      <c r="RHH58" s="69"/>
      <c r="RHI58" s="69"/>
      <c r="RHJ58" s="69"/>
      <c r="RHK58" s="69"/>
      <c r="RHL58" s="69"/>
      <c r="RHM58" s="69"/>
      <c r="RHN58" s="69"/>
      <c r="RHO58" s="69"/>
      <c r="RHP58" s="69"/>
      <c r="RHQ58" s="69"/>
      <c r="RHR58" s="69"/>
      <c r="RHS58" s="69"/>
      <c r="RHT58" s="69"/>
      <c r="RHU58" s="69"/>
      <c r="RHV58" s="69"/>
      <c r="RHW58" s="69"/>
      <c r="RHX58" s="69"/>
      <c r="RHY58" s="69"/>
      <c r="RHZ58" s="69"/>
      <c r="RIA58" s="69"/>
      <c r="RIB58" s="69"/>
      <c r="RIC58" s="69"/>
      <c r="RID58" s="69"/>
      <c r="RIE58" s="69"/>
      <c r="RIF58" s="69"/>
      <c r="RIG58" s="69"/>
      <c r="RIH58" s="69"/>
      <c r="RII58" s="69"/>
      <c r="RIJ58" s="69"/>
      <c r="RIK58" s="69"/>
      <c r="RIL58" s="69"/>
      <c r="RIM58" s="69"/>
      <c r="RIN58" s="69"/>
      <c r="RIO58" s="69"/>
      <c r="RIP58" s="69"/>
      <c r="RIQ58" s="69"/>
      <c r="RIR58" s="69"/>
      <c r="RIS58" s="69"/>
      <c r="RIT58" s="69"/>
      <c r="RIU58" s="69"/>
      <c r="RIV58" s="69"/>
      <c r="RIW58" s="69"/>
      <c r="RIX58" s="69"/>
      <c r="RIY58" s="69"/>
      <c r="RIZ58" s="69"/>
      <c r="RJA58" s="69"/>
      <c r="RJB58" s="69"/>
      <c r="RJC58" s="69"/>
      <c r="RJD58" s="69"/>
      <c r="RJE58" s="69"/>
      <c r="RJF58" s="69"/>
      <c r="RJG58" s="69"/>
      <c r="RJH58" s="69"/>
      <c r="RJI58" s="69"/>
      <c r="RJJ58" s="69"/>
      <c r="RJK58" s="69"/>
      <c r="RJL58" s="69"/>
      <c r="RJM58" s="69"/>
      <c r="RJN58" s="69"/>
      <c r="RJO58" s="69"/>
      <c r="RJP58" s="69"/>
      <c r="RJQ58" s="69"/>
      <c r="RJR58" s="69"/>
      <c r="RJS58" s="69"/>
      <c r="RJT58" s="69"/>
      <c r="RJU58" s="69"/>
      <c r="RJV58" s="69"/>
      <c r="RJW58" s="69"/>
      <c r="RJX58" s="69"/>
      <c r="RJY58" s="69"/>
      <c r="RJZ58" s="69"/>
      <c r="RKA58" s="69"/>
      <c r="RKB58" s="69"/>
      <c r="RKC58" s="69"/>
      <c r="RKD58" s="69"/>
      <c r="RKE58" s="69"/>
      <c r="RKF58" s="69"/>
      <c r="RKG58" s="69"/>
      <c r="RKH58" s="69"/>
      <c r="RKI58" s="69"/>
      <c r="RKJ58" s="69"/>
      <c r="RKK58" s="69"/>
      <c r="RKL58" s="69"/>
      <c r="RKM58" s="69"/>
      <c r="RKN58" s="69"/>
      <c r="RKO58" s="69"/>
      <c r="RKP58" s="69"/>
      <c r="RKQ58" s="69"/>
      <c r="RKR58" s="69"/>
      <c r="RKS58" s="69"/>
      <c r="RKT58" s="69"/>
      <c r="RKU58" s="69"/>
      <c r="RKV58" s="69"/>
      <c r="RKW58" s="69"/>
      <c r="RKX58" s="69"/>
      <c r="RKY58" s="69"/>
      <c r="RKZ58" s="69"/>
      <c r="RLA58" s="69"/>
      <c r="RLB58" s="69"/>
      <c r="RLC58" s="69"/>
      <c r="RLD58" s="69"/>
      <c r="RLE58" s="69"/>
      <c r="RLF58" s="69"/>
      <c r="RLG58" s="69"/>
      <c r="RLH58" s="69"/>
      <c r="RLI58" s="69"/>
      <c r="RLJ58" s="69"/>
      <c r="RLK58" s="69"/>
      <c r="RLL58" s="69"/>
      <c r="RLM58" s="69"/>
      <c r="RLN58" s="69"/>
      <c r="RLO58" s="69"/>
      <c r="RLP58" s="69"/>
      <c r="RLQ58" s="69"/>
      <c r="RLR58" s="69"/>
      <c r="RLS58" s="69"/>
      <c r="RLT58" s="69"/>
      <c r="RLU58" s="69"/>
      <c r="RLV58" s="69"/>
      <c r="RLW58" s="69"/>
      <c r="RLX58" s="69"/>
      <c r="RLY58" s="69"/>
      <c r="RLZ58" s="69"/>
      <c r="RMA58" s="69"/>
      <c r="RMB58" s="69"/>
      <c r="RMC58" s="69"/>
      <c r="RMD58" s="69"/>
      <c r="RME58" s="69"/>
      <c r="RMF58" s="69"/>
      <c r="RMG58" s="69"/>
      <c r="RMH58" s="69"/>
      <c r="RMI58" s="69"/>
      <c r="RMJ58" s="69"/>
      <c r="RMK58" s="69"/>
      <c r="RML58" s="69"/>
      <c r="RMM58" s="69"/>
      <c r="RMN58" s="69"/>
      <c r="RMO58" s="69"/>
      <c r="RMP58" s="69"/>
      <c r="RMQ58" s="69"/>
      <c r="RMR58" s="69"/>
      <c r="RMS58" s="69"/>
      <c r="RMT58" s="69"/>
      <c r="RMU58" s="69"/>
      <c r="RMV58" s="69"/>
      <c r="RMW58" s="69"/>
      <c r="RMX58" s="69"/>
      <c r="RMY58" s="69"/>
      <c r="RMZ58" s="69"/>
      <c r="RNA58" s="69"/>
      <c r="RNB58" s="69"/>
      <c r="RNC58" s="69"/>
      <c r="RND58" s="69"/>
      <c r="RNE58" s="69"/>
      <c r="RNF58" s="69"/>
      <c r="RNG58" s="69"/>
      <c r="RNH58" s="69"/>
      <c r="RNI58" s="69"/>
      <c r="RNJ58" s="69"/>
      <c r="RNK58" s="69"/>
      <c r="RNL58" s="69"/>
      <c r="RNM58" s="69"/>
      <c r="RNN58" s="69"/>
      <c r="RNO58" s="69"/>
      <c r="RNP58" s="69"/>
      <c r="RNQ58" s="69"/>
      <c r="RNR58" s="69"/>
      <c r="RNS58" s="69"/>
      <c r="RNT58" s="69"/>
      <c r="RNU58" s="69"/>
      <c r="RNV58" s="69"/>
      <c r="RNW58" s="69"/>
      <c r="RNX58" s="69"/>
      <c r="RNY58" s="69"/>
      <c r="RNZ58" s="69"/>
      <c r="ROA58" s="69"/>
      <c r="ROB58" s="69"/>
      <c r="ROC58" s="69"/>
      <c r="ROD58" s="69"/>
      <c r="ROE58" s="69"/>
      <c r="ROF58" s="69"/>
      <c r="ROG58" s="69"/>
      <c r="ROH58" s="69"/>
      <c r="ROI58" s="69"/>
      <c r="ROJ58" s="69"/>
      <c r="ROK58" s="69"/>
      <c r="ROL58" s="69"/>
      <c r="ROM58" s="69"/>
      <c r="RON58" s="69"/>
      <c r="ROO58" s="69"/>
      <c r="ROP58" s="69"/>
      <c r="ROQ58" s="69"/>
      <c r="ROR58" s="69"/>
      <c r="ROS58" s="69"/>
      <c r="ROT58" s="69"/>
      <c r="ROU58" s="69"/>
      <c r="ROV58" s="69"/>
      <c r="ROW58" s="69"/>
      <c r="ROX58" s="69"/>
      <c r="ROY58" s="69"/>
      <c r="ROZ58" s="69"/>
      <c r="RPA58" s="69"/>
      <c r="RPB58" s="69"/>
      <c r="RPC58" s="69"/>
      <c r="RPD58" s="69"/>
      <c r="RPE58" s="69"/>
      <c r="RPF58" s="69"/>
      <c r="RPG58" s="69"/>
      <c r="RPH58" s="69"/>
      <c r="RPI58" s="69"/>
      <c r="RPJ58" s="69"/>
      <c r="RPK58" s="69"/>
      <c r="RPL58" s="69"/>
      <c r="RPM58" s="69"/>
      <c r="RPN58" s="69"/>
      <c r="RPO58" s="69"/>
      <c r="RPP58" s="69"/>
      <c r="RPQ58" s="69"/>
      <c r="RPR58" s="69"/>
      <c r="RPS58" s="69"/>
      <c r="RPT58" s="69"/>
      <c r="RPU58" s="69"/>
      <c r="RPV58" s="69"/>
      <c r="RPW58" s="69"/>
      <c r="RPX58" s="69"/>
      <c r="RPY58" s="69"/>
      <c r="RPZ58" s="69"/>
      <c r="RQA58" s="69"/>
      <c r="RQB58" s="69"/>
      <c r="RQC58" s="69"/>
      <c r="RQD58" s="69"/>
      <c r="RQE58" s="69"/>
      <c r="RQF58" s="69"/>
      <c r="RQG58" s="69"/>
      <c r="RQH58" s="69"/>
      <c r="RQI58" s="69"/>
      <c r="RQJ58" s="69"/>
      <c r="RQK58" s="69"/>
      <c r="RQL58" s="69"/>
      <c r="RQM58" s="69"/>
      <c r="RQN58" s="69"/>
      <c r="RQO58" s="69"/>
      <c r="RQP58" s="69"/>
      <c r="RQQ58" s="69"/>
      <c r="RQR58" s="69"/>
      <c r="RQS58" s="69"/>
      <c r="RQT58" s="69"/>
      <c r="RQU58" s="69"/>
      <c r="RQV58" s="69"/>
      <c r="RQW58" s="69"/>
      <c r="RQX58" s="69"/>
      <c r="RQY58" s="69"/>
      <c r="RQZ58" s="69"/>
      <c r="RRA58" s="69"/>
      <c r="RRB58" s="69"/>
      <c r="RRC58" s="69"/>
      <c r="RRD58" s="69"/>
      <c r="RRE58" s="69"/>
      <c r="RRF58" s="69"/>
      <c r="RRG58" s="69"/>
      <c r="RRH58" s="69"/>
      <c r="RRI58" s="69"/>
      <c r="RRJ58" s="69"/>
      <c r="RRK58" s="69"/>
      <c r="RRL58" s="69"/>
      <c r="RRM58" s="69"/>
      <c r="RRN58" s="69"/>
      <c r="RRO58" s="69"/>
      <c r="RRP58" s="69"/>
      <c r="RRQ58" s="69"/>
      <c r="RRR58" s="69"/>
      <c r="RRS58" s="69"/>
      <c r="RRT58" s="69"/>
      <c r="RRU58" s="69"/>
      <c r="RRV58" s="69"/>
      <c r="RRW58" s="69"/>
      <c r="RRX58" s="69"/>
      <c r="RRY58" s="69"/>
      <c r="RRZ58" s="69"/>
      <c r="RSA58" s="69"/>
      <c r="RSB58" s="69"/>
      <c r="RSC58" s="69"/>
      <c r="RSD58" s="69"/>
      <c r="RSE58" s="69"/>
      <c r="RSF58" s="69"/>
      <c r="RSG58" s="69"/>
      <c r="RSH58" s="69"/>
      <c r="RSI58" s="69"/>
      <c r="RSJ58" s="69"/>
      <c r="RSK58" s="69"/>
      <c r="RSL58" s="69"/>
      <c r="RSM58" s="69"/>
      <c r="RSN58" s="69"/>
      <c r="RSO58" s="69"/>
      <c r="RSP58" s="69"/>
      <c r="RSQ58" s="69"/>
      <c r="RSR58" s="69"/>
      <c r="RSS58" s="69"/>
      <c r="RST58" s="69"/>
      <c r="RSU58" s="69"/>
      <c r="RSV58" s="69"/>
      <c r="RSW58" s="69"/>
      <c r="RSX58" s="69"/>
      <c r="RSY58" s="69"/>
      <c r="RSZ58" s="69"/>
      <c r="RTA58" s="69"/>
      <c r="RTB58" s="69"/>
      <c r="RTC58" s="69"/>
      <c r="RTD58" s="69"/>
      <c r="RTE58" s="69"/>
      <c r="RTF58" s="69"/>
      <c r="RTG58" s="69"/>
      <c r="RTH58" s="69"/>
      <c r="RTI58" s="69"/>
      <c r="RTJ58" s="69"/>
      <c r="RTK58" s="69"/>
      <c r="RTL58" s="69"/>
      <c r="RTM58" s="69"/>
      <c r="RTN58" s="69"/>
      <c r="RTO58" s="69"/>
      <c r="RTP58" s="69"/>
      <c r="RTQ58" s="69"/>
      <c r="RTR58" s="69"/>
      <c r="RTS58" s="69"/>
      <c r="RTT58" s="69"/>
      <c r="RTU58" s="69"/>
      <c r="RTV58" s="69"/>
      <c r="RTW58" s="69"/>
      <c r="RTX58" s="69"/>
      <c r="RTY58" s="69"/>
      <c r="RTZ58" s="69"/>
      <c r="RUA58" s="69"/>
      <c r="RUB58" s="69"/>
      <c r="RUC58" s="69"/>
      <c r="RUD58" s="69"/>
      <c r="RUE58" s="69"/>
      <c r="RUF58" s="69"/>
      <c r="RUG58" s="69"/>
      <c r="RUH58" s="69"/>
      <c r="RUI58" s="69"/>
      <c r="RUJ58" s="69"/>
      <c r="RUK58" s="69"/>
      <c r="RUL58" s="69"/>
      <c r="RUM58" s="69"/>
      <c r="RUN58" s="69"/>
      <c r="RUO58" s="69"/>
      <c r="RUP58" s="69"/>
      <c r="RUQ58" s="69"/>
      <c r="RUR58" s="69"/>
      <c r="RUS58" s="69"/>
      <c r="RUT58" s="69"/>
      <c r="RUU58" s="69"/>
      <c r="RUV58" s="69"/>
      <c r="RUW58" s="69"/>
      <c r="RUX58" s="69"/>
      <c r="RUY58" s="69"/>
      <c r="RUZ58" s="69"/>
      <c r="RVA58" s="69"/>
      <c r="RVB58" s="69"/>
      <c r="RVC58" s="69"/>
      <c r="RVD58" s="69"/>
      <c r="RVE58" s="69"/>
      <c r="RVF58" s="69"/>
      <c r="RVG58" s="69"/>
      <c r="RVH58" s="69"/>
      <c r="RVI58" s="69"/>
      <c r="RVJ58" s="69"/>
      <c r="RVK58" s="69"/>
      <c r="RVL58" s="69"/>
      <c r="RVM58" s="69"/>
      <c r="RVN58" s="69"/>
      <c r="RVO58" s="69"/>
      <c r="RVP58" s="69"/>
      <c r="RVQ58" s="69"/>
      <c r="RVR58" s="69"/>
      <c r="RVS58" s="69"/>
      <c r="RVT58" s="69"/>
      <c r="RVU58" s="69"/>
      <c r="RVV58" s="69"/>
      <c r="RVW58" s="69"/>
      <c r="RVX58" s="69"/>
      <c r="RVY58" s="69"/>
      <c r="RVZ58" s="69"/>
      <c r="RWA58" s="69"/>
      <c r="RWB58" s="69"/>
      <c r="RWC58" s="69"/>
      <c r="RWD58" s="69"/>
      <c r="RWE58" s="69"/>
      <c r="RWF58" s="69"/>
      <c r="RWG58" s="69"/>
      <c r="RWH58" s="69"/>
      <c r="RWI58" s="69"/>
      <c r="RWJ58" s="69"/>
      <c r="RWK58" s="69"/>
      <c r="RWL58" s="69"/>
      <c r="RWM58" s="69"/>
      <c r="RWN58" s="69"/>
      <c r="RWO58" s="69"/>
      <c r="RWP58" s="69"/>
      <c r="RWQ58" s="69"/>
      <c r="RWR58" s="69"/>
      <c r="RWS58" s="69"/>
      <c r="RWT58" s="69"/>
      <c r="RWU58" s="69"/>
      <c r="RWV58" s="69"/>
      <c r="RWW58" s="69"/>
      <c r="RWX58" s="69"/>
      <c r="RWY58" s="69"/>
      <c r="RWZ58" s="69"/>
      <c r="RXA58" s="69"/>
      <c r="RXB58" s="69"/>
      <c r="RXC58" s="69"/>
      <c r="RXD58" s="69"/>
      <c r="RXE58" s="69"/>
      <c r="RXF58" s="69"/>
      <c r="RXG58" s="69"/>
      <c r="RXH58" s="69"/>
      <c r="RXI58" s="69"/>
      <c r="RXJ58" s="69"/>
      <c r="RXK58" s="69"/>
      <c r="RXL58" s="69"/>
      <c r="RXM58" s="69"/>
      <c r="RXN58" s="69"/>
      <c r="RXO58" s="69"/>
      <c r="RXP58" s="69"/>
      <c r="RXQ58" s="69"/>
      <c r="RXR58" s="69"/>
      <c r="RXS58" s="69"/>
      <c r="RXT58" s="69"/>
      <c r="RXU58" s="69"/>
      <c r="RXV58" s="69"/>
      <c r="RXW58" s="69"/>
      <c r="RXX58" s="69"/>
      <c r="RXY58" s="69"/>
      <c r="RXZ58" s="69"/>
      <c r="RYA58" s="69"/>
      <c r="RYB58" s="69"/>
      <c r="RYC58" s="69"/>
      <c r="RYD58" s="69"/>
      <c r="RYE58" s="69"/>
      <c r="RYF58" s="69"/>
      <c r="RYG58" s="69"/>
      <c r="RYH58" s="69"/>
      <c r="RYI58" s="69"/>
      <c r="RYJ58" s="69"/>
      <c r="RYK58" s="69"/>
      <c r="RYL58" s="69"/>
      <c r="RYM58" s="69"/>
      <c r="RYN58" s="69"/>
      <c r="RYO58" s="69"/>
      <c r="RYP58" s="69"/>
      <c r="RYQ58" s="69"/>
      <c r="RYR58" s="69"/>
      <c r="RYS58" s="69"/>
      <c r="RYT58" s="69"/>
      <c r="RYU58" s="69"/>
      <c r="RYV58" s="69"/>
      <c r="RYW58" s="69"/>
      <c r="RYX58" s="69"/>
      <c r="RYY58" s="69"/>
      <c r="RYZ58" s="69"/>
      <c r="RZA58" s="69"/>
      <c r="RZB58" s="69"/>
      <c r="RZC58" s="69"/>
      <c r="RZD58" s="69"/>
      <c r="RZE58" s="69"/>
      <c r="RZF58" s="69"/>
      <c r="RZG58" s="69"/>
      <c r="RZH58" s="69"/>
      <c r="RZI58" s="69"/>
      <c r="RZJ58" s="69"/>
      <c r="RZK58" s="69"/>
      <c r="RZL58" s="69"/>
      <c r="RZM58" s="69"/>
      <c r="RZN58" s="69"/>
      <c r="RZO58" s="69"/>
      <c r="RZP58" s="69"/>
      <c r="RZQ58" s="69"/>
      <c r="RZR58" s="69"/>
      <c r="RZS58" s="69"/>
      <c r="RZT58" s="69"/>
      <c r="RZU58" s="69"/>
      <c r="RZV58" s="69"/>
      <c r="RZW58" s="69"/>
      <c r="RZX58" s="69"/>
      <c r="RZY58" s="69"/>
      <c r="RZZ58" s="69"/>
      <c r="SAA58" s="69"/>
      <c r="SAB58" s="69"/>
      <c r="SAC58" s="69"/>
      <c r="SAD58" s="69"/>
      <c r="SAE58" s="69"/>
      <c r="SAF58" s="69"/>
      <c r="SAG58" s="69"/>
      <c r="SAH58" s="69"/>
      <c r="SAI58" s="69"/>
      <c r="SAJ58" s="69"/>
      <c r="SAK58" s="69"/>
      <c r="SAL58" s="69"/>
      <c r="SAM58" s="69"/>
      <c r="SAN58" s="69"/>
      <c r="SAO58" s="69"/>
      <c r="SAP58" s="69"/>
      <c r="SAQ58" s="69"/>
      <c r="SAR58" s="69"/>
      <c r="SAS58" s="69"/>
      <c r="SAT58" s="69"/>
      <c r="SAU58" s="69"/>
      <c r="SAV58" s="69"/>
      <c r="SAW58" s="69"/>
      <c r="SAX58" s="69"/>
      <c r="SAY58" s="69"/>
      <c r="SAZ58" s="69"/>
      <c r="SBA58" s="69"/>
      <c r="SBB58" s="69"/>
      <c r="SBC58" s="69"/>
      <c r="SBD58" s="69"/>
      <c r="SBE58" s="69"/>
      <c r="SBF58" s="69"/>
      <c r="SBG58" s="69"/>
      <c r="SBH58" s="69"/>
      <c r="SBI58" s="69"/>
      <c r="SBJ58" s="69"/>
      <c r="SBK58" s="69"/>
      <c r="SBL58" s="69"/>
      <c r="SBM58" s="69"/>
      <c r="SBN58" s="69"/>
      <c r="SBO58" s="69"/>
      <c r="SBP58" s="69"/>
      <c r="SBQ58" s="69"/>
      <c r="SBR58" s="69"/>
      <c r="SBS58" s="69"/>
      <c r="SBT58" s="69"/>
      <c r="SBU58" s="69"/>
      <c r="SBV58" s="69"/>
      <c r="SBW58" s="69"/>
      <c r="SBX58" s="69"/>
      <c r="SBY58" s="69"/>
      <c r="SBZ58" s="69"/>
      <c r="SCA58" s="69"/>
      <c r="SCB58" s="69"/>
      <c r="SCC58" s="69"/>
      <c r="SCD58" s="69"/>
      <c r="SCE58" s="69"/>
      <c r="SCF58" s="69"/>
      <c r="SCG58" s="69"/>
      <c r="SCH58" s="69"/>
      <c r="SCI58" s="69"/>
      <c r="SCJ58" s="69"/>
      <c r="SCK58" s="69"/>
      <c r="SCL58" s="69"/>
      <c r="SCM58" s="69"/>
      <c r="SCN58" s="69"/>
      <c r="SCO58" s="69"/>
      <c r="SCP58" s="69"/>
      <c r="SCQ58" s="69"/>
      <c r="SCR58" s="69"/>
      <c r="SCS58" s="69"/>
      <c r="SCT58" s="69"/>
      <c r="SCU58" s="69"/>
      <c r="SCV58" s="69"/>
      <c r="SCW58" s="69"/>
      <c r="SCX58" s="69"/>
      <c r="SCY58" s="69"/>
      <c r="SCZ58" s="69"/>
      <c r="SDA58" s="69"/>
      <c r="SDB58" s="69"/>
      <c r="SDC58" s="69"/>
      <c r="SDD58" s="69"/>
      <c r="SDE58" s="69"/>
      <c r="SDF58" s="69"/>
      <c r="SDG58" s="69"/>
      <c r="SDH58" s="69"/>
      <c r="SDI58" s="69"/>
      <c r="SDJ58" s="69"/>
      <c r="SDK58" s="69"/>
      <c r="SDL58" s="69"/>
      <c r="SDM58" s="69"/>
      <c r="SDN58" s="69"/>
      <c r="SDO58" s="69"/>
      <c r="SDP58" s="69"/>
      <c r="SDQ58" s="69"/>
      <c r="SDR58" s="69"/>
      <c r="SDS58" s="69"/>
      <c r="SDT58" s="69"/>
      <c r="SDU58" s="69"/>
      <c r="SDV58" s="69"/>
      <c r="SDW58" s="69"/>
      <c r="SDX58" s="69"/>
      <c r="SDY58" s="69"/>
      <c r="SDZ58" s="69"/>
      <c r="SEA58" s="69"/>
      <c r="SEB58" s="69"/>
      <c r="SEC58" s="69"/>
      <c r="SED58" s="69"/>
      <c r="SEE58" s="69"/>
      <c r="SEF58" s="69"/>
      <c r="SEG58" s="69"/>
      <c r="SEH58" s="69"/>
      <c r="SEI58" s="69"/>
      <c r="SEJ58" s="69"/>
      <c r="SEK58" s="69"/>
      <c r="SEL58" s="69"/>
      <c r="SEM58" s="69"/>
      <c r="SEN58" s="69"/>
      <c r="SEO58" s="69"/>
      <c r="SEP58" s="69"/>
      <c r="SEQ58" s="69"/>
      <c r="SER58" s="69"/>
      <c r="SES58" s="69"/>
      <c r="SET58" s="69"/>
      <c r="SEU58" s="69"/>
      <c r="SEV58" s="69"/>
      <c r="SEW58" s="69"/>
      <c r="SEX58" s="69"/>
      <c r="SEY58" s="69"/>
      <c r="SEZ58" s="69"/>
      <c r="SFA58" s="69"/>
      <c r="SFB58" s="69"/>
      <c r="SFC58" s="69"/>
      <c r="SFD58" s="69"/>
      <c r="SFE58" s="69"/>
      <c r="SFF58" s="69"/>
      <c r="SFG58" s="69"/>
      <c r="SFH58" s="69"/>
      <c r="SFI58" s="69"/>
      <c r="SFJ58" s="69"/>
      <c r="SFK58" s="69"/>
      <c r="SFL58" s="69"/>
      <c r="SFM58" s="69"/>
      <c r="SFN58" s="69"/>
      <c r="SFO58" s="69"/>
      <c r="SFP58" s="69"/>
      <c r="SFQ58" s="69"/>
      <c r="SFR58" s="69"/>
      <c r="SFS58" s="69"/>
      <c r="SFT58" s="69"/>
      <c r="SFU58" s="69"/>
      <c r="SFV58" s="69"/>
      <c r="SFW58" s="69"/>
      <c r="SFX58" s="69"/>
      <c r="SFY58" s="69"/>
      <c r="SFZ58" s="69"/>
      <c r="SGA58" s="69"/>
      <c r="SGB58" s="69"/>
      <c r="SGC58" s="69"/>
      <c r="SGD58" s="69"/>
      <c r="SGE58" s="69"/>
      <c r="SGF58" s="69"/>
      <c r="SGG58" s="69"/>
      <c r="SGH58" s="69"/>
      <c r="SGI58" s="69"/>
      <c r="SGJ58" s="69"/>
      <c r="SGK58" s="69"/>
      <c r="SGL58" s="69"/>
      <c r="SGM58" s="69"/>
      <c r="SGN58" s="69"/>
      <c r="SGO58" s="69"/>
      <c r="SGP58" s="69"/>
      <c r="SGQ58" s="69"/>
      <c r="SGR58" s="69"/>
      <c r="SGS58" s="69"/>
      <c r="SGT58" s="69"/>
      <c r="SGU58" s="69"/>
      <c r="SGV58" s="69"/>
      <c r="SGW58" s="69"/>
      <c r="SGX58" s="69"/>
      <c r="SGY58" s="69"/>
      <c r="SGZ58" s="69"/>
      <c r="SHA58" s="69"/>
      <c r="SHB58" s="69"/>
      <c r="SHC58" s="69"/>
      <c r="SHD58" s="69"/>
      <c r="SHE58" s="69"/>
      <c r="SHF58" s="69"/>
      <c r="SHG58" s="69"/>
      <c r="SHH58" s="69"/>
      <c r="SHI58" s="69"/>
      <c r="SHJ58" s="69"/>
      <c r="SHK58" s="69"/>
      <c r="SHL58" s="69"/>
      <c r="SHM58" s="69"/>
      <c r="SHN58" s="69"/>
      <c r="SHO58" s="69"/>
      <c r="SHP58" s="69"/>
      <c r="SHQ58" s="69"/>
      <c r="SHR58" s="69"/>
      <c r="SHS58" s="69"/>
      <c r="SHT58" s="69"/>
      <c r="SHU58" s="69"/>
      <c r="SHV58" s="69"/>
      <c r="SHW58" s="69"/>
      <c r="SHX58" s="69"/>
      <c r="SHY58" s="69"/>
      <c r="SHZ58" s="69"/>
      <c r="SIA58" s="69"/>
      <c r="SIB58" s="69"/>
      <c r="SIC58" s="69"/>
      <c r="SID58" s="69"/>
      <c r="SIE58" s="69"/>
      <c r="SIF58" s="69"/>
      <c r="SIG58" s="69"/>
      <c r="SIH58" s="69"/>
      <c r="SII58" s="69"/>
      <c r="SIJ58" s="69"/>
      <c r="SIK58" s="69"/>
      <c r="SIL58" s="69"/>
      <c r="SIM58" s="69"/>
      <c r="SIN58" s="69"/>
      <c r="SIO58" s="69"/>
      <c r="SIP58" s="69"/>
      <c r="SIQ58" s="69"/>
      <c r="SIR58" s="69"/>
      <c r="SIS58" s="69"/>
      <c r="SIT58" s="69"/>
      <c r="SIU58" s="69"/>
      <c r="SIV58" s="69"/>
      <c r="SIW58" s="69"/>
      <c r="SIX58" s="69"/>
      <c r="SIY58" s="69"/>
      <c r="SIZ58" s="69"/>
      <c r="SJA58" s="69"/>
      <c r="SJB58" s="69"/>
      <c r="SJC58" s="69"/>
      <c r="SJD58" s="69"/>
      <c r="SJE58" s="69"/>
      <c r="SJF58" s="69"/>
      <c r="SJG58" s="69"/>
      <c r="SJH58" s="69"/>
      <c r="SJI58" s="69"/>
      <c r="SJJ58" s="69"/>
      <c r="SJK58" s="69"/>
      <c r="SJL58" s="69"/>
      <c r="SJM58" s="69"/>
      <c r="SJN58" s="69"/>
      <c r="SJO58" s="69"/>
      <c r="SJP58" s="69"/>
      <c r="SJQ58" s="69"/>
      <c r="SJR58" s="69"/>
      <c r="SJS58" s="69"/>
      <c r="SJT58" s="69"/>
      <c r="SJU58" s="69"/>
      <c r="SJV58" s="69"/>
      <c r="SJW58" s="69"/>
      <c r="SJX58" s="69"/>
      <c r="SJY58" s="69"/>
      <c r="SJZ58" s="69"/>
      <c r="SKA58" s="69"/>
      <c r="SKB58" s="69"/>
      <c r="SKC58" s="69"/>
      <c r="SKD58" s="69"/>
      <c r="SKE58" s="69"/>
      <c r="SKF58" s="69"/>
      <c r="SKG58" s="69"/>
      <c r="SKH58" s="69"/>
      <c r="SKI58" s="69"/>
      <c r="SKJ58" s="69"/>
      <c r="SKK58" s="69"/>
      <c r="SKL58" s="69"/>
      <c r="SKM58" s="69"/>
      <c r="SKN58" s="69"/>
      <c r="SKO58" s="69"/>
      <c r="SKP58" s="69"/>
      <c r="SKQ58" s="69"/>
      <c r="SKR58" s="69"/>
      <c r="SKS58" s="69"/>
      <c r="SKT58" s="69"/>
      <c r="SKU58" s="69"/>
      <c r="SKV58" s="69"/>
      <c r="SKW58" s="69"/>
      <c r="SKX58" s="69"/>
      <c r="SKY58" s="69"/>
      <c r="SKZ58" s="69"/>
      <c r="SLA58" s="69"/>
      <c r="SLB58" s="69"/>
      <c r="SLC58" s="69"/>
      <c r="SLD58" s="69"/>
      <c r="SLE58" s="69"/>
      <c r="SLF58" s="69"/>
      <c r="SLG58" s="69"/>
      <c r="SLH58" s="69"/>
      <c r="SLI58" s="69"/>
      <c r="SLJ58" s="69"/>
      <c r="SLK58" s="69"/>
      <c r="SLL58" s="69"/>
      <c r="SLM58" s="69"/>
      <c r="SLN58" s="69"/>
      <c r="SLO58" s="69"/>
      <c r="SLP58" s="69"/>
      <c r="SLQ58" s="69"/>
      <c r="SLR58" s="69"/>
      <c r="SLS58" s="69"/>
      <c r="SLT58" s="69"/>
      <c r="SLU58" s="69"/>
      <c r="SLV58" s="69"/>
      <c r="SLW58" s="69"/>
      <c r="SLX58" s="69"/>
      <c r="SLY58" s="69"/>
      <c r="SLZ58" s="69"/>
      <c r="SMA58" s="69"/>
      <c r="SMB58" s="69"/>
      <c r="SMC58" s="69"/>
      <c r="SMD58" s="69"/>
      <c r="SME58" s="69"/>
      <c r="SMF58" s="69"/>
      <c r="SMG58" s="69"/>
      <c r="SMH58" s="69"/>
      <c r="SMI58" s="69"/>
      <c r="SMJ58" s="69"/>
      <c r="SMK58" s="69"/>
      <c r="SML58" s="69"/>
      <c r="SMM58" s="69"/>
      <c r="SMN58" s="69"/>
      <c r="SMO58" s="69"/>
      <c r="SMP58" s="69"/>
      <c r="SMQ58" s="69"/>
      <c r="SMR58" s="69"/>
      <c r="SMS58" s="69"/>
      <c r="SMT58" s="69"/>
      <c r="SMU58" s="69"/>
      <c r="SMV58" s="69"/>
      <c r="SMW58" s="69"/>
      <c r="SMX58" s="69"/>
      <c r="SMY58" s="69"/>
      <c r="SMZ58" s="69"/>
      <c r="SNA58" s="69"/>
      <c r="SNB58" s="69"/>
      <c r="SNC58" s="69"/>
      <c r="SND58" s="69"/>
      <c r="SNE58" s="69"/>
      <c r="SNF58" s="69"/>
      <c r="SNG58" s="69"/>
      <c r="SNH58" s="69"/>
      <c r="SNI58" s="69"/>
      <c r="SNJ58" s="69"/>
      <c r="SNK58" s="69"/>
      <c r="SNL58" s="69"/>
      <c r="SNM58" s="69"/>
      <c r="SNN58" s="69"/>
      <c r="SNO58" s="69"/>
      <c r="SNP58" s="69"/>
      <c r="SNQ58" s="69"/>
      <c r="SNR58" s="69"/>
      <c r="SNS58" s="69"/>
      <c r="SNT58" s="69"/>
      <c r="SNU58" s="69"/>
      <c r="SNV58" s="69"/>
      <c r="SNW58" s="69"/>
      <c r="SNX58" s="69"/>
      <c r="SNY58" s="69"/>
      <c r="SNZ58" s="69"/>
      <c r="SOA58" s="69"/>
      <c r="SOB58" s="69"/>
      <c r="SOC58" s="69"/>
      <c r="SOD58" s="69"/>
      <c r="SOE58" s="69"/>
      <c r="SOF58" s="69"/>
      <c r="SOG58" s="69"/>
      <c r="SOH58" s="69"/>
      <c r="SOI58" s="69"/>
      <c r="SOJ58" s="69"/>
      <c r="SOK58" s="69"/>
      <c r="SOL58" s="69"/>
      <c r="SOM58" s="69"/>
      <c r="SON58" s="69"/>
      <c r="SOO58" s="69"/>
      <c r="SOP58" s="69"/>
      <c r="SOQ58" s="69"/>
      <c r="SOR58" s="69"/>
      <c r="SOS58" s="69"/>
      <c r="SOT58" s="69"/>
      <c r="SOU58" s="69"/>
      <c r="SOV58" s="69"/>
      <c r="SOW58" s="69"/>
      <c r="SOX58" s="69"/>
      <c r="SOY58" s="69"/>
      <c r="SOZ58" s="69"/>
      <c r="SPA58" s="69"/>
      <c r="SPB58" s="69"/>
      <c r="SPC58" s="69"/>
      <c r="SPD58" s="69"/>
      <c r="SPE58" s="69"/>
      <c r="SPF58" s="69"/>
      <c r="SPG58" s="69"/>
      <c r="SPH58" s="69"/>
      <c r="SPI58" s="69"/>
      <c r="SPJ58" s="69"/>
      <c r="SPK58" s="69"/>
      <c r="SPL58" s="69"/>
      <c r="SPM58" s="69"/>
      <c r="SPN58" s="69"/>
      <c r="SPO58" s="69"/>
      <c r="SPP58" s="69"/>
      <c r="SPQ58" s="69"/>
      <c r="SPR58" s="69"/>
      <c r="SPS58" s="69"/>
      <c r="SPT58" s="69"/>
      <c r="SPU58" s="69"/>
      <c r="SPV58" s="69"/>
      <c r="SPW58" s="69"/>
      <c r="SPX58" s="69"/>
      <c r="SPY58" s="69"/>
      <c r="SPZ58" s="69"/>
      <c r="SQA58" s="69"/>
      <c r="SQB58" s="69"/>
      <c r="SQC58" s="69"/>
      <c r="SQD58" s="69"/>
      <c r="SQE58" s="69"/>
      <c r="SQF58" s="69"/>
      <c r="SQG58" s="69"/>
      <c r="SQH58" s="69"/>
      <c r="SQI58" s="69"/>
      <c r="SQJ58" s="69"/>
      <c r="SQK58" s="69"/>
      <c r="SQL58" s="69"/>
      <c r="SQM58" s="69"/>
      <c r="SQN58" s="69"/>
      <c r="SQO58" s="69"/>
      <c r="SQP58" s="69"/>
      <c r="SQQ58" s="69"/>
      <c r="SQR58" s="69"/>
      <c r="SQS58" s="69"/>
      <c r="SQT58" s="69"/>
      <c r="SQU58" s="69"/>
      <c r="SQV58" s="69"/>
      <c r="SQW58" s="69"/>
      <c r="SQX58" s="69"/>
      <c r="SQY58" s="69"/>
      <c r="SQZ58" s="69"/>
      <c r="SRA58" s="69"/>
      <c r="SRB58" s="69"/>
      <c r="SRC58" s="69"/>
      <c r="SRD58" s="69"/>
      <c r="SRE58" s="69"/>
      <c r="SRF58" s="69"/>
      <c r="SRG58" s="69"/>
      <c r="SRH58" s="69"/>
      <c r="SRI58" s="69"/>
      <c r="SRJ58" s="69"/>
      <c r="SRK58" s="69"/>
      <c r="SRL58" s="69"/>
      <c r="SRM58" s="69"/>
      <c r="SRN58" s="69"/>
      <c r="SRO58" s="69"/>
      <c r="SRP58" s="69"/>
      <c r="SRQ58" s="69"/>
      <c r="SRR58" s="69"/>
      <c r="SRS58" s="69"/>
      <c r="SRT58" s="69"/>
      <c r="SRU58" s="69"/>
      <c r="SRV58" s="69"/>
      <c r="SRW58" s="69"/>
      <c r="SRX58" s="69"/>
      <c r="SRY58" s="69"/>
      <c r="SRZ58" s="69"/>
      <c r="SSA58" s="69"/>
      <c r="SSB58" s="69"/>
      <c r="SSC58" s="69"/>
      <c r="SSD58" s="69"/>
      <c r="SSE58" s="69"/>
      <c r="SSF58" s="69"/>
      <c r="SSG58" s="69"/>
      <c r="SSH58" s="69"/>
      <c r="SSI58" s="69"/>
      <c r="SSJ58" s="69"/>
      <c r="SSK58" s="69"/>
      <c r="SSL58" s="69"/>
      <c r="SSM58" s="69"/>
      <c r="SSN58" s="69"/>
      <c r="SSO58" s="69"/>
      <c r="SSP58" s="69"/>
      <c r="SSQ58" s="69"/>
      <c r="SSR58" s="69"/>
      <c r="SSS58" s="69"/>
      <c r="SST58" s="69"/>
      <c r="SSU58" s="69"/>
      <c r="SSV58" s="69"/>
      <c r="SSW58" s="69"/>
      <c r="SSX58" s="69"/>
      <c r="SSY58" s="69"/>
      <c r="SSZ58" s="69"/>
      <c r="STA58" s="69"/>
      <c r="STB58" s="69"/>
      <c r="STC58" s="69"/>
      <c r="STD58" s="69"/>
      <c r="STE58" s="69"/>
      <c r="STF58" s="69"/>
      <c r="STG58" s="69"/>
      <c r="STH58" s="69"/>
      <c r="STI58" s="69"/>
      <c r="STJ58" s="69"/>
      <c r="STK58" s="69"/>
      <c r="STL58" s="69"/>
      <c r="STM58" s="69"/>
      <c r="STN58" s="69"/>
      <c r="STO58" s="69"/>
      <c r="STP58" s="69"/>
      <c r="STQ58" s="69"/>
      <c r="STR58" s="69"/>
      <c r="STS58" s="69"/>
      <c r="STT58" s="69"/>
      <c r="STU58" s="69"/>
      <c r="STV58" s="69"/>
      <c r="STW58" s="69"/>
      <c r="STX58" s="69"/>
      <c r="STY58" s="69"/>
      <c r="STZ58" s="69"/>
      <c r="SUA58" s="69"/>
      <c r="SUB58" s="69"/>
      <c r="SUC58" s="69"/>
      <c r="SUD58" s="69"/>
      <c r="SUE58" s="69"/>
      <c r="SUF58" s="69"/>
      <c r="SUG58" s="69"/>
      <c r="SUH58" s="69"/>
      <c r="SUI58" s="69"/>
      <c r="SUJ58" s="69"/>
      <c r="SUK58" s="69"/>
      <c r="SUL58" s="69"/>
      <c r="SUM58" s="69"/>
      <c r="SUN58" s="69"/>
      <c r="SUO58" s="69"/>
      <c r="SUP58" s="69"/>
      <c r="SUQ58" s="69"/>
      <c r="SUR58" s="69"/>
      <c r="SUS58" s="69"/>
      <c r="SUT58" s="69"/>
      <c r="SUU58" s="69"/>
      <c r="SUV58" s="69"/>
      <c r="SUW58" s="69"/>
      <c r="SUX58" s="69"/>
      <c r="SUY58" s="69"/>
      <c r="SUZ58" s="69"/>
      <c r="SVA58" s="69"/>
      <c r="SVB58" s="69"/>
      <c r="SVC58" s="69"/>
      <c r="SVD58" s="69"/>
      <c r="SVE58" s="69"/>
      <c r="SVF58" s="69"/>
      <c r="SVG58" s="69"/>
      <c r="SVH58" s="69"/>
      <c r="SVI58" s="69"/>
      <c r="SVJ58" s="69"/>
      <c r="SVK58" s="69"/>
      <c r="SVL58" s="69"/>
      <c r="SVM58" s="69"/>
      <c r="SVN58" s="69"/>
      <c r="SVO58" s="69"/>
      <c r="SVP58" s="69"/>
      <c r="SVQ58" s="69"/>
      <c r="SVR58" s="69"/>
      <c r="SVS58" s="69"/>
      <c r="SVT58" s="69"/>
      <c r="SVU58" s="69"/>
      <c r="SVV58" s="69"/>
      <c r="SVW58" s="69"/>
      <c r="SVX58" s="69"/>
      <c r="SVY58" s="69"/>
      <c r="SVZ58" s="69"/>
      <c r="SWA58" s="69"/>
      <c r="SWB58" s="69"/>
      <c r="SWC58" s="69"/>
      <c r="SWD58" s="69"/>
      <c r="SWE58" s="69"/>
      <c r="SWF58" s="69"/>
      <c r="SWG58" s="69"/>
      <c r="SWH58" s="69"/>
      <c r="SWI58" s="69"/>
      <c r="SWJ58" s="69"/>
      <c r="SWK58" s="69"/>
      <c r="SWL58" s="69"/>
      <c r="SWM58" s="69"/>
      <c r="SWN58" s="69"/>
      <c r="SWO58" s="69"/>
      <c r="SWP58" s="69"/>
      <c r="SWQ58" s="69"/>
      <c r="SWR58" s="69"/>
      <c r="SWS58" s="69"/>
      <c r="SWT58" s="69"/>
      <c r="SWU58" s="69"/>
      <c r="SWV58" s="69"/>
      <c r="SWW58" s="69"/>
      <c r="SWX58" s="69"/>
      <c r="SWY58" s="69"/>
      <c r="SWZ58" s="69"/>
      <c r="SXA58" s="69"/>
      <c r="SXB58" s="69"/>
      <c r="SXC58" s="69"/>
      <c r="SXD58" s="69"/>
      <c r="SXE58" s="69"/>
      <c r="SXF58" s="69"/>
      <c r="SXG58" s="69"/>
      <c r="SXH58" s="69"/>
      <c r="SXI58" s="69"/>
      <c r="SXJ58" s="69"/>
      <c r="SXK58" s="69"/>
      <c r="SXL58" s="69"/>
      <c r="SXM58" s="69"/>
      <c r="SXN58" s="69"/>
      <c r="SXO58" s="69"/>
      <c r="SXP58" s="69"/>
      <c r="SXQ58" s="69"/>
      <c r="SXR58" s="69"/>
      <c r="SXS58" s="69"/>
      <c r="SXT58" s="69"/>
      <c r="SXU58" s="69"/>
      <c r="SXV58" s="69"/>
      <c r="SXW58" s="69"/>
      <c r="SXX58" s="69"/>
      <c r="SXY58" s="69"/>
      <c r="SXZ58" s="69"/>
      <c r="SYA58" s="69"/>
      <c r="SYB58" s="69"/>
      <c r="SYC58" s="69"/>
      <c r="SYD58" s="69"/>
      <c r="SYE58" s="69"/>
      <c r="SYF58" s="69"/>
      <c r="SYG58" s="69"/>
      <c r="SYH58" s="69"/>
      <c r="SYI58" s="69"/>
      <c r="SYJ58" s="69"/>
      <c r="SYK58" s="69"/>
      <c r="SYL58" s="69"/>
      <c r="SYM58" s="69"/>
      <c r="SYN58" s="69"/>
      <c r="SYO58" s="69"/>
      <c r="SYP58" s="69"/>
      <c r="SYQ58" s="69"/>
      <c r="SYR58" s="69"/>
      <c r="SYS58" s="69"/>
      <c r="SYT58" s="69"/>
      <c r="SYU58" s="69"/>
      <c r="SYV58" s="69"/>
      <c r="SYW58" s="69"/>
      <c r="SYX58" s="69"/>
      <c r="SYY58" s="69"/>
      <c r="SYZ58" s="69"/>
      <c r="SZA58" s="69"/>
      <c r="SZB58" s="69"/>
      <c r="SZC58" s="69"/>
      <c r="SZD58" s="69"/>
      <c r="SZE58" s="69"/>
      <c r="SZF58" s="69"/>
      <c r="SZG58" s="69"/>
      <c r="SZH58" s="69"/>
      <c r="SZI58" s="69"/>
      <c r="SZJ58" s="69"/>
      <c r="SZK58" s="69"/>
      <c r="SZL58" s="69"/>
      <c r="SZM58" s="69"/>
      <c r="SZN58" s="69"/>
      <c r="SZO58" s="69"/>
      <c r="SZP58" s="69"/>
      <c r="SZQ58" s="69"/>
      <c r="SZR58" s="69"/>
      <c r="SZS58" s="69"/>
      <c r="SZT58" s="69"/>
      <c r="SZU58" s="69"/>
      <c r="SZV58" s="69"/>
      <c r="SZW58" s="69"/>
      <c r="SZX58" s="69"/>
      <c r="SZY58" s="69"/>
      <c r="SZZ58" s="69"/>
      <c r="TAA58" s="69"/>
      <c r="TAB58" s="69"/>
      <c r="TAC58" s="69"/>
      <c r="TAD58" s="69"/>
      <c r="TAE58" s="69"/>
      <c r="TAF58" s="69"/>
      <c r="TAG58" s="69"/>
      <c r="TAH58" s="69"/>
      <c r="TAI58" s="69"/>
      <c r="TAJ58" s="69"/>
      <c r="TAK58" s="69"/>
      <c r="TAL58" s="69"/>
      <c r="TAM58" s="69"/>
      <c r="TAN58" s="69"/>
      <c r="TAO58" s="69"/>
      <c r="TAP58" s="69"/>
      <c r="TAQ58" s="69"/>
      <c r="TAR58" s="69"/>
      <c r="TAS58" s="69"/>
      <c r="TAT58" s="69"/>
      <c r="TAU58" s="69"/>
      <c r="TAV58" s="69"/>
      <c r="TAW58" s="69"/>
      <c r="TAX58" s="69"/>
      <c r="TAY58" s="69"/>
      <c r="TAZ58" s="69"/>
      <c r="TBA58" s="69"/>
      <c r="TBB58" s="69"/>
      <c r="TBC58" s="69"/>
      <c r="TBD58" s="69"/>
      <c r="TBE58" s="69"/>
      <c r="TBF58" s="69"/>
      <c r="TBG58" s="69"/>
      <c r="TBH58" s="69"/>
      <c r="TBI58" s="69"/>
      <c r="TBJ58" s="69"/>
      <c r="TBK58" s="69"/>
      <c r="TBL58" s="69"/>
      <c r="TBM58" s="69"/>
      <c r="TBN58" s="69"/>
      <c r="TBO58" s="69"/>
      <c r="TBP58" s="69"/>
      <c r="TBQ58" s="69"/>
      <c r="TBR58" s="69"/>
      <c r="TBS58" s="69"/>
      <c r="TBT58" s="69"/>
      <c r="TBU58" s="69"/>
      <c r="TBV58" s="69"/>
      <c r="TBW58" s="69"/>
      <c r="TBX58" s="69"/>
      <c r="TBY58" s="69"/>
      <c r="TBZ58" s="69"/>
      <c r="TCA58" s="69"/>
      <c r="TCB58" s="69"/>
      <c r="TCC58" s="69"/>
      <c r="TCD58" s="69"/>
      <c r="TCE58" s="69"/>
      <c r="TCF58" s="69"/>
      <c r="TCG58" s="69"/>
      <c r="TCH58" s="69"/>
      <c r="TCI58" s="69"/>
      <c r="TCJ58" s="69"/>
      <c r="TCK58" s="69"/>
      <c r="TCL58" s="69"/>
      <c r="TCM58" s="69"/>
      <c r="TCN58" s="69"/>
      <c r="TCO58" s="69"/>
      <c r="TCP58" s="69"/>
      <c r="TCQ58" s="69"/>
      <c r="TCR58" s="69"/>
      <c r="TCS58" s="69"/>
      <c r="TCT58" s="69"/>
      <c r="TCU58" s="69"/>
      <c r="TCV58" s="69"/>
      <c r="TCW58" s="69"/>
      <c r="TCX58" s="69"/>
      <c r="TCY58" s="69"/>
      <c r="TCZ58" s="69"/>
      <c r="TDA58" s="69"/>
      <c r="TDB58" s="69"/>
      <c r="TDC58" s="69"/>
      <c r="TDD58" s="69"/>
      <c r="TDE58" s="69"/>
      <c r="TDF58" s="69"/>
      <c r="TDG58" s="69"/>
      <c r="TDH58" s="69"/>
      <c r="TDI58" s="69"/>
      <c r="TDJ58" s="69"/>
      <c r="TDK58" s="69"/>
      <c r="TDL58" s="69"/>
      <c r="TDM58" s="69"/>
      <c r="TDN58" s="69"/>
      <c r="TDO58" s="69"/>
      <c r="TDP58" s="69"/>
      <c r="TDQ58" s="69"/>
      <c r="TDR58" s="69"/>
      <c r="TDS58" s="69"/>
      <c r="TDT58" s="69"/>
      <c r="TDU58" s="69"/>
      <c r="TDV58" s="69"/>
      <c r="TDW58" s="69"/>
      <c r="TDX58" s="69"/>
      <c r="TDY58" s="69"/>
      <c r="TDZ58" s="69"/>
      <c r="TEA58" s="69"/>
      <c r="TEB58" s="69"/>
      <c r="TEC58" s="69"/>
      <c r="TED58" s="69"/>
      <c r="TEE58" s="69"/>
      <c r="TEF58" s="69"/>
      <c r="TEG58" s="69"/>
      <c r="TEH58" s="69"/>
      <c r="TEI58" s="69"/>
      <c r="TEJ58" s="69"/>
      <c r="TEK58" s="69"/>
      <c r="TEL58" s="69"/>
      <c r="TEM58" s="69"/>
      <c r="TEN58" s="69"/>
      <c r="TEO58" s="69"/>
      <c r="TEP58" s="69"/>
      <c r="TEQ58" s="69"/>
      <c r="TER58" s="69"/>
      <c r="TES58" s="69"/>
      <c r="TET58" s="69"/>
      <c r="TEU58" s="69"/>
      <c r="TEV58" s="69"/>
      <c r="TEW58" s="69"/>
      <c r="TEX58" s="69"/>
      <c r="TEY58" s="69"/>
      <c r="TEZ58" s="69"/>
      <c r="TFA58" s="69"/>
      <c r="TFB58" s="69"/>
      <c r="TFC58" s="69"/>
      <c r="TFD58" s="69"/>
      <c r="TFE58" s="69"/>
      <c r="TFF58" s="69"/>
      <c r="TFG58" s="69"/>
      <c r="TFH58" s="69"/>
      <c r="TFI58" s="69"/>
      <c r="TFJ58" s="69"/>
      <c r="TFK58" s="69"/>
      <c r="TFL58" s="69"/>
      <c r="TFM58" s="69"/>
      <c r="TFN58" s="69"/>
      <c r="TFO58" s="69"/>
      <c r="TFP58" s="69"/>
      <c r="TFQ58" s="69"/>
      <c r="TFR58" s="69"/>
      <c r="TFS58" s="69"/>
      <c r="TFT58" s="69"/>
      <c r="TFU58" s="69"/>
      <c r="TFV58" s="69"/>
      <c r="TFW58" s="69"/>
      <c r="TFX58" s="69"/>
      <c r="TFY58" s="69"/>
      <c r="TFZ58" s="69"/>
      <c r="TGA58" s="69"/>
      <c r="TGB58" s="69"/>
      <c r="TGC58" s="69"/>
      <c r="TGD58" s="69"/>
      <c r="TGE58" s="69"/>
      <c r="TGF58" s="69"/>
      <c r="TGG58" s="69"/>
      <c r="TGH58" s="69"/>
      <c r="TGI58" s="69"/>
      <c r="TGJ58" s="69"/>
      <c r="TGK58" s="69"/>
      <c r="TGL58" s="69"/>
      <c r="TGM58" s="69"/>
      <c r="TGN58" s="69"/>
      <c r="TGO58" s="69"/>
      <c r="TGP58" s="69"/>
      <c r="TGQ58" s="69"/>
      <c r="TGR58" s="69"/>
      <c r="TGS58" s="69"/>
      <c r="TGT58" s="69"/>
      <c r="TGU58" s="69"/>
      <c r="TGV58" s="69"/>
      <c r="TGW58" s="69"/>
      <c r="TGX58" s="69"/>
      <c r="TGY58" s="69"/>
      <c r="TGZ58" s="69"/>
      <c r="THA58" s="69"/>
      <c r="THB58" s="69"/>
      <c r="THC58" s="69"/>
      <c r="THD58" s="69"/>
      <c r="THE58" s="69"/>
      <c r="THF58" s="69"/>
      <c r="THG58" s="69"/>
      <c r="THH58" s="69"/>
      <c r="THI58" s="69"/>
      <c r="THJ58" s="69"/>
      <c r="THK58" s="69"/>
      <c r="THL58" s="69"/>
      <c r="THM58" s="69"/>
      <c r="THN58" s="69"/>
      <c r="THO58" s="69"/>
      <c r="THP58" s="69"/>
      <c r="THQ58" s="69"/>
      <c r="THR58" s="69"/>
      <c r="THS58" s="69"/>
      <c r="THT58" s="69"/>
      <c r="THU58" s="69"/>
      <c r="THV58" s="69"/>
      <c r="THW58" s="69"/>
      <c r="THX58" s="69"/>
      <c r="THY58" s="69"/>
      <c r="THZ58" s="69"/>
      <c r="TIA58" s="69"/>
      <c r="TIB58" s="69"/>
      <c r="TIC58" s="69"/>
      <c r="TID58" s="69"/>
      <c r="TIE58" s="69"/>
      <c r="TIF58" s="69"/>
      <c r="TIG58" s="69"/>
      <c r="TIH58" s="69"/>
      <c r="TII58" s="69"/>
      <c r="TIJ58" s="69"/>
      <c r="TIK58" s="69"/>
      <c r="TIL58" s="69"/>
      <c r="TIM58" s="69"/>
      <c r="TIN58" s="69"/>
      <c r="TIO58" s="69"/>
      <c r="TIP58" s="69"/>
      <c r="TIQ58" s="69"/>
      <c r="TIR58" s="69"/>
      <c r="TIS58" s="69"/>
      <c r="TIT58" s="69"/>
      <c r="TIU58" s="69"/>
      <c r="TIV58" s="69"/>
      <c r="TIW58" s="69"/>
      <c r="TIX58" s="69"/>
      <c r="TIY58" s="69"/>
      <c r="TIZ58" s="69"/>
      <c r="TJA58" s="69"/>
      <c r="TJB58" s="69"/>
      <c r="TJC58" s="69"/>
      <c r="TJD58" s="69"/>
      <c r="TJE58" s="69"/>
      <c r="TJF58" s="69"/>
      <c r="TJG58" s="69"/>
      <c r="TJH58" s="69"/>
      <c r="TJI58" s="69"/>
      <c r="TJJ58" s="69"/>
      <c r="TJK58" s="69"/>
      <c r="TJL58" s="69"/>
      <c r="TJM58" s="69"/>
      <c r="TJN58" s="69"/>
      <c r="TJO58" s="69"/>
      <c r="TJP58" s="69"/>
      <c r="TJQ58" s="69"/>
      <c r="TJR58" s="69"/>
      <c r="TJS58" s="69"/>
      <c r="TJT58" s="69"/>
      <c r="TJU58" s="69"/>
      <c r="TJV58" s="69"/>
      <c r="TJW58" s="69"/>
      <c r="TJX58" s="69"/>
      <c r="TJY58" s="69"/>
      <c r="TJZ58" s="69"/>
      <c r="TKA58" s="69"/>
      <c r="TKB58" s="69"/>
      <c r="TKC58" s="69"/>
      <c r="TKD58" s="69"/>
      <c r="TKE58" s="69"/>
      <c r="TKF58" s="69"/>
      <c r="TKG58" s="69"/>
      <c r="TKH58" s="69"/>
      <c r="TKI58" s="69"/>
      <c r="TKJ58" s="69"/>
      <c r="TKK58" s="69"/>
      <c r="TKL58" s="69"/>
      <c r="TKM58" s="69"/>
      <c r="TKN58" s="69"/>
      <c r="TKO58" s="69"/>
      <c r="TKP58" s="69"/>
      <c r="TKQ58" s="69"/>
      <c r="TKR58" s="69"/>
      <c r="TKS58" s="69"/>
      <c r="TKT58" s="69"/>
      <c r="TKU58" s="69"/>
      <c r="TKV58" s="69"/>
      <c r="TKW58" s="69"/>
      <c r="TKX58" s="69"/>
      <c r="TKY58" s="69"/>
      <c r="TKZ58" s="69"/>
      <c r="TLA58" s="69"/>
      <c r="TLB58" s="69"/>
      <c r="TLC58" s="69"/>
      <c r="TLD58" s="69"/>
      <c r="TLE58" s="69"/>
      <c r="TLF58" s="69"/>
      <c r="TLG58" s="69"/>
      <c r="TLH58" s="69"/>
      <c r="TLI58" s="69"/>
      <c r="TLJ58" s="69"/>
      <c r="TLK58" s="69"/>
      <c r="TLL58" s="69"/>
      <c r="TLM58" s="69"/>
      <c r="TLN58" s="69"/>
      <c r="TLO58" s="69"/>
      <c r="TLP58" s="69"/>
      <c r="TLQ58" s="69"/>
      <c r="TLR58" s="69"/>
      <c r="TLS58" s="69"/>
      <c r="TLT58" s="69"/>
      <c r="TLU58" s="69"/>
      <c r="TLV58" s="69"/>
      <c r="TLW58" s="69"/>
      <c r="TLX58" s="69"/>
      <c r="TLY58" s="69"/>
      <c r="TLZ58" s="69"/>
      <c r="TMA58" s="69"/>
      <c r="TMB58" s="69"/>
      <c r="TMC58" s="69"/>
      <c r="TMD58" s="69"/>
      <c r="TME58" s="69"/>
      <c r="TMF58" s="69"/>
      <c r="TMG58" s="69"/>
      <c r="TMH58" s="69"/>
      <c r="TMI58" s="69"/>
      <c r="TMJ58" s="69"/>
      <c r="TMK58" s="69"/>
      <c r="TML58" s="69"/>
      <c r="TMM58" s="69"/>
      <c r="TMN58" s="69"/>
      <c r="TMO58" s="69"/>
      <c r="TMP58" s="69"/>
      <c r="TMQ58" s="69"/>
      <c r="TMR58" s="69"/>
      <c r="TMS58" s="69"/>
      <c r="TMT58" s="69"/>
      <c r="TMU58" s="69"/>
      <c r="TMV58" s="69"/>
      <c r="TMW58" s="69"/>
      <c r="TMX58" s="69"/>
      <c r="TMY58" s="69"/>
      <c r="TMZ58" s="69"/>
      <c r="TNA58" s="69"/>
      <c r="TNB58" s="69"/>
      <c r="TNC58" s="69"/>
      <c r="TND58" s="69"/>
      <c r="TNE58" s="69"/>
      <c r="TNF58" s="69"/>
      <c r="TNG58" s="69"/>
      <c r="TNH58" s="69"/>
      <c r="TNI58" s="69"/>
      <c r="TNJ58" s="69"/>
      <c r="TNK58" s="69"/>
      <c r="TNL58" s="69"/>
      <c r="TNM58" s="69"/>
      <c r="TNN58" s="69"/>
      <c r="TNO58" s="69"/>
      <c r="TNP58" s="69"/>
      <c r="TNQ58" s="69"/>
      <c r="TNR58" s="69"/>
      <c r="TNS58" s="69"/>
      <c r="TNT58" s="69"/>
      <c r="TNU58" s="69"/>
      <c r="TNV58" s="69"/>
      <c r="TNW58" s="69"/>
      <c r="TNX58" s="69"/>
      <c r="TNY58" s="69"/>
      <c r="TNZ58" s="69"/>
      <c r="TOA58" s="69"/>
      <c r="TOB58" s="69"/>
      <c r="TOC58" s="69"/>
      <c r="TOD58" s="69"/>
      <c r="TOE58" s="69"/>
      <c r="TOF58" s="69"/>
      <c r="TOG58" s="69"/>
      <c r="TOH58" s="69"/>
      <c r="TOI58" s="69"/>
      <c r="TOJ58" s="69"/>
      <c r="TOK58" s="69"/>
      <c r="TOL58" s="69"/>
      <c r="TOM58" s="69"/>
      <c r="TON58" s="69"/>
      <c r="TOO58" s="69"/>
      <c r="TOP58" s="69"/>
      <c r="TOQ58" s="69"/>
      <c r="TOR58" s="69"/>
      <c r="TOS58" s="69"/>
      <c r="TOT58" s="69"/>
      <c r="TOU58" s="69"/>
      <c r="TOV58" s="69"/>
      <c r="TOW58" s="69"/>
      <c r="TOX58" s="69"/>
      <c r="TOY58" s="69"/>
      <c r="TOZ58" s="69"/>
      <c r="TPA58" s="69"/>
      <c r="TPB58" s="69"/>
      <c r="TPC58" s="69"/>
      <c r="TPD58" s="69"/>
      <c r="TPE58" s="69"/>
      <c r="TPF58" s="69"/>
      <c r="TPG58" s="69"/>
      <c r="TPH58" s="69"/>
      <c r="TPI58" s="69"/>
      <c r="TPJ58" s="69"/>
      <c r="TPK58" s="69"/>
      <c r="TPL58" s="69"/>
      <c r="TPM58" s="69"/>
      <c r="TPN58" s="69"/>
      <c r="TPO58" s="69"/>
      <c r="TPP58" s="69"/>
      <c r="TPQ58" s="69"/>
      <c r="TPR58" s="69"/>
      <c r="TPS58" s="69"/>
      <c r="TPT58" s="69"/>
      <c r="TPU58" s="69"/>
      <c r="TPV58" s="69"/>
      <c r="TPW58" s="69"/>
      <c r="TPX58" s="69"/>
      <c r="TPY58" s="69"/>
      <c r="TPZ58" s="69"/>
      <c r="TQA58" s="69"/>
      <c r="TQB58" s="69"/>
      <c r="TQC58" s="69"/>
      <c r="TQD58" s="69"/>
      <c r="TQE58" s="69"/>
      <c r="TQF58" s="69"/>
      <c r="TQG58" s="69"/>
      <c r="TQH58" s="69"/>
      <c r="TQI58" s="69"/>
      <c r="TQJ58" s="69"/>
      <c r="TQK58" s="69"/>
      <c r="TQL58" s="69"/>
      <c r="TQM58" s="69"/>
      <c r="TQN58" s="69"/>
      <c r="TQO58" s="69"/>
      <c r="TQP58" s="69"/>
      <c r="TQQ58" s="69"/>
      <c r="TQR58" s="69"/>
      <c r="TQS58" s="69"/>
      <c r="TQT58" s="69"/>
      <c r="TQU58" s="69"/>
      <c r="TQV58" s="69"/>
      <c r="TQW58" s="69"/>
      <c r="TQX58" s="69"/>
      <c r="TQY58" s="69"/>
      <c r="TQZ58" s="69"/>
      <c r="TRA58" s="69"/>
      <c r="TRB58" s="69"/>
      <c r="TRC58" s="69"/>
      <c r="TRD58" s="69"/>
      <c r="TRE58" s="69"/>
      <c r="TRF58" s="69"/>
      <c r="TRG58" s="69"/>
      <c r="TRH58" s="69"/>
      <c r="TRI58" s="69"/>
      <c r="TRJ58" s="69"/>
      <c r="TRK58" s="69"/>
      <c r="TRL58" s="69"/>
      <c r="TRM58" s="69"/>
      <c r="TRN58" s="69"/>
      <c r="TRO58" s="69"/>
      <c r="TRP58" s="69"/>
      <c r="TRQ58" s="69"/>
      <c r="TRR58" s="69"/>
      <c r="TRS58" s="69"/>
      <c r="TRT58" s="69"/>
      <c r="TRU58" s="69"/>
      <c r="TRV58" s="69"/>
      <c r="TRW58" s="69"/>
      <c r="TRX58" s="69"/>
      <c r="TRY58" s="69"/>
      <c r="TRZ58" s="69"/>
      <c r="TSA58" s="69"/>
      <c r="TSB58" s="69"/>
      <c r="TSC58" s="69"/>
      <c r="TSD58" s="69"/>
      <c r="TSE58" s="69"/>
      <c r="TSF58" s="69"/>
      <c r="TSG58" s="69"/>
      <c r="TSH58" s="69"/>
      <c r="TSI58" s="69"/>
      <c r="TSJ58" s="69"/>
      <c r="TSK58" s="69"/>
      <c r="TSL58" s="69"/>
      <c r="TSM58" s="69"/>
      <c r="TSN58" s="69"/>
      <c r="TSO58" s="69"/>
      <c r="TSP58" s="69"/>
      <c r="TSQ58" s="69"/>
      <c r="TSR58" s="69"/>
      <c r="TSS58" s="69"/>
      <c r="TST58" s="69"/>
      <c r="TSU58" s="69"/>
      <c r="TSV58" s="69"/>
      <c r="TSW58" s="69"/>
      <c r="TSX58" s="69"/>
      <c r="TSY58" s="69"/>
      <c r="TSZ58" s="69"/>
      <c r="TTA58" s="69"/>
      <c r="TTB58" s="69"/>
      <c r="TTC58" s="69"/>
      <c r="TTD58" s="69"/>
      <c r="TTE58" s="69"/>
      <c r="TTF58" s="69"/>
      <c r="TTG58" s="69"/>
      <c r="TTH58" s="69"/>
      <c r="TTI58" s="69"/>
      <c r="TTJ58" s="69"/>
      <c r="TTK58" s="69"/>
      <c r="TTL58" s="69"/>
      <c r="TTM58" s="69"/>
      <c r="TTN58" s="69"/>
      <c r="TTO58" s="69"/>
      <c r="TTP58" s="69"/>
      <c r="TTQ58" s="69"/>
      <c r="TTR58" s="69"/>
      <c r="TTS58" s="69"/>
      <c r="TTT58" s="69"/>
      <c r="TTU58" s="69"/>
      <c r="TTV58" s="69"/>
      <c r="TTW58" s="69"/>
      <c r="TTX58" s="69"/>
      <c r="TTY58" s="69"/>
      <c r="TTZ58" s="69"/>
      <c r="TUA58" s="69"/>
      <c r="TUB58" s="69"/>
      <c r="TUC58" s="69"/>
      <c r="TUD58" s="69"/>
      <c r="TUE58" s="69"/>
      <c r="TUF58" s="69"/>
      <c r="TUG58" s="69"/>
      <c r="TUH58" s="69"/>
      <c r="TUI58" s="69"/>
      <c r="TUJ58" s="69"/>
      <c r="TUK58" s="69"/>
      <c r="TUL58" s="69"/>
      <c r="TUM58" s="69"/>
      <c r="TUN58" s="69"/>
      <c r="TUO58" s="69"/>
      <c r="TUP58" s="69"/>
      <c r="TUQ58" s="69"/>
      <c r="TUR58" s="69"/>
      <c r="TUS58" s="69"/>
      <c r="TUT58" s="69"/>
      <c r="TUU58" s="69"/>
      <c r="TUV58" s="69"/>
      <c r="TUW58" s="69"/>
      <c r="TUX58" s="69"/>
      <c r="TUY58" s="69"/>
      <c r="TUZ58" s="69"/>
      <c r="TVA58" s="69"/>
      <c r="TVB58" s="69"/>
      <c r="TVC58" s="69"/>
      <c r="TVD58" s="69"/>
      <c r="TVE58" s="69"/>
      <c r="TVF58" s="69"/>
      <c r="TVG58" s="69"/>
      <c r="TVH58" s="69"/>
      <c r="TVI58" s="69"/>
      <c r="TVJ58" s="69"/>
      <c r="TVK58" s="69"/>
      <c r="TVL58" s="69"/>
      <c r="TVM58" s="69"/>
      <c r="TVN58" s="69"/>
      <c r="TVO58" s="69"/>
      <c r="TVP58" s="69"/>
      <c r="TVQ58" s="69"/>
      <c r="TVR58" s="69"/>
      <c r="TVS58" s="69"/>
      <c r="TVT58" s="69"/>
      <c r="TVU58" s="69"/>
      <c r="TVV58" s="69"/>
      <c r="TVW58" s="69"/>
      <c r="TVX58" s="69"/>
      <c r="TVY58" s="69"/>
      <c r="TVZ58" s="69"/>
      <c r="TWA58" s="69"/>
      <c r="TWB58" s="69"/>
      <c r="TWC58" s="69"/>
      <c r="TWD58" s="69"/>
      <c r="TWE58" s="69"/>
      <c r="TWF58" s="69"/>
      <c r="TWG58" s="69"/>
      <c r="TWH58" s="69"/>
      <c r="TWI58" s="69"/>
      <c r="TWJ58" s="69"/>
      <c r="TWK58" s="69"/>
      <c r="TWL58" s="69"/>
      <c r="TWM58" s="69"/>
      <c r="TWN58" s="69"/>
      <c r="TWO58" s="69"/>
      <c r="TWP58" s="69"/>
      <c r="TWQ58" s="69"/>
      <c r="TWR58" s="69"/>
      <c r="TWS58" s="69"/>
      <c r="TWT58" s="69"/>
      <c r="TWU58" s="69"/>
      <c r="TWV58" s="69"/>
      <c r="TWW58" s="69"/>
      <c r="TWX58" s="69"/>
      <c r="TWY58" s="69"/>
      <c r="TWZ58" s="69"/>
      <c r="TXA58" s="69"/>
      <c r="TXB58" s="69"/>
      <c r="TXC58" s="69"/>
      <c r="TXD58" s="69"/>
      <c r="TXE58" s="69"/>
      <c r="TXF58" s="69"/>
      <c r="TXG58" s="69"/>
      <c r="TXH58" s="69"/>
      <c r="TXI58" s="69"/>
      <c r="TXJ58" s="69"/>
      <c r="TXK58" s="69"/>
      <c r="TXL58" s="69"/>
      <c r="TXM58" s="69"/>
      <c r="TXN58" s="69"/>
      <c r="TXO58" s="69"/>
      <c r="TXP58" s="69"/>
      <c r="TXQ58" s="69"/>
      <c r="TXR58" s="69"/>
      <c r="TXS58" s="69"/>
      <c r="TXT58" s="69"/>
      <c r="TXU58" s="69"/>
      <c r="TXV58" s="69"/>
      <c r="TXW58" s="69"/>
      <c r="TXX58" s="69"/>
      <c r="TXY58" s="69"/>
      <c r="TXZ58" s="69"/>
      <c r="TYA58" s="69"/>
      <c r="TYB58" s="69"/>
      <c r="TYC58" s="69"/>
      <c r="TYD58" s="69"/>
      <c r="TYE58" s="69"/>
      <c r="TYF58" s="69"/>
      <c r="TYG58" s="69"/>
      <c r="TYH58" s="69"/>
      <c r="TYI58" s="69"/>
      <c r="TYJ58" s="69"/>
      <c r="TYK58" s="69"/>
      <c r="TYL58" s="69"/>
      <c r="TYM58" s="69"/>
      <c r="TYN58" s="69"/>
      <c r="TYO58" s="69"/>
      <c r="TYP58" s="69"/>
      <c r="TYQ58" s="69"/>
      <c r="TYR58" s="69"/>
      <c r="TYS58" s="69"/>
      <c r="TYT58" s="69"/>
      <c r="TYU58" s="69"/>
      <c r="TYV58" s="69"/>
      <c r="TYW58" s="69"/>
      <c r="TYX58" s="69"/>
      <c r="TYY58" s="69"/>
      <c r="TYZ58" s="69"/>
      <c r="TZA58" s="69"/>
      <c r="TZB58" s="69"/>
      <c r="TZC58" s="69"/>
      <c r="TZD58" s="69"/>
      <c r="TZE58" s="69"/>
      <c r="TZF58" s="69"/>
      <c r="TZG58" s="69"/>
      <c r="TZH58" s="69"/>
      <c r="TZI58" s="69"/>
      <c r="TZJ58" s="69"/>
      <c r="TZK58" s="69"/>
      <c r="TZL58" s="69"/>
      <c r="TZM58" s="69"/>
      <c r="TZN58" s="69"/>
      <c r="TZO58" s="69"/>
      <c r="TZP58" s="69"/>
      <c r="TZQ58" s="69"/>
      <c r="TZR58" s="69"/>
      <c r="TZS58" s="69"/>
      <c r="TZT58" s="69"/>
      <c r="TZU58" s="69"/>
      <c r="TZV58" s="69"/>
      <c r="TZW58" s="69"/>
      <c r="TZX58" s="69"/>
      <c r="TZY58" s="69"/>
      <c r="TZZ58" s="69"/>
      <c r="UAA58" s="69"/>
      <c r="UAB58" s="69"/>
      <c r="UAC58" s="69"/>
      <c r="UAD58" s="69"/>
      <c r="UAE58" s="69"/>
      <c r="UAF58" s="69"/>
      <c r="UAG58" s="69"/>
      <c r="UAH58" s="69"/>
      <c r="UAI58" s="69"/>
      <c r="UAJ58" s="69"/>
      <c r="UAK58" s="69"/>
      <c r="UAL58" s="69"/>
      <c r="UAM58" s="69"/>
      <c r="UAN58" s="69"/>
      <c r="UAO58" s="69"/>
      <c r="UAP58" s="69"/>
      <c r="UAQ58" s="69"/>
      <c r="UAR58" s="69"/>
      <c r="UAS58" s="69"/>
      <c r="UAT58" s="69"/>
      <c r="UAU58" s="69"/>
      <c r="UAV58" s="69"/>
      <c r="UAW58" s="69"/>
      <c r="UAX58" s="69"/>
      <c r="UAY58" s="69"/>
      <c r="UAZ58" s="69"/>
      <c r="UBA58" s="69"/>
      <c r="UBB58" s="69"/>
      <c r="UBC58" s="69"/>
      <c r="UBD58" s="69"/>
      <c r="UBE58" s="69"/>
      <c r="UBF58" s="69"/>
      <c r="UBG58" s="69"/>
      <c r="UBH58" s="69"/>
      <c r="UBI58" s="69"/>
      <c r="UBJ58" s="69"/>
      <c r="UBK58" s="69"/>
      <c r="UBL58" s="69"/>
      <c r="UBM58" s="69"/>
      <c r="UBN58" s="69"/>
      <c r="UBO58" s="69"/>
      <c r="UBP58" s="69"/>
      <c r="UBQ58" s="69"/>
      <c r="UBR58" s="69"/>
      <c r="UBS58" s="69"/>
      <c r="UBT58" s="69"/>
      <c r="UBU58" s="69"/>
      <c r="UBV58" s="69"/>
      <c r="UBW58" s="69"/>
      <c r="UBX58" s="69"/>
      <c r="UBY58" s="69"/>
      <c r="UBZ58" s="69"/>
      <c r="UCA58" s="69"/>
      <c r="UCB58" s="69"/>
      <c r="UCC58" s="69"/>
      <c r="UCD58" s="69"/>
      <c r="UCE58" s="69"/>
      <c r="UCF58" s="69"/>
      <c r="UCG58" s="69"/>
      <c r="UCH58" s="69"/>
      <c r="UCI58" s="69"/>
      <c r="UCJ58" s="69"/>
      <c r="UCK58" s="69"/>
      <c r="UCL58" s="69"/>
      <c r="UCM58" s="69"/>
      <c r="UCN58" s="69"/>
      <c r="UCO58" s="69"/>
      <c r="UCP58" s="69"/>
      <c r="UCQ58" s="69"/>
      <c r="UCR58" s="69"/>
      <c r="UCS58" s="69"/>
      <c r="UCT58" s="69"/>
      <c r="UCU58" s="69"/>
      <c r="UCV58" s="69"/>
      <c r="UCW58" s="69"/>
      <c r="UCX58" s="69"/>
      <c r="UCY58" s="69"/>
      <c r="UCZ58" s="69"/>
      <c r="UDA58" s="69"/>
      <c r="UDB58" s="69"/>
      <c r="UDC58" s="69"/>
      <c r="UDD58" s="69"/>
      <c r="UDE58" s="69"/>
      <c r="UDF58" s="69"/>
      <c r="UDG58" s="69"/>
      <c r="UDH58" s="69"/>
      <c r="UDI58" s="69"/>
      <c r="UDJ58" s="69"/>
      <c r="UDK58" s="69"/>
      <c r="UDL58" s="69"/>
      <c r="UDM58" s="69"/>
      <c r="UDN58" s="69"/>
      <c r="UDO58" s="69"/>
      <c r="UDP58" s="69"/>
      <c r="UDQ58" s="69"/>
      <c r="UDR58" s="69"/>
      <c r="UDS58" s="69"/>
      <c r="UDT58" s="69"/>
      <c r="UDU58" s="69"/>
      <c r="UDV58" s="69"/>
      <c r="UDW58" s="69"/>
      <c r="UDX58" s="69"/>
      <c r="UDY58" s="69"/>
      <c r="UDZ58" s="69"/>
      <c r="UEA58" s="69"/>
      <c r="UEB58" s="69"/>
      <c r="UEC58" s="69"/>
      <c r="UED58" s="69"/>
      <c r="UEE58" s="69"/>
      <c r="UEF58" s="69"/>
      <c r="UEG58" s="69"/>
      <c r="UEH58" s="69"/>
      <c r="UEI58" s="69"/>
      <c r="UEJ58" s="69"/>
      <c r="UEK58" s="69"/>
      <c r="UEL58" s="69"/>
      <c r="UEM58" s="69"/>
      <c r="UEN58" s="69"/>
      <c r="UEO58" s="69"/>
      <c r="UEP58" s="69"/>
      <c r="UEQ58" s="69"/>
      <c r="UER58" s="69"/>
      <c r="UES58" s="69"/>
      <c r="UET58" s="69"/>
      <c r="UEU58" s="69"/>
      <c r="UEV58" s="69"/>
      <c r="UEW58" s="69"/>
      <c r="UEX58" s="69"/>
      <c r="UEY58" s="69"/>
      <c r="UEZ58" s="69"/>
      <c r="UFA58" s="69"/>
      <c r="UFB58" s="69"/>
      <c r="UFC58" s="69"/>
      <c r="UFD58" s="69"/>
      <c r="UFE58" s="69"/>
      <c r="UFF58" s="69"/>
      <c r="UFG58" s="69"/>
      <c r="UFH58" s="69"/>
      <c r="UFI58" s="69"/>
      <c r="UFJ58" s="69"/>
      <c r="UFK58" s="69"/>
      <c r="UFL58" s="69"/>
      <c r="UFM58" s="69"/>
      <c r="UFN58" s="69"/>
      <c r="UFO58" s="69"/>
      <c r="UFP58" s="69"/>
      <c r="UFQ58" s="69"/>
      <c r="UFR58" s="69"/>
      <c r="UFS58" s="69"/>
      <c r="UFT58" s="69"/>
      <c r="UFU58" s="69"/>
      <c r="UFV58" s="69"/>
      <c r="UFW58" s="69"/>
      <c r="UFX58" s="69"/>
      <c r="UFY58" s="69"/>
      <c r="UFZ58" s="69"/>
      <c r="UGA58" s="69"/>
      <c r="UGB58" s="69"/>
      <c r="UGC58" s="69"/>
      <c r="UGD58" s="69"/>
      <c r="UGE58" s="69"/>
      <c r="UGF58" s="69"/>
      <c r="UGG58" s="69"/>
      <c r="UGH58" s="69"/>
      <c r="UGI58" s="69"/>
      <c r="UGJ58" s="69"/>
      <c r="UGK58" s="69"/>
      <c r="UGL58" s="69"/>
      <c r="UGM58" s="69"/>
      <c r="UGN58" s="69"/>
      <c r="UGO58" s="69"/>
      <c r="UGP58" s="69"/>
      <c r="UGQ58" s="69"/>
      <c r="UGR58" s="69"/>
      <c r="UGS58" s="69"/>
      <c r="UGT58" s="69"/>
      <c r="UGU58" s="69"/>
      <c r="UGV58" s="69"/>
      <c r="UGW58" s="69"/>
      <c r="UGX58" s="69"/>
      <c r="UGY58" s="69"/>
      <c r="UGZ58" s="69"/>
      <c r="UHA58" s="69"/>
      <c r="UHB58" s="69"/>
      <c r="UHC58" s="69"/>
      <c r="UHD58" s="69"/>
      <c r="UHE58" s="69"/>
      <c r="UHF58" s="69"/>
      <c r="UHG58" s="69"/>
      <c r="UHH58" s="69"/>
      <c r="UHI58" s="69"/>
      <c r="UHJ58" s="69"/>
      <c r="UHK58" s="69"/>
      <c r="UHL58" s="69"/>
      <c r="UHM58" s="69"/>
      <c r="UHN58" s="69"/>
      <c r="UHO58" s="69"/>
      <c r="UHP58" s="69"/>
      <c r="UHQ58" s="69"/>
      <c r="UHR58" s="69"/>
      <c r="UHS58" s="69"/>
      <c r="UHT58" s="69"/>
      <c r="UHU58" s="69"/>
      <c r="UHV58" s="69"/>
      <c r="UHW58" s="69"/>
      <c r="UHX58" s="69"/>
      <c r="UHY58" s="69"/>
      <c r="UHZ58" s="69"/>
      <c r="UIA58" s="69"/>
      <c r="UIB58" s="69"/>
      <c r="UIC58" s="69"/>
      <c r="UID58" s="69"/>
      <c r="UIE58" s="69"/>
      <c r="UIF58" s="69"/>
      <c r="UIG58" s="69"/>
      <c r="UIH58" s="69"/>
      <c r="UII58" s="69"/>
      <c r="UIJ58" s="69"/>
      <c r="UIK58" s="69"/>
      <c r="UIL58" s="69"/>
      <c r="UIM58" s="69"/>
      <c r="UIN58" s="69"/>
      <c r="UIO58" s="69"/>
      <c r="UIP58" s="69"/>
      <c r="UIQ58" s="69"/>
      <c r="UIR58" s="69"/>
      <c r="UIS58" s="69"/>
      <c r="UIT58" s="69"/>
      <c r="UIU58" s="69"/>
      <c r="UIV58" s="69"/>
      <c r="UIW58" s="69"/>
      <c r="UIX58" s="69"/>
      <c r="UIY58" s="69"/>
      <c r="UIZ58" s="69"/>
      <c r="UJA58" s="69"/>
      <c r="UJB58" s="69"/>
      <c r="UJC58" s="69"/>
      <c r="UJD58" s="69"/>
      <c r="UJE58" s="69"/>
      <c r="UJF58" s="69"/>
      <c r="UJG58" s="69"/>
      <c r="UJH58" s="69"/>
      <c r="UJI58" s="69"/>
      <c r="UJJ58" s="69"/>
      <c r="UJK58" s="69"/>
      <c r="UJL58" s="69"/>
      <c r="UJM58" s="69"/>
      <c r="UJN58" s="69"/>
      <c r="UJO58" s="69"/>
      <c r="UJP58" s="69"/>
      <c r="UJQ58" s="69"/>
      <c r="UJR58" s="69"/>
      <c r="UJS58" s="69"/>
      <c r="UJT58" s="69"/>
      <c r="UJU58" s="69"/>
      <c r="UJV58" s="69"/>
      <c r="UJW58" s="69"/>
      <c r="UJX58" s="69"/>
      <c r="UJY58" s="69"/>
      <c r="UJZ58" s="69"/>
      <c r="UKA58" s="69"/>
      <c r="UKB58" s="69"/>
      <c r="UKC58" s="69"/>
      <c r="UKD58" s="69"/>
      <c r="UKE58" s="69"/>
      <c r="UKF58" s="69"/>
      <c r="UKG58" s="69"/>
      <c r="UKH58" s="69"/>
      <c r="UKI58" s="69"/>
      <c r="UKJ58" s="69"/>
      <c r="UKK58" s="69"/>
      <c r="UKL58" s="69"/>
      <c r="UKM58" s="69"/>
      <c r="UKN58" s="69"/>
      <c r="UKO58" s="69"/>
      <c r="UKP58" s="69"/>
      <c r="UKQ58" s="69"/>
      <c r="UKR58" s="69"/>
      <c r="UKS58" s="69"/>
      <c r="UKT58" s="69"/>
      <c r="UKU58" s="69"/>
      <c r="UKV58" s="69"/>
      <c r="UKW58" s="69"/>
      <c r="UKX58" s="69"/>
      <c r="UKY58" s="69"/>
      <c r="UKZ58" s="69"/>
      <c r="ULA58" s="69"/>
      <c r="ULB58" s="69"/>
      <c r="ULC58" s="69"/>
      <c r="ULD58" s="69"/>
      <c r="ULE58" s="69"/>
      <c r="ULF58" s="69"/>
      <c r="ULG58" s="69"/>
      <c r="ULH58" s="69"/>
      <c r="ULI58" s="69"/>
      <c r="ULJ58" s="69"/>
      <c r="ULK58" s="69"/>
      <c r="ULL58" s="69"/>
      <c r="ULM58" s="69"/>
      <c r="ULN58" s="69"/>
      <c r="ULO58" s="69"/>
      <c r="ULP58" s="69"/>
      <c r="ULQ58" s="69"/>
      <c r="ULR58" s="69"/>
      <c r="ULS58" s="69"/>
      <c r="ULT58" s="69"/>
      <c r="ULU58" s="69"/>
      <c r="ULV58" s="69"/>
      <c r="ULW58" s="69"/>
      <c r="ULX58" s="69"/>
      <c r="ULY58" s="69"/>
      <c r="ULZ58" s="69"/>
      <c r="UMA58" s="69"/>
      <c r="UMB58" s="69"/>
      <c r="UMC58" s="69"/>
      <c r="UMD58" s="69"/>
      <c r="UME58" s="69"/>
      <c r="UMF58" s="69"/>
      <c r="UMG58" s="69"/>
      <c r="UMH58" s="69"/>
      <c r="UMI58" s="69"/>
      <c r="UMJ58" s="69"/>
      <c r="UMK58" s="69"/>
      <c r="UML58" s="69"/>
      <c r="UMM58" s="69"/>
      <c r="UMN58" s="69"/>
      <c r="UMO58" s="69"/>
      <c r="UMP58" s="69"/>
      <c r="UMQ58" s="69"/>
      <c r="UMR58" s="69"/>
      <c r="UMS58" s="69"/>
      <c r="UMT58" s="69"/>
      <c r="UMU58" s="69"/>
      <c r="UMV58" s="69"/>
      <c r="UMW58" s="69"/>
      <c r="UMX58" s="69"/>
      <c r="UMY58" s="69"/>
      <c r="UMZ58" s="69"/>
      <c r="UNA58" s="69"/>
      <c r="UNB58" s="69"/>
      <c r="UNC58" s="69"/>
      <c r="UND58" s="69"/>
      <c r="UNE58" s="69"/>
      <c r="UNF58" s="69"/>
      <c r="UNG58" s="69"/>
      <c r="UNH58" s="69"/>
      <c r="UNI58" s="69"/>
      <c r="UNJ58" s="69"/>
      <c r="UNK58" s="69"/>
      <c r="UNL58" s="69"/>
      <c r="UNM58" s="69"/>
      <c r="UNN58" s="69"/>
      <c r="UNO58" s="69"/>
      <c r="UNP58" s="69"/>
      <c r="UNQ58" s="69"/>
      <c r="UNR58" s="69"/>
      <c r="UNS58" s="69"/>
      <c r="UNT58" s="69"/>
      <c r="UNU58" s="69"/>
      <c r="UNV58" s="69"/>
      <c r="UNW58" s="69"/>
      <c r="UNX58" s="69"/>
      <c r="UNY58" s="69"/>
      <c r="UNZ58" s="69"/>
      <c r="UOA58" s="69"/>
      <c r="UOB58" s="69"/>
      <c r="UOC58" s="69"/>
      <c r="UOD58" s="69"/>
      <c r="UOE58" s="69"/>
      <c r="UOF58" s="69"/>
      <c r="UOG58" s="69"/>
      <c r="UOH58" s="69"/>
      <c r="UOI58" s="69"/>
      <c r="UOJ58" s="69"/>
      <c r="UOK58" s="69"/>
      <c r="UOL58" s="69"/>
      <c r="UOM58" s="69"/>
      <c r="UON58" s="69"/>
      <c r="UOO58" s="69"/>
      <c r="UOP58" s="69"/>
      <c r="UOQ58" s="69"/>
      <c r="UOR58" s="69"/>
      <c r="UOS58" s="69"/>
      <c r="UOT58" s="69"/>
      <c r="UOU58" s="69"/>
      <c r="UOV58" s="69"/>
      <c r="UOW58" s="69"/>
      <c r="UOX58" s="69"/>
      <c r="UOY58" s="69"/>
      <c r="UOZ58" s="69"/>
      <c r="UPA58" s="69"/>
      <c r="UPB58" s="69"/>
      <c r="UPC58" s="69"/>
      <c r="UPD58" s="69"/>
      <c r="UPE58" s="69"/>
      <c r="UPF58" s="69"/>
      <c r="UPG58" s="69"/>
      <c r="UPH58" s="69"/>
      <c r="UPI58" s="69"/>
      <c r="UPJ58" s="69"/>
      <c r="UPK58" s="69"/>
      <c r="UPL58" s="69"/>
      <c r="UPM58" s="69"/>
      <c r="UPN58" s="69"/>
      <c r="UPO58" s="69"/>
      <c r="UPP58" s="69"/>
      <c r="UPQ58" s="69"/>
      <c r="UPR58" s="69"/>
      <c r="UPS58" s="69"/>
      <c r="UPT58" s="69"/>
      <c r="UPU58" s="69"/>
      <c r="UPV58" s="69"/>
      <c r="UPW58" s="69"/>
      <c r="UPX58" s="69"/>
      <c r="UPY58" s="69"/>
      <c r="UPZ58" s="69"/>
      <c r="UQA58" s="69"/>
      <c r="UQB58" s="69"/>
      <c r="UQC58" s="69"/>
      <c r="UQD58" s="69"/>
      <c r="UQE58" s="69"/>
      <c r="UQF58" s="69"/>
      <c r="UQG58" s="69"/>
      <c r="UQH58" s="69"/>
      <c r="UQI58" s="69"/>
      <c r="UQJ58" s="69"/>
      <c r="UQK58" s="69"/>
      <c r="UQL58" s="69"/>
      <c r="UQM58" s="69"/>
      <c r="UQN58" s="69"/>
      <c r="UQO58" s="69"/>
      <c r="UQP58" s="69"/>
      <c r="UQQ58" s="69"/>
      <c r="UQR58" s="69"/>
      <c r="UQS58" s="69"/>
      <c r="UQT58" s="69"/>
      <c r="UQU58" s="69"/>
      <c r="UQV58" s="69"/>
      <c r="UQW58" s="69"/>
      <c r="UQX58" s="69"/>
      <c r="UQY58" s="69"/>
      <c r="UQZ58" s="69"/>
      <c r="URA58" s="69"/>
      <c r="URB58" s="69"/>
      <c r="URC58" s="69"/>
      <c r="URD58" s="69"/>
      <c r="URE58" s="69"/>
      <c r="URF58" s="69"/>
      <c r="URG58" s="69"/>
      <c r="URH58" s="69"/>
      <c r="URI58" s="69"/>
      <c r="URJ58" s="69"/>
      <c r="URK58" s="69"/>
      <c r="URL58" s="69"/>
      <c r="URM58" s="69"/>
      <c r="URN58" s="69"/>
      <c r="URO58" s="69"/>
      <c r="URP58" s="69"/>
      <c r="URQ58" s="69"/>
      <c r="URR58" s="69"/>
      <c r="URS58" s="69"/>
      <c r="URT58" s="69"/>
      <c r="URU58" s="69"/>
      <c r="URV58" s="69"/>
      <c r="URW58" s="69"/>
      <c r="URX58" s="69"/>
      <c r="URY58" s="69"/>
      <c r="URZ58" s="69"/>
      <c r="USA58" s="69"/>
      <c r="USB58" s="69"/>
      <c r="USC58" s="69"/>
      <c r="USD58" s="69"/>
      <c r="USE58" s="69"/>
      <c r="USF58" s="69"/>
      <c r="USG58" s="69"/>
      <c r="USH58" s="69"/>
      <c r="USI58" s="69"/>
      <c r="USJ58" s="69"/>
      <c r="USK58" s="69"/>
      <c r="USL58" s="69"/>
      <c r="USM58" s="69"/>
      <c r="USN58" s="69"/>
      <c r="USO58" s="69"/>
      <c r="USP58" s="69"/>
      <c r="USQ58" s="69"/>
      <c r="USR58" s="69"/>
      <c r="USS58" s="69"/>
      <c r="UST58" s="69"/>
      <c r="USU58" s="69"/>
      <c r="USV58" s="69"/>
      <c r="USW58" s="69"/>
      <c r="USX58" s="69"/>
      <c r="USY58" s="69"/>
      <c r="USZ58" s="69"/>
      <c r="UTA58" s="69"/>
      <c r="UTB58" s="69"/>
      <c r="UTC58" s="69"/>
      <c r="UTD58" s="69"/>
      <c r="UTE58" s="69"/>
      <c r="UTF58" s="69"/>
      <c r="UTG58" s="69"/>
      <c r="UTH58" s="69"/>
      <c r="UTI58" s="69"/>
      <c r="UTJ58" s="69"/>
      <c r="UTK58" s="69"/>
      <c r="UTL58" s="69"/>
      <c r="UTM58" s="69"/>
      <c r="UTN58" s="69"/>
      <c r="UTO58" s="69"/>
      <c r="UTP58" s="69"/>
      <c r="UTQ58" s="69"/>
      <c r="UTR58" s="69"/>
      <c r="UTS58" s="69"/>
      <c r="UTT58" s="69"/>
      <c r="UTU58" s="69"/>
      <c r="UTV58" s="69"/>
      <c r="UTW58" s="69"/>
      <c r="UTX58" s="69"/>
      <c r="UTY58" s="69"/>
      <c r="UTZ58" s="69"/>
      <c r="UUA58" s="69"/>
      <c r="UUB58" s="69"/>
      <c r="UUC58" s="69"/>
      <c r="UUD58" s="69"/>
      <c r="UUE58" s="69"/>
      <c r="UUF58" s="69"/>
      <c r="UUG58" s="69"/>
      <c r="UUH58" s="69"/>
      <c r="UUI58" s="69"/>
      <c r="UUJ58" s="69"/>
      <c r="UUK58" s="69"/>
      <c r="UUL58" s="69"/>
      <c r="UUM58" s="69"/>
      <c r="UUN58" s="69"/>
      <c r="UUO58" s="69"/>
      <c r="UUP58" s="69"/>
      <c r="UUQ58" s="69"/>
      <c r="UUR58" s="69"/>
      <c r="UUS58" s="69"/>
      <c r="UUT58" s="69"/>
      <c r="UUU58" s="69"/>
      <c r="UUV58" s="69"/>
      <c r="UUW58" s="69"/>
      <c r="UUX58" s="69"/>
      <c r="UUY58" s="69"/>
      <c r="UUZ58" s="69"/>
      <c r="UVA58" s="69"/>
      <c r="UVB58" s="69"/>
      <c r="UVC58" s="69"/>
      <c r="UVD58" s="69"/>
      <c r="UVE58" s="69"/>
      <c r="UVF58" s="69"/>
      <c r="UVG58" s="69"/>
      <c r="UVH58" s="69"/>
      <c r="UVI58" s="69"/>
      <c r="UVJ58" s="69"/>
      <c r="UVK58" s="69"/>
      <c r="UVL58" s="69"/>
      <c r="UVM58" s="69"/>
      <c r="UVN58" s="69"/>
      <c r="UVO58" s="69"/>
      <c r="UVP58" s="69"/>
      <c r="UVQ58" s="69"/>
      <c r="UVR58" s="69"/>
      <c r="UVS58" s="69"/>
      <c r="UVT58" s="69"/>
      <c r="UVU58" s="69"/>
      <c r="UVV58" s="69"/>
      <c r="UVW58" s="69"/>
      <c r="UVX58" s="69"/>
      <c r="UVY58" s="69"/>
      <c r="UVZ58" s="69"/>
      <c r="UWA58" s="69"/>
      <c r="UWB58" s="69"/>
      <c r="UWC58" s="69"/>
      <c r="UWD58" s="69"/>
      <c r="UWE58" s="69"/>
      <c r="UWF58" s="69"/>
      <c r="UWG58" s="69"/>
      <c r="UWH58" s="69"/>
      <c r="UWI58" s="69"/>
      <c r="UWJ58" s="69"/>
      <c r="UWK58" s="69"/>
      <c r="UWL58" s="69"/>
      <c r="UWM58" s="69"/>
      <c r="UWN58" s="69"/>
      <c r="UWO58" s="69"/>
      <c r="UWP58" s="69"/>
      <c r="UWQ58" s="69"/>
      <c r="UWR58" s="69"/>
      <c r="UWS58" s="69"/>
      <c r="UWT58" s="69"/>
      <c r="UWU58" s="69"/>
      <c r="UWV58" s="69"/>
      <c r="UWW58" s="69"/>
      <c r="UWX58" s="69"/>
      <c r="UWY58" s="69"/>
      <c r="UWZ58" s="69"/>
      <c r="UXA58" s="69"/>
      <c r="UXB58" s="69"/>
      <c r="UXC58" s="69"/>
      <c r="UXD58" s="69"/>
      <c r="UXE58" s="69"/>
      <c r="UXF58" s="69"/>
      <c r="UXG58" s="69"/>
      <c r="UXH58" s="69"/>
      <c r="UXI58" s="69"/>
      <c r="UXJ58" s="69"/>
      <c r="UXK58" s="69"/>
      <c r="UXL58" s="69"/>
      <c r="UXM58" s="69"/>
      <c r="UXN58" s="69"/>
      <c r="UXO58" s="69"/>
      <c r="UXP58" s="69"/>
      <c r="UXQ58" s="69"/>
      <c r="UXR58" s="69"/>
      <c r="UXS58" s="69"/>
      <c r="UXT58" s="69"/>
      <c r="UXU58" s="69"/>
      <c r="UXV58" s="69"/>
      <c r="UXW58" s="69"/>
      <c r="UXX58" s="69"/>
      <c r="UXY58" s="69"/>
      <c r="UXZ58" s="69"/>
      <c r="UYA58" s="69"/>
      <c r="UYB58" s="69"/>
      <c r="UYC58" s="69"/>
      <c r="UYD58" s="69"/>
      <c r="UYE58" s="69"/>
      <c r="UYF58" s="69"/>
      <c r="UYG58" s="69"/>
      <c r="UYH58" s="69"/>
      <c r="UYI58" s="69"/>
      <c r="UYJ58" s="69"/>
      <c r="UYK58" s="69"/>
      <c r="UYL58" s="69"/>
      <c r="UYM58" s="69"/>
      <c r="UYN58" s="69"/>
      <c r="UYO58" s="69"/>
      <c r="UYP58" s="69"/>
      <c r="UYQ58" s="69"/>
      <c r="UYR58" s="69"/>
      <c r="UYS58" s="69"/>
      <c r="UYT58" s="69"/>
      <c r="UYU58" s="69"/>
      <c r="UYV58" s="69"/>
      <c r="UYW58" s="69"/>
      <c r="UYX58" s="69"/>
      <c r="UYY58" s="69"/>
      <c r="UYZ58" s="69"/>
      <c r="UZA58" s="69"/>
      <c r="UZB58" s="69"/>
      <c r="UZC58" s="69"/>
      <c r="UZD58" s="69"/>
      <c r="UZE58" s="69"/>
      <c r="UZF58" s="69"/>
      <c r="UZG58" s="69"/>
      <c r="UZH58" s="69"/>
      <c r="UZI58" s="69"/>
      <c r="UZJ58" s="69"/>
      <c r="UZK58" s="69"/>
      <c r="UZL58" s="69"/>
      <c r="UZM58" s="69"/>
      <c r="UZN58" s="69"/>
      <c r="UZO58" s="69"/>
      <c r="UZP58" s="69"/>
      <c r="UZQ58" s="69"/>
      <c r="UZR58" s="69"/>
      <c r="UZS58" s="69"/>
      <c r="UZT58" s="69"/>
      <c r="UZU58" s="69"/>
      <c r="UZV58" s="69"/>
      <c r="UZW58" s="69"/>
      <c r="UZX58" s="69"/>
      <c r="UZY58" s="69"/>
      <c r="UZZ58" s="69"/>
      <c r="VAA58" s="69"/>
      <c r="VAB58" s="69"/>
      <c r="VAC58" s="69"/>
      <c r="VAD58" s="69"/>
      <c r="VAE58" s="69"/>
      <c r="VAF58" s="69"/>
      <c r="VAG58" s="69"/>
      <c r="VAH58" s="69"/>
      <c r="VAI58" s="69"/>
      <c r="VAJ58" s="69"/>
      <c r="VAK58" s="69"/>
      <c r="VAL58" s="69"/>
      <c r="VAM58" s="69"/>
      <c r="VAN58" s="69"/>
      <c r="VAO58" s="69"/>
      <c r="VAP58" s="69"/>
      <c r="VAQ58" s="69"/>
      <c r="VAR58" s="69"/>
      <c r="VAS58" s="69"/>
      <c r="VAT58" s="69"/>
      <c r="VAU58" s="69"/>
      <c r="VAV58" s="69"/>
      <c r="VAW58" s="69"/>
      <c r="VAX58" s="69"/>
      <c r="VAY58" s="69"/>
      <c r="VAZ58" s="69"/>
      <c r="VBA58" s="69"/>
      <c r="VBB58" s="69"/>
      <c r="VBC58" s="69"/>
      <c r="VBD58" s="69"/>
      <c r="VBE58" s="69"/>
      <c r="VBF58" s="69"/>
      <c r="VBG58" s="69"/>
      <c r="VBH58" s="69"/>
      <c r="VBI58" s="69"/>
      <c r="VBJ58" s="69"/>
      <c r="VBK58" s="69"/>
      <c r="VBL58" s="69"/>
      <c r="VBM58" s="69"/>
      <c r="VBN58" s="69"/>
      <c r="VBO58" s="69"/>
      <c r="VBP58" s="69"/>
      <c r="VBQ58" s="69"/>
      <c r="VBR58" s="69"/>
      <c r="VBS58" s="69"/>
      <c r="VBT58" s="69"/>
      <c r="VBU58" s="69"/>
      <c r="VBV58" s="69"/>
      <c r="VBW58" s="69"/>
      <c r="VBX58" s="69"/>
      <c r="VBY58" s="69"/>
      <c r="VBZ58" s="69"/>
      <c r="VCA58" s="69"/>
      <c r="VCB58" s="69"/>
      <c r="VCC58" s="69"/>
      <c r="VCD58" s="69"/>
      <c r="VCE58" s="69"/>
      <c r="VCF58" s="69"/>
      <c r="VCG58" s="69"/>
      <c r="VCH58" s="69"/>
      <c r="VCI58" s="69"/>
      <c r="VCJ58" s="69"/>
      <c r="VCK58" s="69"/>
      <c r="VCL58" s="69"/>
      <c r="VCM58" s="69"/>
      <c r="VCN58" s="69"/>
      <c r="VCO58" s="69"/>
      <c r="VCP58" s="69"/>
      <c r="VCQ58" s="69"/>
      <c r="VCR58" s="69"/>
      <c r="VCS58" s="69"/>
      <c r="VCT58" s="69"/>
      <c r="VCU58" s="69"/>
      <c r="VCV58" s="69"/>
      <c r="VCW58" s="69"/>
      <c r="VCX58" s="69"/>
      <c r="VCY58" s="69"/>
      <c r="VCZ58" s="69"/>
      <c r="VDA58" s="69"/>
      <c r="VDB58" s="69"/>
      <c r="VDC58" s="69"/>
      <c r="VDD58" s="69"/>
      <c r="VDE58" s="69"/>
      <c r="VDF58" s="69"/>
      <c r="VDG58" s="69"/>
      <c r="VDH58" s="69"/>
      <c r="VDI58" s="69"/>
      <c r="VDJ58" s="69"/>
      <c r="VDK58" s="69"/>
      <c r="VDL58" s="69"/>
      <c r="VDM58" s="69"/>
      <c r="VDN58" s="69"/>
      <c r="VDO58" s="69"/>
      <c r="VDP58" s="69"/>
      <c r="VDQ58" s="69"/>
      <c r="VDR58" s="69"/>
      <c r="VDS58" s="69"/>
      <c r="VDT58" s="69"/>
      <c r="VDU58" s="69"/>
      <c r="VDV58" s="69"/>
      <c r="VDW58" s="69"/>
      <c r="VDX58" s="69"/>
      <c r="VDY58" s="69"/>
      <c r="VDZ58" s="69"/>
      <c r="VEA58" s="69"/>
      <c r="VEB58" s="69"/>
      <c r="VEC58" s="69"/>
      <c r="VED58" s="69"/>
      <c r="VEE58" s="69"/>
      <c r="VEF58" s="69"/>
      <c r="VEG58" s="69"/>
      <c r="VEH58" s="69"/>
      <c r="VEI58" s="69"/>
      <c r="VEJ58" s="69"/>
      <c r="VEK58" s="69"/>
      <c r="VEL58" s="69"/>
      <c r="VEM58" s="69"/>
      <c r="VEN58" s="69"/>
      <c r="VEO58" s="69"/>
      <c r="VEP58" s="69"/>
      <c r="VEQ58" s="69"/>
      <c r="VER58" s="69"/>
      <c r="VES58" s="69"/>
      <c r="VET58" s="69"/>
      <c r="VEU58" s="69"/>
      <c r="VEV58" s="69"/>
      <c r="VEW58" s="69"/>
      <c r="VEX58" s="69"/>
      <c r="VEY58" s="69"/>
      <c r="VEZ58" s="69"/>
      <c r="VFA58" s="69"/>
      <c r="VFB58" s="69"/>
      <c r="VFC58" s="69"/>
      <c r="VFD58" s="69"/>
      <c r="VFE58" s="69"/>
      <c r="VFF58" s="69"/>
      <c r="VFG58" s="69"/>
      <c r="VFH58" s="69"/>
      <c r="VFI58" s="69"/>
      <c r="VFJ58" s="69"/>
      <c r="VFK58" s="69"/>
      <c r="VFL58" s="69"/>
      <c r="VFM58" s="69"/>
      <c r="VFN58" s="69"/>
      <c r="VFO58" s="69"/>
      <c r="VFP58" s="69"/>
      <c r="VFQ58" s="69"/>
      <c r="VFR58" s="69"/>
      <c r="VFS58" s="69"/>
      <c r="VFT58" s="69"/>
      <c r="VFU58" s="69"/>
      <c r="VFV58" s="69"/>
      <c r="VFW58" s="69"/>
      <c r="VFX58" s="69"/>
      <c r="VFY58" s="69"/>
      <c r="VFZ58" s="69"/>
      <c r="VGA58" s="69"/>
      <c r="VGB58" s="69"/>
      <c r="VGC58" s="69"/>
      <c r="VGD58" s="69"/>
      <c r="VGE58" s="69"/>
      <c r="VGF58" s="69"/>
      <c r="VGG58" s="69"/>
      <c r="VGH58" s="69"/>
      <c r="VGI58" s="69"/>
      <c r="VGJ58" s="69"/>
      <c r="VGK58" s="69"/>
      <c r="VGL58" s="69"/>
      <c r="VGM58" s="69"/>
      <c r="VGN58" s="69"/>
      <c r="VGO58" s="69"/>
      <c r="VGP58" s="69"/>
      <c r="VGQ58" s="69"/>
      <c r="VGR58" s="69"/>
      <c r="VGS58" s="69"/>
      <c r="VGT58" s="69"/>
      <c r="VGU58" s="69"/>
      <c r="VGV58" s="69"/>
      <c r="VGW58" s="69"/>
      <c r="VGX58" s="69"/>
      <c r="VGY58" s="69"/>
      <c r="VGZ58" s="69"/>
      <c r="VHA58" s="69"/>
      <c r="VHB58" s="69"/>
      <c r="VHC58" s="69"/>
      <c r="VHD58" s="69"/>
      <c r="VHE58" s="69"/>
      <c r="VHF58" s="69"/>
      <c r="VHG58" s="69"/>
      <c r="VHH58" s="69"/>
      <c r="VHI58" s="69"/>
      <c r="VHJ58" s="69"/>
      <c r="VHK58" s="69"/>
      <c r="VHL58" s="69"/>
      <c r="VHM58" s="69"/>
      <c r="VHN58" s="69"/>
      <c r="VHO58" s="69"/>
      <c r="VHP58" s="69"/>
      <c r="VHQ58" s="69"/>
      <c r="VHR58" s="69"/>
      <c r="VHS58" s="69"/>
      <c r="VHT58" s="69"/>
      <c r="VHU58" s="69"/>
      <c r="VHV58" s="69"/>
      <c r="VHW58" s="69"/>
      <c r="VHX58" s="69"/>
      <c r="VHY58" s="69"/>
      <c r="VHZ58" s="69"/>
      <c r="VIA58" s="69"/>
      <c r="VIB58" s="69"/>
      <c r="VIC58" s="69"/>
      <c r="VID58" s="69"/>
      <c r="VIE58" s="69"/>
      <c r="VIF58" s="69"/>
      <c r="VIG58" s="69"/>
      <c r="VIH58" s="69"/>
      <c r="VII58" s="69"/>
      <c r="VIJ58" s="69"/>
      <c r="VIK58" s="69"/>
      <c r="VIL58" s="69"/>
      <c r="VIM58" s="69"/>
      <c r="VIN58" s="69"/>
      <c r="VIO58" s="69"/>
      <c r="VIP58" s="69"/>
      <c r="VIQ58" s="69"/>
      <c r="VIR58" s="69"/>
      <c r="VIS58" s="69"/>
      <c r="VIT58" s="69"/>
      <c r="VIU58" s="69"/>
      <c r="VIV58" s="69"/>
      <c r="VIW58" s="69"/>
      <c r="VIX58" s="69"/>
      <c r="VIY58" s="69"/>
      <c r="VIZ58" s="69"/>
      <c r="VJA58" s="69"/>
      <c r="VJB58" s="69"/>
      <c r="VJC58" s="69"/>
      <c r="VJD58" s="69"/>
      <c r="VJE58" s="69"/>
      <c r="VJF58" s="69"/>
      <c r="VJG58" s="69"/>
      <c r="VJH58" s="69"/>
      <c r="VJI58" s="69"/>
      <c r="VJJ58" s="69"/>
      <c r="VJK58" s="69"/>
      <c r="VJL58" s="69"/>
      <c r="VJM58" s="69"/>
      <c r="VJN58" s="69"/>
      <c r="VJO58" s="69"/>
      <c r="VJP58" s="69"/>
      <c r="VJQ58" s="69"/>
      <c r="VJR58" s="69"/>
      <c r="VJS58" s="69"/>
      <c r="VJT58" s="69"/>
      <c r="VJU58" s="69"/>
      <c r="VJV58" s="69"/>
      <c r="VJW58" s="69"/>
      <c r="VJX58" s="69"/>
      <c r="VJY58" s="69"/>
      <c r="VJZ58" s="69"/>
      <c r="VKA58" s="69"/>
      <c r="VKB58" s="69"/>
      <c r="VKC58" s="69"/>
      <c r="VKD58" s="69"/>
      <c r="VKE58" s="69"/>
      <c r="VKF58" s="69"/>
      <c r="VKG58" s="69"/>
      <c r="VKH58" s="69"/>
      <c r="VKI58" s="69"/>
      <c r="VKJ58" s="69"/>
      <c r="VKK58" s="69"/>
      <c r="VKL58" s="69"/>
      <c r="VKM58" s="69"/>
      <c r="VKN58" s="69"/>
      <c r="VKO58" s="69"/>
      <c r="VKP58" s="69"/>
      <c r="VKQ58" s="69"/>
      <c r="VKR58" s="69"/>
      <c r="VKS58" s="69"/>
      <c r="VKT58" s="69"/>
      <c r="VKU58" s="69"/>
      <c r="VKV58" s="69"/>
      <c r="VKW58" s="69"/>
      <c r="VKX58" s="69"/>
      <c r="VKY58" s="69"/>
      <c r="VKZ58" s="69"/>
      <c r="VLA58" s="69"/>
      <c r="VLB58" s="69"/>
      <c r="VLC58" s="69"/>
      <c r="VLD58" s="69"/>
      <c r="VLE58" s="69"/>
      <c r="VLF58" s="69"/>
      <c r="VLG58" s="69"/>
      <c r="VLH58" s="69"/>
      <c r="VLI58" s="69"/>
      <c r="VLJ58" s="69"/>
      <c r="VLK58" s="69"/>
      <c r="VLL58" s="69"/>
      <c r="VLM58" s="69"/>
      <c r="VLN58" s="69"/>
      <c r="VLO58" s="69"/>
      <c r="VLP58" s="69"/>
      <c r="VLQ58" s="69"/>
      <c r="VLR58" s="69"/>
      <c r="VLS58" s="69"/>
      <c r="VLT58" s="69"/>
      <c r="VLU58" s="69"/>
      <c r="VLV58" s="69"/>
      <c r="VLW58" s="69"/>
      <c r="VLX58" s="69"/>
      <c r="VLY58" s="69"/>
      <c r="VLZ58" s="69"/>
      <c r="VMA58" s="69"/>
      <c r="VMB58" s="69"/>
      <c r="VMC58" s="69"/>
      <c r="VMD58" s="69"/>
      <c r="VME58" s="69"/>
      <c r="VMF58" s="69"/>
      <c r="VMG58" s="69"/>
      <c r="VMH58" s="69"/>
      <c r="VMI58" s="69"/>
      <c r="VMJ58" s="69"/>
      <c r="VMK58" s="69"/>
      <c r="VML58" s="69"/>
      <c r="VMM58" s="69"/>
      <c r="VMN58" s="69"/>
      <c r="VMO58" s="69"/>
      <c r="VMP58" s="69"/>
      <c r="VMQ58" s="69"/>
      <c r="VMR58" s="69"/>
      <c r="VMS58" s="69"/>
      <c r="VMT58" s="69"/>
      <c r="VMU58" s="69"/>
      <c r="VMV58" s="69"/>
      <c r="VMW58" s="69"/>
      <c r="VMX58" s="69"/>
      <c r="VMY58" s="69"/>
      <c r="VMZ58" s="69"/>
      <c r="VNA58" s="69"/>
      <c r="VNB58" s="69"/>
      <c r="VNC58" s="69"/>
      <c r="VND58" s="69"/>
      <c r="VNE58" s="69"/>
      <c r="VNF58" s="69"/>
      <c r="VNG58" s="69"/>
      <c r="VNH58" s="69"/>
      <c r="VNI58" s="69"/>
      <c r="VNJ58" s="69"/>
      <c r="VNK58" s="69"/>
      <c r="VNL58" s="69"/>
      <c r="VNM58" s="69"/>
      <c r="VNN58" s="69"/>
      <c r="VNO58" s="69"/>
      <c r="VNP58" s="69"/>
      <c r="VNQ58" s="69"/>
      <c r="VNR58" s="69"/>
      <c r="VNS58" s="69"/>
      <c r="VNT58" s="69"/>
      <c r="VNU58" s="69"/>
      <c r="VNV58" s="69"/>
      <c r="VNW58" s="69"/>
      <c r="VNX58" s="69"/>
      <c r="VNY58" s="69"/>
      <c r="VNZ58" s="69"/>
      <c r="VOA58" s="69"/>
      <c r="VOB58" s="69"/>
      <c r="VOC58" s="69"/>
      <c r="VOD58" s="69"/>
      <c r="VOE58" s="69"/>
      <c r="VOF58" s="69"/>
      <c r="VOG58" s="69"/>
      <c r="VOH58" s="69"/>
      <c r="VOI58" s="69"/>
      <c r="VOJ58" s="69"/>
      <c r="VOK58" s="69"/>
      <c r="VOL58" s="69"/>
      <c r="VOM58" s="69"/>
      <c r="VON58" s="69"/>
      <c r="VOO58" s="69"/>
      <c r="VOP58" s="69"/>
      <c r="VOQ58" s="69"/>
      <c r="VOR58" s="69"/>
      <c r="VOS58" s="69"/>
      <c r="VOT58" s="69"/>
      <c r="VOU58" s="69"/>
      <c r="VOV58" s="69"/>
      <c r="VOW58" s="69"/>
      <c r="VOX58" s="69"/>
      <c r="VOY58" s="69"/>
      <c r="VOZ58" s="69"/>
      <c r="VPA58" s="69"/>
      <c r="VPB58" s="69"/>
      <c r="VPC58" s="69"/>
      <c r="VPD58" s="69"/>
      <c r="VPE58" s="69"/>
      <c r="VPF58" s="69"/>
      <c r="VPG58" s="69"/>
      <c r="VPH58" s="69"/>
      <c r="VPI58" s="69"/>
      <c r="VPJ58" s="69"/>
      <c r="VPK58" s="69"/>
      <c r="VPL58" s="69"/>
      <c r="VPM58" s="69"/>
      <c r="VPN58" s="69"/>
      <c r="VPO58" s="69"/>
      <c r="VPP58" s="69"/>
      <c r="VPQ58" s="69"/>
      <c r="VPR58" s="69"/>
      <c r="VPS58" s="69"/>
      <c r="VPT58" s="69"/>
      <c r="VPU58" s="69"/>
      <c r="VPV58" s="69"/>
      <c r="VPW58" s="69"/>
      <c r="VPX58" s="69"/>
      <c r="VPY58" s="69"/>
      <c r="VPZ58" s="69"/>
      <c r="VQA58" s="69"/>
      <c r="VQB58" s="69"/>
      <c r="VQC58" s="69"/>
      <c r="VQD58" s="69"/>
      <c r="VQE58" s="69"/>
      <c r="VQF58" s="69"/>
      <c r="VQG58" s="69"/>
      <c r="VQH58" s="69"/>
      <c r="VQI58" s="69"/>
      <c r="VQJ58" s="69"/>
      <c r="VQK58" s="69"/>
      <c r="VQL58" s="69"/>
      <c r="VQM58" s="69"/>
      <c r="VQN58" s="69"/>
      <c r="VQO58" s="69"/>
      <c r="VQP58" s="69"/>
      <c r="VQQ58" s="69"/>
      <c r="VQR58" s="69"/>
      <c r="VQS58" s="69"/>
      <c r="VQT58" s="69"/>
      <c r="VQU58" s="69"/>
      <c r="VQV58" s="69"/>
      <c r="VQW58" s="69"/>
      <c r="VQX58" s="69"/>
      <c r="VQY58" s="69"/>
      <c r="VQZ58" s="69"/>
      <c r="VRA58" s="69"/>
      <c r="VRB58" s="69"/>
      <c r="VRC58" s="69"/>
      <c r="VRD58" s="69"/>
      <c r="VRE58" s="69"/>
      <c r="VRF58" s="69"/>
      <c r="VRG58" s="69"/>
      <c r="VRH58" s="69"/>
      <c r="VRI58" s="69"/>
      <c r="VRJ58" s="69"/>
      <c r="VRK58" s="69"/>
      <c r="VRL58" s="69"/>
      <c r="VRM58" s="69"/>
      <c r="VRN58" s="69"/>
      <c r="VRO58" s="69"/>
      <c r="VRP58" s="69"/>
      <c r="VRQ58" s="69"/>
      <c r="VRR58" s="69"/>
      <c r="VRS58" s="69"/>
      <c r="VRT58" s="69"/>
      <c r="VRU58" s="69"/>
      <c r="VRV58" s="69"/>
      <c r="VRW58" s="69"/>
      <c r="VRX58" s="69"/>
      <c r="VRY58" s="69"/>
      <c r="VRZ58" s="69"/>
      <c r="VSA58" s="69"/>
      <c r="VSB58" s="69"/>
      <c r="VSC58" s="69"/>
      <c r="VSD58" s="69"/>
      <c r="VSE58" s="69"/>
      <c r="VSF58" s="69"/>
      <c r="VSG58" s="69"/>
      <c r="VSH58" s="69"/>
      <c r="VSI58" s="69"/>
      <c r="VSJ58" s="69"/>
      <c r="VSK58" s="69"/>
      <c r="VSL58" s="69"/>
      <c r="VSM58" s="69"/>
      <c r="VSN58" s="69"/>
      <c r="VSO58" s="69"/>
      <c r="VSP58" s="69"/>
      <c r="VSQ58" s="69"/>
      <c r="VSR58" s="69"/>
      <c r="VSS58" s="69"/>
      <c r="VST58" s="69"/>
      <c r="VSU58" s="69"/>
      <c r="VSV58" s="69"/>
      <c r="VSW58" s="69"/>
      <c r="VSX58" s="69"/>
      <c r="VSY58" s="69"/>
      <c r="VSZ58" s="69"/>
      <c r="VTA58" s="69"/>
      <c r="VTB58" s="69"/>
      <c r="VTC58" s="69"/>
      <c r="VTD58" s="69"/>
      <c r="VTE58" s="69"/>
      <c r="VTF58" s="69"/>
      <c r="VTG58" s="69"/>
      <c r="VTH58" s="69"/>
      <c r="VTI58" s="69"/>
      <c r="VTJ58" s="69"/>
      <c r="VTK58" s="69"/>
      <c r="VTL58" s="69"/>
      <c r="VTM58" s="69"/>
      <c r="VTN58" s="69"/>
      <c r="VTO58" s="69"/>
      <c r="VTP58" s="69"/>
      <c r="VTQ58" s="69"/>
      <c r="VTR58" s="69"/>
      <c r="VTS58" s="69"/>
      <c r="VTT58" s="69"/>
      <c r="VTU58" s="69"/>
      <c r="VTV58" s="69"/>
      <c r="VTW58" s="69"/>
      <c r="VTX58" s="69"/>
      <c r="VTY58" s="69"/>
      <c r="VTZ58" s="69"/>
      <c r="VUA58" s="69"/>
      <c r="VUB58" s="69"/>
      <c r="VUC58" s="69"/>
      <c r="VUD58" s="69"/>
      <c r="VUE58" s="69"/>
      <c r="VUF58" s="69"/>
      <c r="VUG58" s="69"/>
      <c r="VUH58" s="69"/>
      <c r="VUI58" s="69"/>
      <c r="VUJ58" s="69"/>
      <c r="VUK58" s="69"/>
      <c r="VUL58" s="69"/>
      <c r="VUM58" s="69"/>
      <c r="VUN58" s="69"/>
      <c r="VUO58" s="69"/>
      <c r="VUP58" s="69"/>
      <c r="VUQ58" s="69"/>
      <c r="VUR58" s="69"/>
      <c r="VUS58" s="69"/>
      <c r="VUT58" s="69"/>
      <c r="VUU58" s="69"/>
      <c r="VUV58" s="69"/>
      <c r="VUW58" s="69"/>
      <c r="VUX58" s="69"/>
      <c r="VUY58" s="69"/>
      <c r="VUZ58" s="69"/>
      <c r="VVA58" s="69"/>
      <c r="VVB58" s="69"/>
      <c r="VVC58" s="69"/>
      <c r="VVD58" s="69"/>
      <c r="VVE58" s="69"/>
      <c r="VVF58" s="69"/>
      <c r="VVG58" s="69"/>
      <c r="VVH58" s="69"/>
      <c r="VVI58" s="69"/>
      <c r="VVJ58" s="69"/>
      <c r="VVK58" s="69"/>
      <c r="VVL58" s="69"/>
      <c r="VVM58" s="69"/>
      <c r="VVN58" s="69"/>
      <c r="VVO58" s="69"/>
      <c r="VVP58" s="69"/>
      <c r="VVQ58" s="69"/>
      <c r="VVR58" s="69"/>
      <c r="VVS58" s="69"/>
      <c r="VVT58" s="69"/>
      <c r="VVU58" s="69"/>
      <c r="VVV58" s="69"/>
      <c r="VVW58" s="69"/>
      <c r="VVX58" s="69"/>
      <c r="VVY58" s="69"/>
      <c r="VVZ58" s="69"/>
      <c r="VWA58" s="69"/>
      <c r="VWB58" s="69"/>
      <c r="VWC58" s="69"/>
      <c r="VWD58" s="69"/>
      <c r="VWE58" s="69"/>
      <c r="VWF58" s="69"/>
      <c r="VWG58" s="69"/>
      <c r="VWH58" s="69"/>
      <c r="VWI58" s="69"/>
      <c r="VWJ58" s="69"/>
      <c r="VWK58" s="69"/>
      <c r="VWL58" s="69"/>
      <c r="VWM58" s="69"/>
      <c r="VWN58" s="69"/>
      <c r="VWO58" s="69"/>
      <c r="VWP58" s="69"/>
      <c r="VWQ58" s="69"/>
      <c r="VWR58" s="69"/>
      <c r="VWS58" s="69"/>
      <c r="VWT58" s="69"/>
      <c r="VWU58" s="69"/>
      <c r="VWV58" s="69"/>
      <c r="VWW58" s="69"/>
      <c r="VWX58" s="69"/>
      <c r="VWY58" s="69"/>
      <c r="VWZ58" s="69"/>
      <c r="VXA58" s="69"/>
      <c r="VXB58" s="69"/>
      <c r="VXC58" s="69"/>
      <c r="VXD58" s="69"/>
      <c r="VXE58" s="69"/>
      <c r="VXF58" s="69"/>
      <c r="VXG58" s="69"/>
      <c r="VXH58" s="69"/>
      <c r="VXI58" s="69"/>
      <c r="VXJ58" s="69"/>
      <c r="VXK58" s="69"/>
      <c r="VXL58" s="69"/>
      <c r="VXM58" s="69"/>
      <c r="VXN58" s="69"/>
      <c r="VXO58" s="69"/>
      <c r="VXP58" s="69"/>
      <c r="VXQ58" s="69"/>
      <c r="VXR58" s="69"/>
      <c r="VXS58" s="69"/>
      <c r="VXT58" s="69"/>
      <c r="VXU58" s="69"/>
      <c r="VXV58" s="69"/>
      <c r="VXW58" s="69"/>
      <c r="VXX58" s="69"/>
      <c r="VXY58" s="69"/>
      <c r="VXZ58" s="69"/>
      <c r="VYA58" s="69"/>
      <c r="VYB58" s="69"/>
      <c r="VYC58" s="69"/>
      <c r="VYD58" s="69"/>
      <c r="VYE58" s="69"/>
      <c r="VYF58" s="69"/>
      <c r="VYG58" s="69"/>
      <c r="VYH58" s="69"/>
      <c r="VYI58" s="69"/>
      <c r="VYJ58" s="69"/>
      <c r="VYK58" s="69"/>
      <c r="VYL58" s="69"/>
      <c r="VYM58" s="69"/>
      <c r="VYN58" s="69"/>
      <c r="VYO58" s="69"/>
      <c r="VYP58" s="69"/>
      <c r="VYQ58" s="69"/>
      <c r="VYR58" s="69"/>
      <c r="VYS58" s="69"/>
      <c r="VYT58" s="69"/>
      <c r="VYU58" s="69"/>
      <c r="VYV58" s="69"/>
      <c r="VYW58" s="69"/>
      <c r="VYX58" s="69"/>
      <c r="VYY58" s="69"/>
      <c r="VYZ58" s="69"/>
      <c r="VZA58" s="69"/>
      <c r="VZB58" s="69"/>
      <c r="VZC58" s="69"/>
      <c r="VZD58" s="69"/>
      <c r="VZE58" s="69"/>
      <c r="VZF58" s="69"/>
      <c r="VZG58" s="69"/>
      <c r="VZH58" s="69"/>
      <c r="VZI58" s="69"/>
      <c r="VZJ58" s="69"/>
      <c r="VZK58" s="69"/>
      <c r="VZL58" s="69"/>
      <c r="VZM58" s="69"/>
      <c r="VZN58" s="69"/>
      <c r="VZO58" s="69"/>
      <c r="VZP58" s="69"/>
      <c r="VZQ58" s="69"/>
      <c r="VZR58" s="69"/>
      <c r="VZS58" s="69"/>
      <c r="VZT58" s="69"/>
      <c r="VZU58" s="69"/>
      <c r="VZV58" s="69"/>
      <c r="VZW58" s="69"/>
      <c r="VZX58" s="69"/>
      <c r="VZY58" s="69"/>
      <c r="VZZ58" s="69"/>
      <c r="WAA58" s="69"/>
      <c r="WAB58" s="69"/>
      <c r="WAC58" s="69"/>
      <c r="WAD58" s="69"/>
      <c r="WAE58" s="69"/>
      <c r="WAF58" s="69"/>
      <c r="WAG58" s="69"/>
      <c r="WAH58" s="69"/>
      <c r="WAI58" s="69"/>
      <c r="WAJ58" s="69"/>
      <c r="WAK58" s="69"/>
      <c r="WAL58" s="69"/>
      <c r="WAM58" s="69"/>
      <c r="WAN58" s="69"/>
      <c r="WAO58" s="69"/>
      <c r="WAP58" s="69"/>
      <c r="WAQ58" s="69"/>
      <c r="WAR58" s="69"/>
      <c r="WAS58" s="69"/>
      <c r="WAT58" s="69"/>
      <c r="WAU58" s="69"/>
      <c r="WAV58" s="69"/>
      <c r="WAW58" s="69"/>
      <c r="WAX58" s="69"/>
      <c r="WAY58" s="69"/>
      <c r="WAZ58" s="69"/>
      <c r="WBA58" s="69"/>
      <c r="WBB58" s="69"/>
      <c r="WBC58" s="69"/>
      <c r="WBD58" s="69"/>
      <c r="WBE58" s="69"/>
      <c r="WBF58" s="69"/>
      <c r="WBG58" s="69"/>
      <c r="WBH58" s="69"/>
      <c r="WBI58" s="69"/>
      <c r="WBJ58" s="69"/>
      <c r="WBK58" s="69"/>
      <c r="WBL58" s="69"/>
      <c r="WBM58" s="69"/>
      <c r="WBN58" s="69"/>
      <c r="WBO58" s="69"/>
      <c r="WBP58" s="69"/>
      <c r="WBQ58" s="69"/>
      <c r="WBR58" s="69"/>
      <c r="WBS58" s="69"/>
      <c r="WBT58" s="69"/>
      <c r="WBU58" s="69"/>
      <c r="WBV58" s="69"/>
      <c r="WBW58" s="69"/>
      <c r="WBX58" s="69"/>
      <c r="WBY58" s="69"/>
      <c r="WBZ58" s="69"/>
      <c r="WCA58" s="69"/>
      <c r="WCB58" s="69"/>
      <c r="WCC58" s="69"/>
      <c r="WCD58" s="69"/>
      <c r="WCE58" s="69"/>
      <c r="WCF58" s="69"/>
      <c r="WCG58" s="69"/>
      <c r="WCH58" s="69"/>
      <c r="WCI58" s="69"/>
      <c r="WCJ58" s="69"/>
      <c r="WCK58" s="69"/>
      <c r="WCL58" s="69"/>
      <c r="WCM58" s="69"/>
      <c r="WCN58" s="69"/>
      <c r="WCO58" s="69"/>
      <c r="WCP58" s="69"/>
      <c r="WCQ58" s="69"/>
      <c r="WCR58" s="69"/>
      <c r="WCS58" s="69"/>
      <c r="WCT58" s="69"/>
      <c r="WCU58" s="69"/>
      <c r="WCV58" s="69"/>
      <c r="WCW58" s="69"/>
      <c r="WCX58" s="69"/>
      <c r="WCY58" s="69"/>
      <c r="WCZ58" s="69"/>
      <c r="WDA58" s="69"/>
      <c r="WDB58" s="69"/>
      <c r="WDC58" s="69"/>
      <c r="WDD58" s="69"/>
      <c r="WDE58" s="69"/>
      <c r="WDF58" s="69"/>
      <c r="WDG58" s="69"/>
      <c r="WDH58" s="69"/>
      <c r="WDI58" s="69"/>
      <c r="WDJ58" s="69"/>
      <c r="WDK58" s="69"/>
      <c r="WDL58" s="69"/>
      <c r="WDM58" s="69"/>
      <c r="WDN58" s="69"/>
      <c r="WDO58" s="69"/>
      <c r="WDP58" s="69"/>
      <c r="WDQ58" s="69"/>
      <c r="WDR58" s="69"/>
      <c r="WDS58" s="69"/>
      <c r="WDT58" s="69"/>
      <c r="WDU58" s="69"/>
      <c r="WDV58" s="69"/>
      <c r="WDW58" s="69"/>
      <c r="WDX58" s="69"/>
      <c r="WDY58" s="69"/>
      <c r="WDZ58" s="69"/>
      <c r="WEA58" s="69"/>
      <c r="WEB58" s="69"/>
      <c r="WEC58" s="69"/>
      <c r="WED58" s="69"/>
      <c r="WEE58" s="69"/>
      <c r="WEF58" s="69"/>
      <c r="WEG58" s="69"/>
      <c r="WEH58" s="69"/>
      <c r="WEI58" s="69"/>
      <c r="WEJ58" s="69"/>
      <c r="WEK58" s="69"/>
      <c r="WEL58" s="69"/>
      <c r="WEM58" s="69"/>
      <c r="WEN58" s="69"/>
      <c r="WEO58" s="69"/>
      <c r="WEP58" s="69"/>
      <c r="WEQ58" s="69"/>
      <c r="WER58" s="69"/>
      <c r="WES58" s="69"/>
      <c r="WET58" s="69"/>
      <c r="WEU58" s="69"/>
      <c r="WEV58" s="69"/>
      <c r="WEW58" s="69"/>
      <c r="WEX58" s="69"/>
      <c r="WEY58" s="69"/>
      <c r="WEZ58" s="69"/>
      <c r="WFA58" s="69"/>
      <c r="WFB58" s="69"/>
      <c r="WFC58" s="69"/>
      <c r="WFD58" s="69"/>
      <c r="WFE58" s="69"/>
      <c r="WFF58" s="69"/>
      <c r="WFG58" s="69"/>
      <c r="WFH58" s="69"/>
      <c r="WFI58" s="69"/>
      <c r="WFJ58" s="69"/>
      <c r="WFK58" s="69"/>
      <c r="WFL58" s="69"/>
      <c r="WFM58" s="69"/>
      <c r="WFN58" s="69"/>
      <c r="WFO58" s="69"/>
      <c r="WFP58" s="69"/>
      <c r="WFQ58" s="69"/>
      <c r="WFR58" s="69"/>
      <c r="WFS58" s="69"/>
      <c r="WFT58" s="69"/>
      <c r="WFU58" s="69"/>
      <c r="WFV58" s="69"/>
      <c r="WFW58" s="69"/>
      <c r="WFX58" s="69"/>
      <c r="WFY58" s="69"/>
      <c r="WFZ58" s="69"/>
      <c r="WGA58" s="69"/>
      <c r="WGB58" s="69"/>
      <c r="WGC58" s="69"/>
      <c r="WGD58" s="69"/>
      <c r="WGE58" s="69"/>
      <c r="WGF58" s="69"/>
      <c r="WGG58" s="69"/>
      <c r="WGH58" s="69"/>
      <c r="WGI58" s="69"/>
      <c r="WGJ58" s="69"/>
      <c r="WGK58" s="69"/>
      <c r="WGL58" s="69"/>
      <c r="WGM58" s="69"/>
      <c r="WGN58" s="69"/>
      <c r="WGO58" s="69"/>
      <c r="WGP58" s="69"/>
      <c r="WGQ58" s="69"/>
      <c r="WGR58" s="69"/>
      <c r="WGS58" s="69"/>
      <c r="WGT58" s="69"/>
      <c r="WGU58" s="69"/>
      <c r="WGV58" s="69"/>
      <c r="WGW58" s="69"/>
      <c r="WGX58" s="69"/>
      <c r="WGY58" s="69"/>
      <c r="WGZ58" s="69"/>
      <c r="WHA58" s="69"/>
      <c r="WHB58" s="69"/>
      <c r="WHC58" s="69"/>
      <c r="WHD58" s="69"/>
      <c r="WHE58" s="69"/>
      <c r="WHF58" s="69"/>
      <c r="WHG58" s="69"/>
      <c r="WHH58" s="69"/>
      <c r="WHI58" s="69"/>
      <c r="WHJ58" s="69"/>
      <c r="WHK58" s="69"/>
      <c r="WHL58" s="69"/>
      <c r="WHM58" s="69"/>
      <c r="WHN58" s="69"/>
      <c r="WHO58" s="69"/>
      <c r="WHP58" s="69"/>
      <c r="WHQ58" s="69"/>
      <c r="WHR58" s="69"/>
      <c r="WHS58" s="69"/>
      <c r="WHT58" s="69"/>
      <c r="WHU58" s="69"/>
      <c r="WHV58" s="69"/>
      <c r="WHW58" s="69"/>
      <c r="WHX58" s="69"/>
      <c r="WHY58" s="69"/>
      <c r="WHZ58" s="69"/>
      <c r="WIA58" s="69"/>
      <c r="WIB58" s="69"/>
      <c r="WIC58" s="69"/>
      <c r="WID58" s="69"/>
      <c r="WIE58" s="69"/>
      <c r="WIF58" s="69"/>
      <c r="WIG58" s="69"/>
      <c r="WIH58" s="69"/>
      <c r="WII58" s="69"/>
      <c r="WIJ58" s="69"/>
      <c r="WIK58" s="69"/>
      <c r="WIL58" s="69"/>
      <c r="WIM58" s="69"/>
      <c r="WIN58" s="69"/>
      <c r="WIO58" s="69"/>
      <c r="WIP58" s="69"/>
      <c r="WIQ58" s="69"/>
      <c r="WIR58" s="69"/>
      <c r="WIS58" s="69"/>
      <c r="WIT58" s="69"/>
      <c r="WIU58" s="69"/>
      <c r="WIV58" s="69"/>
      <c r="WIW58" s="69"/>
      <c r="WIX58" s="69"/>
      <c r="WIY58" s="69"/>
      <c r="WIZ58" s="69"/>
      <c r="WJA58" s="69"/>
      <c r="WJB58" s="69"/>
      <c r="WJC58" s="69"/>
      <c r="WJD58" s="69"/>
      <c r="WJE58" s="69"/>
      <c r="WJF58" s="69"/>
      <c r="WJG58" s="69"/>
      <c r="WJH58" s="69"/>
      <c r="WJI58" s="69"/>
      <c r="WJJ58" s="69"/>
      <c r="WJK58" s="69"/>
      <c r="WJL58" s="69"/>
      <c r="WJM58" s="69"/>
      <c r="WJN58" s="69"/>
      <c r="WJO58" s="69"/>
      <c r="WJP58" s="69"/>
      <c r="WJQ58" s="69"/>
      <c r="WJR58" s="69"/>
      <c r="WJS58" s="69"/>
      <c r="WJT58" s="69"/>
      <c r="WJU58" s="69"/>
      <c r="WJV58" s="69"/>
      <c r="WJW58" s="69"/>
      <c r="WJX58" s="69"/>
      <c r="WJY58" s="69"/>
      <c r="WJZ58" s="69"/>
      <c r="WKA58" s="69"/>
      <c r="WKB58" s="69"/>
      <c r="WKC58" s="69"/>
      <c r="WKD58" s="69"/>
      <c r="WKE58" s="69"/>
      <c r="WKF58" s="69"/>
      <c r="WKG58" s="69"/>
      <c r="WKH58" s="69"/>
      <c r="WKI58" s="69"/>
      <c r="WKJ58" s="69"/>
      <c r="WKK58" s="69"/>
      <c r="WKL58" s="69"/>
      <c r="WKM58" s="69"/>
      <c r="WKN58" s="69"/>
      <c r="WKO58" s="69"/>
      <c r="WKP58" s="69"/>
      <c r="WKQ58" s="69"/>
      <c r="WKR58" s="69"/>
      <c r="WKS58" s="69"/>
      <c r="WKT58" s="69"/>
      <c r="WKU58" s="69"/>
      <c r="WKV58" s="69"/>
      <c r="WKW58" s="69"/>
      <c r="WKX58" s="69"/>
      <c r="WKY58" s="69"/>
      <c r="WKZ58" s="69"/>
      <c r="WLA58" s="69"/>
      <c r="WLB58" s="69"/>
      <c r="WLC58" s="69"/>
      <c r="WLD58" s="69"/>
      <c r="WLE58" s="69"/>
      <c r="WLF58" s="69"/>
      <c r="WLG58" s="69"/>
      <c r="WLH58" s="69"/>
      <c r="WLI58" s="69"/>
      <c r="WLJ58" s="69"/>
      <c r="WLK58" s="69"/>
      <c r="WLL58" s="69"/>
      <c r="WLM58" s="69"/>
      <c r="WLN58" s="69"/>
      <c r="WLO58" s="69"/>
      <c r="WLP58" s="69"/>
      <c r="WLQ58" s="69"/>
      <c r="WLR58" s="69"/>
      <c r="WLS58" s="69"/>
      <c r="WLT58" s="69"/>
      <c r="WLU58" s="69"/>
      <c r="WLV58" s="69"/>
      <c r="WLW58" s="69"/>
      <c r="WLX58" s="69"/>
      <c r="WLY58" s="69"/>
      <c r="WLZ58" s="69"/>
      <c r="WMA58" s="69"/>
      <c r="WMB58" s="69"/>
      <c r="WMC58" s="69"/>
      <c r="WMD58" s="69"/>
      <c r="WME58" s="69"/>
      <c r="WMF58" s="69"/>
      <c r="WMG58" s="69"/>
      <c r="WMH58" s="69"/>
      <c r="WMI58" s="69"/>
      <c r="WMJ58" s="69"/>
      <c r="WMK58" s="69"/>
      <c r="WML58" s="69"/>
      <c r="WMM58" s="69"/>
      <c r="WMN58" s="69"/>
      <c r="WMO58" s="69"/>
      <c r="WMP58" s="69"/>
      <c r="WMQ58" s="69"/>
      <c r="WMR58" s="69"/>
      <c r="WMS58" s="69"/>
      <c r="WMT58" s="69"/>
      <c r="WMU58" s="69"/>
      <c r="WMV58" s="69"/>
      <c r="WMW58" s="69"/>
      <c r="WMX58" s="69"/>
      <c r="WMY58" s="69"/>
      <c r="WMZ58" s="69"/>
      <c r="WNA58" s="69"/>
      <c r="WNB58" s="69"/>
      <c r="WNC58" s="69"/>
      <c r="WND58" s="69"/>
      <c r="WNE58" s="69"/>
      <c r="WNF58" s="69"/>
      <c r="WNG58" s="69"/>
      <c r="WNH58" s="69"/>
      <c r="WNI58" s="69"/>
      <c r="WNJ58" s="69"/>
      <c r="WNK58" s="69"/>
      <c r="WNL58" s="69"/>
      <c r="WNM58" s="69"/>
      <c r="WNN58" s="69"/>
      <c r="WNO58" s="69"/>
      <c r="WNP58" s="69"/>
      <c r="WNQ58" s="69"/>
      <c r="WNR58" s="69"/>
      <c r="WNS58" s="69"/>
      <c r="WNT58" s="69"/>
      <c r="WNU58" s="69"/>
      <c r="WNV58" s="69"/>
      <c r="WNW58" s="69"/>
      <c r="WNX58" s="69"/>
      <c r="WNY58" s="69"/>
      <c r="WNZ58" s="69"/>
      <c r="WOA58" s="69"/>
      <c r="WOB58" s="69"/>
      <c r="WOC58" s="69"/>
      <c r="WOD58" s="69"/>
      <c r="WOE58" s="69"/>
      <c r="WOF58" s="69"/>
      <c r="WOG58" s="69"/>
      <c r="WOH58" s="69"/>
      <c r="WOI58" s="69"/>
      <c r="WOJ58" s="69"/>
      <c r="WOK58" s="69"/>
      <c r="WOL58" s="69"/>
      <c r="WOM58" s="69"/>
      <c r="WON58" s="69"/>
      <c r="WOO58" s="69"/>
      <c r="WOP58" s="69"/>
      <c r="WOQ58" s="69"/>
      <c r="WOR58" s="69"/>
      <c r="WOS58" s="69"/>
      <c r="WOT58" s="69"/>
      <c r="WOU58" s="69"/>
      <c r="WOV58" s="69"/>
      <c r="WOW58" s="69"/>
      <c r="WOX58" s="69"/>
      <c r="WOY58" s="69"/>
      <c r="WOZ58" s="69"/>
      <c r="WPA58" s="69"/>
      <c r="WPB58" s="69"/>
      <c r="WPC58" s="69"/>
      <c r="WPD58" s="69"/>
      <c r="WPE58" s="69"/>
      <c r="WPF58" s="69"/>
      <c r="WPG58" s="69"/>
      <c r="WPH58" s="69"/>
      <c r="WPI58" s="69"/>
      <c r="WPJ58" s="69"/>
      <c r="WPK58" s="69"/>
      <c r="WPL58" s="69"/>
      <c r="WPM58" s="69"/>
      <c r="WPN58" s="69"/>
      <c r="WPO58" s="69"/>
      <c r="WPP58" s="69"/>
      <c r="WPQ58" s="69"/>
      <c r="WPR58" s="69"/>
      <c r="WPS58" s="69"/>
      <c r="WPT58" s="69"/>
      <c r="WPU58" s="69"/>
      <c r="WPV58" s="69"/>
      <c r="WPW58" s="69"/>
      <c r="WPX58" s="69"/>
      <c r="WPY58" s="69"/>
      <c r="WPZ58" s="69"/>
      <c r="WQA58" s="69"/>
      <c r="WQB58" s="69"/>
      <c r="WQC58" s="69"/>
      <c r="WQD58" s="69"/>
      <c r="WQE58" s="69"/>
      <c r="WQF58" s="69"/>
      <c r="WQG58" s="69"/>
      <c r="WQH58" s="69"/>
      <c r="WQI58" s="69"/>
      <c r="WQJ58" s="69"/>
      <c r="WQK58" s="69"/>
      <c r="WQL58" s="69"/>
      <c r="WQM58" s="69"/>
      <c r="WQN58" s="69"/>
      <c r="WQO58" s="69"/>
      <c r="WQP58" s="69"/>
      <c r="WQQ58" s="69"/>
      <c r="WQR58" s="69"/>
      <c r="WQS58" s="69"/>
      <c r="WQT58" s="69"/>
      <c r="WQU58" s="69"/>
      <c r="WQV58" s="69"/>
      <c r="WQW58" s="69"/>
      <c r="WQX58" s="69"/>
      <c r="WQY58" s="69"/>
      <c r="WQZ58" s="69"/>
      <c r="WRA58" s="69"/>
      <c r="WRB58" s="69"/>
      <c r="WRC58" s="69"/>
      <c r="WRD58" s="69"/>
      <c r="WRE58" s="69"/>
      <c r="WRF58" s="69"/>
      <c r="WRG58" s="69"/>
      <c r="WRH58" s="69"/>
      <c r="WRI58" s="69"/>
      <c r="WRJ58" s="69"/>
      <c r="WRK58" s="69"/>
      <c r="WRL58" s="69"/>
      <c r="WRM58" s="69"/>
      <c r="WRN58" s="69"/>
      <c r="WRO58" s="69"/>
      <c r="WRP58" s="69"/>
      <c r="WRQ58" s="69"/>
      <c r="WRR58" s="69"/>
      <c r="WRS58" s="69"/>
      <c r="WRT58" s="69"/>
      <c r="WRU58" s="69"/>
      <c r="WRV58" s="69"/>
      <c r="WRW58" s="69"/>
      <c r="WRX58" s="69"/>
      <c r="WRY58" s="69"/>
      <c r="WRZ58" s="69"/>
      <c r="WSA58" s="69"/>
      <c r="WSB58" s="69"/>
      <c r="WSC58" s="69"/>
      <c r="WSD58" s="69"/>
      <c r="WSE58" s="69"/>
      <c r="WSF58" s="69"/>
      <c r="WSG58" s="69"/>
      <c r="WSH58" s="69"/>
      <c r="WSI58" s="69"/>
      <c r="WSJ58" s="69"/>
      <c r="WSK58" s="69"/>
      <c r="WSL58" s="69"/>
      <c r="WSM58" s="69"/>
      <c r="WSN58" s="69"/>
      <c r="WSO58" s="69"/>
      <c r="WSP58" s="69"/>
      <c r="WSQ58" s="69"/>
      <c r="WSR58" s="69"/>
      <c r="WSS58" s="69"/>
      <c r="WST58" s="69"/>
      <c r="WSU58" s="69"/>
      <c r="WSV58" s="69"/>
      <c r="WSW58" s="69"/>
      <c r="WSX58" s="69"/>
      <c r="WSY58" s="69"/>
      <c r="WSZ58" s="69"/>
      <c r="WTA58" s="69"/>
      <c r="WTB58" s="69"/>
      <c r="WTC58" s="69"/>
      <c r="WTD58" s="69"/>
      <c r="WTE58" s="69"/>
      <c r="WTF58" s="69"/>
      <c r="WTG58" s="69"/>
      <c r="WTH58" s="69"/>
      <c r="WTI58" s="69"/>
      <c r="WTJ58" s="69"/>
      <c r="WTK58" s="69"/>
      <c r="WTL58" s="69"/>
      <c r="WTM58" s="69"/>
      <c r="WTN58" s="69"/>
      <c r="WTO58" s="69"/>
      <c r="WTP58" s="69"/>
      <c r="WTQ58" s="69"/>
      <c r="WTR58" s="69"/>
      <c r="WTS58" s="69"/>
      <c r="WTT58" s="69"/>
      <c r="WTU58" s="69"/>
      <c r="WTV58" s="69"/>
      <c r="WTW58" s="69"/>
      <c r="WTX58" s="69"/>
      <c r="WTY58" s="69"/>
      <c r="WTZ58" s="69"/>
      <c r="WUA58" s="69"/>
      <c r="WUB58" s="69"/>
      <c r="WUC58" s="69"/>
      <c r="WUD58" s="69"/>
      <c r="WUE58" s="69"/>
      <c r="WUF58" s="69"/>
      <c r="WUG58" s="69"/>
      <c r="WUH58" s="69"/>
      <c r="WUI58" s="69"/>
      <c r="WUJ58" s="69"/>
      <c r="WUK58" s="69"/>
      <c r="WUL58" s="69"/>
      <c r="WUM58" s="69"/>
      <c r="WUN58" s="69"/>
      <c r="WUO58" s="69"/>
      <c r="WUP58" s="69"/>
      <c r="WUQ58" s="69"/>
      <c r="WUR58" s="69"/>
      <c r="WUS58" s="69"/>
      <c r="WUT58" s="69"/>
      <c r="WUU58" s="69"/>
      <c r="WUV58" s="69"/>
      <c r="WUW58" s="69"/>
      <c r="WUX58" s="69"/>
      <c r="WUY58" s="69"/>
      <c r="WUZ58" s="69"/>
      <c r="WVA58" s="69"/>
      <c r="WVB58" s="69"/>
      <c r="WVC58" s="69"/>
      <c r="WVD58" s="69"/>
      <c r="WVE58" s="69"/>
      <c r="WVF58" s="69"/>
      <c r="WVG58" s="69"/>
      <c r="WVH58" s="69"/>
      <c r="WVI58" s="69"/>
      <c r="WVJ58" s="69"/>
      <c r="WVK58" s="69"/>
      <c r="WVL58" s="69"/>
      <c r="WVM58" s="69"/>
      <c r="WVN58" s="69"/>
      <c r="WVO58" s="69"/>
      <c r="WVP58" s="69"/>
      <c r="WVQ58" s="69"/>
      <c r="WVR58" s="69"/>
      <c r="WVS58" s="69"/>
      <c r="WVT58" s="69"/>
      <c r="WVU58" s="69"/>
      <c r="WVV58" s="69"/>
      <c r="WVW58" s="69"/>
      <c r="WVX58" s="69"/>
      <c r="WVY58" s="69"/>
      <c r="WVZ58" s="69"/>
      <c r="WWA58" s="69"/>
      <c r="WWB58" s="69"/>
      <c r="WWC58" s="69"/>
      <c r="WWD58" s="69"/>
      <c r="WWE58" s="69"/>
      <c r="WWF58" s="69"/>
      <c r="WWG58" s="69"/>
      <c r="WWH58" s="69"/>
      <c r="WWI58" s="69"/>
      <c r="WWJ58" s="69"/>
      <c r="WWK58" s="69"/>
      <c r="WWL58" s="69"/>
      <c r="WWM58" s="69"/>
      <c r="WWN58" s="69"/>
      <c r="WWO58" s="69"/>
      <c r="WWP58" s="69"/>
      <c r="WWQ58" s="69"/>
      <c r="WWR58" s="69"/>
      <c r="WWS58" s="69"/>
      <c r="WWT58" s="69"/>
      <c r="WWU58" s="69"/>
      <c r="WWV58" s="69"/>
      <c r="WWW58" s="69"/>
      <c r="WWX58" s="69"/>
      <c r="WWY58" s="69"/>
      <c r="WWZ58" s="69"/>
      <c r="WXA58" s="69"/>
      <c r="WXB58" s="69"/>
      <c r="WXC58" s="69"/>
      <c r="WXD58" s="69"/>
      <c r="WXE58" s="69"/>
      <c r="WXF58" s="69"/>
      <c r="WXG58" s="69"/>
      <c r="WXH58" s="69"/>
      <c r="WXI58" s="69"/>
      <c r="WXJ58" s="69"/>
      <c r="WXK58" s="69"/>
      <c r="WXL58" s="69"/>
      <c r="WXM58" s="69"/>
      <c r="WXN58" s="69"/>
      <c r="WXO58" s="69"/>
      <c r="WXP58" s="69"/>
      <c r="WXQ58" s="69"/>
      <c r="WXR58" s="69"/>
      <c r="WXS58" s="69"/>
      <c r="WXT58" s="69"/>
      <c r="WXU58" s="69"/>
      <c r="WXV58" s="69"/>
      <c r="WXW58" s="69"/>
      <c r="WXX58" s="69"/>
      <c r="WXY58" s="69"/>
      <c r="WXZ58" s="69"/>
      <c r="WYA58" s="69"/>
      <c r="WYB58" s="69"/>
      <c r="WYC58" s="69"/>
      <c r="WYD58" s="69"/>
      <c r="WYE58" s="69"/>
      <c r="WYF58" s="69"/>
      <c r="WYG58" s="69"/>
      <c r="WYH58" s="69"/>
      <c r="WYI58" s="69"/>
      <c r="WYJ58" s="69"/>
      <c r="WYK58" s="69"/>
      <c r="WYL58" s="69"/>
      <c r="WYM58" s="69"/>
      <c r="WYN58" s="69"/>
      <c r="WYO58" s="69"/>
      <c r="WYP58" s="69"/>
      <c r="WYQ58" s="69"/>
      <c r="WYR58" s="69"/>
      <c r="WYS58" s="69"/>
      <c r="WYT58" s="69"/>
      <c r="WYU58" s="69"/>
      <c r="WYV58" s="69"/>
      <c r="WYW58" s="69"/>
      <c r="WYX58" s="69"/>
      <c r="WYY58" s="69"/>
      <c r="WYZ58" s="69"/>
      <c r="WZA58" s="69"/>
      <c r="WZB58" s="69"/>
      <c r="WZC58" s="69"/>
      <c r="WZD58" s="69"/>
      <c r="WZE58" s="69"/>
      <c r="WZF58" s="69"/>
      <c r="WZG58" s="69"/>
      <c r="WZH58" s="69"/>
      <c r="WZI58" s="69"/>
      <c r="WZJ58" s="69"/>
      <c r="WZK58" s="69"/>
      <c r="WZL58" s="69"/>
      <c r="WZM58" s="69"/>
      <c r="WZN58" s="69"/>
      <c r="WZO58" s="69"/>
      <c r="WZP58" s="69"/>
      <c r="WZQ58" s="69"/>
      <c r="WZR58" s="69"/>
      <c r="WZS58" s="69"/>
      <c r="WZT58" s="69"/>
      <c r="WZU58" s="69"/>
      <c r="WZV58" s="69"/>
      <c r="WZW58" s="69"/>
      <c r="WZX58" s="69"/>
      <c r="WZY58" s="69"/>
      <c r="WZZ58" s="69"/>
      <c r="XAA58" s="69"/>
      <c r="XAB58" s="69"/>
      <c r="XAC58" s="69"/>
      <c r="XAD58" s="69"/>
      <c r="XAE58" s="69"/>
      <c r="XAF58" s="69"/>
      <c r="XAG58" s="69"/>
      <c r="XAH58" s="69"/>
      <c r="XAI58" s="69"/>
      <c r="XAJ58" s="69"/>
      <c r="XAK58" s="69"/>
      <c r="XAL58" s="69"/>
      <c r="XAM58" s="69"/>
      <c r="XAN58" s="69"/>
      <c r="XAO58" s="69"/>
      <c r="XAP58" s="69"/>
      <c r="XAQ58" s="69"/>
      <c r="XAR58" s="69"/>
      <c r="XAS58" s="69"/>
      <c r="XAT58" s="69"/>
      <c r="XAU58" s="69"/>
      <c r="XAV58" s="69"/>
      <c r="XAW58" s="69"/>
      <c r="XAX58" s="69"/>
      <c r="XAY58" s="69"/>
      <c r="XAZ58" s="69"/>
      <c r="XBA58" s="69"/>
      <c r="XBB58" s="69"/>
      <c r="XBC58" s="69"/>
      <c r="XBD58" s="69"/>
      <c r="XBE58" s="69"/>
      <c r="XBF58" s="69"/>
      <c r="XBG58" s="69"/>
      <c r="XBH58" s="69"/>
      <c r="XBI58" s="69"/>
      <c r="XBJ58" s="69"/>
      <c r="XBK58" s="69"/>
      <c r="XBL58" s="69"/>
      <c r="XBM58" s="69"/>
      <c r="XBN58" s="69"/>
      <c r="XBO58" s="69"/>
      <c r="XBP58" s="69"/>
      <c r="XBQ58" s="69"/>
      <c r="XBR58" s="69"/>
      <c r="XBS58" s="69"/>
      <c r="XBT58" s="69"/>
      <c r="XBU58" s="69"/>
      <c r="XBV58" s="69"/>
      <c r="XBW58" s="69"/>
      <c r="XBX58" s="69"/>
      <c r="XBY58" s="69"/>
      <c r="XBZ58" s="69"/>
      <c r="XCA58" s="69"/>
      <c r="XCB58" s="69"/>
      <c r="XCC58" s="69"/>
      <c r="XCD58" s="69"/>
      <c r="XCE58" s="69"/>
      <c r="XCF58" s="69"/>
      <c r="XCG58" s="69"/>
      <c r="XCH58" s="69"/>
      <c r="XCI58" s="69"/>
      <c r="XCJ58" s="69"/>
      <c r="XCK58" s="69"/>
      <c r="XCL58" s="69"/>
      <c r="XCM58" s="69"/>
      <c r="XCN58" s="69"/>
      <c r="XCO58" s="69"/>
      <c r="XCP58" s="69"/>
      <c r="XCQ58" s="69"/>
      <c r="XCR58" s="69"/>
      <c r="XCS58" s="69"/>
      <c r="XCT58" s="69"/>
      <c r="XCU58" s="69"/>
      <c r="XCV58" s="69"/>
      <c r="XCW58" s="69"/>
      <c r="XCX58" s="69"/>
      <c r="XCY58" s="69"/>
      <c r="XCZ58" s="69"/>
      <c r="XDA58" s="69"/>
      <c r="XDB58" s="69"/>
      <c r="XDC58" s="69"/>
      <c r="XDD58" s="69"/>
      <c r="XDE58" s="69"/>
      <c r="XDF58" s="69"/>
      <c r="XDG58" s="69"/>
      <c r="XDH58" s="69"/>
      <c r="XDI58" s="69"/>
      <c r="XDJ58" s="69"/>
      <c r="XDK58" s="69"/>
      <c r="XDL58" s="69"/>
      <c r="XDM58" s="69"/>
      <c r="XDN58" s="69"/>
      <c r="XDO58" s="69"/>
      <c r="XDP58" s="69"/>
      <c r="XDQ58" s="69"/>
      <c r="XDR58" s="69"/>
      <c r="XDS58" s="69"/>
      <c r="XDT58" s="69"/>
      <c r="XDU58" s="69"/>
      <c r="XDV58" s="69"/>
      <c r="XDW58" s="69"/>
      <c r="XDX58" s="69"/>
      <c r="XDY58" s="69"/>
      <c r="XDZ58" s="69"/>
      <c r="XEA58" s="69"/>
      <c r="XEB58" s="69"/>
      <c r="XEC58" s="69"/>
      <c r="XED58" s="69"/>
      <c r="XEE58" s="69"/>
      <c r="XEF58" s="69"/>
      <c r="XEG58" s="69"/>
      <c r="XEH58" s="69"/>
      <c r="XEI58" s="69"/>
      <c r="XEJ58" s="69"/>
      <c r="XEK58" s="69"/>
      <c r="XEL58" s="69"/>
      <c r="XEM58" s="69"/>
      <c r="XEN58" s="69"/>
      <c r="XEO58" s="69"/>
      <c r="XEP58" s="69"/>
      <c r="XEQ58" s="69"/>
      <c r="XER58" s="69"/>
      <c r="XES58" s="69"/>
      <c r="XET58" s="69"/>
      <c r="XEU58" s="69"/>
      <c r="XEV58" s="69"/>
      <c r="XEW58" s="69"/>
      <c r="XEX58" s="69"/>
      <c r="XEY58" s="69"/>
      <c r="XEZ58" s="69"/>
      <c r="XFA58" s="69"/>
    </row>
    <row r="59" spans="1:16381" ht="25.5" customHeight="1">
      <c r="B59" s="88" t="s">
        <v>136</v>
      </c>
      <c r="C59" s="76" t="s">
        <v>123</v>
      </c>
      <c r="D59" s="266" t="s">
        <v>482</v>
      </c>
      <c r="E59" s="75" t="s">
        <v>885</v>
      </c>
      <c r="F59" s="76" t="s">
        <v>818</v>
      </c>
      <c r="G59" s="76" t="s">
        <v>819</v>
      </c>
      <c r="H59" s="71" t="s">
        <v>663</v>
      </c>
      <c r="I59" s="70"/>
      <c r="J59" s="23" t="s">
        <v>786</v>
      </c>
      <c r="K59" s="256" t="s">
        <v>1073</v>
      </c>
      <c r="L59" s="71" t="s">
        <v>1028</v>
      </c>
      <c r="M59" s="71" t="s">
        <v>1029</v>
      </c>
      <c r="N59" s="71" t="s">
        <v>1030</v>
      </c>
      <c r="O59" s="71" t="s">
        <v>1031</v>
      </c>
    </row>
    <row r="60" spans="1:16381" s="140" customFormat="1" ht="25.5" customHeight="1">
      <c r="A60" s="145"/>
      <c r="B60" s="146" t="s">
        <v>136</v>
      </c>
      <c r="C60" s="76" t="s">
        <v>922</v>
      </c>
      <c r="D60" s="75" t="s">
        <v>882</v>
      </c>
      <c r="E60" s="75" t="s">
        <v>647</v>
      </c>
      <c r="F60" s="76" t="s">
        <v>816</v>
      </c>
      <c r="G60" s="76" t="s">
        <v>817</v>
      </c>
      <c r="H60" s="71" t="s">
        <v>3</v>
      </c>
      <c r="I60" s="76" t="s">
        <v>964</v>
      </c>
      <c r="J60" s="139" t="s">
        <v>647</v>
      </c>
      <c r="K60" s="256" t="s">
        <v>1078</v>
      </c>
      <c r="L60" s="71" t="s">
        <v>981</v>
      </c>
      <c r="M60" s="71" t="s">
        <v>980</v>
      </c>
      <c r="N60" s="71" t="s">
        <v>982</v>
      </c>
      <c r="O60" s="71" t="s">
        <v>560</v>
      </c>
    </row>
    <row r="61" spans="1:16381" ht="25.5" customHeight="1">
      <c r="A61" s="77"/>
      <c r="B61" s="89" t="s">
        <v>84</v>
      </c>
      <c r="C61" s="71" t="s">
        <v>83</v>
      </c>
      <c r="D61" s="75" t="s">
        <v>386</v>
      </c>
      <c r="E61" s="75" t="s">
        <v>963</v>
      </c>
      <c r="F61" s="76" t="s">
        <v>175</v>
      </c>
      <c r="G61" s="76" t="s">
        <v>924</v>
      </c>
      <c r="H61" s="71" t="s">
        <v>175</v>
      </c>
      <c r="I61" s="71" t="s">
        <v>1038</v>
      </c>
      <c r="J61" s="23" t="s">
        <v>647</v>
      </c>
      <c r="K61" s="256" t="s">
        <v>1077</v>
      </c>
      <c r="L61" s="71" t="s">
        <v>1024</v>
      </c>
      <c r="M61" s="71" t="s">
        <v>1032</v>
      </c>
      <c r="N61" s="71" t="s">
        <v>1033</v>
      </c>
      <c r="O61" s="71" t="s">
        <v>560</v>
      </c>
    </row>
    <row r="62" spans="1:16381" ht="25.5" customHeight="1">
      <c r="A62" s="77"/>
      <c r="B62" s="89" t="s">
        <v>84</v>
      </c>
      <c r="C62" s="71" t="s">
        <v>82</v>
      </c>
      <c r="D62" s="75" t="s">
        <v>387</v>
      </c>
      <c r="E62" s="75" t="s">
        <v>963</v>
      </c>
      <c r="F62" s="76" t="s">
        <v>175</v>
      </c>
      <c r="G62" s="76" t="s">
        <v>924</v>
      </c>
      <c r="H62" s="71" t="s">
        <v>175</v>
      </c>
      <c r="I62" s="71" t="s">
        <v>1038</v>
      </c>
      <c r="J62" s="23" t="s">
        <v>647</v>
      </c>
      <c r="K62" s="256" t="s">
        <v>1077</v>
      </c>
      <c r="L62" s="71" t="s">
        <v>1024</v>
      </c>
      <c r="M62" s="71" t="s">
        <v>1032</v>
      </c>
      <c r="N62" s="71" t="s">
        <v>1033</v>
      </c>
      <c r="O62" s="71" t="s">
        <v>560</v>
      </c>
    </row>
    <row r="63" spans="1:16381" ht="25.5" customHeight="1">
      <c r="A63" s="77"/>
      <c r="B63" s="89" t="s">
        <v>84</v>
      </c>
      <c r="C63" s="71" t="s">
        <v>81</v>
      </c>
      <c r="D63" s="75" t="s">
        <v>388</v>
      </c>
      <c r="E63" s="75" t="s">
        <v>963</v>
      </c>
      <c r="F63" s="76" t="s">
        <v>175</v>
      </c>
      <c r="G63" s="76" t="s">
        <v>924</v>
      </c>
      <c r="H63" s="71" t="s">
        <v>175</v>
      </c>
      <c r="I63" s="71" t="s">
        <v>1038</v>
      </c>
      <c r="J63" s="23" t="s">
        <v>647</v>
      </c>
      <c r="K63" s="256" t="s">
        <v>1077</v>
      </c>
      <c r="L63" s="71" t="s">
        <v>1024</v>
      </c>
      <c r="M63" s="71" t="s">
        <v>1032</v>
      </c>
      <c r="N63" s="71" t="s">
        <v>1033</v>
      </c>
      <c r="O63" s="71" t="s">
        <v>560</v>
      </c>
    </row>
    <row r="64" spans="1:16381" ht="25.5" customHeight="1">
      <c r="A64" s="77"/>
      <c r="B64" s="89" t="s">
        <v>84</v>
      </c>
      <c r="C64" s="76" t="s">
        <v>80</v>
      </c>
      <c r="D64" s="73"/>
      <c r="E64" s="75" t="s">
        <v>963</v>
      </c>
      <c r="F64" s="76" t="s">
        <v>175</v>
      </c>
      <c r="G64" s="76" t="s">
        <v>924</v>
      </c>
      <c r="H64" s="71" t="s">
        <v>175</v>
      </c>
      <c r="I64" s="71" t="s">
        <v>1038</v>
      </c>
      <c r="J64" s="23" t="s">
        <v>647</v>
      </c>
      <c r="K64" s="256" t="s">
        <v>1077</v>
      </c>
      <c r="L64" s="71" t="s">
        <v>1024</v>
      </c>
      <c r="M64" s="71" t="s">
        <v>1032</v>
      </c>
      <c r="N64" s="71" t="s">
        <v>1033</v>
      </c>
      <c r="O64" s="71" t="s">
        <v>560</v>
      </c>
    </row>
    <row r="65" spans="1:15" ht="25.5" customHeight="1">
      <c r="A65" s="77"/>
      <c r="B65" s="89" t="s">
        <v>84</v>
      </c>
      <c r="C65" s="71" t="s">
        <v>79</v>
      </c>
      <c r="D65" s="72" t="s">
        <v>389</v>
      </c>
      <c r="E65" s="75" t="s">
        <v>963</v>
      </c>
      <c r="F65" s="76" t="s">
        <v>175</v>
      </c>
      <c r="G65" s="76" t="s">
        <v>924</v>
      </c>
      <c r="H65" s="71" t="s">
        <v>175</v>
      </c>
      <c r="I65" s="71" t="s">
        <v>1038</v>
      </c>
      <c r="J65" s="23" t="s">
        <v>647</v>
      </c>
      <c r="K65" s="256" t="s">
        <v>1077</v>
      </c>
      <c r="L65" s="71" t="s">
        <v>1024</v>
      </c>
      <c r="M65" s="71" t="s">
        <v>1032</v>
      </c>
      <c r="N65" s="71" t="s">
        <v>1033</v>
      </c>
      <c r="O65" s="71" t="s">
        <v>560</v>
      </c>
    </row>
    <row r="66" spans="1:15" ht="25.5" customHeight="1">
      <c r="B66" s="89" t="s">
        <v>84</v>
      </c>
      <c r="C66" s="71" t="s">
        <v>78</v>
      </c>
      <c r="D66" s="72" t="s">
        <v>390</v>
      </c>
      <c r="E66" s="75" t="s">
        <v>647</v>
      </c>
      <c r="F66" s="76" t="s">
        <v>178</v>
      </c>
      <c r="G66" s="76" t="s">
        <v>350</v>
      </c>
      <c r="H66" s="71" t="s">
        <v>709</v>
      </c>
      <c r="I66" s="71" t="s">
        <v>935</v>
      </c>
      <c r="J66" s="23" t="s">
        <v>647</v>
      </c>
      <c r="K66" s="256" t="s">
        <v>1076</v>
      </c>
      <c r="L66" s="71" t="s">
        <v>992</v>
      </c>
      <c r="M66" s="71" t="s">
        <v>1034</v>
      </c>
      <c r="N66" s="71" t="s">
        <v>560</v>
      </c>
      <c r="O66" s="71" t="s">
        <v>560</v>
      </c>
    </row>
    <row r="67" spans="1:15" ht="25.5" customHeight="1">
      <c r="B67" s="89" t="s">
        <v>84</v>
      </c>
      <c r="C67" s="76" t="s">
        <v>77</v>
      </c>
      <c r="D67" s="265" t="s">
        <v>391</v>
      </c>
      <c r="E67" s="73" t="s">
        <v>890</v>
      </c>
      <c r="F67" s="76" t="s">
        <v>178</v>
      </c>
      <c r="G67" s="76" t="s">
        <v>350</v>
      </c>
      <c r="H67" s="71" t="s">
        <v>178</v>
      </c>
      <c r="I67" s="71"/>
      <c r="J67" s="23" t="s">
        <v>786</v>
      </c>
      <c r="K67" s="256" t="s">
        <v>1076</v>
      </c>
      <c r="L67" s="71" t="s">
        <v>992</v>
      </c>
      <c r="M67" s="71" t="s">
        <v>1034</v>
      </c>
      <c r="N67" s="71" t="s">
        <v>560</v>
      </c>
      <c r="O67" s="71" t="s">
        <v>560</v>
      </c>
    </row>
    <row r="68" spans="1:15" ht="25.5" customHeight="1">
      <c r="A68" s="77"/>
      <c r="B68" s="89" t="s">
        <v>84</v>
      </c>
      <c r="C68" s="76" t="s">
        <v>76</v>
      </c>
      <c r="D68" s="265" t="s">
        <v>392</v>
      </c>
      <c r="E68" s="73" t="s">
        <v>891</v>
      </c>
      <c r="F68" s="76" t="s">
        <v>178</v>
      </c>
      <c r="G68" s="76" t="s">
        <v>350</v>
      </c>
      <c r="H68" s="71" t="s">
        <v>932</v>
      </c>
      <c r="I68" s="71" t="s">
        <v>785</v>
      </c>
      <c r="J68" s="23" t="s">
        <v>786</v>
      </c>
      <c r="K68" s="256" t="s">
        <v>1076</v>
      </c>
      <c r="L68" s="71" t="s">
        <v>992</v>
      </c>
      <c r="M68" s="71" t="s">
        <v>1034</v>
      </c>
      <c r="N68" s="71" t="s">
        <v>560</v>
      </c>
      <c r="O68" s="71" t="s">
        <v>560</v>
      </c>
    </row>
    <row r="69" spans="1:15" ht="25.5" customHeight="1">
      <c r="A69" s="77"/>
      <c r="B69" s="89" t="s">
        <v>84</v>
      </c>
      <c r="C69" s="71" t="s">
        <v>75</v>
      </c>
      <c r="D69" s="72" t="s">
        <v>393</v>
      </c>
      <c r="E69" s="75" t="s">
        <v>963</v>
      </c>
      <c r="F69" s="76" t="s">
        <v>175</v>
      </c>
      <c r="G69" s="76" t="s">
        <v>924</v>
      </c>
      <c r="H69" s="71" t="s">
        <v>177</v>
      </c>
      <c r="I69" s="71" t="s">
        <v>1038</v>
      </c>
      <c r="J69" s="23" t="s">
        <v>647</v>
      </c>
      <c r="K69" s="256" t="s">
        <v>1077</v>
      </c>
      <c r="L69" s="71" t="s">
        <v>1024</v>
      </c>
      <c r="M69" s="71" t="s">
        <v>1032</v>
      </c>
      <c r="N69" s="71" t="s">
        <v>1033</v>
      </c>
      <c r="O69" s="71" t="s">
        <v>560</v>
      </c>
    </row>
    <row r="70" spans="1:15" ht="25.5" customHeight="1">
      <c r="B70" s="89" t="s">
        <v>84</v>
      </c>
      <c r="C70" s="71" t="s">
        <v>74</v>
      </c>
      <c r="D70" s="72" t="s">
        <v>394</v>
      </c>
      <c r="E70" s="75" t="s">
        <v>963</v>
      </c>
      <c r="F70" s="76" t="s">
        <v>175</v>
      </c>
      <c r="G70" s="76" t="s">
        <v>924</v>
      </c>
      <c r="H70" s="71" t="s">
        <v>148</v>
      </c>
      <c r="I70" s="71" t="s">
        <v>1038</v>
      </c>
      <c r="J70" s="23" t="s">
        <v>647</v>
      </c>
      <c r="K70" s="256" t="s">
        <v>1077</v>
      </c>
      <c r="L70" s="71" t="s">
        <v>1024</v>
      </c>
      <c r="M70" s="71" t="s">
        <v>1032</v>
      </c>
      <c r="N70" s="71" t="s">
        <v>1033</v>
      </c>
      <c r="O70" s="71" t="s">
        <v>560</v>
      </c>
    </row>
    <row r="71" spans="1:15" ht="25.5" customHeight="1">
      <c r="B71" s="89" t="s">
        <v>84</v>
      </c>
      <c r="C71" s="71" t="s">
        <v>73</v>
      </c>
      <c r="D71" s="72" t="s">
        <v>395</v>
      </c>
      <c r="E71" s="75" t="s">
        <v>647</v>
      </c>
      <c r="F71" s="76" t="s">
        <v>178</v>
      </c>
      <c r="G71" s="76" t="s">
        <v>350</v>
      </c>
      <c r="H71" s="71" t="s">
        <v>178</v>
      </c>
      <c r="I71" s="70" t="s">
        <v>925</v>
      </c>
      <c r="J71" s="23" t="s">
        <v>647</v>
      </c>
      <c r="K71" s="256" t="s">
        <v>1076</v>
      </c>
      <c r="L71" s="71" t="s">
        <v>992</v>
      </c>
      <c r="M71" s="71" t="s">
        <v>1034</v>
      </c>
      <c r="N71" s="71" t="s">
        <v>560</v>
      </c>
      <c r="O71" s="71" t="s">
        <v>560</v>
      </c>
    </row>
    <row r="72" spans="1:15" ht="25.5" customHeight="1">
      <c r="A72" s="77"/>
      <c r="B72" s="89" t="s">
        <v>84</v>
      </c>
      <c r="C72" s="71" t="s">
        <v>72</v>
      </c>
      <c r="D72" s="72" t="s">
        <v>396</v>
      </c>
      <c r="E72" s="75" t="s">
        <v>963</v>
      </c>
      <c r="F72" s="76" t="s">
        <v>175</v>
      </c>
      <c r="G72" s="76" t="s">
        <v>924</v>
      </c>
      <c r="H72" s="71" t="s">
        <v>180</v>
      </c>
      <c r="I72" s="71" t="s">
        <v>1038</v>
      </c>
      <c r="J72" s="23" t="s">
        <v>647</v>
      </c>
      <c r="K72" s="256" t="s">
        <v>1077</v>
      </c>
      <c r="L72" s="71" t="s">
        <v>1024</v>
      </c>
      <c r="M72" s="71" t="s">
        <v>1032</v>
      </c>
      <c r="N72" s="71" t="s">
        <v>1033</v>
      </c>
      <c r="O72" s="71" t="s">
        <v>560</v>
      </c>
    </row>
    <row r="73" spans="1:15" ht="25.5" customHeight="1">
      <c r="A73" s="77"/>
      <c r="B73" s="89" t="s">
        <v>84</v>
      </c>
      <c r="C73" s="71" t="s">
        <v>71</v>
      </c>
      <c r="D73" s="72" t="s">
        <v>397</v>
      </c>
      <c r="E73" s="75" t="s">
        <v>963</v>
      </c>
      <c r="F73" s="76" t="s">
        <v>175</v>
      </c>
      <c r="G73" s="76" t="s">
        <v>924</v>
      </c>
      <c r="H73" s="71" t="s">
        <v>176</v>
      </c>
      <c r="I73" s="71" t="s">
        <v>1038</v>
      </c>
      <c r="J73" s="23" t="s">
        <v>647</v>
      </c>
      <c r="K73" s="256" t="s">
        <v>1077</v>
      </c>
      <c r="L73" s="71" t="s">
        <v>1024</v>
      </c>
      <c r="M73" s="71" t="s">
        <v>1032</v>
      </c>
      <c r="N73" s="71" t="s">
        <v>1033</v>
      </c>
      <c r="O73" s="71" t="s">
        <v>560</v>
      </c>
    </row>
    <row r="74" spans="1:15" ht="25.5" customHeight="1">
      <c r="A74" s="77"/>
      <c r="B74" s="89" t="s">
        <v>84</v>
      </c>
      <c r="C74" s="71" t="s">
        <v>70</v>
      </c>
      <c r="D74" s="72" t="s">
        <v>398</v>
      </c>
      <c r="E74" s="75" t="s">
        <v>963</v>
      </c>
      <c r="F74" s="76" t="s">
        <v>175</v>
      </c>
      <c r="G74" s="76" t="s">
        <v>924</v>
      </c>
      <c r="H74" s="71" t="s">
        <v>175</v>
      </c>
      <c r="I74" s="71" t="s">
        <v>1038</v>
      </c>
      <c r="J74" s="23" t="s">
        <v>647</v>
      </c>
      <c r="K74" s="256" t="s">
        <v>1077</v>
      </c>
      <c r="L74" s="71" t="s">
        <v>1024</v>
      </c>
      <c r="M74" s="71" t="s">
        <v>1032</v>
      </c>
      <c r="N74" s="71" t="s">
        <v>1033</v>
      </c>
      <c r="O74" s="71" t="s">
        <v>560</v>
      </c>
    </row>
    <row r="75" spans="1:15" ht="25.5" customHeight="1">
      <c r="A75" s="77"/>
      <c r="B75" s="89" t="s">
        <v>84</v>
      </c>
      <c r="C75" s="71" t="s">
        <v>69</v>
      </c>
      <c r="D75" s="72" t="s">
        <v>399</v>
      </c>
      <c r="E75" s="75" t="s">
        <v>963</v>
      </c>
      <c r="F75" s="76" t="s">
        <v>175</v>
      </c>
      <c r="G75" s="76" t="s">
        <v>924</v>
      </c>
      <c r="H75" s="71" t="s">
        <v>175</v>
      </c>
      <c r="I75" s="71" t="s">
        <v>1038</v>
      </c>
      <c r="J75" s="23" t="s">
        <v>647</v>
      </c>
      <c r="K75" s="256" t="s">
        <v>1077</v>
      </c>
      <c r="L75" s="71" t="s">
        <v>1024</v>
      </c>
      <c r="M75" s="71" t="s">
        <v>1032</v>
      </c>
      <c r="N75" s="71" t="s">
        <v>1033</v>
      </c>
      <c r="O75" s="71" t="s">
        <v>560</v>
      </c>
    </row>
    <row r="76" spans="1:15" ht="25.5" customHeight="1">
      <c r="A76" s="77"/>
      <c r="B76" s="89" t="s">
        <v>84</v>
      </c>
      <c r="C76" s="71" t="s">
        <v>68</v>
      </c>
      <c r="D76" s="72" t="s">
        <v>400</v>
      </c>
      <c r="E76" s="75" t="s">
        <v>963</v>
      </c>
      <c r="F76" s="76" t="s">
        <v>175</v>
      </c>
      <c r="G76" s="76" t="s">
        <v>924</v>
      </c>
      <c r="H76" s="71" t="s">
        <v>175</v>
      </c>
      <c r="I76" s="71" t="s">
        <v>1038</v>
      </c>
      <c r="J76" s="23" t="s">
        <v>647</v>
      </c>
      <c r="K76" s="256" t="s">
        <v>1077</v>
      </c>
      <c r="L76" s="71" t="s">
        <v>1024</v>
      </c>
      <c r="M76" s="71" t="s">
        <v>1032</v>
      </c>
      <c r="N76" s="71" t="s">
        <v>1033</v>
      </c>
      <c r="O76" s="71" t="s">
        <v>560</v>
      </c>
    </row>
    <row r="77" spans="1:15" ht="25.5" customHeight="1">
      <c r="A77" s="77"/>
      <c r="B77" s="89" t="s">
        <v>84</v>
      </c>
      <c r="C77" s="71" t="s">
        <v>67</v>
      </c>
      <c r="D77" s="72" t="s">
        <v>401</v>
      </c>
      <c r="E77" s="75" t="s">
        <v>963</v>
      </c>
      <c r="F77" s="76" t="s">
        <v>175</v>
      </c>
      <c r="G77" s="76" t="s">
        <v>924</v>
      </c>
      <c r="H77" s="71" t="s">
        <v>175</v>
      </c>
      <c r="I77" s="71" t="s">
        <v>1038</v>
      </c>
      <c r="J77" s="23" t="s">
        <v>647</v>
      </c>
      <c r="K77" s="256" t="s">
        <v>1077</v>
      </c>
      <c r="L77" s="71" t="s">
        <v>1024</v>
      </c>
      <c r="M77" s="71" t="s">
        <v>1032</v>
      </c>
      <c r="N77" s="71" t="s">
        <v>1033</v>
      </c>
      <c r="O77" s="71" t="s">
        <v>560</v>
      </c>
    </row>
    <row r="78" spans="1:15" ht="25.5" customHeight="1">
      <c r="A78" s="77"/>
      <c r="B78" s="89" t="s">
        <v>84</v>
      </c>
      <c r="C78" s="71" t="s">
        <v>66</v>
      </c>
      <c r="D78" s="72" t="s">
        <v>402</v>
      </c>
      <c r="E78" s="75" t="s">
        <v>963</v>
      </c>
      <c r="F78" s="76" t="s">
        <v>175</v>
      </c>
      <c r="G78" s="76" t="s">
        <v>924</v>
      </c>
      <c r="H78" s="71" t="s">
        <v>175</v>
      </c>
      <c r="I78" s="71" t="s">
        <v>1038</v>
      </c>
      <c r="J78" s="23" t="s">
        <v>647</v>
      </c>
      <c r="K78" s="256" t="s">
        <v>1077</v>
      </c>
      <c r="L78" s="71" t="s">
        <v>1024</v>
      </c>
      <c r="M78" s="71" t="s">
        <v>1032</v>
      </c>
      <c r="N78" s="71" t="s">
        <v>1033</v>
      </c>
      <c r="O78" s="71" t="s">
        <v>560</v>
      </c>
    </row>
    <row r="79" spans="1:15" ht="25.5" customHeight="1">
      <c r="A79" s="77"/>
      <c r="B79" s="89" t="s">
        <v>84</v>
      </c>
      <c r="C79" s="71" t="s">
        <v>65</v>
      </c>
      <c r="D79" s="72" t="s">
        <v>403</v>
      </c>
      <c r="E79" s="75" t="s">
        <v>963</v>
      </c>
      <c r="F79" s="76" t="s">
        <v>175</v>
      </c>
      <c r="G79" s="76" t="s">
        <v>924</v>
      </c>
      <c r="H79" s="71" t="s">
        <v>175</v>
      </c>
      <c r="I79" s="71" t="s">
        <v>1038</v>
      </c>
      <c r="J79" s="23" t="s">
        <v>647</v>
      </c>
      <c r="K79" s="256" t="s">
        <v>1077</v>
      </c>
      <c r="L79" s="71" t="s">
        <v>1024</v>
      </c>
      <c r="M79" s="71" t="s">
        <v>1032</v>
      </c>
      <c r="N79" s="71" t="s">
        <v>1033</v>
      </c>
      <c r="O79" s="71" t="s">
        <v>560</v>
      </c>
    </row>
    <row r="80" spans="1:15" ht="25.5" customHeight="1">
      <c r="A80" s="77"/>
      <c r="B80" s="89" t="s">
        <v>84</v>
      </c>
      <c r="C80" s="76" t="s">
        <v>64</v>
      </c>
      <c r="D80" s="78"/>
      <c r="E80" s="75" t="s">
        <v>963</v>
      </c>
      <c r="F80" s="76" t="s">
        <v>175</v>
      </c>
      <c r="G80" s="76" t="s">
        <v>924</v>
      </c>
      <c r="H80" s="71" t="s">
        <v>175</v>
      </c>
      <c r="I80" s="71" t="s">
        <v>1038</v>
      </c>
      <c r="J80" s="23" t="s">
        <v>647</v>
      </c>
      <c r="K80" s="256" t="s">
        <v>1077</v>
      </c>
      <c r="L80" s="71" t="s">
        <v>1024</v>
      </c>
      <c r="M80" s="71" t="s">
        <v>1032</v>
      </c>
      <c r="N80" s="71" t="s">
        <v>1033</v>
      </c>
      <c r="O80" s="71" t="s">
        <v>560</v>
      </c>
    </row>
    <row r="81" spans="1:15" ht="25.5" customHeight="1">
      <c r="B81" s="89" t="s">
        <v>84</v>
      </c>
      <c r="C81" s="71" t="s">
        <v>63</v>
      </c>
      <c r="D81" s="72" t="s">
        <v>404</v>
      </c>
      <c r="E81" s="75" t="s">
        <v>647</v>
      </c>
      <c r="F81" s="76" t="s">
        <v>178</v>
      </c>
      <c r="G81" s="76" t="s">
        <v>350</v>
      </c>
      <c r="H81" s="71" t="s">
        <v>709</v>
      </c>
      <c r="I81" s="71" t="s">
        <v>935</v>
      </c>
      <c r="J81" s="23" t="s">
        <v>647</v>
      </c>
      <c r="K81" s="256" t="s">
        <v>1076</v>
      </c>
      <c r="L81" s="71" t="s">
        <v>992</v>
      </c>
      <c r="M81" s="71" t="s">
        <v>1034</v>
      </c>
      <c r="N81" s="71" t="s">
        <v>560</v>
      </c>
      <c r="O81" s="71" t="s">
        <v>560</v>
      </c>
    </row>
    <row r="82" spans="1:15" ht="25.5" customHeight="1">
      <c r="A82" s="77"/>
      <c r="B82" s="89" t="s">
        <v>84</v>
      </c>
      <c r="C82" s="71" t="s">
        <v>62</v>
      </c>
      <c r="D82" s="72" t="s">
        <v>405</v>
      </c>
      <c r="E82" s="75" t="s">
        <v>963</v>
      </c>
      <c r="F82" s="76" t="s">
        <v>175</v>
      </c>
      <c r="G82" s="76" t="s">
        <v>924</v>
      </c>
      <c r="H82" s="71" t="s">
        <v>175</v>
      </c>
      <c r="I82" s="71" t="s">
        <v>1038</v>
      </c>
      <c r="J82" s="23" t="s">
        <v>647</v>
      </c>
      <c r="K82" s="256" t="s">
        <v>1077</v>
      </c>
      <c r="L82" s="71" t="s">
        <v>1024</v>
      </c>
      <c r="M82" s="71" t="s">
        <v>1032</v>
      </c>
      <c r="N82" s="71" t="s">
        <v>1033</v>
      </c>
      <c r="O82" s="71" t="s">
        <v>560</v>
      </c>
    </row>
    <row r="83" spans="1:15" ht="25.5" customHeight="1">
      <c r="A83" s="77"/>
      <c r="B83" s="89" t="s">
        <v>84</v>
      </c>
      <c r="C83" s="71" t="s">
        <v>61</v>
      </c>
      <c r="D83" s="72" t="s">
        <v>406</v>
      </c>
      <c r="E83" s="75" t="s">
        <v>963</v>
      </c>
      <c r="F83" s="76" t="s">
        <v>175</v>
      </c>
      <c r="G83" s="76" t="s">
        <v>924</v>
      </c>
      <c r="H83" s="71" t="s">
        <v>175</v>
      </c>
      <c r="I83" s="71" t="s">
        <v>1038</v>
      </c>
      <c r="J83" s="23" t="s">
        <v>647</v>
      </c>
      <c r="K83" s="256" t="s">
        <v>1077</v>
      </c>
      <c r="L83" s="71" t="s">
        <v>1024</v>
      </c>
      <c r="M83" s="71" t="s">
        <v>1032</v>
      </c>
      <c r="N83" s="71" t="s">
        <v>1033</v>
      </c>
      <c r="O83" s="71" t="s">
        <v>560</v>
      </c>
    </row>
    <row r="84" spans="1:15" ht="25.5" customHeight="1">
      <c r="A84" s="77"/>
      <c r="B84" s="89" t="s">
        <v>84</v>
      </c>
      <c r="C84" s="71" t="s">
        <v>60</v>
      </c>
      <c r="D84" s="72" t="s">
        <v>407</v>
      </c>
      <c r="E84" s="75" t="s">
        <v>963</v>
      </c>
      <c r="F84" s="76" t="s">
        <v>175</v>
      </c>
      <c r="G84" s="76" t="s">
        <v>924</v>
      </c>
      <c r="H84" s="71" t="s">
        <v>175</v>
      </c>
      <c r="I84" s="71" t="s">
        <v>1038</v>
      </c>
      <c r="J84" s="23" t="s">
        <v>647</v>
      </c>
      <c r="K84" s="256" t="s">
        <v>1077</v>
      </c>
      <c r="L84" s="71" t="s">
        <v>1024</v>
      </c>
      <c r="M84" s="71" t="s">
        <v>1032</v>
      </c>
      <c r="N84" s="71" t="s">
        <v>1033</v>
      </c>
      <c r="O84" s="71" t="s">
        <v>560</v>
      </c>
    </row>
    <row r="85" spans="1:15" ht="25.5" customHeight="1">
      <c r="A85" s="77"/>
      <c r="B85" s="89" t="s">
        <v>84</v>
      </c>
      <c r="C85" s="71" t="s">
        <v>59</v>
      </c>
      <c r="D85" s="72" t="s">
        <v>408</v>
      </c>
      <c r="E85" s="75" t="s">
        <v>963</v>
      </c>
      <c r="F85" s="76" t="s">
        <v>175</v>
      </c>
      <c r="G85" s="76" t="s">
        <v>924</v>
      </c>
      <c r="H85" s="71" t="s">
        <v>175</v>
      </c>
      <c r="I85" s="71" t="s">
        <v>1038</v>
      </c>
      <c r="J85" s="23" t="s">
        <v>647</v>
      </c>
      <c r="K85" s="256" t="s">
        <v>1077</v>
      </c>
      <c r="L85" s="71" t="s">
        <v>1024</v>
      </c>
      <c r="M85" s="71" t="s">
        <v>1032</v>
      </c>
      <c r="N85" s="71" t="s">
        <v>1033</v>
      </c>
      <c r="O85" s="71" t="s">
        <v>560</v>
      </c>
    </row>
    <row r="86" spans="1:15" ht="25.5" customHeight="1">
      <c r="A86" s="77"/>
      <c r="B86" s="89" t="s">
        <v>84</v>
      </c>
      <c r="C86" s="71" t="s">
        <v>58</v>
      </c>
      <c r="D86" s="72" t="s">
        <v>409</v>
      </c>
      <c r="E86" s="75" t="s">
        <v>647</v>
      </c>
      <c r="F86" s="76" t="s">
        <v>178</v>
      </c>
      <c r="G86" s="76" t="s">
        <v>350</v>
      </c>
      <c r="H86" s="71" t="s">
        <v>709</v>
      </c>
      <c r="I86" s="71" t="s">
        <v>935</v>
      </c>
      <c r="J86" s="23" t="s">
        <v>647</v>
      </c>
      <c r="K86" s="256" t="s">
        <v>1076</v>
      </c>
      <c r="L86" s="71" t="s">
        <v>992</v>
      </c>
      <c r="M86" s="71" t="s">
        <v>1034</v>
      </c>
      <c r="N86" s="71" t="s">
        <v>560</v>
      </c>
      <c r="O86" s="71" t="s">
        <v>560</v>
      </c>
    </row>
    <row r="87" spans="1:15" ht="25.5" customHeight="1">
      <c r="A87" s="77"/>
      <c r="B87" s="89" t="s">
        <v>84</v>
      </c>
      <c r="C87" s="71" t="s">
        <v>57</v>
      </c>
      <c r="D87" s="72" t="s">
        <v>410</v>
      </c>
      <c r="E87" s="75" t="s">
        <v>963</v>
      </c>
      <c r="F87" s="76" t="s">
        <v>175</v>
      </c>
      <c r="G87" s="76" t="s">
        <v>924</v>
      </c>
      <c r="H87" s="71" t="s">
        <v>175</v>
      </c>
      <c r="I87" s="71" t="s">
        <v>1038</v>
      </c>
      <c r="J87" s="23" t="s">
        <v>647</v>
      </c>
      <c r="K87" s="256" t="s">
        <v>1077</v>
      </c>
      <c r="L87" s="71" t="s">
        <v>1024</v>
      </c>
      <c r="M87" s="71" t="s">
        <v>1032</v>
      </c>
      <c r="N87" s="71" t="s">
        <v>1033</v>
      </c>
      <c r="O87" s="71" t="s">
        <v>560</v>
      </c>
    </row>
    <row r="88" spans="1:15" ht="25.5" customHeight="1">
      <c r="A88" s="77"/>
      <c r="B88" s="89" t="s">
        <v>84</v>
      </c>
      <c r="C88" s="71" t="s">
        <v>56</v>
      </c>
      <c r="D88" s="72" t="s">
        <v>411</v>
      </c>
      <c r="E88" s="75" t="s">
        <v>963</v>
      </c>
      <c r="F88" s="76" t="s">
        <v>175</v>
      </c>
      <c r="G88" s="76" t="s">
        <v>924</v>
      </c>
      <c r="H88" s="71" t="s">
        <v>175</v>
      </c>
      <c r="I88" s="71" t="s">
        <v>1038</v>
      </c>
      <c r="J88" s="23" t="s">
        <v>647</v>
      </c>
      <c r="K88" s="256" t="s">
        <v>1077</v>
      </c>
      <c r="L88" s="71" t="s">
        <v>1024</v>
      </c>
      <c r="M88" s="71" t="s">
        <v>1032</v>
      </c>
      <c r="N88" s="71" t="s">
        <v>1033</v>
      </c>
      <c r="O88" s="71" t="s">
        <v>560</v>
      </c>
    </row>
    <row r="89" spans="1:15" ht="25.5" customHeight="1">
      <c r="A89" s="77"/>
      <c r="B89" s="89" t="s">
        <v>84</v>
      </c>
      <c r="C89" s="71" t="s">
        <v>56</v>
      </c>
      <c r="D89" s="72" t="s">
        <v>412</v>
      </c>
      <c r="E89" s="75" t="s">
        <v>963</v>
      </c>
      <c r="F89" s="76" t="s">
        <v>175</v>
      </c>
      <c r="G89" s="76" t="s">
        <v>924</v>
      </c>
      <c r="H89" s="71" t="s">
        <v>175</v>
      </c>
      <c r="I89" s="71" t="s">
        <v>1038</v>
      </c>
      <c r="J89" s="23" t="s">
        <v>647</v>
      </c>
      <c r="K89" s="256" t="s">
        <v>1077</v>
      </c>
      <c r="L89" s="71" t="s">
        <v>1024</v>
      </c>
      <c r="M89" s="71" t="s">
        <v>1032</v>
      </c>
      <c r="N89" s="71" t="s">
        <v>1033</v>
      </c>
      <c r="O89" s="71" t="s">
        <v>560</v>
      </c>
    </row>
    <row r="90" spans="1:15" ht="25.5" customHeight="1">
      <c r="A90" s="77"/>
      <c r="B90" s="89" t="s">
        <v>84</v>
      </c>
      <c r="C90" s="71" t="s">
        <v>55</v>
      </c>
      <c r="D90" s="72" t="s">
        <v>413</v>
      </c>
      <c r="E90" s="75" t="s">
        <v>963</v>
      </c>
      <c r="F90" s="76" t="s">
        <v>175</v>
      </c>
      <c r="G90" s="76" t="s">
        <v>924</v>
      </c>
      <c r="H90" s="71" t="s">
        <v>175</v>
      </c>
      <c r="I90" s="71" t="s">
        <v>1038</v>
      </c>
      <c r="J90" s="23" t="s">
        <v>647</v>
      </c>
      <c r="K90" s="256" t="s">
        <v>1077</v>
      </c>
      <c r="L90" s="71" t="s">
        <v>1024</v>
      </c>
      <c r="M90" s="71" t="s">
        <v>1032</v>
      </c>
      <c r="N90" s="71" t="s">
        <v>1033</v>
      </c>
      <c r="O90" s="71" t="s">
        <v>560</v>
      </c>
    </row>
    <row r="91" spans="1:15" ht="25.5" customHeight="1">
      <c r="A91" s="77"/>
      <c r="B91" s="89" t="s">
        <v>84</v>
      </c>
      <c r="C91" s="71" t="s">
        <v>52</v>
      </c>
      <c r="D91" s="72" t="s">
        <v>414</v>
      </c>
      <c r="E91" s="75" t="s">
        <v>963</v>
      </c>
      <c r="F91" s="76" t="s">
        <v>175</v>
      </c>
      <c r="G91" s="76" t="s">
        <v>924</v>
      </c>
      <c r="H91" s="71" t="s">
        <v>176</v>
      </c>
      <c r="I91" s="71" t="s">
        <v>1038</v>
      </c>
      <c r="J91" s="23" t="s">
        <v>647</v>
      </c>
      <c r="K91" s="256" t="s">
        <v>1077</v>
      </c>
      <c r="L91" s="71" t="s">
        <v>1024</v>
      </c>
      <c r="M91" s="71" t="s">
        <v>1032</v>
      </c>
      <c r="N91" s="71" t="s">
        <v>1033</v>
      </c>
      <c r="O91" s="71" t="s">
        <v>560</v>
      </c>
    </row>
    <row r="92" spans="1:15" ht="25.5" customHeight="1">
      <c r="A92" s="77"/>
      <c r="B92" s="89" t="s">
        <v>84</v>
      </c>
      <c r="C92" s="71" t="s">
        <v>54</v>
      </c>
      <c r="D92" s="72" t="s">
        <v>415</v>
      </c>
      <c r="E92" s="75" t="s">
        <v>963</v>
      </c>
      <c r="F92" s="76" t="s">
        <v>175</v>
      </c>
      <c r="G92" s="76" t="s">
        <v>924</v>
      </c>
      <c r="H92" s="71" t="s">
        <v>175</v>
      </c>
      <c r="I92" s="71" t="s">
        <v>1038</v>
      </c>
      <c r="J92" s="23" t="s">
        <v>647</v>
      </c>
      <c r="K92" s="256" t="s">
        <v>1077</v>
      </c>
      <c r="L92" s="71" t="s">
        <v>1024</v>
      </c>
      <c r="M92" s="71" t="s">
        <v>1032</v>
      </c>
      <c r="N92" s="71" t="s">
        <v>1033</v>
      </c>
      <c r="O92" s="71" t="s">
        <v>560</v>
      </c>
    </row>
    <row r="93" spans="1:15" ht="25.5" customHeight="1">
      <c r="A93" s="77"/>
      <c r="B93" s="89" t="s">
        <v>84</v>
      </c>
      <c r="C93" s="71" t="s">
        <v>53</v>
      </c>
      <c r="D93" s="72" t="s">
        <v>416</v>
      </c>
      <c r="E93" s="75" t="s">
        <v>963</v>
      </c>
      <c r="F93" s="76" t="s">
        <v>175</v>
      </c>
      <c r="G93" s="76" t="s">
        <v>924</v>
      </c>
      <c r="H93" s="71" t="s">
        <v>175</v>
      </c>
      <c r="I93" s="71" t="s">
        <v>1038</v>
      </c>
      <c r="J93" s="23" t="s">
        <v>647</v>
      </c>
      <c r="K93" s="256" t="s">
        <v>1077</v>
      </c>
      <c r="L93" s="71" t="s">
        <v>1024</v>
      </c>
      <c r="M93" s="71" t="s">
        <v>1032</v>
      </c>
      <c r="N93" s="71" t="s">
        <v>1033</v>
      </c>
      <c r="O93" s="71" t="s">
        <v>560</v>
      </c>
    </row>
    <row r="94" spans="1:15" ht="25.5" customHeight="1">
      <c r="A94" s="77"/>
      <c r="B94" s="89" t="s">
        <v>84</v>
      </c>
      <c r="C94" s="71" t="s">
        <v>52</v>
      </c>
      <c r="D94" s="72" t="s">
        <v>417</v>
      </c>
      <c r="E94" s="75" t="s">
        <v>963</v>
      </c>
      <c r="F94" s="76" t="s">
        <v>175</v>
      </c>
      <c r="G94" s="76" t="s">
        <v>924</v>
      </c>
      <c r="H94" s="71" t="s">
        <v>176</v>
      </c>
      <c r="I94" s="71" t="s">
        <v>1038</v>
      </c>
      <c r="J94" s="23" t="s">
        <v>647</v>
      </c>
      <c r="K94" s="256" t="s">
        <v>1077</v>
      </c>
      <c r="L94" s="71" t="s">
        <v>1024</v>
      </c>
      <c r="M94" s="71" t="s">
        <v>1032</v>
      </c>
      <c r="N94" s="71" t="s">
        <v>1033</v>
      </c>
      <c r="O94" s="71" t="s">
        <v>560</v>
      </c>
    </row>
    <row r="95" spans="1:15" ht="25.5" customHeight="1">
      <c r="A95" s="77"/>
      <c r="B95" s="89" t="s">
        <v>84</v>
      </c>
      <c r="C95" s="71" t="s">
        <v>51</v>
      </c>
      <c r="D95" s="72" t="s">
        <v>418</v>
      </c>
      <c r="E95" s="75" t="s">
        <v>963</v>
      </c>
      <c r="F95" s="76" t="s">
        <v>175</v>
      </c>
      <c r="G95" s="76" t="s">
        <v>924</v>
      </c>
      <c r="H95" s="71" t="s">
        <v>175</v>
      </c>
      <c r="I95" s="71" t="s">
        <v>1038</v>
      </c>
      <c r="J95" s="23" t="s">
        <v>647</v>
      </c>
      <c r="K95" s="256" t="s">
        <v>1077</v>
      </c>
      <c r="L95" s="71" t="s">
        <v>1024</v>
      </c>
      <c r="M95" s="71" t="s">
        <v>1032</v>
      </c>
      <c r="N95" s="71" t="s">
        <v>1033</v>
      </c>
      <c r="O95" s="71" t="s">
        <v>560</v>
      </c>
    </row>
    <row r="96" spans="1:15" ht="25.5" customHeight="1">
      <c r="A96" s="77"/>
      <c r="B96" s="89" t="s">
        <v>84</v>
      </c>
      <c r="C96" s="71" t="s">
        <v>50</v>
      </c>
      <c r="D96" s="72" t="s">
        <v>419</v>
      </c>
      <c r="E96" s="75" t="s">
        <v>963</v>
      </c>
      <c r="F96" s="76" t="s">
        <v>175</v>
      </c>
      <c r="G96" s="76" t="s">
        <v>924</v>
      </c>
      <c r="H96" s="71" t="s">
        <v>175</v>
      </c>
      <c r="I96" s="71" t="s">
        <v>1038</v>
      </c>
      <c r="J96" s="23" t="s">
        <v>647</v>
      </c>
      <c r="K96" s="256" t="s">
        <v>1077</v>
      </c>
      <c r="L96" s="71" t="s">
        <v>1024</v>
      </c>
      <c r="M96" s="71" t="s">
        <v>1032</v>
      </c>
      <c r="N96" s="71" t="s">
        <v>1033</v>
      </c>
      <c r="O96" s="71" t="s">
        <v>560</v>
      </c>
    </row>
    <row r="97" spans="1:15" ht="25.5" customHeight="1">
      <c r="A97" s="77"/>
      <c r="B97" s="89" t="s">
        <v>84</v>
      </c>
      <c r="C97" s="71" t="s">
        <v>49</v>
      </c>
      <c r="D97" s="72" t="s">
        <v>420</v>
      </c>
      <c r="E97" s="75" t="s">
        <v>963</v>
      </c>
      <c r="F97" s="76" t="s">
        <v>175</v>
      </c>
      <c r="G97" s="76" t="s">
        <v>924</v>
      </c>
      <c r="H97" s="71" t="s">
        <v>175</v>
      </c>
      <c r="I97" s="71" t="s">
        <v>1038</v>
      </c>
      <c r="J97" s="23" t="s">
        <v>647</v>
      </c>
      <c r="K97" s="256" t="s">
        <v>1077</v>
      </c>
      <c r="L97" s="71" t="s">
        <v>1024</v>
      </c>
      <c r="M97" s="71" t="s">
        <v>1032</v>
      </c>
      <c r="N97" s="71" t="s">
        <v>1033</v>
      </c>
      <c r="O97" s="71" t="s">
        <v>560</v>
      </c>
    </row>
    <row r="98" spans="1:15" ht="25.5" customHeight="1">
      <c r="A98" s="77"/>
      <c r="B98" s="89" t="s">
        <v>84</v>
      </c>
      <c r="C98" s="71" t="s">
        <v>48</v>
      </c>
      <c r="D98" s="72" t="s">
        <v>421</v>
      </c>
      <c r="E98" s="75" t="s">
        <v>963</v>
      </c>
      <c r="F98" s="76" t="s">
        <v>175</v>
      </c>
      <c r="G98" s="76" t="s">
        <v>924</v>
      </c>
      <c r="H98" s="71" t="s">
        <v>175</v>
      </c>
      <c r="I98" s="71" t="s">
        <v>1038</v>
      </c>
      <c r="J98" s="23" t="s">
        <v>647</v>
      </c>
      <c r="K98" s="256" t="s">
        <v>1077</v>
      </c>
      <c r="L98" s="71" t="s">
        <v>1024</v>
      </c>
      <c r="M98" s="71" t="s">
        <v>1032</v>
      </c>
      <c r="N98" s="71" t="s">
        <v>1033</v>
      </c>
      <c r="O98" s="71" t="s">
        <v>560</v>
      </c>
    </row>
    <row r="99" spans="1:15" ht="25.5" customHeight="1">
      <c r="A99" s="77"/>
      <c r="B99" s="89" t="s">
        <v>84</v>
      </c>
      <c r="C99" s="71" t="s">
        <v>47</v>
      </c>
      <c r="D99" s="72" t="s">
        <v>422</v>
      </c>
      <c r="E99" s="75" t="s">
        <v>963</v>
      </c>
      <c r="F99" s="76" t="s">
        <v>175</v>
      </c>
      <c r="G99" s="76" t="s">
        <v>924</v>
      </c>
      <c r="H99" s="71" t="s">
        <v>175</v>
      </c>
      <c r="I99" s="71" t="s">
        <v>1038</v>
      </c>
      <c r="J99" s="23" t="s">
        <v>647</v>
      </c>
      <c r="K99" s="256" t="s">
        <v>1077</v>
      </c>
      <c r="L99" s="71" t="s">
        <v>1024</v>
      </c>
      <c r="M99" s="71" t="s">
        <v>1032</v>
      </c>
      <c r="N99" s="71" t="s">
        <v>1033</v>
      </c>
      <c r="O99" s="71" t="s">
        <v>560</v>
      </c>
    </row>
    <row r="100" spans="1:15" ht="25.5" customHeight="1">
      <c r="A100" s="77"/>
      <c r="B100" s="89" t="s">
        <v>84</v>
      </c>
      <c r="C100" s="71" t="s">
        <v>384</v>
      </c>
      <c r="D100" s="72" t="s">
        <v>423</v>
      </c>
      <c r="E100" s="75" t="s">
        <v>963</v>
      </c>
      <c r="F100" s="76" t="s">
        <v>175</v>
      </c>
      <c r="G100" s="76" t="s">
        <v>924</v>
      </c>
      <c r="H100" s="71" t="s">
        <v>175</v>
      </c>
      <c r="I100" s="71" t="s">
        <v>1038</v>
      </c>
      <c r="J100" s="23" t="s">
        <v>647</v>
      </c>
      <c r="K100" s="256" t="s">
        <v>1077</v>
      </c>
      <c r="L100" s="71" t="s">
        <v>1024</v>
      </c>
      <c r="M100" s="71" t="s">
        <v>1032</v>
      </c>
      <c r="N100" s="71" t="s">
        <v>1033</v>
      </c>
      <c r="O100" s="71" t="s">
        <v>560</v>
      </c>
    </row>
    <row r="101" spans="1:15" ht="25.5" customHeight="1">
      <c r="A101" s="77"/>
      <c r="B101" s="89" t="s">
        <v>84</v>
      </c>
      <c r="C101" s="71" t="s">
        <v>385</v>
      </c>
      <c r="D101" s="72" t="s">
        <v>424</v>
      </c>
      <c r="E101" s="75" t="s">
        <v>963</v>
      </c>
      <c r="F101" s="76" t="s">
        <v>175</v>
      </c>
      <c r="G101" s="76" t="s">
        <v>924</v>
      </c>
      <c r="H101" s="71" t="s">
        <v>175</v>
      </c>
      <c r="I101" s="71" t="s">
        <v>1038</v>
      </c>
      <c r="J101" s="23" t="s">
        <v>647</v>
      </c>
      <c r="K101" s="256" t="s">
        <v>1077</v>
      </c>
      <c r="L101" s="71" t="s">
        <v>1024</v>
      </c>
      <c r="M101" s="71" t="s">
        <v>1032</v>
      </c>
      <c r="N101" s="71" t="s">
        <v>1033</v>
      </c>
      <c r="O101" s="71" t="s">
        <v>560</v>
      </c>
    </row>
    <row r="102" spans="1:15" ht="25.5" customHeight="1">
      <c r="A102" s="77"/>
      <c r="B102" s="89" t="s">
        <v>84</v>
      </c>
      <c r="C102" s="71" t="s">
        <v>46</v>
      </c>
      <c r="D102" s="72" t="s">
        <v>425</v>
      </c>
      <c r="E102" s="75" t="s">
        <v>963</v>
      </c>
      <c r="F102" s="76" t="s">
        <v>175</v>
      </c>
      <c r="G102" s="76" t="s">
        <v>924</v>
      </c>
      <c r="H102" s="71" t="s">
        <v>175</v>
      </c>
      <c r="I102" s="71" t="s">
        <v>1038</v>
      </c>
      <c r="J102" s="23" t="s">
        <v>647</v>
      </c>
      <c r="K102" s="256" t="s">
        <v>1077</v>
      </c>
      <c r="L102" s="71" t="s">
        <v>1024</v>
      </c>
      <c r="M102" s="71" t="s">
        <v>1032</v>
      </c>
      <c r="N102" s="71" t="s">
        <v>1033</v>
      </c>
      <c r="O102" s="71" t="s">
        <v>560</v>
      </c>
    </row>
    <row r="103" spans="1:15" ht="25.5" customHeight="1">
      <c r="A103" s="77"/>
      <c r="B103" s="89" t="s">
        <v>84</v>
      </c>
      <c r="C103" s="71" t="s">
        <v>45</v>
      </c>
      <c r="D103" s="72" t="s">
        <v>426</v>
      </c>
      <c r="E103" s="75" t="s">
        <v>963</v>
      </c>
      <c r="F103" s="76" t="s">
        <v>175</v>
      </c>
      <c r="G103" s="76" t="s">
        <v>924</v>
      </c>
      <c r="H103" s="71" t="s">
        <v>175</v>
      </c>
      <c r="I103" s="71" t="s">
        <v>1038</v>
      </c>
      <c r="J103" s="23" t="s">
        <v>647</v>
      </c>
      <c r="K103" s="256" t="s">
        <v>1077</v>
      </c>
      <c r="L103" s="71" t="s">
        <v>1024</v>
      </c>
      <c r="M103" s="71" t="s">
        <v>1032</v>
      </c>
      <c r="N103" s="71" t="s">
        <v>1033</v>
      </c>
      <c r="O103" s="71" t="s">
        <v>560</v>
      </c>
    </row>
    <row r="104" spans="1:15" ht="25.5" customHeight="1">
      <c r="A104" s="77"/>
      <c r="B104" s="89" t="s">
        <v>84</v>
      </c>
      <c r="C104" s="80" t="s">
        <v>44</v>
      </c>
      <c r="D104" s="81" t="s">
        <v>427</v>
      </c>
      <c r="E104" s="75" t="s">
        <v>963</v>
      </c>
      <c r="F104" s="76" t="s">
        <v>175</v>
      </c>
      <c r="G104" s="76" t="s">
        <v>924</v>
      </c>
      <c r="H104" s="71" t="s">
        <v>175</v>
      </c>
      <c r="I104" s="71" t="s">
        <v>1038</v>
      </c>
      <c r="J104" s="23" t="s">
        <v>647</v>
      </c>
      <c r="K104" s="256" t="s">
        <v>1077</v>
      </c>
      <c r="L104" s="71" t="s">
        <v>1024</v>
      </c>
      <c r="M104" s="71" t="s">
        <v>1032</v>
      </c>
      <c r="N104" s="71" t="s">
        <v>1033</v>
      </c>
      <c r="O104" s="71" t="s">
        <v>560</v>
      </c>
    </row>
    <row r="105" spans="1:15" ht="25.5" customHeight="1">
      <c r="A105" s="77"/>
      <c r="B105" s="89" t="s">
        <v>84</v>
      </c>
      <c r="C105" s="71" t="s">
        <v>43</v>
      </c>
      <c r="D105" s="72" t="s">
        <v>428</v>
      </c>
      <c r="E105" s="75" t="s">
        <v>963</v>
      </c>
      <c r="F105" s="76" t="s">
        <v>175</v>
      </c>
      <c r="G105" s="76" t="s">
        <v>924</v>
      </c>
      <c r="H105" s="71" t="s">
        <v>175</v>
      </c>
      <c r="I105" s="71" t="s">
        <v>1038</v>
      </c>
      <c r="J105" s="23" t="s">
        <v>647</v>
      </c>
      <c r="K105" s="256" t="s">
        <v>1077</v>
      </c>
      <c r="L105" s="71" t="s">
        <v>1024</v>
      </c>
      <c r="M105" s="71" t="s">
        <v>1032</v>
      </c>
      <c r="N105" s="71" t="s">
        <v>1033</v>
      </c>
      <c r="O105" s="71" t="s">
        <v>560</v>
      </c>
    </row>
    <row r="106" spans="1:15" ht="25.5" customHeight="1">
      <c r="A106" s="77"/>
      <c r="B106" s="89" t="s">
        <v>84</v>
      </c>
      <c r="C106" s="76" t="s">
        <v>42</v>
      </c>
      <c r="D106" s="75" t="s">
        <v>434</v>
      </c>
      <c r="E106" s="75" t="s">
        <v>963</v>
      </c>
      <c r="F106" s="76" t="s">
        <v>175</v>
      </c>
      <c r="G106" s="76" t="s">
        <v>924</v>
      </c>
      <c r="H106" s="71" t="s">
        <v>175</v>
      </c>
      <c r="I106" s="71" t="s">
        <v>1038</v>
      </c>
      <c r="J106" s="23" t="s">
        <v>647</v>
      </c>
      <c r="K106" s="256" t="s">
        <v>1077</v>
      </c>
      <c r="L106" s="71" t="s">
        <v>1024</v>
      </c>
      <c r="M106" s="71" t="s">
        <v>1032</v>
      </c>
      <c r="N106" s="71" t="s">
        <v>1033</v>
      </c>
      <c r="O106" s="71" t="s">
        <v>560</v>
      </c>
    </row>
    <row r="107" spans="1:15" ht="25.5" customHeight="1">
      <c r="A107" s="77"/>
      <c r="B107" s="89" t="s">
        <v>84</v>
      </c>
      <c r="C107" s="71" t="s">
        <v>41</v>
      </c>
      <c r="D107" s="72" t="s">
        <v>429</v>
      </c>
      <c r="E107" s="75" t="s">
        <v>963</v>
      </c>
      <c r="F107" s="76" t="s">
        <v>175</v>
      </c>
      <c r="G107" s="76" t="s">
        <v>924</v>
      </c>
      <c r="H107" s="71" t="s">
        <v>175</v>
      </c>
      <c r="I107" s="71" t="s">
        <v>1038</v>
      </c>
      <c r="J107" s="23" t="s">
        <v>647</v>
      </c>
      <c r="K107" s="256" t="s">
        <v>1077</v>
      </c>
      <c r="L107" s="71" t="s">
        <v>1024</v>
      </c>
      <c r="M107" s="71" t="s">
        <v>1032</v>
      </c>
      <c r="N107" s="71" t="s">
        <v>1033</v>
      </c>
      <c r="O107" s="71" t="s">
        <v>560</v>
      </c>
    </row>
    <row r="108" spans="1:15" ht="25.5" customHeight="1">
      <c r="A108" s="77"/>
      <c r="B108" s="89" t="s">
        <v>84</v>
      </c>
      <c r="C108" s="71" t="s">
        <v>40</v>
      </c>
      <c r="D108" s="72" t="s">
        <v>430</v>
      </c>
      <c r="E108" s="75" t="s">
        <v>963</v>
      </c>
      <c r="F108" s="76" t="s">
        <v>175</v>
      </c>
      <c r="G108" s="76" t="s">
        <v>924</v>
      </c>
      <c r="H108" s="71" t="s">
        <v>175</v>
      </c>
      <c r="I108" s="71" t="s">
        <v>1038</v>
      </c>
      <c r="J108" s="23" t="s">
        <v>647</v>
      </c>
      <c r="K108" s="256" t="s">
        <v>1077</v>
      </c>
      <c r="L108" s="71" t="s">
        <v>1024</v>
      </c>
      <c r="M108" s="71" t="s">
        <v>1032</v>
      </c>
      <c r="N108" s="71" t="s">
        <v>1033</v>
      </c>
      <c r="O108" s="71" t="s">
        <v>560</v>
      </c>
    </row>
    <row r="109" spans="1:15" ht="25.5" customHeight="1">
      <c r="A109" s="77"/>
      <c r="B109" s="89" t="s">
        <v>84</v>
      </c>
      <c r="C109" s="71" t="s">
        <v>39</v>
      </c>
      <c r="D109" s="72" t="s">
        <v>431</v>
      </c>
      <c r="E109" s="75" t="s">
        <v>963</v>
      </c>
      <c r="F109" s="76" t="s">
        <v>175</v>
      </c>
      <c r="G109" s="76" t="s">
        <v>924</v>
      </c>
      <c r="H109" s="71" t="s">
        <v>175</v>
      </c>
      <c r="I109" s="71" t="s">
        <v>1038</v>
      </c>
      <c r="J109" s="23" t="s">
        <v>647</v>
      </c>
      <c r="K109" s="256" t="s">
        <v>1077</v>
      </c>
      <c r="L109" s="71" t="s">
        <v>1024</v>
      </c>
      <c r="M109" s="71" t="s">
        <v>1032</v>
      </c>
      <c r="N109" s="71" t="s">
        <v>1033</v>
      </c>
      <c r="O109" s="71" t="s">
        <v>560</v>
      </c>
    </row>
    <row r="110" spans="1:15" ht="25.5" customHeight="1">
      <c r="A110" s="77"/>
      <c r="B110" s="89" t="s">
        <v>84</v>
      </c>
      <c r="C110" s="71" t="s">
        <v>38</v>
      </c>
      <c r="D110" s="72" t="s">
        <v>432</v>
      </c>
      <c r="E110" s="75" t="s">
        <v>963</v>
      </c>
      <c r="F110" s="76" t="s">
        <v>175</v>
      </c>
      <c r="G110" s="76" t="s">
        <v>924</v>
      </c>
      <c r="H110" s="71" t="s">
        <v>175</v>
      </c>
      <c r="I110" s="71" t="s">
        <v>1038</v>
      </c>
      <c r="J110" s="23" t="s">
        <v>647</v>
      </c>
      <c r="K110" s="256" t="s">
        <v>1077</v>
      </c>
      <c r="L110" s="71" t="s">
        <v>1024</v>
      </c>
      <c r="M110" s="71" t="s">
        <v>1032</v>
      </c>
      <c r="N110" s="71" t="s">
        <v>1033</v>
      </c>
      <c r="O110" s="71" t="s">
        <v>560</v>
      </c>
    </row>
    <row r="111" spans="1:15" ht="25.5" customHeight="1">
      <c r="A111" s="77"/>
      <c r="B111" s="89" t="s">
        <v>84</v>
      </c>
      <c r="C111" s="71" t="s">
        <v>37</v>
      </c>
      <c r="D111" s="72" t="s">
        <v>432</v>
      </c>
      <c r="E111" s="75" t="s">
        <v>963</v>
      </c>
      <c r="F111" s="76" t="s">
        <v>175</v>
      </c>
      <c r="G111" s="76" t="s">
        <v>924</v>
      </c>
      <c r="H111" s="71" t="s">
        <v>175</v>
      </c>
      <c r="I111" s="71" t="s">
        <v>1038</v>
      </c>
      <c r="J111" s="23" t="s">
        <v>647</v>
      </c>
      <c r="K111" s="256" t="s">
        <v>1077</v>
      </c>
      <c r="L111" s="71" t="s">
        <v>1024</v>
      </c>
      <c r="M111" s="71" t="s">
        <v>1032</v>
      </c>
      <c r="N111" s="71" t="s">
        <v>1033</v>
      </c>
      <c r="O111" s="71" t="s">
        <v>560</v>
      </c>
    </row>
    <row r="112" spans="1:15" ht="25.5" customHeight="1">
      <c r="A112" s="77"/>
      <c r="B112" s="89" t="s">
        <v>84</v>
      </c>
      <c r="C112" s="71" t="s">
        <v>36</v>
      </c>
      <c r="D112" s="72" t="s">
        <v>432</v>
      </c>
      <c r="E112" s="75" t="s">
        <v>963</v>
      </c>
      <c r="F112" s="76" t="s">
        <v>175</v>
      </c>
      <c r="G112" s="76" t="s">
        <v>924</v>
      </c>
      <c r="H112" s="71" t="s">
        <v>175</v>
      </c>
      <c r="I112" s="71" t="s">
        <v>1038</v>
      </c>
      <c r="J112" s="23" t="s">
        <v>647</v>
      </c>
      <c r="K112" s="256" t="s">
        <v>1077</v>
      </c>
      <c r="L112" s="71" t="s">
        <v>1024</v>
      </c>
      <c r="M112" s="71" t="s">
        <v>1032</v>
      </c>
      <c r="N112" s="71" t="s">
        <v>1033</v>
      </c>
      <c r="O112" s="71" t="s">
        <v>560</v>
      </c>
    </row>
    <row r="113" spans="1:15" ht="25.5" customHeight="1">
      <c r="A113" s="77"/>
      <c r="B113" s="89" t="s">
        <v>84</v>
      </c>
      <c r="C113" s="71" t="s">
        <v>35</v>
      </c>
      <c r="D113" s="72" t="s">
        <v>433</v>
      </c>
      <c r="E113" s="75" t="s">
        <v>963</v>
      </c>
      <c r="F113" s="76" t="s">
        <v>175</v>
      </c>
      <c r="G113" s="76" t="s">
        <v>924</v>
      </c>
      <c r="H113" s="71" t="s">
        <v>175</v>
      </c>
      <c r="I113" s="71" t="s">
        <v>1038</v>
      </c>
      <c r="J113" s="23" t="s">
        <v>647</v>
      </c>
      <c r="K113" s="256" t="s">
        <v>1077</v>
      </c>
      <c r="L113" s="71" t="s">
        <v>1024</v>
      </c>
      <c r="M113" s="71" t="s">
        <v>1032</v>
      </c>
      <c r="N113" s="71" t="s">
        <v>1033</v>
      </c>
      <c r="O113" s="71" t="s">
        <v>560</v>
      </c>
    </row>
    <row r="114" spans="1:15" ht="25.5" customHeight="1">
      <c r="A114" s="77"/>
      <c r="B114" s="89" t="s">
        <v>84</v>
      </c>
      <c r="C114" s="82" t="s">
        <v>34</v>
      </c>
      <c r="D114" s="75" t="s">
        <v>435</v>
      </c>
      <c r="E114" s="75" t="s">
        <v>963</v>
      </c>
      <c r="F114" s="76" t="s">
        <v>175</v>
      </c>
      <c r="G114" s="76" t="s">
        <v>924</v>
      </c>
      <c r="H114" s="71" t="s">
        <v>175</v>
      </c>
      <c r="I114" s="71" t="s">
        <v>1038</v>
      </c>
      <c r="J114" s="23" t="s">
        <v>647</v>
      </c>
      <c r="K114" s="256" t="s">
        <v>1077</v>
      </c>
      <c r="L114" s="71" t="s">
        <v>1024</v>
      </c>
      <c r="M114" s="71" t="s">
        <v>1032</v>
      </c>
      <c r="N114" s="71" t="s">
        <v>1033</v>
      </c>
      <c r="O114" s="71" t="s">
        <v>560</v>
      </c>
    </row>
    <row r="115" spans="1:15" ht="25.5" customHeight="1">
      <c r="A115" s="77"/>
      <c r="B115" s="89" t="s">
        <v>94</v>
      </c>
      <c r="C115" s="76" t="s">
        <v>93</v>
      </c>
      <c r="D115" s="75" t="s">
        <v>507</v>
      </c>
      <c r="E115" s="75" t="s">
        <v>963</v>
      </c>
      <c r="F115" s="76" t="s">
        <v>175</v>
      </c>
      <c r="G115" s="76" t="s">
        <v>924</v>
      </c>
      <c r="H115" s="71" t="s">
        <v>175</v>
      </c>
      <c r="I115" s="71" t="s">
        <v>1038</v>
      </c>
      <c r="J115" s="23" t="s">
        <v>647</v>
      </c>
      <c r="K115" s="256" t="s">
        <v>1077</v>
      </c>
      <c r="L115" s="71" t="s">
        <v>1024</v>
      </c>
      <c r="M115" s="71" t="s">
        <v>1032</v>
      </c>
      <c r="N115" s="71" t="s">
        <v>1033</v>
      </c>
      <c r="O115" s="71" t="s">
        <v>560</v>
      </c>
    </row>
    <row r="116" spans="1:15" ht="25.5" customHeight="1">
      <c r="A116" s="77"/>
      <c r="B116" s="89" t="s">
        <v>94</v>
      </c>
      <c r="C116" s="76" t="s">
        <v>92</v>
      </c>
      <c r="D116" s="75" t="s">
        <v>508</v>
      </c>
      <c r="E116" s="75" t="s">
        <v>963</v>
      </c>
      <c r="F116" s="76" t="s">
        <v>175</v>
      </c>
      <c r="G116" s="76" t="s">
        <v>924</v>
      </c>
      <c r="H116" s="71" t="s">
        <v>175</v>
      </c>
      <c r="I116" s="71" t="s">
        <v>1038</v>
      </c>
      <c r="J116" s="23" t="s">
        <v>647</v>
      </c>
      <c r="K116" s="256" t="s">
        <v>1077</v>
      </c>
      <c r="L116" s="71" t="s">
        <v>1024</v>
      </c>
      <c r="M116" s="71" t="s">
        <v>1032</v>
      </c>
      <c r="N116" s="71" t="s">
        <v>1033</v>
      </c>
      <c r="O116" s="71" t="s">
        <v>560</v>
      </c>
    </row>
    <row r="117" spans="1:15" ht="25.5" customHeight="1">
      <c r="A117" s="77"/>
      <c r="B117" s="89" t="s">
        <v>94</v>
      </c>
      <c r="C117" s="76" t="s">
        <v>91</v>
      </c>
      <c r="D117" s="75" t="s">
        <v>509</v>
      </c>
      <c r="E117" s="75" t="s">
        <v>963</v>
      </c>
      <c r="F117" s="76" t="s">
        <v>175</v>
      </c>
      <c r="G117" s="76" t="s">
        <v>924</v>
      </c>
      <c r="H117" s="71" t="s">
        <v>175</v>
      </c>
      <c r="I117" s="71" t="s">
        <v>1038</v>
      </c>
      <c r="J117" s="23" t="s">
        <v>647</v>
      </c>
      <c r="K117" s="256" t="s">
        <v>1077</v>
      </c>
      <c r="L117" s="71" t="s">
        <v>1024</v>
      </c>
      <c r="M117" s="71" t="s">
        <v>1032</v>
      </c>
      <c r="N117" s="71" t="s">
        <v>1033</v>
      </c>
      <c r="O117" s="71" t="s">
        <v>560</v>
      </c>
    </row>
    <row r="118" spans="1:15" ht="25.5" customHeight="1">
      <c r="A118" s="77"/>
      <c r="B118" s="89" t="s">
        <v>94</v>
      </c>
      <c r="C118" s="76" t="s">
        <v>90</v>
      </c>
      <c r="D118" s="75" t="s">
        <v>510</v>
      </c>
      <c r="E118" s="75" t="s">
        <v>963</v>
      </c>
      <c r="F118" s="76" t="s">
        <v>175</v>
      </c>
      <c r="G118" s="76" t="s">
        <v>924</v>
      </c>
      <c r="H118" s="71" t="s">
        <v>175</v>
      </c>
      <c r="I118" s="71" t="s">
        <v>1038</v>
      </c>
      <c r="J118" s="23" t="s">
        <v>647</v>
      </c>
      <c r="K118" s="256" t="s">
        <v>1077</v>
      </c>
      <c r="L118" s="71" t="s">
        <v>1024</v>
      </c>
      <c r="M118" s="71" t="s">
        <v>1032</v>
      </c>
      <c r="N118" s="71" t="s">
        <v>1033</v>
      </c>
      <c r="O118" s="71" t="s">
        <v>560</v>
      </c>
    </row>
    <row r="119" spans="1:15" ht="25.5" customHeight="1">
      <c r="A119" s="77"/>
      <c r="B119" s="89" t="s">
        <v>94</v>
      </c>
      <c r="C119" s="76" t="s">
        <v>89</v>
      </c>
      <c r="D119" s="75" t="s">
        <v>511</v>
      </c>
      <c r="E119" s="75" t="s">
        <v>963</v>
      </c>
      <c r="F119" s="76" t="s">
        <v>175</v>
      </c>
      <c r="G119" s="76" t="s">
        <v>924</v>
      </c>
      <c r="H119" s="71" t="s">
        <v>175</v>
      </c>
      <c r="I119" s="71" t="s">
        <v>1038</v>
      </c>
      <c r="J119" s="23" t="s">
        <v>647</v>
      </c>
      <c r="K119" s="256" t="s">
        <v>1077</v>
      </c>
      <c r="L119" s="71" t="s">
        <v>1024</v>
      </c>
      <c r="M119" s="71" t="s">
        <v>1032</v>
      </c>
      <c r="N119" s="71" t="s">
        <v>1033</v>
      </c>
      <c r="O119" s="71" t="s">
        <v>560</v>
      </c>
    </row>
    <row r="120" spans="1:15" ht="25.5" customHeight="1">
      <c r="A120" s="77"/>
      <c r="B120" s="89" t="s">
        <v>94</v>
      </c>
      <c r="C120" s="76" t="s">
        <v>691</v>
      </c>
      <c r="D120" s="266" t="s">
        <v>512</v>
      </c>
      <c r="E120" s="75" t="s">
        <v>692</v>
      </c>
      <c r="F120" s="76" t="s">
        <v>149</v>
      </c>
      <c r="G120" s="76" t="s">
        <v>799</v>
      </c>
      <c r="H120" s="71" t="s">
        <v>170</v>
      </c>
      <c r="I120" s="87" t="s">
        <v>693</v>
      </c>
      <c r="J120" s="23" t="s">
        <v>786</v>
      </c>
      <c r="K120" s="256" t="s">
        <v>1468</v>
      </c>
      <c r="L120" s="71" t="s">
        <v>999</v>
      </c>
      <c r="M120" s="71" t="s">
        <v>999</v>
      </c>
      <c r="N120" s="71" t="s">
        <v>1000</v>
      </c>
      <c r="O120" s="71" t="s">
        <v>560</v>
      </c>
    </row>
    <row r="121" spans="1:15" ht="25.5" customHeight="1">
      <c r="A121" s="77"/>
      <c r="B121" s="89" t="s">
        <v>94</v>
      </c>
      <c r="C121" s="76" t="s">
        <v>39</v>
      </c>
      <c r="D121" s="75" t="s">
        <v>513</v>
      </c>
      <c r="E121" s="75" t="s">
        <v>963</v>
      </c>
      <c r="F121" s="76" t="s">
        <v>175</v>
      </c>
      <c r="G121" s="76" t="s">
        <v>924</v>
      </c>
      <c r="H121" s="71" t="s">
        <v>175</v>
      </c>
      <c r="I121" s="71" t="s">
        <v>1038</v>
      </c>
      <c r="J121" s="23" t="s">
        <v>647</v>
      </c>
      <c r="K121" s="256" t="s">
        <v>1077</v>
      </c>
      <c r="L121" s="71" t="s">
        <v>1024</v>
      </c>
      <c r="M121" s="71" t="s">
        <v>1032</v>
      </c>
      <c r="N121" s="71" t="s">
        <v>1033</v>
      </c>
      <c r="O121" s="71" t="s">
        <v>560</v>
      </c>
    </row>
    <row r="122" spans="1:15" ht="25.5" customHeight="1">
      <c r="A122" s="77"/>
      <c r="B122" s="89" t="s">
        <v>94</v>
      </c>
      <c r="C122" s="76" t="s">
        <v>525</v>
      </c>
      <c r="D122" s="75" t="s">
        <v>514</v>
      </c>
      <c r="E122" s="75" t="s">
        <v>963</v>
      </c>
      <c r="F122" s="76" t="s">
        <v>175</v>
      </c>
      <c r="G122" s="76" t="s">
        <v>924</v>
      </c>
      <c r="H122" s="71" t="s">
        <v>175</v>
      </c>
      <c r="I122" s="71" t="s">
        <v>1038</v>
      </c>
      <c r="J122" s="23" t="s">
        <v>647</v>
      </c>
      <c r="K122" s="256" t="s">
        <v>1077</v>
      </c>
      <c r="L122" s="71" t="s">
        <v>1024</v>
      </c>
      <c r="M122" s="71" t="s">
        <v>1032</v>
      </c>
      <c r="N122" s="71" t="s">
        <v>1033</v>
      </c>
      <c r="O122" s="71" t="s">
        <v>560</v>
      </c>
    </row>
    <row r="123" spans="1:15" ht="25.5" customHeight="1">
      <c r="A123" s="77"/>
      <c r="B123" s="89" t="s">
        <v>94</v>
      </c>
      <c r="C123" s="76" t="s">
        <v>37</v>
      </c>
      <c r="D123" s="75" t="s">
        <v>515</v>
      </c>
      <c r="E123" s="75" t="s">
        <v>963</v>
      </c>
      <c r="F123" s="76" t="s">
        <v>175</v>
      </c>
      <c r="G123" s="76" t="s">
        <v>924</v>
      </c>
      <c r="H123" s="71" t="s">
        <v>175</v>
      </c>
      <c r="I123" s="71" t="s">
        <v>1038</v>
      </c>
      <c r="J123" s="23" t="s">
        <v>647</v>
      </c>
      <c r="K123" s="256" t="s">
        <v>1077</v>
      </c>
      <c r="L123" s="71" t="s">
        <v>1024</v>
      </c>
      <c r="M123" s="71" t="s">
        <v>1032</v>
      </c>
      <c r="N123" s="71" t="s">
        <v>1033</v>
      </c>
      <c r="O123" s="71" t="s">
        <v>560</v>
      </c>
    </row>
    <row r="124" spans="1:15" ht="25.5" customHeight="1">
      <c r="A124" s="77"/>
      <c r="B124" s="89" t="s">
        <v>94</v>
      </c>
      <c r="C124" s="76" t="s">
        <v>36</v>
      </c>
      <c r="D124" s="75" t="s">
        <v>516</v>
      </c>
      <c r="E124" s="75" t="s">
        <v>963</v>
      </c>
      <c r="F124" s="76" t="s">
        <v>175</v>
      </c>
      <c r="G124" s="76" t="s">
        <v>924</v>
      </c>
      <c r="H124" s="71" t="s">
        <v>175</v>
      </c>
      <c r="I124" s="71" t="s">
        <v>1038</v>
      </c>
      <c r="J124" s="23" t="s">
        <v>647</v>
      </c>
      <c r="K124" s="256" t="s">
        <v>1077</v>
      </c>
      <c r="L124" s="71" t="s">
        <v>1024</v>
      </c>
      <c r="M124" s="71" t="s">
        <v>1032</v>
      </c>
      <c r="N124" s="71" t="s">
        <v>1033</v>
      </c>
      <c r="O124" s="71" t="s">
        <v>560</v>
      </c>
    </row>
    <row r="125" spans="1:15" ht="25.5" customHeight="1">
      <c r="A125" s="77"/>
      <c r="B125" s="89" t="s">
        <v>94</v>
      </c>
      <c r="C125" s="76" t="s">
        <v>86</v>
      </c>
      <c r="D125" s="75" t="s">
        <v>517</v>
      </c>
      <c r="E125" s="75" t="s">
        <v>963</v>
      </c>
      <c r="F125" s="76" t="s">
        <v>175</v>
      </c>
      <c r="G125" s="76" t="s">
        <v>924</v>
      </c>
      <c r="H125" s="71" t="s">
        <v>172</v>
      </c>
      <c r="I125" s="71" t="s">
        <v>1038</v>
      </c>
      <c r="J125" s="23" t="s">
        <v>647</v>
      </c>
      <c r="K125" s="256" t="s">
        <v>1077</v>
      </c>
      <c r="L125" s="71" t="s">
        <v>1024</v>
      </c>
      <c r="M125" s="71" t="s">
        <v>1032</v>
      </c>
      <c r="N125" s="71" t="s">
        <v>1033</v>
      </c>
      <c r="O125" s="71" t="s">
        <v>560</v>
      </c>
    </row>
    <row r="126" spans="1:15" ht="25.5" customHeight="1">
      <c r="A126" s="77"/>
      <c r="B126" s="89" t="s">
        <v>94</v>
      </c>
      <c r="C126" s="76" t="s">
        <v>88</v>
      </c>
      <c r="D126" s="75" t="s">
        <v>518</v>
      </c>
      <c r="E126" s="75" t="s">
        <v>963</v>
      </c>
      <c r="F126" s="76" t="s">
        <v>171</v>
      </c>
      <c r="G126" s="76" t="s">
        <v>924</v>
      </c>
      <c r="H126" s="71" t="s">
        <v>171</v>
      </c>
      <c r="I126" s="71" t="s">
        <v>1038</v>
      </c>
      <c r="J126" s="23" t="s">
        <v>647</v>
      </c>
      <c r="K126" s="256" t="s">
        <v>1077</v>
      </c>
      <c r="L126" s="71" t="s">
        <v>1024</v>
      </c>
      <c r="M126" s="71" t="s">
        <v>1032</v>
      </c>
      <c r="N126" s="71" t="s">
        <v>1033</v>
      </c>
      <c r="O126" s="71" t="s">
        <v>560</v>
      </c>
    </row>
    <row r="127" spans="1:15" ht="25.5" customHeight="1">
      <c r="A127" s="77"/>
      <c r="B127" s="89" t="s">
        <v>94</v>
      </c>
      <c r="C127" s="76" t="s">
        <v>87</v>
      </c>
      <c r="D127" s="75" t="s">
        <v>519</v>
      </c>
      <c r="E127" s="75" t="s">
        <v>963</v>
      </c>
      <c r="F127" s="76" t="s">
        <v>171</v>
      </c>
      <c r="G127" s="76" t="s">
        <v>924</v>
      </c>
      <c r="H127" s="71" t="s">
        <v>171</v>
      </c>
      <c r="I127" s="71" t="s">
        <v>1038</v>
      </c>
      <c r="J127" s="23" t="s">
        <v>647</v>
      </c>
      <c r="K127" s="256" t="s">
        <v>1077</v>
      </c>
      <c r="L127" s="71" t="s">
        <v>1024</v>
      </c>
      <c r="M127" s="71" t="s">
        <v>1032</v>
      </c>
      <c r="N127" s="71" t="s">
        <v>1033</v>
      </c>
      <c r="O127" s="71" t="s">
        <v>560</v>
      </c>
    </row>
    <row r="128" spans="1:15" ht="25.5" customHeight="1">
      <c r="A128" s="77"/>
      <c r="B128" s="89" t="s">
        <v>94</v>
      </c>
      <c r="C128" s="76" t="s">
        <v>52</v>
      </c>
      <c r="D128" s="266" t="s">
        <v>464</v>
      </c>
      <c r="E128" s="73" t="s">
        <v>892</v>
      </c>
      <c r="F128" s="76" t="s">
        <v>178</v>
      </c>
      <c r="G128" s="76" t="s">
        <v>350</v>
      </c>
      <c r="H128" s="71" t="s">
        <v>176</v>
      </c>
      <c r="I128" s="71" t="s">
        <v>785</v>
      </c>
      <c r="J128" s="23" t="s">
        <v>786</v>
      </c>
      <c r="K128" s="256" t="s">
        <v>1076</v>
      </c>
      <c r="L128" s="71" t="s">
        <v>992</v>
      </c>
      <c r="M128" s="71" t="s">
        <v>1034</v>
      </c>
      <c r="N128" s="71" t="s">
        <v>560</v>
      </c>
      <c r="O128" s="71" t="s">
        <v>560</v>
      </c>
    </row>
    <row r="129" spans="1:16377" ht="25.5" customHeight="1">
      <c r="A129" s="77"/>
      <c r="B129" s="89" t="s">
        <v>94</v>
      </c>
      <c r="C129" s="76" t="s">
        <v>85</v>
      </c>
      <c r="D129" s="266"/>
      <c r="E129" s="268" t="s">
        <v>893</v>
      </c>
      <c r="F129" s="76" t="s">
        <v>178</v>
      </c>
      <c r="G129" s="76" t="s">
        <v>350</v>
      </c>
      <c r="H129" s="71"/>
      <c r="I129" s="76" t="s">
        <v>894</v>
      </c>
      <c r="J129" s="23" t="s">
        <v>786</v>
      </c>
      <c r="K129" s="256" t="s">
        <v>1076</v>
      </c>
      <c r="L129" s="71" t="s">
        <v>992</v>
      </c>
      <c r="M129" s="71" t="s">
        <v>1034</v>
      </c>
      <c r="N129" s="71" t="s">
        <v>560</v>
      </c>
      <c r="O129" s="71" t="s">
        <v>560</v>
      </c>
    </row>
    <row r="130" spans="1:16377" ht="25.5" customHeight="1">
      <c r="A130" s="77"/>
      <c r="B130" s="89" t="s">
        <v>94</v>
      </c>
      <c r="C130" s="76" t="s">
        <v>85</v>
      </c>
      <c r="D130" s="75" t="s">
        <v>520</v>
      </c>
      <c r="E130" s="75" t="s">
        <v>963</v>
      </c>
      <c r="F130" s="76" t="s">
        <v>175</v>
      </c>
      <c r="G130" s="76" t="s">
        <v>924</v>
      </c>
      <c r="H130" s="71" t="s">
        <v>177</v>
      </c>
      <c r="I130" s="71" t="s">
        <v>1038</v>
      </c>
      <c r="J130" s="23" t="s">
        <v>647</v>
      </c>
      <c r="K130" s="256" t="s">
        <v>1077</v>
      </c>
      <c r="L130" s="71" t="s">
        <v>1024</v>
      </c>
      <c r="M130" s="71" t="s">
        <v>1032</v>
      </c>
      <c r="N130" s="71" t="s">
        <v>1033</v>
      </c>
      <c r="O130" s="71" t="s">
        <v>560</v>
      </c>
    </row>
    <row r="131" spans="1:16377" ht="25.5" customHeight="1">
      <c r="A131" s="84"/>
      <c r="B131" s="88" t="s">
        <v>33</v>
      </c>
      <c r="C131" s="76" t="s">
        <v>31</v>
      </c>
      <c r="D131" s="265" t="s">
        <v>521</v>
      </c>
      <c r="E131" s="73" t="s">
        <v>521</v>
      </c>
      <c r="F131" s="76" t="s">
        <v>178</v>
      </c>
      <c r="G131" s="76" t="s">
        <v>350</v>
      </c>
      <c r="H131" s="71" t="s">
        <v>174</v>
      </c>
      <c r="I131" s="71"/>
      <c r="J131" s="23" t="s">
        <v>786</v>
      </c>
      <c r="K131" s="256" t="s">
        <v>1076</v>
      </c>
      <c r="L131" s="71" t="s">
        <v>992</v>
      </c>
      <c r="M131" s="71" t="s">
        <v>1034</v>
      </c>
      <c r="N131" s="71" t="s">
        <v>560</v>
      </c>
      <c r="O131" s="71" t="s">
        <v>560</v>
      </c>
    </row>
    <row r="132" spans="1:16377" ht="25.5" customHeight="1">
      <c r="A132" s="84"/>
      <c r="B132" s="88" t="s">
        <v>33</v>
      </c>
      <c r="C132" s="71" t="s">
        <v>15</v>
      </c>
      <c r="D132" s="72" t="s">
        <v>436</v>
      </c>
      <c r="E132" s="75" t="s">
        <v>647</v>
      </c>
      <c r="F132" s="76" t="s">
        <v>178</v>
      </c>
      <c r="G132" s="76" t="s">
        <v>350</v>
      </c>
      <c r="H132" s="71" t="s">
        <v>174</v>
      </c>
      <c r="I132" s="71" t="s">
        <v>929</v>
      </c>
      <c r="J132" s="23" t="s">
        <v>647</v>
      </c>
      <c r="K132" s="256" t="s">
        <v>1076</v>
      </c>
      <c r="L132" s="71" t="s">
        <v>992</v>
      </c>
      <c r="M132" s="71" t="s">
        <v>1034</v>
      </c>
      <c r="N132" s="71" t="s">
        <v>560</v>
      </c>
      <c r="O132" s="71" t="s">
        <v>560</v>
      </c>
    </row>
    <row r="133" spans="1:16377" ht="25.5" customHeight="1">
      <c r="A133" s="84"/>
      <c r="B133" s="88" t="s">
        <v>33</v>
      </c>
      <c r="C133" s="76" t="s">
        <v>30</v>
      </c>
      <c r="D133" s="265" t="s">
        <v>437</v>
      </c>
      <c r="E133" s="73" t="s">
        <v>437</v>
      </c>
      <c r="F133" s="76" t="s">
        <v>178</v>
      </c>
      <c r="G133" s="76" t="s">
        <v>350</v>
      </c>
      <c r="H133" s="71" t="s">
        <v>174</v>
      </c>
      <c r="I133" s="71"/>
      <c r="J133" s="23" t="s">
        <v>786</v>
      </c>
      <c r="K133" s="256" t="s">
        <v>1076</v>
      </c>
      <c r="L133" s="71" t="s">
        <v>992</v>
      </c>
      <c r="M133" s="71" t="s">
        <v>1034</v>
      </c>
      <c r="N133" s="71" t="s">
        <v>560</v>
      </c>
      <c r="O133" s="71" t="s">
        <v>560</v>
      </c>
    </row>
    <row r="134" spans="1:16377" ht="25.5" customHeight="1">
      <c r="A134" s="84"/>
      <c r="B134" s="88" t="s">
        <v>33</v>
      </c>
      <c r="C134" s="76" t="s">
        <v>29</v>
      </c>
      <c r="D134" s="265" t="s">
        <v>438</v>
      </c>
      <c r="E134" s="73" t="s">
        <v>438</v>
      </c>
      <c r="F134" s="76" t="s">
        <v>178</v>
      </c>
      <c r="G134" s="76" t="s">
        <v>350</v>
      </c>
      <c r="H134" s="71" t="s">
        <v>174</v>
      </c>
      <c r="I134" s="71"/>
      <c r="J134" s="23" t="s">
        <v>786</v>
      </c>
      <c r="K134" s="256" t="s">
        <v>1076</v>
      </c>
      <c r="L134" s="71" t="s">
        <v>992</v>
      </c>
      <c r="M134" s="71" t="s">
        <v>1034</v>
      </c>
      <c r="N134" s="71" t="s">
        <v>560</v>
      </c>
      <c r="O134" s="71" t="s">
        <v>560</v>
      </c>
    </row>
    <row r="135" spans="1:16377" ht="25.5" customHeight="1">
      <c r="A135" s="84"/>
      <c r="B135" s="88" t="s">
        <v>33</v>
      </c>
      <c r="C135" s="76" t="s">
        <v>28</v>
      </c>
      <c r="D135" s="265" t="s">
        <v>439</v>
      </c>
      <c r="E135" s="73" t="s">
        <v>439</v>
      </c>
      <c r="F135" s="76" t="s">
        <v>178</v>
      </c>
      <c r="G135" s="76" t="s">
        <v>350</v>
      </c>
      <c r="H135" s="71" t="s">
        <v>174</v>
      </c>
      <c r="I135" s="71"/>
      <c r="J135" s="23" t="s">
        <v>786</v>
      </c>
      <c r="K135" s="256" t="s">
        <v>1076</v>
      </c>
      <c r="L135" s="71" t="s">
        <v>992</v>
      </c>
      <c r="M135" s="71" t="s">
        <v>1034</v>
      </c>
      <c r="N135" s="71" t="s">
        <v>560</v>
      </c>
      <c r="O135" s="71" t="s">
        <v>560</v>
      </c>
    </row>
    <row r="136" spans="1:16377" ht="25.5" customHeight="1">
      <c r="A136" s="84"/>
      <c r="B136" s="88" t="s">
        <v>33</v>
      </c>
      <c r="C136" s="76" t="s">
        <v>1485</v>
      </c>
      <c r="D136" s="265" t="s">
        <v>440</v>
      </c>
      <c r="E136" s="73" t="s">
        <v>440</v>
      </c>
      <c r="F136" s="76" t="s">
        <v>178</v>
      </c>
      <c r="G136" s="76" t="s">
        <v>350</v>
      </c>
      <c r="H136" s="71" t="s">
        <v>174</v>
      </c>
      <c r="I136" s="71"/>
      <c r="J136" s="23" t="s">
        <v>786</v>
      </c>
      <c r="K136" s="256" t="s">
        <v>1076</v>
      </c>
      <c r="L136" s="71" t="s">
        <v>992</v>
      </c>
      <c r="M136" s="71" t="s">
        <v>1034</v>
      </c>
      <c r="N136" s="71" t="s">
        <v>560</v>
      </c>
      <c r="O136" s="71" t="s">
        <v>560</v>
      </c>
    </row>
    <row r="137" spans="1:16377" ht="25.5" customHeight="1">
      <c r="A137" s="84"/>
      <c r="B137" s="88" t="s">
        <v>33</v>
      </c>
      <c r="C137" s="76" t="s">
        <v>27</v>
      </c>
      <c r="D137" s="265" t="s">
        <v>441</v>
      </c>
      <c r="E137" s="73" t="s">
        <v>895</v>
      </c>
      <c r="F137" s="76" t="s">
        <v>178</v>
      </c>
      <c r="G137" s="76" t="s">
        <v>350</v>
      </c>
      <c r="H137" s="71" t="s">
        <v>174</v>
      </c>
      <c r="I137" s="71"/>
      <c r="J137" s="23" t="s">
        <v>786</v>
      </c>
      <c r="K137" s="256" t="s">
        <v>1076</v>
      </c>
      <c r="L137" s="71" t="s">
        <v>992</v>
      </c>
      <c r="M137" s="71" t="s">
        <v>1034</v>
      </c>
      <c r="N137" s="71" t="s">
        <v>560</v>
      </c>
      <c r="O137" s="71" t="s">
        <v>560</v>
      </c>
    </row>
    <row r="138" spans="1:16377" ht="25.5" customHeight="1">
      <c r="A138" s="84"/>
      <c r="B138" s="88" t="s">
        <v>33</v>
      </c>
      <c r="C138" s="76" t="s">
        <v>26</v>
      </c>
      <c r="D138" s="265" t="s">
        <v>442</v>
      </c>
      <c r="E138" s="73" t="s">
        <v>442</v>
      </c>
      <c r="F138" s="76" t="s">
        <v>178</v>
      </c>
      <c r="G138" s="76" t="s">
        <v>350</v>
      </c>
      <c r="H138" s="71" t="s">
        <v>174</v>
      </c>
      <c r="I138" s="71"/>
      <c r="J138" s="23" t="s">
        <v>786</v>
      </c>
      <c r="K138" s="256" t="s">
        <v>1076</v>
      </c>
      <c r="L138" s="71" t="s">
        <v>992</v>
      </c>
      <c r="M138" s="71" t="s">
        <v>1034</v>
      </c>
      <c r="N138" s="71" t="s">
        <v>560</v>
      </c>
      <c r="O138" s="71" t="s">
        <v>560</v>
      </c>
    </row>
    <row r="139" spans="1:16377" ht="25.5" customHeight="1">
      <c r="A139" s="84"/>
      <c r="B139" s="88" t="s">
        <v>33</v>
      </c>
      <c r="C139" s="72" t="s">
        <v>25</v>
      </c>
      <c r="D139" s="72" t="s">
        <v>443</v>
      </c>
      <c r="E139" s="72" t="s">
        <v>443</v>
      </c>
      <c r="F139" s="76" t="s">
        <v>3</v>
      </c>
      <c r="G139" s="76" t="s">
        <v>811</v>
      </c>
      <c r="H139" s="71" t="s">
        <v>182</v>
      </c>
      <c r="I139" s="71" t="s">
        <v>973</v>
      </c>
      <c r="J139" s="23" t="s">
        <v>647</v>
      </c>
      <c r="K139" s="256" t="s">
        <v>1078</v>
      </c>
      <c r="L139" s="71" t="s">
        <v>981</v>
      </c>
      <c r="M139" s="71" t="s">
        <v>1018</v>
      </c>
      <c r="N139" s="71" t="s">
        <v>1019</v>
      </c>
      <c r="O139" s="71" t="s">
        <v>560</v>
      </c>
    </row>
    <row r="140" spans="1:16377" ht="25.5" customHeight="1">
      <c r="A140" s="84"/>
      <c r="B140" s="88" t="s">
        <v>33</v>
      </c>
      <c r="C140" s="76" t="s">
        <v>24</v>
      </c>
      <c r="D140" s="265" t="s">
        <v>688</v>
      </c>
      <c r="E140" s="73" t="s">
        <v>896</v>
      </c>
      <c r="F140" s="76" t="s">
        <v>178</v>
      </c>
      <c r="G140" s="76" t="s">
        <v>350</v>
      </c>
      <c r="H140" s="71" t="s">
        <v>181</v>
      </c>
      <c r="I140" s="71"/>
      <c r="J140" s="23" t="s">
        <v>786</v>
      </c>
      <c r="K140" s="256" t="s">
        <v>1076</v>
      </c>
      <c r="L140" s="71" t="s">
        <v>992</v>
      </c>
      <c r="M140" s="71" t="s">
        <v>1034</v>
      </c>
      <c r="N140" s="71" t="s">
        <v>560</v>
      </c>
      <c r="O140" s="71" t="s">
        <v>560</v>
      </c>
    </row>
    <row r="141" spans="1:16377" ht="25.5" customHeight="1">
      <c r="A141" s="84"/>
      <c r="B141" s="88" t="s">
        <v>33</v>
      </c>
      <c r="C141" s="71" t="s">
        <v>23</v>
      </c>
      <c r="D141" s="72" t="s">
        <v>444</v>
      </c>
      <c r="E141" s="75" t="s">
        <v>647</v>
      </c>
      <c r="F141" s="76" t="s">
        <v>178</v>
      </c>
      <c r="G141" s="76" t="s">
        <v>350</v>
      </c>
      <c r="H141" s="71" t="s">
        <v>174</v>
      </c>
      <c r="I141" s="71" t="s">
        <v>929</v>
      </c>
      <c r="J141" s="23" t="s">
        <v>647</v>
      </c>
      <c r="K141" s="256" t="s">
        <v>1076</v>
      </c>
      <c r="L141" s="71" t="s">
        <v>992</v>
      </c>
      <c r="M141" s="71" t="s">
        <v>1034</v>
      </c>
      <c r="N141" s="71" t="s">
        <v>560</v>
      </c>
      <c r="O141" s="71" t="s">
        <v>560</v>
      </c>
    </row>
    <row r="142" spans="1:16377" ht="25.5" customHeight="1">
      <c r="A142" s="84"/>
      <c r="B142" s="88" t="s">
        <v>33</v>
      </c>
      <c r="C142" s="76" t="s">
        <v>22</v>
      </c>
      <c r="D142" s="265" t="s">
        <v>445</v>
      </c>
      <c r="E142" s="73" t="s">
        <v>897</v>
      </c>
      <c r="F142" s="76" t="s">
        <v>178</v>
      </c>
      <c r="G142" s="76" t="s">
        <v>350</v>
      </c>
      <c r="H142" s="71" t="s">
        <v>181</v>
      </c>
      <c r="I142" s="71"/>
      <c r="J142" s="23" t="s">
        <v>786</v>
      </c>
      <c r="K142" s="256" t="s">
        <v>1076</v>
      </c>
      <c r="L142" s="71" t="s">
        <v>992</v>
      </c>
      <c r="M142" s="71" t="s">
        <v>1034</v>
      </c>
      <c r="N142" s="71" t="s">
        <v>560</v>
      </c>
      <c r="O142" s="71" t="s">
        <v>560</v>
      </c>
    </row>
    <row r="143" spans="1:16377" s="83" customFormat="1" ht="25.5" customHeight="1">
      <c r="A143" s="79"/>
      <c r="B143" s="88" t="s">
        <v>33</v>
      </c>
      <c r="C143" s="76" t="s">
        <v>886</v>
      </c>
      <c r="D143" s="266" t="s">
        <v>446</v>
      </c>
      <c r="E143" s="75" t="s">
        <v>887</v>
      </c>
      <c r="F143" s="76" t="s">
        <v>818</v>
      </c>
      <c r="G143" s="76" t="s">
        <v>819</v>
      </c>
      <c r="H143" s="71" t="s">
        <v>141</v>
      </c>
      <c r="I143" s="92"/>
      <c r="J143" s="23" t="s">
        <v>786</v>
      </c>
      <c r="K143" s="256" t="s">
        <v>1073</v>
      </c>
      <c r="L143" s="71" t="s">
        <v>1028</v>
      </c>
      <c r="M143" s="71" t="s">
        <v>1029</v>
      </c>
      <c r="N143" s="71" t="s">
        <v>1030</v>
      </c>
      <c r="O143" s="71" t="s">
        <v>1031</v>
      </c>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c r="BI143" s="69"/>
      <c r="BJ143" s="69"/>
      <c r="BK143" s="69"/>
      <c r="BL143" s="69"/>
      <c r="BM143" s="69"/>
      <c r="BN143" s="69"/>
      <c r="BO143" s="69"/>
      <c r="BP143" s="69"/>
      <c r="BQ143" s="69"/>
      <c r="BR143" s="69"/>
      <c r="BS143" s="69"/>
      <c r="BT143" s="69"/>
      <c r="BU143" s="69"/>
      <c r="BV143" s="69"/>
      <c r="BW143" s="69"/>
      <c r="BX143" s="69"/>
      <c r="BY143" s="69"/>
      <c r="BZ143" s="69"/>
      <c r="CA143" s="69"/>
      <c r="CB143" s="69"/>
      <c r="CC143" s="69"/>
      <c r="CD143" s="69"/>
      <c r="CE143" s="69"/>
      <c r="CF143" s="69"/>
      <c r="CG143" s="69"/>
      <c r="CH143" s="69"/>
      <c r="CI143" s="69"/>
      <c r="CJ143" s="69"/>
      <c r="CK143" s="69"/>
      <c r="CL143" s="69"/>
      <c r="CM143" s="69"/>
      <c r="CN143" s="69"/>
      <c r="CO143" s="69"/>
      <c r="CP143" s="69"/>
      <c r="CQ143" s="69"/>
      <c r="CR143" s="69"/>
      <c r="CS143" s="69"/>
      <c r="CT143" s="69"/>
      <c r="CU143" s="69"/>
      <c r="CV143" s="69"/>
      <c r="CW143" s="69"/>
      <c r="CX143" s="69"/>
      <c r="CY143" s="69"/>
      <c r="CZ143" s="69"/>
      <c r="DA143" s="69"/>
      <c r="DB143" s="69"/>
      <c r="DC143" s="69"/>
      <c r="DD143" s="69"/>
      <c r="DE143" s="69"/>
      <c r="DF143" s="69"/>
      <c r="DG143" s="69"/>
      <c r="DH143" s="69"/>
      <c r="DI143" s="69"/>
      <c r="DJ143" s="69"/>
      <c r="DK143" s="69"/>
      <c r="DL143" s="69"/>
      <c r="DM143" s="69"/>
      <c r="DN143" s="69"/>
      <c r="DO143" s="69"/>
      <c r="DP143" s="69"/>
      <c r="DQ143" s="69"/>
      <c r="DR143" s="69"/>
      <c r="DS143" s="69"/>
      <c r="DT143" s="69"/>
      <c r="DU143" s="69"/>
      <c r="DV143" s="69"/>
      <c r="DW143" s="69"/>
      <c r="DX143" s="69"/>
      <c r="DY143" s="69"/>
      <c r="DZ143" s="69"/>
      <c r="EA143" s="69"/>
      <c r="EB143" s="69"/>
      <c r="EC143" s="69"/>
      <c r="ED143" s="69"/>
      <c r="EE143" s="69"/>
      <c r="EF143" s="69"/>
      <c r="EG143" s="69"/>
      <c r="EH143" s="69"/>
      <c r="EI143" s="69"/>
      <c r="EJ143" s="69"/>
      <c r="EK143" s="69"/>
      <c r="EL143" s="69"/>
      <c r="EM143" s="69"/>
      <c r="EN143" s="69"/>
      <c r="EO143" s="69"/>
      <c r="EP143" s="69"/>
      <c r="EQ143" s="69"/>
      <c r="ER143" s="69"/>
      <c r="ES143" s="69"/>
      <c r="ET143" s="69"/>
      <c r="EU143" s="69"/>
      <c r="EV143" s="69"/>
      <c r="EW143" s="69"/>
      <c r="EX143" s="69"/>
      <c r="EY143" s="69"/>
      <c r="EZ143" s="69"/>
      <c r="FA143" s="69"/>
      <c r="FB143" s="69"/>
      <c r="FC143" s="69"/>
      <c r="FD143" s="69"/>
      <c r="FE143" s="69"/>
      <c r="FF143" s="69"/>
      <c r="FG143" s="69"/>
      <c r="FH143" s="69"/>
      <c r="FI143" s="69"/>
      <c r="FJ143" s="69"/>
      <c r="FK143" s="69"/>
      <c r="FL143" s="69"/>
      <c r="FM143" s="69"/>
      <c r="FN143" s="69"/>
      <c r="FO143" s="69"/>
      <c r="FP143" s="69"/>
      <c r="FQ143" s="69"/>
      <c r="FR143" s="69"/>
      <c r="FS143" s="69"/>
      <c r="FT143" s="69"/>
      <c r="FU143" s="69"/>
      <c r="FV143" s="69"/>
      <c r="FW143" s="69"/>
      <c r="FX143" s="69"/>
      <c r="FY143" s="69"/>
      <c r="FZ143" s="69"/>
      <c r="GA143" s="69"/>
      <c r="GB143" s="69"/>
      <c r="GC143" s="69"/>
      <c r="GD143" s="69"/>
      <c r="GE143" s="69"/>
      <c r="GF143" s="69"/>
      <c r="GG143" s="69"/>
      <c r="GH143" s="69"/>
      <c r="GI143" s="69"/>
      <c r="GJ143" s="69"/>
      <c r="GK143" s="69"/>
      <c r="GL143" s="69"/>
      <c r="GM143" s="69"/>
      <c r="GN143" s="69"/>
      <c r="GO143" s="69"/>
      <c r="GP143" s="69"/>
      <c r="GQ143" s="69"/>
      <c r="GR143" s="69"/>
      <c r="GS143" s="69"/>
      <c r="GT143" s="69"/>
      <c r="GU143" s="69"/>
      <c r="GV143" s="69"/>
      <c r="GW143" s="69"/>
      <c r="GX143" s="69"/>
      <c r="GY143" s="69"/>
      <c r="GZ143" s="69"/>
      <c r="HA143" s="69"/>
      <c r="HB143" s="69"/>
      <c r="HC143" s="69"/>
      <c r="HD143" s="69"/>
      <c r="HE143" s="69"/>
      <c r="HF143" s="69"/>
      <c r="HG143" s="69"/>
      <c r="HH143" s="69"/>
      <c r="HI143" s="69"/>
      <c r="HJ143" s="69"/>
      <c r="HK143" s="69"/>
      <c r="HL143" s="69"/>
      <c r="HM143" s="69"/>
      <c r="HN143" s="69"/>
      <c r="HO143" s="69"/>
      <c r="HP143" s="69"/>
      <c r="HQ143" s="69"/>
      <c r="HR143" s="69"/>
      <c r="HS143" s="69"/>
      <c r="HT143" s="69"/>
      <c r="HU143" s="69"/>
      <c r="HV143" s="69"/>
      <c r="HW143" s="69"/>
      <c r="HX143" s="69"/>
      <c r="HY143" s="69"/>
      <c r="HZ143" s="69"/>
      <c r="IA143" s="69"/>
      <c r="IB143" s="69"/>
      <c r="IC143" s="69"/>
      <c r="ID143" s="69"/>
      <c r="IE143" s="69"/>
      <c r="IF143" s="69"/>
      <c r="IG143" s="69"/>
      <c r="IH143" s="69"/>
      <c r="II143" s="69"/>
      <c r="IJ143" s="69"/>
      <c r="IK143" s="69"/>
      <c r="IL143" s="69"/>
      <c r="IM143" s="69"/>
      <c r="IN143" s="69"/>
      <c r="IO143" s="69"/>
      <c r="IP143" s="69"/>
      <c r="IQ143" s="69"/>
      <c r="IR143" s="69"/>
      <c r="IS143" s="69"/>
      <c r="IT143" s="69"/>
      <c r="IU143" s="69"/>
      <c r="IV143" s="69"/>
      <c r="IW143" s="69"/>
      <c r="IX143" s="69"/>
      <c r="IY143" s="69"/>
      <c r="IZ143" s="69"/>
      <c r="JA143" s="69"/>
      <c r="JB143" s="69"/>
      <c r="JC143" s="69"/>
      <c r="JD143" s="69"/>
      <c r="JE143" s="69"/>
      <c r="JF143" s="69"/>
      <c r="JG143" s="69"/>
      <c r="JH143" s="69"/>
      <c r="JI143" s="69"/>
      <c r="JJ143" s="69"/>
      <c r="JK143" s="69"/>
      <c r="JL143" s="69"/>
      <c r="JM143" s="69"/>
      <c r="JN143" s="69"/>
      <c r="JO143" s="69"/>
      <c r="JP143" s="69"/>
      <c r="JQ143" s="69"/>
      <c r="JR143" s="69"/>
      <c r="JS143" s="69"/>
      <c r="JT143" s="69"/>
      <c r="JU143" s="69"/>
      <c r="JV143" s="69"/>
      <c r="JW143" s="69"/>
      <c r="JX143" s="69"/>
      <c r="JY143" s="69"/>
      <c r="JZ143" s="69"/>
      <c r="KA143" s="69"/>
      <c r="KB143" s="69"/>
      <c r="KC143" s="69"/>
      <c r="KD143" s="69"/>
      <c r="KE143" s="69"/>
      <c r="KF143" s="69"/>
      <c r="KG143" s="69"/>
      <c r="KH143" s="69"/>
      <c r="KI143" s="69"/>
      <c r="KJ143" s="69"/>
      <c r="KK143" s="69"/>
      <c r="KL143" s="69"/>
      <c r="KM143" s="69"/>
      <c r="KN143" s="69"/>
      <c r="KO143" s="69"/>
      <c r="KP143" s="69"/>
      <c r="KQ143" s="69"/>
      <c r="KR143" s="69"/>
      <c r="KS143" s="69"/>
      <c r="KT143" s="69"/>
      <c r="KU143" s="69"/>
      <c r="KV143" s="69"/>
      <c r="KW143" s="69"/>
      <c r="KX143" s="69"/>
      <c r="KY143" s="69"/>
      <c r="KZ143" s="69"/>
      <c r="LA143" s="69"/>
      <c r="LB143" s="69"/>
      <c r="LC143" s="69"/>
      <c r="LD143" s="69"/>
      <c r="LE143" s="69"/>
      <c r="LF143" s="69"/>
      <c r="LG143" s="69"/>
      <c r="LH143" s="69"/>
      <c r="LI143" s="69"/>
      <c r="LJ143" s="69"/>
      <c r="LK143" s="69"/>
      <c r="LL143" s="69"/>
      <c r="LM143" s="69"/>
      <c r="LN143" s="69"/>
      <c r="LO143" s="69"/>
      <c r="LP143" s="69"/>
      <c r="LQ143" s="69"/>
      <c r="LR143" s="69"/>
      <c r="LS143" s="69"/>
      <c r="LT143" s="69"/>
      <c r="LU143" s="69"/>
      <c r="LV143" s="69"/>
      <c r="LW143" s="69"/>
      <c r="LX143" s="69"/>
      <c r="LY143" s="69"/>
      <c r="LZ143" s="69"/>
      <c r="MA143" s="69"/>
      <c r="MB143" s="69"/>
      <c r="MC143" s="69"/>
      <c r="MD143" s="69"/>
      <c r="ME143" s="69"/>
      <c r="MF143" s="69"/>
      <c r="MG143" s="69"/>
      <c r="MH143" s="69"/>
      <c r="MI143" s="69"/>
      <c r="MJ143" s="69"/>
      <c r="MK143" s="69"/>
      <c r="ML143" s="69"/>
      <c r="MM143" s="69"/>
      <c r="MN143" s="69"/>
      <c r="MO143" s="69"/>
      <c r="MP143" s="69"/>
      <c r="MQ143" s="69"/>
      <c r="MR143" s="69"/>
      <c r="MS143" s="69"/>
      <c r="MT143" s="69"/>
      <c r="MU143" s="69"/>
      <c r="MV143" s="69"/>
      <c r="MW143" s="69"/>
      <c r="MX143" s="69"/>
      <c r="MY143" s="69"/>
      <c r="MZ143" s="69"/>
      <c r="NA143" s="69"/>
      <c r="NB143" s="69"/>
      <c r="NC143" s="69"/>
      <c r="ND143" s="69"/>
      <c r="NE143" s="69"/>
      <c r="NF143" s="69"/>
      <c r="NG143" s="69"/>
      <c r="NH143" s="69"/>
      <c r="NI143" s="69"/>
      <c r="NJ143" s="69"/>
      <c r="NK143" s="69"/>
      <c r="NL143" s="69"/>
      <c r="NM143" s="69"/>
      <c r="NN143" s="69"/>
      <c r="NO143" s="69"/>
      <c r="NP143" s="69"/>
      <c r="NQ143" s="69"/>
      <c r="NR143" s="69"/>
      <c r="NS143" s="69"/>
      <c r="NT143" s="69"/>
      <c r="NU143" s="69"/>
      <c r="NV143" s="69"/>
      <c r="NW143" s="69"/>
      <c r="NX143" s="69"/>
      <c r="NY143" s="69"/>
      <c r="NZ143" s="69"/>
      <c r="OA143" s="69"/>
      <c r="OB143" s="69"/>
      <c r="OC143" s="69"/>
      <c r="OD143" s="69"/>
      <c r="OE143" s="69"/>
      <c r="OF143" s="69"/>
      <c r="OG143" s="69"/>
      <c r="OH143" s="69"/>
      <c r="OI143" s="69"/>
      <c r="OJ143" s="69"/>
      <c r="OK143" s="69"/>
      <c r="OL143" s="69"/>
      <c r="OM143" s="69"/>
      <c r="ON143" s="69"/>
      <c r="OO143" s="69"/>
      <c r="OP143" s="69"/>
      <c r="OQ143" s="69"/>
      <c r="OR143" s="69"/>
      <c r="OS143" s="69"/>
      <c r="OT143" s="69"/>
      <c r="OU143" s="69"/>
      <c r="OV143" s="69"/>
      <c r="OW143" s="69"/>
      <c r="OX143" s="69"/>
      <c r="OY143" s="69"/>
      <c r="OZ143" s="69"/>
      <c r="PA143" s="69"/>
      <c r="PB143" s="69"/>
      <c r="PC143" s="69"/>
      <c r="PD143" s="69"/>
      <c r="PE143" s="69"/>
      <c r="PF143" s="69"/>
      <c r="PG143" s="69"/>
      <c r="PH143" s="69"/>
      <c r="PI143" s="69"/>
      <c r="PJ143" s="69"/>
      <c r="PK143" s="69"/>
      <c r="PL143" s="69"/>
      <c r="PM143" s="69"/>
      <c r="PN143" s="69"/>
      <c r="PO143" s="69"/>
      <c r="PP143" s="69"/>
      <c r="PQ143" s="69"/>
      <c r="PR143" s="69"/>
      <c r="PS143" s="69"/>
      <c r="PT143" s="69"/>
      <c r="PU143" s="69"/>
      <c r="PV143" s="69"/>
      <c r="PW143" s="69"/>
      <c r="PX143" s="69"/>
      <c r="PY143" s="69"/>
      <c r="PZ143" s="69"/>
      <c r="QA143" s="69"/>
      <c r="QB143" s="69"/>
      <c r="QC143" s="69"/>
      <c r="QD143" s="69"/>
      <c r="QE143" s="69"/>
      <c r="QF143" s="69"/>
      <c r="QG143" s="69"/>
      <c r="QH143" s="69"/>
      <c r="QI143" s="69"/>
      <c r="QJ143" s="69"/>
      <c r="QK143" s="69"/>
      <c r="QL143" s="69"/>
      <c r="QM143" s="69"/>
      <c r="QN143" s="69"/>
      <c r="QO143" s="69"/>
      <c r="QP143" s="69"/>
      <c r="QQ143" s="69"/>
      <c r="QR143" s="69"/>
      <c r="QS143" s="69"/>
      <c r="QT143" s="69"/>
      <c r="QU143" s="69"/>
      <c r="QV143" s="69"/>
      <c r="QW143" s="69"/>
      <c r="QX143" s="69"/>
      <c r="QY143" s="69"/>
      <c r="QZ143" s="69"/>
      <c r="RA143" s="69"/>
      <c r="RB143" s="69"/>
      <c r="RC143" s="69"/>
      <c r="RD143" s="69"/>
      <c r="RE143" s="69"/>
      <c r="RF143" s="69"/>
      <c r="RG143" s="69"/>
      <c r="RH143" s="69"/>
      <c r="RI143" s="69"/>
      <c r="RJ143" s="69"/>
      <c r="RK143" s="69"/>
      <c r="RL143" s="69"/>
      <c r="RM143" s="69"/>
      <c r="RN143" s="69"/>
      <c r="RO143" s="69"/>
      <c r="RP143" s="69"/>
      <c r="RQ143" s="69"/>
      <c r="RR143" s="69"/>
      <c r="RS143" s="69"/>
      <c r="RT143" s="69"/>
      <c r="RU143" s="69"/>
      <c r="RV143" s="69"/>
      <c r="RW143" s="69"/>
      <c r="RX143" s="69"/>
      <c r="RY143" s="69"/>
      <c r="RZ143" s="69"/>
      <c r="SA143" s="69"/>
      <c r="SB143" s="69"/>
      <c r="SC143" s="69"/>
      <c r="SD143" s="69"/>
      <c r="SE143" s="69"/>
      <c r="SF143" s="69"/>
      <c r="SG143" s="69"/>
      <c r="SH143" s="69"/>
      <c r="SI143" s="69"/>
      <c r="SJ143" s="69"/>
      <c r="SK143" s="69"/>
      <c r="SL143" s="69"/>
      <c r="SM143" s="69"/>
      <c r="SN143" s="69"/>
      <c r="SO143" s="69"/>
      <c r="SP143" s="69"/>
      <c r="SQ143" s="69"/>
      <c r="SR143" s="69"/>
      <c r="SS143" s="69"/>
      <c r="ST143" s="69"/>
      <c r="SU143" s="69"/>
      <c r="SV143" s="69"/>
      <c r="SW143" s="69"/>
      <c r="SX143" s="69"/>
      <c r="SY143" s="69"/>
      <c r="SZ143" s="69"/>
      <c r="TA143" s="69"/>
      <c r="TB143" s="69"/>
      <c r="TC143" s="69"/>
      <c r="TD143" s="69"/>
      <c r="TE143" s="69"/>
      <c r="TF143" s="69"/>
      <c r="TG143" s="69"/>
      <c r="TH143" s="69"/>
      <c r="TI143" s="69"/>
      <c r="TJ143" s="69"/>
      <c r="TK143" s="69"/>
      <c r="TL143" s="69"/>
      <c r="TM143" s="69"/>
      <c r="TN143" s="69"/>
      <c r="TO143" s="69"/>
      <c r="TP143" s="69"/>
      <c r="TQ143" s="69"/>
      <c r="TR143" s="69"/>
      <c r="TS143" s="69"/>
      <c r="TT143" s="69"/>
      <c r="TU143" s="69"/>
      <c r="TV143" s="69"/>
      <c r="TW143" s="69"/>
      <c r="TX143" s="69"/>
      <c r="TY143" s="69"/>
      <c r="TZ143" s="69"/>
      <c r="UA143" s="69"/>
      <c r="UB143" s="69"/>
      <c r="UC143" s="69"/>
      <c r="UD143" s="69"/>
      <c r="UE143" s="69"/>
      <c r="UF143" s="69"/>
      <c r="UG143" s="69"/>
      <c r="UH143" s="69"/>
      <c r="UI143" s="69"/>
      <c r="UJ143" s="69"/>
      <c r="UK143" s="69"/>
      <c r="UL143" s="69"/>
      <c r="UM143" s="69"/>
      <c r="UN143" s="69"/>
      <c r="UO143" s="69"/>
      <c r="UP143" s="69"/>
      <c r="UQ143" s="69"/>
      <c r="UR143" s="69"/>
      <c r="US143" s="69"/>
      <c r="UT143" s="69"/>
      <c r="UU143" s="69"/>
      <c r="UV143" s="69"/>
      <c r="UW143" s="69"/>
      <c r="UX143" s="69"/>
      <c r="UY143" s="69"/>
      <c r="UZ143" s="69"/>
      <c r="VA143" s="69"/>
      <c r="VB143" s="69"/>
      <c r="VC143" s="69"/>
      <c r="VD143" s="69"/>
      <c r="VE143" s="69"/>
      <c r="VF143" s="69"/>
      <c r="VG143" s="69"/>
      <c r="VH143" s="69"/>
      <c r="VI143" s="69"/>
      <c r="VJ143" s="69"/>
      <c r="VK143" s="69"/>
      <c r="VL143" s="69"/>
      <c r="VM143" s="69"/>
      <c r="VN143" s="69"/>
      <c r="VO143" s="69"/>
      <c r="VP143" s="69"/>
      <c r="VQ143" s="69"/>
      <c r="VR143" s="69"/>
      <c r="VS143" s="69"/>
      <c r="VT143" s="69"/>
      <c r="VU143" s="69"/>
      <c r="VV143" s="69"/>
      <c r="VW143" s="69"/>
      <c r="VX143" s="69"/>
      <c r="VY143" s="69"/>
      <c r="VZ143" s="69"/>
      <c r="WA143" s="69"/>
      <c r="WB143" s="69"/>
      <c r="WC143" s="69"/>
      <c r="WD143" s="69"/>
      <c r="WE143" s="69"/>
      <c r="WF143" s="69"/>
      <c r="WG143" s="69"/>
      <c r="WH143" s="69"/>
      <c r="WI143" s="69"/>
      <c r="WJ143" s="69"/>
      <c r="WK143" s="69"/>
      <c r="WL143" s="69"/>
      <c r="WM143" s="69"/>
      <c r="WN143" s="69"/>
      <c r="WO143" s="69"/>
      <c r="WP143" s="69"/>
      <c r="WQ143" s="69"/>
      <c r="WR143" s="69"/>
      <c r="WS143" s="69"/>
      <c r="WT143" s="69"/>
      <c r="WU143" s="69"/>
      <c r="WV143" s="69"/>
      <c r="WW143" s="69"/>
      <c r="WX143" s="69"/>
      <c r="WY143" s="69"/>
      <c r="WZ143" s="69"/>
      <c r="XA143" s="69"/>
      <c r="XB143" s="69"/>
      <c r="XC143" s="69"/>
      <c r="XD143" s="69"/>
      <c r="XE143" s="69"/>
      <c r="XF143" s="69"/>
      <c r="XG143" s="69"/>
      <c r="XH143" s="69"/>
      <c r="XI143" s="69"/>
      <c r="XJ143" s="69"/>
      <c r="XK143" s="69"/>
      <c r="XL143" s="69"/>
      <c r="XM143" s="69"/>
      <c r="XN143" s="69"/>
      <c r="XO143" s="69"/>
      <c r="XP143" s="69"/>
      <c r="XQ143" s="69"/>
      <c r="XR143" s="69"/>
      <c r="XS143" s="69"/>
      <c r="XT143" s="69"/>
      <c r="XU143" s="69"/>
      <c r="XV143" s="69"/>
      <c r="XW143" s="69"/>
      <c r="XX143" s="69"/>
      <c r="XY143" s="69"/>
      <c r="XZ143" s="69"/>
      <c r="YA143" s="69"/>
      <c r="YB143" s="69"/>
      <c r="YC143" s="69"/>
      <c r="YD143" s="69"/>
      <c r="YE143" s="69"/>
      <c r="YF143" s="69"/>
      <c r="YG143" s="69"/>
      <c r="YH143" s="69"/>
      <c r="YI143" s="69"/>
      <c r="YJ143" s="69"/>
      <c r="YK143" s="69"/>
      <c r="YL143" s="69"/>
      <c r="YM143" s="69"/>
      <c r="YN143" s="69"/>
      <c r="YO143" s="69"/>
      <c r="YP143" s="69"/>
      <c r="YQ143" s="69"/>
      <c r="YR143" s="69"/>
      <c r="YS143" s="69"/>
      <c r="YT143" s="69"/>
      <c r="YU143" s="69"/>
      <c r="YV143" s="69"/>
      <c r="YW143" s="69"/>
      <c r="YX143" s="69"/>
      <c r="YY143" s="69"/>
      <c r="YZ143" s="69"/>
      <c r="ZA143" s="69"/>
      <c r="ZB143" s="69"/>
      <c r="ZC143" s="69"/>
      <c r="ZD143" s="69"/>
      <c r="ZE143" s="69"/>
      <c r="ZF143" s="69"/>
      <c r="ZG143" s="69"/>
      <c r="ZH143" s="69"/>
      <c r="ZI143" s="69"/>
      <c r="ZJ143" s="69"/>
      <c r="ZK143" s="69"/>
      <c r="ZL143" s="69"/>
      <c r="ZM143" s="69"/>
      <c r="ZN143" s="69"/>
      <c r="ZO143" s="69"/>
      <c r="ZP143" s="69"/>
      <c r="ZQ143" s="69"/>
      <c r="ZR143" s="69"/>
      <c r="ZS143" s="69"/>
      <c r="ZT143" s="69"/>
      <c r="ZU143" s="69"/>
      <c r="ZV143" s="69"/>
      <c r="ZW143" s="69"/>
      <c r="ZX143" s="69"/>
      <c r="ZY143" s="69"/>
      <c r="ZZ143" s="69"/>
      <c r="AAA143" s="69"/>
      <c r="AAB143" s="69"/>
      <c r="AAC143" s="69"/>
      <c r="AAD143" s="69"/>
      <c r="AAE143" s="69"/>
      <c r="AAF143" s="69"/>
      <c r="AAG143" s="69"/>
      <c r="AAH143" s="69"/>
      <c r="AAI143" s="69"/>
      <c r="AAJ143" s="69"/>
      <c r="AAK143" s="69"/>
      <c r="AAL143" s="69"/>
      <c r="AAM143" s="69"/>
      <c r="AAN143" s="69"/>
      <c r="AAO143" s="69"/>
      <c r="AAP143" s="69"/>
      <c r="AAQ143" s="69"/>
      <c r="AAR143" s="69"/>
      <c r="AAS143" s="69"/>
      <c r="AAT143" s="69"/>
      <c r="AAU143" s="69"/>
      <c r="AAV143" s="69"/>
      <c r="AAW143" s="69"/>
      <c r="AAX143" s="69"/>
      <c r="AAY143" s="69"/>
      <c r="AAZ143" s="69"/>
      <c r="ABA143" s="69"/>
      <c r="ABB143" s="69"/>
      <c r="ABC143" s="69"/>
      <c r="ABD143" s="69"/>
      <c r="ABE143" s="69"/>
      <c r="ABF143" s="69"/>
      <c r="ABG143" s="69"/>
      <c r="ABH143" s="69"/>
      <c r="ABI143" s="69"/>
      <c r="ABJ143" s="69"/>
      <c r="ABK143" s="69"/>
      <c r="ABL143" s="69"/>
      <c r="ABM143" s="69"/>
      <c r="ABN143" s="69"/>
      <c r="ABO143" s="69"/>
      <c r="ABP143" s="69"/>
      <c r="ABQ143" s="69"/>
      <c r="ABR143" s="69"/>
      <c r="ABS143" s="69"/>
      <c r="ABT143" s="69"/>
      <c r="ABU143" s="69"/>
      <c r="ABV143" s="69"/>
      <c r="ABW143" s="69"/>
      <c r="ABX143" s="69"/>
      <c r="ABY143" s="69"/>
      <c r="ABZ143" s="69"/>
      <c r="ACA143" s="69"/>
      <c r="ACB143" s="69"/>
      <c r="ACC143" s="69"/>
      <c r="ACD143" s="69"/>
      <c r="ACE143" s="69"/>
      <c r="ACF143" s="69"/>
      <c r="ACG143" s="69"/>
      <c r="ACH143" s="69"/>
      <c r="ACI143" s="69"/>
      <c r="ACJ143" s="69"/>
      <c r="ACK143" s="69"/>
      <c r="ACL143" s="69"/>
      <c r="ACM143" s="69"/>
      <c r="ACN143" s="69"/>
      <c r="ACO143" s="69"/>
      <c r="ACP143" s="69"/>
      <c r="ACQ143" s="69"/>
      <c r="ACR143" s="69"/>
      <c r="ACS143" s="69"/>
      <c r="ACT143" s="69"/>
      <c r="ACU143" s="69"/>
      <c r="ACV143" s="69"/>
      <c r="ACW143" s="69"/>
      <c r="ACX143" s="69"/>
      <c r="ACY143" s="69"/>
      <c r="ACZ143" s="69"/>
      <c r="ADA143" s="69"/>
      <c r="ADB143" s="69"/>
      <c r="ADC143" s="69"/>
      <c r="ADD143" s="69"/>
      <c r="ADE143" s="69"/>
      <c r="ADF143" s="69"/>
      <c r="ADG143" s="69"/>
      <c r="ADH143" s="69"/>
      <c r="ADI143" s="69"/>
      <c r="ADJ143" s="69"/>
      <c r="ADK143" s="69"/>
      <c r="ADL143" s="69"/>
      <c r="ADM143" s="69"/>
      <c r="ADN143" s="69"/>
      <c r="ADO143" s="69"/>
      <c r="ADP143" s="69"/>
      <c r="ADQ143" s="69"/>
      <c r="ADR143" s="69"/>
      <c r="ADS143" s="69"/>
      <c r="ADT143" s="69"/>
      <c r="ADU143" s="69"/>
      <c r="ADV143" s="69"/>
      <c r="ADW143" s="69"/>
      <c r="ADX143" s="69"/>
      <c r="ADY143" s="69"/>
      <c r="ADZ143" s="69"/>
      <c r="AEA143" s="69"/>
      <c r="AEB143" s="69"/>
      <c r="AEC143" s="69"/>
      <c r="AED143" s="69"/>
      <c r="AEE143" s="69"/>
      <c r="AEF143" s="69"/>
      <c r="AEG143" s="69"/>
      <c r="AEH143" s="69"/>
      <c r="AEI143" s="69"/>
      <c r="AEJ143" s="69"/>
      <c r="AEK143" s="69"/>
      <c r="AEL143" s="69"/>
      <c r="AEM143" s="69"/>
      <c r="AEN143" s="69"/>
      <c r="AEO143" s="69"/>
      <c r="AEP143" s="69"/>
      <c r="AEQ143" s="69"/>
      <c r="AER143" s="69"/>
      <c r="AES143" s="69"/>
      <c r="AET143" s="69"/>
      <c r="AEU143" s="69"/>
      <c r="AEV143" s="69"/>
      <c r="AEW143" s="69"/>
      <c r="AEX143" s="69"/>
      <c r="AEY143" s="69"/>
      <c r="AEZ143" s="69"/>
      <c r="AFA143" s="69"/>
      <c r="AFB143" s="69"/>
      <c r="AFC143" s="69"/>
      <c r="AFD143" s="69"/>
      <c r="AFE143" s="69"/>
      <c r="AFF143" s="69"/>
      <c r="AFG143" s="69"/>
      <c r="AFH143" s="69"/>
      <c r="AFI143" s="69"/>
      <c r="AFJ143" s="69"/>
      <c r="AFK143" s="69"/>
      <c r="AFL143" s="69"/>
      <c r="AFM143" s="69"/>
      <c r="AFN143" s="69"/>
      <c r="AFO143" s="69"/>
      <c r="AFP143" s="69"/>
      <c r="AFQ143" s="69"/>
      <c r="AFR143" s="69"/>
      <c r="AFS143" s="69"/>
      <c r="AFT143" s="69"/>
      <c r="AFU143" s="69"/>
      <c r="AFV143" s="69"/>
      <c r="AFW143" s="69"/>
      <c r="AFX143" s="69"/>
      <c r="AFY143" s="69"/>
      <c r="AFZ143" s="69"/>
      <c r="AGA143" s="69"/>
      <c r="AGB143" s="69"/>
      <c r="AGC143" s="69"/>
      <c r="AGD143" s="69"/>
      <c r="AGE143" s="69"/>
      <c r="AGF143" s="69"/>
      <c r="AGG143" s="69"/>
      <c r="AGH143" s="69"/>
      <c r="AGI143" s="69"/>
      <c r="AGJ143" s="69"/>
      <c r="AGK143" s="69"/>
      <c r="AGL143" s="69"/>
      <c r="AGM143" s="69"/>
      <c r="AGN143" s="69"/>
      <c r="AGO143" s="69"/>
      <c r="AGP143" s="69"/>
      <c r="AGQ143" s="69"/>
      <c r="AGR143" s="69"/>
      <c r="AGS143" s="69"/>
      <c r="AGT143" s="69"/>
      <c r="AGU143" s="69"/>
      <c r="AGV143" s="69"/>
      <c r="AGW143" s="69"/>
      <c r="AGX143" s="69"/>
      <c r="AGY143" s="69"/>
      <c r="AGZ143" s="69"/>
      <c r="AHA143" s="69"/>
      <c r="AHB143" s="69"/>
      <c r="AHC143" s="69"/>
      <c r="AHD143" s="69"/>
      <c r="AHE143" s="69"/>
      <c r="AHF143" s="69"/>
      <c r="AHG143" s="69"/>
      <c r="AHH143" s="69"/>
      <c r="AHI143" s="69"/>
      <c r="AHJ143" s="69"/>
      <c r="AHK143" s="69"/>
      <c r="AHL143" s="69"/>
      <c r="AHM143" s="69"/>
      <c r="AHN143" s="69"/>
      <c r="AHO143" s="69"/>
      <c r="AHP143" s="69"/>
      <c r="AHQ143" s="69"/>
      <c r="AHR143" s="69"/>
      <c r="AHS143" s="69"/>
      <c r="AHT143" s="69"/>
      <c r="AHU143" s="69"/>
      <c r="AHV143" s="69"/>
      <c r="AHW143" s="69"/>
      <c r="AHX143" s="69"/>
      <c r="AHY143" s="69"/>
      <c r="AHZ143" s="69"/>
      <c r="AIA143" s="69"/>
      <c r="AIB143" s="69"/>
      <c r="AIC143" s="69"/>
      <c r="AID143" s="69"/>
      <c r="AIE143" s="69"/>
      <c r="AIF143" s="69"/>
      <c r="AIG143" s="69"/>
      <c r="AIH143" s="69"/>
      <c r="AII143" s="69"/>
      <c r="AIJ143" s="69"/>
      <c r="AIK143" s="69"/>
      <c r="AIL143" s="69"/>
      <c r="AIM143" s="69"/>
      <c r="AIN143" s="69"/>
      <c r="AIO143" s="69"/>
      <c r="AIP143" s="69"/>
      <c r="AIQ143" s="69"/>
      <c r="AIR143" s="69"/>
      <c r="AIS143" s="69"/>
      <c r="AIT143" s="69"/>
      <c r="AIU143" s="69"/>
      <c r="AIV143" s="69"/>
      <c r="AIW143" s="69"/>
      <c r="AIX143" s="69"/>
      <c r="AIY143" s="69"/>
      <c r="AIZ143" s="69"/>
      <c r="AJA143" s="69"/>
      <c r="AJB143" s="69"/>
      <c r="AJC143" s="69"/>
      <c r="AJD143" s="69"/>
      <c r="AJE143" s="69"/>
      <c r="AJF143" s="69"/>
      <c r="AJG143" s="69"/>
      <c r="AJH143" s="69"/>
      <c r="AJI143" s="69"/>
      <c r="AJJ143" s="69"/>
      <c r="AJK143" s="69"/>
      <c r="AJL143" s="69"/>
      <c r="AJM143" s="69"/>
      <c r="AJN143" s="69"/>
      <c r="AJO143" s="69"/>
      <c r="AJP143" s="69"/>
      <c r="AJQ143" s="69"/>
      <c r="AJR143" s="69"/>
      <c r="AJS143" s="69"/>
      <c r="AJT143" s="69"/>
      <c r="AJU143" s="69"/>
      <c r="AJV143" s="69"/>
      <c r="AJW143" s="69"/>
      <c r="AJX143" s="69"/>
      <c r="AJY143" s="69"/>
      <c r="AJZ143" s="69"/>
      <c r="AKA143" s="69"/>
      <c r="AKB143" s="69"/>
      <c r="AKC143" s="69"/>
      <c r="AKD143" s="69"/>
      <c r="AKE143" s="69"/>
      <c r="AKF143" s="69"/>
      <c r="AKG143" s="69"/>
      <c r="AKH143" s="69"/>
      <c r="AKI143" s="69"/>
      <c r="AKJ143" s="69"/>
      <c r="AKK143" s="69"/>
      <c r="AKL143" s="69"/>
      <c r="AKM143" s="69"/>
      <c r="AKN143" s="69"/>
      <c r="AKO143" s="69"/>
      <c r="AKP143" s="69"/>
      <c r="AKQ143" s="69"/>
      <c r="AKR143" s="69"/>
      <c r="AKS143" s="69"/>
      <c r="AKT143" s="69"/>
      <c r="AKU143" s="69"/>
      <c r="AKV143" s="69"/>
      <c r="AKW143" s="69"/>
      <c r="AKX143" s="69"/>
      <c r="AKY143" s="69"/>
      <c r="AKZ143" s="69"/>
      <c r="ALA143" s="69"/>
      <c r="ALB143" s="69"/>
      <c r="ALC143" s="69"/>
      <c r="ALD143" s="69"/>
      <c r="ALE143" s="69"/>
      <c r="ALF143" s="69"/>
      <c r="ALG143" s="69"/>
      <c r="ALH143" s="69"/>
      <c r="ALI143" s="69"/>
      <c r="ALJ143" s="69"/>
      <c r="ALK143" s="69"/>
      <c r="ALL143" s="69"/>
      <c r="ALM143" s="69"/>
      <c r="ALN143" s="69"/>
      <c r="ALO143" s="69"/>
      <c r="ALP143" s="69"/>
      <c r="ALQ143" s="69"/>
      <c r="ALR143" s="69"/>
      <c r="ALS143" s="69"/>
      <c r="ALT143" s="69"/>
      <c r="ALU143" s="69"/>
      <c r="ALV143" s="69"/>
      <c r="ALW143" s="69"/>
      <c r="ALX143" s="69"/>
      <c r="ALY143" s="69"/>
      <c r="ALZ143" s="69"/>
      <c r="AMA143" s="69"/>
      <c r="AMB143" s="69"/>
      <c r="AMC143" s="69"/>
      <c r="AMD143" s="69"/>
      <c r="AME143" s="69"/>
      <c r="AMF143" s="69"/>
      <c r="AMG143" s="69"/>
      <c r="AMH143" s="69"/>
      <c r="AMI143" s="69"/>
      <c r="AMJ143" s="69"/>
      <c r="AMK143" s="69"/>
      <c r="AML143" s="69"/>
      <c r="AMM143" s="69"/>
      <c r="AMN143" s="69"/>
      <c r="AMO143" s="69"/>
      <c r="AMP143" s="69"/>
      <c r="AMQ143" s="69"/>
      <c r="AMR143" s="69"/>
      <c r="AMS143" s="69"/>
      <c r="AMT143" s="69"/>
      <c r="AMU143" s="69"/>
      <c r="AMV143" s="69"/>
      <c r="AMW143" s="69"/>
      <c r="AMX143" s="69"/>
      <c r="AMY143" s="69"/>
      <c r="AMZ143" s="69"/>
      <c r="ANA143" s="69"/>
      <c r="ANB143" s="69"/>
      <c r="ANC143" s="69"/>
      <c r="AND143" s="69"/>
      <c r="ANE143" s="69"/>
      <c r="ANF143" s="69"/>
      <c r="ANG143" s="69"/>
      <c r="ANH143" s="69"/>
      <c r="ANI143" s="69"/>
      <c r="ANJ143" s="69"/>
      <c r="ANK143" s="69"/>
      <c r="ANL143" s="69"/>
      <c r="ANM143" s="69"/>
      <c r="ANN143" s="69"/>
      <c r="ANO143" s="69"/>
      <c r="ANP143" s="69"/>
      <c r="ANQ143" s="69"/>
      <c r="ANR143" s="69"/>
      <c r="ANS143" s="69"/>
      <c r="ANT143" s="69"/>
      <c r="ANU143" s="69"/>
      <c r="ANV143" s="69"/>
      <c r="ANW143" s="69"/>
      <c r="ANX143" s="69"/>
      <c r="ANY143" s="69"/>
      <c r="ANZ143" s="69"/>
      <c r="AOA143" s="69"/>
      <c r="AOB143" s="69"/>
      <c r="AOC143" s="69"/>
      <c r="AOD143" s="69"/>
      <c r="AOE143" s="69"/>
      <c r="AOF143" s="69"/>
      <c r="AOG143" s="69"/>
      <c r="AOH143" s="69"/>
      <c r="AOI143" s="69"/>
      <c r="AOJ143" s="69"/>
      <c r="AOK143" s="69"/>
      <c r="AOL143" s="69"/>
      <c r="AOM143" s="69"/>
      <c r="AON143" s="69"/>
      <c r="AOO143" s="69"/>
      <c r="AOP143" s="69"/>
      <c r="AOQ143" s="69"/>
      <c r="AOR143" s="69"/>
      <c r="AOS143" s="69"/>
      <c r="AOT143" s="69"/>
      <c r="AOU143" s="69"/>
      <c r="AOV143" s="69"/>
      <c r="AOW143" s="69"/>
      <c r="AOX143" s="69"/>
      <c r="AOY143" s="69"/>
      <c r="AOZ143" s="69"/>
      <c r="APA143" s="69"/>
      <c r="APB143" s="69"/>
      <c r="APC143" s="69"/>
      <c r="APD143" s="69"/>
      <c r="APE143" s="69"/>
      <c r="APF143" s="69"/>
      <c r="APG143" s="69"/>
      <c r="APH143" s="69"/>
      <c r="API143" s="69"/>
      <c r="APJ143" s="69"/>
      <c r="APK143" s="69"/>
      <c r="APL143" s="69"/>
      <c r="APM143" s="69"/>
      <c r="APN143" s="69"/>
      <c r="APO143" s="69"/>
      <c r="APP143" s="69"/>
      <c r="APQ143" s="69"/>
      <c r="APR143" s="69"/>
      <c r="APS143" s="69"/>
      <c r="APT143" s="69"/>
      <c r="APU143" s="69"/>
      <c r="APV143" s="69"/>
      <c r="APW143" s="69"/>
      <c r="APX143" s="69"/>
      <c r="APY143" s="69"/>
      <c r="APZ143" s="69"/>
      <c r="AQA143" s="69"/>
      <c r="AQB143" s="69"/>
      <c r="AQC143" s="69"/>
      <c r="AQD143" s="69"/>
      <c r="AQE143" s="69"/>
      <c r="AQF143" s="69"/>
      <c r="AQG143" s="69"/>
      <c r="AQH143" s="69"/>
      <c r="AQI143" s="69"/>
      <c r="AQJ143" s="69"/>
      <c r="AQK143" s="69"/>
      <c r="AQL143" s="69"/>
      <c r="AQM143" s="69"/>
      <c r="AQN143" s="69"/>
      <c r="AQO143" s="69"/>
      <c r="AQP143" s="69"/>
      <c r="AQQ143" s="69"/>
      <c r="AQR143" s="69"/>
      <c r="AQS143" s="69"/>
      <c r="AQT143" s="69"/>
      <c r="AQU143" s="69"/>
      <c r="AQV143" s="69"/>
      <c r="AQW143" s="69"/>
      <c r="AQX143" s="69"/>
      <c r="AQY143" s="69"/>
      <c r="AQZ143" s="69"/>
      <c r="ARA143" s="69"/>
      <c r="ARB143" s="69"/>
      <c r="ARC143" s="69"/>
      <c r="ARD143" s="69"/>
      <c r="ARE143" s="69"/>
      <c r="ARF143" s="69"/>
      <c r="ARG143" s="69"/>
      <c r="ARH143" s="69"/>
      <c r="ARI143" s="69"/>
      <c r="ARJ143" s="69"/>
      <c r="ARK143" s="69"/>
      <c r="ARL143" s="69"/>
      <c r="ARM143" s="69"/>
      <c r="ARN143" s="69"/>
      <c r="ARO143" s="69"/>
      <c r="ARP143" s="69"/>
      <c r="ARQ143" s="69"/>
      <c r="ARR143" s="69"/>
      <c r="ARS143" s="69"/>
      <c r="ART143" s="69"/>
      <c r="ARU143" s="69"/>
      <c r="ARV143" s="69"/>
      <c r="ARW143" s="69"/>
      <c r="ARX143" s="69"/>
      <c r="ARY143" s="69"/>
      <c r="ARZ143" s="69"/>
      <c r="ASA143" s="69"/>
      <c r="ASB143" s="69"/>
      <c r="ASC143" s="69"/>
      <c r="ASD143" s="69"/>
      <c r="ASE143" s="69"/>
      <c r="ASF143" s="69"/>
      <c r="ASG143" s="69"/>
      <c r="ASH143" s="69"/>
      <c r="ASI143" s="69"/>
      <c r="ASJ143" s="69"/>
      <c r="ASK143" s="69"/>
      <c r="ASL143" s="69"/>
      <c r="ASM143" s="69"/>
      <c r="ASN143" s="69"/>
      <c r="ASO143" s="69"/>
      <c r="ASP143" s="69"/>
      <c r="ASQ143" s="69"/>
      <c r="ASR143" s="69"/>
      <c r="ASS143" s="69"/>
      <c r="AST143" s="69"/>
      <c r="ASU143" s="69"/>
      <c r="ASV143" s="69"/>
      <c r="ASW143" s="69"/>
      <c r="ASX143" s="69"/>
      <c r="ASY143" s="69"/>
      <c r="ASZ143" s="69"/>
      <c r="ATA143" s="69"/>
      <c r="ATB143" s="69"/>
      <c r="ATC143" s="69"/>
      <c r="ATD143" s="69"/>
      <c r="ATE143" s="69"/>
      <c r="ATF143" s="69"/>
      <c r="ATG143" s="69"/>
      <c r="ATH143" s="69"/>
      <c r="ATI143" s="69"/>
      <c r="ATJ143" s="69"/>
      <c r="ATK143" s="69"/>
      <c r="ATL143" s="69"/>
      <c r="ATM143" s="69"/>
      <c r="ATN143" s="69"/>
      <c r="ATO143" s="69"/>
      <c r="ATP143" s="69"/>
      <c r="ATQ143" s="69"/>
      <c r="ATR143" s="69"/>
      <c r="ATS143" s="69"/>
      <c r="ATT143" s="69"/>
      <c r="ATU143" s="69"/>
      <c r="ATV143" s="69"/>
      <c r="ATW143" s="69"/>
      <c r="ATX143" s="69"/>
      <c r="ATY143" s="69"/>
      <c r="ATZ143" s="69"/>
      <c r="AUA143" s="69"/>
      <c r="AUB143" s="69"/>
      <c r="AUC143" s="69"/>
      <c r="AUD143" s="69"/>
      <c r="AUE143" s="69"/>
      <c r="AUF143" s="69"/>
      <c r="AUG143" s="69"/>
      <c r="AUH143" s="69"/>
      <c r="AUI143" s="69"/>
      <c r="AUJ143" s="69"/>
      <c r="AUK143" s="69"/>
      <c r="AUL143" s="69"/>
      <c r="AUM143" s="69"/>
      <c r="AUN143" s="69"/>
      <c r="AUO143" s="69"/>
      <c r="AUP143" s="69"/>
      <c r="AUQ143" s="69"/>
      <c r="AUR143" s="69"/>
      <c r="AUS143" s="69"/>
      <c r="AUT143" s="69"/>
      <c r="AUU143" s="69"/>
      <c r="AUV143" s="69"/>
      <c r="AUW143" s="69"/>
      <c r="AUX143" s="69"/>
      <c r="AUY143" s="69"/>
      <c r="AUZ143" s="69"/>
      <c r="AVA143" s="69"/>
      <c r="AVB143" s="69"/>
      <c r="AVC143" s="69"/>
      <c r="AVD143" s="69"/>
      <c r="AVE143" s="69"/>
      <c r="AVF143" s="69"/>
      <c r="AVG143" s="69"/>
      <c r="AVH143" s="69"/>
      <c r="AVI143" s="69"/>
      <c r="AVJ143" s="69"/>
      <c r="AVK143" s="69"/>
      <c r="AVL143" s="69"/>
      <c r="AVM143" s="69"/>
      <c r="AVN143" s="69"/>
      <c r="AVO143" s="69"/>
      <c r="AVP143" s="69"/>
      <c r="AVQ143" s="69"/>
      <c r="AVR143" s="69"/>
      <c r="AVS143" s="69"/>
      <c r="AVT143" s="69"/>
      <c r="AVU143" s="69"/>
      <c r="AVV143" s="69"/>
      <c r="AVW143" s="69"/>
      <c r="AVX143" s="69"/>
      <c r="AVY143" s="69"/>
      <c r="AVZ143" s="69"/>
      <c r="AWA143" s="69"/>
      <c r="AWB143" s="69"/>
      <c r="AWC143" s="69"/>
      <c r="AWD143" s="69"/>
      <c r="AWE143" s="69"/>
      <c r="AWF143" s="69"/>
      <c r="AWG143" s="69"/>
      <c r="AWH143" s="69"/>
      <c r="AWI143" s="69"/>
      <c r="AWJ143" s="69"/>
      <c r="AWK143" s="69"/>
      <c r="AWL143" s="69"/>
      <c r="AWM143" s="69"/>
      <c r="AWN143" s="69"/>
      <c r="AWO143" s="69"/>
      <c r="AWP143" s="69"/>
      <c r="AWQ143" s="69"/>
      <c r="AWR143" s="69"/>
      <c r="AWS143" s="69"/>
      <c r="AWT143" s="69"/>
      <c r="AWU143" s="69"/>
      <c r="AWV143" s="69"/>
      <c r="AWW143" s="69"/>
      <c r="AWX143" s="69"/>
      <c r="AWY143" s="69"/>
      <c r="AWZ143" s="69"/>
      <c r="AXA143" s="69"/>
      <c r="AXB143" s="69"/>
      <c r="AXC143" s="69"/>
      <c r="AXD143" s="69"/>
      <c r="AXE143" s="69"/>
      <c r="AXF143" s="69"/>
      <c r="AXG143" s="69"/>
      <c r="AXH143" s="69"/>
      <c r="AXI143" s="69"/>
      <c r="AXJ143" s="69"/>
      <c r="AXK143" s="69"/>
      <c r="AXL143" s="69"/>
      <c r="AXM143" s="69"/>
      <c r="AXN143" s="69"/>
      <c r="AXO143" s="69"/>
      <c r="AXP143" s="69"/>
      <c r="AXQ143" s="69"/>
      <c r="AXR143" s="69"/>
      <c r="AXS143" s="69"/>
      <c r="AXT143" s="69"/>
      <c r="AXU143" s="69"/>
      <c r="AXV143" s="69"/>
      <c r="AXW143" s="69"/>
      <c r="AXX143" s="69"/>
      <c r="AXY143" s="69"/>
      <c r="AXZ143" s="69"/>
      <c r="AYA143" s="69"/>
      <c r="AYB143" s="69"/>
      <c r="AYC143" s="69"/>
      <c r="AYD143" s="69"/>
      <c r="AYE143" s="69"/>
      <c r="AYF143" s="69"/>
      <c r="AYG143" s="69"/>
      <c r="AYH143" s="69"/>
      <c r="AYI143" s="69"/>
      <c r="AYJ143" s="69"/>
      <c r="AYK143" s="69"/>
      <c r="AYL143" s="69"/>
      <c r="AYM143" s="69"/>
      <c r="AYN143" s="69"/>
      <c r="AYO143" s="69"/>
      <c r="AYP143" s="69"/>
      <c r="AYQ143" s="69"/>
      <c r="AYR143" s="69"/>
      <c r="AYS143" s="69"/>
      <c r="AYT143" s="69"/>
      <c r="AYU143" s="69"/>
      <c r="AYV143" s="69"/>
      <c r="AYW143" s="69"/>
      <c r="AYX143" s="69"/>
      <c r="AYY143" s="69"/>
      <c r="AYZ143" s="69"/>
      <c r="AZA143" s="69"/>
      <c r="AZB143" s="69"/>
      <c r="AZC143" s="69"/>
      <c r="AZD143" s="69"/>
      <c r="AZE143" s="69"/>
      <c r="AZF143" s="69"/>
      <c r="AZG143" s="69"/>
      <c r="AZH143" s="69"/>
      <c r="AZI143" s="69"/>
      <c r="AZJ143" s="69"/>
      <c r="AZK143" s="69"/>
      <c r="AZL143" s="69"/>
      <c r="AZM143" s="69"/>
      <c r="AZN143" s="69"/>
      <c r="AZO143" s="69"/>
      <c r="AZP143" s="69"/>
      <c r="AZQ143" s="69"/>
      <c r="AZR143" s="69"/>
      <c r="AZS143" s="69"/>
      <c r="AZT143" s="69"/>
      <c r="AZU143" s="69"/>
      <c r="AZV143" s="69"/>
      <c r="AZW143" s="69"/>
      <c r="AZX143" s="69"/>
      <c r="AZY143" s="69"/>
      <c r="AZZ143" s="69"/>
      <c r="BAA143" s="69"/>
      <c r="BAB143" s="69"/>
      <c r="BAC143" s="69"/>
      <c r="BAD143" s="69"/>
      <c r="BAE143" s="69"/>
      <c r="BAF143" s="69"/>
      <c r="BAG143" s="69"/>
      <c r="BAH143" s="69"/>
      <c r="BAI143" s="69"/>
      <c r="BAJ143" s="69"/>
      <c r="BAK143" s="69"/>
      <c r="BAL143" s="69"/>
      <c r="BAM143" s="69"/>
      <c r="BAN143" s="69"/>
      <c r="BAO143" s="69"/>
      <c r="BAP143" s="69"/>
      <c r="BAQ143" s="69"/>
      <c r="BAR143" s="69"/>
      <c r="BAS143" s="69"/>
      <c r="BAT143" s="69"/>
      <c r="BAU143" s="69"/>
      <c r="BAV143" s="69"/>
      <c r="BAW143" s="69"/>
      <c r="BAX143" s="69"/>
      <c r="BAY143" s="69"/>
      <c r="BAZ143" s="69"/>
      <c r="BBA143" s="69"/>
      <c r="BBB143" s="69"/>
      <c r="BBC143" s="69"/>
      <c r="BBD143" s="69"/>
      <c r="BBE143" s="69"/>
      <c r="BBF143" s="69"/>
      <c r="BBG143" s="69"/>
      <c r="BBH143" s="69"/>
      <c r="BBI143" s="69"/>
      <c r="BBJ143" s="69"/>
      <c r="BBK143" s="69"/>
      <c r="BBL143" s="69"/>
      <c r="BBM143" s="69"/>
      <c r="BBN143" s="69"/>
      <c r="BBO143" s="69"/>
      <c r="BBP143" s="69"/>
      <c r="BBQ143" s="69"/>
      <c r="BBR143" s="69"/>
      <c r="BBS143" s="69"/>
      <c r="BBT143" s="69"/>
      <c r="BBU143" s="69"/>
      <c r="BBV143" s="69"/>
      <c r="BBW143" s="69"/>
      <c r="BBX143" s="69"/>
      <c r="BBY143" s="69"/>
      <c r="BBZ143" s="69"/>
      <c r="BCA143" s="69"/>
      <c r="BCB143" s="69"/>
      <c r="BCC143" s="69"/>
      <c r="BCD143" s="69"/>
      <c r="BCE143" s="69"/>
      <c r="BCF143" s="69"/>
      <c r="BCG143" s="69"/>
      <c r="BCH143" s="69"/>
      <c r="BCI143" s="69"/>
      <c r="BCJ143" s="69"/>
      <c r="BCK143" s="69"/>
      <c r="BCL143" s="69"/>
      <c r="BCM143" s="69"/>
      <c r="BCN143" s="69"/>
      <c r="BCO143" s="69"/>
      <c r="BCP143" s="69"/>
      <c r="BCQ143" s="69"/>
      <c r="BCR143" s="69"/>
      <c r="BCS143" s="69"/>
      <c r="BCT143" s="69"/>
      <c r="BCU143" s="69"/>
      <c r="BCV143" s="69"/>
      <c r="BCW143" s="69"/>
      <c r="BCX143" s="69"/>
      <c r="BCY143" s="69"/>
      <c r="BCZ143" s="69"/>
      <c r="BDA143" s="69"/>
      <c r="BDB143" s="69"/>
      <c r="BDC143" s="69"/>
      <c r="BDD143" s="69"/>
      <c r="BDE143" s="69"/>
      <c r="BDF143" s="69"/>
      <c r="BDG143" s="69"/>
      <c r="BDH143" s="69"/>
      <c r="BDI143" s="69"/>
      <c r="BDJ143" s="69"/>
      <c r="BDK143" s="69"/>
      <c r="BDL143" s="69"/>
      <c r="BDM143" s="69"/>
      <c r="BDN143" s="69"/>
      <c r="BDO143" s="69"/>
      <c r="BDP143" s="69"/>
      <c r="BDQ143" s="69"/>
      <c r="BDR143" s="69"/>
      <c r="BDS143" s="69"/>
      <c r="BDT143" s="69"/>
      <c r="BDU143" s="69"/>
      <c r="BDV143" s="69"/>
      <c r="BDW143" s="69"/>
      <c r="BDX143" s="69"/>
      <c r="BDY143" s="69"/>
      <c r="BDZ143" s="69"/>
      <c r="BEA143" s="69"/>
      <c r="BEB143" s="69"/>
      <c r="BEC143" s="69"/>
      <c r="BED143" s="69"/>
      <c r="BEE143" s="69"/>
      <c r="BEF143" s="69"/>
      <c r="BEG143" s="69"/>
      <c r="BEH143" s="69"/>
      <c r="BEI143" s="69"/>
      <c r="BEJ143" s="69"/>
      <c r="BEK143" s="69"/>
      <c r="BEL143" s="69"/>
      <c r="BEM143" s="69"/>
      <c r="BEN143" s="69"/>
      <c r="BEO143" s="69"/>
      <c r="BEP143" s="69"/>
      <c r="BEQ143" s="69"/>
      <c r="BER143" s="69"/>
      <c r="BES143" s="69"/>
      <c r="BET143" s="69"/>
      <c r="BEU143" s="69"/>
      <c r="BEV143" s="69"/>
      <c r="BEW143" s="69"/>
      <c r="BEX143" s="69"/>
      <c r="BEY143" s="69"/>
      <c r="BEZ143" s="69"/>
      <c r="BFA143" s="69"/>
      <c r="BFB143" s="69"/>
      <c r="BFC143" s="69"/>
      <c r="BFD143" s="69"/>
      <c r="BFE143" s="69"/>
      <c r="BFF143" s="69"/>
      <c r="BFG143" s="69"/>
      <c r="BFH143" s="69"/>
      <c r="BFI143" s="69"/>
      <c r="BFJ143" s="69"/>
      <c r="BFK143" s="69"/>
      <c r="BFL143" s="69"/>
      <c r="BFM143" s="69"/>
      <c r="BFN143" s="69"/>
      <c r="BFO143" s="69"/>
      <c r="BFP143" s="69"/>
      <c r="BFQ143" s="69"/>
      <c r="BFR143" s="69"/>
      <c r="BFS143" s="69"/>
      <c r="BFT143" s="69"/>
      <c r="BFU143" s="69"/>
      <c r="BFV143" s="69"/>
      <c r="BFW143" s="69"/>
      <c r="BFX143" s="69"/>
      <c r="BFY143" s="69"/>
      <c r="BFZ143" s="69"/>
      <c r="BGA143" s="69"/>
      <c r="BGB143" s="69"/>
      <c r="BGC143" s="69"/>
      <c r="BGD143" s="69"/>
      <c r="BGE143" s="69"/>
      <c r="BGF143" s="69"/>
      <c r="BGG143" s="69"/>
      <c r="BGH143" s="69"/>
      <c r="BGI143" s="69"/>
      <c r="BGJ143" s="69"/>
      <c r="BGK143" s="69"/>
      <c r="BGL143" s="69"/>
      <c r="BGM143" s="69"/>
      <c r="BGN143" s="69"/>
      <c r="BGO143" s="69"/>
      <c r="BGP143" s="69"/>
      <c r="BGQ143" s="69"/>
      <c r="BGR143" s="69"/>
      <c r="BGS143" s="69"/>
      <c r="BGT143" s="69"/>
      <c r="BGU143" s="69"/>
      <c r="BGV143" s="69"/>
      <c r="BGW143" s="69"/>
      <c r="BGX143" s="69"/>
      <c r="BGY143" s="69"/>
      <c r="BGZ143" s="69"/>
      <c r="BHA143" s="69"/>
      <c r="BHB143" s="69"/>
      <c r="BHC143" s="69"/>
      <c r="BHD143" s="69"/>
      <c r="BHE143" s="69"/>
      <c r="BHF143" s="69"/>
      <c r="BHG143" s="69"/>
      <c r="BHH143" s="69"/>
      <c r="BHI143" s="69"/>
      <c r="BHJ143" s="69"/>
      <c r="BHK143" s="69"/>
      <c r="BHL143" s="69"/>
      <c r="BHM143" s="69"/>
      <c r="BHN143" s="69"/>
      <c r="BHO143" s="69"/>
      <c r="BHP143" s="69"/>
      <c r="BHQ143" s="69"/>
      <c r="BHR143" s="69"/>
      <c r="BHS143" s="69"/>
      <c r="BHT143" s="69"/>
      <c r="BHU143" s="69"/>
      <c r="BHV143" s="69"/>
      <c r="BHW143" s="69"/>
      <c r="BHX143" s="69"/>
      <c r="BHY143" s="69"/>
      <c r="BHZ143" s="69"/>
      <c r="BIA143" s="69"/>
      <c r="BIB143" s="69"/>
      <c r="BIC143" s="69"/>
      <c r="BID143" s="69"/>
      <c r="BIE143" s="69"/>
      <c r="BIF143" s="69"/>
      <c r="BIG143" s="69"/>
      <c r="BIH143" s="69"/>
      <c r="BII143" s="69"/>
      <c r="BIJ143" s="69"/>
      <c r="BIK143" s="69"/>
      <c r="BIL143" s="69"/>
      <c r="BIM143" s="69"/>
      <c r="BIN143" s="69"/>
      <c r="BIO143" s="69"/>
      <c r="BIP143" s="69"/>
      <c r="BIQ143" s="69"/>
      <c r="BIR143" s="69"/>
      <c r="BIS143" s="69"/>
      <c r="BIT143" s="69"/>
      <c r="BIU143" s="69"/>
      <c r="BIV143" s="69"/>
      <c r="BIW143" s="69"/>
      <c r="BIX143" s="69"/>
      <c r="BIY143" s="69"/>
      <c r="BIZ143" s="69"/>
      <c r="BJA143" s="69"/>
      <c r="BJB143" s="69"/>
      <c r="BJC143" s="69"/>
      <c r="BJD143" s="69"/>
      <c r="BJE143" s="69"/>
      <c r="BJF143" s="69"/>
      <c r="BJG143" s="69"/>
      <c r="BJH143" s="69"/>
      <c r="BJI143" s="69"/>
      <c r="BJJ143" s="69"/>
      <c r="BJK143" s="69"/>
      <c r="BJL143" s="69"/>
      <c r="BJM143" s="69"/>
      <c r="BJN143" s="69"/>
      <c r="BJO143" s="69"/>
      <c r="BJP143" s="69"/>
      <c r="BJQ143" s="69"/>
      <c r="BJR143" s="69"/>
      <c r="BJS143" s="69"/>
      <c r="BJT143" s="69"/>
      <c r="BJU143" s="69"/>
      <c r="BJV143" s="69"/>
      <c r="BJW143" s="69"/>
      <c r="BJX143" s="69"/>
      <c r="BJY143" s="69"/>
      <c r="BJZ143" s="69"/>
      <c r="BKA143" s="69"/>
      <c r="BKB143" s="69"/>
      <c r="BKC143" s="69"/>
      <c r="BKD143" s="69"/>
      <c r="BKE143" s="69"/>
      <c r="BKF143" s="69"/>
      <c r="BKG143" s="69"/>
      <c r="BKH143" s="69"/>
      <c r="BKI143" s="69"/>
      <c r="BKJ143" s="69"/>
      <c r="BKK143" s="69"/>
      <c r="BKL143" s="69"/>
      <c r="BKM143" s="69"/>
      <c r="BKN143" s="69"/>
      <c r="BKO143" s="69"/>
      <c r="BKP143" s="69"/>
      <c r="BKQ143" s="69"/>
      <c r="BKR143" s="69"/>
      <c r="BKS143" s="69"/>
      <c r="BKT143" s="69"/>
      <c r="BKU143" s="69"/>
      <c r="BKV143" s="69"/>
      <c r="BKW143" s="69"/>
      <c r="BKX143" s="69"/>
      <c r="BKY143" s="69"/>
      <c r="BKZ143" s="69"/>
      <c r="BLA143" s="69"/>
      <c r="BLB143" s="69"/>
      <c r="BLC143" s="69"/>
      <c r="BLD143" s="69"/>
      <c r="BLE143" s="69"/>
      <c r="BLF143" s="69"/>
      <c r="BLG143" s="69"/>
      <c r="BLH143" s="69"/>
      <c r="BLI143" s="69"/>
      <c r="BLJ143" s="69"/>
      <c r="BLK143" s="69"/>
      <c r="BLL143" s="69"/>
      <c r="BLM143" s="69"/>
      <c r="BLN143" s="69"/>
      <c r="BLO143" s="69"/>
      <c r="BLP143" s="69"/>
      <c r="BLQ143" s="69"/>
      <c r="BLR143" s="69"/>
      <c r="BLS143" s="69"/>
      <c r="BLT143" s="69"/>
      <c r="BLU143" s="69"/>
      <c r="BLV143" s="69"/>
      <c r="BLW143" s="69"/>
      <c r="BLX143" s="69"/>
      <c r="BLY143" s="69"/>
      <c r="BLZ143" s="69"/>
      <c r="BMA143" s="69"/>
      <c r="BMB143" s="69"/>
      <c r="BMC143" s="69"/>
      <c r="BMD143" s="69"/>
      <c r="BME143" s="69"/>
      <c r="BMF143" s="69"/>
      <c r="BMG143" s="69"/>
      <c r="BMH143" s="69"/>
      <c r="BMI143" s="69"/>
      <c r="BMJ143" s="69"/>
      <c r="BMK143" s="69"/>
      <c r="BML143" s="69"/>
      <c r="BMM143" s="69"/>
      <c r="BMN143" s="69"/>
      <c r="BMO143" s="69"/>
      <c r="BMP143" s="69"/>
      <c r="BMQ143" s="69"/>
      <c r="BMR143" s="69"/>
      <c r="BMS143" s="69"/>
      <c r="BMT143" s="69"/>
      <c r="BMU143" s="69"/>
      <c r="BMV143" s="69"/>
      <c r="BMW143" s="69"/>
      <c r="BMX143" s="69"/>
      <c r="BMY143" s="69"/>
      <c r="BMZ143" s="69"/>
      <c r="BNA143" s="69"/>
      <c r="BNB143" s="69"/>
      <c r="BNC143" s="69"/>
      <c r="BND143" s="69"/>
      <c r="BNE143" s="69"/>
      <c r="BNF143" s="69"/>
      <c r="BNG143" s="69"/>
      <c r="BNH143" s="69"/>
      <c r="BNI143" s="69"/>
      <c r="BNJ143" s="69"/>
      <c r="BNK143" s="69"/>
      <c r="BNL143" s="69"/>
      <c r="BNM143" s="69"/>
      <c r="BNN143" s="69"/>
      <c r="BNO143" s="69"/>
      <c r="BNP143" s="69"/>
      <c r="BNQ143" s="69"/>
      <c r="BNR143" s="69"/>
      <c r="BNS143" s="69"/>
      <c r="BNT143" s="69"/>
      <c r="BNU143" s="69"/>
      <c r="BNV143" s="69"/>
      <c r="BNW143" s="69"/>
      <c r="BNX143" s="69"/>
      <c r="BNY143" s="69"/>
      <c r="BNZ143" s="69"/>
      <c r="BOA143" s="69"/>
      <c r="BOB143" s="69"/>
      <c r="BOC143" s="69"/>
      <c r="BOD143" s="69"/>
      <c r="BOE143" s="69"/>
      <c r="BOF143" s="69"/>
      <c r="BOG143" s="69"/>
      <c r="BOH143" s="69"/>
      <c r="BOI143" s="69"/>
      <c r="BOJ143" s="69"/>
      <c r="BOK143" s="69"/>
      <c r="BOL143" s="69"/>
      <c r="BOM143" s="69"/>
      <c r="BON143" s="69"/>
      <c r="BOO143" s="69"/>
      <c r="BOP143" s="69"/>
      <c r="BOQ143" s="69"/>
      <c r="BOR143" s="69"/>
      <c r="BOS143" s="69"/>
      <c r="BOT143" s="69"/>
      <c r="BOU143" s="69"/>
      <c r="BOV143" s="69"/>
      <c r="BOW143" s="69"/>
      <c r="BOX143" s="69"/>
      <c r="BOY143" s="69"/>
      <c r="BOZ143" s="69"/>
      <c r="BPA143" s="69"/>
      <c r="BPB143" s="69"/>
      <c r="BPC143" s="69"/>
      <c r="BPD143" s="69"/>
      <c r="BPE143" s="69"/>
      <c r="BPF143" s="69"/>
      <c r="BPG143" s="69"/>
      <c r="BPH143" s="69"/>
      <c r="BPI143" s="69"/>
      <c r="BPJ143" s="69"/>
      <c r="BPK143" s="69"/>
      <c r="BPL143" s="69"/>
      <c r="BPM143" s="69"/>
      <c r="BPN143" s="69"/>
      <c r="BPO143" s="69"/>
      <c r="BPP143" s="69"/>
      <c r="BPQ143" s="69"/>
      <c r="BPR143" s="69"/>
      <c r="BPS143" s="69"/>
      <c r="BPT143" s="69"/>
      <c r="BPU143" s="69"/>
      <c r="BPV143" s="69"/>
      <c r="BPW143" s="69"/>
      <c r="BPX143" s="69"/>
      <c r="BPY143" s="69"/>
      <c r="BPZ143" s="69"/>
      <c r="BQA143" s="69"/>
      <c r="BQB143" s="69"/>
      <c r="BQC143" s="69"/>
      <c r="BQD143" s="69"/>
      <c r="BQE143" s="69"/>
      <c r="BQF143" s="69"/>
      <c r="BQG143" s="69"/>
      <c r="BQH143" s="69"/>
      <c r="BQI143" s="69"/>
      <c r="BQJ143" s="69"/>
      <c r="BQK143" s="69"/>
      <c r="BQL143" s="69"/>
      <c r="BQM143" s="69"/>
      <c r="BQN143" s="69"/>
      <c r="BQO143" s="69"/>
      <c r="BQP143" s="69"/>
      <c r="BQQ143" s="69"/>
      <c r="BQR143" s="69"/>
      <c r="BQS143" s="69"/>
      <c r="BQT143" s="69"/>
      <c r="BQU143" s="69"/>
      <c r="BQV143" s="69"/>
      <c r="BQW143" s="69"/>
      <c r="BQX143" s="69"/>
      <c r="BQY143" s="69"/>
      <c r="BQZ143" s="69"/>
      <c r="BRA143" s="69"/>
      <c r="BRB143" s="69"/>
      <c r="BRC143" s="69"/>
      <c r="BRD143" s="69"/>
      <c r="BRE143" s="69"/>
      <c r="BRF143" s="69"/>
      <c r="BRG143" s="69"/>
      <c r="BRH143" s="69"/>
      <c r="BRI143" s="69"/>
      <c r="BRJ143" s="69"/>
      <c r="BRK143" s="69"/>
      <c r="BRL143" s="69"/>
      <c r="BRM143" s="69"/>
      <c r="BRN143" s="69"/>
      <c r="BRO143" s="69"/>
      <c r="BRP143" s="69"/>
      <c r="BRQ143" s="69"/>
      <c r="BRR143" s="69"/>
      <c r="BRS143" s="69"/>
      <c r="BRT143" s="69"/>
      <c r="BRU143" s="69"/>
      <c r="BRV143" s="69"/>
      <c r="BRW143" s="69"/>
      <c r="BRX143" s="69"/>
      <c r="BRY143" s="69"/>
      <c r="BRZ143" s="69"/>
      <c r="BSA143" s="69"/>
      <c r="BSB143" s="69"/>
      <c r="BSC143" s="69"/>
      <c r="BSD143" s="69"/>
      <c r="BSE143" s="69"/>
      <c r="BSF143" s="69"/>
      <c r="BSG143" s="69"/>
      <c r="BSH143" s="69"/>
      <c r="BSI143" s="69"/>
      <c r="BSJ143" s="69"/>
      <c r="BSK143" s="69"/>
      <c r="BSL143" s="69"/>
      <c r="BSM143" s="69"/>
      <c r="BSN143" s="69"/>
      <c r="BSO143" s="69"/>
      <c r="BSP143" s="69"/>
      <c r="BSQ143" s="69"/>
      <c r="BSR143" s="69"/>
      <c r="BSS143" s="69"/>
      <c r="BST143" s="69"/>
      <c r="BSU143" s="69"/>
      <c r="BSV143" s="69"/>
      <c r="BSW143" s="69"/>
      <c r="BSX143" s="69"/>
      <c r="BSY143" s="69"/>
      <c r="BSZ143" s="69"/>
      <c r="BTA143" s="69"/>
      <c r="BTB143" s="69"/>
      <c r="BTC143" s="69"/>
      <c r="BTD143" s="69"/>
      <c r="BTE143" s="69"/>
      <c r="BTF143" s="69"/>
      <c r="BTG143" s="69"/>
      <c r="BTH143" s="69"/>
      <c r="BTI143" s="69"/>
      <c r="BTJ143" s="69"/>
      <c r="BTK143" s="69"/>
      <c r="BTL143" s="69"/>
      <c r="BTM143" s="69"/>
      <c r="BTN143" s="69"/>
      <c r="BTO143" s="69"/>
      <c r="BTP143" s="69"/>
      <c r="BTQ143" s="69"/>
      <c r="BTR143" s="69"/>
      <c r="BTS143" s="69"/>
      <c r="BTT143" s="69"/>
      <c r="BTU143" s="69"/>
      <c r="BTV143" s="69"/>
      <c r="BTW143" s="69"/>
      <c r="BTX143" s="69"/>
      <c r="BTY143" s="69"/>
      <c r="BTZ143" s="69"/>
      <c r="BUA143" s="69"/>
      <c r="BUB143" s="69"/>
      <c r="BUC143" s="69"/>
      <c r="BUD143" s="69"/>
      <c r="BUE143" s="69"/>
      <c r="BUF143" s="69"/>
      <c r="BUG143" s="69"/>
      <c r="BUH143" s="69"/>
      <c r="BUI143" s="69"/>
      <c r="BUJ143" s="69"/>
      <c r="BUK143" s="69"/>
      <c r="BUL143" s="69"/>
      <c r="BUM143" s="69"/>
      <c r="BUN143" s="69"/>
      <c r="BUO143" s="69"/>
      <c r="BUP143" s="69"/>
      <c r="BUQ143" s="69"/>
      <c r="BUR143" s="69"/>
      <c r="BUS143" s="69"/>
      <c r="BUT143" s="69"/>
      <c r="BUU143" s="69"/>
      <c r="BUV143" s="69"/>
      <c r="BUW143" s="69"/>
      <c r="BUX143" s="69"/>
      <c r="BUY143" s="69"/>
      <c r="BUZ143" s="69"/>
      <c r="BVA143" s="69"/>
      <c r="BVB143" s="69"/>
      <c r="BVC143" s="69"/>
      <c r="BVD143" s="69"/>
      <c r="BVE143" s="69"/>
      <c r="BVF143" s="69"/>
      <c r="BVG143" s="69"/>
      <c r="BVH143" s="69"/>
      <c r="BVI143" s="69"/>
      <c r="BVJ143" s="69"/>
      <c r="BVK143" s="69"/>
      <c r="BVL143" s="69"/>
      <c r="BVM143" s="69"/>
      <c r="BVN143" s="69"/>
      <c r="BVO143" s="69"/>
      <c r="BVP143" s="69"/>
      <c r="BVQ143" s="69"/>
      <c r="BVR143" s="69"/>
      <c r="BVS143" s="69"/>
      <c r="BVT143" s="69"/>
      <c r="BVU143" s="69"/>
      <c r="BVV143" s="69"/>
      <c r="BVW143" s="69"/>
      <c r="BVX143" s="69"/>
      <c r="BVY143" s="69"/>
      <c r="BVZ143" s="69"/>
      <c r="BWA143" s="69"/>
      <c r="BWB143" s="69"/>
      <c r="BWC143" s="69"/>
      <c r="BWD143" s="69"/>
      <c r="BWE143" s="69"/>
      <c r="BWF143" s="69"/>
      <c r="BWG143" s="69"/>
      <c r="BWH143" s="69"/>
      <c r="BWI143" s="69"/>
      <c r="BWJ143" s="69"/>
      <c r="BWK143" s="69"/>
      <c r="BWL143" s="69"/>
      <c r="BWM143" s="69"/>
      <c r="BWN143" s="69"/>
      <c r="BWO143" s="69"/>
      <c r="BWP143" s="69"/>
      <c r="BWQ143" s="69"/>
      <c r="BWR143" s="69"/>
      <c r="BWS143" s="69"/>
      <c r="BWT143" s="69"/>
      <c r="BWU143" s="69"/>
      <c r="BWV143" s="69"/>
      <c r="BWW143" s="69"/>
      <c r="BWX143" s="69"/>
      <c r="BWY143" s="69"/>
      <c r="BWZ143" s="69"/>
      <c r="BXA143" s="69"/>
      <c r="BXB143" s="69"/>
      <c r="BXC143" s="69"/>
      <c r="BXD143" s="69"/>
      <c r="BXE143" s="69"/>
      <c r="BXF143" s="69"/>
      <c r="BXG143" s="69"/>
      <c r="BXH143" s="69"/>
      <c r="BXI143" s="69"/>
      <c r="BXJ143" s="69"/>
      <c r="BXK143" s="69"/>
      <c r="BXL143" s="69"/>
      <c r="BXM143" s="69"/>
      <c r="BXN143" s="69"/>
      <c r="BXO143" s="69"/>
      <c r="BXP143" s="69"/>
      <c r="BXQ143" s="69"/>
      <c r="BXR143" s="69"/>
      <c r="BXS143" s="69"/>
      <c r="BXT143" s="69"/>
      <c r="BXU143" s="69"/>
      <c r="BXV143" s="69"/>
      <c r="BXW143" s="69"/>
      <c r="BXX143" s="69"/>
      <c r="BXY143" s="69"/>
      <c r="BXZ143" s="69"/>
      <c r="BYA143" s="69"/>
      <c r="BYB143" s="69"/>
      <c r="BYC143" s="69"/>
      <c r="BYD143" s="69"/>
      <c r="BYE143" s="69"/>
      <c r="BYF143" s="69"/>
      <c r="BYG143" s="69"/>
      <c r="BYH143" s="69"/>
      <c r="BYI143" s="69"/>
      <c r="BYJ143" s="69"/>
      <c r="BYK143" s="69"/>
      <c r="BYL143" s="69"/>
      <c r="BYM143" s="69"/>
      <c r="BYN143" s="69"/>
      <c r="BYO143" s="69"/>
      <c r="BYP143" s="69"/>
      <c r="BYQ143" s="69"/>
      <c r="BYR143" s="69"/>
      <c r="BYS143" s="69"/>
      <c r="BYT143" s="69"/>
      <c r="BYU143" s="69"/>
      <c r="BYV143" s="69"/>
      <c r="BYW143" s="69"/>
      <c r="BYX143" s="69"/>
      <c r="BYY143" s="69"/>
      <c r="BYZ143" s="69"/>
      <c r="BZA143" s="69"/>
      <c r="BZB143" s="69"/>
      <c r="BZC143" s="69"/>
      <c r="BZD143" s="69"/>
      <c r="BZE143" s="69"/>
      <c r="BZF143" s="69"/>
      <c r="BZG143" s="69"/>
      <c r="BZH143" s="69"/>
      <c r="BZI143" s="69"/>
      <c r="BZJ143" s="69"/>
      <c r="BZK143" s="69"/>
      <c r="BZL143" s="69"/>
      <c r="BZM143" s="69"/>
      <c r="BZN143" s="69"/>
      <c r="BZO143" s="69"/>
      <c r="BZP143" s="69"/>
      <c r="BZQ143" s="69"/>
      <c r="BZR143" s="69"/>
      <c r="BZS143" s="69"/>
      <c r="BZT143" s="69"/>
      <c r="BZU143" s="69"/>
      <c r="BZV143" s="69"/>
      <c r="BZW143" s="69"/>
      <c r="BZX143" s="69"/>
      <c r="BZY143" s="69"/>
      <c r="BZZ143" s="69"/>
      <c r="CAA143" s="69"/>
      <c r="CAB143" s="69"/>
      <c r="CAC143" s="69"/>
      <c r="CAD143" s="69"/>
      <c r="CAE143" s="69"/>
      <c r="CAF143" s="69"/>
      <c r="CAG143" s="69"/>
      <c r="CAH143" s="69"/>
      <c r="CAI143" s="69"/>
      <c r="CAJ143" s="69"/>
      <c r="CAK143" s="69"/>
      <c r="CAL143" s="69"/>
      <c r="CAM143" s="69"/>
      <c r="CAN143" s="69"/>
      <c r="CAO143" s="69"/>
      <c r="CAP143" s="69"/>
      <c r="CAQ143" s="69"/>
      <c r="CAR143" s="69"/>
      <c r="CAS143" s="69"/>
      <c r="CAT143" s="69"/>
      <c r="CAU143" s="69"/>
      <c r="CAV143" s="69"/>
      <c r="CAW143" s="69"/>
      <c r="CAX143" s="69"/>
      <c r="CAY143" s="69"/>
      <c r="CAZ143" s="69"/>
      <c r="CBA143" s="69"/>
      <c r="CBB143" s="69"/>
      <c r="CBC143" s="69"/>
      <c r="CBD143" s="69"/>
      <c r="CBE143" s="69"/>
      <c r="CBF143" s="69"/>
      <c r="CBG143" s="69"/>
      <c r="CBH143" s="69"/>
      <c r="CBI143" s="69"/>
      <c r="CBJ143" s="69"/>
      <c r="CBK143" s="69"/>
      <c r="CBL143" s="69"/>
      <c r="CBM143" s="69"/>
      <c r="CBN143" s="69"/>
      <c r="CBO143" s="69"/>
      <c r="CBP143" s="69"/>
      <c r="CBQ143" s="69"/>
      <c r="CBR143" s="69"/>
      <c r="CBS143" s="69"/>
      <c r="CBT143" s="69"/>
      <c r="CBU143" s="69"/>
      <c r="CBV143" s="69"/>
      <c r="CBW143" s="69"/>
      <c r="CBX143" s="69"/>
      <c r="CBY143" s="69"/>
      <c r="CBZ143" s="69"/>
      <c r="CCA143" s="69"/>
      <c r="CCB143" s="69"/>
      <c r="CCC143" s="69"/>
      <c r="CCD143" s="69"/>
      <c r="CCE143" s="69"/>
      <c r="CCF143" s="69"/>
      <c r="CCG143" s="69"/>
      <c r="CCH143" s="69"/>
      <c r="CCI143" s="69"/>
      <c r="CCJ143" s="69"/>
      <c r="CCK143" s="69"/>
      <c r="CCL143" s="69"/>
      <c r="CCM143" s="69"/>
      <c r="CCN143" s="69"/>
      <c r="CCO143" s="69"/>
      <c r="CCP143" s="69"/>
      <c r="CCQ143" s="69"/>
      <c r="CCR143" s="69"/>
      <c r="CCS143" s="69"/>
      <c r="CCT143" s="69"/>
      <c r="CCU143" s="69"/>
      <c r="CCV143" s="69"/>
      <c r="CCW143" s="69"/>
      <c r="CCX143" s="69"/>
      <c r="CCY143" s="69"/>
      <c r="CCZ143" s="69"/>
      <c r="CDA143" s="69"/>
      <c r="CDB143" s="69"/>
      <c r="CDC143" s="69"/>
      <c r="CDD143" s="69"/>
      <c r="CDE143" s="69"/>
      <c r="CDF143" s="69"/>
      <c r="CDG143" s="69"/>
      <c r="CDH143" s="69"/>
      <c r="CDI143" s="69"/>
      <c r="CDJ143" s="69"/>
      <c r="CDK143" s="69"/>
      <c r="CDL143" s="69"/>
      <c r="CDM143" s="69"/>
      <c r="CDN143" s="69"/>
      <c r="CDO143" s="69"/>
      <c r="CDP143" s="69"/>
      <c r="CDQ143" s="69"/>
      <c r="CDR143" s="69"/>
      <c r="CDS143" s="69"/>
      <c r="CDT143" s="69"/>
      <c r="CDU143" s="69"/>
      <c r="CDV143" s="69"/>
      <c r="CDW143" s="69"/>
      <c r="CDX143" s="69"/>
      <c r="CDY143" s="69"/>
      <c r="CDZ143" s="69"/>
      <c r="CEA143" s="69"/>
      <c r="CEB143" s="69"/>
      <c r="CEC143" s="69"/>
      <c r="CED143" s="69"/>
      <c r="CEE143" s="69"/>
      <c r="CEF143" s="69"/>
      <c r="CEG143" s="69"/>
      <c r="CEH143" s="69"/>
      <c r="CEI143" s="69"/>
      <c r="CEJ143" s="69"/>
      <c r="CEK143" s="69"/>
      <c r="CEL143" s="69"/>
      <c r="CEM143" s="69"/>
      <c r="CEN143" s="69"/>
      <c r="CEO143" s="69"/>
      <c r="CEP143" s="69"/>
      <c r="CEQ143" s="69"/>
      <c r="CER143" s="69"/>
      <c r="CES143" s="69"/>
      <c r="CET143" s="69"/>
      <c r="CEU143" s="69"/>
      <c r="CEV143" s="69"/>
      <c r="CEW143" s="69"/>
      <c r="CEX143" s="69"/>
      <c r="CEY143" s="69"/>
      <c r="CEZ143" s="69"/>
      <c r="CFA143" s="69"/>
      <c r="CFB143" s="69"/>
      <c r="CFC143" s="69"/>
      <c r="CFD143" s="69"/>
      <c r="CFE143" s="69"/>
      <c r="CFF143" s="69"/>
      <c r="CFG143" s="69"/>
      <c r="CFH143" s="69"/>
      <c r="CFI143" s="69"/>
      <c r="CFJ143" s="69"/>
      <c r="CFK143" s="69"/>
      <c r="CFL143" s="69"/>
      <c r="CFM143" s="69"/>
      <c r="CFN143" s="69"/>
      <c r="CFO143" s="69"/>
      <c r="CFP143" s="69"/>
      <c r="CFQ143" s="69"/>
      <c r="CFR143" s="69"/>
      <c r="CFS143" s="69"/>
      <c r="CFT143" s="69"/>
      <c r="CFU143" s="69"/>
      <c r="CFV143" s="69"/>
      <c r="CFW143" s="69"/>
      <c r="CFX143" s="69"/>
      <c r="CFY143" s="69"/>
      <c r="CFZ143" s="69"/>
      <c r="CGA143" s="69"/>
      <c r="CGB143" s="69"/>
      <c r="CGC143" s="69"/>
      <c r="CGD143" s="69"/>
      <c r="CGE143" s="69"/>
      <c r="CGF143" s="69"/>
      <c r="CGG143" s="69"/>
      <c r="CGH143" s="69"/>
      <c r="CGI143" s="69"/>
      <c r="CGJ143" s="69"/>
      <c r="CGK143" s="69"/>
      <c r="CGL143" s="69"/>
      <c r="CGM143" s="69"/>
      <c r="CGN143" s="69"/>
      <c r="CGO143" s="69"/>
      <c r="CGP143" s="69"/>
      <c r="CGQ143" s="69"/>
      <c r="CGR143" s="69"/>
      <c r="CGS143" s="69"/>
      <c r="CGT143" s="69"/>
      <c r="CGU143" s="69"/>
      <c r="CGV143" s="69"/>
      <c r="CGW143" s="69"/>
      <c r="CGX143" s="69"/>
      <c r="CGY143" s="69"/>
      <c r="CGZ143" s="69"/>
      <c r="CHA143" s="69"/>
      <c r="CHB143" s="69"/>
      <c r="CHC143" s="69"/>
      <c r="CHD143" s="69"/>
      <c r="CHE143" s="69"/>
      <c r="CHF143" s="69"/>
      <c r="CHG143" s="69"/>
      <c r="CHH143" s="69"/>
      <c r="CHI143" s="69"/>
      <c r="CHJ143" s="69"/>
      <c r="CHK143" s="69"/>
      <c r="CHL143" s="69"/>
      <c r="CHM143" s="69"/>
      <c r="CHN143" s="69"/>
      <c r="CHO143" s="69"/>
      <c r="CHP143" s="69"/>
      <c r="CHQ143" s="69"/>
      <c r="CHR143" s="69"/>
      <c r="CHS143" s="69"/>
      <c r="CHT143" s="69"/>
      <c r="CHU143" s="69"/>
      <c r="CHV143" s="69"/>
      <c r="CHW143" s="69"/>
      <c r="CHX143" s="69"/>
      <c r="CHY143" s="69"/>
      <c r="CHZ143" s="69"/>
      <c r="CIA143" s="69"/>
      <c r="CIB143" s="69"/>
      <c r="CIC143" s="69"/>
      <c r="CID143" s="69"/>
      <c r="CIE143" s="69"/>
      <c r="CIF143" s="69"/>
      <c r="CIG143" s="69"/>
      <c r="CIH143" s="69"/>
      <c r="CII143" s="69"/>
      <c r="CIJ143" s="69"/>
      <c r="CIK143" s="69"/>
      <c r="CIL143" s="69"/>
      <c r="CIM143" s="69"/>
      <c r="CIN143" s="69"/>
      <c r="CIO143" s="69"/>
      <c r="CIP143" s="69"/>
      <c r="CIQ143" s="69"/>
      <c r="CIR143" s="69"/>
      <c r="CIS143" s="69"/>
      <c r="CIT143" s="69"/>
      <c r="CIU143" s="69"/>
      <c r="CIV143" s="69"/>
      <c r="CIW143" s="69"/>
      <c r="CIX143" s="69"/>
      <c r="CIY143" s="69"/>
      <c r="CIZ143" s="69"/>
      <c r="CJA143" s="69"/>
      <c r="CJB143" s="69"/>
      <c r="CJC143" s="69"/>
      <c r="CJD143" s="69"/>
      <c r="CJE143" s="69"/>
      <c r="CJF143" s="69"/>
      <c r="CJG143" s="69"/>
      <c r="CJH143" s="69"/>
      <c r="CJI143" s="69"/>
      <c r="CJJ143" s="69"/>
      <c r="CJK143" s="69"/>
      <c r="CJL143" s="69"/>
      <c r="CJM143" s="69"/>
      <c r="CJN143" s="69"/>
      <c r="CJO143" s="69"/>
      <c r="CJP143" s="69"/>
      <c r="CJQ143" s="69"/>
      <c r="CJR143" s="69"/>
      <c r="CJS143" s="69"/>
      <c r="CJT143" s="69"/>
      <c r="CJU143" s="69"/>
      <c r="CJV143" s="69"/>
      <c r="CJW143" s="69"/>
      <c r="CJX143" s="69"/>
      <c r="CJY143" s="69"/>
      <c r="CJZ143" s="69"/>
      <c r="CKA143" s="69"/>
      <c r="CKB143" s="69"/>
      <c r="CKC143" s="69"/>
      <c r="CKD143" s="69"/>
      <c r="CKE143" s="69"/>
      <c r="CKF143" s="69"/>
      <c r="CKG143" s="69"/>
      <c r="CKH143" s="69"/>
      <c r="CKI143" s="69"/>
      <c r="CKJ143" s="69"/>
      <c r="CKK143" s="69"/>
      <c r="CKL143" s="69"/>
      <c r="CKM143" s="69"/>
      <c r="CKN143" s="69"/>
      <c r="CKO143" s="69"/>
      <c r="CKP143" s="69"/>
      <c r="CKQ143" s="69"/>
      <c r="CKR143" s="69"/>
      <c r="CKS143" s="69"/>
      <c r="CKT143" s="69"/>
      <c r="CKU143" s="69"/>
      <c r="CKV143" s="69"/>
      <c r="CKW143" s="69"/>
      <c r="CKX143" s="69"/>
      <c r="CKY143" s="69"/>
      <c r="CKZ143" s="69"/>
      <c r="CLA143" s="69"/>
      <c r="CLB143" s="69"/>
      <c r="CLC143" s="69"/>
      <c r="CLD143" s="69"/>
      <c r="CLE143" s="69"/>
      <c r="CLF143" s="69"/>
      <c r="CLG143" s="69"/>
      <c r="CLH143" s="69"/>
      <c r="CLI143" s="69"/>
      <c r="CLJ143" s="69"/>
      <c r="CLK143" s="69"/>
      <c r="CLL143" s="69"/>
      <c r="CLM143" s="69"/>
      <c r="CLN143" s="69"/>
      <c r="CLO143" s="69"/>
      <c r="CLP143" s="69"/>
      <c r="CLQ143" s="69"/>
      <c r="CLR143" s="69"/>
      <c r="CLS143" s="69"/>
      <c r="CLT143" s="69"/>
      <c r="CLU143" s="69"/>
      <c r="CLV143" s="69"/>
      <c r="CLW143" s="69"/>
      <c r="CLX143" s="69"/>
      <c r="CLY143" s="69"/>
      <c r="CLZ143" s="69"/>
      <c r="CMA143" s="69"/>
      <c r="CMB143" s="69"/>
      <c r="CMC143" s="69"/>
      <c r="CMD143" s="69"/>
      <c r="CME143" s="69"/>
      <c r="CMF143" s="69"/>
      <c r="CMG143" s="69"/>
      <c r="CMH143" s="69"/>
      <c r="CMI143" s="69"/>
      <c r="CMJ143" s="69"/>
      <c r="CMK143" s="69"/>
      <c r="CML143" s="69"/>
      <c r="CMM143" s="69"/>
      <c r="CMN143" s="69"/>
      <c r="CMO143" s="69"/>
      <c r="CMP143" s="69"/>
      <c r="CMQ143" s="69"/>
      <c r="CMR143" s="69"/>
      <c r="CMS143" s="69"/>
      <c r="CMT143" s="69"/>
      <c r="CMU143" s="69"/>
      <c r="CMV143" s="69"/>
      <c r="CMW143" s="69"/>
      <c r="CMX143" s="69"/>
      <c r="CMY143" s="69"/>
      <c r="CMZ143" s="69"/>
      <c r="CNA143" s="69"/>
      <c r="CNB143" s="69"/>
      <c r="CNC143" s="69"/>
      <c r="CND143" s="69"/>
      <c r="CNE143" s="69"/>
      <c r="CNF143" s="69"/>
      <c r="CNG143" s="69"/>
      <c r="CNH143" s="69"/>
      <c r="CNI143" s="69"/>
      <c r="CNJ143" s="69"/>
      <c r="CNK143" s="69"/>
      <c r="CNL143" s="69"/>
      <c r="CNM143" s="69"/>
      <c r="CNN143" s="69"/>
      <c r="CNO143" s="69"/>
      <c r="CNP143" s="69"/>
      <c r="CNQ143" s="69"/>
      <c r="CNR143" s="69"/>
      <c r="CNS143" s="69"/>
      <c r="CNT143" s="69"/>
      <c r="CNU143" s="69"/>
      <c r="CNV143" s="69"/>
      <c r="CNW143" s="69"/>
      <c r="CNX143" s="69"/>
      <c r="CNY143" s="69"/>
      <c r="CNZ143" s="69"/>
      <c r="COA143" s="69"/>
      <c r="COB143" s="69"/>
      <c r="COC143" s="69"/>
      <c r="COD143" s="69"/>
      <c r="COE143" s="69"/>
      <c r="COF143" s="69"/>
      <c r="COG143" s="69"/>
      <c r="COH143" s="69"/>
      <c r="COI143" s="69"/>
      <c r="COJ143" s="69"/>
      <c r="COK143" s="69"/>
      <c r="COL143" s="69"/>
      <c r="COM143" s="69"/>
      <c r="CON143" s="69"/>
      <c r="COO143" s="69"/>
      <c r="COP143" s="69"/>
      <c r="COQ143" s="69"/>
      <c r="COR143" s="69"/>
      <c r="COS143" s="69"/>
      <c r="COT143" s="69"/>
      <c r="COU143" s="69"/>
      <c r="COV143" s="69"/>
      <c r="COW143" s="69"/>
      <c r="COX143" s="69"/>
      <c r="COY143" s="69"/>
      <c r="COZ143" s="69"/>
      <c r="CPA143" s="69"/>
      <c r="CPB143" s="69"/>
      <c r="CPC143" s="69"/>
      <c r="CPD143" s="69"/>
      <c r="CPE143" s="69"/>
      <c r="CPF143" s="69"/>
      <c r="CPG143" s="69"/>
      <c r="CPH143" s="69"/>
      <c r="CPI143" s="69"/>
      <c r="CPJ143" s="69"/>
      <c r="CPK143" s="69"/>
      <c r="CPL143" s="69"/>
      <c r="CPM143" s="69"/>
      <c r="CPN143" s="69"/>
      <c r="CPO143" s="69"/>
      <c r="CPP143" s="69"/>
      <c r="CPQ143" s="69"/>
      <c r="CPR143" s="69"/>
      <c r="CPS143" s="69"/>
      <c r="CPT143" s="69"/>
      <c r="CPU143" s="69"/>
      <c r="CPV143" s="69"/>
      <c r="CPW143" s="69"/>
      <c r="CPX143" s="69"/>
      <c r="CPY143" s="69"/>
      <c r="CPZ143" s="69"/>
      <c r="CQA143" s="69"/>
      <c r="CQB143" s="69"/>
      <c r="CQC143" s="69"/>
      <c r="CQD143" s="69"/>
      <c r="CQE143" s="69"/>
      <c r="CQF143" s="69"/>
      <c r="CQG143" s="69"/>
      <c r="CQH143" s="69"/>
      <c r="CQI143" s="69"/>
      <c r="CQJ143" s="69"/>
      <c r="CQK143" s="69"/>
      <c r="CQL143" s="69"/>
      <c r="CQM143" s="69"/>
      <c r="CQN143" s="69"/>
      <c r="CQO143" s="69"/>
      <c r="CQP143" s="69"/>
      <c r="CQQ143" s="69"/>
      <c r="CQR143" s="69"/>
      <c r="CQS143" s="69"/>
      <c r="CQT143" s="69"/>
      <c r="CQU143" s="69"/>
      <c r="CQV143" s="69"/>
      <c r="CQW143" s="69"/>
      <c r="CQX143" s="69"/>
      <c r="CQY143" s="69"/>
      <c r="CQZ143" s="69"/>
      <c r="CRA143" s="69"/>
      <c r="CRB143" s="69"/>
      <c r="CRC143" s="69"/>
      <c r="CRD143" s="69"/>
      <c r="CRE143" s="69"/>
      <c r="CRF143" s="69"/>
      <c r="CRG143" s="69"/>
      <c r="CRH143" s="69"/>
      <c r="CRI143" s="69"/>
      <c r="CRJ143" s="69"/>
      <c r="CRK143" s="69"/>
      <c r="CRL143" s="69"/>
      <c r="CRM143" s="69"/>
      <c r="CRN143" s="69"/>
      <c r="CRO143" s="69"/>
      <c r="CRP143" s="69"/>
      <c r="CRQ143" s="69"/>
      <c r="CRR143" s="69"/>
      <c r="CRS143" s="69"/>
      <c r="CRT143" s="69"/>
      <c r="CRU143" s="69"/>
      <c r="CRV143" s="69"/>
      <c r="CRW143" s="69"/>
      <c r="CRX143" s="69"/>
      <c r="CRY143" s="69"/>
      <c r="CRZ143" s="69"/>
      <c r="CSA143" s="69"/>
      <c r="CSB143" s="69"/>
      <c r="CSC143" s="69"/>
      <c r="CSD143" s="69"/>
      <c r="CSE143" s="69"/>
      <c r="CSF143" s="69"/>
      <c r="CSG143" s="69"/>
      <c r="CSH143" s="69"/>
      <c r="CSI143" s="69"/>
      <c r="CSJ143" s="69"/>
      <c r="CSK143" s="69"/>
      <c r="CSL143" s="69"/>
      <c r="CSM143" s="69"/>
      <c r="CSN143" s="69"/>
      <c r="CSO143" s="69"/>
      <c r="CSP143" s="69"/>
      <c r="CSQ143" s="69"/>
      <c r="CSR143" s="69"/>
      <c r="CSS143" s="69"/>
      <c r="CST143" s="69"/>
      <c r="CSU143" s="69"/>
      <c r="CSV143" s="69"/>
      <c r="CSW143" s="69"/>
      <c r="CSX143" s="69"/>
      <c r="CSY143" s="69"/>
      <c r="CSZ143" s="69"/>
      <c r="CTA143" s="69"/>
      <c r="CTB143" s="69"/>
      <c r="CTC143" s="69"/>
      <c r="CTD143" s="69"/>
      <c r="CTE143" s="69"/>
      <c r="CTF143" s="69"/>
      <c r="CTG143" s="69"/>
      <c r="CTH143" s="69"/>
      <c r="CTI143" s="69"/>
      <c r="CTJ143" s="69"/>
      <c r="CTK143" s="69"/>
      <c r="CTL143" s="69"/>
      <c r="CTM143" s="69"/>
      <c r="CTN143" s="69"/>
      <c r="CTO143" s="69"/>
      <c r="CTP143" s="69"/>
      <c r="CTQ143" s="69"/>
      <c r="CTR143" s="69"/>
      <c r="CTS143" s="69"/>
      <c r="CTT143" s="69"/>
      <c r="CTU143" s="69"/>
      <c r="CTV143" s="69"/>
      <c r="CTW143" s="69"/>
      <c r="CTX143" s="69"/>
      <c r="CTY143" s="69"/>
      <c r="CTZ143" s="69"/>
      <c r="CUA143" s="69"/>
      <c r="CUB143" s="69"/>
      <c r="CUC143" s="69"/>
      <c r="CUD143" s="69"/>
      <c r="CUE143" s="69"/>
      <c r="CUF143" s="69"/>
      <c r="CUG143" s="69"/>
      <c r="CUH143" s="69"/>
      <c r="CUI143" s="69"/>
      <c r="CUJ143" s="69"/>
      <c r="CUK143" s="69"/>
      <c r="CUL143" s="69"/>
      <c r="CUM143" s="69"/>
      <c r="CUN143" s="69"/>
      <c r="CUO143" s="69"/>
      <c r="CUP143" s="69"/>
      <c r="CUQ143" s="69"/>
      <c r="CUR143" s="69"/>
      <c r="CUS143" s="69"/>
      <c r="CUT143" s="69"/>
      <c r="CUU143" s="69"/>
      <c r="CUV143" s="69"/>
      <c r="CUW143" s="69"/>
      <c r="CUX143" s="69"/>
      <c r="CUY143" s="69"/>
      <c r="CUZ143" s="69"/>
      <c r="CVA143" s="69"/>
      <c r="CVB143" s="69"/>
      <c r="CVC143" s="69"/>
      <c r="CVD143" s="69"/>
      <c r="CVE143" s="69"/>
      <c r="CVF143" s="69"/>
      <c r="CVG143" s="69"/>
      <c r="CVH143" s="69"/>
      <c r="CVI143" s="69"/>
      <c r="CVJ143" s="69"/>
      <c r="CVK143" s="69"/>
      <c r="CVL143" s="69"/>
      <c r="CVM143" s="69"/>
      <c r="CVN143" s="69"/>
      <c r="CVO143" s="69"/>
      <c r="CVP143" s="69"/>
      <c r="CVQ143" s="69"/>
      <c r="CVR143" s="69"/>
      <c r="CVS143" s="69"/>
      <c r="CVT143" s="69"/>
      <c r="CVU143" s="69"/>
      <c r="CVV143" s="69"/>
      <c r="CVW143" s="69"/>
      <c r="CVX143" s="69"/>
      <c r="CVY143" s="69"/>
      <c r="CVZ143" s="69"/>
      <c r="CWA143" s="69"/>
      <c r="CWB143" s="69"/>
      <c r="CWC143" s="69"/>
      <c r="CWD143" s="69"/>
      <c r="CWE143" s="69"/>
      <c r="CWF143" s="69"/>
      <c r="CWG143" s="69"/>
      <c r="CWH143" s="69"/>
      <c r="CWI143" s="69"/>
      <c r="CWJ143" s="69"/>
      <c r="CWK143" s="69"/>
      <c r="CWL143" s="69"/>
      <c r="CWM143" s="69"/>
      <c r="CWN143" s="69"/>
      <c r="CWO143" s="69"/>
      <c r="CWP143" s="69"/>
      <c r="CWQ143" s="69"/>
      <c r="CWR143" s="69"/>
      <c r="CWS143" s="69"/>
      <c r="CWT143" s="69"/>
      <c r="CWU143" s="69"/>
      <c r="CWV143" s="69"/>
      <c r="CWW143" s="69"/>
      <c r="CWX143" s="69"/>
      <c r="CWY143" s="69"/>
      <c r="CWZ143" s="69"/>
      <c r="CXA143" s="69"/>
      <c r="CXB143" s="69"/>
      <c r="CXC143" s="69"/>
      <c r="CXD143" s="69"/>
      <c r="CXE143" s="69"/>
      <c r="CXF143" s="69"/>
      <c r="CXG143" s="69"/>
      <c r="CXH143" s="69"/>
      <c r="CXI143" s="69"/>
      <c r="CXJ143" s="69"/>
      <c r="CXK143" s="69"/>
      <c r="CXL143" s="69"/>
      <c r="CXM143" s="69"/>
      <c r="CXN143" s="69"/>
      <c r="CXO143" s="69"/>
      <c r="CXP143" s="69"/>
      <c r="CXQ143" s="69"/>
      <c r="CXR143" s="69"/>
      <c r="CXS143" s="69"/>
      <c r="CXT143" s="69"/>
      <c r="CXU143" s="69"/>
      <c r="CXV143" s="69"/>
      <c r="CXW143" s="69"/>
      <c r="CXX143" s="69"/>
      <c r="CXY143" s="69"/>
      <c r="CXZ143" s="69"/>
      <c r="CYA143" s="69"/>
      <c r="CYB143" s="69"/>
      <c r="CYC143" s="69"/>
      <c r="CYD143" s="69"/>
      <c r="CYE143" s="69"/>
      <c r="CYF143" s="69"/>
      <c r="CYG143" s="69"/>
      <c r="CYH143" s="69"/>
      <c r="CYI143" s="69"/>
      <c r="CYJ143" s="69"/>
      <c r="CYK143" s="69"/>
      <c r="CYL143" s="69"/>
      <c r="CYM143" s="69"/>
      <c r="CYN143" s="69"/>
      <c r="CYO143" s="69"/>
      <c r="CYP143" s="69"/>
      <c r="CYQ143" s="69"/>
      <c r="CYR143" s="69"/>
      <c r="CYS143" s="69"/>
      <c r="CYT143" s="69"/>
      <c r="CYU143" s="69"/>
      <c r="CYV143" s="69"/>
      <c r="CYW143" s="69"/>
      <c r="CYX143" s="69"/>
      <c r="CYY143" s="69"/>
      <c r="CYZ143" s="69"/>
      <c r="CZA143" s="69"/>
      <c r="CZB143" s="69"/>
      <c r="CZC143" s="69"/>
      <c r="CZD143" s="69"/>
      <c r="CZE143" s="69"/>
      <c r="CZF143" s="69"/>
      <c r="CZG143" s="69"/>
      <c r="CZH143" s="69"/>
      <c r="CZI143" s="69"/>
      <c r="CZJ143" s="69"/>
      <c r="CZK143" s="69"/>
      <c r="CZL143" s="69"/>
      <c r="CZM143" s="69"/>
      <c r="CZN143" s="69"/>
      <c r="CZO143" s="69"/>
      <c r="CZP143" s="69"/>
      <c r="CZQ143" s="69"/>
      <c r="CZR143" s="69"/>
      <c r="CZS143" s="69"/>
      <c r="CZT143" s="69"/>
      <c r="CZU143" s="69"/>
      <c r="CZV143" s="69"/>
      <c r="CZW143" s="69"/>
      <c r="CZX143" s="69"/>
      <c r="CZY143" s="69"/>
      <c r="CZZ143" s="69"/>
      <c r="DAA143" s="69"/>
      <c r="DAB143" s="69"/>
      <c r="DAC143" s="69"/>
      <c r="DAD143" s="69"/>
      <c r="DAE143" s="69"/>
      <c r="DAF143" s="69"/>
      <c r="DAG143" s="69"/>
      <c r="DAH143" s="69"/>
      <c r="DAI143" s="69"/>
      <c r="DAJ143" s="69"/>
      <c r="DAK143" s="69"/>
      <c r="DAL143" s="69"/>
      <c r="DAM143" s="69"/>
      <c r="DAN143" s="69"/>
      <c r="DAO143" s="69"/>
      <c r="DAP143" s="69"/>
      <c r="DAQ143" s="69"/>
      <c r="DAR143" s="69"/>
      <c r="DAS143" s="69"/>
      <c r="DAT143" s="69"/>
      <c r="DAU143" s="69"/>
      <c r="DAV143" s="69"/>
      <c r="DAW143" s="69"/>
      <c r="DAX143" s="69"/>
      <c r="DAY143" s="69"/>
      <c r="DAZ143" s="69"/>
      <c r="DBA143" s="69"/>
      <c r="DBB143" s="69"/>
      <c r="DBC143" s="69"/>
      <c r="DBD143" s="69"/>
      <c r="DBE143" s="69"/>
      <c r="DBF143" s="69"/>
      <c r="DBG143" s="69"/>
      <c r="DBH143" s="69"/>
      <c r="DBI143" s="69"/>
      <c r="DBJ143" s="69"/>
      <c r="DBK143" s="69"/>
      <c r="DBL143" s="69"/>
      <c r="DBM143" s="69"/>
      <c r="DBN143" s="69"/>
      <c r="DBO143" s="69"/>
      <c r="DBP143" s="69"/>
      <c r="DBQ143" s="69"/>
      <c r="DBR143" s="69"/>
      <c r="DBS143" s="69"/>
      <c r="DBT143" s="69"/>
      <c r="DBU143" s="69"/>
      <c r="DBV143" s="69"/>
      <c r="DBW143" s="69"/>
      <c r="DBX143" s="69"/>
      <c r="DBY143" s="69"/>
      <c r="DBZ143" s="69"/>
      <c r="DCA143" s="69"/>
      <c r="DCB143" s="69"/>
      <c r="DCC143" s="69"/>
      <c r="DCD143" s="69"/>
      <c r="DCE143" s="69"/>
      <c r="DCF143" s="69"/>
      <c r="DCG143" s="69"/>
      <c r="DCH143" s="69"/>
      <c r="DCI143" s="69"/>
      <c r="DCJ143" s="69"/>
      <c r="DCK143" s="69"/>
      <c r="DCL143" s="69"/>
      <c r="DCM143" s="69"/>
      <c r="DCN143" s="69"/>
      <c r="DCO143" s="69"/>
      <c r="DCP143" s="69"/>
      <c r="DCQ143" s="69"/>
      <c r="DCR143" s="69"/>
      <c r="DCS143" s="69"/>
      <c r="DCT143" s="69"/>
      <c r="DCU143" s="69"/>
      <c r="DCV143" s="69"/>
      <c r="DCW143" s="69"/>
      <c r="DCX143" s="69"/>
      <c r="DCY143" s="69"/>
      <c r="DCZ143" s="69"/>
      <c r="DDA143" s="69"/>
      <c r="DDB143" s="69"/>
      <c r="DDC143" s="69"/>
      <c r="DDD143" s="69"/>
      <c r="DDE143" s="69"/>
      <c r="DDF143" s="69"/>
      <c r="DDG143" s="69"/>
      <c r="DDH143" s="69"/>
      <c r="DDI143" s="69"/>
      <c r="DDJ143" s="69"/>
      <c r="DDK143" s="69"/>
      <c r="DDL143" s="69"/>
      <c r="DDM143" s="69"/>
      <c r="DDN143" s="69"/>
      <c r="DDO143" s="69"/>
      <c r="DDP143" s="69"/>
      <c r="DDQ143" s="69"/>
      <c r="DDR143" s="69"/>
      <c r="DDS143" s="69"/>
      <c r="DDT143" s="69"/>
      <c r="DDU143" s="69"/>
      <c r="DDV143" s="69"/>
      <c r="DDW143" s="69"/>
      <c r="DDX143" s="69"/>
      <c r="DDY143" s="69"/>
      <c r="DDZ143" s="69"/>
      <c r="DEA143" s="69"/>
      <c r="DEB143" s="69"/>
      <c r="DEC143" s="69"/>
      <c r="DED143" s="69"/>
      <c r="DEE143" s="69"/>
      <c r="DEF143" s="69"/>
      <c r="DEG143" s="69"/>
      <c r="DEH143" s="69"/>
      <c r="DEI143" s="69"/>
      <c r="DEJ143" s="69"/>
      <c r="DEK143" s="69"/>
      <c r="DEL143" s="69"/>
      <c r="DEM143" s="69"/>
      <c r="DEN143" s="69"/>
      <c r="DEO143" s="69"/>
      <c r="DEP143" s="69"/>
      <c r="DEQ143" s="69"/>
      <c r="DER143" s="69"/>
      <c r="DES143" s="69"/>
      <c r="DET143" s="69"/>
      <c r="DEU143" s="69"/>
      <c r="DEV143" s="69"/>
      <c r="DEW143" s="69"/>
      <c r="DEX143" s="69"/>
      <c r="DEY143" s="69"/>
      <c r="DEZ143" s="69"/>
      <c r="DFA143" s="69"/>
      <c r="DFB143" s="69"/>
      <c r="DFC143" s="69"/>
      <c r="DFD143" s="69"/>
      <c r="DFE143" s="69"/>
      <c r="DFF143" s="69"/>
      <c r="DFG143" s="69"/>
      <c r="DFH143" s="69"/>
      <c r="DFI143" s="69"/>
      <c r="DFJ143" s="69"/>
      <c r="DFK143" s="69"/>
      <c r="DFL143" s="69"/>
      <c r="DFM143" s="69"/>
      <c r="DFN143" s="69"/>
      <c r="DFO143" s="69"/>
      <c r="DFP143" s="69"/>
      <c r="DFQ143" s="69"/>
      <c r="DFR143" s="69"/>
      <c r="DFS143" s="69"/>
      <c r="DFT143" s="69"/>
      <c r="DFU143" s="69"/>
      <c r="DFV143" s="69"/>
      <c r="DFW143" s="69"/>
      <c r="DFX143" s="69"/>
      <c r="DFY143" s="69"/>
      <c r="DFZ143" s="69"/>
      <c r="DGA143" s="69"/>
      <c r="DGB143" s="69"/>
      <c r="DGC143" s="69"/>
      <c r="DGD143" s="69"/>
      <c r="DGE143" s="69"/>
      <c r="DGF143" s="69"/>
      <c r="DGG143" s="69"/>
      <c r="DGH143" s="69"/>
      <c r="DGI143" s="69"/>
      <c r="DGJ143" s="69"/>
      <c r="DGK143" s="69"/>
      <c r="DGL143" s="69"/>
      <c r="DGM143" s="69"/>
      <c r="DGN143" s="69"/>
      <c r="DGO143" s="69"/>
      <c r="DGP143" s="69"/>
      <c r="DGQ143" s="69"/>
      <c r="DGR143" s="69"/>
      <c r="DGS143" s="69"/>
      <c r="DGT143" s="69"/>
      <c r="DGU143" s="69"/>
      <c r="DGV143" s="69"/>
      <c r="DGW143" s="69"/>
      <c r="DGX143" s="69"/>
      <c r="DGY143" s="69"/>
      <c r="DGZ143" s="69"/>
      <c r="DHA143" s="69"/>
      <c r="DHB143" s="69"/>
      <c r="DHC143" s="69"/>
      <c r="DHD143" s="69"/>
      <c r="DHE143" s="69"/>
      <c r="DHF143" s="69"/>
      <c r="DHG143" s="69"/>
      <c r="DHH143" s="69"/>
      <c r="DHI143" s="69"/>
      <c r="DHJ143" s="69"/>
      <c r="DHK143" s="69"/>
      <c r="DHL143" s="69"/>
      <c r="DHM143" s="69"/>
      <c r="DHN143" s="69"/>
      <c r="DHO143" s="69"/>
      <c r="DHP143" s="69"/>
      <c r="DHQ143" s="69"/>
      <c r="DHR143" s="69"/>
      <c r="DHS143" s="69"/>
      <c r="DHT143" s="69"/>
      <c r="DHU143" s="69"/>
      <c r="DHV143" s="69"/>
      <c r="DHW143" s="69"/>
      <c r="DHX143" s="69"/>
      <c r="DHY143" s="69"/>
      <c r="DHZ143" s="69"/>
      <c r="DIA143" s="69"/>
      <c r="DIB143" s="69"/>
      <c r="DIC143" s="69"/>
      <c r="DID143" s="69"/>
      <c r="DIE143" s="69"/>
      <c r="DIF143" s="69"/>
      <c r="DIG143" s="69"/>
      <c r="DIH143" s="69"/>
      <c r="DII143" s="69"/>
      <c r="DIJ143" s="69"/>
      <c r="DIK143" s="69"/>
      <c r="DIL143" s="69"/>
      <c r="DIM143" s="69"/>
      <c r="DIN143" s="69"/>
      <c r="DIO143" s="69"/>
      <c r="DIP143" s="69"/>
      <c r="DIQ143" s="69"/>
      <c r="DIR143" s="69"/>
      <c r="DIS143" s="69"/>
      <c r="DIT143" s="69"/>
      <c r="DIU143" s="69"/>
      <c r="DIV143" s="69"/>
      <c r="DIW143" s="69"/>
      <c r="DIX143" s="69"/>
      <c r="DIY143" s="69"/>
      <c r="DIZ143" s="69"/>
      <c r="DJA143" s="69"/>
      <c r="DJB143" s="69"/>
      <c r="DJC143" s="69"/>
      <c r="DJD143" s="69"/>
      <c r="DJE143" s="69"/>
      <c r="DJF143" s="69"/>
      <c r="DJG143" s="69"/>
      <c r="DJH143" s="69"/>
      <c r="DJI143" s="69"/>
      <c r="DJJ143" s="69"/>
      <c r="DJK143" s="69"/>
      <c r="DJL143" s="69"/>
      <c r="DJM143" s="69"/>
      <c r="DJN143" s="69"/>
      <c r="DJO143" s="69"/>
      <c r="DJP143" s="69"/>
      <c r="DJQ143" s="69"/>
      <c r="DJR143" s="69"/>
      <c r="DJS143" s="69"/>
      <c r="DJT143" s="69"/>
      <c r="DJU143" s="69"/>
      <c r="DJV143" s="69"/>
      <c r="DJW143" s="69"/>
      <c r="DJX143" s="69"/>
      <c r="DJY143" s="69"/>
      <c r="DJZ143" s="69"/>
      <c r="DKA143" s="69"/>
      <c r="DKB143" s="69"/>
      <c r="DKC143" s="69"/>
      <c r="DKD143" s="69"/>
      <c r="DKE143" s="69"/>
      <c r="DKF143" s="69"/>
      <c r="DKG143" s="69"/>
      <c r="DKH143" s="69"/>
      <c r="DKI143" s="69"/>
      <c r="DKJ143" s="69"/>
      <c r="DKK143" s="69"/>
      <c r="DKL143" s="69"/>
      <c r="DKM143" s="69"/>
      <c r="DKN143" s="69"/>
      <c r="DKO143" s="69"/>
      <c r="DKP143" s="69"/>
      <c r="DKQ143" s="69"/>
      <c r="DKR143" s="69"/>
      <c r="DKS143" s="69"/>
      <c r="DKT143" s="69"/>
      <c r="DKU143" s="69"/>
      <c r="DKV143" s="69"/>
      <c r="DKW143" s="69"/>
      <c r="DKX143" s="69"/>
      <c r="DKY143" s="69"/>
      <c r="DKZ143" s="69"/>
      <c r="DLA143" s="69"/>
      <c r="DLB143" s="69"/>
      <c r="DLC143" s="69"/>
      <c r="DLD143" s="69"/>
      <c r="DLE143" s="69"/>
      <c r="DLF143" s="69"/>
      <c r="DLG143" s="69"/>
      <c r="DLH143" s="69"/>
      <c r="DLI143" s="69"/>
      <c r="DLJ143" s="69"/>
      <c r="DLK143" s="69"/>
      <c r="DLL143" s="69"/>
      <c r="DLM143" s="69"/>
      <c r="DLN143" s="69"/>
      <c r="DLO143" s="69"/>
      <c r="DLP143" s="69"/>
      <c r="DLQ143" s="69"/>
      <c r="DLR143" s="69"/>
      <c r="DLS143" s="69"/>
      <c r="DLT143" s="69"/>
      <c r="DLU143" s="69"/>
      <c r="DLV143" s="69"/>
      <c r="DLW143" s="69"/>
      <c r="DLX143" s="69"/>
      <c r="DLY143" s="69"/>
      <c r="DLZ143" s="69"/>
      <c r="DMA143" s="69"/>
      <c r="DMB143" s="69"/>
      <c r="DMC143" s="69"/>
      <c r="DMD143" s="69"/>
      <c r="DME143" s="69"/>
      <c r="DMF143" s="69"/>
      <c r="DMG143" s="69"/>
      <c r="DMH143" s="69"/>
      <c r="DMI143" s="69"/>
      <c r="DMJ143" s="69"/>
      <c r="DMK143" s="69"/>
      <c r="DML143" s="69"/>
      <c r="DMM143" s="69"/>
      <c r="DMN143" s="69"/>
      <c r="DMO143" s="69"/>
      <c r="DMP143" s="69"/>
      <c r="DMQ143" s="69"/>
      <c r="DMR143" s="69"/>
      <c r="DMS143" s="69"/>
      <c r="DMT143" s="69"/>
      <c r="DMU143" s="69"/>
      <c r="DMV143" s="69"/>
      <c r="DMW143" s="69"/>
      <c r="DMX143" s="69"/>
      <c r="DMY143" s="69"/>
      <c r="DMZ143" s="69"/>
      <c r="DNA143" s="69"/>
      <c r="DNB143" s="69"/>
      <c r="DNC143" s="69"/>
      <c r="DND143" s="69"/>
      <c r="DNE143" s="69"/>
      <c r="DNF143" s="69"/>
      <c r="DNG143" s="69"/>
      <c r="DNH143" s="69"/>
      <c r="DNI143" s="69"/>
      <c r="DNJ143" s="69"/>
      <c r="DNK143" s="69"/>
      <c r="DNL143" s="69"/>
      <c r="DNM143" s="69"/>
      <c r="DNN143" s="69"/>
      <c r="DNO143" s="69"/>
      <c r="DNP143" s="69"/>
      <c r="DNQ143" s="69"/>
      <c r="DNR143" s="69"/>
      <c r="DNS143" s="69"/>
      <c r="DNT143" s="69"/>
      <c r="DNU143" s="69"/>
      <c r="DNV143" s="69"/>
      <c r="DNW143" s="69"/>
      <c r="DNX143" s="69"/>
      <c r="DNY143" s="69"/>
      <c r="DNZ143" s="69"/>
      <c r="DOA143" s="69"/>
      <c r="DOB143" s="69"/>
      <c r="DOC143" s="69"/>
      <c r="DOD143" s="69"/>
      <c r="DOE143" s="69"/>
      <c r="DOF143" s="69"/>
      <c r="DOG143" s="69"/>
      <c r="DOH143" s="69"/>
      <c r="DOI143" s="69"/>
      <c r="DOJ143" s="69"/>
      <c r="DOK143" s="69"/>
      <c r="DOL143" s="69"/>
      <c r="DOM143" s="69"/>
      <c r="DON143" s="69"/>
      <c r="DOO143" s="69"/>
      <c r="DOP143" s="69"/>
      <c r="DOQ143" s="69"/>
      <c r="DOR143" s="69"/>
      <c r="DOS143" s="69"/>
      <c r="DOT143" s="69"/>
      <c r="DOU143" s="69"/>
      <c r="DOV143" s="69"/>
      <c r="DOW143" s="69"/>
      <c r="DOX143" s="69"/>
      <c r="DOY143" s="69"/>
      <c r="DOZ143" s="69"/>
      <c r="DPA143" s="69"/>
      <c r="DPB143" s="69"/>
      <c r="DPC143" s="69"/>
      <c r="DPD143" s="69"/>
      <c r="DPE143" s="69"/>
      <c r="DPF143" s="69"/>
      <c r="DPG143" s="69"/>
      <c r="DPH143" s="69"/>
      <c r="DPI143" s="69"/>
      <c r="DPJ143" s="69"/>
      <c r="DPK143" s="69"/>
      <c r="DPL143" s="69"/>
      <c r="DPM143" s="69"/>
      <c r="DPN143" s="69"/>
      <c r="DPO143" s="69"/>
      <c r="DPP143" s="69"/>
      <c r="DPQ143" s="69"/>
      <c r="DPR143" s="69"/>
      <c r="DPS143" s="69"/>
      <c r="DPT143" s="69"/>
      <c r="DPU143" s="69"/>
      <c r="DPV143" s="69"/>
      <c r="DPW143" s="69"/>
      <c r="DPX143" s="69"/>
      <c r="DPY143" s="69"/>
      <c r="DPZ143" s="69"/>
      <c r="DQA143" s="69"/>
      <c r="DQB143" s="69"/>
      <c r="DQC143" s="69"/>
      <c r="DQD143" s="69"/>
      <c r="DQE143" s="69"/>
      <c r="DQF143" s="69"/>
      <c r="DQG143" s="69"/>
      <c r="DQH143" s="69"/>
      <c r="DQI143" s="69"/>
      <c r="DQJ143" s="69"/>
      <c r="DQK143" s="69"/>
      <c r="DQL143" s="69"/>
      <c r="DQM143" s="69"/>
      <c r="DQN143" s="69"/>
      <c r="DQO143" s="69"/>
      <c r="DQP143" s="69"/>
      <c r="DQQ143" s="69"/>
      <c r="DQR143" s="69"/>
      <c r="DQS143" s="69"/>
      <c r="DQT143" s="69"/>
      <c r="DQU143" s="69"/>
      <c r="DQV143" s="69"/>
      <c r="DQW143" s="69"/>
      <c r="DQX143" s="69"/>
      <c r="DQY143" s="69"/>
      <c r="DQZ143" s="69"/>
      <c r="DRA143" s="69"/>
      <c r="DRB143" s="69"/>
      <c r="DRC143" s="69"/>
      <c r="DRD143" s="69"/>
      <c r="DRE143" s="69"/>
      <c r="DRF143" s="69"/>
      <c r="DRG143" s="69"/>
      <c r="DRH143" s="69"/>
      <c r="DRI143" s="69"/>
      <c r="DRJ143" s="69"/>
      <c r="DRK143" s="69"/>
      <c r="DRL143" s="69"/>
      <c r="DRM143" s="69"/>
      <c r="DRN143" s="69"/>
      <c r="DRO143" s="69"/>
      <c r="DRP143" s="69"/>
      <c r="DRQ143" s="69"/>
      <c r="DRR143" s="69"/>
      <c r="DRS143" s="69"/>
      <c r="DRT143" s="69"/>
      <c r="DRU143" s="69"/>
      <c r="DRV143" s="69"/>
      <c r="DRW143" s="69"/>
      <c r="DRX143" s="69"/>
      <c r="DRY143" s="69"/>
      <c r="DRZ143" s="69"/>
      <c r="DSA143" s="69"/>
      <c r="DSB143" s="69"/>
      <c r="DSC143" s="69"/>
      <c r="DSD143" s="69"/>
      <c r="DSE143" s="69"/>
      <c r="DSF143" s="69"/>
      <c r="DSG143" s="69"/>
      <c r="DSH143" s="69"/>
      <c r="DSI143" s="69"/>
      <c r="DSJ143" s="69"/>
      <c r="DSK143" s="69"/>
      <c r="DSL143" s="69"/>
      <c r="DSM143" s="69"/>
      <c r="DSN143" s="69"/>
      <c r="DSO143" s="69"/>
      <c r="DSP143" s="69"/>
      <c r="DSQ143" s="69"/>
      <c r="DSR143" s="69"/>
      <c r="DSS143" s="69"/>
      <c r="DST143" s="69"/>
      <c r="DSU143" s="69"/>
      <c r="DSV143" s="69"/>
      <c r="DSW143" s="69"/>
      <c r="DSX143" s="69"/>
      <c r="DSY143" s="69"/>
      <c r="DSZ143" s="69"/>
      <c r="DTA143" s="69"/>
      <c r="DTB143" s="69"/>
      <c r="DTC143" s="69"/>
      <c r="DTD143" s="69"/>
      <c r="DTE143" s="69"/>
      <c r="DTF143" s="69"/>
      <c r="DTG143" s="69"/>
      <c r="DTH143" s="69"/>
      <c r="DTI143" s="69"/>
      <c r="DTJ143" s="69"/>
      <c r="DTK143" s="69"/>
      <c r="DTL143" s="69"/>
      <c r="DTM143" s="69"/>
      <c r="DTN143" s="69"/>
      <c r="DTO143" s="69"/>
      <c r="DTP143" s="69"/>
      <c r="DTQ143" s="69"/>
      <c r="DTR143" s="69"/>
      <c r="DTS143" s="69"/>
      <c r="DTT143" s="69"/>
      <c r="DTU143" s="69"/>
      <c r="DTV143" s="69"/>
      <c r="DTW143" s="69"/>
      <c r="DTX143" s="69"/>
      <c r="DTY143" s="69"/>
      <c r="DTZ143" s="69"/>
      <c r="DUA143" s="69"/>
      <c r="DUB143" s="69"/>
      <c r="DUC143" s="69"/>
      <c r="DUD143" s="69"/>
      <c r="DUE143" s="69"/>
      <c r="DUF143" s="69"/>
      <c r="DUG143" s="69"/>
      <c r="DUH143" s="69"/>
      <c r="DUI143" s="69"/>
      <c r="DUJ143" s="69"/>
      <c r="DUK143" s="69"/>
      <c r="DUL143" s="69"/>
      <c r="DUM143" s="69"/>
      <c r="DUN143" s="69"/>
      <c r="DUO143" s="69"/>
      <c r="DUP143" s="69"/>
      <c r="DUQ143" s="69"/>
      <c r="DUR143" s="69"/>
      <c r="DUS143" s="69"/>
      <c r="DUT143" s="69"/>
      <c r="DUU143" s="69"/>
      <c r="DUV143" s="69"/>
      <c r="DUW143" s="69"/>
      <c r="DUX143" s="69"/>
      <c r="DUY143" s="69"/>
      <c r="DUZ143" s="69"/>
      <c r="DVA143" s="69"/>
      <c r="DVB143" s="69"/>
      <c r="DVC143" s="69"/>
      <c r="DVD143" s="69"/>
      <c r="DVE143" s="69"/>
      <c r="DVF143" s="69"/>
      <c r="DVG143" s="69"/>
      <c r="DVH143" s="69"/>
      <c r="DVI143" s="69"/>
      <c r="DVJ143" s="69"/>
      <c r="DVK143" s="69"/>
      <c r="DVL143" s="69"/>
      <c r="DVM143" s="69"/>
      <c r="DVN143" s="69"/>
      <c r="DVO143" s="69"/>
      <c r="DVP143" s="69"/>
      <c r="DVQ143" s="69"/>
      <c r="DVR143" s="69"/>
      <c r="DVS143" s="69"/>
      <c r="DVT143" s="69"/>
      <c r="DVU143" s="69"/>
      <c r="DVV143" s="69"/>
      <c r="DVW143" s="69"/>
      <c r="DVX143" s="69"/>
      <c r="DVY143" s="69"/>
      <c r="DVZ143" s="69"/>
      <c r="DWA143" s="69"/>
      <c r="DWB143" s="69"/>
      <c r="DWC143" s="69"/>
      <c r="DWD143" s="69"/>
      <c r="DWE143" s="69"/>
      <c r="DWF143" s="69"/>
      <c r="DWG143" s="69"/>
      <c r="DWH143" s="69"/>
      <c r="DWI143" s="69"/>
      <c r="DWJ143" s="69"/>
      <c r="DWK143" s="69"/>
      <c r="DWL143" s="69"/>
      <c r="DWM143" s="69"/>
      <c r="DWN143" s="69"/>
      <c r="DWO143" s="69"/>
      <c r="DWP143" s="69"/>
      <c r="DWQ143" s="69"/>
      <c r="DWR143" s="69"/>
      <c r="DWS143" s="69"/>
      <c r="DWT143" s="69"/>
      <c r="DWU143" s="69"/>
      <c r="DWV143" s="69"/>
      <c r="DWW143" s="69"/>
      <c r="DWX143" s="69"/>
      <c r="DWY143" s="69"/>
      <c r="DWZ143" s="69"/>
      <c r="DXA143" s="69"/>
      <c r="DXB143" s="69"/>
      <c r="DXC143" s="69"/>
      <c r="DXD143" s="69"/>
      <c r="DXE143" s="69"/>
      <c r="DXF143" s="69"/>
      <c r="DXG143" s="69"/>
      <c r="DXH143" s="69"/>
      <c r="DXI143" s="69"/>
      <c r="DXJ143" s="69"/>
      <c r="DXK143" s="69"/>
      <c r="DXL143" s="69"/>
      <c r="DXM143" s="69"/>
      <c r="DXN143" s="69"/>
      <c r="DXO143" s="69"/>
      <c r="DXP143" s="69"/>
      <c r="DXQ143" s="69"/>
      <c r="DXR143" s="69"/>
      <c r="DXS143" s="69"/>
      <c r="DXT143" s="69"/>
      <c r="DXU143" s="69"/>
      <c r="DXV143" s="69"/>
      <c r="DXW143" s="69"/>
      <c r="DXX143" s="69"/>
      <c r="DXY143" s="69"/>
      <c r="DXZ143" s="69"/>
      <c r="DYA143" s="69"/>
      <c r="DYB143" s="69"/>
      <c r="DYC143" s="69"/>
      <c r="DYD143" s="69"/>
      <c r="DYE143" s="69"/>
      <c r="DYF143" s="69"/>
      <c r="DYG143" s="69"/>
      <c r="DYH143" s="69"/>
      <c r="DYI143" s="69"/>
      <c r="DYJ143" s="69"/>
      <c r="DYK143" s="69"/>
      <c r="DYL143" s="69"/>
      <c r="DYM143" s="69"/>
      <c r="DYN143" s="69"/>
      <c r="DYO143" s="69"/>
      <c r="DYP143" s="69"/>
      <c r="DYQ143" s="69"/>
      <c r="DYR143" s="69"/>
      <c r="DYS143" s="69"/>
      <c r="DYT143" s="69"/>
      <c r="DYU143" s="69"/>
      <c r="DYV143" s="69"/>
      <c r="DYW143" s="69"/>
      <c r="DYX143" s="69"/>
      <c r="DYY143" s="69"/>
      <c r="DYZ143" s="69"/>
      <c r="DZA143" s="69"/>
      <c r="DZB143" s="69"/>
      <c r="DZC143" s="69"/>
      <c r="DZD143" s="69"/>
      <c r="DZE143" s="69"/>
      <c r="DZF143" s="69"/>
      <c r="DZG143" s="69"/>
      <c r="DZH143" s="69"/>
      <c r="DZI143" s="69"/>
      <c r="DZJ143" s="69"/>
      <c r="DZK143" s="69"/>
      <c r="DZL143" s="69"/>
      <c r="DZM143" s="69"/>
      <c r="DZN143" s="69"/>
      <c r="DZO143" s="69"/>
      <c r="DZP143" s="69"/>
      <c r="DZQ143" s="69"/>
      <c r="DZR143" s="69"/>
      <c r="DZS143" s="69"/>
      <c r="DZT143" s="69"/>
      <c r="DZU143" s="69"/>
      <c r="DZV143" s="69"/>
      <c r="DZW143" s="69"/>
      <c r="DZX143" s="69"/>
      <c r="DZY143" s="69"/>
      <c r="DZZ143" s="69"/>
      <c r="EAA143" s="69"/>
      <c r="EAB143" s="69"/>
      <c r="EAC143" s="69"/>
      <c r="EAD143" s="69"/>
      <c r="EAE143" s="69"/>
      <c r="EAF143" s="69"/>
      <c r="EAG143" s="69"/>
      <c r="EAH143" s="69"/>
      <c r="EAI143" s="69"/>
      <c r="EAJ143" s="69"/>
      <c r="EAK143" s="69"/>
      <c r="EAL143" s="69"/>
      <c r="EAM143" s="69"/>
      <c r="EAN143" s="69"/>
      <c r="EAO143" s="69"/>
      <c r="EAP143" s="69"/>
      <c r="EAQ143" s="69"/>
      <c r="EAR143" s="69"/>
      <c r="EAS143" s="69"/>
      <c r="EAT143" s="69"/>
      <c r="EAU143" s="69"/>
      <c r="EAV143" s="69"/>
      <c r="EAW143" s="69"/>
      <c r="EAX143" s="69"/>
      <c r="EAY143" s="69"/>
      <c r="EAZ143" s="69"/>
      <c r="EBA143" s="69"/>
      <c r="EBB143" s="69"/>
      <c r="EBC143" s="69"/>
      <c r="EBD143" s="69"/>
      <c r="EBE143" s="69"/>
      <c r="EBF143" s="69"/>
      <c r="EBG143" s="69"/>
      <c r="EBH143" s="69"/>
      <c r="EBI143" s="69"/>
      <c r="EBJ143" s="69"/>
      <c r="EBK143" s="69"/>
      <c r="EBL143" s="69"/>
      <c r="EBM143" s="69"/>
      <c r="EBN143" s="69"/>
      <c r="EBO143" s="69"/>
      <c r="EBP143" s="69"/>
      <c r="EBQ143" s="69"/>
      <c r="EBR143" s="69"/>
      <c r="EBS143" s="69"/>
      <c r="EBT143" s="69"/>
      <c r="EBU143" s="69"/>
      <c r="EBV143" s="69"/>
      <c r="EBW143" s="69"/>
      <c r="EBX143" s="69"/>
      <c r="EBY143" s="69"/>
      <c r="EBZ143" s="69"/>
      <c r="ECA143" s="69"/>
      <c r="ECB143" s="69"/>
      <c r="ECC143" s="69"/>
      <c r="ECD143" s="69"/>
      <c r="ECE143" s="69"/>
      <c r="ECF143" s="69"/>
      <c r="ECG143" s="69"/>
      <c r="ECH143" s="69"/>
      <c r="ECI143" s="69"/>
      <c r="ECJ143" s="69"/>
      <c r="ECK143" s="69"/>
      <c r="ECL143" s="69"/>
      <c r="ECM143" s="69"/>
      <c r="ECN143" s="69"/>
      <c r="ECO143" s="69"/>
      <c r="ECP143" s="69"/>
      <c r="ECQ143" s="69"/>
      <c r="ECR143" s="69"/>
      <c r="ECS143" s="69"/>
      <c r="ECT143" s="69"/>
      <c r="ECU143" s="69"/>
      <c r="ECV143" s="69"/>
      <c r="ECW143" s="69"/>
      <c r="ECX143" s="69"/>
      <c r="ECY143" s="69"/>
      <c r="ECZ143" s="69"/>
      <c r="EDA143" s="69"/>
      <c r="EDB143" s="69"/>
      <c r="EDC143" s="69"/>
      <c r="EDD143" s="69"/>
      <c r="EDE143" s="69"/>
      <c r="EDF143" s="69"/>
      <c r="EDG143" s="69"/>
      <c r="EDH143" s="69"/>
      <c r="EDI143" s="69"/>
      <c r="EDJ143" s="69"/>
      <c r="EDK143" s="69"/>
      <c r="EDL143" s="69"/>
      <c r="EDM143" s="69"/>
      <c r="EDN143" s="69"/>
      <c r="EDO143" s="69"/>
      <c r="EDP143" s="69"/>
      <c r="EDQ143" s="69"/>
      <c r="EDR143" s="69"/>
      <c r="EDS143" s="69"/>
      <c r="EDT143" s="69"/>
      <c r="EDU143" s="69"/>
      <c r="EDV143" s="69"/>
      <c r="EDW143" s="69"/>
      <c r="EDX143" s="69"/>
      <c r="EDY143" s="69"/>
      <c r="EDZ143" s="69"/>
      <c r="EEA143" s="69"/>
      <c r="EEB143" s="69"/>
      <c r="EEC143" s="69"/>
      <c r="EED143" s="69"/>
      <c r="EEE143" s="69"/>
      <c r="EEF143" s="69"/>
      <c r="EEG143" s="69"/>
      <c r="EEH143" s="69"/>
      <c r="EEI143" s="69"/>
      <c r="EEJ143" s="69"/>
      <c r="EEK143" s="69"/>
      <c r="EEL143" s="69"/>
      <c r="EEM143" s="69"/>
      <c r="EEN143" s="69"/>
      <c r="EEO143" s="69"/>
      <c r="EEP143" s="69"/>
      <c r="EEQ143" s="69"/>
      <c r="EER143" s="69"/>
      <c r="EES143" s="69"/>
      <c r="EET143" s="69"/>
      <c r="EEU143" s="69"/>
      <c r="EEV143" s="69"/>
      <c r="EEW143" s="69"/>
      <c r="EEX143" s="69"/>
      <c r="EEY143" s="69"/>
      <c r="EEZ143" s="69"/>
      <c r="EFA143" s="69"/>
      <c r="EFB143" s="69"/>
      <c r="EFC143" s="69"/>
      <c r="EFD143" s="69"/>
      <c r="EFE143" s="69"/>
      <c r="EFF143" s="69"/>
      <c r="EFG143" s="69"/>
      <c r="EFH143" s="69"/>
      <c r="EFI143" s="69"/>
      <c r="EFJ143" s="69"/>
      <c r="EFK143" s="69"/>
      <c r="EFL143" s="69"/>
      <c r="EFM143" s="69"/>
      <c r="EFN143" s="69"/>
      <c r="EFO143" s="69"/>
      <c r="EFP143" s="69"/>
      <c r="EFQ143" s="69"/>
      <c r="EFR143" s="69"/>
      <c r="EFS143" s="69"/>
      <c r="EFT143" s="69"/>
      <c r="EFU143" s="69"/>
      <c r="EFV143" s="69"/>
      <c r="EFW143" s="69"/>
      <c r="EFX143" s="69"/>
      <c r="EFY143" s="69"/>
      <c r="EFZ143" s="69"/>
      <c r="EGA143" s="69"/>
      <c r="EGB143" s="69"/>
      <c r="EGC143" s="69"/>
      <c r="EGD143" s="69"/>
      <c r="EGE143" s="69"/>
      <c r="EGF143" s="69"/>
      <c r="EGG143" s="69"/>
      <c r="EGH143" s="69"/>
      <c r="EGI143" s="69"/>
      <c r="EGJ143" s="69"/>
      <c r="EGK143" s="69"/>
      <c r="EGL143" s="69"/>
      <c r="EGM143" s="69"/>
      <c r="EGN143" s="69"/>
      <c r="EGO143" s="69"/>
      <c r="EGP143" s="69"/>
      <c r="EGQ143" s="69"/>
      <c r="EGR143" s="69"/>
      <c r="EGS143" s="69"/>
      <c r="EGT143" s="69"/>
      <c r="EGU143" s="69"/>
      <c r="EGV143" s="69"/>
      <c r="EGW143" s="69"/>
      <c r="EGX143" s="69"/>
      <c r="EGY143" s="69"/>
      <c r="EGZ143" s="69"/>
      <c r="EHA143" s="69"/>
      <c r="EHB143" s="69"/>
      <c r="EHC143" s="69"/>
      <c r="EHD143" s="69"/>
      <c r="EHE143" s="69"/>
      <c r="EHF143" s="69"/>
      <c r="EHG143" s="69"/>
      <c r="EHH143" s="69"/>
      <c r="EHI143" s="69"/>
      <c r="EHJ143" s="69"/>
      <c r="EHK143" s="69"/>
      <c r="EHL143" s="69"/>
      <c r="EHM143" s="69"/>
      <c r="EHN143" s="69"/>
      <c r="EHO143" s="69"/>
      <c r="EHP143" s="69"/>
      <c r="EHQ143" s="69"/>
      <c r="EHR143" s="69"/>
      <c r="EHS143" s="69"/>
      <c r="EHT143" s="69"/>
      <c r="EHU143" s="69"/>
      <c r="EHV143" s="69"/>
      <c r="EHW143" s="69"/>
      <c r="EHX143" s="69"/>
      <c r="EHY143" s="69"/>
      <c r="EHZ143" s="69"/>
      <c r="EIA143" s="69"/>
      <c r="EIB143" s="69"/>
      <c r="EIC143" s="69"/>
      <c r="EID143" s="69"/>
      <c r="EIE143" s="69"/>
      <c r="EIF143" s="69"/>
      <c r="EIG143" s="69"/>
      <c r="EIH143" s="69"/>
      <c r="EII143" s="69"/>
      <c r="EIJ143" s="69"/>
      <c r="EIK143" s="69"/>
      <c r="EIL143" s="69"/>
      <c r="EIM143" s="69"/>
      <c r="EIN143" s="69"/>
      <c r="EIO143" s="69"/>
      <c r="EIP143" s="69"/>
      <c r="EIQ143" s="69"/>
      <c r="EIR143" s="69"/>
      <c r="EIS143" s="69"/>
      <c r="EIT143" s="69"/>
      <c r="EIU143" s="69"/>
      <c r="EIV143" s="69"/>
      <c r="EIW143" s="69"/>
      <c r="EIX143" s="69"/>
      <c r="EIY143" s="69"/>
      <c r="EIZ143" s="69"/>
      <c r="EJA143" s="69"/>
      <c r="EJB143" s="69"/>
      <c r="EJC143" s="69"/>
      <c r="EJD143" s="69"/>
      <c r="EJE143" s="69"/>
      <c r="EJF143" s="69"/>
      <c r="EJG143" s="69"/>
      <c r="EJH143" s="69"/>
      <c r="EJI143" s="69"/>
      <c r="EJJ143" s="69"/>
      <c r="EJK143" s="69"/>
      <c r="EJL143" s="69"/>
      <c r="EJM143" s="69"/>
      <c r="EJN143" s="69"/>
      <c r="EJO143" s="69"/>
      <c r="EJP143" s="69"/>
      <c r="EJQ143" s="69"/>
      <c r="EJR143" s="69"/>
      <c r="EJS143" s="69"/>
      <c r="EJT143" s="69"/>
      <c r="EJU143" s="69"/>
      <c r="EJV143" s="69"/>
      <c r="EJW143" s="69"/>
      <c r="EJX143" s="69"/>
      <c r="EJY143" s="69"/>
      <c r="EJZ143" s="69"/>
      <c r="EKA143" s="69"/>
      <c r="EKB143" s="69"/>
      <c r="EKC143" s="69"/>
      <c r="EKD143" s="69"/>
      <c r="EKE143" s="69"/>
      <c r="EKF143" s="69"/>
      <c r="EKG143" s="69"/>
      <c r="EKH143" s="69"/>
      <c r="EKI143" s="69"/>
      <c r="EKJ143" s="69"/>
      <c r="EKK143" s="69"/>
      <c r="EKL143" s="69"/>
      <c r="EKM143" s="69"/>
      <c r="EKN143" s="69"/>
      <c r="EKO143" s="69"/>
      <c r="EKP143" s="69"/>
      <c r="EKQ143" s="69"/>
      <c r="EKR143" s="69"/>
      <c r="EKS143" s="69"/>
      <c r="EKT143" s="69"/>
      <c r="EKU143" s="69"/>
      <c r="EKV143" s="69"/>
      <c r="EKW143" s="69"/>
      <c r="EKX143" s="69"/>
      <c r="EKY143" s="69"/>
      <c r="EKZ143" s="69"/>
      <c r="ELA143" s="69"/>
      <c r="ELB143" s="69"/>
      <c r="ELC143" s="69"/>
      <c r="ELD143" s="69"/>
      <c r="ELE143" s="69"/>
      <c r="ELF143" s="69"/>
      <c r="ELG143" s="69"/>
      <c r="ELH143" s="69"/>
      <c r="ELI143" s="69"/>
      <c r="ELJ143" s="69"/>
      <c r="ELK143" s="69"/>
      <c r="ELL143" s="69"/>
      <c r="ELM143" s="69"/>
      <c r="ELN143" s="69"/>
      <c r="ELO143" s="69"/>
      <c r="ELP143" s="69"/>
      <c r="ELQ143" s="69"/>
      <c r="ELR143" s="69"/>
      <c r="ELS143" s="69"/>
      <c r="ELT143" s="69"/>
      <c r="ELU143" s="69"/>
      <c r="ELV143" s="69"/>
      <c r="ELW143" s="69"/>
      <c r="ELX143" s="69"/>
      <c r="ELY143" s="69"/>
      <c r="ELZ143" s="69"/>
      <c r="EMA143" s="69"/>
      <c r="EMB143" s="69"/>
      <c r="EMC143" s="69"/>
      <c r="EMD143" s="69"/>
      <c r="EME143" s="69"/>
      <c r="EMF143" s="69"/>
      <c r="EMG143" s="69"/>
      <c r="EMH143" s="69"/>
      <c r="EMI143" s="69"/>
      <c r="EMJ143" s="69"/>
      <c r="EMK143" s="69"/>
      <c r="EML143" s="69"/>
      <c r="EMM143" s="69"/>
      <c r="EMN143" s="69"/>
      <c r="EMO143" s="69"/>
      <c r="EMP143" s="69"/>
      <c r="EMQ143" s="69"/>
      <c r="EMR143" s="69"/>
      <c r="EMS143" s="69"/>
      <c r="EMT143" s="69"/>
      <c r="EMU143" s="69"/>
      <c r="EMV143" s="69"/>
      <c r="EMW143" s="69"/>
      <c r="EMX143" s="69"/>
      <c r="EMY143" s="69"/>
      <c r="EMZ143" s="69"/>
      <c r="ENA143" s="69"/>
      <c r="ENB143" s="69"/>
      <c r="ENC143" s="69"/>
      <c r="END143" s="69"/>
      <c r="ENE143" s="69"/>
      <c r="ENF143" s="69"/>
      <c r="ENG143" s="69"/>
      <c r="ENH143" s="69"/>
      <c r="ENI143" s="69"/>
      <c r="ENJ143" s="69"/>
      <c r="ENK143" s="69"/>
      <c r="ENL143" s="69"/>
      <c r="ENM143" s="69"/>
      <c r="ENN143" s="69"/>
      <c r="ENO143" s="69"/>
      <c r="ENP143" s="69"/>
      <c r="ENQ143" s="69"/>
      <c r="ENR143" s="69"/>
      <c r="ENS143" s="69"/>
      <c r="ENT143" s="69"/>
      <c r="ENU143" s="69"/>
      <c r="ENV143" s="69"/>
      <c r="ENW143" s="69"/>
      <c r="ENX143" s="69"/>
      <c r="ENY143" s="69"/>
      <c r="ENZ143" s="69"/>
      <c r="EOA143" s="69"/>
      <c r="EOB143" s="69"/>
      <c r="EOC143" s="69"/>
      <c r="EOD143" s="69"/>
      <c r="EOE143" s="69"/>
      <c r="EOF143" s="69"/>
      <c r="EOG143" s="69"/>
      <c r="EOH143" s="69"/>
      <c r="EOI143" s="69"/>
      <c r="EOJ143" s="69"/>
      <c r="EOK143" s="69"/>
      <c r="EOL143" s="69"/>
      <c r="EOM143" s="69"/>
      <c r="EON143" s="69"/>
      <c r="EOO143" s="69"/>
      <c r="EOP143" s="69"/>
      <c r="EOQ143" s="69"/>
      <c r="EOR143" s="69"/>
      <c r="EOS143" s="69"/>
      <c r="EOT143" s="69"/>
      <c r="EOU143" s="69"/>
      <c r="EOV143" s="69"/>
      <c r="EOW143" s="69"/>
      <c r="EOX143" s="69"/>
      <c r="EOY143" s="69"/>
      <c r="EOZ143" s="69"/>
      <c r="EPA143" s="69"/>
      <c r="EPB143" s="69"/>
      <c r="EPC143" s="69"/>
      <c r="EPD143" s="69"/>
      <c r="EPE143" s="69"/>
      <c r="EPF143" s="69"/>
      <c r="EPG143" s="69"/>
      <c r="EPH143" s="69"/>
      <c r="EPI143" s="69"/>
      <c r="EPJ143" s="69"/>
      <c r="EPK143" s="69"/>
      <c r="EPL143" s="69"/>
      <c r="EPM143" s="69"/>
      <c r="EPN143" s="69"/>
      <c r="EPO143" s="69"/>
      <c r="EPP143" s="69"/>
      <c r="EPQ143" s="69"/>
      <c r="EPR143" s="69"/>
      <c r="EPS143" s="69"/>
      <c r="EPT143" s="69"/>
      <c r="EPU143" s="69"/>
      <c r="EPV143" s="69"/>
      <c r="EPW143" s="69"/>
      <c r="EPX143" s="69"/>
      <c r="EPY143" s="69"/>
      <c r="EPZ143" s="69"/>
      <c r="EQA143" s="69"/>
      <c r="EQB143" s="69"/>
      <c r="EQC143" s="69"/>
      <c r="EQD143" s="69"/>
      <c r="EQE143" s="69"/>
      <c r="EQF143" s="69"/>
      <c r="EQG143" s="69"/>
      <c r="EQH143" s="69"/>
      <c r="EQI143" s="69"/>
      <c r="EQJ143" s="69"/>
      <c r="EQK143" s="69"/>
      <c r="EQL143" s="69"/>
      <c r="EQM143" s="69"/>
      <c r="EQN143" s="69"/>
      <c r="EQO143" s="69"/>
      <c r="EQP143" s="69"/>
      <c r="EQQ143" s="69"/>
      <c r="EQR143" s="69"/>
      <c r="EQS143" s="69"/>
      <c r="EQT143" s="69"/>
      <c r="EQU143" s="69"/>
      <c r="EQV143" s="69"/>
      <c r="EQW143" s="69"/>
      <c r="EQX143" s="69"/>
      <c r="EQY143" s="69"/>
      <c r="EQZ143" s="69"/>
      <c r="ERA143" s="69"/>
      <c r="ERB143" s="69"/>
      <c r="ERC143" s="69"/>
      <c r="ERD143" s="69"/>
      <c r="ERE143" s="69"/>
      <c r="ERF143" s="69"/>
      <c r="ERG143" s="69"/>
      <c r="ERH143" s="69"/>
      <c r="ERI143" s="69"/>
      <c r="ERJ143" s="69"/>
      <c r="ERK143" s="69"/>
      <c r="ERL143" s="69"/>
      <c r="ERM143" s="69"/>
      <c r="ERN143" s="69"/>
      <c r="ERO143" s="69"/>
      <c r="ERP143" s="69"/>
      <c r="ERQ143" s="69"/>
      <c r="ERR143" s="69"/>
      <c r="ERS143" s="69"/>
      <c r="ERT143" s="69"/>
      <c r="ERU143" s="69"/>
      <c r="ERV143" s="69"/>
      <c r="ERW143" s="69"/>
      <c r="ERX143" s="69"/>
      <c r="ERY143" s="69"/>
      <c r="ERZ143" s="69"/>
      <c r="ESA143" s="69"/>
      <c r="ESB143" s="69"/>
      <c r="ESC143" s="69"/>
      <c r="ESD143" s="69"/>
      <c r="ESE143" s="69"/>
      <c r="ESF143" s="69"/>
      <c r="ESG143" s="69"/>
      <c r="ESH143" s="69"/>
      <c r="ESI143" s="69"/>
      <c r="ESJ143" s="69"/>
      <c r="ESK143" s="69"/>
      <c r="ESL143" s="69"/>
      <c r="ESM143" s="69"/>
      <c r="ESN143" s="69"/>
      <c r="ESO143" s="69"/>
      <c r="ESP143" s="69"/>
      <c r="ESQ143" s="69"/>
      <c r="ESR143" s="69"/>
      <c r="ESS143" s="69"/>
      <c r="EST143" s="69"/>
      <c r="ESU143" s="69"/>
      <c r="ESV143" s="69"/>
      <c r="ESW143" s="69"/>
      <c r="ESX143" s="69"/>
      <c r="ESY143" s="69"/>
      <c r="ESZ143" s="69"/>
      <c r="ETA143" s="69"/>
      <c r="ETB143" s="69"/>
      <c r="ETC143" s="69"/>
      <c r="ETD143" s="69"/>
      <c r="ETE143" s="69"/>
      <c r="ETF143" s="69"/>
      <c r="ETG143" s="69"/>
      <c r="ETH143" s="69"/>
      <c r="ETI143" s="69"/>
      <c r="ETJ143" s="69"/>
      <c r="ETK143" s="69"/>
      <c r="ETL143" s="69"/>
      <c r="ETM143" s="69"/>
      <c r="ETN143" s="69"/>
      <c r="ETO143" s="69"/>
      <c r="ETP143" s="69"/>
      <c r="ETQ143" s="69"/>
      <c r="ETR143" s="69"/>
      <c r="ETS143" s="69"/>
      <c r="ETT143" s="69"/>
      <c r="ETU143" s="69"/>
      <c r="ETV143" s="69"/>
      <c r="ETW143" s="69"/>
      <c r="ETX143" s="69"/>
      <c r="ETY143" s="69"/>
      <c r="ETZ143" s="69"/>
      <c r="EUA143" s="69"/>
      <c r="EUB143" s="69"/>
      <c r="EUC143" s="69"/>
      <c r="EUD143" s="69"/>
      <c r="EUE143" s="69"/>
      <c r="EUF143" s="69"/>
      <c r="EUG143" s="69"/>
      <c r="EUH143" s="69"/>
      <c r="EUI143" s="69"/>
      <c r="EUJ143" s="69"/>
      <c r="EUK143" s="69"/>
      <c r="EUL143" s="69"/>
      <c r="EUM143" s="69"/>
      <c r="EUN143" s="69"/>
      <c r="EUO143" s="69"/>
      <c r="EUP143" s="69"/>
      <c r="EUQ143" s="69"/>
      <c r="EUR143" s="69"/>
      <c r="EUS143" s="69"/>
      <c r="EUT143" s="69"/>
      <c r="EUU143" s="69"/>
      <c r="EUV143" s="69"/>
      <c r="EUW143" s="69"/>
      <c r="EUX143" s="69"/>
      <c r="EUY143" s="69"/>
      <c r="EUZ143" s="69"/>
      <c r="EVA143" s="69"/>
      <c r="EVB143" s="69"/>
      <c r="EVC143" s="69"/>
      <c r="EVD143" s="69"/>
      <c r="EVE143" s="69"/>
      <c r="EVF143" s="69"/>
      <c r="EVG143" s="69"/>
      <c r="EVH143" s="69"/>
      <c r="EVI143" s="69"/>
      <c r="EVJ143" s="69"/>
      <c r="EVK143" s="69"/>
      <c r="EVL143" s="69"/>
      <c r="EVM143" s="69"/>
      <c r="EVN143" s="69"/>
      <c r="EVO143" s="69"/>
      <c r="EVP143" s="69"/>
      <c r="EVQ143" s="69"/>
      <c r="EVR143" s="69"/>
      <c r="EVS143" s="69"/>
      <c r="EVT143" s="69"/>
      <c r="EVU143" s="69"/>
      <c r="EVV143" s="69"/>
      <c r="EVW143" s="69"/>
      <c r="EVX143" s="69"/>
      <c r="EVY143" s="69"/>
      <c r="EVZ143" s="69"/>
      <c r="EWA143" s="69"/>
      <c r="EWB143" s="69"/>
      <c r="EWC143" s="69"/>
      <c r="EWD143" s="69"/>
      <c r="EWE143" s="69"/>
      <c r="EWF143" s="69"/>
      <c r="EWG143" s="69"/>
      <c r="EWH143" s="69"/>
      <c r="EWI143" s="69"/>
      <c r="EWJ143" s="69"/>
      <c r="EWK143" s="69"/>
      <c r="EWL143" s="69"/>
      <c r="EWM143" s="69"/>
      <c r="EWN143" s="69"/>
      <c r="EWO143" s="69"/>
      <c r="EWP143" s="69"/>
      <c r="EWQ143" s="69"/>
      <c r="EWR143" s="69"/>
      <c r="EWS143" s="69"/>
      <c r="EWT143" s="69"/>
      <c r="EWU143" s="69"/>
      <c r="EWV143" s="69"/>
      <c r="EWW143" s="69"/>
      <c r="EWX143" s="69"/>
      <c r="EWY143" s="69"/>
      <c r="EWZ143" s="69"/>
      <c r="EXA143" s="69"/>
      <c r="EXB143" s="69"/>
      <c r="EXC143" s="69"/>
      <c r="EXD143" s="69"/>
      <c r="EXE143" s="69"/>
      <c r="EXF143" s="69"/>
      <c r="EXG143" s="69"/>
      <c r="EXH143" s="69"/>
      <c r="EXI143" s="69"/>
      <c r="EXJ143" s="69"/>
      <c r="EXK143" s="69"/>
      <c r="EXL143" s="69"/>
      <c r="EXM143" s="69"/>
      <c r="EXN143" s="69"/>
      <c r="EXO143" s="69"/>
      <c r="EXP143" s="69"/>
      <c r="EXQ143" s="69"/>
      <c r="EXR143" s="69"/>
      <c r="EXS143" s="69"/>
      <c r="EXT143" s="69"/>
      <c r="EXU143" s="69"/>
      <c r="EXV143" s="69"/>
      <c r="EXW143" s="69"/>
      <c r="EXX143" s="69"/>
      <c r="EXY143" s="69"/>
      <c r="EXZ143" s="69"/>
      <c r="EYA143" s="69"/>
      <c r="EYB143" s="69"/>
      <c r="EYC143" s="69"/>
      <c r="EYD143" s="69"/>
      <c r="EYE143" s="69"/>
      <c r="EYF143" s="69"/>
      <c r="EYG143" s="69"/>
      <c r="EYH143" s="69"/>
      <c r="EYI143" s="69"/>
      <c r="EYJ143" s="69"/>
      <c r="EYK143" s="69"/>
      <c r="EYL143" s="69"/>
      <c r="EYM143" s="69"/>
      <c r="EYN143" s="69"/>
      <c r="EYO143" s="69"/>
      <c r="EYP143" s="69"/>
      <c r="EYQ143" s="69"/>
      <c r="EYR143" s="69"/>
      <c r="EYS143" s="69"/>
      <c r="EYT143" s="69"/>
      <c r="EYU143" s="69"/>
      <c r="EYV143" s="69"/>
      <c r="EYW143" s="69"/>
      <c r="EYX143" s="69"/>
      <c r="EYY143" s="69"/>
      <c r="EYZ143" s="69"/>
      <c r="EZA143" s="69"/>
      <c r="EZB143" s="69"/>
      <c r="EZC143" s="69"/>
      <c r="EZD143" s="69"/>
      <c r="EZE143" s="69"/>
      <c r="EZF143" s="69"/>
      <c r="EZG143" s="69"/>
      <c r="EZH143" s="69"/>
      <c r="EZI143" s="69"/>
      <c r="EZJ143" s="69"/>
      <c r="EZK143" s="69"/>
      <c r="EZL143" s="69"/>
      <c r="EZM143" s="69"/>
      <c r="EZN143" s="69"/>
      <c r="EZO143" s="69"/>
      <c r="EZP143" s="69"/>
      <c r="EZQ143" s="69"/>
      <c r="EZR143" s="69"/>
      <c r="EZS143" s="69"/>
      <c r="EZT143" s="69"/>
      <c r="EZU143" s="69"/>
      <c r="EZV143" s="69"/>
      <c r="EZW143" s="69"/>
      <c r="EZX143" s="69"/>
      <c r="EZY143" s="69"/>
      <c r="EZZ143" s="69"/>
      <c r="FAA143" s="69"/>
      <c r="FAB143" s="69"/>
      <c r="FAC143" s="69"/>
      <c r="FAD143" s="69"/>
      <c r="FAE143" s="69"/>
      <c r="FAF143" s="69"/>
      <c r="FAG143" s="69"/>
      <c r="FAH143" s="69"/>
      <c r="FAI143" s="69"/>
      <c r="FAJ143" s="69"/>
      <c r="FAK143" s="69"/>
      <c r="FAL143" s="69"/>
      <c r="FAM143" s="69"/>
      <c r="FAN143" s="69"/>
      <c r="FAO143" s="69"/>
      <c r="FAP143" s="69"/>
      <c r="FAQ143" s="69"/>
      <c r="FAR143" s="69"/>
      <c r="FAS143" s="69"/>
      <c r="FAT143" s="69"/>
      <c r="FAU143" s="69"/>
      <c r="FAV143" s="69"/>
      <c r="FAW143" s="69"/>
      <c r="FAX143" s="69"/>
      <c r="FAY143" s="69"/>
      <c r="FAZ143" s="69"/>
      <c r="FBA143" s="69"/>
      <c r="FBB143" s="69"/>
      <c r="FBC143" s="69"/>
      <c r="FBD143" s="69"/>
      <c r="FBE143" s="69"/>
      <c r="FBF143" s="69"/>
      <c r="FBG143" s="69"/>
      <c r="FBH143" s="69"/>
      <c r="FBI143" s="69"/>
      <c r="FBJ143" s="69"/>
      <c r="FBK143" s="69"/>
      <c r="FBL143" s="69"/>
      <c r="FBM143" s="69"/>
      <c r="FBN143" s="69"/>
      <c r="FBO143" s="69"/>
      <c r="FBP143" s="69"/>
      <c r="FBQ143" s="69"/>
      <c r="FBR143" s="69"/>
      <c r="FBS143" s="69"/>
      <c r="FBT143" s="69"/>
      <c r="FBU143" s="69"/>
      <c r="FBV143" s="69"/>
      <c r="FBW143" s="69"/>
      <c r="FBX143" s="69"/>
      <c r="FBY143" s="69"/>
      <c r="FBZ143" s="69"/>
      <c r="FCA143" s="69"/>
      <c r="FCB143" s="69"/>
      <c r="FCC143" s="69"/>
      <c r="FCD143" s="69"/>
      <c r="FCE143" s="69"/>
      <c r="FCF143" s="69"/>
      <c r="FCG143" s="69"/>
      <c r="FCH143" s="69"/>
      <c r="FCI143" s="69"/>
      <c r="FCJ143" s="69"/>
      <c r="FCK143" s="69"/>
      <c r="FCL143" s="69"/>
      <c r="FCM143" s="69"/>
      <c r="FCN143" s="69"/>
      <c r="FCO143" s="69"/>
      <c r="FCP143" s="69"/>
      <c r="FCQ143" s="69"/>
      <c r="FCR143" s="69"/>
      <c r="FCS143" s="69"/>
      <c r="FCT143" s="69"/>
      <c r="FCU143" s="69"/>
      <c r="FCV143" s="69"/>
      <c r="FCW143" s="69"/>
      <c r="FCX143" s="69"/>
      <c r="FCY143" s="69"/>
      <c r="FCZ143" s="69"/>
      <c r="FDA143" s="69"/>
      <c r="FDB143" s="69"/>
      <c r="FDC143" s="69"/>
      <c r="FDD143" s="69"/>
      <c r="FDE143" s="69"/>
      <c r="FDF143" s="69"/>
      <c r="FDG143" s="69"/>
      <c r="FDH143" s="69"/>
      <c r="FDI143" s="69"/>
      <c r="FDJ143" s="69"/>
      <c r="FDK143" s="69"/>
      <c r="FDL143" s="69"/>
      <c r="FDM143" s="69"/>
      <c r="FDN143" s="69"/>
      <c r="FDO143" s="69"/>
      <c r="FDP143" s="69"/>
      <c r="FDQ143" s="69"/>
      <c r="FDR143" s="69"/>
      <c r="FDS143" s="69"/>
      <c r="FDT143" s="69"/>
      <c r="FDU143" s="69"/>
      <c r="FDV143" s="69"/>
      <c r="FDW143" s="69"/>
      <c r="FDX143" s="69"/>
      <c r="FDY143" s="69"/>
      <c r="FDZ143" s="69"/>
      <c r="FEA143" s="69"/>
      <c r="FEB143" s="69"/>
      <c r="FEC143" s="69"/>
      <c r="FED143" s="69"/>
      <c r="FEE143" s="69"/>
      <c r="FEF143" s="69"/>
      <c r="FEG143" s="69"/>
      <c r="FEH143" s="69"/>
      <c r="FEI143" s="69"/>
      <c r="FEJ143" s="69"/>
      <c r="FEK143" s="69"/>
      <c r="FEL143" s="69"/>
      <c r="FEM143" s="69"/>
      <c r="FEN143" s="69"/>
      <c r="FEO143" s="69"/>
      <c r="FEP143" s="69"/>
      <c r="FEQ143" s="69"/>
      <c r="FER143" s="69"/>
      <c r="FES143" s="69"/>
      <c r="FET143" s="69"/>
      <c r="FEU143" s="69"/>
      <c r="FEV143" s="69"/>
      <c r="FEW143" s="69"/>
      <c r="FEX143" s="69"/>
      <c r="FEY143" s="69"/>
      <c r="FEZ143" s="69"/>
      <c r="FFA143" s="69"/>
      <c r="FFB143" s="69"/>
      <c r="FFC143" s="69"/>
      <c r="FFD143" s="69"/>
      <c r="FFE143" s="69"/>
      <c r="FFF143" s="69"/>
      <c r="FFG143" s="69"/>
      <c r="FFH143" s="69"/>
      <c r="FFI143" s="69"/>
      <c r="FFJ143" s="69"/>
      <c r="FFK143" s="69"/>
      <c r="FFL143" s="69"/>
      <c r="FFM143" s="69"/>
      <c r="FFN143" s="69"/>
      <c r="FFO143" s="69"/>
      <c r="FFP143" s="69"/>
      <c r="FFQ143" s="69"/>
      <c r="FFR143" s="69"/>
      <c r="FFS143" s="69"/>
      <c r="FFT143" s="69"/>
      <c r="FFU143" s="69"/>
      <c r="FFV143" s="69"/>
      <c r="FFW143" s="69"/>
      <c r="FFX143" s="69"/>
      <c r="FFY143" s="69"/>
      <c r="FFZ143" s="69"/>
      <c r="FGA143" s="69"/>
      <c r="FGB143" s="69"/>
      <c r="FGC143" s="69"/>
      <c r="FGD143" s="69"/>
      <c r="FGE143" s="69"/>
      <c r="FGF143" s="69"/>
      <c r="FGG143" s="69"/>
      <c r="FGH143" s="69"/>
      <c r="FGI143" s="69"/>
      <c r="FGJ143" s="69"/>
      <c r="FGK143" s="69"/>
      <c r="FGL143" s="69"/>
      <c r="FGM143" s="69"/>
      <c r="FGN143" s="69"/>
      <c r="FGO143" s="69"/>
      <c r="FGP143" s="69"/>
      <c r="FGQ143" s="69"/>
      <c r="FGR143" s="69"/>
      <c r="FGS143" s="69"/>
      <c r="FGT143" s="69"/>
      <c r="FGU143" s="69"/>
      <c r="FGV143" s="69"/>
      <c r="FGW143" s="69"/>
      <c r="FGX143" s="69"/>
      <c r="FGY143" s="69"/>
      <c r="FGZ143" s="69"/>
      <c r="FHA143" s="69"/>
      <c r="FHB143" s="69"/>
      <c r="FHC143" s="69"/>
      <c r="FHD143" s="69"/>
      <c r="FHE143" s="69"/>
      <c r="FHF143" s="69"/>
      <c r="FHG143" s="69"/>
      <c r="FHH143" s="69"/>
      <c r="FHI143" s="69"/>
      <c r="FHJ143" s="69"/>
      <c r="FHK143" s="69"/>
      <c r="FHL143" s="69"/>
      <c r="FHM143" s="69"/>
      <c r="FHN143" s="69"/>
      <c r="FHO143" s="69"/>
      <c r="FHP143" s="69"/>
      <c r="FHQ143" s="69"/>
      <c r="FHR143" s="69"/>
      <c r="FHS143" s="69"/>
      <c r="FHT143" s="69"/>
      <c r="FHU143" s="69"/>
      <c r="FHV143" s="69"/>
      <c r="FHW143" s="69"/>
      <c r="FHX143" s="69"/>
      <c r="FHY143" s="69"/>
      <c r="FHZ143" s="69"/>
      <c r="FIA143" s="69"/>
      <c r="FIB143" s="69"/>
      <c r="FIC143" s="69"/>
      <c r="FID143" s="69"/>
      <c r="FIE143" s="69"/>
      <c r="FIF143" s="69"/>
      <c r="FIG143" s="69"/>
      <c r="FIH143" s="69"/>
      <c r="FII143" s="69"/>
      <c r="FIJ143" s="69"/>
      <c r="FIK143" s="69"/>
      <c r="FIL143" s="69"/>
      <c r="FIM143" s="69"/>
      <c r="FIN143" s="69"/>
      <c r="FIO143" s="69"/>
      <c r="FIP143" s="69"/>
      <c r="FIQ143" s="69"/>
      <c r="FIR143" s="69"/>
      <c r="FIS143" s="69"/>
      <c r="FIT143" s="69"/>
      <c r="FIU143" s="69"/>
      <c r="FIV143" s="69"/>
      <c r="FIW143" s="69"/>
      <c r="FIX143" s="69"/>
      <c r="FIY143" s="69"/>
      <c r="FIZ143" s="69"/>
      <c r="FJA143" s="69"/>
      <c r="FJB143" s="69"/>
      <c r="FJC143" s="69"/>
      <c r="FJD143" s="69"/>
      <c r="FJE143" s="69"/>
      <c r="FJF143" s="69"/>
      <c r="FJG143" s="69"/>
      <c r="FJH143" s="69"/>
      <c r="FJI143" s="69"/>
      <c r="FJJ143" s="69"/>
      <c r="FJK143" s="69"/>
      <c r="FJL143" s="69"/>
      <c r="FJM143" s="69"/>
      <c r="FJN143" s="69"/>
      <c r="FJO143" s="69"/>
      <c r="FJP143" s="69"/>
      <c r="FJQ143" s="69"/>
      <c r="FJR143" s="69"/>
      <c r="FJS143" s="69"/>
      <c r="FJT143" s="69"/>
      <c r="FJU143" s="69"/>
      <c r="FJV143" s="69"/>
      <c r="FJW143" s="69"/>
      <c r="FJX143" s="69"/>
      <c r="FJY143" s="69"/>
      <c r="FJZ143" s="69"/>
      <c r="FKA143" s="69"/>
      <c r="FKB143" s="69"/>
      <c r="FKC143" s="69"/>
      <c r="FKD143" s="69"/>
      <c r="FKE143" s="69"/>
      <c r="FKF143" s="69"/>
      <c r="FKG143" s="69"/>
      <c r="FKH143" s="69"/>
      <c r="FKI143" s="69"/>
      <c r="FKJ143" s="69"/>
      <c r="FKK143" s="69"/>
      <c r="FKL143" s="69"/>
      <c r="FKM143" s="69"/>
      <c r="FKN143" s="69"/>
      <c r="FKO143" s="69"/>
      <c r="FKP143" s="69"/>
      <c r="FKQ143" s="69"/>
      <c r="FKR143" s="69"/>
      <c r="FKS143" s="69"/>
      <c r="FKT143" s="69"/>
      <c r="FKU143" s="69"/>
      <c r="FKV143" s="69"/>
      <c r="FKW143" s="69"/>
      <c r="FKX143" s="69"/>
      <c r="FKY143" s="69"/>
      <c r="FKZ143" s="69"/>
      <c r="FLA143" s="69"/>
      <c r="FLB143" s="69"/>
      <c r="FLC143" s="69"/>
      <c r="FLD143" s="69"/>
      <c r="FLE143" s="69"/>
      <c r="FLF143" s="69"/>
      <c r="FLG143" s="69"/>
      <c r="FLH143" s="69"/>
      <c r="FLI143" s="69"/>
      <c r="FLJ143" s="69"/>
      <c r="FLK143" s="69"/>
      <c r="FLL143" s="69"/>
      <c r="FLM143" s="69"/>
      <c r="FLN143" s="69"/>
      <c r="FLO143" s="69"/>
      <c r="FLP143" s="69"/>
      <c r="FLQ143" s="69"/>
      <c r="FLR143" s="69"/>
      <c r="FLS143" s="69"/>
      <c r="FLT143" s="69"/>
      <c r="FLU143" s="69"/>
      <c r="FLV143" s="69"/>
      <c r="FLW143" s="69"/>
      <c r="FLX143" s="69"/>
      <c r="FLY143" s="69"/>
      <c r="FLZ143" s="69"/>
      <c r="FMA143" s="69"/>
      <c r="FMB143" s="69"/>
      <c r="FMC143" s="69"/>
      <c r="FMD143" s="69"/>
      <c r="FME143" s="69"/>
      <c r="FMF143" s="69"/>
      <c r="FMG143" s="69"/>
      <c r="FMH143" s="69"/>
      <c r="FMI143" s="69"/>
      <c r="FMJ143" s="69"/>
      <c r="FMK143" s="69"/>
      <c r="FML143" s="69"/>
      <c r="FMM143" s="69"/>
      <c r="FMN143" s="69"/>
      <c r="FMO143" s="69"/>
      <c r="FMP143" s="69"/>
      <c r="FMQ143" s="69"/>
      <c r="FMR143" s="69"/>
      <c r="FMS143" s="69"/>
      <c r="FMT143" s="69"/>
      <c r="FMU143" s="69"/>
      <c r="FMV143" s="69"/>
      <c r="FMW143" s="69"/>
      <c r="FMX143" s="69"/>
      <c r="FMY143" s="69"/>
      <c r="FMZ143" s="69"/>
      <c r="FNA143" s="69"/>
      <c r="FNB143" s="69"/>
      <c r="FNC143" s="69"/>
      <c r="FND143" s="69"/>
      <c r="FNE143" s="69"/>
      <c r="FNF143" s="69"/>
      <c r="FNG143" s="69"/>
      <c r="FNH143" s="69"/>
      <c r="FNI143" s="69"/>
      <c r="FNJ143" s="69"/>
      <c r="FNK143" s="69"/>
      <c r="FNL143" s="69"/>
      <c r="FNM143" s="69"/>
      <c r="FNN143" s="69"/>
      <c r="FNO143" s="69"/>
      <c r="FNP143" s="69"/>
      <c r="FNQ143" s="69"/>
      <c r="FNR143" s="69"/>
      <c r="FNS143" s="69"/>
      <c r="FNT143" s="69"/>
      <c r="FNU143" s="69"/>
      <c r="FNV143" s="69"/>
      <c r="FNW143" s="69"/>
      <c r="FNX143" s="69"/>
      <c r="FNY143" s="69"/>
      <c r="FNZ143" s="69"/>
      <c r="FOA143" s="69"/>
      <c r="FOB143" s="69"/>
      <c r="FOC143" s="69"/>
      <c r="FOD143" s="69"/>
      <c r="FOE143" s="69"/>
      <c r="FOF143" s="69"/>
      <c r="FOG143" s="69"/>
      <c r="FOH143" s="69"/>
      <c r="FOI143" s="69"/>
      <c r="FOJ143" s="69"/>
      <c r="FOK143" s="69"/>
      <c r="FOL143" s="69"/>
      <c r="FOM143" s="69"/>
      <c r="FON143" s="69"/>
      <c r="FOO143" s="69"/>
      <c r="FOP143" s="69"/>
      <c r="FOQ143" s="69"/>
      <c r="FOR143" s="69"/>
      <c r="FOS143" s="69"/>
      <c r="FOT143" s="69"/>
      <c r="FOU143" s="69"/>
      <c r="FOV143" s="69"/>
      <c r="FOW143" s="69"/>
      <c r="FOX143" s="69"/>
      <c r="FOY143" s="69"/>
      <c r="FOZ143" s="69"/>
      <c r="FPA143" s="69"/>
      <c r="FPB143" s="69"/>
      <c r="FPC143" s="69"/>
      <c r="FPD143" s="69"/>
      <c r="FPE143" s="69"/>
      <c r="FPF143" s="69"/>
      <c r="FPG143" s="69"/>
      <c r="FPH143" s="69"/>
      <c r="FPI143" s="69"/>
      <c r="FPJ143" s="69"/>
      <c r="FPK143" s="69"/>
      <c r="FPL143" s="69"/>
      <c r="FPM143" s="69"/>
      <c r="FPN143" s="69"/>
      <c r="FPO143" s="69"/>
      <c r="FPP143" s="69"/>
      <c r="FPQ143" s="69"/>
      <c r="FPR143" s="69"/>
      <c r="FPS143" s="69"/>
      <c r="FPT143" s="69"/>
      <c r="FPU143" s="69"/>
      <c r="FPV143" s="69"/>
      <c r="FPW143" s="69"/>
      <c r="FPX143" s="69"/>
      <c r="FPY143" s="69"/>
      <c r="FPZ143" s="69"/>
      <c r="FQA143" s="69"/>
      <c r="FQB143" s="69"/>
      <c r="FQC143" s="69"/>
      <c r="FQD143" s="69"/>
      <c r="FQE143" s="69"/>
      <c r="FQF143" s="69"/>
      <c r="FQG143" s="69"/>
      <c r="FQH143" s="69"/>
      <c r="FQI143" s="69"/>
      <c r="FQJ143" s="69"/>
      <c r="FQK143" s="69"/>
      <c r="FQL143" s="69"/>
      <c r="FQM143" s="69"/>
      <c r="FQN143" s="69"/>
      <c r="FQO143" s="69"/>
      <c r="FQP143" s="69"/>
      <c r="FQQ143" s="69"/>
      <c r="FQR143" s="69"/>
      <c r="FQS143" s="69"/>
      <c r="FQT143" s="69"/>
      <c r="FQU143" s="69"/>
      <c r="FQV143" s="69"/>
      <c r="FQW143" s="69"/>
      <c r="FQX143" s="69"/>
      <c r="FQY143" s="69"/>
      <c r="FQZ143" s="69"/>
      <c r="FRA143" s="69"/>
      <c r="FRB143" s="69"/>
      <c r="FRC143" s="69"/>
      <c r="FRD143" s="69"/>
      <c r="FRE143" s="69"/>
      <c r="FRF143" s="69"/>
      <c r="FRG143" s="69"/>
      <c r="FRH143" s="69"/>
      <c r="FRI143" s="69"/>
      <c r="FRJ143" s="69"/>
      <c r="FRK143" s="69"/>
      <c r="FRL143" s="69"/>
      <c r="FRM143" s="69"/>
      <c r="FRN143" s="69"/>
      <c r="FRO143" s="69"/>
      <c r="FRP143" s="69"/>
      <c r="FRQ143" s="69"/>
      <c r="FRR143" s="69"/>
      <c r="FRS143" s="69"/>
      <c r="FRT143" s="69"/>
      <c r="FRU143" s="69"/>
      <c r="FRV143" s="69"/>
      <c r="FRW143" s="69"/>
      <c r="FRX143" s="69"/>
      <c r="FRY143" s="69"/>
      <c r="FRZ143" s="69"/>
      <c r="FSA143" s="69"/>
      <c r="FSB143" s="69"/>
      <c r="FSC143" s="69"/>
      <c r="FSD143" s="69"/>
      <c r="FSE143" s="69"/>
      <c r="FSF143" s="69"/>
      <c r="FSG143" s="69"/>
      <c r="FSH143" s="69"/>
      <c r="FSI143" s="69"/>
      <c r="FSJ143" s="69"/>
      <c r="FSK143" s="69"/>
      <c r="FSL143" s="69"/>
      <c r="FSM143" s="69"/>
      <c r="FSN143" s="69"/>
      <c r="FSO143" s="69"/>
      <c r="FSP143" s="69"/>
      <c r="FSQ143" s="69"/>
      <c r="FSR143" s="69"/>
      <c r="FSS143" s="69"/>
      <c r="FST143" s="69"/>
      <c r="FSU143" s="69"/>
      <c r="FSV143" s="69"/>
      <c r="FSW143" s="69"/>
      <c r="FSX143" s="69"/>
      <c r="FSY143" s="69"/>
      <c r="FSZ143" s="69"/>
      <c r="FTA143" s="69"/>
      <c r="FTB143" s="69"/>
      <c r="FTC143" s="69"/>
      <c r="FTD143" s="69"/>
      <c r="FTE143" s="69"/>
      <c r="FTF143" s="69"/>
      <c r="FTG143" s="69"/>
      <c r="FTH143" s="69"/>
      <c r="FTI143" s="69"/>
      <c r="FTJ143" s="69"/>
      <c r="FTK143" s="69"/>
      <c r="FTL143" s="69"/>
      <c r="FTM143" s="69"/>
      <c r="FTN143" s="69"/>
      <c r="FTO143" s="69"/>
      <c r="FTP143" s="69"/>
      <c r="FTQ143" s="69"/>
      <c r="FTR143" s="69"/>
      <c r="FTS143" s="69"/>
      <c r="FTT143" s="69"/>
      <c r="FTU143" s="69"/>
      <c r="FTV143" s="69"/>
      <c r="FTW143" s="69"/>
      <c r="FTX143" s="69"/>
      <c r="FTY143" s="69"/>
      <c r="FTZ143" s="69"/>
      <c r="FUA143" s="69"/>
      <c r="FUB143" s="69"/>
      <c r="FUC143" s="69"/>
      <c r="FUD143" s="69"/>
      <c r="FUE143" s="69"/>
      <c r="FUF143" s="69"/>
      <c r="FUG143" s="69"/>
      <c r="FUH143" s="69"/>
      <c r="FUI143" s="69"/>
      <c r="FUJ143" s="69"/>
      <c r="FUK143" s="69"/>
      <c r="FUL143" s="69"/>
      <c r="FUM143" s="69"/>
      <c r="FUN143" s="69"/>
      <c r="FUO143" s="69"/>
      <c r="FUP143" s="69"/>
      <c r="FUQ143" s="69"/>
      <c r="FUR143" s="69"/>
      <c r="FUS143" s="69"/>
      <c r="FUT143" s="69"/>
      <c r="FUU143" s="69"/>
      <c r="FUV143" s="69"/>
      <c r="FUW143" s="69"/>
      <c r="FUX143" s="69"/>
      <c r="FUY143" s="69"/>
      <c r="FUZ143" s="69"/>
      <c r="FVA143" s="69"/>
      <c r="FVB143" s="69"/>
      <c r="FVC143" s="69"/>
      <c r="FVD143" s="69"/>
      <c r="FVE143" s="69"/>
      <c r="FVF143" s="69"/>
      <c r="FVG143" s="69"/>
      <c r="FVH143" s="69"/>
      <c r="FVI143" s="69"/>
      <c r="FVJ143" s="69"/>
      <c r="FVK143" s="69"/>
      <c r="FVL143" s="69"/>
      <c r="FVM143" s="69"/>
      <c r="FVN143" s="69"/>
      <c r="FVO143" s="69"/>
      <c r="FVP143" s="69"/>
      <c r="FVQ143" s="69"/>
      <c r="FVR143" s="69"/>
      <c r="FVS143" s="69"/>
      <c r="FVT143" s="69"/>
      <c r="FVU143" s="69"/>
      <c r="FVV143" s="69"/>
      <c r="FVW143" s="69"/>
      <c r="FVX143" s="69"/>
      <c r="FVY143" s="69"/>
      <c r="FVZ143" s="69"/>
      <c r="FWA143" s="69"/>
      <c r="FWB143" s="69"/>
      <c r="FWC143" s="69"/>
      <c r="FWD143" s="69"/>
      <c r="FWE143" s="69"/>
      <c r="FWF143" s="69"/>
      <c r="FWG143" s="69"/>
      <c r="FWH143" s="69"/>
      <c r="FWI143" s="69"/>
      <c r="FWJ143" s="69"/>
      <c r="FWK143" s="69"/>
      <c r="FWL143" s="69"/>
      <c r="FWM143" s="69"/>
      <c r="FWN143" s="69"/>
      <c r="FWO143" s="69"/>
      <c r="FWP143" s="69"/>
      <c r="FWQ143" s="69"/>
      <c r="FWR143" s="69"/>
      <c r="FWS143" s="69"/>
      <c r="FWT143" s="69"/>
      <c r="FWU143" s="69"/>
      <c r="FWV143" s="69"/>
      <c r="FWW143" s="69"/>
      <c r="FWX143" s="69"/>
      <c r="FWY143" s="69"/>
      <c r="FWZ143" s="69"/>
      <c r="FXA143" s="69"/>
      <c r="FXB143" s="69"/>
      <c r="FXC143" s="69"/>
      <c r="FXD143" s="69"/>
      <c r="FXE143" s="69"/>
      <c r="FXF143" s="69"/>
      <c r="FXG143" s="69"/>
      <c r="FXH143" s="69"/>
      <c r="FXI143" s="69"/>
      <c r="FXJ143" s="69"/>
      <c r="FXK143" s="69"/>
      <c r="FXL143" s="69"/>
      <c r="FXM143" s="69"/>
      <c r="FXN143" s="69"/>
      <c r="FXO143" s="69"/>
      <c r="FXP143" s="69"/>
      <c r="FXQ143" s="69"/>
      <c r="FXR143" s="69"/>
      <c r="FXS143" s="69"/>
      <c r="FXT143" s="69"/>
      <c r="FXU143" s="69"/>
      <c r="FXV143" s="69"/>
      <c r="FXW143" s="69"/>
      <c r="FXX143" s="69"/>
      <c r="FXY143" s="69"/>
      <c r="FXZ143" s="69"/>
      <c r="FYA143" s="69"/>
      <c r="FYB143" s="69"/>
      <c r="FYC143" s="69"/>
      <c r="FYD143" s="69"/>
      <c r="FYE143" s="69"/>
      <c r="FYF143" s="69"/>
      <c r="FYG143" s="69"/>
      <c r="FYH143" s="69"/>
      <c r="FYI143" s="69"/>
      <c r="FYJ143" s="69"/>
      <c r="FYK143" s="69"/>
      <c r="FYL143" s="69"/>
      <c r="FYM143" s="69"/>
      <c r="FYN143" s="69"/>
      <c r="FYO143" s="69"/>
      <c r="FYP143" s="69"/>
      <c r="FYQ143" s="69"/>
      <c r="FYR143" s="69"/>
      <c r="FYS143" s="69"/>
      <c r="FYT143" s="69"/>
      <c r="FYU143" s="69"/>
      <c r="FYV143" s="69"/>
      <c r="FYW143" s="69"/>
      <c r="FYX143" s="69"/>
      <c r="FYY143" s="69"/>
      <c r="FYZ143" s="69"/>
      <c r="FZA143" s="69"/>
      <c r="FZB143" s="69"/>
      <c r="FZC143" s="69"/>
      <c r="FZD143" s="69"/>
      <c r="FZE143" s="69"/>
      <c r="FZF143" s="69"/>
      <c r="FZG143" s="69"/>
      <c r="FZH143" s="69"/>
      <c r="FZI143" s="69"/>
      <c r="FZJ143" s="69"/>
      <c r="FZK143" s="69"/>
      <c r="FZL143" s="69"/>
      <c r="FZM143" s="69"/>
      <c r="FZN143" s="69"/>
      <c r="FZO143" s="69"/>
      <c r="FZP143" s="69"/>
      <c r="FZQ143" s="69"/>
      <c r="FZR143" s="69"/>
      <c r="FZS143" s="69"/>
      <c r="FZT143" s="69"/>
      <c r="FZU143" s="69"/>
      <c r="FZV143" s="69"/>
      <c r="FZW143" s="69"/>
      <c r="FZX143" s="69"/>
      <c r="FZY143" s="69"/>
      <c r="FZZ143" s="69"/>
      <c r="GAA143" s="69"/>
      <c r="GAB143" s="69"/>
      <c r="GAC143" s="69"/>
      <c r="GAD143" s="69"/>
      <c r="GAE143" s="69"/>
      <c r="GAF143" s="69"/>
      <c r="GAG143" s="69"/>
      <c r="GAH143" s="69"/>
      <c r="GAI143" s="69"/>
      <c r="GAJ143" s="69"/>
      <c r="GAK143" s="69"/>
      <c r="GAL143" s="69"/>
      <c r="GAM143" s="69"/>
      <c r="GAN143" s="69"/>
      <c r="GAO143" s="69"/>
      <c r="GAP143" s="69"/>
      <c r="GAQ143" s="69"/>
      <c r="GAR143" s="69"/>
      <c r="GAS143" s="69"/>
      <c r="GAT143" s="69"/>
      <c r="GAU143" s="69"/>
      <c r="GAV143" s="69"/>
      <c r="GAW143" s="69"/>
      <c r="GAX143" s="69"/>
      <c r="GAY143" s="69"/>
      <c r="GAZ143" s="69"/>
      <c r="GBA143" s="69"/>
      <c r="GBB143" s="69"/>
      <c r="GBC143" s="69"/>
      <c r="GBD143" s="69"/>
      <c r="GBE143" s="69"/>
      <c r="GBF143" s="69"/>
      <c r="GBG143" s="69"/>
      <c r="GBH143" s="69"/>
      <c r="GBI143" s="69"/>
      <c r="GBJ143" s="69"/>
      <c r="GBK143" s="69"/>
      <c r="GBL143" s="69"/>
      <c r="GBM143" s="69"/>
      <c r="GBN143" s="69"/>
      <c r="GBO143" s="69"/>
      <c r="GBP143" s="69"/>
      <c r="GBQ143" s="69"/>
      <c r="GBR143" s="69"/>
      <c r="GBS143" s="69"/>
      <c r="GBT143" s="69"/>
      <c r="GBU143" s="69"/>
      <c r="GBV143" s="69"/>
      <c r="GBW143" s="69"/>
      <c r="GBX143" s="69"/>
      <c r="GBY143" s="69"/>
      <c r="GBZ143" s="69"/>
      <c r="GCA143" s="69"/>
      <c r="GCB143" s="69"/>
      <c r="GCC143" s="69"/>
      <c r="GCD143" s="69"/>
      <c r="GCE143" s="69"/>
      <c r="GCF143" s="69"/>
      <c r="GCG143" s="69"/>
      <c r="GCH143" s="69"/>
      <c r="GCI143" s="69"/>
      <c r="GCJ143" s="69"/>
      <c r="GCK143" s="69"/>
      <c r="GCL143" s="69"/>
      <c r="GCM143" s="69"/>
      <c r="GCN143" s="69"/>
      <c r="GCO143" s="69"/>
      <c r="GCP143" s="69"/>
      <c r="GCQ143" s="69"/>
      <c r="GCR143" s="69"/>
      <c r="GCS143" s="69"/>
      <c r="GCT143" s="69"/>
      <c r="GCU143" s="69"/>
      <c r="GCV143" s="69"/>
      <c r="GCW143" s="69"/>
      <c r="GCX143" s="69"/>
      <c r="GCY143" s="69"/>
      <c r="GCZ143" s="69"/>
      <c r="GDA143" s="69"/>
      <c r="GDB143" s="69"/>
      <c r="GDC143" s="69"/>
      <c r="GDD143" s="69"/>
      <c r="GDE143" s="69"/>
      <c r="GDF143" s="69"/>
      <c r="GDG143" s="69"/>
      <c r="GDH143" s="69"/>
      <c r="GDI143" s="69"/>
      <c r="GDJ143" s="69"/>
      <c r="GDK143" s="69"/>
      <c r="GDL143" s="69"/>
      <c r="GDM143" s="69"/>
      <c r="GDN143" s="69"/>
      <c r="GDO143" s="69"/>
      <c r="GDP143" s="69"/>
      <c r="GDQ143" s="69"/>
      <c r="GDR143" s="69"/>
      <c r="GDS143" s="69"/>
      <c r="GDT143" s="69"/>
      <c r="GDU143" s="69"/>
      <c r="GDV143" s="69"/>
      <c r="GDW143" s="69"/>
      <c r="GDX143" s="69"/>
      <c r="GDY143" s="69"/>
      <c r="GDZ143" s="69"/>
      <c r="GEA143" s="69"/>
      <c r="GEB143" s="69"/>
      <c r="GEC143" s="69"/>
      <c r="GED143" s="69"/>
      <c r="GEE143" s="69"/>
      <c r="GEF143" s="69"/>
      <c r="GEG143" s="69"/>
      <c r="GEH143" s="69"/>
      <c r="GEI143" s="69"/>
      <c r="GEJ143" s="69"/>
      <c r="GEK143" s="69"/>
      <c r="GEL143" s="69"/>
      <c r="GEM143" s="69"/>
      <c r="GEN143" s="69"/>
      <c r="GEO143" s="69"/>
      <c r="GEP143" s="69"/>
      <c r="GEQ143" s="69"/>
      <c r="GER143" s="69"/>
      <c r="GES143" s="69"/>
      <c r="GET143" s="69"/>
      <c r="GEU143" s="69"/>
      <c r="GEV143" s="69"/>
      <c r="GEW143" s="69"/>
      <c r="GEX143" s="69"/>
      <c r="GEY143" s="69"/>
      <c r="GEZ143" s="69"/>
      <c r="GFA143" s="69"/>
      <c r="GFB143" s="69"/>
      <c r="GFC143" s="69"/>
      <c r="GFD143" s="69"/>
      <c r="GFE143" s="69"/>
      <c r="GFF143" s="69"/>
      <c r="GFG143" s="69"/>
      <c r="GFH143" s="69"/>
      <c r="GFI143" s="69"/>
      <c r="GFJ143" s="69"/>
      <c r="GFK143" s="69"/>
      <c r="GFL143" s="69"/>
      <c r="GFM143" s="69"/>
      <c r="GFN143" s="69"/>
      <c r="GFO143" s="69"/>
      <c r="GFP143" s="69"/>
      <c r="GFQ143" s="69"/>
      <c r="GFR143" s="69"/>
      <c r="GFS143" s="69"/>
      <c r="GFT143" s="69"/>
      <c r="GFU143" s="69"/>
      <c r="GFV143" s="69"/>
      <c r="GFW143" s="69"/>
      <c r="GFX143" s="69"/>
      <c r="GFY143" s="69"/>
      <c r="GFZ143" s="69"/>
      <c r="GGA143" s="69"/>
      <c r="GGB143" s="69"/>
      <c r="GGC143" s="69"/>
      <c r="GGD143" s="69"/>
      <c r="GGE143" s="69"/>
      <c r="GGF143" s="69"/>
      <c r="GGG143" s="69"/>
      <c r="GGH143" s="69"/>
      <c r="GGI143" s="69"/>
      <c r="GGJ143" s="69"/>
      <c r="GGK143" s="69"/>
      <c r="GGL143" s="69"/>
      <c r="GGM143" s="69"/>
      <c r="GGN143" s="69"/>
      <c r="GGO143" s="69"/>
      <c r="GGP143" s="69"/>
      <c r="GGQ143" s="69"/>
      <c r="GGR143" s="69"/>
      <c r="GGS143" s="69"/>
      <c r="GGT143" s="69"/>
      <c r="GGU143" s="69"/>
      <c r="GGV143" s="69"/>
      <c r="GGW143" s="69"/>
      <c r="GGX143" s="69"/>
      <c r="GGY143" s="69"/>
      <c r="GGZ143" s="69"/>
      <c r="GHA143" s="69"/>
      <c r="GHB143" s="69"/>
      <c r="GHC143" s="69"/>
      <c r="GHD143" s="69"/>
      <c r="GHE143" s="69"/>
      <c r="GHF143" s="69"/>
      <c r="GHG143" s="69"/>
      <c r="GHH143" s="69"/>
      <c r="GHI143" s="69"/>
      <c r="GHJ143" s="69"/>
      <c r="GHK143" s="69"/>
      <c r="GHL143" s="69"/>
      <c r="GHM143" s="69"/>
      <c r="GHN143" s="69"/>
      <c r="GHO143" s="69"/>
      <c r="GHP143" s="69"/>
      <c r="GHQ143" s="69"/>
      <c r="GHR143" s="69"/>
      <c r="GHS143" s="69"/>
      <c r="GHT143" s="69"/>
      <c r="GHU143" s="69"/>
      <c r="GHV143" s="69"/>
      <c r="GHW143" s="69"/>
      <c r="GHX143" s="69"/>
      <c r="GHY143" s="69"/>
      <c r="GHZ143" s="69"/>
      <c r="GIA143" s="69"/>
      <c r="GIB143" s="69"/>
      <c r="GIC143" s="69"/>
      <c r="GID143" s="69"/>
      <c r="GIE143" s="69"/>
      <c r="GIF143" s="69"/>
      <c r="GIG143" s="69"/>
      <c r="GIH143" s="69"/>
      <c r="GII143" s="69"/>
      <c r="GIJ143" s="69"/>
      <c r="GIK143" s="69"/>
      <c r="GIL143" s="69"/>
      <c r="GIM143" s="69"/>
      <c r="GIN143" s="69"/>
      <c r="GIO143" s="69"/>
      <c r="GIP143" s="69"/>
      <c r="GIQ143" s="69"/>
      <c r="GIR143" s="69"/>
      <c r="GIS143" s="69"/>
      <c r="GIT143" s="69"/>
      <c r="GIU143" s="69"/>
      <c r="GIV143" s="69"/>
      <c r="GIW143" s="69"/>
      <c r="GIX143" s="69"/>
      <c r="GIY143" s="69"/>
      <c r="GIZ143" s="69"/>
      <c r="GJA143" s="69"/>
      <c r="GJB143" s="69"/>
      <c r="GJC143" s="69"/>
      <c r="GJD143" s="69"/>
      <c r="GJE143" s="69"/>
      <c r="GJF143" s="69"/>
      <c r="GJG143" s="69"/>
      <c r="GJH143" s="69"/>
      <c r="GJI143" s="69"/>
      <c r="GJJ143" s="69"/>
      <c r="GJK143" s="69"/>
      <c r="GJL143" s="69"/>
      <c r="GJM143" s="69"/>
      <c r="GJN143" s="69"/>
      <c r="GJO143" s="69"/>
      <c r="GJP143" s="69"/>
      <c r="GJQ143" s="69"/>
      <c r="GJR143" s="69"/>
      <c r="GJS143" s="69"/>
      <c r="GJT143" s="69"/>
      <c r="GJU143" s="69"/>
      <c r="GJV143" s="69"/>
      <c r="GJW143" s="69"/>
      <c r="GJX143" s="69"/>
      <c r="GJY143" s="69"/>
      <c r="GJZ143" s="69"/>
      <c r="GKA143" s="69"/>
      <c r="GKB143" s="69"/>
      <c r="GKC143" s="69"/>
      <c r="GKD143" s="69"/>
      <c r="GKE143" s="69"/>
      <c r="GKF143" s="69"/>
      <c r="GKG143" s="69"/>
      <c r="GKH143" s="69"/>
      <c r="GKI143" s="69"/>
      <c r="GKJ143" s="69"/>
      <c r="GKK143" s="69"/>
      <c r="GKL143" s="69"/>
      <c r="GKM143" s="69"/>
      <c r="GKN143" s="69"/>
      <c r="GKO143" s="69"/>
      <c r="GKP143" s="69"/>
      <c r="GKQ143" s="69"/>
      <c r="GKR143" s="69"/>
      <c r="GKS143" s="69"/>
      <c r="GKT143" s="69"/>
      <c r="GKU143" s="69"/>
      <c r="GKV143" s="69"/>
      <c r="GKW143" s="69"/>
      <c r="GKX143" s="69"/>
      <c r="GKY143" s="69"/>
      <c r="GKZ143" s="69"/>
      <c r="GLA143" s="69"/>
      <c r="GLB143" s="69"/>
      <c r="GLC143" s="69"/>
      <c r="GLD143" s="69"/>
      <c r="GLE143" s="69"/>
      <c r="GLF143" s="69"/>
      <c r="GLG143" s="69"/>
      <c r="GLH143" s="69"/>
      <c r="GLI143" s="69"/>
      <c r="GLJ143" s="69"/>
      <c r="GLK143" s="69"/>
      <c r="GLL143" s="69"/>
      <c r="GLM143" s="69"/>
      <c r="GLN143" s="69"/>
      <c r="GLO143" s="69"/>
      <c r="GLP143" s="69"/>
      <c r="GLQ143" s="69"/>
      <c r="GLR143" s="69"/>
      <c r="GLS143" s="69"/>
      <c r="GLT143" s="69"/>
      <c r="GLU143" s="69"/>
      <c r="GLV143" s="69"/>
      <c r="GLW143" s="69"/>
      <c r="GLX143" s="69"/>
      <c r="GLY143" s="69"/>
      <c r="GLZ143" s="69"/>
      <c r="GMA143" s="69"/>
      <c r="GMB143" s="69"/>
      <c r="GMC143" s="69"/>
      <c r="GMD143" s="69"/>
      <c r="GME143" s="69"/>
      <c r="GMF143" s="69"/>
      <c r="GMG143" s="69"/>
      <c r="GMH143" s="69"/>
      <c r="GMI143" s="69"/>
      <c r="GMJ143" s="69"/>
      <c r="GMK143" s="69"/>
      <c r="GML143" s="69"/>
      <c r="GMM143" s="69"/>
      <c r="GMN143" s="69"/>
      <c r="GMO143" s="69"/>
      <c r="GMP143" s="69"/>
      <c r="GMQ143" s="69"/>
      <c r="GMR143" s="69"/>
      <c r="GMS143" s="69"/>
      <c r="GMT143" s="69"/>
      <c r="GMU143" s="69"/>
      <c r="GMV143" s="69"/>
      <c r="GMW143" s="69"/>
      <c r="GMX143" s="69"/>
      <c r="GMY143" s="69"/>
      <c r="GMZ143" s="69"/>
      <c r="GNA143" s="69"/>
      <c r="GNB143" s="69"/>
      <c r="GNC143" s="69"/>
      <c r="GND143" s="69"/>
      <c r="GNE143" s="69"/>
      <c r="GNF143" s="69"/>
      <c r="GNG143" s="69"/>
      <c r="GNH143" s="69"/>
      <c r="GNI143" s="69"/>
      <c r="GNJ143" s="69"/>
      <c r="GNK143" s="69"/>
      <c r="GNL143" s="69"/>
      <c r="GNM143" s="69"/>
      <c r="GNN143" s="69"/>
      <c r="GNO143" s="69"/>
      <c r="GNP143" s="69"/>
      <c r="GNQ143" s="69"/>
      <c r="GNR143" s="69"/>
      <c r="GNS143" s="69"/>
      <c r="GNT143" s="69"/>
      <c r="GNU143" s="69"/>
      <c r="GNV143" s="69"/>
      <c r="GNW143" s="69"/>
      <c r="GNX143" s="69"/>
      <c r="GNY143" s="69"/>
      <c r="GNZ143" s="69"/>
      <c r="GOA143" s="69"/>
      <c r="GOB143" s="69"/>
      <c r="GOC143" s="69"/>
      <c r="GOD143" s="69"/>
      <c r="GOE143" s="69"/>
      <c r="GOF143" s="69"/>
      <c r="GOG143" s="69"/>
      <c r="GOH143" s="69"/>
      <c r="GOI143" s="69"/>
      <c r="GOJ143" s="69"/>
      <c r="GOK143" s="69"/>
      <c r="GOL143" s="69"/>
      <c r="GOM143" s="69"/>
      <c r="GON143" s="69"/>
      <c r="GOO143" s="69"/>
      <c r="GOP143" s="69"/>
      <c r="GOQ143" s="69"/>
      <c r="GOR143" s="69"/>
      <c r="GOS143" s="69"/>
      <c r="GOT143" s="69"/>
      <c r="GOU143" s="69"/>
      <c r="GOV143" s="69"/>
      <c r="GOW143" s="69"/>
      <c r="GOX143" s="69"/>
      <c r="GOY143" s="69"/>
      <c r="GOZ143" s="69"/>
      <c r="GPA143" s="69"/>
      <c r="GPB143" s="69"/>
      <c r="GPC143" s="69"/>
      <c r="GPD143" s="69"/>
      <c r="GPE143" s="69"/>
      <c r="GPF143" s="69"/>
      <c r="GPG143" s="69"/>
      <c r="GPH143" s="69"/>
      <c r="GPI143" s="69"/>
      <c r="GPJ143" s="69"/>
      <c r="GPK143" s="69"/>
      <c r="GPL143" s="69"/>
      <c r="GPM143" s="69"/>
      <c r="GPN143" s="69"/>
      <c r="GPO143" s="69"/>
      <c r="GPP143" s="69"/>
      <c r="GPQ143" s="69"/>
      <c r="GPR143" s="69"/>
      <c r="GPS143" s="69"/>
      <c r="GPT143" s="69"/>
      <c r="GPU143" s="69"/>
      <c r="GPV143" s="69"/>
      <c r="GPW143" s="69"/>
      <c r="GPX143" s="69"/>
      <c r="GPY143" s="69"/>
      <c r="GPZ143" s="69"/>
      <c r="GQA143" s="69"/>
      <c r="GQB143" s="69"/>
      <c r="GQC143" s="69"/>
      <c r="GQD143" s="69"/>
      <c r="GQE143" s="69"/>
      <c r="GQF143" s="69"/>
      <c r="GQG143" s="69"/>
      <c r="GQH143" s="69"/>
      <c r="GQI143" s="69"/>
      <c r="GQJ143" s="69"/>
      <c r="GQK143" s="69"/>
      <c r="GQL143" s="69"/>
      <c r="GQM143" s="69"/>
      <c r="GQN143" s="69"/>
      <c r="GQO143" s="69"/>
      <c r="GQP143" s="69"/>
      <c r="GQQ143" s="69"/>
      <c r="GQR143" s="69"/>
      <c r="GQS143" s="69"/>
      <c r="GQT143" s="69"/>
      <c r="GQU143" s="69"/>
      <c r="GQV143" s="69"/>
      <c r="GQW143" s="69"/>
      <c r="GQX143" s="69"/>
      <c r="GQY143" s="69"/>
      <c r="GQZ143" s="69"/>
      <c r="GRA143" s="69"/>
      <c r="GRB143" s="69"/>
      <c r="GRC143" s="69"/>
      <c r="GRD143" s="69"/>
      <c r="GRE143" s="69"/>
      <c r="GRF143" s="69"/>
      <c r="GRG143" s="69"/>
      <c r="GRH143" s="69"/>
      <c r="GRI143" s="69"/>
      <c r="GRJ143" s="69"/>
      <c r="GRK143" s="69"/>
      <c r="GRL143" s="69"/>
      <c r="GRM143" s="69"/>
      <c r="GRN143" s="69"/>
      <c r="GRO143" s="69"/>
      <c r="GRP143" s="69"/>
      <c r="GRQ143" s="69"/>
      <c r="GRR143" s="69"/>
      <c r="GRS143" s="69"/>
      <c r="GRT143" s="69"/>
      <c r="GRU143" s="69"/>
      <c r="GRV143" s="69"/>
      <c r="GRW143" s="69"/>
      <c r="GRX143" s="69"/>
      <c r="GRY143" s="69"/>
      <c r="GRZ143" s="69"/>
      <c r="GSA143" s="69"/>
      <c r="GSB143" s="69"/>
      <c r="GSC143" s="69"/>
      <c r="GSD143" s="69"/>
      <c r="GSE143" s="69"/>
      <c r="GSF143" s="69"/>
      <c r="GSG143" s="69"/>
      <c r="GSH143" s="69"/>
      <c r="GSI143" s="69"/>
      <c r="GSJ143" s="69"/>
      <c r="GSK143" s="69"/>
      <c r="GSL143" s="69"/>
      <c r="GSM143" s="69"/>
      <c r="GSN143" s="69"/>
      <c r="GSO143" s="69"/>
      <c r="GSP143" s="69"/>
      <c r="GSQ143" s="69"/>
      <c r="GSR143" s="69"/>
      <c r="GSS143" s="69"/>
      <c r="GST143" s="69"/>
      <c r="GSU143" s="69"/>
      <c r="GSV143" s="69"/>
      <c r="GSW143" s="69"/>
      <c r="GSX143" s="69"/>
      <c r="GSY143" s="69"/>
      <c r="GSZ143" s="69"/>
      <c r="GTA143" s="69"/>
      <c r="GTB143" s="69"/>
      <c r="GTC143" s="69"/>
      <c r="GTD143" s="69"/>
      <c r="GTE143" s="69"/>
      <c r="GTF143" s="69"/>
      <c r="GTG143" s="69"/>
      <c r="GTH143" s="69"/>
      <c r="GTI143" s="69"/>
      <c r="GTJ143" s="69"/>
      <c r="GTK143" s="69"/>
      <c r="GTL143" s="69"/>
      <c r="GTM143" s="69"/>
      <c r="GTN143" s="69"/>
      <c r="GTO143" s="69"/>
      <c r="GTP143" s="69"/>
      <c r="GTQ143" s="69"/>
      <c r="GTR143" s="69"/>
      <c r="GTS143" s="69"/>
      <c r="GTT143" s="69"/>
      <c r="GTU143" s="69"/>
      <c r="GTV143" s="69"/>
      <c r="GTW143" s="69"/>
      <c r="GTX143" s="69"/>
      <c r="GTY143" s="69"/>
      <c r="GTZ143" s="69"/>
      <c r="GUA143" s="69"/>
      <c r="GUB143" s="69"/>
      <c r="GUC143" s="69"/>
      <c r="GUD143" s="69"/>
      <c r="GUE143" s="69"/>
      <c r="GUF143" s="69"/>
      <c r="GUG143" s="69"/>
      <c r="GUH143" s="69"/>
      <c r="GUI143" s="69"/>
      <c r="GUJ143" s="69"/>
      <c r="GUK143" s="69"/>
      <c r="GUL143" s="69"/>
      <c r="GUM143" s="69"/>
      <c r="GUN143" s="69"/>
      <c r="GUO143" s="69"/>
      <c r="GUP143" s="69"/>
      <c r="GUQ143" s="69"/>
      <c r="GUR143" s="69"/>
      <c r="GUS143" s="69"/>
      <c r="GUT143" s="69"/>
      <c r="GUU143" s="69"/>
      <c r="GUV143" s="69"/>
      <c r="GUW143" s="69"/>
      <c r="GUX143" s="69"/>
      <c r="GUY143" s="69"/>
      <c r="GUZ143" s="69"/>
      <c r="GVA143" s="69"/>
      <c r="GVB143" s="69"/>
      <c r="GVC143" s="69"/>
      <c r="GVD143" s="69"/>
      <c r="GVE143" s="69"/>
      <c r="GVF143" s="69"/>
      <c r="GVG143" s="69"/>
      <c r="GVH143" s="69"/>
      <c r="GVI143" s="69"/>
      <c r="GVJ143" s="69"/>
      <c r="GVK143" s="69"/>
      <c r="GVL143" s="69"/>
      <c r="GVM143" s="69"/>
      <c r="GVN143" s="69"/>
      <c r="GVO143" s="69"/>
      <c r="GVP143" s="69"/>
      <c r="GVQ143" s="69"/>
      <c r="GVR143" s="69"/>
      <c r="GVS143" s="69"/>
      <c r="GVT143" s="69"/>
      <c r="GVU143" s="69"/>
      <c r="GVV143" s="69"/>
      <c r="GVW143" s="69"/>
      <c r="GVX143" s="69"/>
      <c r="GVY143" s="69"/>
      <c r="GVZ143" s="69"/>
      <c r="GWA143" s="69"/>
      <c r="GWB143" s="69"/>
      <c r="GWC143" s="69"/>
      <c r="GWD143" s="69"/>
      <c r="GWE143" s="69"/>
      <c r="GWF143" s="69"/>
      <c r="GWG143" s="69"/>
      <c r="GWH143" s="69"/>
      <c r="GWI143" s="69"/>
      <c r="GWJ143" s="69"/>
      <c r="GWK143" s="69"/>
      <c r="GWL143" s="69"/>
      <c r="GWM143" s="69"/>
      <c r="GWN143" s="69"/>
      <c r="GWO143" s="69"/>
      <c r="GWP143" s="69"/>
      <c r="GWQ143" s="69"/>
      <c r="GWR143" s="69"/>
      <c r="GWS143" s="69"/>
      <c r="GWT143" s="69"/>
      <c r="GWU143" s="69"/>
      <c r="GWV143" s="69"/>
      <c r="GWW143" s="69"/>
      <c r="GWX143" s="69"/>
      <c r="GWY143" s="69"/>
      <c r="GWZ143" s="69"/>
      <c r="GXA143" s="69"/>
      <c r="GXB143" s="69"/>
      <c r="GXC143" s="69"/>
      <c r="GXD143" s="69"/>
      <c r="GXE143" s="69"/>
      <c r="GXF143" s="69"/>
      <c r="GXG143" s="69"/>
      <c r="GXH143" s="69"/>
      <c r="GXI143" s="69"/>
      <c r="GXJ143" s="69"/>
      <c r="GXK143" s="69"/>
      <c r="GXL143" s="69"/>
      <c r="GXM143" s="69"/>
      <c r="GXN143" s="69"/>
      <c r="GXO143" s="69"/>
      <c r="GXP143" s="69"/>
      <c r="GXQ143" s="69"/>
      <c r="GXR143" s="69"/>
      <c r="GXS143" s="69"/>
      <c r="GXT143" s="69"/>
      <c r="GXU143" s="69"/>
      <c r="GXV143" s="69"/>
      <c r="GXW143" s="69"/>
      <c r="GXX143" s="69"/>
      <c r="GXY143" s="69"/>
      <c r="GXZ143" s="69"/>
      <c r="GYA143" s="69"/>
      <c r="GYB143" s="69"/>
      <c r="GYC143" s="69"/>
      <c r="GYD143" s="69"/>
      <c r="GYE143" s="69"/>
      <c r="GYF143" s="69"/>
      <c r="GYG143" s="69"/>
      <c r="GYH143" s="69"/>
      <c r="GYI143" s="69"/>
      <c r="GYJ143" s="69"/>
      <c r="GYK143" s="69"/>
      <c r="GYL143" s="69"/>
      <c r="GYM143" s="69"/>
      <c r="GYN143" s="69"/>
      <c r="GYO143" s="69"/>
      <c r="GYP143" s="69"/>
      <c r="GYQ143" s="69"/>
      <c r="GYR143" s="69"/>
      <c r="GYS143" s="69"/>
      <c r="GYT143" s="69"/>
      <c r="GYU143" s="69"/>
      <c r="GYV143" s="69"/>
      <c r="GYW143" s="69"/>
      <c r="GYX143" s="69"/>
      <c r="GYY143" s="69"/>
      <c r="GYZ143" s="69"/>
      <c r="GZA143" s="69"/>
      <c r="GZB143" s="69"/>
      <c r="GZC143" s="69"/>
      <c r="GZD143" s="69"/>
      <c r="GZE143" s="69"/>
      <c r="GZF143" s="69"/>
      <c r="GZG143" s="69"/>
      <c r="GZH143" s="69"/>
      <c r="GZI143" s="69"/>
      <c r="GZJ143" s="69"/>
      <c r="GZK143" s="69"/>
      <c r="GZL143" s="69"/>
      <c r="GZM143" s="69"/>
      <c r="GZN143" s="69"/>
      <c r="GZO143" s="69"/>
      <c r="GZP143" s="69"/>
      <c r="GZQ143" s="69"/>
      <c r="GZR143" s="69"/>
      <c r="GZS143" s="69"/>
      <c r="GZT143" s="69"/>
      <c r="GZU143" s="69"/>
      <c r="GZV143" s="69"/>
      <c r="GZW143" s="69"/>
      <c r="GZX143" s="69"/>
      <c r="GZY143" s="69"/>
      <c r="GZZ143" s="69"/>
      <c r="HAA143" s="69"/>
      <c r="HAB143" s="69"/>
      <c r="HAC143" s="69"/>
      <c r="HAD143" s="69"/>
      <c r="HAE143" s="69"/>
      <c r="HAF143" s="69"/>
      <c r="HAG143" s="69"/>
      <c r="HAH143" s="69"/>
      <c r="HAI143" s="69"/>
      <c r="HAJ143" s="69"/>
      <c r="HAK143" s="69"/>
      <c r="HAL143" s="69"/>
      <c r="HAM143" s="69"/>
      <c r="HAN143" s="69"/>
      <c r="HAO143" s="69"/>
      <c r="HAP143" s="69"/>
      <c r="HAQ143" s="69"/>
      <c r="HAR143" s="69"/>
      <c r="HAS143" s="69"/>
      <c r="HAT143" s="69"/>
      <c r="HAU143" s="69"/>
      <c r="HAV143" s="69"/>
      <c r="HAW143" s="69"/>
      <c r="HAX143" s="69"/>
      <c r="HAY143" s="69"/>
      <c r="HAZ143" s="69"/>
      <c r="HBA143" s="69"/>
      <c r="HBB143" s="69"/>
      <c r="HBC143" s="69"/>
      <c r="HBD143" s="69"/>
      <c r="HBE143" s="69"/>
      <c r="HBF143" s="69"/>
      <c r="HBG143" s="69"/>
      <c r="HBH143" s="69"/>
      <c r="HBI143" s="69"/>
      <c r="HBJ143" s="69"/>
      <c r="HBK143" s="69"/>
      <c r="HBL143" s="69"/>
      <c r="HBM143" s="69"/>
      <c r="HBN143" s="69"/>
      <c r="HBO143" s="69"/>
      <c r="HBP143" s="69"/>
      <c r="HBQ143" s="69"/>
      <c r="HBR143" s="69"/>
      <c r="HBS143" s="69"/>
      <c r="HBT143" s="69"/>
      <c r="HBU143" s="69"/>
      <c r="HBV143" s="69"/>
      <c r="HBW143" s="69"/>
      <c r="HBX143" s="69"/>
      <c r="HBY143" s="69"/>
      <c r="HBZ143" s="69"/>
      <c r="HCA143" s="69"/>
      <c r="HCB143" s="69"/>
      <c r="HCC143" s="69"/>
      <c r="HCD143" s="69"/>
      <c r="HCE143" s="69"/>
      <c r="HCF143" s="69"/>
      <c r="HCG143" s="69"/>
      <c r="HCH143" s="69"/>
      <c r="HCI143" s="69"/>
      <c r="HCJ143" s="69"/>
      <c r="HCK143" s="69"/>
      <c r="HCL143" s="69"/>
      <c r="HCM143" s="69"/>
      <c r="HCN143" s="69"/>
      <c r="HCO143" s="69"/>
      <c r="HCP143" s="69"/>
      <c r="HCQ143" s="69"/>
      <c r="HCR143" s="69"/>
      <c r="HCS143" s="69"/>
      <c r="HCT143" s="69"/>
      <c r="HCU143" s="69"/>
      <c r="HCV143" s="69"/>
      <c r="HCW143" s="69"/>
      <c r="HCX143" s="69"/>
      <c r="HCY143" s="69"/>
      <c r="HCZ143" s="69"/>
      <c r="HDA143" s="69"/>
      <c r="HDB143" s="69"/>
      <c r="HDC143" s="69"/>
      <c r="HDD143" s="69"/>
      <c r="HDE143" s="69"/>
      <c r="HDF143" s="69"/>
      <c r="HDG143" s="69"/>
      <c r="HDH143" s="69"/>
      <c r="HDI143" s="69"/>
      <c r="HDJ143" s="69"/>
      <c r="HDK143" s="69"/>
      <c r="HDL143" s="69"/>
      <c r="HDM143" s="69"/>
      <c r="HDN143" s="69"/>
      <c r="HDO143" s="69"/>
      <c r="HDP143" s="69"/>
      <c r="HDQ143" s="69"/>
      <c r="HDR143" s="69"/>
      <c r="HDS143" s="69"/>
      <c r="HDT143" s="69"/>
      <c r="HDU143" s="69"/>
      <c r="HDV143" s="69"/>
      <c r="HDW143" s="69"/>
      <c r="HDX143" s="69"/>
      <c r="HDY143" s="69"/>
      <c r="HDZ143" s="69"/>
      <c r="HEA143" s="69"/>
      <c r="HEB143" s="69"/>
      <c r="HEC143" s="69"/>
      <c r="HED143" s="69"/>
      <c r="HEE143" s="69"/>
      <c r="HEF143" s="69"/>
      <c r="HEG143" s="69"/>
      <c r="HEH143" s="69"/>
      <c r="HEI143" s="69"/>
      <c r="HEJ143" s="69"/>
      <c r="HEK143" s="69"/>
      <c r="HEL143" s="69"/>
      <c r="HEM143" s="69"/>
      <c r="HEN143" s="69"/>
      <c r="HEO143" s="69"/>
      <c r="HEP143" s="69"/>
      <c r="HEQ143" s="69"/>
      <c r="HER143" s="69"/>
      <c r="HES143" s="69"/>
      <c r="HET143" s="69"/>
      <c r="HEU143" s="69"/>
      <c r="HEV143" s="69"/>
      <c r="HEW143" s="69"/>
      <c r="HEX143" s="69"/>
      <c r="HEY143" s="69"/>
      <c r="HEZ143" s="69"/>
      <c r="HFA143" s="69"/>
      <c r="HFB143" s="69"/>
      <c r="HFC143" s="69"/>
      <c r="HFD143" s="69"/>
      <c r="HFE143" s="69"/>
      <c r="HFF143" s="69"/>
      <c r="HFG143" s="69"/>
      <c r="HFH143" s="69"/>
      <c r="HFI143" s="69"/>
      <c r="HFJ143" s="69"/>
      <c r="HFK143" s="69"/>
      <c r="HFL143" s="69"/>
      <c r="HFM143" s="69"/>
      <c r="HFN143" s="69"/>
      <c r="HFO143" s="69"/>
      <c r="HFP143" s="69"/>
      <c r="HFQ143" s="69"/>
      <c r="HFR143" s="69"/>
      <c r="HFS143" s="69"/>
      <c r="HFT143" s="69"/>
      <c r="HFU143" s="69"/>
      <c r="HFV143" s="69"/>
      <c r="HFW143" s="69"/>
      <c r="HFX143" s="69"/>
      <c r="HFY143" s="69"/>
      <c r="HFZ143" s="69"/>
      <c r="HGA143" s="69"/>
      <c r="HGB143" s="69"/>
      <c r="HGC143" s="69"/>
      <c r="HGD143" s="69"/>
      <c r="HGE143" s="69"/>
      <c r="HGF143" s="69"/>
      <c r="HGG143" s="69"/>
      <c r="HGH143" s="69"/>
      <c r="HGI143" s="69"/>
      <c r="HGJ143" s="69"/>
      <c r="HGK143" s="69"/>
      <c r="HGL143" s="69"/>
      <c r="HGM143" s="69"/>
      <c r="HGN143" s="69"/>
      <c r="HGO143" s="69"/>
      <c r="HGP143" s="69"/>
      <c r="HGQ143" s="69"/>
      <c r="HGR143" s="69"/>
      <c r="HGS143" s="69"/>
      <c r="HGT143" s="69"/>
      <c r="HGU143" s="69"/>
      <c r="HGV143" s="69"/>
      <c r="HGW143" s="69"/>
      <c r="HGX143" s="69"/>
      <c r="HGY143" s="69"/>
      <c r="HGZ143" s="69"/>
      <c r="HHA143" s="69"/>
      <c r="HHB143" s="69"/>
      <c r="HHC143" s="69"/>
      <c r="HHD143" s="69"/>
      <c r="HHE143" s="69"/>
      <c r="HHF143" s="69"/>
      <c r="HHG143" s="69"/>
      <c r="HHH143" s="69"/>
      <c r="HHI143" s="69"/>
      <c r="HHJ143" s="69"/>
      <c r="HHK143" s="69"/>
      <c r="HHL143" s="69"/>
      <c r="HHM143" s="69"/>
      <c r="HHN143" s="69"/>
      <c r="HHO143" s="69"/>
      <c r="HHP143" s="69"/>
      <c r="HHQ143" s="69"/>
      <c r="HHR143" s="69"/>
      <c r="HHS143" s="69"/>
      <c r="HHT143" s="69"/>
      <c r="HHU143" s="69"/>
      <c r="HHV143" s="69"/>
      <c r="HHW143" s="69"/>
      <c r="HHX143" s="69"/>
      <c r="HHY143" s="69"/>
      <c r="HHZ143" s="69"/>
      <c r="HIA143" s="69"/>
      <c r="HIB143" s="69"/>
      <c r="HIC143" s="69"/>
      <c r="HID143" s="69"/>
      <c r="HIE143" s="69"/>
      <c r="HIF143" s="69"/>
      <c r="HIG143" s="69"/>
      <c r="HIH143" s="69"/>
      <c r="HII143" s="69"/>
      <c r="HIJ143" s="69"/>
      <c r="HIK143" s="69"/>
      <c r="HIL143" s="69"/>
      <c r="HIM143" s="69"/>
      <c r="HIN143" s="69"/>
      <c r="HIO143" s="69"/>
      <c r="HIP143" s="69"/>
      <c r="HIQ143" s="69"/>
      <c r="HIR143" s="69"/>
      <c r="HIS143" s="69"/>
      <c r="HIT143" s="69"/>
      <c r="HIU143" s="69"/>
      <c r="HIV143" s="69"/>
      <c r="HIW143" s="69"/>
      <c r="HIX143" s="69"/>
      <c r="HIY143" s="69"/>
      <c r="HIZ143" s="69"/>
      <c r="HJA143" s="69"/>
      <c r="HJB143" s="69"/>
      <c r="HJC143" s="69"/>
      <c r="HJD143" s="69"/>
      <c r="HJE143" s="69"/>
      <c r="HJF143" s="69"/>
      <c r="HJG143" s="69"/>
      <c r="HJH143" s="69"/>
      <c r="HJI143" s="69"/>
      <c r="HJJ143" s="69"/>
      <c r="HJK143" s="69"/>
      <c r="HJL143" s="69"/>
      <c r="HJM143" s="69"/>
      <c r="HJN143" s="69"/>
      <c r="HJO143" s="69"/>
      <c r="HJP143" s="69"/>
      <c r="HJQ143" s="69"/>
      <c r="HJR143" s="69"/>
      <c r="HJS143" s="69"/>
      <c r="HJT143" s="69"/>
      <c r="HJU143" s="69"/>
      <c r="HJV143" s="69"/>
      <c r="HJW143" s="69"/>
      <c r="HJX143" s="69"/>
      <c r="HJY143" s="69"/>
      <c r="HJZ143" s="69"/>
      <c r="HKA143" s="69"/>
      <c r="HKB143" s="69"/>
      <c r="HKC143" s="69"/>
      <c r="HKD143" s="69"/>
      <c r="HKE143" s="69"/>
      <c r="HKF143" s="69"/>
      <c r="HKG143" s="69"/>
      <c r="HKH143" s="69"/>
      <c r="HKI143" s="69"/>
      <c r="HKJ143" s="69"/>
      <c r="HKK143" s="69"/>
      <c r="HKL143" s="69"/>
      <c r="HKM143" s="69"/>
      <c r="HKN143" s="69"/>
      <c r="HKO143" s="69"/>
      <c r="HKP143" s="69"/>
      <c r="HKQ143" s="69"/>
      <c r="HKR143" s="69"/>
      <c r="HKS143" s="69"/>
      <c r="HKT143" s="69"/>
      <c r="HKU143" s="69"/>
      <c r="HKV143" s="69"/>
      <c r="HKW143" s="69"/>
      <c r="HKX143" s="69"/>
      <c r="HKY143" s="69"/>
      <c r="HKZ143" s="69"/>
      <c r="HLA143" s="69"/>
      <c r="HLB143" s="69"/>
      <c r="HLC143" s="69"/>
      <c r="HLD143" s="69"/>
      <c r="HLE143" s="69"/>
      <c r="HLF143" s="69"/>
      <c r="HLG143" s="69"/>
      <c r="HLH143" s="69"/>
      <c r="HLI143" s="69"/>
      <c r="HLJ143" s="69"/>
      <c r="HLK143" s="69"/>
      <c r="HLL143" s="69"/>
      <c r="HLM143" s="69"/>
      <c r="HLN143" s="69"/>
      <c r="HLO143" s="69"/>
      <c r="HLP143" s="69"/>
      <c r="HLQ143" s="69"/>
      <c r="HLR143" s="69"/>
      <c r="HLS143" s="69"/>
      <c r="HLT143" s="69"/>
      <c r="HLU143" s="69"/>
      <c r="HLV143" s="69"/>
      <c r="HLW143" s="69"/>
      <c r="HLX143" s="69"/>
      <c r="HLY143" s="69"/>
      <c r="HLZ143" s="69"/>
      <c r="HMA143" s="69"/>
      <c r="HMB143" s="69"/>
      <c r="HMC143" s="69"/>
      <c r="HMD143" s="69"/>
      <c r="HME143" s="69"/>
      <c r="HMF143" s="69"/>
      <c r="HMG143" s="69"/>
      <c r="HMH143" s="69"/>
      <c r="HMI143" s="69"/>
      <c r="HMJ143" s="69"/>
      <c r="HMK143" s="69"/>
      <c r="HML143" s="69"/>
      <c r="HMM143" s="69"/>
      <c r="HMN143" s="69"/>
      <c r="HMO143" s="69"/>
      <c r="HMP143" s="69"/>
      <c r="HMQ143" s="69"/>
      <c r="HMR143" s="69"/>
      <c r="HMS143" s="69"/>
      <c r="HMT143" s="69"/>
      <c r="HMU143" s="69"/>
      <c r="HMV143" s="69"/>
      <c r="HMW143" s="69"/>
      <c r="HMX143" s="69"/>
      <c r="HMY143" s="69"/>
      <c r="HMZ143" s="69"/>
      <c r="HNA143" s="69"/>
      <c r="HNB143" s="69"/>
      <c r="HNC143" s="69"/>
      <c r="HND143" s="69"/>
      <c r="HNE143" s="69"/>
      <c r="HNF143" s="69"/>
      <c r="HNG143" s="69"/>
      <c r="HNH143" s="69"/>
      <c r="HNI143" s="69"/>
      <c r="HNJ143" s="69"/>
      <c r="HNK143" s="69"/>
      <c r="HNL143" s="69"/>
      <c r="HNM143" s="69"/>
      <c r="HNN143" s="69"/>
      <c r="HNO143" s="69"/>
      <c r="HNP143" s="69"/>
      <c r="HNQ143" s="69"/>
      <c r="HNR143" s="69"/>
      <c r="HNS143" s="69"/>
      <c r="HNT143" s="69"/>
      <c r="HNU143" s="69"/>
      <c r="HNV143" s="69"/>
      <c r="HNW143" s="69"/>
      <c r="HNX143" s="69"/>
      <c r="HNY143" s="69"/>
      <c r="HNZ143" s="69"/>
      <c r="HOA143" s="69"/>
      <c r="HOB143" s="69"/>
      <c r="HOC143" s="69"/>
      <c r="HOD143" s="69"/>
      <c r="HOE143" s="69"/>
      <c r="HOF143" s="69"/>
      <c r="HOG143" s="69"/>
      <c r="HOH143" s="69"/>
      <c r="HOI143" s="69"/>
      <c r="HOJ143" s="69"/>
      <c r="HOK143" s="69"/>
      <c r="HOL143" s="69"/>
      <c r="HOM143" s="69"/>
      <c r="HON143" s="69"/>
      <c r="HOO143" s="69"/>
      <c r="HOP143" s="69"/>
      <c r="HOQ143" s="69"/>
      <c r="HOR143" s="69"/>
      <c r="HOS143" s="69"/>
      <c r="HOT143" s="69"/>
      <c r="HOU143" s="69"/>
      <c r="HOV143" s="69"/>
      <c r="HOW143" s="69"/>
      <c r="HOX143" s="69"/>
      <c r="HOY143" s="69"/>
      <c r="HOZ143" s="69"/>
      <c r="HPA143" s="69"/>
      <c r="HPB143" s="69"/>
      <c r="HPC143" s="69"/>
      <c r="HPD143" s="69"/>
      <c r="HPE143" s="69"/>
      <c r="HPF143" s="69"/>
      <c r="HPG143" s="69"/>
      <c r="HPH143" s="69"/>
      <c r="HPI143" s="69"/>
      <c r="HPJ143" s="69"/>
      <c r="HPK143" s="69"/>
      <c r="HPL143" s="69"/>
      <c r="HPM143" s="69"/>
      <c r="HPN143" s="69"/>
      <c r="HPO143" s="69"/>
      <c r="HPP143" s="69"/>
      <c r="HPQ143" s="69"/>
      <c r="HPR143" s="69"/>
      <c r="HPS143" s="69"/>
      <c r="HPT143" s="69"/>
      <c r="HPU143" s="69"/>
      <c r="HPV143" s="69"/>
      <c r="HPW143" s="69"/>
      <c r="HPX143" s="69"/>
      <c r="HPY143" s="69"/>
      <c r="HPZ143" s="69"/>
      <c r="HQA143" s="69"/>
      <c r="HQB143" s="69"/>
      <c r="HQC143" s="69"/>
      <c r="HQD143" s="69"/>
      <c r="HQE143" s="69"/>
      <c r="HQF143" s="69"/>
      <c r="HQG143" s="69"/>
      <c r="HQH143" s="69"/>
      <c r="HQI143" s="69"/>
      <c r="HQJ143" s="69"/>
      <c r="HQK143" s="69"/>
      <c r="HQL143" s="69"/>
      <c r="HQM143" s="69"/>
      <c r="HQN143" s="69"/>
      <c r="HQO143" s="69"/>
      <c r="HQP143" s="69"/>
      <c r="HQQ143" s="69"/>
      <c r="HQR143" s="69"/>
      <c r="HQS143" s="69"/>
      <c r="HQT143" s="69"/>
      <c r="HQU143" s="69"/>
      <c r="HQV143" s="69"/>
      <c r="HQW143" s="69"/>
      <c r="HQX143" s="69"/>
      <c r="HQY143" s="69"/>
      <c r="HQZ143" s="69"/>
      <c r="HRA143" s="69"/>
      <c r="HRB143" s="69"/>
      <c r="HRC143" s="69"/>
      <c r="HRD143" s="69"/>
      <c r="HRE143" s="69"/>
      <c r="HRF143" s="69"/>
      <c r="HRG143" s="69"/>
      <c r="HRH143" s="69"/>
      <c r="HRI143" s="69"/>
      <c r="HRJ143" s="69"/>
      <c r="HRK143" s="69"/>
      <c r="HRL143" s="69"/>
      <c r="HRM143" s="69"/>
      <c r="HRN143" s="69"/>
      <c r="HRO143" s="69"/>
      <c r="HRP143" s="69"/>
      <c r="HRQ143" s="69"/>
      <c r="HRR143" s="69"/>
      <c r="HRS143" s="69"/>
      <c r="HRT143" s="69"/>
      <c r="HRU143" s="69"/>
      <c r="HRV143" s="69"/>
      <c r="HRW143" s="69"/>
      <c r="HRX143" s="69"/>
      <c r="HRY143" s="69"/>
      <c r="HRZ143" s="69"/>
      <c r="HSA143" s="69"/>
      <c r="HSB143" s="69"/>
      <c r="HSC143" s="69"/>
      <c r="HSD143" s="69"/>
      <c r="HSE143" s="69"/>
      <c r="HSF143" s="69"/>
      <c r="HSG143" s="69"/>
      <c r="HSH143" s="69"/>
      <c r="HSI143" s="69"/>
      <c r="HSJ143" s="69"/>
      <c r="HSK143" s="69"/>
      <c r="HSL143" s="69"/>
      <c r="HSM143" s="69"/>
      <c r="HSN143" s="69"/>
      <c r="HSO143" s="69"/>
      <c r="HSP143" s="69"/>
      <c r="HSQ143" s="69"/>
      <c r="HSR143" s="69"/>
      <c r="HSS143" s="69"/>
      <c r="HST143" s="69"/>
      <c r="HSU143" s="69"/>
      <c r="HSV143" s="69"/>
      <c r="HSW143" s="69"/>
      <c r="HSX143" s="69"/>
      <c r="HSY143" s="69"/>
      <c r="HSZ143" s="69"/>
      <c r="HTA143" s="69"/>
      <c r="HTB143" s="69"/>
      <c r="HTC143" s="69"/>
      <c r="HTD143" s="69"/>
      <c r="HTE143" s="69"/>
      <c r="HTF143" s="69"/>
      <c r="HTG143" s="69"/>
      <c r="HTH143" s="69"/>
      <c r="HTI143" s="69"/>
      <c r="HTJ143" s="69"/>
      <c r="HTK143" s="69"/>
      <c r="HTL143" s="69"/>
      <c r="HTM143" s="69"/>
      <c r="HTN143" s="69"/>
      <c r="HTO143" s="69"/>
      <c r="HTP143" s="69"/>
      <c r="HTQ143" s="69"/>
      <c r="HTR143" s="69"/>
      <c r="HTS143" s="69"/>
      <c r="HTT143" s="69"/>
      <c r="HTU143" s="69"/>
      <c r="HTV143" s="69"/>
      <c r="HTW143" s="69"/>
      <c r="HTX143" s="69"/>
      <c r="HTY143" s="69"/>
      <c r="HTZ143" s="69"/>
      <c r="HUA143" s="69"/>
      <c r="HUB143" s="69"/>
      <c r="HUC143" s="69"/>
      <c r="HUD143" s="69"/>
      <c r="HUE143" s="69"/>
      <c r="HUF143" s="69"/>
      <c r="HUG143" s="69"/>
      <c r="HUH143" s="69"/>
      <c r="HUI143" s="69"/>
      <c r="HUJ143" s="69"/>
      <c r="HUK143" s="69"/>
      <c r="HUL143" s="69"/>
      <c r="HUM143" s="69"/>
      <c r="HUN143" s="69"/>
      <c r="HUO143" s="69"/>
      <c r="HUP143" s="69"/>
      <c r="HUQ143" s="69"/>
      <c r="HUR143" s="69"/>
      <c r="HUS143" s="69"/>
      <c r="HUT143" s="69"/>
      <c r="HUU143" s="69"/>
      <c r="HUV143" s="69"/>
      <c r="HUW143" s="69"/>
      <c r="HUX143" s="69"/>
      <c r="HUY143" s="69"/>
      <c r="HUZ143" s="69"/>
      <c r="HVA143" s="69"/>
      <c r="HVB143" s="69"/>
      <c r="HVC143" s="69"/>
      <c r="HVD143" s="69"/>
      <c r="HVE143" s="69"/>
      <c r="HVF143" s="69"/>
      <c r="HVG143" s="69"/>
      <c r="HVH143" s="69"/>
      <c r="HVI143" s="69"/>
      <c r="HVJ143" s="69"/>
      <c r="HVK143" s="69"/>
      <c r="HVL143" s="69"/>
      <c r="HVM143" s="69"/>
      <c r="HVN143" s="69"/>
      <c r="HVO143" s="69"/>
      <c r="HVP143" s="69"/>
      <c r="HVQ143" s="69"/>
      <c r="HVR143" s="69"/>
      <c r="HVS143" s="69"/>
      <c r="HVT143" s="69"/>
      <c r="HVU143" s="69"/>
      <c r="HVV143" s="69"/>
      <c r="HVW143" s="69"/>
      <c r="HVX143" s="69"/>
      <c r="HVY143" s="69"/>
      <c r="HVZ143" s="69"/>
      <c r="HWA143" s="69"/>
      <c r="HWB143" s="69"/>
      <c r="HWC143" s="69"/>
      <c r="HWD143" s="69"/>
      <c r="HWE143" s="69"/>
      <c r="HWF143" s="69"/>
      <c r="HWG143" s="69"/>
      <c r="HWH143" s="69"/>
      <c r="HWI143" s="69"/>
      <c r="HWJ143" s="69"/>
      <c r="HWK143" s="69"/>
      <c r="HWL143" s="69"/>
      <c r="HWM143" s="69"/>
      <c r="HWN143" s="69"/>
      <c r="HWO143" s="69"/>
      <c r="HWP143" s="69"/>
      <c r="HWQ143" s="69"/>
      <c r="HWR143" s="69"/>
      <c r="HWS143" s="69"/>
      <c r="HWT143" s="69"/>
      <c r="HWU143" s="69"/>
      <c r="HWV143" s="69"/>
      <c r="HWW143" s="69"/>
      <c r="HWX143" s="69"/>
      <c r="HWY143" s="69"/>
      <c r="HWZ143" s="69"/>
      <c r="HXA143" s="69"/>
      <c r="HXB143" s="69"/>
      <c r="HXC143" s="69"/>
      <c r="HXD143" s="69"/>
      <c r="HXE143" s="69"/>
      <c r="HXF143" s="69"/>
      <c r="HXG143" s="69"/>
      <c r="HXH143" s="69"/>
      <c r="HXI143" s="69"/>
      <c r="HXJ143" s="69"/>
      <c r="HXK143" s="69"/>
      <c r="HXL143" s="69"/>
      <c r="HXM143" s="69"/>
      <c r="HXN143" s="69"/>
      <c r="HXO143" s="69"/>
      <c r="HXP143" s="69"/>
      <c r="HXQ143" s="69"/>
      <c r="HXR143" s="69"/>
      <c r="HXS143" s="69"/>
      <c r="HXT143" s="69"/>
      <c r="HXU143" s="69"/>
      <c r="HXV143" s="69"/>
      <c r="HXW143" s="69"/>
      <c r="HXX143" s="69"/>
      <c r="HXY143" s="69"/>
      <c r="HXZ143" s="69"/>
      <c r="HYA143" s="69"/>
      <c r="HYB143" s="69"/>
      <c r="HYC143" s="69"/>
      <c r="HYD143" s="69"/>
      <c r="HYE143" s="69"/>
      <c r="HYF143" s="69"/>
      <c r="HYG143" s="69"/>
      <c r="HYH143" s="69"/>
      <c r="HYI143" s="69"/>
      <c r="HYJ143" s="69"/>
      <c r="HYK143" s="69"/>
      <c r="HYL143" s="69"/>
      <c r="HYM143" s="69"/>
      <c r="HYN143" s="69"/>
      <c r="HYO143" s="69"/>
      <c r="HYP143" s="69"/>
      <c r="HYQ143" s="69"/>
      <c r="HYR143" s="69"/>
      <c r="HYS143" s="69"/>
      <c r="HYT143" s="69"/>
      <c r="HYU143" s="69"/>
      <c r="HYV143" s="69"/>
      <c r="HYW143" s="69"/>
      <c r="HYX143" s="69"/>
      <c r="HYY143" s="69"/>
      <c r="HYZ143" s="69"/>
      <c r="HZA143" s="69"/>
      <c r="HZB143" s="69"/>
      <c r="HZC143" s="69"/>
      <c r="HZD143" s="69"/>
      <c r="HZE143" s="69"/>
      <c r="HZF143" s="69"/>
      <c r="HZG143" s="69"/>
      <c r="HZH143" s="69"/>
      <c r="HZI143" s="69"/>
      <c r="HZJ143" s="69"/>
      <c r="HZK143" s="69"/>
      <c r="HZL143" s="69"/>
      <c r="HZM143" s="69"/>
      <c r="HZN143" s="69"/>
      <c r="HZO143" s="69"/>
      <c r="HZP143" s="69"/>
      <c r="HZQ143" s="69"/>
      <c r="HZR143" s="69"/>
      <c r="HZS143" s="69"/>
      <c r="HZT143" s="69"/>
      <c r="HZU143" s="69"/>
      <c r="HZV143" s="69"/>
      <c r="HZW143" s="69"/>
      <c r="HZX143" s="69"/>
      <c r="HZY143" s="69"/>
      <c r="HZZ143" s="69"/>
      <c r="IAA143" s="69"/>
      <c r="IAB143" s="69"/>
      <c r="IAC143" s="69"/>
      <c r="IAD143" s="69"/>
      <c r="IAE143" s="69"/>
      <c r="IAF143" s="69"/>
      <c r="IAG143" s="69"/>
      <c r="IAH143" s="69"/>
      <c r="IAI143" s="69"/>
      <c r="IAJ143" s="69"/>
      <c r="IAK143" s="69"/>
      <c r="IAL143" s="69"/>
      <c r="IAM143" s="69"/>
      <c r="IAN143" s="69"/>
      <c r="IAO143" s="69"/>
      <c r="IAP143" s="69"/>
      <c r="IAQ143" s="69"/>
      <c r="IAR143" s="69"/>
      <c r="IAS143" s="69"/>
      <c r="IAT143" s="69"/>
      <c r="IAU143" s="69"/>
      <c r="IAV143" s="69"/>
      <c r="IAW143" s="69"/>
      <c r="IAX143" s="69"/>
      <c r="IAY143" s="69"/>
      <c r="IAZ143" s="69"/>
      <c r="IBA143" s="69"/>
      <c r="IBB143" s="69"/>
      <c r="IBC143" s="69"/>
      <c r="IBD143" s="69"/>
      <c r="IBE143" s="69"/>
      <c r="IBF143" s="69"/>
      <c r="IBG143" s="69"/>
      <c r="IBH143" s="69"/>
      <c r="IBI143" s="69"/>
      <c r="IBJ143" s="69"/>
      <c r="IBK143" s="69"/>
      <c r="IBL143" s="69"/>
      <c r="IBM143" s="69"/>
      <c r="IBN143" s="69"/>
      <c r="IBO143" s="69"/>
      <c r="IBP143" s="69"/>
      <c r="IBQ143" s="69"/>
      <c r="IBR143" s="69"/>
      <c r="IBS143" s="69"/>
      <c r="IBT143" s="69"/>
      <c r="IBU143" s="69"/>
      <c r="IBV143" s="69"/>
      <c r="IBW143" s="69"/>
      <c r="IBX143" s="69"/>
      <c r="IBY143" s="69"/>
      <c r="IBZ143" s="69"/>
      <c r="ICA143" s="69"/>
      <c r="ICB143" s="69"/>
      <c r="ICC143" s="69"/>
      <c r="ICD143" s="69"/>
      <c r="ICE143" s="69"/>
      <c r="ICF143" s="69"/>
      <c r="ICG143" s="69"/>
      <c r="ICH143" s="69"/>
      <c r="ICI143" s="69"/>
      <c r="ICJ143" s="69"/>
      <c r="ICK143" s="69"/>
      <c r="ICL143" s="69"/>
      <c r="ICM143" s="69"/>
      <c r="ICN143" s="69"/>
      <c r="ICO143" s="69"/>
      <c r="ICP143" s="69"/>
      <c r="ICQ143" s="69"/>
      <c r="ICR143" s="69"/>
      <c r="ICS143" s="69"/>
      <c r="ICT143" s="69"/>
      <c r="ICU143" s="69"/>
      <c r="ICV143" s="69"/>
      <c r="ICW143" s="69"/>
      <c r="ICX143" s="69"/>
      <c r="ICY143" s="69"/>
      <c r="ICZ143" s="69"/>
      <c r="IDA143" s="69"/>
      <c r="IDB143" s="69"/>
      <c r="IDC143" s="69"/>
      <c r="IDD143" s="69"/>
      <c r="IDE143" s="69"/>
      <c r="IDF143" s="69"/>
      <c r="IDG143" s="69"/>
      <c r="IDH143" s="69"/>
      <c r="IDI143" s="69"/>
      <c r="IDJ143" s="69"/>
      <c r="IDK143" s="69"/>
      <c r="IDL143" s="69"/>
      <c r="IDM143" s="69"/>
      <c r="IDN143" s="69"/>
      <c r="IDO143" s="69"/>
      <c r="IDP143" s="69"/>
      <c r="IDQ143" s="69"/>
      <c r="IDR143" s="69"/>
      <c r="IDS143" s="69"/>
      <c r="IDT143" s="69"/>
      <c r="IDU143" s="69"/>
      <c r="IDV143" s="69"/>
      <c r="IDW143" s="69"/>
      <c r="IDX143" s="69"/>
      <c r="IDY143" s="69"/>
      <c r="IDZ143" s="69"/>
      <c r="IEA143" s="69"/>
      <c r="IEB143" s="69"/>
      <c r="IEC143" s="69"/>
      <c r="IED143" s="69"/>
      <c r="IEE143" s="69"/>
      <c r="IEF143" s="69"/>
      <c r="IEG143" s="69"/>
      <c r="IEH143" s="69"/>
      <c r="IEI143" s="69"/>
      <c r="IEJ143" s="69"/>
      <c r="IEK143" s="69"/>
      <c r="IEL143" s="69"/>
      <c r="IEM143" s="69"/>
      <c r="IEN143" s="69"/>
      <c r="IEO143" s="69"/>
      <c r="IEP143" s="69"/>
      <c r="IEQ143" s="69"/>
      <c r="IER143" s="69"/>
      <c r="IES143" s="69"/>
      <c r="IET143" s="69"/>
      <c r="IEU143" s="69"/>
      <c r="IEV143" s="69"/>
      <c r="IEW143" s="69"/>
      <c r="IEX143" s="69"/>
      <c r="IEY143" s="69"/>
      <c r="IEZ143" s="69"/>
      <c r="IFA143" s="69"/>
      <c r="IFB143" s="69"/>
      <c r="IFC143" s="69"/>
      <c r="IFD143" s="69"/>
      <c r="IFE143" s="69"/>
      <c r="IFF143" s="69"/>
      <c r="IFG143" s="69"/>
      <c r="IFH143" s="69"/>
      <c r="IFI143" s="69"/>
      <c r="IFJ143" s="69"/>
      <c r="IFK143" s="69"/>
      <c r="IFL143" s="69"/>
      <c r="IFM143" s="69"/>
      <c r="IFN143" s="69"/>
      <c r="IFO143" s="69"/>
      <c r="IFP143" s="69"/>
      <c r="IFQ143" s="69"/>
      <c r="IFR143" s="69"/>
      <c r="IFS143" s="69"/>
      <c r="IFT143" s="69"/>
      <c r="IFU143" s="69"/>
      <c r="IFV143" s="69"/>
      <c r="IFW143" s="69"/>
      <c r="IFX143" s="69"/>
      <c r="IFY143" s="69"/>
      <c r="IFZ143" s="69"/>
      <c r="IGA143" s="69"/>
      <c r="IGB143" s="69"/>
      <c r="IGC143" s="69"/>
      <c r="IGD143" s="69"/>
      <c r="IGE143" s="69"/>
      <c r="IGF143" s="69"/>
      <c r="IGG143" s="69"/>
      <c r="IGH143" s="69"/>
      <c r="IGI143" s="69"/>
      <c r="IGJ143" s="69"/>
      <c r="IGK143" s="69"/>
      <c r="IGL143" s="69"/>
      <c r="IGM143" s="69"/>
      <c r="IGN143" s="69"/>
      <c r="IGO143" s="69"/>
      <c r="IGP143" s="69"/>
      <c r="IGQ143" s="69"/>
      <c r="IGR143" s="69"/>
      <c r="IGS143" s="69"/>
      <c r="IGT143" s="69"/>
      <c r="IGU143" s="69"/>
      <c r="IGV143" s="69"/>
      <c r="IGW143" s="69"/>
      <c r="IGX143" s="69"/>
      <c r="IGY143" s="69"/>
      <c r="IGZ143" s="69"/>
      <c r="IHA143" s="69"/>
      <c r="IHB143" s="69"/>
      <c r="IHC143" s="69"/>
      <c r="IHD143" s="69"/>
      <c r="IHE143" s="69"/>
      <c r="IHF143" s="69"/>
      <c r="IHG143" s="69"/>
      <c r="IHH143" s="69"/>
      <c r="IHI143" s="69"/>
      <c r="IHJ143" s="69"/>
      <c r="IHK143" s="69"/>
      <c r="IHL143" s="69"/>
      <c r="IHM143" s="69"/>
      <c r="IHN143" s="69"/>
      <c r="IHO143" s="69"/>
      <c r="IHP143" s="69"/>
      <c r="IHQ143" s="69"/>
      <c r="IHR143" s="69"/>
      <c r="IHS143" s="69"/>
      <c r="IHT143" s="69"/>
      <c r="IHU143" s="69"/>
      <c r="IHV143" s="69"/>
      <c r="IHW143" s="69"/>
      <c r="IHX143" s="69"/>
      <c r="IHY143" s="69"/>
      <c r="IHZ143" s="69"/>
      <c r="IIA143" s="69"/>
      <c r="IIB143" s="69"/>
      <c r="IIC143" s="69"/>
      <c r="IID143" s="69"/>
      <c r="IIE143" s="69"/>
      <c r="IIF143" s="69"/>
      <c r="IIG143" s="69"/>
      <c r="IIH143" s="69"/>
      <c r="III143" s="69"/>
      <c r="IIJ143" s="69"/>
      <c r="IIK143" s="69"/>
      <c r="IIL143" s="69"/>
      <c r="IIM143" s="69"/>
      <c r="IIN143" s="69"/>
      <c r="IIO143" s="69"/>
      <c r="IIP143" s="69"/>
      <c r="IIQ143" s="69"/>
      <c r="IIR143" s="69"/>
      <c r="IIS143" s="69"/>
      <c r="IIT143" s="69"/>
      <c r="IIU143" s="69"/>
      <c r="IIV143" s="69"/>
      <c r="IIW143" s="69"/>
      <c r="IIX143" s="69"/>
      <c r="IIY143" s="69"/>
      <c r="IIZ143" s="69"/>
      <c r="IJA143" s="69"/>
      <c r="IJB143" s="69"/>
      <c r="IJC143" s="69"/>
      <c r="IJD143" s="69"/>
      <c r="IJE143" s="69"/>
      <c r="IJF143" s="69"/>
      <c r="IJG143" s="69"/>
      <c r="IJH143" s="69"/>
      <c r="IJI143" s="69"/>
      <c r="IJJ143" s="69"/>
      <c r="IJK143" s="69"/>
      <c r="IJL143" s="69"/>
      <c r="IJM143" s="69"/>
      <c r="IJN143" s="69"/>
      <c r="IJO143" s="69"/>
      <c r="IJP143" s="69"/>
      <c r="IJQ143" s="69"/>
      <c r="IJR143" s="69"/>
      <c r="IJS143" s="69"/>
      <c r="IJT143" s="69"/>
      <c r="IJU143" s="69"/>
      <c r="IJV143" s="69"/>
      <c r="IJW143" s="69"/>
      <c r="IJX143" s="69"/>
      <c r="IJY143" s="69"/>
      <c r="IJZ143" s="69"/>
      <c r="IKA143" s="69"/>
      <c r="IKB143" s="69"/>
      <c r="IKC143" s="69"/>
      <c r="IKD143" s="69"/>
      <c r="IKE143" s="69"/>
      <c r="IKF143" s="69"/>
      <c r="IKG143" s="69"/>
      <c r="IKH143" s="69"/>
      <c r="IKI143" s="69"/>
      <c r="IKJ143" s="69"/>
      <c r="IKK143" s="69"/>
      <c r="IKL143" s="69"/>
      <c r="IKM143" s="69"/>
      <c r="IKN143" s="69"/>
      <c r="IKO143" s="69"/>
      <c r="IKP143" s="69"/>
      <c r="IKQ143" s="69"/>
      <c r="IKR143" s="69"/>
      <c r="IKS143" s="69"/>
      <c r="IKT143" s="69"/>
      <c r="IKU143" s="69"/>
      <c r="IKV143" s="69"/>
      <c r="IKW143" s="69"/>
      <c r="IKX143" s="69"/>
      <c r="IKY143" s="69"/>
      <c r="IKZ143" s="69"/>
      <c r="ILA143" s="69"/>
      <c r="ILB143" s="69"/>
      <c r="ILC143" s="69"/>
      <c r="ILD143" s="69"/>
      <c r="ILE143" s="69"/>
      <c r="ILF143" s="69"/>
      <c r="ILG143" s="69"/>
      <c r="ILH143" s="69"/>
      <c r="ILI143" s="69"/>
      <c r="ILJ143" s="69"/>
      <c r="ILK143" s="69"/>
      <c r="ILL143" s="69"/>
      <c r="ILM143" s="69"/>
      <c r="ILN143" s="69"/>
      <c r="ILO143" s="69"/>
      <c r="ILP143" s="69"/>
      <c r="ILQ143" s="69"/>
      <c r="ILR143" s="69"/>
      <c r="ILS143" s="69"/>
      <c r="ILT143" s="69"/>
      <c r="ILU143" s="69"/>
      <c r="ILV143" s="69"/>
      <c r="ILW143" s="69"/>
      <c r="ILX143" s="69"/>
      <c r="ILY143" s="69"/>
      <c r="ILZ143" s="69"/>
      <c r="IMA143" s="69"/>
      <c r="IMB143" s="69"/>
      <c r="IMC143" s="69"/>
      <c r="IMD143" s="69"/>
      <c r="IME143" s="69"/>
      <c r="IMF143" s="69"/>
      <c r="IMG143" s="69"/>
      <c r="IMH143" s="69"/>
      <c r="IMI143" s="69"/>
      <c r="IMJ143" s="69"/>
      <c r="IMK143" s="69"/>
      <c r="IML143" s="69"/>
      <c r="IMM143" s="69"/>
      <c r="IMN143" s="69"/>
      <c r="IMO143" s="69"/>
      <c r="IMP143" s="69"/>
      <c r="IMQ143" s="69"/>
      <c r="IMR143" s="69"/>
      <c r="IMS143" s="69"/>
      <c r="IMT143" s="69"/>
      <c r="IMU143" s="69"/>
      <c r="IMV143" s="69"/>
      <c r="IMW143" s="69"/>
      <c r="IMX143" s="69"/>
      <c r="IMY143" s="69"/>
      <c r="IMZ143" s="69"/>
      <c r="INA143" s="69"/>
      <c r="INB143" s="69"/>
      <c r="INC143" s="69"/>
      <c r="IND143" s="69"/>
      <c r="INE143" s="69"/>
      <c r="INF143" s="69"/>
      <c r="ING143" s="69"/>
      <c r="INH143" s="69"/>
      <c r="INI143" s="69"/>
      <c r="INJ143" s="69"/>
      <c r="INK143" s="69"/>
      <c r="INL143" s="69"/>
      <c r="INM143" s="69"/>
      <c r="INN143" s="69"/>
      <c r="INO143" s="69"/>
      <c r="INP143" s="69"/>
      <c r="INQ143" s="69"/>
      <c r="INR143" s="69"/>
      <c r="INS143" s="69"/>
      <c r="INT143" s="69"/>
      <c r="INU143" s="69"/>
      <c r="INV143" s="69"/>
      <c r="INW143" s="69"/>
      <c r="INX143" s="69"/>
      <c r="INY143" s="69"/>
      <c r="INZ143" s="69"/>
      <c r="IOA143" s="69"/>
      <c r="IOB143" s="69"/>
      <c r="IOC143" s="69"/>
      <c r="IOD143" s="69"/>
      <c r="IOE143" s="69"/>
      <c r="IOF143" s="69"/>
      <c r="IOG143" s="69"/>
      <c r="IOH143" s="69"/>
      <c r="IOI143" s="69"/>
      <c r="IOJ143" s="69"/>
      <c r="IOK143" s="69"/>
      <c r="IOL143" s="69"/>
      <c r="IOM143" s="69"/>
      <c r="ION143" s="69"/>
      <c r="IOO143" s="69"/>
      <c r="IOP143" s="69"/>
      <c r="IOQ143" s="69"/>
      <c r="IOR143" s="69"/>
      <c r="IOS143" s="69"/>
      <c r="IOT143" s="69"/>
      <c r="IOU143" s="69"/>
      <c r="IOV143" s="69"/>
      <c r="IOW143" s="69"/>
      <c r="IOX143" s="69"/>
      <c r="IOY143" s="69"/>
      <c r="IOZ143" s="69"/>
      <c r="IPA143" s="69"/>
      <c r="IPB143" s="69"/>
      <c r="IPC143" s="69"/>
      <c r="IPD143" s="69"/>
      <c r="IPE143" s="69"/>
      <c r="IPF143" s="69"/>
      <c r="IPG143" s="69"/>
      <c r="IPH143" s="69"/>
      <c r="IPI143" s="69"/>
      <c r="IPJ143" s="69"/>
      <c r="IPK143" s="69"/>
      <c r="IPL143" s="69"/>
      <c r="IPM143" s="69"/>
      <c r="IPN143" s="69"/>
      <c r="IPO143" s="69"/>
      <c r="IPP143" s="69"/>
      <c r="IPQ143" s="69"/>
      <c r="IPR143" s="69"/>
      <c r="IPS143" s="69"/>
      <c r="IPT143" s="69"/>
      <c r="IPU143" s="69"/>
      <c r="IPV143" s="69"/>
      <c r="IPW143" s="69"/>
      <c r="IPX143" s="69"/>
      <c r="IPY143" s="69"/>
      <c r="IPZ143" s="69"/>
      <c r="IQA143" s="69"/>
      <c r="IQB143" s="69"/>
      <c r="IQC143" s="69"/>
      <c r="IQD143" s="69"/>
      <c r="IQE143" s="69"/>
      <c r="IQF143" s="69"/>
      <c r="IQG143" s="69"/>
      <c r="IQH143" s="69"/>
      <c r="IQI143" s="69"/>
      <c r="IQJ143" s="69"/>
      <c r="IQK143" s="69"/>
      <c r="IQL143" s="69"/>
      <c r="IQM143" s="69"/>
      <c r="IQN143" s="69"/>
      <c r="IQO143" s="69"/>
      <c r="IQP143" s="69"/>
      <c r="IQQ143" s="69"/>
      <c r="IQR143" s="69"/>
      <c r="IQS143" s="69"/>
      <c r="IQT143" s="69"/>
      <c r="IQU143" s="69"/>
      <c r="IQV143" s="69"/>
      <c r="IQW143" s="69"/>
      <c r="IQX143" s="69"/>
      <c r="IQY143" s="69"/>
      <c r="IQZ143" s="69"/>
      <c r="IRA143" s="69"/>
      <c r="IRB143" s="69"/>
      <c r="IRC143" s="69"/>
      <c r="IRD143" s="69"/>
      <c r="IRE143" s="69"/>
      <c r="IRF143" s="69"/>
      <c r="IRG143" s="69"/>
      <c r="IRH143" s="69"/>
      <c r="IRI143" s="69"/>
      <c r="IRJ143" s="69"/>
      <c r="IRK143" s="69"/>
      <c r="IRL143" s="69"/>
      <c r="IRM143" s="69"/>
      <c r="IRN143" s="69"/>
      <c r="IRO143" s="69"/>
      <c r="IRP143" s="69"/>
      <c r="IRQ143" s="69"/>
      <c r="IRR143" s="69"/>
      <c r="IRS143" s="69"/>
      <c r="IRT143" s="69"/>
      <c r="IRU143" s="69"/>
      <c r="IRV143" s="69"/>
      <c r="IRW143" s="69"/>
      <c r="IRX143" s="69"/>
      <c r="IRY143" s="69"/>
      <c r="IRZ143" s="69"/>
      <c r="ISA143" s="69"/>
      <c r="ISB143" s="69"/>
      <c r="ISC143" s="69"/>
      <c r="ISD143" s="69"/>
      <c r="ISE143" s="69"/>
      <c r="ISF143" s="69"/>
      <c r="ISG143" s="69"/>
      <c r="ISH143" s="69"/>
      <c r="ISI143" s="69"/>
      <c r="ISJ143" s="69"/>
      <c r="ISK143" s="69"/>
      <c r="ISL143" s="69"/>
      <c r="ISM143" s="69"/>
      <c r="ISN143" s="69"/>
      <c r="ISO143" s="69"/>
      <c r="ISP143" s="69"/>
      <c r="ISQ143" s="69"/>
      <c r="ISR143" s="69"/>
      <c r="ISS143" s="69"/>
      <c r="IST143" s="69"/>
      <c r="ISU143" s="69"/>
      <c r="ISV143" s="69"/>
      <c r="ISW143" s="69"/>
      <c r="ISX143" s="69"/>
      <c r="ISY143" s="69"/>
      <c r="ISZ143" s="69"/>
      <c r="ITA143" s="69"/>
      <c r="ITB143" s="69"/>
      <c r="ITC143" s="69"/>
      <c r="ITD143" s="69"/>
      <c r="ITE143" s="69"/>
      <c r="ITF143" s="69"/>
      <c r="ITG143" s="69"/>
      <c r="ITH143" s="69"/>
      <c r="ITI143" s="69"/>
      <c r="ITJ143" s="69"/>
      <c r="ITK143" s="69"/>
      <c r="ITL143" s="69"/>
      <c r="ITM143" s="69"/>
      <c r="ITN143" s="69"/>
      <c r="ITO143" s="69"/>
      <c r="ITP143" s="69"/>
      <c r="ITQ143" s="69"/>
      <c r="ITR143" s="69"/>
      <c r="ITS143" s="69"/>
      <c r="ITT143" s="69"/>
      <c r="ITU143" s="69"/>
      <c r="ITV143" s="69"/>
      <c r="ITW143" s="69"/>
      <c r="ITX143" s="69"/>
      <c r="ITY143" s="69"/>
      <c r="ITZ143" s="69"/>
      <c r="IUA143" s="69"/>
      <c r="IUB143" s="69"/>
      <c r="IUC143" s="69"/>
      <c r="IUD143" s="69"/>
      <c r="IUE143" s="69"/>
      <c r="IUF143" s="69"/>
      <c r="IUG143" s="69"/>
      <c r="IUH143" s="69"/>
      <c r="IUI143" s="69"/>
      <c r="IUJ143" s="69"/>
      <c r="IUK143" s="69"/>
      <c r="IUL143" s="69"/>
      <c r="IUM143" s="69"/>
      <c r="IUN143" s="69"/>
      <c r="IUO143" s="69"/>
      <c r="IUP143" s="69"/>
      <c r="IUQ143" s="69"/>
      <c r="IUR143" s="69"/>
      <c r="IUS143" s="69"/>
      <c r="IUT143" s="69"/>
      <c r="IUU143" s="69"/>
      <c r="IUV143" s="69"/>
      <c r="IUW143" s="69"/>
      <c r="IUX143" s="69"/>
      <c r="IUY143" s="69"/>
      <c r="IUZ143" s="69"/>
      <c r="IVA143" s="69"/>
      <c r="IVB143" s="69"/>
      <c r="IVC143" s="69"/>
      <c r="IVD143" s="69"/>
      <c r="IVE143" s="69"/>
      <c r="IVF143" s="69"/>
      <c r="IVG143" s="69"/>
      <c r="IVH143" s="69"/>
      <c r="IVI143" s="69"/>
      <c r="IVJ143" s="69"/>
      <c r="IVK143" s="69"/>
      <c r="IVL143" s="69"/>
      <c r="IVM143" s="69"/>
      <c r="IVN143" s="69"/>
      <c r="IVO143" s="69"/>
      <c r="IVP143" s="69"/>
      <c r="IVQ143" s="69"/>
      <c r="IVR143" s="69"/>
      <c r="IVS143" s="69"/>
      <c r="IVT143" s="69"/>
      <c r="IVU143" s="69"/>
      <c r="IVV143" s="69"/>
      <c r="IVW143" s="69"/>
      <c r="IVX143" s="69"/>
      <c r="IVY143" s="69"/>
      <c r="IVZ143" s="69"/>
      <c r="IWA143" s="69"/>
      <c r="IWB143" s="69"/>
      <c r="IWC143" s="69"/>
      <c r="IWD143" s="69"/>
      <c r="IWE143" s="69"/>
      <c r="IWF143" s="69"/>
      <c r="IWG143" s="69"/>
      <c r="IWH143" s="69"/>
      <c r="IWI143" s="69"/>
      <c r="IWJ143" s="69"/>
      <c r="IWK143" s="69"/>
      <c r="IWL143" s="69"/>
      <c r="IWM143" s="69"/>
      <c r="IWN143" s="69"/>
      <c r="IWO143" s="69"/>
      <c r="IWP143" s="69"/>
      <c r="IWQ143" s="69"/>
      <c r="IWR143" s="69"/>
      <c r="IWS143" s="69"/>
      <c r="IWT143" s="69"/>
      <c r="IWU143" s="69"/>
      <c r="IWV143" s="69"/>
      <c r="IWW143" s="69"/>
      <c r="IWX143" s="69"/>
      <c r="IWY143" s="69"/>
      <c r="IWZ143" s="69"/>
      <c r="IXA143" s="69"/>
      <c r="IXB143" s="69"/>
      <c r="IXC143" s="69"/>
      <c r="IXD143" s="69"/>
      <c r="IXE143" s="69"/>
      <c r="IXF143" s="69"/>
      <c r="IXG143" s="69"/>
      <c r="IXH143" s="69"/>
      <c r="IXI143" s="69"/>
      <c r="IXJ143" s="69"/>
      <c r="IXK143" s="69"/>
      <c r="IXL143" s="69"/>
      <c r="IXM143" s="69"/>
      <c r="IXN143" s="69"/>
      <c r="IXO143" s="69"/>
      <c r="IXP143" s="69"/>
      <c r="IXQ143" s="69"/>
      <c r="IXR143" s="69"/>
      <c r="IXS143" s="69"/>
      <c r="IXT143" s="69"/>
      <c r="IXU143" s="69"/>
      <c r="IXV143" s="69"/>
      <c r="IXW143" s="69"/>
      <c r="IXX143" s="69"/>
      <c r="IXY143" s="69"/>
      <c r="IXZ143" s="69"/>
      <c r="IYA143" s="69"/>
      <c r="IYB143" s="69"/>
      <c r="IYC143" s="69"/>
      <c r="IYD143" s="69"/>
      <c r="IYE143" s="69"/>
      <c r="IYF143" s="69"/>
      <c r="IYG143" s="69"/>
      <c r="IYH143" s="69"/>
      <c r="IYI143" s="69"/>
      <c r="IYJ143" s="69"/>
      <c r="IYK143" s="69"/>
      <c r="IYL143" s="69"/>
      <c r="IYM143" s="69"/>
      <c r="IYN143" s="69"/>
      <c r="IYO143" s="69"/>
      <c r="IYP143" s="69"/>
      <c r="IYQ143" s="69"/>
      <c r="IYR143" s="69"/>
      <c r="IYS143" s="69"/>
      <c r="IYT143" s="69"/>
      <c r="IYU143" s="69"/>
      <c r="IYV143" s="69"/>
      <c r="IYW143" s="69"/>
      <c r="IYX143" s="69"/>
      <c r="IYY143" s="69"/>
      <c r="IYZ143" s="69"/>
      <c r="IZA143" s="69"/>
      <c r="IZB143" s="69"/>
      <c r="IZC143" s="69"/>
      <c r="IZD143" s="69"/>
      <c r="IZE143" s="69"/>
      <c r="IZF143" s="69"/>
      <c r="IZG143" s="69"/>
      <c r="IZH143" s="69"/>
      <c r="IZI143" s="69"/>
      <c r="IZJ143" s="69"/>
      <c r="IZK143" s="69"/>
      <c r="IZL143" s="69"/>
      <c r="IZM143" s="69"/>
      <c r="IZN143" s="69"/>
      <c r="IZO143" s="69"/>
      <c r="IZP143" s="69"/>
      <c r="IZQ143" s="69"/>
      <c r="IZR143" s="69"/>
      <c r="IZS143" s="69"/>
      <c r="IZT143" s="69"/>
      <c r="IZU143" s="69"/>
      <c r="IZV143" s="69"/>
      <c r="IZW143" s="69"/>
      <c r="IZX143" s="69"/>
      <c r="IZY143" s="69"/>
      <c r="IZZ143" s="69"/>
      <c r="JAA143" s="69"/>
      <c r="JAB143" s="69"/>
      <c r="JAC143" s="69"/>
      <c r="JAD143" s="69"/>
      <c r="JAE143" s="69"/>
      <c r="JAF143" s="69"/>
      <c r="JAG143" s="69"/>
      <c r="JAH143" s="69"/>
      <c r="JAI143" s="69"/>
      <c r="JAJ143" s="69"/>
      <c r="JAK143" s="69"/>
      <c r="JAL143" s="69"/>
      <c r="JAM143" s="69"/>
      <c r="JAN143" s="69"/>
      <c r="JAO143" s="69"/>
      <c r="JAP143" s="69"/>
      <c r="JAQ143" s="69"/>
      <c r="JAR143" s="69"/>
      <c r="JAS143" s="69"/>
      <c r="JAT143" s="69"/>
      <c r="JAU143" s="69"/>
      <c r="JAV143" s="69"/>
      <c r="JAW143" s="69"/>
      <c r="JAX143" s="69"/>
      <c r="JAY143" s="69"/>
      <c r="JAZ143" s="69"/>
      <c r="JBA143" s="69"/>
      <c r="JBB143" s="69"/>
      <c r="JBC143" s="69"/>
      <c r="JBD143" s="69"/>
      <c r="JBE143" s="69"/>
      <c r="JBF143" s="69"/>
      <c r="JBG143" s="69"/>
      <c r="JBH143" s="69"/>
      <c r="JBI143" s="69"/>
      <c r="JBJ143" s="69"/>
      <c r="JBK143" s="69"/>
      <c r="JBL143" s="69"/>
      <c r="JBM143" s="69"/>
      <c r="JBN143" s="69"/>
      <c r="JBO143" s="69"/>
      <c r="JBP143" s="69"/>
      <c r="JBQ143" s="69"/>
      <c r="JBR143" s="69"/>
      <c r="JBS143" s="69"/>
      <c r="JBT143" s="69"/>
      <c r="JBU143" s="69"/>
      <c r="JBV143" s="69"/>
      <c r="JBW143" s="69"/>
      <c r="JBX143" s="69"/>
      <c r="JBY143" s="69"/>
      <c r="JBZ143" s="69"/>
      <c r="JCA143" s="69"/>
      <c r="JCB143" s="69"/>
      <c r="JCC143" s="69"/>
      <c r="JCD143" s="69"/>
      <c r="JCE143" s="69"/>
      <c r="JCF143" s="69"/>
      <c r="JCG143" s="69"/>
      <c r="JCH143" s="69"/>
      <c r="JCI143" s="69"/>
      <c r="JCJ143" s="69"/>
      <c r="JCK143" s="69"/>
      <c r="JCL143" s="69"/>
      <c r="JCM143" s="69"/>
      <c r="JCN143" s="69"/>
      <c r="JCO143" s="69"/>
      <c r="JCP143" s="69"/>
      <c r="JCQ143" s="69"/>
      <c r="JCR143" s="69"/>
      <c r="JCS143" s="69"/>
      <c r="JCT143" s="69"/>
      <c r="JCU143" s="69"/>
      <c r="JCV143" s="69"/>
      <c r="JCW143" s="69"/>
      <c r="JCX143" s="69"/>
      <c r="JCY143" s="69"/>
      <c r="JCZ143" s="69"/>
      <c r="JDA143" s="69"/>
      <c r="JDB143" s="69"/>
      <c r="JDC143" s="69"/>
      <c r="JDD143" s="69"/>
      <c r="JDE143" s="69"/>
      <c r="JDF143" s="69"/>
      <c r="JDG143" s="69"/>
      <c r="JDH143" s="69"/>
      <c r="JDI143" s="69"/>
      <c r="JDJ143" s="69"/>
      <c r="JDK143" s="69"/>
      <c r="JDL143" s="69"/>
      <c r="JDM143" s="69"/>
      <c r="JDN143" s="69"/>
      <c r="JDO143" s="69"/>
      <c r="JDP143" s="69"/>
      <c r="JDQ143" s="69"/>
      <c r="JDR143" s="69"/>
      <c r="JDS143" s="69"/>
      <c r="JDT143" s="69"/>
      <c r="JDU143" s="69"/>
      <c r="JDV143" s="69"/>
      <c r="JDW143" s="69"/>
      <c r="JDX143" s="69"/>
      <c r="JDY143" s="69"/>
      <c r="JDZ143" s="69"/>
      <c r="JEA143" s="69"/>
      <c r="JEB143" s="69"/>
      <c r="JEC143" s="69"/>
      <c r="JED143" s="69"/>
      <c r="JEE143" s="69"/>
      <c r="JEF143" s="69"/>
      <c r="JEG143" s="69"/>
      <c r="JEH143" s="69"/>
      <c r="JEI143" s="69"/>
      <c r="JEJ143" s="69"/>
      <c r="JEK143" s="69"/>
      <c r="JEL143" s="69"/>
      <c r="JEM143" s="69"/>
      <c r="JEN143" s="69"/>
      <c r="JEO143" s="69"/>
      <c r="JEP143" s="69"/>
      <c r="JEQ143" s="69"/>
      <c r="JER143" s="69"/>
      <c r="JES143" s="69"/>
      <c r="JET143" s="69"/>
      <c r="JEU143" s="69"/>
      <c r="JEV143" s="69"/>
      <c r="JEW143" s="69"/>
      <c r="JEX143" s="69"/>
      <c r="JEY143" s="69"/>
      <c r="JEZ143" s="69"/>
      <c r="JFA143" s="69"/>
      <c r="JFB143" s="69"/>
      <c r="JFC143" s="69"/>
      <c r="JFD143" s="69"/>
      <c r="JFE143" s="69"/>
      <c r="JFF143" s="69"/>
      <c r="JFG143" s="69"/>
      <c r="JFH143" s="69"/>
      <c r="JFI143" s="69"/>
      <c r="JFJ143" s="69"/>
      <c r="JFK143" s="69"/>
      <c r="JFL143" s="69"/>
      <c r="JFM143" s="69"/>
      <c r="JFN143" s="69"/>
      <c r="JFO143" s="69"/>
      <c r="JFP143" s="69"/>
      <c r="JFQ143" s="69"/>
      <c r="JFR143" s="69"/>
      <c r="JFS143" s="69"/>
      <c r="JFT143" s="69"/>
      <c r="JFU143" s="69"/>
      <c r="JFV143" s="69"/>
      <c r="JFW143" s="69"/>
      <c r="JFX143" s="69"/>
      <c r="JFY143" s="69"/>
      <c r="JFZ143" s="69"/>
      <c r="JGA143" s="69"/>
      <c r="JGB143" s="69"/>
      <c r="JGC143" s="69"/>
      <c r="JGD143" s="69"/>
      <c r="JGE143" s="69"/>
      <c r="JGF143" s="69"/>
      <c r="JGG143" s="69"/>
      <c r="JGH143" s="69"/>
      <c r="JGI143" s="69"/>
      <c r="JGJ143" s="69"/>
      <c r="JGK143" s="69"/>
      <c r="JGL143" s="69"/>
      <c r="JGM143" s="69"/>
      <c r="JGN143" s="69"/>
      <c r="JGO143" s="69"/>
      <c r="JGP143" s="69"/>
      <c r="JGQ143" s="69"/>
      <c r="JGR143" s="69"/>
      <c r="JGS143" s="69"/>
      <c r="JGT143" s="69"/>
      <c r="JGU143" s="69"/>
      <c r="JGV143" s="69"/>
      <c r="JGW143" s="69"/>
      <c r="JGX143" s="69"/>
      <c r="JGY143" s="69"/>
      <c r="JGZ143" s="69"/>
      <c r="JHA143" s="69"/>
      <c r="JHB143" s="69"/>
      <c r="JHC143" s="69"/>
      <c r="JHD143" s="69"/>
      <c r="JHE143" s="69"/>
      <c r="JHF143" s="69"/>
      <c r="JHG143" s="69"/>
      <c r="JHH143" s="69"/>
      <c r="JHI143" s="69"/>
      <c r="JHJ143" s="69"/>
      <c r="JHK143" s="69"/>
      <c r="JHL143" s="69"/>
      <c r="JHM143" s="69"/>
      <c r="JHN143" s="69"/>
      <c r="JHO143" s="69"/>
      <c r="JHP143" s="69"/>
      <c r="JHQ143" s="69"/>
      <c r="JHR143" s="69"/>
      <c r="JHS143" s="69"/>
      <c r="JHT143" s="69"/>
      <c r="JHU143" s="69"/>
      <c r="JHV143" s="69"/>
      <c r="JHW143" s="69"/>
      <c r="JHX143" s="69"/>
      <c r="JHY143" s="69"/>
      <c r="JHZ143" s="69"/>
      <c r="JIA143" s="69"/>
      <c r="JIB143" s="69"/>
      <c r="JIC143" s="69"/>
      <c r="JID143" s="69"/>
      <c r="JIE143" s="69"/>
      <c r="JIF143" s="69"/>
      <c r="JIG143" s="69"/>
      <c r="JIH143" s="69"/>
      <c r="JII143" s="69"/>
      <c r="JIJ143" s="69"/>
      <c r="JIK143" s="69"/>
      <c r="JIL143" s="69"/>
      <c r="JIM143" s="69"/>
      <c r="JIN143" s="69"/>
      <c r="JIO143" s="69"/>
      <c r="JIP143" s="69"/>
      <c r="JIQ143" s="69"/>
      <c r="JIR143" s="69"/>
      <c r="JIS143" s="69"/>
      <c r="JIT143" s="69"/>
      <c r="JIU143" s="69"/>
      <c r="JIV143" s="69"/>
      <c r="JIW143" s="69"/>
      <c r="JIX143" s="69"/>
      <c r="JIY143" s="69"/>
      <c r="JIZ143" s="69"/>
      <c r="JJA143" s="69"/>
      <c r="JJB143" s="69"/>
      <c r="JJC143" s="69"/>
      <c r="JJD143" s="69"/>
      <c r="JJE143" s="69"/>
      <c r="JJF143" s="69"/>
      <c r="JJG143" s="69"/>
      <c r="JJH143" s="69"/>
      <c r="JJI143" s="69"/>
      <c r="JJJ143" s="69"/>
      <c r="JJK143" s="69"/>
      <c r="JJL143" s="69"/>
      <c r="JJM143" s="69"/>
      <c r="JJN143" s="69"/>
      <c r="JJO143" s="69"/>
      <c r="JJP143" s="69"/>
      <c r="JJQ143" s="69"/>
      <c r="JJR143" s="69"/>
      <c r="JJS143" s="69"/>
      <c r="JJT143" s="69"/>
      <c r="JJU143" s="69"/>
      <c r="JJV143" s="69"/>
      <c r="JJW143" s="69"/>
      <c r="JJX143" s="69"/>
      <c r="JJY143" s="69"/>
      <c r="JJZ143" s="69"/>
      <c r="JKA143" s="69"/>
      <c r="JKB143" s="69"/>
      <c r="JKC143" s="69"/>
      <c r="JKD143" s="69"/>
      <c r="JKE143" s="69"/>
      <c r="JKF143" s="69"/>
      <c r="JKG143" s="69"/>
      <c r="JKH143" s="69"/>
      <c r="JKI143" s="69"/>
      <c r="JKJ143" s="69"/>
      <c r="JKK143" s="69"/>
      <c r="JKL143" s="69"/>
      <c r="JKM143" s="69"/>
      <c r="JKN143" s="69"/>
      <c r="JKO143" s="69"/>
      <c r="JKP143" s="69"/>
      <c r="JKQ143" s="69"/>
      <c r="JKR143" s="69"/>
      <c r="JKS143" s="69"/>
      <c r="JKT143" s="69"/>
      <c r="JKU143" s="69"/>
      <c r="JKV143" s="69"/>
      <c r="JKW143" s="69"/>
      <c r="JKX143" s="69"/>
      <c r="JKY143" s="69"/>
      <c r="JKZ143" s="69"/>
      <c r="JLA143" s="69"/>
      <c r="JLB143" s="69"/>
      <c r="JLC143" s="69"/>
      <c r="JLD143" s="69"/>
      <c r="JLE143" s="69"/>
      <c r="JLF143" s="69"/>
      <c r="JLG143" s="69"/>
      <c r="JLH143" s="69"/>
      <c r="JLI143" s="69"/>
      <c r="JLJ143" s="69"/>
      <c r="JLK143" s="69"/>
      <c r="JLL143" s="69"/>
      <c r="JLM143" s="69"/>
      <c r="JLN143" s="69"/>
      <c r="JLO143" s="69"/>
      <c r="JLP143" s="69"/>
      <c r="JLQ143" s="69"/>
      <c r="JLR143" s="69"/>
      <c r="JLS143" s="69"/>
      <c r="JLT143" s="69"/>
      <c r="JLU143" s="69"/>
      <c r="JLV143" s="69"/>
      <c r="JLW143" s="69"/>
      <c r="JLX143" s="69"/>
      <c r="JLY143" s="69"/>
      <c r="JLZ143" s="69"/>
      <c r="JMA143" s="69"/>
      <c r="JMB143" s="69"/>
      <c r="JMC143" s="69"/>
      <c r="JMD143" s="69"/>
      <c r="JME143" s="69"/>
      <c r="JMF143" s="69"/>
      <c r="JMG143" s="69"/>
      <c r="JMH143" s="69"/>
      <c r="JMI143" s="69"/>
      <c r="JMJ143" s="69"/>
      <c r="JMK143" s="69"/>
      <c r="JML143" s="69"/>
      <c r="JMM143" s="69"/>
      <c r="JMN143" s="69"/>
      <c r="JMO143" s="69"/>
      <c r="JMP143" s="69"/>
      <c r="JMQ143" s="69"/>
      <c r="JMR143" s="69"/>
      <c r="JMS143" s="69"/>
      <c r="JMT143" s="69"/>
      <c r="JMU143" s="69"/>
      <c r="JMV143" s="69"/>
      <c r="JMW143" s="69"/>
      <c r="JMX143" s="69"/>
      <c r="JMY143" s="69"/>
      <c r="JMZ143" s="69"/>
      <c r="JNA143" s="69"/>
      <c r="JNB143" s="69"/>
      <c r="JNC143" s="69"/>
      <c r="JND143" s="69"/>
      <c r="JNE143" s="69"/>
      <c r="JNF143" s="69"/>
      <c r="JNG143" s="69"/>
      <c r="JNH143" s="69"/>
      <c r="JNI143" s="69"/>
      <c r="JNJ143" s="69"/>
      <c r="JNK143" s="69"/>
      <c r="JNL143" s="69"/>
      <c r="JNM143" s="69"/>
      <c r="JNN143" s="69"/>
      <c r="JNO143" s="69"/>
      <c r="JNP143" s="69"/>
      <c r="JNQ143" s="69"/>
      <c r="JNR143" s="69"/>
      <c r="JNS143" s="69"/>
      <c r="JNT143" s="69"/>
      <c r="JNU143" s="69"/>
      <c r="JNV143" s="69"/>
      <c r="JNW143" s="69"/>
      <c r="JNX143" s="69"/>
      <c r="JNY143" s="69"/>
      <c r="JNZ143" s="69"/>
      <c r="JOA143" s="69"/>
      <c r="JOB143" s="69"/>
      <c r="JOC143" s="69"/>
      <c r="JOD143" s="69"/>
      <c r="JOE143" s="69"/>
      <c r="JOF143" s="69"/>
      <c r="JOG143" s="69"/>
      <c r="JOH143" s="69"/>
      <c r="JOI143" s="69"/>
      <c r="JOJ143" s="69"/>
      <c r="JOK143" s="69"/>
      <c r="JOL143" s="69"/>
      <c r="JOM143" s="69"/>
      <c r="JON143" s="69"/>
      <c r="JOO143" s="69"/>
      <c r="JOP143" s="69"/>
      <c r="JOQ143" s="69"/>
      <c r="JOR143" s="69"/>
      <c r="JOS143" s="69"/>
      <c r="JOT143" s="69"/>
      <c r="JOU143" s="69"/>
      <c r="JOV143" s="69"/>
      <c r="JOW143" s="69"/>
      <c r="JOX143" s="69"/>
      <c r="JOY143" s="69"/>
      <c r="JOZ143" s="69"/>
      <c r="JPA143" s="69"/>
      <c r="JPB143" s="69"/>
      <c r="JPC143" s="69"/>
      <c r="JPD143" s="69"/>
      <c r="JPE143" s="69"/>
      <c r="JPF143" s="69"/>
      <c r="JPG143" s="69"/>
      <c r="JPH143" s="69"/>
      <c r="JPI143" s="69"/>
      <c r="JPJ143" s="69"/>
      <c r="JPK143" s="69"/>
      <c r="JPL143" s="69"/>
      <c r="JPM143" s="69"/>
      <c r="JPN143" s="69"/>
      <c r="JPO143" s="69"/>
      <c r="JPP143" s="69"/>
      <c r="JPQ143" s="69"/>
      <c r="JPR143" s="69"/>
      <c r="JPS143" s="69"/>
      <c r="JPT143" s="69"/>
      <c r="JPU143" s="69"/>
      <c r="JPV143" s="69"/>
      <c r="JPW143" s="69"/>
      <c r="JPX143" s="69"/>
      <c r="JPY143" s="69"/>
      <c r="JPZ143" s="69"/>
      <c r="JQA143" s="69"/>
      <c r="JQB143" s="69"/>
      <c r="JQC143" s="69"/>
      <c r="JQD143" s="69"/>
      <c r="JQE143" s="69"/>
      <c r="JQF143" s="69"/>
      <c r="JQG143" s="69"/>
      <c r="JQH143" s="69"/>
      <c r="JQI143" s="69"/>
      <c r="JQJ143" s="69"/>
      <c r="JQK143" s="69"/>
      <c r="JQL143" s="69"/>
      <c r="JQM143" s="69"/>
      <c r="JQN143" s="69"/>
      <c r="JQO143" s="69"/>
      <c r="JQP143" s="69"/>
      <c r="JQQ143" s="69"/>
      <c r="JQR143" s="69"/>
      <c r="JQS143" s="69"/>
      <c r="JQT143" s="69"/>
      <c r="JQU143" s="69"/>
      <c r="JQV143" s="69"/>
      <c r="JQW143" s="69"/>
      <c r="JQX143" s="69"/>
      <c r="JQY143" s="69"/>
      <c r="JQZ143" s="69"/>
      <c r="JRA143" s="69"/>
      <c r="JRB143" s="69"/>
      <c r="JRC143" s="69"/>
      <c r="JRD143" s="69"/>
      <c r="JRE143" s="69"/>
      <c r="JRF143" s="69"/>
      <c r="JRG143" s="69"/>
      <c r="JRH143" s="69"/>
      <c r="JRI143" s="69"/>
      <c r="JRJ143" s="69"/>
      <c r="JRK143" s="69"/>
      <c r="JRL143" s="69"/>
      <c r="JRM143" s="69"/>
      <c r="JRN143" s="69"/>
      <c r="JRO143" s="69"/>
      <c r="JRP143" s="69"/>
      <c r="JRQ143" s="69"/>
      <c r="JRR143" s="69"/>
      <c r="JRS143" s="69"/>
      <c r="JRT143" s="69"/>
      <c r="JRU143" s="69"/>
      <c r="JRV143" s="69"/>
      <c r="JRW143" s="69"/>
      <c r="JRX143" s="69"/>
      <c r="JRY143" s="69"/>
      <c r="JRZ143" s="69"/>
      <c r="JSA143" s="69"/>
      <c r="JSB143" s="69"/>
      <c r="JSC143" s="69"/>
      <c r="JSD143" s="69"/>
      <c r="JSE143" s="69"/>
      <c r="JSF143" s="69"/>
      <c r="JSG143" s="69"/>
      <c r="JSH143" s="69"/>
      <c r="JSI143" s="69"/>
      <c r="JSJ143" s="69"/>
      <c r="JSK143" s="69"/>
      <c r="JSL143" s="69"/>
      <c r="JSM143" s="69"/>
      <c r="JSN143" s="69"/>
      <c r="JSO143" s="69"/>
      <c r="JSP143" s="69"/>
      <c r="JSQ143" s="69"/>
      <c r="JSR143" s="69"/>
      <c r="JSS143" s="69"/>
      <c r="JST143" s="69"/>
      <c r="JSU143" s="69"/>
      <c r="JSV143" s="69"/>
      <c r="JSW143" s="69"/>
      <c r="JSX143" s="69"/>
      <c r="JSY143" s="69"/>
      <c r="JSZ143" s="69"/>
      <c r="JTA143" s="69"/>
      <c r="JTB143" s="69"/>
      <c r="JTC143" s="69"/>
      <c r="JTD143" s="69"/>
      <c r="JTE143" s="69"/>
      <c r="JTF143" s="69"/>
      <c r="JTG143" s="69"/>
      <c r="JTH143" s="69"/>
      <c r="JTI143" s="69"/>
      <c r="JTJ143" s="69"/>
      <c r="JTK143" s="69"/>
      <c r="JTL143" s="69"/>
      <c r="JTM143" s="69"/>
      <c r="JTN143" s="69"/>
      <c r="JTO143" s="69"/>
      <c r="JTP143" s="69"/>
      <c r="JTQ143" s="69"/>
      <c r="JTR143" s="69"/>
      <c r="JTS143" s="69"/>
      <c r="JTT143" s="69"/>
      <c r="JTU143" s="69"/>
      <c r="JTV143" s="69"/>
      <c r="JTW143" s="69"/>
      <c r="JTX143" s="69"/>
      <c r="JTY143" s="69"/>
      <c r="JTZ143" s="69"/>
      <c r="JUA143" s="69"/>
      <c r="JUB143" s="69"/>
      <c r="JUC143" s="69"/>
      <c r="JUD143" s="69"/>
      <c r="JUE143" s="69"/>
      <c r="JUF143" s="69"/>
      <c r="JUG143" s="69"/>
      <c r="JUH143" s="69"/>
      <c r="JUI143" s="69"/>
      <c r="JUJ143" s="69"/>
      <c r="JUK143" s="69"/>
      <c r="JUL143" s="69"/>
      <c r="JUM143" s="69"/>
      <c r="JUN143" s="69"/>
      <c r="JUO143" s="69"/>
      <c r="JUP143" s="69"/>
      <c r="JUQ143" s="69"/>
      <c r="JUR143" s="69"/>
      <c r="JUS143" s="69"/>
      <c r="JUT143" s="69"/>
      <c r="JUU143" s="69"/>
      <c r="JUV143" s="69"/>
      <c r="JUW143" s="69"/>
      <c r="JUX143" s="69"/>
      <c r="JUY143" s="69"/>
      <c r="JUZ143" s="69"/>
      <c r="JVA143" s="69"/>
      <c r="JVB143" s="69"/>
      <c r="JVC143" s="69"/>
      <c r="JVD143" s="69"/>
      <c r="JVE143" s="69"/>
      <c r="JVF143" s="69"/>
      <c r="JVG143" s="69"/>
      <c r="JVH143" s="69"/>
      <c r="JVI143" s="69"/>
      <c r="JVJ143" s="69"/>
      <c r="JVK143" s="69"/>
      <c r="JVL143" s="69"/>
      <c r="JVM143" s="69"/>
      <c r="JVN143" s="69"/>
      <c r="JVO143" s="69"/>
      <c r="JVP143" s="69"/>
      <c r="JVQ143" s="69"/>
      <c r="JVR143" s="69"/>
      <c r="JVS143" s="69"/>
      <c r="JVT143" s="69"/>
      <c r="JVU143" s="69"/>
      <c r="JVV143" s="69"/>
      <c r="JVW143" s="69"/>
      <c r="JVX143" s="69"/>
      <c r="JVY143" s="69"/>
      <c r="JVZ143" s="69"/>
      <c r="JWA143" s="69"/>
      <c r="JWB143" s="69"/>
      <c r="JWC143" s="69"/>
      <c r="JWD143" s="69"/>
      <c r="JWE143" s="69"/>
      <c r="JWF143" s="69"/>
      <c r="JWG143" s="69"/>
      <c r="JWH143" s="69"/>
      <c r="JWI143" s="69"/>
      <c r="JWJ143" s="69"/>
      <c r="JWK143" s="69"/>
      <c r="JWL143" s="69"/>
      <c r="JWM143" s="69"/>
      <c r="JWN143" s="69"/>
      <c r="JWO143" s="69"/>
      <c r="JWP143" s="69"/>
      <c r="JWQ143" s="69"/>
      <c r="JWR143" s="69"/>
      <c r="JWS143" s="69"/>
      <c r="JWT143" s="69"/>
      <c r="JWU143" s="69"/>
      <c r="JWV143" s="69"/>
      <c r="JWW143" s="69"/>
      <c r="JWX143" s="69"/>
      <c r="JWY143" s="69"/>
      <c r="JWZ143" s="69"/>
      <c r="JXA143" s="69"/>
      <c r="JXB143" s="69"/>
      <c r="JXC143" s="69"/>
      <c r="JXD143" s="69"/>
      <c r="JXE143" s="69"/>
      <c r="JXF143" s="69"/>
      <c r="JXG143" s="69"/>
      <c r="JXH143" s="69"/>
      <c r="JXI143" s="69"/>
      <c r="JXJ143" s="69"/>
      <c r="JXK143" s="69"/>
      <c r="JXL143" s="69"/>
      <c r="JXM143" s="69"/>
      <c r="JXN143" s="69"/>
      <c r="JXO143" s="69"/>
      <c r="JXP143" s="69"/>
      <c r="JXQ143" s="69"/>
      <c r="JXR143" s="69"/>
      <c r="JXS143" s="69"/>
      <c r="JXT143" s="69"/>
      <c r="JXU143" s="69"/>
      <c r="JXV143" s="69"/>
      <c r="JXW143" s="69"/>
      <c r="JXX143" s="69"/>
      <c r="JXY143" s="69"/>
      <c r="JXZ143" s="69"/>
      <c r="JYA143" s="69"/>
      <c r="JYB143" s="69"/>
      <c r="JYC143" s="69"/>
      <c r="JYD143" s="69"/>
      <c r="JYE143" s="69"/>
      <c r="JYF143" s="69"/>
      <c r="JYG143" s="69"/>
      <c r="JYH143" s="69"/>
      <c r="JYI143" s="69"/>
      <c r="JYJ143" s="69"/>
      <c r="JYK143" s="69"/>
      <c r="JYL143" s="69"/>
      <c r="JYM143" s="69"/>
      <c r="JYN143" s="69"/>
      <c r="JYO143" s="69"/>
      <c r="JYP143" s="69"/>
      <c r="JYQ143" s="69"/>
      <c r="JYR143" s="69"/>
      <c r="JYS143" s="69"/>
      <c r="JYT143" s="69"/>
      <c r="JYU143" s="69"/>
      <c r="JYV143" s="69"/>
      <c r="JYW143" s="69"/>
      <c r="JYX143" s="69"/>
      <c r="JYY143" s="69"/>
      <c r="JYZ143" s="69"/>
      <c r="JZA143" s="69"/>
      <c r="JZB143" s="69"/>
      <c r="JZC143" s="69"/>
      <c r="JZD143" s="69"/>
      <c r="JZE143" s="69"/>
      <c r="JZF143" s="69"/>
      <c r="JZG143" s="69"/>
      <c r="JZH143" s="69"/>
      <c r="JZI143" s="69"/>
      <c r="JZJ143" s="69"/>
      <c r="JZK143" s="69"/>
      <c r="JZL143" s="69"/>
      <c r="JZM143" s="69"/>
      <c r="JZN143" s="69"/>
      <c r="JZO143" s="69"/>
      <c r="JZP143" s="69"/>
      <c r="JZQ143" s="69"/>
      <c r="JZR143" s="69"/>
      <c r="JZS143" s="69"/>
      <c r="JZT143" s="69"/>
      <c r="JZU143" s="69"/>
      <c r="JZV143" s="69"/>
      <c r="JZW143" s="69"/>
      <c r="JZX143" s="69"/>
      <c r="JZY143" s="69"/>
      <c r="JZZ143" s="69"/>
      <c r="KAA143" s="69"/>
      <c r="KAB143" s="69"/>
      <c r="KAC143" s="69"/>
      <c r="KAD143" s="69"/>
      <c r="KAE143" s="69"/>
      <c r="KAF143" s="69"/>
      <c r="KAG143" s="69"/>
      <c r="KAH143" s="69"/>
      <c r="KAI143" s="69"/>
      <c r="KAJ143" s="69"/>
      <c r="KAK143" s="69"/>
      <c r="KAL143" s="69"/>
      <c r="KAM143" s="69"/>
      <c r="KAN143" s="69"/>
      <c r="KAO143" s="69"/>
      <c r="KAP143" s="69"/>
      <c r="KAQ143" s="69"/>
      <c r="KAR143" s="69"/>
      <c r="KAS143" s="69"/>
      <c r="KAT143" s="69"/>
      <c r="KAU143" s="69"/>
      <c r="KAV143" s="69"/>
      <c r="KAW143" s="69"/>
      <c r="KAX143" s="69"/>
      <c r="KAY143" s="69"/>
      <c r="KAZ143" s="69"/>
      <c r="KBA143" s="69"/>
      <c r="KBB143" s="69"/>
      <c r="KBC143" s="69"/>
      <c r="KBD143" s="69"/>
      <c r="KBE143" s="69"/>
      <c r="KBF143" s="69"/>
      <c r="KBG143" s="69"/>
      <c r="KBH143" s="69"/>
      <c r="KBI143" s="69"/>
      <c r="KBJ143" s="69"/>
      <c r="KBK143" s="69"/>
      <c r="KBL143" s="69"/>
      <c r="KBM143" s="69"/>
      <c r="KBN143" s="69"/>
      <c r="KBO143" s="69"/>
      <c r="KBP143" s="69"/>
      <c r="KBQ143" s="69"/>
      <c r="KBR143" s="69"/>
      <c r="KBS143" s="69"/>
      <c r="KBT143" s="69"/>
      <c r="KBU143" s="69"/>
      <c r="KBV143" s="69"/>
      <c r="KBW143" s="69"/>
      <c r="KBX143" s="69"/>
      <c r="KBY143" s="69"/>
      <c r="KBZ143" s="69"/>
      <c r="KCA143" s="69"/>
      <c r="KCB143" s="69"/>
      <c r="KCC143" s="69"/>
      <c r="KCD143" s="69"/>
      <c r="KCE143" s="69"/>
      <c r="KCF143" s="69"/>
      <c r="KCG143" s="69"/>
      <c r="KCH143" s="69"/>
      <c r="KCI143" s="69"/>
      <c r="KCJ143" s="69"/>
      <c r="KCK143" s="69"/>
      <c r="KCL143" s="69"/>
      <c r="KCM143" s="69"/>
      <c r="KCN143" s="69"/>
      <c r="KCO143" s="69"/>
      <c r="KCP143" s="69"/>
      <c r="KCQ143" s="69"/>
      <c r="KCR143" s="69"/>
      <c r="KCS143" s="69"/>
      <c r="KCT143" s="69"/>
      <c r="KCU143" s="69"/>
      <c r="KCV143" s="69"/>
      <c r="KCW143" s="69"/>
      <c r="KCX143" s="69"/>
      <c r="KCY143" s="69"/>
      <c r="KCZ143" s="69"/>
      <c r="KDA143" s="69"/>
      <c r="KDB143" s="69"/>
      <c r="KDC143" s="69"/>
      <c r="KDD143" s="69"/>
      <c r="KDE143" s="69"/>
      <c r="KDF143" s="69"/>
      <c r="KDG143" s="69"/>
      <c r="KDH143" s="69"/>
      <c r="KDI143" s="69"/>
      <c r="KDJ143" s="69"/>
      <c r="KDK143" s="69"/>
      <c r="KDL143" s="69"/>
      <c r="KDM143" s="69"/>
      <c r="KDN143" s="69"/>
      <c r="KDO143" s="69"/>
      <c r="KDP143" s="69"/>
      <c r="KDQ143" s="69"/>
      <c r="KDR143" s="69"/>
      <c r="KDS143" s="69"/>
      <c r="KDT143" s="69"/>
      <c r="KDU143" s="69"/>
      <c r="KDV143" s="69"/>
      <c r="KDW143" s="69"/>
      <c r="KDX143" s="69"/>
      <c r="KDY143" s="69"/>
      <c r="KDZ143" s="69"/>
      <c r="KEA143" s="69"/>
      <c r="KEB143" s="69"/>
      <c r="KEC143" s="69"/>
      <c r="KED143" s="69"/>
      <c r="KEE143" s="69"/>
      <c r="KEF143" s="69"/>
      <c r="KEG143" s="69"/>
      <c r="KEH143" s="69"/>
      <c r="KEI143" s="69"/>
      <c r="KEJ143" s="69"/>
      <c r="KEK143" s="69"/>
      <c r="KEL143" s="69"/>
      <c r="KEM143" s="69"/>
      <c r="KEN143" s="69"/>
      <c r="KEO143" s="69"/>
      <c r="KEP143" s="69"/>
      <c r="KEQ143" s="69"/>
      <c r="KER143" s="69"/>
      <c r="KES143" s="69"/>
      <c r="KET143" s="69"/>
      <c r="KEU143" s="69"/>
      <c r="KEV143" s="69"/>
      <c r="KEW143" s="69"/>
      <c r="KEX143" s="69"/>
      <c r="KEY143" s="69"/>
      <c r="KEZ143" s="69"/>
      <c r="KFA143" s="69"/>
      <c r="KFB143" s="69"/>
      <c r="KFC143" s="69"/>
      <c r="KFD143" s="69"/>
      <c r="KFE143" s="69"/>
      <c r="KFF143" s="69"/>
      <c r="KFG143" s="69"/>
      <c r="KFH143" s="69"/>
      <c r="KFI143" s="69"/>
      <c r="KFJ143" s="69"/>
      <c r="KFK143" s="69"/>
      <c r="KFL143" s="69"/>
      <c r="KFM143" s="69"/>
      <c r="KFN143" s="69"/>
      <c r="KFO143" s="69"/>
      <c r="KFP143" s="69"/>
      <c r="KFQ143" s="69"/>
      <c r="KFR143" s="69"/>
      <c r="KFS143" s="69"/>
      <c r="KFT143" s="69"/>
      <c r="KFU143" s="69"/>
      <c r="KFV143" s="69"/>
      <c r="KFW143" s="69"/>
      <c r="KFX143" s="69"/>
      <c r="KFY143" s="69"/>
      <c r="KFZ143" s="69"/>
      <c r="KGA143" s="69"/>
      <c r="KGB143" s="69"/>
      <c r="KGC143" s="69"/>
      <c r="KGD143" s="69"/>
      <c r="KGE143" s="69"/>
      <c r="KGF143" s="69"/>
      <c r="KGG143" s="69"/>
      <c r="KGH143" s="69"/>
      <c r="KGI143" s="69"/>
      <c r="KGJ143" s="69"/>
      <c r="KGK143" s="69"/>
      <c r="KGL143" s="69"/>
      <c r="KGM143" s="69"/>
      <c r="KGN143" s="69"/>
      <c r="KGO143" s="69"/>
      <c r="KGP143" s="69"/>
      <c r="KGQ143" s="69"/>
      <c r="KGR143" s="69"/>
      <c r="KGS143" s="69"/>
      <c r="KGT143" s="69"/>
      <c r="KGU143" s="69"/>
      <c r="KGV143" s="69"/>
      <c r="KGW143" s="69"/>
      <c r="KGX143" s="69"/>
      <c r="KGY143" s="69"/>
      <c r="KGZ143" s="69"/>
      <c r="KHA143" s="69"/>
      <c r="KHB143" s="69"/>
      <c r="KHC143" s="69"/>
      <c r="KHD143" s="69"/>
      <c r="KHE143" s="69"/>
      <c r="KHF143" s="69"/>
      <c r="KHG143" s="69"/>
      <c r="KHH143" s="69"/>
      <c r="KHI143" s="69"/>
      <c r="KHJ143" s="69"/>
      <c r="KHK143" s="69"/>
      <c r="KHL143" s="69"/>
      <c r="KHM143" s="69"/>
      <c r="KHN143" s="69"/>
      <c r="KHO143" s="69"/>
      <c r="KHP143" s="69"/>
      <c r="KHQ143" s="69"/>
      <c r="KHR143" s="69"/>
      <c r="KHS143" s="69"/>
      <c r="KHT143" s="69"/>
      <c r="KHU143" s="69"/>
      <c r="KHV143" s="69"/>
      <c r="KHW143" s="69"/>
      <c r="KHX143" s="69"/>
      <c r="KHY143" s="69"/>
      <c r="KHZ143" s="69"/>
      <c r="KIA143" s="69"/>
      <c r="KIB143" s="69"/>
      <c r="KIC143" s="69"/>
      <c r="KID143" s="69"/>
      <c r="KIE143" s="69"/>
      <c r="KIF143" s="69"/>
      <c r="KIG143" s="69"/>
      <c r="KIH143" s="69"/>
      <c r="KII143" s="69"/>
      <c r="KIJ143" s="69"/>
      <c r="KIK143" s="69"/>
      <c r="KIL143" s="69"/>
      <c r="KIM143" s="69"/>
      <c r="KIN143" s="69"/>
      <c r="KIO143" s="69"/>
      <c r="KIP143" s="69"/>
      <c r="KIQ143" s="69"/>
      <c r="KIR143" s="69"/>
      <c r="KIS143" s="69"/>
      <c r="KIT143" s="69"/>
      <c r="KIU143" s="69"/>
      <c r="KIV143" s="69"/>
      <c r="KIW143" s="69"/>
      <c r="KIX143" s="69"/>
      <c r="KIY143" s="69"/>
      <c r="KIZ143" s="69"/>
      <c r="KJA143" s="69"/>
      <c r="KJB143" s="69"/>
      <c r="KJC143" s="69"/>
      <c r="KJD143" s="69"/>
      <c r="KJE143" s="69"/>
      <c r="KJF143" s="69"/>
      <c r="KJG143" s="69"/>
      <c r="KJH143" s="69"/>
      <c r="KJI143" s="69"/>
      <c r="KJJ143" s="69"/>
      <c r="KJK143" s="69"/>
      <c r="KJL143" s="69"/>
      <c r="KJM143" s="69"/>
      <c r="KJN143" s="69"/>
      <c r="KJO143" s="69"/>
      <c r="KJP143" s="69"/>
      <c r="KJQ143" s="69"/>
      <c r="KJR143" s="69"/>
      <c r="KJS143" s="69"/>
      <c r="KJT143" s="69"/>
      <c r="KJU143" s="69"/>
      <c r="KJV143" s="69"/>
      <c r="KJW143" s="69"/>
      <c r="KJX143" s="69"/>
      <c r="KJY143" s="69"/>
      <c r="KJZ143" s="69"/>
      <c r="KKA143" s="69"/>
      <c r="KKB143" s="69"/>
      <c r="KKC143" s="69"/>
      <c r="KKD143" s="69"/>
      <c r="KKE143" s="69"/>
      <c r="KKF143" s="69"/>
      <c r="KKG143" s="69"/>
      <c r="KKH143" s="69"/>
      <c r="KKI143" s="69"/>
      <c r="KKJ143" s="69"/>
      <c r="KKK143" s="69"/>
      <c r="KKL143" s="69"/>
      <c r="KKM143" s="69"/>
      <c r="KKN143" s="69"/>
      <c r="KKO143" s="69"/>
      <c r="KKP143" s="69"/>
      <c r="KKQ143" s="69"/>
      <c r="KKR143" s="69"/>
      <c r="KKS143" s="69"/>
      <c r="KKT143" s="69"/>
      <c r="KKU143" s="69"/>
      <c r="KKV143" s="69"/>
      <c r="KKW143" s="69"/>
      <c r="KKX143" s="69"/>
      <c r="KKY143" s="69"/>
      <c r="KKZ143" s="69"/>
      <c r="KLA143" s="69"/>
      <c r="KLB143" s="69"/>
      <c r="KLC143" s="69"/>
      <c r="KLD143" s="69"/>
      <c r="KLE143" s="69"/>
      <c r="KLF143" s="69"/>
      <c r="KLG143" s="69"/>
      <c r="KLH143" s="69"/>
      <c r="KLI143" s="69"/>
      <c r="KLJ143" s="69"/>
      <c r="KLK143" s="69"/>
      <c r="KLL143" s="69"/>
      <c r="KLM143" s="69"/>
      <c r="KLN143" s="69"/>
      <c r="KLO143" s="69"/>
      <c r="KLP143" s="69"/>
      <c r="KLQ143" s="69"/>
      <c r="KLR143" s="69"/>
      <c r="KLS143" s="69"/>
      <c r="KLT143" s="69"/>
      <c r="KLU143" s="69"/>
      <c r="KLV143" s="69"/>
      <c r="KLW143" s="69"/>
      <c r="KLX143" s="69"/>
      <c r="KLY143" s="69"/>
      <c r="KLZ143" s="69"/>
      <c r="KMA143" s="69"/>
      <c r="KMB143" s="69"/>
      <c r="KMC143" s="69"/>
      <c r="KMD143" s="69"/>
      <c r="KME143" s="69"/>
      <c r="KMF143" s="69"/>
      <c r="KMG143" s="69"/>
      <c r="KMH143" s="69"/>
      <c r="KMI143" s="69"/>
      <c r="KMJ143" s="69"/>
      <c r="KMK143" s="69"/>
      <c r="KML143" s="69"/>
      <c r="KMM143" s="69"/>
      <c r="KMN143" s="69"/>
      <c r="KMO143" s="69"/>
      <c r="KMP143" s="69"/>
      <c r="KMQ143" s="69"/>
      <c r="KMR143" s="69"/>
      <c r="KMS143" s="69"/>
      <c r="KMT143" s="69"/>
      <c r="KMU143" s="69"/>
      <c r="KMV143" s="69"/>
      <c r="KMW143" s="69"/>
      <c r="KMX143" s="69"/>
      <c r="KMY143" s="69"/>
      <c r="KMZ143" s="69"/>
      <c r="KNA143" s="69"/>
      <c r="KNB143" s="69"/>
      <c r="KNC143" s="69"/>
      <c r="KND143" s="69"/>
      <c r="KNE143" s="69"/>
      <c r="KNF143" s="69"/>
      <c r="KNG143" s="69"/>
      <c r="KNH143" s="69"/>
      <c r="KNI143" s="69"/>
      <c r="KNJ143" s="69"/>
      <c r="KNK143" s="69"/>
      <c r="KNL143" s="69"/>
      <c r="KNM143" s="69"/>
      <c r="KNN143" s="69"/>
      <c r="KNO143" s="69"/>
      <c r="KNP143" s="69"/>
      <c r="KNQ143" s="69"/>
      <c r="KNR143" s="69"/>
      <c r="KNS143" s="69"/>
      <c r="KNT143" s="69"/>
      <c r="KNU143" s="69"/>
      <c r="KNV143" s="69"/>
      <c r="KNW143" s="69"/>
      <c r="KNX143" s="69"/>
      <c r="KNY143" s="69"/>
      <c r="KNZ143" s="69"/>
      <c r="KOA143" s="69"/>
      <c r="KOB143" s="69"/>
      <c r="KOC143" s="69"/>
      <c r="KOD143" s="69"/>
      <c r="KOE143" s="69"/>
      <c r="KOF143" s="69"/>
      <c r="KOG143" s="69"/>
      <c r="KOH143" s="69"/>
      <c r="KOI143" s="69"/>
      <c r="KOJ143" s="69"/>
      <c r="KOK143" s="69"/>
      <c r="KOL143" s="69"/>
      <c r="KOM143" s="69"/>
      <c r="KON143" s="69"/>
      <c r="KOO143" s="69"/>
      <c r="KOP143" s="69"/>
      <c r="KOQ143" s="69"/>
      <c r="KOR143" s="69"/>
      <c r="KOS143" s="69"/>
      <c r="KOT143" s="69"/>
      <c r="KOU143" s="69"/>
      <c r="KOV143" s="69"/>
      <c r="KOW143" s="69"/>
      <c r="KOX143" s="69"/>
      <c r="KOY143" s="69"/>
      <c r="KOZ143" s="69"/>
      <c r="KPA143" s="69"/>
      <c r="KPB143" s="69"/>
      <c r="KPC143" s="69"/>
      <c r="KPD143" s="69"/>
      <c r="KPE143" s="69"/>
      <c r="KPF143" s="69"/>
      <c r="KPG143" s="69"/>
      <c r="KPH143" s="69"/>
      <c r="KPI143" s="69"/>
      <c r="KPJ143" s="69"/>
      <c r="KPK143" s="69"/>
      <c r="KPL143" s="69"/>
      <c r="KPM143" s="69"/>
      <c r="KPN143" s="69"/>
      <c r="KPO143" s="69"/>
      <c r="KPP143" s="69"/>
      <c r="KPQ143" s="69"/>
      <c r="KPR143" s="69"/>
      <c r="KPS143" s="69"/>
      <c r="KPT143" s="69"/>
      <c r="KPU143" s="69"/>
      <c r="KPV143" s="69"/>
      <c r="KPW143" s="69"/>
      <c r="KPX143" s="69"/>
      <c r="KPY143" s="69"/>
      <c r="KPZ143" s="69"/>
      <c r="KQA143" s="69"/>
      <c r="KQB143" s="69"/>
      <c r="KQC143" s="69"/>
      <c r="KQD143" s="69"/>
      <c r="KQE143" s="69"/>
      <c r="KQF143" s="69"/>
      <c r="KQG143" s="69"/>
      <c r="KQH143" s="69"/>
      <c r="KQI143" s="69"/>
      <c r="KQJ143" s="69"/>
      <c r="KQK143" s="69"/>
      <c r="KQL143" s="69"/>
      <c r="KQM143" s="69"/>
      <c r="KQN143" s="69"/>
      <c r="KQO143" s="69"/>
      <c r="KQP143" s="69"/>
      <c r="KQQ143" s="69"/>
      <c r="KQR143" s="69"/>
      <c r="KQS143" s="69"/>
      <c r="KQT143" s="69"/>
      <c r="KQU143" s="69"/>
      <c r="KQV143" s="69"/>
      <c r="KQW143" s="69"/>
      <c r="KQX143" s="69"/>
      <c r="KQY143" s="69"/>
      <c r="KQZ143" s="69"/>
      <c r="KRA143" s="69"/>
      <c r="KRB143" s="69"/>
      <c r="KRC143" s="69"/>
      <c r="KRD143" s="69"/>
      <c r="KRE143" s="69"/>
      <c r="KRF143" s="69"/>
      <c r="KRG143" s="69"/>
      <c r="KRH143" s="69"/>
      <c r="KRI143" s="69"/>
      <c r="KRJ143" s="69"/>
      <c r="KRK143" s="69"/>
      <c r="KRL143" s="69"/>
      <c r="KRM143" s="69"/>
      <c r="KRN143" s="69"/>
      <c r="KRO143" s="69"/>
      <c r="KRP143" s="69"/>
      <c r="KRQ143" s="69"/>
      <c r="KRR143" s="69"/>
      <c r="KRS143" s="69"/>
      <c r="KRT143" s="69"/>
      <c r="KRU143" s="69"/>
      <c r="KRV143" s="69"/>
      <c r="KRW143" s="69"/>
      <c r="KRX143" s="69"/>
      <c r="KRY143" s="69"/>
      <c r="KRZ143" s="69"/>
      <c r="KSA143" s="69"/>
      <c r="KSB143" s="69"/>
      <c r="KSC143" s="69"/>
      <c r="KSD143" s="69"/>
      <c r="KSE143" s="69"/>
      <c r="KSF143" s="69"/>
      <c r="KSG143" s="69"/>
      <c r="KSH143" s="69"/>
      <c r="KSI143" s="69"/>
      <c r="KSJ143" s="69"/>
      <c r="KSK143" s="69"/>
      <c r="KSL143" s="69"/>
      <c r="KSM143" s="69"/>
      <c r="KSN143" s="69"/>
      <c r="KSO143" s="69"/>
      <c r="KSP143" s="69"/>
      <c r="KSQ143" s="69"/>
      <c r="KSR143" s="69"/>
      <c r="KSS143" s="69"/>
      <c r="KST143" s="69"/>
      <c r="KSU143" s="69"/>
      <c r="KSV143" s="69"/>
      <c r="KSW143" s="69"/>
      <c r="KSX143" s="69"/>
      <c r="KSY143" s="69"/>
      <c r="KSZ143" s="69"/>
      <c r="KTA143" s="69"/>
      <c r="KTB143" s="69"/>
      <c r="KTC143" s="69"/>
      <c r="KTD143" s="69"/>
      <c r="KTE143" s="69"/>
      <c r="KTF143" s="69"/>
      <c r="KTG143" s="69"/>
      <c r="KTH143" s="69"/>
      <c r="KTI143" s="69"/>
      <c r="KTJ143" s="69"/>
      <c r="KTK143" s="69"/>
      <c r="KTL143" s="69"/>
      <c r="KTM143" s="69"/>
      <c r="KTN143" s="69"/>
      <c r="KTO143" s="69"/>
      <c r="KTP143" s="69"/>
      <c r="KTQ143" s="69"/>
      <c r="KTR143" s="69"/>
      <c r="KTS143" s="69"/>
      <c r="KTT143" s="69"/>
      <c r="KTU143" s="69"/>
      <c r="KTV143" s="69"/>
      <c r="KTW143" s="69"/>
      <c r="KTX143" s="69"/>
      <c r="KTY143" s="69"/>
      <c r="KTZ143" s="69"/>
      <c r="KUA143" s="69"/>
      <c r="KUB143" s="69"/>
      <c r="KUC143" s="69"/>
      <c r="KUD143" s="69"/>
      <c r="KUE143" s="69"/>
      <c r="KUF143" s="69"/>
      <c r="KUG143" s="69"/>
      <c r="KUH143" s="69"/>
      <c r="KUI143" s="69"/>
      <c r="KUJ143" s="69"/>
      <c r="KUK143" s="69"/>
      <c r="KUL143" s="69"/>
      <c r="KUM143" s="69"/>
      <c r="KUN143" s="69"/>
      <c r="KUO143" s="69"/>
      <c r="KUP143" s="69"/>
      <c r="KUQ143" s="69"/>
      <c r="KUR143" s="69"/>
      <c r="KUS143" s="69"/>
      <c r="KUT143" s="69"/>
      <c r="KUU143" s="69"/>
      <c r="KUV143" s="69"/>
      <c r="KUW143" s="69"/>
      <c r="KUX143" s="69"/>
      <c r="KUY143" s="69"/>
      <c r="KUZ143" s="69"/>
      <c r="KVA143" s="69"/>
      <c r="KVB143" s="69"/>
      <c r="KVC143" s="69"/>
      <c r="KVD143" s="69"/>
      <c r="KVE143" s="69"/>
      <c r="KVF143" s="69"/>
      <c r="KVG143" s="69"/>
      <c r="KVH143" s="69"/>
      <c r="KVI143" s="69"/>
      <c r="KVJ143" s="69"/>
      <c r="KVK143" s="69"/>
      <c r="KVL143" s="69"/>
      <c r="KVM143" s="69"/>
      <c r="KVN143" s="69"/>
      <c r="KVO143" s="69"/>
      <c r="KVP143" s="69"/>
      <c r="KVQ143" s="69"/>
      <c r="KVR143" s="69"/>
      <c r="KVS143" s="69"/>
      <c r="KVT143" s="69"/>
      <c r="KVU143" s="69"/>
      <c r="KVV143" s="69"/>
      <c r="KVW143" s="69"/>
      <c r="KVX143" s="69"/>
      <c r="KVY143" s="69"/>
      <c r="KVZ143" s="69"/>
      <c r="KWA143" s="69"/>
      <c r="KWB143" s="69"/>
      <c r="KWC143" s="69"/>
      <c r="KWD143" s="69"/>
      <c r="KWE143" s="69"/>
      <c r="KWF143" s="69"/>
      <c r="KWG143" s="69"/>
      <c r="KWH143" s="69"/>
      <c r="KWI143" s="69"/>
      <c r="KWJ143" s="69"/>
      <c r="KWK143" s="69"/>
      <c r="KWL143" s="69"/>
      <c r="KWM143" s="69"/>
      <c r="KWN143" s="69"/>
      <c r="KWO143" s="69"/>
      <c r="KWP143" s="69"/>
      <c r="KWQ143" s="69"/>
      <c r="KWR143" s="69"/>
      <c r="KWS143" s="69"/>
      <c r="KWT143" s="69"/>
      <c r="KWU143" s="69"/>
      <c r="KWV143" s="69"/>
      <c r="KWW143" s="69"/>
      <c r="KWX143" s="69"/>
      <c r="KWY143" s="69"/>
      <c r="KWZ143" s="69"/>
      <c r="KXA143" s="69"/>
      <c r="KXB143" s="69"/>
      <c r="KXC143" s="69"/>
      <c r="KXD143" s="69"/>
      <c r="KXE143" s="69"/>
      <c r="KXF143" s="69"/>
      <c r="KXG143" s="69"/>
      <c r="KXH143" s="69"/>
      <c r="KXI143" s="69"/>
      <c r="KXJ143" s="69"/>
      <c r="KXK143" s="69"/>
      <c r="KXL143" s="69"/>
      <c r="KXM143" s="69"/>
      <c r="KXN143" s="69"/>
      <c r="KXO143" s="69"/>
      <c r="KXP143" s="69"/>
      <c r="KXQ143" s="69"/>
      <c r="KXR143" s="69"/>
      <c r="KXS143" s="69"/>
      <c r="KXT143" s="69"/>
      <c r="KXU143" s="69"/>
      <c r="KXV143" s="69"/>
      <c r="KXW143" s="69"/>
      <c r="KXX143" s="69"/>
      <c r="KXY143" s="69"/>
      <c r="KXZ143" s="69"/>
      <c r="KYA143" s="69"/>
      <c r="KYB143" s="69"/>
      <c r="KYC143" s="69"/>
      <c r="KYD143" s="69"/>
      <c r="KYE143" s="69"/>
      <c r="KYF143" s="69"/>
      <c r="KYG143" s="69"/>
      <c r="KYH143" s="69"/>
      <c r="KYI143" s="69"/>
      <c r="KYJ143" s="69"/>
      <c r="KYK143" s="69"/>
      <c r="KYL143" s="69"/>
      <c r="KYM143" s="69"/>
      <c r="KYN143" s="69"/>
      <c r="KYO143" s="69"/>
      <c r="KYP143" s="69"/>
      <c r="KYQ143" s="69"/>
      <c r="KYR143" s="69"/>
      <c r="KYS143" s="69"/>
      <c r="KYT143" s="69"/>
      <c r="KYU143" s="69"/>
      <c r="KYV143" s="69"/>
      <c r="KYW143" s="69"/>
      <c r="KYX143" s="69"/>
      <c r="KYY143" s="69"/>
      <c r="KYZ143" s="69"/>
      <c r="KZA143" s="69"/>
      <c r="KZB143" s="69"/>
      <c r="KZC143" s="69"/>
      <c r="KZD143" s="69"/>
      <c r="KZE143" s="69"/>
      <c r="KZF143" s="69"/>
      <c r="KZG143" s="69"/>
      <c r="KZH143" s="69"/>
      <c r="KZI143" s="69"/>
      <c r="KZJ143" s="69"/>
      <c r="KZK143" s="69"/>
      <c r="KZL143" s="69"/>
      <c r="KZM143" s="69"/>
      <c r="KZN143" s="69"/>
      <c r="KZO143" s="69"/>
      <c r="KZP143" s="69"/>
      <c r="KZQ143" s="69"/>
      <c r="KZR143" s="69"/>
      <c r="KZS143" s="69"/>
      <c r="KZT143" s="69"/>
      <c r="KZU143" s="69"/>
      <c r="KZV143" s="69"/>
      <c r="KZW143" s="69"/>
      <c r="KZX143" s="69"/>
      <c r="KZY143" s="69"/>
      <c r="KZZ143" s="69"/>
      <c r="LAA143" s="69"/>
      <c r="LAB143" s="69"/>
      <c r="LAC143" s="69"/>
      <c r="LAD143" s="69"/>
      <c r="LAE143" s="69"/>
      <c r="LAF143" s="69"/>
      <c r="LAG143" s="69"/>
      <c r="LAH143" s="69"/>
      <c r="LAI143" s="69"/>
      <c r="LAJ143" s="69"/>
      <c r="LAK143" s="69"/>
      <c r="LAL143" s="69"/>
      <c r="LAM143" s="69"/>
      <c r="LAN143" s="69"/>
      <c r="LAO143" s="69"/>
      <c r="LAP143" s="69"/>
      <c r="LAQ143" s="69"/>
      <c r="LAR143" s="69"/>
      <c r="LAS143" s="69"/>
      <c r="LAT143" s="69"/>
      <c r="LAU143" s="69"/>
      <c r="LAV143" s="69"/>
      <c r="LAW143" s="69"/>
      <c r="LAX143" s="69"/>
      <c r="LAY143" s="69"/>
      <c r="LAZ143" s="69"/>
      <c r="LBA143" s="69"/>
      <c r="LBB143" s="69"/>
      <c r="LBC143" s="69"/>
      <c r="LBD143" s="69"/>
      <c r="LBE143" s="69"/>
      <c r="LBF143" s="69"/>
      <c r="LBG143" s="69"/>
      <c r="LBH143" s="69"/>
      <c r="LBI143" s="69"/>
      <c r="LBJ143" s="69"/>
      <c r="LBK143" s="69"/>
      <c r="LBL143" s="69"/>
      <c r="LBM143" s="69"/>
      <c r="LBN143" s="69"/>
      <c r="LBO143" s="69"/>
      <c r="LBP143" s="69"/>
      <c r="LBQ143" s="69"/>
      <c r="LBR143" s="69"/>
      <c r="LBS143" s="69"/>
      <c r="LBT143" s="69"/>
      <c r="LBU143" s="69"/>
      <c r="LBV143" s="69"/>
      <c r="LBW143" s="69"/>
      <c r="LBX143" s="69"/>
      <c r="LBY143" s="69"/>
      <c r="LBZ143" s="69"/>
      <c r="LCA143" s="69"/>
      <c r="LCB143" s="69"/>
      <c r="LCC143" s="69"/>
      <c r="LCD143" s="69"/>
      <c r="LCE143" s="69"/>
      <c r="LCF143" s="69"/>
      <c r="LCG143" s="69"/>
      <c r="LCH143" s="69"/>
      <c r="LCI143" s="69"/>
      <c r="LCJ143" s="69"/>
      <c r="LCK143" s="69"/>
      <c r="LCL143" s="69"/>
      <c r="LCM143" s="69"/>
      <c r="LCN143" s="69"/>
      <c r="LCO143" s="69"/>
      <c r="LCP143" s="69"/>
      <c r="LCQ143" s="69"/>
      <c r="LCR143" s="69"/>
      <c r="LCS143" s="69"/>
      <c r="LCT143" s="69"/>
      <c r="LCU143" s="69"/>
      <c r="LCV143" s="69"/>
      <c r="LCW143" s="69"/>
      <c r="LCX143" s="69"/>
      <c r="LCY143" s="69"/>
      <c r="LCZ143" s="69"/>
      <c r="LDA143" s="69"/>
      <c r="LDB143" s="69"/>
      <c r="LDC143" s="69"/>
      <c r="LDD143" s="69"/>
      <c r="LDE143" s="69"/>
      <c r="LDF143" s="69"/>
      <c r="LDG143" s="69"/>
      <c r="LDH143" s="69"/>
      <c r="LDI143" s="69"/>
      <c r="LDJ143" s="69"/>
      <c r="LDK143" s="69"/>
      <c r="LDL143" s="69"/>
      <c r="LDM143" s="69"/>
      <c r="LDN143" s="69"/>
      <c r="LDO143" s="69"/>
      <c r="LDP143" s="69"/>
      <c r="LDQ143" s="69"/>
      <c r="LDR143" s="69"/>
      <c r="LDS143" s="69"/>
      <c r="LDT143" s="69"/>
      <c r="LDU143" s="69"/>
      <c r="LDV143" s="69"/>
      <c r="LDW143" s="69"/>
      <c r="LDX143" s="69"/>
      <c r="LDY143" s="69"/>
      <c r="LDZ143" s="69"/>
      <c r="LEA143" s="69"/>
      <c r="LEB143" s="69"/>
      <c r="LEC143" s="69"/>
      <c r="LED143" s="69"/>
      <c r="LEE143" s="69"/>
      <c r="LEF143" s="69"/>
      <c r="LEG143" s="69"/>
      <c r="LEH143" s="69"/>
      <c r="LEI143" s="69"/>
      <c r="LEJ143" s="69"/>
      <c r="LEK143" s="69"/>
      <c r="LEL143" s="69"/>
      <c r="LEM143" s="69"/>
      <c r="LEN143" s="69"/>
      <c r="LEO143" s="69"/>
      <c r="LEP143" s="69"/>
      <c r="LEQ143" s="69"/>
      <c r="LER143" s="69"/>
      <c r="LES143" s="69"/>
      <c r="LET143" s="69"/>
      <c r="LEU143" s="69"/>
      <c r="LEV143" s="69"/>
      <c r="LEW143" s="69"/>
      <c r="LEX143" s="69"/>
      <c r="LEY143" s="69"/>
      <c r="LEZ143" s="69"/>
      <c r="LFA143" s="69"/>
      <c r="LFB143" s="69"/>
      <c r="LFC143" s="69"/>
      <c r="LFD143" s="69"/>
      <c r="LFE143" s="69"/>
      <c r="LFF143" s="69"/>
      <c r="LFG143" s="69"/>
      <c r="LFH143" s="69"/>
      <c r="LFI143" s="69"/>
      <c r="LFJ143" s="69"/>
      <c r="LFK143" s="69"/>
      <c r="LFL143" s="69"/>
      <c r="LFM143" s="69"/>
      <c r="LFN143" s="69"/>
      <c r="LFO143" s="69"/>
      <c r="LFP143" s="69"/>
      <c r="LFQ143" s="69"/>
      <c r="LFR143" s="69"/>
      <c r="LFS143" s="69"/>
      <c r="LFT143" s="69"/>
      <c r="LFU143" s="69"/>
      <c r="LFV143" s="69"/>
      <c r="LFW143" s="69"/>
      <c r="LFX143" s="69"/>
      <c r="LFY143" s="69"/>
      <c r="LFZ143" s="69"/>
      <c r="LGA143" s="69"/>
      <c r="LGB143" s="69"/>
      <c r="LGC143" s="69"/>
      <c r="LGD143" s="69"/>
      <c r="LGE143" s="69"/>
      <c r="LGF143" s="69"/>
      <c r="LGG143" s="69"/>
      <c r="LGH143" s="69"/>
      <c r="LGI143" s="69"/>
      <c r="LGJ143" s="69"/>
      <c r="LGK143" s="69"/>
      <c r="LGL143" s="69"/>
      <c r="LGM143" s="69"/>
      <c r="LGN143" s="69"/>
      <c r="LGO143" s="69"/>
      <c r="LGP143" s="69"/>
      <c r="LGQ143" s="69"/>
      <c r="LGR143" s="69"/>
      <c r="LGS143" s="69"/>
      <c r="LGT143" s="69"/>
      <c r="LGU143" s="69"/>
      <c r="LGV143" s="69"/>
      <c r="LGW143" s="69"/>
      <c r="LGX143" s="69"/>
      <c r="LGY143" s="69"/>
      <c r="LGZ143" s="69"/>
      <c r="LHA143" s="69"/>
      <c r="LHB143" s="69"/>
      <c r="LHC143" s="69"/>
      <c r="LHD143" s="69"/>
      <c r="LHE143" s="69"/>
      <c r="LHF143" s="69"/>
      <c r="LHG143" s="69"/>
      <c r="LHH143" s="69"/>
      <c r="LHI143" s="69"/>
      <c r="LHJ143" s="69"/>
      <c r="LHK143" s="69"/>
      <c r="LHL143" s="69"/>
      <c r="LHM143" s="69"/>
      <c r="LHN143" s="69"/>
      <c r="LHO143" s="69"/>
      <c r="LHP143" s="69"/>
      <c r="LHQ143" s="69"/>
      <c r="LHR143" s="69"/>
      <c r="LHS143" s="69"/>
      <c r="LHT143" s="69"/>
      <c r="LHU143" s="69"/>
      <c r="LHV143" s="69"/>
      <c r="LHW143" s="69"/>
      <c r="LHX143" s="69"/>
      <c r="LHY143" s="69"/>
      <c r="LHZ143" s="69"/>
      <c r="LIA143" s="69"/>
      <c r="LIB143" s="69"/>
      <c r="LIC143" s="69"/>
      <c r="LID143" s="69"/>
      <c r="LIE143" s="69"/>
      <c r="LIF143" s="69"/>
      <c r="LIG143" s="69"/>
      <c r="LIH143" s="69"/>
      <c r="LII143" s="69"/>
      <c r="LIJ143" s="69"/>
      <c r="LIK143" s="69"/>
      <c r="LIL143" s="69"/>
      <c r="LIM143" s="69"/>
      <c r="LIN143" s="69"/>
      <c r="LIO143" s="69"/>
      <c r="LIP143" s="69"/>
      <c r="LIQ143" s="69"/>
      <c r="LIR143" s="69"/>
      <c r="LIS143" s="69"/>
      <c r="LIT143" s="69"/>
      <c r="LIU143" s="69"/>
      <c r="LIV143" s="69"/>
      <c r="LIW143" s="69"/>
      <c r="LIX143" s="69"/>
      <c r="LIY143" s="69"/>
      <c r="LIZ143" s="69"/>
      <c r="LJA143" s="69"/>
      <c r="LJB143" s="69"/>
      <c r="LJC143" s="69"/>
      <c r="LJD143" s="69"/>
      <c r="LJE143" s="69"/>
      <c r="LJF143" s="69"/>
      <c r="LJG143" s="69"/>
      <c r="LJH143" s="69"/>
      <c r="LJI143" s="69"/>
      <c r="LJJ143" s="69"/>
      <c r="LJK143" s="69"/>
      <c r="LJL143" s="69"/>
      <c r="LJM143" s="69"/>
      <c r="LJN143" s="69"/>
      <c r="LJO143" s="69"/>
      <c r="LJP143" s="69"/>
      <c r="LJQ143" s="69"/>
      <c r="LJR143" s="69"/>
      <c r="LJS143" s="69"/>
      <c r="LJT143" s="69"/>
      <c r="LJU143" s="69"/>
      <c r="LJV143" s="69"/>
      <c r="LJW143" s="69"/>
      <c r="LJX143" s="69"/>
      <c r="LJY143" s="69"/>
      <c r="LJZ143" s="69"/>
      <c r="LKA143" s="69"/>
      <c r="LKB143" s="69"/>
      <c r="LKC143" s="69"/>
      <c r="LKD143" s="69"/>
      <c r="LKE143" s="69"/>
      <c r="LKF143" s="69"/>
      <c r="LKG143" s="69"/>
      <c r="LKH143" s="69"/>
      <c r="LKI143" s="69"/>
      <c r="LKJ143" s="69"/>
      <c r="LKK143" s="69"/>
      <c r="LKL143" s="69"/>
      <c r="LKM143" s="69"/>
      <c r="LKN143" s="69"/>
      <c r="LKO143" s="69"/>
      <c r="LKP143" s="69"/>
      <c r="LKQ143" s="69"/>
      <c r="LKR143" s="69"/>
      <c r="LKS143" s="69"/>
      <c r="LKT143" s="69"/>
      <c r="LKU143" s="69"/>
      <c r="LKV143" s="69"/>
      <c r="LKW143" s="69"/>
      <c r="LKX143" s="69"/>
      <c r="LKY143" s="69"/>
      <c r="LKZ143" s="69"/>
      <c r="LLA143" s="69"/>
      <c r="LLB143" s="69"/>
      <c r="LLC143" s="69"/>
      <c r="LLD143" s="69"/>
      <c r="LLE143" s="69"/>
      <c r="LLF143" s="69"/>
      <c r="LLG143" s="69"/>
      <c r="LLH143" s="69"/>
      <c r="LLI143" s="69"/>
      <c r="LLJ143" s="69"/>
      <c r="LLK143" s="69"/>
      <c r="LLL143" s="69"/>
      <c r="LLM143" s="69"/>
      <c r="LLN143" s="69"/>
      <c r="LLO143" s="69"/>
      <c r="LLP143" s="69"/>
      <c r="LLQ143" s="69"/>
      <c r="LLR143" s="69"/>
      <c r="LLS143" s="69"/>
      <c r="LLT143" s="69"/>
      <c r="LLU143" s="69"/>
      <c r="LLV143" s="69"/>
      <c r="LLW143" s="69"/>
      <c r="LLX143" s="69"/>
      <c r="LLY143" s="69"/>
      <c r="LLZ143" s="69"/>
      <c r="LMA143" s="69"/>
      <c r="LMB143" s="69"/>
      <c r="LMC143" s="69"/>
      <c r="LMD143" s="69"/>
      <c r="LME143" s="69"/>
      <c r="LMF143" s="69"/>
      <c r="LMG143" s="69"/>
      <c r="LMH143" s="69"/>
      <c r="LMI143" s="69"/>
      <c r="LMJ143" s="69"/>
      <c r="LMK143" s="69"/>
      <c r="LML143" s="69"/>
      <c r="LMM143" s="69"/>
      <c r="LMN143" s="69"/>
      <c r="LMO143" s="69"/>
      <c r="LMP143" s="69"/>
      <c r="LMQ143" s="69"/>
      <c r="LMR143" s="69"/>
      <c r="LMS143" s="69"/>
      <c r="LMT143" s="69"/>
      <c r="LMU143" s="69"/>
      <c r="LMV143" s="69"/>
      <c r="LMW143" s="69"/>
      <c r="LMX143" s="69"/>
      <c r="LMY143" s="69"/>
      <c r="LMZ143" s="69"/>
      <c r="LNA143" s="69"/>
      <c r="LNB143" s="69"/>
      <c r="LNC143" s="69"/>
      <c r="LND143" s="69"/>
      <c r="LNE143" s="69"/>
      <c r="LNF143" s="69"/>
      <c r="LNG143" s="69"/>
      <c r="LNH143" s="69"/>
      <c r="LNI143" s="69"/>
      <c r="LNJ143" s="69"/>
      <c r="LNK143" s="69"/>
      <c r="LNL143" s="69"/>
      <c r="LNM143" s="69"/>
      <c r="LNN143" s="69"/>
      <c r="LNO143" s="69"/>
      <c r="LNP143" s="69"/>
      <c r="LNQ143" s="69"/>
      <c r="LNR143" s="69"/>
      <c r="LNS143" s="69"/>
      <c r="LNT143" s="69"/>
      <c r="LNU143" s="69"/>
      <c r="LNV143" s="69"/>
      <c r="LNW143" s="69"/>
      <c r="LNX143" s="69"/>
      <c r="LNY143" s="69"/>
      <c r="LNZ143" s="69"/>
      <c r="LOA143" s="69"/>
      <c r="LOB143" s="69"/>
      <c r="LOC143" s="69"/>
      <c r="LOD143" s="69"/>
      <c r="LOE143" s="69"/>
      <c r="LOF143" s="69"/>
      <c r="LOG143" s="69"/>
      <c r="LOH143" s="69"/>
      <c r="LOI143" s="69"/>
      <c r="LOJ143" s="69"/>
      <c r="LOK143" s="69"/>
      <c r="LOL143" s="69"/>
      <c r="LOM143" s="69"/>
      <c r="LON143" s="69"/>
      <c r="LOO143" s="69"/>
      <c r="LOP143" s="69"/>
      <c r="LOQ143" s="69"/>
      <c r="LOR143" s="69"/>
      <c r="LOS143" s="69"/>
      <c r="LOT143" s="69"/>
      <c r="LOU143" s="69"/>
      <c r="LOV143" s="69"/>
      <c r="LOW143" s="69"/>
      <c r="LOX143" s="69"/>
      <c r="LOY143" s="69"/>
      <c r="LOZ143" s="69"/>
      <c r="LPA143" s="69"/>
      <c r="LPB143" s="69"/>
      <c r="LPC143" s="69"/>
      <c r="LPD143" s="69"/>
      <c r="LPE143" s="69"/>
      <c r="LPF143" s="69"/>
      <c r="LPG143" s="69"/>
      <c r="LPH143" s="69"/>
      <c r="LPI143" s="69"/>
      <c r="LPJ143" s="69"/>
      <c r="LPK143" s="69"/>
      <c r="LPL143" s="69"/>
      <c r="LPM143" s="69"/>
      <c r="LPN143" s="69"/>
      <c r="LPO143" s="69"/>
      <c r="LPP143" s="69"/>
      <c r="LPQ143" s="69"/>
      <c r="LPR143" s="69"/>
      <c r="LPS143" s="69"/>
      <c r="LPT143" s="69"/>
      <c r="LPU143" s="69"/>
      <c r="LPV143" s="69"/>
      <c r="LPW143" s="69"/>
      <c r="LPX143" s="69"/>
      <c r="LPY143" s="69"/>
      <c r="LPZ143" s="69"/>
      <c r="LQA143" s="69"/>
      <c r="LQB143" s="69"/>
      <c r="LQC143" s="69"/>
      <c r="LQD143" s="69"/>
      <c r="LQE143" s="69"/>
      <c r="LQF143" s="69"/>
      <c r="LQG143" s="69"/>
      <c r="LQH143" s="69"/>
      <c r="LQI143" s="69"/>
      <c r="LQJ143" s="69"/>
      <c r="LQK143" s="69"/>
      <c r="LQL143" s="69"/>
      <c r="LQM143" s="69"/>
      <c r="LQN143" s="69"/>
      <c r="LQO143" s="69"/>
      <c r="LQP143" s="69"/>
      <c r="LQQ143" s="69"/>
      <c r="LQR143" s="69"/>
      <c r="LQS143" s="69"/>
      <c r="LQT143" s="69"/>
      <c r="LQU143" s="69"/>
      <c r="LQV143" s="69"/>
      <c r="LQW143" s="69"/>
      <c r="LQX143" s="69"/>
      <c r="LQY143" s="69"/>
      <c r="LQZ143" s="69"/>
      <c r="LRA143" s="69"/>
      <c r="LRB143" s="69"/>
      <c r="LRC143" s="69"/>
      <c r="LRD143" s="69"/>
      <c r="LRE143" s="69"/>
      <c r="LRF143" s="69"/>
      <c r="LRG143" s="69"/>
      <c r="LRH143" s="69"/>
      <c r="LRI143" s="69"/>
      <c r="LRJ143" s="69"/>
      <c r="LRK143" s="69"/>
      <c r="LRL143" s="69"/>
      <c r="LRM143" s="69"/>
      <c r="LRN143" s="69"/>
      <c r="LRO143" s="69"/>
      <c r="LRP143" s="69"/>
      <c r="LRQ143" s="69"/>
      <c r="LRR143" s="69"/>
      <c r="LRS143" s="69"/>
      <c r="LRT143" s="69"/>
      <c r="LRU143" s="69"/>
      <c r="LRV143" s="69"/>
      <c r="LRW143" s="69"/>
      <c r="LRX143" s="69"/>
      <c r="LRY143" s="69"/>
      <c r="LRZ143" s="69"/>
      <c r="LSA143" s="69"/>
      <c r="LSB143" s="69"/>
      <c r="LSC143" s="69"/>
      <c r="LSD143" s="69"/>
      <c r="LSE143" s="69"/>
      <c r="LSF143" s="69"/>
      <c r="LSG143" s="69"/>
      <c r="LSH143" s="69"/>
      <c r="LSI143" s="69"/>
      <c r="LSJ143" s="69"/>
      <c r="LSK143" s="69"/>
      <c r="LSL143" s="69"/>
      <c r="LSM143" s="69"/>
      <c r="LSN143" s="69"/>
      <c r="LSO143" s="69"/>
      <c r="LSP143" s="69"/>
      <c r="LSQ143" s="69"/>
      <c r="LSR143" s="69"/>
      <c r="LSS143" s="69"/>
      <c r="LST143" s="69"/>
      <c r="LSU143" s="69"/>
      <c r="LSV143" s="69"/>
      <c r="LSW143" s="69"/>
      <c r="LSX143" s="69"/>
      <c r="LSY143" s="69"/>
      <c r="LSZ143" s="69"/>
      <c r="LTA143" s="69"/>
      <c r="LTB143" s="69"/>
      <c r="LTC143" s="69"/>
      <c r="LTD143" s="69"/>
      <c r="LTE143" s="69"/>
      <c r="LTF143" s="69"/>
      <c r="LTG143" s="69"/>
      <c r="LTH143" s="69"/>
      <c r="LTI143" s="69"/>
      <c r="LTJ143" s="69"/>
      <c r="LTK143" s="69"/>
      <c r="LTL143" s="69"/>
      <c r="LTM143" s="69"/>
      <c r="LTN143" s="69"/>
      <c r="LTO143" s="69"/>
      <c r="LTP143" s="69"/>
      <c r="LTQ143" s="69"/>
      <c r="LTR143" s="69"/>
      <c r="LTS143" s="69"/>
      <c r="LTT143" s="69"/>
      <c r="LTU143" s="69"/>
      <c r="LTV143" s="69"/>
      <c r="LTW143" s="69"/>
      <c r="LTX143" s="69"/>
      <c r="LTY143" s="69"/>
      <c r="LTZ143" s="69"/>
      <c r="LUA143" s="69"/>
      <c r="LUB143" s="69"/>
      <c r="LUC143" s="69"/>
      <c r="LUD143" s="69"/>
      <c r="LUE143" s="69"/>
      <c r="LUF143" s="69"/>
      <c r="LUG143" s="69"/>
      <c r="LUH143" s="69"/>
      <c r="LUI143" s="69"/>
      <c r="LUJ143" s="69"/>
      <c r="LUK143" s="69"/>
      <c r="LUL143" s="69"/>
      <c r="LUM143" s="69"/>
      <c r="LUN143" s="69"/>
      <c r="LUO143" s="69"/>
      <c r="LUP143" s="69"/>
      <c r="LUQ143" s="69"/>
      <c r="LUR143" s="69"/>
      <c r="LUS143" s="69"/>
      <c r="LUT143" s="69"/>
      <c r="LUU143" s="69"/>
      <c r="LUV143" s="69"/>
      <c r="LUW143" s="69"/>
      <c r="LUX143" s="69"/>
      <c r="LUY143" s="69"/>
      <c r="LUZ143" s="69"/>
      <c r="LVA143" s="69"/>
      <c r="LVB143" s="69"/>
      <c r="LVC143" s="69"/>
      <c r="LVD143" s="69"/>
      <c r="LVE143" s="69"/>
      <c r="LVF143" s="69"/>
      <c r="LVG143" s="69"/>
      <c r="LVH143" s="69"/>
      <c r="LVI143" s="69"/>
      <c r="LVJ143" s="69"/>
      <c r="LVK143" s="69"/>
      <c r="LVL143" s="69"/>
      <c r="LVM143" s="69"/>
      <c r="LVN143" s="69"/>
      <c r="LVO143" s="69"/>
      <c r="LVP143" s="69"/>
      <c r="LVQ143" s="69"/>
      <c r="LVR143" s="69"/>
      <c r="LVS143" s="69"/>
      <c r="LVT143" s="69"/>
      <c r="LVU143" s="69"/>
      <c r="LVV143" s="69"/>
      <c r="LVW143" s="69"/>
      <c r="LVX143" s="69"/>
      <c r="LVY143" s="69"/>
      <c r="LVZ143" s="69"/>
      <c r="LWA143" s="69"/>
      <c r="LWB143" s="69"/>
      <c r="LWC143" s="69"/>
      <c r="LWD143" s="69"/>
      <c r="LWE143" s="69"/>
      <c r="LWF143" s="69"/>
      <c r="LWG143" s="69"/>
      <c r="LWH143" s="69"/>
      <c r="LWI143" s="69"/>
      <c r="LWJ143" s="69"/>
      <c r="LWK143" s="69"/>
      <c r="LWL143" s="69"/>
      <c r="LWM143" s="69"/>
      <c r="LWN143" s="69"/>
      <c r="LWO143" s="69"/>
      <c r="LWP143" s="69"/>
      <c r="LWQ143" s="69"/>
      <c r="LWR143" s="69"/>
      <c r="LWS143" s="69"/>
      <c r="LWT143" s="69"/>
      <c r="LWU143" s="69"/>
      <c r="LWV143" s="69"/>
      <c r="LWW143" s="69"/>
      <c r="LWX143" s="69"/>
      <c r="LWY143" s="69"/>
      <c r="LWZ143" s="69"/>
      <c r="LXA143" s="69"/>
      <c r="LXB143" s="69"/>
      <c r="LXC143" s="69"/>
      <c r="LXD143" s="69"/>
      <c r="LXE143" s="69"/>
      <c r="LXF143" s="69"/>
      <c r="LXG143" s="69"/>
      <c r="LXH143" s="69"/>
      <c r="LXI143" s="69"/>
      <c r="LXJ143" s="69"/>
      <c r="LXK143" s="69"/>
      <c r="LXL143" s="69"/>
      <c r="LXM143" s="69"/>
      <c r="LXN143" s="69"/>
      <c r="LXO143" s="69"/>
      <c r="LXP143" s="69"/>
      <c r="LXQ143" s="69"/>
      <c r="LXR143" s="69"/>
      <c r="LXS143" s="69"/>
      <c r="LXT143" s="69"/>
      <c r="LXU143" s="69"/>
      <c r="LXV143" s="69"/>
      <c r="LXW143" s="69"/>
      <c r="LXX143" s="69"/>
      <c r="LXY143" s="69"/>
      <c r="LXZ143" s="69"/>
      <c r="LYA143" s="69"/>
      <c r="LYB143" s="69"/>
      <c r="LYC143" s="69"/>
      <c r="LYD143" s="69"/>
      <c r="LYE143" s="69"/>
      <c r="LYF143" s="69"/>
      <c r="LYG143" s="69"/>
      <c r="LYH143" s="69"/>
      <c r="LYI143" s="69"/>
      <c r="LYJ143" s="69"/>
      <c r="LYK143" s="69"/>
      <c r="LYL143" s="69"/>
      <c r="LYM143" s="69"/>
      <c r="LYN143" s="69"/>
      <c r="LYO143" s="69"/>
      <c r="LYP143" s="69"/>
      <c r="LYQ143" s="69"/>
      <c r="LYR143" s="69"/>
      <c r="LYS143" s="69"/>
      <c r="LYT143" s="69"/>
      <c r="LYU143" s="69"/>
      <c r="LYV143" s="69"/>
      <c r="LYW143" s="69"/>
      <c r="LYX143" s="69"/>
      <c r="LYY143" s="69"/>
      <c r="LYZ143" s="69"/>
      <c r="LZA143" s="69"/>
      <c r="LZB143" s="69"/>
      <c r="LZC143" s="69"/>
      <c r="LZD143" s="69"/>
      <c r="LZE143" s="69"/>
      <c r="LZF143" s="69"/>
      <c r="LZG143" s="69"/>
      <c r="LZH143" s="69"/>
      <c r="LZI143" s="69"/>
      <c r="LZJ143" s="69"/>
      <c r="LZK143" s="69"/>
      <c r="LZL143" s="69"/>
      <c r="LZM143" s="69"/>
      <c r="LZN143" s="69"/>
      <c r="LZO143" s="69"/>
      <c r="LZP143" s="69"/>
      <c r="LZQ143" s="69"/>
      <c r="LZR143" s="69"/>
      <c r="LZS143" s="69"/>
      <c r="LZT143" s="69"/>
      <c r="LZU143" s="69"/>
      <c r="LZV143" s="69"/>
      <c r="LZW143" s="69"/>
      <c r="LZX143" s="69"/>
      <c r="LZY143" s="69"/>
      <c r="LZZ143" s="69"/>
      <c r="MAA143" s="69"/>
      <c r="MAB143" s="69"/>
      <c r="MAC143" s="69"/>
      <c r="MAD143" s="69"/>
      <c r="MAE143" s="69"/>
      <c r="MAF143" s="69"/>
      <c r="MAG143" s="69"/>
      <c r="MAH143" s="69"/>
      <c r="MAI143" s="69"/>
      <c r="MAJ143" s="69"/>
      <c r="MAK143" s="69"/>
      <c r="MAL143" s="69"/>
      <c r="MAM143" s="69"/>
      <c r="MAN143" s="69"/>
      <c r="MAO143" s="69"/>
      <c r="MAP143" s="69"/>
      <c r="MAQ143" s="69"/>
      <c r="MAR143" s="69"/>
      <c r="MAS143" s="69"/>
      <c r="MAT143" s="69"/>
      <c r="MAU143" s="69"/>
      <c r="MAV143" s="69"/>
      <c r="MAW143" s="69"/>
      <c r="MAX143" s="69"/>
      <c r="MAY143" s="69"/>
      <c r="MAZ143" s="69"/>
      <c r="MBA143" s="69"/>
      <c r="MBB143" s="69"/>
      <c r="MBC143" s="69"/>
      <c r="MBD143" s="69"/>
      <c r="MBE143" s="69"/>
      <c r="MBF143" s="69"/>
      <c r="MBG143" s="69"/>
      <c r="MBH143" s="69"/>
      <c r="MBI143" s="69"/>
      <c r="MBJ143" s="69"/>
      <c r="MBK143" s="69"/>
      <c r="MBL143" s="69"/>
      <c r="MBM143" s="69"/>
      <c r="MBN143" s="69"/>
      <c r="MBO143" s="69"/>
      <c r="MBP143" s="69"/>
      <c r="MBQ143" s="69"/>
      <c r="MBR143" s="69"/>
      <c r="MBS143" s="69"/>
      <c r="MBT143" s="69"/>
      <c r="MBU143" s="69"/>
      <c r="MBV143" s="69"/>
      <c r="MBW143" s="69"/>
      <c r="MBX143" s="69"/>
      <c r="MBY143" s="69"/>
      <c r="MBZ143" s="69"/>
      <c r="MCA143" s="69"/>
      <c r="MCB143" s="69"/>
      <c r="MCC143" s="69"/>
      <c r="MCD143" s="69"/>
      <c r="MCE143" s="69"/>
      <c r="MCF143" s="69"/>
      <c r="MCG143" s="69"/>
      <c r="MCH143" s="69"/>
      <c r="MCI143" s="69"/>
      <c r="MCJ143" s="69"/>
      <c r="MCK143" s="69"/>
      <c r="MCL143" s="69"/>
      <c r="MCM143" s="69"/>
      <c r="MCN143" s="69"/>
      <c r="MCO143" s="69"/>
      <c r="MCP143" s="69"/>
      <c r="MCQ143" s="69"/>
      <c r="MCR143" s="69"/>
      <c r="MCS143" s="69"/>
      <c r="MCT143" s="69"/>
      <c r="MCU143" s="69"/>
      <c r="MCV143" s="69"/>
      <c r="MCW143" s="69"/>
      <c r="MCX143" s="69"/>
      <c r="MCY143" s="69"/>
      <c r="MCZ143" s="69"/>
      <c r="MDA143" s="69"/>
      <c r="MDB143" s="69"/>
      <c r="MDC143" s="69"/>
      <c r="MDD143" s="69"/>
      <c r="MDE143" s="69"/>
      <c r="MDF143" s="69"/>
      <c r="MDG143" s="69"/>
      <c r="MDH143" s="69"/>
      <c r="MDI143" s="69"/>
      <c r="MDJ143" s="69"/>
      <c r="MDK143" s="69"/>
      <c r="MDL143" s="69"/>
      <c r="MDM143" s="69"/>
      <c r="MDN143" s="69"/>
      <c r="MDO143" s="69"/>
      <c r="MDP143" s="69"/>
      <c r="MDQ143" s="69"/>
      <c r="MDR143" s="69"/>
      <c r="MDS143" s="69"/>
      <c r="MDT143" s="69"/>
      <c r="MDU143" s="69"/>
      <c r="MDV143" s="69"/>
      <c r="MDW143" s="69"/>
      <c r="MDX143" s="69"/>
      <c r="MDY143" s="69"/>
      <c r="MDZ143" s="69"/>
      <c r="MEA143" s="69"/>
      <c r="MEB143" s="69"/>
      <c r="MEC143" s="69"/>
      <c r="MED143" s="69"/>
      <c r="MEE143" s="69"/>
      <c r="MEF143" s="69"/>
      <c r="MEG143" s="69"/>
      <c r="MEH143" s="69"/>
      <c r="MEI143" s="69"/>
      <c r="MEJ143" s="69"/>
      <c r="MEK143" s="69"/>
      <c r="MEL143" s="69"/>
      <c r="MEM143" s="69"/>
      <c r="MEN143" s="69"/>
      <c r="MEO143" s="69"/>
      <c r="MEP143" s="69"/>
      <c r="MEQ143" s="69"/>
      <c r="MER143" s="69"/>
      <c r="MES143" s="69"/>
      <c r="MET143" s="69"/>
      <c r="MEU143" s="69"/>
      <c r="MEV143" s="69"/>
      <c r="MEW143" s="69"/>
      <c r="MEX143" s="69"/>
      <c r="MEY143" s="69"/>
      <c r="MEZ143" s="69"/>
      <c r="MFA143" s="69"/>
      <c r="MFB143" s="69"/>
      <c r="MFC143" s="69"/>
      <c r="MFD143" s="69"/>
      <c r="MFE143" s="69"/>
      <c r="MFF143" s="69"/>
      <c r="MFG143" s="69"/>
      <c r="MFH143" s="69"/>
      <c r="MFI143" s="69"/>
      <c r="MFJ143" s="69"/>
      <c r="MFK143" s="69"/>
      <c r="MFL143" s="69"/>
      <c r="MFM143" s="69"/>
      <c r="MFN143" s="69"/>
      <c r="MFO143" s="69"/>
      <c r="MFP143" s="69"/>
      <c r="MFQ143" s="69"/>
      <c r="MFR143" s="69"/>
      <c r="MFS143" s="69"/>
      <c r="MFT143" s="69"/>
      <c r="MFU143" s="69"/>
      <c r="MFV143" s="69"/>
      <c r="MFW143" s="69"/>
      <c r="MFX143" s="69"/>
      <c r="MFY143" s="69"/>
      <c r="MFZ143" s="69"/>
      <c r="MGA143" s="69"/>
      <c r="MGB143" s="69"/>
      <c r="MGC143" s="69"/>
      <c r="MGD143" s="69"/>
      <c r="MGE143" s="69"/>
      <c r="MGF143" s="69"/>
      <c r="MGG143" s="69"/>
      <c r="MGH143" s="69"/>
      <c r="MGI143" s="69"/>
      <c r="MGJ143" s="69"/>
      <c r="MGK143" s="69"/>
      <c r="MGL143" s="69"/>
      <c r="MGM143" s="69"/>
      <c r="MGN143" s="69"/>
      <c r="MGO143" s="69"/>
      <c r="MGP143" s="69"/>
      <c r="MGQ143" s="69"/>
      <c r="MGR143" s="69"/>
      <c r="MGS143" s="69"/>
      <c r="MGT143" s="69"/>
      <c r="MGU143" s="69"/>
      <c r="MGV143" s="69"/>
      <c r="MGW143" s="69"/>
      <c r="MGX143" s="69"/>
      <c r="MGY143" s="69"/>
      <c r="MGZ143" s="69"/>
      <c r="MHA143" s="69"/>
      <c r="MHB143" s="69"/>
      <c r="MHC143" s="69"/>
      <c r="MHD143" s="69"/>
      <c r="MHE143" s="69"/>
      <c r="MHF143" s="69"/>
      <c r="MHG143" s="69"/>
      <c r="MHH143" s="69"/>
      <c r="MHI143" s="69"/>
      <c r="MHJ143" s="69"/>
      <c r="MHK143" s="69"/>
      <c r="MHL143" s="69"/>
      <c r="MHM143" s="69"/>
      <c r="MHN143" s="69"/>
      <c r="MHO143" s="69"/>
      <c r="MHP143" s="69"/>
      <c r="MHQ143" s="69"/>
      <c r="MHR143" s="69"/>
      <c r="MHS143" s="69"/>
      <c r="MHT143" s="69"/>
      <c r="MHU143" s="69"/>
      <c r="MHV143" s="69"/>
      <c r="MHW143" s="69"/>
      <c r="MHX143" s="69"/>
      <c r="MHY143" s="69"/>
      <c r="MHZ143" s="69"/>
      <c r="MIA143" s="69"/>
      <c r="MIB143" s="69"/>
      <c r="MIC143" s="69"/>
      <c r="MID143" s="69"/>
      <c r="MIE143" s="69"/>
      <c r="MIF143" s="69"/>
      <c r="MIG143" s="69"/>
      <c r="MIH143" s="69"/>
      <c r="MII143" s="69"/>
      <c r="MIJ143" s="69"/>
      <c r="MIK143" s="69"/>
      <c r="MIL143" s="69"/>
      <c r="MIM143" s="69"/>
      <c r="MIN143" s="69"/>
      <c r="MIO143" s="69"/>
      <c r="MIP143" s="69"/>
      <c r="MIQ143" s="69"/>
      <c r="MIR143" s="69"/>
      <c r="MIS143" s="69"/>
      <c r="MIT143" s="69"/>
      <c r="MIU143" s="69"/>
      <c r="MIV143" s="69"/>
      <c r="MIW143" s="69"/>
      <c r="MIX143" s="69"/>
      <c r="MIY143" s="69"/>
      <c r="MIZ143" s="69"/>
      <c r="MJA143" s="69"/>
      <c r="MJB143" s="69"/>
      <c r="MJC143" s="69"/>
      <c r="MJD143" s="69"/>
      <c r="MJE143" s="69"/>
      <c r="MJF143" s="69"/>
      <c r="MJG143" s="69"/>
      <c r="MJH143" s="69"/>
      <c r="MJI143" s="69"/>
      <c r="MJJ143" s="69"/>
      <c r="MJK143" s="69"/>
      <c r="MJL143" s="69"/>
      <c r="MJM143" s="69"/>
      <c r="MJN143" s="69"/>
      <c r="MJO143" s="69"/>
      <c r="MJP143" s="69"/>
      <c r="MJQ143" s="69"/>
      <c r="MJR143" s="69"/>
      <c r="MJS143" s="69"/>
      <c r="MJT143" s="69"/>
      <c r="MJU143" s="69"/>
      <c r="MJV143" s="69"/>
      <c r="MJW143" s="69"/>
      <c r="MJX143" s="69"/>
      <c r="MJY143" s="69"/>
      <c r="MJZ143" s="69"/>
      <c r="MKA143" s="69"/>
      <c r="MKB143" s="69"/>
      <c r="MKC143" s="69"/>
      <c r="MKD143" s="69"/>
      <c r="MKE143" s="69"/>
      <c r="MKF143" s="69"/>
      <c r="MKG143" s="69"/>
      <c r="MKH143" s="69"/>
      <c r="MKI143" s="69"/>
      <c r="MKJ143" s="69"/>
      <c r="MKK143" s="69"/>
      <c r="MKL143" s="69"/>
      <c r="MKM143" s="69"/>
      <c r="MKN143" s="69"/>
      <c r="MKO143" s="69"/>
      <c r="MKP143" s="69"/>
      <c r="MKQ143" s="69"/>
      <c r="MKR143" s="69"/>
      <c r="MKS143" s="69"/>
      <c r="MKT143" s="69"/>
      <c r="MKU143" s="69"/>
      <c r="MKV143" s="69"/>
      <c r="MKW143" s="69"/>
      <c r="MKX143" s="69"/>
      <c r="MKY143" s="69"/>
      <c r="MKZ143" s="69"/>
      <c r="MLA143" s="69"/>
      <c r="MLB143" s="69"/>
      <c r="MLC143" s="69"/>
      <c r="MLD143" s="69"/>
      <c r="MLE143" s="69"/>
      <c r="MLF143" s="69"/>
      <c r="MLG143" s="69"/>
      <c r="MLH143" s="69"/>
      <c r="MLI143" s="69"/>
      <c r="MLJ143" s="69"/>
      <c r="MLK143" s="69"/>
      <c r="MLL143" s="69"/>
      <c r="MLM143" s="69"/>
      <c r="MLN143" s="69"/>
      <c r="MLO143" s="69"/>
      <c r="MLP143" s="69"/>
      <c r="MLQ143" s="69"/>
      <c r="MLR143" s="69"/>
      <c r="MLS143" s="69"/>
      <c r="MLT143" s="69"/>
      <c r="MLU143" s="69"/>
      <c r="MLV143" s="69"/>
      <c r="MLW143" s="69"/>
      <c r="MLX143" s="69"/>
      <c r="MLY143" s="69"/>
      <c r="MLZ143" s="69"/>
      <c r="MMA143" s="69"/>
      <c r="MMB143" s="69"/>
      <c r="MMC143" s="69"/>
      <c r="MMD143" s="69"/>
      <c r="MME143" s="69"/>
      <c r="MMF143" s="69"/>
      <c r="MMG143" s="69"/>
      <c r="MMH143" s="69"/>
      <c r="MMI143" s="69"/>
      <c r="MMJ143" s="69"/>
      <c r="MMK143" s="69"/>
      <c r="MML143" s="69"/>
      <c r="MMM143" s="69"/>
      <c r="MMN143" s="69"/>
      <c r="MMO143" s="69"/>
      <c r="MMP143" s="69"/>
      <c r="MMQ143" s="69"/>
      <c r="MMR143" s="69"/>
      <c r="MMS143" s="69"/>
      <c r="MMT143" s="69"/>
      <c r="MMU143" s="69"/>
      <c r="MMV143" s="69"/>
      <c r="MMW143" s="69"/>
      <c r="MMX143" s="69"/>
      <c r="MMY143" s="69"/>
      <c r="MMZ143" s="69"/>
      <c r="MNA143" s="69"/>
      <c r="MNB143" s="69"/>
      <c r="MNC143" s="69"/>
      <c r="MND143" s="69"/>
      <c r="MNE143" s="69"/>
      <c r="MNF143" s="69"/>
      <c r="MNG143" s="69"/>
      <c r="MNH143" s="69"/>
      <c r="MNI143" s="69"/>
      <c r="MNJ143" s="69"/>
      <c r="MNK143" s="69"/>
      <c r="MNL143" s="69"/>
      <c r="MNM143" s="69"/>
      <c r="MNN143" s="69"/>
      <c r="MNO143" s="69"/>
      <c r="MNP143" s="69"/>
      <c r="MNQ143" s="69"/>
      <c r="MNR143" s="69"/>
      <c r="MNS143" s="69"/>
      <c r="MNT143" s="69"/>
      <c r="MNU143" s="69"/>
      <c r="MNV143" s="69"/>
      <c r="MNW143" s="69"/>
      <c r="MNX143" s="69"/>
      <c r="MNY143" s="69"/>
      <c r="MNZ143" s="69"/>
      <c r="MOA143" s="69"/>
      <c r="MOB143" s="69"/>
      <c r="MOC143" s="69"/>
      <c r="MOD143" s="69"/>
      <c r="MOE143" s="69"/>
      <c r="MOF143" s="69"/>
      <c r="MOG143" s="69"/>
      <c r="MOH143" s="69"/>
      <c r="MOI143" s="69"/>
      <c r="MOJ143" s="69"/>
      <c r="MOK143" s="69"/>
      <c r="MOL143" s="69"/>
      <c r="MOM143" s="69"/>
      <c r="MON143" s="69"/>
      <c r="MOO143" s="69"/>
      <c r="MOP143" s="69"/>
      <c r="MOQ143" s="69"/>
      <c r="MOR143" s="69"/>
      <c r="MOS143" s="69"/>
      <c r="MOT143" s="69"/>
      <c r="MOU143" s="69"/>
      <c r="MOV143" s="69"/>
      <c r="MOW143" s="69"/>
      <c r="MOX143" s="69"/>
      <c r="MOY143" s="69"/>
      <c r="MOZ143" s="69"/>
      <c r="MPA143" s="69"/>
      <c r="MPB143" s="69"/>
      <c r="MPC143" s="69"/>
      <c r="MPD143" s="69"/>
      <c r="MPE143" s="69"/>
      <c r="MPF143" s="69"/>
      <c r="MPG143" s="69"/>
      <c r="MPH143" s="69"/>
      <c r="MPI143" s="69"/>
      <c r="MPJ143" s="69"/>
      <c r="MPK143" s="69"/>
      <c r="MPL143" s="69"/>
      <c r="MPM143" s="69"/>
      <c r="MPN143" s="69"/>
      <c r="MPO143" s="69"/>
      <c r="MPP143" s="69"/>
      <c r="MPQ143" s="69"/>
      <c r="MPR143" s="69"/>
      <c r="MPS143" s="69"/>
      <c r="MPT143" s="69"/>
      <c r="MPU143" s="69"/>
      <c r="MPV143" s="69"/>
      <c r="MPW143" s="69"/>
      <c r="MPX143" s="69"/>
      <c r="MPY143" s="69"/>
      <c r="MPZ143" s="69"/>
      <c r="MQA143" s="69"/>
      <c r="MQB143" s="69"/>
      <c r="MQC143" s="69"/>
      <c r="MQD143" s="69"/>
      <c r="MQE143" s="69"/>
      <c r="MQF143" s="69"/>
      <c r="MQG143" s="69"/>
      <c r="MQH143" s="69"/>
      <c r="MQI143" s="69"/>
      <c r="MQJ143" s="69"/>
      <c r="MQK143" s="69"/>
      <c r="MQL143" s="69"/>
      <c r="MQM143" s="69"/>
      <c r="MQN143" s="69"/>
      <c r="MQO143" s="69"/>
      <c r="MQP143" s="69"/>
      <c r="MQQ143" s="69"/>
      <c r="MQR143" s="69"/>
      <c r="MQS143" s="69"/>
      <c r="MQT143" s="69"/>
      <c r="MQU143" s="69"/>
      <c r="MQV143" s="69"/>
      <c r="MQW143" s="69"/>
      <c r="MQX143" s="69"/>
      <c r="MQY143" s="69"/>
      <c r="MQZ143" s="69"/>
      <c r="MRA143" s="69"/>
      <c r="MRB143" s="69"/>
      <c r="MRC143" s="69"/>
      <c r="MRD143" s="69"/>
      <c r="MRE143" s="69"/>
      <c r="MRF143" s="69"/>
      <c r="MRG143" s="69"/>
      <c r="MRH143" s="69"/>
      <c r="MRI143" s="69"/>
      <c r="MRJ143" s="69"/>
      <c r="MRK143" s="69"/>
      <c r="MRL143" s="69"/>
      <c r="MRM143" s="69"/>
      <c r="MRN143" s="69"/>
      <c r="MRO143" s="69"/>
      <c r="MRP143" s="69"/>
      <c r="MRQ143" s="69"/>
      <c r="MRR143" s="69"/>
      <c r="MRS143" s="69"/>
      <c r="MRT143" s="69"/>
      <c r="MRU143" s="69"/>
      <c r="MRV143" s="69"/>
      <c r="MRW143" s="69"/>
      <c r="MRX143" s="69"/>
      <c r="MRY143" s="69"/>
      <c r="MRZ143" s="69"/>
      <c r="MSA143" s="69"/>
      <c r="MSB143" s="69"/>
      <c r="MSC143" s="69"/>
      <c r="MSD143" s="69"/>
      <c r="MSE143" s="69"/>
      <c r="MSF143" s="69"/>
      <c r="MSG143" s="69"/>
      <c r="MSH143" s="69"/>
      <c r="MSI143" s="69"/>
      <c r="MSJ143" s="69"/>
      <c r="MSK143" s="69"/>
      <c r="MSL143" s="69"/>
      <c r="MSM143" s="69"/>
      <c r="MSN143" s="69"/>
      <c r="MSO143" s="69"/>
      <c r="MSP143" s="69"/>
      <c r="MSQ143" s="69"/>
      <c r="MSR143" s="69"/>
      <c r="MSS143" s="69"/>
      <c r="MST143" s="69"/>
      <c r="MSU143" s="69"/>
      <c r="MSV143" s="69"/>
      <c r="MSW143" s="69"/>
      <c r="MSX143" s="69"/>
      <c r="MSY143" s="69"/>
      <c r="MSZ143" s="69"/>
      <c r="MTA143" s="69"/>
      <c r="MTB143" s="69"/>
      <c r="MTC143" s="69"/>
      <c r="MTD143" s="69"/>
      <c r="MTE143" s="69"/>
      <c r="MTF143" s="69"/>
      <c r="MTG143" s="69"/>
      <c r="MTH143" s="69"/>
      <c r="MTI143" s="69"/>
      <c r="MTJ143" s="69"/>
      <c r="MTK143" s="69"/>
      <c r="MTL143" s="69"/>
      <c r="MTM143" s="69"/>
      <c r="MTN143" s="69"/>
      <c r="MTO143" s="69"/>
      <c r="MTP143" s="69"/>
      <c r="MTQ143" s="69"/>
      <c r="MTR143" s="69"/>
      <c r="MTS143" s="69"/>
      <c r="MTT143" s="69"/>
      <c r="MTU143" s="69"/>
      <c r="MTV143" s="69"/>
      <c r="MTW143" s="69"/>
      <c r="MTX143" s="69"/>
      <c r="MTY143" s="69"/>
      <c r="MTZ143" s="69"/>
      <c r="MUA143" s="69"/>
      <c r="MUB143" s="69"/>
      <c r="MUC143" s="69"/>
      <c r="MUD143" s="69"/>
      <c r="MUE143" s="69"/>
      <c r="MUF143" s="69"/>
      <c r="MUG143" s="69"/>
      <c r="MUH143" s="69"/>
      <c r="MUI143" s="69"/>
      <c r="MUJ143" s="69"/>
      <c r="MUK143" s="69"/>
      <c r="MUL143" s="69"/>
      <c r="MUM143" s="69"/>
      <c r="MUN143" s="69"/>
      <c r="MUO143" s="69"/>
      <c r="MUP143" s="69"/>
      <c r="MUQ143" s="69"/>
      <c r="MUR143" s="69"/>
      <c r="MUS143" s="69"/>
      <c r="MUT143" s="69"/>
      <c r="MUU143" s="69"/>
      <c r="MUV143" s="69"/>
      <c r="MUW143" s="69"/>
      <c r="MUX143" s="69"/>
      <c r="MUY143" s="69"/>
      <c r="MUZ143" s="69"/>
      <c r="MVA143" s="69"/>
      <c r="MVB143" s="69"/>
      <c r="MVC143" s="69"/>
      <c r="MVD143" s="69"/>
      <c r="MVE143" s="69"/>
      <c r="MVF143" s="69"/>
      <c r="MVG143" s="69"/>
      <c r="MVH143" s="69"/>
      <c r="MVI143" s="69"/>
      <c r="MVJ143" s="69"/>
      <c r="MVK143" s="69"/>
      <c r="MVL143" s="69"/>
      <c r="MVM143" s="69"/>
      <c r="MVN143" s="69"/>
      <c r="MVO143" s="69"/>
      <c r="MVP143" s="69"/>
      <c r="MVQ143" s="69"/>
      <c r="MVR143" s="69"/>
      <c r="MVS143" s="69"/>
      <c r="MVT143" s="69"/>
      <c r="MVU143" s="69"/>
      <c r="MVV143" s="69"/>
      <c r="MVW143" s="69"/>
      <c r="MVX143" s="69"/>
      <c r="MVY143" s="69"/>
      <c r="MVZ143" s="69"/>
      <c r="MWA143" s="69"/>
      <c r="MWB143" s="69"/>
      <c r="MWC143" s="69"/>
      <c r="MWD143" s="69"/>
      <c r="MWE143" s="69"/>
      <c r="MWF143" s="69"/>
      <c r="MWG143" s="69"/>
      <c r="MWH143" s="69"/>
      <c r="MWI143" s="69"/>
      <c r="MWJ143" s="69"/>
      <c r="MWK143" s="69"/>
      <c r="MWL143" s="69"/>
      <c r="MWM143" s="69"/>
      <c r="MWN143" s="69"/>
      <c r="MWO143" s="69"/>
      <c r="MWP143" s="69"/>
      <c r="MWQ143" s="69"/>
      <c r="MWR143" s="69"/>
      <c r="MWS143" s="69"/>
      <c r="MWT143" s="69"/>
      <c r="MWU143" s="69"/>
      <c r="MWV143" s="69"/>
      <c r="MWW143" s="69"/>
      <c r="MWX143" s="69"/>
      <c r="MWY143" s="69"/>
      <c r="MWZ143" s="69"/>
      <c r="MXA143" s="69"/>
      <c r="MXB143" s="69"/>
      <c r="MXC143" s="69"/>
      <c r="MXD143" s="69"/>
      <c r="MXE143" s="69"/>
      <c r="MXF143" s="69"/>
      <c r="MXG143" s="69"/>
      <c r="MXH143" s="69"/>
      <c r="MXI143" s="69"/>
      <c r="MXJ143" s="69"/>
      <c r="MXK143" s="69"/>
      <c r="MXL143" s="69"/>
      <c r="MXM143" s="69"/>
      <c r="MXN143" s="69"/>
      <c r="MXO143" s="69"/>
      <c r="MXP143" s="69"/>
      <c r="MXQ143" s="69"/>
      <c r="MXR143" s="69"/>
      <c r="MXS143" s="69"/>
      <c r="MXT143" s="69"/>
      <c r="MXU143" s="69"/>
      <c r="MXV143" s="69"/>
      <c r="MXW143" s="69"/>
      <c r="MXX143" s="69"/>
      <c r="MXY143" s="69"/>
      <c r="MXZ143" s="69"/>
      <c r="MYA143" s="69"/>
      <c r="MYB143" s="69"/>
      <c r="MYC143" s="69"/>
      <c r="MYD143" s="69"/>
      <c r="MYE143" s="69"/>
      <c r="MYF143" s="69"/>
      <c r="MYG143" s="69"/>
      <c r="MYH143" s="69"/>
      <c r="MYI143" s="69"/>
      <c r="MYJ143" s="69"/>
      <c r="MYK143" s="69"/>
      <c r="MYL143" s="69"/>
      <c r="MYM143" s="69"/>
      <c r="MYN143" s="69"/>
      <c r="MYO143" s="69"/>
      <c r="MYP143" s="69"/>
      <c r="MYQ143" s="69"/>
      <c r="MYR143" s="69"/>
      <c r="MYS143" s="69"/>
      <c r="MYT143" s="69"/>
      <c r="MYU143" s="69"/>
      <c r="MYV143" s="69"/>
      <c r="MYW143" s="69"/>
      <c r="MYX143" s="69"/>
      <c r="MYY143" s="69"/>
      <c r="MYZ143" s="69"/>
      <c r="MZA143" s="69"/>
      <c r="MZB143" s="69"/>
      <c r="MZC143" s="69"/>
      <c r="MZD143" s="69"/>
      <c r="MZE143" s="69"/>
      <c r="MZF143" s="69"/>
      <c r="MZG143" s="69"/>
      <c r="MZH143" s="69"/>
      <c r="MZI143" s="69"/>
      <c r="MZJ143" s="69"/>
      <c r="MZK143" s="69"/>
      <c r="MZL143" s="69"/>
      <c r="MZM143" s="69"/>
      <c r="MZN143" s="69"/>
      <c r="MZO143" s="69"/>
      <c r="MZP143" s="69"/>
      <c r="MZQ143" s="69"/>
      <c r="MZR143" s="69"/>
      <c r="MZS143" s="69"/>
      <c r="MZT143" s="69"/>
      <c r="MZU143" s="69"/>
      <c r="MZV143" s="69"/>
      <c r="MZW143" s="69"/>
      <c r="MZX143" s="69"/>
      <c r="MZY143" s="69"/>
      <c r="MZZ143" s="69"/>
      <c r="NAA143" s="69"/>
      <c r="NAB143" s="69"/>
      <c r="NAC143" s="69"/>
      <c r="NAD143" s="69"/>
      <c r="NAE143" s="69"/>
      <c r="NAF143" s="69"/>
      <c r="NAG143" s="69"/>
      <c r="NAH143" s="69"/>
      <c r="NAI143" s="69"/>
      <c r="NAJ143" s="69"/>
      <c r="NAK143" s="69"/>
      <c r="NAL143" s="69"/>
      <c r="NAM143" s="69"/>
      <c r="NAN143" s="69"/>
      <c r="NAO143" s="69"/>
      <c r="NAP143" s="69"/>
      <c r="NAQ143" s="69"/>
      <c r="NAR143" s="69"/>
      <c r="NAS143" s="69"/>
      <c r="NAT143" s="69"/>
      <c r="NAU143" s="69"/>
      <c r="NAV143" s="69"/>
      <c r="NAW143" s="69"/>
      <c r="NAX143" s="69"/>
      <c r="NAY143" s="69"/>
      <c r="NAZ143" s="69"/>
      <c r="NBA143" s="69"/>
      <c r="NBB143" s="69"/>
      <c r="NBC143" s="69"/>
      <c r="NBD143" s="69"/>
      <c r="NBE143" s="69"/>
      <c r="NBF143" s="69"/>
      <c r="NBG143" s="69"/>
      <c r="NBH143" s="69"/>
      <c r="NBI143" s="69"/>
      <c r="NBJ143" s="69"/>
      <c r="NBK143" s="69"/>
      <c r="NBL143" s="69"/>
      <c r="NBM143" s="69"/>
      <c r="NBN143" s="69"/>
      <c r="NBO143" s="69"/>
      <c r="NBP143" s="69"/>
      <c r="NBQ143" s="69"/>
      <c r="NBR143" s="69"/>
      <c r="NBS143" s="69"/>
      <c r="NBT143" s="69"/>
      <c r="NBU143" s="69"/>
      <c r="NBV143" s="69"/>
      <c r="NBW143" s="69"/>
      <c r="NBX143" s="69"/>
      <c r="NBY143" s="69"/>
      <c r="NBZ143" s="69"/>
      <c r="NCA143" s="69"/>
      <c r="NCB143" s="69"/>
      <c r="NCC143" s="69"/>
      <c r="NCD143" s="69"/>
      <c r="NCE143" s="69"/>
      <c r="NCF143" s="69"/>
      <c r="NCG143" s="69"/>
      <c r="NCH143" s="69"/>
      <c r="NCI143" s="69"/>
      <c r="NCJ143" s="69"/>
      <c r="NCK143" s="69"/>
      <c r="NCL143" s="69"/>
      <c r="NCM143" s="69"/>
      <c r="NCN143" s="69"/>
      <c r="NCO143" s="69"/>
      <c r="NCP143" s="69"/>
      <c r="NCQ143" s="69"/>
      <c r="NCR143" s="69"/>
      <c r="NCS143" s="69"/>
      <c r="NCT143" s="69"/>
      <c r="NCU143" s="69"/>
      <c r="NCV143" s="69"/>
      <c r="NCW143" s="69"/>
      <c r="NCX143" s="69"/>
      <c r="NCY143" s="69"/>
      <c r="NCZ143" s="69"/>
      <c r="NDA143" s="69"/>
      <c r="NDB143" s="69"/>
      <c r="NDC143" s="69"/>
      <c r="NDD143" s="69"/>
      <c r="NDE143" s="69"/>
      <c r="NDF143" s="69"/>
      <c r="NDG143" s="69"/>
      <c r="NDH143" s="69"/>
      <c r="NDI143" s="69"/>
      <c r="NDJ143" s="69"/>
      <c r="NDK143" s="69"/>
      <c r="NDL143" s="69"/>
      <c r="NDM143" s="69"/>
      <c r="NDN143" s="69"/>
      <c r="NDO143" s="69"/>
      <c r="NDP143" s="69"/>
      <c r="NDQ143" s="69"/>
      <c r="NDR143" s="69"/>
      <c r="NDS143" s="69"/>
      <c r="NDT143" s="69"/>
      <c r="NDU143" s="69"/>
      <c r="NDV143" s="69"/>
      <c r="NDW143" s="69"/>
      <c r="NDX143" s="69"/>
      <c r="NDY143" s="69"/>
      <c r="NDZ143" s="69"/>
      <c r="NEA143" s="69"/>
      <c r="NEB143" s="69"/>
      <c r="NEC143" s="69"/>
      <c r="NED143" s="69"/>
      <c r="NEE143" s="69"/>
      <c r="NEF143" s="69"/>
      <c r="NEG143" s="69"/>
      <c r="NEH143" s="69"/>
      <c r="NEI143" s="69"/>
      <c r="NEJ143" s="69"/>
      <c r="NEK143" s="69"/>
      <c r="NEL143" s="69"/>
      <c r="NEM143" s="69"/>
      <c r="NEN143" s="69"/>
      <c r="NEO143" s="69"/>
      <c r="NEP143" s="69"/>
      <c r="NEQ143" s="69"/>
      <c r="NER143" s="69"/>
      <c r="NES143" s="69"/>
      <c r="NET143" s="69"/>
      <c r="NEU143" s="69"/>
      <c r="NEV143" s="69"/>
      <c r="NEW143" s="69"/>
      <c r="NEX143" s="69"/>
      <c r="NEY143" s="69"/>
      <c r="NEZ143" s="69"/>
      <c r="NFA143" s="69"/>
      <c r="NFB143" s="69"/>
      <c r="NFC143" s="69"/>
      <c r="NFD143" s="69"/>
      <c r="NFE143" s="69"/>
      <c r="NFF143" s="69"/>
      <c r="NFG143" s="69"/>
      <c r="NFH143" s="69"/>
      <c r="NFI143" s="69"/>
      <c r="NFJ143" s="69"/>
      <c r="NFK143" s="69"/>
      <c r="NFL143" s="69"/>
      <c r="NFM143" s="69"/>
      <c r="NFN143" s="69"/>
      <c r="NFO143" s="69"/>
      <c r="NFP143" s="69"/>
      <c r="NFQ143" s="69"/>
      <c r="NFR143" s="69"/>
      <c r="NFS143" s="69"/>
      <c r="NFT143" s="69"/>
      <c r="NFU143" s="69"/>
      <c r="NFV143" s="69"/>
      <c r="NFW143" s="69"/>
      <c r="NFX143" s="69"/>
      <c r="NFY143" s="69"/>
      <c r="NFZ143" s="69"/>
      <c r="NGA143" s="69"/>
      <c r="NGB143" s="69"/>
      <c r="NGC143" s="69"/>
      <c r="NGD143" s="69"/>
      <c r="NGE143" s="69"/>
      <c r="NGF143" s="69"/>
      <c r="NGG143" s="69"/>
      <c r="NGH143" s="69"/>
      <c r="NGI143" s="69"/>
      <c r="NGJ143" s="69"/>
      <c r="NGK143" s="69"/>
      <c r="NGL143" s="69"/>
      <c r="NGM143" s="69"/>
      <c r="NGN143" s="69"/>
      <c r="NGO143" s="69"/>
      <c r="NGP143" s="69"/>
      <c r="NGQ143" s="69"/>
      <c r="NGR143" s="69"/>
      <c r="NGS143" s="69"/>
      <c r="NGT143" s="69"/>
      <c r="NGU143" s="69"/>
      <c r="NGV143" s="69"/>
      <c r="NGW143" s="69"/>
      <c r="NGX143" s="69"/>
      <c r="NGY143" s="69"/>
      <c r="NGZ143" s="69"/>
      <c r="NHA143" s="69"/>
      <c r="NHB143" s="69"/>
      <c r="NHC143" s="69"/>
      <c r="NHD143" s="69"/>
      <c r="NHE143" s="69"/>
      <c r="NHF143" s="69"/>
      <c r="NHG143" s="69"/>
      <c r="NHH143" s="69"/>
      <c r="NHI143" s="69"/>
      <c r="NHJ143" s="69"/>
      <c r="NHK143" s="69"/>
      <c r="NHL143" s="69"/>
      <c r="NHM143" s="69"/>
      <c r="NHN143" s="69"/>
      <c r="NHO143" s="69"/>
      <c r="NHP143" s="69"/>
      <c r="NHQ143" s="69"/>
      <c r="NHR143" s="69"/>
      <c r="NHS143" s="69"/>
      <c r="NHT143" s="69"/>
      <c r="NHU143" s="69"/>
      <c r="NHV143" s="69"/>
      <c r="NHW143" s="69"/>
      <c r="NHX143" s="69"/>
      <c r="NHY143" s="69"/>
      <c r="NHZ143" s="69"/>
      <c r="NIA143" s="69"/>
      <c r="NIB143" s="69"/>
      <c r="NIC143" s="69"/>
      <c r="NID143" s="69"/>
      <c r="NIE143" s="69"/>
      <c r="NIF143" s="69"/>
      <c r="NIG143" s="69"/>
      <c r="NIH143" s="69"/>
      <c r="NII143" s="69"/>
      <c r="NIJ143" s="69"/>
      <c r="NIK143" s="69"/>
      <c r="NIL143" s="69"/>
      <c r="NIM143" s="69"/>
      <c r="NIN143" s="69"/>
      <c r="NIO143" s="69"/>
      <c r="NIP143" s="69"/>
      <c r="NIQ143" s="69"/>
      <c r="NIR143" s="69"/>
      <c r="NIS143" s="69"/>
      <c r="NIT143" s="69"/>
      <c r="NIU143" s="69"/>
      <c r="NIV143" s="69"/>
      <c r="NIW143" s="69"/>
      <c r="NIX143" s="69"/>
      <c r="NIY143" s="69"/>
      <c r="NIZ143" s="69"/>
      <c r="NJA143" s="69"/>
      <c r="NJB143" s="69"/>
      <c r="NJC143" s="69"/>
      <c r="NJD143" s="69"/>
      <c r="NJE143" s="69"/>
      <c r="NJF143" s="69"/>
      <c r="NJG143" s="69"/>
      <c r="NJH143" s="69"/>
      <c r="NJI143" s="69"/>
      <c r="NJJ143" s="69"/>
      <c r="NJK143" s="69"/>
      <c r="NJL143" s="69"/>
      <c r="NJM143" s="69"/>
      <c r="NJN143" s="69"/>
      <c r="NJO143" s="69"/>
      <c r="NJP143" s="69"/>
      <c r="NJQ143" s="69"/>
      <c r="NJR143" s="69"/>
      <c r="NJS143" s="69"/>
      <c r="NJT143" s="69"/>
      <c r="NJU143" s="69"/>
      <c r="NJV143" s="69"/>
      <c r="NJW143" s="69"/>
      <c r="NJX143" s="69"/>
      <c r="NJY143" s="69"/>
      <c r="NJZ143" s="69"/>
      <c r="NKA143" s="69"/>
      <c r="NKB143" s="69"/>
      <c r="NKC143" s="69"/>
      <c r="NKD143" s="69"/>
      <c r="NKE143" s="69"/>
      <c r="NKF143" s="69"/>
      <c r="NKG143" s="69"/>
      <c r="NKH143" s="69"/>
      <c r="NKI143" s="69"/>
      <c r="NKJ143" s="69"/>
      <c r="NKK143" s="69"/>
      <c r="NKL143" s="69"/>
      <c r="NKM143" s="69"/>
      <c r="NKN143" s="69"/>
      <c r="NKO143" s="69"/>
      <c r="NKP143" s="69"/>
      <c r="NKQ143" s="69"/>
      <c r="NKR143" s="69"/>
      <c r="NKS143" s="69"/>
      <c r="NKT143" s="69"/>
      <c r="NKU143" s="69"/>
      <c r="NKV143" s="69"/>
      <c r="NKW143" s="69"/>
      <c r="NKX143" s="69"/>
      <c r="NKY143" s="69"/>
      <c r="NKZ143" s="69"/>
      <c r="NLA143" s="69"/>
      <c r="NLB143" s="69"/>
      <c r="NLC143" s="69"/>
      <c r="NLD143" s="69"/>
      <c r="NLE143" s="69"/>
      <c r="NLF143" s="69"/>
      <c r="NLG143" s="69"/>
      <c r="NLH143" s="69"/>
      <c r="NLI143" s="69"/>
      <c r="NLJ143" s="69"/>
      <c r="NLK143" s="69"/>
      <c r="NLL143" s="69"/>
      <c r="NLM143" s="69"/>
      <c r="NLN143" s="69"/>
      <c r="NLO143" s="69"/>
      <c r="NLP143" s="69"/>
      <c r="NLQ143" s="69"/>
      <c r="NLR143" s="69"/>
      <c r="NLS143" s="69"/>
      <c r="NLT143" s="69"/>
      <c r="NLU143" s="69"/>
      <c r="NLV143" s="69"/>
      <c r="NLW143" s="69"/>
      <c r="NLX143" s="69"/>
      <c r="NLY143" s="69"/>
      <c r="NLZ143" s="69"/>
      <c r="NMA143" s="69"/>
      <c r="NMB143" s="69"/>
      <c r="NMC143" s="69"/>
      <c r="NMD143" s="69"/>
      <c r="NME143" s="69"/>
      <c r="NMF143" s="69"/>
      <c r="NMG143" s="69"/>
      <c r="NMH143" s="69"/>
      <c r="NMI143" s="69"/>
      <c r="NMJ143" s="69"/>
      <c r="NMK143" s="69"/>
      <c r="NML143" s="69"/>
      <c r="NMM143" s="69"/>
      <c r="NMN143" s="69"/>
      <c r="NMO143" s="69"/>
      <c r="NMP143" s="69"/>
      <c r="NMQ143" s="69"/>
      <c r="NMR143" s="69"/>
      <c r="NMS143" s="69"/>
      <c r="NMT143" s="69"/>
      <c r="NMU143" s="69"/>
      <c r="NMV143" s="69"/>
      <c r="NMW143" s="69"/>
      <c r="NMX143" s="69"/>
      <c r="NMY143" s="69"/>
      <c r="NMZ143" s="69"/>
      <c r="NNA143" s="69"/>
      <c r="NNB143" s="69"/>
      <c r="NNC143" s="69"/>
      <c r="NND143" s="69"/>
      <c r="NNE143" s="69"/>
      <c r="NNF143" s="69"/>
      <c r="NNG143" s="69"/>
      <c r="NNH143" s="69"/>
      <c r="NNI143" s="69"/>
      <c r="NNJ143" s="69"/>
      <c r="NNK143" s="69"/>
      <c r="NNL143" s="69"/>
      <c r="NNM143" s="69"/>
      <c r="NNN143" s="69"/>
      <c r="NNO143" s="69"/>
      <c r="NNP143" s="69"/>
      <c r="NNQ143" s="69"/>
      <c r="NNR143" s="69"/>
      <c r="NNS143" s="69"/>
      <c r="NNT143" s="69"/>
      <c r="NNU143" s="69"/>
      <c r="NNV143" s="69"/>
      <c r="NNW143" s="69"/>
      <c r="NNX143" s="69"/>
      <c r="NNY143" s="69"/>
      <c r="NNZ143" s="69"/>
      <c r="NOA143" s="69"/>
      <c r="NOB143" s="69"/>
      <c r="NOC143" s="69"/>
      <c r="NOD143" s="69"/>
      <c r="NOE143" s="69"/>
      <c r="NOF143" s="69"/>
      <c r="NOG143" s="69"/>
      <c r="NOH143" s="69"/>
      <c r="NOI143" s="69"/>
      <c r="NOJ143" s="69"/>
      <c r="NOK143" s="69"/>
      <c r="NOL143" s="69"/>
      <c r="NOM143" s="69"/>
      <c r="NON143" s="69"/>
      <c r="NOO143" s="69"/>
      <c r="NOP143" s="69"/>
      <c r="NOQ143" s="69"/>
      <c r="NOR143" s="69"/>
      <c r="NOS143" s="69"/>
      <c r="NOT143" s="69"/>
      <c r="NOU143" s="69"/>
      <c r="NOV143" s="69"/>
      <c r="NOW143" s="69"/>
      <c r="NOX143" s="69"/>
      <c r="NOY143" s="69"/>
      <c r="NOZ143" s="69"/>
      <c r="NPA143" s="69"/>
      <c r="NPB143" s="69"/>
      <c r="NPC143" s="69"/>
      <c r="NPD143" s="69"/>
      <c r="NPE143" s="69"/>
      <c r="NPF143" s="69"/>
      <c r="NPG143" s="69"/>
      <c r="NPH143" s="69"/>
      <c r="NPI143" s="69"/>
      <c r="NPJ143" s="69"/>
      <c r="NPK143" s="69"/>
      <c r="NPL143" s="69"/>
      <c r="NPM143" s="69"/>
      <c r="NPN143" s="69"/>
      <c r="NPO143" s="69"/>
      <c r="NPP143" s="69"/>
      <c r="NPQ143" s="69"/>
      <c r="NPR143" s="69"/>
      <c r="NPS143" s="69"/>
      <c r="NPT143" s="69"/>
      <c r="NPU143" s="69"/>
      <c r="NPV143" s="69"/>
      <c r="NPW143" s="69"/>
      <c r="NPX143" s="69"/>
      <c r="NPY143" s="69"/>
      <c r="NPZ143" s="69"/>
      <c r="NQA143" s="69"/>
      <c r="NQB143" s="69"/>
      <c r="NQC143" s="69"/>
      <c r="NQD143" s="69"/>
      <c r="NQE143" s="69"/>
      <c r="NQF143" s="69"/>
      <c r="NQG143" s="69"/>
      <c r="NQH143" s="69"/>
      <c r="NQI143" s="69"/>
      <c r="NQJ143" s="69"/>
      <c r="NQK143" s="69"/>
      <c r="NQL143" s="69"/>
      <c r="NQM143" s="69"/>
      <c r="NQN143" s="69"/>
      <c r="NQO143" s="69"/>
      <c r="NQP143" s="69"/>
      <c r="NQQ143" s="69"/>
      <c r="NQR143" s="69"/>
      <c r="NQS143" s="69"/>
      <c r="NQT143" s="69"/>
      <c r="NQU143" s="69"/>
      <c r="NQV143" s="69"/>
      <c r="NQW143" s="69"/>
      <c r="NQX143" s="69"/>
      <c r="NQY143" s="69"/>
      <c r="NQZ143" s="69"/>
      <c r="NRA143" s="69"/>
      <c r="NRB143" s="69"/>
      <c r="NRC143" s="69"/>
      <c r="NRD143" s="69"/>
      <c r="NRE143" s="69"/>
      <c r="NRF143" s="69"/>
      <c r="NRG143" s="69"/>
      <c r="NRH143" s="69"/>
      <c r="NRI143" s="69"/>
      <c r="NRJ143" s="69"/>
      <c r="NRK143" s="69"/>
      <c r="NRL143" s="69"/>
      <c r="NRM143" s="69"/>
      <c r="NRN143" s="69"/>
      <c r="NRO143" s="69"/>
      <c r="NRP143" s="69"/>
      <c r="NRQ143" s="69"/>
      <c r="NRR143" s="69"/>
      <c r="NRS143" s="69"/>
      <c r="NRT143" s="69"/>
      <c r="NRU143" s="69"/>
      <c r="NRV143" s="69"/>
      <c r="NRW143" s="69"/>
      <c r="NRX143" s="69"/>
      <c r="NRY143" s="69"/>
      <c r="NRZ143" s="69"/>
      <c r="NSA143" s="69"/>
      <c r="NSB143" s="69"/>
      <c r="NSC143" s="69"/>
      <c r="NSD143" s="69"/>
      <c r="NSE143" s="69"/>
      <c r="NSF143" s="69"/>
      <c r="NSG143" s="69"/>
      <c r="NSH143" s="69"/>
      <c r="NSI143" s="69"/>
      <c r="NSJ143" s="69"/>
      <c r="NSK143" s="69"/>
      <c r="NSL143" s="69"/>
      <c r="NSM143" s="69"/>
      <c r="NSN143" s="69"/>
      <c r="NSO143" s="69"/>
      <c r="NSP143" s="69"/>
      <c r="NSQ143" s="69"/>
      <c r="NSR143" s="69"/>
      <c r="NSS143" s="69"/>
      <c r="NST143" s="69"/>
      <c r="NSU143" s="69"/>
      <c r="NSV143" s="69"/>
      <c r="NSW143" s="69"/>
      <c r="NSX143" s="69"/>
      <c r="NSY143" s="69"/>
      <c r="NSZ143" s="69"/>
      <c r="NTA143" s="69"/>
      <c r="NTB143" s="69"/>
      <c r="NTC143" s="69"/>
      <c r="NTD143" s="69"/>
      <c r="NTE143" s="69"/>
      <c r="NTF143" s="69"/>
      <c r="NTG143" s="69"/>
      <c r="NTH143" s="69"/>
      <c r="NTI143" s="69"/>
      <c r="NTJ143" s="69"/>
      <c r="NTK143" s="69"/>
      <c r="NTL143" s="69"/>
      <c r="NTM143" s="69"/>
      <c r="NTN143" s="69"/>
      <c r="NTO143" s="69"/>
      <c r="NTP143" s="69"/>
      <c r="NTQ143" s="69"/>
      <c r="NTR143" s="69"/>
      <c r="NTS143" s="69"/>
      <c r="NTT143" s="69"/>
      <c r="NTU143" s="69"/>
      <c r="NTV143" s="69"/>
      <c r="NTW143" s="69"/>
      <c r="NTX143" s="69"/>
      <c r="NTY143" s="69"/>
      <c r="NTZ143" s="69"/>
      <c r="NUA143" s="69"/>
      <c r="NUB143" s="69"/>
      <c r="NUC143" s="69"/>
      <c r="NUD143" s="69"/>
      <c r="NUE143" s="69"/>
      <c r="NUF143" s="69"/>
      <c r="NUG143" s="69"/>
      <c r="NUH143" s="69"/>
      <c r="NUI143" s="69"/>
      <c r="NUJ143" s="69"/>
      <c r="NUK143" s="69"/>
      <c r="NUL143" s="69"/>
      <c r="NUM143" s="69"/>
      <c r="NUN143" s="69"/>
      <c r="NUO143" s="69"/>
      <c r="NUP143" s="69"/>
      <c r="NUQ143" s="69"/>
      <c r="NUR143" s="69"/>
      <c r="NUS143" s="69"/>
      <c r="NUT143" s="69"/>
      <c r="NUU143" s="69"/>
      <c r="NUV143" s="69"/>
      <c r="NUW143" s="69"/>
      <c r="NUX143" s="69"/>
      <c r="NUY143" s="69"/>
      <c r="NUZ143" s="69"/>
      <c r="NVA143" s="69"/>
      <c r="NVB143" s="69"/>
      <c r="NVC143" s="69"/>
      <c r="NVD143" s="69"/>
      <c r="NVE143" s="69"/>
      <c r="NVF143" s="69"/>
      <c r="NVG143" s="69"/>
      <c r="NVH143" s="69"/>
      <c r="NVI143" s="69"/>
      <c r="NVJ143" s="69"/>
      <c r="NVK143" s="69"/>
      <c r="NVL143" s="69"/>
      <c r="NVM143" s="69"/>
      <c r="NVN143" s="69"/>
      <c r="NVO143" s="69"/>
      <c r="NVP143" s="69"/>
      <c r="NVQ143" s="69"/>
      <c r="NVR143" s="69"/>
      <c r="NVS143" s="69"/>
      <c r="NVT143" s="69"/>
      <c r="NVU143" s="69"/>
      <c r="NVV143" s="69"/>
      <c r="NVW143" s="69"/>
      <c r="NVX143" s="69"/>
      <c r="NVY143" s="69"/>
      <c r="NVZ143" s="69"/>
      <c r="NWA143" s="69"/>
      <c r="NWB143" s="69"/>
      <c r="NWC143" s="69"/>
      <c r="NWD143" s="69"/>
      <c r="NWE143" s="69"/>
      <c r="NWF143" s="69"/>
      <c r="NWG143" s="69"/>
      <c r="NWH143" s="69"/>
      <c r="NWI143" s="69"/>
      <c r="NWJ143" s="69"/>
      <c r="NWK143" s="69"/>
      <c r="NWL143" s="69"/>
      <c r="NWM143" s="69"/>
      <c r="NWN143" s="69"/>
      <c r="NWO143" s="69"/>
      <c r="NWP143" s="69"/>
      <c r="NWQ143" s="69"/>
      <c r="NWR143" s="69"/>
      <c r="NWS143" s="69"/>
      <c r="NWT143" s="69"/>
      <c r="NWU143" s="69"/>
      <c r="NWV143" s="69"/>
      <c r="NWW143" s="69"/>
      <c r="NWX143" s="69"/>
      <c r="NWY143" s="69"/>
      <c r="NWZ143" s="69"/>
      <c r="NXA143" s="69"/>
      <c r="NXB143" s="69"/>
      <c r="NXC143" s="69"/>
      <c r="NXD143" s="69"/>
      <c r="NXE143" s="69"/>
      <c r="NXF143" s="69"/>
      <c r="NXG143" s="69"/>
      <c r="NXH143" s="69"/>
      <c r="NXI143" s="69"/>
      <c r="NXJ143" s="69"/>
      <c r="NXK143" s="69"/>
      <c r="NXL143" s="69"/>
      <c r="NXM143" s="69"/>
      <c r="NXN143" s="69"/>
      <c r="NXO143" s="69"/>
      <c r="NXP143" s="69"/>
      <c r="NXQ143" s="69"/>
      <c r="NXR143" s="69"/>
      <c r="NXS143" s="69"/>
      <c r="NXT143" s="69"/>
      <c r="NXU143" s="69"/>
      <c r="NXV143" s="69"/>
      <c r="NXW143" s="69"/>
      <c r="NXX143" s="69"/>
      <c r="NXY143" s="69"/>
      <c r="NXZ143" s="69"/>
      <c r="NYA143" s="69"/>
      <c r="NYB143" s="69"/>
      <c r="NYC143" s="69"/>
      <c r="NYD143" s="69"/>
      <c r="NYE143" s="69"/>
      <c r="NYF143" s="69"/>
      <c r="NYG143" s="69"/>
      <c r="NYH143" s="69"/>
      <c r="NYI143" s="69"/>
      <c r="NYJ143" s="69"/>
      <c r="NYK143" s="69"/>
      <c r="NYL143" s="69"/>
      <c r="NYM143" s="69"/>
      <c r="NYN143" s="69"/>
      <c r="NYO143" s="69"/>
      <c r="NYP143" s="69"/>
      <c r="NYQ143" s="69"/>
      <c r="NYR143" s="69"/>
      <c r="NYS143" s="69"/>
      <c r="NYT143" s="69"/>
      <c r="NYU143" s="69"/>
      <c r="NYV143" s="69"/>
      <c r="NYW143" s="69"/>
      <c r="NYX143" s="69"/>
      <c r="NYY143" s="69"/>
      <c r="NYZ143" s="69"/>
      <c r="NZA143" s="69"/>
      <c r="NZB143" s="69"/>
      <c r="NZC143" s="69"/>
      <c r="NZD143" s="69"/>
      <c r="NZE143" s="69"/>
      <c r="NZF143" s="69"/>
      <c r="NZG143" s="69"/>
      <c r="NZH143" s="69"/>
      <c r="NZI143" s="69"/>
      <c r="NZJ143" s="69"/>
      <c r="NZK143" s="69"/>
      <c r="NZL143" s="69"/>
      <c r="NZM143" s="69"/>
      <c r="NZN143" s="69"/>
      <c r="NZO143" s="69"/>
      <c r="NZP143" s="69"/>
      <c r="NZQ143" s="69"/>
      <c r="NZR143" s="69"/>
      <c r="NZS143" s="69"/>
      <c r="NZT143" s="69"/>
      <c r="NZU143" s="69"/>
      <c r="NZV143" s="69"/>
      <c r="NZW143" s="69"/>
      <c r="NZX143" s="69"/>
      <c r="NZY143" s="69"/>
      <c r="NZZ143" s="69"/>
      <c r="OAA143" s="69"/>
      <c r="OAB143" s="69"/>
      <c r="OAC143" s="69"/>
      <c r="OAD143" s="69"/>
      <c r="OAE143" s="69"/>
      <c r="OAF143" s="69"/>
      <c r="OAG143" s="69"/>
      <c r="OAH143" s="69"/>
      <c r="OAI143" s="69"/>
      <c r="OAJ143" s="69"/>
      <c r="OAK143" s="69"/>
      <c r="OAL143" s="69"/>
      <c r="OAM143" s="69"/>
      <c r="OAN143" s="69"/>
      <c r="OAO143" s="69"/>
      <c r="OAP143" s="69"/>
      <c r="OAQ143" s="69"/>
      <c r="OAR143" s="69"/>
      <c r="OAS143" s="69"/>
      <c r="OAT143" s="69"/>
      <c r="OAU143" s="69"/>
      <c r="OAV143" s="69"/>
      <c r="OAW143" s="69"/>
      <c r="OAX143" s="69"/>
      <c r="OAY143" s="69"/>
      <c r="OAZ143" s="69"/>
      <c r="OBA143" s="69"/>
      <c r="OBB143" s="69"/>
      <c r="OBC143" s="69"/>
      <c r="OBD143" s="69"/>
      <c r="OBE143" s="69"/>
      <c r="OBF143" s="69"/>
      <c r="OBG143" s="69"/>
      <c r="OBH143" s="69"/>
      <c r="OBI143" s="69"/>
      <c r="OBJ143" s="69"/>
      <c r="OBK143" s="69"/>
      <c r="OBL143" s="69"/>
      <c r="OBM143" s="69"/>
      <c r="OBN143" s="69"/>
      <c r="OBO143" s="69"/>
      <c r="OBP143" s="69"/>
      <c r="OBQ143" s="69"/>
      <c r="OBR143" s="69"/>
      <c r="OBS143" s="69"/>
      <c r="OBT143" s="69"/>
      <c r="OBU143" s="69"/>
      <c r="OBV143" s="69"/>
      <c r="OBW143" s="69"/>
      <c r="OBX143" s="69"/>
      <c r="OBY143" s="69"/>
      <c r="OBZ143" s="69"/>
      <c r="OCA143" s="69"/>
      <c r="OCB143" s="69"/>
      <c r="OCC143" s="69"/>
      <c r="OCD143" s="69"/>
      <c r="OCE143" s="69"/>
      <c r="OCF143" s="69"/>
      <c r="OCG143" s="69"/>
      <c r="OCH143" s="69"/>
      <c r="OCI143" s="69"/>
      <c r="OCJ143" s="69"/>
      <c r="OCK143" s="69"/>
      <c r="OCL143" s="69"/>
      <c r="OCM143" s="69"/>
      <c r="OCN143" s="69"/>
      <c r="OCO143" s="69"/>
      <c r="OCP143" s="69"/>
      <c r="OCQ143" s="69"/>
      <c r="OCR143" s="69"/>
      <c r="OCS143" s="69"/>
      <c r="OCT143" s="69"/>
      <c r="OCU143" s="69"/>
      <c r="OCV143" s="69"/>
      <c r="OCW143" s="69"/>
      <c r="OCX143" s="69"/>
      <c r="OCY143" s="69"/>
      <c r="OCZ143" s="69"/>
      <c r="ODA143" s="69"/>
      <c r="ODB143" s="69"/>
      <c r="ODC143" s="69"/>
      <c r="ODD143" s="69"/>
      <c r="ODE143" s="69"/>
      <c r="ODF143" s="69"/>
      <c r="ODG143" s="69"/>
      <c r="ODH143" s="69"/>
      <c r="ODI143" s="69"/>
      <c r="ODJ143" s="69"/>
      <c r="ODK143" s="69"/>
      <c r="ODL143" s="69"/>
      <c r="ODM143" s="69"/>
      <c r="ODN143" s="69"/>
      <c r="ODO143" s="69"/>
      <c r="ODP143" s="69"/>
      <c r="ODQ143" s="69"/>
      <c r="ODR143" s="69"/>
      <c r="ODS143" s="69"/>
      <c r="ODT143" s="69"/>
      <c r="ODU143" s="69"/>
      <c r="ODV143" s="69"/>
      <c r="ODW143" s="69"/>
      <c r="ODX143" s="69"/>
      <c r="ODY143" s="69"/>
      <c r="ODZ143" s="69"/>
      <c r="OEA143" s="69"/>
      <c r="OEB143" s="69"/>
      <c r="OEC143" s="69"/>
      <c r="OED143" s="69"/>
      <c r="OEE143" s="69"/>
      <c r="OEF143" s="69"/>
      <c r="OEG143" s="69"/>
      <c r="OEH143" s="69"/>
      <c r="OEI143" s="69"/>
      <c r="OEJ143" s="69"/>
      <c r="OEK143" s="69"/>
      <c r="OEL143" s="69"/>
      <c r="OEM143" s="69"/>
      <c r="OEN143" s="69"/>
      <c r="OEO143" s="69"/>
      <c r="OEP143" s="69"/>
      <c r="OEQ143" s="69"/>
      <c r="OER143" s="69"/>
      <c r="OES143" s="69"/>
      <c r="OET143" s="69"/>
      <c r="OEU143" s="69"/>
      <c r="OEV143" s="69"/>
      <c r="OEW143" s="69"/>
      <c r="OEX143" s="69"/>
      <c r="OEY143" s="69"/>
      <c r="OEZ143" s="69"/>
      <c r="OFA143" s="69"/>
      <c r="OFB143" s="69"/>
      <c r="OFC143" s="69"/>
      <c r="OFD143" s="69"/>
      <c r="OFE143" s="69"/>
      <c r="OFF143" s="69"/>
      <c r="OFG143" s="69"/>
      <c r="OFH143" s="69"/>
      <c r="OFI143" s="69"/>
      <c r="OFJ143" s="69"/>
      <c r="OFK143" s="69"/>
      <c r="OFL143" s="69"/>
      <c r="OFM143" s="69"/>
      <c r="OFN143" s="69"/>
      <c r="OFO143" s="69"/>
      <c r="OFP143" s="69"/>
      <c r="OFQ143" s="69"/>
      <c r="OFR143" s="69"/>
      <c r="OFS143" s="69"/>
      <c r="OFT143" s="69"/>
      <c r="OFU143" s="69"/>
      <c r="OFV143" s="69"/>
      <c r="OFW143" s="69"/>
      <c r="OFX143" s="69"/>
      <c r="OFY143" s="69"/>
      <c r="OFZ143" s="69"/>
      <c r="OGA143" s="69"/>
      <c r="OGB143" s="69"/>
      <c r="OGC143" s="69"/>
      <c r="OGD143" s="69"/>
      <c r="OGE143" s="69"/>
      <c r="OGF143" s="69"/>
      <c r="OGG143" s="69"/>
      <c r="OGH143" s="69"/>
      <c r="OGI143" s="69"/>
      <c r="OGJ143" s="69"/>
      <c r="OGK143" s="69"/>
      <c r="OGL143" s="69"/>
      <c r="OGM143" s="69"/>
      <c r="OGN143" s="69"/>
      <c r="OGO143" s="69"/>
      <c r="OGP143" s="69"/>
      <c r="OGQ143" s="69"/>
      <c r="OGR143" s="69"/>
      <c r="OGS143" s="69"/>
      <c r="OGT143" s="69"/>
      <c r="OGU143" s="69"/>
      <c r="OGV143" s="69"/>
      <c r="OGW143" s="69"/>
      <c r="OGX143" s="69"/>
      <c r="OGY143" s="69"/>
      <c r="OGZ143" s="69"/>
      <c r="OHA143" s="69"/>
      <c r="OHB143" s="69"/>
      <c r="OHC143" s="69"/>
      <c r="OHD143" s="69"/>
      <c r="OHE143" s="69"/>
      <c r="OHF143" s="69"/>
      <c r="OHG143" s="69"/>
      <c r="OHH143" s="69"/>
      <c r="OHI143" s="69"/>
      <c r="OHJ143" s="69"/>
      <c r="OHK143" s="69"/>
      <c r="OHL143" s="69"/>
      <c r="OHM143" s="69"/>
      <c r="OHN143" s="69"/>
      <c r="OHO143" s="69"/>
      <c r="OHP143" s="69"/>
      <c r="OHQ143" s="69"/>
      <c r="OHR143" s="69"/>
      <c r="OHS143" s="69"/>
      <c r="OHT143" s="69"/>
      <c r="OHU143" s="69"/>
      <c r="OHV143" s="69"/>
      <c r="OHW143" s="69"/>
      <c r="OHX143" s="69"/>
      <c r="OHY143" s="69"/>
      <c r="OHZ143" s="69"/>
      <c r="OIA143" s="69"/>
      <c r="OIB143" s="69"/>
      <c r="OIC143" s="69"/>
      <c r="OID143" s="69"/>
      <c r="OIE143" s="69"/>
      <c r="OIF143" s="69"/>
      <c r="OIG143" s="69"/>
      <c r="OIH143" s="69"/>
      <c r="OII143" s="69"/>
      <c r="OIJ143" s="69"/>
      <c r="OIK143" s="69"/>
      <c r="OIL143" s="69"/>
      <c r="OIM143" s="69"/>
      <c r="OIN143" s="69"/>
      <c r="OIO143" s="69"/>
      <c r="OIP143" s="69"/>
      <c r="OIQ143" s="69"/>
      <c r="OIR143" s="69"/>
      <c r="OIS143" s="69"/>
      <c r="OIT143" s="69"/>
      <c r="OIU143" s="69"/>
      <c r="OIV143" s="69"/>
      <c r="OIW143" s="69"/>
      <c r="OIX143" s="69"/>
      <c r="OIY143" s="69"/>
      <c r="OIZ143" s="69"/>
      <c r="OJA143" s="69"/>
      <c r="OJB143" s="69"/>
      <c r="OJC143" s="69"/>
      <c r="OJD143" s="69"/>
      <c r="OJE143" s="69"/>
      <c r="OJF143" s="69"/>
      <c r="OJG143" s="69"/>
      <c r="OJH143" s="69"/>
      <c r="OJI143" s="69"/>
      <c r="OJJ143" s="69"/>
      <c r="OJK143" s="69"/>
      <c r="OJL143" s="69"/>
      <c r="OJM143" s="69"/>
      <c r="OJN143" s="69"/>
      <c r="OJO143" s="69"/>
      <c r="OJP143" s="69"/>
      <c r="OJQ143" s="69"/>
      <c r="OJR143" s="69"/>
      <c r="OJS143" s="69"/>
      <c r="OJT143" s="69"/>
      <c r="OJU143" s="69"/>
      <c r="OJV143" s="69"/>
      <c r="OJW143" s="69"/>
      <c r="OJX143" s="69"/>
      <c r="OJY143" s="69"/>
      <c r="OJZ143" s="69"/>
      <c r="OKA143" s="69"/>
      <c r="OKB143" s="69"/>
      <c r="OKC143" s="69"/>
      <c r="OKD143" s="69"/>
      <c r="OKE143" s="69"/>
      <c r="OKF143" s="69"/>
      <c r="OKG143" s="69"/>
      <c r="OKH143" s="69"/>
      <c r="OKI143" s="69"/>
      <c r="OKJ143" s="69"/>
      <c r="OKK143" s="69"/>
      <c r="OKL143" s="69"/>
      <c r="OKM143" s="69"/>
      <c r="OKN143" s="69"/>
      <c r="OKO143" s="69"/>
      <c r="OKP143" s="69"/>
      <c r="OKQ143" s="69"/>
      <c r="OKR143" s="69"/>
      <c r="OKS143" s="69"/>
      <c r="OKT143" s="69"/>
      <c r="OKU143" s="69"/>
      <c r="OKV143" s="69"/>
      <c r="OKW143" s="69"/>
      <c r="OKX143" s="69"/>
      <c r="OKY143" s="69"/>
      <c r="OKZ143" s="69"/>
      <c r="OLA143" s="69"/>
      <c r="OLB143" s="69"/>
      <c r="OLC143" s="69"/>
      <c r="OLD143" s="69"/>
      <c r="OLE143" s="69"/>
      <c r="OLF143" s="69"/>
      <c r="OLG143" s="69"/>
      <c r="OLH143" s="69"/>
      <c r="OLI143" s="69"/>
      <c r="OLJ143" s="69"/>
      <c r="OLK143" s="69"/>
      <c r="OLL143" s="69"/>
      <c r="OLM143" s="69"/>
      <c r="OLN143" s="69"/>
      <c r="OLO143" s="69"/>
      <c r="OLP143" s="69"/>
      <c r="OLQ143" s="69"/>
      <c r="OLR143" s="69"/>
      <c r="OLS143" s="69"/>
      <c r="OLT143" s="69"/>
      <c r="OLU143" s="69"/>
      <c r="OLV143" s="69"/>
      <c r="OLW143" s="69"/>
      <c r="OLX143" s="69"/>
      <c r="OLY143" s="69"/>
      <c r="OLZ143" s="69"/>
      <c r="OMA143" s="69"/>
      <c r="OMB143" s="69"/>
      <c r="OMC143" s="69"/>
      <c r="OMD143" s="69"/>
      <c r="OME143" s="69"/>
      <c r="OMF143" s="69"/>
      <c r="OMG143" s="69"/>
      <c r="OMH143" s="69"/>
      <c r="OMI143" s="69"/>
      <c r="OMJ143" s="69"/>
      <c r="OMK143" s="69"/>
      <c r="OML143" s="69"/>
      <c r="OMM143" s="69"/>
      <c r="OMN143" s="69"/>
      <c r="OMO143" s="69"/>
      <c r="OMP143" s="69"/>
      <c r="OMQ143" s="69"/>
      <c r="OMR143" s="69"/>
      <c r="OMS143" s="69"/>
      <c r="OMT143" s="69"/>
      <c r="OMU143" s="69"/>
      <c r="OMV143" s="69"/>
      <c r="OMW143" s="69"/>
      <c r="OMX143" s="69"/>
      <c r="OMY143" s="69"/>
      <c r="OMZ143" s="69"/>
      <c r="ONA143" s="69"/>
      <c r="ONB143" s="69"/>
      <c r="ONC143" s="69"/>
      <c r="OND143" s="69"/>
      <c r="ONE143" s="69"/>
      <c r="ONF143" s="69"/>
      <c r="ONG143" s="69"/>
      <c r="ONH143" s="69"/>
      <c r="ONI143" s="69"/>
      <c r="ONJ143" s="69"/>
      <c r="ONK143" s="69"/>
      <c r="ONL143" s="69"/>
      <c r="ONM143" s="69"/>
      <c r="ONN143" s="69"/>
      <c r="ONO143" s="69"/>
      <c r="ONP143" s="69"/>
      <c r="ONQ143" s="69"/>
      <c r="ONR143" s="69"/>
      <c r="ONS143" s="69"/>
      <c r="ONT143" s="69"/>
      <c r="ONU143" s="69"/>
      <c r="ONV143" s="69"/>
      <c r="ONW143" s="69"/>
      <c r="ONX143" s="69"/>
      <c r="ONY143" s="69"/>
      <c r="ONZ143" s="69"/>
      <c r="OOA143" s="69"/>
      <c r="OOB143" s="69"/>
      <c r="OOC143" s="69"/>
      <c r="OOD143" s="69"/>
      <c r="OOE143" s="69"/>
      <c r="OOF143" s="69"/>
      <c r="OOG143" s="69"/>
      <c r="OOH143" s="69"/>
      <c r="OOI143" s="69"/>
      <c r="OOJ143" s="69"/>
      <c r="OOK143" s="69"/>
      <c r="OOL143" s="69"/>
      <c r="OOM143" s="69"/>
      <c r="OON143" s="69"/>
      <c r="OOO143" s="69"/>
      <c r="OOP143" s="69"/>
      <c r="OOQ143" s="69"/>
      <c r="OOR143" s="69"/>
      <c r="OOS143" s="69"/>
      <c r="OOT143" s="69"/>
      <c r="OOU143" s="69"/>
      <c r="OOV143" s="69"/>
      <c r="OOW143" s="69"/>
      <c r="OOX143" s="69"/>
      <c r="OOY143" s="69"/>
      <c r="OOZ143" s="69"/>
      <c r="OPA143" s="69"/>
      <c r="OPB143" s="69"/>
      <c r="OPC143" s="69"/>
      <c r="OPD143" s="69"/>
      <c r="OPE143" s="69"/>
      <c r="OPF143" s="69"/>
      <c r="OPG143" s="69"/>
      <c r="OPH143" s="69"/>
      <c r="OPI143" s="69"/>
      <c r="OPJ143" s="69"/>
      <c r="OPK143" s="69"/>
      <c r="OPL143" s="69"/>
      <c r="OPM143" s="69"/>
      <c r="OPN143" s="69"/>
      <c r="OPO143" s="69"/>
      <c r="OPP143" s="69"/>
      <c r="OPQ143" s="69"/>
      <c r="OPR143" s="69"/>
      <c r="OPS143" s="69"/>
      <c r="OPT143" s="69"/>
      <c r="OPU143" s="69"/>
      <c r="OPV143" s="69"/>
      <c r="OPW143" s="69"/>
      <c r="OPX143" s="69"/>
      <c r="OPY143" s="69"/>
      <c r="OPZ143" s="69"/>
      <c r="OQA143" s="69"/>
      <c r="OQB143" s="69"/>
      <c r="OQC143" s="69"/>
      <c r="OQD143" s="69"/>
      <c r="OQE143" s="69"/>
      <c r="OQF143" s="69"/>
      <c r="OQG143" s="69"/>
      <c r="OQH143" s="69"/>
      <c r="OQI143" s="69"/>
      <c r="OQJ143" s="69"/>
      <c r="OQK143" s="69"/>
      <c r="OQL143" s="69"/>
      <c r="OQM143" s="69"/>
      <c r="OQN143" s="69"/>
      <c r="OQO143" s="69"/>
      <c r="OQP143" s="69"/>
      <c r="OQQ143" s="69"/>
      <c r="OQR143" s="69"/>
      <c r="OQS143" s="69"/>
      <c r="OQT143" s="69"/>
      <c r="OQU143" s="69"/>
      <c r="OQV143" s="69"/>
      <c r="OQW143" s="69"/>
      <c r="OQX143" s="69"/>
      <c r="OQY143" s="69"/>
      <c r="OQZ143" s="69"/>
      <c r="ORA143" s="69"/>
      <c r="ORB143" s="69"/>
      <c r="ORC143" s="69"/>
      <c r="ORD143" s="69"/>
      <c r="ORE143" s="69"/>
      <c r="ORF143" s="69"/>
      <c r="ORG143" s="69"/>
      <c r="ORH143" s="69"/>
      <c r="ORI143" s="69"/>
      <c r="ORJ143" s="69"/>
      <c r="ORK143" s="69"/>
      <c r="ORL143" s="69"/>
      <c r="ORM143" s="69"/>
      <c r="ORN143" s="69"/>
      <c r="ORO143" s="69"/>
      <c r="ORP143" s="69"/>
      <c r="ORQ143" s="69"/>
      <c r="ORR143" s="69"/>
      <c r="ORS143" s="69"/>
      <c r="ORT143" s="69"/>
      <c r="ORU143" s="69"/>
      <c r="ORV143" s="69"/>
      <c r="ORW143" s="69"/>
      <c r="ORX143" s="69"/>
      <c r="ORY143" s="69"/>
      <c r="ORZ143" s="69"/>
      <c r="OSA143" s="69"/>
      <c r="OSB143" s="69"/>
      <c r="OSC143" s="69"/>
      <c r="OSD143" s="69"/>
      <c r="OSE143" s="69"/>
      <c r="OSF143" s="69"/>
      <c r="OSG143" s="69"/>
      <c r="OSH143" s="69"/>
      <c r="OSI143" s="69"/>
      <c r="OSJ143" s="69"/>
      <c r="OSK143" s="69"/>
      <c r="OSL143" s="69"/>
      <c r="OSM143" s="69"/>
      <c r="OSN143" s="69"/>
      <c r="OSO143" s="69"/>
      <c r="OSP143" s="69"/>
      <c r="OSQ143" s="69"/>
      <c r="OSR143" s="69"/>
      <c r="OSS143" s="69"/>
      <c r="OST143" s="69"/>
      <c r="OSU143" s="69"/>
      <c r="OSV143" s="69"/>
      <c r="OSW143" s="69"/>
      <c r="OSX143" s="69"/>
      <c r="OSY143" s="69"/>
      <c r="OSZ143" s="69"/>
      <c r="OTA143" s="69"/>
      <c r="OTB143" s="69"/>
      <c r="OTC143" s="69"/>
      <c r="OTD143" s="69"/>
      <c r="OTE143" s="69"/>
      <c r="OTF143" s="69"/>
      <c r="OTG143" s="69"/>
      <c r="OTH143" s="69"/>
      <c r="OTI143" s="69"/>
      <c r="OTJ143" s="69"/>
      <c r="OTK143" s="69"/>
      <c r="OTL143" s="69"/>
      <c r="OTM143" s="69"/>
      <c r="OTN143" s="69"/>
      <c r="OTO143" s="69"/>
      <c r="OTP143" s="69"/>
      <c r="OTQ143" s="69"/>
      <c r="OTR143" s="69"/>
      <c r="OTS143" s="69"/>
      <c r="OTT143" s="69"/>
      <c r="OTU143" s="69"/>
      <c r="OTV143" s="69"/>
      <c r="OTW143" s="69"/>
      <c r="OTX143" s="69"/>
      <c r="OTY143" s="69"/>
      <c r="OTZ143" s="69"/>
      <c r="OUA143" s="69"/>
      <c r="OUB143" s="69"/>
      <c r="OUC143" s="69"/>
      <c r="OUD143" s="69"/>
      <c r="OUE143" s="69"/>
      <c r="OUF143" s="69"/>
      <c r="OUG143" s="69"/>
      <c r="OUH143" s="69"/>
      <c r="OUI143" s="69"/>
      <c r="OUJ143" s="69"/>
      <c r="OUK143" s="69"/>
      <c r="OUL143" s="69"/>
      <c r="OUM143" s="69"/>
      <c r="OUN143" s="69"/>
      <c r="OUO143" s="69"/>
      <c r="OUP143" s="69"/>
      <c r="OUQ143" s="69"/>
      <c r="OUR143" s="69"/>
      <c r="OUS143" s="69"/>
      <c r="OUT143" s="69"/>
      <c r="OUU143" s="69"/>
      <c r="OUV143" s="69"/>
      <c r="OUW143" s="69"/>
      <c r="OUX143" s="69"/>
      <c r="OUY143" s="69"/>
      <c r="OUZ143" s="69"/>
      <c r="OVA143" s="69"/>
      <c r="OVB143" s="69"/>
      <c r="OVC143" s="69"/>
      <c r="OVD143" s="69"/>
      <c r="OVE143" s="69"/>
      <c r="OVF143" s="69"/>
      <c r="OVG143" s="69"/>
      <c r="OVH143" s="69"/>
      <c r="OVI143" s="69"/>
      <c r="OVJ143" s="69"/>
      <c r="OVK143" s="69"/>
      <c r="OVL143" s="69"/>
      <c r="OVM143" s="69"/>
      <c r="OVN143" s="69"/>
      <c r="OVO143" s="69"/>
      <c r="OVP143" s="69"/>
      <c r="OVQ143" s="69"/>
      <c r="OVR143" s="69"/>
      <c r="OVS143" s="69"/>
      <c r="OVT143" s="69"/>
      <c r="OVU143" s="69"/>
      <c r="OVV143" s="69"/>
      <c r="OVW143" s="69"/>
      <c r="OVX143" s="69"/>
      <c r="OVY143" s="69"/>
      <c r="OVZ143" s="69"/>
      <c r="OWA143" s="69"/>
      <c r="OWB143" s="69"/>
      <c r="OWC143" s="69"/>
      <c r="OWD143" s="69"/>
      <c r="OWE143" s="69"/>
      <c r="OWF143" s="69"/>
      <c r="OWG143" s="69"/>
      <c r="OWH143" s="69"/>
      <c r="OWI143" s="69"/>
      <c r="OWJ143" s="69"/>
      <c r="OWK143" s="69"/>
      <c r="OWL143" s="69"/>
      <c r="OWM143" s="69"/>
      <c r="OWN143" s="69"/>
      <c r="OWO143" s="69"/>
      <c r="OWP143" s="69"/>
      <c r="OWQ143" s="69"/>
      <c r="OWR143" s="69"/>
      <c r="OWS143" s="69"/>
      <c r="OWT143" s="69"/>
      <c r="OWU143" s="69"/>
      <c r="OWV143" s="69"/>
      <c r="OWW143" s="69"/>
      <c r="OWX143" s="69"/>
      <c r="OWY143" s="69"/>
      <c r="OWZ143" s="69"/>
      <c r="OXA143" s="69"/>
      <c r="OXB143" s="69"/>
      <c r="OXC143" s="69"/>
      <c r="OXD143" s="69"/>
      <c r="OXE143" s="69"/>
      <c r="OXF143" s="69"/>
      <c r="OXG143" s="69"/>
      <c r="OXH143" s="69"/>
      <c r="OXI143" s="69"/>
      <c r="OXJ143" s="69"/>
      <c r="OXK143" s="69"/>
      <c r="OXL143" s="69"/>
      <c r="OXM143" s="69"/>
      <c r="OXN143" s="69"/>
      <c r="OXO143" s="69"/>
      <c r="OXP143" s="69"/>
      <c r="OXQ143" s="69"/>
      <c r="OXR143" s="69"/>
      <c r="OXS143" s="69"/>
      <c r="OXT143" s="69"/>
      <c r="OXU143" s="69"/>
      <c r="OXV143" s="69"/>
      <c r="OXW143" s="69"/>
      <c r="OXX143" s="69"/>
      <c r="OXY143" s="69"/>
      <c r="OXZ143" s="69"/>
      <c r="OYA143" s="69"/>
      <c r="OYB143" s="69"/>
      <c r="OYC143" s="69"/>
      <c r="OYD143" s="69"/>
      <c r="OYE143" s="69"/>
      <c r="OYF143" s="69"/>
      <c r="OYG143" s="69"/>
      <c r="OYH143" s="69"/>
      <c r="OYI143" s="69"/>
      <c r="OYJ143" s="69"/>
      <c r="OYK143" s="69"/>
      <c r="OYL143" s="69"/>
      <c r="OYM143" s="69"/>
      <c r="OYN143" s="69"/>
      <c r="OYO143" s="69"/>
      <c r="OYP143" s="69"/>
      <c r="OYQ143" s="69"/>
      <c r="OYR143" s="69"/>
      <c r="OYS143" s="69"/>
      <c r="OYT143" s="69"/>
      <c r="OYU143" s="69"/>
      <c r="OYV143" s="69"/>
      <c r="OYW143" s="69"/>
      <c r="OYX143" s="69"/>
      <c r="OYY143" s="69"/>
      <c r="OYZ143" s="69"/>
      <c r="OZA143" s="69"/>
      <c r="OZB143" s="69"/>
      <c r="OZC143" s="69"/>
      <c r="OZD143" s="69"/>
      <c r="OZE143" s="69"/>
      <c r="OZF143" s="69"/>
      <c r="OZG143" s="69"/>
      <c r="OZH143" s="69"/>
      <c r="OZI143" s="69"/>
      <c r="OZJ143" s="69"/>
      <c r="OZK143" s="69"/>
      <c r="OZL143" s="69"/>
      <c r="OZM143" s="69"/>
      <c r="OZN143" s="69"/>
      <c r="OZO143" s="69"/>
      <c r="OZP143" s="69"/>
      <c r="OZQ143" s="69"/>
      <c r="OZR143" s="69"/>
      <c r="OZS143" s="69"/>
      <c r="OZT143" s="69"/>
      <c r="OZU143" s="69"/>
      <c r="OZV143" s="69"/>
      <c r="OZW143" s="69"/>
      <c r="OZX143" s="69"/>
      <c r="OZY143" s="69"/>
      <c r="OZZ143" s="69"/>
      <c r="PAA143" s="69"/>
      <c r="PAB143" s="69"/>
      <c r="PAC143" s="69"/>
      <c r="PAD143" s="69"/>
      <c r="PAE143" s="69"/>
      <c r="PAF143" s="69"/>
      <c r="PAG143" s="69"/>
      <c r="PAH143" s="69"/>
      <c r="PAI143" s="69"/>
      <c r="PAJ143" s="69"/>
      <c r="PAK143" s="69"/>
      <c r="PAL143" s="69"/>
      <c r="PAM143" s="69"/>
      <c r="PAN143" s="69"/>
      <c r="PAO143" s="69"/>
      <c r="PAP143" s="69"/>
      <c r="PAQ143" s="69"/>
      <c r="PAR143" s="69"/>
      <c r="PAS143" s="69"/>
      <c r="PAT143" s="69"/>
      <c r="PAU143" s="69"/>
      <c r="PAV143" s="69"/>
      <c r="PAW143" s="69"/>
      <c r="PAX143" s="69"/>
      <c r="PAY143" s="69"/>
      <c r="PAZ143" s="69"/>
      <c r="PBA143" s="69"/>
      <c r="PBB143" s="69"/>
      <c r="PBC143" s="69"/>
      <c r="PBD143" s="69"/>
      <c r="PBE143" s="69"/>
      <c r="PBF143" s="69"/>
      <c r="PBG143" s="69"/>
      <c r="PBH143" s="69"/>
      <c r="PBI143" s="69"/>
      <c r="PBJ143" s="69"/>
      <c r="PBK143" s="69"/>
      <c r="PBL143" s="69"/>
      <c r="PBM143" s="69"/>
      <c r="PBN143" s="69"/>
      <c r="PBO143" s="69"/>
      <c r="PBP143" s="69"/>
      <c r="PBQ143" s="69"/>
      <c r="PBR143" s="69"/>
      <c r="PBS143" s="69"/>
      <c r="PBT143" s="69"/>
      <c r="PBU143" s="69"/>
      <c r="PBV143" s="69"/>
      <c r="PBW143" s="69"/>
      <c r="PBX143" s="69"/>
      <c r="PBY143" s="69"/>
      <c r="PBZ143" s="69"/>
      <c r="PCA143" s="69"/>
      <c r="PCB143" s="69"/>
      <c r="PCC143" s="69"/>
      <c r="PCD143" s="69"/>
      <c r="PCE143" s="69"/>
      <c r="PCF143" s="69"/>
      <c r="PCG143" s="69"/>
      <c r="PCH143" s="69"/>
      <c r="PCI143" s="69"/>
      <c r="PCJ143" s="69"/>
      <c r="PCK143" s="69"/>
      <c r="PCL143" s="69"/>
      <c r="PCM143" s="69"/>
      <c r="PCN143" s="69"/>
      <c r="PCO143" s="69"/>
      <c r="PCP143" s="69"/>
      <c r="PCQ143" s="69"/>
      <c r="PCR143" s="69"/>
      <c r="PCS143" s="69"/>
      <c r="PCT143" s="69"/>
      <c r="PCU143" s="69"/>
      <c r="PCV143" s="69"/>
      <c r="PCW143" s="69"/>
      <c r="PCX143" s="69"/>
      <c r="PCY143" s="69"/>
      <c r="PCZ143" s="69"/>
      <c r="PDA143" s="69"/>
      <c r="PDB143" s="69"/>
      <c r="PDC143" s="69"/>
      <c r="PDD143" s="69"/>
      <c r="PDE143" s="69"/>
      <c r="PDF143" s="69"/>
      <c r="PDG143" s="69"/>
      <c r="PDH143" s="69"/>
      <c r="PDI143" s="69"/>
      <c r="PDJ143" s="69"/>
      <c r="PDK143" s="69"/>
      <c r="PDL143" s="69"/>
      <c r="PDM143" s="69"/>
      <c r="PDN143" s="69"/>
      <c r="PDO143" s="69"/>
      <c r="PDP143" s="69"/>
      <c r="PDQ143" s="69"/>
      <c r="PDR143" s="69"/>
      <c r="PDS143" s="69"/>
      <c r="PDT143" s="69"/>
      <c r="PDU143" s="69"/>
      <c r="PDV143" s="69"/>
      <c r="PDW143" s="69"/>
      <c r="PDX143" s="69"/>
      <c r="PDY143" s="69"/>
      <c r="PDZ143" s="69"/>
      <c r="PEA143" s="69"/>
      <c r="PEB143" s="69"/>
      <c r="PEC143" s="69"/>
      <c r="PED143" s="69"/>
      <c r="PEE143" s="69"/>
      <c r="PEF143" s="69"/>
      <c r="PEG143" s="69"/>
      <c r="PEH143" s="69"/>
      <c r="PEI143" s="69"/>
      <c r="PEJ143" s="69"/>
      <c r="PEK143" s="69"/>
      <c r="PEL143" s="69"/>
      <c r="PEM143" s="69"/>
      <c r="PEN143" s="69"/>
      <c r="PEO143" s="69"/>
      <c r="PEP143" s="69"/>
      <c r="PEQ143" s="69"/>
      <c r="PER143" s="69"/>
      <c r="PES143" s="69"/>
      <c r="PET143" s="69"/>
      <c r="PEU143" s="69"/>
      <c r="PEV143" s="69"/>
      <c r="PEW143" s="69"/>
      <c r="PEX143" s="69"/>
      <c r="PEY143" s="69"/>
      <c r="PEZ143" s="69"/>
      <c r="PFA143" s="69"/>
      <c r="PFB143" s="69"/>
      <c r="PFC143" s="69"/>
      <c r="PFD143" s="69"/>
      <c r="PFE143" s="69"/>
      <c r="PFF143" s="69"/>
      <c r="PFG143" s="69"/>
      <c r="PFH143" s="69"/>
      <c r="PFI143" s="69"/>
      <c r="PFJ143" s="69"/>
      <c r="PFK143" s="69"/>
      <c r="PFL143" s="69"/>
      <c r="PFM143" s="69"/>
      <c r="PFN143" s="69"/>
      <c r="PFO143" s="69"/>
      <c r="PFP143" s="69"/>
      <c r="PFQ143" s="69"/>
      <c r="PFR143" s="69"/>
      <c r="PFS143" s="69"/>
      <c r="PFT143" s="69"/>
      <c r="PFU143" s="69"/>
      <c r="PFV143" s="69"/>
      <c r="PFW143" s="69"/>
      <c r="PFX143" s="69"/>
      <c r="PFY143" s="69"/>
      <c r="PFZ143" s="69"/>
      <c r="PGA143" s="69"/>
      <c r="PGB143" s="69"/>
      <c r="PGC143" s="69"/>
      <c r="PGD143" s="69"/>
      <c r="PGE143" s="69"/>
      <c r="PGF143" s="69"/>
      <c r="PGG143" s="69"/>
      <c r="PGH143" s="69"/>
      <c r="PGI143" s="69"/>
      <c r="PGJ143" s="69"/>
      <c r="PGK143" s="69"/>
      <c r="PGL143" s="69"/>
      <c r="PGM143" s="69"/>
      <c r="PGN143" s="69"/>
      <c r="PGO143" s="69"/>
      <c r="PGP143" s="69"/>
      <c r="PGQ143" s="69"/>
      <c r="PGR143" s="69"/>
      <c r="PGS143" s="69"/>
      <c r="PGT143" s="69"/>
      <c r="PGU143" s="69"/>
      <c r="PGV143" s="69"/>
      <c r="PGW143" s="69"/>
      <c r="PGX143" s="69"/>
      <c r="PGY143" s="69"/>
      <c r="PGZ143" s="69"/>
      <c r="PHA143" s="69"/>
      <c r="PHB143" s="69"/>
      <c r="PHC143" s="69"/>
      <c r="PHD143" s="69"/>
      <c r="PHE143" s="69"/>
      <c r="PHF143" s="69"/>
      <c r="PHG143" s="69"/>
      <c r="PHH143" s="69"/>
      <c r="PHI143" s="69"/>
      <c r="PHJ143" s="69"/>
      <c r="PHK143" s="69"/>
      <c r="PHL143" s="69"/>
      <c r="PHM143" s="69"/>
      <c r="PHN143" s="69"/>
      <c r="PHO143" s="69"/>
      <c r="PHP143" s="69"/>
      <c r="PHQ143" s="69"/>
      <c r="PHR143" s="69"/>
      <c r="PHS143" s="69"/>
      <c r="PHT143" s="69"/>
      <c r="PHU143" s="69"/>
      <c r="PHV143" s="69"/>
      <c r="PHW143" s="69"/>
      <c r="PHX143" s="69"/>
      <c r="PHY143" s="69"/>
      <c r="PHZ143" s="69"/>
      <c r="PIA143" s="69"/>
      <c r="PIB143" s="69"/>
      <c r="PIC143" s="69"/>
      <c r="PID143" s="69"/>
      <c r="PIE143" s="69"/>
      <c r="PIF143" s="69"/>
      <c r="PIG143" s="69"/>
      <c r="PIH143" s="69"/>
      <c r="PII143" s="69"/>
      <c r="PIJ143" s="69"/>
      <c r="PIK143" s="69"/>
      <c r="PIL143" s="69"/>
      <c r="PIM143" s="69"/>
      <c r="PIN143" s="69"/>
      <c r="PIO143" s="69"/>
      <c r="PIP143" s="69"/>
      <c r="PIQ143" s="69"/>
      <c r="PIR143" s="69"/>
      <c r="PIS143" s="69"/>
      <c r="PIT143" s="69"/>
      <c r="PIU143" s="69"/>
      <c r="PIV143" s="69"/>
      <c r="PIW143" s="69"/>
      <c r="PIX143" s="69"/>
      <c r="PIY143" s="69"/>
      <c r="PIZ143" s="69"/>
      <c r="PJA143" s="69"/>
      <c r="PJB143" s="69"/>
      <c r="PJC143" s="69"/>
      <c r="PJD143" s="69"/>
      <c r="PJE143" s="69"/>
      <c r="PJF143" s="69"/>
      <c r="PJG143" s="69"/>
      <c r="PJH143" s="69"/>
      <c r="PJI143" s="69"/>
      <c r="PJJ143" s="69"/>
      <c r="PJK143" s="69"/>
      <c r="PJL143" s="69"/>
      <c r="PJM143" s="69"/>
      <c r="PJN143" s="69"/>
      <c r="PJO143" s="69"/>
      <c r="PJP143" s="69"/>
      <c r="PJQ143" s="69"/>
      <c r="PJR143" s="69"/>
      <c r="PJS143" s="69"/>
      <c r="PJT143" s="69"/>
      <c r="PJU143" s="69"/>
      <c r="PJV143" s="69"/>
      <c r="PJW143" s="69"/>
      <c r="PJX143" s="69"/>
      <c r="PJY143" s="69"/>
      <c r="PJZ143" s="69"/>
      <c r="PKA143" s="69"/>
      <c r="PKB143" s="69"/>
      <c r="PKC143" s="69"/>
      <c r="PKD143" s="69"/>
      <c r="PKE143" s="69"/>
      <c r="PKF143" s="69"/>
      <c r="PKG143" s="69"/>
      <c r="PKH143" s="69"/>
      <c r="PKI143" s="69"/>
      <c r="PKJ143" s="69"/>
      <c r="PKK143" s="69"/>
      <c r="PKL143" s="69"/>
      <c r="PKM143" s="69"/>
      <c r="PKN143" s="69"/>
      <c r="PKO143" s="69"/>
      <c r="PKP143" s="69"/>
      <c r="PKQ143" s="69"/>
      <c r="PKR143" s="69"/>
      <c r="PKS143" s="69"/>
      <c r="PKT143" s="69"/>
      <c r="PKU143" s="69"/>
      <c r="PKV143" s="69"/>
      <c r="PKW143" s="69"/>
      <c r="PKX143" s="69"/>
      <c r="PKY143" s="69"/>
      <c r="PKZ143" s="69"/>
      <c r="PLA143" s="69"/>
      <c r="PLB143" s="69"/>
      <c r="PLC143" s="69"/>
      <c r="PLD143" s="69"/>
      <c r="PLE143" s="69"/>
      <c r="PLF143" s="69"/>
      <c r="PLG143" s="69"/>
      <c r="PLH143" s="69"/>
      <c r="PLI143" s="69"/>
      <c r="PLJ143" s="69"/>
      <c r="PLK143" s="69"/>
      <c r="PLL143" s="69"/>
      <c r="PLM143" s="69"/>
      <c r="PLN143" s="69"/>
      <c r="PLO143" s="69"/>
      <c r="PLP143" s="69"/>
      <c r="PLQ143" s="69"/>
      <c r="PLR143" s="69"/>
      <c r="PLS143" s="69"/>
      <c r="PLT143" s="69"/>
      <c r="PLU143" s="69"/>
      <c r="PLV143" s="69"/>
      <c r="PLW143" s="69"/>
      <c r="PLX143" s="69"/>
      <c r="PLY143" s="69"/>
      <c r="PLZ143" s="69"/>
      <c r="PMA143" s="69"/>
      <c r="PMB143" s="69"/>
      <c r="PMC143" s="69"/>
      <c r="PMD143" s="69"/>
      <c r="PME143" s="69"/>
      <c r="PMF143" s="69"/>
      <c r="PMG143" s="69"/>
      <c r="PMH143" s="69"/>
      <c r="PMI143" s="69"/>
      <c r="PMJ143" s="69"/>
      <c r="PMK143" s="69"/>
      <c r="PML143" s="69"/>
      <c r="PMM143" s="69"/>
      <c r="PMN143" s="69"/>
      <c r="PMO143" s="69"/>
      <c r="PMP143" s="69"/>
      <c r="PMQ143" s="69"/>
      <c r="PMR143" s="69"/>
      <c r="PMS143" s="69"/>
      <c r="PMT143" s="69"/>
      <c r="PMU143" s="69"/>
      <c r="PMV143" s="69"/>
      <c r="PMW143" s="69"/>
      <c r="PMX143" s="69"/>
      <c r="PMY143" s="69"/>
      <c r="PMZ143" s="69"/>
      <c r="PNA143" s="69"/>
      <c r="PNB143" s="69"/>
      <c r="PNC143" s="69"/>
      <c r="PND143" s="69"/>
      <c r="PNE143" s="69"/>
      <c r="PNF143" s="69"/>
      <c r="PNG143" s="69"/>
      <c r="PNH143" s="69"/>
      <c r="PNI143" s="69"/>
      <c r="PNJ143" s="69"/>
      <c r="PNK143" s="69"/>
      <c r="PNL143" s="69"/>
      <c r="PNM143" s="69"/>
      <c r="PNN143" s="69"/>
      <c r="PNO143" s="69"/>
      <c r="PNP143" s="69"/>
      <c r="PNQ143" s="69"/>
      <c r="PNR143" s="69"/>
      <c r="PNS143" s="69"/>
      <c r="PNT143" s="69"/>
      <c r="PNU143" s="69"/>
      <c r="PNV143" s="69"/>
      <c r="PNW143" s="69"/>
      <c r="PNX143" s="69"/>
      <c r="PNY143" s="69"/>
      <c r="PNZ143" s="69"/>
      <c r="POA143" s="69"/>
      <c r="POB143" s="69"/>
      <c r="POC143" s="69"/>
      <c r="POD143" s="69"/>
      <c r="POE143" s="69"/>
      <c r="POF143" s="69"/>
      <c r="POG143" s="69"/>
      <c r="POH143" s="69"/>
      <c r="POI143" s="69"/>
      <c r="POJ143" s="69"/>
      <c r="POK143" s="69"/>
      <c r="POL143" s="69"/>
      <c r="POM143" s="69"/>
      <c r="PON143" s="69"/>
      <c r="POO143" s="69"/>
      <c r="POP143" s="69"/>
      <c r="POQ143" s="69"/>
      <c r="POR143" s="69"/>
      <c r="POS143" s="69"/>
      <c r="POT143" s="69"/>
      <c r="POU143" s="69"/>
      <c r="POV143" s="69"/>
      <c r="POW143" s="69"/>
      <c r="POX143" s="69"/>
      <c r="POY143" s="69"/>
      <c r="POZ143" s="69"/>
      <c r="PPA143" s="69"/>
      <c r="PPB143" s="69"/>
      <c r="PPC143" s="69"/>
      <c r="PPD143" s="69"/>
      <c r="PPE143" s="69"/>
      <c r="PPF143" s="69"/>
      <c r="PPG143" s="69"/>
      <c r="PPH143" s="69"/>
      <c r="PPI143" s="69"/>
      <c r="PPJ143" s="69"/>
      <c r="PPK143" s="69"/>
      <c r="PPL143" s="69"/>
      <c r="PPM143" s="69"/>
      <c r="PPN143" s="69"/>
      <c r="PPO143" s="69"/>
      <c r="PPP143" s="69"/>
      <c r="PPQ143" s="69"/>
      <c r="PPR143" s="69"/>
      <c r="PPS143" s="69"/>
      <c r="PPT143" s="69"/>
      <c r="PPU143" s="69"/>
      <c r="PPV143" s="69"/>
      <c r="PPW143" s="69"/>
      <c r="PPX143" s="69"/>
      <c r="PPY143" s="69"/>
      <c r="PPZ143" s="69"/>
      <c r="PQA143" s="69"/>
      <c r="PQB143" s="69"/>
      <c r="PQC143" s="69"/>
      <c r="PQD143" s="69"/>
      <c r="PQE143" s="69"/>
      <c r="PQF143" s="69"/>
      <c r="PQG143" s="69"/>
      <c r="PQH143" s="69"/>
      <c r="PQI143" s="69"/>
      <c r="PQJ143" s="69"/>
      <c r="PQK143" s="69"/>
      <c r="PQL143" s="69"/>
      <c r="PQM143" s="69"/>
      <c r="PQN143" s="69"/>
      <c r="PQO143" s="69"/>
      <c r="PQP143" s="69"/>
      <c r="PQQ143" s="69"/>
      <c r="PQR143" s="69"/>
      <c r="PQS143" s="69"/>
      <c r="PQT143" s="69"/>
      <c r="PQU143" s="69"/>
      <c r="PQV143" s="69"/>
      <c r="PQW143" s="69"/>
      <c r="PQX143" s="69"/>
      <c r="PQY143" s="69"/>
      <c r="PQZ143" s="69"/>
      <c r="PRA143" s="69"/>
      <c r="PRB143" s="69"/>
      <c r="PRC143" s="69"/>
      <c r="PRD143" s="69"/>
      <c r="PRE143" s="69"/>
      <c r="PRF143" s="69"/>
      <c r="PRG143" s="69"/>
      <c r="PRH143" s="69"/>
      <c r="PRI143" s="69"/>
      <c r="PRJ143" s="69"/>
      <c r="PRK143" s="69"/>
      <c r="PRL143" s="69"/>
      <c r="PRM143" s="69"/>
      <c r="PRN143" s="69"/>
      <c r="PRO143" s="69"/>
      <c r="PRP143" s="69"/>
      <c r="PRQ143" s="69"/>
      <c r="PRR143" s="69"/>
      <c r="PRS143" s="69"/>
      <c r="PRT143" s="69"/>
      <c r="PRU143" s="69"/>
      <c r="PRV143" s="69"/>
      <c r="PRW143" s="69"/>
      <c r="PRX143" s="69"/>
      <c r="PRY143" s="69"/>
      <c r="PRZ143" s="69"/>
      <c r="PSA143" s="69"/>
      <c r="PSB143" s="69"/>
      <c r="PSC143" s="69"/>
      <c r="PSD143" s="69"/>
      <c r="PSE143" s="69"/>
      <c r="PSF143" s="69"/>
      <c r="PSG143" s="69"/>
      <c r="PSH143" s="69"/>
      <c r="PSI143" s="69"/>
      <c r="PSJ143" s="69"/>
      <c r="PSK143" s="69"/>
      <c r="PSL143" s="69"/>
      <c r="PSM143" s="69"/>
      <c r="PSN143" s="69"/>
      <c r="PSO143" s="69"/>
      <c r="PSP143" s="69"/>
      <c r="PSQ143" s="69"/>
      <c r="PSR143" s="69"/>
      <c r="PSS143" s="69"/>
      <c r="PST143" s="69"/>
      <c r="PSU143" s="69"/>
      <c r="PSV143" s="69"/>
      <c r="PSW143" s="69"/>
      <c r="PSX143" s="69"/>
      <c r="PSY143" s="69"/>
      <c r="PSZ143" s="69"/>
      <c r="PTA143" s="69"/>
      <c r="PTB143" s="69"/>
      <c r="PTC143" s="69"/>
      <c r="PTD143" s="69"/>
      <c r="PTE143" s="69"/>
      <c r="PTF143" s="69"/>
      <c r="PTG143" s="69"/>
      <c r="PTH143" s="69"/>
      <c r="PTI143" s="69"/>
      <c r="PTJ143" s="69"/>
      <c r="PTK143" s="69"/>
      <c r="PTL143" s="69"/>
      <c r="PTM143" s="69"/>
      <c r="PTN143" s="69"/>
      <c r="PTO143" s="69"/>
      <c r="PTP143" s="69"/>
      <c r="PTQ143" s="69"/>
      <c r="PTR143" s="69"/>
      <c r="PTS143" s="69"/>
      <c r="PTT143" s="69"/>
      <c r="PTU143" s="69"/>
      <c r="PTV143" s="69"/>
      <c r="PTW143" s="69"/>
      <c r="PTX143" s="69"/>
      <c r="PTY143" s="69"/>
      <c r="PTZ143" s="69"/>
      <c r="PUA143" s="69"/>
      <c r="PUB143" s="69"/>
      <c r="PUC143" s="69"/>
      <c r="PUD143" s="69"/>
      <c r="PUE143" s="69"/>
      <c r="PUF143" s="69"/>
      <c r="PUG143" s="69"/>
      <c r="PUH143" s="69"/>
      <c r="PUI143" s="69"/>
      <c r="PUJ143" s="69"/>
      <c r="PUK143" s="69"/>
      <c r="PUL143" s="69"/>
      <c r="PUM143" s="69"/>
      <c r="PUN143" s="69"/>
      <c r="PUO143" s="69"/>
      <c r="PUP143" s="69"/>
      <c r="PUQ143" s="69"/>
      <c r="PUR143" s="69"/>
      <c r="PUS143" s="69"/>
      <c r="PUT143" s="69"/>
      <c r="PUU143" s="69"/>
      <c r="PUV143" s="69"/>
      <c r="PUW143" s="69"/>
      <c r="PUX143" s="69"/>
      <c r="PUY143" s="69"/>
      <c r="PUZ143" s="69"/>
      <c r="PVA143" s="69"/>
      <c r="PVB143" s="69"/>
      <c r="PVC143" s="69"/>
      <c r="PVD143" s="69"/>
      <c r="PVE143" s="69"/>
      <c r="PVF143" s="69"/>
      <c r="PVG143" s="69"/>
      <c r="PVH143" s="69"/>
      <c r="PVI143" s="69"/>
      <c r="PVJ143" s="69"/>
      <c r="PVK143" s="69"/>
      <c r="PVL143" s="69"/>
      <c r="PVM143" s="69"/>
      <c r="PVN143" s="69"/>
      <c r="PVO143" s="69"/>
      <c r="PVP143" s="69"/>
      <c r="PVQ143" s="69"/>
      <c r="PVR143" s="69"/>
      <c r="PVS143" s="69"/>
      <c r="PVT143" s="69"/>
      <c r="PVU143" s="69"/>
      <c r="PVV143" s="69"/>
      <c r="PVW143" s="69"/>
      <c r="PVX143" s="69"/>
      <c r="PVY143" s="69"/>
      <c r="PVZ143" s="69"/>
      <c r="PWA143" s="69"/>
      <c r="PWB143" s="69"/>
      <c r="PWC143" s="69"/>
      <c r="PWD143" s="69"/>
      <c r="PWE143" s="69"/>
      <c r="PWF143" s="69"/>
      <c r="PWG143" s="69"/>
      <c r="PWH143" s="69"/>
      <c r="PWI143" s="69"/>
      <c r="PWJ143" s="69"/>
      <c r="PWK143" s="69"/>
      <c r="PWL143" s="69"/>
      <c r="PWM143" s="69"/>
      <c r="PWN143" s="69"/>
      <c r="PWO143" s="69"/>
      <c r="PWP143" s="69"/>
      <c r="PWQ143" s="69"/>
      <c r="PWR143" s="69"/>
      <c r="PWS143" s="69"/>
      <c r="PWT143" s="69"/>
      <c r="PWU143" s="69"/>
      <c r="PWV143" s="69"/>
      <c r="PWW143" s="69"/>
      <c r="PWX143" s="69"/>
      <c r="PWY143" s="69"/>
      <c r="PWZ143" s="69"/>
      <c r="PXA143" s="69"/>
      <c r="PXB143" s="69"/>
      <c r="PXC143" s="69"/>
      <c r="PXD143" s="69"/>
      <c r="PXE143" s="69"/>
      <c r="PXF143" s="69"/>
      <c r="PXG143" s="69"/>
      <c r="PXH143" s="69"/>
      <c r="PXI143" s="69"/>
      <c r="PXJ143" s="69"/>
      <c r="PXK143" s="69"/>
      <c r="PXL143" s="69"/>
      <c r="PXM143" s="69"/>
      <c r="PXN143" s="69"/>
      <c r="PXO143" s="69"/>
      <c r="PXP143" s="69"/>
      <c r="PXQ143" s="69"/>
      <c r="PXR143" s="69"/>
      <c r="PXS143" s="69"/>
      <c r="PXT143" s="69"/>
      <c r="PXU143" s="69"/>
      <c r="PXV143" s="69"/>
      <c r="PXW143" s="69"/>
      <c r="PXX143" s="69"/>
      <c r="PXY143" s="69"/>
      <c r="PXZ143" s="69"/>
      <c r="PYA143" s="69"/>
      <c r="PYB143" s="69"/>
      <c r="PYC143" s="69"/>
      <c r="PYD143" s="69"/>
      <c r="PYE143" s="69"/>
      <c r="PYF143" s="69"/>
      <c r="PYG143" s="69"/>
      <c r="PYH143" s="69"/>
      <c r="PYI143" s="69"/>
      <c r="PYJ143" s="69"/>
      <c r="PYK143" s="69"/>
      <c r="PYL143" s="69"/>
      <c r="PYM143" s="69"/>
      <c r="PYN143" s="69"/>
      <c r="PYO143" s="69"/>
      <c r="PYP143" s="69"/>
      <c r="PYQ143" s="69"/>
      <c r="PYR143" s="69"/>
      <c r="PYS143" s="69"/>
      <c r="PYT143" s="69"/>
      <c r="PYU143" s="69"/>
      <c r="PYV143" s="69"/>
      <c r="PYW143" s="69"/>
      <c r="PYX143" s="69"/>
      <c r="PYY143" s="69"/>
      <c r="PYZ143" s="69"/>
      <c r="PZA143" s="69"/>
      <c r="PZB143" s="69"/>
      <c r="PZC143" s="69"/>
      <c r="PZD143" s="69"/>
      <c r="PZE143" s="69"/>
      <c r="PZF143" s="69"/>
      <c r="PZG143" s="69"/>
      <c r="PZH143" s="69"/>
      <c r="PZI143" s="69"/>
      <c r="PZJ143" s="69"/>
      <c r="PZK143" s="69"/>
      <c r="PZL143" s="69"/>
      <c r="PZM143" s="69"/>
      <c r="PZN143" s="69"/>
      <c r="PZO143" s="69"/>
      <c r="PZP143" s="69"/>
      <c r="PZQ143" s="69"/>
      <c r="PZR143" s="69"/>
      <c r="PZS143" s="69"/>
      <c r="PZT143" s="69"/>
      <c r="PZU143" s="69"/>
      <c r="PZV143" s="69"/>
      <c r="PZW143" s="69"/>
      <c r="PZX143" s="69"/>
      <c r="PZY143" s="69"/>
      <c r="PZZ143" s="69"/>
      <c r="QAA143" s="69"/>
      <c r="QAB143" s="69"/>
      <c r="QAC143" s="69"/>
      <c r="QAD143" s="69"/>
      <c r="QAE143" s="69"/>
      <c r="QAF143" s="69"/>
      <c r="QAG143" s="69"/>
      <c r="QAH143" s="69"/>
      <c r="QAI143" s="69"/>
      <c r="QAJ143" s="69"/>
      <c r="QAK143" s="69"/>
      <c r="QAL143" s="69"/>
      <c r="QAM143" s="69"/>
      <c r="QAN143" s="69"/>
      <c r="QAO143" s="69"/>
      <c r="QAP143" s="69"/>
      <c r="QAQ143" s="69"/>
      <c r="QAR143" s="69"/>
      <c r="QAS143" s="69"/>
      <c r="QAT143" s="69"/>
      <c r="QAU143" s="69"/>
      <c r="QAV143" s="69"/>
      <c r="QAW143" s="69"/>
      <c r="QAX143" s="69"/>
      <c r="QAY143" s="69"/>
      <c r="QAZ143" s="69"/>
      <c r="QBA143" s="69"/>
      <c r="QBB143" s="69"/>
      <c r="QBC143" s="69"/>
      <c r="QBD143" s="69"/>
      <c r="QBE143" s="69"/>
      <c r="QBF143" s="69"/>
      <c r="QBG143" s="69"/>
      <c r="QBH143" s="69"/>
      <c r="QBI143" s="69"/>
      <c r="QBJ143" s="69"/>
      <c r="QBK143" s="69"/>
      <c r="QBL143" s="69"/>
      <c r="QBM143" s="69"/>
      <c r="QBN143" s="69"/>
      <c r="QBO143" s="69"/>
      <c r="QBP143" s="69"/>
      <c r="QBQ143" s="69"/>
      <c r="QBR143" s="69"/>
      <c r="QBS143" s="69"/>
      <c r="QBT143" s="69"/>
      <c r="QBU143" s="69"/>
      <c r="QBV143" s="69"/>
      <c r="QBW143" s="69"/>
      <c r="QBX143" s="69"/>
      <c r="QBY143" s="69"/>
      <c r="QBZ143" s="69"/>
      <c r="QCA143" s="69"/>
      <c r="QCB143" s="69"/>
      <c r="QCC143" s="69"/>
      <c r="QCD143" s="69"/>
      <c r="QCE143" s="69"/>
      <c r="QCF143" s="69"/>
      <c r="QCG143" s="69"/>
      <c r="QCH143" s="69"/>
      <c r="QCI143" s="69"/>
      <c r="QCJ143" s="69"/>
      <c r="QCK143" s="69"/>
      <c r="QCL143" s="69"/>
      <c r="QCM143" s="69"/>
      <c r="QCN143" s="69"/>
      <c r="QCO143" s="69"/>
      <c r="QCP143" s="69"/>
      <c r="QCQ143" s="69"/>
      <c r="QCR143" s="69"/>
      <c r="QCS143" s="69"/>
      <c r="QCT143" s="69"/>
      <c r="QCU143" s="69"/>
      <c r="QCV143" s="69"/>
      <c r="QCW143" s="69"/>
      <c r="QCX143" s="69"/>
      <c r="QCY143" s="69"/>
      <c r="QCZ143" s="69"/>
      <c r="QDA143" s="69"/>
      <c r="QDB143" s="69"/>
      <c r="QDC143" s="69"/>
      <c r="QDD143" s="69"/>
      <c r="QDE143" s="69"/>
      <c r="QDF143" s="69"/>
      <c r="QDG143" s="69"/>
      <c r="QDH143" s="69"/>
      <c r="QDI143" s="69"/>
      <c r="QDJ143" s="69"/>
      <c r="QDK143" s="69"/>
      <c r="QDL143" s="69"/>
      <c r="QDM143" s="69"/>
      <c r="QDN143" s="69"/>
      <c r="QDO143" s="69"/>
      <c r="QDP143" s="69"/>
      <c r="QDQ143" s="69"/>
      <c r="QDR143" s="69"/>
      <c r="QDS143" s="69"/>
      <c r="QDT143" s="69"/>
      <c r="QDU143" s="69"/>
      <c r="QDV143" s="69"/>
      <c r="QDW143" s="69"/>
      <c r="QDX143" s="69"/>
      <c r="QDY143" s="69"/>
      <c r="QDZ143" s="69"/>
      <c r="QEA143" s="69"/>
      <c r="QEB143" s="69"/>
      <c r="QEC143" s="69"/>
      <c r="QED143" s="69"/>
      <c r="QEE143" s="69"/>
      <c r="QEF143" s="69"/>
      <c r="QEG143" s="69"/>
      <c r="QEH143" s="69"/>
      <c r="QEI143" s="69"/>
      <c r="QEJ143" s="69"/>
      <c r="QEK143" s="69"/>
      <c r="QEL143" s="69"/>
      <c r="QEM143" s="69"/>
      <c r="QEN143" s="69"/>
      <c r="QEO143" s="69"/>
      <c r="QEP143" s="69"/>
      <c r="QEQ143" s="69"/>
      <c r="QER143" s="69"/>
      <c r="QES143" s="69"/>
      <c r="QET143" s="69"/>
      <c r="QEU143" s="69"/>
      <c r="QEV143" s="69"/>
      <c r="QEW143" s="69"/>
      <c r="QEX143" s="69"/>
      <c r="QEY143" s="69"/>
      <c r="QEZ143" s="69"/>
      <c r="QFA143" s="69"/>
      <c r="QFB143" s="69"/>
      <c r="QFC143" s="69"/>
      <c r="QFD143" s="69"/>
      <c r="QFE143" s="69"/>
      <c r="QFF143" s="69"/>
      <c r="QFG143" s="69"/>
      <c r="QFH143" s="69"/>
      <c r="QFI143" s="69"/>
      <c r="QFJ143" s="69"/>
      <c r="QFK143" s="69"/>
      <c r="QFL143" s="69"/>
      <c r="QFM143" s="69"/>
      <c r="QFN143" s="69"/>
      <c r="QFO143" s="69"/>
      <c r="QFP143" s="69"/>
      <c r="QFQ143" s="69"/>
      <c r="QFR143" s="69"/>
      <c r="QFS143" s="69"/>
      <c r="QFT143" s="69"/>
      <c r="QFU143" s="69"/>
      <c r="QFV143" s="69"/>
      <c r="QFW143" s="69"/>
      <c r="QFX143" s="69"/>
      <c r="QFY143" s="69"/>
      <c r="QFZ143" s="69"/>
      <c r="QGA143" s="69"/>
      <c r="QGB143" s="69"/>
      <c r="QGC143" s="69"/>
      <c r="QGD143" s="69"/>
      <c r="QGE143" s="69"/>
      <c r="QGF143" s="69"/>
      <c r="QGG143" s="69"/>
      <c r="QGH143" s="69"/>
      <c r="QGI143" s="69"/>
      <c r="QGJ143" s="69"/>
      <c r="QGK143" s="69"/>
      <c r="QGL143" s="69"/>
      <c r="QGM143" s="69"/>
      <c r="QGN143" s="69"/>
      <c r="QGO143" s="69"/>
      <c r="QGP143" s="69"/>
      <c r="QGQ143" s="69"/>
      <c r="QGR143" s="69"/>
      <c r="QGS143" s="69"/>
      <c r="QGT143" s="69"/>
      <c r="QGU143" s="69"/>
      <c r="QGV143" s="69"/>
      <c r="QGW143" s="69"/>
      <c r="QGX143" s="69"/>
      <c r="QGY143" s="69"/>
      <c r="QGZ143" s="69"/>
      <c r="QHA143" s="69"/>
      <c r="QHB143" s="69"/>
      <c r="QHC143" s="69"/>
      <c r="QHD143" s="69"/>
      <c r="QHE143" s="69"/>
      <c r="QHF143" s="69"/>
      <c r="QHG143" s="69"/>
      <c r="QHH143" s="69"/>
      <c r="QHI143" s="69"/>
      <c r="QHJ143" s="69"/>
      <c r="QHK143" s="69"/>
      <c r="QHL143" s="69"/>
      <c r="QHM143" s="69"/>
      <c r="QHN143" s="69"/>
      <c r="QHO143" s="69"/>
      <c r="QHP143" s="69"/>
      <c r="QHQ143" s="69"/>
      <c r="QHR143" s="69"/>
      <c r="QHS143" s="69"/>
      <c r="QHT143" s="69"/>
      <c r="QHU143" s="69"/>
      <c r="QHV143" s="69"/>
      <c r="QHW143" s="69"/>
      <c r="QHX143" s="69"/>
      <c r="QHY143" s="69"/>
      <c r="QHZ143" s="69"/>
      <c r="QIA143" s="69"/>
      <c r="QIB143" s="69"/>
      <c r="QIC143" s="69"/>
      <c r="QID143" s="69"/>
      <c r="QIE143" s="69"/>
      <c r="QIF143" s="69"/>
      <c r="QIG143" s="69"/>
      <c r="QIH143" s="69"/>
      <c r="QII143" s="69"/>
      <c r="QIJ143" s="69"/>
      <c r="QIK143" s="69"/>
      <c r="QIL143" s="69"/>
      <c r="QIM143" s="69"/>
      <c r="QIN143" s="69"/>
      <c r="QIO143" s="69"/>
      <c r="QIP143" s="69"/>
      <c r="QIQ143" s="69"/>
      <c r="QIR143" s="69"/>
      <c r="QIS143" s="69"/>
      <c r="QIT143" s="69"/>
      <c r="QIU143" s="69"/>
      <c r="QIV143" s="69"/>
      <c r="QIW143" s="69"/>
      <c r="QIX143" s="69"/>
      <c r="QIY143" s="69"/>
      <c r="QIZ143" s="69"/>
      <c r="QJA143" s="69"/>
      <c r="QJB143" s="69"/>
      <c r="QJC143" s="69"/>
      <c r="QJD143" s="69"/>
      <c r="QJE143" s="69"/>
      <c r="QJF143" s="69"/>
      <c r="QJG143" s="69"/>
      <c r="QJH143" s="69"/>
      <c r="QJI143" s="69"/>
      <c r="QJJ143" s="69"/>
      <c r="QJK143" s="69"/>
      <c r="QJL143" s="69"/>
      <c r="QJM143" s="69"/>
      <c r="QJN143" s="69"/>
      <c r="QJO143" s="69"/>
      <c r="QJP143" s="69"/>
      <c r="QJQ143" s="69"/>
      <c r="QJR143" s="69"/>
      <c r="QJS143" s="69"/>
      <c r="QJT143" s="69"/>
      <c r="QJU143" s="69"/>
      <c r="QJV143" s="69"/>
      <c r="QJW143" s="69"/>
      <c r="QJX143" s="69"/>
      <c r="QJY143" s="69"/>
      <c r="QJZ143" s="69"/>
      <c r="QKA143" s="69"/>
      <c r="QKB143" s="69"/>
      <c r="QKC143" s="69"/>
      <c r="QKD143" s="69"/>
      <c r="QKE143" s="69"/>
      <c r="QKF143" s="69"/>
      <c r="QKG143" s="69"/>
      <c r="QKH143" s="69"/>
      <c r="QKI143" s="69"/>
      <c r="QKJ143" s="69"/>
      <c r="QKK143" s="69"/>
      <c r="QKL143" s="69"/>
      <c r="QKM143" s="69"/>
      <c r="QKN143" s="69"/>
      <c r="QKO143" s="69"/>
      <c r="QKP143" s="69"/>
      <c r="QKQ143" s="69"/>
      <c r="QKR143" s="69"/>
      <c r="QKS143" s="69"/>
      <c r="QKT143" s="69"/>
      <c r="QKU143" s="69"/>
      <c r="QKV143" s="69"/>
      <c r="QKW143" s="69"/>
      <c r="QKX143" s="69"/>
      <c r="QKY143" s="69"/>
      <c r="QKZ143" s="69"/>
      <c r="QLA143" s="69"/>
      <c r="QLB143" s="69"/>
      <c r="QLC143" s="69"/>
      <c r="QLD143" s="69"/>
      <c r="QLE143" s="69"/>
      <c r="QLF143" s="69"/>
      <c r="QLG143" s="69"/>
      <c r="QLH143" s="69"/>
      <c r="QLI143" s="69"/>
      <c r="QLJ143" s="69"/>
      <c r="QLK143" s="69"/>
      <c r="QLL143" s="69"/>
      <c r="QLM143" s="69"/>
      <c r="QLN143" s="69"/>
      <c r="QLO143" s="69"/>
      <c r="QLP143" s="69"/>
      <c r="QLQ143" s="69"/>
      <c r="QLR143" s="69"/>
      <c r="QLS143" s="69"/>
      <c r="QLT143" s="69"/>
      <c r="QLU143" s="69"/>
      <c r="QLV143" s="69"/>
      <c r="QLW143" s="69"/>
      <c r="QLX143" s="69"/>
      <c r="QLY143" s="69"/>
      <c r="QLZ143" s="69"/>
      <c r="QMA143" s="69"/>
      <c r="QMB143" s="69"/>
      <c r="QMC143" s="69"/>
      <c r="QMD143" s="69"/>
      <c r="QME143" s="69"/>
      <c r="QMF143" s="69"/>
      <c r="QMG143" s="69"/>
      <c r="QMH143" s="69"/>
      <c r="QMI143" s="69"/>
      <c r="QMJ143" s="69"/>
      <c r="QMK143" s="69"/>
      <c r="QML143" s="69"/>
      <c r="QMM143" s="69"/>
      <c r="QMN143" s="69"/>
      <c r="QMO143" s="69"/>
      <c r="QMP143" s="69"/>
      <c r="QMQ143" s="69"/>
      <c r="QMR143" s="69"/>
      <c r="QMS143" s="69"/>
      <c r="QMT143" s="69"/>
      <c r="QMU143" s="69"/>
      <c r="QMV143" s="69"/>
      <c r="QMW143" s="69"/>
      <c r="QMX143" s="69"/>
      <c r="QMY143" s="69"/>
      <c r="QMZ143" s="69"/>
      <c r="QNA143" s="69"/>
      <c r="QNB143" s="69"/>
      <c r="QNC143" s="69"/>
      <c r="QND143" s="69"/>
      <c r="QNE143" s="69"/>
      <c r="QNF143" s="69"/>
      <c r="QNG143" s="69"/>
      <c r="QNH143" s="69"/>
      <c r="QNI143" s="69"/>
      <c r="QNJ143" s="69"/>
      <c r="QNK143" s="69"/>
      <c r="QNL143" s="69"/>
      <c r="QNM143" s="69"/>
      <c r="QNN143" s="69"/>
      <c r="QNO143" s="69"/>
      <c r="QNP143" s="69"/>
      <c r="QNQ143" s="69"/>
      <c r="QNR143" s="69"/>
      <c r="QNS143" s="69"/>
      <c r="QNT143" s="69"/>
      <c r="QNU143" s="69"/>
      <c r="QNV143" s="69"/>
      <c r="QNW143" s="69"/>
      <c r="QNX143" s="69"/>
      <c r="QNY143" s="69"/>
      <c r="QNZ143" s="69"/>
      <c r="QOA143" s="69"/>
      <c r="QOB143" s="69"/>
      <c r="QOC143" s="69"/>
      <c r="QOD143" s="69"/>
      <c r="QOE143" s="69"/>
      <c r="QOF143" s="69"/>
      <c r="QOG143" s="69"/>
      <c r="QOH143" s="69"/>
      <c r="QOI143" s="69"/>
      <c r="QOJ143" s="69"/>
      <c r="QOK143" s="69"/>
      <c r="QOL143" s="69"/>
      <c r="QOM143" s="69"/>
      <c r="QON143" s="69"/>
      <c r="QOO143" s="69"/>
      <c r="QOP143" s="69"/>
      <c r="QOQ143" s="69"/>
      <c r="QOR143" s="69"/>
      <c r="QOS143" s="69"/>
      <c r="QOT143" s="69"/>
      <c r="QOU143" s="69"/>
      <c r="QOV143" s="69"/>
      <c r="QOW143" s="69"/>
      <c r="QOX143" s="69"/>
      <c r="QOY143" s="69"/>
      <c r="QOZ143" s="69"/>
      <c r="QPA143" s="69"/>
      <c r="QPB143" s="69"/>
      <c r="QPC143" s="69"/>
      <c r="QPD143" s="69"/>
      <c r="QPE143" s="69"/>
      <c r="QPF143" s="69"/>
      <c r="QPG143" s="69"/>
      <c r="QPH143" s="69"/>
      <c r="QPI143" s="69"/>
      <c r="QPJ143" s="69"/>
      <c r="QPK143" s="69"/>
      <c r="QPL143" s="69"/>
      <c r="QPM143" s="69"/>
      <c r="QPN143" s="69"/>
      <c r="QPO143" s="69"/>
      <c r="QPP143" s="69"/>
      <c r="QPQ143" s="69"/>
      <c r="QPR143" s="69"/>
      <c r="QPS143" s="69"/>
      <c r="QPT143" s="69"/>
      <c r="QPU143" s="69"/>
      <c r="QPV143" s="69"/>
      <c r="QPW143" s="69"/>
      <c r="QPX143" s="69"/>
      <c r="QPY143" s="69"/>
      <c r="QPZ143" s="69"/>
      <c r="QQA143" s="69"/>
      <c r="QQB143" s="69"/>
      <c r="QQC143" s="69"/>
      <c r="QQD143" s="69"/>
      <c r="QQE143" s="69"/>
      <c r="QQF143" s="69"/>
      <c r="QQG143" s="69"/>
      <c r="QQH143" s="69"/>
      <c r="QQI143" s="69"/>
      <c r="QQJ143" s="69"/>
      <c r="QQK143" s="69"/>
      <c r="QQL143" s="69"/>
      <c r="QQM143" s="69"/>
      <c r="QQN143" s="69"/>
      <c r="QQO143" s="69"/>
      <c r="QQP143" s="69"/>
      <c r="QQQ143" s="69"/>
      <c r="QQR143" s="69"/>
      <c r="QQS143" s="69"/>
      <c r="QQT143" s="69"/>
      <c r="QQU143" s="69"/>
      <c r="QQV143" s="69"/>
      <c r="QQW143" s="69"/>
      <c r="QQX143" s="69"/>
      <c r="QQY143" s="69"/>
      <c r="QQZ143" s="69"/>
      <c r="QRA143" s="69"/>
      <c r="QRB143" s="69"/>
      <c r="QRC143" s="69"/>
      <c r="QRD143" s="69"/>
      <c r="QRE143" s="69"/>
      <c r="QRF143" s="69"/>
      <c r="QRG143" s="69"/>
      <c r="QRH143" s="69"/>
      <c r="QRI143" s="69"/>
      <c r="QRJ143" s="69"/>
      <c r="QRK143" s="69"/>
      <c r="QRL143" s="69"/>
      <c r="QRM143" s="69"/>
      <c r="QRN143" s="69"/>
      <c r="QRO143" s="69"/>
      <c r="QRP143" s="69"/>
      <c r="QRQ143" s="69"/>
      <c r="QRR143" s="69"/>
      <c r="QRS143" s="69"/>
      <c r="QRT143" s="69"/>
      <c r="QRU143" s="69"/>
      <c r="QRV143" s="69"/>
      <c r="QRW143" s="69"/>
      <c r="QRX143" s="69"/>
      <c r="QRY143" s="69"/>
      <c r="QRZ143" s="69"/>
      <c r="QSA143" s="69"/>
      <c r="QSB143" s="69"/>
      <c r="QSC143" s="69"/>
      <c r="QSD143" s="69"/>
      <c r="QSE143" s="69"/>
      <c r="QSF143" s="69"/>
      <c r="QSG143" s="69"/>
      <c r="QSH143" s="69"/>
      <c r="QSI143" s="69"/>
      <c r="QSJ143" s="69"/>
      <c r="QSK143" s="69"/>
      <c r="QSL143" s="69"/>
      <c r="QSM143" s="69"/>
      <c r="QSN143" s="69"/>
      <c r="QSO143" s="69"/>
      <c r="QSP143" s="69"/>
      <c r="QSQ143" s="69"/>
      <c r="QSR143" s="69"/>
      <c r="QSS143" s="69"/>
      <c r="QST143" s="69"/>
      <c r="QSU143" s="69"/>
      <c r="QSV143" s="69"/>
      <c r="QSW143" s="69"/>
      <c r="QSX143" s="69"/>
      <c r="QSY143" s="69"/>
      <c r="QSZ143" s="69"/>
      <c r="QTA143" s="69"/>
      <c r="QTB143" s="69"/>
      <c r="QTC143" s="69"/>
      <c r="QTD143" s="69"/>
      <c r="QTE143" s="69"/>
      <c r="QTF143" s="69"/>
      <c r="QTG143" s="69"/>
      <c r="QTH143" s="69"/>
      <c r="QTI143" s="69"/>
      <c r="QTJ143" s="69"/>
      <c r="QTK143" s="69"/>
      <c r="QTL143" s="69"/>
      <c r="QTM143" s="69"/>
      <c r="QTN143" s="69"/>
      <c r="QTO143" s="69"/>
      <c r="QTP143" s="69"/>
      <c r="QTQ143" s="69"/>
      <c r="QTR143" s="69"/>
      <c r="QTS143" s="69"/>
      <c r="QTT143" s="69"/>
      <c r="QTU143" s="69"/>
      <c r="QTV143" s="69"/>
      <c r="QTW143" s="69"/>
      <c r="QTX143" s="69"/>
      <c r="QTY143" s="69"/>
      <c r="QTZ143" s="69"/>
      <c r="QUA143" s="69"/>
      <c r="QUB143" s="69"/>
      <c r="QUC143" s="69"/>
      <c r="QUD143" s="69"/>
      <c r="QUE143" s="69"/>
      <c r="QUF143" s="69"/>
      <c r="QUG143" s="69"/>
      <c r="QUH143" s="69"/>
      <c r="QUI143" s="69"/>
      <c r="QUJ143" s="69"/>
      <c r="QUK143" s="69"/>
      <c r="QUL143" s="69"/>
      <c r="QUM143" s="69"/>
      <c r="QUN143" s="69"/>
      <c r="QUO143" s="69"/>
      <c r="QUP143" s="69"/>
      <c r="QUQ143" s="69"/>
      <c r="QUR143" s="69"/>
      <c r="QUS143" s="69"/>
      <c r="QUT143" s="69"/>
      <c r="QUU143" s="69"/>
      <c r="QUV143" s="69"/>
      <c r="QUW143" s="69"/>
      <c r="QUX143" s="69"/>
      <c r="QUY143" s="69"/>
      <c r="QUZ143" s="69"/>
      <c r="QVA143" s="69"/>
      <c r="QVB143" s="69"/>
      <c r="QVC143" s="69"/>
      <c r="QVD143" s="69"/>
      <c r="QVE143" s="69"/>
      <c r="QVF143" s="69"/>
      <c r="QVG143" s="69"/>
      <c r="QVH143" s="69"/>
      <c r="QVI143" s="69"/>
      <c r="QVJ143" s="69"/>
      <c r="QVK143" s="69"/>
      <c r="QVL143" s="69"/>
      <c r="QVM143" s="69"/>
      <c r="QVN143" s="69"/>
      <c r="QVO143" s="69"/>
      <c r="QVP143" s="69"/>
      <c r="QVQ143" s="69"/>
      <c r="QVR143" s="69"/>
      <c r="QVS143" s="69"/>
      <c r="QVT143" s="69"/>
      <c r="QVU143" s="69"/>
      <c r="QVV143" s="69"/>
      <c r="QVW143" s="69"/>
      <c r="QVX143" s="69"/>
      <c r="QVY143" s="69"/>
      <c r="QVZ143" s="69"/>
      <c r="QWA143" s="69"/>
      <c r="QWB143" s="69"/>
      <c r="QWC143" s="69"/>
      <c r="QWD143" s="69"/>
      <c r="QWE143" s="69"/>
      <c r="QWF143" s="69"/>
      <c r="QWG143" s="69"/>
      <c r="QWH143" s="69"/>
      <c r="QWI143" s="69"/>
      <c r="QWJ143" s="69"/>
      <c r="QWK143" s="69"/>
      <c r="QWL143" s="69"/>
      <c r="QWM143" s="69"/>
      <c r="QWN143" s="69"/>
      <c r="QWO143" s="69"/>
      <c r="QWP143" s="69"/>
      <c r="QWQ143" s="69"/>
      <c r="QWR143" s="69"/>
      <c r="QWS143" s="69"/>
      <c r="QWT143" s="69"/>
      <c r="QWU143" s="69"/>
      <c r="QWV143" s="69"/>
      <c r="QWW143" s="69"/>
      <c r="QWX143" s="69"/>
      <c r="QWY143" s="69"/>
      <c r="QWZ143" s="69"/>
      <c r="QXA143" s="69"/>
      <c r="QXB143" s="69"/>
      <c r="QXC143" s="69"/>
      <c r="QXD143" s="69"/>
      <c r="QXE143" s="69"/>
      <c r="QXF143" s="69"/>
      <c r="QXG143" s="69"/>
      <c r="QXH143" s="69"/>
      <c r="QXI143" s="69"/>
      <c r="QXJ143" s="69"/>
      <c r="QXK143" s="69"/>
      <c r="QXL143" s="69"/>
      <c r="QXM143" s="69"/>
      <c r="QXN143" s="69"/>
      <c r="QXO143" s="69"/>
      <c r="QXP143" s="69"/>
      <c r="QXQ143" s="69"/>
      <c r="QXR143" s="69"/>
      <c r="QXS143" s="69"/>
      <c r="QXT143" s="69"/>
      <c r="QXU143" s="69"/>
      <c r="QXV143" s="69"/>
      <c r="QXW143" s="69"/>
      <c r="QXX143" s="69"/>
      <c r="QXY143" s="69"/>
      <c r="QXZ143" s="69"/>
      <c r="QYA143" s="69"/>
      <c r="QYB143" s="69"/>
      <c r="QYC143" s="69"/>
      <c r="QYD143" s="69"/>
      <c r="QYE143" s="69"/>
      <c r="QYF143" s="69"/>
      <c r="QYG143" s="69"/>
      <c r="QYH143" s="69"/>
      <c r="QYI143" s="69"/>
      <c r="QYJ143" s="69"/>
      <c r="QYK143" s="69"/>
      <c r="QYL143" s="69"/>
      <c r="QYM143" s="69"/>
      <c r="QYN143" s="69"/>
      <c r="QYO143" s="69"/>
      <c r="QYP143" s="69"/>
      <c r="QYQ143" s="69"/>
      <c r="QYR143" s="69"/>
      <c r="QYS143" s="69"/>
      <c r="QYT143" s="69"/>
      <c r="QYU143" s="69"/>
      <c r="QYV143" s="69"/>
      <c r="QYW143" s="69"/>
      <c r="QYX143" s="69"/>
      <c r="QYY143" s="69"/>
      <c r="QYZ143" s="69"/>
      <c r="QZA143" s="69"/>
      <c r="QZB143" s="69"/>
      <c r="QZC143" s="69"/>
      <c r="QZD143" s="69"/>
      <c r="QZE143" s="69"/>
      <c r="QZF143" s="69"/>
      <c r="QZG143" s="69"/>
      <c r="QZH143" s="69"/>
      <c r="QZI143" s="69"/>
      <c r="QZJ143" s="69"/>
      <c r="QZK143" s="69"/>
      <c r="QZL143" s="69"/>
      <c r="QZM143" s="69"/>
      <c r="QZN143" s="69"/>
      <c r="QZO143" s="69"/>
      <c r="QZP143" s="69"/>
      <c r="QZQ143" s="69"/>
      <c r="QZR143" s="69"/>
      <c r="QZS143" s="69"/>
      <c r="QZT143" s="69"/>
      <c r="QZU143" s="69"/>
      <c r="QZV143" s="69"/>
      <c r="QZW143" s="69"/>
      <c r="QZX143" s="69"/>
      <c r="QZY143" s="69"/>
      <c r="QZZ143" s="69"/>
      <c r="RAA143" s="69"/>
      <c r="RAB143" s="69"/>
      <c r="RAC143" s="69"/>
      <c r="RAD143" s="69"/>
      <c r="RAE143" s="69"/>
      <c r="RAF143" s="69"/>
      <c r="RAG143" s="69"/>
      <c r="RAH143" s="69"/>
      <c r="RAI143" s="69"/>
      <c r="RAJ143" s="69"/>
      <c r="RAK143" s="69"/>
      <c r="RAL143" s="69"/>
      <c r="RAM143" s="69"/>
      <c r="RAN143" s="69"/>
      <c r="RAO143" s="69"/>
      <c r="RAP143" s="69"/>
      <c r="RAQ143" s="69"/>
      <c r="RAR143" s="69"/>
      <c r="RAS143" s="69"/>
      <c r="RAT143" s="69"/>
      <c r="RAU143" s="69"/>
      <c r="RAV143" s="69"/>
      <c r="RAW143" s="69"/>
      <c r="RAX143" s="69"/>
      <c r="RAY143" s="69"/>
      <c r="RAZ143" s="69"/>
      <c r="RBA143" s="69"/>
      <c r="RBB143" s="69"/>
      <c r="RBC143" s="69"/>
      <c r="RBD143" s="69"/>
      <c r="RBE143" s="69"/>
      <c r="RBF143" s="69"/>
      <c r="RBG143" s="69"/>
      <c r="RBH143" s="69"/>
      <c r="RBI143" s="69"/>
      <c r="RBJ143" s="69"/>
      <c r="RBK143" s="69"/>
      <c r="RBL143" s="69"/>
      <c r="RBM143" s="69"/>
      <c r="RBN143" s="69"/>
      <c r="RBO143" s="69"/>
      <c r="RBP143" s="69"/>
      <c r="RBQ143" s="69"/>
      <c r="RBR143" s="69"/>
      <c r="RBS143" s="69"/>
      <c r="RBT143" s="69"/>
      <c r="RBU143" s="69"/>
      <c r="RBV143" s="69"/>
      <c r="RBW143" s="69"/>
      <c r="RBX143" s="69"/>
      <c r="RBY143" s="69"/>
      <c r="RBZ143" s="69"/>
      <c r="RCA143" s="69"/>
      <c r="RCB143" s="69"/>
      <c r="RCC143" s="69"/>
      <c r="RCD143" s="69"/>
      <c r="RCE143" s="69"/>
      <c r="RCF143" s="69"/>
      <c r="RCG143" s="69"/>
      <c r="RCH143" s="69"/>
      <c r="RCI143" s="69"/>
      <c r="RCJ143" s="69"/>
      <c r="RCK143" s="69"/>
      <c r="RCL143" s="69"/>
      <c r="RCM143" s="69"/>
      <c r="RCN143" s="69"/>
      <c r="RCO143" s="69"/>
      <c r="RCP143" s="69"/>
      <c r="RCQ143" s="69"/>
      <c r="RCR143" s="69"/>
      <c r="RCS143" s="69"/>
      <c r="RCT143" s="69"/>
      <c r="RCU143" s="69"/>
      <c r="RCV143" s="69"/>
      <c r="RCW143" s="69"/>
      <c r="RCX143" s="69"/>
      <c r="RCY143" s="69"/>
      <c r="RCZ143" s="69"/>
      <c r="RDA143" s="69"/>
      <c r="RDB143" s="69"/>
      <c r="RDC143" s="69"/>
      <c r="RDD143" s="69"/>
      <c r="RDE143" s="69"/>
      <c r="RDF143" s="69"/>
      <c r="RDG143" s="69"/>
      <c r="RDH143" s="69"/>
      <c r="RDI143" s="69"/>
      <c r="RDJ143" s="69"/>
      <c r="RDK143" s="69"/>
      <c r="RDL143" s="69"/>
      <c r="RDM143" s="69"/>
      <c r="RDN143" s="69"/>
      <c r="RDO143" s="69"/>
      <c r="RDP143" s="69"/>
      <c r="RDQ143" s="69"/>
      <c r="RDR143" s="69"/>
      <c r="RDS143" s="69"/>
      <c r="RDT143" s="69"/>
      <c r="RDU143" s="69"/>
      <c r="RDV143" s="69"/>
      <c r="RDW143" s="69"/>
      <c r="RDX143" s="69"/>
      <c r="RDY143" s="69"/>
      <c r="RDZ143" s="69"/>
      <c r="REA143" s="69"/>
      <c r="REB143" s="69"/>
      <c r="REC143" s="69"/>
      <c r="RED143" s="69"/>
      <c r="REE143" s="69"/>
      <c r="REF143" s="69"/>
      <c r="REG143" s="69"/>
      <c r="REH143" s="69"/>
      <c r="REI143" s="69"/>
      <c r="REJ143" s="69"/>
      <c r="REK143" s="69"/>
      <c r="REL143" s="69"/>
      <c r="REM143" s="69"/>
      <c r="REN143" s="69"/>
      <c r="REO143" s="69"/>
      <c r="REP143" s="69"/>
      <c r="REQ143" s="69"/>
      <c r="RER143" s="69"/>
      <c r="RES143" s="69"/>
      <c r="RET143" s="69"/>
      <c r="REU143" s="69"/>
      <c r="REV143" s="69"/>
      <c r="REW143" s="69"/>
      <c r="REX143" s="69"/>
      <c r="REY143" s="69"/>
      <c r="REZ143" s="69"/>
      <c r="RFA143" s="69"/>
      <c r="RFB143" s="69"/>
      <c r="RFC143" s="69"/>
      <c r="RFD143" s="69"/>
      <c r="RFE143" s="69"/>
      <c r="RFF143" s="69"/>
      <c r="RFG143" s="69"/>
      <c r="RFH143" s="69"/>
      <c r="RFI143" s="69"/>
      <c r="RFJ143" s="69"/>
      <c r="RFK143" s="69"/>
      <c r="RFL143" s="69"/>
      <c r="RFM143" s="69"/>
      <c r="RFN143" s="69"/>
      <c r="RFO143" s="69"/>
      <c r="RFP143" s="69"/>
      <c r="RFQ143" s="69"/>
      <c r="RFR143" s="69"/>
      <c r="RFS143" s="69"/>
      <c r="RFT143" s="69"/>
      <c r="RFU143" s="69"/>
      <c r="RFV143" s="69"/>
      <c r="RFW143" s="69"/>
      <c r="RFX143" s="69"/>
      <c r="RFY143" s="69"/>
      <c r="RFZ143" s="69"/>
      <c r="RGA143" s="69"/>
      <c r="RGB143" s="69"/>
      <c r="RGC143" s="69"/>
      <c r="RGD143" s="69"/>
      <c r="RGE143" s="69"/>
      <c r="RGF143" s="69"/>
      <c r="RGG143" s="69"/>
      <c r="RGH143" s="69"/>
      <c r="RGI143" s="69"/>
      <c r="RGJ143" s="69"/>
      <c r="RGK143" s="69"/>
      <c r="RGL143" s="69"/>
      <c r="RGM143" s="69"/>
      <c r="RGN143" s="69"/>
      <c r="RGO143" s="69"/>
      <c r="RGP143" s="69"/>
      <c r="RGQ143" s="69"/>
      <c r="RGR143" s="69"/>
      <c r="RGS143" s="69"/>
      <c r="RGT143" s="69"/>
      <c r="RGU143" s="69"/>
      <c r="RGV143" s="69"/>
      <c r="RGW143" s="69"/>
      <c r="RGX143" s="69"/>
      <c r="RGY143" s="69"/>
      <c r="RGZ143" s="69"/>
      <c r="RHA143" s="69"/>
      <c r="RHB143" s="69"/>
      <c r="RHC143" s="69"/>
      <c r="RHD143" s="69"/>
      <c r="RHE143" s="69"/>
      <c r="RHF143" s="69"/>
      <c r="RHG143" s="69"/>
      <c r="RHH143" s="69"/>
      <c r="RHI143" s="69"/>
      <c r="RHJ143" s="69"/>
      <c r="RHK143" s="69"/>
      <c r="RHL143" s="69"/>
      <c r="RHM143" s="69"/>
      <c r="RHN143" s="69"/>
      <c r="RHO143" s="69"/>
      <c r="RHP143" s="69"/>
      <c r="RHQ143" s="69"/>
      <c r="RHR143" s="69"/>
      <c r="RHS143" s="69"/>
      <c r="RHT143" s="69"/>
      <c r="RHU143" s="69"/>
      <c r="RHV143" s="69"/>
      <c r="RHW143" s="69"/>
      <c r="RHX143" s="69"/>
      <c r="RHY143" s="69"/>
      <c r="RHZ143" s="69"/>
      <c r="RIA143" s="69"/>
      <c r="RIB143" s="69"/>
      <c r="RIC143" s="69"/>
      <c r="RID143" s="69"/>
      <c r="RIE143" s="69"/>
      <c r="RIF143" s="69"/>
      <c r="RIG143" s="69"/>
      <c r="RIH143" s="69"/>
      <c r="RII143" s="69"/>
      <c r="RIJ143" s="69"/>
      <c r="RIK143" s="69"/>
      <c r="RIL143" s="69"/>
      <c r="RIM143" s="69"/>
      <c r="RIN143" s="69"/>
      <c r="RIO143" s="69"/>
      <c r="RIP143" s="69"/>
      <c r="RIQ143" s="69"/>
      <c r="RIR143" s="69"/>
      <c r="RIS143" s="69"/>
      <c r="RIT143" s="69"/>
      <c r="RIU143" s="69"/>
      <c r="RIV143" s="69"/>
      <c r="RIW143" s="69"/>
      <c r="RIX143" s="69"/>
      <c r="RIY143" s="69"/>
      <c r="RIZ143" s="69"/>
      <c r="RJA143" s="69"/>
      <c r="RJB143" s="69"/>
      <c r="RJC143" s="69"/>
      <c r="RJD143" s="69"/>
      <c r="RJE143" s="69"/>
      <c r="RJF143" s="69"/>
      <c r="RJG143" s="69"/>
      <c r="RJH143" s="69"/>
      <c r="RJI143" s="69"/>
      <c r="RJJ143" s="69"/>
      <c r="RJK143" s="69"/>
      <c r="RJL143" s="69"/>
      <c r="RJM143" s="69"/>
      <c r="RJN143" s="69"/>
      <c r="RJO143" s="69"/>
      <c r="RJP143" s="69"/>
      <c r="RJQ143" s="69"/>
      <c r="RJR143" s="69"/>
      <c r="RJS143" s="69"/>
      <c r="RJT143" s="69"/>
      <c r="RJU143" s="69"/>
      <c r="RJV143" s="69"/>
      <c r="RJW143" s="69"/>
      <c r="RJX143" s="69"/>
      <c r="RJY143" s="69"/>
      <c r="RJZ143" s="69"/>
      <c r="RKA143" s="69"/>
      <c r="RKB143" s="69"/>
      <c r="RKC143" s="69"/>
      <c r="RKD143" s="69"/>
      <c r="RKE143" s="69"/>
      <c r="RKF143" s="69"/>
      <c r="RKG143" s="69"/>
      <c r="RKH143" s="69"/>
      <c r="RKI143" s="69"/>
      <c r="RKJ143" s="69"/>
      <c r="RKK143" s="69"/>
      <c r="RKL143" s="69"/>
      <c r="RKM143" s="69"/>
      <c r="RKN143" s="69"/>
      <c r="RKO143" s="69"/>
      <c r="RKP143" s="69"/>
      <c r="RKQ143" s="69"/>
      <c r="RKR143" s="69"/>
      <c r="RKS143" s="69"/>
      <c r="RKT143" s="69"/>
      <c r="RKU143" s="69"/>
      <c r="RKV143" s="69"/>
      <c r="RKW143" s="69"/>
      <c r="RKX143" s="69"/>
      <c r="RKY143" s="69"/>
      <c r="RKZ143" s="69"/>
      <c r="RLA143" s="69"/>
      <c r="RLB143" s="69"/>
      <c r="RLC143" s="69"/>
      <c r="RLD143" s="69"/>
      <c r="RLE143" s="69"/>
      <c r="RLF143" s="69"/>
      <c r="RLG143" s="69"/>
      <c r="RLH143" s="69"/>
      <c r="RLI143" s="69"/>
      <c r="RLJ143" s="69"/>
      <c r="RLK143" s="69"/>
      <c r="RLL143" s="69"/>
      <c r="RLM143" s="69"/>
      <c r="RLN143" s="69"/>
      <c r="RLO143" s="69"/>
      <c r="RLP143" s="69"/>
      <c r="RLQ143" s="69"/>
      <c r="RLR143" s="69"/>
      <c r="RLS143" s="69"/>
      <c r="RLT143" s="69"/>
      <c r="RLU143" s="69"/>
      <c r="RLV143" s="69"/>
      <c r="RLW143" s="69"/>
      <c r="RLX143" s="69"/>
      <c r="RLY143" s="69"/>
      <c r="RLZ143" s="69"/>
      <c r="RMA143" s="69"/>
      <c r="RMB143" s="69"/>
      <c r="RMC143" s="69"/>
      <c r="RMD143" s="69"/>
      <c r="RME143" s="69"/>
      <c r="RMF143" s="69"/>
      <c r="RMG143" s="69"/>
      <c r="RMH143" s="69"/>
      <c r="RMI143" s="69"/>
      <c r="RMJ143" s="69"/>
      <c r="RMK143" s="69"/>
      <c r="RML143" s="69"/>
      <c r="RMM143" s="69"/>
      <c r="RMN143" s="69"/>
      <c r="RMO143" s="69"/>
      <c r="RMP143" s="69"/>
      <c r="RMQ143" s="69"/>
      <c r="RMR143" s="69"/>
      <c r="RMS143" s="69"/>
      <c r="RMT143" s="69"/>
      <c r="RMU143" s="69"/>
      <c r="RMV143" s="69"/>
      <c r="RMW143" s="69"/>
      <c r="RMX143" s="69"/>
      <c r="RMY143" s="69"/>
      <c r="RMZ143" s="69"/>
      <c r="RNA143" s="69"/>
      <c r="RNB143" s="69"/>
      <c r="RNC143" s="69"/>
      <c r="RND143" s="69"/>
      <c r="RNE143" s="69"/>
      <c r="RNF143" s="69"/>
      <c r="RNG143" s="69"/>
      <c r="RNH143" s="69"/>
      <c r="RNI143" s="69"/>
      <c r="RNJ143" s="69"/>
      <c r="RNK143" s="69"/>
      <c r="RNL143" s="69"/>
      <c r="RNM143" s="69"/>
      <c r="RNN143" s="69"/>
      <c r="RNO143" s="69"/>
      <c r="RNP143" s="69"/>
      <c r="RNQ143" s="69"/>
      <c r="RNR143" s="69"/>
      <c r="RNS143" s="69"/>
      <c r="RNT143" s="69"/>
      <c r="RNU143" s="69"/>
      <c r="RNV143" s="69"/>
      <c r="RNW143" s="69"/>
      <c r="RNX143" s="69"/>
      <c r="RNY143" s="69"/>
      <c r="RNZ143" s="69"/>
      <c r="ROA143" s="69"/>
      <c r="ROB143" s="69"/>
      <c r="ROC143" s="69"/>
      <c r="ROD143" s="69"/>
      <c r="ROE143" s="69"/>
      <c r="ROF143" s="69"/>
      <c r="ROG143" s="69"/>
      <c r="ROH143" s="69"/>
      <c r="ROI143" s="69"/>
      <c r="ROJ143" s="69"/>
      <c r="ROK143" s="69"/>
      <c r="ROL143" s="69"/>
      <c r="ROM143" s="69"/>
      <c r="RON143" s="69"/>
      <c r="ROO143" s="69"/>
      <c r="ROP143" s="69"/>
      <c r="ROQ143" s="69"/>
      <c r="ROR143" s="69"/>
      <c r="ROS143" s="69"/>
      <c r="ROT143" s="69"/>
      <c r="ROU143" s="69"/>
      <c r="ROV143" s="69"/>
      <c r="ROW143" s="69"/>
      <c r="ROX143" s="69"/>
      <c r="ROY143" s="69"/>
      <c r="ROZ143" s="69"/>
      <c r="RPA143" s="69"/>
      <c r="RPB143" s="69"/>
      <c r="RPC143" s="69"/>
      <c r="RPD143" s="69"/>
      <c r="RPE143" s="69"/>
      <c r="RPF143" s="69"/>
      <c r="RPG143" s="69"/>
      <c r="RPH143" s="69"/>
      <c r="RPI143" s="69"/>
      <c r="RPJ143" s="69"/>
      <c r="RPK143" s="69"/>
      <c r="RPL143" s="69"/>
      <c r="RPM143" s="69"/>
      <c r="RPN143" s="69"/>
      <c r="RPO143" s="69"/>
      <c r="RPP143" s="69"/>
      <c r="RPQ143" s="69"/>
      <c r="RPR143" s="69"/>
      <c r="RPS143" s="69"/>
      <c r="RPT143" s="69"/>
      <c r="RPU143" s="69"/>
      <c r="RPV143" s="69"/>
      <c r="RPW143" s="69"/>
      <c r="RPX143" s="69"/>
      <c r="RPY143" s="69"/>
      <c r="RPZ143" s="69"/>
      <c r="RQA143" s="69"/>
      <c r="RQB143" s="69"/>
      <c r="RQC143" s="69"/>
      <c r="RQD143" s="69"/>
      <c r="RQE143" s="69"/>
      <c r="RQF143" s="69"/>
      <c r="RQG143" s="69"/>
      <c r="RQH143" s="69"/>
      <c r="RQI143" s="69"/>
      <c r="RQJ143" s="69"/>
      <c r="RQK143" s="69"/>
      <c r="RQL143" s="69"/>
      <c r="RQM143" s="69"/>
      <c r="RQN143" s="69"/>
      <c r="RQO143" s="69"/>
      <c r="RQP143" s="69"/>
      <c r="RQQ143" s="69"/>
      <c r="RQR143" s="69"/>
      <c r="RQS143" s="69"/>
      <c r="RQT143" s="69"/>
      <c r="RQU143" s="69"/>
      <c r="RQV143" s="69"/>
      <c r="RQW143" s="69"/>
      <c r="RQX143" s="69"/>
      <c r="RQY143" s="69"/>
      <c r="RQZ143" s="69"/>
      <c r="RRA143" s="69"/>
      <c r="RRB143" s="69"/>
      <c r="RRC143" s="69"/>
      <c r="RRD143" s="69"/>
      <c r="RRE143" s="69"/>
      <c r="RRF143" s="69"/>
      <c r="RRG143" s="69"/>
      <c r="RRH143" s="69"/>
      <c r="RRI143" s="69"/>
      <c r="RRJ143" s="69"/>
      <c r="RRK143" s="69"/>
      <c r="RRL143" s="69"/>
      <c r="RRM143" s="69"/>
      <c r="RRN143" s="69"/>
      <c r="RRO143" s="69"/>
      <c r="RRP143" s="69"/>
      <c r="RRQ143" s="69"/>
      <c r="RRR143" s="69"/>
      <c r="RRS143" s="69"/>
      <c r="RRT143" s="69"/>
      <c r="RRU143" s="69"/>
      <c r="RRV143" s="69"/>
      <c r="RRW143" s="69"/>
      <c r="RRX143" s="69"/>
      <c r="RRY143" s="69"/>
      <c r="RRZ143" s="69"/>
      <c r="RSA143" s="69"/>
      <c r="RSB143" s="69"/>
      <c r="RSC143" s="69"/>
      <c r="RSD143" s="69"/>
      <c r="RSE143" s="69"/>
      <c r="RSF143" s="69"/>
      <c r="RSG143" s="69"/>
      <c r="RSH143" s="69"/>
      <c r="RSI143" s="69"/>
      <c r="RSJ143" s="69"/>
      <c r="RSK143" s="69"/>
      <c r="RSL143" s="69"/>
      <c r="RSM143" s="69"/>
      <c r="RSN143" s="69"/>
      <c r="RSO143" s="69"/>
      <c r="RSP143" s="69"/>
      <c r="RSQ143" s="69"/>
      <c r="RSR143" s="69"/>
      <c r="RSS143" s="69"/>
      <c r="RST143" s="69"/>
      <c r="RSU143" s="69"/>
      <c r="RSV143" s="69"/>
      <c r="RSW143" s="69"/>
      <c r="RSX143" s="69"/>
      <c r="RSY143" s="69"/>
      <c r="RSZ143" s="69"/>
      <c r="RTA143" s="69"/>
      <c r="RTB143" s="69"/>
      <c r="RTC143" s="69"/>
      <c r="RTD143" s="69"/>
      <c r="RTE143" s="69"/>
      <c r="RTF143" s="69"/>
      <c r="RTG143" s="69"/>
      <c r="RTH143" s="69"/>
      <c r="RTI143" s="69"/>
      <c r="RTJ143" s="69"/>
      <c r="RTK143" s="69"/>
      <c r="RTL143" s="69"/>
      <c r="RTM143" s="69"/>
      <c r="RTN143" s="69"/>
      <c r="RTO143" s="69"/>
      <c r="RTP143" s="69"/>
      <c r="RTQ143" s="69"/>
      <c r="RTR143" s="69"/>
      <c r="RTS143" s="69"/>
      <c r="RTT143" s="69"/>
      <c r="RTU143" s="69"/>
      <c r="RTV143" s="69"/>
      <c r="RTW143" s="69"/>
      <c r="RTX143" s="69"/>
      <c r="RTY143" s="69"/>
      <c r="RTZ143" s="69"/>
      <c r="RUA143" s="69"/>
      <c r="RUB143" s="69"/>
      <c r="RUC143" s="69"/>
      <c r="RUD143" s="69"/>
      <c r="RUE143" s="69"/>
      <c r="RUF143" s="69"/>
      <c r="RUG143" s="69"/>
      <c r="RUH143" s="69"/>
      <c r="RUI143" s="69"/>
      <c r="RUJ143" s="69"/>
      <c r="RUK143" s="69"/>
      <c r="RUL143" s="69"/>
      <c r="RUM143" s="69"/>
      <c r="RUN143" s="69"/>
      <c r="RUO143" s="69"/>
      <c r="RUP143" s="69"/>
      <c r="RUQ143" s="69"/>
      <c r="RUR143" s="69"/>
      <c r="RUS143" s="69"/>
      <c r="RUT143" s="69"/>
      <c r="RUU143" s="69"/>
      <c r="RUV143" s="69"/>
      <c r="RUW143" s="69"/>
      <c r="RUX143" s="69"/>
      <c r="RUY143" s="69"/>
      <c r="RUZ143" s="69"/>
      <c r="RVA143" s="69"/>
      <c r="RVB143" s="69"/>
      <c r="RVC143" s="69"/>
      <c r="RVD143" s="69"/>
      <c r="RVE143" s="69"/>
      <c r="RVF143" s="69"/>
      <c r="RVG143" s="69"/>
      <c r="RVH143" s="69"/>
      <c r="RVI143" s="69"/>
      <c r="RVJ143" s="69"/>
      <c r="RVK143" s="69"/>
      <c r="RVL143" s="69"/>
      <c r="RVM143" s="69"/>
      <c r="RVN143" s="69"/>
      <c r="RVO143" s="69"/>
      <c r="RVP143" s="69"/>
      <c r="RVQ143" s="69"/>
      <c r="RVR143" s="69"/>
      <c r="RVS143" s="69"/>
      <c r="RVT143" s="69"/>
      <c r="RVU143" s="69"/>
      <c r="RVV143" s="69"/>
      <c r="RVW143" s="69"/>
      <c r="RVX143" s="69"/>
      <c r="RVY143" s="69"/>
      <c r="RVZ143" s="69"/>
      <c r="RWA143" s="69"/>
      <c r="RWB143" s="69"/>
      <c r="RWC143" s="69"/>
      <c r="RWD143" s="69"/>
      <c r="RWE143" s="69"/>
      <c r="RWF143" s="69"/>
      <c r="RWG143" s="69"/>
      <c r="RWH143" s="69"/>
      <c r="RWI143" s="69"/>
      <c r="RWJ143" s="69"/>
      <c r="RWK143" s="69"/>
      <c r="RWL143" s="69"/>
      <c r="RWM143" s="69"/>
      <c r="RWN143" s="69"/>
      <c r="RWO143" s="69"/>
      <c r="RWP143" s="69"/>
      <c r="RWQ143" s="69"/>
      <c r="RWR143" s="69"/>
      <c r="RWS143" s="69"/>
      <c r="RWT143" s="69"/>
      <c r="RWU143" s="69"/>
      <c r="RWV143" s="69"/>
      <c r="RWW143" s="69"/>
      <c r="RWX143" s="69"/>
      <c r="RWY143" s="69"/>
      <c r="RWZ143" s="69"/>
      <c r="RXA143" s="69"/>
      <c r="RXB143" s="69"/>
      <c r="RXC143" s="69"/>
      <c r="RXD143" s="69"/>
      <c r="RXE143" s="69"/>
      <c r="RXF143" s="69"/>
      <c r="RXG143" s="69"/>
      <c r="RXH143" s="69"/>
      <c r="RXI143" s="69"/>
      <c r="RXJ143" s="69"/>
      <c r="RXK143" s="69"/>
      <c r="RXL143" s="69"/>
      <c r="RXM143" s="69"/>
      <c r="RXN143" s="69"/>
      <c r="RXO143" s="69"/>
      <c r="RXP143" s="69"/>
      <c r="RXQ143" s="69"/>
      <c r="RXR143" s="69"/>
      <c r="RXS143" s="69"/>
      <c r="RXT143" s="69"/>
      <c r="RXU143" s="69"/>
      <c r="RXV143" s="69"/>
      <c r="RXW143" s="69"/>
      <c r="RXX143" s="69"/>
      <c r="RXY143" s="69"/>
      <c r="RXZ143" s="69"/>
      <c r="RYA143" s="69"/>
      <c r="RYB143" s="69"/>
      <c r="RYC143" s="69"/>
      <c r="RYD143" s="69"/>
      <c r="RYE143" s="69"/>
      <c r="RYF143" s="69"/>
      <c r="RYG143" s="69"/>
      <c r="RYH143" s="69"/>
      <c r="RYI143" s="69"/>
      <c r="RYJ143" s="69"/>
      <c r="RYK143" s="69"/>
      <c r="RYL143" s="69"/>
      <c r="RYM143" s="69"/>
      <c r="RYN143" s="69"/>
      <c r="RYO143" s="69"/>
      <c r="RYP143" s="69"/>
      <c r="RYQ143" s="69"/>
      <c r="RYR143" s="69"/>
      <c r="RYS143" s="69"/>
      <c r="RYT143" s="69"/>
      <c r="RYU143" s="69"/>
      <c r="RYV143" s="69"/>
      <c r="RYW143" s="69"/>
      <c r="RYX143" s="69"/>
      <c r="RYY143" s="69"/>
      <c r="RYZ143" s="69"/>
      <c r="RZA143" s="69"/>
      <c r="RZB143" s="69"/>
      <c r="RZC143" s="69"/>
      <c r="RZD143" s="69"/>
      <c r="RZE143" s="69"/>
      <c r="RZF143" s="69"/>
      <c r="RZG143" s="69"/>
      <c r="RZH143" s="69"/>
      <c r="RZI143" s="69"/>
      <c r="RZJ143" s="69"/>
      <c r="RZK143" s="69"/>
      <c r="RZL143" s="69"/>
      <c r="RZM143" s="69"/>
      <c r="RZN143" s="69"/>
      <c r="RZO143" s="69"/>
      <c r="RZP143" s="69"/>
      <c r="RZQ143" s="69"/>
      <c r="RZR143" s="69"/>
      <c r="RZS143" s="69"/>
      <c r="RZT143" s="69"/>
      <c r="RZU143" s="69"/>
      <c r="RZV143" s="69"/>
      <c r="RZW143" s="69"/>
      <c r="RZX143" s="69"/>
      <c r="RZY143" s="69"/>
      <c r="RZZ143" s="69"/>
      <c r="SAA143" s="69"/>
      <c r="SAB143" s="69"/>
      <c r="SAC143" s="69"/>
      <c r="SAD143" s="69"/>
      <c r="SAE143" s="69"/>
      <c r="SAF143" s="69"/>
      <c r="SAG143" s="69"/>
      <c r="SAH143" s="69"/>
      <c r="SAI143" s="69"/>
      <c r="SAJ143" s="69"/>
      <c r="SAK143" s="69"/>
      <c r="SAL143" s="69"/>
      <c r="SAM143" s="69"/>
      <c r="SAN143" s="69"/>
      <c r="SAO143" s="69"/>
      <c r="SAP143" s="69"/>
      <c r="SAQ143" s="69"/>
      <c r="SAR143" s="69"/>
      <c r="SAS143" s="69"/>
      <c r="SAT143" s="69"/>
      <c r="SAU143" s="69"/>
      <c r="SAV143" s="69"/>
      <c r="SAW143" s="69"/>
      <c r="SAX143" s="69"/>
      <c r="SAY143" s="69"/>
      <c r="SAZ143" s="69"/>
      <c r="SBA143" s="69"/>
      <c r="SBB143" s="69"/>
      <c r="SBC143" s="69"/>
      <c r="SBD143" s="69"/>
      <c r="SBE143" s="69"/>
      <c r="SBF143" s="69"/>
      <c r="SBG143" s="69"/>
      <c r="SBH143" s="69"/>
      <c r="SBI143" s="69"/>
      <c r="SBJ143" s="69"/>
      <c r="SBK143" s="69"/>
      <c r="SBL143" s="69"/>
      <c r="SBM143" s="69"/>
      <c r="SBN143" s="69"/>
      <c r="SBO143" s="69"/>
      <c r="SBP143" s="69"/>
      <c r="SBQ143" s="69"/>
      <c r="SBR143" s="69"/>
      <c r="SBS143" s="69"/>
      <c r="SBT143" s="69"/>
      <c r="SBU143" s="69"/>
      <c r="SBV143" s="69"/>
      <c r="SBW143" s="69"/>
      <c r="SBX143" s="69"/>
      <c r="SBY143" s="69"/>
      <c r="SBZ143" s="69"/>
      <c r="SCA143" s="69"/>
      <c r="SCB143" s="69"/>
      <c r="SCC143" s="69"/>
      <c r="SCD143" s="69"/>
      <c r="SCE143" s="69"/>
      <c r="SCF143" s="69"/>
      <c r="SCG143" s="69"/>
      <c r="SCH143" s="69"/>
      <c r="SCI143" s="69"/>
      <c r="SCJ143" s="69"/>
      <c r="SCK143" s="69"/>
      <c r="SCL143" s="69"/>
      <c r="SCM143" s="69"/>
      <c r="SCN143" s="69"/>
      <c r="SCO143" s="69"/>
      <c r="SCP143" s="69"/>
      <c r="SCQ143" s="69"/>
      <c r="SCR143" s="69"/>
      <c r="SCS143" s="69"/>
      <c r="SCT143" s="69"/>
      <c r="SCU143" s="69"/>
      <c r="SCV143" s="69"/>
      <c r="SCW143" s="69"/>
      <c r="SCX143" s="69"/>
      <c r="SCY143" s="69"/>
      <c r="SCZ143" s="69"/>
      <c r="SDA143" s="69"/>
      <c r="SDB143" s="69"/>
      <c r="SDC143" s="69"/>
      <c r="SDD143" s="69"/>
      <c r="SDE143" s="69"/>
      <c r="SDF143" s="69"/>
      <c r="SDG143" s="69"/>
      <c r="SDH143" s="69"/>
      <c r="SDI143" s="69"/>
      <c r="SDJ143" s="69"/>
      <c r="SDK143" s="69"/>
      <c r="SDL143" s="69"/>
      <c r="SDM143" s="69"/>
      <c r="SDN143" s="69"/>
      <c r="SDO143" s="69"/>
      <c r="SDP143" s="69"/>
      <c r="SDQ143" s="69"/>
      <c r="SDR143" s="69"/>
      <c r="SDS143" s="69"/>
      <c r="SDT143" s="69"/>
      <c r="SDU143" s="69"/>
      <c r="SDV143" s="69"/>
      <c r="SDW143" s="69"/>
      <c r="SDX143" s="69"/>
      <c r="SDY143" s="69"/>
      <c r="SDZ143" s="69"/>
      <c r="SEA143" s="69"/>
      <c r="SEB143" s="69"/>
      <c r="SEC143" s="69"/>
      <c r="SED143" s="69"/>
      <c r="SEE143" s="69"/>
      <c r="SEF143" s="69"/>
      <c r="SEG143" s="69"/>
      <c r="SEH143" s="69"/>
      <c r="SEI143" s="69"/>
      <c r="SEJ143" s="69"/>
      <c r="SEK143" s="69"/>
      <c r="SEL143" s="69"/>
      <c r="SEM143" s="69"/>
      <c r="SEN143" s="69"/>
      <c r="SEO143" s="69"/>
      <c r="SEP143" s="69"/>
      <c r="SEQ143" s="69"/>
      <c r="SER143" s="69"/>
      <c r="SES143" s="69"/>
      <c r="SET143" s="69"/>
      <c r="SEU143" s="69"/>
      <c r="SEV143" s="69"/>
      <c r="SEW143" s="69"/>
      <c r="SEX143" s="69"/>
      <c r="SEY143" s="69"/>
      <c r="SEZ143" s="69"/>
      <c r="SFA143" s="69"/>
      <c r="SFB143" s="69"/>
      <c r="SFC143" s="69"/>
      <c r="SFD143" s="69"/>
      <c r="SFE143" s="69"/>
      <c r="SFF143" s="69"/>
      <c r="SFG143" s="69"/>
      <c r="SFH143" s="69"/>
      <c r="SFI143" s="69"/>
      <c r="SFJ143" s="69"/>
      <c r="SFK143" s="69"/>
      <c r="SFL143" s="69"/>
      <c r="SFM143" s="69"/>
      <c r="SFN143" s="69"/>
      <c r="SFO143" s="69"/>
      <c r="SFP143" s="69"/>
      <c r="SFQ143" s="69"/>
      <c r="SFR143" s="69"/>
      <c r="SFS143" s="69"/>
      <c r="SFT143" s="69"/>
      <c r="SFU143" s="69"/>
      <c r="SFV143" s="69"/>
      <c r="SFW143" s="69"/>
      <c r="SFX143" s="69"/>
      <c r="SFY143" s="69"/>
      <c r="SFZ143" s="69"/>
      <c r="SGA143" s="69"/>
      <c r="SGB143" s="69"/>
      <c r="SGC143" s="69"/>
      <c r="SGD143" s="69"/>
      <c r="SGE143" s="69"/>
      <c r="SGF143" s="69"/>
      <c r="SGG143" s="69"/>
      <c r="SGH143" s="69"/>
      <c r="SGI143" s="69"/>
      <c r="SGJ143" s="69"/>
      <c r="SGK143" s="69"/>
      <c r="SGL143" s="69"/>
      <c r="SGM143" s="69"/>
      <c r="SGN143" s="69"/>
      <c r="SGO143" s="69"/>
      <c r="SGP143" s="69"/>
      <c r="SGQ143" s="69"/>
      <c r="SGR143" s="69"/>
      <c r="SGS143" s="69"/>
      <c r="SGT143" s="69"/>
      <c r="SGU143" s="69"/>
      <c r="SGV143" s="69"/>
      <c r="SGW143" s="69"/>
      <c r="SGX143" s="69"/>
      <c r="SGY143" s="69"/>
      <c r="SGZ143" s="69"/>
      <c r="SHA143" s="69"/>
      <c r="SHB143" s="69"/>
      <c r="SHC143" s="69"/>
      <c r="SHD143" s="69"/>
      <c r="SHE143" s="69"/>
      <c r="SHF143" s="69"/>
      <c r="SHG143" s="69"/>
      <c r="SHH143" s="69"/>
      <c r="SHI143" s="69"/>
      <c r="SHJ143" s="69"/>
      <c r="SHK143" s="69"/>
      <c r="SHL143" s="69"/>
      <c r="SHM143" s="69"/>
      <c r="SHN143" s="69"/>
      <c r="SHO143" s="69"/>
      <c r="SHP143" s="69"/>
      <c r="SHQ143" s="69"/>
      <c r="SHR143" s="69"/>
      <c r="SHS143" s="69"/>
      <c r="SHT143" s="69"/>
      <c r="SHU143" s="69"/>
      <c r="SHV143" s="69"/>
      <c r="SHW143" s="69"/>
      <c r="SHX143" s="69"/>
      <c r="SHY143" s="69"/>
      <c r="SHZ143" s="69"/>
      <c r="SIA143" s="69"/>
      <c r="SIB143" s="69"/>
      <c r="SIC143" s="69"/>
      <c r="SID143" s="69"/>
      <c r="SIE143" s="69"/>
      <c r="SIF143" s="69"/>
      <c r="SIG143" s="69"/>
      <c r="SIH143" s="69"/>
      <c r="SII143" s="69"/>
      <c r="SIJ143" s="69"/>
      <c r="SIK143" s="69"/>
      <c r="SIL143" s="69"/>
      <c r="SIM143" s="69"/>
      <c r="SIN143" s="69"/>
      <c r="SIO143" s="69"/>
      <c r="SIP143" s="69"/>
      <c r="SIQ143" s="69"/>
      <c r="SIR143" s="69"/>
      <c r="SIS143" s="69"/>
      <c r="SIT143" s="69"/>
      <c r="SIU143" s="69"/>
      <c r="SIV143" s="69"/>
      <c r="SIW143" s="69"/>
      <c r="SIX143" s="69"/>
      <c r="SIY143" s="69"/>
      <c r="SIZ143" s="69"/>
      <c r="SJA143" s="69"/>
      <c r="SJB143" s="69"/>
      <c r="SJC143" s="69"/>
      <c r="SJD143" s="69"/>
      <c r="SJE143" s="69"/>
      <c r="SJF143" s="69"/>
      <c r="SJG143" s="69"/>
      <c r="SJH143" s="69"/>
      <c r="SJI143" s="69"/>
      <c r="SJJ143" s="69"/>
      <c r="SJK143" s="69"/>
      <c r="SJL143" s="69"/>
      <c r="SJM143" s="69"/>
      <c r="SJN143" s="69"/>
      <c r="SJO143" s="69"/>
      <c r="SJP143" s="69"/>
      <c r="SJQ143" s="69"/>
      <c r="SJR143" s="69"/>
      <c r="SJS143" s="69"/>
      <c r="SJT143" s="69"/>
      <c r="SJU143" s="69"/>
      <c r="SJV143" s="69"/>
      <c r="SJW143" s="69"/>
      <c r="SJX143" s="69"/>
      <c r="SJY143" s="69"/>
      <c r="SJZ143" s="69"/>
      <c r="SKA143" s="69"/>
      <c r="SKB143" s="69"/>
      <c r="SKC143" s="69"/>
      <c r="SKD143" s="69"/>
      <c r="SKE143" s="69"/>
      <c r="SKF143" s="69"/>
      <c r="SKG143" s="69"/>
      <c r="SKH143" s="69"/>
      <c r="SKI143" s="69"/>
      <c r="SKJ143" s="69"/>
      <c r="SKK143" s="69"/>
      <c r="SKL143" s="69"/>
      <c r="SKM143" s="69"/>
      <c r="SKN143" s="69"/>
      <c r="SKO143" s="69"/>
      <c r="SKP143" s="69"/>
      <c r="SKQ143" s="69"/>
      <c r="SKR143" s="69"/>
      <c r="SKS143" s="69"/>
      <c r="SKT143" s="69"/>
      <c r="SKU143" s="69"/>
      <c r="SKV143" s="69"/>
      <c r="SKW143" s="69"/>
      <c r="SKX143" s="69"/>
      <c r="SKY143" s="69"/>
      <c r="SKZ143" s="69"/>
      <c r="SLA143" s="69"/>
      <c r="SLB143" s="69"/>
      <c r="SLC143" s="69"/>
      <c r="SLD143" s="69"/>
      <c r="SLE143" s="69"/>
      <c r="SLF143" s="69"/>
      <c r="SLG143" s="69"/>
      <c r="SLH143" s="69"/>
      <c r="SLI143" s="69"/>
      <c r="SLJ143" s="69"/>
      <c r="SLK143" s="69"/>
      <c r="SLL143" s="69"/>
      <c r="SLM143" s="69"/>
      <c r="SLN143" s="69"/>
      <c r="SLO143" s="69"/>
      <c r="SLP143" s="69"/>
      <c r="SLQ143" s="69"/>
      <c r="SLR143" s="69"/>
      <c r="SLS143" s="69"/>
      <c r="SLT143" s="69"/>
      <c r="SLU143" s="69"/>
      <c r="SLV143" s="69"/>
      <c r="SLW143" s="69"/>
      <c r="SLX143" s="69"/>
      <c r="SLY143" s="69"/>
      <c r="SLZ143" s="69"/>
      <c r="SMA143" s="69"/>
      <c r="SMB143" s="69"/>
      <c r="SMC143" s="69"/>
      <c r="SMD143" s="69"/>
      <c r="SME143" s="69"/>
      <c r="SMF143" s="69"/>
      <c r="SMG143" s="69"/>
      <c r="SMH143" s="69"/>
      <c r="SMI143" s="69"/>
      <c r="SMJ143" s="69"/>
      <c r="SMK143" s="69"/>
      <c r="SML143" s="69"/>
      <c r="SMM143" s="69"/>
      <c r="SMN143" s="69"/>
      <c r="SMO143" s="69"/>
      <c r="SMP143" s="69"/>
      <c r="SMQ143" s="69"/>
      <c r="SMR143" s="69"/>
      <c r="SMS143" s="69"/>
      <c r="SMT143" s="69"/>
      <c r="SMU143" s="69"/>
      <c r="SMV143" s="69"/>
      <c r="SMW143" s="69"/>
      <c r="SMX143" s="69"/>
      <c r="SMY143" s="69"/>
      <c r="SMZ143" s="69"/>
      <c r="SNA143" s="69"/>
      <c r="SNB143" s="69"/>
      <c r="SNC143" s="69"/>
      <c r="SND143" s="69"/>
      <c r="SNE143" s="69"/>
      <c r="SNF143" s="69"/>
      <c r="SNG143" s="69"/>
      <c r="SNH143" s="69"/>
      <c r="SNI143" s="69"/>
      <c r="SNJ143" s="69"/>
      <c r="SNK143" s="69"/>
      <c r="SNL143" s="69"/>
      <c r="SNM143" s="69"/>
      <c r="SNN143" s="69"/>
      <c r="SNO143" s="69"/>
      <c r="SNP143" s="69"/>
      <c r="SNQ143" s="69"/>
      <c r="SNR143" s="69"/>
      <c r="SNS143" s="69"/>
      <c r="SNT143" s="69"/>
      <c r="SNU143" s="69"/>
      <c r="SNV143" s="69"/>
      <c r="SNW143" s="69"/>
      <c r="SNX143" s="69"/>
      <c r="SNY143" s="69"/>
      <c r="SNZ143" s="69"/>
      <c r="SOA143" s="69"/>
      <c r="SOB143" s="69"/>
      <c r="SOC143" s="69"/>
      <c r="SOD143" s="69"/>
      <c r="SOE143" s="69"/>
      <c r="SOF143" s="69"/>
      <c r="SOG143" s="69"/>
      <c r="SOH143" s="69"/>
      <c r="SOI143" s="69"/>
      <c r="SOJ143" s="69"/>
      <c r="SOK143" s="69"/>
      <c r="SOL143" s="69"/>
      <c r="SOM143" s="69"/>
      <c r="SON143" s="69"/>
      <c r="SOO143" s="69"/>
      <c r="SOP143" s="69"/>
      <c r="SOQ143" s="69"/>
      <c r="SOR143" s="69"/>
      <c r="SOS143" s="69"/>
      <c r="SOT143" s="69"/>
      <c r="SOU143" s="69"/>
      <c r="SOV143" s="69"/>
      <c r="SOW143" s="69"/>
      <c r="SOX143" s="69"/>
      <c r="SOY143" s="69"/>
      <c r="SOZ143" s="69"/>
      <c r="SPA143" s="69"/>
      <c r="SPB143" s="69"/>
      <c r="SPC143" s="69"/>
      <c r="SPD143" s="69"/>
      <c r="SPE143" s="69"/>
      <c r="SPF143" s="69"/>
      <c r="SPG143" s="69"/>
      <c r="SPH143" s="69"/>
      <c r="SPI143" s="69"/>
      <c r="SPJ143" s="69"/>
      <c r="SPK143" s="69"/>
      <c r="SPL143" s="69"/>
      <c r="SPM143" s="69"/>
      <c r="SPN143" s="69"/>
      <c r="SPO143" s="69"/>
      <c r="SPP143" s="69"/>
      <c r="SPQ143" s="69"/>
      <c r="SPR143" s="69"/>
      <c r="SPS143" s="69"/>
      <c r="SPT143" s="69"/>
      <c r="SPU143" s="69"/>
      <c r="SPV143" s="69"/>
      <c r="SPW143" s="69"/>
      <c r="SPX143" s="69"/>
      <c r="SPY143" s="69"/>
      <c r="SPZ143" s="69"/>
      <c r="SQA143" s="69"/>
      <c r="SQB143" s="69"/>
      <c r="SQC143" s="69"/>
      <c r="SQD143" s="69"/>
      <c r="SQE143" s="69"/>
      <c r="SQF143" s="69"/>
      <c r="SQG143" s="69"/>
      <c r="SQH143" s="69"/>
      <c r="SQI143" s="69"/>
      <c r="SQJ143" s="69"/>
      <c r="SQK143" s="69"/>
      <c r="SQL143" s="69"/>
      <c r="SQM143" s="69"/>
      <c r="SQN143" s="69"/>
      <c r="SQO143" s="69"/>
      <c r="SQP143" s="69"/>
      <c r="SQQ143" s="69"/>
      <c r="SQR143" s="69"/>
      <c r="SQS143" s="69"/>
      <c r="SQT143" s="69"/>
      <c r="SQU143" s="69"/>
      <c r="SQV143" s="69"/>
      <c r="SQW143" s="69"/>
      <c r="SQX143" s="69"/>
      <c r="SQY143" s="69"/>
      <c r="SQZ143" s="69"/>
      <c r="SRA143" s="69"/>
      <c r="SRB143" s="69"/>
      <c r="SRC143" s="69"/>
      <c r="SRD143" s="69"/>
      <c r="SRE143" s="69"/>
      <c r="SRF143" s="69"/>
      <c r="SRG143" s="69"/>
      <c r="SRH143" s="69"/>
      <c r="SRI143" s="69"/>
      <c r="SRJ143" s="69"/>
      <c r="SRK143" s="69"/>
      <c r="SRL143" s="69"/>
      <c r="SRM143" s="69"/>
      <c r="SRN143" s="69"/>
      <c r="SRO143" s="69"/>
      <c r="SRP143" s="69"/>
      <c r="SRQ143" s="69"/>
      <c r="SRR143" s="69"/>
      <c r="SRS143" s="69"/>
      <c r="SRT143" s="69"/>
      <c r="SRU143" s="69"/>
      <c r="SRV143" s="69"/>
      <c r="SRW143" s="69"/>
      <c r="SRX143" s="69"/>
      <c r="SRY143" s="69"/>
      <c r="SRZ143" s="69"/>
      <c r="SSA143" s="69"/>
      <c r="SSB143" s="69"/>
      <c r="SSC143" s="69"/>
      <c r="SSD143" s="69"/>
      <c r="SSE143" s="69"/>
      <c r="SSF143" s="69"/>
      <c r="SSG143" s="69"/>
      <c r="SSH143" s="69"/>
      <c r="SSI143" s="69"/>
      <c r="SSJ143" s="69"/>
      <c r="SSK143" s="69"/>
      <c r="SSL143" s="69"/>
      <c r="SSM143" s="69"/>
      <c r="SSN143" s="69"/>
      <c r="SSO143" s="69"/>
      <c r="SSP143" s="69"/>
      <c r="SSQ143" s="69"/>
      <c r="SSR143" s="69"/>
      <c r="SSS143" s="69"/>
      <c r="SST143" s="69"/>
      <c r="SSU143" s="69"/>
      <c r="SSV143" s="69"/>
      <c r="SSW143" s="69"/>
      <c r="SSX143" s="69"/>
      <c r="SSY143" s="69"/>
      <c r="SSZ143" s="69"/>
      <c r="STA143" s="69"/>
      <c r="STB143" s="69"/>
      <c r="STC143" s="69"/>
      <c r="STD143" s="69"/>
      <c r="STE143" s="69"/>
      <c r="STF143" s="69"/>
      <c r="STG143" s="69"/>
      <c r="STH143" s="69"/>
      <c r="STI143" s="69"/>
      <c r="STJ143" s="69"/>
      <c r="STK143" s="69"/>
      <c r="STL143" s="69"/>
      <c r="STM143" s="69"/>
      <c r="STN143" s="69"/>
      <c r="STO143" s="69"/>
      <c r="STP143" s="69"/>
      <c r="STQ143" s="69"/>
      <c r="STR143" s="69"/>
      <c r="STS143" s="69"/>
      <c r="STT143" s="69"/>
      <c r="STU143" s="69"/>
      <c r="STV143" s="69"/>
      <c r="STW143" s="69"/>
      <c r="STX143" s="69"/>
      <c r="STY143" s="69"/>
      <c r="STZ143" s="69"/>
      <c r="SUA143" s="69"/>
      <c r="SUB143" s="69"/>
      <c r="SUC143" s="69"/>
      <c r="SUD143" s="69"/>
      <c r="SUE143" s="69"/>
      <c r="SUF143" s="69"/>
      <c r="SUG143" s="69"/>
      <c r="SUH143" s="69"/>
      <c r="SUI143" s="69"/>
      <c r="SUJ143" s="69"/>
      <c r="SUK143" s="69"/>
      <c r="SUL143" s="69"/>
      <c r="SUM143" s="69"/>
      <c r="SUN143" s="69"/>
      <c r="SUO143" s="69"/>
      <c r="SUP143" s="69"/>
      <c r="SUQ143" s="69"/>
      <c r="SUR143" s="69"/>
      <c r="SUS143" s="69"/>
      <c r="SUT143" s="69"/>
      <c r="SUU143" s="69"/>
      <c r="SUV143" s="69"/>
      <c r="SUW143" s="69"/>
      <c r="SUX143" s="69"/>
      <c r="SUY143" s="69"/>
      <c r="SUZ143" s="69"/>
      <c r="SVA143" s="69"/>
      <c r="SVB143" s="69"/>
      <c r="SVC143" s="69"/>
      <c r="SVD143" s="69"/>
      <c r="SVE143" s="69"/>
      <c r="SVF143" s="69"/>
      <c r="SVG143" s="69"/>
      <c r="SVH143" s="69"/>
      <c r="SVI143" s="69"/>
      <c r="SVJ143" s="69"/>
      <c r="SVK143" s="69"/>
      <c r="SVL143" s="69"/>
      <c r="SVM143" s="69"/>
      <c r="SVN143" s="69"/>
      <c r="SVO143" s="69"/>
      <c r="SVP143" s="69"/>
      <c r="SVQ143" s="69"/>
      <c r="SVR143" s="69"/>
      <c r="SVS143" s="69"/>
      <c r="SVT143" s="69"/>
      <c r="SVU143" s="69"/>
      <c r="SVV143" s="69"/>
      <c r="SVW143" s="69"/>
      <c r="SVX143" s="69"/>
      <c r="SVY143" s="69"/>
      <c r="SVZ143" s="69"/>
      <c r="SWA143" s="69"/>
      <c r="SWB143" s="69"/>
      <c r="SWC143" s="69"/>
      <c r="SWD143" s="69"/>
      <c r="SWE143" s="69"/>
      <c r="SWF143" s="69"/>
      <c r="SWG143" s="69"/>
      <c r="SWH143" s="69"/>
      <c r="SWI143" s="69"/>
      <c r="SWJ143" s="69"/>
      <c r="SWK143" s="69"/>
      <c r="SWL143" s="69"/>
      <c r="SWM143" s="69"/>
      <c r="SWN143" s="69"/>
      <c r="SWO143" s="69"/>
      <c r="SWP143" s="69"/>
      <c r="SWQ143" s="69"/>
      <c r="SWR143" s="69"/>
      <c r="SWS143" s="69"/>
      <c r="SWT143" s="69"/>
      <c r="SWU143" s="69"/>
      <c r="SWV143" s="69"/>
      <c r="SWW143" s="69"/>
      <c r="SWX143" s="69"/>
      <c r="SWY143" s="69"/>
      <c r="SWZ143" s="69"/>
      <c r="SXA143" s="69"/>
      <c r="SXB143" s="69"/>
      <c r="SXC143" s="69"/>
      <c r="SXD143" s="69"/>
      <c r="SXE143" s="69"/>
      <c r="SXF143" s="69"/>
      <c r="SXG143" s="69"/>
      <c r="SXH143" s="69"/>
      <c r="SXI143" s="69"/>
      <c r="SXJ143" s="69"/>
      <c r="SXK143" s="69"/>
      <c r="SXL143" s="69"/>
      <c r="SXM143" s="69"/>
      <c r="SXN143" s="69"/>
      <c r="SXO143" s="69"/>
      <c r="SXP143" s="69"/>
      <c r="SXQ143" s="69"/>
      <c r="SXR143" s="69"/>
      <c r="SXS143" s="69"/>
      <c r="SXT143" s="69"/>
      <c r="SXU143" s="69"/>
      <c r="SXV143" s="69"/>
      <c r="SXW143" s="69"/>
      <c r="SXX143" s="69"/>
      <c r="SXY143" s="69"/>
      <c r="SXZ143" s="69"/>
      <c r="SYA143" s="69"/>
      <c r="SYB143" s="69"/>
      <c r="SYC143" s="69"/>
      <c r="SYD143" s="69"/>
      <c r="SYE143" s="69"/>
      <c r="SYF143" s="69"/>
      <c r="SYG143" s="69"/>
      <c r="SYH143" s="69"/>
      <c r="SYI143" s="69"/>
      <c r="SYJ143" s="69"/>
      <c r="SYK143" s="69"/>
      <c r="SYL143" s="69"/>
      <c r="SYM143" s="69"/>
      <c r="SYN143" s="69"/>
      <c r="SYO143" s="69"/>
      <c r="SYP143" s="69"/>
      <c r="SYQ143" s="69"/>
      <c r="SYR143" s="69"/>
      <c r="SYS143" s="69"/>
      <c r="SYT143" s="69"/>
      <c r="SYU143" s="69"/>
      <c r="SYV143" s="69"/>
      <c r="SYW143" s="69"/>
      <c r="SYX143" s="69"/>
      <c r="SYY143" s="69"/>
      <c r="SYZ143" s="69"/>
      <c r="SZA143" s="69"/>
      <c r="SZB143" s="69"/>
      <c r="SZC143" s="69"/>
      <c r="SZD143" s="69"/>
      <c r="SZE143" s="69"/>
      <c r="SZF143" s="69"/>
      <c r="SZG143" s="69"/>
      <c r="SZH143" s="69"/>
      <c r="SZI143" s="69"/>
      <c r="SZJ143" s="69"/>
      <c r="SZK143" s="69"/>
      <c r="SZL143" s="69"/>
      <c r="SZM143" s="69"/>
      <c r="SZN143" s="69"/>
      <c r="SZO143" s="69"/>
      <c r="SZP143" s="69"/>
      <c r="SZQ143" s="69"/>
      <c r="SZR143" s="69"/>
      <c r="SZS143" s="69"/>
      <c r="SZT143" s="69"/>
      <c r="SZU143" s="69"/>
      <c r="SZV143" s="69"/>
      <c r="SZW143" s="69"/>
      <c r="SZX143" s="69"/>
      <c r="SZY143" s="69"/>
      <c r="SZZ143" s="69"/>
      <c r="TAA143" s="69"/>
      <c r="TAB143" s="69"/>
      <c r="TAC143" s="69"/>
      <c r="TAD143" s="69"/>
      <c r="TAE143" s="69"/>
      <c r="TAF143" s="69"/>
      <c r="TAG143" s="69"/>
      <c r="TAH143" s="69"/>
      <c r="TAI143" s="69"/>
      <c r="TAJ143" s="69"/>
      <c r="TAK143" s="69"/>
      <c r="TAL143" s="69"/>
      <c r="TAM143" s="69"/>
      <c r="TAN143" s="69"/>
      <c r="TAO143" s="69"/>
      <c r="TAP143" s="69"/>
      <c r="TAQ143" s="69"/>
      <c r="TAR143" s="69"/>
      <c r="TAS143" s="69"/>
      <c r="TAT143" s="69"/>
      <c r="TAU143" s="69"/>
      <c r="TAV143" s="69"/>
      <c r="TAW143" s="69"/>
      <c r="TAX143" s="69"/>
      <c r="TAY143" s="69"/>
      <c r="TAZ143" s="69"/>
      <c r="TBA143" s="69"/>
      <c r="TBB143" s="69"/>
      <c r="TBC143" s="69"/>
      <c r="TBD143" s="69"/>
      <c r="TBE143" s="69"/>
      <c r="TBF143" s="69"/>
      <c r="TBG143" s="69"/>
      <c r="TBH143" s="69"/>
      <c r="TBI143" s="69"/>
      <c r="TBJ143" s="69"/>
      <c r="TBK143" s="69"/>
      <c r="TBL143" s="69"/>
      <c r="TBM143" s="69"/>
      <c r="TBN143" s="69"/>
      <c r="TBO143" s="69"/>
      <c r="TBP143" s="69"/>
      <c r="TBQ143" s="69"/>
      <c r="TBR143" s="69"/>
      <c r="TBS143" s="69"/>
      <c r="TBT143" s="69"/>
      <c r="TBU143" s="69"/>
      <c r="TBV143" s="69"/>
      <c r="TBW143" s="69"/>
      <c r="TBX143" s="69"/>
      <c r="TBY143" s="69"/>
      <c r="TBZ143" s="69"/>
      <c r="TCA143" s="69"/>
      <c r="TCB143" s="69"/>
      <c r="TCC143" s="69"/>
      <c r="TCD143" s="69"/>
      <c r="TCE143" s="69"/>
      <c r="TCF143" s="69"/>
      <c r="TCG143" s="69"/>
      <c r="TCH143" s="69"/>
      <c r="TCI143" s="69"/>
      <c r="TCJ143" s="69"/>
      <c r="TCK143" s="69"/>
      <c r="TCL143" s="69"/>
      <c r="TCM143" s="69"/>
      <c r="TCN143" s="69"/>
      <c r="TCO143" s="69"/>
      <c r="TCP143" s="69"/>
      <c r="TCQ143" s="69"/>
      <c r="TCR143" s="69"/>
      <c r="TCS143" s="69"/>
      <c r="TCT143" s="69"/>
      <c r="TCU143" s="69"/>
      <c r="TCV143" s="69"/>
      <c r="TCW143" s="69"/>
      <c r="TCX143" s="69"/>
      <c r="TCY143" s="69"/>
      <c r="TCZ143" s="69"/>
      <c r="TDA143" s="69"/>
      <c r="TDB143" s="69"/>
      <c r="TDC143" s="69"/>
      <c r="TDD143" s="69"/>
      <c r="TDE143" s="69"/>
      <c r="TDF143" s="69"/>
      <c r="TDG143" s="69"/>
      <c r="TDH143" s="69"/>
      <c r="TDI143" s="69"/>
      <c r="TDJ143" s="69"/>
      <c r="TDK143" s="69"/>
      <c r="TDL143" s="69"/>
      <c r="TDM143" s="69"/>
      <c r="TDN143" s="69"/>
      <c r="TDO143" s="69"/>
      <c r="TDP143" s="69"/>
      <c r="TDQ143" s="69"/>
      <c r="TDR143" s="69"/>
      <c r="TDS143" s="69"/>
      <c r="TDT143" s="69"/>
      <c r="TDU143" s="69"/>
      <c r="TDV143" s="69"/>
      <c r="TDW143" s="69"/>
      <c r="TDX143" s="69"/>
      <c r="TDY143" s="69"/>
      <c r="TDZ143" s="69"/>
      <c r="TEA143" s="69"/>
      <c r="TEB143" s="69"/>
      <c r="TEC143" s="69"/>
      <c r="TED143" s="69"/>
      <c r="TEE143" s="69"/>
      <c r="TEF143" s="69"/>
      <c r="TEG143" s="69"/>
      <c r="TEH143" s="69"/>
      <c r="TEI143" s="69"/>
      <c r="TEJ143" s="69"/>
      <c r="TEK143" s="69"/>
      <c r="TEL143" s="69"/>
      <c r="TEM143" s="69"/>
      <c r="TEN143" s="69"/>
      <c r="TEO143" s="69"/>
      <c r="TEP143" s="69"/>
      <c r="TEQ143" s="69"/>
      <c r="TER143" s="69"/>
      <c r="TES143" s="69"/>
      <c r="TET143" s="69"/>
      <c r="TEU143" s="69"/>
      <c r="TEV143" s="69"/>
      <c r="TEW143" s="69"/>
      <c r="TEX143" s="69"/>
      <c r="TEY143" s="69"/>
      <c r="TEZ143" s="69"/>
      <c r="TFA143" s="69"/>
      <c r="TFB143" s="69"/>
      <c r="TFC143" s="69"/>
      <c r="TFD143" s="69"/>
      <c r="TFE143" s="69"/>
      <c r="TFF143" s="69"/>
      <c r="TFG143" s="69"/>
      <c r="TFH143" s="69"/>
      <c r="TFI143" s="69"/>
      <c r="TFJ143" s="69"/>
      <c r="TFK143" s="69"/>
      <c r="TFL143" s="69"/>
      <c r="TFM143" s="69"/>
      <c r="TFN143" s="69"/>
      <c r="TFO143" s="69"/>
      <c r="TFP143" s="69"/>
      <c r="TFQ143" s="69"/>
      <c r="TFR143" s="69"/>
      <c r="TFS143" s="69"/>
      <c r="TFT143" s="69"/>
      <c r="TFU143" s="69"/>
      <c r="TFV143" s="69"/>
      <c r="TFW143" s="69"/>
      <c r="TFX143" s="69"/>
      <c r="TFY143" s="69"/>
      <c r="TFZ143" s="69"/>
      <c r="TGA143" s="69"/>
      <c r="TGB143" s="69"/>
      <c r="TGC143" s="69"/>
      <c r="TGD143" s="69"/>
      <c r="TGE143" s="69"/>
      <c r="TGF143" s="69"/>
      <c r="TGG143" s="69"/>
      <c r="TGH143" s="69"/>
      <c r="TGI143" s="69"/>
      <c r="TGJ143" s="69"/>
      <c r="TGK143" s="69"/>
      <c r="TGL143" s="69"/>
      <c r="TGM143" s="69"/>
      <c r="TGN143" s="69"/>
      <c r="TGO143" s="69"/>
      <c r="TGP143" s="69"/>
      <c r="TGQ143" s="69"/>
      <c r="TGR143" s="69"/>
      <c r="TGS143" s="69"/>
      <c r="TGT143" s="69"/>
      <c r="TGU143" s="69"/>
      <c r="TGV143" s="69"/>
      <c r="TGW143" s="69"/>
      <c r="TGX143" s="69"/>
      <c r="TGY143" s="69"/>
      <c r="TGZ143" s="69"/>
      <c r="THA143" s="69"/>
      <c r="THB143" s="69"/>
      <c r="THC143" s="69"/>
      <c r="THD143" s="69"/>
      <c r="THE143" s="69"/>
      <c r="THF143" s="69"/>
      <c r="THG143" s="69"/>
      <c r="THH143" s="69"/>
      <c r="THI143" s="69"/>
      <c r="THJ143" s="69"/>
      <c r="THK143" s="69"/>
      <c r="THL143" s="69"/>
      <c r="THM143" s="69"/>
      <c r="THN143" s="69"/>
      <c r="THO143" s="69"/>
      <c r="THP143" s="69"/>
      <c r="THQ143" s="69"/>
      <c r="THR143" s="69"/>
      <c r="THS143" s="69"/>
      <c r="THT143" s="69"/>
      <c r="THU143" s="69"/>
      <c r="THV143" s="69"/>
      <c r="THW143" s="69"/>
      <c r="THX143" s="69"/>
      <c r="THY143" s="69"/>
      <c r="THZ143" s="69"/>
      <c r="TIA143" s="69"/>
      <c r="TIB143" s="69"/>
      <c r="TIC143" s="69"/>
      <c r="TID143" s="69"/>
      <c r="TIE143" s="69"/>
      <c r="TIF143" s="69"/>
      <c r="TIG143" s="69"/>
      <c r="TIH143" s="69"/>
      <c r="TII143" s="69"/>
      <c r="TIJ143" s="69"/>
      <c r="TIK143" s="69"/>
      <c r="TIL143" s="69"/>
      <c r="TIM143" s="69"/>
      <c r="TIN143" s="69"/>
      <c r="TIO143" s="69"/>
      <c r="TIP143" s="69"/>
      <c r="TIQ143" s="69"/>
      <c r="TIR143" s="69"/>
      <c r="TIS143" s="69"/>
      <c r="TIT143" s="69"/>
      <c r="TIU143" s="69"/>
      <c r="TIV143" s="69"/>
      <c r="TIW143" s="69"/>
      <c r="TIX143" s="69"/>
      <c r="TIY143" s="69"/>
      <c r="TIZ143" s="69"/>
      <c r="TJA143" s="69"/>
      <c r="TJB143" s="69"/>
      <c r="TJC143" s="69"/>
      <c r="TJD143" s="69"/>
      <c r="TJE143" s="69"/>
      <c r="TJF143" s="69"/>
      <c r="TJG143" s="69"/>
      <c r="TJH143" s="69"/>
      <c r="TJI143" s="69"/>
      <c r="TJJ143" s="69"/>
      <c r="TJK143" s="69"/>
      <c r="TJL143" s="69"/>
      <c r="TJM143" s="69"/>
      <c r="TJN143" s="69"/>
      <c r="TJO143" s="69"/>
      <c r="TJP143" s="69"/>
      <c r="TJQ143" s="69"/>
      <c r="TJR143" s="69"/>
      <c r="TJS143" s="69"/>
      <c r="TJT143" s="69"/>
      <c r="TJU143" s="69"/>
      <c r="TJV143" s="69"/>
      <c r="TJW143" s="69"/>
      <c r="TJX143" s="69"/>
      <c r="TJY143" s="69"/>
      <c r="TJZ143" s="69"/>
      <c r="TKA143" s="69"/>
      <c r="TKB143" s="69"/>
      <c r="TKC143" s="69"/>
      <c r="TKD143" s="69"/>
      <c r="TKE143" s="69"/>
      <c r="TKF143" s="69"/>
      <c r="TKG143" s="69"/>
      <c r="TKH143" s="69"/>
      <c r="TKI143" s="69"/>
      <c r="TKJ143" s="69"/>
      <c r="TKK143" s="69"/>
      <c r="TKL143" s="69"/>
      <c r="TKM143" s="69"/>
      <c r="TKN143" s="69"/>
      <c r="TKO143" s="69"/>
      <c r="TKP143" s="69"/>
      <c r="TKQ143" s="69"/>
      <c r="TKR143" s="69"/>
      <c r="TKS143" s="69"/>
      <c r="TKT143" s="69"/>
      <c r="TKU143" s="69"/>
      <c r="TKV143" s="69"/>
      <c r="TKW143" s="69"/>
      <c r="TKX143" s="69"/>
      <c r="TKY143" s="69"/>
      <c r="TKZ143" s="69"/>
      <c r="TLA143" s="69"/>
      <c r="TLB143" s="69"/>
      <c r="TLC143" s="69"/>
      <c r="TLD143" s="69"/>
      <c r="TLE143" s="69"/>
      <c r="TLF143" s="69"/>
      <c r="TLG143" s="69"/>
      <c r="TLH143" s="69"/>
      <c r="TLI143" s="69"/>
      <c r="TLJ143" s="69"/>
      <c r="TLK143" s="69"/>
      <c r="TLL143" s="69"/>
      <c r="TLM143" s="69"/>
      <c r="TLN143" s="69"/>
      <c r="TLO143" s="69"/>
      <c r="TLP143" s="69"/>
      <c r="TLQ143" s="69"/>
      <c r="TLR143" s="69"/>
      <c r="TLS143" s="69"/>
      <c r="TLT143" s="69"/>
      <c r="TLU143" s="69"/>
      <c r="TLV143" s="69"/>
      <c r="TLW143" s="69"/>
      <c r="TLX143" s="69"/>
      <c r="TLY143" s="69"/>
      <c r="TLZ143" s="69"/>
      <c r="TMA143" s="69"/>
      <c r="TMB143" s="69"/>
      <c r="TMC143" s="69"/>
      <c r="TMD143" s="69"/>
      <c r="TME143" s="69"/>
      <c r="TMF143" s="69"/>
      <c r="TMG143" s="69"/>
      <c r="TMH143" s="69"/>
      <c r="TMI143" s="69"/>
      <c r="TMJ143" s="69"/>
      <c r="TMK143" s="69"/>
      <c r="TML143" s="69"/>
      <c r="TMM143" s="69"/>
      <c r="TMN143" s="69"/>
      <c r="TMO143" s="69"/>
      <c r="TMP143" s="69"/>
      <c r="TMQ143" s="69"/>
      <c r="TMR143" s="69"/>
      <c r="TMS143" s="69"/>
      <c r="TMT143" s="69"/>
      <c r="TMU143" s="69"/>
      <c r="TMV143" s="69"/>
      <c r="TMW143" s="69"/>
      <c r="TMX143" s="69"/>
      <c r="TMY143" s="69"/>
      <c r="TMZ143" s="69"/>
      <c r="TNA143" s="69"/>
      <c r="TNB143" s="69"/>
      <c r="TNC143" s="69"/>
      <c r="TND143" s="69"/>
      <c r="TNE143" s="69"/>
      <c r="TNF143" s="69"/>
      <c r="TNG143" s="69"/>
      <c r="TNH143" s="69"/>
      <c r="TNI143" s="69"/>
      <c r="TNJ143" s="69"/>
      <c r="TNK143" s="69"/>
      <c r="TNL143" s="69"/>
      <c r="TNM143" s="69"/>
      <c r="TNN143" s="69"/>
      <c r="TNO143" s="69"/>
      <c r="TNP143" s="69"/>
      <c r="TNQ143" s="69"/>
      <c r="TNR143" s="69"/>
      <c r="TNS143" s="69"/>
      <c r="TNT143" s="69"/>
      <c r="TNU143" s="69"/>
      <c r="TNV143" s="69"/>
      <c r="TNW143" s="69"/>
      <c r="TNX143" s="69"/>
      <c r="TNY143" s="69"/>
      <c r="TNZ143" s="69"/>
      <c r="TOA143" s="69"/>
      <c r="TOB143" s="69"/>
      <c r="TOC143" s="69"/>
      <c r="TOD143" s="69"/>
      <c r="TOE143" s="69"/>
      <c r="TOF143" s="69"/>
      <c r="TOG143" s="69"/>
      <c r="TOH143" s="69"/>
      <c r="TOI143" s="69"/>
      <c r="TOJ143" s="69"/>
      <c r="TOK143" s="69"/>
      <c r="TOL143" s="69"/>
      <c r="TOM143" s="69"/>
      <c r="TON143" s="69"/>
      <c r="TOO143" s="69"/>
      <c r="TOP143" s="69"/>
      <c r="TOQ143" s="69"/>
      <c r="TOR143" s="69"/>
      <c r="TOS143" s="69"/>
      <c r="TOT143" s="69"/>
      <c r="TOU143" s="69"/>
      <c r="TOV143" s="69"/>
      <c r="TOW143" s="69"/>
      <c r="TOX143" s="69"/>
      <c r="TOY143" s="69"/>
      <c r="TOZ143" s="69"/>
      <c r="TPA143" s="69"/>
      <c r="TPB143" s="69"/>
      <c r="TPC143" s="69"/>
      <c r="TPD143" s="69"/>
      <c r="TPE143" s="69"/>
      <c r="TPF143" s="69"/>
      <c r="TPG143" s="69"/>
      <c r="TPH143" s="69"/>
      <c r="TPI143" s="69"/>
      <c r="TPJ143" s="69"/>
      <c r="TPK143" s="69"/>
      <c r="TPL143" s="69"/>
      <c r="TPM143" s="69"/>
      <c r="TPN143" s="69"/>
      <c r="TPO143" s="69"/>
      <c r="TPP143" s="69"/>
      <c r="TPQ143" s="69"/>
      <c r="TPR143" s="69"/>
      <c r="TPS143" s="69"/>
      <c r="TPT143" s="69"/>
      <c r="TPU143" s="69"/>
      <c r="TPV143" s="69"/>
      <c r="TPW143" s="69"/>
      <c r="TPX143" s="69"/>
      <c r="TPY143" s="69"/>
      <c r="TPZ143" s="69"/>
      <c r="TQA143" s="69"/>
      <c r="TQB143" s="69"/>
      <c r="TQC143" s="69"/>
      <c r="TQD143" s="69"/>
      <c r="TQE143" s="69"/>
      <c r="TQF143" s="69"/>
      <c r="TQG143" s="69"/>
      <c r="TQH143" s="69"/>
      <c r="TQI143" s="69"/>
      <c r="TQJ143" s="69"/>
      <c r="TQK143" s="69"/>
      <c r="TQL143" s="69"/>
      <c r="TQM143" s="69"/>
      <c r="TQN143" s="69"/>
      <c r="TQO143" s="69"/>
      <c r="TQP143" s="69"/>
      <c r="TQQ143" s="69"/>
      <c r="TQR143" s="69"/>
      <c r="TQS143" s="69"/>
      <c r="TQT143" s="69"/>
      <c r="TQU143" s="69"/>
      <c r="TQV143" s="69"/>
      <c r="TQW143" s="69"/>
      <c r="TQX143" s="69"/>
      <c r="TQY143" s="69"/>
      <c r="TQZ143" s="69"/>
      <c r="TRA143" s="69"/>
      <c r="TRB143" s="69"/>
      <c r="TRC143" s="69"/>
      <c r="TRD143" s="69"/>
      <c r="TRE143" s="69"/>
      <c r="TRF143" s="69"/>
      <c r="TRG143" s="69"/>
      <c r="TRH143" s="69"/>
      <c r="TRI143" s="69"/>
      <c r="TRJ143" s="69"/>
      <c r="TRK143" s="69"/>
      <c r="TRL143" s="69"/>
      <c r="TRM143" s="69"/>
      <c r="TRN143" s="69"/>
      <c r="TRO143" s="69"/>
      <c r="TRP143" s="69"/>
      <c r="TRQ143" s="69"/>
      <c r="TRR143" s="69"/>
      <c r="TRS143" s="69"/>
      <c r="TRT143" s="69"/>
      <c r="TRU143" s="69"/>
      <c r="TRV143" s="69"/>
      <c r="TRW143" s="69"/>
      <c r="TRX143" s="69"/>
      <c r="TRY143" s="69"/>
      <c r="TRZ143" s="69"/>
      <c r="TSA143" s="69"/>
      <c r="TSB143" s="69"/>
      <c r="TSC143" s="69"/>
      <c r="TSD143" s="69"/>
      <c r="TSE143" s="69"/>
      <c r="TSF143" s="69"/>
      <c r="TSG143" s="69"/>
      <c r="TSH143" s="69"/>
      <c r="TSI143" s="69"/>
      <c r="TSJ143" s="69"/>
      <c r="TSK143" s="69"/>
      <c r="TSL143" s="69"/>
      <c r="TSM143" s="69"/>
      <c r="TSN143" s="69"/>
      <c r="TSO143" s="69"/>
      <c r="TSP143" s="69"/>
      <c r="TSQ143" s="69"/>
      <c r="TSR143" s="69"/>
      <c r="TSS143" s="69"/>
      <c r="TST143" s="69"/>
      <c r="TSU143" s="69"/>
      <c r="TSV143" s="69"/>
      <c r="TSW143" s="69"/>
      <c r="TSX143" s="69"/>
      <c r="TSY143" s="69"/>
      <c r="TSZ143" s="69"/>
      <c r="TTA143" s="69"/>
      <c r="TTB143" s="69"/>
      <c r="TTC143" s="69"/>
      <c r="TTD143" s="69"/>
      <c r="TTE143" s="69"/>
      <c r="TTF143" s="69"/>
      <c r="TTG143" s="69"/>
      <c r="TTH143" s="69"/>
      <c r="TTI143" s="69"/>
      <c r="TTJ143" s="69"/>
      <c r="TTK143" s="69"/>
      <c r="TTL143" s="69"/>
      <c r="TTM143" s="69"/>
      <c r="TTN143" s="69"/>
      <c r="TTO143" s="69"/>
      <c r="TTP143" s="69"/>
      <c r="TTQ143" s="69"/>
      <c r="TTR143" s="69"/>
      <c r="TTS143" s="69"/>
      <c r="TTT143" s="69"/>
      <c r="TTU143" s="69"/>
      <c r="TTV143" s="69"/>
      <c r="TTW143" s="69"/>
      <c r="TTX143" s="69"/>
      <c r="TTY143" s="69"/>
      <c r="TTZ143" s="69"/>
      <c r="TUA143" s="69"/>
      <c r="TUB143" s="69"/>
      <c r="TUC143" s="69"/>
      <c r="TUD143" s="69"/>
      <c r="TUE143" s="69"/>
      <c r="TUF143" s="69"/>
      <c r="TUG143" s="69"/>
      <c r="TUH143" s="69"/>
      <c r="TUI143" s="69"/>
      <c r="TUJ143" s="69"/>
      <c r="TUK143" s="69"/>
      <c r="TUL143" s="69"/>
      <c r="TUM143" s="69"/>
      <c r="TUN143" s="69"/>
      <c r="TUO143" s="69"/>
      <c r="TUP143" s="69"/>
      <c r="TUQ143" s="69"/>
      <c r="TUR143" s="69"/>
      <c r="TUS143" s="69"/>
      <c r="TUT143" s="69"/>
      <c r="TUU143" s="69"/>
      <c r="TUV143" s="69"/>
      <c r="TUW143" s="69"/>
      <c r="TUX143" s="69"/>
      <c r="TUY143" s="69"/>
      <c r="TUZ143" s="69"/>
      <c r="TVA143" s="69"/>
      <c r="TVB143" s="69"/>
      <c r="TVC143" s="69"/>
      <c r="TVD143" s="69"/>
      <c r="TVE143" s="69"/>
      <c r="TVF143" s="69"/>
      <c r="TVG143" s="69"/>
      <c r="TVH143" s="69"/>
      <c r="TVI143" s="69"/>
      <c r="TVJ143" s="69"/>
      <c r="TVK143" s="69"/>
      <c r="TVL143" s="69"/>
      <c r="TVM143" s="69"/>
      <c r="TVN143" s="69"/>
      <c r="TVO143" s="69"/>
      <c r="TVP143" s="69"/>
      <c r="TVQ143" s="69"/>
      <c r="TVR143" s="69"/>
      <c r="TVS143" s="69"/>
      <c r="TVT143" s="69"/>
      <c r="TVU143" s="69"/>
      <c r="TVV143" s="69"/>
      <c r="TVW143" s="69"/>
      <c r="TVX143" s="69"/>
      <c r="TVY143" s="69"/>
      <c r="TVZ143" s="69"/>
      <c r="TWA143" s="69"/>
      <c r="TWB143" s="69"/>
      <c r="TWC143" s="69"/>
      <c r="TWD143" s="69"/>
      <c r="TWE143" s="69"/>
      <c r="TWF143" s="69"/>
      <c r="TWG143" s="69"/>
      <c r="TWH143" s="69"/>
      <c r="TWI143" s="69"/>
      <c r="TWJ143" s="69"/>
      <c r="TWK143" s="69"/>
      <c r="TWL143" s="69"/>
      <c r="TWM143" s="69"/>
      <c r="TWN143" s="69"/>
      <c r="TWO143" s="69"/>
      <c r="TWP143" s="69"/>
      <c r="TWQ143" s="69"/>
      <c r="TWR143" s="69"/>
      <c r="TWS143" s="69"/>
      <c r="TWT143" s="69"/>
      <c r="TWU143" s="69"/>
      <c r="TWV143" s="69"/>
      <c r="TWW143" s="69"/>
      <c r="TWX143" s="69"/>
      <c r="TWY143" s="69"/>
      <c r="TWZ143" s="69"/>
      <c r="TXA143" s="69"/>
      <c r="TXB143" s="69"/>
      <c r="TXC143" s="69"/>
      <c r="TXD143" s="69"/>
      <c r="TXE143" s="69"/>
      <c r="TXF143" s="69"/>
      <c r="TXG143" s="69"/>
      <c r="TXH143" s="69"/>
      <c r="TXI143" s="69"/>
      <c r="TXJ143" s="69"/>
      <c r="TXK143" s="69"/>
      <c r="TXL143" s="69"/>
      <c r="TXM143" s="69"/>
      <c r="TXN143" s="69"/>
      <c r="TXO143" s="69"/>
      <c r="TXP143" s="69"/>
      <c r="TXQ143" s="69"/>
      <c r="TXR143" s="69"/>
      <c r="TXS143" s="69"/>
      <c r="TXT143" s="69"/>
      <c r="TXU143" s="69"/>
      <c r="TXV143" s="69"/>
      <c r="TXW143" s="69"/>
      <c r="TXX143" s="69"/>
      <c r="TXY143" s="69"/>
      <c r="TXZ143" s="69"/>
      <c r="TYA143" s="69"/>
      <c r="TYB143" s="69"/>
      <c r="TYC143" s="69"/>
      <c r="TYD143" s="69"/>
      <c r="TYE143" s="69"/>
      <c r="TYF143" s="69"/>
      <c r="TYG143" s="69"/>
      <c r="TYH143" s="69"/>
      <c r="TYI143" s="69"/>
      <c r="TYJ143" s="69"/>
      <c r="TYK143" s="69"/>
      <c r="TYL143" s="69"/>
      <c r="TYM143" s="69"/>
      <c r="TYN143" s="69"/>
      <c r="TYO143" s="69"/>
      <c r="TYP143" s="69"/>
      <c r="TYQ143" s="69"/>
      <c r="TYR143" s="69"/>
      <c r="TYS143" s="69"/>
      <c r="TYT143" s="69"/>
      <c r="TYU143" s="69"/>
      <c r="TYV143" s="69"/>
      <c r="TYW143" s="69"/>
      <c r="TYX143" s="69"/>
      <c r="TYY143" s="69"/>
      <c r="TYZ143" s="69"/>
      <c r="TZA143" s="69"/>
      <c r="TZB143" s="69"/>
      <c r="TZC143" s="69"/>
      <c r="TZD143" s="69"/>
      <c r="TZE143" s="69"/>
      <c r="TZF143" s="69"/>
      <c r="TZG143" s="69"/>
      <c r="TZH143" s="69"/>
      <c r="TZI143" s="69"/>
      <c r="TZJ143" s="69"/>
      <c r="TZK143" s="69"/>
      <c r="TZL143" s="69"/>
      <c r="TZM143" s="69"/>
      <c r="TZN143" s="69"/>
      <c r="TZO143" s="69"/>
      <c r="TZP143" s="69"/>
      <c r="TZQ143" s="69"/>
      <c r="TZR143" s="69"/>
      <c r="TZS143" s="69"/>
      <c r="TZT143" s="69"/>
      <c r="TZU143" s="69"/>
      <c r="TZV143" s="69"/>
      <c r="TZW143" s="69"/>
      <c r="TZX143" s="69"/>
      <c r="TZY143" s="69"/>
      <c r="TZZ143" s="69"/>
      <c r="UAA143" s="69"/>
      <c r="UAB143" s="69"/>
      <c r="UAC143" s="69"/>
      <c r="UAD143" s="69"/>
      <c r="UAE143" s="69"/>
      <c r="UAF143" s="69"/>
      <c r="UAG143" s="69"/>
      <c r="UAH143" s="69"/>
      <c r="UAI143" s="69"/>
      <c r="UAJ143" s="69"/>
      <c r="UAK143" s="69"/>
      <c r="UAL143" s="69"/>
      <c r="UAM143" s="69"/>
      <c r="UAN143" s="69"/>
      <c r="UAO143" s="69"/>
      <c r="UAP143" s="69"/>
      <c r="UAQ143" s="69"/>
      <c r="UAR143" s="69"/>
      <c r="UAS143" s="69"/>
      <c r="UAT143" s="69"/>
      <c r="UAU143" s="69"/>
      <c r="UAV143" s="69"/>
      <c r="UAW143" s="69"/>
      <c r="UAX143" s="69"/>
      <c r="UAY143" s="69"/>
      <c r="UAZ143" s="69"/>
      <c r="UBA143" s="69"/>
      <c r="UBB143" s="69"/>
      <c r="UBC143" s="69"/>
      <c r="UBD143" s="69"/>
      <c r="UBE143" s="69"/>
      <c r="UBF143" s="69"/>
      <c r="UBG143" s="69"/>
      <c r="UBH143" s="69"/>
      <c r="UBI143" s="69"/>
      <c r="UBJ143" s="69"/>
      <c r="UBK143" s="69"/>
      <c r="UBL143" s="69"/>
      <c r="UBM143" s="69"/>
      <c r="UBN143" s="69"/>
      <c r="UBO143" s="69"/>
      <c r="UBP143" s="69"/>
      <c r="UBQ143" s="69"/>
      <c r="UBR143" s="69"/>
      <c r="UBS143" s="69"/>
      <c r="UBT143" s="69"/>
      <c r="UBU143" s="69"/>
      <c r="UBV143" s="69"/>
      <c r="UBW143" s="69"/>
      <c r="UBX143" s="69"/>
      <c r="UBY143" s="69"/>
      <c r="UBZ143" s="69"/>
      <c r="UCA143" s="69"/>
      <c r="UCB143" s="69"/>
      <c r="UCC143" s="69"/>
      <c r="UCD143" s="69"/>
      <c r="UCE143" s="69"/>
      <c r="UCF143" s="69"/>
      <c r="UCG143" s="69"/>
      <c r="UCH143" s="69"/>
      <c r="UCI143" s="69"/>
      <c r="UCJ143" s="69"/>
      <c r="UCK143" s="69"/>
      <c r="UCL143" s="69"/>
      <c r="UCM143" s="69"/>
      <c r="UCN143" s="69"/>
      <c r="UCO143" s="69"/>
      <c r="UCP143" s="69"/>
      <c r="UCQ143" s="69"/>
      <c r="UCR143" s="69"/>
      <c r="UCS143" s="69"/>
      <c r="UCT143" s="69"/>
      <c r="UCU143" s="69"/>
      <c r="UCV143" s="69"/>
      <c r="UCW143" s="69"/>
      <c r="UCX143" s="69"/>
      <c r="UCY143" s="69"/>
      <c r="UCZ143" s="69"/>
      <c r="UDA143" s="69"/>
      <c r="UDB143" s="69"/>
      <c r="UDC143" s="69"/>
      <c r="UDD143" s="69"/>
      <c r="UDE143" s="69"/>
      <c r="UDF143" s="69"/>
      <c r="UDG143" s="69"/>
      <c r="UDH143" s="69"/>
      <c r="UDI143" s="69"/>
      <c r="UDJ143" s="69"/>
      <c r="UDK143" s="69"/>
      <c r="UDL143" s="69"/>
      <c r="UDM143" s="69"/>
      <c r="UDN143" s="69"/>
      <c r="UDO143" s="69"/>
      <c r="UDP143" s="69"/>
      <c r="UDQ143" s="69"/>
      <c r="UDR143" s="69"/>
      <c r="UDS143" s="69"/>
      <c r="UDT143" s="69"/>
      <c r="UDU143" s="69"/>
      <c r="UDV143" s="69"/>
      <c r="UDW143" s="69"/>
      <c r="UDX143" s="69"/>
      <c r="UDY143" s="69"/>
      <c r="UDZ143" s="69"/>
      <c r="UEA143" s="69"/>
      <c r="UEB143" s="69"/>
      <c r="UEC143" s="69"/>
      <c r="UED143" s="69"/>
      <c r="UEE143" s="69"/>
      <c r="UEF143" s="69"/>
      <c r="UEG143" s="69"/>
      <c r="UEH143" s="69"/>
      <c r="UEI143" s="69"/>
      <c r="UEJ143" s="69"/>
      <c r="UEK143" s="69"/>
      <c r="UEL143" s="69"/>
      <c r="UEM143" s="69"/>
      <c r="UEN143" s="69"/>
      <c r="UEO143" s="69"/>
      <c r="UEP143" s="69"/>
      <c r="UEQ143" s="69"/>
      <c r="UER143" s="69"/>
      <c r="UES143" s="69"/>
      <c r="UET143" s="69"/>
      <c r="UEU143" s="69"/>
      <c r="UEV143" s="69"/>
      <c r="UEW143" s="69"/>
      <c r="UEX143" s="69"/>
      <c r="UEY143" s="69"/>
      <c r="UEZ143" s="69"/>
      <c r="UFA143" s="69"/>
      <c r="UFB143" s="69"/>
      <c r="UFC143" s="69"/>
      <c r="UFD143" s="69"/>
      <c r="UFE143" s="69"/>
      <c r="UFF143" s="69"/>
      <c r="UFG143" s="69"/>
      <c r="UFH143" s="69"/>
      <c r="UFI143" s="69"/>
      <c r="UFJ143" s="69"/>
      <c r="UFK143" s="69"/>
      <c r="UFL143" s="69"/>
      <c r="UFM143" s="69"/>
      <c r="UFN143" s="69"/>
      <c r="UFO143" s="69"/>
      <c r="UFP143" s="69"/>
      <c r="UFQ143" s="69"/>
      <c r="UFR143" s="69"/>
      <c r="UFS143" s="69"/>
      <c r="UFT143" s="69"/>
      <c r="UFU143" s="69"/>
      <c r="UFV143" s="69"/>
      <c r="UFW143" s="69"/>
      <c r="UFX143" s="69"/>
      <c r="UFY143" s="69"/>
      <c r="UFZ143" s="69"/>
      <c r="UGA143" s="69"/>
      <c r="UGB143" s="69"/>
      <c r="UGC143" s="69"/>
      <c r="UGD143" s="69"/>
      <c r="UGE143" s="69"/>
      <c r="UGF143" s="69"/>
      <c r="UGG143" s="69"/>
      <c r="UGH143" s="69"/>
      <c r="UGI143" s="69"/>
      <c r="UGJ143" s="69"/>
      <c r="UGK143" s="69"/>
      <c r="UGL143" s="69"/>
      <c r="UGM143" s="69"/>
      <c r="UGN143" s="69"/>
      <c r="UGO143" s="69"/>
      <c r="UGP143" s="69"/>
      <c r="UGQ143" s="69"/>
      <c r="UGR143" s="69"/>
      <c r="UGS143" s="69"/>
      <c r="UGT143" s="69"/>
      <c r="UGU143" s="69"/>
      <c r="UGV143" s="69"/>
      <c r="UGW143" s="69"/>
      <c r="UGX143" s="69"/>
      <c r="UGY143" s="69"/>
      <c r="UGZ143" s="69"/>
      <c r="UHA143" s="69"/>
      <c r="UHB143" s="69"/>
      <c r="UHC143" s="69"/>
      <c r="UHD143" s="69"/>
      <c r="UHE143" s="69"/>
      <c r="UHF143" s="69"/>
      <c r="UHG143" s="69"/>
      <c r="UHH143" s="69"/>
      <c r="UHI143" s="69"/>
      <c r="UHJ143" s="69"/>
      <c r="UHK143" s="69"/>
      <c r="UHL143" s="69"/>
      <c r="UHM143" s="69"/>
      <c r="UHN143" s="69"/>
      <c r="UHO143" s="69"/>
      <c r="UHP143" s="69"/>
      <c r="UHQ143" s="69"/>
      <c r="UHR143" s="69"/>
      <c r="UHS143" s="69"/>
      <c r="UHT143" s="69"/>
      <c r="UHU143" s="69"/>
      <c r="UHV143" s="69"/>
      <c r="UHW143" s="69"/>
      <c r="UHX143" s="69"/>
      <c r="UHY143" s="69"/>
      <c r="UHZ143" s="69"/>
      <c r="UIA143" s="69"/>
      <c r="UIB143" s="69"/>
      <c r="UIC143" s="69"/>
      <c r="UID143" s="69"/>
      <c r="UIE143" s="69"/>
      <c r="UIF143" s="69"/>
      <c r="UIG143" s="69"/>
      <c r="UIH143" s="69"/>
      <c r="UII143" s="69"/>
      <c r="UIJ143" s="69"/>
      <c r="UIK143" s="69"/>
      <c r="UIL143" s="69"/>
      <c r="UIM143" s="69"/>
      <c r="UIN143" s="69"/>
      <c r="UIO143" s="69"/>
      <c r="UIP143" s="69"/>
      <c r="UIQ143" s="69"/>
      <c r="UIR143" s="69"/>
      <c r="UIS143" s="69"/>
      <c r="UIT143" s="69"/>
      <c r="UIU143" s="69"/>
      <c r="UIV143" s="69"/>
      <c r="UIW143" s="69"/>
      <c r="UIX143" s="69"/>
      <c r="UIY143" s="69"/>
      <c r="UIZ143" s="69"/>
      <c r="UJA143" s="69"/>
      <c r="UJB143" s="69"/>
      <c r="UJC143" s="69"/>
      <c r="UJD143" s="69"/>
      <c r="UJE143" s="69"/>
      <c r="UJF143" s="69"/>
      <c r="UJG143" s="69"/>
      <c r="UJH143" s="69"/>
      <c r="UJI143" s="69"/>
      <c r="UJJ143" s="69"/>
      <c r="UJK143" s="69"/>
      <c r="UJL143" s="69"/>
      <c r="UJM143" s="69"/>
      <c r="UJN143" s="69"/>
      <c r="UJO143" s="69"/>
      <c r="UJP143" s="69"/>
      <c r="UJQ143" s="69"/>
      <c r="UJR143" s="69"/>
      <c r="UJS143" s="69"/>
      <c r="UJT143" s="69"/>
      <c r="UJU143" s="69"/>
      <c r="UJV143" s="69"/>
      <c r="UJW143" s="69"/>
      <c r="UJX143" s="69"/>
      <c r="UJY143" s="69"/>
      <c r="UJZ143" s="69"/>
      <c r="UKA143" s="69"/>
      <c r="UKB143" s="69"/>
      <c r="UKC143" s="69"/>
      <c r="UKD143" s="69"/>
      <c r="UKE143" s="69"/>
      <c r="UKF143" s="69"/>
      <c r="UKG143" s="69"/>
      <c r="UKH143" s="69"/>
      <c r="UKI143" s="69"/>
      <c r="UKJ143" s="69"/>
      <c r="UKK143" s="69"/>
      <c r="UKL143" s="69"/>
      <c r="UKM143" s="69"/>
      <c r="UKN143" s="69"/>
      <c r="UKO143" s="69"/>
      <c r="UKP143" s="69"/>
      <c r="UKQ143" s="69"/>
      <c r="UKR143" s="69"/>
      <c r="UKS143" s="69"/>
      <c r="UKT143" s="69"/>
      <c r="UKU143" s="69"/>
      <c r="UKV143" s="69"/>
      <c r="UKW143" s="69"/>
      <c r="UKX143" s="69"/>
      <c r="UKY143" s="69"/>
      <c r="UKZ143" s="69"/>
      <c r="ULA143" s="69"/>
      <c r="ULB143" s="69"/>
      <c r="ULC143" s="69"/>
      <c r="ULD143" s="69"/>
      <c r="ULE143" s="69"/>
      <c r="ULF143" s="69"/>
      <c r="ULG143" s="69"/>
      <c r="ULH143" s="69"/>
      <c r="ULI143" s="69"/>
      <c r="ULJ143" s="69"/>
      <c r="ULK143" s="69"/>
      <c r="ULL143" s="69"/>
      <c r="ULM143" s="69"/>
      <c r="ULN143" s="69"/>
      <c r="ULO143" s="69"/>
      <c r="ULP143" s="69"/>
      <c r="ULQ143" s="69"/>
      <c r="ULR143" s="69"/>
      <c r="ULS143" s="69"/>
      <c r="ULT143" s="69"/>
      <c r="ULU143" s="69"/>
      <c r="ULV143" s="69"/>
      <c r="ULW143" s="69"/>
      <c r="ULX143" s="69"/>
      <c r="ULY143" s="69"/>
      <c r="ULZ143" s="69"/>
      <c r="UMA143" s="69"/>
      <c r="UMB143" s="69"/>
      <c r="UMC143" s="69"/>
      <c r="UMD143" s="69"/>
      <c r="UME143" s="69"/>
      <c r="UMF143" s="69"/>
      <c r="UMG143" s="69"/>
      <c r="UMH143" s="69"/>
      <c r="UMI143" s="69"/>
      <c r="UMJ143" s="69"/>
      <c r="UMK143" s="69"/>
      <c r="UML143" s="69"/>
      <c r="UMM143" s="69"/>
      <c r="UMN143" s="69"/>
      <c r="UMO143" s="69"/>
      <c r="UMP143" s="69"/>
      <c r="UMQ143" s="69"/>
      <c r="UMR143" s="69"/>
      <c r="UMS143" s="69"/>
      <c r="UMT143" s="69"/>
      <c r="UMU143" s="69"/>
      <c r="UMV143" s="69"/>
      <c r="UMW143" s="69"/>
      <c r="UMX143" s="69"/>
      <c r="UMY143" s="69"/>
      <c r="UMZ143" s="69"/>
      <c r="UNA143" s="69"/>
      <c r="UNB143" s="69"/>
      <c r="UNC143" s="69"/>
      <c r="UND143" s="69"/>
      <c r="UNE143" s="69"/>
      <c r="UNF143" s="69"/>
      <c r="UNG143" s="69"/>
      <c r="UNH143" s="69"/>
      <c r="UNI143" s="69"/>
      <c r="UNJ143" s="69"/>
      <c r="UNK143" s="69"/>
      <c r="UNL143" s="69"/>
      <c r="UNM143" s="69"/>
      <c r="UNN143" s="69"/>
      <c r="UNO143" s="69"/>
      <c r="UNP143" s="69"/>
      <c r="UNQ143" s="69"/>
      <c r="UNR143" s="69"/>
      <c r="UNS143" s="69"/>
      <c r="UNT143" s="69"/>
      <c r="UNU143" s="69"/>
      <c r="UNV143" s="69"/>
      <c r="UNW143" s="69"/>
      <c r="UNX143" s="69"/>
      <c r="UNY143" s="69"/>
      <c r="UNZ143" s="69"/>
      <c r="UOA143" s="69"/>
      <c r="UOB143" s="69"/>
      <c r="UOC143" s="69"/>
      <c r="UOD143" s="69"/>
      <c r="UOE143" s="69"/>
      <c r="UOF143" s="69"/>
      <c r="UOG143" s="69"/>
      <c r="UOH143" s="69"/>
      <c r="UOI143" s="69"/>
      <c r="UOJ143" s="69"/>
      <c r="UOK143" s="69"/>
      <c r="UOL143" s="69"/>
      <c r="UOM143" s="69"/>
      <c r="UON143" s="69"/>
      <c r="UOO143" s="69"/>
      <c r="UOP143" s="69"/>
      <c r="UOQ143" s="69"/>
      <c r="UOR143" s="69"/>
      <c r="UOS143" s="69"/>
      <c r="UOT143" s="69"/>
      <c r="UOU143" s="69"/>
      <c r="UOV143" s="69"/>
      <c r="UOW143" s="69"/>
      <c r="UOX143" s="69"/>
      <c r="UOY143" s="69"/>
      <c r="UOZ143" s="69"/>
      <c r="UPA143" s="69"/>
      <c r="UPB143" s="69"/>
      <c r="UPC143" s="69"/>
      <c r="UPD143" s="69"/>
      <c r="UPE143" s="69"/>
      <c r="UPF143" s="69"/>
      <c r="UPG143" s="69"/>
      <c r="UPH143" s="69"/>
      <c r="UPI143" s="69"/>
      <c r="UPJ143" s="69"/>
      <c r="UPK143" s="69"/>
      <c r="UPL143" s="69"/>
      <c r="UPM143" s="69"/>
      <c r="UPN143" s="69"/>
      <c r="UPO143" s="69"/>
      <c r="UPP143" s="69"/>
      <c r="UPQ143" s="69"/>
      <c r="UPR143" s="69"/>
      <c r="UPS143" s="69"/>
      <c r="UPT143" s="69"/>
      <c r="UPU143" s="69"/>
      <c r="UPV143" s="69"/>
      <c r="UPW143" s="69"/>
      <c r="UPX143" s="69"/>
      <c r="UPY143" s="69"/>
      <c r="UPZ143" s="69"/>
      <c r="UQA143" s="69"/>
      <c r="UQB143" s="69"/>
      <c r="UQC143" s="69"/>
      <c r="UQD143" s="69"/>
      <c r="UQE143" s="69"/>
      <c r="UQF143" s="69"/>
      <c r="UQG143" s="69"/>
      <c r="UQH143" s="69"/>
      <c r="UQI143" s="69"/>
      <c r="UQJ143" s="69"/>
      <c r="UQK143" s="69"/>
      <c r="UQL143" s="69"/>
      <c r="UQM143" s="69"/>
      <c r="UQN143" s="69"/>
      <c r="UQO143" s="69"/>
      <c r="UQP143" s="69"/>
      <c r="UQQ143" s="69"/>
      <c r="UQR143" s="69"/>
      <c r="UQS143" s="69"/>
      <c r="UQT143" s="69"/>
      <c r="UQU143" s="69"/>
      <c r="UQV143" s="69"/>
      <c r="UQW143" s="69"/>
      <c r="UQX143" s="69"/>
      <c r="UQY143" s="69"/>
      <c r="UQZ143" s="69"/>
      <c r="URA143" s="69"/>
      <c r="URB143" s="69"/>
      <c r="URC143" s="69"/>
      <c r="URD143" s="69"/>
      <c r="URE143" s="69"/>
      <c r="URF143" s="69"/>
      <c r="URG143" s="69"/>
      <c r="URH143" s="69"/>
      <c r="URI143" s="69"/>
      <c r="URJ143" s="69"/>
      <c r="URK143" s="69"/>
      <c r="URL143" s="69"/>
      <c r="URM143" s="69"/>
      <c r="URN143" s="69"/>
      <c r="URO143" s="69"/>
      <c r="URP143" s="69"/>
      <c r="URQ143" s="69"/>
      <c r="URR143" s="69"/>
      <c r="URS143" s="69"/>
      <c r="URT143" s="69"/>
      <c r="URU143" s="69"/>
      <c r="URV143" s="69"/>
      <c r="URW143" s="69"/>
      <c r="URX143" s="69"/>
      <c r="URY143" s="69"/>
      <c r="URZ143" s="69"/>
      <c r="USA143" s="69"/>
      <c r="USB143" s="69"/>
      <c r="USC143" s="69"/>
      <c r="USD143" s="69"/>
      <c r="USE143" s="69"/>
      <c r="USF143" s="69"/>
      <c r="USG143" s="69"/>
      <c r="USH143" s="69"/>
      <c r="USI143" s="69"/>
      <c r="USJ143" s="69"/>
      <c r="USK143" s="69"/>
      <c r="USL143" s="69"/>
      <c r="USM143" s="69"/>
      <c r="USN143" s="69"/>
      <c r="USO143" s="69"/>
      <c r="USP143" s="69"/>
      <c r="USQ143" s="69"/>
      <c r="USR143" s="69"/>
      <c r="USS143" s="69"/>
      <c r="UST143" s="69"/>
      <c r="USU143" s="69"/>
      <c r="USV143" s="69"/>
      <c r="USW143" s="69"/>
      <c r="USX143" s="69"/>
      <c r="USY143" s="69"/>
      <c r="USZ143" s="69"/>
      <c r="UTA143" s="69"/>
      <c r="UTB143" s="69"/>
      <c r="UTC143" s="69"/>
      <c r="UTD143" s="69"/>
      <c r="UTE143" s="69"/>
      <c r="UTF143" s="69"/>
      <c r="UTG143" s="69"/>
      <c r="UTH143" s="69"/>
      <c r="UTI143" s="69"/>
      <c r="UTJ143" s="69"/>
      <c r="UTK143" s="69"/>
      <c r="UTL143" s="69"/>
      <c r="UTM143" s="69"/>
      <c r="UTN143" s="69"/>
      <c r="UTO143" s="69"/>
      <c r="UTP143" s="69"/>
      <c r="UTQ143" s="69"/>
      <c r="UTR143" s="69"/>
      <c r="UTS143" s="69"/>
      <c r="UTT143" s="69"/>
      <c r="UTU143" s="69"/>
      <c r="UTV143" s="69"/>
      <c r="UTW143" s="69"/>
      <c r="UTX143" s="69"/>
      <c r="UTY143" s="69"/>
      <c r="UTZ143" s="69"/>
      <c r="UUA143" s="69"/>
      <c r="UUB143" s="69"/>
      <c r="UUC143" s="69"/>
      <c r="UUD143" s="69"/>
      <c r="UUE143" s="69"/>
      <c r="UUF143" s="69"/>
      <c r="UUG143" s="69"/>
      <c r="UUH143" s="69"/>
      <c r="UUI143" s="69"/>
      <c r="UUJ143" s="69"/>
      <c r="UUK143" s="69"/>
      <c r="UUL143" s="69"/>
      <c r="UUM143" s="69"/>
      <c r="UUN143" s="69"/>
      <c r="UUO143" s="69"/>
      <c r="UUP143" s="69"/>
      <c r="UUQ143" s="69"/>
      <c r="UUR143" s="69"/>
      <c r="UUS143" s="69"/>
      <c r="UUT143" s="69"/>
      <c r="UUU143" s="69"/>
      <c r="UUV143" s="69"/>
      <c r="UUW143" s="69"/>
      <c r="UUX143" s="69"/>
      <c r="UUY143" s="69"/>
      <c r="UUZ143" s="69"/>
      <c r="UVA143" s="69"/>
      <c r="UVB143" s="69"/>
      <c r="UVC143" s="69"/>
      <c r="UVD143" s="69"/>
      <c r="UVE143" s="69"/>
      <c r="UVF143" s="69"/>
      <c r="UVG143" s="69"/>
      <c r="UVH143" s="69"/>
      <c r="UVI143" s="69"/>
      <c r="UVJ143" s="69"/>
      <c r="UVK143" s="69"/>
      <c r="UVL143" s="69"/>
      <c r="UVM143" s="69"/>
      <c r="UVN143" s="69"/>
      <c r="UVO143" s="69"/>
      <c r="UVP143" s="69"/>
      <c r="UVQ143" s="69"/>
      <c r="UVR143" s="69"/>
      <c r="UVS143" s="69"/>
      <c r="UVT143" s="69"/>
      <c r="UVU143" s="69"/>
      <c r="UVV143" s="69"/>
      <c r="UVW143" s="69"/>
      <c r="UVX143" s="69"/>
      <c r="UVY143" s="69"/>
      <c r="UVZ143" s="69"/>
      <c r="UWA143" s="69"/>
      <c r="UWB143" s="69"/>
      <c r="UWC143" s="69"/>
      <c r="UWD143" s="69"/>
      <c r="UWE143" s="69"/>
      <c r="UWF143" s="69"/>
      <c r="UWG143" s="69"/>
      <c r="UWH143" s="69"/>
      <c r="UWI143" s="69"/>
      <c r="UWJ143" s="69"/>
      <c r="UWK143" s="69"/>
      <c r="UWL143" s="69"/>
      <c r="UWM143" s="69"/>
      <c r="UWN143" s="69"/>
      <c r="UWO143" s="69"/>
      <c r="UWP143" s="69"/>
      <c r="UWQ143" s="69"/>
      <c r="UWR143" s="69"/>
      <c r="UWS143" s="69"/>
      <c r="UWT143" s="69"/>
      <c r="UWU143" s="69"/>
      <c r="UWV143" s="69"/>
      <c r="UWW143" s="69"/>
      <c r="UWX143" s="69"/>
      <c r="UWY143" s="69"/>
      <c r="UWZ143" s="69"/>
      <c r="UXA143" s="69"/>
      <c r="UXB143" s="69"/>
      <c r="UXC143" s="69"/>
      <c r="UXD143" s="69"/>
      <c r="UXE143" s="69"/>
      <c r="UXF143" s="69"/>
      <c r="UXG143" s="69"/>
      <c r="UXH143" s="69"/>
      <c r="UXI143" s="69"/>
      <c r="UXJ143" s="69"/>
      <c r="UXK143" s="69"/>
      <c r="UXL143" s="69"/>
      <c r="UXM143" s="69"/>
      <c r="UXN143" s="69"/>
      <c r="UXO143" s="69"/>
      <c r="UXP143" s="69"/>
      <c r="UXQ143" s="69"/>
      <c r="UXR143" s="69"/>
      <c r="UXS143" s="69"/>
      <c r="UXT143" s="69"/>
      <c r="UXU143" s="69"/>
      <c r="UXV143" s="69"/>
      <c r="UXW143" s="69"/>
      <c r="UXX143" s="69"/>
      <c r="UXY143" s="69"/>
      <c r="UXZ143" s="69"/>
      <c r="UYA143" s="69"/>
      <c r="UYB143" s="69"/>
      <c r="UYC143" s="69"/>
      <c r="UYD143" s="69"/>
      <c r="UYE143" s="69"/>
      <c r="UYF143" s="69"/>
      <c r="UYG143" s="69"/>
      <c r="UYH143" s="69"/>
      <c r="UYI143" s="69"/>
      <c r="UYJ143" s="69"/>
      <c r="UYK143" s="69"/>
      <c r="UYL143" s="69"/>
      <c r="UYM143" s="69"/>
      <c r="UYN143" s="69"/>
      <c r="UYO143" s="69"/>
      <c r="UYP143" s="69"/>
      <c r="UYQ143" s="69"/>
      <c r="UYR143" s="69"/>
      <c r="UYS143" s="69"/>
      <c r="UYT143" s="69"/>
      <c r="UYU143" s="69"/>
      <c r="UYV143" s="69"/>
      <c r="UYW143" s="69"/>
      <c r="UYX143" s="69"/>
      <c r="UYY143" s="69"/>
      <c r="UYZ143" s="69"/>
      <c r="UZA143" s="69"/>
      <c r="UZB143" s="69"/>
      <c r="UZC143" s="69"/>
      <c r="UZD143" s="69"/>
      <c r="UZE143" s="69"/>
      <c r="UZF143" s="69"/>
      <c r="UZG143" s="69"/>
      <c r="UZH143" s="69"/>
      <c r="UZI143" s="69"/>
      <c r="UZJ143" s="69"/>
      <c r="UZK143" s="69"/>
      <c r="UZL143" s="69"/>
      <c r="UZM143" s="69"/>
      <c r="UZN143" s="69"/>
      <c r="UZO143" s="69"/>
      <c r="UZP143" s="69"/>
      <c r="UZQ143" s="69"/>
      <c r="UZR143" s="69"/>
      <c r="UZS143" s="69"/>
      <c r="UZT143" s="69"/>
      <c r="UZU143" s="69"/>
      <c r="UZV143" s="69"/>
      <c r="UZW143" s="69"/>
      <c r="UZX143" s="69"/>
      <c r="UZY143" s="69"/>
      <c r="UZZ143" s="69"/>
      <c r="VAA143" s="69"/>
      <c r="VAB143" s="69"/>
      <c r="VAC143" s="69"/>
      <c r="VAD143" s="69"/>
      <c r="VAE143" s="69"/>
      <c r="VAF143" s="69"/>
      <c r="VAG143" s="69"/>
      <c r="VAH143" s="69"/>
      <c r="VAI143" s="69"/>
      <c r="VAJ143" s="69"/>
      <c r="VAK143" s="69"/>
      <c r="VAL143" s="69"/>
      <c r="VAM143" s="69"/>
      <c r="VAN143" s="69"/>
      <c r="VAO143" s="69"/>
      <c r="VAP143" s="69"/>
      <c r="VAQ143" s="69"/>
      <c r="VAR143" s="69"/>
      <c r="VAS143" s="69"/>
      <c r="VAT143" s="69"/>
      <c r="VAU143" s="69"/>
      <c r="VAV143" s="69"/>
      <c r="VAW143" s="69"/>
      <c r="VAX143" s="69"/>
      <c r="VAY143" s="69"/>
      <c r="VAZ143" s="69"/>
      <c r="VBA143" s="69"/>
      <c r="VBB143" s="69"/>
      <c r="VBC143" s="69"/>
      <c r="VBD143" s="69"/>
      <c r="VBE143" s="69"/>
      <c r="VBF143" s="69"/>
      <c r="VBG143" s="69"/>
      <c r="VBH143" s="69"/>
      <c r="VBI143" s="69"/>
      <c r="VBJ143" s="69"/>
      <c r="VBK143" s="69"/>
      <c r="VBL143" s="69"/>
      <c r="VBM143" s="69"/>
      <c r="VBN143" s="69"/>
      <c r="VBO143" s="69"/>
      <c r="VBP143" s="69"/>
      <c r="VBQ143" s="69"/>
      <c r="VBR143" s="69"/>
      <c r="VBS143" s="69"/>
      <c r="VBT143" s="69"/>
      <c r="VBU143" s="69"/>
      <c r="VBV143" s="69"/>
      <c r="VBW143" s="69"/>
      <c r="VBX143" s="69"/>
      <c r="VBY143" s="69"/>
      <c r="VBZ143" s="69"/>
      <c r="VCA143" s="69"/>
      <c r="VCB143" s="69"/>
      <c r="VCC143" s="69"/>
      <c r="VCD143" s="69"/>
      <c r="VCE143" s="69"/>
      <c r="VCF143" s="69"/>
      <c r="VCG143" s="69"/>
      <c r="VCH143" s="69"/>
      <c r="VCI143" s="69"/>
      <c r="VCJ143" s="69"/>
      <c r="VCK143" s="69"/>
      <c r="VCL143" s="69"/>
      <c r="VCM143" s="69"/>
      <c r="VCN143" s="69"/>
      <c r="VCO143" s="69"/>
      <c r="VCP143" s="69"/>
      <c r="VCQ143" s="69"/>
      <c r="VCR143" s="69"/>
      <c r="VCS143" s="69"/>
      <c r="VCT143" s="69"/>
      <c r="VCU143" s="69"/>
      <c r="VCV143" s="69"/>
      <c r="VCW143" s="69"/>
      <c r="VCX143" s="69"/>
      <c r="VCY143" s="69"/>
      <c r="VCZ143" s="69"/>
      <c r="VDA143" s="69"/>
      <c r="VDB143" s="69"/>
      <c r="VDC143" s="69"/>
      <c r="VDD143" s="69"/>
      <c r="VDE143" s="69"/>
      <c r="VDF143" s="69"/>
      <c r="VDG143" s="69"/>
      <c r="VDH143" s="69"/>
      <c r="VDI143" s="69"/>
      <c r="VDJ143" s="69"/>
      <c r="VDK143" s="69"/>
      <c r="VDL143" s="69"/>
      <c r="VDM143" s="69"/>
      <c r="VDN143" s="69"/>
      <c r="VDO143" s="69"/>
      <c r="VDP143" s="69"/>
      <c r="VDQ143" s="69"/>
      <c r="VDR143" s="69"/>
      <c r="VDS143" s="69"/>
      <c r="VDT143" s="69"/>
      <c r="VDU143" s="69"/>
      <c r="VDV143" s="69"/>
      <c r="VDW143" s="69"/>
      <c r="VDX143" s="69"/>
      <c r="VDY143" s="69"/>
      <c r="VDZ143" s="69"/>
      <c r="VEA143" s="69"/>
      <c r="VEB143" s="69"/>
      <c r="VEC143" s="69"/>
      <c r="VED143" s="69"/>
      <c r="VEE143" s="69"/>
      <c r="VEF143" s="69"/>
      <c r="VEG143" s="69"/>
      <c r="VEH143" s="69"/>
      <c r="VEI143" s="69"/>
      <c r="VEJ143" s="69"/>
      <c r="VEK143" s="69"/>
      <c r="VEL143" s="69"/>
      <c r="VEM143" s="69"/>
      <c r="VEN143" s="69"/>
      <c r="VEO143" s="69"/>
      <c r="VEP143" s="69"/>
      <c r="VEQ143" s="69"/>
      <c r="VER143" s="69"/>
      <c r="VES143" s="69"/>
      <c r="VET143" s="69"/>
      <c r="VEU143" s="69"/>
      <c r="VEV143" s="69"/>
      <c r="VEW143" s="69"/>
      <c r="VEX143" s="69"/>
      <c r="VEY143" s="69"/>
      <c r="VEZ143" s="69"/>
      <c r="VFA143" s="69"/>
      <c r="VFB143" s="69"/>
      <c r="VFC143" s="69"/>
      <c r="VFD143" s="69"/>
      <c r="VFE143" s="69"/>
      <c r="VFF143" s="69"/>
      <c r="VFG143" s="69"/>
      <c r="VFH143" s="69"/>
      <c r="VFI143" s="69"/>
      <c r="VFJ143" s="69"/>
      <c r="VFK143" s="69"/>
      <c r="VFL143" s="69"/>
      <c r="VFM143" s="69"/>
      <c r="VFN143" s="69"/>
      <c r="VFO143" s="69"/>
      <c r="VFP143" s="69"/>
      <c r="VFQ143" s="69"/>
      <c r="VFR143" s="69"/>
      <c r="VFS143" s="69"/>
      <c r="VFT143" s="69"/>
      <c r="VFU143" s="69"/>
      <c r="VFV143" s="69"/>
      <c r="VFW143" s="69"/>
      <c r="VFX143" s="69"/>
      <c r="VFY143" s="69"/>
      <c r="VFZ143" s="69"/>
      <c r="VGA143" s="69"/>
      <c r="VGB143" s="69"/>
      <c r="VGC143" s="69"/>
      <c r="VGD143" s="69"/>
      <c r="VGE143" s="69"/>
      <c r="VGF143" s="69"/>
      <c r="VGG143" s="69"/>
      <c r="VGH143" s="69"/>
      <c r="VGI143" s="69"/>
      <c r="VGJ143" s="69"/>
      <c r="VGK143" s="69"/>
      <c r="VGL143" s="69"/>
      <c r="VGM143" s="69"/>
      <c r="VGN143" s="69"/>
      <c r="VGO143" s="69"/>
      <c r="VGP143" s="69"/>
      <c r="VGQ143" s="69"/>
      <c r="VGR143" s="69"/>
      <c r="VGS143" s="69"/>
      <c r="VGT143" s="69"/>
      <c r="VGU143" s="69"/>
      <c r="VGV143" s="69"/>
      <c r="VGW143" s="69"/>
      <c r="VGX143" s="69"/>
      <c r="VGY143" s="69"/>
      <c r="VGZ143" s="69"/>
      <c r="VHA143" s="69"/>
      <c r="VHB143" s="69"/>
      <c r="VHC143" s="69"/>
      <c r="VHD143" s="69"/>
      <c r="VHE143" s="69"/>
      <c r="VHF143" s="69"/>
      <c r="VHG143" s="69"/>
      <c r="VHH143" s="69"/>
      <c r="VHI143" s="69"/>
      <c r="VHJ143" s="69"/>
      <c r="VHK143" s="69"/>
      <c r="VHL143" s="69"/>
      <c r="VHM143" s="69"/>
      <c r="VHN143" s="69"/>
      <c r="VHO143" s="69"/>
      <c r="VHP143" s="69"/>
      <c r="VHQ143" s="69"/>
      <c r="VHR143" s="69"/>
      <c r="VHS143" s="69"/>
      <c r="VHT143" s="69"/>
      <c r="VHU143" s="69"/>
      <c r="VHV143" s="69"/>
      <c r="VHW143" s="69"/>
      <c r="VHX143" s="69"/>
      <c r="VHY143" s="69"/>
      <c r="VHZ143" s="69"/>
      <c r="VIA143" s="69"/>
      <c r="VIB143" s="69"/>
      <c r="VIC143" s="69"/>
      <c r="VID143" s="69"/>
      <c r="VIE143" s="69"/>
      <c r="VIF143" s="69"/>
      <c r="VIG143" s="69"/>
      <c r="VIH143" s="69"/>
      <c r="VII143" s="69"/>
      <c r="VIJ143" s="69"/>
      <c r="VIK143" s="69"/>
      <c r="VIL143" s="69"/>
      <c r="VIM143" s="69"/>
      <c r="VIN143" s="69"/>
      <c r="VIO143" s="69"/>
      <c r="VIP143" s="69"/>
      <c r="VIQ143" s="69"/>
      <c r="VIR143" s="69"/>
      <c r="VIS143" s="69"/>
      <c r="VIT143" s="69"/>
      <c r="VIU143" s="69"/>
      <c r="VIV143" s="69"/>
      <c r="VIW143" s="69"/>
      <c r="VIX143" s="69"/>
      <c r="VIY143" s="69"/>
      <c r="VIZ143" s="69"/>
      <c r="VJA143" s="69"/>
      <c r="VJB143" s="69"/>
      <c r="VJC143" s="69"/>
      <c r="VJD143" s="69"/>
      <c r="VJE143" s="69"/>
      <c r="VJF143" s="69"/>
      <c r="VJG143" s="69"/>
      <c r="VJH143" s="69"/>
      <c r="VJI143" s="69"/>
      <c r="VJJ143" s="69"/>
      <c r="VJK143" s="69"/>
      <c r="VJL143" s="69"/>
      <c r="VJM143" s="69"/>
      <c r="VJN143" s="69"/>
      <c r="VJO143" s="69"/>
      <c r="VJP143" s="69"/>
      <c r="VJQ143" s="69"/>
      <c r="VJR143" s="69"/>
      <c r="VJS143" s="69"/>
      <c r="VJT143" s="69"/>
      <c r="VJU143" s="69"/>
      <c r="VJV143" s="69"/>
      <c r="VJW143" s="69"/>
      <c r="VJX143" s="69"/>
      <c r="VJY143" s="69"/>
      <c r="VJZ143" s="69"/>
      <c r="VKA143" s="69"/>
      <c r="VKB143" s="69"/>
      <c r="VKC143" s="69"/>
      <c r="VKD143" s="69"/>
      <c r="VKE143" s="69"/>
      <c r="VKF143" s="69"/>
      <c r="VKG143" s="69"/>
      <c r="VKH143" s="69"/>
      <c r="VKI143" s="69"/>
      <c r="VKJ143" s="69"/>
      <c r="VKK143" s="69"/>
      <c r="VKL143" s="69"/>
      <c r="VKM143" s="69"/>
      <c r="VKN143" s="69"/>
      <c r="VKO143" s="69"/>
      <c r="VKP143" s="69"/>
      <c r="VKQ143" s="69"/>
      <c r="VKR143" s="69"/>
      <c r="VKS143" s="69"/>
      <c r="VKT143" s="69"/>
      <c r="VKU143" s="69"/>
      <c r="VKV143" s="69"/>
      <c r="VKW143" s="69"/>
      <c r="VKX143" s="69"/>
      <c r="VKY143" s="69"/>
      <c r="VKZ143" s="69"/>
      <c r="VLA143" s="69"/>
      <c r="VLB143" s="69"/>
      <c r="VLC143" s="69"/>
      <c r="VLD143" s="69"/>
      <c r="VLE143" s="69"/>
      <c r="VLF143" s="69"/>
      <c r="VLG143" s="69"/>
      <c r="VLH143" s="69"/>
      <c r="VLI143" s="69"/>
      <c r="VLJ143" s="69"/>
      <c r="VLK143" s="69"/>
      <c r="VLL143" s="69"/>
      <c r="VLM143" s="69"/>
      <c r="VLN143" s="69"/>
      <c r="VLO143" s="69"/>
      <c r="VLP143" s="69"/>
      <c r="VLQ143" s="69"/>
      <c r="VLR143" s="69"/>
      <c r="VLS143" s="69"/>
      <c r="VLT143" s="69"/>
      <c r="VLU143" s="69"/>
      <c r="VLV143" s="69"/>
      <c r="VLW143" s="69"/>
      <c r="VLX143" s="69"/>
      <c r="VLY143" s="69"/>
      <c r="VLZ143" s="69"/>
      <c r="VMA143" s="69"/>
      <c r="VMB143" s="69"/>
      <c r="VMC143" s="69"/>
      <c r="VMD143" s="69"/>
      <c r="VME143" s="69"/>
      <c r="VMF143" s="69"/>
      <c r="VMG143" s="69"/>
      <c r="VMH143" s="69"/>
      <c r="VMI143" s="69"/>
      <c r="VMJ143" s="69"/>
      <c r="VMK143" s="69"/>
      <c r="VML143" s="69"/>
      <c r="VMM143" s="69"/>
      <c r="VMN143" s="69"/>
      <c r="VMO143" s="69"/>
      <c r="VMP143" s="69"/>
      <c r="VMQ143" s="69"/>
      <c r="VMR143" s="69"/>
      <c r="VMS143" s="69"/>
      <c r="VMT143" s="69"/>
      <c r="VMU143" s="69"/>
      <c r="VMV143" s="69"/>
      <c r="VMW143" s="69"/>
      <c r="VMX143" s="69"/>
      <c r="VMY143" s="69"/>
      <c r="VMZ143" s="69"/>
      <c r="VNA143" s="69"/>
      <c r="VNB143" s="69"/>
      <c r="VNC143" s="69"/>
      <c r="VND143" s="69"/>
      <c r="VNE143" s="69"/>
      <c r="VNF143" s="69"/>
      <c r="VNG143" s="69"/>
      <c r="VNH143" s="69"/>
      <c r="VNI143" s="69"/>
      <c r="VNJ143" s="69"/>
      <c r="VNK143" s="69"/>
      <c r="VNL143" s="69"/>
      <c r="VNM143" s="69"/>
      <c r="VNN143" s="69"/>
      <c r="VNO143" s="69"/>
      <c r="VNP143" s="69"/>
      <c r="VNQ143" s="69"/>
      <c r="VNR143" s="69"/>
      <c r="VNS143" s="69"/>
      <c r="VNT143" s="69"/>
      <c r="VNU143" s="69"/>
      <c r="VNV143" s="69"/>
      <c r="VNW143" s="69"/>
      <c r="VNX143" s="69"/>
      <c r="VNY143" s="69"/>
      <c r="VNZ143" s="69"/>
      <c r="VOA143" s="69"/>
      <c r="VOB143" s="69"/>
      <c r="VOC143" s="69"/>
      <c r="VOD143" s="69"/>
      <c r="VOE143" s="69"/>
      <c r="VOF143" s="69"/>
      <c r="VOG143" s="69"/>
      <c r="VOH143" s="69"/>
      <c r="VOI143" s="69"/>
      <c r="VOJ143" s="69"/>
      <c r="VOK143" s="69"/>
      <c r="VOL143" s="69"/>
      <c r="VOM143" s="69"/>
      <c r="VON143" s="69"/>
      <c r="VOO143" s="69"/>
      <c r="VOP143" s="69"/>
      <c r="VOQ143" s="69"/>
      <c r="VOR143" s="69"/>
      <c r="VOS143" s="69"/>
      <c r="VOT143" s="69"/>
      <c r="VOU143" s="69"/>
      <c r="VOV143" s="69"/>
      <c r="VOW143" s="69"/>
      <c r="VOX143" s="69"/>
      <c r="VOY143" s="69"/>
      <c r="VOZ143" s="69"/>
      <c r="VPA143" s="69"/>
      <c r="VPB143" s="69"/>
      <c r="VPC143" s="69"/>
      <c r="VPD143" s="69"/>
      <c r="VPE143" s="69"/>
      <c r="VPF143" s="69"/>
      <c r="VPG143" s="69"/>
      <c r="VPH143" s="69"/>
      <c r="VPI143" s="69"/>
      <c r="VPJ143" s="69"/>
      <c r="VPK143" s="69"/>
      <c r="VPL143" s="69"/>
      <c r="VPM143" s="69"/>
      <c r="VPN143" s="69"/>
      <c r="VPO143" s="69"/>
      <c r="VPP143" s="69"/>
      <c r="VPQ143" s="69"/>
      <c r="VPR143" s="69"/>
      <c r="VPS143" s="69"/>
      <c r="VPT143" s="69"/>
      <c r="VPU143" s="69"/>
      <c r="VPV143" s="69"/>
      <c r="VPW143" s="69"/>
      <c r="VPX143" s="69"/>
      <c r="VPY143" s="69"/>
      <c r="VPZ143" s="69"/>
      <c r="VQA143" s="69"/>
      <c r="VQB143" s="69"/>
      <c r="VQC143" s="69"/>
      <c r="VQD143" s="69"/>
      <c r="VQE143" s="69"/>
      <c r="VQF143" s="69"/>
      <c r="VQG143" s="69"/>
      <c r="VQH143" s="69"/>
      <c r="VQI143" s="69"/>
      <c r="VQJ143" s="69"/>
      <c r="VQK143" s="69"/>
      <c r="VQL143" s="69"/>
      <c r="VQM143" s="69"/>
      <c r="VQN143" s="69"/>
      <c r="VQO143" s="69"/>
      <c r="VQP143" s="69"/>
      <c r="VQQ143" s="69"/>
      <c r="VQR143" s="69"/>
      <c r="VQS143" s="69"/>
      <c r="VQT143" s="69"/>
      <c r="VQU143" s="69"/>
      <c r="VQV143" s="69"/>
      <c r="VQW143" s="69"/>
      <c r="VQX143" s="69"/>
      <c r="VQY143" s="69"/>
      <c r="VQZ143" s="69"/>
      <c r="VRA143" s="69"/>
      <c r="VRB143" s="69"/>
      <c r="VRC143" s="69"/>
      <c r="VRD143" s="69"/>
      <c r="VRE143" s="69"/>
      <c r="VRF143" s="69"/>
      <c r="VRG143" s="69"/>
      <c r="VRH143" s="69"/>
      <c r="VRI143" s="69"/>
      <c r="VRJ143" s="69"/>
      <c r="VRK143" s="69"/>
      <c r="VRL143" s="69"/>
      <c r="VRM143" s="69"/>
      <c r="VRN143" s="69"/>
      <c r="VRO143" s="69"/>
      <c r="VRP143" s="69"/>
      <c r="VRQ143" s="69"/>
      <c r="VRR143" s="69"/>
      <c r="VRS143" s="69"/>
      <c r="VRT143" s="69"/>
      <c r="VRU143" s="69"/>
      <c r="VRV143" s="69"/>
      <c r="VRW143" s="69"/>
      <c r="VRX143" s="69"/>
      <c r="VRY143" s="69"/>
      <c r="VRZ143" s="69"/>
      <c r="VSA143" s="69"/>
      <c r="VSB143" s="69"/>
      <c r="VSC143" s="69"/>
      <c r="VSD143" s="69"/>
      <c r="VSE143" s="69"/>
      <c r="VSF143" s="69"/>
      <c r="VSG143" s="69"/>
      <c r="VSH143" s="69"/>
      <c r="VSI143" s="69"/>
      <c r="VSJ143" s="69"/>
      <c r="VSK143" s="69"/>
      <c r="VSL143" s="69"/>
      <c r="VSM143" s="69"/>
      <c r="VSN143" s="69"/>
      <c r="VSO143" s="69"/>
      <c r="VSP143" s="69"/>
      <c r="VSQ143" s="69"/>
      <c r="VSR143" s="69"/>
      <c r="VSS143" s="69"/>
      <c r="VST143" s="69"/>
      <c r="VSU143" s="69"/>
      <c r="VSV143" s="69"/>
      <c r="VSW143" s="69"/>
      <c r="VSX143" s="69"/>
      <c r="VSY143" s="69"/>
      <c r="VSZ143" s="69"/>
      <c r="VTA143" s="69"/>
      <c r="VTB143" s="69"/>
      <c r="VTC143" s="69"/>
      <c r="VTD143" s="69"/>
      <c r="VTE143" s="69"/>
      <c r="VTF143" s="69"/>
      <c r="VTG143" s="69"/>
      <c r="VTH143" s="69"/>
      <c r="VTI143" s="69"/>
      <c r="VTJ143" s="69"/>
      <c r="VTK143" s="69"/>
      <c r="VTL143" s="69"/>
      <c r="VTM143" s="69"/>
      <c r="VTN143" s="69"/>
      <c r="VTO143" s="69"/>
      <c r="VTP143" s="69"/>
      <c r="VTQ143" s="69"/>
      <c r="VTR143" s="69"/>
      <c r="VTS143" s="69"/>
      <c r="VTT143" s="69"/>
      <c r="VTU143" s="69"/>
      <c r="VTV143" s="69"/>
      <c r="VTW143" s="69"/>
      <c r="VTX143" s="69"/>
      <c r="VTY143" s="69"/>
      <c r="VTZ143" s="69"/>
      <c r="VUA143" s="69"/>
      <c r="VUB143" s="69"/>
      <c r="VUC143" s="69"/>
      <c r="VUD143" s="69"/>
      <c r="VUE143" s="69"/>
      <c r="VUF143" s="69"/>
      <c r="VUG143" s="69"/>
      <c r="VUH143" s="69"/>
      <c r="VUI143" s="69"/>
      <c r="VUJ143" s="69"/>
      <c r="VUK143" s="69"/>
      <c r="VUL143" s="69"/>
      <c r="VUM143" s="69"/>
      <c r="VUN143" s="69"/>
      <c r="VUO143" s="69"/>
      <c r="VUP143" s="69"/>
      <c r="VUQ143" s="69"/>
      <c r="VUR143" s="69"/>
      <c r="VUS143" s="69"/>
      <c r="VUT143" s="69"/>
      <c r="VUU143" s="69"/>
      <c r="VUV143" s="69"/>
      <c r="VUW143" s="69"/>
      <c r="VUX143" s="69"/>
      <c r="VUY143" s="69"/>
      <c r="VUZ143" s="69"/>
      <c r="VVA143" s="69"/>
      <c r="VVB143" s="69"/>
      <c r="VVC143" s="69"/>
      <c r="VVD143" s="69"/>
      <c r="VVE143" s="69"/>
      <c r="VVF143" s="69"/>
      <c r="VVG143" s="69"/>
      <c r="VVH143" s="69"/>
      <c r="VVI143" s="69"/>
      <c r="VVJ143" s="69"/>
      <c r="VVK143" s="69"/>
      <c r="VVL143" s="69"/>
      <c r="VVM143" s="69"/>
      <c r="VVN143" s="69"/>
      <c r="VVO143" s="69"/>
      <c r="VVP143" s="69"/>
      <c r="VVQ143" s="69"/>
      <c r="VVR143" s="69"/>
      <c r="VVS143" s="69"/>
      <c r="VVT143" s="69"/>
      <c r="VVU143" s="69"/>
      <c r="VVV143" s="69"/>
      <c r="VVW143" s="69"/>
      <c r="VVX143" s="69"/>
      <c r="VVY143" s="69"/>
      <c r="VVZ143" s="69"/>
      <c r="VWA143" s="69"/>
      <c r="VWB143" s="69"/>
      <c r="VWC143" s="69"/>
      <c r="VWD143" s="69"/>
      <c r="VWE143" s="69"/>
      <c r="VWF143" s="69"/>
      <c r="VWG143" s="69"/>
      <c r="VWH143" s="69"/>
      <c r="VWI143" s="69"/>
      <c r="VWJ143" s="69"/>
      <c r="VWK143" s="69"/>
      <c r="VWL143" s="69"/>
      <c r="VWM143" s="69"/>
      <c r="VWN143" s="69"/>
      <c r="VWO143" s="69"/>
      <c r="VWP143" s="69"/>
      <c r="VWQ143" s="69"/>
      <c r="VWR143" s="69"/>
      <c r="VWS143" s="69"/>
      <c r="VWT143" s="69"/>
      <c r="VWU143" s="69"/>
      <c r="VWV143" s="69"/>
      <c r="VWW143" s="69"/>
      <c r="VWX143" s="69"/>
      <c r="VWY143" s="69"/>
      <c r="VWZ143" s="69"/>
      <c r="VXA143" s="69"/>
      <c r="VXB143" s="69"/>
      <c r="VXC143" s="69"/>
      <c r="VXD143" s="69"/>
      <c r="VXE143" s="69"/>
      <c r="VXF143" s="69"/>
      <c r="VXG143" s="69"/>
      <c r="VXH143" s="69"/>
      <c r="VXI143" s="69"/>
      <c r="VXJ143" s="69"/>
      <c r="VXK143" s="69"/>
      <c r="VXL143" s="69"/>
      <c r="VXM143" s="69"/>
      <c r="VXN143" s="69"/>
      <c r="VXO143" s="69"/>
      <c r="VXP143" s="69"/>
      <c r="VXQ143" s="69"/>
      <c r="VXR143" s="69"/>
      <c r="VXS143" s="69"/>
      <c r="VXT143" s="69"/>
      <c r="VXU143" s="69"/>
      <c r="VXV143" s="69"/>
      <c r="VXW143" s="69"/>
      <c r="VXX143" s="69"/>
      <c r="VXY143" s="69"/>
      <c r="VXZ143" s="69"/>
      <c r="VYA143" s="69"/>
      <c r="VYB143" s="69"/>
      <c r="VYC143" s="69"/>
      <c r="VYD143" s="69"/>
      <c r="VYE143" s="69"/>
      <c r="VYF143" s="69"/>
      <c r="VYG143" s="69"/>
      <c r="VYH143" s="69"/>
      <c r="VYI143" s="69"/>
      <c r="VYJ143" s="69"/>
      <c r="VYK143" s="69"/>
      <c r="VYL143" s="69"/>
      <c r="VYM143" s="69"/>
      <c r="VYN143" s="69"/>
      <c r="VYO143" s="69"/>
      <c r="VYP143" s="69"/>
      <c r="VYQ143" s="69"/>
      <c r="VYR143" s="69"/>
      <c r="VYS143" s="69"/>
      <c r="VYT143" s="69"/>
      <c r="VYU143" s="69"/>
      <c r="VYV143" s="69"/>
      <c r="VYW143" s="69"/>
      <c r="VYX143" s="69"/>
      <c r="VYY143" s="69"/>
      <c r="VYZ143" s="69"/>
      <c r="VZA143" s="69"/>
      <c r="VZB143" s="69"/>
      <c r="VZC143" s="69"/>
      <c r="VZD143" s="69"/>
      <c r="VZE143" s="69"/>
      <c r="VZF143" s="69"/>
      <c r="VZG143" s="69"/>
      <c r="VZH143" s="69"/>
      <c r="VZI143" s="69"/>
      <c r="VZJ143" s="69"/>
      <c r="VZK143" s="69"/>
      <c r="VZL143" s="69"/>
      <c r="VZM143" s="69"/>
      <c r="VZN143" s="69"/>
      <c r="VZO143" s="69"/>
      <c r="VZP143" s="69"/>
      <c r="VZQ143" s="69"/>
      <c r="VZR143" s="69"/>
      <c r="VZS143" s="69"/>
      <c r="VZT143" s="69"/>
      <c r="VZU143" s="69"/>
      <c r="VZV143" s="69"/>
      <c r="VZW143" s="69"/>
      <c r="VZX143" s="69"/>
      <c r="VZY143" s="69"/>
      <c r="VZZ143" s="69"/>
      <c r="WAA143" s="69"/>
      <c r="WAB143" s="69"/>
      <c r="WAC143" s="69"/>
      <c r="WAD143" s="69"/>
      <c r="WAE143" s="69"/>
      <c r="WAF143" s="69"/>
      <c r="WAG143" s="69"/>
      <c r="WAH143" s="69"/>
      <c r="WAI143" s="69"/>
      <c r="WAJ143" s="69"/>
      <c r="WAK143" s="69"/>
      <c r="WAL143" s="69"/>
      <c r="WAM143" s="69"/>
      <c r="WAN143" s="69"/>
      <c r="WAO143" s="69"/>
      <c r="WAP143" s="69"/>
      <c r="WAQ143" s="69"/>
      <c r="WAR143" s="69"/>
      <c r="WAS143" s="69"/>
      <c r="WAT143" s="69"/>
      <c r="WAU143" s="69"/>
      <c r="WAV143" s="69"/>
      <c r="WAW143" s="69"/>
      <c r="WAX143" s="69"/>
      <c r="WAY143" s="69"/>
      <c r="WAZ143" s="69"/>
      <c r="WBA143" s="69"/>
      <c r="WBB143" s="69"/>
      <c r="WBC143" s="69"/>
      <c r="WBD143" s="69"/>
      <c r="WBE143" s="69"/>
      <c r="WBF143" s="69"/>
      <c r="WBG143" s="69"/>
      <c r="WBH143" s="69"/>
      <c r="WBI143" s="69"/>
      <c r="WBJ143" s="69"/>
      <c r="WBK143" s="69"/>
      <c r="WBL143" s="69"/>
      <c r="WBM143" s="69"/>
      <c r="WBN143" s="69"/>
      <c r="WBO143" s="69"/>
      <c r="WBP143" s="69"/>
      <c r="WBQ143" s="69"/>
      <c r="WBR143" s="69"/>
      <c r="WBS143" s="69"/>
      <c r="WBT143" s="69"/>
      <c r="WBU143" s="69"/>
      <c r="WBV143" s="69"/>
      <c r="WBW143" s="69"/>
      <c r="WBX143" s="69"/>
      <c r="WBY143" s="69"/>
      <c r="WBZ143" s="69"/>
      <c r="WCA143" s="69"/>
      <c r="WCB143" s="69"/>
      <c r="WCC143" s="69"/>
      <c r="WCD143" s="69"/>
      <c r="WCE143" s="69"/>
      <c r="WCF143" s="69"/>
      <c r="WCG143" s="69"/>
      <c r="WCH143" s="69"/>
      <c r="WCI143" s="69"/>
      <c r="WCJ143" s="69"/>
      <c r="WCK143" s="69"/>
      <c r="WCL143" s="69"/>
      <c r="WCM143" s="69"/>
      <c r="WCN143" s="69"/>
      <c r="WCO143" s="69"/>
      <c r="WCP143" s="69"/>
      <c r="WCQ143" s="69"/>
      <c r="WCR143" s="69"/>
      <c r="WCS143" s="69"/>
      <c r="WCT143" s="69"/>
      <c r="WCU143" s="69"/>
      <c r="WCV143" s="69"/>
      <c r="WCW143" s="69"/>
      <c r="WCX143" s="69"/>
      <c r="WCY143" s="69"/>
      <c r="WCZ143" s="69"/>
      <c r="WDA143" s="69"/>
      <c r="WDB143" s="69"/>
      <c r="WDC143" s="69"/>
      <c r="WDD143" s="69"/>
      <c r="WDE143" s="69"/>
      <c r="WDF143" s="69"/>
      <c r="WDG143" s="69"/>
      <c r="WDH143" s="69"/>
      <c r="WDI143" s="69"/>
      <c r="WDJ143" s="69"/>
      <c r="WDK143" s="69"/>
      <c r="WDL143" s="69"/>
      <c r="WDM143" s="69"/>
      <c r="WDN143" s="69"/>
      <c r="WDO143" s="69"/>
      <c r="WDP143" s="69"/>
      <c r="WDQ143" s="69"/>
      <c r="WDR143" s="69"/>
      <c r="WDS143" s="69"/>
      <c r="WDT143" s="69"/>
      <c r="WDU143" s="69"/>
      <c r="WDV143" s="69"/>
      <c r="WDW143" s="69"/>
      <c r="WDX143" s="69"/>
      <c r="WDY143" s="69"/>
      <c r="WDZ143" s="69"/>
      <c r="WEA143" s="69"/>
      <c r="WEB143" s="69"/>
      <c r="WEC143" s="69"/>
      <c r="WED143" s="69"/>
      <c r="WEE143" s="69"/>
      <c r="WEF143" s="69"/>
      <c r="WEG143" s="69"/>
      <c r="WEH143" s="69"/>
      <c r="WEI143" s="69"/>
      <c r="WEJ143" s="69"/>
      <c r="WEK143" s="69"/>
      <c r="WEL143" s="69"/>
      <c r="WEM143" s="69"/>
      <c r="WEN143" s="69"/>
      <c r="WEO143" s="69"/>
      <c r="WEP143" s="69"/>
      <c r="WEQ143" s="69"/>
      <c r="WER143" s="69"/>
      <c r="WES143" s="69"/>
      <c r="WET143" s="69"/>
      <c r="WEU143" s="69"/>
      <c r="WEV143" s="69"/>
      <c r="WEW143" s="69"/>
      <c r="WEX143" s="69"/>
      <c r="WEY143" s="69"/>
      <c r="WEZ143" s="69"/>
      <c r="WFA143" s="69"/>
      <c r="WFB143" s="69"/>
      <c r="WFC143" s="69"/>
      <c r="WFD143" s="69"/>
      <c r="WFE143" s="69"/>
      <c r="WFF143" s="69"/>
      <c r="WFG143" s="69"/>
      <c r="WFH143" s="69"/>
      <c r="WFI143" s="69"/>
      <c r="WFJ143" s="69"/>
      <c r="WFK143" s="69"/>
      <c r="WFL143" s="69"/>
      <c r="WFM143" s="69"/>
      <c r="WFN143" s="69"/>
      <c r="WFO143" s="69"/>
      <c r="WFP143" s="69"/>
      <c r="WFQ143" s="69"/>
      <c r="WFR143" s="69"/>
      <c r="WFS143" s="69"/>
      <c r="WFT143" s="69"/>
      <c r="WFU143" s="69"/>
      <c r="WFV143" s="69"/>
      <c r="WFW143" s="69"/>
      <c r="WFX143" s="69"/>
      <c r="WFY143" s="69"/>
      <c r="WFZ143" s="69"/>
      <c r="WGA143" s="69"/>
      <c r="WGB143" s="69"/>
      <c r="WGC143" s="69"/>
      <c r="WGD143" s="69"/>
      <c r="WGE143" s="69"/>
      <c r="WGF143" s="69"/>
      <c r="WGG143" s="69"/>
      <c r="WGH143" s="69"/>
      <c r="WGI143" s="69"/>
      <c r="WGJ143" s="69"/>
      <c r="WGK143" s="69"/>
      <c r="WGL143" s="69"/>
      <c r="WGM143" s="69"/>
      <c r="WGN143" s="69"/>
      <c r="WGO143" s="69"/>
      <c r="WGP143" s="69"/>
      <c r="WGQ143" s="69"/>
      <c r="WGR143" s="69"/>
      <c r="WGS143" s="69"/>
      <c r="WGT143" s="69"/>
      <c r="WGU143" s="69"/>
      <c r="WGV143" s="69"/>
      <c r="WGW143" s="69"/>
      <c r="WGX143" s="69"/>
      <c r="WGY143" s="69"/>
      <c r="WGZ143" s="69"/>
      <c r="WHA143" s="69"/>
      <c r="WHB143" s="69"/>
      <c r="WHC143" s="69"/>
      <c r="WHD143" s="69"/>
      <c r="WHE143" s="69"/>
      <c r="WHF143" s="69"/>
      <c r="WHG143" s="69"/>
      <c r="WHH143" s="69"/>
      <c r="WHI143" s="69"/>
      <c r="WHJ143" s="69"/>
      <c r="WHK143" s="69"/>
      <c r="WHL143" s="69"/>
      <c r="WHM143" s="69"/>
      <c r="WHN143" s="69"/>
      <c r="WHO143" s="69"/>
      <c r="WHP143" s="69"/>
      <c r="WHQ143" s="69"/>
      <c r="WHR143" s="69"/>
      <c r="WHS143" s="69"/>
      <c r="WHT143" s="69"/>
      <c r="WHU143" s="69"/>
      <c r="WHV143" s="69"/>
      <c r="WHW143" s="69"/>
      <c r="WHX143" s="69"/>
      <c r="WHY143" s="69"/>
      <c r="WHZ143" s="69"/>
      <c r="WIA143" s="69"/>
      <c r="WIB143" s="69"/>
      <c r="WIC143" s="69"/>
      <c r="WID143" s="69"/>
      <c r="WIE143" s="69"/>
      <c r="WIF143" s="69"/>
      <c r="WIG143" s="69"/>
      <c r="WIH143" s="69"/>
      <c r="WII143" s="69"/>
      <c r="WIJ143" s="69"/>
      <c r="WIK143" s="69"/>
      <c r="WIL143" s="69"/>
      <c r="WIM143" s="69"/>
      <c r="WIN143" s="69"/>
      <c r="WIO143" s="69"/>
      <c r="WIP143" s="69"/>
      <c r="WIQ143" s="69"/>
      <c r="WIR143" s="69"/>
      <c r="WIS143" s="69"/>
      <c r="WIT143" s="69"/>
      <c r="WIU143" s="69"/>
      <c r="WIV143" s="69"/>
      <c r="WIW143" s="69"/>
      <c r="WIX143" s="69"/>
      <c r="WIY143" s="69"/>
      <c r="WIZ143" s="69"/>
      <c r="WJA143" s="69"/>
      <c r="WJB143" s="69"/>
      <c r="WJC143" s="69"/>
      <c r="WJD143" s="69"/>
      <c r="WJE143" s="69"/>
      <c r="WJF143" s="69"/>
      <c r="WJG143" s="69"/>
      <c r="WJH143" s="69"/>
      <c r="WJI143" s="69"/>
      <c r="WJJ143" s="69"/>
      <c r="WJK143" s="69"/>
      <c r="WJL143" s="69"/>
      <c r="WJM143" s="69"/>
      <c r="WJN143" s="69"/>
      <c r="WJO143" s="69"/>
      <c r="WJP143" s="69"/>
      <c r="WJQ143" s="69"/>
      <c r="WJR143" s="69"/>
      <c r="WJS143" s="69"/>
      <c r="WJT143" s="69"/>
      <c r="WJU143" s="69"/>
      <c r="WJV143" s="69"/>
      <c r="WJW143" s="69"/>
      <c r="WJX143" s="69"/>
      <c r="WJY143" s="69"/>
      <c r="WJZ143" s="69"/>
      <c r="WKA143" s="69"/>
      <c r="WKB143" s="69"/>
      <c r="WKC143" s="69"/>
      <c r="WKD143" s="69"/>
      <c r="WKE143" s="69"/>
      <c r="WKF143" s="69"/>
      <c r="WKG143" s="69"/>
      <c r="WKH143" s="69"/>
      <c r="WKI143" s="69"/>
      <c r="WKJ143" s="69"/>
      <c r="WKK143" s="69"/>
      <c r="WKL143" s="69"/>
      <c r="WKM143" s="69"/>
      <c r="WKN143" s="69"/>
      <c r="WKO143" s="69"/>
      <c r="WKP143" s="69"/>
      <c r="WKQ143" s="69"/>
      <c r="WKR143" s="69"/>
      <c r="WKS143" s="69"/>
      <c r="WKT143" s="69"/>
      <c r="WKU143" s="69"/>
      <c r="WKV143" s="69"/>
      <c r="WKW143" s="69"/>
      <c r="WKX143" s="69"/>
      <c r="WKY143" s="69"/>
      <c r="WKZ143" s="69"/>
      <c r="WLA143" s="69"/>
      <c r="WLB143" s="69"/>
      <c r="WLC143" s="69"/>
      <c r="WLD143" s="69"/>
      <c r="WLE143" s="69"/>
      <c r="WLF143" s="69"/>
      <c r="WLG143" s="69"/>
      <c r="WLH143" s="69"/>
      <c r="WLI143" s="69"/>
      <c r="WLJ143" s="69"/>
      <c r="WLK143" s="69"/>
      <c r="WLL143" s="69"/>
      <c r="WLM143" s="69"/>
      <c r="WLN143" s="69"/>
      <c r="WLO143" s="69"/>
      <c r="WLP143" s="69"/>
      <c r="WLQ143" s="69"/>
      <c r="WLR143" s="69"/>
      <c r="WLS143" s="69"/>
      <c r="WLT143" s="69"/>
      <c r="WLU143" s="69"/>
      <c r="WLV143" s="69"/>
      <c r="WLW143" s="69"/>
      <c r="WLX143" s="69"/>
      <c r="WLY143" s="69"/>
      <c r="WLZ143" s="69"/>
      <c r="WMA143" s="69"/>
      <c r="WMB143" s="69"/>
      <c r="WMC143" s="69"/>
      <c r="WMD143" s="69"/>
      <c r="WME143" s="69"/>
      <c r="WMF143" s="69"/>
      <c r="WMG143" s="69"/>
      <c r="WMH143" s="69"/>
      <c r="WMI143" s="69"/>
      <c r="WMJ143" s="69"/>
      <c r="WMK143" s="69"/>
      <c r="WML143" s="69"/>
      <c r="WMM143" s="69"/>
      <c r="WMN143" s="69"/>
      <c r="WMO143" s="69"/>
      <c r="WMP143" s="69"/>
      <c r="WMQ143" s="69"/>
      <c r="WMR143" s="69"/>
      <c r="WMS143" s="69"/>
      <c r="WMT143" s="69"/>
      <c r="WMU143" s="69"/>
      <c r="WMV143" s="69"/>
      <c r="WMW143" s="69"/>
      <c r="WMX143" s="69"/>
      <c r="WMY143" s="69"/>
      <c r="WMZ143" s="69"/>
      <c r="WNA143" s="69"/>
      <c r="WNB143" s="69"/>
      <c r="WNC143" s="69"/>
      <c r="WND143" s="69"/>
      <c r="WNE143" s="69"/>
      <c r="WNF143" s="69"/>
      <c r="WNG143" s="69"/>
      <c r="WNH143" s="69"/>
      <c r="WNI143" s="69"/>
      <c r="WNJ143" s="69"/>
      <c r="WNK143" s="69"/>
      <c r="WNL143" s="69"/>
      <c r="WNM143" s="69"/>
      <c r="WNN143" s="69"/>
      <c r="WNO143" s="69"/>
      <c r="WNP143" s="69"/>
      <c r="WNQ143" s="69"/>
      <c r="WNR143" s="69"/>
      <c r="WNS143" s="69"/>
      <c r="WNT143" s="69"/>
      <c r="WNU143" s="69"/>
      <c r="WNV143" s="69"/>
      <c r="WNW143" s="69"/>
      <c r="WNX143" s="69"/>
      <c r="WNY143" s="69"/>
      <c r="WNZ143" s="69"/>
      <c r="WOA143" s="69"/>
      <c r="WOB143" s="69"/>
      <c r="WOC143" s="69"/>
      <c r="WOD143" s="69"/>
      <c r="WOE143" s="69"/>
      <c r="WOF143" s="69"/>
      <c r="WOG143" s="69"/>
      <c r="WOH143" s="69"/>
      <c r="WOI143" s="69"/>
      <c r="WOJ143" s="69"/>
      <c r="WOK143" s="69"/>
      <c r="WOL143" s="69"/>
      <c r="WOM143" s="69"/>
      <c r="WON143" s="69"/>
      <c r="WOO143" s="69"/>
      <c r="WOP143" s="69"/>
      <c r="WOQ143" s="69"/>
      <c r="WOR143" s="69"/>
      <c r="WOS143" s="69"/>
      <c r="WOT143" s="69"/>
      <c r="WOU143" s="69"/>
      <c r="WOV143" s="69"/>
      <c r="WOW143" s="69"/>
      <c r="WOX143" s="69"/>
      <c r="WOY143" s="69"/>
      <c r="WOZ143" s="69"/>
      <c r="WPA143" s="69"/>
      <c r="WPB143" s="69"/>
      <c r="WPC143" s="69"/>
      <c r="WPD143" s="69"/>
      <c r="WPE143" s="69"/>
      <c r="WPF143" s="69"/>
      <c r="WPG143" s="69"/>
      <c r="WPH143" s="69"/>
      <c r="WPI143" s="69"/>
      <c r="WPJ143" s="69"/>
      <c r="WPK143" s="69"/>
      <c r="WPL143" s="69"/>
      <c r="WPM143" s="69"/>
      <c r="WPN143" s="69"/>
      <c r="WPO143" s="69"/>
      <c r="WPP143" s="69"/>
      <c r="WPQ143" s="69"/>
      <c r="WPR143" s="69"/>
      <c r="WPS143" s="69"/>
      <c r="WPT143" s="69"/>
      <c r="WPU143" s="69"/>
      <c r="WPV143" s="69"/>
      <c r="WPW143" s="69"/>
      <c r="WPX143" s="69"/>
      <c r="WPY143" s="69"/>
      <c r="WPZ143" s="69"/>
      <c r="WQA143" s="69"/>
      <c r="WQB143" s="69"/>
      <c r="WQC143" s="69"/>
      <c r="WQD143" s="69"/>
      <c r="WQE143" s="69"/>
      <c r="WQF143" s="69"/>
      <c r="WQG143" s="69"/>
      <c r="WQH143" s="69"/>
      <c r="WQI143" s="69"/>
      <c r="WQJ143" s="69"/>
      <c r="WQK143" s="69"/>
      <c r="WQL143" s="69"/>
      <c r="WQM143" s="69"/>
      <c r="WQN143" s="69"/>
      <c r="WQO143" s="69"/>
      <c r="WQP143" s="69"/>
      <c r="WQQ143" s="69"/>
      <c r="WQR143" s="69"/>
      <c r="WQS143" s="69"/>
      <c r="WQT143" s="69"/>
      <c r="WQU143" s="69"/>
      <c r="WQV143" s="69"/>
      <c r="WQW143" s="69"/>
      <c r="WQX143" s="69"/>
      <c r="WQY143" s="69"/>
      <c r="WQZ143" s="69"/>
      <c r="WRA143" s="69"/>
      <c r="WRB143" s="69"/>
      <c r="WRC143" s="69"/>
      <c r="WRD143" s="69"/>
      <c r="WRE143" s="69"/>
      <c r="WRF143" s="69"/>
      <c r="WRG143" s="69"/>
      <c r="WRH143" s="69"/>
      <c r="WRI143" s="69"/>
      <c r="WRJ143" s="69"/>
      <c r="WRK143" s="69"/>
      <c r="WRL143" s="69"/>
      <c r="WRM143" s="69"/>
      <c r="WRN143" s="69"/>
      <c r="WRO143" s="69"/>
      <c r="WRP143" s="69"/>
      <c r="WRQ143" s="69"/>
      <c r="WRR143" s="69"/>
      <c r="WRS143" s="69"/>
      <c r="WRT143" s="69"/>
      <c r="WRU143" s="69"/>
      <c r="WRV143" s="69"/>
      <c r="WRW143" s="69"/>
      <c r="WRX143" s="69"/>
      <c r="WRY143" s="69"/>
      <c r="WRZ143" s="69"/>
      <c r="WSA143" s="69"/>
      <c r="WSB143" s="69"/>
      <c r="WSC143" s="69"/>
      <c r="WSD143" s="69"/>
      <c r="WSE143" s="69"/>
      <c r="WSF143" s="69"/>
      <c r="WSG143" s="69"/>
      <c r="WSH143" s="69"/>
      <c r="WSI143" s="69"/>
      <c r="WSJ143" s="69"/>
      <c r="WSK143" s="69"/>
      <c r="WSL143" s="69"/>
      <c r="WSM143" s="69"/>
      <c r="WSN143" s="69"/>
      <c r="WSO143" s="69"/>
      <c r="WSP143" s="69"/>
      <c r="WSQ143" s="69"/>
      <c r="WSR143" s="69"/>
      <c r="WSS143" s="69"/>
      <c r="WST143" s="69"/>
      <c r="WSU143" s="69"/>
      <c r="WSV143" s="69"/>
      <c r="WSW143" s="69"/>
      <c r="WSX143" s="69"/>
      <c r="WSY143" s="69"/>
      <c r="WSZ143" s="69"/>
      <c r="WTA143" s="69"/>
      <c r="WTB143" s="69"/>
      <c r="WTC143" s="69"/>
      <c r="WTD143" s="69"/>
      <c r="WTE143" s="69"/>
      <c r="WTF143" s="69"/>
      <c r="WTG143" s="69"/>
      <c r="WTH143" s="69"/>
      <c r="WTI143" s="69"/>
      <c r="WTJ143" s="69"/>
      <c r="WTK143" s="69"/>
      <c r="WTL143" s="69"/>
      <c r="WTM143" s="69"/>
      <c r="WTN143" s="69"/>
      <c r="WTO143" s="69"/>
      <c r="WTP143" s="69"/>
      <c r="WTQ143" s="69"/>
      <c r="WTR143" s="69"/>
      <c r="WTS143" s="69"/>
      <c r="WTT143" s="69"/>
      <c r="WTU143" s="69"/>
      <c r="WTV143" s="69"/>
      <c r="WTW143" s="69"/>
      <c r="WTX143" s="69"/>
      <c r="WTY143" s="69"/>
      <c r="WTZ143" s="69"/>
      <c r="WUA143" s="69"/>
      <c r="WUB143" s="69"/>
      <c r="WUC143" s="69"/>
      <c r="WUD143" s="69"/>
      <c r="WUE143" s="69"/>
      <c r="WUF143" s="69"/>
      <c r="WUG143" s="69"/>
      <c r="WUH143" s="69"/>
      <c r="WUI143" s="69"/>
      <c r="WUJ143" s="69"/>
      <c r="WUK143" s="69"/>
      <c r="WUL143" s="69"/>
      <c r="WUM143" s="69"/>
      <c r="WUN143" s="69"/>
      <c r="WUO143" s="69"/>
      <c r="WUP143" s="69"/>
      <c r="WUQ143" s="69"/>
      <c r="WUR143" s="69"/>
      <c r="WUS143" s="69"/>
      <c r="WUT143" s="69"/>
      <c r="WUU143" s="69"/>
      <c r="WUV143" s="69"/>
      <c r="WUW143" s="69"/>
      <c r="WUX143" s="69"/>
      <c r="WUY143" s="69"/>
      <c r="WUZ143" s="69"/>
      <c r="WVA143" s="69"/>
      <c r="WVB143" s="69"/>
      <c r="WVC143" s="69"/>
      <c r="WVD143" s="69"/>
      <c r="WVE143" s="69"/>
      <c r="WVF143" s="69"/>
      <c r="WVG143" s="69"/>
      <c r="WVH143" s="69"/>
      <c r="WVI143" s="69"/>
      <c r="WVJ143" s="69"/>
      <c r="WVK143" s="69"/>
      <c r="WVL143" s="69"/>
      <c r="WVM143" s="69"/>
      <c r="WVN143" s="69"/>
      <c r="WVO143" s="69"/>
      <c r="WVP143" s="69"/>
      <c r="WVQ143" s="69"/>
      <c r="WVR143" s="69"/>
      <c r="WVS143" s="69"/>
      <c r="WVT143" s="69"/>
      <c r="WVU143" s="69"/>
      <c r="WVV143" s="69"/>
      <c r="WVW143" s="69"/>
      <c r="WVX143" s="69"/>
      <c r="WVY143" s="69"/>
      <c r="WVZ143" s="69"/>
      <c r="WWA143" s="69"/>
      <c r="WWB143" s="69"/>
      <c r="WWC143" s="69"/>
      <c r="WWD143" s="69"/>
      <c r="WWE143" s="69"/>
      <c r="WWF143" s="69"/>
      <c r="WWG143" s="69"/>
      <c r="WWH143" s="69"/>
      <c r="WWI143" s="69"/>
      <c r="WWJ143" s="69"/>
      <c r="WWK143" s="69"/>
      <c r="WWL143" s="69"/>
      <c r="WWM143" s="69"/>
      <c r="WWN143" s="69"/>
      <c r="WWO143" s="69"/>
      <c r="WWP143" s="69"/>
      <c r="WWQ143" s="69"/>
      <c r="WWR143" s="69"/>
      <c r="WWS143" s="69"/>
      <c r="WWT143" s="69"/>
      <c r="WWU143" s="69"/>
      <c r="WWV143" s="69"/>
      <c r="WWW143" s="69"/>
      <c r="WWX143" s="69"/>
      <c r="WWY143" s="69"/>
      <c r="WWZ143" s="69"/>
      <c r="WXA143" s="69"/>
      <c r="WXB143" s="69"/>
      <c r="WXC143" s="69"/>
      <c r="WXD143" s="69"/>
      <c r="WXE143" s="69"/>
      <c r="WXF143" s="69"/>
      <c r="WXG143" s="69"/>
      <c r="WXH143" s="69"/>
      <c r="WXI143" s="69"/>
      <c r="WXJ143" s="69"/>
      <c r="WXK143" s="69"/>
      <c r="WXL143" s="69"/>
      <c r="WXM143" s="69"/>
      <c r="WXN143" s="69"/>
      <c r="WXO143" s="69"/>
      <c r="WXP143" s="69"/>
      <c r="WXQ143" s="69"/>
      <c r="WXR143" s="69"/>
      <c r="WXS143" s="69"/>
      <c r="WXT143" s="69"/>
      <c r="WXU143" s="69"/>
      <c r="WXV143" s="69"/>
      <c r="WXW143" s="69"/>
      <c r="WXX143" s="69"/>
      <c r="WXY143" s="69"/>
      <c r="WXZ143" s="69"/>
      <c r="WYA143" s="69"/>
      <c r="WYB143" s="69"/>
      <c r="WYC143" s="69"/>
      <c r="WYD143" s="69"/>
      <c r="WYE143" s="69"/>
      <c r="WYF143" s="69"/>
      <c r="WYG143" s="69"/>
      <c r="WYH143" s="69"/>
      <c r="WYI143" s="69"/>
      <c r="WYJ143" s="69"/>
      <c r="WYK143" s="69"/>
      <c r="WYL143" s="69"/>
      <c r="WYM143" s="69"/>
      <c r="WYN143" s="69"/>
      <c r="WYO143" s="69"/>
      <c r="WYP143" s="69"/>
      <c r="WYQ143" s="69"/>
      <c r="WYR143" s="69"/>
      <c r="WYS143" s="69"/>
      <c r="WYT143" s="69"/>
      <c r="WYU143" s="69"/>
      <c r="WYV143" s="69"/>
      <c r="WYW143" s="69"/>
      <c r="WYX143" s="69"/>
      <c r="WYY143" s="69"/>
      <c r="WYZ143" s="69"/>
      <c r="WZA143" s="69"/>
      <c r="WZB143" s="69"/>
      <c r="WZC143" s="69"/>
      <c r="WZD143" s="69"/>
      <c r="WZE143" s="69"/>
      <c r="WZF143" s="69"/>
      <c r="WZG143" s="69"/>
      <c r="WZH143" s="69"/>
      <c r="WZI143" s="69"/>
      <c r="WZJ143" s="69"/>
      <c r="WZK143" s="69"/>
      <c r="WZL143" s="69"/>
      <c r="WZM143" s="69"/>
      <c r="WZN143" s="69"/>
      <c r="WZO143" s="69"/>
      <c r="WZP143" s="69"/>
      <c r="WZQ143" s="69"/>
      <c r="WZR143" s="69"/>
      <c r="WZS143" s="69"/>
      <c r="WZT143" s="69"/>
      <c r="WZU143" s="69"/>
      <c r="WZV143" s="69"/>
      <c r="WZW143" s="69"/>
      <c r="WZX143" s="69"/>
      <c r="WZY143" s="69"/>
      <c r="WZZ143" s="69"/>
      <c r="XAA143" s="69"/>
      <c r="XAB143" s="69"/>
      <c r="XAC143" s="69"/>
      <c r="XAD143" s="69"/>
      <c r="XAE143" s="69"/>
      <c r="XAF143" s="69"/>
      <c r="XAG143" s="69"/>
      <c r="XAH143" s="69"/>
      <c r="XAI143" s="69"/>
      <c r="XAJ143" s="69"/>
      <c r="XAK143" s="69"/>
      <c r="XAL143" s="69"/>
      <c r="XAM143" s="69"/>
      <c r="XAN143" s="69"/>
      <c r="XAO143" s="69"/>
      <c r="XAP143" s="69"/>
      <c r="XAQ143" s="69"/>
      <c r="XAR143" s="69"/>
      <c r="XAS143" s="69"/>
      <c r="XAT143" s="69"/>
      <c r="XAU143" s="69"/>
      <c r="XAV143" s="69"/>
      <c r="XAW143" s="69"/>
      <c r="XAX143" s="69"/>
      <c r="XAY143" s="69"/>
      <c r="XAZ143" s="69"/>
      <c r="XBA143" s="69"/>
      <c r="XBB143" s="69"/>
      <c r="XBC143" s="69"/>
      <c r="XBD143" s="69"/>
      <c r="XBE143" s="69"/>
      <c r="XBF143" s="69"/>
      <c r="XBG143" s="69"/>
      <c r="XBH143" s="69"/>
      <c r="XBI143" s="69"/>
      <c r="XBJ143" s="69"/>
      <c r="XBK143" s="69"/>
      <c r="XBL143" s="69"/>
      <c r="XBM143" s="69"/>
      <c r="XBN143" s="69"/>
      <c r="XBO143" s="69"/>
      <c r="XBP143" s="69"/>
      <c r="XBQ143" s="69"/>
      <c r="XBR143" s="69"/>
      <c r="XBS143" s="69"/>
      <c r="XBT143" s="69"/>
      <c r="XBU143" s="69"/>
      <c r="XBV143" s="69"/>
      <c r="XBW143" s="69"/>
      <c r="XBX143" s="69"/>
      <c r="XBY143" s="69"/>
      <c r="XBZ143" s="69"/>
      <c r="XCA143" s="69"/>
      <c r="XCB143" s="69"/>
      <c r="XCC143" s="69"/>
      <c r="XCD143" s="69"/>
      <c r="XCE143" s="69"/>
      <c r="XCF143" s="69"/>
      <c r="XCG143" s="69"/>
      <c r="XCH143" s="69"/>
      <c r="XCI143" s="69"/>
      <c r="XCJ143" s="69"/>
      <c r="XCK143" s="69"/>
      <c r="XCL143" s="69"/>
      <c r="XCM143" s="69"/>
      <c r="XCN143" s="69"/>
      <c r="XCO143" s="69"/>
      <c r="XCP143" s="69"/>
      <c r="XCQ143" s="69"/>
      <c r="XCR143" s="69"/>
      <c r="XCS143" s="69"/>
      <c r="XCT143" s="69"/>
      <c r="XCU143" s="69"/>
      <c r="XCV143" s="69"/>
      <c r="XCW143" s="69"/>
      <c r="XCX143" s="69"/>
      <c r="XCY143" s="69"/>
      <c r="XCZ143" s="69"/>
      <c r="XDA143" s="69"/>
      <c r="XDB143" s="69"/>
      <c r="XDC143" s="69"/>
      <c r="XDD143" s="69"/>
      <c r="XDE143" s="69"/>
      <c r="XDF143" s="69"/>
      <c r="XDG143" s="69"/>
      <c r="XDH143" s="69"/>
      <c r="XDI143" s="69"/>
      <c r="XDJ143" s="69"/>
      <c r="XDK143" s="69"/>
      <c r="XDL143" s="69"/>
      <c r="XDM143" s="69"/>
      <c r="XDN143" s="69"/>
      <c r="XDO143" s="69"/>
      <c r="XDP143" s="69"/>
      <c r="XDQ143" s="69"/>
      <c r="XDR143" s="69"/>
      <c r="XDS143" s="69"/>
      <c r="XDT143" s="69"/>
      <c r="XDU143" s="69"/>
      <c r="XDV143" s="69"/>
      <c r="XDW143" s="69"/>
      <c r="XDX143" s="69"/>
      <c r="XDY143" s="69"/>
      <c r="XDZ143" s="69"/>
      <c r="XEA143" s="69"/>
      <c r="XEB143" s="69"/>
      <c r="XEC143" s="69"/>
      <c r="XED143" s="69"/>
      <c r="XEE143" s="69"/>
      <c r="XEF143" s="69"/>
      <c r="XEG143" s="69"/>
      <c r="XEH143" s="69"/>
      <c r="XEI143" s="69"/>
      <c r="XEJ143" s="69"/>
      <c r="XEK143" s="69"/>
      <c r="XEL143" s="69"/>
      <c r="XEM143" s="69"/>
      <c r="XEN143" s="69"/>
      <c r="XEO143" s="69"/>
      <c r="XEP143" s="69"/>
      <c r="XEQ143" s="69"/>
      <c r="XER143" s="69"/>
      <c r="XES143" s="69"/>
      <c r="XET143" s="69"/>
      <c r="XEU143" s="69"/>
      <c r="XEV143" s="69"/>
      <c r="XEW143" s="69"/>
    </row>
    <row r="144" spans="1:16377" ht="25.5" customHeight="1">
      <c r="A144" s="84"/>
      <c r="B144" s="88" t="s">
        <v>33</v>
      </c>
      <c r="C144" s="72" t="s">
        <v>21</v>
      </c>
      <c r="D144" s="72" t="s">
        <v>447</v>
      </c>
      <c r="E144" s="72" t="s">
        <v>913</v>
      </c>
      <c r="F144" s="76" t="s">
        <v>3</v>
      </c>
      <c r="G144" s="76" t="s">
        <v>811</v>
      </c>
      <c r="H144" s="71" t="s">
        <v>183</v>
      </c>
      <c r="I144" s="71" t="s">
        <v>973</v>
      </c>
      <c r="J144" s="23" t="s">
        <v>647</v>
      </c>
      <c r="K144" s="256" t="s">
        <v>1078</v>
      </c>
      <c r="L144" s="71" t="s">
        <v>981</v>
      </c>
      <c r="M144" s="71" t="s">
        <v>1018</v>
      </c>
      <c r="N144" s="71" t="s">
        <v>1019</v>
      </c>
      <c r="O144" s="71" t="s">
        <v>560</v>
      </c>
    </row>
    <row r="145" spans="1:15" ht="25.5" customHeight="1">
      <c r="A145" s="84"/>
      <c r="B145" s="88" t="s">
        <v>33</v>
      </c>
      <c r="C145" s="72" t="s">
        <v>20</v>
      </c>
      <c r="D145" s="72" t="s">
        <v>448</v>
      </c>
      <c r="E145" s="72" t="s">
        <v>448</v>
      </c>
      <c r="F145" s="76" t="s">
        <v>3</v>
      </c>
      <c r="G145" s="76" t="s">
        <v>811</v>
      </c>
      <c r="H145" s="71" t="s">
        <v>184</v>
      </c>
      <c r="I145" s="71" t="s">
        <v>973</v>
      </c>
      <c r="J145" s="23" t="s">
        <v>647</v>
      </c>
      <c r="K145" s="256" t="s">
        <v>1078</v>
      </c>
      <c r="L145" s="71" t="s">
        <v>981</v>
      </c>
      <c r="M145" s="71" t="s">
        <v>1018</v>
      </c>
      <c r="N145" s="71" t="s">
        <v>1019</v>
      </c>
      <c r="O145" s="71" t="s">
        <v>560</v>
      </c>
    </row>
    <row r="146" spans="1:15" s="83" customFormat="1" ht="25.5" customHeight="1">
      <c r="A146" s="84"/>
      <c r="B146" s="89" t="s">
        <v>122</v>
      </c>
      <c r="C146" s="76" t="s">
        <v>19</v>
      </c>
      <c r="D146" s="265" t="s">
        <v>449</v>
      </c>
      <c r="E146" s="73" t="s">
        <v>883</v>
      </c>
      <c r="F146" s="76" t="s">
        <v>157</v>
      </c>
      <c r="G146" s="76" t="s">
        <v>801</v>
      </c>
      <c r="H146" s="71" t="s">
        <v>157</v>
      </c>
      <c r="I146" s="71" t="s">
        <v>690</v>
      </c>
      <c r="J146" s="23" t="s">
        <v>786</v>
      </c>
      <c r="K146" s="256" t="s">
        <v>1072</v>
      </c>
      <c r="L146" s="71" t="s">
        <v>1003</v>
      </c>
      <c r="M146" s="71" t="s">
        <v>1004</v>
      </c>
      <c r="N146" s="71" t="s">
        <v>1005</v>
      </c>
      <c r="O146" s="71" t="s">
        <v>560</v>
      </c>
    </row>
    <row r="147" spans="1:15" s="83" customFormat="1" ht="25.5" customHeight="1">
      <c r="A147" s="84"/>
      <c r="B147" s="88" t="s">
        <v>33</v>
      </c>
      <c r="C147" s="184" t="s">
        <v>18</v>
      </c>
      <c r="D147" s="267"/>
      <c r="E147" s="184" t="s">
        <v>450</v>
      </c>
      <c r="F147" s="76" t="s">
        <v>178</v>
      </c>
      <c r="G147" s="76" t="s">
        <v>350</v>
      </c>
      <c r="H147" s="71"/>
      <c r="I147" s="71"/>
      <c r="J147" s="23" t="s">
        <v>786</v>
      </c>
      <c r="K147" s="256" t="s">
        <v>1076</v>
      </c>
      <c r="L147" s="71" t="s">
        <v>992</v>
      </c>
      <c r="M147" s="71" t="s">
        <v>1034</v>
      </c>
      <c r="N147" s="71" t="s">
        <v>560</v>
      </c>
      <c r="O147" s="71" t="s">
        <v>560</v>
      </c>
    </row>
    <row r="148" spans="1:15" ht="25.5" customHeight="1">
      <c r="A148" s="84"/>
      <c r="B148" s="88" t="s">
        <v>33</v>
      </c>
      <c r="C148" s="73" t="s">
        <v>18</v>
      </c>
      <c r="D148" s="265" t="s">
        <v>450</v>
      </c>
      <c r="E148" s="73" t="s">
        <v>743</v>
      </c>
      <c r="F148" s="76" t="s">
        <v>796</v>
      </c>
      <c r="G148" s="76" t="s">
        <v>797</v>
      </c>
      <c r="H148" s="71" t="s">
        <v>187</v>
      </c>
      <c r="I148" s="71" t="s">
        <v>744</v>
      </c>
      <c r="J148" s="23" t="s">
        <v>786</v>
      </c>
      <c r="K148" s="256" t="s">
        <v>1076</v>
      </c>
      <c r="L148" s="71" t="s">
        <v>992</v>
      </c>
      <c r="M148" s="71" t="s">
        <v>993</v>
      </c>
      <c r="N148" s="71" t="s">
        <v>994</v>
      </c>
      <c r="O148" s="71" t="s">
        <v>560</v>
      </c>
    </row>
    <row r="149" spans="1:15" s="140" customFormat="1" ht="25.5" customHeight="1">
      <c r="A149" s="145"/>
      <c r="B149" s="88" t="s">
        <v>33</v>
      </c>
      <c r="C149" s="76" t="s">
        <v>17</v>
      </c>
      <c r="D149" s="266" t="s">
        <v>451</v>
      </c>
      <c r="E149" s="75" t="s">
        <v>451</v>
      </c>
      <c r="F149" s="76" t="s">
        <v>805</v>
      </c>
      <c r="G149" s="76" t="s">
        <v>806</v>
      </c>
      <c r="H149" s="76" t="s">
        <v>167</v>
      </c>
      <c r="I149" s="148" t="s">
        <v>912</v>
      </c>
      <c r="J149" s="139" t="s">
        <v>786</v>
      </c>
      <c r="K149" s="256" t="s">
        <v>1072</v>
      </c>
      <c r="L149" s="71" t="s">
        <v>1003</v>
      </c>
      <c r="M149" s="71" t="s">
        <v>1004</v>
      </c>
      <c r="N149" s="71" t="s">
        <v>1009</v>
      </c>
      <c r="O149" s="71" t="s">
        <v>560</v>
      </c>
    </row>
    <row r="150" spans="1:15" ht="25.5" customHeight="1">
      <c r="A150" s="84"/>
      <c r="B150" s="88" t="s">
        <v>33</v>
      </c>
      <c r="C150" s="71" t="s">
        <v>683</v>
      </c>
      <c r="D150" s="72" t="s">
        <v>453</v>
      </c>
      <c r="E150" s="75" t="s">
        <v>647</v>
      </c>
      <c r="F150" s="76" t="s">
        <v>178</v>
      </c>
      <c r="G150" s="76" t="s">
        <v>350</v>
      </c>
      <c r="H150" s="71" t="s">
        <v>684</v>
      </c>
      <c r="I150" s="72" t="s">
        <v>930</v>
      </c>
      <c r="J150" s="23" t="s">
        <v>647</v>
      </c>
      <c r="K150" s="256" t="s">
        <v>1076</v>
      </c>
      <c r="L150" s="71" t="s">
        <v>992</v>
      </c>
      <c r="M150" s="71" t="s">
        <v>1034</v>
      </c>
      <c r="N150" s="71" t="s">
        <v>560</v>
      </c>
      <c r="O150" s="71" t="s">
        <v>560</v>
      </c>
    </row>
    <row r="151" spans="1:15" ht="25.5" customHeight="1">
      <c r="A151" s="84"/>
      <c r="B151" s="88" t="s">
        <v>33</v>
      </c>
      <c r="C151" s="76" t="s">
        <v>15</v>
      </c>
      <c r="D151" s="265" t="s">
        <v>454</v>
      </c>
      <c r="E151" s="73" t="s">
        <v>1486</v>
      </c>
      <c r="F151" s="76" t="s">
        <v>178</v>
      </c>
      <c r="G151" s="76" t="s">
        <v>350</v>
      </c>
      <c r="H151" s="71" t="s">
        <v>174</v>
      </c>
      <c r="I151" s="71"/>
      <c r="J151" s="23" t="s">
        <v>786</v>
      </c>
      <c r="K151" s="256" t="s">
        <v>1076</v>
      </c>
      <c r="L151" s="71" t="s">
        <v>992</v>
      </c>
      <c r="M151" s="71" t="s">
        <v>1034</v>
      </c>
      <c r="N151" s="71" t="s">
        <v>560</v>
      </c>
      <c r="O151" s="71" t="s">
        <v>560</v>
      </c>
    </row>
    <row r="152" spans="1:15" s="83" customFormat="1" ht="25.5" customHeight="1">
      <c r="A152" s="84"/>
      <c r="B152" s="88" t="s">
        <v>33</v>
      </c>
      <c r="C152" s="71" t="s">
        <v>14</v>
      </c>
      <c r="D152" s="72" t="s">
        <v>455</v>
      </c>
      <c r="E152" s="72" t="s">
        <v>455</v>
      </c>
      <c r="F152" s="76" t="s">
        <v>149</v>
      </c>
      <c r="G152" s="76" t="s">
        <v>799</v>
      </c>
      <c r="H152" s="71" t="s">
        <v>149</v>
      </c>
      <c r="I152" s="71"/>
      <c r="J152" s="23" t="s">
        <v>647</v>
      </c>
      <c r="K152" s="256" t="s">
        <v>1468</v>
      </c>
      <c r="L152" s="71" t="s">
        <v>999</v>
      </c>
      <c r="M152" s="71" t="s">
        <v>999</v>
      </c>
      <c r="N152" s="71" t="s">
        <v>1000</v>
      </c>
      <c r="O152" s="71" t="s">
        <v>560</v>
      </c>
    </row>
    <row r="153" spans="1:15" ht="25.5" customHeight="1">
      <c r="A153" s="84"/>
      <c r="B153" s="88" t="s">
        <v>33</v>
      </c>
      <c r="C153" s="76" t="s">
        <v>13</v>
      </c>
      <c r="D153" s="265" t="s">
        <v>456</v>
      </c>
      <c r="E153" s="73" t="s">
        <v>456</v>
      </c>
      <c r="F153" s="76" t="s">
        <v>178</v>
      </c>
      <c r="G153" s="76" t="s">
        <v>350</v>
      </c>
      <c r="H153" s="71" t="s">
        <v>186</v>
      </c>
      <c r="I153" s="71"/>
      <c r="J153" s="23" t="s">
        <v>786</v>
      </c>
      <c r="K153" s="256" t="s">
        <v>1076</v>
      </c>
      <c r="L153" s="71" t="s">
        <v>992</v>
      </c>
      <c r="M153" s="71" t="s">
        <v>1034</v>
      </c>
      <c r="N153" s="71" t="s">
        <v>560</v>
      </c>
      <c r="O153" s="71" t="s">
        <v>560</v>
      </c>
    </row>
    <row r="154" spans="1:15" ht="25.5" customHeight="1">
      <c r="A154" s="84"/>
      <c r="B154" s="88" t="s">
        <v>33</v>
      </c>
      <c r="C154" s="184" t="s">
        <v>1416</v>
      </c>
      <c r="D154" s="265" t="s">
        <v>457</v>
      </c>
      <c r="E154" s="73" t="s">
        <v>1417</v>
      </c>
      <c r="F154" s="76" t="s">
        <v>809</v>
      </c>
      <c r="G154" s="76" t="s">
        <v>927</v>
      </c>
      <c r="H154" s="71" t="s">
        <v>926</v>
      </c>
      <c r="I154" s="72" t="s">
        <v>928</v>
      </c>
      <c r="J154" s="23" t="s">
        <v>786</v>
      </c>
      <c r="K154" s="256" t="s">
        <v>1074</v>
      </c>
      <c r="L154" s="71" t="s">
        <v>995</v>
      </c>
      <c r="M154" s="71" t="s">
        <v>1015</v>
      </c>
      <c r="N154" s="71" t="s">
        <v>1016</v>
      </c>
      <c r="O154" s="71" t="s">
        <v>1017</v>
      </c>
    </row>
    <row r="155" spans="1:15" ht="25.5" customHeight="1">
      <c r="A155" s="84"/>
      <c r="B155" s="88" t="s">
        <v>33</v>
      </c>
      <c r="C155" s="73" t="s">
        <v>11</v>
      </c>
      <c r="D155" s="265" t="s">
        <v>458</v>
      </c>
      <c r="E155" s="73" t="s">
        <v>458</v>
      </c>
      <c r="F155" s="76" t="s">
        <v>178</v>
      </c>
      <c r="G155" s="76" t="s">
        <v>350</v>
      </c>
      <c r="H155" s="71" t="s">
        <v>705</v>
      </c>
      <c r="I155" s="71" t="s">
        <v>689</v>
      </c>
      <c r="J155" s="23" t="s">
        <v>786</v>
      </c>
      <c r="K155" s="256" t="s">
        <v>1076</v>
      </c>
      <c r="L155" s="71" t="s">
        <v>992</v>
      </c>
      <c r="M155" s="71" t="s">
        <v>1034</v>
      </c>
      <c r="N155" s="71" t="s">
        <v>560</v>
      </c>
      <c r="O155" s="71" t="s">
        <v>560</v>
      </c>
    </row>
    <row r="156" spans="1:15" ht="25.5" customHeight="1">
      <c r="B156" s="88" t="s">
        <v>33</v>
      </c>
      <c r="C156" s="71" t="s">
        <v>10</v>
      </c>
      <c r="D156" s="261" t="s">
        <v>4</v>
      </c>
      <c r="E156" s="75" t="s">
        <v>647</v>
      </c>
      <c r="F156" s="76" t="s">
        <v>178</v>
      </c>
      <c r="G156" s="76" t="s">
        <v>350</v>
      </c>
      <c r="H156" s="71" t="s">
        <v>192</v>
      </c>
      <c r="I156" s="70" t="s">
        <v>925</v>
      </c>
      <c r="J156" s="23" t="s">
        <v>647</v>
      </c>
      <c r="K156" s="256" t="s">
        <v>1076</v>
      </c>
      <c r="L156" s="71" t="s">
        <v>992</v>
      </c>
      <c r="M156" s="71" t="s">
        <v>1034</v>
      </c>
      <c r="N156" s="71" t="s">
        <v>560</v>
      </c>
      <c r="O156" s="71" t="s">
        <v>560</v>
      </c>
    </row>
    <row r="157" spans="1:15" s="83" customFormat="1" ht="25.5" customHeight="1">
      <c r="A157" s="84"/>
      <c r="B157" s="88" t="s">
        <v>33</v>
      </c>
      <c r="C157" s="76" t="s">
        <v>9</v>
      </c>
      <c r="D157" s="265" t="s">
        <v>459</v>
      </c>
      <c r="E157" s="73" t="s">
        <v>884</v>
      </c>
      <c r="F157" s="76" t="s">
        <v>802</v>
      </c>
      <c r="G157" s="76" t="s">
        <v>803</v>
      </c>
      <c r="H157" s="71" t="s">
        <v>158</v>
      </c>
      <c r="I157" s="71"/>
      <c r="J157" s="23" t="s">
        <v>786</v>
      </c>
      <c r="K157" s="256" t="s">
        <v>1072</v>
      </c>
      <c r="L157" s="71" t="s">
        <v>1003</v>
      </c>
      <c r="M157" s="71" t="s">
        <v>1004</v>
      </c>
      <c r="N157" s="71" t="s">
        <v>1006</v>
      </c>
      <c r="O157" s="71" t="s">
        <v>1007</v>
      </c>
    </row>
    <row r="158" spans="1:15" s="83" customFormat="1" ht="25.5" customHeight="1">
      <c r="A158" s="84"/>
      <c r="B158" s="88" t="s">
        <v>33</v>
      </c>
      <c r="C158" s="71" t="s">
        <v>8</v>
      </c>
      <c r="D158" s="260" t="s">
        <v>460</v>
      </c>
      <c r="E158" s="72" t="s">
        <v>460</v>
      </c>
      <c r="F158" s="76" t="s">
        <v>0</v>
      </c>
      <c r="G158" s="76" t="s">
        <v>815</v>
      </c>
      <c r="H158" s="71" t="s">
        <v>154</v>
      </c>
      <c r="I158" s="71"/>
      <c r="J158" s="23" t="s">
        <v>647</v>
      </c>
      <c r="K158" s="256" t="s">
        <v>1078</v>
      </c>
      <c r="L158" s="71" t="s">
        <v>981</v>
      </c>
      <c r="M158" s="71" t="s">
        <v>1018</v>
      </c>
      <c r="N158" s="71" t="s">
        <v>1023</v>
      </c>
      <c r="O158" s="71" t="s">
        <v>560</v>
      </c>
    </row>
    <row r="159" spans="1:15" ht="25.5" customHeight="1">
      <c r="A159" s="84"/>
      <c r="B159" s="88" t="s">
        <v>33</v>
      </c>
      <c r="C159" s="78"/>
      <c r="D159" s="260" t="s">
        <v>524</v>
      </c>
      <c r="E159" s="75" t="s">
        <v>647</v>
      </c>
      <c r="F159" s="76" t="s">
        <v>178</v>
      </c>
      <c r="G159" s="76" t="s">
        <v>350</v>
      </c>
      <c r="H159" s="71" t="s">
        <v>178</v>
      </c>
      <c r="I159" s="71" t="s">
        <v>931</v>
      </c>
      <c r="J159" s="23" t="s">
        <v>647</v>
      </c>
      <c r="K159" s="256" t="s">
        <v>1076</v>
      </c>
      <c r="L159" s="71" t="s">
        <v>992</v>
      </c>
      <c r="M159" s="71" t="s">
        <v>1034</v>
      </c>
      <c r="N159" s="71" t="s">
        <v>560</v>
      </c>
      <c r="O159" s="71" t="s">
        <v>560</v>
      </c>
    </row>
    <row r="160" spans="1:15" ht="28.5" customHeight="1">
      <c r="B160" s="89" t="s">
        <v>122</v>
      </c>
      <c r="C160" s="71" t="s">
        <v>104</v>
      </c>
      <c r="D160" s="261" t="s">
        <v>499</v>
      </c>
      <c r="E160" s="75" t="s">
        <v>647</v>
      </c>
      <c r="F160" s="76" t="s">
        <v>1056</v>
      </c>
      <c r="G160" s="76" t="s">
        <v>1055</v>
      </c>
      <c r="H160" s="71" t="s">
        <v>380</v>
      </c>
      <c r="I160" s="72" t="s">
        <v>826</v>
      </c>
      <c r="J160" s="23" t="s">
        <v>647</v>
      </c>
      <c r="K160" s="256" t="s">
        <v>1070</v>
      </c>
      <c r="L160" s="71" t="s">
        <v>984</v>
      </c>
      <c r="M160" s="71" t="s">
        <v>984</v>
      </c>
      <c r="N160" s="71" t="s">
        <v>983</v>
      </c>
      <c r="O160" s="71" t="s">
        <v>560</v>
      </c>
    </row>
    <row r="161" spans="1:15" ht="23.25" customHeight="1">
      <c r="B161" s="89" t="s">
        <v>122</v>
      </c>
      <c r="C161" s="71" t="s">
        <v>102</v>
      </c>
      <c r="D161" s="261" t="s">
        <v>1</v>
      </c>
      <c r="E161" s="75" t="s">
        <v>647</v>
      </c>
      <c r="F161" s="76" t="s">
        <v>157</v>
      </c>
      <c r="G161" s="76" t="s">
        <v>801</v>
      </c>
      <c r="H161" s="71" t="s">
        <v>598</v>
      </c>
      <c r="I161" s="72" t="s">
        <v>685</v>
      </c>
      <c r="J161" s="23" t="s">
        <v>647</v>
      </c>
      <c r="K161" s="256" t="s">
        <v>1072</v>
      </c>
      <c r="L161" s="71" t="s">
        <v>1003</v>
      </c>
      <c r="M161" s="71" t="s">
        <v>1004</v>
      </c>
      <c r="N161" s="71" t="s">
        <v>1005</v>
      </c>
      <c r="O161" s="71" t="s">
        <v>560</v>
      </c>
    </row>
    <row r="162" spans="1:15" ht="26.25" customHeight="1">
      <c r="B162" s="89" t="s">
        <v>122</v>
      </c>
      <c r="C162" s="71" t="s">
        <v>101</v>
      </c>
      <c r="D162" s="261" t="s">
        <v>2</v>
      </c>
      <c r="E162" s="75" t="s">
        <v>647</v>
      </c>
      <c r="F162" s="76" t="s">
        <v>157</v>
      </c>
      <c r="G162" s="76" t="s">
        <v>801</v>
      </c>
      <c r="H162" s="71" t="s">
        <v>598</v>
      </c>
      <c r="I162" s="72" t="s">
        <v>685</v>
      </c>
      <c r="J162" s="23" t="s">
        <v>647</v>
      </c>
      <c r="K162" s="256" t="s">
        <v>1072</v>
      </c>
      <c r="L162" s="71" t="s">
        <v>1003</v>
      </c>
      <c r="M162" s="71" t="s">
        <v>1004</v>
      </c>
      <c r="N162" s="71" t="s">
        <v>1005</v>
      </c>
      <c r="O162" s="71" t="s">
        <v>560</v>
      </c>
    </row>
    <row r="163" spans="1:15" ht="33.75" customHeight="1">
      <c r="B163" s="88" t="s">
        <v>136</v>
      </c>
      <c r="C163" s="71" t="s">
        <v>125</v>
      </c>
      <c r="D163" s="261" t="s">
        <v>477</v>
      </c>
      <c r="E163" s="75" t="s">
        <v>647</v>
      </c>
      <c r="F163" s="76" t="s">
        <v>157</v>
      </c>
      <c r="G163" s="76" t="s">
        <v>801</v>
      </c>
      <c r="H163" s="71" t="s">
        <v>148</v>
      </c>
      <c r="I163" s="72" t="s">
        <v>686</v>
      </c>
      <c r="J163" s="23" t="s">
        <v>647</v>
      </c>
      <c r="K163" s="256" t="s">
        <v>1072</v>
      </c>
      <c r="L163" s="71" t="s">
        <v>1003</v>
      </c>
      <c r="M163" s="71" t="s">
        <v>1004</v>
      </c>
      <c r="N163" s="71" t="s">
        <v>1005</v>
      </c>
      <c r="O163" s="71" t="s">
        <v>560</v>
      </c>
    </row>
    <row r="164" spans="1:15" ht="28.5" customHeight="1">
      <c r="B164" s="88" t="s">
        <v>33</v>
      </c>
      <c r="C164" s="71" t="s">
        <v>32</v>
      </c>
      <c r="D164" s="261" t="s">
        <v>522</v>
      </c>
      <c r="E164" s="75" t="s">
        <v>647</v>
      </c>
      <c r="F164" s="76" t="s">
        <v>802</v>
      </c>
      <c r="G164" s="76" t="s">
        <v>803</v>
      </c>
      <c r="H164" s="71" t="s">
        <v>148</v>
      </c>
      <c r="I164" s="72" t="s">
        <v>825</v>
      </c>
      <c r="J164" s="23" t="s">
        <v>647</v>
      </c>
      <c r="K164" s="256" t="s">
        <v>1072</v>
      </c>
      <c r="L164" s="71" t="s">
        <v>1003</v>
      </c>
      <c r="M164" s="71" t="s">
        <v>1004</v>
      </c>
      <c r="N164" s="71" t="s">
        <v>1006</v>
      </c>
      <c r="O164" s="71" t="s">
        <v>1007</v>
      </c>
    </row>
    <row r="165" spans="1:15" ht="24.75" customHeight="1">
      <c r="B165" s="88" t="s">
        <v>33</v>
      </c>
      <c r="C165" s="71" t="s">
        <v>16</v>
      </c>
      <c r="D165" s="261" t="s">
        <v>452</v>
      </c>
      <c r="E165" s="75" t="s">
        <v>647</v>
      </c>
      <c r="F165" s="76" t="s">
        <v>147</v>
      </c>
      <c r="G165" s="76" t="s">
        <v>807</v>
      </c>
      <c r="H165" s="71" t="s">
        <v>682</v>
      </c>
      <c r="I165" s="72" t="s">
        <v>824</v>
      </c>
      <c r="J165" s="23" t="s">
        <v>647</v>
      </c>
      <c r="K165" s="256" t="s">
        <v>1072</v>
      </c>
      <c r="L165" s="71" t="s">
        <v>1003</v>
      </c>
      <c r="M165" s="71" t="s">
        <v>1010</v>
      </c>
      <c r="N165" s="71" t="s">
        <v>1011</v>
      </c>
      <c r="O165" s="71" t="s">
        <v>560</v>
      </c>
    </row>
    <row r="166" spans="1:15" ht="27" customHeight="1">
      <c r="B166" s="88" t="s">
        <v>33</v>
      </c>
      <c r="C166" s="71"/>
      <c r="D166" s="261" t="s">
        <v>523</v>
      </c>
      <c r="E166" s="75" t="s">
        <v>647</v>
      </c>
      <c r="F166" s="76" t="s">
        <v>796</v>
      </c>
      <c r="G166" s="76" t="s">
        <v>797</v>
      </c>
      <c r="H166" s="71" t="s">
        <v>796</v>
      </c>
      <c r="I166" s="72" t="s">
        <v>823</v>
      </c>
      <c r="J166" s="23" t="s">
        <v>647</v>
      </c>
      <c r="K166" s="256" t="s">
        <v>1076</v>
      </c>
      <c r="L166" s="71" t="s">
        <v>992</v>
      </c>
      <c r="M166" s="71" t="s">
        <v>993</v>
      </c>
      <c r="N166" s="71" t="s">
        <v>994</v>
      </c>
      <c r="O166" s="71" t="s">
        <v>560</v>
      </c>
    </row>
    <row r="167" spans="1:15" ht="29.25" customHeight="1">
      <c r="B167" s="88" t="s">
        <v>122</v>
      </c>
      <c r="C167" s="71" t="s">
        <v>100</v>
      </c>
      <c r="D167" s="261" t="s">
        <v>501</v>
      </c>
      <c r="E167" s="75" t="s">
        <v>647</v>
      </c>
      <c r="F167" s="76" t="s">
        <v>805</v>
      </c>
      <c r="G167" s="76" t="s">
        <v>806</v>
      </c>
      <c r="H167" s="71" t="s">
        <v>157</v>
      </c>
      <c r="I167" s="72" t="s">
        <v>870</v>
      </c>
      <c r="J167" s="23" t="s">
        <v>647</v>
      </c>
      <c r="K167" s="256" t="s">
        <v>1072</v>
      </c>
      <c r="L167" s="71" t="s">
        <v>1003</v>
      </c>
      <c r="M167" s="71" t="s">
        <v>1004</v>
      </c>
      <c r="N167" s="71" t="s">
        <v>1009</v>
      </c>
      <c r="O167" s="71" t="s">
        <v>560</v>
      </c>
    </row>
    <row r="168" spans="1:15" ht="25.5" customHeight="1">
      <c r="B168" s="88" t="s">
        <v>122</v>
      </c>
      <c r="C168" s="71" t="s">
        <v>99</v>
      </c>
      <c r="D168" s="261" t="s">
        <v>502</v>
      </c>
      <c r="E168" s="75" t="s">
        <v>647</v>
      </c>
      <c r="F168" s="76" t="s">
        <v>805</v>
      </c>
      <c r="G168" s="76" t="s">
        <v>806</v>
      </c>
      <c r="H168" s="71" t="s">
        <v>3</v>
      </c>
      <c r="I168" s="72" t="s">
        <v>870</v>
      </c>
      <c r="J168" s="23" t="s">
        <v>647</v>
      </c>
      <c r="K168" s="256" t="s">
        <v>1072</v>
      </c>
      <c r="L168" s="71" t="s">
        <v>1003</v>
      </c>
      <c r="M168" s="71" t="s">
        <v>1004</v>
      </c>
      <c r="N168" s="71" t="s">
        <v>1009</v>
      </c>
      <c r="O168" s="71" t="s">
        <v>560</v>
      </c>
    </row>
    <row r="169" spans="1:15" s="83" customFormat="1" ht="25.5" customHeight="1">
      <c r="A169" s="84"/>
      <c r="B169" s="88" t="s">
        <v>84</v>
      </c>
      <c r="C169" s="76" t="s">
        <v>1039</v>
      </c>
      <c r="D169" s="266" t="s">
        <v>882</v>
      </c>
      <c r="E169" s="73" t="s">
        <v>1063</v>
      </c>
      <c r="F169" s="76" t="s">
        <v>175</v>
      </c>
      <c r="G169" s="76" t="s">
        <v>924</v>
      </c>
      <c r="H169" s="71"/>
      <c r="I169" s="71"/>
      <c r="J169" s="23" t="s">
        <v>786</v>
      </c>
      <c r="K169" s="256" t="s">
        <v>1077</v>
      </c>
      <c r="L169" s="71" t="s">
        <v>1024</v>
      </c>
      <c r="M169" s="71" t="s">
        <v>1032</v>
      </c>
      <c r="N169" s="71" t="s">
        <v>1033</v>
      </c>
      <c r="O169" s="71" t="s">
        <v>560</v>
      </c>
    </row>
    <row r="170" spans="1:15" s="83" customFormat="1" ht="25.5" customHeight="1">
      <c r="A170" s="84"/>
      <c r="B170" s="88" t="s">
        <v>84</v>
      </c>
      <c r="C170" s="76" t="s">
        <v>1040</v>
      </c>
      <c r="D170" s="266" t="s">
        <v>882</v>
      </c>
      <c r="E170" s="73" t="s">
        <v>1064</v>
      </c>
      <c r="F170" s="76" t="s">
        <v>175</v>
      </c>
      <c r="G170" s="76" t="s">
        <v>924</v>
      </c>
      <c r="H170" s="71"/>
      <c r="I170" s="71"/>
      <c r="J170" s="23" t="s">
        <v>786</v>
      </c>
      <c r="K170" s="256" t="s">
        <v>1077</v>
      </c>
      <c r="L170" s="71" t="s">
        <v>1024</v>
      </c>
      <c r="M170" s="71" t="s">
        <v>1032</v>
      </c>
      <c r="N170" s="71" t="s">
        <v>1033</v>
      </c>
      <c r="O170" s="71" t="s">
        <v>560</v>
      </c>
    </row>
    <row r="171" spans="1:15" s="83" customFormat="1" ht="25.5" customHeight="1">
      <c r="A171" s="84"/>
      <c r="B171" s="88" t="s">
        <v>84</v>
      </c>
      <c r="C171" s="76" t="s">
        <v>1041</v>
      </c>
      <c r="D171" s="266" t="s">
        <v>882</v>
      </c>
      <c r="E171" s="73" t="s">
        <v>1049</v>
      </c>
      <c r="F171" s="76" t="s">
        <v>175</v>
      </c>
      <c r="G171" s="76" t="s">
        <v>924</v>
      </c>
      <c r="H171" s="71"/>
      <c r="I171" s="71"/>
      <c r="J171" s="23" t="s">
        <v>786</v>
      </c>
      <c r="K171" s="256" t="s">
        <v>1077</v>
      </c>
      <c r="L171" s="71" t="s">
        <v>1024</v>
      </c>
      <c r="M171" s="71" t="s">
        <v>1032</v>
      </c>
      <c r="N171" s="71" t="s">
        <v>1033</v>
      </c>
      <c r="O171" s="71" t="s">
        <v>560</v>
      </c>
    </row>
    <row r="172" spans="1:15" s="83" customFormat="1" ht="25.5" customHeight="1">
      <c r="A172" s="84"/>
      <c r="B172" s="88" t="s">
        <v>84</v>
      </c>
      <c r="C172" s="76" t="s">
        <v>1042</v>
      </c>
      <c r="D172" s="266" t="s">
        <v>882</v>
      </c>
      <c r="E172" s="73" t="s">
        <v>1065</v>
      </c>
      <c r="F172" s="76" t="s">
        <v>175</v>
      </c>
      <c r="G172" s="76" t="s">
        <v>924</v>
      </c>
      <c r="H172" s="71"/>
      <c r="I172" s="71"/>
      <c r="J172" s="23" t="s">
        <v>786</v>
      </c>
      <c r="K172" s="256" t="s">
        <v>1077</v>
      </c>
      <c r="L172" s="71" t="s">
        <v>1024</v>
      </c>
      <c r="M172" s="71" t="s">
        <v>1032</v>
      </c>
      <c r="N172" s="71" t="s">
        <v>1033</v>
      </c>
      <c r="O172" s="71" t="s">
        <v>560</v>
      </c>
    </row>
    <row r="173" spans="1:15" s="83" customFormat="1" ht="25.5" customHeight="1">
      <c r="A173" s="84"/>
      <c r="B173" s="88" t="s">
        <v>84</v>
      </c>
      <c r="C173" s="76" t="s">
        <v>1043</v>
      </c>
      <c r="D173" s="266" t="s">
        <v>882</v>
      </c>
      <c r="E173" s="73" t="s">
        <v>1050</v>
      </c>
      <c r="F173" s="76" t="s">
        <v>175</v>
      </c>
      <c r="G173" s="76" t="s">
        <v>924</v>
      </c>
      <c r="H173" s="71" t="s">
        <v>172</v>
      </c>
      <c r="I173" s="71"/>
      <c r="J173" s="23" t="s">
        <v>786</v>
      </c>
      <c r="K173" s="256" t="s">
        <v>1077</v>
      </c>
      <c r="L173" s="71" t="s">
        <v>1024</v>
      </c>
      <c r="M173" s="71" t="s">
        <v>1032</v>
      </c>
      <c r="N173" s="71" t="s">
        <v>1033</v>
      </c>
      <c r="O173" s="71" t="s">
        <v>560</v>
      </c>
    </row>
    <row r="174" spans="1:15" s="83" customFormat="1" ht="25.5" customHeight="1">
      <c r="A174" s="84"/>
      <c r="B174" s="88" t="s">
        <v>84</v>
      </c>
      <c r="C174" s="76" t="s">
        <v>1044</v>
      </c>
      <c r="D174" s="266" t="s">
        <v>882</v>
      </c>
      <c r="E174" s="73" t="s">
        <v>1051</v>
      </c>
      <c r="F174" s="76" t="s">
        <v>175</v>
      </c>
      <c r="G174" s="76" t="s">
        <v>924</v>
      </c>
      <c r="H174" s="71" t="s">
        <v>175</v>
      </c>
      <c r="I174" s="71"/>
      <c r="J174" s="23" t="s">
        <v>786</v>
      </c>
      <c r="K174" s="256" t="s">
        <v>1077</v>
      </c>
      <c r="L174" s="71" t="s">
        <v>1024</v>
      </c>
      <c r="M174" s="71" t="s">
        <v>1032</v>
      </c>
      <c r="N174" s="71" t="s">
        <v>1033</v>
      </c>
      <c r="O174" s="71" t="s">
        <v>560</v>
      </c>
    </row>
    <row r="175" spans="1:15" s="83" customFormat="1" ht="25.5" customHeight="1">
      <c r="A175" s="84"/>
      <c r="B175" s="88" t="s">
        <v>84</v>
      </c>
      <c r="C175" s="76" t="s">
        <v>1045</v>
      </c>
      <c r="D175" s="266" t="s">
        <v>882</v>
      </c>
      <c r="E175" s="73" t="s">
        <v>1066</v>
      </c>
      <c r="F175" s="76" t="s">
        <v>175</v>
      </c>
      <c r="G175" s="76" t="s">
        <v>924</v>
      </c>
      <c r="H175" s="71" t="s">
        <v>175</v>
      </c>
      <c r="I175" s="71"/>
      <c r="J175" s="23" t="s">
        <v>786</v>
      </c>
      <c r="K175" s="256" t="s">
        <v>1077</v>
      </c>
      <c r="L175" s="71" t="s">
        <v>1024</v>
      </c>
      <c r="M175" s="71" t="s">
        <v>1032</v>
      </c>
      <c r="N175" s="71" t="s">
        <v>1033</v>
      </c>
      <c r="O175" s="71" t="s">
        <v>560</v>
      </c>
    </row>
    <row r="176" spans="1:15" s="83" customFormat="1" ht="25.5" customHeight="1">
      <c r="A176" s="84"/>
      <c r="B176" s="88" t="s">
        <v>84</v>
      </c>
      <c r="C176" s="76" t="s">
        <v>1046</v>
      </c>
      <c r="D176" s="266" t="s">
        <v>882</v>
      </c>
      <c r="E176" s="73" t="s">
        <v>1052</v>
      </c>
      <c r="F176" s="76" t="s">
        <v>175</v>
      </c>
      <c r="G176" s="76" t="s">
        <v>924</v>
      </c>
      <c r="H176" s="71" t="s">
        <v>175</v>
      </c>
      <c r="I176" s="71"/>
      <c r="J176" s="23" t="s">
        <v>786</v>
      </c>
      <c r="K176" s="256" t="s">
        <v>1077</v>
      </c>
      <c r="L176" s="71" t="s">
        <v>1024</v>
      </c>
      <c r="M176" s="71" t="s">
        <v>1032</v>
      </c>
      <c r="N176" s="71" t="s">
        <v>1033</v>
      </c>
      <c r="O176" s="71" t="s">
        <v>560</v>
      </c>
    </row>
    <row r="177" spans="1:15" s="83" customFormat="1" ht="25.5" customHeight="1">
      <c r="A177" s="84"/>
      <c r="B177" s="88" t="s">
        <v>84</v>
      </c>
      <c r="C177" s="76" t="s">
        <v>1047</v>
      </c>
      <c r="D177" s="266" t="s">
        <v>882</v>
      </c>
      <c r="E177" s="73" t="s">
        <v>1053</v>
      </c>
      <c r="F177" s="76" t="s">
        <v>175</v>
      </c>
      <c r="G177" s="76" t="s">
        <v>924</v>
      </c>
      <c r="H177" s="71" t="s">
        <v>175</v>
      </c>
      <c r="I177" s="71"/>
      <c r="J177" s="23" t="s">
        <v>786</v>
      </c>
      <c r="K177" s="256" t="s">
        <v>1077</v>
      </c>
      <c r="L177" s="71" t="s">
        <v>1024</v>
      </c>
      <c r="M177" s="71" t="s">
        <v>1032</v>
      </c>
      <c r="N177" s="71" t="s">
        <v>1033</v>
      </c>
      <c r="O177" s="71" t="s">
        <v>560</v>
      </c>
    </row>
    <row r="178" spans="1:15" s="83" customFormat="1" ht="25.5" customHeight="1">
      <c r="A178" s="84"/>
      <c r="B178" s="88" t="s">
        <v>84</v>
      </c>
      <c r="C178" s="76" t="s">
        <v>1048</v>
      </c>
      <c r="D178" s="266" t="s">
        <v>882</v>
      </c>
      <c r="E178" s="73" t="s">
        <v>1054</v>
      </c>
      <c r="F178" s="76" t="s">
        <v>175</v>
      </c>
      <c r="G178" s="76" t="s">
        <v>924</v>
      </c>
      <c r="H178" s="71" t="s">
        <v>175</v>
      </c>
      <c r="I178" s="71"/>
      <c r="J178" s="23" t="s">
        <v>786</v>
      </c>
      <c r="K178" s="256" t="s">
        <v>1077</v>
      </c>
      <c r="L178" s="71" t="s">
        <v>1024</v>
      </c>
      <c r="M178" s="71" t="s">
        <v>1032</v>
      </c>
      <c r="N178" s="71" t="s">
        <v>1033</v>
      </c>
      <c r="O178" s="71" t="s">
        <v>560</v>
      </c>
    </row>
    <row r="179" spans="1:15" s="83" customFormat="1" ht="25.5" customHeight="1">
      <c r="A179" s="84"/>
      <c r="B179" s="88" t="s">
        <v>122</v>
      </c>
      <c r="C179" s="76" t="s">
        <v>1057</v>
      </c>
      <c r="D179" s="266" t="s">
        <v>882</v>
      </c>
      <c r="E179" s="73" t="s">
        <v>1059</v>
      </c>
      <c r="F179" s="76" t="s">
        <v>1056</v>
      </c>
      <c r="G179" s="76" t="s">
        <v>1055</v>
      </c>
      <c r="H179" s="71"/>
      <c r="I179" s="71"/>
      <c r="J179" s="23" t="s">
        <v>786</v>
      </c>
      <c r="K179" s="256" t="s">
        <v>1070</v>
      </c>
      <c r="L179" s="71" t="s">
        <v>984</v>
      </c>
      <c r="M179" s="71" t="s">
        <v>984</v>
      </c>
      <c r="N179" s="71" t="s">
        <v>983</v>
      </c>
      <c r="O179" s="71" t="s">
        <v>560</v>
      </c>
    </row>
    <row r="180" spans="1:15" s="83" customFormat="1" ht="25.5" customHeight="1">
      <c r="A180" s="84"/>
      <c r="B180" s="88" t="s">
        <v>122</v>
      </c>
      <c r="C180" s="76" t="s">
        <v>1058</v>
      </c>
      <c r="D180" s="266" t="s">
        <v>882</v>
      </c>
      <c r="E180" s="73" t="s">
        <v>1060</v>
      </c>
      <c r="F180" s="76" t="s">
        <v>1056</v>
      </c>
      <c r="G180" s="76" t="s">
        <v>1055</v>
      </c>
      <c r="H180" s="71"/>
      <c r="I180" s="71"/>
      <c r="J180" s="23" t="s">
        <v>786</v>
      </c>
      <c r="K180" s="256" t="s">
        <v>1070</v>
      </c>
      <c r="L180" s="71" t="s">
        <v>984</v>
      </c>
      <c r="M180" s="71" t="s">
        <v>984</v>
      </c>
      <c r="N180" s="71" t="s">
        <v>983</v>
      </c>
      <c r="O180" s="71" t="s">
        <v>560</v>
      </c>
    </row>
    <row r="181" spans="1:15" s="83" customFormat="1" ht="25.5" customHeight="1">
      <c r="A181" s="84"/>
      <c r="B181" s="88" t="s">
        <v>122</v>
      </c>
      <c r="C181" s="76" t="s">
        <v>1061</v>
      </c>
      <c r="D181" s="266" t="s">
        <v>882</v>
      </c>
      <c r="E181" s="73" t="s">
        <v>1062</v>
      </c>
      <c r="F181" s="76" t="s">
        <v>1056</v>
      </c>
      <c r="G181" s="76" t="s">
        <v>1055</v>
      </c>
      <c r="H181" s="71"/>
      <c r="I181" s="71"/>
      <c r="J181" s="23" t="s">
        <v>786</v>
      </c>
      <c r="K181" s="256" t="s">
        <v>1070</v>
      </c>
      <c r="L181" s="71" t="s">
        <v>984</v>
      </c>
      <c r="M181" s="71" t="s">
        <v>984</v>
      </c>
      <c r="N181" s="71" t="s">
        <v>983</v>
      </c>
      <c r="O181" s="71" t="s">
        <v>560</v>
      </c>
    </row>
    <row r="182" spans="1:15" s="83" customFormat="1" ht="25.5" customHeight="1">
      <c r="A182" s="84"/>
      <c r="B182" s="88" t="s">
        <v>7</v>
      </c>
      <c r="C182" s="76" t="s">
        <v>1103</v>
      </c>
      <c r="D182" s="266" t="s">
        <v>882</v>
      </c>
      <c r="E182" s="73" t="s">
        <v>1105</v>
      </c>
      <c r="F182" s="76" t="s">
        <v>1110</v>
      </c>
      <c r="G182" s="76" t="s">
        <v>1109</v>
      </c>
      <c r="H182" s="71"/>
      <c r="I182" s="71"/>
      <c r="J182" s="23" t="s">
        <v>786</v>
      </c>
      <c r="K182" s="256" t="s">
        <v>1468</v>
      </c>
      <c r="L182" s="71" t="s">
        <v>999</v>
      </c>
      <c r="M182" s="71" t="s">
        <v>1107</v>
      </c>
      <c r="N182" s="71" t="s">
        <v>1108</v>
      </c>
      <c r="O182" s="71" t="s">
        <v>1111</v>
      </c>
    </row>
    <row r="183" spans="1:15" s="83" customFormat="1" ht="25.5" customHeight="1">
      <c r="A183" s="84"/>
      <c r="B183" s="88" t="s">
        <v>7</v>
      </c>
      <c r="C183" s="76" t="s">
        <v>1104</v>
      </c>
      <c r="D183" s="266" t="s">
        <v>882</v>
      </c>
      <c r="E183" s="73" t="s">
        <v>1106</v>
      </c>
      <c r="F183" s="76" t="s">
        <v>1110</v>
      </c>
      <c r="G183" s="76" t="s">
        <v>1109</v>
      </c>
      <c r="H183" s="71"/>
      <c r="I183" s="71"/>
      <c r="J183" s="23" t="s">
        <v>786</v>
      </c>
      <c r="K183" s="256" t="s">
        <v>1468</v>
      </c>
      <c r="L183" s="71" t="s">
        <v>999</v>
      </c>
      <c r="M183" s="71" t="s">
        <v>1107</v>
      </c>
      <c r="N183" s="71" t="s">
        <v>1108</v>
      </c>
      <c r="O183" s="71" t="s">
        <v>1111</v>
      </c>
    </row>
    <row r="184" spans="1:15" s="83" customFormat="1" ht="25.5" customHeight="1">
      <c r="A184" s="84"/>
      <c r="B184" s="88" t="s">
        <v>139</v>
      </c>
      <c r="C184" s="76" t="s">
        <v>1297</v>
      </c>
      <c r="D184" s="266" t="s">
        <v>882</v>
      </c>
      <c r="E184" s="73" t="s">
        <v>1298</v>
      </c>
      <c r="F184" s="76" t="s">
        <v>1299</v>
      </c>
      <c r="G184" s="76" t="s">
        <v>296</v>
      </c>
      <c r="H184" s="71" t="s">
        <v>1300</v>
      </c>
      <c r="I184" s="71" t="s">
        <v>1449</v>
      </c>
      <c r="J184" s="23" t="s">
        <v>786</v>
      </c>
      <c r="K184" s="256" t="s">
        <v>1468</v>
      </c>
      <c r="L184" s="71" t="s">
        <v>999</v>
      </c>
      <c r="M184" s="71" t="s">
        <v>999</v>
      </c>
      <c r="N184" s="71" t="s">
        <v>1000</v>
      </c>
      <c r="O184" s="71"/>
    </row>
    <row r="185" spans="1:15" s="83" customFormat="1" ht="25.5" customHeight="1">
      <c r="A185" s="84"/>
      <c r="B185" s="88" t="s">
        <v>7</v>
      </c>
      <c r="C185" s="76" t="s">
        <v>1190</v>
      </c>
      <c r="D185" s="266" t="s">
        <v>882</v>
      </c>
      <c r="E185" s="73" t="s">
        <v>1125</v>
      </c>
      <c r="F185" s="76" t="s">
        <v>188</v>
      </c>
      <c r="G185" s="76" t="s">
        <v>1180</v>
      </c>
      <c r="H185" s="71" t="s">
        <v>1181</v>
      </c>
      <c r="I185" s="71" t="s">
        <v>1182</v>
      </c>
      <c r="J185" s="23" t="s">
        <v>786</v>
      </c>
      <c r="K185" s="256" t="s">
        <v>1075</v>
      </c>
      <c r="L185" s="71" t="s">
        <v>1247</v>
      </c>
      <c r="M185" s="71" t="s">
        <v>1248</v>
      </c>
      <c r="N185" s="76" t="s">
        <v>1249</v>
      </c>
      <c r="O185" s="71"/>
    </row>
    <row r="186" spans="1:15" s="83" customFormat="1" ht="25.5" customHeight="1">
      <c r="A186" s="84"/>
      <c r="B186" s="88" t="s">
        <v>7</v>
      </c>
      <c r="C186" s="76" t="s">
        <v>1191</v>
      </c>
      <c r="D186" s="266" t="s">
        <v>882</v>
      </c>
      <c r="E186" s="73" t="s">
        <v>1126</v>
      </c>
      <c r="F186" s="76" t="s">
        <v>188</v>
      </c>
      <c r="G186" s="76" t="s">
        <v>1180</v>
      </c>
      <c r="H186" s="71" t="s">
        <v>1181</v>
      </c>
      <c r="I186" s="71" t="s">
        <v>1182</v>
      </c>
      <c r="J186" s="23" t="s">
        <v>786</v>
      </c>
      <c r="K186" s="256" t="s">
        <v>1075</v>
      </c>
      <c r="L186" s="71" t="s">
        <v>1247</v>
      </c>
      <c r="M186" s="71" t="s">
        <v>1248</v>
      </c>
      <c r="N186" s="76" t="s">
        <v>1249</v>
      </c>
      <c r="O186" s="71"/>
    </row>
    <row r="187" spans="1:15" s="83" customFormat="1" ht="25.5" customHeight="1">
      <c r="A187" s="84"/>
      <c r="B187" s="88" t="s">
        <v>7</v>
      </c>
      <c r="C187" s="76" t="s">
        <v>1192</v>
      </c>
      <c r="D187" s="266" t="s">
        <v>882</v>
      </c>
      <c r="E187" s="73" t="s">
        <v>1127</v>
      </c>
      <c r="F187" s="76" t="s">
        <v>188</v>
      </c>
      <c r="G187" s="76" t="s">
        <v>1180</v>
      </c>
      <c r="H187" s="71" t="s">
        <v>1181</v>
      </c>
      <c r="I187" s="71" t="s">
        <v>1182</v>
      </c>
      <c r="J187" s="23" t="s">
        <v>786</v>
      </c>
      <c r="K187" s="256" t="s">
        <v>1075</v>
      </c>
      <c r="L187" s="71" t="s">
        <v>1247</v>
      </c>
      <c r="M187" s="71" t="s">
        <v>1248</v>
      </c>
      <c r="N187" s="76" t="s">
        <v>1249</v>
      </c>
      <c r="O187" s="71"/>
    </row>
    <row r="188" spans="1:15" s="83" customFormat="1" ht="25.5" customHeight="1">
      <c r="A188" s="84"/>
      <c r="B188" s="88" t="s">
        <v>7</v>
      </c>
      <c r="C188" s="76" t="s">
        <v>1193</v>
      </c>
      <c r="D188" s="266" t="s">
        <v>882</v>
      </c>
      <c r="E188" s="73" t="s">
        <v>1128</v>
      </c>
      <c r="F188" s="76" t="s">
        <v>188</v>
      </c>
      <c r="G188" s="76" t="s">
        <v>1180</v>
      </c>
      <c r="H188" s="71" t="s">
        <v>1181</v>
      </c>
      <c r="I188" s="71" t="s">
        <v>1183</v>
      </c>
      <c r="J188" s="23" t="s">
        <v>786</v>
      </c>
      <c r="K188" s="256" t="s">
        <v>1075</v>
      </c>
      <c r="L188" s="71" t="s">
        <v>1247</v>
      </c>
      <c r="M188" s="71" t="s">
        <v>1248</v>
      </c>
      <c r="N188" s="76" t="s">
        <v>1250</v>
      </c>
      <c r="O188" s="71"/>
    </row>
    <row r="189" spans="1:15" s="83" customFormat="1" ht="25.5" customHeight="1">
      <c r="A189" s="84"/>
      <c r="B189" s="88" t="s">
        <v>7</v>
      </c>
      <c r="C189" s="76" t="s">
        <v>1194</v>
      </c>
      <c r="D189" s="266" t="s">
        <v>882</v>
      </c>
      <c r="E189" s="73" t="s">
        <v>1129</v>
      </c>
      <c r="F189" s="76" t="s">
        <v>188</v>
      </c>
      <c r="G189" s="76" t="s">
        <v>1180</v>
      </c>
      <c r="H189" s="71" t="s">
        <v>1181</v>
      </c>
      <c r="I189" s="71" t="s">
        <v>1183</v>
      </c>
      <c r="J189" s="23" t="s">
        <v>786</v>
      </c>
      <c r="K189" s="256" t="s">
        <v>1075</v>
      </c>
      <c r="L189" s="71" t="s">
        <v>1247</v>
      </c>
      <c r="M189" s="71" t="s">
        <v>1248</v>
      </c>
      <c r="N189" s="76" t="s">
        <v>1250</v>
      </c>
      <c r="O189" s="71"/>
    </row>
    <row r="190" spans="1:15" s="83" customFormat="1" ht="25.5" customHeight="1">
      <c r="A190" s="84"/>
      <c r="B190" s="88" t="s">
        <v>7</v>
      </c>
      <c r="C190" s="76" t="s">
        <v>1195</v>
      </c>
      <c r="D190" s="266" t="s">
        <v>882</v>
      </c>
      <c r="E190" s="73" t="s">
        <v>1130</v>
      </c>
      <c r="F190" s="76" t="s">
        <v>188</v>
      </c>
      <c r="G190" s="76" t="s">
        <v>1180</v>
      </c>
      <c r="H190" s="71" t="s">
        <v>1181</v>
      </c>
      <c r="I190" s="71" t="s">
        <v>1183</v>
      </c>
      <c r="J190" s="23" t="s">
        <v>786</v>
      </c>
      <c r="K190" s="256" t="s">
        <v>1075</v>
      </c>
      <c r="L190" s="71" t="s">
        <v>1247</v>
      </c>
      <c r="M190" s="71" t="s">
        <v>1248</v>
      </c>
      <c r="N190" s="76" t="s">
        <v>1250</v>
      </c>
      <c r="O190" s="71"/>
    </row>
    <row r="191" spans="1:15" s="83" customFormat="1" ht="25.5" customHeight="1">
      <c r="A191" s="84"/>
      <c r="B191" s="88" t="s">
        <v>7</v>
      </c>
      <c r="C191" s="76" t="s">
        <v>1196</v>
      </c>
      <c r="D191" s="266" t="s">
        <v>882</v>
      </c>
      <c r="E191" s="73" t="s">
        <v>1131</v>
      </c>
      <c r="F191" s="76" t="s">
        <v>188</v>
      </c>
      <c r="G191" s="76" t="s">
        <v>1180</v>
      </c>
      <c r="H191" s="71" t="s">
        <v>1181</v>
      </c>
      <c r="I191" s="71" t="s">
        <v>1183</v>
      </c>
      <c r="J191" s="23" t="s">
        <v>786</v>
      </c>
      <c r="K191" s="256" t="s">
        <v>1075</v>
      </c>
      <c r="L191" s="71" t="s">
        <v>1247</v>
      </c>
      <c r="M191" s="71" t="s">
        <v>1248</v>
      </c>
      <c r="N191" s="76" t="s">
        <v>1250</v>
      </c>
      <c r="O191" s="71"/>
    </row>
    <row r="192" spans="1:15" s="83" customFormat="1" ht="25.5" customHeight="1">
      <c r="A192" s="84"/>
      <c r="B192" s="88" t="s">
        <v>7</v>
      </c>
      <c r="C192" s="76" t="s">
        <v>1197</v>
      </c>
      <c r="D192" s="266" t="s">
        <v>882</v>
      </c>
      <c r="E192" s="73" t="s">
        <v>1132</v>
      </c>
      <c r="F192" s="76" t="s">
        <v>188</v>
      </c>
      <c r="G192" s="76" t="s">
        <v>1180</v>
      </c>
      <c r="H192" s="71" t="s">
        <v>1181</v>
      </c>
      <c r="I192" s="71" t="s">
        <v>1183</v>
      </c>
      <c r="J192" s="23" t="s">
        <v>786</v>
      </c>
      <c r="K192" s="256" t="s">
        <v>1075</v>
      </c>
      <c r="L192" s="71" t="s">
        <v>1247</v>
      </c>
      <c r="M192" s="71" t="s">
        <v>1248</v>
      </c>
      <c r="N192" s="76" t="s">
        <v>1250</v>
      </c>
      <c r="O192" s="71"/>
    </row>
    <row r="193" spans="1:15" s="83" customFormat="1" ht="25.5" customHeight="1">
      <c r="A193" s="84"/>
      <c r="B193" s="88" t="s">
        <v>7</v>
      </c>
      <c r="C193" s="76" t="s">
        <v>1198</v>
      </c>
      <c r="D193" s="266" t="s">
        <v>882</v>
      </c>
      <c r="E193" s="73" t="s">
        <v>1133</v>
      </c>
      <c r="F193" s="76" t="s">
        <v>188</v>
      </c>
      <c r="G193" s="76" t="s">
        <v>1180</v>
      </c>
      <c r="H193" s="71" t="s">
        <v>1181</v>
      </c>
      <c r="I193" s="71" t="s">
        <v>1183</v>
      </c>
      <c r="J193" s="23" t="s">
        <v>786</v>
      </c>
      <c r="K193" s="256" t="s">
        <v>1075</v>
      </c>
      <c r="L193" s="71" t="s">
        <v>1247</v>
      </c>
      <c r="M193" s="71" t="s">
        <v>1248</v>
      </c>
      <c r="N193" s="76" t="s">
        <v>1250</v>
      </c>
      <c r="O193" s="71"/>
    </row>
    <row r="194" spans="1:15" s="83" customFormat="1" ht="25.5" customHeight="1">
      <c r="A194" s="84"/>
      <c r="B194" s="88" t="s">
        <v>7</v>
      </c>
      <c r="C194" s="76" t="s">
        <v>1199</v>
      </c>
      <c r="D194" s="266" t="s">
        <v>882</v>
      </c>
      <c r="E194" s="73" t="s">
        <v>1134</v>
      </c>
      <c r="F194" s="76" t="s">
        <v>188</v>
      </c>
      <c r="G194" s="76" t="s">
        <v>1180</v>
      </c>
      <c r="H194" s="71" t="s">
        <v>1181</v>
      </c>
      <c r="I194" s="71" t="s">
        <v>1183</v>
      </c>
      <c r="J194" s="23" t="s">
        <v>786</v>
      </c>
      <c r="K194" s="256" t="s">
        <v>1075</v>
      </c>
      <c r="L194" s="71" t="s">
        <v>1247</v>
      </c>
      <c r="M194" s="71" t="s">
        <v>1248</v>
      </c>
      <c r="N194" s="76" t="s">
        <v>1250</v>
      </c>
      <c r="O194" s="71"/>
    </row>
    <row r="195" spans="1:15" s="83" customFormat="1" ht="25.5" customHeight="1">
      <c r="A195" s="84"/>
      <c r="B195" s="88" t="s">
        <v>7</v>
      </c>
      <c r="C195" s="76" t="s">
        <v>1200</v>
      </c>
      <c r="D195" s="266" t="s">
        <v>882</v>
      </c>
      <c r="E195" s="73" t="s">
        <v>1134</v>
      </c>
      <c r="F195" s="76" t="s">
        <v>188</v>
      </c>
      <c r="G195" s="76" t="s">
        <v>1180</v>
      </c>
      <c r="H195" s="71" t="s">
        <v>1181</v>
      </c>
      <c r="I195" s="71" t="s">
        <v>1183</v>
      </c>
      <c r="J195" s="23" t="s">
        <v>786</v>
      </c>
      <c r="K195" s="256" t="s">
        <v>1075</v>
      </c>
      <c r="L195" s="71" t="s">
        <v>1247</v>
      </c>
      <c r="M195" s="71" t="s">
        <v>1248</v>
      </c>
      <c r="N195" s="76" t="s">
        <v>1250</v>
      </c>
      <c r="O195" s="71"/>
    </row>
    <row r="196" spans="1:15" s="83" customFormat="1" ht="25.5" customHeight="1">
      <c r="A196" s="84"/>
      <c r="B196" s="88" t="s">
        <v>7</v>
      </c>
      <c r="C196" s="76" t="s">
        <v>1201</v>
      </c>
      <c r="D196" s="266" t="s">
        <v>882</v>
      </c>
      <c r="E196" s="73" t="s">
        <v>1134</v>
      </c>
      <c r="F196" s="76" t="s">
        <v>188</v>
      </c>
      <c r="G196" s="76" t="s">
        <v>1180</v>
      </c>
      <c r="H196" s="71" t="s">
        <v>1181</v>
      </c>
      <c r="I196" s="71" t="s">
        <v>1183</v>
      </c>
      <c r="J196" s="23" t="s">
        <v>786</v>
      </c>
      <c r="K196" s="256" t="s">
        <v>1075</v>
      </c>
      <c r="L196" s="71" t="s">
        <v>1247</v>
      </c>
      <c r="M196" s="71" t="s">
        <v>1248</v>
      </c>
      <c r="N196" s="76" t="s">
        <v>1250</v>
      </c>
      <c r="O196" s="71"/>
    </row>
    <row r="197" spans="1:15" s="83" customFormat="1" ht="25.5" customHeight="1">
      <c r="A197" s="84"/>
      <c r="B197" s="88" t="s">
        <v>7</v>
      </c>
      <c r="C197" s="76" t="s">
        <v>1202</v>
      </c>
      <c r="D197" s="266" t="s">
        <v>882</v>
      </c>
      <c r="E197" s="73" t="s">
        <v>1135</v>
      </c>
      <c r="F197" s="76" t="s">
        <v>188</v>
      </c>
      <c r="G197" s="76" t="s">
        <v>1180</v>
      </c>
      <c r="H197" s="71" t="s">
        <v>1181</v>
      </c>
      <c r="I197" s="71" t="s">
        <v>1183</v>
      </c>
      <c r="J197" s="23" t="s">
        <v>786</v>
      </c>
      <c r="K197" s="256" t="s">
        <v>1075</v>
      </c>
      <c r="L197" s="71" t="s">
        <v>1247</v>
      </c>
      <c r="M197" s="71" t="s">
        <v>1248</v>
      </c>
      <c r="N197" s="76" t="s">
        <v>1250</v>
      </c>
      <c r="O197" s="71"/>
    </row>
    <row r="198" spans="1:15" s="83" customFormat="1" ht="25.5" customHeight="1">
      <c r="A198" s="84"/>
      <c r="B198" s="88" t="s">
        <v>7</v>
      </c>
      <c r="C198" s="76" t="s">
        <v>1203</v>
      </c>
      <c r="D198" s="266" t="s">
        <v>882</v>
      </c>
      <c r="E198" s="73" t="s">
        <v>1136</v>
      </c>
      <c r="F198" s="76" t="s">
        <v>188</v>
      </c>
      <c r="G198" s="76" t="s">
        <v>1180</v>
      </c>
      <c r="H198" s="71" t="s">
        <v>1181</v>
      </c>
      <c r="I198" s="71" t="s">
        <v>1183</v>
      </c>
      <c r="J198" s="23" t="s">
        <v>786</v>
      </c>
      <c r="K198" s="256" t="s">
        <v>1075</v>
      </c>
      <c r="L198" s="71" t="s">
        <v>1247</v>
      </c>
      <c r="M198" s="71" t="s">
        <v>1248</v>
      </c>
      <c r="N198" s="76" t="s">
        <v>1250</v>
      </c>
      <c r="O198" s="71"/>
    </row>
    <row r="199" spans="1:15" s="83" customFormat="1" ht="25.5" customHeight="1">
      <c r="A199" s="84"/>
      <c r="B199" s="88" t="s">
        <v>7</v>
      </c>
      <c r="C199" s="76" t="s">
        <v>1204</v>
      </c>
      <c r="D199" s="266" t="s">
        <v>882</v>
      </c>
      <c r="E199" s="73" t="s">
        <v>1137</v>
      </c>
      <c r="F199" s="76" t="s">
        <v>188</v>
      </c>
      <c r="G199" s="76" t="s">
        <v>1180</v>
      </c>
      <c r="H199" s="71" t="s">
        <v>1181</v>
      </c>
      <c r="I199" s="71" t="s">
        <v>1183</v>
      </c>
      <c r="J199" s="23" t="s">
        <v>786</v>
      </c>
      <c r="K199" s="256" t="s">
        <v>1075</v>
      </c>
      <c r="L199" s="71" t="s">
        <v>1247</v>
      </c>
      <c r="M199" s="71" t="s">
        <v>1248</v>
      </c>
      <c r="N199" s="76" t="s">
        <v>1250</v>
      </c>
      <c r="O199" s="71"/>
    </row>
    <row r="200" spans="1:15" s="83" customFormat="1" ht="25.5" customHeight="1">
      <c r="A200" s="84"/>
      <c r="B200" s="88" t="s">
        <v>7</v>
      </c>
      <c r="C200" s="76" t="s">
        <v>1205</v>
      </c>
      <c r="D200" s="266" t="s">
        <v>882</v>
      </c>
      <c r="E200" s="73" t="s">
        <v>1137</v>
      </c>
      <c r="F200" s="76" t="s">
        <v>188</v>
      </c>
      <c r="G200" s="76" t="s">
        <v>1180</v>
      </c>
      <c r="H200" s="71" t="s">
        <v>1181</v>
      </c>
      <c r="I200" s="71" t="s">
        <v>1183</v>
      </c>
      <c r="J200" s="23" t="s">
        <v>786</v>
      </c>
      <c r="K200" s="256" t="s">
        <v>1075</v>
      </c>
      <c r="L200" s="71" t="s">
        <v>1247</v>
      </c>
      <c r="M200" s="71" t="s">
        <v>1248</v>
      </c>
      <c r="N200" s="76" t="s">
        <v>1250</v>
      </c>
      <c r="O200" s="71"/>
    </row>
    <row r="201" spans="1:15" s="83" customFormat="1" ht="25.5" customHeight="1">
      <c r="A201" s="84"/>
      <c r="B201" s="88" t="s">
        <v>7</v>
      </c>
      <c r="C201" s="76" t="s">
        <v>1206</v>
      </c>
      <c r="D201" s="266" t="s">
        <v>882</v>
      </c>
      <c r="E201" s="73" t="s">
        <v>1138</v>
      </c>
      <c r="F201" s="76" t="s">
        <v>188</v>
      </c>
      <c r="G201" s="76" t="s">
        <v>1180</v>
      </c>
      <c r="H201" s="71" t="s">
        <v>1181</v>
      </c>
      <c r="I201" s="71" t="s">
        <v>1183</v>
      </c>
      <c r="J201" s="23" t="s">
        <v>786</v>
      </c>
      <c r="K201" s="256" t="s">
        <v>1075</v>
      </c>
      <c r="L201" s="71" t="s">
        <v>1247</v>
      </c>
      <c r="M201" s="71" t="s">
        <v>1248</v>
      </c>
      <c r="N201" s="76" t="s">
        <v>1250</v>
      </c>
      <c r="O201" s="71"/>
    </row>
    <row r="202" spans="1:15" s="83" customFormat="1" ht="25.5" customHeight="1">
      <c r="A202" s="84"/>
      <c r="B202" s="88" t="s">
        <v>7</v>
      </c>
      <c r="C202" s="76" t="s">
        <v>1207</v>
      </c>
      <c r="D202" s="266" t="s">
        <v>882</v>
      </c>
      <c r="E202" s="73" t="s">
        <v>1139</v>
      </c>
      <c r="F202" s="76" t="s">
        <v>188</v>
      </c>
      <c r="G202" s="76" t="s">
        <v>1180</v>
      </c>
      <c r="H202" s="71" t="s">
        <v>1181</v>
      </c>
      <c r="I202" s="71" t="s">
        <v>1183</v>
      </c>
      <c r="J202" s="23" t="s">
        <v>786</v>
      </c>
      <c r="K202" s="256" t="s">
        <v>1075</v>
      </c>
      <c r="L202" s="71" t="s">
        <v>1247</v>
      </c>
      <c r="M202" s="71" t="s">
        <v>1248</v>
      </c>
      <c r="N202" s="76" t="s">
        <v>1250</v>
      </c>
      <c r="O202" s="71"/>
    </row>
    <row r="203" spans="1:15" s="83" customFormat="1" ht="25.5" customHeight="1">
      <c r="A203" s="84"/>
      <c r="B203" s="88" t="s">
        <v>7</v>
      </c>
      <c r="C203" s="76" t="s">
        <v>1208</v>
      </c>
      <c r="D203" s="266" t="s">
        <v>882</v>
      </c>
      <c r="E203" s="73" t="s">
        <v>1140</v>
      </c>
      <c r="F203" s="76" t="s">
        <v>188</v>
      </c>
      <c r="G203" s="76" t="s">
        <v>1180</v>
      </c>
      <c r="H203" s="71" t="s">
        <v>1181</v>
      </c>
      <c r="I203" s="71" t="s">
        <v>1184</v>
      </c>
      <c r="J203" s="23" t="s">
        <v>786</v>
      </c>
      <c r="K203" s="256" t="s">
        <v>1075</v>
      </c>
      <c r="L203" s="71" t="s">
        <v>1247</v>
      </c>
      <c r="M203" s="71" t="s">
        <v>1248</v>
      </c>
      <c r="N203" s="76" t="s">
        <v>1251</v>
      </c>
      <c r="O203" s="71"/>
    </row>
    <row r="204" spans="1:15" s="83" customFormat="1" ht="25.5" customHeight="1">
      <c r="A204" s="84"/>
      <c r="B204" s="88" t="s">
        <v>7</v>
      </c>
      <c r="C204" s="76" t="s">
        <v>1209</v>
      </c>
      <c r="D204" s="266" t="s">
        <v>882</v>
      </c>
      <c r="E204" s="73" t="s">
        <v>1141</v>
      </c>
      <c r="F204" s="76" t="s">
        <v>188</v>
      </c>
      <c r="G204" s="76" t="s">
        <v>1180</v>
      </c>
      <c r="H204" s="71" t="s">
        <v>1181</v>
      </c>
      <c r="I204" s="71" t="s">
        <v>1184</v>
      </c>
      <c r="J204" s="23" t="s">
        <v>786</v>
      </c>
      <c r="K204" s="256" t="s">
        <v>1075</v>
      </c>
      <c r="L204" s="71" t="s">
        <v>1247</v>
      </c>
      <c r="M204" s="71" t="s">
        <v>1248</v>
      </c>
      <c r="N204" s="76" t="s">
        <v>1251</v>
      </c>
      <c r="O204" s="71"/>
    </row>
    <row r="205" spans="1:15" s="83" customFormat="1" ht="25.5" customHeight="1">
      <c r="A205" s="84"/>
      <c r="B205" s="88" t="s">
        <v>7</v>
      </c>
      <c r="C205" s="76" t="s">
        <v>1210</v>
      </c>
      <c r="D205" s="266" t="s">
        <v>882</v>
      </c>
      <c r="E205" s="73" t="s">
        <v>1142</v>
      </c>
      <c r="F205" s="76" t="s">
        <v>188</v>
      </c>
      <c r="G205" s="76" t="s">
        <v>1180</v>
      </c>
      <c r="H205" s="71" t="s">
        <v>1181</v>
      </c>
      <c r="I205" s="71" t="s">
        <v>1184</v>
      </c>
      <c r="J205" s="23" t="s">
        <v>786</v>
      </c>
      <c r="K205" s="256" t="s">
        <v>1075</v>
      </c>
      <c r="L205" s="71" t="s">
        <v>1247</v>
      </c>
      <c r="M205" s="71" t="s">
        <v>1248</v>
      </c>
      <c r="N205" s="76" t="s">
        <v>1251</v>
      </c>
      <c r="O205" s="71"/>
    </row>
    <row r="206" spans="1:15" s="83" customFormat="1" ht="25.5" customHeight="1">
      <c r="A206" s="84"/>
      <c r="B206" s="88" t="s">
        <v>7</v>
      </c>
      <c r="C206" s="76" t="s">
        <v>1211</v>
      </c>
      <c r="D206" s="266" t="s">
        <v>882</v>
      </c>
      <c r="E206" s="73" t="s">
        <v>1143</v>
      </c>
      <c r="F206" s="76" t="s">
        <v>188</v>
      </c>
      <c r="G206" s="76" t="s">
        <v>1180</v>
      </c>
      <c r="H206" s="71" t="s">
        <v>1181</v>
      </c>
      <c r="I206" s="71" t="s">
        <v>1184</v>
      </c>
      <c r="J206" s="23" t="s">
        <v>786</v>
      </c>
      <c r="K206" s="256" t="s">
        <v>1075</v>
      </c>
      <c r="L206" s="71" t="s">
        <v>1247</v>
      </c>
      <c r="M206" s="71" t="s">
        <v>1248</v>
      </c>
      <c r="N206" s="76" t="s">
        <v>1251</v>
      </c>
      <c r="O206" s="71"/>
    </row>
    <row r="207" spans="1:15" s="83" customFormat="1" ht="25.5" customHeight="1">
      <c r="A207" s="84"/>
      <c r="B207" s="88" t="s">
        <v>7</v>
      </c>
      <c r="C207" s="76" t="s">
        <v>1212</v>
      </c>
      <c r="D207" s="266" t="s">
        <v>882</v>
      </c>
      <c r="E207" s="73" t="s">
        <v>1144</v>
      </c>
      <c r="F207" s="76" t="s">
        <v>188</v>
      </c>
      <c r="G207" s="76" t="s">
        <v>1180</v>
      </c>
      <c r="H207" s="71" t="s">
        <v>1181</v>
      </c>
      <c r="I207" s="71" t="s">
        <v>1184</v>
      </c>
      <c r="J207" s="23" t="s">
        <v>786</v>
      </c>
      <c r="K207" s="256" t="s">
        <v>1075</v>
      </c>
      <c r="L207" s="71" t="s">
        <v>1247</v>
      </c>
      <c r="M207" s="71" t="s">
        <v>1248</v>
      </c>
      <c r="N207" s="76" t="s">
        <v>1251</v>
      </c>
      <c r="O207" s="71"/>
    </row>
    <row r="208" spans="1:15" s="83" customFormat="1" ht="25.5" customHeight="1">
      <c r="A208" s="84"/>
      <c r="B208" s="88" t="s">
        <v>7</v>
      </c>
      <c r="C208" s="76" t="s">
        <v>1213</v>
      </c>
      <c r="D208" s="266" t="s">
        <v>882</v>
      </c>
      <c r="E208" s="73" t="s">
        <v>1145</v>
      </c>
      <c r="F208" s="76" t="s">
        <v>188</v>
      </c>
      <c r="G208" s="76" t="s">
        <v>1180</v>
      </c>
      <c r="H208" s="71" t="s">
        <v>1181</v>
      </c>
      <c r="I208" s="71" t="s">
        <v>1184</v>
      </c>
      <c r="J208" s="23" t="s">
        <v>786</v>
      </c>
      <c r="K208" s="256" t="s">
        <v>1075</v>
      </c>
      <c r="L208" s="71" t="s">
        <v>1247</v>
      </c>
      <c r="M208" s="71" t="s">
        <v>1248</v>
      </c>
      <c r="N208" s="76" t="s">
        <v>1251</v>
      </c>
      <c r="O208" s="71"/>
    </row>
    <row r="209" spans="1:15" s="83" customFormat="1" ht="25.5" customHeight="1">
      <c r="A209" s="84"/>
      <c r="B209" s="88" t="s">
        <v>7</v>
      </c>
      <c r="C209" s="76" t="s">
        <v>1214</v>
      </c>
      <c r="D209" s="266" t="s">
        <v>882</v>
      </c>
      <c r="E209" s="73" t="s">
        <v>1146</v>
      </c>
      <c r="F209" s="76" t="s">
        <v>188</v>
      </c>
      <c r="G209" s="76" t="s">
        <v>1180</v>
      </c>
      <c r="H209" s="71" t="s">
        <v>1181</v>
      </c>
      <c r="I209" s="71" t="s">
        <v>1185</v>
      </c>
      <c r="J209" s="23" t="s">
        <v>786</v>
      </c>
      <c r="K209" s="256" t="s">
        <v>1075</v>
      </c>
      <c r="L209" s="71" t="s">
        <v>1247</v>
      </c>
      <c r="M209" s="71" t="s">
        <v>1252</v>
      </c>
      <c r="N209" s="76" t="s">
        <v>1253</v>
      </c>
      <c r="O209" s="71"/>
    </row>
    <row r="210" spans="1:15" s="83" customFormat="1" ht="25.5" customHeight="1">
      <c r="A210" s="84"/>
      <c r="B210" s="88" t="s">
        <v>7</v>
      </c>
      <c r="C210" s="76" t="s">
        <v>1215</v>
      </c>
      <c r="D210" s="266" t="s">
        <v>882</v>
      </c>
      <c r="E210" s="73" t="s">
        <v>1147</v>
      </c>
      <c r="F210" s="76" t="s">
        <v>188</v>
      </c>
      <c r="G210" s="76" t="s">
        <v>1180</v>
      </c>
      <c r="H210" s="71" t="s">
        <v>1181</v>
      </c>
      <c r="I210" s="71" t="s">
        <v>1185</v>
      </c>
      <c r="J210" s="23" t="s">
        <v>786</v>
      </c>
      <c r="K210" s="256" t="s">
        <v>1075</v>
      </c>
      <c r="L210" s="71" t="s">
        <v>1247</v>
      </c>
      <c r="M210" s="71" t="s">
        <v>1252</v>
      </c>
      <c r="N210" s="76" t="s">
        <v>1253</v>
      </c>
      <c r="O210" s="71"/>
    </row>
    <row r="211" spans="1:15" s="83" customFormat="1" ht="25.5" customHeight="1">
      <c r="A211" s="84"/>
      <c r="B211" s="88" t="s">
        <v>7</v>
      </c>
      <c r="C211" s="76" t="s">
        <v>1216</v>
      </c>
      <c r="D211" s="266" t="s">
        <v>882</v>
      </c>
      <c r="E211" s="73" t="s">
        <v>1148</v>
      </c>
      <c r="F211" s="76" t="s">
        <v>188</v>
      </c>
      <c r="G211" s="76" t="s">
        <v>1180</v>
      </c>
      <c r="H211" s="71" t="s">
        <v>1181</v>
      </c>
      <c r="I211" s="71" t="s">
        <v>1185</v>
      </c>
      <c r="J211" s="23" t="s">
        <v>786</v>
      </c>
      <c r="K211" s="256" t="s">
        <v>1075</v>
      </c>
      <c r="L211" s="71" t="s">
        <v>1247</v>
      </c>
      <c r="M211" s="71" t="s">
        <v>1252</v>
      </c>
      <c r="N211" s="76" t="s">
        <v>1253</v>
      </c>
      <c r="O211" s="71"/>
    </row>
    <row r="212" spans="1:15" s="83" customFormat="1" ht="25.5" customHeight="1">
      <c r="A212" s="84"/>
      <c r="B212" s="88" t="s">
        <v>7</v>
      </c>
      <c r="C212" s="76" t="s">
        <v>1217</v>
      </c>
      <c r="D212" s="266" t="s">
        <v>882</v>
      </c>
      <c r="E212" s="73" t="s">
        <v>1149</v>
      </c>
      <c r="F212" s="76" t="s">
        <v>188</v>
      </c>
      <c r="G212" s="76" t="s">
        <v>1180</v>
      </c>
      <c r="H212" s="71" t="s">
        <v>1181</v>
      </c>
      <c r="I212" s="71" t="s">
        <v>1185</v>
      </c>
      <c r="J212" s="23" t="s">
        <v>786</v>
      </c>
      <c r="K212" s="256" t="s">
        <v>1075</v>
      </c>
      <c r="L212" s="71" t="s">
        <v>1247</v>
      </c>
      <c r="M212" s="71" t="s">
        <v>1252</v>
      </c>
      <c r="N212" s="76" t="s">
        <v>1253</v>
      </c>
      <c r="O212" s="71"/>
    </row>
    <row r="213" spans="1:15" s="83" customFormat="1" ht="25.5" customHeight="1">
      <c r="A213" s="84"/>
      <c r="B213" s="88" t="s">
        <v>7</v>
      </c>
      <c r="C213" s="76" t="s">
        <v>1218</v>
      </c>
      <c r="D213" s="266" t="s">
        <v>882</v>
      </c>
      <c r="E213" s="73" t="s">
        <v>1150</v>
      </c>
      <c r="F213" s="76" t="s">
        <v>188</v>
      </c>
      <c r="G213" s="76" t="s">
        <v>1180</v>
      </c>
      <c r="H213" s="71" t="s">
        <v>1181</v>
      </c>
      <c r="I213" s="71" t="s">
        <v>1185</v>
      </c>
      <c r="J213" s="23" t="s">
        <v>786</v>
      </c>
      <c r="K213" s="256" t="s">
        <v>1075</v>
      </c>
      <c r="L213" s="71" t="s">
        <v>1247</v>
      </c>
      <c r="M213" s="71" t="s">
        <v>1252</v>
      </c>
      <c r="N213" s="76" t="s">
        <v>1253</v>
      </c>
      <c r="O213" s="71"/>
    </row>
    <row r="214" spans="1:15" s="83" customFormat="1" ht="25.5" customHeight="1">
      <c r="A214" s="84"/>
      <c r="B214" s="88" t="s">
        <v>7</v>
      </c>
      <c r="C214" s="76" t="s">
        <v>1219</v>
      </c>
      <c r="D214" s="266" t="s">
        <v>882</v>
      </c>
      <c r="E214" s="73" t="s">
        <v>1151</v>
      </c>
      <c r="F214" s="76" t="s">
        <v>188</v>
      </c>
      <c r="G214" s="76" t="s">
        <v>1180</v>
      </c>
      <c r="H214" s="71" t="s">
        <v>1181</v>
      </c>
      <c r="I214" s="71" t="s">
        <v>1185</v>
      </c>
      <c r="J214" s="23" t="s">
        <v>786</v>
      </c>
      <c r="K214" s="256" t="s">
        <v>1075</v>
      </c>
      <c r="L214" s="71" t="s">
        <v>1247</v>
      </c>
      <c r="M214" s="71" t="s">
        <v>1252</v>
      </c>
      <c r="N214" s="76" t="s">
        <v>1253</v>
      </c>
      <c r="O214" s="71"/>
    </row>
    <row r="215" spans="1:15" s="83" customFormat="1" ht="25.5" customHeight="1">
      <c r="A215" s="84"/>
      <c r="B215" s="88" t="s">
        <v>7</v>
      </c>
      <c r="C215" s="76" t="s">
        <v>1220</v>
      </c>
      <c r="D215" s="266" t="s">
        <v>882</v>
      </c>
      <c r="E215" s="73" t="s">
        <v>1152</v>
      </c>
      <c r="F215" s="76" t="s">
        <v>188</v>
      </c>
      <c r="G215" s="76" t="s">
        <v>1180</v>
      </c>
      <c r="H215" s="71" t="s">
        <v>1181</v>
      </c>
      <c r="I215" s="71" t="s">
        <v>1185</v>
      </c>
      <c r="J215" s="23" t="s">
        <v>786</v>
      </c>
      <c r="K215" s="256" t="s">
        <v>1075</v>
      </c>
      <c r="L215" s="71" t="s">
        <v>1247</v>
      </c>
      <c r="M215" s="71" t="s">
        <v>1252</v>
      </c>
      <c r="N215" s="76" t="s">
        <v>1253</v>
      </c>
      <c r="O215" s="71"/>
    </row>
    <row r="216" spans="1:15" s="83" customFormat="1" ht="25.5" customHeight="1">
      <c r="A216" s="84"/>
      <c r="B216" s="88" t="s">
        <v>7</v>
      </c>
      <c r="C216" s="76" t="s">
        <v>1221</v>
      </c>
      <c r="D216" s="266" t="s">
        <v>882</v>
      </c>
      <c r="E216" s="73" t="s">
        <v>1153</v>
      </c>
      <c r="F216" s="76" t="s">
        <v>188</v>
      </c>
      <c r="G216" s="76" t="s">
        <v>1180</v>
      </c>
      <c r="H216" s="71" t="s">
        <v>1181</v>
      </c>
      <c r="I216" s="71" t="s">
        <v>1185</v>
      </c>
      <c r="J216" s="23" t="s">
        <v>786</v>
      </c>
      <c r="K216" s="256" t="s">
        <v>1075</v>
      </c>
      <c r="L216" s="71" t="s">
        <v>1247</v>
      </c>
      <c r="M216" s="71" t="s">
        <v>1252</v>
      </c>
      <c r="N216" s="76" t="s">
        <v>1253</v>
      </c>
      <c r="O216" s="71"/>
    </row>
    <row r="217" spans="1:15" s="83" customFormat="1" ht="25.5" customHeight="1">
      <c r="A217" s="84"/>
      <c r="B217" s="88" t="s">
        <v>7</v>
      </c>
      <c r="C217" s="76" t="s">
        <v>1222</v>
      </c>
      <c r="D217" s="266" t="s">
        <v>882</v>
      </c>
      <c r="E217" s="73" t="s">
        <v>1154</v>
      </c>
      <c r="F217" s="76" t="s">
        <v>188</v>
      </c>
      <c r="G217" s="76" t="s">
        <v>1180</v>
      </c>
      <c r="H217" s="71" t="s">
        <v>1181</v>
      </c>
      <c r="I217" s="71" t="s">
        <v>1185</v>
      </c>
      <c r="J217" s="23" t="s">
        <v>786</v>
      </c>
      <c r="K217" s="256" t="s">
        <v>1075</v>
      </c>
      <c r="L217" s="71" t="s">
        <v>1247</v>
      </c>
      <c r="M217" s="71" t="s">
        <v>1252</v>
      </c>
      <c r="N217" s="76" t="s">
        <v>1253</v>
      </c>
      <c r="O217" s="71"/>
    </row>
    <row r="218" spans="1:15" s="83" customFormat="1" ht="25.5" customHeight="1">
      <c r="A218" s="84"/>
      <c r="B218" s="88" t="s">
        <v>7</v>
      </c>
      <c r="C218" s="76" t="s">
        <v>1223</v>
      </c>
      <c r="D218" s="266" t="s">
        <v>882</v>
      </c>
      <c r="E218" s="73" t="s">
        <v>1155</v>
      </c>
      <c r="F218" s="76" t="s">
        <v>188</v>
      </c>
      <c r="G218" s="76" t="s">
        <v>1180</v>
      </c>
      <c r="H218" s="71" t="s">
        <v>1181</v>
      </c>
      <c r="I218" s="71" t="s">
        <v>1186</v>
      </c>
      <c r="J218" s="23" t="s">
        <v>786</v>
      </c>
      <c r="K218" s="256" t="s">
        <v>1075</v>
      </c>
      <c r="L218" s="71" t="s">
        <v>1247</v>
      </c>
      <c r="M218" s="71" t="s">
        <v>1252</v>
      </c>
      <c r="N218" s="76" t="s">
        <v>1254</v>
      </c>
      <c r="O218" s="71"/>
    </row>
    <row r="219" spans="1:15" s="83" customFormat="1" ht="25.5" customHeight="1">
      <c r="A219" s="84"/>
      <c r="B219" s="88" t="s">
        <v>7</v>
      </c>
      <c r="C219" s="76" t="s">
        <v>1224</v>
      </c>
      <c r="D219" s="266" t="s">
        <v>882</v>
      </c>
      <c r="E219" s="73" t="s">
        <v>1156</v>
      </c>
      <c r="F219" s="76" t="s">
        <v>188</v>
      </c>
      <c r="G219" s="76" t="s">
        <v>1180</v>
      </c>
      <c r="H219" s="71" t="s">
        <v>1181</v>
      </c>
      <c r="I219" s="71" t="s">
        <v>1186</v>
      </c>
      <c r="J219" s="23" t="s">
        <v>786</v>
      </c>
      <c r="K219" s="256" t="s">
        <v>1075</v>
      </c>
      <c r="L219" s="71" t="s">
        <v>1247</v>
      </c>
      <c r="M219" s="71" t="s">
        <v>1252</v>
      </c>
      <c r="N219" s="76" t="s">
        <v>1254</v>
      </c>
      <c r="O219" s="71"/>
    </row>
    <row r="220" spans="1:15" s="83" customFormat="1" ht="25.5" customHeight="1">
      <c r="A220" s="84"/>
      <c r="B220" s="88" t="s">
        <v>7</v>
      </c>
      <c r="C220" s="76" t="s">
        <v>1225</v>
      </c>
      <c r="D220" s="266" t="s">
        <v>882</v>
      </c>
      <c r="E220" s="73" t="s">
        <v>1157</v>
      </c>
      <c r="F220" s="76" t="s">
        <v>188</v>
      </c>
      <c r="G220" s="76" t="s">
        <v>1180</v>
      </c>
      <c r="H220" s="71" t="s">
        <v>1181</v>
      </c>
      <c r="I220" s="71" t="s">
        <v>1186</v>
      </c>
      <c r="J220" s="23" t="s">
        <v>786</v>
      </c>
      <c r="K220" s="256" t="s">
        <v>1075</v>
      </c>
      <c r="L220" s="71" t="s">
        <v>1247</v>
      </c>
      <c r="M220" s="71" t="s">
        <v>1252</v>
      </c>
      <c r="N220" s="76" t="s">
        <v>1254</v>
      </c>
      <c r="O220" s="71"/>
    </row>
    <row r="221" spans="1:15" s="83" customFormat="1" ht="25.5" customHeight="1">
      <c r="A221" s="84"/>
      <c r="B221" s="88" t="s">
        <v>7</v>
      </c>
      <c r="C221" s="76" t="s">
        <v>1226</v>
      </c>
      <c r="D221" s="266" t="s">
        <v>882</v>
      </c>
      <c r="E221" s="73" t="s">
        <v>1158</v>
      </c>
      <c r="F221" s="76" t="s">
        <v>188</v>
      </c>
      <c r="G221" s="76" t="s">
        <v>1180</v>
      </c>
      <c r="H221" s="71" t="s">
        <v>1181</v>
      </c>
      <c r="I221" s="71" t="s">
        <v>1186</v>
      </c>
      <c r="J221" s="23" t="s">
        <v>786</v>
      </c>
      <c r="K221" s="256" t="s">
        <v>1075</v>
      </c>
      <c r="L221" s="71" t="s">
        <v>1247</v>
      </c>
      <c r="M221" s="71" t="s">
        <v>1252</v>
      </c>
      <c r="N221" s="76" t="s">
        <v>1254</v>
      </c>
      <c r="O221" s="71"/>
    </row>
    <row r="222" spans="1:15" s="83" customFormat="1" ht="25.5" customHeight="1">
      <c r="A222" s="84"/>
      <c r="B222" s="88" t="s">
        <v>7</v>
      </c>
      <c r="C222" s="76" t="s">
        <v>1227</v>
      </c>
      <c r="D222" s="266" t="s">
        <v>882</v>
      </c>
      <c r="E222" s="73" t="s">
        <v>1159</v>
      </c>
      <c r="F222" s="76" t="s">
        <v>188</v>
      </c>
      <c r="G222" s="76" t="s">
        <v>1180</v>
      </c>
      <c r="H222" s="71" t="s">
        <v>1181</v>
      </c>
      <c r="I222" s="71" t="s">
        <v>1186</v>
      </c>
      <c r="J222" s="23" t="s">
        <v>786</v>
      </c>
      <c r="K222" s="256" t="s">
        <v>1075</v>
      </c>
      <c r="L222" s="71" t="s">
        <v>1247</v>
      </c>
      <c r="M222" s="71" t="s">
        <v>1252</v>
      </c>
      <c r="N222" s="76" t="s">
        <v>1254</v>
      </c>
      <c r="O222" s="71"/>
    </row>
    <row r="223" spans="1:15" s="83" customFormat="1" ht="25.5" customHeight="1">
      <c r="A223" s="84"/>
      <c r="B223" s="88" t="s">
        <v>7</v>
      </c>
      <c r="C223" s="76" t="s">
        <v>1228</v>
      </c>
      <c r="D223" s="266" t="s">
        <v>882</v>
      </c>
      <c r="E223" s="73" t="s">
        <v>1160</v>
      </c>
      <c r="F223" s="76" t="s">
        <v>188</v>
      </c>
      <c r="G223" s="76" t="s">
        <v>1180</v>
      </c>
      <c r="H223" s="71" t="s">
        <v>1181</v>
      </c>
      <c r="I223" s="71" t="s">
        <v>1186</v>
      </c>
      <c r="J223" s="23" t="s">
        <v>786</v>
      </c>
      <c r="K223" s="256" t="s">
        <v>1075</v>
      </c>
      <c r="L223" s="71" t="s">
        <v>1247</v>
      </c>
      <c r="M223" s="71" t="s">
        <v>1252</v>
      </c>
      <c r="N223" s="76" t="s">
        <v>1254</v>
      </c>
      <c r="O223" s="71"/>
    </row>
    <row r="224" spans="1:15" s="83" customFormat="1" ht="25.5" customHeight="1">
      <c r="A224" s="84"/>
      <c r="B224" s="88" t="s">
        <v>7</v>
      </c>
      <c r="C224" s="76" t="s">
        <v>1229</v>
      </c>
      <c r="D224" s="266" t="s">
        <v>882</v>
      </c>
      <c r="E224" s="73" t="s">
        <v>1161</v>
      </c>
      <c r="F224" s="76" t="s">
        <v>188</v>
      </c>
      <c r="G224" s="76" t="s">
        <v>1180</v>
      </c>
      <c r="H224" s="71" t="s">
        <v>1181</v>
      </c>
      <c r="I224" s="71" t="s">
        <v>1186</v>
      </c>
      <c r="J224" s="23" t="s">
        <v>786</v>
      </c>
      <c r="K224" s="256" t="s">
        <v>1075</v>
      </c>
      <c r="L224" s="71" t="s">
        <v>1247</v>
      </c>
      <c r="M224" s="71" t="s">
        <v>1252</v>
      </c>
      <c r="N224" s="76" t="s">
        <v>1254</v>
      </c>
      <c r="O224" s="71"/>
    </row>
    <row r="225" spans="1:15" s="83" customFormat="1" ht="25.5" customHeight="1">
      <c r="A225" s="84"/>
      <c r="B225" s="88" t="s">
        <v>7</v>
      </c>
      <c r="C225" s="76" t="s">
        <v>1230</v>
      </c>
      <c r="D225" s="266" t="s">
        <v>882</v>
      </c>
      <c r="E225" s="73" t="s">
        <v>1162</v>
      </c>
      <c r="F225" s="76" t="s">
        <v>188</v>
      </c>
      <c r="G225" s="76" t="s">
        <v>1180</v>
      </c>
      <c r="H225" s="71" t="s">
        <v>1181</v>
      </c>
      <c r="I225" s="71" t="s">
        <v>1186</v>
      </c>
      <c r="J225" s="23" t="s">
        <v>786</v>
      </c>
      <c r="K225" s="256" t="s">
        <v>1075</v>
      </c>
      <c r="L225" s="71" t="s">
        <v>1247</v>
      </c>
      <c r="M225" s="71" t="s">
        <v>1252</v>
      </c>
      <c r="N225" s="76" t="s">
        <v>1254</v>
      </c>
      <c r="O225" s="71"/>
    </row>
    <row r="226" spans="1:15" s="83" customFormat="1" ht="25.5" customHeight="1">
      <c r="A226" s="84"/>
      <c r="B226" s="88" t="s">
        <v>7</v>
      </c>
      <c r="C226" s="76" t="s">
        <v>1231</v>
      </c>
      <c r="D226" s="266" t="s">
        <v>882</v>
      </c>
      <c r="E226" s="73" t="s">
        <v>1163</v>
      </c>
      <c r="F226" s="76" t="s">
        <v>188</v>
      </c>
      <c r="G226" s="76" t="s">
        <v>1180</v>
      </c>
      <c r="H226" s="71" t="s">
        <v>1181</v>
      </c>
      <c r="I226" s="71" t="s">
        <v>1186</v>
      </c>
      <c r="J226" s="23" t="s">
        <v>786</v>
      </c>
      <c r="K226" s="256" t="s">
        <v>1075</v>
      </c>
      <c r="L226" s="71" t="s">
        <v>1247</v>
      </c>
      <c r="M226" s="71" t="s">
        <v>1252</v>
      </c>
      <c r="N226" s="76" t="s">
        <v>1254</v>
      </c>
      <c r="O226" s="71"/>
    </row>
    <row r="227" spans="1:15" s="83" customFormat="1" ht="25.5" customHeight="1">
      <c r="A227" s="84"/>
      <c r="B227" s="88" t="s">
        <v>7</v>
      </c>
      <c r="C227" s="76" t="s">
        <v>1232</v>
      </c>
      <c r="D227" s="266" t="s">
        <v>882</v>
      </c>
      <c r="E227" s="73" t="s">
        <v>1164</v>
      </c>
      <c r="F227" s="76" t="s">
        <v>188</v>
      </c>
      <c r="G227" s="76" t="s">
        <v>1180</v>
      </c>
      <c r="H227" s="71" t="s">
        <v>1181</v>
      </c>
      <c r="I227" s="71" t="s">
        <v>1186</v>
      </c>
      <c r="J227" s="23" t="s">
        <v>786</v>
      </c>
      <c r="K227" s="256" t="s">
        <v>1075</v>
      </c>
      <c r="L227" s="71" t="s">
        <v>1247</v>
      </c>
      <c r="M227" s="71" t="s">
        <v>1252</v>
      </c>
      <c r="N227" s="76" t="s">
        <v>1254</v>
      </c>
      <c r="O227" s="71"/>
    </row>
    <row r="228" spans="1:15" s="83" customFormat="1" ht="25.5" customHeight="1">
      <c r="A228" s="84"/>
      <c r="B228" s="88" t="s">
        <v>7</v>
      </c>
      <c r="C228" s="76" t="s">
        <v>1233</v>
      </c>
      <c r="D228" s="266" t="s">
        <v>882</v>
      </c>
      <c r="E228" s="73" t="s">
        <v>1165</v>
      </c>
      <c r="F228" s="76" t="s">
        <v>188</v>
      </c>
      <c r="G228" s="76" t="s">
        <v>1180</v>
      </c>
      <c r="H228" s="71" t="s">
        <v>1181</v>
      </c>
      <c r="I228" s="71" t="s">
        <v>1186</v>
      </c>
      <c r="J228" s="23" t="s">
        <v>786</v>
      </c>
      <c r="K228" s="256" t="s">
        <v>1075</v>
      </c>
      <c r="L228" s="71" t="s">
        <v>1247</v>
      </c>
      <c r="M228" s="71" t="s">
        <v>1252</v>
      </c>
      <c r="N228" s="76" t="s">
        <v>1254</v>
      </c>
      <c r="O228" s="71"/>
    </row>
    <row r="229" spans="1:15" s="83" customFormat="1" ht="25.5" customHeight="1">
      <c r="A229" s="84"/>
      <c r="B229" s="88" t="s">
        <v>7</v>
      </c>
      <c r="C229" s="76" t="s">
        <v>1234</v>
      </c>
      <c r="D229" s="266" t="s">
        <v>882</v>
      </c>
      <c r="E229" s="73" t="s">
        <v>1166</v>
      </c>
      <c r="F229" s="76" t="s">
        <v>188</v>
      </c>
      <c r="G229" s="76" t="s">
        <v>1180</v>
      </c>
      <c r="H229" s="71" t="s">
        <v>1181</v>
      </c>
      <c r="I229" s="71" t="s">
        <v>1187</v>
      </c>
      <c r="J229" s="23" t="s">
        <v>786</v>
      </c>
      <c r="K229" s="256" t="s">
        <v>1075</v>
      </c>
      <c r="L229" s="71" t="s">
        <v>1247</v>
      </c>
      <c r="M229" s="71" t="s">
        <v>1252</v>
      </c>
      <c r="N229" s="76" t="s">
        <v>1255</v>
      </c>
      <c r="O229" s="71"/>
    </row>
    <row r="230" spans="1:15" s="83" customFormat="1" ht="25.5" customHeight="1">
      <c r="A230" s="84"/>
      <c r="B230" s="88" t="s">
        <v>7</v>
      </c>
      <c r="C230" s="76" t="s">
        <v>1235</v>
      </c>
      <c r="D230" s="266" t="s">
        <v>882</v>
      </c>
      <c r="E230" s="73" t="s">
        <v>1167</v>
      </c>
      <c r="F230" s="76" t="s">
        <v>188</v>
      </c>
      <c r="G230" s="76" t="s">
        <v>1180</v>
      </c>
      <c r="H230" s="71" t="s">
        <v>1181</v>
      </c>
      <c r="I230" s="71" t="s">
        <v>1187</v>
      </c>
      <c r="J230" s="23" t="s">
        <v>786</v>
      </c>
      <c r="K230" s="256" t="s">
        <v>1075</v>
      </c>
      <c r="L230" s="71" t="s">
        <v>1247</v>
      </c>
      <c r="M230" s="71" t="s">
        <v>1252</v>
      </c>
      <c r="N230" s="76" t="s">
        <v>1255</v>
      </c>
      <c r="O230" s="71"/>
    </row>
    <row r="231" spans="1:15" s="83" customFormat="1" ht="25.5" customHeight="1">
      <c r="A231" s="84"/>
      <c r="B231" s="88" t="s">
        <v>7</v>
      </c>
      <c r="C231" s="76" t="s">
        <v>1236</v>
      </c>
      <c r="D231" s="266" t="s">
        <v>882</v>
      </c>
      <c r="E231" s="73" t="s">
        <v>1168</v>
      </c>
      <c r="F231" s="76" t="s">
        <v>188</v>
      </c>
      <c r="G231" s="76" t="s">
        <v>1180</v>
      </c>
      <c r="H231" s="71" t="s">
        <v>1181</v>
      </c>
      <c r="I231" s="71" t="s">
        <v>1187</v>
      </c>
      <c r="J231" s="23" t="s">
        <v>786</v>
      </c>
      <c r="K231" s="256" t="s">
        <v>1075</v>
      </c>
      <c r="L231" s="71" t="s">
        <v>1247</v>
      </c>
      <c r="M231" s="71" t="s">
        <v>1252</v>
      </c>
      <c r="N231" s="76" t="s">
        <v>1255</v>
      </c>
      <c r="O231" s="71"/>
    </row>
    <row r="232" spans="1:15" s="83" customFormat="1" ht="25.5" customHeight="1">
      <c r="A232" s="84"/>
      <c r="B232" s="88" t="s">
        <v>7</v>
      </c>
      <c r="C232" s="76" t="s">
        <v>1237</v>
      </c>
      <c r="D232" s="266" t="s">
        <v>882</v>
      </c>
      <c r="E232" s="73" t="s">
        <v>1169</v>
      </c>
      <c r="F232" s="76" t="s">
        <v>188</v>
      </c>
      <c r="G232" s="76" t="s">
        <v>1180</v>
      </c>
      <c r="H232" s="71" t="s">
        <v>1181</v>
      </c>
      <c r="I232" s="71" t="s">
        <v>1187</v>
      </c>
      <c r="J232" s="23" t="s">
        <v>786</v>
      </c>
      <c r="K232" s="256" t="s">
        <v>1075</v>
      </c>
      <c r="L232" s="71" t="s">
        <v>1247</v>
      </c>
      <c r="M232" s="71" t="s">
        <v>1252</v>
      </c>
      <c r="N232" s="76" t="s">
        <v>1255</v>
      </c>
      <c r="O232" s="71"/>
    </row>
    <row r="233" spans="1:15" s="83" customFormat="1" ht="25.5" customHeight="1">
      <c r="A233" s="84"/>
      <c r="B233" s="88" t="s">
        <v>7</v>
      </c>
      <c r="C233" s="76" t="s">
        <v>1238</v>
      </c>
      <c r="D233" s="266" t="s">
        <v>882</v>
      </c>
      <c r="E233" s="73" t="s">
        <v>1170</v>
      </c>
      <c r="F233" s="76" t="s">
        <v>188</v>
      </c>
      <c r="G233" s="76" t="s">
        <v>1180</v>
      </c>
      <c r="H233" s="71" t="s">
        <v>1181</v>
      </c>
      <c r="I233" s="71" t="s">
        <v>1187</v>
      </c>
      <c r="J233" s="23" t="s">
        <v>786</v>
      </c>
      <c r="K233" s="256" t="s">
        <v>1075</v>
      </c>
      <c r="L233" s="71" t="s">
        <v>1247</v>
      </c>
      <c r="M233" s="71" t="s">
        <v>1252</v>
      </c>
      <c r="N233" s="76" t="s">
        <v>1255</v>
      </c>
      <c r="O233" s="71"/>
    </row>
    <row r="234" spans="1:15" s="83" customFormat="1" ht="25.5" customHeight="1">
      <c r="A234" s="84"/>
      <c r="B234" s="88" t="s">
        <v>7</v>
      </c>
      <c r="C234" s="76" t="s">
        <v>1239</v>
      </c>
      <c r="D234" s="266" t="s">
        <v>882</v>
      </c>
      <c r="E234" s="73" t="s">
        <v>1171</v>
      </c>
      <c r="F234" s="76" t="s">
        <v>188</v>
      </c>
      <c r="G234" s="76" t="s">
        <v>1180</v>
      </c>
      <c r="H234" s="71" t="s">
        <v>1181</v>
      </c>
      <c r="I234" s="71" t="s">
        <v>1188</v>
      </c>
      <c r="J234" s="23" t="s">
        <v>786</v>
      </c>
      <c r="K234" s="256" t="s">
        <v>1075</v>
      </c>
      <c r="L234" s="71" t="s">
        <v>1247</v>
      </c>
      <c r="M234" s="71" t="s">
        <v>1256</v>
      </c>
      <c r="N234" s="76"/>
      <c r="O234" s="71"/>
    </row>
    <row r="235" spans="1:15" s="83" customFormat="1" ht="25.5" customHeight="1">
      <c r="A235" s="84"/>
      <c r="B235" s="88" t="s">
        <v>7</v>
      </c>
      <c r="C235" s="76" t="s">
        <v>1240</v>
      </c>
      <c r="D235" s="266" t="s">
        <v>882</v>
      </c>
      <c r="E235" s="73" t="s">
        <v>1172</v>
      </c>
      <c r="F235" s="76" t="s">
        <v>188</v>
      </c>
      <c r="G235" s="76" t="s">
        <v>1180</v>
      </c>
      <c r="H235" s="71" t="s">
        <v>1181</v>
      </c>
      <c r="I235" s="71" t="s">
        <v>1188</v>
      </c>
      <c r="J235" s="23" t="s">
        <v>786</v>
      </c>
      <c r="K235" s="256" t="s">
        <v>1075</v>
      </c>
      <c r="L235" s="71" t="s">
        <v>1247</v>
      </c>
      <c r="M235" s="71" t="s">
        <v>1256</v>
      </c>
      <c r="N235" s="76"/>
      <c r="O235" s="71"/>
    </row>
    <row r="236" spans="1:15" s="83" customFormat="1" ht="25.5" customHeight="1">
      <c r="A236" s="84"/>
      <c r="B236" s="88" t="s">
        <v>7</v>
      </c>
      <c r="C236" s="76" t="s">
        <v>1241</v>
      </c>
      <c r="D236" s="266" t="s">
        <v>882</v>
      </c>
      <c r="E236" s="73" t="s">
        <v>1173</v>
      </c>
      <c r="F236" s="76" t="s">
        <v>188</v>
      </c>
      <c r="G236" s="76" t="s">
        <v>1180</v>
      </c>
      <c r="H236" s="71" t="s">
        <v>1181</v>
      </c>
      <c r="I236" s="71" t="s">
        <v>1188</v>
      </c>
      <c r="J236" s="23" t="s">
        <v>786</v>
      </c>
      <c r="K236" s="256" t="s">
        <v>1075</v>
      </c>
      <c r="L236" s="71" t="s">
        <v>1247</v>
      </c>
      <c r="M236" s="71" t="s">
        <v>1256</v>
      </c>
      <c r="N236" s="76"/>
      <c r="O236" s="71"/>
    </row>
    <row r="237" spans="1:15" s="83" customFormat="1" ht="25.5" customHeight="1">
      <c r="A237" s="84"/>
      <c r="B237" s="88" t="s">
        <v>7</v>
      </c>
      <c r="C237" s="76" t="s">
        <v>1242</v>
      </c>
      <c r="D237" s="266" t="s">
        <v>882</v>
      </c>
      <c r="E237" s="73" t="s">
        <v>1174</v>
      </c>
      <c r="F237" s="76" t="s">
        <v>188</v>
      </c>
      <c r="G237" s="76" t="s">
        <v>1180</v>
      </c>
      <c r="H237" s="71" t="s">
        <v>1181</v>
      </c>
      <c r="I237" s="71" t="s">
        <v>1188</v>
      </c>
      <c r="J237" s="23" t="s">
        <v>786</v>
      </c>
      <c r="K237" s="256" t="s">
        <v>1075</v>
      </c>
      <c r="L237" s="71" t="s">
        <v>1247</v>
      </c>
      <c r="M237" s="71" t="s">
        <v>1256</v>
      </c>
      <c r="N237" s="76"/>
      <c r="O237" s="71"/>
    </row>
    <row r="238" spans="1:15" s="83" customFormat="1" ht="25.5" customHeight="1">
      <c r="A238" s="84"/>
      <c r="B238" s="88" t="s">
        <v>7</v>
      </c>
      <c r="C238" s="76" t="s">
        <v>1243</v>
      </c>
      <c r="D238" s="266" t="s">
        <v>882</v>
      </c>
      <c r="E238" s="73" t="s">
        <v>1175</v>
      </c>
      <c r="F238" s="76" t="s">
        <v>188</v>
      </c>
      <c r="G238" s="76" t="s">
        <v>1180</v>
      </c>
      <c r="H238" s="71" t="s">
        <v>1181</v>
      </c>
      <c r="I238" s="71" t="s">
        <v>1188</v>
      </c>
      <c r="J238" s="23" t="s">
        <v>786</v>
      </c>
      <c r="K238" s="256" t="s">
        <v>1075</v>
      </c>
      <c r="L238" s="71" t="s">
        <v>1247</v>
      </c>
      <c r="M238" s="71" t="s">
        <v>1256</v>
      </c>
      <c r="N238" s="76"/>
      <c r="O238" s="71"/>
    </row>
    <row r="239" spans="1:15" s="83" customFormat="1" ht="25.5" customHeight="1">
      <c r="A239" s="84"/>
      <c r="B239" s="88" t="s">
        <v>7</v>
      </c>
      <c r="C239" s="76" t="s">
        <v>1236</v>
      </c>
      <c r="D239" s="266" t="s">
        <v>882</v>
      </c>
      <c r="E239" s="73" t="s">
        <v>1176</v>
      </c>
      <c r="F239" s="76" t="s">
        <v>188</v>
      </c>
      <c r="G239" s="76" t="s">
        <v>1180</v>
      </c>
      <c r="H239" s="71" t="s">
        <v>1181</v>
      </c>
      <c r="I239" s="71" t="s">
        <v>1188</v>
      </c>
      <c r="J239" s="23" t="s">
        <v>786</v>
      </c>
      <c r="K239" s="256" t="s">
        <v>1075</v>
      </c>
      <c r="L239" s="71" t="s">
        <v>1247</v>
      </c>
      <c r="M239" s="71" t="s">
        <v>1256</v>
      </c>
      <c r="N239" s="76"/>
      <c r="O239" s="71"/>
    </row>
    <row r="240" spans="1:15" s="83" customFormat="1" ht="25.5" customHeight="1">
      <c r="A240" s="84"/>
      <c r="B240" s="88" t="s">
        <v>7</v>
      </c>
      <c r="C240" s="76" t="s">
        <v>1244</v>
      </c>
      <c r="D240" s="266" t="s">
        <v>882</v>
      </c>
      <c r="E240" s="73" t="s">
        <v>1177</v>
      </c>
      <c r="F240" s="76" t="s">
        <v>188</v>
      </c>
      <c r="G240" s="76" t="s">
        <v>1180</v>
      </c>
      <c r="H240" s="71" t="s">
        <v>1181</v>
      </c>
      <c r="I240" s="71" t="s">
        <v>1189</v>
      </c>
      <c r="J240" s="23" t="s">
        <v>786</v>
      </c>
      <c r="K240" s="256" t="s">
        <v>1075</v>
      </c>
      <c r="L240" s="71" t="s">
        <v>1247</v>
      </c>
      <c r="M240" s="71" t="s">
        <v>1256</v>
      </c>
      <c r="N240" s="76"/>
      <c r="O240" s="71"/>
    </row>
    <row r="241" spans="1:15" s="83" customFormat="1" ht="25.5" customHeight="1">
      <c r="A241" s="84"/>
      <c r="B241" s="88" t="s">
        <v>7</v>
      </c>
      <c r="C241" s="76" t="s">
        <v>1245</v>
      </c>
      <c r="D241" s="266" t="s">
        <v>882</v>
      </c>
      <c r="E241" s="73" t="s">
        <v>1178</v>
      </c>
      <c r="F241" s="76" t="s">
        <v>188</v>
      </c>
      <c r="G241" s="76" t="s">
        <v>1180</v>
      </c>
      <c r="H241" s="71" t="s">
        <v>1181</v>
      </c>
      <c r="I241" s="71" t="s">
        <v>1189</v>
      </c>
      <c r="J241" s="23" t="s">
        <v>786</v>
      </c>
      <c r="K241" s="256" t="s">
        <v>1075</v>
      </c>
      <c r="L241" s="71" t="s">
        <v>1247</v>
      </c>
      <c r="M241" s="71" t="s">
        <v>1256</v>
      </c>
      <c r="N241" s="76"/>
      <c r="O241" s="71"/>
    </row>
    <row r="242" spans="1:15" s="83" customFormat="1" ht="25.5" customHeight="1">
      <c r="A242" s="84"/>
      <c r="B242" s="88" t="s">
        <v>7</v>
      </c>
      <c r="C242" s="76" t="s">
        <v>1246</v>
      </c>
      <c r="D242" s="266" t="s">
        <v>882</v>
      </c>
      <c r="E242" s="73" t="s">
        <v>1179</v>
      </c>
      <c r="F242" s="76" t="s">
        <v>188</v>
      </c>
      <c r="G242" s="76" t="s">
        <v>1180</v>
      </c>
      <c r="H242" s="71" t="s">
        <v>1181</v>
      </c>
      <c r="I242" s="71" t="s">
        <v>1189</v>
      </c>
      <c r="J242" s="23" t="s">
        <v>786</v>
      </c>
      <c r="K242" s="256" t="s">
        <v>1075</v>
      </c>
      <c r="L242" s="71" t="s">
        <v>1247</v>
      </c>
      <c r="M242" s="71" t="s">
        <v>1256</v>
      </c>
      <c r="N242" s="76"/>
      <c r="O242" s="71"/>
    </row>
    <row r="243" spans="1:15" s="83" customFormat="1" ht="25.5" customHeight="1">
      <c r="A243" s="84"/>
      <c r="B243" s="88" t="s">
        <v>122</v>
      </c>
      <c r="C243" s="76" t="s">
        <v>1259</v>
      </c>
      <c r="D243" s="266" t="s">
        <v>882</v>
      </c>
      <c r="E243" s="73" t="s">
        <v>1260</v>
      </c>
      <c r="F243" s="76" t="s">
        <v>1277</v>
      </c>
      <c r="G243" s="76" t="s">
        <v>1276</v>
      </c>
      <c r="H243" s="71"/>
      <c r="I243" s="71"/>
      <c r="J243" s="23" t="s">
        <v>786</v>
      </c>
      <c r="K243" s="256" t="s">
        <v>1072</v>
      </c>
      <c r="L243" s="71" t="s">
        <v>1003</v>
      </c>
      <c r="M243" s="71" t="s">
        <v>1012</v>
      </c>
      <c r="N243" s="76" t="s">
        <v>1275</v>
      </c>
      <c r="O243" s="71"/>
    </row>
    <row r="244" spans="1:15" s="83" customFormat="1" ht="25.5" customHeight="1">
      <c r="A244" s="84"/>
      <c r="B244" s="88" t="s">
        <v>122</v>
      </c>
      <c r="C244" s="76" t="s">
        <v>1261</v>
      </c>
      <c r="D244" s="266" t="s">
        <v>882</v>
      </c>
      <c r="E244" s="73" t="s">
        <v>1262</v>
      </c>
      <c r="F244" s="76" t="s">
        <v>1277</v>
      </c>
      <c r="G244" s="76" t="s">
        <v>1276</v>
      </c>
      <c r="H244" s="71"/>
      <c r="I244" s="71"/>
      <c r="J244" s="23" t="s">
        <v>786</v>
      </c>
      <c r="K244" s="256" t="s">
        <v>1072</v>
      </c>
      <c r="L244" s="71" t="s">
        <v>1003</v>
      </c>
      <c r="M244" s="71" t="s">
        <v>1012</v>
      </c>
      <c r="N244" s="76" t="s">
        <v>1275</v>
      </c>
      <c r="O244" s="71"/>
    </row>
    <row r="245" spans="1:15" s="83" customFormat="1" ht="25.5" customHeight="1">
      <c r="A245" s="84"/>
      <c r="B245" s="88" t="s">
        <v>122</v>
      </c>
      <c r="C245" s="76" t="s">
        <v>1263</v>
      </c>
      <c r="D245" s="266" t="s">
        <v>882</v>
      </c>
      <c r="E245" s="73" t="s">
        <v>1264</v>
      </c>
      <c r="F245" s="76" t="s">
        <v>1277</v>
      </c>
      <c r="G245" s="76" t="s">
        <v>1276</v>
      </c>
      <c r="H245" s="71"/>
      <c r="I245" s="71"/>
      <c r="J245" s="23" t="s">
        <v>786</v>
      </c>
      <c r="K245" s="256" t="s">
        <v>1072</v>
      </c>
      <c r="L245" s="71" t="s">
        <v>1003</v>
      </c>
      <c r="M245" s="71" t="s">
        <v>1012</v>
      </c>
      <c r="N245" s="76" t="s">
        <v>1275</v>
      </c>
      <c r="O245" s="71"/>
    </row>
    <row r="246" spans="1:15" s="83" customFormat="1" ht="25.5" customHeight="1">
      <c r="A246" s="84"/>
      <c r="B246" s="88" t="s">
        <v>122</v>
      </c>
      <c r="C246" s="76" t="s">
        <v>1265</v>
      </c>
      <c r="D246" s="266" t="s">
        <v>882</v>
      </c>
      <c r="E246" s="73" t="s">
        <v>1266</v>
      </c>
      <c r="F246" s="76" t="s">
        <v>1277</v>
      </c>
      <c r="G246" s="76" t="s">
        <v>1276</v>
      </c>
      <c r="H246" s="71"/>
      <c r="I246" s="71"/>
      <c r="J246" s="23" t="s">
        <v>786</v>
      </c>
      <c r="K246" s="256" t="s">
        <v>1072</v>
      </c>
      <c r="L246" s="71" t="s">
        <v>1003</v>
      </c>
      <c r="M246" s="71" t="s">
        <v>1012</v>
      </c>
      <c r="N246" s="76" t="s">
        <v>1275</v>
      </c>
      <c r="O246" s="71"/>
    </row>
    <row r="247" spans="1:15" s="83" customFormat="1" ht="25.5" customHeight="1">
      <c r="A247" s="84"/>
      <c r="B247" s="88" t="s">
        <v>122</v>
      </c>
      <c r="C247" s="76" t="s">
        <v>1267</v>
      </c>
      <c r="D247" s="266" t="s">
        <v>882</v>
      </c>
      <c r="E247" s="73" t="s">
        <v>1268</v>
      </c>
      <c r="F247" s="76" t="s">
        <v>1277</v>
      </c>
      <c r="G247" s="76" t="s">
        <v>1276</v>
      </c>
      <c r="H247" s="71"/>
      <c r="I247" s="71"/>
      <c r="J247" s="23" t="s">
        <v>786</v>
      </c>
      <c r="K247" s="256" t="s">
        <v>1072</v>
      </c>
      <c r="L247" s="71" t="s">
        <v>1003</v>
      </c>
      <c r="M247" s="71" t="s">
        <v>1012</v>
      </c>
      <c r="N247" s="76" t="s">
        <v>1275</v>
      </c>
      <c r="O247" s="71"/>
    </row>
    <row r="248" spans="1:15" s="83" customFormat="1" ht="25.5" customHeight="1">
      <c r="A248" s="84"/>
      <c r="B248" s="88" t="s">
        <v>122</v>
      </c>
      <c r="C248" s="76" t="s">
        <v>1269</v>
      </c>
      <c r="D248" s="266" t="s">
        <v>882</v>
      </c>
      <c r="E248" s="73" t="s">
        <v>1270</v>
      </c>
      <c r="F248" s="76" t="s">
        <v>1277</v>
      </c>
      <c r="G248" s="76" t="s">
        <v>1276</v>
      </c>
      <c r="H248" s="71"/>
      <c r="I248" s="71"/>
      <c r="J248" s="23" t="s">
        <v>786</v>
      </c>
      <c r="K248" s="256" t="s">
        <v>1072</v>
      </c>
      <c r="L248" s="71" t="s">
        <v>1003</v>
      </c>
      <c r="M248" s="71" t="s">
        <v>1012</v>
      </c>
      <c r="N248" s="76" t="s">
        <v>1275</v>
      </c>
      <c r="O248" s="71"/>
    </row>
    <row r="249" spans="1:15" s="83" customFormat="1" ht="25.5" customHeight="1">
      <c r="A249" s="84"/>
      <c r="B249" s="88" t="s">
        <v>122</v>
      </c>
      <c r="C249" s="76" t="s">
        <v>1271</v>
      </c>
      <c r="D249" s="266" t="s">
        <v>882</v>
      </c>
      <c r="E249" s="73" t="s">
        <v>1272</v>
      </c>
      <c r="F249" s="76" t="s">
        <v>1277</v>
      </c>
      <c r="G249" s="76" t="s">
        <v>1276</v>
      </c>
      <c r="H249" s="71"/>
      <c r="I249" s="71"/>
      <c r="J249" s="23" t="s">
        <v>786</v>
      </c>
      <c r="K249" s="256" t="s">
        <v>1072</v>
      </c>
      <c r="L249" s="71" t="s">
        <v>1003</v>
      </c>
      <c r="M249" s="71" t="s">
        <v>1012</v>
      </c>
      <c r="N249" s="76" t="s">
        <v>1275</v>
      </c>
      <c r="O249" s="71"/>
    </row>
    <row r="250" spans="1:15" s="83" customFormat="1" ht="25.5" customHeight="1">
      <c r="A250" s="84"/>
      <c r="B250" s="88" t="s">
        <v>122</v>
      </c>
      <c r="C250" s="76" t="s">
        <v>1273</v>
      </c>
      <c r="D250" s="266" t="s">
        <v>882</v>
      </c>
      <c r="E250" s="73" t="s">
        <v>1274</v>
      </c>
      <c r="F250" s="76" t="s">
        <v>1277</v>
      </c>
      <c r="G250" s="76" t="s">
        <v>1276</v>
      </c>
      <c r="H250" s="71"/>
      <c r="I250" s="71"/>
      <c r="J250" s="23" t="s">
        <v>786</v>
      </c>
      <c r="K250" s="256" t="s">
        <v>1072</v>
      </c>
      <c r="L250" s="71" t="s">
        <v>1003</v>
      </c>
      <c r="M250" s="71" t="s">
        <v>1012</v>
      </c>
      <c r="N250" s="76" t="s">
        <v>1275</v>
      </c>
      <c r="O250" s="71"/>
    </row>
    <row r="251" spans="1:15" s="83" customFormat="1" ht="25.5" customHeight="1">
      <c r="A251" s="84"/>
      <c r="B251" s="88" t="s">
        <v>7</v>
      </c>
      <c r="C251" s="76" t="s">
        <v>1284</v>
      </c>
      <c r="D251" s="266" t="s">
        <v>882</v>
      </c>
      <c r="E251" s="73" t="s">
        <v>1283</v>
      </c>
      <c r="F251" s="76" t="s">
        <v>291</v>
      </c>
      <c r="G251" s="76" t="s">
        <v>1285</v>
      </c>
      <c r="H251" s="71"/>
      <c r="I251" s="71"/>
      <c r="J251" s="23" t="s">
        <v>786</v>
      </c>
      <c r="K251" s="256" t="s">
        <v>1073</v>
      </c>
      <c r="L251" s="71" t="s">
        <v>1028</v>
      </c>
      <c r="M251" s="71" t="s">
        <v>1280</v>
      </c>
      <c r="N251" s="76" t="s">
        <v>1281</v>
      </c>
      <c r="O251" s="71" t="s">
        <v>1282</v>
      </c>
    </row>
    <row r="252" spans="1:15" s="83" customFormat="1" ht="25.5" customHeight="1">
      <c r="A252" s="84"/>
      <c r="B252" s="88" t="s">
        <v>84</v>
      </c>
      <c r="C252" s="76" t="s">
        <v>1286</v>
      </c>
      <c r="D252" s="266" t="s">
        <v>882</v>
      </c>
      <c r="E252" s="73" t="s">
        <v>1476</v>
      </c>
      <c r="F252" s="76" t="s">
        <v>282</v>
      </c>
      <c r="G252" s="76" t="s">
        <v>283</v>
      </c>
      <c r="H252" s="71"/>
      <c r="I252" s="71"/>
      <c r="J252" s="23" t="s">
        <v>786</v>
      </c>
      <c r="K252" s="256" t="s">
        <v>1073</v>
      </c>
      <c r="L252" s="71" t="s">
        <v>1028</v>
      </c>
      <c r="M252" s="71" t="s">
        <v>1287</v>
      </c>
      <c r="N252" s="76" t="s">
        <v>1288</v>
      </c>
      <c r="O252" s="71"/>
    </row>
    <row r="253" spans="1:15" s="83" customFormat="1" ht="25.5" customHeight="1">
      <c r="A253" s="84"/>
      <c r="B253" s="88" t="s">
        <v>84</v>
      </c>
      <c r="C253" s="76" t="s">
        <v>1286</v>
      </c>
      <c r="D253" s="266" t="s">
        <v>882</v>
      </c>
      <c r="E253" s="73" t="s">
        <v>1477</v>
      </c>
      <c r="F253" s="76" t="s">
        <v>282</v>
      </c>
      <c r="G253" s="76" t="s">
        <v>283</v>
      </c>
      <c r="H253" s="71"/>
      <c r="I253" s="71"/>
      <c r="J253" s="23" t="s">
        <v>786</v>
      </c>
      <c r="K253" s="256" t="s">
        <v>1073</v>
      </c>
      <c r="L253" s="71" t="s">
        <v>1028</v>
      </c>
      <c r="M253" s="71" t="s">
        <v>1287</v>
      </c>
      <c r="N253" s="76" t="s">
        <v>1288</v>
      </c>
      <c r="O253" s="71"/>
    </row>
    <row r="254" spans="1:15" s="83" customFormat="1" ht="25.5" customHeight="1">
      <c r="A254" s="84"/>
      <c r="B254" s="88" t="s">
        <v>84</v>
      </c>
      <c r="C254" s="76" t="s">
        <v>1286</v>
      </c>
      <c r="D254" s="266" t="s">
        <v>882</v>
      </c>
      <c r="E254" s="73" t="s">
        <v>1478</v>
      </c>
      <c r="F254" s="76" t="s">
        <v>282</v>
      </c>
      <c r="G254" s="76" t="s">
        <v>283</v>
      </c>
      <c r="H254" s="71"/>
      <c r="I254" s="71"/>
      <c r="J254" s="23" t="s">
        <v>786</v>
      </c>
      <c r="K254" s="256" t="s">
        <v>1073</v>
      </c>
      <c r="L254" s="71" t="s">
        <v>1028</v>
      </c>
      <c r="M254" s="71" t="s">
        <v>1287</v>
      </c>
      <c r="N254" s="76" t="s">
        <v>1288</v>
      </c>
      <c r="O254" s="71"/>
    </row>
    <row r="255" spans="1:15" s="83" customFormat="1" ht="25.5" customHeight="1">
      <c r="A255" s="84"/>
      <c r="B255" s="88" t="s">
        <v>84</v>
      </c>
      <c r="C255" s="76" t="s">
        <v>1286</v>
      </c>
      <c r="D255" s="266" t="s">
        <v>882</v>
      </c>
      <c r="E255" s="73" t="s">
        <v>1479</v>
      </c>
      <c r="F255" s="76" t="s">
        <v>282</v>
      </c>
      <c r="G255" s="76" t="s">
        <v>283</v>
      </c>
      <c r="H255" s="71"/>
      <c r="I255" s="71"/>
      <c r="J255" s="23" t="s">
        <v>786</v>
      </c>
      <c r="K255" s="256" t="s">
        <v>1073</v>
      </c>
      <c r="L255" s="71" t="s">
        <v>1028</v>
      </c>
      <c r="M255" s="71" t="s">
        <v>1287</v>
      </c>
      <c r="N255" s="76" t="s">
        <v>1288</v>
      </c>
      <c r="O255" s="71"/>
    </row>
    <row r="256" spans="1:15" s="83" customFormat="1" ht="25.5" customHeight="1">
      <c r="A256" s="84"/>
      <c r="B256" s="88" t="s">
        <v>84</v>
      </c>
      <c r="C256" s="76" t="s">
        <v>1286</v>
      </c>
      <c r="D256" s="266" t="s">
        <v>882</v>
      </c>
      <c r="E256" s="73" t="s">
        <v>1480</v>
      </c>
      <c r="F256" s="76" t="s">
        <v>282</v>
      </c>
      <c r="G256" s="76" t="s">
        <v>283</v>
      </c>
      <c r="H256" s="71"/>
      <c r="I256" s="71"/>
      <c r="J256" s="23" t="s">
        <v>786</v>
      </c>
      <c r="K256" s="256" t="s">
        <v>1073</v>
      </c>
      <c r="L256" s="71" t="s">
        <v>1028</v>
      </c>
      <c r="M256" s="71" t="s">
        <v>1287</v>
      </c>
      <c r="N256" s="76" t="s">
        <v>1288</v>
      </c>
      <c r="O256" s="71"/>
    </row>
    <row r="257" spans="1:15" ht="25.5" customHeight="1">
      <c r="A257" s="84"/>
      <c r="B257" s="88" t="s">
        <v>136</v>
      </c>
      <c r="C257" s="73" t="s">
        <v>1290</v>
      </c>
      <c r="D257" s="265" t="s">
        <v>882</v>
      </c>
      <c r="E257" s="73" t="s">
        <v>1292</v>
      </c>
      <c r="F257" s="76" t="s">
        <v>809</v>
      </c>
      <c r="G257" s="76" t="s">
        <v>927</v>
      </c>
      <c r="H257" s="71" t="s">
        <v>1413</v>
      </c>
      <c r="I257" s="72"/>
      <c r="J257" s="23" t="s">
        <v>786</v>
      </c>
      <c r="K257" s="256" t="s">
        <v>1074</v>
      </c>
      <c r="L257" s="71" t="s">
        <v>995</v>
      </c>
      <c r="M257" s="71" t="s">
        <v>1015</v>
      </c>
      <c r="N257" s="71" t="s">
        <v>1016</v>
      </c>
      <c r="O257" s="71" t="s">
        <v>1017</v>
      </c>
    </row>
    <row r="258" spans="1:15" ht="25.5" customHeight="1">
      <c r="A258" s="84"/>
      <c r="B258" s="88" t="s">
        <v>136</v>
      </c>
      <c r="C258" s="73" t="s">
        <v>1291</v>
      </c>
      <c r="D258" s="265" t="s">
        <v>882</v>
      </c>
      <c r="E258" s="73" t="s">
        <v>1293</v>
      </c>
      <c r="F258" s="76" t="s">
        <v>809</v>
      </c>
      <c r="G258" s="76" t="s">
        <v>927</v>
      </c>
      <c r="H258" s="71" t="s">
        <v>1294</v>
      </c>
      <c r="I258" s="72"/>
      <c r="J258" s="23" t="s">
        <v>786</v>
      </c>
      <c r="K258" s="256" t="s">
        <v>1074</v>
      </c>
      <c r="L258" s="71" t="s">
        <v>995</v>
      </c>
      <c r="M258" s="71" t="s">
        <v>1015</v>
      </c>
      <c r="N258" s="71" t="s">
        <v>1295</v>
      </c>
      <c r="O258" s="71"/>
    </row>
    <row r="259" spans="1:15" ht="25.5" customHeight="1">
      <c r="A259" s="84"/>
      <c r="B259" s="88" t="s">
        <v>139</v>
      </c>
      <c r="C259" s="73" t="s">
        <v>1301</v>
      </c>
      <c r="D259" s="265" t="s">
        <v>882</v>
      </c>
      <c r="E259" s="73" t="s">
        <v>1349</v>
      </c>
      <c r="F259" s="76" t="s">
        <v>1078</v>
      </c>
      <c r="G259" s="76" t="s">
        <v>1296</v>
      </c>
      <c r="H259" s="71"/>
      <c r="I259" s="72"/>
      <c r="J259" s="23" t="s">
        <v>786</v>
      </c>
      <c r="K259" s="256" t="s">
        <v>1078</v>
      </c>
      <c r="L259" s="71" t="s">
        <v>981</v>
      </c>
      <c r="M259" s="71" t="s">
        <v>989</v>
      </c>
      <c r="N259" s="71" t="s">
        <v>990</v>
      </c>
      <c r="O259" s="71"/>
    </row>
    <row r="260" spans="1:15" ht="25.5" customHeight="1">
      <c r="A260" s="84"/>
      <c r="B260" s="88" t="s">
        <v>139</v>
      </c>
      <c r="C260" s="73" t="s">
        <v>1302</v>
      </c>
      <c r="D260" s="265" t="s">
        <v>882</v>
      </c>
      <c r="E260" s="73" t="s">
        <v>1350</v>
      </c>
      <c r="F260" s="76" t="s">
        <v>1078</v>
      </c>
      <c r="G260" s="76" t="s">
        <v>1296</v>
      </c>
      <c r="H260" s="71"/>
      <c r="I260" s="72"/>
      <c r="J260" s="23" t="s">
        <v>786</v>
      </c>
      <c r="K260" s="256" t="s">
        <v>1078</v>
      </c>
      <c r="L260" s="71" t="s">
        <v>981</v>
      </c>
      <c r="M260" s="71" t="s">
        <v>989</v>
      </c>
      <c r="N260" s="71" t="s">
        <v>990</v>
      </c>
      <c r="O260" s="71"/>
    </row>
    <row r="261" spans="1:15" ht="25.5" customHeight="1">
      <c r="A261" s="84"/>
      <c r="B261" s="88" t="s">
        <v>139</v>
      </c>
      <c r="C261" s="73" t="s">
        <v>1303</v>
      </c>
      <c r="D261" s="265" t="s">
        <v>882</v>
      </c>
      <c r="E261" s="73" t="s">
        <v>1351</v>
      </c>
      <c r="F261" s="76" t="s">
        <v>1078</v>
      </c>
      <c r="G261" s="76" t="s">
        <v>1296</v>
      </c>
      <c r="H261" s="71"/>
      <c r="I261" s="72"/>
      <c r="J261" s="23" t="s">
        <v>786</v>
      </c>
      <c r="K261" s="256" t="s">
        <v>1078</v>
      </c>
      <c r="L261" s="71" t="s">
        <v>981</v>
      </c>
      <c r="M261" s="71" t="s">
        <v>989</v>
      </c>
      <c r="N261" s="71" t="s">
        <v>1397</v>
      </c>
      <c r="O261" s="71"/>
    </row>
    <row r="262" spans="1:15" ht="25.5" customHeight="1">
      <c r="A262" s="84"/>
      <c r="B262" s="88" t="s">
        <v>139</v>
      </c>
      <c r="C262" s="73" t="s">
        <v>1304</v>
      </c>
      <c r="D262" s="265" t="s">
        <v>882</v>
      </c>
      <c r="E262" s="73" t="s">
        <v>1352</v>
      </c>
      <c r="F262" s="76" t="s">
        <v>1078</v>
      </c>
      <c r="G262" s="76" t="s">
        <v>1296</v>
      </c>
      <c r="H262" s="71"/>
      <c r="I262" s="72"/>
      <c r="J262" s="23" t="s">
        <v>786</v>
      </c>
      <c r="K262" s="256" t="s">
        <v>1078</v>
      </c>
      <c r="L262" s="71" t="s">
        <v>981</v>
      </c>
      <c r="M262" s="71" t="s">
        <v>1398</v>
      </c>
      <c r="N262" s="71" t="s">
        <v>1399</v>
      </c>
      <c r="O262" s="71"/>
    </row>
    <row r="263" spans="1:15" ht="25.5" customHeight="1">
      <c r="A263" s="84"/>
      <c r="B263" s="88" t="s">
        <v>139</v>
      </c>
      <c r="C263" s="73" t="s">
        <v>1305</v>
      </c>
      <c r="D263" s="265" t="s">
        <v>882</v>
      </c>
      <c r="E263" s="73" t="s">
        <v>1353</v>
      </c>
      <c r="F263" s="76" t="s">
        <v>1078</v>
      </c>
      <c r="G263" s="76" t="s">
        <v>1296</v>
      </c>
      <c r="H263" s="71"/>
      <c r="I263" s="72"/>
      <c r="J263" s="23" t="s">
        <v>786</v>
      </c>
      <c r="K263" s="256" t="s">
        <v>1078</v>
      </c>
      <c r="L263" s="71" t="s">
        <v>981</v>
      </c>
      <c r="M263" s="71" t="s">
        <v>989</v>
      </c>
      <c r="N263" s="71" t="s">
        <v>990</v>
      </c>
      <c r="O263" s="71"/>
    </row>
    <row r="264" spans="1:15" ht="25.5" customHeight="1">
      <c r="A264" s="84"/>
      <c r="B264" s="88" t="s">
        <v>139</v>
      </c>
      <c r="C264" s="73" t="s">
        <v>1306</v>
      </c>
      <c r="D264" s="265" t="s">
        <v>882</v>
      </c>
      <c r="E264" s="73" t="s">
        <v>1354</v>
      </c>
      <c r="F264" s="76" t="s">
        <v>1078</v>
      </c>
      <c r="G264" s="76" t="s">
        <v>1296</v>
      </c>
      <c r="H264" s="71"/>
      <c r="I264" s="72"/>
      <c r="J264" s="23" t="s">
        <v>786</v>
      </c>
      <c r="K264" s="256" t="s">
        <v>1078</v>
      </c>
      <c r="L264" s="71" t="s">
        <v>981</v>
      </c>
      <c r="M264" s="71" t="s">
        <v>989</v>
      </c>
      <c r="N264" s="71" t="s">
        <v>990</v>
      </c>
      <c r="O264" s="71"/>
    </row>
    <row r="265" spans="1:15" ht="25.5" customHeight="1">
      <c r="A265" s="84"/>
      <c r="B265" s="88" t="s">
        <v>139</v>
      </c>
      <c r="C265" s="73" t="s">
        <v>1307</v>
      </c>
      <c r="D265" s="265" t="s">
        <v>882</v>
      </c>
      <c r="E265" s="73" t="s">
        <v>1355</v>
      </c>
      <c r="F265" s="76" t="s">
        <v>1078</v>
      </c>
      <c r="G265" s="76" t="s">
        <v>1296</v>
      </c>
      <c r="H265" s="71"/>
      <c r="I265" s="72"/>
      <c r="J265" s="23" t="s">
        <v>786</v>
      </c>
      <c r="K265" s="256" t="s">
        <v>1078</v>
      </c>
      <c r="L265" s="71" t="s">
        <v>981</v>
      </c>
      <c r="M265" s="71" t="s">
        <v>989</v>
      </c>
      <c r="N265" s="71" t="s">
        <v>990</v>
      </c>
      <c r="O265" s="71"/>
    </row>
    <row r="266" spans="1:15" ht="25.5" customHeight="1">
      <c r="A266" s="84"/>
      <c r="B266" s="88" t="s">
        <v>139</v>
      </c>
      <c r="C266" s="73" t="s">
        <v>1308</v>
      </c>
      <c r="D266" s="265" t="s">
        <v>882</v>
      </c>
      <c r="E266" s="73" t="s">
        <v>1356</v>
      </c>
      <c r="F266" s="76" t="s">
        <v>1078</v>
      </c>
      <c r="G266" s="76" t="s">
        <v>1296</v>
      </c>
      <c r="H266" s="71"/>
      <c r="I266" s="72"/>
      <c r="J266" s="23" t="s">
        <v>786</v>
      </c>
      <c r="K266" s="256" t="s">
        <v>1078</v>
      </c>
      <c r="L266" s="71" t="s">
        <v>981</v>
      </c>
      <c r="M266" s="71" t="s">
        <v>1400</v>
      </c>
      <c r="N266" s="71"/>
      <c r="O266" s="71"/>
    </row>
    <row r="267" spans="1:15" ht="25.5" customHeight="1">
      <c r="A267" s="84"/>
      <c r="B267" s="88" t="s">
        <v>139</v>
      </c>
      <c r="C267" s="73" t="s">
        <v>1309</v>
      </c>
      <c r="D267" s="265" t="s">
        <v>882</v>
      </c>
      <c r="E267" s="73" t="s">
        <v>1357</v>
      </c>
      <c r="F267" s="76" t="s">
        <v>1078</v>
      </c>
      <c r="G267" s="76" t="s">
        <v>1296</v>
      </c>
      <c r="H267" s="71"/>
      <c r="I267" s="72"/>
      <c r="J267" s="23" t="s">
        <v>786</v>
      </c>
      <c r="K267" s="256" t="s">
        <v>1078</v>
      </c>
      <c r="L267" s="71" t="s">
        <v>981</v>
      </c>
      <c r="M267" s="71" t="s">
        <v>1400</v>
      </c>
      <c r="N267" s="71"/>
      <c r="O267" s="71"/>
    </row>
    <row r="268" spans="1:15" ht="25.5" customHeight="1">
      <c r="A268" s="84"/>
      <c r="B268" s="88" t="s">
        <v>139</v>
      </c>
      <c r="C268" s="73" t="s">
        <v>1310</v>
      </c>
      <c r="D268" s="265" t="s">
        <v>882</v>
      </c>
      <c r="E268" s="73" t="s">
        <v>1358</v>
      </c>
      <c r="F268" s="76" t="s">
        <v>1078</v>
      </c>
      <c r="G268" s="76" t="s">
        <v>1296</v>
      </c>
      <c r="H268" s="71"/>
      <c r="I268" s="72"/>
      <c r="J268" s="23" t="s">
        <v>786</v>
      </c>
      <c r="K268" s="256" t="s">
        <v>1078</v>
      </c>
      <c r="L268" s="71" t="s">
        <v>981</v>
      </c>
      <c r="M268" s="71" t="s">
        <v>1400</v>
      </c>
      <c r="N268" s="71"/>
      <c r="O268" s="71"/>
    </row>
    <row r="269" spans="1:15" ht="25.5" customHeight="1">
      <c r="A269" s="84"/>
      <c r="B269" s="88" t="s">
        <v>139</v>
      </c>
      <c r="C269" s="73" t="s">
        <v>1311</v>
      </c>
      <c r="D269" s="265" t="s">
        <v>882</v>
      </c>
      <c r="E269" s="73" t="s">
        <v>1359</v>
      </c>
      <c r="F269" s="76" t="s">
        <v>1078</v>
      </c>
      <c r="G269" s="76" t="s">
        <v>1296</v>
      </c>
      <c r="H269" s="71"/>
      <c r="I269" s="72"/>
      <c r="J269" s="23" t="s">
        <v>786</v>
      </c>
      <c r="K269" s="256" t="s">
        <v>1078</v>
      </c>
      <c r="L269" s="71" t="s">
        <v>981</v>
      </c>
      <c r="M269" s="71" t="s">
        <v>1400</v>
      </c>
      <c r="N269" s="71"/>
      <c r="O269" s="71"/>
    </row>
    <row r="270" spans="1:15" ht="25.5" customHeight="1">
      <c r="A270" s="84"/>
      <c r="B270" s="88" t="s">
        <v>139</v>
      </c>
      <c r="C270" s="73" t="s">
        <v>1312</v>
      </c>
      <c r="D270" s="265" t="s">
        <v>882</v>
      </c>
      <c r="E270" s="73" t="s">
        <v>1360</v>
      </c>
      <c r="F270" s="76" t="s">
        <v>1078</v>
      </c>
      <c r="G270" s="76" t="s">
        <v>1296</v>
      </c>
      <c r="H270" s="71"/>
      <c r="I270" s="72"/>
      <c r="J270" s="23" t="s">
        <v>786</v>
      </c>
      <c r="K270" s="256" t="s">
        <v>1078</v>
      </c>
      <c r="L270" s="71" t="s">
        <v>981</v>
      </c>
      <c r="M270" s="71" t="s">
        <v>1400</v>
      </c>
      <c r="N270" s="71"/>
      <c r="O270" s="71"/>
    </row>
    <row r="271" spans="1:15" ht="25.5" customHeight="1">
      <c r="A271" s="84"/>
      <c r="B271" s="88" t="s">
        <v>139</v>
      </c>
      <c r="C271" s="73" t="s">
        <v>1313</v>
      </c>
      <c r="D271" s="265" t="s">
        <v>882</v>
      </c>
      <c r="E271" s="73" t="s">
        <v>1361</v>
      </c>
      <c r="F271" s="76" t="s">
        <v>1078</v>
      </c>
      <c r="G271" s="76" t="s">
        <v>1296</v>
      </c>
      <c r="H271" s="71"/>
      <c r="I271" s="72"/>
      <c r="J271" s="23" t="s">
        <v>786</v>
      </c>
      <c r="K271" s="256" t="s">
        <v>1078</v>
      </c>
      <c r="L271" s="71" t="s">
        <v>981</v>
      </c>
      <c r="M271" s="71" t="s">
        <v>989</v>
      </c>
      <c r="N271" s="71"/>
      <c r="O271" s="71"/>
    </row>
    <row r="272" spans="1:15" ht="25.5" customHeight="1">
      <c r="A272" s="84"/>
      <c r="B272" s="88" t="s">
        <v>139</v>
      </c>
      <c r="C272" s="73" t="s">
        <v>1314</v>
      </c>
      <c r="D272" s="265" t="s">
        <v>882</v>
      </c>
      <c r="E272" s="73" t="s">
        <v>1362</v>
      </c>
      <c r="F272" s="76" t="s">
        <v>1078</v>
      </c>
      <c r="G272" s="76" t="s">
        <v>1296</v>
      </c>
      <c r="H272" s="71"/>
      <c r="I272" s="72"/>
      <c r="J272" s="23" t="s">
        <v>786</v>
      </c>
      <c r="K272" s="256" t="s">
        <v>1078</v>
      </c>
      <c r="L272" s="71" t="s">
        <v>981</v>
      </c>
      <c r="M272" s="71" t="s">
        <v>989</v>
      </c>
      <c r="N272" s="71" t="s">
        <v>990</v>
      </c>
      <c r="O272" s="71"/>
    </row>
    <row r="273" spans="1:15" ht="25.5" customHeight="1">
      <c r="A273" s="84"/>
      <c r="B273" s="88" t="s">
        <v>33</v>
      </c>
      <c r="C273" s="73" t="s">
        <v>1315</v>
      </c>
      <c r="D273" s="265" t="s">
        <v>882</v>
      </c>
      <c r="E273" s="73" t="s">
        <v>1363</v>
      </c>
      <c r="F273" s="76" t="s">
        <v>1078</v>
      </c>
      <c r="G273" s="76" t="s">
        <v>1296</v>
      </c>
      <c r="H273" s="71"/>
      <c r="I273" s="72"/>
      <c r="J273" s="23" t="s">
        <v>786</v>
      </c>
      <c r="K273" s="256" t="s">
        <v>1078</v>
      </c>
      <c r="L273" s="71" t="s">
        <v>981</v>
      </c>
      <c r="M273" s="71" t="s">
        <v>1398</v>
      </c>
      <c r="N273" s="71" t="s">
        <v>1399</v>
      </c>
      <c r="O273" s="71"/>
    </row>
    <row r="274" spans="1:15" ht="25.5" customHeight="1">
      <c r="A274" s="84"/>
      <c r="B274" s="88" t="s">
        <v>139</v>
      </c>
      <c r="C274" s="73" t="s">
        <v>1316</v>
      </c>
      <c r="D274" s="265" t="s">
        <v>882</v>
      </c>
      <c r="E274" s="73" t="s">
        <v>1364</v>
      </c>
      <c r="F274" s="76" t="s">
        <v>1078</v>
      </c>
      <c r="G274" s="76" t="s">
        <v>1296</v>
      </c>
      <c r="H274" s="71"/>
      <c r="I274" s="72"/>
      <c r="J274" s="23" t="s">
        <v>786</v>
      </c>
      <c r="K274" s="256" t="s">
        <v>1078</v>
      </c>
      <c r="L274" s="71" t="s">
        <v>981</v>
      </c>
      <c r="M274" s="71" t="s">
        <v>1400</v>
      </c>
      <c r="N274" s="71"/>
      <c r="O274" s="71"/>
    </row>
    <row r="275" spans="1:15" ht="25.5" customHeight="1">
      <c r="A275" s="84"/>
      <c r="B275" s="88" t="s">
        <v>139</v>
      </c>
      <c r="C275" s="73" t="s">
        <v>1317</v>
      </c>
      <c r="D275" s="265" t="s">
        <v>882</v>
      </c>
      <c r="E275" s="73" t="s">
        <v>1365</v>
      </c>
      <c r="F275" s="76" t="s">
        <v>1078</v>
      </c>
      <c r="G275" s="76" t="s">
        <v>1296</v>
      </c>
      <c r="H275" s="71"/>
      <c r="I275" s="72"/>
      <c r="J275" s="23" t="s">
        <v>786</v>
      </c>
      <c r="K275" s="256" t="s">
        <v>1078</v>
      </c>
      <c r="L275" s="71" t="s">
        <v>981</v>
      </c>
      <c r="M275" s="71" t="s">
        <v>1400</v>
      </c>
      <c r="N275" s="71"/>
      <c r="O275" s="71"/>
    </row>
    <row r="276" spans="1:15" ht="25.5" customHeight="1">
      <c r="A276" s="84"/>
      <c r="B276" s="88" t="s">
        <v>139</v>
      </c>
      <c r="C276" s="73" t="s">
        <v>1318</v>
      </c>
      <c r="D276" s="265" t="s">
        <v>882</v>
      </c>
      <c r="E276" s="73" t="s">
        <v>1366</v>
      </c>
      <c r="F276" s="76" t="s">
        <v>1078</v>
      </c>
      <c r="G276" s="76" t="s">
        <v>1296</v>
      </c>
      <c r="H276" s="71"/>
      <c r="I276" s="72"/>
      <c r="J276" s="23" t="s">
        <v>786</v>
      </c>
      <c r="K276" s="256" t="s">
        <v>1078</v>
      </c>
      <c r="L276" s="71" t="s">
        <v>981</v>
      </c>
      <c r="M276" s="71" t="s">
        <v>1401</v>
      </c>
      <c r="N276" s="71"/>
      <c r="O276" s="71"/>
    </row>
    <row r="277" spans="1:15" ht="25.5" customHeight="1">
      <c r="A277" s="84"/>
      <c r="B277" s="88" t="s">
        <v>139</v>
      </c>
      <c r="C277" s="73" t="s">
        <v>1319</v>
      </c>
      <c r="D277" s="265" t="s">
        <v>882</v>
      </c>
      <c r="E277" s="73" t="s">
        <v>1367</v>
      </c>
      <c r="F277" s="76" t="s">
        <v>1078</v>
      </c>
      <c r="G277" s="76" t="s">
        <v>1296</v>
      </c>
      <c r="H277" s="71"/>
      <c r="I277" s="72"/>
      <c r="J277" s="23" t="s">
        <v>786</v>
      </c>
      <c r="K277" s="256" t="s">
        <v>1078</v>
      </c>
      <c r="L277" s="71" t="s">
        <v>981</v>
      </c>
      <c r="M277" s="71" t="s">
        <v>989</v>
      </c>
      <c r="N277" s="71" t="s">
        <v>1402</v>
      </c>
      <c r="O277" s="71"/>
    </row>
    <row r="278" spans="1:15" ht="25.5" customHeight="1">
      <c r="A278" s="84"/>
      <c r="B278" s="88" t="s">
        <v>139</v>
      </c>
      <c r="C278" s="73" t="s">
        <v>1320</v>
      </c>
      <c r="D278" s="265" t="s">
        <v>882</v>
      </c>
      <c r="E278" s="73" t="s">
        <v>1368</v>
      </c>
      <c r="F278" s="76" t="s">
        <v>1078</v>
      </c>
      <c r="G278" s="76" t="s">
        <v>1296</v>
      </c>
      <c r="H278" s="71"/>
      <c r="I278" s="72"/>
      <c r="J278" s="23" t="s">
        <v>786</v>
      </c>
      <c r="K278" s="256" t="s">
        <v>1078</v>
      </c>
      <c r="L278" s="71" t="s">
        <v>981</v>
      </c>
      <c r="M278" s="71" t="s">
        <v>1403</v>
      </c>
      <c r="N278" s="71"/>
      <c r="O278" s="71"/>
    </row>
    <row r="279" spans="1:15" ht="25.5" customHeight="1">
      <c r="A279" s="84"/>
      <c r="B279" s="88" t="s">
        <v>139</v>
      </c>
      <c r="C279" s="73" t="s">
        <v>1321</v>
      </c>
      <c r="D279" s="265" t="s">
        <v>882</v>
      </c>
      <c r="E279" s="73" t="s">
        <v>1369</v>
      </c>
      <c r="F279" s="76" t="s">
        <v>1078</v>
      </c>
      <c r="G279" s="76" t="s">
        <v>1296</v>
      </c>
      <c r="H279" s="71"/>
      <c r="I279" s="72"/>
      <c r="J279" s="23" t="s">
        <v>786</v>
      </c>
      <c r="K279" s="256" t="s">
        <v>1078</v>
      </c>
      <c r="L279" s="71" t="s">
        <v>981</v>
      </c>
      <c r="M279" s="71" t="s">
        <v>1403</v>
      </c>
      <c r="N279" s="71"/>
      <c r="O279" s="71"/>
    </row>
    <row r="280" spans="1:15" ht="25.5" customHeight="1">
      <c r="A280" s="84"/>
      <c r="B280" s="88" t="s">
        <v>139</v>
      </c>
      <c r="C280" s="73" t="s">
        <v>1322</v>
      </c>
      <c r="D280" s="265" t="s">
        <v>882</v>
      </c>
      <c r="E280" s="73" t="s">
        <v>1370</v>
      </c>
      <c r="F280" s="76" t="s">
        <v>1078</v>
      </c>
      <c r="G280" s="76" t="s">
        <v>1296</v>
      </c>
      <c r="H280" s="71"/>
      <c r="I280" s="72"/>
      <c r="J280" s="23" t="s">
        <v>786</v>
      </c>
      <c r="K280" s="256" t="s">
        <v>1078</v>
      </c>
      <c r="L280" s="71" t="s">
        <v>981</v>
      </c>
      <c r="M280" s="71" t="s">
        <v>1400</v>
      </c>
      <c r="N280" s="71"/>
      <c r="O280" s="71"/>
    </row>
    <row r="281" spans="1:15" ht="25.5" customHeight="1">
      <c r="A281" s="84"/>
      <c r="B281" s="88" t="s">
        <v>139</v>
      </c>
      <c r="C281" s="73" t="s">
        <v>1323</v>
      </c>
      <c r="D281" s="265" t="s">
        <v>882</v>
      </c>
      <c r="E281" s="73" t="s">
        <v>1371</v>
      </c>
      <c r="F281" s="76" t="s">
        <v>1078</v>
      </c>
      <c r="G281" s="76" t="s">
        <v>1296</v>
      </c>
      <c r="H281" s="71"/>
      <c r="I281" s="72"/>
      <c r="J281" s="23" t="s">
        <v>786</v>
      </c>
      <c r="K281" s="256" t="s">
        <v>1078</v>
      </c>
      <c r="L281" s="71" t="s">
        <v>981</v>
      </c>
      <c r="M281" s="71" t="s">
        <v>1403</v>
      </c>
      <c r="N281" s="71"/>
      <c r="O281" s="71"/>
    </row>
    <row r="282" spans="1:15" ht="25.5" customHeight="1">
      <c r="A282" s="84"/>
      <c r="B282" s="88" t="s">
        <v>139</v>
      </c>
      <c r="C282" s="73" t="s">
        <v>1324</v>
      </c>
      <c r="D282" s="265" t="s">
        <v>882</v>
      </c>
      <c r="E282" s="73" t="s">
        <v>1372</v>
      </c>
      <c r="F282" s="76" t="s">
        <v>1078</v>
      </c>
      <c r="G282" s="76" t="s">
        <v>1296</v>
      </c>
      <c r="H282" s="71"/>
      <c r="I282" s="72"/>
      <c r="J282" s="23" t="s">
        <v>786</v>
      </c>
      <c r="K282" s="256" t="s">
        <v>1078</v>
      </c>
      <c r="L282" s="71" t="s">
        <v>981</v>
      </c>
      <c r="M282" s="71" t="s">
        <v>1018</v>
      </c>
      <c r="N282" s="71"/>
      <c r="O282" s="71"/>
    </row>
    <row r="283" spans="1:15" ht="25.5" customHeight="1">
      <c r="A283" s="84"/>
      <c r="B283" s="88" t="s">
        <v>139</v>
      </c>
      <c r="C283" s="73" t="s">
        <v>1325</v>
      </c>
      <c r="D283" s="265" t="s">
        <v>882</v>
      </c>
      <c r="E283" s="73" t="s">
        <v>1373</v>
      </c>
      <c r="F283" s="76" t="s">
        <v>1078</v>
      </c>
      <c r="G283" s="76" t="s">
        <v>1296</v>
      </c>
      <c r="H283" s="71"/>
      <c r="I283" s="72"/>
      <c r="J283" s="23" t="s">
        <v>786</v>
      </c>
      <c r="K283" s="256" t="s">
        <v>1078</v>
      </c>
      <c r="L283" s="71" t="s">
        <v>981</v>
      </c>
      <c r="M283" s="71" t="s">
        <v>1401</v>
      </c>
      <c r="N283" s="71" t="s">
        <v>1404</v>
      </c>
      <c r="O283" s="71"/>
    </row>
    <row r="284" spans="1:15" ht="25.5" customHeight="1">
      <c r="A284" s="84"/>
      <c r="B284" s="88" t="s">
        <v>139</v>
      </c>
      <c r="C284" s="73" t="s">
        <v>1326</v>
      </c>
      <c r="D284" s="265" t="s">
        <v>882</v>
      </c>
      <c r="E284" s="73" t="s">
        <v>1374</v>
      </c>
      <c r="F284" s="76" t="s">
        <v>1078</v>
      </c>
      <c r="G284" s="76" t="s">
        <v>1296</v>
      </c>
      <c r="H284" s="71"/>
      <c r="I284" s="72"/>
      <c r="J284" s="23" t="s">
        <v>786</v>
      </c>
      <c r="K284" s="256" t="s">
        <v>1078</v>
      </c>
      <c r="L284" s="71" t="s">
        <v>981</v>
      </c>
      <c r="M284" s="71" t="s">
        <v>1403</v>
      </c>
      <c r="N284" s="71" t="s">
        <v>1405</v>
      </c>
      <c r="O284" s="71" t="s">
        <v>1406</v>
      </c>
    </row>
    <row r="285" spans="1:15" ht="25.5" customHeight="1">
      <c r="A285" s="84"/>
      <c r="B285" s="88" t="s">
        <v>136</v>
      </c>
      <c r="C285" s="73" t="s">
        <v>1327</v>
      </c>
      <c r="D285" s="265" t="s">
        <v>882</v>
      </c>
      <c r="E285" s="73" t="s">
        <v>1375</v>
      </c>
      <c r="F285" s="76" t="s">
        <v>1078</v>
      </c>
      <c r="G285" s="76" t="s">
        <v>1296</v>
      </c>
      <c r="H285" s="71"/>
      <c r="I285" s="72"/>
      <c r="J285" s="23" t="s">
        <v>786</v>
      </c>
      <c r="K285" s="256" t="s">
        <v>1078</v>
      </c>
      <c r="L285" s="71" t="s">
        <v>981</v>
      </c>
      <c r="M285" s="71" t="s">
        <v>1018</v>
      </c>
      <c r="N285" s="71"/>
      <c r="O285" s="71"/>
    </row>
    <row r="286" spans="1:15" ht="25.5" customHeight="1">
      <c r="A286" s="84"/>
      <c r="B286" s="88" t="s">
        <v>136</v>
      </c>
      <c r="C286" s="73" t="s">
        <v>1328</v>
      </c>
      <c r="D286" s="265" t="s">
        <v>882</v>
      </c>
      <c r="E286" s="73" t="s">
        <v>1376</v>
      </c>
      <c r="F286" s="76" t="s">
        <v>1078</v>
      </c>
      <c r="G286" s="76" t="s">
        <v>1296</v>
      </c>
      <c r="H286" s="71"/>
      <c r="I286" s="72"/>
      <c r="J286" s="23" t="s">
        <v>786</v>
      </c>
      <c r="K286" s="256" t="s">
        <v>1078</v>
      </c>
      <c r="L286" s="71" t="s">
        <v>1407</v>
      </c>
      <c r="M286" s="71" t="s">
        <v>1408</v>
      </c>
      <c r="N286" s="71"/>
      <c r="O286" s="71"/>
    </row>
    <row r="287" spans="1:15" ht="25.5" customHeight="1">
      <c r="A287" s="84"/>
      <c r="B287" s="88" t="s">
        <v>136</v>
      </c>
      <c r="C287" s="73" t="s">
        <v>1329</v>
      </c>
      <c r="D287" s="265" t="s">
        <v>882</v>
      </c>
      <c r="E287" s="73" t="s">
        <v>1377</v>
      </c>
      <c r="F287" s="76" t="s">
        <v>1078</v>
      </c>
      <c r="G287" s="76" t="s">
        <v>1296</v>
      </c>
      <c r="H287" s="71"/>
      <c r="I287" s="72"/>
      <c r="J287" s="23" t="s">
        <v>786</v>
      </c>
      <c r="K287" s="256" t="s">
        <v>1078</v>
      </c>
      <c r="L287" s="71" t="s">
        <v>981</v>
      </c>
      <c r="M287" s="71" t="s">
        <v>1018</v>
      </c>
      <c r="N287" s="71"/>
      <c r="O287" s="71"/>
    </row>
    <row r="288" spans="1:15" ht="25.5" customHeight="1">
      <c r="A288" s="84"/>
      <c r="B288" s="88" t="s">
        <v>136</v>
      </c>
      <c r="C288" s="73" t="s">
        <v>1330</v>
      </c>
      <c r="D288" s="265" t="s">
        <v>882</v>
      </c>
      <c r="E288" s="73" t="s">
        <v>1378</v>
      </c>
      <c r="F288" s="76" t="s">
        <v>1078</v>
      </c>
      <c r="G288" s="76" t="s">
        <v>1296</v>
      </c>
      <c r="H288" s="71"/>
      <c r="I288" s="72"/>
      <c r="J288" s="23" t="s">
        <v>786</v>
      </c>
      <c r="K288" s="256" t="s">
        <v>1078</v>
      </c>
      <c r="L288" s="71" t="s">
        <v>981</v>
      </c>
      <c r="M288" s="71" t="s">
        <v>1398</v>
      </c>
      <c r="N288" s="71" t="s">
        <v>1399</v>
      </c>
      <c r="O288" s="71"/>
    </row>
    <row r="289" spans="1:15" ht="25.5" customHeight="1">
      <c r="A289" s="84"/>
      <c r="B289" s="88" t="s">
        <v>139</v>
      </c>
      <c r="C289" s="73" t="s">
        <v>1331</v>
      </c>
      <c r="D289" s="265" t="s">
        <v>882</v>
      </c>
      <c r="E289" s="73" t="s">
        <v>1379</v>
      </c>
      <c r="F289" s="76" t="s">
        <v>1078</v>
      </c>
      <c r="G289" s="76" t="s">
        <v>1296</v>
      </c>
      <c r="H289" s="71"/>
      <c r="I289" s="72"/>
      <c r="J289" s="23" t="s">
        <v>786</v>
      </c>
      <c r="K289" s="256" t="s">
        <v>1078</v>
      </c>
      <c r="L289" s="71" t="s">
        <v>981</v>
      </c>
      <c r="M289" s="71" t="s">
        <v>1401</v>
      </c>
      <c r="N289" s="71"/>
      <c r="O289" s="71"/>
    </row>
    <row r="290" spans="1:15" ht="25.5" customHeight="1">
      <c r="A290" s="84"/>
      <c r="B290" s="88" t="s">
        <v>139</v>
      </c>
      <c r="C290" s="73" t="s">
        <v>1332</v>
      </c>
      <c r="D290" s="265" t="s">
        <v>882</v>
      </c>
      <c r="E290" s="73" t="s">
        <v>1380</v>
      </c>
      <c r="F290" s="76" t="s">
        <v>1078</v>
      </c>
      <c r="G290" s="76" t="s">
        <v>1296</v>
      </c>
      <c r="H290" s="71"/>
      <c r="I290" s="72"/>
      <c r="J290" s="23" t="s">
        <v>786</v>
      </c>
      <c r="K290" s="256" t="s">
        <v>1078</v>
      </c>
      <c r="L290" s="71" t="s">
        <v>981</v>
      </c>
      <c r="M290" s="71" t="s">
        <v>1401</v>
      </c>
      <c r="N290" s="71"/>
      <c r="O290" s="71"/>
    </row>
    <row r="291" spans="1:15" ht="25.5" customHeight="1">
      <c r="A291" s="84"/>
      <c r="B291" s="88" t="s">
        <v>139</v>
      </c>
      <c r="C291" s="73" t="s">
        <v>1333</v>
      </c>
      <c r="D291" s="265" t="s">
        <v>882</v>
      </c>
      <c r="E291" s="73" t="s">
        <v>1381</v>
      </c>
      <c r="F291" s="76" t="s">
        <v>1078</v>
      </c>
      <c r="G291" s="76" t="s">
        <v>1296</v>
      </c>
      <c r="H291" s="71"/>
      <c r="I291" s="72"/>
      <c r="J291" s="23" t="s">
        <v>786</v>
      </c>
      <c r="K291" s="256" t="s">
        <v>1078</v>
      </c>
      <c r="L291" s="71" t="s">
        <v>981</v>
      </c>
      <c r="M291" s="71" t="s">
        <v>1401</v>
      </c>
      <c r="N291" s="71"/>
      <c r="O291" s="71"/>
    </row>
    <row r="292" spans="1:15" ht="25.5" customHeight="1">
      <c r="A292" s="84"/>
      <c r="B292" s="88" t="s">
        <v>139</v>
      </c>
      <c r="C292" s="73" t="s">
        <v>1334</v>
      </c>
      <c r="D292" s="265" t="s">
        <v>882</v>
      </c>
      <c r="E292" s="73" t="s">
        <v>1382</v>
      </c>
      <c r="F292" s="76" t="s">
        <v>1078</v>
      </c>
      <c r="G292" s="76" t="s">
        <v>1296</v>
      </c>
      <c r="H292" s="71"/>
      <c r="I292" s="72"/>
      <c r="J292" s="23" t="s">
        <v>786</v>
      </c>
      <c r="K292" s="256" t="s">
        <v>1078</v>
      </c>
      <c r="L292" s="71" t="s">
        <v>981</v>
      </c>
      <c r="M292" s="71" t="s">
        <v>1401</v>
      </c>
      <c r="N292" s="71"/>
      <c r="O292" s="71"/>
    </row>
    <row r="293" spans="1:15" ht="25.5" customHeight="1">
      <c r="A293" s="84"/>
      <c r="B293" s="88" t="s">
        <v>139</v>
      </c>
      <c r="C293" s="73" t="s">
        <v>1335</v>
      </c>
      <c r="D293" s="265" t="s">
        <v>882</v>
      </c>
      <c r="E293" s="73" t="s">
        <v>1383</v>
      </c>
      <c r="F293" s="76" t="s">
        <v>1078</v>
      </c>
      <c r="G293" s="76" t="s">
        <v>1296</v>
      </c>
      <c r="H293" s="71"/>
      <c r="I293" s="72"/>
      <c r="J293" s="23" t="s">
        <v>786</v>
      </c>
      <c r="K293" s="256" t="s">
        <v>1078</v>
      </c>
      <c r="L293" s="71" t="s">
        <v>981</v>
      </c>
      <c r="M293" s="71" t="s">
        <v>1401</v>
      </c>
      <c r="N293" s="71"/>
      <c r="O293" s="71"/>
    </row>
    <row r="294" spans="1:15" ht="25.5" customHeight="1">
      <c r="A294" s="84"/>
      <c r="B294" s="88" t="s">
        <v>139</v>
      </c>
      <c r="C294" s="73" t="s">
        <v>1336</v>
      </c>
      <c r="D294" s="265" t="s">
        <v>882</v>
      </c>
      <c r="E294" s="73" t="s">
        <v>1384</v>
      </c>
      <c r="F294" s="76" t="s">
        <v>1078</v>
      </c>
      <c r="G294" s="76" t="s">
        <v>1296</v>
      </c>
      <c r="H294" s="71"/>
      <c r="I294" s="72"/>
      <c r="J294" s="23" t="s">
        <v>786</v>
      </c>
      <c r="K294" s="256" t="s">
        <v>1078</v>
      </c>
      <c r="L294" s="71" t="s">
        <v>981</v>
      </c>
      <c r="M294" s="71" t="s">
        <v>1401</v>
      </c>
      <c r="N294" s="71"/>
      <c r="O294" s="71"/>
    </row>
    <row r="295" spans="1:15" ht="25.5" customHeight="1">
      <c r="A295" s="84"/>
      <c r="B295" s="88" t="s">
        <v>139</v>
      </c>
      <c r="C295" s="73" t="s">
        <v>1337</v>
      </c>
      <c r="D295" s="265" t="s">
        <v>882</v>
      </c>
      <c r="E295" s="73" t="s">
        <v>1385</v>
      </c>
      <c r="F295" s="76" t="s">
        <v>1078</v>
      </c>
      <c r="G295" s="76" t="s">
        <v>1296</v>
      </c>
      <c r="H295" s="71"/>
      <c r="I295" s="72"/>
      <c r="J295" s="23" t="s">
        <v>786</v>
      </c>
      <c r="K295" s="256" t="s">
        <v>1078</v>
      </c>
      <c r="L295" s="71" t="s">
        <v>981</v>
      </c>
      <c r="M295" s="71" t="s">
        <v>1401</v>
      </c>
      <c r="N295" s="71"/>
      <c r="O295" s="71"/>
    </row>
    <row r="296" spans="1:15" ht="25.5" customHeight="1">
      <c r="A296" s="84"/>
      <c r="B296" s="88" t="s">
        <v>139</v>
      </c>
      <c r="C296" s="73" t="s">
        <v>1338</v>
      </c>
      <c r="D296" s="265" t="s">
        <v>882</v>
      </c>
      <c r="E296" s="73" t="s">
        <v>1386</v>
      </c>
      <c r="F296" s="76" t="s">
        <v>1078</v>
      </c>
      <c r="G296" s="76" t="s">
        <v>1296</v>
      </c>
      <c r="H296" s="71"/>
      <c r="I296" s="72"/>
      <c r="J296" s="23" t="s">
        <v>786</v>
      </c>
      <c r="K296" s="256" t="s">
        <v>1078</v>
      </c>
      <c r="L296" s="71" t="s">
        <v>981</v>
      </c>
      <c r="M296" s="71" t="s">
        <v>1398</v>
      </c>
      <c r="N296" s="71" t="s">
        <v>1399</v>
      </c>
      <c r="O296" s="71" t="s">
        <v>1409</v>
      </c>
    </row>
    <row r="297" spans="1:15" ht="25.5" customHeight="1">
      <c r="A297" s="84"/>
      <c r="B297" s="88" t="s">
        <v>139</v>
      </c>
      <c r="C297" s="73" t="s">
        <v>1339</v>
      </c>
      <c r="D297" s="265" t="s">
        <v>882</v>
      </c>
      <c r="E297" s="73" t="s">
        <v>1387</v>
      </c>
      <c r="F297" s="76" t="s">
        <v>1078</v>
      </c>
      <c r="G297" s="76" t="s">
        <v>1296</v>
      </c>
      <c r="H297" s="71"/>
      <c r="I297" s="72"/>
      <c r="J297" s="23" t="s">
        <v>786</v>
      </c>
      <c r="K297" s="256" t="s">
        <v>1078</v>
      </c>
      <c r="L297" s="71" t="s">
        <v>981</v>
      </c>
      <c r="M297" s="71" t="s">
        <v>1398</v>
      </c>
      <c r="N297" s="71" t="s">
        <v>1410</v>
      </c>
      <c r="O297" s="71"/>
    </row>
    <row r="298" spans="1:15" ht="25.5" customHeight="1">
      <c r="A298" s="84"/>
      <c r="B298" s="88" t="s">
        <v>139</v>
      </c>
      <c r="C298" s="73" t="s">
        <v>1340</v>
      </c>
      <c r="D298" s="265" t="s">
        <v>882</v>
      </c>
      <c r="E298" s="73" t="s">
        <v>1388</v>
      </c>
      <c r="F298" s="76" t="s">
        <v>1078</v>
      </c>
      <c r="G298" s="76" t="s">
        <v>1296</v>
      </c>
      <c r="H298" s="71"/>
      <c r="I298" s="72"/>
      <c r="J298" s="23" t="s">
        <v>786</v>
      </c>
      <c r="K298" s="256" t="s">
        <v>1078</v>
      </c>
      <c r="L298" s="71" t="s">
        <v>981</v>
      </c>
      <c r="M298" s="71" t="s">
        <v>989</v>
      </c>
      <c r="N298" s="71" t="s">
        <v>1411</v>
      </c>
      <c r="O298" s="71"/>
    </row>
    <row r="299" spans="1:15" ht="25.5" customHeight="1">
      <c r="A299" s="84"/>
      <c r="B299" s="88" t="s">
        <v>136</v>
      </c>
      <c r="C299" s="73" t="s">
        <v>1341</v>
      </c>
      <c r="D299" s="265" t="s">
        <v>882</v>
      </c>
      <c r="E299" s="73" t="s">
        <v>1389</v>
      </c>
      <c r="F299" s="76" t="s">
        <v>1078</v>
      </c>
      <c r="G299" s="76" t="s">
        <v>1296</v>
      </c>
      <c r="H299" s="71"/>
      <c r="I299" s="72"/>
      <c r="J299" s="23" t="s">
        <v>786</v>
      </c>
      <c r="K299" s="256" t="s">
        <v>1078</v>
      </c>
      <c r="L299" s="71" t="s">
        <v>981</v>
      </c>
      <c r="M299" s="71" t="s">
        <v>1018</v>
      </c>
      <c r="N299" s="71"/>
      <c r="O299" s="71"/>
    </row>
    <row r="300" spans="1:15" ht="25.5" customHeight="1">
      <c r="A300" s="84"/>
      <c r="B300" s="88" t="s">
        <v>139</v>
      </c>
      <c r="C300" s="73" t="s">
        <v>1342</v>
      </c>
      <c r="D300" s="265" t="s">
        <v>882</v>
      </c>
      <c r="E300" s="73" t="s">
        <v>1390</v>
      </c>
      <c r="F300" s="76" t="s">
        <v>1078</v>
      </c>
      <c r="G300" s="76" t="s">
        <v>1296</v>
      </c>
      <c r="H300" s="71"/>
      <c r="I300" s="72"/>
      <c r="J300" s="23" t="s">
        <v>786</v>
      </c>
      <c r="K300" s="256" t="s">
        <v>1078</v>
      </c>
      <c r="L300" s="71" t="s">
        <v>981</v>
      </c>
      <c r="M300" s="71" t="s">
        <v>989</v>
      </c>
      <c r="N300" s="71" t="s">
        <v>1411</v>
      </c>
      <c r="O300" s="71"/>
    </row>
    <row r="301" spans="1:15" ht="25.5" customHeight="1">
      <c r="A301" s="84"/>
      <c r="B301" s="88" t="s">
        <v>139</v>
      </c>
      <c r="C301" s="73" t="s">
        <v>1343</v>
      </c>
      <c r="D301" s="265" t="s">
        <v>882</v>
      </c>
      <c r="E301" s="73" t="s">
        <v>1391</v>
      </c>
      <c r="F301" s="76" t="s">
        <v>1078</v>
      </c>
      <c r="G301" s="76" t="s">
        <v>1296</v>
      </c>
      <c r="H301" s="71"/>
      <c r="I301" s="72"/>
      <c r="J301" s="23" t="s">
        <v>786</v>
      </c>
      <c r="K301" s="256" t="s">
        <v>1078</v>
      </c>
      <c r="L301" s="71" t="s">
        <v>981</v>
      </c>
      <c r="M301" s="71" t="s">
        <v>989</v>
      </c>
      <c r="N301" s="71" t="s">
        <v>1411</v>
      </c>
      <c r="O301" s="71"/>
    </row>
    <row r="302" spans="1:15" ht="25.5" customHeight="1">
      <c r="A302" s="84"/>
      <c r="B302" s="88" t="s">
        <v>136</v>
      </c>
      <c r="C302" s="73" t="s">
        <v>1344</v>
      </c>
      <c r="D302" s="265" t="s">
        <v>882</v>
      </c>
      <c r="E302" s="73" t="s">
        <v>1392</v>
      </c>
      <c r="F302" s="76" t="s">
        <v>1078</v>
      </c>
      <c r="G302" s="76" t="s">
        <v>1296</v>
      </c>
      <c r="H302" s="71"/>
      <c r="I302" s="72"/>
      <c r="J302" s="23" t="s">
        <v>786</v>
      </c>
      <c r="K302" s="256" t="s">
        <v>1078</v>
      </c>
      <c r="L302" s="71" t="s">
        <v>981</v>
      </c>
      <c r="M302" s="71" t="s">
        <v>1018</v>
      </c>
      <c r="N302" s="71"/>
      <c r="O302" s="71"/>
    </row>
    <row r="303" spans="1:15" ht="25.5" customHeight="1">
      <c r="A303" s="84"/>
      <c r="B303" s="88" t="s">
        <v>139</v>
      </c>
      <c r="C303" s="73" t="s">
        <v>1345</v>
      </c>
      <c r="D303" s="265" t="s">
        <v>882</v>
      </c>
      <c r="E303" s="73" t="s">
        <v>1393</v>
      </c>
      <c r="F303" s="76" t="s">
        <v>1078</v>
      </c>
      <c r="G303" s="76" t="s">
        <v>1296</v>
      </c>
      <c r="H303" s="71"/>
      <c r="I303" s="72"/>
      <c r="J303" s="23" t="s">
        <v>786</v>
      </c>
      <c r="K303" s="256" t="s">
        <v>1078</v>
      </c>
      <c r="L303" s="71" t="s">
        <v>981</v>
      </c>
      <c r="M303" s="71" t="s">
        <v>1412</v>
      </c>
      <c r="N303" s="71"/>
      <c r="O303" s="71"/>
    </row>
    <row r="304" spans="1:15" ht="25.5" customHeight="1">
      <c r="A304" s="84"/>
      <c r="B304" s="88" t="s">
        <v>139</v>
      </c>
      <c r="C304" s="73" t="s">
        <v>1346</v>
      </c>
      <c r="D304" s="265" t="s">
        <v>882</v>
      </c>
      <c r="E304" s="73" t="s">
        <v>1394</v>
      </c>
      <c r="F304" s="76" t="s">
        <v>1078</v>
      </c>
      <c r="G304" s="76" t="s">
        <v>1296</v>
      </c>
      <c r="H304" s="71"/>
      <c r="I304" s="72"/>
      <c r="J304" s="23" t="s">
        <v>786</v>
      </c>
      <c r="K304" s="256" t="s">
        <v>1078</v>
      </c>
      <c r="L304" s="71" t="s">
        <v>981</v>
      </c>
      <c r="M304" s="71" t="s">
        <v>1412</v>
      </c>
      <c r="N304" s="71"/>
      <c r="O304" s="71"/>
    </row>
    <row r="305" spans="1:15" ht="25.5" customHeight="1">
      <c r="A305" s="84"/>
      <c r="B305" s="88" t="s">
        <v>139</v>
      </c>
      <c r="C305" s="73" t="s">
        <v>1347</v>
      </c>
      <c r="D305" s="265" t="s">
        <v>882</v>
      </c>
      <c r="E305" s="73" t="s">
        <v>1395</v>
      </c>
      <c r="F305" s="76" t="s">
        <v>1078</v>
      </c>
      <c r="G305" s="76" t="s">
        <v>1296</v>
      </c>
      <c r="H305" s="71"/>
      <c r="I305" s="72"/>
      <c r="J305" s="23" t="s">
        <v>786</v>
      </c>
      <c r="K305" s="256" t="s">
        <v>1078</v>
      </c>
      <c r="L305" s="71" t="s">
        <v>981</v>
      </c>
      <c r="M305" s="71" t="s">
        <v>1412</v>
      </c>
      <c r="N305" s="71"/>
      <c r="O305" s="71"/>
    </row>
    <row r="306" spans="1:15" ht="25.5" customHeight="1">
      <c r="A306" s="84"/>
      <c r="B306" s="88" t="s">
        <v>139</v>
      </c>
      <c r="C306" s="73" t="s">
        <v>1348</v>
      </c>
      <c r="D306" s="265" t="s">
        <v>882</v>
      </c>
      <c r="E306" s="73" t="s">
        <v>1396</v>
      </c>
      <c r="F306" s="76" t="s">
        <v>1078</v>
      </c>
      <c r="G306" s="76" t="s">
        <v>1296</v>
      </c>
      <c r="H306" s="71"/>
      <c r="I306" s="72"/>
      <c r="J306" s="23" t="s">
        <v>786</v>
      </c>
      <c r="K306" s="256" t="s">
        <v>1078</v>
      </c>
      <c r="L306" s="71" t="s">
        <v>981</v>
      </c>
      <c r="M306" s="71" t="s">
        <v>989</v>
      </c>
      <c r="N306" s="71"/>
      <c r="O306" s="71"/>
    </row>
    <row r="307" spans="1:15" ht="25.5" customHeight="1">
      <c r="A307" s="84"/>
      <c r="B307" s="88" t="s">
        <v>7</v>
      </c>
      <c r="C307" s="73" t="s">
        <v>1420</v>
      </c>
      <c r="D307" s="265" t="s">
        <v>882</v>
      </c>
      <c r="E307" s="73" t="s">
        <v>1421</v>
      </c>
      <c r="F307" s="76" t="s">
        <v>1444</v>
      </c>
      <c r="G307" s="76" t="s">
        <v>1445</v>
      </c>
      <c r="H307" s="71"/>
      <c r="I307" s="72"/>
      <c r="J307" s="23" t="s">
        <v>786</v>
      </c>
      <c r="K307" s="256" t="s">
        <v>1072</v>
      </c>
      <c r="L307" s="71" t="s">
        <v>1003</v>
      </c>
      <c r="M307" s="71" t="s">
        <v>1435</v>
      </c>
      <c r="N307" s="71" t="s">
        <v>1436</v>
      </c>
      <c r="O307" s="71" t="s">
        <v>1437</v>
      </c>
    </row>
    <row r="308" spans="1:15" ht="25.5" customHeight="1">
      <c r="A308" s="84"/>
      <c r="B308" s="88" t="s">
        <v>7</v>
      </c>
      <c r="C308" s="73" t="s">
        <v>1422</v>
      </c>
      <c r="D308" s="265" t="s">
        <v>882</v>
      </c>
      <c r="E308" s="73" t="s">
        <v>1423</v>
      </c>
      <c r="F308" s="76" t="s">
        <v>1444</v>
      </c>
      <c r="G308" s="76" t="s">
        <v>1445</v>
      </c>
      <c r="H308" s="71"/>
      <c r="I308" s="72"/>
      <c r="J308" s="23" t="s">
        <v>786</v>
      </c>
      <c r="K308" s="256" t="s">
        <v>1072</v>
      </c>
      <c r="L308" s="71" t="s">
        <v>1003</v>
      </c>
      <c r="M308" s="71" t="s">
        <v>1435</v>
      </c>
      <c r="N308" s="71" t="s">
        <v>1438</v>
      </c>
      <c r="O308" s="71" t="s">
        <v>1439</v>
      </c>
    </row>
    <row r="309" spans="1:15" ht="25.5" customHeight="1">
      <c r="A309" s="84"/>
      <c r="B309" s="88" t="s">
        <v>7</v>
      </c>
      <c r="C309" s="73" t="s">
        <v>1424</v>
      </c>
      <c r="D309" s="265" t="s">
        <v>882</v>
      </c>
      <c r="E309" s="73" t="s">
        <v>1425</v>
      </c>
      <c r="F309" s="76" t="s">
        <v>1444</v>
      </c>
      <c r="G309" s="76" t="s">
        <v>1445</v>
      </c>
      <c r="H309" s="71"/>
      <c r="I309" s="72"/>
      <c r="J309" s="23" t="s">
        <v>786</v>
      </c>
      <c r="K309" s="256" t="s">
        <v>1072</v>
      </c>
      <c r="L309" s="71" t="s">
        <v>1003</v>
      </c>
      <c r="M309" s="71" t="s">
        <v>1435</v>
      </c>
      <c r="N309" s="71" t="s">
        <v>1440</v>
      </c>
      <c r="O309" s="71" t="s">
        <v>1441</v>
      </c>
    </row>
    <row r="310" spans="1:15" ht="25.5" customHeight="1">
      <c r="A310" s="84"/>
      <c r="B310" s="88" t="s">
        <v>7</v>
      </c>
      <c r="C310" s="73" t="s">
        <v>1424</v>
      </c>
      <c r="D310" s="265" t="s">
        <v>882</v>
      </c>
      <c r="E310" s="73" t="s">
        <v>1426</v>
      </c>
      <c r="F310" s="76" t="s">
        <v>1444</v>
      </c>
      <c r="G310" s="76" t="s">
        <v>1445</v>
      </c>
      <c r="H310" s="71"/>
      <c r="I310" s="72"/>
      <c r="J310" s="23" t="s">
        <v>786</v>
      </c>
      <c r="K310" s="256" t="s">
        <v>1072</v>
      </c>
      <c r="L310" s="71" t="s">
        <v>1003</v>
      </c>
      <c r="M310" s="71" t="s">
        <v>1435</v>
      </c>
      <c r="N310" s="71" t="s">
        <v>1440</v>
      </c>
      <c r="O310" s="71" t="s">
        <v>1441</v>
      </c>
    </row>
    <row r="311" spans="1:15" ht="25.5" customHeight="1">
      <c r="A311" s="84"/>
      <c r="B311" s="88" t="s">
        <v>7</v>
      </c>
      <c r="C311" s="73" t="s">
        <v>1427</v>
      </c>
      <c r="D311" s="265" t="s">
        <v>882</v>
      </c>
      <c r="E311" s="73" t="s">
        <v>1428</v>
      </c>
      <c r="F311" s="76" t="s">
        <v>1444</v>
      </c>
      <c r="G311" s="76" t="s">
        <v>1445</v>
      </c>
      <c r="H311" s="71"/>
      <c r="I311" s="72"/>
      <c r="J311" s="23" t="s">
        <v>786</v>
      </c>
      <c r="K311" s="256" t="s">
        <v>1072</v>
      </c>
      <c r="L311" s="71" t="s">
        <v>1003</v>
      </c>
      <c r="M311" s="71" t="s">
        <v>1435</v>
      </c>
      <c r="N311" s="71" t="s">
        <v>1440</v>
      </c>
      <c r="O311" s="71" t="s">
        <v>1441</v>
      </c>
    </row>
    <row r="312" spans="1:15" ht="25.5" customHeight="1">
      <c r="A312" s="84"/>
      <c r="B312" s="88" t="s">
        <v>7</v>
      </c>
      <c r="C312" s="73" t="s">
        <v>1427</v>
      </c>
      <c r="D312" s="265" t="s">
        <v>882</v>
      </c>
      <c r="E312" s="73" t="s">
        <v>1429</v>
      </c>
      <c r="F312" s="76" t="s">
        <v>1444</v>
      </c>
      <c r="G312" s="76" t="s">
        <v>1445</v>
      </c>
      <c r="H312" s="71"/>
      <c r="I312" s="72"/>
      <c r="J312" s="23" t="s">
        <v>786</v>
      </c>
      <c r="K312" s="256" t="s">
        <v>1072</v>
      </c>
      <c r="L312" s="71" t="s">
        <v>1003</v>
      </c>
      <c r="M312" s="71" t="s">
        <v>1435</v>
      </c>
      <c r="N312" s="71" t="s">
        <v>1440</v>
      </c>
      <c r="O312" s="71" t="s">
        <v>1441</v>
      </c>
    </row>
    <row r="313" spans="1:15" ht="25.5" customHeight="1">
      <c r="A313" s="84"/>
      <c r="B313" s="88" t="s">
        <v>7</v>
      </c>
      <c r="C313" s="73" t="s">
        <v>1482</v>
      </c>
      <c r="D313" s="265" t="s">
        <v>882</v>
      </c>
      <c r="E313" s="73" t="s">
        <v>1483</v>
      </c>
      <c r="F313" s="76" t="s">
        <v>1444</v>
      </c>
      <c r="G313" s="76" t="s">
        <v>231</v>
      </c>
      <c r="H313" s="71"/>
      <c r="I313" s="72"/>
      <c r="J313" s="23" t="s">
        <v>786</v>
      </c>
      <c r="K313" s="256" t="s">
        <v>1072</v>
      </c>
      <c r="L313" s="71" t="s">
        <v>1003</v>
      </c>
      <c r="M313" s="71" t="s">
        <v>1435</v>
      </c>
      <c r="N313" s="71" t="s">
        <v>1440</v>
      </c>
      <c r="O313" s="71" t="s">
        <v>1441</v>
      </c>
    </row>
    <row r="314" spans="1:15" ht="25.5" customHeight="1">
      <c r="A314" s="84"/>
      <c r="B314" s="88" t="s">
        <v>7</v>
      </c>
      <c r="C314" s="73" t="s">
        <v>1482</v>
      </c>
      <c r="D314" s="265" t="s">
        <v>882</v>
      </c>
      <c r="E314" s="73" t="s">
        <v>1484</v>
      </c>
      <c r="F314" s="76" t="s">
        <v>1444</v>
      </c>
      <c r="G314" s="76" t="s">
        <v>231</v>
      </c>
      <c r="H314" s="71"/>
      <c r="I314" s="72"/>
      <c r="J314" s="23" t="s">
        <v>786</v>
      </c>
      <c r="K314" s="256" t="s">
        <v>1072</v>
      </c>
      <c r="L314" s="71" t="s">
        <v>1003</v>
      </c>
      <c r="M314" s="71" t="s">
        <v>1435</v>
      </c>
      <c r="N314" s="71" t="s">
        <v>1440</v>
      </c>
      <c r="O314" s="71" t="s">
        <v>1441</v>
      </c>
    </row>
    <row r="315" spans="1:15" ht="25.5" customHeight="1">
      <c r="A315" s="84"/>
      <c r="B315" s="88" t="s">
        <v>7</v>
      </c>
      <c r="C315" s="73" t="s">
        <v>1430</v>
      </c>
      <c r="D315" s="265" t="s">
        <v>882</v>
      </c>
      <c r="E315" s="73" t="s">
        <v>1431</v>
      </c>
      <c r="F315" s="76" t="s">
        <v>1444</v>
      </c>
      <c r="G315" s="76" t="s">
        <v>1445</v>
      </c>
      <c r="H315" s="71"/>
      <c r="I315" s="72"/>
      <c r="J315" s="23" t="s">
        <v>786</v>
      </c>
      <c r="K315" s="256" t="s">
        <v>1072</v>
      </c>
      <c r="L315" s="71" t="s">
        <v>1003</v>
      </c>
      <c r="M315" s="71" t="s">
        <v>1435</v>
      </c>
      <c r="N315" s="71" t="s">
        <v>1440</v>
      </c>
      <c r="O315" s="71" t="s">
        <v>1441</v>
      </c>
    </row>
    <row r="316" spans="1:15" ht="25.5" customHeight="1">
      <c r="A316" s="84"/>
      <c r="B316" s="88" t="s">
        <v>7</v>
      </c>
      <c r="C316" s="73" t="s">
        <v>1432</v>
      </c>
      <c r="D316" s="265" t="s">
        <v>882</v>
      </c>
      <c r="E316" s="73" t="s">
        <v>1433</v>
      </c>
      <c r="F316" s="76" t="s">
        <v>1444</v>
      </c>
      <c r="G316" s="76" t="s">
        <v>1445</v>
      </c>
      <c r="H316" s="71"/>
      <c r="I316" s="72"/>
      <c r="J316" s="23" t="s">
        <v>786</v>
      </c>
      <c r="K316" s="256" t="s">
        <v>1072</v>
      </c>
      <c r="L316" s="71" t="s">
        <v>1003</v>
      </c>
      <c r="M316" s="71" t="s">
        <v>1435</v>
      </c>
      <c r="N316" s="71" t="s">
        <v>1442</v>
      </c>
      <c r="O316" s="71" t="s">
        <v>1443</v>
      </c>
    </row>
    <row r="317" spans="1:15" ht="25.5" customHeight="1">
      <c r="A317" s="84"/>
      <c r="B317" s="88" t="s">
        <v>7</v>
      </c>
      <c r="C317" s="73" t="s">
        <v>1434</v>
      </c>
      <c r="D317" s="265" t="s">
        <v>882</v>
      </c>
      <c r="E317" s="73" t="s">
        <v>1481</v>
      </c>
      <c r="F317" s="76" t="s">
        <v>1444</v>
      </c>
      <c r="G317" s="76" t="s">
        <v>1445</v>
      </c>
      <c r="H317" s="71"/>
      <c r="I317" s="72"/>
      <c r="J317" s="23" t="s">
        <v>786</v>
      </c>
      <c r="K317" s="256" t="s">
        <v>1072</v>
      </c>
      <c r="L317" s="71" t="s">
        <v>1003</v>
      </c>
      <c r="M317" s="71" t="s">
        <v>1435</v>
      </c>
      <c r="N317" s="71" t="s">
        <v>1442</v>
      </c>
      <c r="O317" s="71" t="s">
        <v>1443</v>
      </c>
    </row>
    <row r="318" spans="1:15" ht="25.5" customHeight="1">
      <c r="A318" s="84"/>
      <c r="B318" s="89" t="s">
        <v>33</v>
      </c>
      <c r="C318" s="73" t="s">
        <v>12</v>
      </c>
      <c r="D318" s="265" t="s">
        <v>882</v>
      </c>
      <c r="E318" s="73" t="s">
        <v>1446</v>
      </c>
      <c r="F318" s="76" t="s">
        <v>1452</v>
      </c>
      <c r="G318" s="76" t="s">
        <v>280</v>
      </c>
      <c r="H318" s="71" t="s">
        <v>1455</v>
      </c>
      <c r="I318" s="72" t="s">
        <v>1454</v>
      </c>
      <c r="J318" s="23" t="s">
        <v>786</v>
      </c>
      <c r="K318" s="256" t="s">
        <v>1074</v>
      </c>
      <c r="L318" s="71" t="s">
        <v>995</v>
      </c>
      <c r="M318" s="71" t="s">
        <v>1447</v>
      </c>
      <c r="N318" s="71" t="s">
        <v>1448</v>
      </c>
      <c r="O318" s="71" t="s">
        <v>1453</v>
      </c>
    </row>
    <row r="319" spans="1:15" ht="25.5" customHeight="1">
      <c r="A319" s="84"/>
      <c r="B319" s="88" t="s">
        <v>7</v>
      </c>
      <c r="C319" s="73" t="s">
        <v>782</v>
      </c>
      <c r="D319" s="265" t="s">
        <v>882</v>
      </c>
      <c r="E319" s="73" t="s">
        <v>1469</v>
      </c>
      <c r="F319" s="76" t="s">
        <v>161</v>
      </c>
      <c r="G319" s="76" t="s">
        <v>808</v>
      </c>
      <c r="H319" s="71"/>
      <c r="I319" s="72" t="s">
        <v>1473</v>
      </c>
      <c r="J319" s="23" t="s">
        <v>786</v>
      </c>
      <c r="K319" s="256" t="s">
        <v>1072</v>
      </c>
      <c r="L319" s="71" t="s">
        <v>1003</v>
      </c>
      <c r="M319" s="71" t="s">
        <v>1012</v>
      </c>
      <c r="N319" s="71" t="s">
        <v>1013</v>
      </c>
      <c r="O319" s="71" t="s">
        <v>1014</v>
      </c>
    </row>
    <row r="320" spans="1:15" ht="25.5" customHeight="1">
      <c r="A320" s="84"/>
      <c r="B320" s="88" t="s">
        <v>7</v>
      </c>
      <c r="C320" s="73" t="s">
        <v>783</v>
      </c>
      <c r="D320" s="265" t="s">
        <v>882</v>
      </c>
      <c r="E320" s="73" t="s">
        <v>1470</v>
      </c>
      <c r="F320" s="76" t="s">
        <v>161</v>
      </c>
      <c r="G320" s="76" t="s">
        <v>808</v>
      </c>
      <c r="H320" s="71"/>
      <c r="I320" s="72" t="s">
        <v>1473</v>
      </c>
      <c r="J320" s="23" t="s">
        <v>786</v>
      </c>
      <c r="K320" s="256" t="s">
        <v>1072</v>
      </c>
      <c r="L320" s="71" t="s">
        <v>1003</v>
      </c>
      <c r="M320" s="71" t="s">
        <v>1012</v>
      </c>
      <c r="N320" s="71" t="s">
        <v>1013</v>
      </c>
      <c r="O320" s="71" t="s">
        <v>1014</v>
      </c>
    </row>
    <row r="321" spans="1:15" ht="25.5" customHeight="1">
      <c r="A321" s="84"/>
      <c r="B321" s="88" t="s">
        <v>7</v>
      </c>
      <c r="C321" s="73" t="s">
        <v>1471</v>
      </c>
      <c r="D321" s="265" t="s">
        <v>882</v>
      </c>
      <c r="E321" s="73" t="s">
        <v>1472</v>
      </c>
      <c r="F321" s="76" t="s">
        <v>161</v>
      </c>
      <c r="G321" s="76" t="s">
        <v>808</v>
      </c>
      <c r="H321" s="71"/>
      <c r="I321" s="72" t="s">
        <v>1473</v>
      </c>
      <c r="J321" s="23" t="s">
        <v>786</v>
      </c>
      <c r="K321" s="256" t="s">
        <v>1072</v>
      </c>
      <c r="L321" s="71" t="s">
        <v>1003</v>
      </c>
      <c r="M321" s="71" t="s">
        <v>1012</v>
      </c>
      <c r="N321" s="71" t="s">
        <v>1013</v>
      </c>
      <c r="O321" s="71" t="s">
        <v>1474</v>
      </c>
    </row>
  </sheetData>
  <autoFilter ref="B2:O321"/>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XEV217"/>
  <sheetViews>
    <sheetView showGridLines="0" tabSelected="1" topLeftCell="G1" zoomScale="90" zoomScaleNormal="90" workbookViewId="0">
      <pane ySplit="2" topLeftCell="A3" activePane="bottomLeft" state="frozen"/>
      <selection activeCell="C314" sqref="C314"/>
      <selection pane="bottomLeft" activeCell="M2" sqref="M2"/>
    </sheetView>
  </sheetViews>
  <sheetFormatPr defaultRowHeight="11.25"/>
  <cols>
    <col min="1" max="1" width="2.28515625" style="79" bestFit="1" customWidth="1"/>
    <col min="2" max="3" width="21" style="65" customWidth="1"/>
    <col min="4" max="4" width="41.7109375" style="66" customWidth="1"/>
    <col min="5" max="5" width="65.5703125" style="67" customWidth="1"/>
    <col min="6" max="7" width="31.140625" style="65" customWidth="1"/>
    <col min="8" max="8" width="31.140625" style="68" customWidth="1"/>
    <col min="9" max="9" width="31.140625" style="65" customWidth="1"/>
    <col min="10" max="10" width="17" style="65" customWidth="1"/>
    <col min="11" max="14" width="31.140625" style="68" customWidth="1"/>
    <col min="15" max="16384" width="9.140625" style="69"/>
  </cols>
  <sheetData>
    <row r="1" spans="1:14" ht="12" customHeight="1"/>
    <row r="2" spans="1:14" s="249" customFormat="1" ht="31.5" customHeight="1">
      <c r="A2" s="248"/>
      <c r="B2" s="250" t="s">
        <v>1467</v>
      </c>
      <c r="C2" s="250" t="s">
        <v>140</v>
      </c>
      <c r="D2" s="250" t="s">
        <v>537</v>
      </c>
      <c r="E2" s="250" t="s">
        <v>639</v>
      </c>
      <c r="F2" s="250" t="s">
        <v>820</v>
      </c>
      <c r="G2" s="250" t="s">
        <v>821</v>
      </c>
      <c r="H2" s="250" t="s">
        <v>640</v>
      </c>
      <c r="I2" s="250" t="s">
        <v>526</v>
      </c>
      <c r="J2" s="252" t="s">
        <v>780</v>
      </c>
      <c r="K2" s="250" t="s">
        <v>976</v>
      </c>
      <c r="L2" s="250" t="s">
        <v>977</v>
      </c>
      <c r="M2" s="250" t="s">
        <v>978</v>
      </c>
      <c r="N2" s="250" t="s">
        <v>979</v>
      </c>
    </row>
    <row r="3" spans="1:14" ht="25.5" customHeight="1">
      <c r="A3" s="127"/>
      <c r="B3" s="89" t="s">
        <v>1070</v>
      </c>
      <c r="C3" s="89" t="s">
        <v>122</v>
      </c>
      <c r="D3" s="76" t="s">
        <v>1057</v>
      </c>
      <c r="E3" s="73" t="s">
        <v>1059</v>
      </c>
      <c r="F3" s="76" t="s">
        <v>1056</v>
      </c>
      <c r="G3" s="76" t="s">
        <v>1055</v>
      </c>
      <c r="H3" s="71"/>
      <c r="I3" s="71"/>
      <c r="J3" s="23" t="s">
        <v>786</v>
      </c>
      <c r="K3" s="71" t="s">
        <v>984</v>
      </c>
      <c r="L3" s="71" t="s">
        <v>984</v>
      </c>
      <c r="M3" s="71" t="s">
        <v>983</v>
      </c>
      <c r="N3" s="71" t="s">
        <v>560</v>
      </c>
    </row>
    <row r="4" spans="1:14" ht="25.5" customHeight="1">
      <c r="A4" s="127"/>
      <c r="B4" s="89" t="s">
        <v>1070</v>
      </c>
      <c r="C4" s="89" t="s">
        <v>122</v>
      </c>
      <c r="D4" s="76" t="s">
        <v>1058</v>
      </c>
      <c r="E4" s="73" t="s">
        <v>1060</v>
      </c>
      <c r="F4" s="76" t="s">
        <v>1056</v>
      </c>
      <c r="G4" s="76" t="s">
        <v>1055</v>
      </c>
      <c r="H4" s="71"/>
      <c r="I4" s="71"/>
      <c r="J4" s="23" t="s">
        <v>786</v>
      </c>
      <c r="K4" s="71" t="s">
        <v>984</v>
      </c>
      <c r="L4" s="71" t="s">
        <v>984</v>
      </c>
      <c r="M4" s="71" t="s">
        <v>983</v>
      </c>
      <c r="N4" s="71" t="s">
        <v>560</v>
      </c>
    </row>
    <row r="5" spans="1:14" ht="25.5" customHeight="1">
      <c r="A5" s="127"/>
      <c r="B5" s="89" t="s">
        <v>1070</v>
      </c>
      <c r="C5" s="89" t="s">
        <v>122</v>
      </c>
      <c r="D5" s="76" t="s">
        <v>1061</v>
      </c>
      <c r="E5" s="73" t="s">
        <v>1062</v>
      </c>
      <c r="F5" s="76" t="s">
        <v>1056</v>
      </c>
      <c r="G5" s="76" t="s">
        <v>1055</v>
      </c>
      <c r="H5" s="71"/>
      <c r="I5" s="71"/>
      <c r="J5" s="23" t="s">
        <v>786</v>
      </c>
      <c r="K5" s="71" t="s">
        <v>984</v>
      </c>
      <c r="L5" s="71" t="s">
        <v>984</v>
      </c>
      <c r="M5" s="71" t="s">
        <v>983</v>
      </c>
      <c r="N5" s="71" t="s">
        <v>560</v>
      </c>
    </row>
    <row r="6" spans="1:14" ht="25.5" customHeight="1">
      <c r="A6" s="127"/>
      <c r="B6" s="89" t="s">
        <v>1072</v>
      </c>
      <c r="C6" s="89" t="s">
        <v>122</v>
      </c>
      <c r="D6" s="76" t="s">
        <v>121</v>
      </c>
      <c r="E6" s="75" t="s">
        <v>861</v>
      </c>
      <c r="F6" s="76" t="s">
        <v>157</v>
      </c>
      <c r="G6" s="76" t="s">
        <v>801</v>
      </c>
      <c r="H6" s="71" t="s">
        <v>157</v>
      </c>
      <c r="I6" s="71"/>
      <c r="J6" s="23" t="s">
        <v>786</v>
      </c>
      <c r="K6" s="71" t="s">
        <v>1003</v>
      </c>
      <c r="L6" s="71" t="s">
        <v>1004</v>
      </c>
      <c r="M6" s="71" t="s">
        <v>1005</v>
      </c>
      <c r="N6" s="71" t="s">
        <v>560</v>
      </c>
    </row>
    <row r="7" spans="1:14" ht="25.5" customHeight="1">
      <c r="A7" s="77"/>
      <c r="B7" s="89" t="s">
        <v>1072</v>
      </c>
      <c r="C7" s="89" t="s">
        <v>122</v>
      </c>
      <c r="D7" s="76" t="s">
        <v>120</v>
      </c>
      <c r="E7" s="75" t="s">
        <v>862</v>
      </c>
      <c r="F7" s="76" t="s">
        <v>802</v>
      </c>
      <c r="G7" s="76" t="s">
        <v>803</v>
      </c>
      <c r="H7" s="71" t="s">
        <v>159</v>
      </c>
      <c r="I7" s="71"/>
      <c r="J7" s="23" t="s">
        <v>786</v>
      </c>
      <c r="K7" s="71" t="s">
        <v>1003</v>
      </c>
      <c r="L7" s="71" t="s">
        <v>1004</v>
      </c>
      <c r="M7" s="71" t="s">
        <v>1006</v>
      </c>
      <c r="N7" s="71" t="s">
        <v>1007</v>
      </c>
    </row>
    <row r="8" spans="1:14" ht="25.5" customHeight="1">
      <c r="A8" s="77"/>
      <c r="B8" s="89" t="s">
        <v>1072</v>
      </c>
      <c r="C8" s="89" t="s">
        <v>122</v>
      </c>
      <c r="D8" s="76" t="s">
        <v>119</v>
      </c>
      <c r="E8" s="75" t="s">
        <v>863</v>
      </c>
      <c r="F8" s="76" t="s">
        <v>157</v>
      </c>
      <c r="G8" s="76" t="s">
        <v>801</v>
      </c>
      <c r="H8" s="71" t="s">
        <v>160</v>
      </c>
      <c r="I8" s="71"/>
      <c r="J8" s="23" t="s">
        <v>786</v>
      </c>
      <c r="K8" s="71" t="s">
        <v>1003</v>
      </c>
      <c r="L8" s="71" t="s">
        <v>1004</v>
      </c>
      <c r="M8" s="71" t="s">
        <v>1005</v>
      </c>
      <c r="N8" s="71" t="s">
        <v>560</v>
      </c>
    </row>
    <row r="9" spans="1:14" ht="25.5" customHeight="1">
      <c r="A9" s="77"/>
      <c r="B9" s="89" t="s">
        <v>1072</v>
      </c>
      <c r="C9" s="89" t="s">
        <v>122</v>
      </c>
      <c r="D9" s="76" t="s">
        <v>118</v>
      </c>
      <c r="E9" s="75" t="s">
        <v>864</v>
      </c>
      <c r="F9" s="76" t="s">
        <v>157</v>
      </c>
      <c r="G9" s="76" t="s">
        <v>801</v>
      </c>
      <c r="H9" s="71" t="s">
        <v>157</v>
      </c>
      <c r="I9" s="71"/>
      <c r="J9" s="23" t="s">
        <v>786</v>
      </c>
      <c r="K9" s="71" t="s">
        <v>1003</v>
      </c>
      <c r="L9" s="71" t="s">
        <v>1004</v>
      </c>
      <c r="M9" s="71" t="s">
        <v>1005</v>
      </c>
      <c r="N9" s="71" t="s">
        <v>560</v>
      </c>
    </row>
    <row r="10" spans="1:14" ht="25.5" customHeight="1">
      <c r="A10" s="77"/>
      <c r="B10" s="89" t="s">
        <v>1072</v>
      </c>
      <c r="C10" s="89" t="s">
        <v>122</v>
      </c>
      <c r="D10" s="76" t="s">
        <v>117</v>
      </c>
      <c r="E10" s="75" t="s">
        <v>865</v>
      </c>
      <c r="F10" s="76" t="s">
        <v>157</v>
      </c>
      <c r="G10" s="76" t="s">
        <v>801</v>
      </c>
      <c r="H10" s="71" t="s">
        <v>160</v>
      </c>
      <c r="I10" s="71"/>
      <c r="J10" s="23" t="s">
        <v>786</v>
      </c>
      <c r="K10" s="71" t="s">
        <v>1003</v>
      </c>
      <c r="L10" s="71" t="s">
        <v>1004</v>
      </c>
      <c r="M10" s="71" t="s">
        <v>1005</v>
      </c>
      <c r="N10" s="71" t="s">
        <v>560</v>
      </c>
    </row>
    <row r="11" spans="1:14" ht="25.5" customHeight="1">
      <c r="A11" s="77"/>
      <c r="B11" s="89" t="s">
        <v>1072</v>
      </c>
      <c r="C11" s="89" t="s">
        <v>122</v>
      </c>
      <c r="D11" s="76" t="s">
        <v>116</v>
      </c>
      <c r="E11" s="75" t="s">
        <v>866</v>
      </c>
      <c r="F11" s="76" t="s">
        <v>157</v>
      </c>
      <c r="G11" s="76" t="s">
        <v>801</v>
      </c>
      <c r="H11" s="71" t="s">
        <v>157</v>
      </c>
      <c r="I11" s="71"/>
      <c r="J11" s="23" t="s">
        <v>786</v>
      </c>
      <c r="K11" s="71" t="s">
        <v>1003</v>
      </c>
      <c r="L11" s="71" t="s">
        <v>1004</v>
      </c>
      <c r="M11" s="71" t="s">
        <v>1005</v>
      </c>
      <c r="N11" s="71" t="s">
        <v>560</v>
      </c>
    </row>
    <row r="12" spans="1:14" ht="25.5" customHeight="1">
      <c r="A12" s="77"/>
      <c r="B12" s="89" t="s">
        <v>1072</v>
      </c>
      <c r="C12" s="89" t="s">
        <v>122</v>
      </c>
      <c r="D12" s="76" t="s">
        <v>115</v>
      </c>
      <c r="E12" s="75" t="s">
        <v>867</v>
      </c>
      <c r="F12" s="76" t="s">
        <v>157</v>
      </c>
      <c r="G12" s="76" t="s">
        <v>801</v>
      </c>
      <c r="H12" s="71" t="s">
        <v>157</v>
      </c>
      <c r="I12" s="71"/>
      <c r="J12" s="23" t="s">
        <v>786</v>
      </c>
      <c r="K12" s="71" t="s">
        <v>1003</v>
      </c>
      <c r="L12" s="71" t="s">
        <v>1004</v>
      </c>
      <c r="M12" s="71" t="s">
        <v>1005</v>
      </c>
      <c r="N12" s="71" t="s">
        <v>560</v>
      </c>
    </row>
    <row r="13" spans="1:14" ht="25.5" customHeight="1">
      <c r="A13" s="77"/>
      <c r="B13" s="89" t="s">
        <v>1072</v>
      </c>
      <c r="C13" s="89" t="s">
        <v>122</v>
      </c>
      <c r="D13" s="76" t="s">
        <v>114</v>
      </c>
      <c r="E13" s="75" t="s">
        <v>910</v>
      </c>
      <c r="F13" s="76" t="s">
        <v>909</v>
      </c>
      <c r="G13" s="76" t="s">
        <v>804</v>
      </c>
      <c r="H13" s="71" t="s">
        <v>643</v>
      </c>
      <c r="I13" s="71"/>
      <c r="J13" s="23" t="s">
        <v>786</v>
      </c>
      <c r="K13" s="71" t="s">
        <v>1003</v>
      </c>
      <c r="L13" s="71" t="s">
        <v>1004</v>
      </c>
      <c r="M13" s="71" t="s">
        <v>1008</v>
      </c>
      <c r="N13" s="71" t="s">
        <v>560</v>
      </c>
    </row>
    <row r="14" spans="1:14" ht="25.5" customHeight="1">
      <c r="A14" s="77"/>
      <c r="B14" s="89" t="s">
        <v>1072</v>
      </c>
      <c r="C14" s="89" t="s">
        <v>122</v>
      </c>
      <c r="D14" s="76" t="s">
        <v>113</v>
      </c>
      <c r="E14" s="75" t="s">
        <v>491</v>
      </c>
      <c r="F14" s="76" t="s">
        <v>805</v>
      </c>
      <c r="G14" s="76" t="s">
        <v>806</v>
      </c>
      <c r="H14" s="71" t="s">
        <v>644</v>
      </c>
      <c r="I14" s="71"/>
      <c r="J14" s="23" t="s">
        <v>786</v>
      </c>
      <c r="K14" s="71" t="s">
        <v>1003</v>
      </c>
      <c r="L14" s="71" t="s">
        <v>1004</v>
      </c>
      <c r="M14" s="71" t="s">
        <v>1009</v>
      </c>
      <c r="N14" s="71" t="s">
        <v>560</v>
      </c>
    </row>
    <row r="15" spans="1:14" ht="25.5" customHeight="1">
      <c r="A15" s="77"/>
      <c r="B15" s="89" t="s">
        <v>1072</v>
      </c>
      <c r="C15" s="89" t="s">
        <v>122</v>
      </c>
      <c r="D15" s="76" t="s">
        <v>112</v>
      </c>
      <c r="E15" s="75" t="s">
        <v>492</v>
      </c>
      <c r="F15" s="76" t="s">
        <v>805</v>
      </c>
      <c r="G15" s="76" t="s">
        <v>806</v>
      </c>
      <c r="H15" s="71" t="s">
        <v>644</v>
      </c>
      <c r="I15" s="71"/>
      <c r="J15" s="23" t="s">
        <v>786</v>
      </c>
      <c r="K15" s="71" t="s">
        <v>1003</v>
      </c>
      <c r="L15" s="71" t="s">
        <v>1004</v>
      </c>
      <c r="M15" s="71" t="s">
        <v>1009</v>
      </c>
      <c r="N15" s="71" t="s">
        <v>560</v>
      </c>
    </row>
    <row r="16" spans="1:14" ht="25.5" customHeight="1">
      <c r="A16" s="77"/>
      <c r="B16" s="89" t="s">
        <v>1072</v>
      </c>
      <c r="C16" s="89" t="s">
        <v>122</v>
      </c>
      <c r="D16" s="76" t="s">
        <v>111</v>
      </c>
      <c r="E16" s="75" t="s">
        <v>911</v>
      </c>
      <c r="F16" s="76" t="s">
        <v>909</v>
      </c>
      <c r="G16" s="76" t="s">
        <v>804</v>
      </c>
      <c r="H16" s="71" t="s">
        <v>256</v>
      </c>
      <c r="I16" s="71"/>
      <c r="J16" s="23" t="s">
        <v>786</v>
      </c>
      <c r="K16" s="71" t="s">
        <v>1003</v>
      </c>
      <c r="L16" s="71" t="s">
        <v>1004</v>
      </c>
      <c r="M16" s="71" t="s">
        <v>1008</v>
      </c>
      <c r="N16" s="71" t="s">
        <v>560</v>
      </c>
    </row>
    <row r="17" spans="1:14" ht="25.5" customHeight="1">
      <c r="A17" s="77"/>
      <c r="B17" s="89" t="s">
        <v>1072</v>
      </c>
      <c r="C17" s="89" t="s">
        <v>122</v>
      </c>
      <c r="D17" s="76" t="s">
        <v>110</v>
      </c>
      <c r="E17" s="75" t="s">
        <v>494</v>
      </c>
      <c r="F17" s="76" t="s">
        <v>147</v>
      </c>
      <c r="G17" s="76" t="s">
        <v>807</v>
      </c>
      <c r="H17" s="71" t="s">
        <v>739</v>
      </c>
      <c r="I17" s="72" t="s">
        <v>740</v>
      </c>
      <c r="J17" s="23" t="s">
        <v>786</v>
      </c>
      <c r="K17" s="71" t="s">
        <v>1003</v>
      </c>
      <c r="L17" s="71" t="s">
        <v>1010</v>
      </c>
      <c r="M17" s="71" t="s">
        <v>1011</v>
      </c>
      <c r="N17" s="71" t="s">
        <v>560</v>
      </c>
    </row>
    <row r="18" spans="1:14" ht="25.5" customHeight="1">
      <c r="A18" s="77"/>
      <c r="B18" s="89" t="s">
        <v>1072</v>
      </c>
      <c r="C18" s="89" t="s">
        <v>122</v>
      </c>
      <c r="D18" s="76" t="s">
        <v>109</v>
      </c>
      <c r="E18" s="75" t="s">
        <v>695</v>
      </c>
      <c r="F18" s="76" t="s">
        <v>161</v>
      </c>
      <c r="G18" s="76" t="s">
        <v>808</v>
      </c>
      <c r="H18" s="71" t="s">
        <v>161</v>
      </c>
      <c r="I18" s="72" t="s">
        <v>757</v>
      </c>
      <c r="J18" s="23" t="s">
        <v>786</v>
      </c>
      <c r="K18" s="71" t="s">
        <v>1003</v>
      </c>
      <c r="L18" s="71" t="s">
        <v>1012</v>
      </c>
      <c r="M18" s="71" t="s">
        <v>1013</v>
      </c>
      <c r="N18" s="71" t="s">
        <v>1014</v>
      </c>
    </row>
    <row r="19" spans="1:14" ht="25.5" customHeight="1">
      <c r="A19" s="77"/>
      <c r="B19" s="89" t="s">
        <v>1072</v>
      </c>
      <c r="C19" s="89" t="s">
        <v>122</v>
      </c>
      <c r="D19" s="76" t="s">
        <v>108</v>
      </c>
      <c r="E19" s="75" t="s">
        <v>496</v>
      </c>
      <c r="F19" s="76" t="s">
        <v>805</v>
      </c>
      <c r="G19" s="76" t="s">
        <v>806</v>
      </c>
      <c r="H19" s="71" t="s">
        <v>644</v>
      </c>
      <c r="I19" s="71"/>
      <c r="J19" s="23" t="s">
        <v>786</v>
      </c>
      <c r="K19" s="71" t="s">
        <v>1003</v>
      </c>
      <c r="L19" s="71" t="s">
        <v>1004</v>
      </c>
      <c r="M19" s="71" t="s">
        <v>1009</v>
      </c>
      <c r="N19" s="71" t="s">
        <v>560</v>
      </c>
    </row>
    <row r="20" spans="1:14" ht="25.5" customHeight="1">
      <c r="A20" s="77"/>
      <c r="B20" s="89" t="s">
        <v>1072</v>
      </c>
      <c r="C20" s="89" t="s">
        <v>122</v>
      </c>
      <c r="D20" s="76" t="s">
        <v>107</v>
      </c>
      <c r="E20" s="75" t="s">
        <v>497</v>
      </c>
      <c r="F20" s="76" t="s">
        <v>805</v>
      </c>
      <c r="G20" s="76" t="s">
        <v>806</v>
      </c>
      <c r="H20" s="71" t="s">
        <v>644</v>
      </c>
      <c r="I20" s="71"/>
      <c r="J20" s="23" t="s">
        <v>786</v>
      </c>
      <c r="K20" s="71" t="s">
        <v>1003</v>
      </c>
      <c r="L20" s="71" t="s">
        <v>1004</v>
      </c>
      <c r="M20" s="71" t="s">
        <v>1009</v>
      </c>
      <c r="N20" s="71" t="s">
        <v>560</v>
      </c>
    </row>
    <row r="21" spans="1:14" ht="25.5" customHeight="1">
      <c r="A21" s="77"/>
      <c r="B21" s="89" t="s">
        <v>1072</v>
      </c>
      <c r="C21" s="89" t="s">
        <v>122</v>
      </c>
      <c r="D21" s="76" t="s">
        <v>106</v>
      </c>
      <c r="E21" s="75" t="s">
        <v>868</v>
      </c>
      <c r="F21" s="76" t="s">
        <v>802</v>
      </c>
      <c r="G21" s="76" t="s">
        <v>803</v>
      </c>
      <c r="H21" s="71" t="s">
        <v>641</v>
      </c>
      <c r="I21" s="71"/>
      <c r="J21" s="23" t="s">
        <v>786</v>
      </c>
      <c r="K21" s="71" t="s">
        <v>1003</v>
      </c>
      <c r="L21" s="71" t="s">
        <v>1004</v>
      </c>
      <c r="M21" s="71" t="s">
        <v>1006</v>
      </c>
      <c r="N21" s="71" t="s">
        <v>1007</v>
      </c>
    </row>
    <row r="22" spans="1:14" ht="25.5" customHeight="1">
      <c r="A22" s="77"/>
      <c r="B22" s="89" t="s">
        <v>1072</v>
      </c>
      <c r="C22" s="89" t="s">
        <v>122</v>
      </c>
      <c r="D22" s="76" t="s">
        <v>103</v>
      </c>
      <c r="E22" s="75" t="s">
        <v>869</v>
      </c>
      <c r="F22" s="76" t="s">
        <v>157</v>
      </c>
      <c r="G22" s="76" t="s">
        <v>812</v>
      </c>
      <c r="H22" s="71" t="s">
        <v>646</v>
      </c>
      <c r="I22" s="71"/>
      <c r="J22" s="23" t="s">
        <v>786</v>
      </c>
      <c r="K22" s="71" t="s">
        <v>1003</v>
      </c>
      <c r="L22" s="71" t="s">
        <v>1004</v>
      </c>
      <c r="M22" s="71" t="s">
        <v>1020</v>
      </c>
      <c r="N22" s="71" t="s">
        <v>560</v>
      </c>
    </row>
    <row r="23" spans="1:14" ht="25.5" customHeight="1">
      <c r="A23" s="77"/>
      <c r="B23" s="89" t="s">
        <v>1072</v>
      </c>
      <c r="C23" s="89" t="s">
        <v>122</v>
      </c>
      <c r="D23" s="76" t="s">
        <v>98</v>
      </c>
      <c r="E23" s="75" t="s">
        <v>871</v>
      </c>
      <c r="F23" s="76" t="s">
        <v>805</v>
      </c>
      <c r="G23" s="76" t="s">
        <v>806</v>
      </c>
      <c r="H23" s="71" t="s">
        <v>648</v>
      </c>
      <c r="I23" s="71"/>
      <c r="J23" s="23" t="s">
        <v>786</v>
      </c>
      <c r="K23" s="71" t="s">
        <v>1003</v>
      </c>
      <c r="L23" s="71" t="s">
        <v>1004</v>
      </c>
      <c r="M23" s="71" t="s">
        <v>1009</v>
      </c>
      <c r="N23" s="71" t="s">
        <v>560</v>
      </c>
    </row>
    <row r="24" spans="1:14" ht="25.5" customHeight="1">
      <c r="A24" s="77"/>
      <c r="B24" s="89" t="s">
        <v>1072</v>
      </c>
      <c r="C24" s="89" t="s">
        <v>122</v>
      </c>
      <c r="D24" s="76" t="s">
        <v>97</v>
      </c>
      <c r="E24" s="75" t="s">
        <v>504</v>
      </c>
      <c r="F24" s="76" t="s">
        <v>805</v>
      </c>
      <c r="G24" s="76" t="s">
        <v>806</v>
      </c>
      <c r="H24" s="71" t="s">
        <v>168</v>
      </c>
      <c r="I24" s="71"/>
      <c r="J24" s="23" t="s">
        <v>786</v>
      </c>
      <c r="K24" s="71" t="s">
        <v>1003</v>
      </c>
      <c r="L24" s="71" t="s">
        <v>1004</v>
      </c>
      <c r="M24" s="71" t="s">
        <v>1009</v>
      </c>
      <c r="N24" s="71" t="s">
        <v>560</v>
      </c>
    </row>
    <row r="25" spans="1:14" ht="25.5" customHeight="1">
      <c r="A25" s="77"/>
      <c r="B25" s="89" t="s">
        <v>1072</v>
      </c>
      <c r="C25" s="89" t="s">
        <v>122</v>
      </c>
      <c r="D25" s="76" t="s">
        <v>96</v>
      </c>
      <c r="E25" s="75" t="s">
        <v>696</v>
      </c>
      <c r="F25" s="76" t="s">
        <v>161</v>
      </c>
      <c r="G25" s="76" t="s">
        <v>808</v>
      </c>
      <c r="H25" s="71" t="s">
        <v>169</v>
      </c>
      <c r="I25" s="71"/>
      <c r="J25" s="23" t="s">
        <v>786</v>
      </c>
      <c r="K25" s="71" t="s">
        <v>1003</v>
      </c>
      <c r="L25" s="71" t="s">
        <v>1012</v>
      </c>
      <c r="M25" s="71" t="s">
        <v>1013</v>
      </c>
      <c r="N25" s="71" t="s">
        <v>1014</v>
      </c>
    </row>
    <row r="26" spans="1:14" ht="25.5" customHeight="1">
      <c r="A26" s="77"/>
      <c r="B26" s="89" t="s">
        <v>1072</v>
      </c>
      <c r="C26" s="89" t="s">
        <v>122</v>
      </c>
      <c r="D26" s="76" t="s">
        <v>95</v>
      </c>
      <c r="E26" s="75" t="s">
        <v>907</v>
      </c>
      <c r="F26" s="76" t="s">
        <v>649</v>
      </c>
      <c r="G26" s="76" t="s">
        <v>813</v>
      </c>
      <c r="H26" s="71" t="s">
        <v>167</v>
      </c>
      <c r="I26" s="71" t="s">
        <v>908</v>
      </c>
      <c r="J26" s="23" t="s">
        <v>786</v>
      </c>
      <c r="K26" s="71" t="s">
        <v>1003</v>
      </c>
      <c r="L26" s="71" t="s">
        <v>1004</v>
      </c>
      <c r="M26" s="71" t="s">
        <v>560</v>
      </c>
      <c r="N26" s="71" t="s">
        <v>1021</v>
      </c>
    </row>
    <row r="27" spans="1:14" ht="25.5" customHeight="1">
      <c r="A27" s="77"/>
      <c r="B27" s="89" t="s">
        <v>1072</v>
      </c>
      <c r="C27" s="89" t="s">
        <v>122</v>
      </c>
      <c r="D27" s="76" t="s">
        <v>872</v>
      </c>
      <c r="E27" s="75" t="s">
        <v>873</v>
      </c>
      <c r="F27" s="76" t="s">
        <v>802</v>
      </c>
      <c r="G27" s="76" t="s">
        <v>803</v>
      </c>
      <c r="H27" s="76" t="s">
        <v>802</v>
      </c>
      <c r="I27" s="71"/>
      <c r="J27" s="23" t="s">
        <v>786</v>
      </c>
      <c r="K27" s="71" t="s">
        <v>1003</v>
      </c>
      <c r="L27" s="71" t="s">
        <v>1004</v>
      </c>
      <c r="M27" s="71" t="s">
        <v>1006</v>
      </c>
      <c r="N27" s="71" t="s">
        <v>1007</v>
      </c>
    </row>
    <row r="28" spans="1:14" ht="25.5" customHeight="1">
      <c r="A28" s="77"/>
      <c r="B28" s="89" t="s">
        <v>1072</v>
      </c>
      <c r="C28" s="89" t="s">
        <v>122</v>
      </c>
      <c r="D28" s="76" t="s">
        <v>874</v>
      </c>
      <c r="E28" s="75" t="s">
        <v>875</v>
      </c>
      <c r="F28" s="76" t="s">
        <v>802</v>
      </c>
      <c r="G28" s="76" t="s">
        <v>803</v>
      </c>
      <c r="H28" s="76" t="s">
        <v>802</v>
      </c>
      <c r="I28" s="71"/>
      <c r="J28" s="23" t="s">
        <v>786</v>
      </c>
      <c r="K28" s="71" t="s">
        <v>1003</v>
      </c>
      <c r="L28" s="71" t="s">
        <v>1004</v>
      </c>
      <c r="M28" s="71" t="s">
        <v>1006</v>
      </c>
      <c r="N28" s="71" t="s">
        <v>1007</v>
      </c>
    </row>
    <row r="29" spans="1:14" ht="25.5" customHeight="1">
      <c r="A29" s="77"/>
      <c r="B29" s="89" t="s">
        <v>1072</v>
      </c>
      <c r="C29" s="89" t="s">
        <v>122</v>
      </c>
      <c r="D29" s="76" t="s">
        <v>876</v>
      </c>
      <c r="E29" s="75" t="s">
        <v>877</v>
      </c>
      <c r="F29" s="76" t="s">
        <v>802</v>
      </c>
      <c r="G29" s="76" t="s">
        <v>803</v>
      </c>
      <c r="H29" s="76" t="s">
        <v>802</v>
      </c>
      <c r="I29" s="71"/>
      <c r="J29" s="23" t="s">
        <v>786</v>
      </c>
      <c r="K29" s="71" t="s">
        <v>1003</v>
      </c>
      <c r="L29" s="71" t="s">
        <v>1004</v>
      </c>
      <c r="M29" s="71" t="s">
        <v>1006</v>
      </c>
      <c r="N29" s="71" t="s">
        <v>1007</v>
      </c>
    </row>
    <row r="30" spans="1:14" ht="25.5" customHeight="1">
      <c r="A30" s="77"/>
      <c r="B30" s="89" t="s">
        <v>1072</v>
      </c>
      <c r="C30" s="89" t="s">
        <v>122</v>
      </c>
      <c r="D30" s="76" t="s">
        <v>878</v>
      </c>
      <c r="E30" s="75" t="s">
        <v>879</v>
      </c>
      <c r="F30" s="76" t="s">
        <v>802</v>
      </c>
      <c r="G30" s="76" t="s">
        <v>803</v>
      </c>
      <c r="H30" s="76" t="s">
        <v>802</v>
      </c>
      <c r="I30" s="71"/>
      <c r="J30" s="23" t="s">
        <v>786</v>
      </c>
      <c r="K30" s="71" t="s">
        <v>1003</v>
      </c>
      <c r="L30" s="71" t="s">
        <v>1004</v>
      </c>
      <c r="M30" s="71" t="s">
        <v>1006</v>
      </c>
      <c r="N30" s="71" t="s">
        <v>1007</v>
      </c>
    </row>
    <row r="31" spans="1:14" ht="25.5" customHeight="1">
      <c r="A31" s="77"/>
      <c r="B31" s="89" t="s">
        <v>1072</v>
      </c>
      <c r="C31" s="89" t="s">
        <v>122</v>
      </c>
      <c r="D31" s="76" t="s">
        <v>880</v>
      </c>
      <c r="E31" s="75" t="s">
        <v>881</v>
      </c>
      <c r="F31" s="76" t="s">
        <v>802</v>
      </c>
      <c r="G31" s="76" t="s">
        <v>803</v>
      </c>
      <c r="H31" s="76" t="s">
        <v>802</v>
      </c>
      <c r="I31" s="71"/>
      <c r="J31" s="23" t="s">
        <v>786</v>
      </c>
      <c r="K31" s="71" t="s">
        <v>1003</v>
      </c>
      <c r="L31" s="71" t="s">
        <v>1004</v>
      </c>
      <c r="M31" s="71" t="s">
        <v>1006</v>
      </c>
      <c r="N31" s="71" t="s">
        <v>1007</v>
      </c>
    </row>
    <row r="32" spans="1:14" ht="25.5" customHeight="1">
      <c r="A32" s="77"/>
      <c r="B32" s="137" t="s">
        <v>1072</v>
      </c>
      <c r="C32" s="137" t="s">
        <v>122</v>
      </c>
      <c r="D32" s="76" t="s">
        <v>759</v>
      </c>
      <c r="E32" s="138" t="s">
        <v>939</v>
      </c>
      <c r="F32" s="76" t="s">
        <v>147</v>
      </c>
      <c r="G32" s="76" t="s">
        <v>937</v>
      </c>
      <c r="H32" s="76" t="s">
        <v>147</v>
      </c>
      <c r="I32" s="76"/>
      <c r="J32" s="139" t="s">
        <v>786</v>
      </c>
      <c r="K32" s="71" t="s">
        <v>1003</v>
      </c>
      <c r="L32" s="71" t="s">
        <v>1010</v>
      </c>
      <c r="M32" s="71" t="s">
        <v>1022</v>
      </c>
      <c r="N32" s="71" t="s">
        <v>560</v>
      </c>
    </row>
    <row r="33" spans="1:14" ht="25.5" customHeight="1">
      <c r="A33" s="77"/>
      <c r="B33" s="137" t="s">
        <v>1072</v>
      </c>
      <c r="C33" s="137" t="s">
        <v>122</v>
      </c>
      <c r="D33" s="76" t="s">
        <v>936</v>
      </c>
      <c r="E33" s="138" t="s">
        <v>940</v>
      </c>
      <c r="F33" s="76" t="s">
        <v>147</v>
      </c>
      <c r="G33" s="76" t="s">
        <v>937</v>
      </c>
      <c r="H33" s="76" t="s">
        <v>938</v>
      </c>
      <c r="I33" s="76"/>
      <c r="J33" s="139" t="s">
        <v>786</v>
      </c>
      <c r="K33" s="71" t="s">
        <v>1003</v>
      </c>
      <c r="L33" s="71" t="s">
        <v>1010</v>
      </c>
      <c r="M33" s="71" t="s">
        <v>1022</v>
      </c>
      <c r="N33" s="71" t="s">
        <v>560</v>
      </c>
    </row>
    <row r="34" spans="1:14" s="140" customFormat="1" ht="25.5" customHeight="1">
      <c r="A34" s="136"/>
      <c r="B34" s="137" t="s">
        <v>1072</v>
      </c>
      <c r="C34" s="137" t="s">
        <v>122</v>
      </c>
      <c r="D34" s="76" t="s">
        <v>770</v>
      </c>
      <c r="E34" s="138" t="s">
        <v>941</v>
      </c>
      <c r="F34" s="76" t="s">
        <v>147</v>
      </c>
      <c r="G34" s="76" t="s">
        <v>937</v>
      </c>
      <c r="H34" s="76" t="s">
        <v>938</v>
      </c>
      <c r="I34" s="76"/>
      <c r="J34" s="139" t="s">
        <v>786</v>
      </c>
      <c r="K34" s="71" t="s">
        <v>1003</v>
      </c>
      <c r="L34" s="71" t="s">
        <v>1010</v>
      </c>
      <c r="M34" s="71" t="s">
        <v>1022</v>
      </c>
      <c r="N34" s="71" t="s">
        <v>560</v>
      </c>
    </row>
    <row r="35" spans="1:14" s="140" customFormat="1" ht="25.5" customHeight="1">
      <c r="A35" s="136"/>
      <c r="B35" s="137" t="s">
        <v>1072</v>
      </c>
      <c r="C35" s="137" t="s">
        <v>122</v>
      </c>
      <c r="D35" s="76" t="s">
        <v>773</v>
      </c>
      <c r="E35" s="138" t="s">
        <v>942</v>
      </c>
      <c r="F35" s="76" t="s">
        <v>147</v>
      </c>
      <c r="G35" s="76" t="s">
        <v>937</v>
      </c>
      <c r="H35" s="76" t="s">
        <v>147</v>
      </c>
      <c r="I35" s="76"/>
      <c r="J35" s="139" t="s">
        <v>786</v>
      </c>
      <c r="K35" s="71" t="s">
        <v>1003</v>
      </c>
      <c r="L35" s="71" t="s">
        <v>1010</v>
      </c>
      <c r="M35" s="71" t="s">
        <v>1022</v>
      </c>
      <c r="N35" s="71" t="s">
        <v>560</v>
      </c>
    </row>
    <row r="36" spans="1:14" s="140" customFormat="1" ht="25.5" customHeight="1">
      <c r="A36" s="136"/>
      <c r="B36" s="89" t="s">
        <v>1072</v>
      </c>
      <c r="C36" s="89" t="s">
        <v>122</v>
      </c>
      <c r="D36" s="76" t="s">
        <v>19</v>
      </c>
      <c r="E36" s="73" t="s">
        <v>883</v>
      </c>
      <c r="F36" s="76" t="s">
        <v>157</v>
      </c>
      <c r="G36" s="76" t="s">
        <v>801</v>
      </c>
      <c r="H36" s="71" t="s">
        <v>157</v>
      </c>
      <c r="I36" s="71" t="s">
        <v>690</v>
      </c>
      <c r="J36" s="23" t="s">
        <v>786</v>
      </c>
      <c r="K36" s="71" t="s">
        <v>1003</v>
      </c>
      <c r="L36" s="71" t="s">
        <v>1004</v>
      </c>
      <c r="M36" s="71" t="s">
        <v>1005</v>
      </c>
      <c r="N36" s="71" t="s">
        <v>560</v>
      </c>
    </row>
    <row r="37" spans="1:14" s="140" customFormat="1" ht="25.5" customHeight="1">
      <c r="A37" s="136"/>
      <c r="B37" s="89" t="s">
        <v>1072</v>
      </c>
      <c r="C37" s="89" t="s">
        <v>33</v>
      </c>
      <c r="D37" s="76" t="s">
        <v>17</v>
      </c>
      <c r="E37" s="75" t="s">
        <v>451</v>
      </c>
      <c r="F37" s="76" t="s">
        <v>805</v>
      </c>
      <c r="G37" s="76" t="s">
        <v>806</v>
      </c>
      <c r="H37" s="76" t="s">
        <v>167</v>
      </c>
      <c r="I37" s="148" t="s">
        <v>912</v>
      </c>
      <c r="J37" s="139" t="s">
        <v>786</v>
      </c>
      <c r="K37" s="71" t="s">
        <v>1003</v>
      </c>
      <c r="L37" s="71" t="s">
        <v>1004</v>
      </c>
      <c r="M37" s="71" t="s">
        <v>1009</v>
      </c>
      <c r="N37" s="71" t="s">
        <v>560</v>
      </c>
    </row>
    <row r="38" spans="1:14" ht="25.5" customHeight="1">
      <c r="B38" s="89" t="s">
        <v>1072</v>
      </c>
      <c r="C38" s="89" t="s">
        <v>33</v>
      </c>
      <c r="D38" s="76" t="s">
        <v>9</v>
      </c>
      <c r="E38" s="73" t="s">
        <v>884</v>
      </c>
      <c r="F38" s="76" t="s">
        <v>802</v>
      </c>
      <c r="G38" s="76" t="s">
        <v>803</v>
      </c>
      <c r="H38" s="71" t="s">
        <v>158</v>
      </c>
      <c r="I38" s="71"/>
      <c r="J38" s="23" t="s">
        <v>786</v>
      </c>
      <c r="K38" s="71" t="s">
        <v>1003</v>
      </c>
      <c r="L38" s="71" t="s">
        <v>1004</v>
      </c>
      <c r="M38" s="71" t="s">
        <v>1006</v>
      </c>
      <c r="N38" s="71" t="s">
        <v>1007</v>
      </c>
    </row>
    <row r="39" spans="1:14" ht="25.5" customHeight="1">
      <c r="B39" s="89" t="s">
        <v>1072</v>
      </c>
      <c r="C39" s="89" t="s">
        <v>122</v>
      </c>
      <c r="D39" s="76" t="s">
        <v>1259</v>
      </c>
      <c r="E39" s="73" t="s">
        <v>1260</v>
      </c>
      <c r="F39" s="76" t="s">
        <v>1277</v>
      </c>
      <c r="G39" s="76" t="s">
        <v>1276</v>
      </c>
      <c r="H39" s="71"/>
      <c r="I39" s="71"/>
      <c r="J39" s="23" t="s">
        <v>786</v>
      </c>
      <c r="K39" s="71" t="s">
        <v>1003</v>
      </c>
      <c r="L39" s="71" t="s">
        <v>1012</v>
      </c>
      <c r="M39" s="76" t="s">
        <v>1275</v>
      </c>
      <c r="N39" s="71"/>
    </row>
    <row r="40" spans="1:14" ht="25.5" customHeight="1">
      <c r="B40" s="89" t="s">
        <v>1072</v>
      </c>
      <c r="C40" s="89" t="s">
        <v>122</v>
      </c>
      <c r="D40" s="76" t="s">
        <v>1261</v>
      </c>
      <c r="E40" s="73" t="s">
        <v>1262</v>
      </c>
      <c r="F40" s="76" t="s">
        <v>1277</v>
      </c>
      <c r="G40" s="76" t="s">
        <v>1276</v>
      </c>
      <c r="H40" s="71"/>
      <c r="I40" s="71"/>
      <c r="J40" s="23" t="s">
        <v>786</v>
      </c>
      <c r="K40" s="71" t="s">
        <v>1003</v>
      </c>
      <c r="L40" s="71" t="s">
        <v>1012</v>
      </c>
      <c r="M40" s="76" t="s">
        <v>1275</v>
      </c>
      <c r="N40" s="71"/>
    </row>
    <row r="41" spans="1:14" ht="25.5" customHeight="1">
      <c r="B41" s="89" t="s">
        <v>1072</v>
      </c>
      <c r="C41" s="89" t="s">
        <v>122</v>
      </c>
      <c r="D41" s="76" t="s">
        <v>1263</v>
      </c>
      <c r="E41" s="73" t="s">
        <v>1264</v>
      </c>
      <c r="F41" s="76" t="s">
        <v>1277</v>
      </c>
      <c r="G41" s="76" t="s">
        <v>1276</v>
      </c>
      <c r="H41" s="71"/>
      <c r="I41" s="71"/>
      <c r="J41" s="23" t="s">
        <v>786</v>
      </c>
      <c r="K41" s="71" t="s">
        <v>1003</v>
      </c>
      <c r="L41" s="71" t="s">
        <v>1012</v>
      </c>
      <c r="M41" s="76" t="s">
        <v>1275</v>
      </c>
      <c r="N41" s="71"/>
    </row>
    <row r="42" spans="1:14" ht="25.5" customHeight="1">
      <c r="A42" s="77"/>
      <c r="B42" s="89" t="s">
        <v>1072</v>
      </c>
      <c r="C42" s="89" t="s">
        <v>122</v>
      </c>
      <c r="D42" s="76" t="s">
        <v>1265</v>
      </c>
      <c r="E42" s="73" t="s">
        <v>1266</v>
      </c>
      <c r="F42" s="76" t="s">
        <v>1277</v>
      </c>
      <c r="G42" s="76" t="s">
        <v>1276</v>
      </c>
      <c r="H42" s="71"/>
      <c r="I42" s="71"/>
      <c r="J42" s="23" t="s">
        <v>786</v>
      </c>
      <c r="K42" s="71" t="s">
        <v>1003</v>
      </c>
      <c r="L42" s="71" t="s">
        <v>1012</v>
      </c>
      <c r="M42" s="76" t="s">
        <v>1275</v>
      </c>
      <c r="N42" s="71"/>
    </row>
    <row r="43" spans="1:14" ht="25.5" customHeight="1">
      <c r="A43" s="77"/>
      <c r="B43" s="89" t="s">
        <v>1072</v>
      </c>
      <c r="C43" s="89" t="s">
        <v>122</v>
      </c>
      <c r="D43" s="76" t="s">
        <v>1267</v>
      </c>
      <c r="E43" s="73" t="s">
        <v>1268</v>
      </c>
      <c r="F43" s="76" t="s">
        <v>1277</v>
      </c>
      <c r="G43" s="76" t="s">
        <v>1276</v>
      </c>
      <c r="H43" s="71"/>
      <c r="I43" s="71"/>
      <c r="J43" s="23" t="s">
        <v>786</v>
      </c>
      <c r="K43" s="71" t="s">
        <v>1003</v>
      </c>
      <c r="L43" s="71" t="s">
        <v>1012</v>
      </c>
      <c r="M43" s="76" t="s">
        <v>1275</v>
      </c>
      <c r="N43" s="71"/>
    </row>
    <row r="44" spans="1:14" ht="25.5" customHeight="1">
      <c r="A44" s="77"/>
      <c r="B44" s="89" t="s">
        <v>1072</v>
      </c>
      <c r="C44" s="89" t="s">
        <v>122</v>
      </c>
      <c r="D44" s="76" t="s">
        <v>1269</v>
      </c>
      <c r="E44" s="73" t="s">
        <v>1270</v>
      </c>
      <c r="F44" s="76" t="s">
        <v>1277</v>
      </c>
      <c r="G44" s="76" t="s">
        <v>1276</v>
      </c>
      <c r="H44" s="71"/>
      <c r="I44" s="71"/>
      <c r="J44" s="23" t="s">
        <v>786</v>
      </c>
      <c r="K44" s="71" t="s">
        <v>1003</v>
      </c>
      <c r="L44" s="71" t="s">
        <v>1012</v>
      </c>
      <c r="M44" s="76" t="s">
        <v>1275</v>
      </c>
      <c r="N44" s="71"/>
    </row>
    <row r="45" spans="1:14" ht="25.5" customHeight="1">
      <c r="A45" s="77"/>
      <c r="B45" s="89" t="s">
        <v>1072</v>
      </c>
      <c r="C45" s="89" t="s">
        <v>122</v>
      </c>
      <c r="D45" s="76" t="s">
        <v>1271</v>
      </c>
      <c r="E45" s="73" t="s">
        <v>1272</v>
      </c>
      <c r="F45" s="76" t="s">
        <v>1277</v>
      </c>
      <c r="G45" s="76" t="s">
        <v>1276</v>
      </c>
      <c r="H45" s="71"/>
      <c r="I45" s="71"/>
      <c r="J45" s="23" t="s">
        <v>786</v>
      </c>
      <c r="K45" s="71" t="s">
        <v>1003</v>
      </c>
      <c r="L45" s="71" t="s">
        <v>1012</v>
      </c>
      <c r="M45" s="76" t="s">
        <v>1275</v>
      </c>
      <c r="N45" s="71"/>
    </row>
    <row r="46" spans="1:14" ht="25.5" customHeight="1">
      <c r="A46" s="84"/>
      <c r="B46" s="89" t="s">
        <v>1072</v>
      </c>
      <c r="C46" s="89" t="s">
        <v>122</v>
      </c>
      <c r="D46" s="76" t="s">
        <v>1273</v>
      </c>
      <c r="E46" s="73" t="s">
        <v>1274</v>
      </c>
      <c r="F46" s="76" t="s">
        <v>1277</v>
      </c>
      <c r="G46" s="76" t="s">
        <v>1276</v>
      </c>
      <c r="H46" s="71"/>
      <c r="I46" s="71"/>
      <c r="J46" s="23" t="s">
        <v>786</v>
      </c>
      <c r="K46" s="71" t="s">
        <v>1003</v>
      </c>
      <c r="L46" s="71" t="s">
        <v>1012</v>
      </c>
      <c r="M46" s="76" t="s">
        <v>1275</v>
      </c>
      <c r="N46" s="71"/>
    </row>
    <row r="47" spans="1:14" ht="25.5" customHeight="1">
      <c r="A47" s="84"/>
      <c r="B47" s="89" t="s">
        <v>1072</v>
      </c>
      <c r="C47" s="89" t="s">
        <v>7</v>
      </c>
      <c r="D47" s="73" t="s">
        <v>1420</v>
      </c>
      <c r="E47" s="73" t="s">
        <v>1421</v>
      </c>
      <c r="F47" s="76" t="s">
        <v>1444</v>
      </c>
      <c r="G47" s="76" t="s">
        <v>1445</v>
      </c>
      <c r="H47" s="71"/>
      <c r="I47" s="72"/>
      <c r="J47" s="23" t="s">
        <v>786</v>
      </c>
      <c r="K47" s="71" t="s">
        <v>1003</v>
      </c>
      <c r="L47" s="71" t="s">
        <v>1435</v>
      </c>
      <c r="M47" s="71" t="s">
        <v>1436</v>
      </c>
      <c r="N47" s="71" t="s">
        <v>1437</v>
      </c>
    </row>
    <row r="48" spans="1:14" ht="25.5" customHeight="1">
      <c r="A48" s="84"/>
      <c r="B48" s="89" t="s">
        <v>1072</v>
      </c>
      <c r="C48" s="89" t="s">
        <v>7</v>
      </c>
      <c r="D48" s="73" t="s">
        <v>1422</v>
      </c>
      <c r="E48" s="73" t="s">
        <v>1423</v>
      </c>
      <c r="F48" s="76" t="s">
        <v>1444</v>
      </c>
      <c r="G48" s="76" t="s">
        <v>1445</v>
      </c>
      <c r="H48" s="71"/>
      <c r="I48" s="72"/>
      <c r="J48" s="23" t="s">
        <v>786</v>
      </c>
      <c r="K48" s="71" t="s">
        <v>1003</v>
      </c>
      <c r="L48" s="71" t="s">
        <v>1435</v>
      </c>
      <c r="M48" s="71" t="s">
        <v>1438</v>
      </c>
      <c r="N48" s="71" t="s">
        <v>1439</v>
      </c>
    </row>
    <row r="49" spans="1:16376" ht="25.5" customHeight="1">
      <c r="A49" s="84"/>
      <c r="B49" s="89" t="s">
        <v>1072</v>
      </c>
      <c r="C49" s="89" t="s">
        <v>7</v>
      </c>
      <c r="D49" s="73" t="s">
        <v>1424</v>
      </c>
      <c r="E49" s="73" t="s">
        <v>1425</v>
      </c>
      <c r="F49" s="76" t="s">
        <v>1444</v>
      </c>
      <c r="G49" s="76" t="s">
        <v>1445</v>
      </c>
      <c r="H49" s="71"/>
      <c r="I49" s="72"/>
      <c r="J49" s="23" t="s">
        <v>786</v>
      </c>
      <c r="K49" s="71" t="s">
        <v>1003</v>
      </c>
      <c r="L49" s="71" t="s">
        <v>1435</v>
      </c>
      <c r="M49" s="71" t="s">
        <v>1440</v>
      </c>
      <c r="N49" s="71" t="s">
        <v>1441</v>
      </c>
    </row>
    <row r="50" spans="1:16376" ht="25.5" customHeight="1">
      <c r="A50" s="84"/>
      <c r="B50" s="89" t="s">
        <v>1072</v>
      </c>
      <c r="C50" s="89" t="s">
        <v>7</v>
      </c>
      <c r="D50" s="73" t="s">
        <v>1424</v>
      </c>
      <c r="E50" s="73" t="s">
        <v>1426</v>
      </c>
      <c r="F50" s="76" t="s">
        <v>1444</v>
      </c>
      <c r="G50" s="76" t="s">
        <v>1445</v>
      </c>
      <c r="H50" s="71"/>
      <c r="I50" s="72"/>
      <c r="J50" s="23" t="s">
        <v>786</v>
      </c>
      <c r="K50" s="71" t="s">
        <v>1003</v>
      </c>
      <c r="L50" s="71" t="s">
        <v>1435</v>
      </c>
      <c r="M50" s="71" t="s">
        <v>1440</v>
      </c>
      <c r="N50" s="71" t="s">
        <v>1441</v>
      </c>
    </row>
    <row r="51" spans="1:16376" ht="25.5" customHeight="1">
      <c r="A51" s="84"/>
      <c r="B51" s="89" t="s">
        <v>1072</v>
      </c>
      <c r="C51" s="89" t="s">
        <v>7</v>
      </c>
      <c r="D51" s="73" t="s">
        <v>1427</v>
      </c>
      <c r="E51" s="73" t="s">
        <v>1428</v>
      </c>
      <c r="F51" s="76" t="s">
        <v>1444</v>
      </c>
      <c r="G51" s="76" t="s">
        <v>1445</v>
      </c>
      <c r="H51" s="71"/>
      <c r="I51" s="72"/>
      <c r="J51" s="23" t="s">
        <v>786</v>
      </c>
      <c r="K51" s="71" t="s">
        <v>1003</v>
      </c>
      <c r="L51" s="71" t="s">
        <v>1435</v>
      </c>
      <c r="M51" s="71" t="s">
        <v>1440</v>
      </c>
      <c r="N51" s="71" t="s">
        <v>1441</v>
      </c>
    </row>
    <row r="52" spans="1:16376" ht="25.5" customHeight="1">
      <c r="A52" s="84"/>
      <c r="B52" s="89" t="s">
        <v>1072</v>
      </c>
      <c r="C52" s="89" t="s">
        <v>7</v>
      </c>
      <c r="D52" s="73" t="s">
        <v>1427</v>
      </c>
      <c r="E52" s="73" t="s">
        <v>1429</v>
      </c>
      <c r="F52" s="76" t="s">
        <v>1444</v>
      </c>
      <c r="G52" s="76" t="s">
        <v>1445</v>
      </c>
      <c r="H52" s="71"/>
      <c r="I52" s="72"/>
      <c r="J52" s="23" t="s">
        <v>786</v>
      </c>
      <c r="K52" s="71" t="s">
        <v>1003</v>
      </c>
      <c r="L52" s="71" t="s">
        <v>1435</v>
      </c>
      <c r="M52" s="71" t="s">
        <v>1440</v>
      </c>
      <c r="N52" s="71" t="s">
        <v>1441</v>
      </c>
    </row>
    <row r="53" spans="1:16376" ht="25.5" customHeight="1">
      <c r="A53" s="84"/>
      <c r="B53" s="89" t="s">
        <v>1072</v>
      </c>
      <c r="C53" s="89" t="s">
        <v>7</v>
      </c>
      <c r="D53" s="73" t="s">
        <v>1482</v>
      </c>
      <c r="E53" s="73" t="s">
        <v>1483</v>
      </c>
      <c r="F53" s="76" t="s">
        <v>1444</v>
      </c>
      <c r="G53" s="76" t="s">
        <v>231</v>
      </c>
      <c r="H53" s="71"/>
      <c r="I53" s="72"/>
      <c r="J53" s="23" t="s">
        <v>786</v>
      </c>
      <c r="K53" s="71" t="s">
        <v>1003</v>
      </c>
      <c r="L53" s="71" t="s">
        <v>1435</v>
      </c>
      <c r="M53" s="71" t="s">
        <v>1440</v>
      </c>
      <c r="N53" s="71" t="s">
        <v>1441</v>
      </c>
    </row>
    <row r="54" spans="1:16376" ht="25.5" customHeight="1">
      <c r="A54" s="84"/>
      <c r="B54" s="89" t="s">
        <v>1072</v>
      </c>
      <c r="C54" s="89" t="s">
        <v>7</v>
      </c>
      <c r="D54" s="73" t="s">
        <v>1482</v>
      </c>
      <c r="E54" s="73" t="s">
        <v>1484</v>
      </c>
      <c r="F54" s="76" t="s">
        <v>1444</v>
      </c>
      <c r="G54" s="76" t="s">
        <v>231</v>
      </c>
      <c r="H54" s="71"/>
      <c r="I54" s="72"/>
      <c r="J54" s="23" t="s">
        <v>786</v>
      </c>
      <c r="K54" s="71" t="s">
        <v>1003</v>
      </c>
      <c r="L54" s="71" t="s">
        <v>1435</v>
      </c>
      <c r="M54" s="71" t="s">
        <v>1440</v>
      </c>
      <c r="N54" s="71" t="s">
        <v>1441</v>
      </c>
    </row>
    <row r="55" spans="1:16376" s="83" customFormat="1" ht="25.5" customHeight="1">
      <c r="A55" s="79"/>
      <c r="B55" s="89" t="s">
        <v>1072</v>
      </c>
      <c r="C55" s="89" t="s">
        <v>7</v>
      </c>
      <c r="D55" s="73" t="s">
        <v>1430</v>
      </c>
      <c r="E55" s="73" t="s">
        <v>1431</v>
      </c>
      <c r="F55" s="76" t="s">
        <v>1444</v>
      </c>
      <c r="G55" s="76" t="s">
        <v>1445</v>
      </c>
      <c r="H55" s="71"/>
      <c r="I55" s="72"/>
      <c r="J55" s="23" t="s">
        <v>786</v>
      </c>
      <c r="K55" s="71" t="s">
        <v>1003</v>
      </c>
      <c r="L55" s="71" t="s">
        <v>1435</v>
      </c>
      <c r="M55" s="71" t="s">
        <v>1440</v>
      </c>
      <c r="N55" s="71" t="s">
        <v>1441</v>
      </c>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69"/>
      <c r="CG55" s="69"/>
      <c r="CH55" s="69"/>
      <c r="CI55" s="69"/>
      <c r="CJ55" s="69"/>
      <c r="CK55" s="69"/>
      <c r="CL55" s="69"/>
      <c r="CM55" s="69"/>
      <c r="CN55" s="69"/>
      <c r="CO55" s="69"/>
      <c r="CP55" s="69"/>
      <c r="CQ55" s="69"/>
      <c r="CR55" s="69"/>
      <c r="CS55" s="69"/>
      <c r="CT55" s="69"/>
      <c r="CU55" s="69"/>
      <c r="CV55" s="69"/>
      <c r="CW55" s="69"/>
      <c r="CX55" s="69"/>
      <c r="CY55" s="69"/>
      <c r="CZ55" s="69"/>
      <c r="DA55" s="69"/>
      <c r="DB55" s="69"/>
      <c r="DC55" s="69"/>
      <c r="DD55" s="69"/>
      <c r="DE55" s="69"/>
      <c r="DF55" s="69"/>
      <c r="DG55" s="69"/>
      <c r="DH55" s="69"/>
      <c r="DI55" s="69"/>
      <c r="DJ55" s="69"/>
      <c r="DK55" s="69"/>
      <c r="DL55" s="69"/>
      <c r="DM55" s="69"/>
      <c r="DN55" s="69"/>
      <c r="DO55" s="69"/>
      <c r="DP55" s="69"/>
      <c r="DQ55" s="69"/>
      <c r="DR55" s="69"/>
      <c r="DS55" s="69"/>
      <c r="DT55" s="69"/>
      <c r="DU55" s="69"/>
      <c r="DV55" s="69"/>
      <c r="DW55" s="69"/>
      <c r="DX55" s="69"/>
      <c r="DY55" s="69"/>
      <c r="DZ55" s="69"/>
      <c r="EA55" s="69"/>
      <c r="EB55" s="69"/>
      <c r="EC55" s="69"/>
      <c r="ED55" s="69"/>
      <c r="EE55" s="69"/>
      <c r="EF55" s="69"/>
      <c r="EG55" s="69"/>
      <c r="EH55" s="69"/>
      <c r="EI55" s="69"/>
      <c r="EJ55" s="69"/>
      <c r="EK55" s="69"/>
      <c r="EL55" s="69"/>
      <c r="EM55" s="69"/>
      <c r="EN55" s="69"/>
      <c r="EO55" s="69"/>
      <c r="EP55" s="69"/>
      <c r="EQ55" s="69"/>
      <c r="ER55" s="69"/>
      <c r="ES55" s="69"/>
      <c r="ET55" s="69"/>
      <c r="EU55" s="69"/>
      <c r="EV55" s="69"/>
      <c r="EW55" s="69"/>
      <c r="EX55" s="69"/>
      <c r="EY55" s="69"/>
      <c r="EZ55" s="69"/>
      <c r="FA55" s="69"/>
      <c r="FB55" s="69"/>
      <c r="FC55" s="69"/>
      <c r="FD55" s="69"/>
      <c r="FE55" s="69"/>
      <c r="FF55" s="69"/>
      <c r="FG55" s="69"/>
      <c r="FH55" s="69"/>
      <c r="FI55" s="69"/>
      <c r="FJ55" s="69"/>
      <c r="FK55" s="69"/>
      <c r="FL55" s="69"/>
      <c r="FM55" s="69"/>
      <c r="FN55" s="69"/>
      <c r="FO55" s="69"/>
      <c r="FP55" s="69"/>
      <c r="FQ55" s="69"/>
      <c r="FR55" s="69"/>
      <c r="FS55" s="69"/>
      <c r="FT55" s="69"/>
      <c r="FU55" s="69"/>
      <c r="FV55" s="69"/>
      <c r="FW55" s="69"/>
      <c r="FX55" s="69"/>
      <c r="FY55" s="69"/>
      <c r="FZ55" s="69"/>
      <c r="GA55" s="69"/>
      <c r="GB55" s="69"/>
      <c r="GC55" s="69"/>
      <c r="GD55" s="69"/>
      <c r="GE55" s="69"/>
      <c r="GF55" s="69"/>
      <c r="GG55" s="69"/>
      <c r="GH55" s="69"/>
      <c r="GI55" s="69"/>
      <c r="GJ55" s="69"/>
      <c r="GK55" s="69"/>
      <c r="GL55" s="69"/>
      <c r="GM55" s="69"/>
      <c r="GN55" s="69"/>
      <c r="GO55" s="69"/>
      <c r="GP55" s="69"/>
      <c r="GQ55" s="69"/>
      <c r="GR55" s="69"/>
      <c r="GS55" s="69"/>
      <c r="GT55" s="69"/>
      <c r="GU55" s="69"/>
      <c r="GV55" s="69"/>
      <c r="GW55" s="69"/>
      <c r="GX55" s="69"/>
      <c r="GY55" s="69"/>
      <c r="GZ55" s="69"/>
      <c r="HA55" s="69"/>
      <c r="HB55" s="69"/>
      <c r="HC55" s="69"/>
      <c r="HD55" s="69"/>
      <c r="HE55" s="69"/>
      <c r="HF55" s="69"/>
      <c r="HG55" s="69"/>
      <c r="HH55" s="69"/>
      <c r="HI55" s="69"/>
      <c r="HJ55" s="69"/>
      <c r="HK55" s="69"/>
      <c r="HL55" s="69"/>
      <c r="HM55" s="69"/>
      <c r="HN55" s="69"/>
      <c r="HO55" s="69"/>
      <c r="HP55" s="69"/>
      <c r="HQ55" s="69"/>
      <c r="HR55" s="69"/>
      <c r="HS55" s="69"/>
      <c r="HT55" s="69"/>
      <c r="HU55" s="69"/>
      <c r="HV55" s="69"/>
      <c r="HW55" s="69"/>
      <c r="HX55" s="69"/>
      <c r="HY55" s="69"/>
      <c r="HZ55" s="69"/>
      <c r="IA55" s="69"/>
      <c r="IB55" s="69"/>
      <c r="IC55" s="69"/>
      <c r="ID55" s="69"/>
      <c r="IE55" s="69"/>
      <c r="IF55" s="69"/>
      <c r="IG55" s="69"/>
      <c r="IH55" s="69"/>
      <c r="II55" s="69"/>
      <c r="IJ55" s="69"/>
      <c r="IK55" s="69"/>
      <c r="IL55" s="69"/>
      <c r="IM55" s="69"/>
      <c r="IN55" s="69"/>
      <c r="IO55" s="69"/>
      <c r="IP55" s="69"/>
      <c r="IQ55" s="69"/>
      <c r="IR55" s="69"/>
      <c r="IS55" s="69"/>
      <c r="IT55" s="69"/>
      <c r="IU55" s="69"/>
      <c r="IV55" s="69"/>
      <c r="IW55" s="69"/>
      <c r="IX55" s="69"/>
      <c r="IY55" s="69"/>
      <c r="IZ55" s="69"/>
      <c r="JA55" s="69"/>
      <c r="JB55" s="69"/>
      <c r="JC55" s="69"/>
      <c r="JD55" s="69"/>
      <c r="JE55" s="69"/>
      <c r="JF55" s="69"/>
      <c r="JG55" s="69"/>
      <c r="JH55" s="69"/>
      <c r="JI55" s="69"/>
      <c r="JJ55" s="69"/>
      <c r="JK55" s="69"/>
      <c r="JL55" s="69"/>
      <c r="JM55" s="69"/>
      <c r="JN55" s="69"/>
      <c r="JO55" s="69"/>
      <c r="JP55" s="69"/>
      <c r="JQ55" s="69"/>
      <c r="JR55" s="69"/>
      <c r="JS55" s="69"/>
      <c r="JT55" s="69"/>
      <c r="JU55" s="69"/>
      <c r="JV55" s="69"/>
      <c r="JW55" s="69"/>
      <c r="JX55" s="69"/>
      <c r="JY55" s="69"/>
      <c r="JZ55" s="69"/>
      <c r="KA55" s="69"/>
      <c r="KB55" s="69"/>
      <c r="KC55" s="69"/>
      <c r="KD55" s="69"/>
      <c r="KE55" s="69"/>
      <c r="KF55" s="69"/>
      <c r="KG55" s="69"/>
      <c r="KH55" s="69"/>
      <c r="KI55" s="69"/>
      <c r="KJ55" s="69"/>
      <c r="KK55" s="69"/>
      <c r="KL55" s="69"/>
      <c r="KM55" s="69"/>
      <c r="KN55" s="69"/>
      <c r="KO55" s="69"/>
      <c r="KP55" s="69"/>
      <c r="KQ55" s="69"/>
      <c r="KR55" s="69"/>
      <c r="KS55" s="69"/>
      <c r="KT55" s="69"/>
      <c r="KU55" s="69"/>
      <c r="KV55" s="69"/>
      <c r="KW55" s="69"/>
      <c r="KX55" s="69"/>
      <c r="KY55" s="69"/>
      <c r="KZ55" s="69"/>
      <c r="LA55" s="69"/>
      <c r="LB55" s="69"/>
      <c r="LC55" s="69"/>
      <c r="LD55" s="69"/>
      <c r="LE55" s="69"/>
      <c r="LF55" s="69"/>
      <c r="LG55" s="69"/>
      <c r="LH55" s="69"/>
      <c r="LI55" s="69"/>
      <c r="LJ55" s="69"/>
      <c r="LK55" s="69"/>
      <c r="LL55" s="69"/>
      <c r="LM55" s="69"/>
      <c r="LN55" s="69"/>
      <c r="LO55" s="69"/>
      <c r="LP55" s="69"/>
      <c r="LQ55" s="69"/>
      <c r="LR55" s="69"/>
      <c r="LS55" s="69"/>
      <c r="LT55" s="69"/>
      <c r="LU55" s="69"/>
      <c r="LV55" s="69"/>
      <c r="LW55" s="69"/>
      <c r="LX55" s="69"/>
      <c r="LY55" s="69"/>
      <c r="LZ55" s="69"/>
      <c r="MA55" s="69"/>
      <c r="MB55" s="69"/>
      <c r="MC55" s="69"/>
      <c r="MD55" s="69"/>
      <c r="ME55" s="69"/>
      <c r="MF55" s="69"/>
      <c r="MG55" s="69"/>
      <c r="MH55" s="69"/>
      <c r="MI55" s="69"/>
      <c r="MJ55" s="69"/>
      <c r="MK55" s="69"/>
      <c r="ML55" s="69"/>
      <c r="MM55" s="69"/>
      <c r="MN55" s="69"/>
      <c r="MO55" s="69"/>
      <c r="MP55" s="69"/>
      <c r="MQ55" s="69"/>
      <c r="MR55" s="69"/>
      <c r="MS55" s="69"/>
      <c r="MT55" s="69"/>
      <c r="MU55" s="69"/>
      <c r="MV55" s="69"/>
      <c r="MW55" s="69"/>
      <c r="MX55" s="69"/>
      <c r="MY55" s="69"/>
      <c r="MZ55" s="69"/>
      <c r="NA55" s="69"/>
      <c r="NB55" s="69"/>
      <c r="NC55" s="69"/>
      <c r="ND55" s="69"/>
      <c r="NE55" s="69"/>
      <c r="NF55" s="69"/>
      <c r="NG55" s="69"/>
      <c r="NH55" s="69"/>
      <c r="NI55" s="69"/>
      <c r="NJ55" s="69"/>
      <c r="NK55" s="69"/>
      <c r="NL55" s="69"/>
      <c r="NM55" s="69"/>
      <c r="NN55" s="69"/>
      <c r="NO55" s="69"/>
      <c r="NP55" s="69"/>
      <c r="NQ55" s="69"/>
      <c r="NR55" s="69"/>
      <c r="NS55" s="69"/>
      <c r="NT55" s="69"/>
      <c r="NU55" s="69"/>
      <c r="NV55" s="69"/>
      <c r="NW55" s="69"/>
      <c r="NX55" s="69"/>
      <c r="NY55" s="69"/>
      <c r="NZ55" s="69"/>
      <c r="OA55" s="69"/>
      <c r="OB55" s="69"/>
      <c r="OC55" s="69"/>
      <c r="OD55" s="69"/>
      <c r="OE55" s="69"/>
      <c r="OF55" s="69"/>
      <c r="OG55" s="69"/>
      <c r="OH55" s="69"/>
      <c r="OI55" s="69"/>
      <c r="OJ55" s="69"/>
      <c r="OK55" s="69"/>
      <c r="OL55" s="69"/>
      <c r="OM55" s="69"/>
      <c r="ON55" s="69"/>
      <c r="OO55" s="69"/>
      <c r="OP55" s="69"/>
      <c r="OQ55" s="69"/>
      <c r="OR55" s="69"/>
      <c r="OS55" s="69"/>
      <c r="OT55" s="69"/>
      <c r="OU55" s="69"/>
      <c r="OV55" s="69"/>
      <c r="OW55" s="69"/>
      <c r="OX55" s="69"/>
      <c r="OY55" s="69"/>
      <c r="OZ55" s="69"/>
      <c r="PA55" s="69"/>
      <c r="PB55" s="69"/>
      <c r="PC55" s="69"/>
      <c r="PD55" s="69"/>
      <c r="PE55" s="69"/>
      <c r="PF55" s="69"/>
      <c r="PG55" s="69"/>
      <c r="PH55" s="69"/>
      <c r="PI55" s="69"/>
      <c r="PJ55" s="69"/>
      <c r="PK55" s="69"/>
      <c r="PL55" s="69"/>
      <c r="PM55" s="69"/>
      <c r="PN55" s="69"/>
      <c r="PO55" s="69"/>
      <c r="PP55" s="69"/>
      <c r="PQ55" s="69"/>
      <c r="PR55" s="69"/>
      <c r="PS55" s="69"/>
      <c r="PT55" s="69"/>
      <c r="PU55" s="69"/>
      <c r="PV55" s="69"/>
      <c r="PW55" s="69"/>
      <c r="PX55" s="69"/>
      <c r="PY55" s="69"/>
      <c r="PZ55" s="69"/>
      <c r="QA55" s="69"/>
      <c r="QB55" s="69"/>
      <c r="QC55" s="69"/>
      <c r="QD55" s="69"/>
      <c r="QE55" s="69"/>
      <c r="QF55" s="69"/>
      <c r="QG55" s="69"/>
      <c r="QH55" s="69"/>
      <c r="QI55" s="69"/>
      <c r="QJ55" s="69"/>
      <c r="QK55" s="69"/>
      <c r="QL55" s="69"/>
      <c r="QM55" s="69"/>
      <c r="QN55" s="69"/>
      <c r="QO55" s="69"/>
      <c r="QP55" s="69"/>
      <c r="QQ55" s="69"/>
      <c r="QR55" s="69"/>
      <c r="QS55" s="69"/>
      <c r="QT55" s="69"/>
      <c r="QU55" s="69"/>
      <c r="QV55" s="69"/>
      <c r="QW55" s="69"/>
      <c r="QX55" s="69"/>
      <c r="QY55" s="69"/>
      <c r="QZ55" s="69"/>
      <c r="RA55" s="69"/>
      <c r="RB55" s="69"/>
      <c r="RC55" s="69"/>
      <c r="RD55" s="69"/>
      <c r="RE55" s="69"/>
      <c r="RF55" s="69"/>
      <c r="RG55" s="69"/>
      <c r="RH55" s="69"/>
      <c r="RI55" s="69"/>
      <c r="RJ55" s="69"/>
      <c r="RK55" s="69"/>
      <c r="RL55" s="69"/>
      <c r="RM55" s="69"/>
      <c r="RN55" s="69"/>
      <c r="RO55" s="69"/>
      <c r="RP55" s="69"/>
      <c r="RQ55" s="69"/>
      <c r="RR55" s="69"/>
      <c r="RS55" s="69"/>
      <c r="RT55" s="69"/>
      <c r="RU55" s="69"/>
      <c r="RV55" s="69"/>
      <c r="RW55" s="69"/>
      <c r="RX55" s="69"/>
      <c r="RY55" s="69"/>
      <c r="RZ55" s="69"/>
      <c r="SA55" s="69"/>
      <c r="SB55" s="69"/>
      <c r="SC55" s="69"/>
      <c r="SD55" s="69"/>
      <c r="SE55" s="69"/>
      <c r="SF55" s="69"/>
      <c r="SG55" s="69"/>
      <c r="SH55" s="69"/>
      <c r="SI55" s="69"/>
      <c r="SJ55" s="69"/>
      <c r="SK55" s="69"/>
      <c r="SL55" s="69"/>
      <c r="SM55" s="69"/>
      <c r="SN55" s="69"/>
      <c r="SO55" s="69"/>
      <c r="SP55" s="69"/>
      <c r="SQ55" s="69"/>
      <c r="SR55" s="69"/>
      <c r="SS55" s="69"/>
      <c r="ST55" s="69"/>
      <c r="SU55" s="69"/>
      <c r="SV55" s="69"/>
      <c r="SW55" s="69"/>
      <c r="SX55" s="69"/>
      <c r="SY55" s="69"/>
      <c r="SZ55" s="69"/>
      <c r="TA55" s="69"/>
      <c r="TB55" s="69"/>
      <c r="TC55" s="69"/>
      <c r="TD55" s="69"/>
      <c r="TE55" s="69"/>
      <c r="TF55" s="69"/>
      <c r="TG55" s="69"/>
      <c r="TH55" s="69"/>
      <c r="TI55" s="69"/>
      <c r="TJ55" s="69"/>
      <c r="TK55" s="69"/>
      <c r="TL55" s="69"/>
      <c r="TM55" s="69"/>
      <c r="TN55" s="69"/>
      <c r="TO55" s="69"/>
      <c r="TP55" s="69"/>
      <c r="TQ55" s="69"/>
      <c r="TR55" s="69"/>
      <c r="TS55" s="69"/>
      <c r="TT55" s="69"/>
      <c r="TU55" s="69"/>
      <c r="TV55" s="69"/>
      <c r="TW55" s="69"/>
      <c r="TX55" s="69"/>
      <c r="TY55" s="69"/>
      <c r="TZ55" s="69"/>
      <c r="UA55" s="69"/>
      <c r="UB55" s="69"/>
      <c r="UC55" s="69"/>
      <c r="UD55" s="69"/>
      <c r="UE55" s="69"/>
      <c r="UF55" s="69"/>
      <c r="UG55" s="69"/>
      <c r="UH55" s="69"/>
      <c r="UI55" s="69"/>
      <c r="UJ55" s="69"/>
      <c r="UK55" s="69"/>
      <c r="UL55" s="69"/>
      <c r="UM55" s="69"/>
      <c r="UN55" s="69"/>
      <c r="UO55" s="69"/>
      <c r="UP55" s="69"/>
      <c r="UQ55" s="69"/>
      <c r="UR55" s="69"/>
      <c r="US55" s="69"/>
      <c r="UT55" s="69"/>
      <c r="UU55" s="69"/>
      <c r="UV55" s="69"/>
      <c r="UW55" s="69"/>
      <c r="UX55" s="69"/>
      <c r="UY55" s="69"/>
      <c r="UZ55" s="69"/>
      <c r="VA55" s="69"/>
      <c r="VB55" s="69"/>
      <c r="VC55" s="69"/>
      <c r="VD55" s="69"/>
      <c r="VE55" s="69"/>
      <c r="VF55" s="69"/>
      <c r="VG55" s="69"/>
      <c r="VH55" s="69"/>
      <c r="VI55" s="69"/>
      <c r="VJ55" s="69"/>
      <c r="VK55" s="69"/>
      <c r="VL55" s="69"/>
      <c r="VM55" s="69"/>
      <c r="VN55" s="69"/>
      <c r="VO55" s="69"/>
      <c r="VP55" s="69"/>
      <c r="VQ55" s="69"/>
      <c r="VR55" s="69"/>
      <c r="VS55" s="69"/>
      <c r="VT55" s="69"/>
      <c r="VU55" s="69"/>
      <c r="VV55" s="69"/>
      <c r="VW55" s="69"/>
      <c r="VX55" s="69"/>
      <c r="VY55" s="69"/>
      <c r="VZ55" s="69"/>
      <c r="WA55" s="69"/>
      <c r="WB55" s="69"/>
      <c r="WC55" s="69"/>
      <c r="WD55" s="69"/>
      <c r="WE55" s="69"/>
      <c r="WF55" s="69"/>
      <c r="WG55" s="69"/>
      <c r="WH55" s="69"/>
      <c r="WI55" s="69"/>
      <c r="WJ55" s="69"/>
      <c r="WK55" s="69"/>
      <c r="WL55" s="69"/>
      <c r="WM55" s="69"/>
      <c r="WN55" s="69"/>
      <c r="WO55" s="69"/>
      <c r="WP55" s="69"/>
      <c r="WQ55" s="69"/>
      <c r="WR55" s="69"/>
      <c r="WS55" s="69"/>
      <c r="WT55" s="69"/>
      <c r="WU55" s="69"/>
      <c r="WV55" s="69"/>
      <c r="WW55" s="69"/>
      <c r="WX55" s="69"/>
      <c r="WY55" s="69"/>
      <c r="WZ55" s="69"/>
      <c r="XA55" s="69"/>
      <c r="XB55" s="69"/>
      <c r="XC55" s="69"/>
      <c r="XD55" s="69"/>
      <c r="XE55" s="69"/>
      <c r="XF55" s="69"/>
      <c r="XG55" s="69"/>
      <c r="XH55" s="69"/>
      <c r="XI55" s="69"/>
      <c r="XJ55" s="69"/>
      <c r="XK55" s="69"/>
      <c r="XL55" s="69"/>
      <c r="XM55" s="69"/>
      <c r="XN55" s="69"/>
      <c r="XO55" s="69"/>
      <c r="XP55" s="69"/>
      <c r="XQ55" s="69"/>
      <c r="XR55" s="69"/>
      <c r="XS55" s="69"/>
      <c r="XT55" s="69"/>
      <c r="XU55" s="69"/>
      <c r="XV55" s="69"/>
      <c r="XW55" s="69"/>
      <c r="XX55" s="69"/>
      <c r="XY55" s="69"/>
      <c r="XZ55" s="69"/>
      <c r="YA55" s="69"/>
      <c r="YB55" s="69"/>
      <c r="YC55" s="69"/>
      <c r="YD55" s="69"/>
      <c r="YE55" s="69"/>
      <c r="YF55" s="69"/>
      <c r="YG55" s="69"/>
      <c r="YH55" s="69"/>
      <c r="YI55" s="69"/>
      <c r="YJ55" s="69"/>
      <c r="YK55" s="69"/>
      <c r="YL55" s="69"/>
      <c r="YM55" s="69"/>
      <c r="YN55" s="69"/>
      <c r="YO55" s="69"/>
      <c r="YP55" s="69"/>
      <c r="YQ55" s="69"/>
      <c r="YR55" s="69"/>
      <c r="YS55" s="69"/>
      <c r="YT55" s="69"/>
      <c r="YU55" s="69"/>
      <c r="YV55" s="69"/>
      <c r="YW55" s="69"/>
      <c r="YX55" s="69"/>
      <c r="YY55" s="69"/>
      <c r="YZ55" s="69"/>
      <c r="ZA55" s="69"/>
      <c r="ZB55" s="69"/>
      <c r="ZC55" s="69"/>
      <c r="ZD55" s="69"/>
      <c r="ZE55" s="69"/>
      <c r="ZF55" s="69"/>
      <c r="ZG55" s="69"/>
      <c r="ZH55" s="69"/>
      <c r="ZI55" s="69"/>
      <c r="ZJ55" s="69"/>
      <c r="ZK55" s="69"/>
      <c r="ZL55" s="69"/>
      <c r="ZM55" s="69"/>
      <c r="ZN55" s="69"/>
      <c r="ZO55" s="69"/>
      <c r="ZP55" s="69"/>
      <c r="ZQ55" s="69"/>
      <c r="ZR55" s="69"/>
      <c r="ZS55" s="69"/>
      <c r="ZT55" s="69"/>
      <c r="ZU55" s="69"/>
      <c r="ZV55" s="69"/>
      <c r="ZW55" s="69"/>
      <c r="ZX55" s="69"/>
      <c r="ZY55" s="69"/>
      <c r="ZZ55" s="69"/>
      <c r="AAA55" s="69"/>
      <c r="AAB55" s="69"/>
      <c r="AAC55" s="69"/>
      <c r="AAD55" s="69"/>
      <c r="AAE55" s="69"/>
      <c r="AAF55" s="69"/>
      <c r="AAG55" s="69"/>
      <c r="AAH55" s="69"/>
      <c r="AAI55" s="69"/>
      <c r="AAJ55" s="69"/>
      <c r="AAK55" s="69"/>
      <c r="AAL55" s="69"/>
      <c r="AAM55" s="69"/>
      <c r="AAN55" s="69"/>
      <c r="AAO55" s="69"/>
      <c r="AAP55" s="69"/>
      <c r="AAQ55" s="69"/>
      <c r="AAR55" s="69"/>
      <c r="AAS55" s="69"/>
      <c r="AAT55" s="69"/>
      <c r="AAU55" s="69"/>
      <c r="AAV55" s="69"/>
      <c r="AAW55" s="69"/>
      <c r="AAX55" s="69"/>
      <c r="AAY55" s="69"/>
      <c r="AAZ55" s="69"/>
      <c r="ABA55" s="69"/>
      <c r="ABB55" s="69"/>
      <c r="ABC55" s="69"/>
      <c r="ABD55" s="69"/>
      <c r="ABE55" s="69"/>
      <c r="ABF55" s="69"/>
      <c r="ABG55" s="69"/>
      <c r="ABH55" s="69"/>
      <c r="ABI55" s="69"/>
      <c r="ABJ55" s="69"/>
      <c r="ABK55" s="69"/>
      <c r="ABL55" s="69"/>
      <c r="ABM55" s="69"/>
      <c r="ABN55" s="69"/>
      <c r="ABO55" s="69"/>
      <c r="ABP55" s="69"/>
      <c r="ABQ55" s="69"/>
      <c r="ABR55" s="69"/>
      <c r="ABS55" s="69"/>
      <c r="ABT55" s="69"/>
      <c r="ABU55" s="69"/>
      <c r="ABV55" s="69"/>
      <c r="ABW55" s="69"/>
      <c r="ABX55" s="69"/>
      <c r="ABY55" s="69"/>
      <c r="ABZ55" s="69"/>
      <c r="ACA55" s="69"/>
      <c r="ACB55" s="69"/>
      <c r="ACC55" s="69"/>
      <c r="ACD55" s="69"/>
      <c r="ACE55" s="69"/>
      <c r="ACF55" s="69"/>
      <c r="ACG55" s="69"/>
      <c r="ACH55" s="69"/>
      <c r="ACI55" s="69"/>
      <c r="ACJ55" s="69"/>
      <c r="ACK55" s="69"/>
      <c r="ACL55" s="69"/>
      <c r="ACM55" s="69"/>
      <c r="ACN55" s="69"/>
      <c r="ACO55" s="69"/>
      <c r="ACP55" s="69"/>
      <c r="ACQ55" s="69"/>
      <c r="ACR55" s="69"/>
      <c r="ACS55" s="69"/>
      <c r="ACT55" s="69"/>
      <c r="ACU55" s="69"/>
      <c r="ACV55" s="69"/>
      <c r="ACW55" s="69"/>
      <c r="ACX55" s="69"/>
      <c r="ACY55" s="69"/>
      <c r="ACZ55" s="69"/>
      <c r="ADA55" s="69"/>
      <c r="ADB55" s="69"/>
      <c r="ADC55" s="69"/>
      <c r="ADD55" s="69"/>
      <c r="ADE55" s="69"/>
      <c r="ADF55" s="69"/>
      <c r="ADG55" s="69"/>
      <c r="ADH55" s="69"/>
      <c r="ADI55" s="69"/>
      <c r="ADJ55" s="69"/>
      <c r="ADK55" s="69"/>
      <c r="ADL55" s="69"/>
      <c r="ADM55" s="69"/>
      <c r="ADN55" s="69"/>
      <c r="ADO55" s="69"/>
      <c r="ADP55" s="69"/>
      <c r="ADQ55" s="69"/>
      <c r="ADR55" s="69"/>
      <c r="ADS55" s="69"/>
      <c r="ADT55" s="69"/>
      <c r="ADU55" s="69"/>
      <c r="ADV55" s="69"/>
      <c r="ADW55" s="69"/>
      <c r="ADX55" s="69"/>
      <c r="ADY55" s="69"/>
      <c r="ADZ55" s="69"/>
      <c r="AEA55" s="69"/>
      <c r="AEB55" s="69"/>
      <c r="AEC55" s="69"/>
      <c r="AED55" s="69"/>
      <c r="AEE55" s="69"/>
      <c r="AEF55" s="69"/>
      <c r="AEG55" s="69"/>
      <c r="AEH55" s="69"/>
      <c r="AEI55" s="69"/>
      <c r="AEJ55" s="69"/>
      <c r="AEK55" s="69"/>
      <c r="AEL55" s="69"/>
      <c r="AEM55" s="69"/>
      <c r="AEN55" s="69"/>
      <c r="AEO55" s="69"/>
      <c r="AEP55" s="69"/>
      <c r="AEQ55" s="69"/>
      <c r="AER55" s="69"/>
      <c r="AES55" s="69"/>
      <c r="AET55" s="69"/>
      <c r="AEU55" s="69"/>
      <c r="AEV55" s="69"/>
      <c r="AEW55" s="69"/>
      <c r="AEX55" s="69"/>
      <c r="AEY55" s="69"/>
      <c r="AEZ55" s="69"/>
      <c r="AFA55" s="69"/>
      <c r="AFB55" s="69"/>
      <c r="AFC55" s="69"/>
      <c r="AFD55" s="69"/>
      <c r="AFE55" s="69"/>
      <c r="AFF55" s="69"/>
      <c r="AFG55" s="69"/>
      <c r="AFH55" s="69"/>
      <c r="AFI55" s="69"/>
      <c r="AFJ55" s="69"/>
      <c r="AFK55" s="69"/>
      <c r="AFL55" s="69"/>
      <c r="AFM55" s="69"/>
      <c r="AFN55" s="69"/>
      <c r="AFO55" s="69"/>
      <c r="AFP55" s="69"/>
      <c r="AFQ55" s="69"/>
      <c r="AFR55" s="69"/>
      <c r="AFS55" s="69"/>
      <c r="AFT55" s="69"/>
      <c r="AFU55" s="69"/>
      <c r="AFV55" s="69"/>
      <c r="AFW55" s="69"/>
      <c r="AFX55" s="69"/>
      <c r="AFY55" s="69"/>
      <c r="AFZ55" s="69"/>
      <c r="AGA55" s="69"/>
      <c r="AGB55" s="69"/>
      <c r="AGC55" s="69"/>
      <c r="AGD55" s="69"/>
      <c r="AGE55" s="69"/>
      <c r="AGF55" s="69"/>
      <c r="AGG55" s="69"/>
      <c r="AGH55" s="69"/>
      <c r="AGI55" s="69"/>
      <c r="AGJ55" s="69"/>
      <c r="AGK55" s="69"/>
      <c r="AGL55" s="69"/>
      <c r="AGM55" s="69"/>
      <c r="AGN55" s="69"/>
      <c r="AGO55" s="69"/>
      <c r="AGP55" s="69"/>
      <c r="AGQ55" s="69"/>
      <c r="AGR55" s="69"/>
      <c r="AGS55" s="69"/>
      <c r="AGT55" s="69"/>
      <c r="AGU55" s="69"/>
      <c r="AGV55" s="69"/>
      <c r="AGW55" s="69"/>
      <c r="AGX55" s="69"/>
      <c r="AGY55" s="69"/>
      <c r="AGZ55" s="69"/>
      <c r="AHA55" s="69"/>
      <c r="AHB55" s="69"/>
      <c r="AHC55" s="69"/>
      <c r="AHD55" s="69"/>
      <c r="AHE55" s="69"/>
      <c r="AHF55" s="69"/>
      <c r="AHG55" s="69"/>
      <c r="AHH55" s="69"/>
      <c r="AHI55" s="69"/>
      <c r="AHJ55" s="69"/>
      <c r="AHK55" s="69"/>
      <c r="AHL55" s="69"/>
      <c r="AHM55" s="69"/>
      <c r="AHN55" s="69"/>
      <c r="AHO55" s="69"/>
      <c r="AHP55" s="69"/>
      <c r="AHQ55" s="69"/>
      <c r="AHR55" s="69"/>
      <c r="AHS55" s="69"/>
      <c r="AHT55" s="69"/>
      <c r="AHU55" s="69"/>
      <c r="AHV55" s="69"/>
      <c r="AHW55" s="69"/>
      <c r="AHX55" s="69"/>
      <c r="AHY55" s="69"/>
      <c r="AHZ55" s="69"/>
      <c r="AIA55" s="69"/>
      <c r="AIB55" s="69"/>
      <c r="AIC55" s="69"/>
      <c r="AID55" s="69"/>
      <c r="AIE55" s="69"/>
      <c r="AIF55" s="69"/>
      <c r="AIG55" s="69"/>
      <c r="AIH55" s="69"/>
      <c r="AII55" s="69"/>
      <c r="AIJ55" s="69"/>
      <c r="AIK55" s="69"/>
      <c r="AIL55" s="69"/>
      <c r="AIM55" s="69"/>
      <c r="AIN55" s="69"/>
      <c r="AIO55" s="69"/>
      <c r="AIP55" s="69"/>
      <c r="AIQ55" s="69"/>
      <c r="AIR55" s="69"/>
      <c r="AIS55" s="69"/>
      <c r="AIT55" s="69"/>
      <c r="AIU55" s="69"/>
      <c r="AIV55" s="69"/>
      <c r="AIW55" s="69"/>
      <c r="AIX55" s="69"/>
      <c r="AIY55" s="69"/>
      <c r="AIZ55" s="69"/>
      <c r="AJA55" s="69"/>
      <c r="AJB55" s="69"/>
      <c r="AJC55" s="69"/>
      <c r="AJD55" s="69"/>
      <c r="AJE55" s="69"/>
      <c r="AJF55" s="69"/>
      <c r="AJG55" s="69"/>
      <c r="AJH55" s="69"/>
      <c r="AJI55" s="69"/>
      <c r="AJJ55" s="69"/>
      <c r="AJK55" s="69"/>
      <c r="AJL55" s="69"/>
      <c r="AJM55" s="69"/>
      <c r="AJN55" s="69"/>
      <c r="AJO55" s="69"/>
      <c r="AJP55" s="69"/>
      <c r="AJQ55" s="69"/>
      <c r="AJR55" s="69"/>
      <c r="AJS55" s="69"/>
      <c r="AJT55" s="69"/>
      <c r="AJU55" s="69"/>
      <c r="AJV55" s="69"/>
      <c r="AJW55" s="69"/>
      <c r="AJX55" s="69"/>
      <c r="AJY55" s="69"/>
      <c r="AJZ55" s="69"/>
      <c r="AKA55" s="69"/>
      <c r="AKB55" s="69"/>
      <c r="AKC55" s="69"/>
      <c r="AKD55" s="69"/>
      <c r="AKE55" s="69"/>
      <c r="AKF55" s="69"/>
      <c r="AKG55" s="69"/>
      <c r="AKH55" s="69"/>
      <c r="AKI55" s="69"/>
      <c r="AKJ55" s="69"/>
      <c r="AKK55" s="69"/>
      <c r="AKL55" s="69"/>
      <c r="AKM55" s="69"/>
      <c r="AKN55" s="69"/>
      <c r="AKO55" s="69"/>
      <c r="AKP55" s="69"/>
      <c r="AKQ55" s="69"/>
      <c r="AKR55" s="69"/>
      <c r="AKS55" s="69"/>
      <c r="AKT55" s="69"/>
      <c r="AKU55" s="69"/>
      <c r="AKV55" s="69"/>
      <c r="AKW55" s="69"/>
      <c r="AKX55" s="69"/>
      <c r="AKY55" s="69"/>
      <c r="AKZ55" s="69"/>
      <c r="ALA55" s="69"/>
      <c r="ALB55" s="69"/>
      <c r="ALC55" s="69"/>
      <c r="ALD55" s="69"/>
      <c r="ALE55" s="69"/>
      <c r="ALF55" s="69"/>
      <c r="ALG55" s="69"/>
      <c r="ALH55" s="69"/>
      <c r="ALI55" s="69"/>
      <c r="ALJ55" s="69"/>
      <c r="ALK55" s="69"/>
      <c r="ALL55" s="69"/>
      <c r="ALM55" s="69"/>
      <c r="ALN55" s="69"/>
      <c r="ALO55" s="69"/>
      <c r="ALP55" s="69"/>
      <c r="ALQ55" s="69"/>
      <c r="ALR55" s="69"/>
      <c r="ALS55" s="69"/>
      <c r="ALT55" s="69"/>
      <c r="ALU55" s="69"/>
      <c r="ALV55" s="69"/>
      <c r="ALW55" s="69"/>
      <c r="ALX55" s="69"/>
      <c r="ALY55" s="69"/>
      <c r="ALZ55" s="69"/>
      <c r="AMA55" s="69"/>
      <c r="AMB55" s="69"/>
      <c r="AMC55" s="69"/>
      <c r="AMD55" s="69"/>
      <c r="AME55" s="69"/>
      <c r="AMF55" s="69"/>
      <c r="AMG55" s="69"/>
      <c r="AMH55" s="69"/>
      <c r="AMI55" s="69"/>
      <c r="AMJ55" s="69"/>
      <c r="AMK55" s="69"/>
      <c r="AML55" s="69"/>
      <c r="AMM55" s="69"/>
      <c r="AMN55" s="69"/>
      <c r="AMO55" s="69"/>
      <c r="AMP55" s="69"/>
      <c r="AMQ55" s="69"/>
      <c r="AMR55" s="69"/>
      <c r="AMS55" s="69"/>
      <c r="AMT55" s="69"/>
      <c r="AMU55" s="69"/>
      <c r="AMV55" s="69"/>
      <c r="AMW55" s="69"/>
      <c r="AMX55" s="69"/>
      <c r="AMY55" s="69"/>
      <c r="AMZ55" s="69"/>
      <c r="ANA55" s="69"/>
      <c r="ANB55" s="69"/>
      <c r="ANC55" s="69"/>
      <c r="AND55" s="69"/>
      <c r="ANE55" s="69"/>
      <c r="ANF55" s="69"/>
      <c r="ANG55" s="69"/>
      <c r="ANH55" s="69"/>
      <c r="ANI55" s="69"/>
      <c r="ANJ55" s="69"/>
      <c r="ANK55" s="69"/>
      <c r="ANL55" s="69"/>
      <c r="ANM55" s="69"/>
      <c r="ANN55" s="69"/>
      <c r="ANO55" s="69"/>
      <c r="ANP55" s="69"/>
      <c r="ANQ55" s="69"/>
      <c r="ANR55" s="69"/>
      <c r="ANS55" s="69"/>
      <c r="ANT55" s="69"/>
      <c r="ANU55" s="69"/>
      <c r="ANV55" s="69"/>
      <c r="ANW55" s="69"/>
      <c r="ANX55" s="69"/>
      <c r="ANY55" s="69"/>
      <c r="ANZ55" s="69"/>
      <c r="AOA55" s="69"/>
      <c r="AOB55" s="69"/>
      <c r="AOC55" s="69"/>
      <c r="AOD55" s="69"/>
      <c r="AOE55" s="69"/>
      <c r="AOF55" s="69"/>
      <c r="AOG55" s="69"/>
      <c r="AOH55" s="69"/>
      <c r="AOI55" s="69"/>
      <c r="AOJ55" s="69"/>
      <c r="AOK55" s="69"/>
      <c r="AOL55" s="69"/>
      <c r="AOM55" s="69"/>
      <c r="AON55" s="69"/>
      <c r="AOO55" s="69"/>
      <c r="AOP55" s="69"/>
      <c r="AOQ55" s="69"/>
      <c r="AOR55" s="69"/>
      <c r="AOS55" s="69"/>
      <c r="AOT55" s="69"/>
      <c r="AOU55" s="69"/>
      <c r="AOV55" s="69"/>
      <c r="AOW55" s="69"/>
      <c r="AOX55" s="69"/>
      <c r="AOY55" s="69"/>
      <c r="AOZ55" s="69"/>
      <c r="APA55" s="69"/>
      <c r="APB55" s="69"/>
      <c r="APC55" s="69"/>
      <c r="APD55" s="69"/>
      <c r="APE55" s="69"/>
      <c r="APF55" s="69"/>
      <c r="APG55" s="69"/>
      <c r="APH55" s="69"/>
      <c r="API55" s="69"/>
      <c r="APJ55" s="69"/>
      <c r="APK55" s="69"/>
      <c r="APL55" s="69"/>
      <c r="APM55" s="69"/>
      <c r="APN55" s="69"/>
      <c r="APO55" s="69"/>
      <c r="APP55" s="69"/>
      <c r="APQ55" s="69"/>
      <c r="APR55" s="69"/>
      <c r="APS55" s="69"/>
      <c r="APT55" s="69"/>
      <c r="APU55" s="69"/>
      <c r="APV55" s="69"/>
      <c r="APW55" s="69"/>
      <c r="APX55" s="69"/>
      <c r="APY55" s="69"/>
      <c r="APZ55" s="69"/>
      <c r="AQA55" s="69"/>
      <c r="AQB55" s="69"/>
      <c r="AQC55" s="69"/>
      <c r="AQD55" s="69"/>
      <c r="AQE55" s="69"/>
      <c r="AQF55" s="69"/>
      <c r="AQG55" s="69"/>
      <c r="AQH55" s="69"/>
      <c r="AQI55" s="69"/>
      <c r="AQJ55" s="69"/>
      <c r="AQK55" s="69"/>
      <c r="AQL55" s="69"/>
      <c r="AQM55" s="69"/>
      <c r="AQN55" s="69"/>
      <c r="AQO55" s="69"/>
      <c r="AQP55" s="69"/>
      <c r="AQQ55" s="69"/>
      <c r="AQR55" s="69"/>
      <c r="AQS55" s="69"/>
      <c r="AQT55" s="69"/>
      <c r="AQU55" s="69"/>
      <c r="AQV55" s="69"/>
      <c r="AQW55" s="69"/>
      <c r="AQX55" s="69"/>
      <c r="AQY55" s="69"/>
      <c r="AQZ55" s="69"/>
      <c r="ARA55" s="69"/>
      <c r="ARB55" s="69"/>
      <c r="ARC55" s="69"/>
      <c r="ARD55" s="69"/>
      <c r="ARE55" s="69"/>
      <c r="ARF55" s="69"/>
      <c r="ARG55" s="69"/>
      <c r="ARH55" s="69"/>
      <c r="ARI55" s="69"/>
      <c r="ARJ55" s="69"/>
      <c r="ARK55" s="69"/>
      <c r="ARL55" s="69"/>
      <c r="ARM55" s="69"/>
      <c r="ARN55" s="69"/>
      <c r="ARO55" s="69"/>
      <c r="ARP55" s="69"/>
      <c r="ARQ55" s="69"/>
      <c r="ARR55" s="69"/>
      <c r="ARS55" s="69"/>
      <c r="ART55" s="69"/>
      <c r="ARU55" s="69"/>
      <c r="ARV55" s="69"/>
      <c r="ARW55" s="69"/>
      <c r="ARX55" s="69"/>
      <c r="ARY55" s="69"/>
      <c r="ARZ55" s="69"/>
      <c r="ASA55" s="69"/>
      <c r="ASB55" s="69"/>
      <c r="ASC55" s="69"/>
      <c r="ASD55" s="69"/>
      <c r="ASE55" s="69"/>
      <c r="ASF55" s="69"/>
      <c r="ASG55" s="69"/>
      <c r="ASH55" s="69"/>
      <c r="ASI55" s="69"/>
      <c r="ASJ55" s="69"/>
      <c r="ASK55" s="69"/>
      <c r="ASL55" s="69"/>
      <c r="ASM55" s="69"/>
      <c r="ASN55" s="69"/>
      <c r="ASO55" s="69"/>
      <c r="ASP55" s="69"/>
      <c r="ASQ55" s="69"/>
      <c r="ASR55" s="69"/>
      <c r="ASS55" s="69"/>
      <c r="AST55" s="69"/>
      <c r="ASU55" s="69"/>
      <c r="ASV55" s="69"/>
      <c r="ASW55" s="69"/>
      <c r="ASX55" s="69"/>
      <c r="ASY55" s="69"/>
      <c r="ASZ55" s="69"/>
      <c r="ATA55" s="69"/>
      <c r="ATB55" s="69"/>
      <c r="ATC55" s="69"/>
      <c r="ATD55" s="69"/>
      <c r="ATE55" s="69"/>
      <c r="ATF55" s="69"/>
      <c r="ATG55" s="69"/>
      <c r="ATH55" s="69"/>
      <c r="ATI55" s="69"/>
      <c r="ATJ55" s="69"/>
      <c r="ATK55" s="69"/>
      <c r="ATL55" s="69"/>
      <c r="ATM55" s="69"/>
      <c r="ATN55" s="69"/>
      <c r="ATO55" s="69"/>
      <c r="ATP55" s="69"/>
      <c r="ATQ55" s="69"/>
      <c r="ATR55" s="69"/>
      <c r="ATS55" s="69"/>
      <c r="ATT55" s="69"/>
      <c r="ATU55" s="69"/>
      <c r="ATV55" s="69"/>
      <c r="ATW55" s="69"/>
      <c r="ATX55" s="69"/>
      <c r="ATY55" s="69"/>
      <c r="ATZ55" s="69"/>
      <c r="AUA55" s="69"/>
      <c r="AUB55" s="69"/>
      <c r="AUC55" s="69"/>
      <c r="AUD55" s="69"/>
      <c r="AUE55" s="69"/>
      <c r="AUF55" s="69"/>
      <c r="AUG55" s="69"/>
      <c r="AUH55" s="69"/>
      <c r="AUI55" s="69"/>
      <c r="AUJ55" s="69"/>
      <c r="AUK55" s="69"/>
      <c r="AUL55" s="69"/>
      <c r="AUM55" s="69"/>
      <c r="AUN55" s="69"/>
      <c r="AUO55" s="69"/>
      <c r="AUP55" s="69"/>
      <c r="AUQ55" s="69"/>
      <c r="AUR55" s="69"/>
      <c r="AUS55" s="69"/>
      <c r="AUT55" s="69"/>
      <c r="AUU55" s="69"/>
      <c r="AUV55" s="69"/>
      <c r="AUW55" s="69"/>
      <c r="AUX55" s="69"/>
      <c r="AUY55" s="69"/>
      <c r="AUZ55" s="69"/>
      <c r="AVA55" s="69"/>
      <c r="AVB55" s="69"/>
      <c r="AVC55" s="69"/>
      <c r="AVD55" s="69"/>
      <c r="AVE55" s="69"/>
      <c r="AVF55" s="69"/>
      <c r="AVG55" s="69"/>
      <c r="AVH55" s="69"/>
      <c r="AVI55" s="69"/>
      <c r="AVJ55" s="69"/>
      <c r="AVK55" s="69"/>
      <c r="AVL55" s="69"/>
      <c r="AVM55" s="69"/>
      <c r="AVN55" s="69"/>
      <c r="AVO55" s="69"/>
      <c r="AVP55" s="69"/>
      <c r="AVQ55" s="69"/>
      <c r="AVR55" s="69"/>
      <c r="AVS55" s="69"/>
      <c r="AVT55" s="69"/>
      <c r="AVU55" s="69"/>
      <c r="AVV55" s="69"/>
      <c r="AVW55" s="69"/>
      <c r="AVX55" s="69"/>
      <c r="AVY55" s="69"/>
      <c r="AVZ55" s="69"/>
      <c r="AWA55" s="69"/>
      <c r="AWB55" s="69"/>
      <c r="AWC55" s="69"/>
      <c r="AWD55" s="69"/>
      <c r="AWE55" s="69"/>
      <c r="AWF55" s="69"/>
      <c r="AWG55" s="69"/>
      <c r="AWH55" s="69"/>
      <c r="AWI55" s="69"/>
      <c r="AWJ55" s="69"/>
      <c r="AWK55" s="69"/>
      <c r="AWL55" s="69"/>
      <c r="AWM55" s="69"/>
      <c r="AWN55" s="69"/>
      <c r="AWO55" s="69"/>
      <c r="AWP55" s="69"/>
      <c r="AWQ55" s="69"/>
      <c r="AWR55" s="69"/>
      <c r="AWS55" s="69"/>
      <c r="AWT55" s="69"/>
      <c r="AWU55" s="69"/>
      <c r="AWV55" s="69"/>
      <c r="AWW55" s="69"/>
      <c r="AWX55" s="69"/>
      <c r="AWY55" s="69"/>
      <c r="AWZ55" s="69"/>
      <c r="AXA55" s="69"/>
      <c r="AXB55" s="69"/>
      <c r="AXC55" s="69"/>
      <c r="AXD55" s="69"/>
      <c r="AXE55" s="69"/>
      <c r="AXF55" s="69"/>
      <c r="AXG55" s="69"/>
      <c r="AXH55" s="69"/>
      <c r="AXI55" s="69"/>
      <c r="AXJ55" s="69"/>
      <c r="AXK55" s="69"/>
      <c r="AXL55" s="69"/>
      <c r="AXM55" s="69"/>
      <c r="AXN55" s="69"/>
      <c r="AXO55" s="69"/>
      <c r="AXP55" s="69"/>
      <c r="AXQ55" s="69"/>
      <c r="AXR55" s="69"/>
      <c r="AXS55" s="69"/>
      <c r="AXT55" s="69"/>
      <c r="AXU55" s="69"/>
      <c r="AXV55" s="69"/>
      <c r="AXW55" s="69"/>
      <c r="AXX55" s="69"/>
      <c r="AXY55" s="69"/>
      <c r="AXZ55" s="69"/>
      <c r="AYA55" s="69"/>
      <c r="AYB55" s="69"/>
      <c r="AYC55" s="69"/>
      <c r="AYD55" s="69"/>
      <c r="AYE55" s="69"/>
      <c r="AYF55" s="69"/>
      <c r="AYG55" s="69"/>
      <c r="AYH55" s="69"/>
      <c r="AYI55" s="69"/>
      <c r="AYJ55" s="69"/>
      <c r="AYK55" s="69"/>
      <c r="AYL55" s="69"/>
      <c r="AYM55" s="69"/>
      <c r="AYN55" s="69"/>
      <c r="AYO55" s="69"/>
      <c r="AYP55" s="69"/>
      <c r="AYQ55" s="69"/>
      <c r="AYR55" s="69"/>
      <c r="AYS55" s="69"/>
      <c r="AYT55" s="69"/>
      <c r="AYU55" s="69"/>
      <c r="AYV55" s="69"/>
      <c r="AYW55" s="69"/>
      <c r="AYX55" s="69"/>
      <c r="AYY55" s="69"/>
      <c r="AYZ55" s="69"/>
      <c r="AZA55" s="69"/>
      <c r="AZB55" s="69"/>
      <c r="AZC55" s="69"/>
      <c r="AZD55" s="69"/>
      <c r="AZE55" s="69"/>
      <c r="AZF55" s="69"/>
      <c r="AZG55" s="69"/>
      <c r="AZH55" s="69"/>
      <c r="AZI55" s="69"/>
      <c r="AZJ55" s="69"/>
      <c r="AZK55" s="69"/>
      <c r="AZL55" s="69"/>
      <c r="AZM55" s="69"/>
      <c r="AZN55" s="69"/>
      <c r="AZO55" s="69"/>
      <c r="AZP55" s="69"/>
      <c r="AZQ55" s="69"/>
      <c r="AZR55" s="69"/>
      <c r="AZS55" s="69"/>
      <c r="AZT55" s="69"/>
      <c r="AZU55" s="69"/>
      <c r="AZV55" s="69"/>
      <c r="AZW55" s="69"/>
      <c r="AZX55" s="69"/>
      <c r="AZY55" s="69"/>
      <c r="AZZ55" s="69"/>
      <c r="BAA55" s="69"/>
      <c r="BAB55" s="69"/>
      <c r="BAC55" s="69"/>
      <c r="BAD55" s="69"/>
      <c r="BAE55" s="69"/>
      <c r="BAF55" s="69"/>
      <c r="BAG55" s="69"/>
      <c r="BAH55" s="69"/>
      <c r="BAI55" s="69"/>
      <c r="BAJ55" s="69"/>
      <c r="BAK55" s="69"/>
      <c r="BAL55" s="69"/>
      <c r="BAM55" s="69"/>
      <c r="BAN55" s="69"/>
      <c r="BAO55" s="69"/>
      <c r="BAP55" s="69"/>
      <c r="BAQ55" s="69"/>
      <c r="BAR55" s="69"/>
      <c r="BAS55" s="69"/>
      <c r="BAT55" s="69"/>
      <c r="BAU55" s="69"/>
      <c r="BAV55" s="69"/>
      <c r="BAW55" s="69"/>
      <c r="BAX55" s="69"/>
      <c r="BAY55" s="69"/>
      <c r="BAZ55" s="69"/>
      <c r="BBA55" s="69"/>
      <c r="BBB55" s="69"/>
      <c r="BBC55" s="69"/>
      <c r="BBD55" s="69"/>
      <c r="BBE55" s="69"/>
      <c r="BBF55" s="69"/>
      <c r="BBG55" s="69"/>
      <c r="BBH55" s="69"/>
      <c r="BBI55" s="69"/>
      <c r="BBJ55" s="69"/>
      <c r="BBK55" s="69"/>
      <c r="BBL55" s="69"/>
      <c r="BBM55" s="69"/>
      <c r="BBN55" s="69"/>
      <c r="BBO55" s="69"/>
      <c r="BBP55" s="69"/>
      <c r="BBQ55" s="69"/>
      <c r="BBR55" s="69"/>
      <c r="BBS55" s="69"/>
      <c r="BBT55" s="69"/>
      <c r="BBU55" s="69"/>
      <c r="BBV55" s="69"/>
      <c r="BBW55" s="69"/>
      <c r="BBX55" s="69"/>
      <c r="BBY55" s="69"/>
      <c r="BBZ55" s="69"/>
      <c r="BCA55" s="69"/>
      <c r="BCB55" s="69"/>
      <c r="BCC55" s="69"/>
      <c r="BCD55" s="69"/>
      <c r="BCE55" s="69"/>
      <c r="BCF55" s="69"/>
      <c r="BCG55" s="69"/>
      <c r="BCH55" s="69"/>
      <c r="BCI55" s="69"/>
      <c r="BCJ55" s="69"/>
      <c r="BCK55" s="69"/>
      <c r="BCL55" s="69"/>
      <c r="BCM55" s="69"/>
      <c r="BCN55" s="69"/>
      <c r="BCO55" s="69"/>
      <c r="BCP55" s="69"/>
      <c r="BCQ55" s="69"/>
      <c r="BCR55" s="69"/>
      <c r="BCS55" s="69"/>
      <c r="BCT55" s="69"/>
      <c r="BCU55" s="69"/>
      <c r="BCV55" s="69"/>
      <c r="BCW55" s="69"/>
      <c r="BCX55" s="69"/>
      <c r="BCY55" s="69"/>
      <c r="BCZ55" s="69"/>
      <c r="BDA55" s="69"/>
      <c r="BDB55" s="69"/>
      <c r="BDC55" s="69"/>
      <c r="BDD55" s="69"/>
      <c r="BDE55" s="69"/>
      <c r="BDF55" s="69"/>
      <c r="BDG55" s="69"/>
      <c r="BDH55" s="69"/>
      <c r="BDI55" s="69"/>
      <c r="BDJ55" s="69"/>
      <c r="BDK55" s="69"/>
      <c r="BDL55" s="69"/>
      <c r="BDM55" s="69"/>
      <c r="BDN55" s="69"/>
      <c r="BDO55" s="69"/>
      <c r="BDP55" s="69"/>
      <c r="BDQ55" s="69"/>
      <c r="BDR55" s="69"/>
      <c r="BDS55" s="69"/>
      <c r="BDT55" s="69"/>
      <c r="BDU55" s="69"/>
      <c r="BDV55" s="69"/>
      <c r="BDW55" s="69"/>
      <c r="BDX55" s="69"/>
      <c r="BDY55" s="69"/>
      <c r="BDZ55" s="69"/>
      <c r="BEA55" s="69"/>
      <c r="BEB55" s="69"/>
      <c r="BEC55" s="69"/>
      <c r="BED55" s="69"/>
      <c r="BEE55" s="69"/>
      <c r="BEF55" s="69"/>
      <c r="BEG55" s="69"/>
      <c r="BEH55" s="69"/>
      <c r="BEI55" s="69"/>
      <c r="BEJ55" s="69"/>
      <c r="BEK55" s="69"/>
      <c r="BEL55" s="69"/>
      <c r="BEM55" s="69"/>
      <c r="BEN55" s="69"/>
      <c r="BEO55" s="69"/>
      <c r="BEP55" s="69"/>
      <c r="BEQ55" s="69"/>
      <c r="BER55" s="69"/>
      <c r="BES55" s="69"/>
      <c r="BET55" s="69"/>
      <c r="BEU55" s="69"/>
      <c r="BEV55" s="69"/>
      <c r="BEW55" s="69"/>
      <c r="BEX55" s="69"/>
      <c r="BEY55" s="69"/>
      <c r="BEZ55" s="69"/>
      <c r="BFA55" s="69"/>
      <c r="BFB55" s="69"/>
      <c r="BFC55" s="69"/>
      <c r="BFD55" s="69"/>
      <c r="BFE55" s="69"/>
      <c r="BFF55" s="69"/>
      <c r="BFG55" s="69"/>
      <c r="BFH55" s="69"/>
      <c r="BFI55" s="69"/>
      <c r="BFJ55" s="69"/>
      <c r="BFK55" s="69"/>
      <c r="BFL55" s="69"/>
      <c r="BFM55" s="69"/>
      <c r="BFN55" s="69"/>
      <c r="BFO55" s="69"/>
      <c r="BFP55" s="69"/>
      <c r="BFQ55" s="69"/>
      <c r="BFR55" s="69"/>
      <c r="BFS55" s="69"/>
      <c r="BFT55" s="69"/>
      <c r="BFU55" s="69"/>
      <c r="BFV55" s="69"/>
      <c r="BFW55" s="69"/>
      <c r="BFX55" s="69"/>
      <c r="BFY55" s="69"/>
      <c r="BFZ55" s="69"/>
      <c r="BGA55" s="69"/>
      <c r="BGB55" s="69"/>
      <c r="BGC55" s="69"/>
      <c r="BGD55" s="69"/>
      <c r="BGE55" s="69"/>
      <c r="BGF55" s="69"/>
      <c r="BGG55" s="69"/>
      <c r="BGH55" s="69"/>
      <c r="BGI55" s="69"/>
      <c r="BGJ55" s="69"/>
      <c r="BGK55" s="69"/>
      <c r="BGL55" s="69"/>
      <c r="BGM55" s="69"/>
      <c r="BGN55" s="69"/>
      <c r="BGO55" s="69"/>
      <c r="BGP55" s="69"/>
      <c r="BGQ55" s="69"/>
      <c r="BGR55" s="69"/>
      <c r="BGS55" s="69"/>
      <c r="BGT55" s="69"/>
      <c r="BGU55" s="69"/>
      <c r="BGV55" s="69"/>
      <c r="BGW55" s="69"/>
      <c r="BGX55" s="69"/>
      <c r="BGY55" s="69"/>
      <c r="BGZ55" s="69"/>
      <c r="BHA55" s="69"/>
      <c r="BHB55" s="69"/>
      <c r="BHC55" s="69"/>
      <c r="BHD55" s="69"/>
      <c r="BHE55" s="69"/>
      <c r="BHF55" s="69"/>
      <c r="BHG55" s="69"/>
      <c r="BHH55" s="69"/>
      <c r="BHI55" s="69"/>
      <c r="BHJ55" s="69"/>
      <c r="BHK55" s="69"/>
      <c r="BHL55" s="69"/>
      <c r="BHM55" s="69"/>
      <c r="BHN55" s="69"/>
      <c r="BHO55" s="69"/>
      <c r="BHP55" s="69"/>
      <c r="BHQ55" s="69"/>
      <c r="BHR55" s="69"/>
      <c r="BHS55" s="69"/>
      <c r="BHT55" s="69"/>
      <c r="BHU55" s="69"/>
      <c r="BHV55" s="69"/>
      <c r="BHW55" s="69"/>
      <c r="BHX55" s="69"/>
      <c r="BHY55" s="69"/>
      <c r="BHZ55" s="69"/>
      <c r="BIA55" s="69"/>
      <c r="BIB55" s="69"/>
      <c r="BIC55" s="69"/>
      <c r="BID55" s="69"/>
      <c r="BIE55" s="69"/>
      <c r="BIF55" s="69"/>
      <c r="BIG55" s="69"/>
      <c r="BIH55" s="69"/>
      <c r="BII55" s="69"/>
      <c r="BIJ55" s="69"/>
      <c r="BIK55" s="69"/>
      <c r="BIL55" s="69"/>
      <c r="BIM55" s="69"/>
      <c r="BIN55" s="69"/>
      <c r="BIO55" s="69"/>
      <c r="BIP55" s="69"/>
      <c r="BIQ55" s="69"/>
      <c r="BIR55" s="69"/>
      <c r="BIS55" s="69"/>
      <c r="BIT55" s="69"/>
      <c r="BIU55" s="69"/>
      <c r="BIV55" s="69"/>
      <c r="BIW55" s="69"/>
      <c r="BIX55" s="69"/>
      <c r="BIY55" s="69"/>
      <c r="BIZ55" s="69"/>
      <c r="BJA55" s="69"/>
      <c r="BJB55" s="69"/>
      <c r="BJC55" s="69"/>
      <c r="BJD55" s="69"/>
      <c r="BJE55" s="69"/>
      <c r="BJF55" s="69"/>
      <c r="BJG55" s="69"/>
      <c r="BJH55" s="69"/>
      <c r="BJI55" s="69"/>
      <c r="BJJ55" s="69"/>
      <c r="BJK55" s="69"/>
      <c r="BJL55" s="69"/>
      <c r="BJM55" s="69"/>
      <c r="BJN55" s="69"/>
      <c r="BJO55" s="69"/>
      <c r="BJP55" s="69"/>
      <c r="BJQ55" s="69"/>
      <c r="BJR55" s="69"/>
      <c r="BJS55" s="69"/>
      <c r="BJT55" s="69"/>
      <c r="BJU55" s="69"/>
      <c r="BJV55" s="69"/>
      <c r="BJW55" s="69"/>
      <c r="BJX55" s="69"/>
      <c r="BJY55" s="69"/>
      <c r="BJZ55" s="69"/>
      <c r="BKA55" s="69"/>
      <c r="BKB55" s="69"/>
      <c r="BKC55" s="69"/>
      <c r="BKD55" s="69"/>
      <c r="BKE55" s="69"/>
      <c r="BKF55" s="69"/>
      <c r="BKG55" s="69"/>
      <c r="BKH55" s="69"/>
      <c r="BKI55" s="69"/>
      <c r="BKJ55" s="69"/>
      <c r="BKK55" s="69"/>
      <c r="BKL55" s="69"/>
      <c r="BKM55" s="69"/>
      <c r="BKN55" s="69"/>
      <c r="BKO55" s="69"/>
      <c r="BKP55" s="69"/>
      <c r="BKQ55" s="69"/>
      <c r="BKR55" s="69"/>
      <c r="BKS55" s="69"/>
      <c r="BKT55" s="69"/>
      <c r="BKU55" s="69"/>
      <c r="BKV55" s="69"/>
      <c r="BKW55" s="69"/>
      <c r="BKX55" s="69"/>
      <c r="BKY55" s="69"/>
      <c r="BKZ55" s="69"/>
      <c r="BLA55" s="69"/>
      <c r="BLB55" s="69"/>
      <c r="BLC55" s="69"/>
      <c r="BLD55" s="69"/>
      <c r="BLE55" s="69"/>
      <c r="BLF55" s="69"/>
      <c r="BLG55" s="69"/>
      <c r="BLH55" s="69"/>
      <c r="BLI55" s="69"/>
      <c r="BLJ55" s="69"/>
      <c r="BLK55" s="69"/>
      <c r="BLL55" s="69"/>
      <c r="BLM55" s="69"/>
      <c r="BLN55" s="69"/>
      <c r="BLO55" s="69"/>
      <c r="BLP55" s="69"/>
      <c r="BLQ55" s="69"/>
      <c r="BLR55" s="69"/>
      <c r="BLS55" s="69"/>
      <c r="BLT55" s="69"/>
      <c r="BLU55" s="69"/>
      <c r="BLV55" s="69"/>
      <c r="BLW55" s="69"/>
      <c r="BLX55" s="69"/>
      <c r="BLY55" s="69"/>
      <c r="BLZ55" s="69"/>
      <c r="BMA55" s="69"/>
      <c r="BMB55" s="69"/>
      <c r="BMC55" s="69"/>
      <c r="BMD55" s="69"/>
      <c r="BME55" s="69"/>
      <c r="BMF55" s="69"/>
      <c r="BMG55" s="69"/>
      <c r="BMH55" s="69"/>
      <c r="BMI55" s="69"/>
      <c r="BMJ55" s="69"/>
      <c r="BMK55" s="69"/>
      <c r="BML55" s="69"/>
      <c r="BMM55" s="69"/>
      <c r="BMN55" s="69"/>
      <c r="BMO55" s="69"/>
      <c r="BMP55" s="69"/>
      <c r="BMQ55" s="69"/>
      <c r="BMR55" s="69"/>
      <c r="BMS55" s="69"/>
      <c r="BMT55" s="69"/>
      <c r="BMU55" s="69"/>
      <c r="BMV55" s="69"/>
      <c r="BMW55" s="69"/>
      <c r="BMX55" s="69"/>
      <c r="BMY55" s="69"/>
      <c r="BMZ55" s="69"/>
      <c r="BNA55" s="69"/>
      <c r="BNB55" s="69"/>
      <c r="BNC55" s="69"/>
      <c r="BND55" s="69"/>
      <c r="BNE55" s="69"/>
      <c r="BNF55" s="69"/>
      <c r="BNG55" s="69"/>
      <c r="BNH55" s="69"/>
      <c r="BNI55" s="69"/>
      <c r="BNJ55" s="69"/>
      <c r="BNK55" s="69"/>
      <c r="BNL55" s="69"/>
      <c r="BNM55" s="69"/>
      <c r="BNN55" s="69"/>
      <c r="BNO55" s="69"/>
      <c r="BNP55" s="69"/>
      <c r="BNQ55" s="69"/>
      <c r="BNR55" s="69"/>
      <c r="BNS55" s="69"/>
      <c r="BNT55" s="69"/>
      <c r="BNU55" s="69"/>
      <c r="BNV55" s="69"/>
      <c r="BNW55" s="69"/>
      <c r="BNX55" s="69"/>
      <c r="BNY55" s="69"/>
      <c r="BNZ55" s="69"/>
      <c r="BOA55" s="69"/>
      <c r="BOB55" s="69"/>
      <c r="BOC55" s="69"/>
      <c r="BOD55" s="69"/>
      <c r="BOE55" s="69"/>
      <c r="BOF55" s="69"/>
      <c r="BOG55" s="69"/>
      <c r="BOH55" s="69"/>
      <c r="BOI55" s="69"/>
      <c r="BOJ55" s="69"/>
      <c r="BOK55" s="69"/>
      <c r="BOL55" s="69"/>
      <c r="BOM55" s="69"/>
      <c r="BON55" s="69"/>
      <c r="BOO55" s="69"/>
      <c r="BOP55" s="69"/>
      <c r="BOQ55" s="69"/>
      <c r="BOR55" s="69"/>
      <c r="BOS55" s="69"/>
      <c r="BOT55" s="69"/>
      <c r="BOU55" s="69"/>
      <c r="BOV55" s="69"/>
      <c r="BOW55" s="69"/>
      <c r="BOX55" s="69"/>
      <c r="BOY55" s="69"/>
      <c r="BOZ55" s="69"/>
      <c r="BPA55" s="69"/>
      <c r="BPB55" s="69"/>
      <c r="BPC55" s="69"/>
      <c r="BPD55" s="69"/>
      <c r="BPE55" s="69"/>
      <c r="BPF55" s="69"/>
      <c r="BPG55" s="69"/>
      <c r="BPH55" s="69"/>
      <c r="BPI55" s="69"/>
      <c r="BPJ55" s="69"/>
      <c r="BPK55" s="69"/>
      <c r="BPL55" s="69"/>
      <c r="BPM55" s="69"/>
      <c r="BPN55" s="69"/>
      <c r="BPO55" s="69"/>
      <c r="BPP55" s="69"/>
      <c r="BPQ55" s="69"/>
      <c r="BPR55" s="69"/>
      <c r="BPS55" s="69"/>
      <c r="BPT55" s="69"/>
      <c r="BPU55" s="69"/>
      <c r="BPV55" s="69"/>
      <c r="BPW55" s="69"/>
      <c r="BPX55" s="69"/>
      <c r="BPY55" s="69"/>
      <c r="BPZ55" s="69"/>
      <c r="BQA55" s="69"/>
      <c r="BQB55" s="69"/>
      <c r="BQC55" s="69"/>
      <c r="BQD55" s="69"/>
      <c r="BQE55" s="69"/>
      <c r="BQF55" s="69"/>
      <c r="BQG55" s="69"/>
      <c r="BQH55" s="69"/>
      <c r="BQI55" s="69"/>
      <c r="BQJ55" s="69"/>
      <c r="BQK55" s="69"/>
      <c r="BQL55" s="69"/>
      <c r="BQM55" s="69"/>
      <c r="BQN55" s="69"/>
      <c r="BQO55" s="69"/>
      <c r="BQP55" s="69"/>
      <c r="BQQ55" s="69"/>
      <c r="BQR55" s="69"/>
      <c r="BQS55" s="69"/>
      <c r="BQT55" s="69"/>
      <c r="BQU55" s="69"/>
      <c r="BQV55" s="69"/>
      <c r="BQW55" s="69"/>
      <c r="BQX55" s="69"/>
      <c r="BQY55" s="69"/>
      <c r="BQZ55" s="69"/>
      <c r="BRA55" s="69"/>
      <c r="BRB55" s="69"/>
      <c r="BRC55" s="69"/>
      <c r="BRD55" s="69"/>
      <c r="BRE55" s="69"/>
      <c r="BRF55" s="69"/>
      <c r="BRG55" s="69"/>
      <c r="BRH55" s="69"/>
      <c r="BRI55" s="69"/>
      <c r="BRJ55" s="69"/>
      <c r="BRK55" s="69"/>
      <c r="BRL55" s="69"/>
      <c r="BRM55" s="69"/>
      <c r="BRN55" s="69"/>
      <c r="BRO55" s="69"/>
      <c r="BRP55" s="69"/>
      <c r="BRQ55" s="69"/>
      <c r="BRR55" s="69"/>
      <c r="BRS55" s="69"/>
      <c r="BRT55" s="69"/>
      <c r="BRU55" s="69"/>
      <c r="BRV55" s="69"/>
      <c r="BRW55" s="69"/>
      <c r="BRX55" s="69"/>
      <c r="BRY55" s="69"/>
      <c r="BRZ55" s="69"/>
      <c r="BSA55" s="69"/>
      <c r="BSB55" s="69"/>
      <c r="BSC55" s="69"/>
      <c r="BSD55" s="69"/>
      <c r="BSE55" s="69"/>
      <c r="BSF55" s="69"/>
      <c r="BSG55" s="69"/>
      <c r="BSH55" s="69"/>
      <c r="BSI55" s="69"/>
      <c r="BSJ55" s="69"/>
      <c r="BSK55" s="69"/>
      <c r="BSL55" s="69"/>
      <c r="BSM55" s="69"/>
      <c r="BSN55" s="69"/>
      <c r="BSO55" s="69"/>
      <c r="BSP55" s="69"/>
      <c r="BSQ55" s="69"/>
      <c r="BSR55" s="69"/>
      <c r="BSS55" s="69"/>
      <c r="BST55" s="69"/>
      <c r="BSU55" s="69"/>
      <c r="BSV55" s="69"/>
      <c r="BSW55" s="69"/>
      <c r="BSX55" s="69"/>
      <c r="BSY55" s="69"/>
      <c r="BSZ55" s="69"/>
      <c r="BTA55" s="69"/>
      <c r="BTB55" s="69"/>
      <c r="BTC55" s="69"/>
      <c r="BTD55" s="69"/>
      <c r="BTE55" s="69"/>
      <c r="BTF55" s="69"/>
      <c r="BTG55" s="69"/>
      <c r="BTH55" s="69"/>
      <c r="BTI55" s="69"/>
      <c r="BTJ55" s="69"/>
      <c r="BTK55" s="69"/>
      <c r="BTL55" s="69"/>
      <c r="BTM55" s="69"/>
      <c r="BTN55" s="69"/>
      <c r="BTO55" s="69"/>
      <c r="BTP55" s="69"/>
      <c r="BTQ55" s="69"/>
      <c r="BTR55" s="69"/>
      <c r="BTS55" s="69"/>
      <c r="BTT55" s="69"/>
      <c r="BTU55" s="69"/>
      <c r="BTV55" s="69"/>
      <c r="BTW55" s="69"/>
      <c r="BTX55" s="69"/>
      <c r="BTY55" s="69"/>
      <c r="BTZ55" s="69"/>
      <c r="BUA55" s="69"/>
      <c r="BUB55" s="69"/>
      <c r="BUC55" s="69"/>
      <c r="BUD55" s="69"/>
      <c r="BUE55" s="69"/>
      <c r="BUF55" s="69"/>
      <c r="BUG55" s="69"/>
      <c r="BUH55" s="69"/>
      <c r="BUI55" s="69"/>
      <c r="BUJ55" s="69"/>
      <c r="BUK55" s="69"/>
      <c r="BUL55" s="69"/>
      <c r="BUM55" s="69"/>
      <c r="BUN55" s="69"/>
      <c r="BUO55" s="69"/>
      <c r="BUP55" s="69"/>
      <c r="BUQ55" s="69"/>
      <c r="BUR55" s="69"/>
      <c r="BUS55" s="69"/>
      <c r="BUT55" s="69"/>
      <c r="BUU55" s="69"/>
      <c r="BUV55" s="69"/>
      <c r="BUW55" s="69"/>
      <c r="BUX55" s="69"/>
      <c r="BUY55" s="69"/>
      <c r="BUZ55" s="69"/>
      <c r="BVA55" s="69"/>
      <c r="BVB55" s="69"/>
      <c r="BVC55" s="69"/>
      <c r="BVD55" s="69"/>
      <c r="BVE55" s="69"/>
      <c r="BVF55" s="69"/>
      <c r="BVG55" s="69"/>
      <c r="BVH55" s="69"/>
      <c r="BVI55" s="69"/>
      <c r="BVJ55" s="69"/>
      <c r="BVK55" s="69"/>
      <c r="BVL55" s="69"/>
      <c r="BVM55" s="69"/>
      <c r="BVN55" s="69"/>
      <c r="BVO55" s="69"/>
      <c r="BVP55" s="69"/>
      <c r="BVQ55" s="69"/>
      <c r="BVR55" s="69"/>
      <c r="BVS55" s="69"/>
      <c r="BVT55" s="69"/>
      <c r="BVU55" s="69"/>
      <c r="BVV55" s="69"/>
      <c r="BVW55" s="69"/>
      <c r="BVX55" s="69"/>
      <c r="BVY55" s="69"/>
      <c r="BVZ55" s="69"/>
      <c r="BWA55" s="69"/>
      <c r="BWB55" s="69"/>
      <c r="BWC55" s="69"/>
      <c r="BWD55" s="69"/>
      <c r="BWE55" s="69"/>
      <c r="BWF55" s="69"/>
      <c r="BWG55" s="69"/>
      <c r="BWH55" s="69"/>
      <c r="BWI55" s="69"/>
      <c r="BWJ55" s="69"/>
      <c r="BWK55" s="69"/>
      <c r="BWL55" s="69"/>
      <c r="BWM55" s="69"/>
      <c r="BWN55" s="69"/>
      <c r="BWO55" s="69"/>
      <c r="BWP55" s="69"/>
      <c r="BWQ55" s="69"/>
      <c r="BWR55" s="69"/>
      <c r="BWS55" s="69"/>
      <c r="BWT55" s="69"/>
      <c r="BWU55" s="69"/>
      <c r="BWV55" s="69"/>
      <c r="BWW55" s="69"/>
      <c r="BWX55" s="69"/>
      <c r="BWY55" s="69"/>
      <c r="BWZ55" s="69"/>
      <c r="BXA55" s="69"/>
      <c r="BXB55" s="69"/>
      <c r="BXC55" s="69"/>
      <c r="BXD55" s="69"/>
      <c r="BXE55" s="69"/>
      <c r="BXF55" s="69"/>
      <c r="BXG55" s="69"/>
      <c r="BXH55" s="69"/>
      <c r="BXI55" s="69"/>
      <c r="BXJ55" s="69"/>
      <c r="BXK55" s="69"/>
      <c r="BXL55" s="69"/>
      <c r="BXM55" s="69"/>
      <c r="BXN55" s="69"/>
      <c r="BXO55" s="69"/>
      <c r="BXP55" s="69"/>
      <c r="BXQ55" s="69"/>
      <c r="BXR55" s="69"/>
      <c r="BXS55" s="69"/>
      <c r="BXT55" s="69"/>
      <c r="BXU55" s="69"/>
      <c r="BXV55" s="69"/>
      <c r="BXW55" s="69"/>
      <c r="BXX55" s="69"/>
      <c r="BXY55" s="69"/>
      <c r="BXZ55" s="69"/>
      <c r="BYA55" s="69"/>
      <c r="BYB55" s="69"/>
      <c r="BYC55" s="69"/>
      <c r="BYD55" s="69"/>
      <c r="BYE55" s="69"/>
      <c r="BYF55" s="69"/>
      <c r="BYG55" s="69"/>
      <c r="BYH55" s="69"/>
      <c r="BYI55" s="69"/>
      <c r="BYJ55" s="69"/>
      <c r="BYK55" s="69"/>
      <c r="BYL55" s="69"/>
      <c r="BYM55" s="69"/>
      <c r="BYN55" s="69"/>
      <c r="BYO55" s="69"/>
      <c r="BYP55" s="69"/>
      <c r="BYQ55" s="69"/>
      <c r="BYR55" s="69"/>
      <c r="BYS55" s="69"/>
      <c r="BYT55" s="69"/>
      <c r="BYU55" s="69"/>
      <c r="BYV55" s="69"/>
      <c r="BYW55" s="69"/>
      <c r="BYX55" s="69"/>
      <c r="BYY55" s="69"/>
      <c r="BYZ55" s="69"/>
      <c r="BZA55" s="69"/>
      <c r="BZB55" s="69"/>
      <c r="BZC55" s="69"/>
      <c r="BZD55" s="69"/>
      <c r="BZE55" s="69"/>
      <c r="BZF55" s="69"/>
      <c r="BZG55" s="69"/>
      <c r="BZH55" s="69"/>
      <c r="BZI55" s="69"/>
      <c r="BZJ55" s="69"/>
      <c r="BZK55" s="69"/>
      <c r="BZL55" s="69"/>
      <c r="BZM55" s="69"/>
      <c r="BZN55" s="69"/>
      <c r="BZO55" s="69"/>
      <c r="BZP55" s="69"/>
      <c r="BZQ55" s="69"/>
      <c r="BZR55" s="69"/>
      <c r="BZS55" s="69"/>
      <c r="BZT55" s="69"/>
      <c r="BZU55" s="69"/>
      <c r="BZV55" s="69"/>
      <c r="BZW55" s="69"/>
      <c r="BZX55" s="69"/>
      <c r="BZY55" s="69"/>
      <c r="BZZ55" s="69"/>
      <c r="CAA55" s="69"/>
      <c r="CAB55" s="69"/>
      <c r="CAC55" s="69"/>
      <c r="CAD55" s="69"/>
      <c r="CAE55" s="69"/>
      <c r="CAF55" s="69"/>
      <c r="CAG55" s="69"/>
      <c r="CAH55" s="69"/>
      <c r="CAI55" s="69"/>
      <c r="CAJ55" s="69"/>
      <c r="CAK55" s="69"/>
      <c r="CAL55" s="69"/>
      <c r="CAM55" s="69"/>
      <c r="CAN55" s="69"/>
      <c r="CAO55" s="69"/>
      <c r="CAP55" s="69"/>
      <c r="CAQ55" s="69"/>
      <c r="CAR55" s="69"/>
      <c r="CAS55" s="69"/>
      <c r="CAT55" s="69"/>
      <c r="CAU55" s="69"/>
      <c r="CAV55" s="69"/>
      <c r="CAW55" s="69"/>
      <c r="CAX55" s="69"/>
      <c r="CAY55" s="69"/>
      <c r="CAZ55" s="69"/>
      <c r="CBA55" s="69"/>
      <c r="CBB55" s="69"/>
      <c r="CBC55" s="69"/>
      <c r="CBD55" s="69"/>
      <c r="CBE55" s="69"/>
      <c r="CBF55" s="69"/>
      <c r="CBG55" s="69"/>
      <c r="CBH55" s="69"/>
      <c r="CBI55" s="69"/>
      <c r="CBJ55" s="69"/>
      <c r="CBK55" s="69"/>
      <c r="CBL55" s="69"/>
      <c r="CBM55" s="69"/>
      <c r="CBN55" s="69"/>
      <c r="CBO55" s="69"/>
      <c r="CBP55" s="69"/>
      <c r="CBQ55" s="69"/>
      <c r="CBR55" s="69"/>
      <c r="CBS55" s="69"/>
      <c r="CBT55" s="69"/>
      <c r="CBU55" s="69"/>
      <c r="CBV55" s="69"/>
      <c r="CBW55" s="69"/>
      <c r="CBX55" s="69"/>
      <c r="CBY55" s="69"/>
      <c r="CBZ55" s="69"/>
      <c r="CCA55" s="69"/>
      <c r="CCB55" s="69"/>
      <c r="CCC55" s="69"/>
      <c r="CCD55" s="69"/>
      <c r="CCE55" s="69"/>
      <c r="CCF55" s="69"/>
      <c r="CCG55" s="69"/>
      <c r="CCH55" s="69"/>
      <c r="CCI55" s="69"/>
      <c r="CCJ55" s="69"/>
      <c r="CCK55" s="69"/>
      <c r="CCL55" s="69"/>
      <c r="CCM55" s="69"/>
      <c r="CCN55" s="69"/>
      <c r="CCO55" s="69"/>
      <c r="CCP55" s="69"/>
      <c r="CCQ55" s="69"/>
      <c r="CCR55" s="69"/>
      <c r="CCS55" s="69"/>
      <c r="CCT55" s="69"/>
      <c r="CCU55" s="69"/>
      <c r="CCV55" s="69"/>
      <c r="CCW55" s="69"/>
      <c r="CCX55" s="69"/>
      <c r="CCY55" s="69"/>
      <c r="CCZ55" s="69"/>
      <c r="CDA55" s="69"/>
      <c r="CDB55" s="69"/>
      <c r="CDC55" s="69"/>
      <c r="CDD55" s="69"/>
      <c r="CDE55" s="69"/>
      <c r="CDF55" s="69"/>
      <c r="CDG55" s="69"/>
      <c r="CDH55" s="69"/>
      <c r="CDI55" s="69"/>
      <c r="CDJ55" s="69"/>
      <c r="CDK55" s="69"/>
      <c r="CDL55" s="69"/>
      <c r="CDM55" s="69"/>
      <c r="CDN55" s="69"/>
      <c r="CDO55" s="69"/>
      <c r="CDP55" s="69"/>
      <c r="CDQ55" s="69"/>
      <c r="CDR55" s="69"/>
      <c r="CDS55" s="69"/>
      <c r="CDT55" s="69"/>
      <c r="CDU55" s="69"/>
      <c r="CDV55" s="69"/>
      <c r="CDW55" s="69"/>
      <c r="CDX55" s="69"/>
      <c r="CDY55" s="69"/>
      <c r="CDZ55" s="69"/>
      <c r="CEA55" s="69"/>
      <c r="CEB55" s="69"/>
      <c r="CEC55" s="69"/>
      <c r="CED55" s="69"/>
      <c r="CEE55" s="69"/>
      <c r="CEF55" s="69"/>
      <c r="CEG55" s="69"/>
      <c r="CEH55" s="69"/>
      <c r="CEI55" s="69"/>
      <c r="CEJ55" s="69"/>
      <c r="CEK55" s="69"/>
      <c r="CEL55" s="69"/>
      <c r="CEM55" s="69"/>
      <c r="CEN55" s="69"/>
      <c r="CEO55" s="69"/>
      <c r="CEP55" s="69"/>
      <c r="CEQ55" s="69"/>
      <c r="CER55" s="69"/>
      <c r="CES55" s="69"/>
      <c r="CET55" s="69"/>
      <c r="CEU55" s="69"/>
      <c r="CEV55" s="69"/>
      <c r="CEW55" s="69"/>
      <c r="CEX55" s="69"/>
      <c r="CEY55" s="69"/>
      <c r="CEZ55" s="69"/>
      <c r="CFA55" s="69"/>
      <c r="CFB55" s="69"/>
      <c r="CFC55" s="69"/>
      <c r="CFD55" s="69"/>
      <c r="CFE55" s="69"/>
      <c r="CFF55" s="69"/>
      <c r="CFG55" s="69"/>
      <c r="CFH55" s="69"/>
      <c r="CFI55" s="69"/>
      <c r="CFJ55" s="69"/>
      <c r="CFK55" s="69"/>
      <c r="CFL55" s="69"/>
      <c r="CFM55" s="69"/>
      <c r="CFN55" s="69"/>
      <c r="CFO55" s="69"/>
      <c r="CFP55" s="69"/>
      <c r="CFQ55" s="69"/>
      <c r="CFR55" s="69"/>
      <c r="CFS55" s="69"/>
      <c r="CFT55" s="69"/>
      <c r="CFU55" s="69"/>
      <c r="CFV55" s="69"/>
      <c r="CFW55" s="69"/>
      <c r="CFX55" s="69"/>
      <c r="CFY55" s="69"/>
      <c r="CFZ55" s="69"/>
      <c r="CGA55" s="69"/>
      <c r="CGB55" s="69"/>
      <c r="CGC55" s="69"/>
      <c r="CGD55" s="69"/>
      <c r="CGE55" s="69"/>
      <c r="CGF55" s="69"/>
      <c r="CGG55" s="69"/>
      <c r="CGH55" s="69"/>
      <c r="CGI55" s="69"/>
      <c r="CGJ55" s="69"/>
      <c r="CGK55" s="69"/>
      <c r="CGL55" s="69"/>
      <c r="CGM55" s="69"/>
      <c r="CGN55" s="69"/>
      <c r="CGO55" s="69"/>
      <c r="CGP55" s="69"/>
      <c r="CGQ55" s="69"/>
      <c r="CGR55" s="69"/>
      <c r="CGS55" s="69"/>
      <c r="CGT55" s="69"/>
      <c r="CGU55" s="69"/>
      <c r="CGV55" s="69"/>
      <c r="CGW55" s="69"/>
      <c r="CGX55" s="69"/>
      <c r="CGY55" s="69"/>
      <c r="CGZ55" s="69"/>
      <c r="CHA55" s="69"/>
      <c r="CHB55" s="69"/>
      <c r="CHC55" s="69"/>
      <c r="CHD55" s="69"/>
      <c r="CHE55" s="69"/>
      <c r="CHF55" s="69"/>
      <c r="CHG55" s="69"/>
      <c r="CHH55" s="69"/>
      <c r="CHI55" s="69"/>
      <c r="CHJ55" s="69"/>
      <c r="CHK55" s="69"/>
      <c r="CHL55" s="69"/>
      <c r="CHM55" s="69"/>
      <c r="CHN55" s="69"/>
      <c r="CHO55" s="69"/>
      <c r="CHP55" s="69"/>
      <c r="CHQ55" s="69"/>
      <c r="CHR55" s="69"/>
      <c r="CHS55" s="69"/>
      <c r="CHT55" s="69"/>
      <c r="CHU55" s="69"/>
      <c r="CHV55" s="69"/>
      <c r="CHW55" s="69"/>
      <c r="CHX55" s="69"/>
      <c r="CHY55" s="69"/>
      <c r="CHZ55" s="69"/>
      <c r="CIA55" s="69"/>
      <c r="CIB55" s="69"/>
      <c r="CIC55" s="69"/>
      <c r="CID55" s="69"/>
      <c r="CIE55" s="69"/>
      <c r="CIF55" s="69"/>
      <c r="CIG55" s="69"/>
      <c r="CIH55" s="69"/>
      <c r="CII55" s="69"/>
      <c r="CIJ55" s="69"/>
      <c r="CIK55" s="69"/>
      <c r="CIL55" s="69"/>
      <c r="CIM55" s="69"/>
      <c r="CIN55" s="69"/>
      <c r="CIO55" s="69"/>
      <c r="CIP55" s="69"/>
      <c r="CIQ55" s="69"/>
      <c r="CIR55" s="69"/>
      <c r="CIS55" s="69"/>
      <c r="CIT55" s="69"/>
      <c r="CIU55" s="69"/>
      <c r="CIV55" s="69"/>
      <c r="CIW55" s="69"/>
      <c r="CIX55" s="69"/>
      <c r="CIY55" s="69"/>
      <c r="CIZ55" s="69"/>
      <c r="CJA55" s="69"/>
      <c r="CJB55" s="69"/>
      <c r="CJC55" s="69"/>
      <c r="CJD55" s="69"/>
      <c r="CJE55" s="69"/>
      <c r="CJF55" s="69"/>
      <c r="CJG55" s="69"/>
      <c r="CJH55" s="69"/>
      <c r="CJI55" s="69"/>
      <c r="CJJ55" s="69"/>
      <c r="CJK55" s="69"/>
      <c r="CJL55" s="69"/>
      <c r="CJM55" s="69"/>
      <c r="CJN55" s="69"/>
      <c r="CJO55" s="69"/>
      <c r="CJP55" s="69"/>
      <c r="CJQ55" s="69"/>
      <c r="CJR55" s="69"/>
      <c r="CJS55" s="69"/>
      <c r="CJT55" s="69"/>
      <c r="CJU55" s="69"/>
      <c r="CJV55" s="69"/>
      <c r="CJW55" s="69"/>
      <c r="CJX55" s="69"/>
      <c r="CJY55" s="69"/>
      <c r="CJZ55" s="69"/>
      <c r="CKA55" s="69"/>
      <c r="CKB55" s="69"/>
      <c r="CKC55" s="69"/>
      <c r="CKD55" s="69"/>
      <c r="CKE55" s="69"/>
      <c r="CKF55" s="69"/>
      <c r="CKG55" s="69"/>
      <c r="CKH55" s="69"/>
      <c r="CKI55" s="69"/>
      <c r="CKJ55" s="69"/>
      <c r="CKK55" s="69"/>
      <c r="CKL55" s="69"/>
      <c r="CKM55" s="69"/>
      <c r="CKN55" s="69"/>
      <c r="CKO55" s="69"/>
      <c r="CKP55" s="69"/>
      <c r="CKQ55" s="69"/>
      <c r="CKR55" s="69"/>
      <c r="CKS55" s="69"/>
      <c r="CKT55" s="69"/>
      <c r="CKU55" s="69"/>
      <c r="CKV55" s="69"/>
      <c r="CKW55" s="69"/>
      <c r="CKX55" s="69"/>
      <c r="CKY55" s="69"/>
      <c r="CKZ55" s="69"/>
      <c r="CLA55" s="69"/>
      <c r="CLB55" s="69"/>
      <c r="CLC55" s="69"/>
      <c r="CLD55" s="69"/>
      <c r="CLE55" s="69"/>
      <c r="CLF55" s="69"/>
      <c r="CLG55" s="69"/>
      <c r="CLH55" s="69"/>
      <c r="CLI55" s="69"/>
      <c r="CLJ55" s="69"/>
      <c r="CLK55" s="69"/>
      <c r="CLL55" s="69"/>
      <c r="CLM55" s="69"/>
      <c r="CLN55" s="69"/>
      <c r="CLO55" s="69"/>
      <c r="CLP55" s="69"/>
      <c r="CLQ55" s="69"/>
      <c r="CLR55" s="69"/>
      <c r="CLS55" s="69"/>
      <c r="CLT55" s="69"/>
      <c r="CLU55" s="69"/>
      <c r="CLV55" s="69"/>
      <c r="CLW55" s="69"/>
      <c r="CLX55" s="69"/>
      <c r="CLY55" s="69"/>
      <c r="CLZ55" s="69"/>
      <c r="CMA55" s="69"/>
      <c r="CMB55" s="69"/>
      <c r="CMC55" s="69"/>
      <c r="CMD55" s="69"/>
      <c r="CME55" s="69"/>
      <c r="CMF55" s="69"/>
      <c r="CMG55" s="69"/>
      <c r="CMH55" s="69"/>
      <c r="CMI55" s="69"/>
      <c r="CMJ55" s="69"/>
      <c r="CMK55" s="69"/>
      <c r="CML55" s="69"/>
      <c r="CMM55" s="69"/>
      <c r="CMN55" s="69"/>
      <c r="CMO55" s="69"/>
      <c r="CMP55" s="69"/>
      <c r="CMQ55" s="69"/>
      <c r="CMR55" s="69"/>
      <c r="CMS55" s="69"/>
      <c r="CMT55" s="69"/>
      <c r="CMU55" s="69"/>
      <c r="CMV55" s="69"/>
      <c r="CMW55" s="69"/>
      <c r="CMX55" s="69"/>
      <c r="CMY55" s="69"/>
      <c r="CMZ55" s="69"/>
      <c r="CNA55" s="69"/>
      <c r="CNB55" s="69"/>
      <c r="CNC55" s="69"/>
      <c r="CND55" s="69"/>
      <c r="CNE55" s="69"/>
      <c r="CNF55" s="69"/>
      <c r="CNG55" s="69"/>
      <c r="CNH55" s="69"/>
      <c r="CNI55" s="69"/>
      <c r="CNJ55" s="69"/>
      <c r="CNK55" s="69"/>
      <c r="CNL55" s="69"/>
      <c r="CNM55" s="69"/>
      <c r="CNN55" s="69"/>
      <c r="CNO55" s="69"/>
      <c r="CNP55" s="69"/>
      <c r="CNQ55" s="69"/>
      <c r="CNR55" s="69"/>
      <c r="CNS55" s="69"/>
      <c r="CNT55" s="69"/>
      <c r="CNU55" s="69"/>
      <c r="CNV55" s="69"/>
      <c r="CNW55" s="69"/>
      <c r="CNX55" s="69"/>
      <c r="CNY55" s="69"/>
      <c r="CNZ55" s="69"/>
      <c r="COA55" s="69"/>
      <c r="COB55" s="69"/>
      <c r="COC55" s="69"/>
      <c r="COD55" s="69"/>
      <c r="COE55" s="69"/>
      <c r="COF55" s="69"/>
      <c r="COG55" s="69"/>
      <c r="COH55" s="69"/>
      <c r="COI55" s="69"/>
      <c r="COJ55" s="69"/>
      <c r="COK55" s="69"/>
      <c r="COL55" s="69"/>
      <c r="COM55" s="69"/>
      <c r="CON55" s="69"/>
      <c r="COO55" s="69"/>
      <c r="COP55" s="69"/>
      <c r="COQ55" s="69"/>
      <c r="COR55" s="69"/>
      <c r="COS55" s="69"/>
      <c r="COT55" s="69"/>
      <c r="COU55" s="69"/>
      <c r="COV55" s="69"/>
      <c r="COW55" s="69"/>
      <c r="COX55" s="69"/>
      <c r="COY55" s="69"/>
      <c r="COZ55" s="69"/>
      <c r="CPA55" s="69"/>
      <c r="CPB55" s="69"/>
      <c r="CPC55" s="69"/>
      <c r="CPD55" s="69"/>
      <c r="CPE55" s="69"/>
      <c r="CPF55" s="69"/>
      <c r="CPG55" s="69"/>
      <c r="CPH55" s="69"/>
      <c r="CPI55" s="69"/>
      <c r="CPJ55" s="69"/>
      <c r="CPK55" s="69"/>
      <c r="CPL55" s="69"/>
      <c r="CPM55" s="69"/>
      <c r="CPN55" s="69"/>
      <c r="CPO55" s="69"/>
      <c r="CPP55" s="69"/>
      <c r="CPQ55" s="69"/>
      <c r="CPR55" s="69"/>
      <c r="CPS55" s="69"/>
      <c r="CPT55" s="69"/>
      <c r="CPU55" s="69"/>
      <c r="CPV55" s="69"/>
      <c r="CPW55" s="69"/>
      <c r="CPX55" s="69"/>
      <c r="CPY55" s="69"/>
      <c r="CPZ55" s="69"/>
      <c r="CQA55" s="69"/>
      <c r="CQB55" s="69"/>
      <c r="CQC55" s="69"/>
      <c r="CQD55" s="69"/>
      <c r="CQE55" s="69"/>
      <c r="CQF55" s="69"/>
      <c r="CQG55" s="69"/>
      <c r="CQH55" s="69"/>
      <c r="CQI55" s="69"/>
      <c r="CQJ55" s="69"/>
      <c r="CQK55" s="69"/>
      <c r="CQL55" s="69"/>
      <c r="CQM55" s="69"/>
      <c r="CQN55" s="69"/>
      <c r="CQO55" s="69"/>
      <c r="CQP55" s="69"/>
      <c r="CQQ55" s="69"/>
      <c r="CQR55" s="69"/>
      <c r="CQS55" s="69"/>
      <c r="CQT55" s="69"/>
      <c r="CQU55" s="69"/>
      <c r="CQV55" s="69"/>
      <c r="CQW55" s="69"/>
      <c r="CQX55" s="69"/>
      <c r="CQY55" s="69"/>
      <c r="CQZ55" s="69"/>
      <c r="CRA55" s="69"/>
      <c r="CRB55" s="69"/>
      <c r="CRC55" s="69"/>
      <c r="CRD55" s="69"/>
      <c r="CRE55" s="69"/>
      <c r="CRF55" s="69"/>
      <c r="CRG55" s="69"/>
      <c r="CRH55" s="69"/>
      <c r="CRI55" s="69"/>
      <c r="CRJ55" s="69"/>
      <c r="CRK55" s="69"/>
      <c r="CRL55" s="69"/>
      <c r="CRM55" s="69"/>
      <c r="CRN55" s="69"/>
      <c r="CRO55" s="69"/>
      <c r="CRP55" s="69"/>
      <c r="CRQ55" s="69"/>
      <c r="CRR55" s="69"/>
      <c r="CRS55" s="69"/>
      <c r="CRT55" s="69"/>
      <c r="CRU55" s="69"/>
      <c r="CRV55" s="69"/>
      <c r="CRW55" s="69"/>
      <c r="CRX55" s="69"/>
      <c r="CRY55" s="69"/>
      <c r="CRZ55" s="69"/>
      <c r="CSA55" s="69"/>
      <c r="CSB55" s="69"/>
      <c r="CSC55" s="69"/>
      <c r="CSD55" s="69"/>
      <c r="CSE55" s="69"/>
      <c r="CSF55" s="69"/>
      <c r="CSG55" s="69"/>
      <c r="CSH55" s="69"/>
      <c r="CSI55" s="69"/>
      <c r="CSJ55" s="69"/>
      <c r="CSK55" s="69"/>
      <c r="CSL55" s="69"/>
      <c r="CSM55" s="69"/>
      <c r="CSN55" s="69"/>
      <c r="CSO55" s="69"/>
      <c r="CSP55" s="69"/>
      <c r="CSQ55" s="69"/>
      <c r="CSR55" s="69"/>
      <c r="CSS55" s="69"/>
      <c r="CST55" s="69"/>
      <c r="CSU55" s="69"/>
      <c r="CSV55" s="69"/>
      <c r="CSW55" s="69"/>
      <c r="CSX55" s="69"/>
      <c r="CSY55" s="69"/>
      <c r="CSZ55" s="69"/>
      <c r="CTA55" s="69"/>
      <c r="CTB55" s="69"/>
      <c r="CTC55" s="69"/>
      <c r="CTD55" s="69"/>
      <c r="CTE55" s="69"/>
      <c r="CTF55" s="69"/>
      <c r="CTG55" s="69"/>
      <c r="CTH55" s="69"/>
      <c r="CTI55" s="69"/>
      <c r="CTJ55" s="69"/>
      <c r="CTK55" s="69"/>
      <c r="CTL55" s="69"/>
      <c r="CTM55" s="69"/>
      <c r="CTN55" s="69"/>
      <c r="CTO55" s="69"/>
      <c r="CTP55" s="69"/>
      <c r="CTQ55" s="69"/>
      <c r="CTR55" s="69"/>
      <c r="CTS55" s="69"/>
      <c r="CTT55" s="69"/>
      <c r="CTU55" s="69"/>
      <c r="CTV55" s="69"/>
      <c r="CTW55" s="69"/>
      <c r="CTX55" s="69"/>
      <c r="CTY55" s="69"/>
      <c r="CTZ55" s="69"/>
      <c r="CUA55" s="69"/>
      <c r="CUB55" s="69"/>
      <c r="CUC55" s="69"/>
      <c r="CUD55" s="69"/>
      <c r="CUE55" s="69"/>
      <c r="CUF55" s="69"/>
      <c r="CUG55" s="69"/>
      <c r="CUH55" s="69"/>
      <c r="CUI55" s="69"/>
      <c r="CUJ55" s="69"/>
      <c r="CUK55" s="69"/>
      <c r="CUL55" s="69"/>
      <c r="CUM55" s="69"/>
      <c r="CUN55" s="69"/>
      <c r="CUO55" s="69"/>
      <c r="CUP55" s="69"/>
      <c r="CUQ55" s="69"/>
      <c r="CUR55" s="69"/>
      <c r="CUS55" s="69"/>
      <c r="CUT55" s="69"/>
      <c r="CUU55" s="69"/>
      <c r="CUV55" s="69"/>
      <c r="CUW55" s="69"/>
      <c r="CUX55" s="69"/>
      <c r="CUY55" s="69"/>
      <c r="CUZ55" s="69"/>
      <c r="CVA55" s="69"/>
      <c r="CVB55" s="69"/>
      <c r="CVC55" s="69"/>
      <c r="CVD55" s="69"/>
      <c r="CVE55" s="69"/>
      <c r="CVF55" s="69"/>
      <c r="CVG55" s="69"/>
      <c r="CVH55" s="69"/>
      <c r="CVI55" s="69"/>
      <c r="CVJ55" s="69"/>
      <c r="CVK55" s="69"/>
      <c r="CVL55" s="69"/>
      <c r="CVM55" s="69"/>
      <c r="CVN55" s="69"/>
      <c r="CVO55" s="69"/>
      <c r="CVP55" s="69"/>
      <c r="CVQ55" s="69"/>
      <c r="CVR55" s="69"/>
      <c r="CVS55" s="69"/>
      <c r="CVT55" s="69"/>
      <c r="CVU55" s="69"/>
      <c r="CVV55" s="69"/>
      <c r="CVW55" s="69"/>
      <c r="CVX55" s="69"/>
      <c r="CVY55" s="69"/>
      <c r="CVZ55" s="69"/>
      <c r="CWA55" s="69"/>
      <c r="CWB55" s="69"/>
      <c r="CWC55" s="69"/>
      <c r="CWD55" s="69"/>
      <c r="CWE55" s="69"/>
      <c r="CWF55" s="69"/>
      <c r="CWG55" s="69"/>
      <c r="CWH55" s="69"/>
      <c r="CWI55" s="69"/>
      <c r="CWJ55" s="69"/>
      <c r="CWK55" s="69"/>
      <c r="CWL55" s="69"/>
      <c r="CWM55" s="69"/>
      <c r="CWN55" s="69"/>
      <c r="CWO55" s="69"/>
      <c r="CWP55" s="69"/>
      <c r="CWQ55" s="69"/>
      <c r="CWR55" s="69"/>
      <c r="CWS55" s="69"/>
      <c r="CWT55" s="69"/>
      <c r="CWU55" s="69"/>
      <c r="CWV55" s="69"/>
      <c r="CWW55" s="69"/>
      <c r="CWX55" s="69"/>
      <c r="CWY55" s="69"/>
      <c r="CWZ55" s="69"/>
      <c r="CXA55" s="69"/>
      <c r="CXB55" s="69"/>
      <c r="CXC55" s="69"/>
      <c r="CXD55" s="69"/>
      <c r="CXE55" s="69"/>
      <c r="CXF55" s="69"/>
      <c r="CXG55" s="69"/>
      <c r="CXH55" s="69"/>
      <c r="CXI55" s="69"/>
      <c r="CXJ55" s="69"/>
      <c r="CXK55" s="69"/>
      <c r="CXL55" s="69"/>
      <c r="CXM55" s="69"/>
      <c r="CXN55" s="69"/>
      <c r="CXO55" s="69"/>
      <c r="CXP55" s="69"/>
      <c r="CXQ55" s="69"/>
      <c r="CXR55" s="69"/>
      <c r="CXS55" s="69"/>
      <c r="CXT55" s="69"/>
      <c r="CXU55" s="69"/>
      <c r="CXV55" s="69"/>
      <c r="CXW55" s="69"/>
      <c r="CXX55" s="69"/>
      <c r="CXY55" s="69"/>
      <c r="CXZ55" s="69"/>
      <c r="CYA55" s="69"/>
      <c r="CYB55" s="69"/>
      <c r="CYC55" s="69"/>
      <c r="CYD55" s="69"/>
      <c r="CYE55" s="69"/>
      <c r="CYF55" s="69"/>
      <c r="CYG55" s="69"/>
      <c r="CYH55" s="69"/>
      <c r="CYI55" s="69"/>
      <c r="CYJ55" s="69"/>
      <c r="CYK55" s="69"/>
      <c r="CYL55" s="69"/>
      <c r="CYM55" s="69"/>
      <c r="CYN55" s="69"/>
      <c r="CYO55" s="69"/>
      <c r="CYP55" s="69"/>
      <c r="CYQ55" s="69"/>
      <c r="CYR55" s="69"/>
      <c r="CYS55" s="69"/>
      <c r="CYT55" s="69"/>
      <c r="CYU55" s="69"/>
      <c r="CYV55" s="69"/>
      <c r="CYW55" s="69"/>
      <c r="CYX55" s="69"/>
      <c r="CYY55" s="69"/>
      <c r="CYZ55" s="69"/>
      <c r="CZA55" s="69"/>
      <c r="CZB55" s="69"/>
      <c r="CZC55" s="69"/>
      <c r="CZD55" s="69"/>
      <c r="CZE55" s="69"/>
      <c r="CZF55" s="69"/>
      <c r="CZG55" s="69"/>
      <c r="CZH55" s="69"/>
      <c r="CZI55" s="69"/>
      <c r="CZJ55" s="69"/>
      <c r="CZK55" s="69"/>
      <c r="CZL55" s="69"/>
      <c r="CZM55" s="69"/>
      <c r="CZN55" s="69"/>
      <c r="CZO55" s="69"/>
      <c r="CZP55" s="69"/>
      <c r="CZQ55" s="69"/>
      <c r="CZR55" s="69"/>
      <c r="CZS55" s="69"/>
      <c r="CZT55" s="69"/>
      <c r="CZU55" s="69"/>
      <c r="CZV55" s="69"/>
      <c r="CZW55" s="69"/>
      <c r="CZX55" s="69"/>
      <c r="CZY55" s="69"/>
      <c r="CZZ55" s="69"/>
      <c r="DAA55" s="69"/>
      <c r="DAB55" s="69"/>
      <c r="DAC55" s="69"/>
      <c r="DAD55" s="69"/>
      <c r="DAE55" s="69"/>
      <c r="DAF55" s="69"/>
      <c r="DAG55" s="69"/>
      <c r="DAH55" s="69"/>
      <c r="DAI55" s="69"/>
      <c r="DAJ55" s="69"/>
      <c r="DAK55" s="69"/>
      <c r="DAL55" s="69"/>
      <c r="DAM55" s="69"/>
      <c r="DAN55" s="69"/>
      <c r="DAO55" s="69"/>
      <c r="DAP55" s="69"/>
      <c r="DAQ55" s="69"/>
      <c r="DAR55" s="69"/>
      <c r="DAS55" s="69"/>
      <c r="DAT55" s="69"/>
      <c r="DAU55" s="69"/>
      <c r="DAV55" s="69"/>
      <c r="DAW55" s="69"/>
      <c r="DAX55" s="69"/>
      <c r="DAY55" s="69"/>
      <c r="DAZ55" s="69"/>
      <c r="DBA55" s="69"/>
      <c r="DBB55" s="69"/>
      <c r="DBC55" s="69"/>
      <c r="DBD55" s="69"/>
      <c r="DBE55" s="69"/>
      <c r="DBF55" s="69"/>
      <c r="DBG55" s="69"/>
      <c r="DBH55" s="69"/>
      <c r="DBI55" s="69"/>
      <c r="DBJ55" s="69"/>
      <c r="DBK55" s="69"/>
      <c r="DBL55" s="69"/>
      <c r="DBM55" s="69"/>
      <c r="DBN55" s="69"/>
      <c r="DBO55" s="69"/>
      <c r="DBP55" s="69"/>
      <c r="DBQ55" s="69"/>
      <c r="DBR55" s="69"/>
      <c r="DBS55" s="69"/>
      <c r="DBT55" s="69"/>
      <c r="DBU55" s="69"/>
      <c r="DBV55" s="69"/>
      <c r="DBW55" s="69"/>
      <c r="DBX55" s="69"/>
      <c r="DBY55" s="69"/>
      <c r="DBZ55" s="69"/>
      <c r="DCA55" s="69"/>
      <c r="DCB55" s="69"/>
      <c r="DCC55" s="69"/>
      <c r="DCD55" s="69"/>
      <c r="DCE55" s="69"/>
      <c r="DCF55" s="69"/>
      <c r="DCG55" s="69"/>
      <c r="DCH55" s="69"/>
      <c r="DCI55" s="69"/>
      <c r="DCJ55" s="69"/>
      <c r="DCK55" s="69"/>
      <c r="DCL55" s="69"/>
      <c r="DCM55" s="69"/>
      <c r="DCN55" s="69"/>
      <c r="DCO55" s="69"/>
      <c r="DCP55" s="69"/>
      <c r="DCQ55" s="69"/>
      <c r="DCR55" s="69"/>
      <c r="DCS55" s="69"/>
      <c r="DCT55" s="69"/>
      <c r="DCU55" s="69"/>
      <c r="DCV55" s="69"/>
      <c r="DCW55" s="69"/>
      <c r="DCX55" s="69"/>
      <c r="DCY55" s="69"/>
      <c r="DCZ55" s="69"/>
      <c r="DDA55" s="69"/>
      <c r="DDB55" s="69"/>
      <c r="DDC55" s="69"/>
      <c r="DDD55" s="69"/>
      <c r="DDE55" s="69"/>
      <c r="DDF55" s="69"/>
      <c r="DDG55" s="69"/>
      <c r="DDH55" s="69"/>
      <c r="DDI55" s="69"/>
      <c r="DDJ55" s="69"/>
      <c r="DDK55" s="69"/>
      <c r="DDL55" s="69"/>
      <c r="DDM55" s="69"/>
      <c r="DDN55" s="69"/>
      <c r="DDO55" s="69"/>
      <c r="DDP55" s="69"/>
      <c r="DDQ55" s="69"/>
      <c r="DDR55" s="69"/>
      <c r="DDS55" s="69"/>
      <c r="DDT55" s="69"/>
      <c r="DDU55" s="69"/>
      <c r="DDV55" s="69"/>
      <c r="DDW55" s="69"/>
      <c r="DDX55" s="69"/>
      <c r="DDY55" s="69"/>
      <c r="DDZ55" s="69"/>
      <c r="DEA55" s="69"/>
      <c r="DEB55" s="69"/>
      <c r="DEC55" s="69"/>
      <c r="DED55" s="69"/>
      <c r="DEE55" s="69"/>
      <c r="DEF55" s="69"/>
      <c r="DEG55" s="69"/>
      <c r="DEH55" s="69"/>
      <c r="DEI55" s="69"/>
      <c r="DEJ55" s="69"/>
      <c r="DEK55" s="69"/>
      <c r="DEL55" s="69"/>
      <c r="DEM55" s="69"/>
      <c r="DEN55" s="69"/>
      <c r="DEO55" s="69"/>
      <c r="DEP55" s="69"/>
      <c r="DEQ55" s="69"/>
      <c r="DER55" s="69"/>
      <c r="DES55" s="69"/>
      <c r="DET55" s="69"/>
      <c r="DEU55" s="69"/>
      <c r="DEV55" s="69"/>
      <c r="DEW55" s="69"/>
      <c r="DEX55" s="69"/>
      <c r="DEY55" s="69"/>
      <c r="DEZ55" s="69"/>
      <c r="DFA55" s="69"/>
      <c r="DFB55" s="69"/>
      <c r="DFC55" s="69"/>
      <c r="DFD55" s="69"/>
      <c r="DFE55" s="69"/>
      <c r="DFF55" s="69"/>
      <c r="DFG55" s="69"/>
      <c r="DFH55" s="69"/>
      <c r="DFI55" s="69"/>
      <c r="DFJ55" s="69"/>
      <c r="DFK55" s="69"/>
      <c r="DFL55" s="69"/>
      <c r="DFM55" s="69"/>
      <c r="DFN55" s="69"/>
      <c r="DFO55" s="69"/>
      <c r="DFP55" s="69"/>
      <c r="DFQ55" s="69"/>
      <c r="DFR55" s="69"/>
      <c r="DFS55" s="69"/>
      <c r="DFT55" s="69"/>
      <c r="DFU55" s="69"/>
      <c r="DFV55" s="69"/>
      <c r="DFW55" s="69"/>
      <c r="DFX55" s="69"/>
      <c r="DFY55" s="69"/>
      <c r="DFZ55" s="69"/>
      <c r="DGA55" s="69"/>
      <c r="DGB55" s="69"/>
      <c r="DGC55" s="69"/>
      <c r="DGD55" s="69"/>
      <c r="DGE55" s="69"/>
      <c r="DGF55" s="69"/>
      <c r="DGG55" s="69"/>
      <c r="DGH55" s="69"/>
      <c r="DGI55" s="69"/>
      <c r="DGJ55" s="69"/>
      <c r="DGK55" s="69"/>
      <c r="DGL55" s="69"/>
      <c r="DGM55" s="69"/>
      <c r="DGN55" s="69"/>
      <c r="DGO55" s="69"/>
      <c r="DGP55" s="69"/>
      <c r="DGQ55" s="69"/>
      <c r="DGR55" s="69"/>
      <c r="DGS55" s="69"/>
      <c r="DGT55" s="69"/>
      <c r="DGU55" s="69"/>
      <c r="DGV55" s="69"/>
      <c r="DGW55" s="69"/>
      <c r="DGX55" s="69"/>
      <c r="DGY55" s="69"/>
      <c r="DGZ55" s="69"/>
      <c r="DHA55" s="69"/>
      <c r="DHB55" s="69"/>
      <c r="DHC55" s="69"/>
      <c r="DHD55" s="69"/>
      <c r="DHE55" s="69"/>
      <c r="DHF55" s="69"/>
      <c r="DHG55" s="69"/>
      <c r="DHH55" s="69"/>
      <c r="DHI55" s="69"/>
      <c r="DHJ55" s="69"/>
      <c r="DHK55" s="69"/>
      <c r="DHL55" s="69"/>
      <c r="DHM55" s="69"/>
      <c r="DHN55" s="69"/>
      <c r="DHO55" s="69"/>
      <c r="DHP55" s="69"/>
      <c r="DHQ55" s="69"/>
      <c r="DHR55" s="69"/>
      <c r="DHS55" s="69"/>
      <c r="DHT55" s="69"/>
      <c r="DHU55" s="69"/>
      <c r="DHV55" s="69"/>
      <c r="DHW55" s="69"/>
      <c r="DHX55" s="69"/>
      <c r="DHY55" s="69"/>
      <c r="DHZ55" s="69"/>
      <c r="DIA55" s="69"/>
      <c r="DIB55" s="69"/>
      <c r="DIC55" s="69"/>
      <c r="DID55" s="69"/>
      <c r="DIE55" s="69"/>
      <c r="DIF55" s="69"/>
      <c r="DIG55" s="69"/>
      <c r="DIH55" s="69"/>
      <c r="DII55" s="69"/>
      <c r="DIJ55" s="69"/>
      <c r="DIK55" s="69"/>
      <c r="DIL55" s="69"/>
      <c r="DIM55" s="69"/>
      <c r="DIN55" s="69"/>
      <c r="DIO55" s="69"/>
      <c r="DIP55" s="69"/>
      <c r="DIQ55" s="69"/>
      <c r="DIR55" s="69"/>
      <c r="DIS55" s="69"/>
      <c r="DIT55" s="69"/>
      <c r="DIU55" s="69"/>
      <c r="DIV55" s="69"/>
      <c r="DIW55" s="69"/>
      <c r="DIX55" s="69"/>
      <c r="DIY55" s="69"/>
      <c r="DIZ55" s="69"/>
      <c r="DJA55" s="69"/>
      <c r="DJB55" s="69"/>
      <c r="DJC55" s="69"/>
      <c r="DJD55" s="69"/>
      <c r="DJE55" s="69"/>
      <c r="DJF55" s="69"/>
      <c r="DJG55" s="69"/>
      <c r="DJH55" s="69"/>
      <c r="DJI55" s="69"/>
      <c r="DJJ55" s="69"/>
      <c r="DJK55" s="69"/>
      <c r="DJL55" s="69"/>
      <c r="DJM55" s="69"/>
      <c r="DJN55" s="69"/>
      <c r="DJO55" s="69"/>
      <c r="DJP55" s="69"/>
      <c r="DJQ55" s="69"/>
      <c r="DJR55" s="69"/>
      <c r="DJS55" s="69"/>
      <c r="DJT55" s="69"/>
      <c r="DJU55" s="69"/>
      <c r="DJV55" s="69"/>
      <c r="DJW55" s="69"/>
      <c r="DJX55" s="69"/>
      <c r="DJY55" s="69"/>
      <c r="DJZ55" s="69"/>
      <c r="DKA55" s="69"/>
      <c r="DKB55" s="69"/>
      <c r="DKC55" s="69"/>
      <c r="DKD55" s="69"/>
      <c r="DKE55" s="69"/>
      <c r="DKF55" s="69"/>
      <c r="DKG55" s="69"/>
      <c r="DKH55" s="69"/>
      <c r="DKI55" s="69"/>
      <c r="DKJ55" s="69"/>
      <c r="DKK55" s="69"/>
      <c r="DKL55" s="69"/>
      <c r="DKM55" s="69"/>
      <c r="DKN55" s="69"/>
      <c r="DKO55" s="69"/>
      <c r="DKP55" s="69"/>
      <c r="DKQ55" s="69"/>
      <c r="DKR55" s="69"/>
      <c r="DKS55" s="69"/>
      <c r="DKT55" s="69"/>
      <c r="DKU55" s="69"/>
      <c r="DKV55" s="69"/>
      <c r="DKW55" s="69"/>
      <c r="DKX55" s="69"/>
      <c r="DKY55" s="69"/>
      <c r="DKZ55" s="69"/>
      <c r="DLA55" s="69"/>
      <c r="DLB55" s="69"/>
      <c r="DLC55" s="69"/>
      <c r="DLD55" s="69"/>
      <c r="DLE55" s="69"/>
      <c r="DLF55" s="69"/>
      <c r="DLG55" s="69"/>
      <c r="DLH55" s="69"/>
      <c r="DLI55" s="69"/>
      <c r="DLJ55" s="69"/>
      <c r="DLK55" s="69"/>
      <c r="DLL55" s="69"/>
      <c r="DLM55" s="69"/>
      <c r="DLN55" s="69"/>
      <c r="DLO55" s="69"/>
      <c r="DLP55" s="69"/>
      <c r="DLQ55" s="69"/>
      <c r="DLR55" s="69"/>
      <c r="DLS55" s="69"/>
      <c r="DLT55" s="69"/>
      <c r="DLU55" s="69"/>
      <c r="DLV55" s="69"/>
      <c r="DLW55" s="69"/>
      <c r="DLX55" s="69"/>
      <c r="DLY55" s="69"/>
      <c r="DLZ55" s="69"/>
      <c r="DMA55" s="69"/>
      <c r="DMB55" s="69"/>
      <c r="DMC55" s="69"/>
      <c r="DMD55" s="69"/>
      <c r="DME55" s="69"/>
      <c r="DMF55" s="69"/>
      <c r="DMG55" s="69"/>
      <c r="DMH55" s="69"/>
      <c r="DMI55" s="69"/>
      <c r="DMJ55" s="69"/>
      <c r="DMK55" s="69"/>
      <c r="DML55" s="69"/>
      <c r="DMM55" s="69"/>
      <c r="DMN55" s="69"/>
      <c r="DMO55" s="69"/>
      <c r="DMP55" s="69"/>
      <c r="DMQ55" s="69"/>
      <c r="DMR55" s="69"/>
      <c r="DMS55" s="69"/>
      <c r="DMT55" s="69"/>
      <c r="DMU55" s="69"/>
      <c r="DMV55" s="69"/>
      <c r="DMW55" s="69"/>
      <c r="DMX55" s="69"/>
      <c r="DMY55" s="69"/>
      <c r="DMZ55" s="69"/>
      <c r="DNA55" s="69"/>
      <c r="DNB55" s="69"/>
      <c r="DNC55" s="69"/>
      <c r="DND55" s="69"/>
      <c r="DNE55" s="69"/>
      <c r="DNF55" s="69"/>
      <c r="DNG55" s="69"/>
      <c r="DNH55" s="69"/>
      <c r="DNI55" s="69"/>
      <c r="DNJ55" s="69"/>
      <c r="DNK55" s="69"/>
      <c r="DNL55" s="69"/>
      <c r="DNM55" s="69"/>
      <c r="DNN55" s="69"/>
      <c r="DNO55" s="69"/>
      <c r="DNP55" s="69"/>
      <c r="DNQ55" s="69"/>
      <c r="DNR55" s="69"/>
      <c r="DNS55" s="69"/>
      <c r="DNT55" s="69"/>
      <c r="DNU55" s="69"/>
      <c r="DNV55" s="69"/>
      <c r="DNW55" s="69"/>
      <c r="DNX55" s="69"/>
      <c r="DNY55" s="69"/>
      <c r="DNZ55" s="69"/>
      <c r="DOA55" s="69"/>
      <c r="DOB55" s="69"/>
      <c r="DOC55" s="69"/>
      <c r="DOD55" s="69"/>
      <c r="DOE55" s="69"/>
      <c r="DOF55" s="69"/>
      <c r="DOG55" s="69"/>
      <c r="DOH55" s="69"/>
      <c r="DOI55" s="69"/>
      <c r="DOJ55" s="69"/>
      <c r="DOK55" s="69"/>
      <c r="DOL55" s="69"/>
      <c r="DOM55" s="69"/>
      <c r="DON55" s="69"/>
      <c r="DOO55" s="69"/>
      <c r="DOP55" s="69"/>
      <c r="DOQ55" s="69"/>
      <c r="DOR55" s="69"/>
      <c r="DOS55" s="69"/>
      <c r="DOT55" s="69"/>
      <c r="DOU55" s="69"/>
      <c r="DOV55" s="69"/>
      <c r="DOW55" s="69"/>
      <c r="DOX55" s="69"/>
      <c r="DOY55" s="69"/>
      <c r="DOZ55" s="69"/>
      <c r="DPA55" s="69"/>
      <c r="DPB55" s="69"/>
      <c r="DPC55" s="69"/>
      <c r="DPD55" s="69"/>
      <c r="DPE55" s="69"/>
      <c r="DPF55" s="69"/>
      <c r="DPG55" s="69"/>
      <c r="DPH55" s="69"/>
      <c r="DPI55" s="69"/>
      <c r="DPJ55" s="69"/>
      <c r="DPK55" s="69"/>
      <c r="DPL55" s="69"/>
      <c r="DPM55" s="69"/>
      <c r="DPN55" s="69"/>
      <c r="DPO55" s="69"/>
      <c r="DPP55" s="69"/>
      <c r="DPQ55" s="69"/>
      <c r="DPR55" s="69"/>
      <c r="DPS55" s="69"/>
      <c r="DPT55" s="69"/>
      <c r="DPU55" s="69"/>
      <c r="DPV55" s="69"/>
      <c r="DPW55" s="69"/>
      <c r="DPX55" s="69"/>
      <c r="DPY55" s="69"/>
      <c r="DPZ55" s="69"/>
      <c r="DQA55" s="69"/>
      <c r="DQB55" s="69"/>
      <c r="DQC55" s="69"/>
      <c r="DQD55" s="69"/>
      <c r="DQE55" s="69"/>
      <c r="DQF55" s="69"/>
      <c r="DQG55" s="69"/>
      <c r="DQH55" s="69"/>
      <c r="DQI55" s="69"/>
      <c r="DQJ55" s="69"/>
      <c r="DQK55" s="69"/>
      <c r="DQL55" s="69"/>
      <c r="DQM55" s="69"/>
      <c r="DQN55" s="69"/>
      <c r="DQO55" s="69"/>
      <c r="DQP55" s="69"/>
      <c r="DQQ55" s="69"/>
      <c r="DQR55" s="69"/>
      <c r="DQS55" s="69"/>
      <c r="DQT55" s="69"/>
      <c r="DQU55" s="69"/>
      <c r="DQV55" s="69"/>
      <c r="DQW55" s="69"/>
      <c r="DQX55" s="69"/>
      <c r="DQY55" s="69"/>
      <c r="DQZ55" s="69"/>
      <c r="DRA55" s="69"/>
      <c r="DRB55" s="69"/>
      <c r="DRC55" s="69"/>
      <c r="DRD55" s="69"/>
      <c r="DRE55" s="69"/>
      <c r="DRF55" s="69"/>
      <c r="DRG55" s="69"/>
      <c r="DRH55" s="69"/>
      <c r="DRI55" s="69"/>
      <c r="DRJ55" s="69"/>
      <c r="DRK55" s="69"/>
      <c r="DRL55" s="69"/>
      <c r="DRM55" s="69"/>
      <c r="DRN55" s="69"/>
      <c r="DRO55" s="69"/>
      <c r="DRP55" s="69"/>
      <c r="DRQ55" s="69"/>
      <c r="DRR55" s="69"/>
      <c r="DRS55" s="69"/>
      <c r="DRT55" s="69"/>
      <c r="DRU55" s="69"/>
      <c r="DRV55" s="69"/>
      <c r="DRW55" s="69"/>
      <c r="DRX55" s="69"/>
      <c r="DRY55" s="69"/>
      <c r="DRZ55" s="69"/>
      <c r="DSA55" s="69"/>
      <c r="DSB55" s="69"/>
      <c r="DSC55" s="69"/>
      <c r="DSD55" s="69"/>
      <c r="DSE55" s="69"/>
      <c r="DSF55" s="69"/>
      <c r="DSG55" s="69"/>
      <c r="DSH55" s="69"/>
      <c r="DSI55" s="69"/>
      <c r="DSJ55" s="69"/>
      <c r="DSK55" s="69"/>
      <c r="DSL55" s="69"/>
      <c r="DSM55" s="69"/>
      <c r="DSN55" s="69"/>
      <c r="DSO55" s="69"/>
      <c r="DSP55" s="69"/>
      <c r="DSQ55" s="69"/>
      <c r="DSR55" s="69"/>
      <c r="DSS55" s="69"/>
      <c r="DST55" s="69"/>
      <c r="DSU55" s="69"/>
      <c r="DSV55" s="69"/>
      <c r="DSW55" s="69"/>
      <c r="DSX55" s="69"/>
      <c r="DSY55" s="69"/>
      <c r="DSZ55" s="69"/>
      <c r="DTA55" s="69"/>
      <c r="DTB55" s="69"/>
      <c r="DTC55" s="69"/>
      <c r="DTD55" s="69"/>
      <c r="DTE55" s="69"/>
      <c r="DTF55" s="69"/>
      <c r="DTG55" s="69"/>
      <c r="DTH55" s="69"/>
      <c r="DTI55" s="69"/>
      <c r="DTJ55" s="69"/>
      <c r="DTK55" s="69"/>
      <c r="DTL55" s="69"/>
      <c r="DTM55" s="69"/>
      <c r="DTN55" s="69"/>
      <c r="DTO55" s="69"/>
      <c r="DTP55" s="69"/>
      <c r="DTQ55" s="69"/>
      <c r="DTR55" s="69"/>
      <c r="DTS55" s="69"/>
      <c r="DTT55" s="69"/>
      <c r="DTU55" s="69"/>
      <c r="DTV55" s="69"/>
      <c r="DTW55" s="69"/>
      <c r="DTX55" s="69"/>
      <c r="DTY55" s="69"/>
      <c r="DTZ55" s="69"/>
      <c r="DUA55" s="69"/>
      <c r="DUB55" s="69"/>
      <c r="DUC55" s="69"/>
      <c r="DUD55" s="69"/>
      <c r="DUE55" s="69"/>
      <c r="DUF55" s="69"/>
      <c r="DUG55" s="69"/>
      <c r="DUH55" s="69"/>
      <c r="DUI55" s="69"/>
      <c r="DUJ55" s="69"/>
      <c r="DUK55" s="69"/>
      <c r="DUL55" s="69"/>
      <c r="DUM55" s="69"/>
      <c r="DUN55" s="69"/>
      <c r="DUO55" s="69"/>
      <c r="DUP55" s="69"/>
      <c r="DUQ55" s="69"/>
      <c r="DUR55" s="69"/>
      <c r="DUS55" s="69"/>
      <c r="DUT55" s="69"/>
      <c r="DUU55" s="69"/>
      <c r="DUV55" s="69"/>
      <c r="DUW55" s="69"/>
      <c r="DUX55" s="69"/>
      <c r="DUY55" s="69"/>
      <c r="DUZ55" s="69"/>
      <c r="DVA55" s="69"/>
      <c r="DVB55" s="69"/>
      <c r="DVC55" s="69"/>
      <c r="DVD55" s="69"/>
      <c r="DVE55" s="69"/>
      <c r="DVF55" s="69"/>
      <c r="DVG55" s="69"/>
      <c r="DVH55" s="69"/>
      <c r="DVI55" s="69"/>
      <c r="DVJ55" s="69"/>
      <c r="DVK55" s="69"/>
      <c r="DVL55" s="69"/>
      <c r="DVM55" s="69"/>
      <c r="DVN55" s="69"/>
      <c r="DVO55" s="69"/>
      <c r="DVP55" s="69"/>
      <c r="DVQ55" s="69"/>
      <c r="DVR55" s="69"/>
      <c r="DVS55" s="69"/>
      <c r="DVT55" s="69"/>
      <c r="DVU55" s="69"/>
      <c r="DVV55" s="69"/>
      <c r="DVW55" s="69"/>
      <c r="DVX55" s="69"/>
      <c r="DVY55" s="69"/>
      <c r="DVZ55" s="69"/>
      <c r="DWA55" s="69"/>
      <c r="DWB55" s="69"/>
      <c r="DWC55" s="69"/>
      <c r="DWD55" s="69"/>
      <c r="DWE55" s="69"/>
      <c r="DWF55" s="69"/>
      <c r="DWG55" s="69"/>
      <c r="DWH55" s="69"/>
      <c r="DWI55" s="69"/>
      <c r="DWJ55" s="69"/>
      <c r="DWK55" s="69"/>
      <c r="DWL55" s="69"/>
      <c r="DWM55" s="69"/>
      <c r="DWN55" s="69"/>
      <c r="DWO55" s="69"/>
      <c r="DWP55" s="69"/>
      <c r="DWQ55" s="69"/>
      <c r="DWR55" s="69"/>
      <c r="DWS55" s="69"/>
      <c r="DWT55" s="69"/>
      <c r="DWU55" s="69"/>
      <c r="DWV55" s="69"/>
      <c r="DWW55" s="69"/>
      <c r="DWX55" s="69"/>
      <c r="DWY55" s="69"/>
      <c r="DWZ55" s="69"/>
      <c r="DXA55" s="69"/>
      <c r="DXB55" s="69"/>
      <c r="DXC55" s="69"/>
      <c r="DXD55" s="69"/>
      <c r="DXE55" s="69"/>
      <c r="DXF55" s="69"/>
      <c r="DXG55" s="69"/>
      <c r="DXH55" s="69"/>
      <c r="DXI55" s="69"/>
      <c r="DXJ55" s="69"/>
      <c r="DXK55" s="69"/>
      <c r="DXL55" s="69"/>
      <c r="DXM55" s="69"/>
      <c r="DXN55" s="69"/>
      <c r="DXO55" s="69"/>
      <c r="DXP55" s="69"/>
      <c r="DXQ55" s="69"/>
      <c r="DXR55" s="69"/>
      <c r="DXS55" s="69"/>
      <c r="DXT55" s="69"/>
      <c r="DXU55" s="69"/>
      <c r="DXV55" s="69"/>
      <c r="DXW55" s="69"/>
      <c r="DXX55" s="69"/>
      <c r="DXY55" s="69"/>
      <c r="DXZ55" s="69"/>
      <c r="DYA55" s="69"/>
      <c r="DYB55" s="69"/>
      <c r="DYC55" s="69"/>
      <c r="DYD55" s="69"/>
      <c r="DYE55" s="69"/>
      <c r="DYF55" s="69"/>
      <c r="DYG55" s="69"/>
      <c r="DYH55" s="69"/>
      <c r="DYI55" s="69"/>
      <c r="DYJ55" s="69"/>
      <c r="DYK55" s="69"/>
      <c r="DYL55" s="69"/>
      <c r="DYM55" s="69"/>
      <c r="DYN55" s="69"/>
      <c r="DYO55" s="69"/>
      <c r="DYP55" s="69"/>
      <c r="DYQ55" s="69"/>
      <c r="DYR55" s="69"/>
      <c r="DYS55" s="69"/>
      <c r="DYT55" s="69"/>
      <c r="DYU55" s="69"/>
      <c r="DYV55" s="69"/>
      <c r="DYW55" s="69"/>
      <c r="DYX55" s="69"/>
      <c r="DYY55" s="69"/>
      <c r="DYZ55" s="69"/>
      <c r="DZA55" s="69"/>
      <c r="DZB55" s="69"/>
      <c r="DZC55" s="69"/>
      <c r="DZD55" s="69"/>
      <c r="DZE55" s="69"/>
      <c r="DZF55" s="69"/>
      <c r="DZG55" s="69"/>
      <c r="DZH55" s="69"/>
      <c r="DZI55" s="69"/>
      <c r="DZJ55" s="69"/>
      <c r="DZK55" s="69"/>
      <c r="DZL55" s="69"/>
      <c r="DZM55" s="69"/>
      <c r="DZN55" s="69"/>
      <c r="DZO55" s="69"/>
      <c r="DZP55" s="69"/>
      <c r="DZQ55" s="69"/>
      <c r="DZR55" s="69"/>
      <c r="DZS55" s="69"/>
      <c r="DZT55" s="69"/>
      <c r="DZU55" s="69"/>
      <c r="DZV55" s="69"/>
      <c r="DZW55" s="69"/>
      <c r="DZX55" s="69"/>
      <c r="DZY55" s="69"/>
      <c r="DZZ55" s="69"/>
      <c r="EAA55" s="69"/>
      <c r="EAB55" s="69"/>
      <c r="EAC55" s="69"/>
      <c r="EAD55" s="69"/>
      <c r="EAE55" s="69"/>
      <c r="EAF55" s="69"/>
      <c r="EAG55" s="69"/>
      <c r="EAH55" s="69"/>
      <c r="EAI55" s="69"/>
      <c r="EAJ55" s="69"/>
      <c r="EAK55" s="69"/>
      <c r="EAL55" s="69"/>
      <c r="EAM55" s="69"/>
      <c r="EAN55" s="69"/>
      <c r="EAO55" s="69"/>
      <c r="EAP55" s="69"/>
      <c r="EAQ55" s="69"/>
      <c r="EAR55" s="69"/>
      <c r="EAS55" s="69"/>
      <c r="EAT55" s="69"/>
      <c r="EAU55" s="69"/>
      <c r="EAV55" s="69"/>
      <c r="EAW55" s="69"/>
      <c r="EAX55" s="69"/>
      <c r="EAY55" s="69"/>
      <c r="EAZ55" s="69"/>
      <c r="EBA55" s="69"/>
      <c r="EBB55" s="69"/>
      <c r="EBC55" s="69"/>
      <c r="EBD55" s="69"/>
      <c r="EBE55" s="69"/>
      <c r="EBF55" s="69"/>
      <c r="EBG55" s="69"/>
      <c r="EBH55" s="69"/>
      <c r="EBI55" s="69"/>
      <c r="EBJ55" s="69"/>
      <c r="EBK55" s="69"/>
      <c r="EBL55" s="69"/>
      <c r="EBM55" s="69"/>
      <c r="EBN55" s="69"/>
      <c r="EBO55" s="69"/>
      <c r="EBP55" s="69"/>
      <c r="EBQ55" s="69"/>
      <c r="EBR55" s="69"/>
      <c r="EBS55" s="69"/>
      <c r="EBT55" s="69"/>
      <c r="EBU55" s="69"/>
      <c r="EBV55" s="69"/>
      <c r="EBW55" s="69"/>
      <c r="EBX55" s="69"/>
      <c r="EBY55" s="69"/>
      <c r="EBZ55" s="69"/>
      <c r="ECA55" s="69"/>
      <c r="ECB55" s="69"/>
      <c r="ECC55" s="69"/>
      <c r="ECD55" s="69"/>
      <c r="ECE55" s="69"/>
      <c r="ECF55" s="69"/>
      <c r="ECG55" s="69"/>
      <c r="ECH55" s="69"/>
      <c r="ECI55" s="69"/>
      <c r="ECJ55" s="69"/>
      <c r="ECK55" s="69"/>
      <c r="ECL55" s="69"/>
      <c r="ECM55" s="69"/>
      <c r="ECN55" s="69"/>
      <c r="ECO55" s="69"/>
      <c r="ECP55" s="69"/>
      <c r="ECQ55" s="69"/>
      <c r="ECR55" s="69"/>
      <c r="ECS55" s="69"/>
      <c r="ECT55" s="69"/>
      <c r="ECU55" s="69"/>
      <c r="ECV55" s="69"/>
      <c r="ECW55" s="69"/>
      <c r="ECX55" s="69"/>
      <c r="ECY55" s="69"/>
      <c r="ECZ55" s="69"/>
      <c r="EDA55" s="69"/>
      <c r="EDB55" s="69"/>
      <c r="EDC55" s="69"/>
      <c r="EDD55" s="69"/>
      <c r="EDE55" s="69"/>
      <c r="EDF55" s="69"/>
      <c r="EDG55" s="69"/>
      <c r="EDH55" s="69"/>
      <c r="EDI55" s="69"/>
      <c r="EDJ55" s="69"/>
      <c r="EDK55" s="69"/>
      <c r="EDL55" s="69"/>
      <c r="EDM55" s="69"/>
      <c r="EDN55" s="69"/>
      <c r="EDO55" s="69"/>
      <c r="EDP55" s="69"/>
      <c r="EDQ55" s="69"/>
      <c r="EDR55" s="69"/>
      <c r="EDS55" s="69"/>
      <c r="EDT55" s="69"/>
      <c r="EDU55" s="69"/>
      <c r="EDV55" s="69"/>
      <c r="EDW55" s="69"/>
      <c r="EDX55" s="69"/>
      <c r="EDY55" s="69"/>
      <c r="EDZ55" s="69"/>
      <c r="EEA55" s="69"/>
      <c r="EEB55" s="69"/>
      <c r="EEC55" s="69"/>
      <c r="EED55" s="69"/>
      <c r="EEE55" s="69"/>
      <c r="EEF55" s="69"/>
      <c r="EEG55" s="69"/>
      <c r="EEH55" s="69"/>
      <c r="EEI55" s="69"/>
      <c r="EEJ55" s="69"/>
      <c r="EEK55" s="69"/>
      <c r="EEL55" s="69"/>
      <c r="EEM55" s="69"/>
      <c r="EEN55" s="69"/>
      <c r="EEO55" s="69"/>
      <c r="EEP55" s="69"/>
      <c r="EEQ55" s="69"/>
      <c r="EER55" s="69"/>
      <c r="EES55" s="69"/>
      <c r="EET55" s="69"/>
      <c r="EEU55" s="69"/>
      <c r="EEV55" s="69"/>
      <c r="EEW55" s="69"/>
      <c r="EEX55" s="69"/>
      <c r="EEY55" s="69"/>
      <c r="EEZ55" s="69"/>
      <c r="EFA55" s="69"/>
      <c r="EFB55" s="69"/>
      <c r="EFC55" s="69"/>
      <c r="EFD55" s="69"/>
      <c r="EFE55" s="69"/>
      <c r="EFF55" s="69"/>
      <c r="EFG55" s="69"/>
      <c r="EFH55" s="69"/>
      <c r="EFI55" s="69"/>
      <c r="EFJ55" s="69"/>
      <c r="EFK55" s="69"/>
      <c r="EFL55" s="69"/>
      <c r="EFM55" s="69"/>
      <c r="EFN55" s="69"/>
      <c r="EFO55" s="69"/>
      <c r="EFP55" s="69"/>
      <c r="EFQ55" s="69"/>
      <c r="EFR55" s="69"/>
      <c r="EFS55" s="69"/>
      <c r="EFT55" s="69"/>
      <c r="EFU55" s="69"/>
      <c r="EFV55" s="69"/>
      <c r="EFW55" s="69"/>
      <c r="EFX55" s="69"/>
      <c r="EFY55" s="69"/>
      <c r="EFZ55" s="69"/>
      <c r="EGA55" s="69"/>
      <c r="EGB55" s="69"/>
      <c r="EGC55" s="69"/>
      <c r="EGD55" s="69"/>
      <c r="EGE55" s="69"/>
      <c r="EGF55" s="69"/>
      <c r="EGG55" s="69"/>
      <c r="EGH55" s="69"/>
      <c r="EGI55" s="69"/>
      <c r="EGJ55" s="69"/>
      <c r="EGK55" s="69"/>
      <c r="EGL55" s="69"/>
      <c r="EGM55" s="69"/>
      <c r="EGN55" s="69"/>
      <c r="EGO55" s="69"/>
      <c r="EGP55" s="69"/>
      <c r="EGQ55" s="69"/>
      <c r="EGR55" s="69"/>
      <c r="EGS55" s="69"/>
      <c r="EGT55" s="69"/>
      <c r="EGU55" s="69"/>
      <c r="EGV55" s="69"/>
      <c r="EGW55" s="69"/>
      <c r="EGX55" s="69"/>
      <c r="EGY55" s="69"/>
      <c r="EGZ55" s="69"/>
      <c r="EHA55" s="69"/>
      <c r="EHB55" s="69"/>
      <c r="EHC55" s="69"/>
      <c r="EHD55" s="69"/>
      <c r="EHE55" s="69"/>
      <c r="EHF55" s="69"/>
      <c r="EHG55" s="69"/>
      <c r="EHH55" s="69"/>
      <c r="EHI55" s="69"/>
      <c r="EHJ55" s="69"/>
      <c r="EHK55" s="69"/>
      <c r="EHL55" s="69"/>
      <c r="EHM55" s="69"/>
      <c r="EHN55" s="69"/>
      <c r="EHO55" s="69"/>
      <c r="EHP55" s="69"/>
      <c r="EHQ55" s="69"/>
      <c r="EHR55" s="69"/>
      <c r="EHS55" s="69"/>
      <c r="EHT55" s="69"/>
      <c r="EHU55" s="69"/>
      <c r="EHV55" s="69"/>
      <c r="EHW55" s="69"/>
      <c r="EHX55" s="69"/>
      <c r="EHY55" s="69"/>
      <c r="EHZ55" s="69"/>
      <c r="EIA55" s="69"/>
      <c r="EIB55" s="69"/>
      <c r="EIC55" s="69"/>
      <c r="EID55" s="69"/>
      <c r="EIE55" s="69"/>
      <c r="EIF55" s="69"/>
      <c r="EIG55" s="69"/>
      <c r="EIH55" s="69"/>
      <c r="EII55" s="69"/>
      <c r="EIJ55" s="69"/>
      <c r="EIK55" s="69"/>
      <c r="EIL55" s="69"/>
      <c r="EIM55" s="69"/>
      <c r="EIN55" s="69"/>
      <c r="EIO55" s="69"/>
      <c r="EIP55" s="69"/>
      <c r="EIQ55" s="69"/>
      <c r="EIR55" s="69"/>
      <c r="EIS55" s="69"/>
      <c r="EIT55" s="69"/>
      <c r="EIU55" s="69"/>
      <c r="EIV55" s="69"/>
      <c r="EIW55" s="69"/>
      <c r="EIX55" s="69"/>
      <c r="EIY55" s="69"/>
      <c r="EIZ55" s="69"/>
      <c r="EJA55" s="69"/>
      <c r="EJB55" s="69"/>
      <c r="EJC55" s="69"/>
      <c r="EJD55" s="69"/>
      <c r="EJE55" s="69"/>
      <c r="EJF55" s="69"/>
      <c r="EJG55" s="69"/>
      <c r="EJH55" s="69"/>
      <c r="EJI55" s="69"/>
      <c r="EJJ55" s="69"/>
      <c r="EJK55" s="69"/>
      <c r="EJL55" s="69"/>
      <c r="EJM55" s="69"/>
      <c r="EJN55" s="69"/>
      <c r="EJO55" s="69"/>
      <c r="EJP55" s="69"/>
      <c r="EJQ55" s="69"/>
      <c r="EJR55" s="69"/>
      <c r="EJS55" s="69"/>
      <c r="EJT55" s="69"/>
      <c r="EJU55" s="69"/>
      <c r="EJV55" s="69"/>
      <c r="EJW55" s="69"/>
      <c r="EJX55" s="69"/>
      <c r="EJY55" s="69"/>
      <c r="EJZ55" s="69"/>
      <c r="EKA55" s="69"/>
      <c r="EKB55" s="69"/>
      <c r="EKC55" s="69"/>
      <c r="EKD55" s="69"/>
      <c r="EKE55" s="69"/>
      <c r="EKF55" s="69"/>
      <c r="EKG55" s="69"/>
      <c r="EKH55" s="69"/>
      <c r="EKI55" s="69"/>
      <c r="EKJ55" s="69"/>
      <c r="EKK55" s="69"/>
      <c r="EKL55" s="69"/>
      <c r="EKM55" s="69"/>
      <c r="EKN55" s="69"/>
      <c r="EKO55" s="69"/>
      <c r="EKP55" s="69"/>
      <c r="EKQ55" s="69"/>
      <c r="EKR55" s="69"/>
      <c r="EKS55" s="69"/>
      <c r="EKT55" s="69"/>
      <c r="EKU55" s="69"/>
      <c r="EKV55" s="69"/>
      <c r="EKW55" s="69"/>
      <c r="EKX55" s="69"/>
      <c r="EKY55" s="69"/>
      <c r="EKZ55" s="69"/>
      <c r="ELA55" s="69"/>
      <c r="ELB55" s="69"/>
      <c r="ELC55" s="69"/>
      <c r="ELD55" s="69"/>
      <c r="ELE55" s="69"/>
      <c r="ELF55" s="69"/>
      <c r="ELG55" s="69"/>
      <c r="ELH55" s="69"/>
      <c r="ELI55" s="69"/>
      <c r="ELJ55" s="69"/>
      <c r="ELK55" s="69"/>
      <c r="ELL55" s="69"/>
      <c r="ELM55" s="69"/>
      <c r="ELN55" s="69"/>
      <c r="ELO55" s="69"/>
      <c r="ELP55" s="69"/>
      <c r="ELQ55" s="69"/>
      <c r="ELR55" s="69"/>
      <c r="ELS55" s="69"/>
      <c r="ELT55" s="69"/>
      <c r="ELU55" s="69"/>
      <c r="ELV55" s="69"/>
      <c r="ELW55" s="69"/>
      <c r="ELX55" s="69"/>
      <c r="ELY55" s="69"/>
      <c r="ELZ55" s="69"/>
      <c r="EMA55" s="69"/>
      <c r="EMB55" s="69"/>
      <c r="EMC55" s="69"/>
      <c r="EMD55" s="69"/>
      <c r="EME55" s="69"/>
      <c r="EMF55" s="69"/>
      <c r="EMG55" s="69"/>
      <c r="EMH55" s="69"/>
      <c r="EMI55" s="69"/>
      <c r="EMJ55" s="69"/>
      <c r="EMK55" s="69"/>
      <c r="EML55" s="69"/>
      <c r="EMM55" s="69"/>
      <c r="EMN55" s="69"/>
      <c r="EMO55" s="69"/>
      <c r="EMP55" s="69"/>
      <c r="EMQ55" s="69"/>
      <c r="EMR55" s="69"/>
      <c r="EMS55" s="69"/>
      <c r="EMT55" s="69"/>
      <c r="EMU55" s="69"/>
      <c r="EMV55" s="69"/>
      <c r="EMW55" s="69"/>
      <c r="EMX55" s="69"/>
      <c r="EMY55" s="69"/>
      <c r="EMZ55" s="69"/>
      <c r="ENA55" s="69"/>
      <c r="ENB55" s="69"/>
      <c r="ENC55" s="69"/>
      <c r="END55" s="69"/>
      <c r="ENE55" s="69"/>
      <c r="ENF55" s="69"/>
      <c r="ENG55" s="69"/>
      <c r="ENH55" s="69"/>
      <c r="ENI55" s="69"/>
      <c r="ENJ55" s="69"/>
      <c r="ENK55" s="69"/>
      <c r="ENL55" s="69"/>
      <c r="ENM55" s="69"/>
      <c r="ENN55" s="69"/>
      <c r="ENO55" s="69"/>
      <c r="ENP55" s="69"/>
      <c r="ENQ55" s="69"/>
      <c r="ENR55" s="69"/>
      <c r="ENS55" s="69"/>
      <c r="ENT55" s="69"/>
      <c r="ENU55" s="69"/>
      <c r="ENV55" s="69"/>
      <c r="ENW55" s="69"/>
      <c r="ENX55" s="69"/>
      <c r="ENY55" s="69"/>
      <c r="ENZ55" s="69"/>
      <c r="EOA55" s="69"/>
      <c r="EOB55" s="69"/>
      <c r="EOC55" s="69"/>
      <c r="EOD55" s="69"/>
      <c r="EOE55" s="69"/>
      <c r="EOF55" s="69"/>
      <c r="EOG55" s="69"/>
      <c r="EOH55" s="69"/>
      <c r="EOI55" s="69"/>
      <c r="EOJ55" s="69"/>
      <c r="EOK55" s="69"/>
      <c r="EOL55" s="69"/>
      <c r="EOM55" s="69"/>
      <c r="EON55" s="69"/>
      <c r="EOO55" s="69"/>
      <c r="EOP55" s="69"/>
      <c r="EOQ55" s="69"/>
      <c r="EOR55" s="69"/>
      <c r="EOS55" s="69"/>
      <c r="EOT55" s="69"/>
      <c r="EOU55" s="69"/>
      <c r="EOV55" s="69"/>
      <c r="EOW55" s="69"/>
      <c r="EOX55" s="69"/>
      <c r="EOY55" s="69"/>
      <c r="EOZ55" s="69"/>
      <c r="EPA55" s="69"/>
      <c r="EPB55" s="69"/>
      <c r="EPC55" s="69"/>
      <c r="EPD55" s="69"/>
      <c r="EPE55" s="69"/>
      <c r="EPF55" s="69"/>
      <c r="EPG55" s="69"/>
      <c r="EPH55" s="69"/>
      <c r="EPI55" s="69"/>
      <c r="EPJ55" s="69"/>
      <c r="EPK55" s="69"/>
      <c r="EPL55" s="69"/>
      <c r="EPM55" s="69"/>
      <c r="EPN55" s="69"/>
      <c r="EPO55" s="69"/>
      <c r="EPP55" s="69"/>
      <c r="EPQ55" s="69"/>
      <c r="EPR55" s="69"/>
      <c r="EPS55" s="69"/>
      <c r="EPT55" s="69"/>
      <c r="EPU55" s="69"/>
      <c r="EPV55" s="69"/>
      <c r="EPW55" s="69"/>
      <c r="EPX55" s="69"/>
      <c r="EPY55" s="69"/>
      <c r="EPZ55" s="69"/>
      <c r="EQA55" s="69"/>
      <c r="EQB55" s="69"/>
      <c r="EQC55" s="69"/>
      <c r="EQD55" s="69"/>
      <c r="EQE55" s="69"/>
      <c r="EQF55" s="69"/>
      <c r="EQG55" s="69"/>
      <c r="EQH55" s="69"/>
      <c r="EQI55" s="69"/>
      <c r="EQJ55" s="69"/>
      <c r="EQK55" s="69"/>
      <c r="EQL55" s="69"/>
      <c r="EQM55" s="69"/>
      <c r="EQN55" s="69"/>
      <c r="EQO55" s="69"/>
      <c r="EQP55" s="69"/>
      <c r="EQQ55" s="69"/>
      <c r="EQR55" s="69"/>
      <c r="EQS55" s="69"/>
      <c r="EQT55" s="69"/>
      <c r="EQU55" s="69"/>
      <c r="EQV55" s="69"/>
      <c r="EQW55" s="69"/>
      <c r="EQX55" s="69"/>
      <c r="EQY55" s="69"/>
      <c r="EQZ55" s="69"/>
      <c r="ERA55" s="69"/>
      <c r="ERB55" s="69"/>
      <c r="ERC55" s="69"/>
      <c r="ERD55" s="69"/>
      <c r="ERE55" s="69"/>
      <c r="ERF55" s="69"/>
      <c r="ERG55" s="69"/>
      <c r="ERH55" s="69"/>
      <c r="ERI55" s="69"/>
      <c r="ERJ55" s="69"/>
      <c r="ERK55" s="69"/>
      <c r="ERL55" s="69"/>
      <c r="ERM55" s="69"/>
      <c r="ERN55" s="69"/>
      <c r="ERO55" s="69"/>
      <c r="ERP55" s="69"/>
      <c r="ERQ55" s="69"/>
      <c r="ERR55" s="69"/>
      <c r="ERS55" s="69"/>
      <c r="ERT55" s="69"/>
      <c r="ERU55" s="69"/>
      <c r="ERV55" s="69"/>
      <c r="ERW55" s="69"/>
      <c r="ERX55" s="69"/>
      <c r="ERY55" s="69"/>
      <c r="ERZ55" s="69"/>
      <c r="ESA55" s="69"/>
      <c r="ESB55" s="69"/>
      <c r="ESC55" s="69"/>
      <c r="ESD55" s="69"/>
      <c r="ESE55" s="69"/>
      <c r="ESF55" s="69"/>
      <c r="ESG55" s="69"/>
      <c r="ESH55" s="69"/>
      <c r="ESI55" s="69"/>
      <c r="ESJ55" s="69"/>
      <c r="ESK55" s="69"/>
      <c r="ESL55" s="69"/>
      <c r="ESM55" s="69"/>
      <c r="ESN55" s="69"/>
      <c r="ESO55" s="69"/>
      <c r="ESP55" s="69"/>
      <c r="ESQ55" s="69"/>
      <c r="ESR55" s="69"/>
      <c r="ESS55" s="69"/>
      <c r="EST55" s="69"/>
      <c r="ESU55" s="69"/>
      <c r="ESV55" s="69"/>
      <c r="ESW55" s="69"/>
      <c r="ESX55" s="69"/>
      <c r="ESY55" s="69"/>
      <c r="ESZ55" s="69"/>
      <c r="ETA55" s="69"/>
      <c r="ETB55" s="69"/>
      <c r="ETC55" s="69"/>
      <c r="ETD55" s="69"/>
      <c r="ETE55" s="69"/>
      <c r="ETF55" s="69"/>
      <c r="ETG55" s="69"/>
      <c r="ETH55" s="69"/>
      <c r="ETI55" s="69"/>
      <c r="ETJ55" s="69"/>
      <c r="ETK55" s="69"/>
      <c r="ETL55" s="69"/>
      <c r="ETM55" s="69"/>
      <c r="ETN55" s="69"/>
      <c r="ETO55" s="69"/>
      <c r="ETP55" s="69"/>
      <c r="ETQ55" s="69"/>
      <c r="ETR55" s="69"/>
      <c r="ETS55" s="69"/>
      <c r="ETT55" s="69"/>
      <c r="ETU55" s="69"/>
      <c r="ETV55" s="69"/>
      <c r="ETW55" s="69"/>
      <c r="ETX55" s="69"/>
      <c r="ETY55" s="69"/>
      <c r="ETZ55" s="69"/>
      <c r="EUA55" s="69"/>
      <c r="EUB55" s="69"/>
      <c r="EUC55" s="69"/>
      <c r="EUD55" s="69"/>
      <c r="EUE55" s="69"/>
      <c r="EUF55" s="69"/>
      <c r="EUG55" s="69"/>
      <c r="EUH55" s="69"/>
      <c r="EUI55" s="69"/>
      <c r="EUJ55" s="69"/>
      <c r="EUK55" s="69"/>
      <c r="EUL55" s="69"/>
      <c r="EUM55" s="69"/>
      <c r="EUN55" s="69"/>
      <c r="EUO55" s="69"/>
      <c r="EUP55" s="69"/>
      <c r="EUQ55" s="69"/>
      <c r="EUR55" s="69"/>
      <c r="EUS55" s="69"/>
      <c r="EUT55" s="69"/>
      <c r="EUU55" s="69"/>
      <c r="EUV55" s="69"/>
      <c r="EUW55" s="69"/>
      <c r="EUX55" s="69"/>
      <c r="EUY55" s="69"/>
      <c r="EUZ55" s="69"/>
      <c r="EVA55" s="69"/>
      <c r="EVB55" s="69"/>
      <c r="EVC55" s="69"/>
      <c r="EVD55" s="69"/>
      <c r="EVE55" s="69"/>
      <c r="EVF55" s="69"/>
      <c r="EVG55" s="69"/>
      <c r="EVH55" s="69"/>
      <c r="EVI55" s="69"/>
      <c r="EVJ55" s="69"/>
      <c r="EVK55" s="69"/>
      <c r="EVL55" s="69"/>
      <c r="EVM55" s="69"/>
      <c r="EVN55" s="69"/>
      <c r="EVO55" s="69"/>
      <c r="EVP55" s="69"/>
      <c r="EVQ55" s="69"/>
      <c r="EVR55" s="69"/>
      <c r="EVS55" s="69"/>
      <c r="EVT55" s="69"/>
      <c r="EVU55" s="69"/>
      <c r="EVV55" s="69"/>
      <c r="EVW55" s="69"/>
      <c r="EVX55" s="69"/>
      <c r="EVY55" s="69"/>
      <c r="EVZ55" s="69"/>
      <c r="EWA55" s="69"/>
      <c r="EWB55" s="69"/>
      <c r="EWC55" s="69"/>
      <c r="EWD55" s="69"/>
      <c r="EWE55" s="69"/>
      <c r="EWF55" s="69"/>
      <c r="EWG55" s="69"/>
      <c r="EWH55" s="69"/>
      <c r="EWI55" s="69"/>
      <c r="EWJ55" s="69"/>
      <c r="EWK55" s="69"/>
      <c r="EWL55" s="69"/>
      <c r="EWM55" s="69"/>
      <c r="EWN55" s="69"/>
      <c r="EWO55" s="69"/>
      <c r="EWP55" s="69"/>
      <c r="EWQ55" s="69"/>
      <c r="EWR55" s="69"/>
      <c r="EWS55" s="69"/>
      <c r="EWT55" s="69"/>
      <c r="EWU55" s="69"/>
      <c r="EWV55" s="69"/>
      <c r="EWW55" s="69"/>
      <c r="EWX55" s="69"/>
      <c r="EWY55" s="69"/>
      <c r="EWZ55" s="69"/>
      <c r="EXA55" s="69"/>
      <c r="EXB55" s="69"/>
      <c r="EXC55" s="69"/>
      <c r="EXD55" s="69"/>
      <c r="EXE55" s="69"/>
      <c r="EXF55" s="69"/>
      <c r="EXG55" s="69"/>
      <c r="EXH55" s="69"/>
      <c r="EXI55" s="69"/>
      <c r="EXJ55" s="69"/>
      <c r="EXK55" s="69"/>
      <c r="EXL55" s="69"/>
      <c r="EXM55" s="69"/>
      <c r="EXN55" s="69"/>
      <c r="EXO55" s="69"/>
      <c r="EXP55" s="69"/>
      <c r="EXQ55" s="69"/>
      <c r="EXR55" s="69"/>
      <c r="EXS55" s="69"/>
      <c r="EXT55" s="69"/>
      <c r="EXU55" s="69"/>
      <c r="EXV55" s="69"/>
      <c r="EXW55" s="69"/>
      <c r="EXX55" s="69"/>
      <c r="EXY55" s="69"/>
      <c r="EXZ55" s="69"/>
      <c r="EYA55" s="69"/>
      <c r="EYB55" s="69"/>
      <c r="EYC55" s="69"/>
      <c r="EYD55" s="69"/>
      <c r="EYE55" s="69"/>
      <c r="EYF55" s="69"/>
      <c r="EYG55" s="69"/>
      <c r="EYH55" s="69"/>
      <c r="EYI55" s="69"/>
      <c r="EYJ55" s="69"/>
      <c r="EYK55" s="69"/>
      <c r="EYL55" s="69"/>
      <c r="EYM55" s="69"/>
      <c r="EYN55" s="69"/>
      <c r="EYO55" s="69"/>
      <c r="EYP55" s="69"/>
      <c r="EYQ55" s="69"/>
      <c r="EYR55" s="69"/>
      <c r="EYS55" s="69"/>
      <c r="EYT55" s="69"/>
      <c r="EYU55" s="69"/>
      <c r="EYV55" s="69"/>
      <c r="EYW55" s="69"/>
      <c r="EYX55" s="69"/>
      <c r="EYY55" s="69"/>
      <c r="EYZ55" s="69"/>
      <c r="EZA55" s="69"/>
      <c r="EZB55" s="69"/>
      <c r="EZC55" s="69"/>
      <c r="EZD55" s="69"/>
      <c r="EZE55" s="69"/>
      <c r="EZF55" s="69"/>
      <c r="EZG55" s="69"/>
      <c r="EZH55" s="69"/>
      <c r="EZI55" s="69"/>
      <c r="EZJ55" s="69"/>
      <c r="EZK55" s="69"/>
      <c r="EZL55" s="69"/>
      <c r="EZM55" s="69"/>
      <c r="EZN55" s="69"/>
      <c r="EZO55" s="69"/>
      <c r="EZP55" s="69"/>
      <c r="EZQ55" s="69"/>
      <c r="EZR55" s="69"/>
      <c r="EZS55" s="69"/>
      <c r="EZT55" s="69"/>
      <c r="EZU55" s="69"/>
      <c r="EZV55" s="69"/>
      <c r="EZW55" s="69"/>
      <c r="EZX55" s="69"/>
      <c r="EZY55" s="69"/>
      <c r="EZZ55" s="69"/>
      <c r="FAA55" s="69"/>
      <c r="FAB55" s="69"/>
      <c r="FAC55" s="69"/>
      <c r="FAD55" s="69"/>
      <c r="FAE55" s="69"/>
      <c r="FAF55" s="69"/>
      <c r="FAG55" s="69"/>
      <c r="FAH55" s="69"/>
      <c r="FAI55" s="69"/>
      <c r="FAJ55" s="69"/>
      <c r="FAK55" s="69"/>
      <c r="FAL55" s="69"/>
      <c r="FAM55" s="69"/>
      <c r="FAN55" s="69"/>
      <c r="FAO55" s="69"/>
      <c r="FAP55" s="69"/>
      <c r="FAQ55" s="69"/>
      <c r="FAR55" s="69"/>
      <c r="FAS55" s="69"/>
      <c r="FAT55" s="69"/>
      <c r="FAU55" s="69"/>
      <c r="FAV55" s="69"/>
      <c r="FAW55" s="69"/>
      <c r="FAX55" s="69"/>
      <c r="FAY55" s="69"/>
      <c r="FAZ55" s="69"/>
      <c r="FBA55" s="69"/>
      <c r="FBB55" s="69"/>
      <c r="FBC55" s="69"/>
      <c r="FBD55" s="69"/>
      <c r="FBE55" s="69"/>
      <c r="FBF55" s="69"/>
      <c r="FBG55" s="69"/>
      <c r="FBH55" s="69"/>
      <c r="FBI55" s="69"/>
      <c r="FBJ55" s="69"/>
      <c r="FBK55" s="69"/>
      <c r="FBL55" s="69"/>
      <c r="FBM55" s="69"/>
      <c r="FBN55" s="69"/>
      <c r="FBO55" s="69"/>
      <c r="FBP55" s="69"/>
      <c r="FBQ55" s="69"/>
      <c r="FBR55" s="69"/>
      <c r="FBS55" s="69"/>
      <c r="FBT55" s="69"/>
      <c r="FBU55" s="69"/>
      <c r="FBV55" s="69"/>
      <c r="FBW55" s="69"/>
      <c r="FBX55" s="69"/>
      <c r="FBY55" s="69"/>
      <c r="FBZ55" s="69"/>
      <c r="FCA55" s="69"/>
      <c r="FCB55" s="69"/>
      <c r="FCC55" s="69"/>
      <c r="FCD55" s="69"/>
      <c r="FCE55" s="69"/>
      <c r="FCF55" s="69"/>
      <c r="FCG55" s="69"/>
      <c r="FCH55" s="69"/>
      <c r="FCI55" s="69"/>
      <c r="FCJ55" s="69"/>
      <c r="FCK55" s="69"/>
      <c r="FCL55" s="69"/>
      <c r="FCM55" s="69"/>
      <c r="FCN55" s="69"/>
      <c r="FCO55" s="69"/>
      <c r="FCP55" s="69"/>
      <c r="FCQ55" s="69"/>
      <c r="FCR55" s="69"/>
      <c r="FCS55" s="69"/>
      <c r="FCT55" s="69"/>
      <c r="FCU55" s="69"/>
      <c r="FCV55" s="69"/>
      <c r="FCW55" s="69"/>
      <c r="FCX55" s="69"/>
      <c r="FCY55" s="69"/>
      <c r="FCZ55" s="69"/>
      <c r="FDA55" s="69"/>
      <c r="FDB55" s="69"/>
      <c r="FDC55" s="69"/>
      <c r="FDD55" s="69"/>
      <c r="FDE55" s="69"/>
      <c r="FDF55" s="69"/>
      <c r="FDG55" s="69"/>
      <c r="FDH55" s="69"/>
      <c r="FDI55" s="69"/>
      <c r="FDJ55" s="69"/>
      <c r="FDK55" s="69"/>
      <c r="FDL55" s="69"/>
      <c r="FDM55" s="69"/>
      <c r="FDN55" s="69"/>
      <c r="FDO55" s="69"/>
      <c r="FDP55" s="69"/>
      <c r="FDQ55" s="69"/>
      <c r="FDR55" s="69"/>
      <c r="FDS55" s="69"/>
      <c r="FDT55" s="69"/>
      <c r="FDU55" s="69"/>
      <c r="FDV55" s="69"/>
      <c r="FDW55" s="69"/>
      <c r="FDX55" s="69"/>
      <c r="FDY55" s="69"/>
      <c r="FDZ55" s="69"/>
      <c r="FEA55" s="69"/>
      <c r="FEB55" s="69"/>
      <c r="FEC55" s="69"/>
      <c r="FED55" s="69"/>
      <c r="FEE55" s="69"/>
      <c r="FEF55" s="69"/>
      <c r="FEG55" s="69"/>
      <c r="FEH55" s="69"/>
      <c r="FEI55" s="69"/>
      <c r="FEJ55" s="69"/>
      <c r="FEK55" s="69"/>
      <c r="FEL55" s="69"/>
      <c r="FEM55" s="69"/>
      <c r="FEN55" s="69"/>
      <c r="FEO55" s="69"/>
      <c r="FEP55" s="69"/>
      <c r="FEQ55" s="69"/>
      <c r="FER55" s="69"/>
      <c r="FES55" s="69"/>
      <c r="FET55" s="69"/>
      <c r="FEU55" s="69"/>
      <c r="FEV55" s="69"/>
      <c r="FEW55" s="69"/>
      <c r="FEX55" s="69"/>
      <c r="FEY55" s="69"/>
      <c r="FEZ55" s="69"/>
      <c r="FFA55" s="69"/>
      <c r="FFB55" s="69"/>
      <c r="FFC55" s="69"/>
      <c r="FFD55" s="69"/>
      <c r="FFE55" s="69"/>
      <c r="FFF55" s="69"/>
      <c r="FFG55" s="69"/>
      <c r="FFH55" s="69"/>
      <c r="FFI55" s="69"/>
      <c r="FFJ55" s="69"/>
      <c r="FFK55" s="69"/>
      <c r="FFL55" s="69"/>
      <c r="FFM55" s="69"/>
      <c r="FFN55" s="69"/>
      <c r="FFO55" s="69"/>
      <c r="FFP55" s="69"/>
      <c r="FFQ55" s="69"/>
      <c r="FFR55" s="69"/>
      <c r="FFS55" s="69"/>
      <c r="FFT55" s="69"/>
      <c r="FFU55" s="69"/>
      <c r="FFV55" s="69"/>
      <c r="FFW55" s="69"/>
      <c r="FFX55" s="69"/>
      <c r="FFY55" s="69"/>
      <c r="FFZ55" s="69"/>
      <c r="FGA55" s="69"/>
      <c r="FGB55" s="69"/>
      <c r="FGC55" s="69"/>
      <c r="FGD55" s="69"/>
      <c r="FGE55" s="69"/>
      <c r="FGF55" s="69"/>
      <c r="FGG55" s="69"/>
      <c r="FGH55" s="69"/>
      <c r="FGI55" s="69"/>
      <c r="FGJ55" s="69"/>
      <c r="FGK55" s="69"/>
      <c r="FGL55" s="69"/>
      <c r="FGM55" s="69"/>
      <c r="FGN55" s="69"/>
      <c r="FGO55" s="69"/>
      <c r="FGP55" s="69"/>
      <c r="FGQ55" s="69"/>
      <c r="FGR55" s="69"/>
      <c r="FGS55" s="69"/>
      <c r="FGT55" s="69"/>
      <c r="FGU55" s="69"/>
      <c r="FGV55" s="69"/>
      <c r="FGW55" s="69"/>
      <c r="FGX55" s="69"/>
      <c r="FGY55" s="69"/>
      <c r="FGZ55" s="69"/>
      <c r="FHA55" s="69"/>
      <c r="FHB55" s="69"/>
      <c r="FHC55" s="69"/>
      <c r="FHD55" s="69"/>
      <c r="FHE55" s="69"/>
      <c r="FHF55" s="69"/>
      <c r="FHG55" s="69"/>
      <c r="FHH55" s="69"/>
      <c r="FHI55" s="69"/>
      <c r="FHJ55" s="69"/>
      <c r="FHK55" s="69"/>
      <c r="FHL55" s="69"/>
      <c r="FHM55" s="69"/>
      <c r="FHN55" s="69"/>
      <c r="FHO55" s="69"/>
      <c r="FHP55" s="69"/>
      <c r="FHQ55" s="69"/>
      <c r="FHR55" s="69"/>
      <c r="FHS55" s="69"/>
      <c r="FHT55" s="69"/>
      <c r="FHU55" s="69"/>
      <c r="FHV55" s="69"/>
      <c r="FHW55" s="69"/>
      <c r="FHX55" s="69"/>
      <c r="FHY55" s="69"/>
      <c r="FHZ55" s="69"/>
      <c r="FIA55" s="69"/>
      <c r="FIB55" s="69"/>
      <c r="FIC55" s="69"/>
      <c r="FID55" s="69"/>
      <c r="FIE55" s="69"/>
      <c r="FIF55" s="69"/>
      <c r="FIG55" s="69"/>
      <c r="FIH55" s="69"/>
      <c r="FII55" s="69"/>
      <c r="FIJ55" s="69"/>
      <c r="FIK55" s="69"/>
      <c r="FIL55" s="69"/>
      <c r="FIM55" s="69"/>
      <c r="FIN55" s="69"/>
      <c r="FIO55" s="69"/>
      <c r="FIP55" s="69"/>
      <c r="FIQ55" s="69"/>
      <c r="FIR55" s="69"/>
      <c r="FIS55" s="69"/>
      <c r="FIT55" s="69"/>
      <c r="FIU55" s="69"/>
      <c r="FIV55" s="69"/>
      <c r="FIW55" s="69"/>
      <c r="FIX55" s="69"/>
      <c r="FIY55" s="69"/>
      <c r="FIZ55" s="69"/>
      <c r="FJA55" s="69"/>
      <c r="FJB55" s="69"/>
      <c r="FJC55" s="69"/>
      <c r="FJD55" s="69"/>
      <c r="FJE55" s="69"/>
      <c r="FJF55" s="69"/>
      <c r="FJG55" s="69"/>
      <c r="FJH55" s="69"/>
      <c r="FJI55" s="69"/>
      <c r="FJJ55" s="69"/>
      <c r="FJK55" s="69"/>
      <c r="FJL55" s="69"/>
      <c r="FJM55" s="69"/>
      <c r="FJN55" s="69"/>
      <c r="FJO55" s="69"/>
      <c r="FJP55" s="69"/>
      <c r="FJQ55" s="69"/>
      <c r="FJR55" s="69"/>
      <c r="FJS55" s="69"/>
      <c r="FJT55" s="69"/>
      <c r="FJU55" s="69"/>
      <c r="FJV55" s="69"/>
      <c r="FJW55" s="69"/>
      <c r="FJX55" s="69"/>
      <c r="FJY55" s="69"/>
      <c r="FJZ55" s="69"/>
      <c r="FKA55" s="69"/>
      <c r="FKB55" s="69"/>
      <c r="FKC55" s="69"/>
      <c r="FKD55" s="69"/>
      <c r="FKE55" s="69"/>
      <c r="FKF55" s="69"/>
      <c r="FKG55" s="69"/>
      <c r="FKH55" s="69"/>
      <c r="FKI55" s="69"/>
      <c r="FKJ55" s="69"/>
      <c r="FKK55" s="69"/>
      <c r="FKL55" s="69"/>
      <c r="FKM55" s="69"/>
      <c r="FKN55" s="69"/>
      <c r="FKO55" s="69"/>
      <c r="FKP55" s="69"/>
      <c r="FKQ55" s="69"/>
      <c r="FKR55" s="69"/>
      <c r="FKS55" s="69"/>
      <c r="FKT55" s="69"/>
      <c r="FKU55" s="69"/>
      <c r="FKV55" s="69"/>
      <c r="FKW55" s="69"/>
      <c r="FKX55" s="69"/>
      <c r="FKY55" s="69"/>
      <c r="FKZ55" s="69"/>
      <c r="FLA55" s="69"/>
      <c r="FLB55" s="69"/>
      <c r="FLC55" s="69"/>
      <c r="FLD55" s="69"/>
      <c r="FLE55" s="69"/>
      <c r="FLF55" s="69"/>
      <c r="FLG55" s="69"/>
      <c r="FLH55" s="69"/>
      <c r="FLI55" s="69"/>
      <c r="FLJ55" s="69"/>
      <c r="FLK55" s="69"/>
      <c r="FLL55" s="69"/>
      <c r="FLM55" s="69"/>
      <c r="FLN55" s="69"/>
      <c r="FLO55" s="69"/>
      <c r="FLP55" s="69"/>
      <c r="FLQ55" s="69"/>
      <c r="FLR55" s="69"/>
      <c r="FLS55" s="69"/>
      <c r="FLT55" s="69"/>
      <c r="FLU55" s="69"/>
      <c r="FLV55" s="69"/>
      <c r="FLW55" s="69"/>
      <c r="FLX55" s="69"/>
      <c r="FLY55" s="69"/>
      <c r="FLZ55" s="69"/>
      <c r="FMA55" s="69"/>
      <c r="FMB55" s="69"/>
      <c r="FMC55" s="69"/>
      <c r="FMD55" s="69"/>
      <c r="FME55" s="69"/>
      <c r="FMF55" s="69"/>
      <c r="FMG55" s="69"/>
      <c r="FMH55" s="69"/>
      <c r="FMI55" s="69"/>
      <c r="FMJ55" s="69"/>
      <c r="FMK55" s="69"/>
      <c r="FML55" s="69"/>
      <c r="FMM55" s="69"/>
      <c r="FMN55" s="69"/>
      <c r="FMO55" s="69"/>
      <c r="FMP55" s="69"/>
      <c r="FMQ55" s="69"/>
      <c r="FMR55" s="69"/>
      <c r="FMS55" s="69"/>
      <c r="FMT55" s="69"/>
      <c r="FMU55" s="69"/>
      <c r="FMV55" s="69"/>
      <c r="FMW55" s="69"/>
      <c r="FMX55" s="69"/>
      <c r="FMY55" s="69"/>
      <c r="FMZ55" s="69"/>
      <c r="FNA55" s="69"/>
      <c r="FNB55" s="69"/>
      <c r="FNC55" s="69"/>
      <c r="FND55" s="69"/>
      <c r="FNE55" s="69"/>
      <c r="FNF55" s="69"/>
      <c r="FNG55" s="69"/>
      <c r="FNH55" s="69"/>
      <c r="FNI55" s="69"/>
      <c r="FNJ55" s="69"/>
      <c r="FNK55" s="69"/>
      <c r="FNL55" s="69"/>
      <c r="FNM55" s="69"/>
      <c r="FNN55" s="69"/>
      <c r="FNO55" s="69"/>
      <c r="FNP55" s="69"/>
      <c r="FNQ55" s="69"/>
      <c r="FNR55" s="69"/>
      <c r="FNS55" s="69"/>
      <c r="FNT55" s="69"/>
      <c r="FNU55" s="69"/>
      <c r="FNV55" s="69"/>
      <c r="FNW55" s="69"/>
      <c r="FNX55" s="69"/>
      <c r="FNY55" s="69"/>
      <c r="FNZ55" s="69"/>
      <c r="FOA55" s="69"/>
      <c r="FOB55" s="69"/>
      <c r="FOC55" s="69"/>
      <c r="FOD55" s="69"/>
      <c r="FOE55" s="69"/>
      <c r="FOF55" s="69"/>
      <c r="FOG55" s="69"/>
      <c r="FOH55" s="69"/>
      <c r="FOI55" s="69"/>
      <c r="FOJ55" s="69"/>
      <c r="FOK55" s="69"/>
      <c r="FOL55" s="69"/>
      <c r="FOM55" s="69"/>
      <c r="FON55" s="69"/>
      <c r="FOO55" s="69"/>
      <c r="FOP55" s="69"/>
      <c r="FOQ55" s="69"/>
      <c r="FOR55" s="69"/>
      <c r="FOS55" s="69"/>
      <c r="FOT55" s="69"/>
      <c r="FOU55" s="69"/>
      <c r="FOV55" s="69"/>
      <c r="FOW55" s="69"/>
      <c r="FOX55" s="69"/>
      <c r="FOY55" s="69"/>
      <c r="FOZ55" s="69"/>
      <c r="FPA55" s="69"/>
      <c r="FPB55" s="69"/>
      <c r="FPC55" s="69"/>
      <c r="FPD55" s="69"/>
      <c r="FPE55" s="69"/>
      <c r="FPF55" s="69"/>
      <c r="FPG55" s="69"/>
      <c r="FPH55" s="69"/>
      <c r="FPI55" s="69"/>
      <c r="FPJ55" s="69"/>
      <c r="FPK55" s="69"/>
      <c r="FPL55" s="69"/>
      <c r="FPM55" s="69"/>
      <c r="FPN55" s="69"/>
      <c r="FPO55" s="69"/>
      <c r="FPP55" s="69"/>
      <c r="FPQ55" s="69"/>
      <c r="FPR55" s="69"/>
      <c r="FPS55" s="69"/>
      <c r="FPT55" s="69"/>
      <c r="FPU55" s="69"/>
      <c r="FPV55" s="69"/>
      <c r="FPW55" s="69"/>
      <c r="FPX55" s="69"/>
      <c r="FPY55" s="69"/>
      <c r="FPZ55" s="69"/>
      <c r="FQA55" s="69"/>
      <c r="FQB55" s="69"/>
      <c r="FQC55" s="69"/>
      <c r="FQD55" s="69"/>
      <c r="FQE55" s="69"/>
      <c r="FQF55" s="69"/>
      <c r="FQG55" s="69"/>
      <c r="FQH55" s="69"/>
      <c r="FQI55" s="69"/>
      <c r="FQJ55" s="69"/>
      <c r="FQK55" s="69"/>
      <c r="FQL55" s="69"/>
      <c r="FQM55" s="69"/>
      <c r="FQN55" s="69"/>
      <c r="FQO55" s="69"/>
      <c r="FQP55" s="69"/>
      <c r="FQQ55" s="69"/>
      <c r="FQR55" s="69"/>
      <c r="FQS55" s="69"/>
      <c r="FQT55" s="69"/>
      <c r="FQU55" s="69"/>
      <c r="FQV55" s="69"/>
      <c r="FQW55" s="69"/>
      <c r="FQX55" s="69"/>
      <c r="FQY55" s="69"/>
      <c r="FQZ55" s="69"/>
      <c r="FRA55" s="69"/>
      <c r="FRB55" s="69"/>
      <c r="FRC55" s="69"/>
      <c r="FRD55" s="69"/>
      <c r="FRE55" s="69"/>
      <c r="FRF55" s="69"/>
      <c r="FRG55" s="69"/>
      <c r="FRH55" s="69"/>
      <c r="FRI55" s="69"/>
      <c r="FRJ55" s="69"/>
      <c r="FRK55" s="69"/>
      <c r="FRL55" s="69"/>
      <c r="FRM55" s="69"/>
      <c r="FRN55" s="69"/>
      <c r="FRO55" s="69"/>
      <c r="FRP55" s="69"/>
      <c r="FRQ55" s="69"/>
      <c r="FRR55" s="69"/>
      <c r="FRS55" s="69"/>
      <c r="FRT55" s="69"/>
      <c r="FRU55" s="69"/>
      <c r="FRV55" s="69"/>
      <c r="FRW55" s="69"/>
      <c r="FRX55" s="69"/>
      <c r="FRY55" s="69"/>
      <c r="FRZ55" s="69"/>
      <c r="FSA55" s="69"/>
      <c r="FSB55" s="69"/>
      <c r="FSC55" s="69"/>
      <c r="FSD55" s="69"/>
      <c r="FSE55" s="69"/>
      <c r="FSF55" s="69"/>
      <c r="FSG55" s="69"/>
      <c r="FSH55" s="69"/>
      <c r="FSI55" s="69"/>
      <c r="FSJ55" s="69"/>
      <c r="FSK55" s="69"/>
      <c r="FSL55" s="69"/>
      <c r="FSM55" s="69"/>
      <c r="FSN55" s="69"/>
      <c r="FSO55" s="69"/>
      <c r="FSP55" s="69"/>
      <c r="FSQ55" s="69"/>
      <c r="FSR55" s="69"/>
      <c r="FSS55" s="69"/>
      <c r="FST55" s="69"/>
      <c r="FSU55" s="69"/>
      <c r="FSV55" s="69"/>
      <c r="FSW55" s="69"/>
      <c r="FSX55" s="69"/>
      <c r="FSY55" s="69"/>
      <c r="FSZ55" s="69"/>
      <c r="FTA55" s="69"/>
      <c r="FTB55" s="69"/>
      <c r="FTC55" s="69"/>
      <c r="FTD55" s="69"/>
      <c r="FTE55" s="69"/>
      <c r="FTF55" s="69"/>
      <c r="FTG55" s="69"/>
      <c r="FTH55" s="69"/>
      <c r="FTI55" s="69"/>
      <c r="FTJ55" s="69"/>
      <c r="FTK55" s="69"/>
      <c r="FTL55" s="69"/>
      <c r="FTM55" s="69"/>
      <c r="FTN55" s="69"/>
      <c r="FTO55" s="69"/>
      <c r="FTP55" s="69"/>
      <c r="FTQ55" s="69"/>
      <c r="FTR55" s="69"/>
      <c r="FTS55" s="69"/>
      <c r="FTT55" s="69"/>
      <c r="FTU55" s="69"/>
      <c r="FTV55" s="69"/>
      <c r="FTW55" s="69"/>
      <c r="FTX55" s="69"/>
      <c r="FTY55" s="69"/>
      <c r="FTZ55" s="69"/>
      <c r="FUA55" s="69"/>
      <c r="FUB55" s="69"/>
      <c r="FUC55" s="69"/>
      <c r="FUD55" s="69"/>
      <c r="FUE55" s="69"/>
      <c r="FUF55" s="69"/>
      <c r="FUG55" s="69"/>
      <c r="FUH55" s="69"/>
      <c r="FUI55" s="69"/>
      <c r="FUJ55" s="69"/>
      <c r="FUK55" s="69"/>
      <c r="FUL55" s="69"/>
      <c r="FUM55" s="69"/>
      <c r="FUN55" s="69"/>
      <c r="FUO55" s="69"/>
      <c r="FUP55" s="69"/>
      <c r="FUQ55" s="69"/>
      <c r="FUR55" s="69"/>
      <c r="FUS55" s="69"/>
      <c r="FUT55" s="69"/>
      <c r="FUU55" s="69"/>
      <c r="FUV55" s="69"/>
      <c r="FUW55" s="69"/>
      <c r="FUX55" s="69"/>
      <c r="FUY55" s="69"/>
      <c r="FUZ55" s="69"/>
      <c r="FVA55" s="69"/>
      <c r="FVB55" s="69"/>
      <c r="FVC55" s="69"/>
      <c r="FVD55" s="69"/>
      <c r="FVE55" s="69"/>
      <c r="FVF55" s="69"/>
      <c r="FVG55" s="69"/>
      <c r="FVH55" s="69"/>
      <c r="FVI55" s="69"/>
      <c r="FVJ55" s="69"/>
      <c r="FVK55" s="69"/>
      <c r="FVL55" s="69"/>
      <c r="FVM55" s="69"/>
      <c r="FVN55" s="69"/>
      <c r="FVO55" s="69"/>
      <c r="FVP55" s="69"/>
      <c r="FVQ55" s="69"/>
      <c r="FVR55" s="69"/>
      <c r="FVS55" s="69"/>
      <c r="FVT55" s="69"/>
      <c r="FVU55" s="69"/>
      <c r="FVV55" s="69"/>
      <c r="FVW55" s="69"/>
      <c r="FVX55" s="69"/>
      <c r="FVY55" s="69"/>
      <c r="FVZ55" s="69"/>
      <c r="FWA55" s="69"/>
      <c r="FWB55" s="69"/>
      <c r="FWC55" s="69"/>
      <c r="FWD55" s="69"/>
      <c r="FWE55" s="69"/>
      <c r="FWF55" s="69"/>
      <c r="FWG55" s="69"/>
      <c r="FWH55" s="69"/>
      <c r="FWI55" s="69"/>
      <c r="FWJ55" s="69"/>
      <c r="FWK55" s="69"/>
      <c r="FWL55" s="69"/>
      <c r="FWM55" s="69"/>
      <c r="FWN55" s="69"/>
      <c r="FWO55" s="69"/>
      <c r="FWP55" s="69"/>
      <c r="FWQ55" s="69"/>
      <c r="FWR55" s="69"/>
      <c r="FWS55" s="69"/>
      <c r="FWT55" s="69"/>
      <c r="FWU55" s="69"/>
      <c r="FWV55" s="69"/>
      <c r="FWW55" s="69"/>
      <c r="FWX55" s="69"/>
      <c r="FWY55" s="69"/>
      <c r="FWZ55" s="69"/>
      <c r="FXA55" s="69"/>
      <c r="FXB55" s="69"/>
      <c r="FXC55" s="69"/>
      <c r="FXD55" s="69"/>
      <c r="FXE55" s="69"/>
      <c r="FXF55" s="69"/>
      <c r="FXG55" s="69"/>
      <c r="FXH55" s="69"/>
      <c r="FXI55" s="69"/>
      <c r="FXJ55" s="69"/>
      <c r="FXK55" s="69"/>
      <c r="FXL55" s="69"/>
      <c r="FXM55" s="69"/>
      <c r="FXN55" s="69"/>
      <c r="FXO55" s="69"/>
      <c r="FXP55" s="69"/>
      <c r="FXQ55" s="69"/>
      <c r="FXR55" s="69"/>
      <c r="FXS55" s="69"/>
      <c r="FXT55" s="69"/>
      <c r="FXU55" s="69"/>
      <c r="FXV55" s="69"/>
      <c r="FXW55" s="69"/>
      <c r="FXX55" s="69"/>
      <c r="FXY55" s="69"/>
      <c r="FXZ55" s="69"/>
      <c r="FYA55" s="69"/>
      <c r="FYB55" s="69"/>
      <c r="FYC55" s="69"/>
      <c r="FYD55" s="69"/>
      <c r="FYE55" s="69"/>
      <c r="FYF55" s="69"/>
      <c r="FYG55" s="69"/>
      <c r="FYH55" s="69"/>
      <c r="FYI55" s="69"/>
      <c r="FYJ55" s="69"/>
      <c r="FYK55" s="69"/>
      <c r="FYL55" s="69"/>
      <c r="FYM55" s="69"/>
      <c r="FYN55" s="69"/>
      <c r="FYO55" s="69"/>
      <c r="FYP55" s="69"/>
      <c r="FYQ55" s="69"/>
      <c r="FYR55" s="69"/>
      <c r="FYS55" s="69"/>
      <c r="FYT55" s="69"/>
      <c r="FYU55" s="69"/>
      <c r="FYV55" s="69"/>
      <c r="FYW55" s="69"/>
      <c r="FYX55" s="69"/>
      <c r="FYY55" s="69"/>
      <c r="FYZ55" s="69"/>
      <c r="FZA55" s="69"/>
      <c r="FZB55" s="69"/>
      <c r="FZC55" s="69"/>
      <c r="FZD55" s="69"/>
      <c r="FZE55" s="69"/>
      <c r="FZF55" s="69"/>
      <c r="FZG55" s="69"/>
      <c r="FZH55" s="69"/>
      <c r="FZI55" s="69"/>
      <c r="FZJ55" s="69"/>
      <c r="FZK55" s="69"/>
      <c r="FZL55" s="69"/>
      <c r="FZM55" s="69"/>
      <c r="FZN55" s="69"/>
      <c r="FZO55" s="69"/>
      <c r="FZP55" s="69"/>
      <c r="FZQ55" s="69"/>
      <c r="FZR55" s="69"/>
      <c r="FZS55" s="69"/>
      <c r="FZT55" s="69"/>
      <c r="FZU55" s="69"/>
      <c r="FZV55" s="69"/>
      <c r="FZW55" s="69"/>
      <c r="FZX55" s="69"/>
      <c r="FZY55" s="69"/>
      <c r="FZZ55" s="69"/>
      <c r="GAA55" s="69"/>
      <c r="GAB55" s="69"/>
      <c r="GAC55" s="69"/>
      <c r="GAD55" s="69"/>
      <c r="GAE55" s="69"/>
      <c r="GAF55" s="69"/>
      <c r="GAG55" s="69"/>
      <c r="GAH55" s="69"/>
      <c r="GAI55" s="69"/>
      <c r="GAJ55" s="69"/>
      <c r="GAK55" s="69"/>
      <c r="GAL55" s="69"/>
      <c r="GAM55" s="69"/>
      <c r="GAN55" s="69"/>
      <c r="GAO55" s="69"/>
      <c r="GAP55" s="69"/>
      <c r="GAQ55" s="69"/>
      <c r="GAR55" s="69"/>
      <c r="GAS55" s="69"/>
      <c r="GAT55" s="69"/>
      <c r="GAU55" s="69"/>
      <c r="GAV55" s="69"/>
      <c r="GAW55" s="69"/>
      <c r="GAX55" s="69"/>
      <c r="GAY55" s="69"/>
      <c r="GAZ55" s="69"/>
      <c r="GBA55" s="69"/>
      <c r="GBB55" s="69"/>
      <c r="GBC55" s="69"/>
      <c r="GBD55" s="69"/>
      <c r="GBE55" s="69"/>
      <c r="GBF55" s="69"/>
      <c r="GBG55" s="69"/>
      <c r="GBH55" s="69"/>
      <c r="GBI55" s="69"/>
      <c r="GBJ55" s="69"/>
      <c r="GBK55" s="69"/>
      <c r="GBL55" s="69"/>
      <c r="GBM55" s="69"/>
      <c r="GBN55" s="69"/>
      <c r="GBO55" s="69"/>
      <c r="GBP55" s="69"/>
      <c r="GBQ55" s="69"/>
      <c r="GBR55" s="69"/>
      <c r="GBS55" s="69"/>
      <c r="GBT55" s="69"/>
      <c r="GBU55" s="69"/>
      <c r="GBV55" s="69"/>
      <c r="GBW55" s="69"/>
      <c r="GBX55" s="69"/>
      <c r="GBY55" s="69"/>
      <c r="GBZ55" s="69"/>
      <c r="GCA55" s="69"/>
      <c r="GCB55" s="69"/>
      <c r="GCC55" s="69"/>
      <c r="GCD55" s="69"/>
      <c r="GCE55" s="69"/>
      <c r="GCF55" s="69"/>
      <c r="GCG55" s="69"/>
      <c r="GCH55" s="69"/>
      <c r="GCI55" s="69"/>
      <c r="GCJ55" s="69"/>
      <c r="GCK55" s="69"/>
      <c r="GCL55" s="69"/>
      <c r="GCM55" s="69"/>
      <c r="GCN55" s="69"/>
      <c r="GCO55" s="69"/>
      <c r="GCP55" s="69"/>
      <c r="GCQ55" s="69"/>
      <c r="GCR55" s="69"/>
      <c r="GCS55" s="69"/>
      <c r="GCT55" s="69"/>
      <c r="GCU55" s="69"/>
      <c r="GCV55" s="69"/>
      <c r="GCW55" s="69"/>
      <c r="GCX55" s="69"/>
      <c r="GCY55" s="69"/>
      <c r="GCZ55" s="69"/>
      <c r="GDA55" s="69"/>
      <c r="GDB55" s="69"/>
      <c r="GDC55" s="69"/>
      <c r="GDD55" s="69"/>
      <c r="GDE55" s="69"/>
      <c r="GDF55" s="69"/>
      <c r="GDG55" s="69"/>
      <c r="GDH55" s="69"/>
      <c r="GDI55" s="69"/>
      <c r="GDJ55" s="69"/>
      <c r="GDK55" s="69"/>
      <c r="GDL55" s="69"/>
      <c r="GDM55" s="69"/>
      <c r="GDN55" s="69"/>
      <c r="GDO55" s="69"/>
      <c r="GDP55" s="69"/>
      <c r="GDQ55" s="69"/>
      <c r="GDR55" s="69"/>
      <c r="GDS55" s="69"/>
      <c r="GDT55" s="69"/>
      <c r="GDU55" s="69"/>
      <c r="GDV55" s="69"/>
      <c r="GDW55" s="69"/>
      <c r="GDX55" s="69"/>
      <c r="GDY55" s="69"/>
      <c r="GDZ55" s="69"/>
      <c r="GEA55" s="69"/>
      <c r="GEB55" s="69"/>
      <c r="GEC55" s="69"/>
      <c r="GED55" s="69"/>
      <c r="GEE55" s="69"/>
      <c r="GEF55" s="69"/>
      <c r="GEG55" s="69"/>
      <c r="GEH55" s="69"/>
      <c r="GEI55" s="69"/>
      <c r="GEJ55" s="69"/>
      <c r="GEK55" s="69"/>
      <c r="GEL55" s="69"/>
      <c r="GEM55" s="69"/>
      <c r="GEN55" s="69"/>
      <c r="GEO55" s="69"/>
      <c r="GEP55" s="69"/>
      <c r="GEQ55" s="69"/>
      <c r="GER55" s="69"/>
      <c r="GES55" s="69"/>
      <c r="GET55" s="69"/>
      <c r="GEU55" s="69"/>
      <c r="GEV55" s="69"/>
      <c r="GEW55" s="69"/>
      <c r="GEX55" s="69"/>
      <c r="GEY55" s="69"/>
      <c r="GEZ55" s="69"/>
      <c r="GFA55" s="69"/>
      <c r="GFB55" s="69"/>
      <c r="GFC55" s="69"/>
      <c r="GFD55" s="69"/>
      <c r="GFE55" s="69"/>
      <c r="GFF55" s="69"/>
      <c r="GFG55" s="69"/>
      <c r="GFH55" s="69"/>
      <c r="GFI55" s="69"/>
      <c r="GFJ55" s="69"/>
      <c r="GFK55" s="69"/>
      <c r="GFL55" s="69"/>
      <c r="GFM55" s="69"/>
      <c r="GFN55" s="69"/>
      <c r="GFO55" s="69"/>
      <c r="GFP55" s="69"/>
      <c r="GFQ55" s="69"/>
      <c r="GFR55" s="69"/>
      <c r="GFS55" s="69"/>
      <c r="GFT55" s="69"/>
      <c r="GFU55" s="69"/>
      <c r="GFV55" s="69"/>
      <c r="GFW55" s="69"/>
      <c r="GFX55" s="69"/>
      <c r="GFY55" s="69"/>
      <c r="GFZ55" s="69"/>
      <c r="GGA55" s="69"/>
      <c r="GGB55" s="69"/>
      <c r="GGC55" s="69"/>
      <c r="GGD55" s="69"/>
      <c r="GGE55" s="69"/>
      <c r="GGF55" s="69"/>
      <c r="GGG55" s="69"/>
      <c r="GGH55" s="69"/>
      <c r="GGI55" s="69"/>
      <c r="GGJ55" s="69"/>
      <c r="GGK55" s="69"/>
      <c r="GGL55" s="69"/>
      <c r="GGM55" s="69"/>
      <c r="GGN55" s="69"/>
      <c r="GGO55" s="69"/>
      <c r="GGP55" s="69"/>
      <c r="GGQ55" s="69"/>
      <c r="GGR55" s="69"/>
      <c r="GGS55" s="69"/>
      <c r="GGT55" s="69"/>
      <c r="GGU55" s="69"/>
      <c r="GGV55" s="69"/>
      <c r="GGW55" s="69"/>
      <c r="GGX55" s="69"/>
      <c r="GGY55" s="69"/>
      <c r="GGZ55" s="69"/>
      <c r="GHA55" s="69"/>
      <c r="GHB55" s="69"/>
      <c r="GHC55" s="69"/>
      <c r="GHD55" s="69"/>
      <c r="GHE55" s="69"/>
      <c r="GHF55" s="69"/>
      <c r="GHG55" s="69"/>
      <c r="GHH55" s="69"/>
      <c r="GHI55" s="69"/>
      <c r="GHJ55" s="69"/>
      <c r="GHK55" s="69"/>
      <c r="GHL55" s="69"/>
      <c r="GHM55" s="69"/>
      <c r="GHN55" s="69"/>
      <c r="GHO55" s="69"/>
      <c r="GHP55" s="69"/>
      <c r="GHQ55" s="69"/>
      <c r="GHR55" s="69"/>
      <c r="GHS55" s="69"/>
      <c r="GHT55" s="69"/>
      <c r="GHU55" s="69"/>
      <c r="GHV55" s="69"/>
      <c r="GHW55" s="69"/>
      <c r="GHX55" s="69"/>
      <c r="GHY55" s="69"/>
      <c r="GHZ55" s="69"/>
      <c r="GIA55" s="69"/>
      <c r="GIB55" s="69"/>
      <c r="GIC55" s="69"/>
      <c r="GID55" s="69"/>
      <c r="GIE55" s="69"/>
      <c r="GIF55" s="69"/>
      <c r="GIG55" s="69"/>
      <c r="GIH55" s="69"/>
      <c r="GII55" s="69"/>
      <c r="GIJ55" s="69"/>
      <c r="GIK55" s="69"/>
      <c r="GIL55" s="69"/>
      <c r="GIM55" s="69"/>
      <c r="GIN55" s="69"/>
      <c r="GIO55" s="69"/>
      <c r="GIP55" s="69"/>
      <c r="GIQ55" s="69"/>
      <c r="GIR55" s="69"/>
      <c r="GIS55" s="69"/>
      <c r="GIT55" s="69"/>
      <c r="GIU55" s="69"/>
      <c r="GIV55" s="69"/>
      <c r="GIW55" s="69"/>
      <c r="GIX55" s="69"/>
      <c r="GIY55" s="69"/>
      <c r="GIZ55" s="69"/>
      <c r="GJA55" s="69"/>
      <c r="GJB55" s="69"/>
      <c r="GJC55" s="69"/>
      <c r="GJD55" s="69"/>
      <c r="GJE55" s="69"/>
      <c r="GJF55" s="69"/>
      <c r="GJG55" s="69"/>
      <c r="GJH55" s="69"/>
      <c r="GJI55" s="69"/>
      <c r="GJJ55" s="69"/>
      <c r="GJK55" s="69"/>
      <c r="GJL55" s="69"/>
      <c r="GJM55" s="69"/>
      <c r="GJN55" s="69"/>
      <c r="GJO55" s="69"/>
      <c r="GJP55" s="69"/>
      <c r="GJQ55" s="69"/>
      <c r="GJR55" s="69"/>
      <c r="GJS55" s="69"/>
      <c r="GJT55" s="69"/>
      <c r="GJU55" s="69"/>
      <c r="GJV55" s="69"/>
      <c r="GJW55" s="69"/>
      <c r="GJX55" s="69"/>
      <c r="GJY55" s="69"/>
      <c r="GJZ55" s="69"/>
      <c r="GKA55" s="69"/>
      <c r="GKB55" s="69"/>
      <c r="GKC55" s="69"/>
      <c r="GKD55" s="69"/>
      <c r="GKE55" s="69"/>
      <c r="GKF55" s="69"/>
      <c r="GKG55" s="69"/>
      <c r="GKH55" s="69"/>
      <c r="GKI55" s="69"/>
      <c r="GKJ55" s="69"/>
      <c r="GKK55" s="69"/>
      <c r="GKL55" s="69"/>
      <c r="GKM55" s="69"/>
      <c r="GKN55" s="69"/>
      <c r="GKO55" s="69"/>
      <c r="GKP55" s="69"/>
      <c r="GKQ55" s="69"/>
      <c r="GKR55" s="69"/>
      <c r="GKS55" s="69"/>
      <c r="GKT55" s="69"/>
      <c r="GKU55" s="69"/>
      <c r="GKV55" s="69"/>
      <c r="GKW55" s="69"/>
      <c r="GKX55" s="69"/>
      <c r="GKY55" s="69"/>
      <c r="GKZ55" s="69"/>
      <c r="GLA55" s="69"/>
      <c r="GLB55" s="69"/>
      <c r="GLC55" s="69"/>
      <c r="GLD55" s="69"/>
      <c r="GLE55" s="69"/>
      <c r="GLF55" s="69"/>
      <c r="GLG55" s="69"/>
      <c r="GLH55" s="69"/>
      <c r="GLI55" s="69"/>
      <c r="GLJ55" s="69"/>
      <c r="GLK55" s="69"/>
      <c r="GLL55" s="69"/>
      <c r="GLM55" s="69"/>
      <c r="GLN55" s="69"/>
      <c r="GLO55" s="69"/>
      <c r="GLP55" s="69"/>
      <c r="GLQ55" s="69"/>
      <c r="GLR55" s="69"/>
      <c r="GLS55" s="69"/>
      <c r="GLT55" s="69"/>
      <c r="GLU55" s="69"/>
      <c r="GLV55" s="69"/>
      <c r="GLW55" s="69"/>
      <c r="GLX55" s="69"/>
      <c r="GLY55" s="69"/>
      <c r="GLZ55" s="69"/>
      <c r="GMA55" s="69"/>
      <c r="GMB55" s="69"/>
      <c r="GMC55" s="69"/>
      <c r="GMD55" s="69"/>
      <c r="GME55" s="69"/>
      <c r="GMF55" s="69"/>
      <c r="GMG55" s="69"/>
      <c r="GMH55" s="69"/>
      <c r="GMI55" s="69"/>
      <c r="GMJ55" s="69"/>
      <c r="GMK55" s="69"/>
      <c r="GML55" s="69"/>
      <c r="GMM55" s="69"/>
      <c r="GMN55" s="69"/>
      <c r="GMO55" s="69"/>
      <c r="GMP55" s="69"/>
      <c r="GMQ55" s="69"/>
      <c r="GMR55" s="69"/>
      <c r="GMS55" s="69"/>
      <c r="GMT55" s="69"/>
      <c r="GMU55" s="69"/>
      <c r="GMV55" s="69"/>
      <c r="GMW55" s="69"/>
      <c r="GMX55" s="69"/>
      <c r="GMY55" s="69"/>
      <c r="GMZ55" s="69"/>
      <c r="GNA55" s="69"/>
      <c r="GNB55" s="69"/>
      <c r="GNC55" s="69"/>
      <c r="GND55" s="69"/>
      <c r="GNE55" s="69"/>
      <c r="GNF55" s="69"/>
      <c r="GNG55" s="69"/>
      <c r="GNH55" s="69"/>
      <c r="GNI55" s="69"/>
      <c r="GNJ55" s="69"/>
      <c r="GNK55" s="69"/>
      <c r="GNL55" s="69"/>
      <c r="GNM55" s="69"/>
      <c r="GNN55" s="69"/>
      <c r="GNO55" s="69"/>
      <c r="GNP55" s="69"/>
      <c r="GNQ55" s="69"/>
      <c r="GNR55" s="69"/>
      <c r="GNS55" s="69"/>
      <c r="GNT55" s="69"/>
      <c r="GNU55" s="69"/>
      <c r="GNV55" s="69"/>
      <c r="GNW55" s="69"/>
      <c r="GNX55" s="69"/>
      <c r="GNY55" s="69"/>
      <c r="GNZ55" s="69"/>
      <c r="GOA55" s="69"/>
      <c r="GOB55" s="69"/>
      <c r="GOC55" s="69"/>
      <c r="GOD55" s="69"/>
      <c r="GOE55" s="69"/>
      <c r="GOF55" s="69"/>
      <c r="GOG55" s="69"/>
      <c r="GOH55" s="69"/>
      <c r="GOI55" s="69"/>
      <c r="GOJ55" s="69"/>
      <c r="GOK55" s="69"/>
      <c r="GOL55" s="69"/>
      <c r="GOM55" s="69"/>
      <c r="GON55" s="69"/>
      <c r="GOO55" s="69"/>
      <c r="GOP55" s="69"/>
      <c r="GOQ55" s="69"/>
      <c r="GOR55" s="69"/>
      <c r="GOS55" s="69"/>
      <c r="GOT55" s="69"/>
      <c r="GOU55" s="69"/>
      <c r="GOV55" s="69"/>
      <c r="GOW55" s="69"/>
      <c r="GOX55" s="69"/>
      <c r="GOY55" s="69"/>
      <c r="GOZ55" s="69"/>
      <c r="GPA55" s="69"/>
      <c r="GPB55" s="69"/>
      <c r="GPC55" s="69"/>
      <c r="GPD55" s="69"/>
      <c r="GPE55" s="69"/>
      <c r="GPF55" s="69"/>
      <c r="GPG55" s="69"/>
      <c r="GPH55" s="69"/>
      <c r="GPI55" s="69"/>
      <c r="GPJ55" s="69"/>
      <c r="GPK55" s="69"/>
      <c r="GPL55" s="69"/>
      <c r="GPM55" s="69"/>
      <c r="GPN55" s="69"/>
      <c r="GPO55" s="69"/>
      <c r="GPP55" s="69"/>
      <c r="GPQ55" s="69"/>
      <c r="GPR55" s="69"/>
      <c r="GPS55" s="69"/>
      <c r="GPT55" s="69"/>
      <c r="GPU55" s="69"/>
      <c r="GPV55" s="69"/>
      <c r="GPW55" s="69"/>
      <c r="GPX55" s="69"/>
      <c r="GPY55" s="69"/>
      <c r="GPZ55" s="69"/>
      <c r="GQA55" s="69"/>
      <c r="GQB55" s="69"/>
      <c r="GQC55" s="69"/>
      <c r="GQD55" s="69"/>
      <c r="GQE55" s="69"/>
      <c r="GQF55" s="69"/>
      <c r="GQG55" s="69"/>
      <c r="GQH55" s="69"/>
      <c r="GQI55" s="69"/>
      <c r="GQJ55" s="69"/>
      <c r="GQK55" s="69"/>
      <c r="GQL55" s="69"/>
      <c r="GQM55" s="69"/>
      <c r="GQN55" s="69"/>
      <c r="GQO55" s="69"/>
      <c r="GQP55" s="69"/>
      <c r="GQQ55" s="69"/>
      <c r="GQR55" s="69"/>
      <c r="GQS55" s="69"/>
      <c r="GQT55" s="69"/>
      <c r="GQU55" s="69"/>
      <c r="GQV55" s="69"/>
      <c r="GQW55" s="69"/>
      <c r="GQX55" s="69"/>
      <c r="GQY55" s="69"/>
      <c r="GQZ55" s="69"/>
      <c r="GRA55" s="69"/>
      <c r="GRB55" s="69"/>
      <c r="GRC55" s="69"/>
      <c r="GRD55" s="69"/>
      <c r="GRE55" s="69"/>
      <c r="GRF55" s="69"/>
      <c r="GRG55" s="69"/>
      <c r="GRH55" s="69"/>
      <c r="GRI55" s="69"/>
      <c r="GRJ55" s="69"/>
      <c r="GRK55" s="69"/>
      <c r="GRL55" s="69"/>
      <c r="GRM55" s="69"/>
      <c r="GRN55" s="69"/>
      <c r="GRO55" s="69"/>
      <c r="GRP55" s="69"/>
      <c r="GRQ55" s="69"/>
      <c r="GRR55" s="69"/>
      <c r="GRS55" s="69"/>
      <c r="GRT55" s="69"/>
      <c r="GRU55" s="69"/>
      <c r="GRV55" s="69"/>
      <c r="GRW55" s="69"/>
      <c r="GRX55" s="69"/>
      <c r="GRY55" s="69"/>
      <c r="GRZ55" s="69"/>
      <c r="GSA55" s="69"/>
      <c r="GSB55" s="69"/>
      <c r="GSC55" s="69"/>
      <c r="GSD55" s="69"/>
      <c r="GSE55" s="69"/>
      <c r="GSF55" s="69"/>
      <c r="GSG55" s="69"/>
      <c r="GSH55" s="69"/>
      <c r="GSI55" s="69"/>
      <c r="GSJ55" s="69"/>
      <c r="GSK55" s="69"/>
      <c r="GSL55" s="69"/>
      <c r="GSM55" s="69"/>
      <c r="GSN55" s="69"/>
      <c r="GSO55" s="69"/>
      <c r="GSP55" s="69"/>
      <c r="GSQ55" s="69"/>
      <c r="GSR55" s="69"/>
      <c r="GSS55" s="69"/>
      <c r="GST55" s="69"/>
      <c r="GSU55" s="69"/>
      <c r="GSV55" s="69"/>
      <c r="GSW55" s="69"/>
      <c r="GSX55" s="69"/>
      <c r="GSY55" s="69"/>
      <c r="GSZ55" s="69"/>
      <c r="GTA55" s="69"/>
      <c r="GTB55" s="69"/>
      <c r="GTC55" s="69"/>
      <c r="GTD55" s="69"/>
      <c r="GTE55" s="69"/>
      <c r="GTF55" s="69"/>
      <c r="GTG55" s="69"/>
      <c r="GTH55" s="69"/>
      <c r="GTI55" s="69"/>
      <c r="GTJ55" s="69"/>
      <c r="GTK55" s="69"/>
      <c r="GTL55" s="69"/>
      <c r="GTM55" s="69"/>
      <c r="GTN55" s="69"/>
      <c r="GTO55" s="69"/>
      <c r="GTP55" s="69"/>
      <c r="GTQ55" s="69"/>
      <c r="GTR55" s="69"/>
      <c r="GTS55" s="69"/>
      <c r="GTT55" s="69"/>
      <c r="GTU55" s="69"/>
      <c r="GTV55" s="69"/>
      <c r="GTW55" s="69"/>
      <c r="GTX55" s="69"/>
      <c r="GTY55" s="69"/>
      <c r="GTZ55" s="69"/>
      <c r="GUA55" s="69"/>
      <c r="GUB55" s="69"/>
      <c r="GUC55" s="69"/>
      <c r="GUD55" s="69"/>
      <c r="GUE55" s="69"/>
      <c r="GUF55" s="69"/>
      <c r="GUG55" s="69"/>
      <c r="GUH55" s="69"/>
      <c r="GUI55" s="69"/>
      <c r="GUJ55" s="69"/>
      <c r="GUK55" s="69"/>
      <c r="GUL55" s="69"/>
      <c r="GUM55" s="69"/>
      <c r="GUN55" s="69"/>
      <c r="GUO55" s="69"/>
      <c r="GUP55" s="69"/>
      <c r="GUQ55" s="69"/>
      <c r="GUR55" s="69"/>
      <c r="GUS55" s="69"/>
      <c r="GUT55" s="69"/>
      <c r="GUU55" s="69"/>
      <c r="GUV55" s="69"/>
      <c r="GUW55" s="69"/>
      <c r="GUX55" s="69"/>
      <c r="GUY55" s="69"/>
      <c r="GUZ55" s="69"/>
      <c r="GVA55" s="69"/>
      <c r="GVB55" s="69"/>
      <c r="GVC55" s="69"/>
      <c r="GVD55" s="69"/>
      <c r="GVE55" s="69"/>
      <c r="GVF55" s="69"/>
      <c r="GVG55" s="69"/>
      <c r="GVH55" s="69"/>
      <c r="GVI55" s="69"/>
      <c r="GVJ55" s="69"/>
      <c r="GVK55" s="69"/>
      <c r="GVL55" s="69"/>
      <c r="GVM55" s="69"/>
      <c r="GVN55" s="69"/>
      <c r="GVO55" s="69"/>
      <c r="GVP55" s="69"/>
      <c r="GVQ55" s="69"/>
      <c r="GVR55" s="69"/>
      <c r="GVS55" s="69"/>
      <c r="GVT55" s="69"/>
      <c r="GVU55" s="69"/>
      <c r="GVV55" s="69"/>
      <c r="GVW55" s="69"/>
      <c r="GVX55" s="69"/>
      <c r="GVY55" s="69"/>
      <c r="GVZ55" s="69"/>
      <c r="GWA55" s="69"/>
      <c r="GWB55" s="69"/>
      <c r="GWC55" s="69"/>
      <c r="GWD55" s="69"/>
      <c r="GWE55" s="69"/>
      <c r="GWF55" s="69"/>
      <c r="GWG55" s="69"/>
      <c r="GWH55" s="69"/>
      <c r="GWI55" s="69"/>
      <c r="GWJ55" s="69"/>
      <c r="GWK55" s="69"/>
      <c r="GWL55" s="69"/>
      <c r="GWM55" s="69"/>
      <c r="GWN55" s="69"/>
      <c r="GWO55" s="69"/>
      <c r="GWP55" s="69"/>
      <c r="GWQ55" s="69"/>
      <c r="GWR55" s="69"/>
      <c r="GWS55" s="69"/>
      <c r="GWT55" s="69"/>
      <c r="GWU55" s="69"/>
      <c r="GWV55" s="69"/>
      <c r="GWW55" s="69"/>
      <c r="GWX55" s="69"/>
      <c r="GWY55" s="69"/>
      <c r="GWZ55" s="69"/>
      <c r="GXA55" s="69"/>
      <c r="GXB55" s="69"/>
      <c r="GXC55" s="69"/>
      <c r="GXD55" s="69"/>
      <c r="GXE55" s="69"/>
      <c r="GXF55" s="69"/>
      <c r="GXG55" s="69"/>
      <c r="GXH55" s="69"/>
      <c r="GXI55" s="69"/>
      <c r="GXJ55" s="69"/>
      <c r="GXK55" s="69"/>
      <c r="GXL55" s="69"/>
      <c r="GXM55" s="69"/>
      <c r="GXN55" s="69"/>
      <c r="GXO55" s="69"/>
      <c r="GXP55" s="69"/>
      <c r="GXQ55" s="69"/>
      <c r="GXR55" s="69"/>
      <c r="GXS55" s="69"/>
      <c r="GXT55" s="69"/>
      <c r="GXU55" s="69"/>
      <c r="GXV55" s="69"/>
      <c r="GXW55" s="69"/>
      <c r="GXX55" s="69"/>
      <c r="GXY55" s="69"/>
      <c r="GXZ55" s="69"/>
      <c r="GYA55" s="69"/>
      <c r="GYB55" s="69"/>
      <c r="GYC55" s="69"/>
      <c r="GYD55" s="69"/>
      <c r="GYE55" s="69"/>
      <c r="GYF55" s="69"/>
      <c r="GYG55" s="69"/>
      <c r="GYH55" s="69"/>
      <c r="GYI55" s="69"/>
      <c r="GYJ55" s="69"/>
      <c r="GYK55" s="69"/>
      <c r="GYL55" s="69"/>
      <c r="GYM55" s="69"/>
      <c r="GYN55" s="69"/>
      <c r="GYO55" s="69"/>
      <c r="GYP55" s="69"/>
      <c r="GYQ55" s="69"/>
      <c r="GYR55" s="69"/>
      <c r="GYS55" s="69"/>
      <c r="GYT55" s="69"/>
      <c r="GYU55" s="69"/>
      <c r="GYV55" s="69"/>
      <c r="GYW55" s="69"/>
      <c r="GYX55" s="69"/>
      <c r="GYY55" s="69"/>
      <c r="GYZ55" s="69"/>
      <c r="GZA55" s="69"/>
      <c r="GZB55" s="69"/>
      <c r="GZC55" s="69"/>
      <c r="GZD55" s="69"/>
      <c r="GZE55" s="69"/>
      <c r="GZF55" s="69"/>
      <c r="GZG55" s="69"/>
      <c r="GZH55" s="69"/>
      <c r="GZI55" s="69"/>
      <c r="GZJ55" s="69"/>
      <c r="GZK55" s="69"/>
      <c r="GZL55" s="69"/>
      <c r="GZM55" s="69"/>
      <c r="GZN55" s="69"/>
      <c r="GZO55" s="69"/>
      <c r="GZP55" s="69"/>
      <c r="GZQ55" s="69"/>
      <c r="GZR55" s="69"/>
      <c r="GZS55" s="69"/>
      <c r="GZT55" s="69"/>
      <c r="GZU55" s="69"/>
      <c r="GZV55" s="69"/>
      <c r="GZW55" s="69"/>
      <c r="GZX55" s="69"/>
      <c r="GZY55" s="69"/>
      <c r="GZZ55" s="69"/>
      <c r="HAA55" s="69"/>
      <c r="HAB55" s="69"/>
      <c r="HAC55" s="69"/>
      <c r="HAD55" s="69"/>
      <c r="HAE55" s="69"/>
      <c r="HAF55" s="69"/>
      <c r="HAG55" s="69"/>
      <c r="HAH55" s="69"/>
      <c r="HAI55" s="69"/>
      <c r="HAJ55" s="69"/>
      <c r="HAK55" s="69"/>
      <c r="HAL55" s="69"/>
      <c r="HAM55" s="69"/>
      <c r="HAN55" s="69"/>
      <c r="HAO55" s="69"/>
      <c r="HAP55" s="69"/>
      <c r="HAQ55" s="69"/>
      <c r="HAR55" s="69"/>
      <c r="HAS55" s="69"/>
      <c r="HAT55" s="69"/>
      <c r="HAU55" s="69"/>
      <c r="HAV55" s="69"/>
      <c r="HAW55" s="69"/>
      <c r="HAX55" s="69"/>
      <c r="HAY55" s="69"/>
      <c r="HAZ55" s="69"/>
      <c r="HBA55" s="69"/>
      <c r="HBB55" s="69"/>
      <c r="HBC55" s="69"/>
      <c r="HBD55" s="69"/>
      <c r="HBE55" s="69"/>
      <c r="HBF55" s="69"/>
      <c r="HBG55" s="69"/>
      <c r="HBH55" s="69"/>
      <c r="HBI55" s="69"/>
      <c r="HBJ55" s="69"/>
      <c r="HBK55" s="69"/>
      <c r="HBL55" s="69"/>
      <c r="HBM55" s="69"/>
      <c r="HBN55" s="69"/>
      <c r="HBO55" s="69"/>
      <c r="HBP55" s="69"/>
      <c r="HBQ55" s="69"/>
      <c r="HBR55" s="69"/>
      <c r="HBS55" s="69"/>
      <c r="HBT55" s="69"/>
      <c r="HBU55" s="69"/>
      <c r="HBV55" s="69"/>
      <c r="HBW55" s="69"/>
      <c r="HBX55" s="69"/>
      <c r="HBY55" s="69"/>
      <c r="HBZ55" s="69"/>
      <c r="HCA55" s="69"/>
      <c r="HCB55" s="69"/>
      <c r="HCC55" s="69"/>
      <c r="HCD55" s="69"/>
      <c r="HCE55" s="69"/>
      <c r="HCF55" s="69"/>
      <c r="HCG55" s="69"/>
      <c r="HCH55" s="69"/>
      <c r="HCI55" s="69"/>
      <c r="HCJ55" s="69"/>
      <c r="HCK55" s="69"/>
      <c r="HCL55" s="69"/>
      <c r="HCM55" s="69"/>
      <c r="HCN55" s="69"/>
      <c r="HCO55" s="69"/>
      <c r="HCP55" s="69"/>
      <c r="HCQ55" s="69"/>
      <c r="HCR55" s="69"/>
      <c r="HCS55" s="69"/>
      <c r="HCT55" s="69"/>
      <c r="HCU55" s="69"/>
      <c r="HCV55" s="69"/>
      <c r="HCW55" s="69"/>
      <c r="HCX55" s="69"/>
      <c r="HCY55" s="69"/>
      <c r="HCZ55" s="69"/>
      <c r="HDA55" s="69"/>
      <c r="HDB55" s="69"/>
      <c r="HDC55" s="69"/>
      <c r="HDD55" s="69"/>
      <c r="HDE55" s="69"/>
      <c r="HDF55" s="69"/>
      <c r="HDG55" s="69"/>
      <c r="HDH55" s="69"/>
      <c r="HDI55" s="69"/>
      <c r="HDJ55" s="69"/>
      <c r="HDK55" s="69"/>
      <c r="HDL55" s="69"/>
      <c r="HDM55" s="69"/>
      <c r="HDN55" s="69"/>
      <c r="HDO55" s="69"/>
      <c r="HDP55" s="69"/>
      <c r="HDQ55" s="69"/>
      <c r="HDR55" s="69"/>
      <c r="HDS55" s="69"/>
      <c r="HDT55" s="69"/>
      <c r="HDU55" s="69"/>
      <c r="HDV55" s="69"/>
      <c r="HDW55" s="69"/>
      <c r="HDX55" s="69"/>
      <c r="HDY55" s="69"/>
      <c r="HDZ55" s="69"/>
      <c r="HEA55" s="69"/>
      <c r="HEB55" s="69"/>
      <c r="HEC55" s="69"/>
      <c r="HED55" s="69"/>
      <c r="HEE55" s="69"/>
      <c r="HEF55" s="69"/>
      <c r="HEG55" s="69"/>
      <c r="HEH55" s="69"/>
      <c r="HEI55" s="69"/>
      <c r="HEJ55" s="69"/>
      <c r="HEK55" s="69"/>
      <c r="HEL55" s="69"/>
      <c r="HEM55" s="69"/>
      <c r="HEN55" s="69"/>
      <c r="HEO55" s="69"/>
      <c r="HEP55" s="69"/>
      <c r="HEQ55" s="69"/>
      <c r="HER55" s="69"/>
      <c r="HES55" s="69"/>
      <c r="HET55" s="69"/>
      <c r="HEU55" s="69"/>
      <c r="HEV55" s="69"/>
      <c r="HEW55" s="69"/>
      <c r="HEX55" s="69"/>
      <c r="HEY55" s="69"/>
      <c r="HEZ55" s="69"/>
      <c r="HFA55" s="69"/>
      <c r="HFB55" s="69"/>
      <c r="HFC55" s="69"/>
      <c r="HFD55" s="69"/>
      <c r="HFE55" s="69"/>
      <c r="HFF55" s="69"/>
      <c r="HFG55" s="69"/>
      <c r="HFH55" s="69"/>
      <c r="HFI55" s="69"/>
      <c r="HFJ55" s="69"/>
      <c r="HFK55" s="69"/>
      <c r="HFL55" s="69"/>
      <c r="HFM55" s="69"/>
      <c r="HFN55" s="69"/>
      <c r="HFO55" s="69"/>
      <c r="HFP55" s="69"/>
      <c r="HFQ55" s="69"/>
      <c r="HFR55" s="69"/>
      <c r="HFS55" s="69"/>
      <c r="HFT55" s="69"/>
      <c r="HFU55" s="69"/>
      <c r="HFV55" s="69"/>
      <c r="HFW55" s="69"/>
      <c r="HFX55" s="69"/>
      <c r="HFY55" s="69"/>
      <c r="HFZ55" s="69"/>
      <c r="HGA55" s="69"/>
      <c r="HGB55" s="69"/>
      <c r="HGC55" s="69"/>
      <c r="HGD55" s="69"/>
      <c r="HGE55" s="69"/>
      <c r="HGF55" s="69"/>
      <c r="HGG55" s="69"/>
      <c r="HGH55" s="69"/>
      <c r="HGI55" s="69"/>
      <c r="HGJ55" s="69"/>
      <c r="HGK55" s="69"/>
      <c r="HGL55" s="69"/>
      <c r="HGM55" s="69"/>
      <c r="HGN55" s="69"/>
      <c r="HGO55" s="69"/>
      <c r="HGP55" s="69"/>
      <c r="HGQ55" s="69"/>
      <c r="HGR55" s="69"/>
      <c r="HGS55" s="69"/>
      <c r="HGT55" s="69"/>
      <c r="HGU55" s="69"/>
      <c r="HGV55" s="69"/>
      <c r="HGW55" s="69"/>
      <c r="HGX55" s="69"/>
      <c r="HGY55" s="69"/>
      <c r="HGZ55" s="69"/>
      <c r="HHA55" s="69"/>
      <c r="HHB55" s="69"/>
      <c r="HHC55" s="69"/>
      <c r="HHD55" s="69"/>
      <c r="HHE55" s="69"/>
      <c r="HHF55" s="69"/>
      <c r="HHG55" s="69"/>
      <c r="HHH55" s="69"/>
      <c r="HHI55" s="69"/>
      <c r="HHJ55" s="69"/>
      <c r="HHK55" s="69"/>
      <c r="HHL55" s="69"/>
      <c r="HHM55" s="69"/>
      <c r="HHN55" s="69"/>
      <c r="HHO55" s="69"/>
      <c r="HHP55" s="69"/>
      <c r="HHQ55" s="69"/>
      <c r="HHR55" s="69"/>
      <c r="HHS55" s="69"/>
      <c r="HHT55" s="69"/>
      <c r="HHU55" s="69"/>
      <c r="HHV55" s="69"/>
      <c r="HHW55" s="69"/>
      <c r="HHX55" s="69"/>
      <c r="HHY55" s="69"/>
      <c r="HHZ55" s="69"/>
      <c r="HIA55" s="69"/>
      <c r="HIB55" s="69"/>
      <c r="HIC55" s="69"/>
      <c r="HID55" s="69"/>
      <c r="HIE55" s="69"/>
      <c r="HIF55" s="69"/>
      <c r="HIG55" s="69"/>
      <c r="HIH55" s="69"/>
      <c r="HII55" s="69"/>
      <c r="HIJ55" s="69"/>
      <c r="HIK55" s="69"/>
      <c r="HIL55" s="69"/>
      <c r="HIM55" s="69"/>
      <c r="HIN55" s="69"/>
      <c r="HIO55" s="69"/>
      <c r="HIP55" s="69"/>
      <c r="HIQ55" s="69"/>
      <c r="HIR55" s="69"/>
      <c r="HIS55" s="69"/>
      <c r="HIT55" s="69"/>
      <c r="HIU55" s="69"/>
      <c r="HIV55" s="69"/>
      <c r="HIW55" s="69"/>
      <c r="HIX55" s="69"/>
      <c r="HIY55" s="69"/>
      <c r="HIZ55" s="69"/>
      <c r="HJA55" s="69"/>
      <c r="HJB55" s="69"/>
      <c r="HJC55" s="69"/>
      <c r="HJD55" s="69"/>
      <c r="HJE55" s="69"/>
      <c r="HJF55" s="69"/>
      <c r="HJG55" s="69"/>
      <c r="HJH55" s="69"/>
      <c r="HJI55" s="69"/>
      <c r="HJJ55" s="69"/>
      <c r="HJK55" s="69"/>
      <c r="HJL55" s="69"/>
      <c r="HJM55" s="69"/>
      <c r="HJN55" s="69"/>
      <c r="HJO55" s="69"/>
      <c r="HJP55" s="69"/>
      <c r="HJQ55" s="69"/>
      <c r="HJR55" s="69"/>
      <c r="HJS55" s="69"/>
      <c r="HJT55" s="69"/>
      <c r="HJU55" s="69"/>
      <c r="HJV55" s="69"/>
      <c r="HJW55" s="69"/>
      <c r="HJX55" s="69"/>
      <c r="HJY55" s="69"/>
      <c r="HJZ55" s="69"/>
      <c r="HKA55" s="69"/>
      <c r="HKB55" s="69"/>
      <c r="HKC55" s="69"/>
      <c r="HKD55" s="69"/>
      <c r="HKE55" s="69"/>
      <c r="HKF55" s="69"/>
      <c r="HKG55" s="69"/>
      <c r="HKH55" s="69"/>
      <c r="HKI55" s="69"/>
      <c r="HKJ55" s="69"/>
      <c r="HKK55" s="69"/>
      <c r="HKL55" s="69"/>
      <c r="HKM55" s="69"/>
      <c r="HKN55" s="69"/>
      <c r="HKO55" s="69"/>
      <c r="HKP55" s="69"/>
      <c r="HKQ55" s="69"/>
      <c r="HKR55" s="69"/>
      <c r="HKS55" s="69"/>
      <c r="HKT55" s="69"/>
      <c r="HKU55" s="69"/>
      <c r="HKV55" s="69"/>
      <c r="HKW55" s="69"/>
      <c r="HKX55" s="69"/>
      <c r="HKY55" s="69"/>
      <c r="HKZ55" s="69"/>
      <c r="HLA55" s="69"/>
      <c r="HLB55" s="69"/>
      <c r="HLC55" s="69"/>
      <c r="HLD55" s="69"/>
      <c r="HLE55" s="69"/>
      <c r="HLF55" s="69"/>
      <c r="HLG55" s="69"/>
      <c r="HLH55" s="69"/>
      <c r="HLI55" s="69"/>
      <c r="HLJ55" s="69"/>
      <c r="HLK55" s="69"/>
      <c r="HLL55" s="69"/>
      <c r="HLM55" s="69"/>
      <c r="HLN55" s="69"/>
      <c r="HLO55" s="69"/>
      <c r="HLP55" s="69"/>
      <c r="HLQ55" s="69"/>
      <c r="HLR55" s="69"/>
      <c r="HLS55" s="69"/>
      <c r="HLT55" s="69"/>
      <c r="HLU55" s="69"/>
      <c r="HLV55" s="69"/>
      <c r="HLW55" s="69"/>
      <c r="HLX55" s="69"/>
      <c r="HLY55" s="69"/>
      <c r="HLZ55" s="69"/>
      <c r="HMA55" s="69"/>
      <c r="HMB55" s="69"/>
      <c r="HMC55" s="69"/>
      <c r="HMD55" s="69"/>
      <c r="HME55" s="69"/>
      <c r="HMF55" s="69"/>
      <c r="HMG55" s="69"/>
      <c r="HMH55" s="69"/>
      <c r="HMI55" s="69"/>
      <c r="HMJ55" s="69"/>
      <c r="HMK55" s="69"/>
      <c r="HML55" s="69"/>
      <c r="HMM55" s="69"/>
      <c r="HMN55" s="69"/>
      <c r="HMO55" s="69"/>
      <c r="HMP55" s="69"/>
      <c r="HMQ55" s="69"/>
      <c r="HMR55" s="69"/>
      <c r="HMS55" s="69"/>
      <c r="HMT55" s="69"/>
      <c r="HMU55" s="69"/>
      <c r="HMV55" s="69"/>
      <c r="HMW55" s="69"/>
      <c r="HMX55" s="69"/>
      <c r="HMY55" s="69"/>
      <c r="HMZ55" s="69"/>
      <c r="HNA55" s="69"/>
      <c r="HNB55" s="69"/>
      <c r="HNC55" s="69"/>
      <c r="HND55" s="69"/>
      <c r="HNE55" s="69"/>
      <c r="HNF55" s="69"/>
      <c r="HNG55" s="69"/>
      <c r="HNH55" s="69"/>
      <c r="HNI55" s="69"/>
      <c r="HNJ55" s="69"/>
      <c r="HNK55" s="69"/>
      <c r="HNL55" s="69"/>
      <c r="HNM55" s="69"/>
      <c r="HNN55" s="69"/>
      <c r="HNO55" s="69"/>
      <c r="HNP55" s="69"/>
      <c r="HNQ55" s="69"/>
      <c r="HNR55" s="69"/>
      <c r="HNS55" s="69"/>
      <c r="HNT55" s="69"/>
      <c r="HNU55" s="69"/>
      <c r="HNV55" s="69"/>
      <c r="HNW55" s="69"/>
      <c r="HNX55" s="69"/>
      <c r="HNY55" s="69"/>
      <c r="HNZ55" s="69"/>
      <c r="HOA55" s="69"/>
      <c r="HOB55" s="69"/>
      <c r="HOC55" s="69"/>
      <c r="HOD55" s="69"/>
      <c r="HOE55" s="69"/>
      <c r="HOF55" s="69"/>
      <c r="HOG55" s="69"/>
      <c r="HOH55" s="69"/>
      <c r="HOI55" s="69"/>
      <c r="HOJ55" s="69"/>
      <c r="HOK55" s="69"/>
      <c r="HOL55" s="69"/>
      <c r="HOM55" s="69"/>
      <c r="HON55" s="69"/>
      <c r="HOO55" s="69"/>
      <c r="HOP55" s="69"/>
      <c r="HOQ55" s="69"/>
      <c r="HOR55" s="69"/>
      <c r="HOS55" s="69"/>
      <c r="HOT55" s="69"/>
      <c r="HOU55" s="69"/>
      <c r="HOV55" s="69"/>
      <c r="HOW55" s="69"/>
      <c r="HOX55" s="69"/>
      <c r="HOY55" s="69"/>
      <c r="HOZ55" s="69"/>
      <c r="HPA55" s="69"/>
      <c r="HPB55" s="69"/>
      <c r="HPC55" s="69"/>
      <c r="HPD55" s="69"/>
      <c r="HPE55" s="69"/>
      <c r="HPF55" s="69"/>
      <c r="HPG55" s="69"/>
      <c r="HPH55" s="69"/>
      <c r="HPI55" s="69"/>
      <c r="HPJ55" s="69"/>
      <c r="HPK55" s="69"/>
      <c r="HPL55" s="69"/>
      <c r="HPM55" s="69"/>
      <c r="HPN55" s="69"/>
      <c r="HPO55" s="69"/>
      <c r="HPP55" s="69"/>
      <c r="HPQ55" s="69"/>
      <c r="HPR55" s="69"/>
      <c r="HPS55" s="69"/>
      <c r="HPT55" s="69"/>
      <c r="HPU55" s="69"/>
      <c r="HPV55" s="69"/>
      <c r="HPW55" s="69"/>
      <c r="HPX55" s="69"/>
      <c r="HPY55" s="69"/>
      <c r="HPZ55" s="69"/>
      <c r="HQA55" s="69"/>
      <c r="HQB55" s="69"/>
      <c r="HQC55" s="69"/>
      <c r="HQD55" s="69"/>
      <c r="HQE55" s="69"/>
      <c r="HQF55" s="69"/>
      <c r="HQG55" s="69"/>
      <c r="HQH55" s="69"/>
      <c r="HQI55" s="69"/>
      <c r="HQJ55" s="69"/>
      <c r="HQK55" s="69"/>
      <c r="HQL55" s="69"/>
      <c r="HQM55" s="69"/>
      <c r="HQN55" s="69"/>
      <c r="HQO55" s="69"/>
      <c r="HQP55" s="69"/>
      <c r="HQQ55" s="69"/>
      <c r="HQR55" s="69"/>
      <c r="HQS55" s="69"/>
      <c r="HQT55" s="69"/>
      <c r="HQU55" s="69"/>
      <c r="HQV55" s="69"/>
      <c r="HQW55" s="69"/>
      <c r="HQX55" s="69"/>
      <c r="HQY55" s="69"/>
      <c r="HQZ55" s="69"/>
      <c r="HRA55" s="69"/>
      <c r="HRB55" s="69"/>
      <c r="HRC55" s="69"/>
      <c r="HRD55" s="69"/>
      <c r="HRE55" s="69"/>
      <c r="HRF55" s="69"/>
      <c r="HRG55" s="69"/>
      <c r="HRH55" s="69"/>
      <c r="HRI55" s="69"/>
      <c r="HRJ55" s="69"/>
      <c r="HRK55" s="69"/>
      <c r="HRL55" s="69"/>
      <c r="HRM55" s="69"/>
      <c r="HRN55" s="69"/>
      <c r="HRO55" s="69"/>
      <c r="HRP55" s="69"/>
      <c r="HRQ55" s="69"/>
      <c r="HRR55" s="69"/>
      <c r="HRS55" s="69"/>
      <c r="HRT55" s="69"/>
      <c r="HRU55" s="69"/>
      <c r="HRV55" s="69"/>
      <c r="HRW55" s="69"/>
      <c r="HRX55" s="69"/>
      <c r="HRY55" s="69"/>
      <c r="HRZ55" s="69"/>
      <c r="HSA55" s="69"/>
      <c r="HSB55" s="69"/>
      <c r="HSC55" s="69"/>
      <c r="HSD55" s="69"/>
      <c r="HSE55" s="69"/>
      <c r="HSF55" s="69"/>
      <c r="HSG55" s="69"/>
      <c r="HSH55" s="69"/>
      <c r="HSI55" s="69"/>
      <c r="HSJ55" s="69"/>
      <c r="HSK55" s="69"/>
      <c r="HSL55" s="69"/>
      <c r="HSM55" s="69"/>
      <c r="HSN55" s="69"/>
      <c r="HSO55" s="69"/>
      <c r="HSP55" s="69"/>
      <c r="HSQ55" s="69"/>
      <c r="HSR55" s="69"/>
      <c r="HSS55" s="69"/>
      <c r="HST55" s="69"/>
      <c r="HSU55" s="69"/>
      <c r="HSV55" s="69"/>
      <c r="HSW55" s="69"/>
      <c r="HSX55" s="69"/>
      <c r="HSY55" s="69"/>
      <c r="HSZ55" s="69"/>
      <c r="HTA55" s="69"/>
      <c r="HTB55" s="69"/>
      <c r="HTC55" s="69"/>
      <c r="HTD55" s="69"/>
      <c r="HTE55" s="69"/>
      <c r="HTF55" s="69"/>
      <c r="HTG55" s="69"/>
      <c r="HTH55" s="69"/>
      <c r="HTI55" s="69"/>
      <c r="HTJ55" s="69"/>
      <c r="HTK55" s="69"/>
      <c r="HTL55" s="69"/>
      <c r="HTM55" s="69"/>
      <c r="HTN55" s="69"/>
      <c r="HTO55" s="69"/>
      <c r="HTP55" s="69"/>
      <c r="HTQ55" s="69"/>
      <c r="HTR55" s="69"/>
      <c r="HTS55" s="69"/>
      <c r="HTT55" s="69"/>
      <c r="HTU55" s="69"/>
      <c r="HTV55" s="69"/>
      <c r="HTW55" s="69"/>
      <c r="HTX55" s="69"/>
      <c r="HTY55" s="69"/>
      <c r="HTZ55" s="69"/>
      <c r="HUA55" s="69"/>
      <c r="HUB55" s="69"/>
      <c r="HUC55" s="69"/>
      <c r="HUD55" s="69"/>
      <c r="HUE55" s="69"/>
      <c r="HUF55" s="69"/>
      <c r="HUG55" s="69"/>
      <c r="HUH55" s="69"/>
      <c r="HUI55" s="69"/>
      <c r="HUJ55" s="69"/>
      <c r="HUK55" s="69"/>
      <c r="HUL55" s="69"/>
      <c r="HUM55" s="69"/>
      <c r="HUN55" s="69"/>
      <c r="HUO55" s="69"/>
      <c r="HUP55" s="69"/>
      <c r="HUQ55" s="69"/>
      <c r="HUR55" s="69"/>
      <c r="HUS55" s="69"/>
      <c r="HUT55" s="69"/>
      <c r="HUU55" s="69"/>
      <c r="HUV55" s="69"/>
      <c r="HUW55" s="69"/>
      <c r="HUX55" s="69"/>
      <c r="HUY55" s="69"/>
      <c r="HUZ55" s="69"/>
      <c r="HVA55" s="69"/>
      <c r="HVB55" s="69"/>
      <c r="HVC55" s="69"/>
      <c r="HVD55" s="69"/>
      <c r="HVE55" s="69"/>
      <c r="HVF55" s="69"/>
      <c r="HVG55" s="69"/>
      <c r="HVH55" s="69"/>
      <c r="HVI55" s="69"/>
      <c r="HVJ55" s="69"/>
      <c r="HVK55" s="69"/>
      <c r="HVL55" s="69"/>
      <c r="HVM55" s="69"/>
      <c r="HVN55" s="69"/>
      <c r="HVO55" s="69"/>
      <c r="HVP55" s="69"/>
      <c r="HVQ55" s="69"/>
      <c r="HVR55" s="69"/>
      <c r="HVS55" s="69"/>
      <c r="HVT55" s="69"/>
      <c r="HVU55" s="69"/>
      <c r="HVV55" s="69"/>
      <c r="HVW55" s="69"/>
      <c r="HVX55" s="69"/>
      <c r="HVY55" s="69"/>
      <c r="HVZ55" s="69"/>
      <c r="HWA55" s="69"/>
      <c r="HWB55" s="69"/>
      <c r="HWC55" s="69"/>
      <c r="HWD55" s="69"/>
      <c r="HWE55" s="69"/>
      <c r="HWF55" s="69"/>
      <c r="HWG55" s="69"/>
      <c r="HWH55" s="69"/>
      <c r="HWI55" s="69"/>
      <c r="HWJ55" s="69"/>
      <c r="HWK55" s="69"/>
      <c r="HWL55" s="69"/>
      <c r="HWM55" s="69"/>
      <c r="HWN55" s="69"/>
      <c r="HWO55" s="69"/>
      <c r="HWP55" s="69"/>
      <c r="HWQ55" s="69"/>
      <c r="HWR55" s="69"/>
      <c r="HWS55" s="69"/>
      <c r="HWT55" s="69"/>
      <c r="HWU55" s="69"/>
      <c r="HWV55" s="69"/>
      <c r="HWW55" s="69"/>
      <c r="HWX55" s="69"/>
      <c r="HWY55" s="69"/>
      <c r="HWZ55" s="69"/>
      <c r="HXA55" s="69"/>
      <c r="HXB55" s="69"/>
      <c r="HXC55" s="69"/>
      <c r="HXD55" s="69"/>
      <c r="HXE55" s="69"/>
      <c r="HXF55" s="69"/>
      <c r="HXG55" s="69"/>
      <c r="HXH55" s="69"/>
      <c r="HXI55" s="69"/>
      <c r="HXJ55" s="69"/>
      <c r="HXK55" s="69"/>
      <c r="HXL55" s="69"/>
      <c r="HXM55" s="69"/>
      <c r="HXN55" s="69"/>
      <c r="HXO55" s="69"/>
      <c r="HXP55" s="69"/>
      <c r="HXQ55" s="69"/>
      <c r="HXR55" s="69"/>
      <c r="HXS55" s="69"/>
      <c r="HXT55" s="69"/>
      <c r="HXU55" s="69"/>
      <c r="HXV55" s="69"/>
      <c r="HXW55" s="69"/>
      <c r="HXX55" s="69"/>
      <c r="HXY55" s="69"/>
      <c r="HXZ55" s="69"/>
      <c r="HYA55" s="69"/>
      <c r="HYB55" s="69"/>
      <c r="HYC55" s="69"/>
      <c r="HYD55" s="69"/>
      <c r="HYE55" s="69"/>
      <c r="HYF55" s="69"/>
      <c r="HYG55" s="69"/>
      <c r="HYH55" s="69"/>
      <c r="HYI55" s="69"/>
      <c r="HYJ55" s="69"/>
      <c r="HYK55" s="69"/>
      <c r="HYL55" s="69"/>
      <c r="HYM55" s="69"/>
      <c r="HYN55" s="69"/>
      <c r="HYO55" s="69"/>
      <c r="HYP55" s="69"/>
      <c r="HYQ55" s="69"/>
      <c r="HYR55" s="69"/>
      <c r="HYS55" s="69"/>
      <c r="HYT55" s="69"/>
      <c r="HYU55" s="69"/>
      <c r="HYV55" s="69"/>
      <c r="HYW55" s="69"/>
      <c r="HYX55" s="69"/>
      <c r="HYY55" s="69"/>
      <c r="HYZ55" s="69"/>
      <c r="HZA55" s="69"/>
      <c r="HZB55" s="69"/>
      <c r="HZC55" s="69"/>
      <c r="HZD55" s="69"/>
      <c r="HZE55" s="69"/>
      <c r="HZF55" s="69"/>
      <c r="HZG55" s="69"/>
      <c r="HZH55" s="69"/>
      <c r="HZI55" s="69"/>
      <c r="HZJ55" s="69"/>
      <c r="HZK55" s="69"/>
      <c r="HZL55" s="69"/>
      <c r="HZM55" s="69"/>
      <c r="HZN55" s="69"/>
      <c r="HZO55" s="69"/>
      <c r="HZP55" s="69"/>
      <c r="HZQ55" s="69"/>
      <c r="HZR55" s="69"/>
      <c r="HZS55" s="69"/>
      <c r="HZT55" s="69"/>
      <c r="HZU55" s="69"/>
      <c r="HZV55" s="69"/>
      <c r="HZW55" s="69"/>
      <c r="HZX55" s="69"/>
      <c r="HZY55" s="69"/>
      <c r="HZZ55" s="69"/>
      <c r="IAA55" s="69"/>
      <c r="IAB55" s="69"/>
      <c r="IAC55" s="69"/>
      <c r="IAD55" s="69"/>
      <c r="IAE55" s="69"/>
      <c r="IAF55" s="69"/>
      <c r="IAG55" s="69"/>
      <c r="IAH55" s="69"/>
      <c r="IAI55" s="69"/>
      <c r="IAJ55" s="69"/>
      <c r="IAK55" s="69"/>
      <c r="IAL55" s="69"/>
      <c r="IAM55" s="69"/>
      <c r="IAN55" s="69"/>
      <c r="IAO55" s="69"/>
      <c r="IAP55" s="69"/>
      <c r="IAQ55" s="69"/>
      <c r="IAR55" s="69"/>
      <c r="IAS55" s="69"/>
      <c r="IAT55" s="69"/>
      <c r="IAU55" s="69"/>
      <c r="IAV55" s="69"/>
      <c r="IAW55" s="69"/>
      <c r="IAX55" s="69"/>
      <c r="IAY55" s="69"/>
      <c r="IAZ55" s="69"/>
      <c r="IBA55" s="69"/>
      <c r="IBB55" s="69"/>
      <c r="IBC55" s="69"/>
      <c r="IBD55" s="69"/>
      <c r="IBE55" s="69"/>
      <c r="IBF55" s="69"/>
      <c r="IBG55" s="69"/>
      <c r="IBH55" s="69"/>
      <c r="IBI55" s="69"/>
      <c r="IBJ55" s="69"/>
      <c r="IBK55" s="69"/>
      <c r="IBL55" s="69"/>
      <c r="IBM55" s="69"/>
      <c r="IBN55" s="69"/>
      <c r="IBO55" s="69"/>
      <c r="IBP55" s="69"/>
      <c r="IBQ55" s="69"/>
      <c r="IBR55" s="69"/>
      <c r="IBS55" s="69"/>
      <c r="IBT55" s="69"/>
      <c r="IBU55" s="69"/>
      <c r="IBV55" s="69"/>
      <c r="IBW55" s="69"/>
      <c r="IBX55" s="69"/>
      <c r="IBY55" s="69"/>
      <c r="IBZ55" s="69"/>
      <c r="ICA55" s="69"/>
      <c r="ICB55" s="69"/>
      <c r="ICC55" s="69"/>
      <c r="ICD55" s="69"/>
      <c r="ICE55" s="69"/>
      <c r="ICF55" s="69"/>
      <c r="ICG55" s="69"/>
      <c r="ICH55" s="69"/>
      <c r="ICI55" s="69"/>
      <c r="ICJ55" s="69"/>
      <c r="ICK55" s="69"/>
      <c r="ICL55" s="69"/>
      <c r="ICM55" s="69"/>
      <c r="ICN55" s="69"/>
      <c r="ICO55" s="69"/>
      <c r="ICP55" s="69"/>
      <c r="ICQ55" s="69"/>
      <c r="ICR55" s="69"/>
      <c r="ICS55" s="69"/>
      <c r="ICT55" s="69"/>
      <c r="ICU55" s="69"/>
      <c r="ICV55" s="69"/>
      <c r="ICW55" s="69"/>
      <c r="ICX55" s="69"/>
      <c r="ICY55" s="69"/>
      <c r="ICZ55" s="69"/>
      <c r="IDA55" s="69"/>
      <c r="IDB55" s="69"/>
      <c r="IDC55" s="69"/>
      <c r="IDD55" s="69"/>
      <c r="IDE55" s="69"/>
      <c r="IDF55" s="69"/>
      <c r="IDG55" s="69"/>
      <c r="IDH55" s="69"/>
      <c r="IDI55" s="69"/>
      <c r="IDJ55" s="69"/>
      <c r="IDK55" s="69"/>
      <c r="IDL55" s="69"/>
      <c r="IDM55" s="69"/>
      <c r="IDN55" s="69"/>
      <c r="IDO55" s="69"/>
      <c r="IDP55" s="69"/>
      <c r="IDQ55" s="69"/>
      <c r="IDR55" s="69"/>
      <c r="IDS55" s="69"/>
      <c r="IDT55" s="69"/>
      <c r="IDU55" s="69"/>
      <c r="IDV55" s="69"/>
      <c r="IDW55" s="69"/>
      <c r="IDX55" s="69"/>
      <c r="IDY55" s="69"/>
      <c r="IDZ55" s="69"/>
      <c r="IEA55" s="69"/>
      <c r="IEB55" s="69"/>
      <c r="IEC55" s="69"/>
      <c r="IED55" s="69"/>
      <c r="IEE55" s="69"/>
      <c r="IEF55" s="69"/>
      <c r="IEG55" s="69"/>
      <c r="IEH55" s="69"/>
      <c r="IEI55" s="69"/>
      <c r="IEJ55" s="69"/>
      <c r="IEK55" s="69"/>
      <c r="IEL55" s="69"/>
      <c r="IEM55" s="69"/>
      <c r="IEN55" s="69"/>
      <c r="IEO55" s="69"/>
      <c r="IEP55" s="69"/>
      <c r="IEQ55" s="69"/>
      <c r="IER55" s="69"/>
      <c r="IES55" s="69"/>
      <c r="IET55" s="69"/>
      <c r="IEU55" s="69"/>
      <c r="IEV55" s="69"/>
      <c r="IEW55" s="69"/>
      <c r="IEX55" s="69"/>
      <c r="IEY55" s="69"/>
      <c r="IEZ55" s="69"/>
      <c r="IFA55" s="69"/>
      <c r="IFB55" s="69"/>
      <c r="IFC55" s="69"/>
      <c r="IFD55" s="69"/>
      <c r="IFE55" s="69"/>
      <c r="IFF55" s="69"/>
      <c r="IFG55" s="69"/>
      <c r="IFH55" s="69"/>
      <c r="IFI55" s="69"/>
      <c r="IFJ55" s="69"/>
      <c r="IFK55" s="69"/>
      <c r="IFL55" s="69"/>
      <c r="IFM55" s="69"/>
      <c r="IFN55" s="69"/>
      <c r="IFO55" s="69"/>
      <c r="IFP55" s="69"/>
      <c r="IFQ55" s="69"/>
      <c r="IFR55" s="69"/>
      <c r="IFS55" s="69"/>
      <c r="IFT55" s="69"/>
      <c r="IFU55" s="69"/>
      <c r="IFV55" s="69"/>
      <c r="IFW55" s="69"/>
      <c r="IFX55" s="69"/>
      <c r="IFY55" s="69"/>
      <c r="IFZ55" s="69"/>
      <c r="IGA55" s="69"/>
      <c r="IGB55" s="69"/>
      <c r="IGC55" s="69"/>
      <c r="IGD55" s="69"/>
      <c r="IGE55" s="69"/>
      <c r="IGF55" s="69"/>
      <c r="IGG55" s="69"/>
      <c r="IGH55" s="69"/>
      <c r="IGI55" s="69"/>
      <c r="IGJ55" s="69"/>
      <c r="IGK55" s="69"/>
      <c r="IGL55" s="69"/>
      <c r="IGM55" s="69"/>
      <c r="IGN55" s="69"/>
      <c r="IGO55" s="69"/>
      <c r="IGP55" s="69"/>
      <c r="IGQ55" s="69"/>
      <c r="IGR55" s="69"/>
      <c r="IGS55" s="69"/>
      <c r="IGT55" s="69"/>
      <c r="IGU55" s="69"/>
      <c r="IGV55" s="69"/>
      <c r="IGW55" s="69"/>
      <c r="IGX55" s="69"/>
      <c r="IGY55" s="69"/>
      <c r="IGZ55" s="69"/>
      <c r="IHA55" s="69"/>
      <c r="IHB55" s="69"/>
      <c r="IHC55" s="69"/>
      <c r="IHD55" s="69"/>
      <c r="IHE55" s="69"/>
      <c r="IHF55" s="69"/>
      <c r="IHG55" s="69"/>
      <c r="IHH55" s="69"/>
      <c r="IHI55" s="69"/>
      <c r="IHJ55" s="69"/>
      <c r="IHK55" s="69"/>
      <c r="IHL55" s="69"/>
      <c r="IHM55" s="69"/>
      <c r="IHN55" s="69"/>
      <c r="IHO55" s="69"/>
      <c r="IHP55" s="69"/>
      <c r="IHQ55" s="69"/>
      <c r="IHR55" s="69"/>
      <c r="IHS55" s="69"/>
      <c r="IHT55" s="69"/>
      <c r="IHU55" s="69"/>
      <c r="IHV55" s="69"/>
      <c r="IHW55" s="69"/>
      <c r="IHX55" s="69"/>
      <c r="IHY55" s="69"/>
      <c r="IHZ55" s="69"/>
      <c r="IIA55" s="69"/>
      <c r="IIB55" s="69"/>
      <c r="IIC55" s="69"/>
      <c r="IID55" s="69"/>
      <c r="IIE55" s="69"/>
      <c r="IIF55" s="69"/>
      <c r="IIG55" s="69"/>
      <c r="IIH55" s="69"/>
      <c r="III55" s="69"/>
      <c r="IIJ55" s="69"/>
      <c r="IIK55" s="69"/>
      <c r="IIL55" s="69"/>
      <c r="IIM55" s="69"/>
      <c r="IIN55" s="69"/>
      <c r="IIO55" s="69"/>
      <c r="IIP55" s="69"/>
      <c r="IIQ55" s="69"/>
      <c r="IIR55" s="69"/>
      <c r="IIS55" s="69"/>
      <c r="IIT55" s="69"/>
      <c r="IIU55" s="69"/>
      <c r="IIV55" s="69"/>
      <c r="IIW55" s="69"/>
      <c r="IIX55" s="69"/>
      <c r="IIY55" s="69"/>
      <c r="IIZ55" s="69"/>
      <c r="IJA55" s="69"/>
      <c r="IJB55" s="69"/>
      <c r="IJC55" s="69"/>
      <c r="IJD55" s="69"/>
      <c r="IJE55" s="69"/>
      <c r="IJF55" s="69"/>
      <c r="IJG55" s="69"/>
      <c r="IJH55" s="69"/>
      <c r="IJI55" s="69"/>
      <c r="IJJ55" s="69"/>
      <c r="IJK55" s="69"/>
      <c r="IJL55" s="69"/>
      <c r="IJM55" s="69"/>
      <c r="IJN55" s="69"/>
      <c r="IJO55" s="69"/>
      <c r="IJP55" s="69"/>
      <c r="IJQ55" s="69"/>
      <c r="IJR55" s="69"/>
      <c r="IJS55" s="69"/>
      <c r="IJT55" s="69"/>
      <c r="IJU55" s="69"/>
      <c r="IJV55" s="69"/>
      <c r="IJW55" s="69"/>
      <c r="IJX55" s="69"/>
      <c r="IJY55" s="69"/>
      <c r="IJZ55" s="69"/>
      <c r="IKA55" s="69"/>
      <c r="IKB55" s="69"/>
      <c r="IKC55" s="69"/>
      <c r="IKD55" s="69"/>
      <c r="IKE55" s="69"/>
      <c r="IKF55" s="69"/>
      <c r="IKG55" s="69"/>
      <c r="IKH55" s="69"/>
      <c r="IKI55" s="69"/>
      <c r="IKJ55" s="69"/>
      <c r="IKK55" s="69"/>
      <c r="IKL55" s="69"/>
      <c r="IKM55" s="69"/>
      <c r="IKN55" s="69"/>
      <c r="IKO55" s="69"/>
      <c r="IKP55" s="69"/>
      <c r="IKQ55" s="69"/>
      <c r="IKR55" s="69"/>
      <c r="IKS55" s="69"/>
      <c r="IKT55" s="69"/>
      <c r="IKU55" s="69"/>
      <c r="IKV55" s="69"/>
      <c r="IKW55" s="69"/>
      <c r="IKX55" s="69"/>
      <c r="IKY55" s="69"/>
      <c r="IKZ55" s="69"/>
      <c r="ILA55" s="69"/>
      <c r="ILB55" s="69"/>
      <c r="ILC55" s="69"/>
      <c r="ILD55" s="69"/>
      <c r="ILE55" s="69"/>
      <c r="ILF55" s="69"/>
      <c r="ILG55" s="69"/>
      <c r="ILH55" s="69"/>
      <c r="ILI55" s="69"/>
      <c r="ILJ55" s="69"/>
      <c r="ILK55" s="69"/>
      <c r="ILL55" s="69"/>
      <c r="ILM55" s="69"/>
      <c r="ILN55" s="69"/>
      <c r="ILO55" s="69"/>
      <c r="ILP55" s="69"/>
      <c r="ILQ55" s="69"/>
      <c r="ILR55" s="69"/>
      <c r="ILS55" s="69"/>
      <c r="ILT55" s="69"/>
      <c r="ILU55" s="69"/>
      <c r="ILV55" s="69"/>
      <c r="ILW55" s="69"/>
      <c r="ILX55" s="69"/>
      <c r="ILY55" s="69"/>
      <c r="ILZ55" s="69"/>
      <c r="IMA55" s="69"/>
      <c r="IMB55" s="69"/>
      <c r="IMC55" s="69"/>
      <c r="IMD55" s="69"/>
      <c r="IME55" s="69"/>
      <c r="IMF55" s="69"/>
      <c r="IMG55" s="69"/>
      <c r="IMH55" s="69"/>
      <c r="IMI55" s="69"/>
      <c r="IMJ55" s="69"/>
      <c r="IMK55" s="69"/>
      <c r="IML55" s="69"/>
      <c r="IMM55" s="69"/>
      <c r="IMN55" s="69"/>
      <c r="IMO55" s="69"/>
      <c r="IMP55" s="69"/>
      <c r="IMQ55" s="69"/>
      <c r="IMR55" s="69"/>
      <c r="IMS55" s="69"/>
      <c r="IMT55" s="69"/>
      <c r="IMU55" s="69"/>
      <c r="IMV55" s="69"/>
      <c r="IMW55" s="69"/>
      <c r="IMX55" s="69"/>
      <c r="IMY55" s="69"/>
      <c r="IMZ55" s="69"/>
      <c r="INA55" s="69"/>
      <c r="INB55" s="69"/>
      <c r="INC55" s="69"/>
      <c r="IND55" s="69"/>
      <c r="INE55" s="69"/>
      <c r="INF55" s="69"/>
      <c r="ING55" s="69"/>
      <c r="INH55" s="69"/>
      <c r="INI55" s="69"/>
      <c r="INJ55" s="69"/>
      <c r="INK55" s="69"/>
      <c r="INL55" s="69"/>
      <c r="INM55" s="69"/>
      <c r="INN55" s="69"/>
      <c r="INO55" s="69"/>
      <c r="INP55" s="69"/>
      <c r="INQ55" s="69"/>
      <c r="INR55" s="69"/>
      <c r="INS55" s="69"/>
      <c r="INT55" s="69"/>
      <c r="INU55" s="69"/>
      <c r="INV55" s="69"/>
      <c r="INW55" s="69"/>
      <c r="INX55" s="69"/>
      <c r="INY55" s="69"/>
      <c r="INZ55" s="69"/>
      <c r="IOA55" s="69"/>
      <c r="IOB55" s="69"/>
      <c r="IOC55" s="69"/>
      <c r="IOD55" s="69"/>
      <c r="IOE55" s="69"/>
      <c r="IOF55" s="69"/>
      <c r="IOG55" s="69"/>
      <c r="IOH55" s="69"/>
      <c r="IOI55" s="69"/>
      <c r="IOJ55" s="69"/>
      <c r="IOK55" s="69"/>
      <c r="IOL55" s="69"/>
      <c r="IOM55" s="69"/>
      <c r="ION55" s="69"/>
      <c r="IOO55" s="69"/>
      <c r="IOP55" s="69"/>
      <c r="IOQ55" s="69"/>
      <c r="IOR55" s="69"/>
      <c r="IOS55" s="69"/>
      <c r="IOT55" s="69"/>
      <c r="IOU55" s="69"/>
      <c r="IOV55" s="69"/>
      <c r="IOW55" s="69"/>
      <c r="IOX55" s="69"/>
      <c r="IOY55" s="69"/>
      <c r="IOZ55" s="69"/>
      <c r="IPA55" s="69"/>
      <c r="IPB55" s="69"/>
      <c r="IPC55" s="69"/>
      <c r="IPD55" s="69"/>
      <c r="IPE55" s="69"/>
      <c r="IPF55" s="69"/>
      <c r="IPG55" s="69"/>
      <c r="IPH55" s="69"/>
      <c r="IPI55" s="69"/>
      <c r="IPJ55" s="69"/>
      <c r="IPK55" s="69"/>
      <c r="IPL55" s="69"/>
      <c r="IPM55" s="69"/>
      <c r="IPN55" s="69"/>
      <c r="IPO55" s="69"/>
      <c r="IPP55" s="69"/>
      <c r="IPQ55" s="69"/>
      <c r="IPR55" s="69"/>
      <c r="IPS55" s="69"/>
      <c r="IPT55" s="69"/>
      <c r="IPU55" s="69"/>
      <c r="IPV55" s="69"/>
      <c r="IPW55" s="69"/>
      <c r="IPX55" s="69"/>
      <c r="IPY55" s="69"/>
      <c r="IPZ55" s="69"/>
      <c r="IQA55" s="69"/>
      <c r="IQB55" s="69"/>
      <c r="IQC55" s="69"/>
      <c r="IQD55" s="69"/>
      <c r="IQE55" s="69"/>
      <c r="IQF55" s="69"/>
      <c r="IQG55" s="69"/>
      <c r="IQH55" s="69"/>
      <c r="IQI55" s="69"/>
      <c r="IQJ55" s="69"/>
      <c r="IQK55" s="69"/>
      <c r="IQL55" s="69"/>
      <c r="IQM55" s="69"/>
      <c r="IQN55" s="69"/>
      <c r="IQO55" s="69"/>
      <c r="IQP55" s="69"/>
      <c r="IQQ55" s="69"/>
      <c r="IQR55" s="69"/>
      <c r="IQS55" s="69"/>
      <c r="IQT55" s="69"/>
      <c r="IQU55" s="69"/>
      <c r="IQV55" s="69"/>
      <c r="IQW55" s="69"/>
      <c r="IQX55" s="69"/>
      <c r="IQY55" s="69"/>
      <c r="IQZ55" s="69"/>
      <c r="IRA55" s="69"/>
      <c r="IRB55" s="69"/>
      <c r="IRC55" s="69"/>
      <c r="IRD55" s="69"/>
      <c r="IRE55" s="69"/>
      <c r="IRF55" s="69"/>
      <c r="IRG55" s="69"/>
      <c r="IRH55" s="69"/>
      <c r="IRI55" s="69"/>
      <c r="IRJ55" s="69"/>
      <c r="IRK55" s="69"/>
      <c r="IRL55" s="69"/>
      <c r="IRM55" s="69"/>
      <c r="IRN55" s="69"/>
      <c r="IRO55" s="69"/>
      <c r="IRP55" s="69"/>
      <c r="IRQ55" s="69"/>
      <c r="IRR55" s="69"/>
      <c r="IRS55" s="69"/>
      <c r="IRT55" s="69"/>
      <c r="IRU55" s="69"/>
      <c r="IRV55" s="69"/>
      <c r="IRW55" s="69"/>
      <c r="IRX55" s="69"/>
      <c r="IRY55" s="69"/>
      <c r="IRZ55" s="69"/>
      <c r="ISA55" s="69"/>
      <c r="ISB55" s="69"/>
      <c r="ISC55" s="69"/>
      <c r="ISD55" s="69"/>
      <c r="ISE55" s="69"/>
      <c r="ISF55" s="69"/>
      <c r="ISG55" s="69"/>
      <c r="ISH55" s="69"/>
      <c r="ISI55" s="69"/>
      <c r="ISJ55" s="69"/>
      <c r="ISK55" s="69"/>
      <c r="ISL55" s="69"/>
      <c r="ISM55" s="69"/>
      <c r="ISN55" s="69"/>
      <c r="ISO55" s="69"/>
      <c r="ISP55" s="69"/>
      <c r="ISQ55" s="69"/>
      <c r="ISR55" s="69"/>
      <c r="ISS55" s="69"/>
      <c r="IST55" s="69"/>
      <c r="ISU55" s="69"/>
      <c r="ISV55" s="69"/>
      <c r="ISW55" s="69"/>
      <c r="ISX55" s="69"/>
      <c r="ISY55" s="69"/>
      <c r="ISZ55" s="69"/>
      <c r="ITA55" s="69"/>
      <c r="ITB55" s="69"/>
      <c r="ITC55" s="69"/>
      <c r="ITD55" s="69"/>
      <c r="ITE55" s="69"/>
      <c r="ITF55" s="69"/>
      <c r="ITG55" s="69"/>
      <c r="ITH55" s="69"/>
      <c r="ITI55" s="69"/>
      <c r="ITJ55" s="69"/>
      <c r="ITK55" s="69"/>
      <c r="ITL55" s="69"/>
      <c r="ITM55" s="69"/>
      <c r="ITN55" s="69"/>
      <c r="ITO55" s="69"/>
      <c r="ITP55" s="69"/>
      <c r="ITQ55" s="69"/>
      <c r="ITR55" s="69"/>
      <c r="ITS55" s="69"/>
      <c r="ITT55" s="69"/>
      <c r="ITU55" s="69"/>
      <c r="ITV55" s="69"/>
      <c r="ITW55" s="69"/>
      <c r="ITX55" s="69"/>
      <c r="ITY55" s="69"/>
      <c r="ITZ55" s="69"/>
      <c r="IUA55" s="69"/>
      <c r="IUB55" s="69"/>
      <c r="IUC55" s="69"/>
      <c r="IUD55" s="69"/>
      <c r="IUE55" s="69"/>
      <c r="IUF55" s="69"/>
      <c r="IUG55" s="69"/>
      <c r="IUH55" s="69"/>
      <c r="IUI55" s="69"/>
      <c r="IUJ55" s="69"/>
      <c r="IUK55" s="69"/>
      <c r="IUL55" s="69"/>
      <c r="IUM55" s="69"/>
      <c r="IUN55" s="69"/>
      <c r="IUO55" s="69"/>
      <c r="IUP55" s="69"/>
      <c r="IUQ55" s="69"/>
      <c r="IUR55" s="69"/>
      <c r="IUS55" s="69"/>
      <c r="IUT55" s="69"/>
      <c r="IUU55" s="69"/>
      <c r="IUV55" s="69"/>
      <c r="IUW55" s="69"/>
      <c r="IUX55" s="69"/>
      <c r="IUY55" s="69"/>
      <c r="IUZ55" s="69"/>
      <c r="IVA55" s="69"/>
      <c r="IVB55" s="69"/>
      <c r="IVC55" s="69"/>
      <c r="IVD55" s="69"/>
      <c r="IVE55" s="69"/>
      <c r="IVF55" s="69"/>
      <c r="IVG55" s="69"/>
      <c r="IVH55" s="69"/>
      <c r="IVI55" s="69"/>
      <c r="IVJ55" s="69"/>
      <c r="IVK55" s="69"/>
      <c r="IVL55" s="69"/>
      <c r="IVM55" s="69"/>
      <c r="IVN55" s="69"/>
      <c r="IVO55" s="69"/>
      <c r="IVP55" s="69"/>
      <c r="IVQ55" s="69"/>
      <c r="IVR55" s="69"/>
      <c r="IVS55" s="69"/>
      <c r="IVT55" s="69"/>
      <c r="IVU55" s="69"/>
      <c r="IVV55" s="69"/>
      <c r="IVW55" s="69"/>
      <c r="IVX55" s="69"/>
      <c r="IVY55" s="69"/>
      <c r="IVZ55" s="69"/>
      <c r="IWA55" s="69"/>
      <c r="IWB55" s="69"/>
      <c r="IWC55" s="69"/>
      <c r="IWD55" s="69"/>
      <c r="IWE55" s="69"/>
      <c r="IWF55" s="69"/>
      <c r="IWG55" s="69"/>
      <c r="IWH55" s="69"/>
      <c r="IWI55" s="69"/>
      <c r="IWJ55" s="69"/>
      <c r="IWK55" s="69"/>
      <c r="IWL55" s="69"/>
      <c r="IWM55" s="69"/>
      <c r="IWN55" s="69"/>
      <c r="IWO55" s="69"/>
      <c r="IWP55" s="69"/>
      <c r="IWQ55" s="69"/>
      <c r="IWR55" s="69"/>
      <c r="IWS55" s="69"/>
      <c r="IWT55" s="69"/>
      <c r="IWU55" s="69"/>
      <c r="IWV55" s="69"/>
      <c r="IWW55" s="69"/>
      <c r="IWX55" s="69"/>
      <c r="IWY55" s="69"/>
      <c r="IWZ55" s="69"/>
      <c r="IXA55" s="69"/>
      <c r="IXB55" s="69"/>
      <c r="IXC55" s="69"/>
      <c r="IXD55" s="69"/>
      <c r="IXE55" s="69"/>
      <c r="IXF55" s="69"/>
      <c r="IXG55" s="69"/>
      <c r="IXH55" s="69"/>
      <c r="IXI55" s="69"/>
      <c r="IXJ55" s="69"/>
      <c r="IXK55" s="69"/>
      <c r="IXL55" s="69"/>
      <c r="IXM55" s="69"/>
      <c r="IXN55" s="69"/>
      <c r="IXO55" s="69"/>
      <c r="IXP55" s="69"/>
      <c r="IXQ55" s="69"/>
      <c r="IXR55" s="69"/>
      <c r="IXS55" s="69"/>
      <c r="IXT55" s="69"/>
      <c r="IXU55" s="69"/>
      <c r="IXV55" s="69"/>
      <c r="IXW55" s="69"/>
      <c r="IXX55" s="69"/>
      <c r="IXY55" s="69"/>
      <c r="IXZ55" s="69"/>
      <c r="IYA55" s="69"/>
      <c r="IYB55" s="69"/>
      <c r="IYC55" s="69"/>
      <c r="IYD55" s="69"/>
      <c r="IYE55" s="69"/>
      <c r="IYF55" s="69"/>
      <c r="IYG55" s="69"/>
      <c r="IYH55" s="69"/>
      <c r="IYI55" s="69"/>
      <c r="IYJ55" s="69"/>
      <c r="IYK55" s="69"/>
      <c r="IYL55" s="69"/>
      <c r="IYM55" s="69"/>
      <c r="IYN55" s="69"/>
      <c r="IYO55" s="69"/>
      <c r="IYP55" s="69"/>
      <c r="IYQ55" s="69"/>
      <c r="IYR55" s="69"/>
      <c r="IYS55" s="69"/>
      <c r="IYT55" s="69"/>
      <c r="IYU55" s="69"/>
      <c r="IYV55" s="69"/>
      <c r="IYW55" s="69"/>
      <c r="IYX55" s="69"/>
      <c r="IYY55" s="69"/>
      <c r="IYZ55" s="69"/>
      <c r="IZA55" s="69"/>
      <c r="IZB55" s="69"/>
      <c r="IZC55" s="69"/>
      <c r="IZD55" s="69"/>
      <c r="IZE55" s="69"/>
      <c r="IZF55" s="69"/>
      <c r="IZG55" s="69"/>
      <c r="IZH55" s="69"/>
      <c r="IZI55" s="69"/>
      <c r="IZJ55" s="69"/>
      <c r="IZK55" s="69"/>
      <c r="IZL55" s="69"/>
      <c r="IZM55" s="69"/>
      <c r="IZN55" s="69"/>
      <c r="IZO55" s="69"/>
      <c r="IZP55" s="69"/>
      <c r="IZQ55" s="69"/>
      <c r="IZR55" s="69"/>
      <c r="IZS55" s="69"/>
      <c r="IZT55" s="69"/>
      <c r="IZU55" s="69"/>
      <c r="IZV55" s="69"/>
      <c r="IZW55" s="69"/>
      <c r="IZX55" s="69"/>
      <c r="IZY55" s="69"/>
      <c r="IZZ55" s="69"/>
      <c r="JAA55" s="69"/>
      <c r="JAB55" s="69"/>
      <c r="JAC55" s="69"/>
      <c r="JAD55" s="69"/>
      <c r="JAE55" s="69"/>
      <c r="JAF55" s="69"/>
      <c r="JAG55" s="69"/>
      <c r="JAH55" s="69"/>
      <c r="JAI55" s="69"/>
      <c r="JAJ55" s="69"/>
      <c r="JAK55" s="69"/>
      <c r="JAL55" s="69"/>
      <c r="JAM55" s="69"/>
      <c r="JAN55" s="69"/>
      <c r="JAO55" s="69"/>
      <c r="JAP55" s="69"/>
      <c r="JAQ55" s="69"/>
      <c r="JAR55" s="69"/>
      <c r="JAS55" s="69"/>
      <c r="JAT55" s="69"/>
      <c r="JAU55" s="69"/>
      <c r="JAV55" s="69"/>
      <c r="JAW55" s="69"/>
      <c r="JAX55" s="69"/>
      <c r="JAY55" s="69"/>
      <c r="JAZ55" s="69"/>
      <c r="JBA55" s="69"/>
      <c r="JBB55" s="69"/>
      <c r="JBC55" s="69"/>
      <c r="JBD55" s="69"/>
      <c r="JBE55" s="69"/>
      <c r="JBF55" s="69"/>
      <c r="JBG55" s="69"/>
      <c r="JBH55" s="69"/>
      <c r="JBI55" s="69"/>
      <c r="JBJ55" s="69"/>
      <c r="JBK55" s="69"/>
      <c r="JBL55" s="69"/>
      <c r="JBM55" s="69"/>
      <c r="JBN55" s="69"/>
      <c r="JBO55" s="69"/>
      <c r="JBP55" s="69"/>
      <c r="JBQ55" s="69"/>
      <c r="JBR55" s="69"/>
      <c r="JBS55" s="69"/>
      <c r="JBT55" s="69"/>
      <c r="JBU55" s="69"/>
      <c r="JBV55" s="69"/>
      <c r="JBW55" s="69"/>
      <c r="JBX55" s="69"/>
      <c r="JBY55" s="69"/>
      <c r="JBZ55" s="69"/>
      <c r="JCA55" s="69"/>
      <c r="JCB55" s="69"/>
      <c r="JCC55" s="69"/>
      <c r="JCD55" s="69"/>
      <c r="JCE55" s="69"/>
      <c r="JCF55" s="69"/>
      <c r="JCG55" s="69"/>
      <c r="JCH55" s="69"/>
      <c r="JCI55" s="69"/>
      <c r="JCJ55" s="69"/>
      <c r="JCK55" s="69"/>
      <c r="JCL55" s="69"/>
      <c r="JCM55" s="69"/>
      <c r="JCN55" s="69"/>
      <c r="JCO55" s="69"/>
      <c r="JCP55" s="69"/>
      <c r="JCQ55" s="69"/>
      <c r="JCR55" s="69"/>
      <c r="JCS55" s="69"/>
      <c r="JCT55" s="69"/>
      <c r="JCU55" s="69"/>
      <c r="JCV55" s="69"/>
      <c r="JCW55" s="69"/>
      <c r="JCX55" s="69"/>
      <c r="JCY55" s="69"/>
      <c r="JCZ55" s="69"/>
      <c r="JDA55" s="69"/>
      <c r="JDB55" s="69"/>
      <c r="JDC55" s="69"/>
      <c r="JDD55" s="69"/>
      <c r="JDE55" s="69"/>
      <c r="JDF55" s="69"/>
      <c r="JDG55" s="69"/>
      <c r="JDH55" s="69"/>
      <c r="JDI55" s="69"/>
      <c r="JDJ55" s="69"/>
      <c r="JDK55" s="69"/>
      <c r="JDL55" s="69"/>
      <c r="JDM55" s="69"/>
      <c r="JDN55" s="69"/>
      <c r="JDO55" s="69"/>
      <c r="JDP55" s="69"/>
      <c r="JDQ55" s="69"/>
      <c r="JDR55" s="69"/>
      <c r="JDS55" s="69"/>
      <c r="JDT55" s="69"/>
      <c r="JDU55" s="69"/>
      <c r="JDV55" s="69"/>
      <c r="JDW55" s="69"/>
      <c r="JDX55" s="69"/>
      <c r="JDY55" s="69"/>
      <c r="JDZ55" s="69"/>
      <c r="JEA55" s="69"/>
      <c r="JEB55" s="69"/>
      <c r="JEC55" s="69"/>
      <c r="JED55" s="69"/>
      <c r="JEE55" s="69"/>
      <c r="JEF55" s="69"/>
      <c r="JEG55" s="69"/>
      <c r="JEH55" s="69"/>
      <c r="JEI55" s="69"/>
      <c r="JEJ55" s="69"/>
      <c r="JEK55" s="69"/>
      <c r="JEL55" s="69"/>
      <c r="JEM55" s="69"/>
      <c r="JEN55" s="69"/>
      <c r="JEO55" s="69"/>
      <c r="JEP55" s="69"/>
      <c r="JEQ55" s="69"/>
      <c r="JER55" s="69"/>
      <c r="JES55" s="69"/>
      <c r="JET55" s="69"/>
      <c r="JEU55" s="69"/>
      <c r="JEV55" s="69"/>
      <c r="JEW55" s="69"/>
      <c r="JEX55" s="69"/>
      <c r="JEY55" s="69"/>
      <c r="JEZ55" s="69"/>
      <c r="JFA55" s="69"/>
      <c r="JFB55" s="69"/>
      <c r="JFC55" s="69"/>
      <c r="JFD55" s="69"/>
      <c r="JFE55" s="69"/>
      <c r="JFF55" s="69"/>
      <c r="JFG55" s="69"/>
      <c r="JFH55" s="69"/>
      <c r="JFI55" s="69"/>
      <c r="JFJ55" s="69"/>
      <c r="JFK55" s="69"/>
      <c r="JFL55" s="69"/>
      <c r="JFM55" s="69"/>
      <c r="JFN55" s="69"/>
      <c r="JFO55" s="69"/>
      <c r="JFP55" s="69"/>
      <c r="JFQ55" s="69"/>
      <c r="JFR55" s="69"/>
      <c r="JFS55" s="69"/>
      <c r="JFT55" s="69"/>
      <c r="JFU55" s="69"/>
      <c r="JFV55" s="69"/>
      <c r="JFW55" s="69"/>
      <c r="JFX55" s="69"/>
      <c r="JFY55" s="69"/>
      <c r="JFZ55" s="69"/>
      <c r="JGA55" s="69"/>
      <c r="JGB55" s="69"/>
      <c r="JGC55" s="69"/>
      <c r="JGD55" s="69"/>
      <c r="JGE55" s="69"/>
      <c r="JGF55" s="69"/>
      <c r="JGG55" s="69"/>
      <c r="JGH55" s="69"/>
      <c r="JGI55" s="69"/>
      <c r="JGJ55" s="69"/>
      <c r="JGK55" s="69"/>
      <c r="JGL55" s="69"/>
      <c r="JGM55" s="69"/>
      <c r="JGN55" s="69"/>
      <c r="JGO55" s="69"/>
      <c r="JGP55" s="69"/>
      <c r="JGQ55" s="69"/>
      <c r="JGR55" s="69"/>
      <c r="JGS55" s="69"/>
      <c r="JGT55" s="69"/>
      <c r="JGU55" s="69"/>
      <c r="JGV55" s="69"/>
      <c r="JGW55" s="69"/>
      <c r="JGX55" s="69"/>
      <c r="JGY55" s="69"/>
      <c r="JGZ55" s="69"/>
      <c r="JHA55" s="69"/>
      <c r="JHB55" s="69"/>
      <c r="JHC55" s="69"/>
      <c r="JHD55" s="69"/>
      <c r="JHE55" s="69"/>
      <c r="JHF55" s="69"/>
      <c r="JHG55" s="69"/>
      <c r="JHH55" s="69"/>
      <c r="JHI55" s="69"/>
      <c r="JHJ55" s="69"/>
      <c r="JHK55" s="69"/>
      <c r="JHL55" s="69"/>
      <c r="JHM55" s="69"/>
      <c r="JHN55" s="69"/>
      <c r="JHO55" s="69"/>
      <c r="JHP55" s="69"/>
      <c r="JHQ55" s="69"/>
      <c r="JHR55" s="69"/>
      <c r="JHS55" s="69"/>
      <c r="JHT55" s="69"/>
      <c r="JHU55" s="69"/>
      <c r="JHV55" s="69"/>
      <c r="JHW55" s="69"/>
      <c r="JHX55" s="69"/>
      <c r="JHY55" s="69"/>
      <c r="JHZ55" s="69"/>
      <c r="JIA55" s="69"/>
      <c r="JIB55" s="69"/>
      <c r="JIC55" s="69"/>
      <c r="JID55" s="69"/>
      <c r="JIE55" s="69"/>
      <c r="JIF55" s="69"/>
      <c r="JIG55" s="69"/>
      <c r="JIH55" s="69"/>
      <c r="JII55" s="69"/>
      <c r="JIJ55" s="69"/>
      <c r="JIK55" s="69"/>
      <c r="JIL55" s="69"/>
      <c r="JIM55" s="69"/>
      <c r="JIN55" s="69"/>
      <c r="JIO55" s="69"/>
      <c r="JIP55" s="69"/>
      <c r="JIQ55" s="69"/>
      <c r="JIR55" s="69"/>
      <c r="JIS55" s="69"/>
      <c r="JIT55" s="69"/>
      <c r="JIU55" s="69"/>
      <c r="JIV55" s="69"/>
      <c r="JIW55" s="69"/>
      <c r="JIX55" s="69"/>
      <c r="JIY55" s="69"/>
      <c r="JIZ55" s="69"/>
      <c r="JJA55" s="69"/>
      <c r="JJB55" s="69"/>
      <c r="JJC55" s="69"/>
      <c r="JJD55" s="69"/>
      <c r="JJE55" s="69"/>
      <c r="JJF55" s="69"/>
      <c r="JJG55" s="69"/>
      <c r="JJH55" s="69"/>
      <c r="JJI55" s="69"/>
      <c r="JJJ55" s="69"/>
      <c r="JJK55" s="69"/>
      <c r="JJL55" s="69"/>
      <c r="JJM55" s="69"/>
      <c r="JJN55" s="69"/>
      <c r="JJO55" s="69"/>
      <c r="JJP55" s="69"/>
      <c r="JJQ55" s="69"/>
      <c r="JJR55" s="69"/>
      <c r="JJS55" s="69"/>
      <c r="JJT55" s="69"/>
      <c r="JJU55" s="69"/>
      <c r="JJV55" s="69"/>
      <c r="JJW55" s="69"/>
      <c r="JJX55" s="69"/>
      <c r="JJY55" s="69"/>
      <c r="JJZ55" s="69"/>
      <c r="JKA55" s="69"/>
      <c r="JKB55" s="69"/>
      <c r="JKC55" s="69"/>
      <c r="JKD55" s="69"/>
      <c r="JKE55" s="69"/>
      <c r="JKF55" s="69"/>
      <c r="JKG55" s="69"/>
      <c r="JKH55" s="69"/>
      <c r="JKI55" s="69"/>
      <c r="JKJ55" s="69"/>
      <c r="JKK55" s="69"/>
      <c r="JKL55" s="69"/>
      <c r="JKM55" s="69"/>
      <c r="JKN55" s="69"/>
      <c r="JKO55" s="69"/>
      <c r="JKP55" s="69"/>
      <c r="JKQ55" s="69"/>
      <c r="JKR55" s="69"/>
      <c r="JKS55" s="69"/>
      <c r="JKT55" s="69"/>
      <c r="JKU55" s="69"/>
      <c r="JKV55" s="69"/>
      <c r="JKW55" s="69"/>
      <c r="JKX55" s="69"/>
      <c r="JKY55" s="69"/>
      <c r="JKZ55" s="69"/>
      <c r="JLA55" s="69"/>
      <c r="JLB55" s="69"/>
      <c r="JLC55" s="69"/>
      <c r="JLD55" s="69"/>
      <c r="JLE55" s="69"/>
      <c r="JLF55" s="69"/>
      <c r="JLG55" s="69"/>
      <c r="JLH55" s="69"/>
      <c r="JLI55" s="69"/>
      <c r="JLJ55" s="69"/>
      <c r="JLK55" s="69"/>
      <c r="JLL55" s="69"/>
      <c r="JLM55" s="69"/>
      <c r="JLN55" s="69"/>
      <c r="JLO55" s="69"/>
      <c r="JLP55" s="69"/>
      <c r="JLQ55" s="69"/>
      <c r="JLR55" s="69"/>
      <c r="JLS55" s="69"/>
      <c r="JLT55" s="69"/>
      <c r="JLU55" s="69"/>
      <c r="JLV55" s="69"/>
      <c r="JLW55" s="69"/>
      <c r="JLX55" s="69"/>
      <c r="JLY55" s="69"/>
      <c r="JLZ55" s="69"/>
      <c r="JMA55" s="69"/>
      <c r="JMB55" s="69"/>
      <c r="JMC55" s="69"/>
      <c r="JMD55" s="69"/>
      <c r="JME55" s="69"/>
      <c r="JMF55" s="69"/>
      <c r="JMG55" s="69"/>
      <c r="JMH55" s="69"/>
      <c r="JMI55" s="69"/>
      <c r="JMJ55" s="69"/>
      <c r="JMK55" s="69"/>
      <c r="JML55" s="69"/>
      <c r="JMM55" s="69"/>
      <c r="JMN55" s="69"/>
      <c r="JMO55" s="69"/>
      <c r="JMP55" s="69"/>
      <c r="JMQ55" s="69"/>
      <c r="JMR55" s="69"/>
      <c r="JMS55" s="69"/>
      <c r="JMT55" s="69"/>
      <c r="JMU55" s="69"/>
      <c r="JMV55" s="69"/>
      <c r="JMW55" s="69"/>
      <c r="JMX55" s="69"/>
      <c r="JMY55" s="69"/>
      <c r="JMZ55" s="69"/>
      <c r="JNA55" s="69"/>
      <c r="JNB55" s="69"/>
      <c r="JNC55" s="69"/>
      <c r="JND55" s="69"/>
      <c r="JNE55" s="69"/>
      <c r="JNF55" s="69"/>
      <c r="JNG55" s="69"/>
      <c r="JNH55" s="69"/>
      <c r="JNI55" s="69"/>
      <c r="JNJ55" s="69"/>
      <c r="JNK55" s="69"/>
      <c r="JNL55" s="69"/>
      <c r="JNM55" s="69"/>
      <c r="JNN55" s="69"/>
      <c r="JNO55" s="69"/>
      <c r="JNP55" s="69"/>
      <c r="JNQ55" s="69"/>
      <c r="JNR55" s="69"/>
      <c r="JNS55" s="69"/>
      <c r="JNT55" s="69"/>
      <c r="JNU55" s="69"/>
      <c r="JNV55" s="69"/>
      <c r="JNW55" s="69"/>
      <c r="JNX55" s="69"/>
      <c r="JNY55" s="69"/>
      <c r="JNZ55" s="69"/>
      <c r="JOA55" s="69"/>
      <c r="JOB55" s="69"/>
      <c r="JOC55" s="69"/>
      <c r="JOD55" s="69"/>
      <c r="JOE55" s="69"/>
      <c r="JOF55" s="69"/>
      <c r="JOG55" s="69"/>
      <c r="JOH55" s="69"/>
      <c r="JOI55" s="69"/>
      <c r="JOJ55" s="69"/>
      <c r="JOK55" s="69"/>
      <c r="JOL55" s="69"/>
      <c r="JOM55" s="69"/>
      <c r="JON55" s="69"/>
      <c r="JOO55" s="69"/>
      <c r="JOP55" s="69"/>
      <c r="JOQ55" s="69"/>
      <c r="JOR55" s="69"/>
      <c r="JOS55" s="69"/>
      <c r="JOT55" s="69"/>
      <c r="JOU55" s="69"/>
      <c r="JOV55" s="69"/>
      <c r="JOW55" s="69"/>
      <c r="JOX55" s="69"/>
      <c r="JOY55" s="69"/>
      <c r="JOZ55" s="69"/>
      <c r="JPA55" s="69"/>
      <c r="JPB55" s="69"/>
      <c r="JPC55" s="69"/>
      <c r="JPD55" s="69"/>
      <c r="JPE55" s="69"/>
      <c r="JPF55" s="69"/>
      <c r="JPG55" s="69"/>
      <c r="JPH55" s="69"/>
      <c r="JPI55" s="69"/>
      <c r="JPJ55" s="69"/>
      <c r="JPK55" s="69"/>
      <c r="JPL55" s="69"/>
      <c r="JPM55" s="69"/>
      <c r="JPN55" s="69"/>
      <c r="JPO55" s="69"/>
      <c r="JPP55" s="69"/>
      <c r="JPQ55" s="69"/>
      <c r="JPR55" s="69"/>
      <c r="JPS55" s="69"/>
      <c r="JPT55" s="69"/>
      <c r="JPU55" s="69"/>
      <c r="JPV55" s="69"/>
      <c r="JPW55" s="69"/>
      <c r="JPX55" s="69"/>
      <c r="JPY55" s="69"/>
      <c r="JPZ55" s="69"/>
      <c r="JQA55" s="69"/>
      <c r="JQB55" s="69"/>
      <c r="JQC55" s="69"/>
      <c r="JQD55" s="69"/>
      <c r="JQE55" s="69"/>
      <c r="JQF55" s="69"/>
      <c r="JQG55" s="69"/>
      <c r="JQH55" s="69"/>
      <c r="JQI55" s="69"/>
      <c r="JQJ55" s="69"/>
      <c r="JQK55" s="69"/>
      <c r="JQL55" s="69"/>
      <c r="JQM55" s="69"/>
      <c r="JQN55" s="69"/>
      <c r="JQO55" s="69"/>
      <c r="JQP55" s="69"/>
      <c r="JQQ55" s="69"/>
      <c r="JQR55" s="69"/>
      <c r="JQS55" s="69"/>
      <c r="JQT55" s="69"/>
      <c r="JQU55" s="69"/>
      <c r="JQV55" s="69"/>
      <c r="JQW55" s="69"/>
      <c r="JQX55" s="69"/>
      <c r="JQY55" s="69"/>
      <c r="JQZ55" s="69"/>
      <c r="JRA55" s="69"/>
      <c r="JRB55" s="69"/>
      <c r="JRC55" s="69"/>
      <c r="JRD55" s="69"/>
      <c r="JRE55" s="69"/>
      <c r="JRF55" s="69"/>
      <c r="JRG55" s="69"/>
      <c r="JRH55" s="69"/>
      <c r="JRI55" s="69"/>
      <c r="JRJ55" s="69"/>
      <c r="JRK55" s="69"/>
      <c r="JRL55" s="69"/>
      <c r="JRM55" s="69"/>
      <c r="JRN55" s="69"/>
      <c r="JRO55" s="69"/>
      <c r="JRP55" s="69"/>
      <c r="JRQ55" s="69"/>
      <c r="JRR55" s="69"/>
      <c r="JRS55" s="69"/>
      <c r="JRT55" s="69"/>
      <c r="JRU55" s="69"/>
      <c r="JRV55" s="69"/>
      <c r="JRW55" s="69"/>
      <c r="JRX55" s="69"/>
      <c r="JRY55" s="69"/>
      <c r="JRZ55" s="69"/>
      <c r="JSA55" s="69"/>
      <c r="JSB55" s="69"/>
      <c r="JSC55" s="69"/>
      <c r="JSD55" s="69"/>
      <c r="JSE55" s="69"/>
      <c r="JSF55" s="69"/>
      <c r="JSG55" s="69"/>
      <c r="JSH55" s="69"/>
      <c r="JSI55" s="69"/>
      <c r="JSJ55" s="69"/>
      <c r="JSK55" s="69"/>
      <c r="JSL55" s="69"/>
      <c r="JSM55" s="69"/>
      <c r="JSN55" s="69"/>
      <c r="JSO55" s="69"/>
      <c r="JSP55" s="69"/>
      <c r="JSQ55" s="69"/>
      <c r="JSR55" s="69"/>
      <c r="JSS55" s="69"/>
      <c r="JST55" s="69"/>
      <c r="JSU55" s="69"/>
      <c r="JSV55" s="69"/>
      <c r="JSW55" s="69"/>
      <c r="JSX55" s="69"/>
      <c r="JSY55" s="69"/>
      <c r="JSZ55" s="69"/>
      <c r="JTA55" s="69"/>
      <c r="JTB55" s="69"/>
      <c r="JTC55" s="69"/>
      <c r="JTD55" s="69"/>
      <c r="JTE55" s="69"/>
      <c r="JTF55" s="69"/>
      <c r="JTG55" s="69"/>
      <c r="JTH55" s="69"/>
      <c r="JTI55" s="69"/>
      <c r="JTJ55" s="69"/>
      <c r="JTK55" s="69"/>
      <c r="JTL55" s="69"/>
      <c r="JTM55" s="69"/>
      <c r="JTN55" s="69"/>
      <c r="JTO55" s="69"/>
      <c r="JTP55" s="69"/>
      <c r="JTQ55" s="69"/>
      <c r="JTR55" s="69"/>
      <c r="JTS55" s="69"/>
      <c r="JTT55" s="69"/>
      <c r="JTU55" s="69"/>
      <c r="JTV55" s="69"/>
      <c r="JTW55" s="69"/>
      <c r="JTX55" s="69"/>
      <c r="JTY55" s="69"/>
      <c r="JTZ55" s="69"/>
      <c r="JUA55" s="69"/>
      <c r="JUB55" s="69"/>
      <c r="JUC55" s="69"/>
      <c r="JUD55" s="69"/>
      <c r="JUE55" s="69"/>
      <c r="JUF55" s="69"/>
      <c r="JUG55" s="69"/>
      <c r="JUH55" s="69"/>
      <c r="JUI55" s="69"/>
      <c r="JUJ55" s="69"/>
      <c r="JUK55" s="69"/>
      <c r="JUL55" s="69"/>
      <c r="JUM55" s="69"/>
      <c r="JUN55" s="69"/>
      <c r="JUO55" s="69"/>
      <c r="JUP55" s="69"/>
      <c r="JUQ55" s="69"/>
      <c r="JUR55" s="69"/>
      <c r="JUS55" s="69"/>
      <c r="JUT55" s="69"/>
      <c r="JUU55" s="69"/>
      <c r="JUV55" s="69"/>
      <c r="JUW55" s="69"/>
      <c r="JUX55" s="69"/>
      <c r="JUY55" s="69"/>
      <c r="JUZ55" s="69"/>
      <c r="JVA55" s="69"/>
      <c r="JVB55" s="69"/>
      <c r="JVC55" s="69"/>
      <c r="JVD55" s="69"/>
      <c r="JVE55" s="69"/>
      <c r="JVF55" s="69"/>
      <c r="JVG55" s="69"/>
      <c r="JVH55" s="69"/>
      <c r="JVI55" s="69"/>
      <c r="JVJ55" s="69"/>
      <c r="JVK55" s="69"/>
      <c r="JVL55" s="69"/>
      <c r="JVM55" s="69"/>
      <c r="JVN55" s="69"/>
      <c r="JVO55" s="69"/>
      <c r="JVP55" s="69"/>
      <c r="JVQ55" s="69"/>
      <c r="JVR55" s="69"/>
      <c r="JVS55" s="69"/>
      <c r="JVT55" s="69"/>
      <c r="JVU55" s="69"/>
      <c r="JVV55" s="69"/>
      <c r="JVW55" s="69"/>
      <c r="JVX55" s="69"/>
      <c r="JVY55" s="69"/>
      <c r="JVZ55" s="69"/>
      <c r="JWA55" s="69"/>
      <c r="JWB55" s="69"/>
      <c r="JWC55" s="69"/>
      <c r="JWD55" s="69"/>
      <c r="JWE55" s="69"/>
      <c r="JWF55" s="69"/>
      <c r="JWG55" s="69"/>
      <c r="JWH55" s="69"/>
      <c r="JWI55" s="69"/>
      <c r="JWJ55" s="69"/>
      <c r="JWK55" s="69"/>
      <c r="JWL55" s="69"/>
      <c r="JWM55" s="69"/>
      <c r="JWN55" s="69"/>
      <c r="JWO55" s="69"/>
      <c r="JWP55" s="69"/>
      <c r="JWQ55" s="69"/>
      <c r="JWR55" s="69"/>
      <c r="JWS55" s="69"/>
      <c r="JWT55" s="69"/>
      <c r="JWU55" s="69"/>
      <c r="JWV55" s="69"/>
      <c r="JWW55" s="69"/>
      <c r="JWX55" s="69"/>
      <c r="JWY55" s="69"/>
      <c r="JWZ55" s="69"/>
      <c r="JXA55" s="69"/>
      <c r="JXB55" s="69"/>
      <c r="JXC55" s="69"/>
      <c r="JXD55" s="69"/>
      <c r="JXE55" s="69"/>
      <c r="JXF55" s="69"/>
      <c r="JXG55" s="69"/>
      <c r="JXH55" s="69"/>
      <c r="JXI55" s="69"/>
      <c r="JXJ55" s="69"/>
      <c r="JXK55" s="69"/>
      <c r="JXL55" s="69"/>
      <c r="JXM55" s="69"/>
      <c r="JXN55" s="69"/>
      <c r="JXO55" s="69"/>
      <c r="JXP55" s="69"/>
      <c r="JXQ55" s="69"/>
      <c r="JXR55" s="69"/>
      <c r="JXS55" s="69"/>
      <c r="JXT55" s="69"/>
      <c r="JXU55" s="69"/>
      <c r="JXV55" s="69"/>
      <c r="JXW55" s="69"/>
      <c r="JXX55" s="69"/>
      <c r="JXY55" s="69"/>
      <c r="JXZ55" s="69"/>
      <c r="JYA55" s="69"/>
      <c r="JYB55" s="69"/>
      <c r="JYC55" s="69"/>
      <c r="JYD55" s="69"/>
      <c r="JYE55" s="69"/>
      <c r="JYF55" s="69"/>
      <c r="JYG55" s="69"/>
      <c r="JYH55" s="69"/>
      <c r="JYI55" s="69"/>
      <c r="JYJ55" s="69"/>
      <c r="JYK55" s="69"/>
      <c r="JYL55" s="69"/>
      <c r="JYM55" s="69"/>
      <c r="JYN55" s="69"/>
      <c r="JYO55" s="69"/>
      <c r="JYP55" s="69"/>
      <c r="JYQ55" s="69"/>
      <c r="JYR55" s="69"/>
      <c r="JYS55" s="69"/>
      <c r="JYT55" s="69"/>
      <c r="JYU55" s="69"/>
      <c r="JYV55" s="69"/>
      <c r="JYW55" s="69"/>
      <c r="JYX55" s="69"/>
      <c r="JYY55" s="69"/>
      <c r="JYZ55" s="69"/>
      <c r="JZA55" s="69"/>
      <c r="JZB55" s="69"/>
      <c r="JZC55" s="69"/>
      <c r="JZD55" s="69"/>
      <c r="JZE55" s="69"/>
      <c r="JZF55" s="69"/>
      <c r="JZG55" s="69"/>
      <c r="JZH55" s="69"/>
      <c r="JZI55" s="69"/>
      <c r="JZJ55" s="69"/>
      <c r="JZK55" s="69"/>
      <c r="JZL55" s="69"/>
      <c r="JZM55" s="69"/>
      <c r="JZN55" s="69"/>
      <c r="JZO55" s="69"/>
      <c r="JZP55" s="69"/>
      <c r="JZQ55" s="69"/>
      <c r="JZR55" s="69"/>
      <c r="JZS55" s="69"/>
      <c r="JZT55" s="69"/>
      <c r="JZU55" s="69"/>
      <c r="JZV55" s="69"/>
      <c r="JZW55" s="69"/>
      <c r="JZX55" s="69"/>
      <c r="JZY55" s="69"/>
      <c r="JZZ55" s="69"/>
      <c r="KAA55" s="69"/>
      <c r="KAB55" s="69"/>
      <c r="KAC55" s="69"/>
      <c r="KAD55" s="69"/>
      <c r="KAE55" s="69"/>
      <c r="KAF55" s="69"/>
      <c r="KAG55" s="69"/>
      <c r="KAH55" s="69"/>
      <c r="KAI55" s="69"/>
      <c r="KAJ55" s="69"/>
      <c r="KAK55" s="69"/>
      <c r="KAL55" s="69"/>
      <c r="KAM55" s="69"/>
      <c r="KAN55" s="69"/>
      <c r="KAO55" s="69"/>
      <c r="KAP55" s="69"/>
      <c r="KAQ55" s="69"/>
      <c r="KAR55" s="69"/>
      <c r="KAS55" s="69"/>
      <c r="KAT55" s="69"/>
      <c r="KAU55" s="69"/>
      <c r="KAV55" s="69"/>
      <c r="KAW55" s="69"/>
      <c r="KAX55" s="69"/>
      <c r="KAY55" s="69"/>
      <c r="KAZ55" s="69"/>
      <c r="KBA55" s="69"/>
      <c r="KBB55" s="69"/>
      <c r="KBC55" s="69"/>
      <c r="KBD55" s="69"/>
      <c r="KBE55" s="69"/>
      <c r="KBF55" s="69"/>
      <c r="KBG55" s="69"/>
      <c r="KBH55" s="69"/>
      <c r="KBI55" s="69"/>
      <c r="KBJ55" s="69"/>
      <c r="KBK55" s="69"/>
      <c r="KBL55" s="69"/>
      <c r="KBM55" s="69"/>
      <c r="KBN55" s="69"/>
      <c r="KBO55" s="69"/>
      <c r="KBP55" s="69"/>
      <c r="KBQ55" s="69"/>
      <c r="KBR55" s="69"/>
      <c r="KBS55" s="69"/>
      <c r="KBT55" s="69"/>
      <c r="KBU55" s="69"/>
      <c r="KBV55" s="69"/>
      <c r="KBW55" s="69"/>
      <c r="KBX55" s="69"/>
      <c r="KBY55" s="69"/>
      <c r="KBZ55" s="69"/>
      <c r="KCA55" s="69"/>
      <c r="KCB55" s="69"/>
      <c r="KCC55" s="69"/>
      <c r="KCD55" s="69"/>
      <c r="KCE55" s="69"/>
      <c r="KCF55" s="69"/>
      <c r="KCG55" s="69"/>
      <c r="KCH55" s="69"/>
      <c r="KCI55" s="69"/>
      <c r="KCJ55" s="69"/>
      <c r="KCK55" s="69"/>
      <c r="KCL55" s="69"/>
      <c r="KCM55" s="69"/>
      <c r="KCN55" s="69"/>
      <c r="KCO55" s="69"/>
      <c r="KCP55" s="69"/>
      <c r="KCQ55" s="69"/>
      <c r="KCR55" s="69"/>
      <c r="KCS55" s="69"/>
      <c r="KCT55" s="69"/>
      <c r="KCU55" s="69"/>
      <c r="KCV55" s="69"/>
      <c r="KCW55" s="69"/>
      <c r="KCX55" s="69"/>
      <c r="KCY55" s="69"/>
      <c r="KCZ55" s="69"/>
      <c r="KDA55" s="69"/>
      <c r="KDB55" s="69"/>
      <c r="KDC55" s="69"/>
      <c r="KDD55" s="69"/>
      <c r="KDE55" s="69"/>
      <c r="KDF55" s="69"/>
      <c r="KDG55" s="69"/>
      <c r="KDH55" s="69"/>
      <c r="KDI55" s="69"/>
      <c r="KDJ55" s="69"/>
      <c r="KDK55" s="69"/>
      <c r="KDL55" s="69"/>
      <c r="KDM55" s="69"/>
      <c r="KDN55" s="69"/>
      <c r="KDO55" s="69"/>
      <c r="KDP55" s="69"/>
      <c r="KDQ55" s="69"/>
      <c r="KDR55" s="69"/>
      <c r="KDS55" s="69"/>
      <c r="KDT55" s="69"/>
      <c r="KDU55" s="69"/>
      <c r="KDV55" s="69"/>
      <c r="KDW55" s="69"/>
      <c r="KDX55" s="69"/>
      <c r="KDY55" s="69"/>
      <c r="KDZ55" s="69"/>
      <c r="KEA55" s="69"/>
      <c r="KEB55" s="69"/>
      <c r="KEC55" s="69"/>
      <c r="KED55" s="69"/>
      <c r="KEE55" s="69"/>
      <c r="KEF55" s="69"/>
      <c r="KEG55" s="69"/>
      <c r="KEH55" s="69"/>
      <c r="KEI55" s="69"/>
      <c r="KEJ55" s="69"/>
      <c r="KEK55" s="69"/>
      <c r="KEL55" s="69"/>
      <c r="KEM55" s="69"/>
      <c r="KEN55" s="69"/>
      <c r="KEO55" s="69"/>
      <c r="KEP55" s="69"/>
      <c r="KEQ55" s="69"/>
      <c r="KER55" s="69"/>
      <c r="KES55" s="69"/>
      <c r="KET55" s="69"/>
      <c r="KEU55" s="69"/>
      <c r="KEV55" s="69"/>
      <c r="KEW55" s="69"/>
      <c r="KEX55" s="69"/>
      <c r="KEY55" s="69"/>
      <c r="KEZ55" s="69"/>
      <c r="KFA55" s="69"/>
      <c r="KFB55" s="69"/>
      <c r="KFC55" s="69"/>
      <c r="KFD55" s="69"/>
      <c r="KFE55" s="69"/>
      <c r="KFF55" s="69"/>
      <c r="KFG55" s="69"/>
      <c r="KFH55" s="69"/>
      <c r="KFI55" s="69"/>
      <c r="KFJ55" s="69"/>
      <c r="KFK55" s="69"/>
      <c r="KFL55" s="69"/>
      <c r="KFM55" s="69"/>
      <c r="KFN55" s="69"/>
      <c r="KFO55" s="69"/>
      <c r="KFP55" s="69"/>
      <c r="KFQ55" s="69"/>
      <c r="KFR55" s="69"/>
      <c r="KFS55" s="69"/>
      <c r="KFT55" s="69"/>
      <c r="KFU55" s="69"/>
      <c r="KFV55" s="69"/>
      <c r="KFW55" s="69"/>
      <c r="KFX55" s="69"/>
      <c r="KFY55" s="69"/>
      <c r="KFZ55" s="69"/>
      <c r="KGA55" s="69"/>
      <c r="KGB55" s="69"/>
      <c r="KGC55" s="69"/>
      <c r="KGD55" s="69"/>
      <c r="KGE55" s="69"/>
      <c r="KGF55" s="69"/>
      <c r="KGG55" s="69"/>
      <c r="KGH55" s="69"/>
      <c r="KGI55" s="69"/>
      <c r="KGJ55" s="69"/>
      <c r="KGK55" s="69"/>
      <c r="KGL55" s="69"/>
      <c r="KGM55" s="69"/>
      <c r="KGN55" s="69"/>
      <c r="KGO55" s="69"/>
      <c r="KGP55" s="69"/>
      <c r="KGQ55" s="69"/>
      <c r="KGR55" s="69"/>
      <c r="KGS55" s="69"/>
      <c r="KGT55" s="69"/>
      <c r="KGU55" s="69"/>
      <c r="KGV55" s="69"/>
      <c r="KGW55" s="69"/>
      <c r="KGX55" s="69"/>
      <c r="KGY55" s="69"/>
      <c r="KGZ55" s="69"/>
      <c r="KHA55" s="69"/>
      <c r="KHB55" s="69"/>
      <c r="KHC55" s="69"/>
      <c r="KHD55" s="69"/>
      <c r="KHE55" s="69"/>
      <c r="KHF55" s="69"/>
      <c r="KHG55" s="69"/>
      <c r="KHH55" s="69"/>
      <c r="KHI55" s="69"/>
      <c r="KHJ55" s="69"/>
      <c r="KHK55" s="69"/>
      <c r="KHL55" s="69"/>
      <c r="KHM55" s="69"/>
      <c r="KHN55" s="69"/>
      <c r="KHO55" s="69"/>
      <c r="KHP55" s="69"/>
      <c r="KHQ55" s="69"/>
      <c r="KHR55" s="69"/>
      <c r="KHS55" s="69"/>
      <c r="KHT55" s="69"/>
      <c r="KHU55" s="69"/>
      <c r="KHV55" s="69"/>
      <c r="KHW55" s="69"/>
      <c r="KHX55" s="69"/>
      <c r="KHY55" s="69"/>
      <c r="KHZ55" s="69"/>
      <c r="KIA55" s="69"/>
      <c r="KIB55" s="69"/>
      <c r="KIC55" s="69"/>
      <c r="KID55" s="69"/>
      <c r="KIE55" s="69"/>
      <c r="KIF55" s="69"/>
      <c r="KIG55" s="69"/>
      <c r="KIH55" s="69"/>
      <c r="KII55" s="69"/>
      <c r="KIJ55" s="69"/>
      <c r="KIK55" s="69"/>
      <c r="KIL55" s="69"/>
      <c r="KIM55" s="69"/>
      <c r="KIN55" s="69"/>
      <c r="KIO55" s="69"/>
      <c r="KIP55" s="69"/>
      <c r="KIQ55" s="69"/>
      <c r="KIR55" s="69"/>
      <c r="KIS55" s="69"/>
      <c r="KIT55" s="69"/>
      <c r="KIU55" s="69"/>
      <c r="KIV55" s="69"/>
      <c r="KIW55" s="69"/>
      <c r="KIX55" s="69"/>
      <c r="KIY55" s="69"/>
      <c r="KIZ55" s="69"/>
      <c r="KJA55" s="69"/>
      <c r="KJB55" s="69"/>
      <c r="KJC55" s="69"/>
      <c r="KJD55" s="69"/>
      <c r="KJE55" s="69"/>
      <c r="KJF55" s="69"/>
      <c r="KJG55" s="69"/>
      <c r="KJH55" s="69"/>
      <c r="KJI55" s="69"/>
      <c r="KJJ55" s="69"/>
      <c r="KJK55" s="69"/>
      <c r="KJL55" s="69"/>
      <c r="KJM55" s="69"/>
      <c r="KJN55" s="69"/>
      <c r="KJO55" s="69"/>
      <c r="KJP55" s="69"/>
      <c r="KJQ55" s="69"/>
      <c r="KJR55" s="69"/>
      <c r="KJS55" s="69"/>
      <c r="KJT55" s="69"/>
      <c r="KJU55" s="69"/>
      <c r="KJV55" s="69"/>
      <c r="KJW55" s="69"/>
      <c r="KJX55" s="69"/>
      <c r="KJY55" s="69"/>
      <c r="KJZ55" s="69"/>
      <c r="KKA55" s="69"/>
      <c r="KKB55" s="69"/>
      <c r="KKC55" s="69"/>
      <c r="KKD55" s="69"/>
      <c r="KKE55" s="69"/>
      <c r="KKF55" s="69"/>
      <c r="KKG55" s="69"/>
      <c r="KKH55" s="69"/>
      <c r="KKI55" s="69"/>
      <c r="KKJ55" s="69"/>
      <c r="KKK55" s="69"/>
      <c r="KKL55" s="69"/>
      <c r="KKM55" s="69"/>
      <c r="KKN55" s="69"/>
      <c r="KKO55" s="69"/>
      <c r="KKP55" s="69"/>
      <c r="KKQ55" s="69"/>
      <c r="KKR55" s="69"/>
      <c r="KKS55" s="69"/>
      <c r="KKT55" s="69"/>
      <c r="KKU55" s="69"/>
      <c r="KKV55" s="69"/>
      <c r="KKW55" s="69"/>
      <c r="KKX55" s="69"/>
      <c r="KKY55" s="69"/>
      <c r="KKZ55" s="69"/>
      <c r="KLA55" s="69"/>
      <c r="KLB55" s="69"/>
      <c r="KLC55" s="69"/>
      <c r="KLD55" s="69"/>
      <c r="KLE55" s="69"/>
      <c r="KLF55" s="69"/>
      <c r="KLG55" s="69"/>
      <c r="KLH55" s="69"/>
      <c r="KLI55" s="69"/>
      <c r="KLJ55" s="69"/>
      <c r="KLK55" s="69"/>
      <c r="KLL55" s="69"/>
      <c r="KLM55" s="69"/>
      <c r="KLN55" s="69"/>
      <c r="KLO55" s="69"/>
      <c r="KLP55" s="69"/>
      <c r="KLQ55" s="69"/>
      <c r="KLR55" s="69"/>
      <c r="KLS55" s="69"/>
      <c r="KLT55" s="69"/>
      <c r="KLU55" s="69"/>
      <c r="KLV55" s="69"/>
      <c r="KLW55" s="69"/>
      <c r="KLX55" s="69"/>
      <c r="KLY55" s="69"/>
      <c r="KLZ55" s="69"/>
      <c r="KMA55" s="69"/>
      <c r="KMB55" s="69"/>
      <c r="KMC55" s="69"/>
      <c r="KMD55" s="69"/>
      <c r="KME55" s="69"/>
      <c r="KMF55" s="69"/>
      <c r="KMG55" s="69"/>
      <c r="KMH55" s="69"/>
      <c r="KMI55" s="69"/>
      <c r="KMJ55" s="69"/>
      <c r="KMK55" s="69"/>
      <c r="KML55" s="69"/>
      <c r="KMM55" s="69"/>
      <c r="KMN55" s="69"/>
      <c r="KMO55" s="69"/>
      <c r="KMP55" s="69"/>
      <c r="KMQ55" s="69"/>
      <c r="KMR55" s="69"/>
      <c r="KMS55" s="69"/>
      <c r="KMT55" s="69"/>
      <c r="KMU55" s="69"/>
      <c r="KMV55" s="69"/>
      <c r="KMW55" s="69"/>
      <c r="KMX55" s="69"/>
      <c r="KMY55" s="69"/>
      <c r="KMZ55" s="69"/>
      <c r="KNA55" s="69"/>
      <c r="KNB55" s="69"/>
      <c r="KNC55" s="69"/>
      <c r="KND55" s="69"/>
      <c r="KNE55" s="69"/>
      <c r="KNF55" s="69"/>
      <c r="KNG55" s="69"/>
      <c r="KNH55" s="69"/>
      <c r="KNI55" s="69"/>
      <c r="KNJ55" s="69"/>
      <c r="KNK55" s="69"/>
      <c r="KNL55" s="69"/>
      <c r="KNM55" s="69"/>
      <c r="KNN55" s="69"/>
      <c r="KNO55" s="69"/>
      <c r="KNP55" s="69"/>
      <c r="KNQ55" s="69"/>
      <c r="KNR55" s="69"/>
      <c r="KNS55" s="69"/>
      <c r="KNT55" s="69"/>
      <c r="KNU55" s="69"/>
      <c r="KNV55" s="69"/>
      <c r="KNW55" s="69"/>
      <c r="KNX55" s="69"/>
      <c r="KNY55" s="69"/>
      <c r="KNZ55" s="69"/>
      <c r="KOA55" s="69"/>
      <c r="KOB55" s="69"/>
      <c r="KOC55" s="69"/>
      <c r="KOD55" s="69"/>
      <c r="KOE55" s="69"/>
      <c r="KOF55" s="69"/>
      <c r="KOG55" s="69"/>
      <c r="KOH55" s="69"/>
      <c r="KOI55" s="69"/>
      <c r="KOJ55" s="69"/>
      <c r="KOK55" s="69"/>
      <c r="KOL55" s="69"/>
      <c r="KOM55" s="69"/>
      <c r="KON55" s="69"/>
      <c r="KOO55" s="69"/>
      <c r="KOP55" s="69"/>
      <c r="KOQ55" s="69"/>
      <c r="KOR55" s="69"/>
      <c r="KOS55" s="69"/>
      <c r="KOT55" s="69"/>
      <c r="KOU55" s="69"/>
      <c r="KOV55" s="69"/>
      <c r="KOW55" s="69"/>
      <c r="KOX55" s="69"/>
      <c r="KOY55" s="69"/>
      <c r="KOZ55" s="69"/>
      <c r="KPA55" s="69"/>
      <c r="KPB55" s="69"/>
      <c r="KPC55" s="69"/>
      <c r="KPD55" s="69"/>
      <c r="KPE55" s="69"/>
      <c r="KPF55" s="69"/>
      <c r="KPG55" s="69"/>
      <c r="KPH55" s="69"/>
      <c r="KPI55" s="69"/>
      <c r="KPJ55" s="69"/>
      <c r="KPK55" s="69"/>
      <c r="KPL55" s="69"/>
      <c r="KPM55" s="69"/>
      <c r="KPN55" s="69"/>
      <c r="KPO55" s="69"/>
      <c r="KPP55" s="69"/>
      <c r="KPQ55" s="69"/>
      <c r="KPR55" s="69"/>
      <c r="KPS55" s="69"/>
      <c r="KPT55" s="69"/>
      <c r="KPU55" s="69"/>
      <c r="KPV55" s="69"/>
      <c r="KPW55" s="69"/>
      <c r="KPX55" s="69"/>
      <c r="KPY55" s="69"/>
      <c r="KPZ55" s="69"/>
      <c r="KQA55" s="69"/>
      <c r="KQB55" s="69"/>
      <c r="KQC55" s="69"/>
      <c r="KQD55" s="69"/>
      <c r="KQE55" s="69"/>
      <c r="KQF55" s="69"/>
      <c r="KQG55" s="69"/>
      <c r="KQH55" s="69"/>
      <c r="KQI55" s="69"/>
      <c r="KQJ55" s="69"/>
      <c r="KQK55" s="69"/>
      <c r="KQL55" s="69"/>
      <c r="KQM55" s="69"/>
      <c r="KQN55" s="69"/>
      <c r="KQO55" s="69"/>
      <c r="KQP55" s="69"/>
      <c r="KQQ55" s="69"/>
      <c r="KQR55" s="69"/>
      <c r="KQS55" s="69"/>
      <c r="KQT55" s="69"/>
      <c r="KQU55" s="69"/>
      <c r="KQV55" s="69"/>
      <c r="KQW55" s="69"/>
      <c r="KQX55" s="69"/>
      <c r="KQY55" s="69"/>
      <c r="KQZ55" s="69"/>
      <c r="KRA55" s="69"/>
      <c r="KRB55" s="69"/>
      <c r="KRC55" s="69"/>
      <c r="KRD55" s="69"/>
      <c r="KRE55" s="69"/>
      <c r="KRF55" s="69"/>
      <c r="KRG55" s="69"/>
      <c r="KRH55" s="69"/>
      <c r="KRI55" s="69"/>
      <c r="KRJ55" s="69"/>
      <c r="KRK55" s="69"/>
      <c r="KRL55" s="69"/>
      <c r="KRM55" s="69"/>
      <c r="KRN55" s="69"/>
      <c r="KRO55" s="69"/>
      <c r="KRP55" s="69"/>
      <c r="KRQ55" s="69"/>
      <c r="KRR55" s="69"/>
      <c r="KRS55" s="69"/>
      <c r="KRT55" s="69"/>
      <c r="KRU55" s="69"/>
      <c r="KRV55" s="69"/>
      <c r="KRW55" s="69"/>
      <c r="KRX55" s="69"/>
      <c r="KRY55" s="69"/>
      <c r="KRZ55" s="69"/>
      <c r="KSA55" s="69"/>
      <c r="KSB55" s="69"/>
      <c r="KSC55" s="69"/>
      <c r="KSD55" s="69"/>
      <c r="KSE55" s="69"/>
      <c r="KSF55" s="69"/>
      <c r="KSG55" s="69"/>
      <c r="KSH55" s="69"/>
      <c r="KSI55" s="69"/>
      <c r="KSJ55" s="69"/>
      <c r="KSK55" s="69"/>
      <c r="KSL55" s="69"/>
      <c r="KSM55" s="69"/>
      <c r="KSN55" s="69"/>
      <c r="KSO55" s="69"/>
      <c r="KSP55" s="69"/>
      <c r="KSQ55" s="69"/>
      <c r="KSR55" s="69"/>
      <c r="KSS55" s="69"/>
      <c r="KST55" s="69"/>
      <c r="KSU55" s="69"/>
      <c r="KSV55" s="69"/>
      <c r="KSW55" s="69"/>
      <c r="KSX55" s="69"/>
      <c r="KSY55" s="69"/>
      <c r="KSZ55" s="69"/>
      <c r="KTA55" s="69"/>
      <c r="KTB55" s="69"/>
      <c r="KTC55" s="69"/>
      <c r="KTD55" s="69"/>
      <c r="KTE55" s="69"/>
      <c r="KTF55" s="69"/>
      <c r="KTG55" s="69"/>
      <c r="KTH55" s="69"/>
      <c r="KTI55" s="69"/>
      <c r="KTJ55" s="69"/>
      <c r="KTK55" s="69"/>
      <c r="KTL55" s="69"/>
      <c r="KTM55" s="69"/>
      <c r="KTN55" s="69"/>
      <c r="KTO55" s="69"/>
      <c r="KTP55" s="69"/>
      <c r="KTQ55" s="69"/>
      <c r="KTR55" s="69"/>
      <c r="KTS55" s="69"/>
      <c r="KTT55" s="69"/>
      <c r="KTU55" s="69"/>
      <c r="KTV55" s="69"/>
      <c r="KTW55" s="69"/>
      <c r="KTX55" s="69"/>
      <c r="KTY55" s="69"/>
      <c r="KTZ55" s="69"/>
      <c r="KUA55" s="69"/>
      <c r="KUB55" s="69"/>
      <c r="KUC55" s="69"/>
      <c r="KUD55" s="69"/>
      <c r="KUE55" s="69"/>
      <c r="KUF55" s="69"/>
      <c r="KUG55" s="69"/>
      <c r="KUH55" s="69"/>
      <c r="KUI55" s="69"/>
      <c r="KUJ55" s="69"/>
      <c r="KUK55" s="69"/>
      <c r="KUL55" s="69"/>
      <c r="KUM55" s="69"/>
      <c r="KUN55" s="69"/>
      <c r="KUO55" s="69"/>
      <c r="KUP55" s="69"/>
      <c r="KUQ55" s="69"/>
      <c r="KUR55" s="69"/>
      <c r="KUS55" s="69"/>
      <c r="KUT55" s="69"/>
      <c r="KUU55" s="69"/>
      <c r="KUV55" s="69"/>
      <c r="KUW55" s="69"/>
      <c r="KUX55" s="69"/>
      <c r="KUY55" s="69"/>
      <c r="KUZ55" s="69"/>
      <c r="KVA55" s="69"/>
      <c r="KVB55" s="69"/>
      <c r="KVC55" s="69"/>
      <c r="KVD55" s="69"/>
      <c r="KVE55" s="69"/>
      <c r="KVF55" s="69"/>
      <c r="KVG55" s="69"/>
      <c r="KVH55" s="69"/>
      <c r="KVI55" s="69"/>
      <c r="KVJ55" s="69"/>
      <c r="KVK55" s="69"/>
      <c r="KVL55" s="69"/>
      <c r="KVM55" s="69"/>
      <c r="KVN55" s="69"/>
      <c r="KVO55" s="69"/>
      <c r="KVP55" s="69"/>
      <c r="KVQ55" s="69"/>
      <c r="KVR55" s="69"/>
      <c r="KVS55" s="69"/>
      <c r="KVT55" s="69"/>
      <c r="KVU55" s="69"/>
      <c r="KVV55" s="69"/>
      <c r="KVW55" s="69"/>
      <c r="KVX55" s="69"/>
      <c r="KVY55" s="69"/>
      <c r="KVZ55" s="69"/>
      <c r="KWA55" s="69"/>
      <c r="KWB55" s="69"/>
      <c r="KWC55" s="69"/>
      <c r="KWD55" s="69"/>
      <c r="KWE55" s="69"/>
      <c r="KWF55" s="69"/>
      <c r="KWG55" s="69"/>
      <c r="KWH55" s="69"/>
      <c r="KWI55" s="69"/>
      <c r="KWJ55" s="69"/>
      <c r="KWK55" s="69"/>
      <c r="KWL55" s="69"/>
      <c r="KWM55" s="69"/>
      <c r="KWN55" s="69"/>
      <c r="KWO55" s="69"/>
      <c r="KWP55" s="69"/>
      <c r="KWQ55" s="69"/>
      <c r="KWR55" s="69"/>
      <c r="KWS55" s="69"/>
      <c r="KWT55" s="69"/>
      <c r="KWU55" s="69"/>
      <c r="KWV55" s="69"/>
      <c r="KWW55" s="69"/>
      <c r="KWX55" s="69"/>
      <c r="KWY55" s="69"/>
      <c r="KWZ55" s="69"/>
      <c r="KXA55" s="69"/>
      <c r="KXB55" s="69"/>
      <c r="KXC55" s="69"/>
      <c r="KXD55" s="69"/>
      <c r="KXE55" s="69"/>
      <c r="KXF55" s="69"/>
      <c r="KXG55" s="69"/>
      <c r="KXH55" s="69"/>
      <c r="KXI55" s="69"/>
      <c r="KXJ55" s="69"/>
      <c r="KXK55" s="69"/>
      <c r="KXL55" s="69"/>
      <c r="KXM55" s="69"/>
      <c r="KXN55" s="69"/>
      <c r="KXO55" s="69"/>
      <c r="KXP55" s="69"/>
      <c r="KXQ55" s="69"/>
      <c r="KXR55" s="69"/>
      <c r="KXS55" s="69"/>
      <c r="KXT55" s="69"/>
      <c r="KXU55" s="69"/>
      <c r="KXV55" s="69"/>
      <c r="KXW55" s="69"/>
      <c r="KXX55" s="69"/>
      <c r="KXY55" s="69"/>
      <c r="KXZ55" s="69"/>
      <c r="KYA55" s="69"/>
      <c r="KYB55" s="69"/>
      <c r="KYC55" s="69"/>
      <c r="KYD55" s="69"/>
      <c r="KYE55" s="69"/>
      <c r="KYF55" s="69"/>
      <c r="KYG55" s="69"/>
      <c r="KYH55" s="69"/>
      <c r="KYI55" s="69"/>
      <c r="KYJ55" s="69"/>
      <c r="KYK55" s="69"/>
      <c r="KYL55" s="69"/>
      <c r="KYM55" s="69"/>
      <c r="KYN55" s="69"/>
      <c r="KYO55" s="69"/>
      <c r="KYP55" s="69"/>
      <c r="KYQ55" s="69"/>
      <c r="KYR55" s="69"/>
      <c r="KYS55" s="69"/>
      <c r="KYT55" s="69"/>
      <c r="KYU55" s="69"/>
      <c r="KYV55" s="69"/>
      <c r="KYW55" s="69"/>
      <c r="KYX55" s="69"/>
      <c r="KYY55" s="69"/>
      <c r="KYZ55" s="69"/>
      <c r="KZA55" s="69"/>
      <c r="KZB55" s="69"/>
      <c r="KZC55" s="69"/>
      <c r="KZD55" s="69"/>
      <c r="KZE55" s="69"/>
      <c r="KZF55" s="69"/>
      <c r="KZG55" s="69"/>
      <c r="KZH55" s="69"/>
      <c r="KZI55" s="69"/>
      <c r="KZJ55" s="69"/>
      <c r="KZK55" s="69"/>
      <c r="KZL55" s="69"/>
      <c r="KZM55" s="69"/>
      <c r="KZN55" s="69"/>
      <c r="KZO55" s="69"/>
      <c r="KZP55" s="69"/>
      <c r="KZQ55" s="69"/>
      <c r="KZR55" s="69"/>
      <c r="KZS55" s="69"/>
      <c r="KZT55" s="69"/>
      <c r="KZU55" s="69"/>
      <c r="KZV55" s="69"/>
      <c r="KZW55" s="69"/>
      <c r="KZX55" s="69"/>
      <c r="KZY55" s="69"/>
      <c r="KZZ55" s="69"/>
      <c r="LAA55" s="69"/>
      <c r="LAB55" s="69"/>
      <c r="LAC55" s="69"/>
      <c r="LAD55" s="69"/>
      <c r="LAE55" s="69"/>
      <c r="LAF55" s="69"/>
      <c r="LAG55" s="69"/>
      <c r="LAH55" s="69"/>
      <c r="LAI55" s="69"/>
      <c r="LAJ55" s="69"/>
      <c r="LAK55" s="69"/>
      <c r="LAL55" s="69"/>
      <c r="LAM55" s="69"/>
      <c r="LAN55" s="69"/>
      <c r="LAO55" s="69"/>
      <c r="LAP55" s="69"/>
      <c r="LAQ55" s="69"/>
      <c r="LAR55" s="69"/>
      <c r="LAS55" s="69"/>
      <c r="LAT55" s="69"/>
      <c r="LAU55" s="69"/>
      <c r="LAV55" s="69"/>
      <c r="LAW55" s="69"/>
      <c r="LAX55" s="69"/>
      <c r="LAY55" s="69"/>
      <c r="LAZ55" s="69"/>
      <c r="LBA55" s="69"/>
      <c r="LBB55" s="69"/>
      <c r="LBC55" s="69"/>
      <c r="LBD55" s="69"/>
      <c r="LBE55" s="69"/>
      <c r="LBF55" s="69"/>
      <c r="LBG55" s="69"/>
      <c r="LBH55" s="69"/>
      <c r="LBI55" s="69"/>
      <c r="LBJ55" s="69"/>
      <c r="LBK55" s="69"/>
      <c r="LBL55" s="69"/>
      <c r="LBM55" s="69"/>
      <c r="LBN55" s="69"/>
      <c r="LBO55" s="69"/>
      <c r="LBP55" s="69"/>
      <c r="LBQ55" s="69"/>
      <c r="LBR55" s="69"/>
      <c r="LBS55" s="69"/>
      <c r="LBT55" s="69"/>
      <c r="LBU55" s="69"/>
      <c r="LBV55" s="69"/>
      <c r="LBW55" s="69"/>
      <c r="LBX55" s="69"/>
      <c r="LBY55" s="69"/>
      <c r="LBZ55" s="69"/>
      <c r="LCA55" s="69"/>
      <c r="LCB55" s="69"/>
      <c r="LCC55" s="69"/>
      <c r="LCD55" s="69"/>
      <c r="LCE55" s="69"/>
      <c r="LCF55" s="69"/>
      <c r="LCG55" s="69"/>
      <c r="LCH55" s="69"/>
      <c r="LCI55" s="69"/>
      <c r="LCJ55" s="69"/>
      <c r="LCK55" s="69"/>
      <c r="LCL55" s="69"/>
      <c r="LCM55" s="69"/>
      <c r="LCN55" s="69"/>
      <c r="LCO55" s="69"/>
      <c r="LCP55" s="69"/>
      <c r="LCQ55" s="69"/>
      <c r="LCR55" s="69"/>
      <c r="LCS55" s="69"/>
      <c r="LCT55" s="69"/>
      <c r="LCU55" s="69"/>
      <c r="LCV55" s="69"/>
      <c r="LCW55" s="69"/>
      <c r="LCX55" s="69"/>
      <c r="LCY55" s="69"/>
      <c r="LCZ55" s="69"/>
      <c r="LDA55" s="69"/>
      <c r="LDB55" s="69"/>
      <c r="LDC55" s="69"/>
      <c r="LDD55" s="69"/>
      <c r="LDE55" s="69"/>
      <c r="LDF55" s="69"/>
      <c r="LDG55" s="69"/>
      <c r="LDH55" s="69"/>
      <c r="LDI55" s="69"/>
      <c r="LDJ55" s="69"/>
      <c r="LDK55" s="69"/>
      <c r="LDL55" s="69"/>
      <c r="LDM55" s="69"/>
      <c r="LDN55" s="69"/>
      <c r="LDO55" s="69"/>
      <c r="LDP55" s="69"/>
      <c r="LDQ55" s="69"/>
      <c r="LDR55" s="69"/>
      <c r="LDS55" s="69"/>
      <c r="LDT55" s="69"/>
      <c r="LDU55" s="69"/>
      <c r="LDV55" s="69"/>
      <c r="LDW55" s="69"/>
      <c r="LDX55" s="69"/>
      <c r="LDY55" s="69"/>
      <c r="LDZ55" s="69"/>
      <c r="LEA55" s="69"/>
      <c r="LEB55" s="69"/>
      <c r="LEC55" s="69"/>
      <c r="LED55" s="69"/>
      <c r="LEE55" s="69"/>
      <c r="LEF55" s="69"/>
      <c r="LEG55" s="69"/>
      <c r="LEH55" s="69"/>
      <c r="LEI55" s="69"/>
      <c r="LEJ55" s="69"/>
      <c r="LEK55" s="69"/>
      <c r="LEL55" s="69"/>
      <c r="LEM55" s="69"/>
      <c r="LEN55" s="69"/>
      <c r="LEO55" s="69"/>
      <c r="LEP55" s="69"/>
      <c r="LEQ55" s="69"/>
      <c r="LER55" s="69"/>
      <c r="LES55" s="69"/>
      <c r="LET55" s="69"/>
      <c r="LEU55" s="69"/>
      <c r="LEV55" s="69"/>
      <c r="LEW55" s="69"/>
      <c r="LEX55" s="69"/>
      <c r="LEY55" s="69"/>
      <c r="LEZ55" s="69"/>
      <c r="LFA55" s="69"/>
      <c r="LFB55" s="69"/>
      <c r="LFC55" s="69"/>
      <c r="LFD55" s="69"/>
      <c r="LFE55" s="69"/>
      <c r="LFF55" s="69"/>
      <c r="LFG55" s="69"/>
      <c r="LFH55" s="69"/>
      <c r="LFI55" s="69"/>
      <c r="LFJ55" s="69"/>
      <c r="LFK55" s="69"/>
      <c r="LFL55" s="69"/>
      <c r="LFM55" s="69"/>
      <c r="LFN55" s="69"/>
      <c r="LFO55" s="69"/>
      <c r="LFP55" s="69"/>
      <c r="LFQ55" s="69"/>
      <c r="LFR55" s="69"/>
      <c r="LFS55" s="69"/>
      <c r="LFT55" s="69"/>
      <c r="LFU55" s="69"/>
      <c r="LFV55" s="69"/>
      <c r="LFW55" s="69"/>
      <c r="LFX55" s="69"/>
      <c r="LFY55" s="69"/>
      <c r="LFZ55" s="69"/>
      <c r="LGA55" s="69"/>
      <c r="LGB55" s="69"/>
      <c r="LGC55" s="69"/>
      <c r="LGD55" s="69"/>
      <c r="LGE55" s="69"/>
      <c r="LGF55" s="69"/>
      <c r="LGG55" s="69"/>
      <c r="LGH55" s="69"/>
      <c r="LGI55" s="69"/>
      <c r="LGJ55" s="69"/>
      <c r="LGK55" s="69"/>
      <c r="LGL55" s="69"/>
      <c r="LGM55" s="69"/>
      <c r="LGN55" s="69"/>
      <c r="LGO55" s="69"/>
      <c r="LGP55" s="69"/>
      <c r="LGQ55" s="69"/>
      <c r="LGR55" s="69"/>
      <c r="LGS55" s="69"/>
      <c r="LGT55" s="69"/>
      <c r="LGU55" s="69"/>
      <c r="LGV55" s="69"/>
      <c r="LGW55" s="69"/>
      <c r="LGX55" s="69"/>
      <c r="LGY55" s="69"/>
      <c r="LGZ55" s="69"/>
      <c r="LHA55" s="69"/>
      <c r="LHB55" s="69"/>
      <c r="LHC55" s="69"/>
      <c r="LHD55" s="69"/>
      <c r="LHE55" s="69"/>
      <c r="LHF55" s="69"/>
      <c r="LHG55" s="69"/>
      <c r="LHH55" s="69"/>
      <c r="LHI55" s="69"/>
      <c r="LHJ55" s="69"/>
      <c r="LHK55" s="69"/>
      <c r="LHL55" s="69"/>
      <c r="LHM55" s="69"/>
      <c r="LHN55" s="69"/>
      <c r="LHO55" s="69"/>
      <c r="LHP55" s="69"/>
      <c r="LHQ55" s="69"/>
      <c r="LHR55" s="69"/>
      <c r="LHS55" s="69"/>
      <c r="LHT55" s="69"/>
      <c r="LHU55" s="69"/>
      <c r="LHV55" s="69"/>
      <c r="LHW55" s="69"/>
      <c r="LHX55" s="69"/>
      <c r="LHY55" s="69"/>
      <c r="LHZ55" s="69"/>
      <c r="LIA55" s="69"/>
      <c r="LIB55" s="69"/>
      <c r="LIC55" s="69"/>
      <c r="LID55" s="69"/>
      <c r="LIE55" s="69"/>
      <c r="LIF55" s="69"/>
      <c r="LIG55" s="69"/>
      <c r="LIH55" s="69"/>
      <c r="LII55" s="69"/>
      <c r="LIJ55" s="69"/>
      <c r="LIK55" s="69"/>
      <c r="LIL55" s="69"/>
      <c r="LIM55" s="69"/>
      <c r="LIN55" s="69"/>
      <c r="LIO55" s="69"/>
      <c r="LIP55" s="69"/>
      <c r="LIQ55" s="69"/>
      <c r="LIR55" s="69"/>
      <c r="LIS55" s="69"/>
      <c r="LIT55" s="69"/>
      <c r="LIU55" s="69"/>
      <c r="LIV55" s="69"/>
      <c r="LIW55" s="69"/>
      <c r="LIX55" s="69"/>
      <c r="LIY55" s="69"/>
      <c r="LIZ55" s="69"/>
      <c r="LJA55" s="69"/>
      <c r="LJB55" s="69"/>
      <c r="LJC55" s="69"/>
      <c r="LJD55" s="69"/>
      <c r="LJE55" s="69"/>
      <c r="LJF55" s="69"/>
      <c r="LJG55" s="69"/>
      <c r="LJH55" s="69"/>
      <c r="LJI55" s="69"/>
      <c r="LJJ55" s="69"/>
      <c r="LJK55" s="69"/>
      <c r="LJL55" s="69"/>
      <c r="LJM55" s="69"/>
      <c r="LJN55" s="69"/>
      <c r="LJO55" s="69"/>
      <c r="LJP55" s="69"/>
      <c r="LJQ55" s="69"/>
      <c r="LJR55" s="69"/>
      <c r="LJS55" s="69"/>
      <c r="LJT55" s="69"/>
      <c r="LJU55" s="69"/>
      <c r="LJV55" s="69"/>
      <c r="LJW55" s="69"/>
      <c r="LJX55" s="69"/>
      <c r="LJY55" s="69"/>
      <c r="LJZ55" s="69"/>
      <c r="LKA55" s="69"/>
      <c r="LKB55" s="69"/>
      <c r="LKC55" s="69"/>
      <c r="LKD55" s="69"/>
      <c r="LKE55" s="69"/>
      <c r="LKF55" s="69"/>
      <c r="LKG55" s="69"/>
      <c r="LKH55" s="69"/>
      <c r="LKI55" s="69"/>
      <c r="LKJ55" s="69"/>
      <c r="LKK55" s="69"/>
      <c r="LKL55" s="69"/>
      <c r="LKM55" s="69"/>
      <c r="LKN55" s="69"/>
      <c r="LKO55" s="69"/>
      <c r="LKP55" s="69"/>
      <c r="LKQ55" s="69"/>
      <c r="LKR55" s="69"/>
      <c r="LKS55" s="69"/>
      <c r="LKT55" s="69"/>
      <c r="LKU55" s="69"/>
      <c r="LKV55" s="69"/>
      <c r="LKW55" s="69"/>
      <c r="LKX55" s="69"/>
      <c r="LKY55" s="69"/>
      <c r="LKZ55" s="69"/>
      <c r="LLA55" s="69"/>
      <c r="LLB55" s="69"/>
      <c r="LLC55" s="69"/>
      <c r="LLD55" s="69"/>
      <c r="LLE55" s="69"/>
      <c r="LLF55" s="69"/>
      <c r="LLG55" s="69"/>
      <c r="LLH55" s="69"/>
      <c r="LLI55" s="69"/>
      <c r="LLJ55" s="69"/>
      <c r="LLK55" s="69"/>
      <c r="LLL55" s="69"/>
      <c r="LLM55" s="69"/>
      <c r="LLN55" s="69"/>
      <c r="LLO55" s="69"/>
      <c r="LLP55" s="69"/>
      <c r="LLQ55" s="69"/>
      <c r="LLR55" s="69"/>
      <c r="LLS55" s="69"/>
      <c r="LLT55" s="69"/>
      <c r="LLU55" s="69"/>
      <c r="LLV55" s="69"/>
      <c r="LLW55" s="69"/>
      <c r="LLX55" s="69"/>
      <c r="LLY55" s="69"/>
      <c r="LLZ55" s="69"/>
      <c r="LMA55" s="69"/>
      <c r="LMB55" s="69"/>
      <c r="LMC55" s="69"/>
      <c r="LMD55" s="69"/>
      <c r="LME55" s="69"/>
      <c r="LMF55" s="69"/>
      <c r="LMG55" s="69"/>
      <c r="LMH55" s="69"/>
      <c r="LMI55" s="69"/>
      <c r="LMJ55" s="69"/>
      <c r="LMK55" s="69"/>
      <c r="LML55" s="69"/>
      <c r="LMM55" s="69"/>
      <c r="LMN55" s="69"/>
      <c r="LMO55" s="69"/>
      <c r="LMP55" s="69"/>
      <c r="LMQ55" s="69"/>
      <c r="LMR55" s="69"/>
      <c r="LMS55" s="69"/>
      <c r="LMT55" s="69"/>
      <c r="LMU55" s="69"/>
      <c r="LMV55" s="69"/>
      <c r="LMW55" s="69"/>
      <c r="LMX55" s="69"/>
      <c r="LMY55" s="69"/>
      <c r="LMZ55" s="69"/>
      <c r="LNA55" s="69"/>
      <c r="LNB55" s="69"/>
      <c r="LNC55" s="69"/>
      <c r="LND55" s="69"/>
      <c r="LNE55" s="69"/>
      <c r="LNF55" s="69"/>
      <c r="LNG55" s="69"/>
      <c r="LNH55" s="69"/>
      <c r="LNI55" s="69"/>
      <c r="LNJ55" s="69"/>
      <c r="LNK55" s="69"/>
      <c r="LNL55" s="69"/>
      <c r="LNM55" s="69"/>
      <c r="LNN55" s="69"/>
      <c r="LNO55" s="69"/>
      <c r="LNP55" s="69"/>
      <c r="LNQ55" s="69"/>
      <c r="LNR55" s="69"/>
      <c r="LNS55" s="69"/>
      <c r="LNT55" s="69"/>
      <c r="LNU55" s="69"/>
      <c r="LNV55" s="69"/>
      <c r="LNW55" s="69"/>
      <c r="LNX55" s="69"/>
      <c r="LNY55" s="69"/>
      <c r="LNZ55" s="69"/>
      <c r="LOA55" s="69"/>
      <c r="LOB55" s="69"/>
      <c r="LOC55" s="69"/>
      <c r="LOD55" s="69"/>
      <c r="LOE55" s="69"/>
      <c r="LOF55" s="69"/>
      <c r="LOG55" s="69"/>
      <c r="LOH55" s="69"/>
      <c r="LOI55" s="69"/>
      <c r="LOJ55" s="69"/>
      <c r="LOK55" s="69"/>
      <c r="LOL55" s="69"/>
      <c r="LOM55" s="69"/>
      <c r="LON55" s="69"/>
      <c r="LOO55" s="69"/>
      <c r="LOP55" s="69"/>
      <c r="LOQ55" s="69"/>
      <c r="LOR55" s="69"/>
      <c r="LOS55" s="69"/>
      <c r="LOT55" s="69"/>
      <c r="LOU55" s="69"/>
      <c r="LOV55" s="69"/>
      <c r="LOW55" s="69"/>
      <c r="LOX55" s="69"/>
      <c r="LOY55" s="69"/>
      <c r="LOZ55" s="69"/>
      <c r="LPA55" s="69"/>
      <c r="LPB55" s="69"/>
      <c r="LPC55" s="69"/>
      <c r="LPD55" s="69"/>
      <c r="LPE55" s="69"/>
      <c r="LPF55" s="69"/>
      <c r="LPG55" s="69"/>
      <c r="LPH55" s="69"/>
      <c r="LPI55" s="69"/>
      <c r="LPJ55" s="69"/>
      <c r="LPK55" s="69"/>
      <c r="LPL55" s="69"/>
      <c r="LPM55" s="69"/>
      <c r="LPN55" s="69"/>
      <c r="LPO55" s="69"/>
      <c r="LPP55" s="69"/>
      <c r="LPQ55" s="69"/>
      <c r="LPR55" s="69"/>
      <c r="LPS55" s="69"/>
      <c r="LPT55" s="69"/>
      <c r="LPU55" s="69"/>
      <c r="LPV55" s="69"/>
      <c r="LPW55" s="69"/>
      <c r="LPX55" s="69"/>
      <c r="LPY55" s="69"/>
      <c r="LPZ55" s="69"/>
      <c r="LQA55" s="69"/>
      <c r="LQB55" s="69"/>
      <c r="LQC55" s="69"/>
      <c r="LQD55" s="69"/>
      <c r="LQE55" s="69"/>
      <c r="LQF55" s="69"/>
      <c r="LQG55" s="69"/>
      <c r="LQH55" s="69"/>
      <c r="LQI55" s="69"/>
      <c r="LQJ55" s="69"/>
      <c r="LQK55" s="69"/>
      <c r="LQL55" s="69"/>
      <c r="LQM55" s="69"/>
      <c r="LQN55" s="69"/>
      <c r="LQO55" s="69"/>
      <c r="LQP55" s="69"/>
      <c r="LQQ55" s="69"/>
      <c r="LQR55" s="69"/>
      <c r="LQS55" s="69"/>
      <c r="LQT55" s="69"/>
      <c r="LQU55" s="69"/>
      <c r="LQV55" s="69"/>
      <c r="LQW55" s="69"/>
      <c r="LQX55" s="69"/>
      <c r="LQY55" s="69"/>
      <c r="LQZ55" s="69"/>
      <c r="LRA55" s="69"/>
      <c r="LRB55" s="69"/>
      <c r="LRC55" s="69"/>
      <c r="LRD55" s="69"/>
      <c r="LRE55" s="69"/>
      <c r="LRF55" s="69"/>
      <c r="LRG55" s="69"/>
      <c r="LRH55" s="69"/>
      <c r="LRI55" s="69"/>
      <c r="LRJ55" s="69"/>
      <c r="LRK55" s="69"/>
      <c r="LRL55" s="69"/>
      <c r="LRM55" s="69"/>
      <c r="LRN55" s="69"/>
      <c r="LRO55" s="69"/>
      <c r="LRP55" s="69"/>
      <c r="LRQ55" s="69"/>
      <c r="LRR55" s="69"/>
      <c r="LRS55" s="69"/>
      <c r="LRT55" s="69"/>
      <c r="LRU55" s="69"/>
      <c r="LRV55" s="69"/>
      <c r="LRW55" s="69"/>
      <c r="LRX55" s="69"/>
      <c r="LRY55" s="69"/>
      <c r="LRZ55" s="69"/>
      <c r="LSA55" s="69"/>
      <c r="LSB55" s="69"/>
      <c r="LSC55" s="69"/>
      <c r="LSD55" s="69"/>
      <c r="LSE55" s="69"/>
      <c r="LSF55" s="69"/>
      <c r="LSG55" s="69"/>
      <c r="LSH55" s="69"/>
      <c r="LSI55" s="69"/>
      <c r="LSJ55" s="69"/>
      <c r="LSK55" s="69"/>
      <c r="LSL55" s="69"/>
      <c r="LSM55" s="69"/>
      <c r="LSN55" s="69"/>
      <c r="LSO55" s="69"/>
      <c r="LSP55" s="69"/>
      <c r="LSQ55" s="69"/>
      <c r="LSR55" s="69"/>
      <c r="LSS55" s="69"/>
      <c r="LST55" s="69"/>
      <c r="LSU55" s="69"/>
      <c r="LSV55" s="69"/>
      <c r="LSW55" s="69"/>
      <c r="LSX55" s="69"/>
      <c r="LSY55" s="69"/>
      <c r="LSZ55" s="69"/>
      <c r="LTA55" s="69"/>
      <c r="LTB55" s="69"/>
      <c r="LTC55" s="69"/>
      <c r="LTD55" s="69"/>
      <c r="LTE55" s="69"/>
      <c r="LTF55" s="69"/>
      <c r="LTG55" s="69"/>
      <c r="LTH55" s="69"/>
      <c r="LTI55" s="69"/>
      <c r="LTJ55" s="69"/>
      <c r="LTK55" s="69"/>
      <c r="LTL55" s="69"/>
      <c r="LTM55" s="69"/>
      <c r="LTN55" s="69"/>
      <c r="LTO55" s="69"/>
      <c r="LTP55" s="69"/>
      <c r="LTQ55" s="69"/>
      <c r="LTR55" s="69"/>
      <c r="LTS55" s="69"/>
      <c r="LTT55" s="69"/>
      <c r="LTU55" s="69"/>
      <c r="LTV55" s="69"/>
      <c r="LTW55" s="69"/>
      <c r="LTX55" s="69"/>
      <c r="LTY55" s="69"/>
      <c r="LTZ55" s="69"/>
      <c r="LUA55" s="69"/>
      <c r="LUB55" s="69"/>
      <c r="LUC55" s="69"/>
      <c r="LUD55" s="69"/>
      <c r="LUE55" s="69"/>
      <c r="LUF55" s="69"/>
      <c r="LUG55" s="69"/>
      <c r="LUH55" s="69"/>
      <c r="LUI55" s="69"/>
      <c r="LUJ55" s="69"/>
      <c r="LUK55" s="69"/>
      <c r="LUL55" s="69"/>
      <c r="LUM55" s="69"/>
      <c r="LUN55" s="69"/>
      <c r="LUO55" s="69"/>
      <c r="LUP55" s="69"/>
      <c r="LUQ55" s="69"/>
      <c r="LUR55" s="69"/>
      <c r="LUS55" s="69"/>
      <c r="LUT55" s="69"/>
      <c r="LUU55" s="69"/>
      <c r="LUV55" s="69"/>
      <c r="LUW55" s="69"/>
      <c r="LUX55" s="69"/>
      <c r="LUY55" s="69"/>
      <c r="LUZ55" s="69"/>
      <c r="LVA55" s="69"/>
      <c r="LVB55" s="69"/>
      <c r="LVC55" s="69"/>
      <c r="LVD55" s="69"/>
      <c r="LVE55" s="69"/>
      <c r="LVF55" s="69"/>
      <c r="LVG55" s="69"/>
      <c r="LVH55" s="69"/>
      <c r="LVI55" s="69"/>
      <c r="LVJ55" s="69"/>
      <c r="LVK55" s="69"/>
      <c r="LVL55" s="69"/>
      <c r="LVM55" s="69"/>
      <c r="LVN55" s="69"/>
      <c r="LVO55" s="69"/>
      <c r="LVP55" s="69"/>
      <c r="LVQ55" s="69"/>
      <c r="LVR55" s="69"/>
      <c r="LVS55" s="69"/>
      <c r="LVT55" s="69"/>
      <c r="LVU55" s="69"/>
      <c r="LVV55" s="69"/>
      <c r="LVW55" s="69"/>
      <c r="LVX55" s="69"/>
      <c r="LVY55" s="69"/>
      <c r="LVZ55" s="69"/>
      <c r="LWA55" s="69"/>
      <c r="LWB55" s="69"/>
      <c r="LWC55" s="69"/>
      <c r="LWD55" s="69"/>
      <c r="LWE55" s="69"/>
      <c r="LWF55" s="69"/>
      <c r="LWG55" s="69"/>
      <c r="LWH55" s="69"/>
      <c r="LWI55" s="69"/>
      <c r="LWJ55" s="69"/>
      <c r="LWK55" s="69"/>
      <c r="LWL55" s="69"/>
      <c r="LWM55" s="69"/>
      <c r="LWN55" s="69"/>
      <c r="LWO55" s="69"/>
      <c r="LWP55" s="69"/>
      <c r="LWQ55" s="69"/>
      <c r="LWR55" s="69"/>
      <c r="LWS55" s="69"/>
      <c r="LWT55" s="69"/>
      <c r="LWU55" s="69"/>
      <c r="LWV55" s="69"/>
      <c r="LWW55" s="69"/>
      <c r="LWX55" s="69"/>
      <c r="LWY55" s="69"/>
      <c r="LWZ55" s="69"/>
      <c r="LXA55" s="69"/>
      <c r="LXB55" s="69"/>
      <c r="LXC55" s="69"/>
      <c r="LXD55" s="69"/>
      <c r="LXE55" s="69"/>
      <c r="LXF55" s="69"/>
      <c r="LXG55" s="69"/>
      <c r="LXH55" s="69"/>
      <c r="LXI55" s="69"/>
      <c r="LXJ55" s="69"/>
      <c r="LXK55" s="69"/>
      <c r="LXL55" s="69"/>
      <c r="LXM55" s="69"/>
      <c r="LXN55" s="69"/>
      <c r="LXO55" s="69"/>
      <c r="LXP55" s="69"/>
      <c r="LXQ55" s="69"/>
      <c r="LXR55" s="69"/>
      <c r="LXS55" s="69"/>
      <c r="LXT55" s="69"/>
      <c r="LXU55" s="69"/>
      <c r="LXV55" s="69"/>
      <c r="LXW55" s="69"/>
      <c r="LXX55" s="69"/>
      <c r="LXY55" s="69"/>
      <c r="LXZ55" s="69"/>
      <c r="LYA55" s="69"/>
      <c r="LYB55" s="69"/>
      <c r="LYC55" s="69"/>
      <c r="LYD55" s="69"/>
      <c r="LYE55" s="69"/>
      <c r="LYF55" s="69"/>
      <c r="LYG55" s="69"/>
      <c r="LYH55" s="69"/>
      <c r="LYI55" s="69"/>
      <c r="LYJ55" s="69"/>
      <c r="LYK55" s="69"/>
      <c r="LYL55" s="69"/>
      <c r="LYM55" s="69"/>
      <c r="LYN55" s="69"/>
      <c r="LYO55" s="69"/>
      <c r="LYP55" s="69"/>
      <c r="LYQ55" s="69"/>
      <c r="LYR55" s="69"/>
      <c r="LYS55" s="69"/>
      <c r="LYT55" s="69"/>
      <c r="LYU55" s="69"/>
      <c r="LYV55" s="69"/>
      <c r="LYW55" s="69"/>
      <c r="LYX55" s="69"/>
      <c r="LYY55" s="69"/>
      <c r="LYZ55" s="69"/>
      <c r="LZA55" s="69"/>
      <c r="LZB55" s="69"/>
      <c r="LZC55" s="69"/>
      <c r="LZD55" s="69"/>
      <c r="LZE55" s="69"/>
      <c r="LZF55" s="69"/>
      <c r="LZG55" s="69"/>
      <c r="LZH55" s="69"/>
      <c r="LZI55" s="69"/>
      <c r="LZJ55" s="69"/>
      <c r="LZK55" s="69"/>
      <c r="LZL55" s="69"/>
      <c r="LZM55" s="69"/>
      <c r="LZN55" s="69"/>
      <c r="LZO55" s="69"/>
      <c r="LZP55" s="69"/>
      <c r="LZQ55" s="69"/>
      <c r="LZR55" s="69"/>
      <c r="LZS55" s="69"/>
      <c r="LZT55" s="69"/>
      <c r="LZU55" s="69"/>
      <c r="LZV55" s="69"/>
      <c r="LZW55" s="69"/>
      <c r="LZX55" s="69"/>
      <c r="LZY55" s="69"/>
      <c r="LZZ55" s="69"/>
      <c r="MAA55" s="69"/>
      <c r="MAB55" s="69"/>
      <c r="MAC55" s="69"/>
      <c r="MAD55" s="69"/>
      <c r="MAE55" s="69"/>
      <c r="MAF55" s="69"/>
      <c r="MAG55" s="69"/>
      <c r="MAH55" s="69"/>
      <c r="MAI55" s="69"/>
      <c r="MAJ55" s="69"/>
      <c r="MAK55" s="69"/>
      <c r="MAL55" s="69"/>
      <c r="MAM55" s="69"/>
      <c r="MAN55" s="69"/>
      <c r="MAO55" s="69"/>
      <c r="MAP55" s="69"/>
      <c r="MAQ55" s="69"/>
      <c r="MAR55" s="69"/>
      <c r="MAS55" s="69"/>
      <c r="MAT55" s="69"/>
      <c r="MAU55" s="69"/>
      <c r="MAV55" s="69"/>
      <c r="MAW55" s="69"/>
      <c r="MAX55" s="69"/>
      <c r="MAY55" s="69"/>
      <c r="MAZ55" s="69"/>
      <c r="MBA55" s="69"/>
      <c r="MBB55" s="69"/>
      <c r="MBC55" s="69"/>
      <c r="MBD55" s="69"/>
      <c r="MBE55" s="69"/>
      <c r="MBF55" s="69"/>
      <c r="MBG55" s="69"/>
      <c r="MBH55" s="69"/>
      <c r="MBI55" s="69"/>
      <c r="MBJ55" s="69"/>
      <c r="MBK55" s="69"/>
      <c r="MBL55" s="69"/>
      <c r="MBM55" s="69"/>
      <c r="MBN55" s="69"/>
      <c r="MBO55" s="69"/>
      <c r="MBP55" s="69"/>
      <c r="MBQ55" s="69"/>
      <c r="MBR55" s="69"/>
      <c r="MBS55" s="69"/>
      <c r="MBT55" s="69"/>
      <c r="MBU55" s="69"/>
      <c r="MBV55" s="69"/>
      <c r="MBW55" s="69"/>
      <c r="MBX55" s="69"/>
      <c r="MBY55" s="69"/>
      <c r="MBZ55" s="69"/>
      <c r="MCA55" s="69"/>
      <c r="MCB55" s="69"/>
      <c r="MCC55" s="69"/>
      <c r="MCD55" s="69"/>
      <c r="MCE55" s="69"/>
      <c r="MCF55" s="69"/>
      <c r="MCG55" s="69"/>
      <c r="MCH55" s="69"/>
      <c r="MCI55" s="69"/>
      <c r="MCJ55" s="69"/>
      <c r="MCK55" s="69"/>
      <c r="MCL55" s="69"/>
      <c r="MCM55" s="69"/>
      <c r="MCN55" s="69"/>
      <c r="MCO55" s="69"/>
      <c r="MCP55" s="69"/>
      <c r="MCQ55" s="69"/>
      <c r="MCR55" s="69"/>
      <c r="MCS55" s="69"/>
      <c r="MCT55" s="69"/>
      <c r="MCU55" s="69"/>
      <c r="MCV55" s="69"/>
      <c r="MCW55" s="69"/>
      <c r="MCX55" s="69"/>
      <c r="MCY55" s="69"/>
      <c r="MCZ55" s="69"/>
      <c r="MDA55" s="69"/>
      <c r="MDB55" s="69"/>
      <c r="MDC55" s="69"/>
      <c r="MDD55" s="69"/>
      <c r="MDE55" s="69"/>
      <c r="MDF55" s="69"/>
      <c r="MDG55" s="69"/>
      <c r="MDH55" s="69"/>
      <c r="MDI55" s="69"/>
      <c r="MDJ55" s="69"/>
      <c r="MDK55" s="69"/>
      <c r="MDL55" s="69"/>
      <c r="MDM55" s="69"/>
      <c r="MDN55" s="69"/>
      <c r="MDO55" s="69"/>
      <c r="MDP55" s="69"/>
      <c r="MDQ55" s="69"/>
      <c r="MDR55" s="69"/>
      <c r="MDS55" s="69"/>
      <c r="MDT55" s="69"/>
      <c r="MDU55" s="69"/>
      <c r="MDV55" s="69"/>
      <c r="MDW55" s="69"/>
      <c r="MDX55" s="69"/>
      <c r="MDY55" s="69"/>
      <c r="MDZ55" s="69"/>
      <c r="MEA55" s="69"/>
      <c r="MEB55" s="69"/>
      <c r="MEC55" s="69"/>
      <c r="MED55" s="69"/>
      <c r="MEE55" s="69"/>
      <c r="MEF55" s="69"/>
      <c r="MEG55" s="69"/>
      <c r="MEH55" s="69"/>
      <c r="MEI55" s="69"/>
      <c r="MEJ55" s="69"/>
      <c r="MEK55" s="69"/>
      <c r="MEL55" s="69"/>
      <c r="MEM55" s="69"/>
      <c r="MEN55" s="69"/>
      <c r="MEO55" s="69"/>
      <c r="MEP55" s="69"/>
      <c r="MEQ55" s="69"/>
      <c r="MER55" s="69"/>
      <c r="MES55" s="69"/>
      <c r="MET55" s="69"/>
      <c r="MEU55" s="69"/>
      <c r="MEV55" s="69"/>
      <c r="MEW55" s="69"/>
      <c r="MEX55" s="69"/>
      <c r="MEY55" s="69"/>
      <c r="MEZ55" s="69"/>
      <c r="MFA55" s="69"/>
      <c r="MFB55" s="69"/>
      <c r="MFC55" s="69"/>
      <c r="MFD55" s="69"/>
      <c r="MFE55" s="69"/>
      <c r="MFF55" s="69"/>
      <c r="MFG55" s="69"/>
      <c r="MFH55" s="69"/>
      <c r="MFI55" s="69"/>
      <c r="MFJ55" s="69"/>
      <c r="MFK55" s="69"/>
      <c r="MFL55" s="69"/>
      <c r="MFM55" s="69"/>
      <c r="MFN55" s="69"/>
      <c r="MFO55" s="69"/>
      <c r="MFP55" s="69"/>
      <c r="MFQ55" s="69"/>
      <c r="MFR55" s="69"/>
      <c r="MFS55" s="69"/>
      <c r="MFT55" s="69"/>
      <c r="MFU55" s="69"/>
      <c r="MFV55" s="69"/>
      <c r="MFW55" s="69"/>
      <c r="MFX55" s="69"/>
      <c r="MFY55" s="69"/>
      <c r="MFZ55" s="69"/>
      <c r="MGA55" s="69"/>
      <c r="MGB55" s="69"/>
      <c r="MGC55" s="69"/>
      <c r="MGD55" s="69"/>
      <c r="MGE55" s="69"/>
      <c r="MGF55" s="69"/>
      <c r="MGG55" s="69"/>
      <c r="MGH55" s="69"/>
      <c r="MGI55" s="69"/>
      <c r="MGJ55" s="69"/>
      <c r="MGK55" s="69"/>
      <c r="MGL55" s="69"/>
      <c r="MGM55" s="69"/>
      <c r="MGN55" s="69"/>
      <c r="MGO55" s="69"/>
      <c r="MGP55" s="69"/>
      <c r="MGQ55" s="69"/>
      <c r="MGR55" s="69"/>
      <c r="MGS55" s="69"/>
      <c r="MGT55" s="69"/>
      <c r="MGU55" s="69"/>
      <c r="MGV55" s="69"/>
      <c r="MGW55" s="69"/>
      <c r="MGX55" s="69"/>
      <c r="MGY55" s="69"/>
      <c r="MGZ55" s="69"/>
      <c r="MHA55" s="69"/>
      <c r="MHB55" s="69"/>
      <c r="MHC55" s="69"/>
      <c r="MHD55" s="69"/>
      <c r="MHE55" s="69"/>
      <c r="MHF55" s="69"/>
      <c r="MHG55" s="69"/>
      <c r="MHH55" s="69"/>
      <c r="MHI55" s="69"/>
      <c r="MHJ55" s="69"/>
      <c r="MHK55" s="69"/>
      <c r="MHL55" s="69"/>
      <c r="MHM55" s="69"/>
      <c r="MHN55" s="69"/>
      <c r="MHO55" s="69"/>
      <c r="MHP55" s="69"/>
      <c r="MHQ55" s="69"/>
      <c r="MHR55" s="69"/>
      <c r="MHS55" s="69"/>
      <c r="MHT55" s="69"/>
      <c r="MHU55" s="69"/>
      <c r="MHV55" s="69"/>
      <c r="MHW55" s="69"/>
      <c r="MHX55" s="69"/>
      <c r="MHY55" s="69"/>
      <c r="MHZ55" s="69"/>
      <c r="MIA55" s="69"/>
      <c r="MIB55" s="69"/>
      <c r="MIC55" s="69"/>
      <c r="MID55" s="69"/>
      <c r="MIE55" s="69"/>
      <c r="MIF55" s="69"/>
      <c r="MIG55" s="69"/>
      <c r="MIH55" s="69"/>
      <c r="MII55" s="69"/>
      <c r="MIJ55" s="69"/>
      <c r="MIK55" s="69"/>
      <c r="MIL55" s="69"/>
      <c r="MIM55" s="69"/>
      <c r="MIN55" s="69"/>
      <c r="MIO55" s="69"/>
      <c r="MIP55" s="69"/>
      <c r="MIQ55" s="69"/>
      <c r="MIR55" s="69"/>
      <c r="MIS55" s="69"/>
      <c r="MIT55" s="69"/>
      <c r="MIU55" s="69"/>
      <c r="MIV55" s="69"/>
      <c r="MIW55" s="69"/>
      <c r="MIX55" s="69"/>
      <c r="MIY55" s="69"/>
      <c r="MIZ55" s="69"/>
      <c r="MJA55" s="69"/>
      <c r="MJB55" s="69"/>
      <c r="MJC55" s="69"/>
      <c r="MJD55" s="69"/>
      <c r="MJE55" s="69"/>
      <c r="MJF55" s="69"/>
      <c r="MJG55" s="69"/>
      <c r="MJH55" s="69"/>
      <c r="MJI55" s="69"/>
      <c r="MJJ55" s="69"/>
      <c r="MJK55" s="69"/>
      <c r="MJL55" s="69"/>
      <c r="MJM55" s="69"/>
      <c r="MJN55" s="69"/>
      <c r="MJO55" s="69"/>
      <c r="MJP55" s="69"/>
      <c r="MJQ55" s="69"/>
      <c r="MJR55" s="69"/>
      <c r="MJS55" s="69"/>
      <c r="MJT55" s="69"/>
      <c r="MJU55" s="69"/>
      <c r="MJV55" s="69"/>
      <c r="MJW55" s="69"/>
      <c r="MJX55" s="69"/>
      <c r="MJY55" s="69"/>
      <c r="MJZ55" s="69"/>
      <c r="MKA55" s="69"/>
      <c r="MKB55" s="69"/>
      <c r="MKC55" s="69"/>
      <c r="MKD55" s="69"/>
      <c r="MKE55" s="69"/>
      <c r="MKF55" s="69"/>
      <c r="MKG55" s="69"/>
      <c r="MKH55" s="69"/>
      <c r="MKI55" s="69"/>
      <c r="MKJ55" s="69"/>
      <c r="MKK55" s="69"/>
      <c r="MKL55" s="69"/>
      <c r="MKM55" s="69"/>
      <c r="MKN55" s="69"/>
      <c r="MKO55" s="69"/>
      <c r="MKP55" s="69"/>
      <c r="MKQ55" s="69"/>
      <c r="MKR55" s="69"/>
      <c r="MKS55" s="69"/>
      <c r="MKT55" s="69"/>
      <c r="MKU55" s="69"/>
      <c r="MKV55" s="69"/>
      <c r="MKW55" s="69"/>
      <c r="MKX55" s="69"/>
      <c r="MKY55" s="69"/>
      <c r="MKZ55" s="69"/>
      <c r="MLA55" s="69"/>
      <c r="MLB55" s="69"/>
      <c r="MLC55" s="69"/>
      <c r="MLD55" s="69"/>
      <c r="MLE55" s="69"/>
      <c r="MLF55" s="69"/>
      <c r="MLG55" s="69"/>
      <c r="MLH55" s="69"/>
      <c r="MLI55" s="69"/>
      <c r="MLJ55" s="69"/>
      <c r="MLK55" s="69"/>
      <c r="MLL55" s="69"/>
      <c r="MLM55" s="69"/>
      <c r="MLN55" s="69"/>
      <c r="MLO55" s="69"/>
      <c r="MLP55" s="69"/>
      <c r="MLQ55" s="69"/>
      <c r="MLR55" s="69"/>
      <c r="MLS55" s="69"/>
      <c r="MLT55" s="69"/>
      <c r="MLU55" s="69"/>
      <c r="MLV55" s="69"/>
      <c r="MLW55" s="69"/>
      <c r="MLX55" s="69"/>
      <c r="MLY55" s="69"/>
      <c r="MLZ55" s="69"/>
      <c r="MMA55" s="69"/>
      <c r="MMB55" s="69"/>
      <c r="MMC55" s="69"/>
      <c r="MMD55" s="69"/>
      <c r="MME55" s="69"/>
      <c r="MMF55" s="69"/>
      <c r="MMG55" s="69"/>
      <c r="MMH55" s="69"/>
      <c r="MMI55" s="69"/>
      <c r="MMJ55" s="69"/>
      <c r="MMK55" s="69"/>
      <c r="MML55" s="69"/>
      <c r="MMM55" s="69"/>
      <c r="MMN55" s="69"/>
      <c r="MMO55" s="69"/>
      <c r="MMP55" s="69"/>
      <c r="MMQ55" s="69"/>
      <c r="MMR55" s="69"/>
      <c r="MMS55" s="69"/>
      <c r="MMT55" s="69"/>
      <c r="MMU55" s="69"/>
      <c r="MMV55" s="69"/>
      <c r="MMW55" s="69"/>
      <c r="MMX55" s="69"/>
      <c r="MMY55" s="69"/>
      <c r="MMZ55" s="69"/>
      <c r="MNA55" s="69"/>
      <c r="MNB55" s="69"/>
      <c r="MNC55" s="69"/>
      <c r="MND55" s="69"/>
      <c r="MNE55" s="69"/>
      <c r="MNF55" s="69"/>
      <c r="MNG55" s="69"/>
      <c r="MNH55" s="69"/>
      <c r="MNI55" s="69"/>
      <c r="MNJ55" s="69"/>
      <c r="MNK55" s="69"/>
      <c r="MNL55" s="69"/>
      <c r="MNM55" s="69"/>
      <c r="MNN55" s="69"/>
      <c r="MNO55" s="69"/>
      <c r="MNP55" s="69"/>
      <c r="MNQ55" s="69"/>
      <c r="MNR55" s="69"/>
      <c r="MNS55" s="69"/>
      <c r="MNT55" s="69"/>
      <c r="MNU55" s="69"/>
      <c r="MNV55" s="69"/>
      <c r="MNW55" s="69"/>
      <c r="MNX55" s="69"/>
      <c r="MNY55" s="69"/>
      <c r="MNZ55" s="69"/>
      <c r="MOA55" s="69"/>
      <c r="MOB55" s="69"/>
      <c r="MOC55" s="69"/>
      <c r="MOD55" s="69"/>
      <c r="MOE55" s="69"/>
      <c r="MOF55" s="69"/>
      <c r="MOG55" s="69"/>
      <c r="MOH55" s="69"/>
      <c r="MOI55" s="69"/>
      <c r="MOJ55" s="69"/>
      <c r="MOK55" s="69"/>
      <c r="MOL55" s="69"/>
      <c r="MOM55" s="69"/>
      <c r="MON55" s="69"/>
      <c r="MOO55" s="69"/>
      <c r="MOP55" s="69"/>
      <c r="MOQ55" s="69"/>
      <c r="MOR55" s="69"/>
      <c r="MOS55" s="69"/>
      <c r="MOT55" s="69"/>
      <c r="MOU55" s="69"/>
      <c r="MOV55" s="69"/>
      <c r="MOW55" s="69"/>
      <c r="MOX55" s="69"/>
      <c r="MOY55" s="69"/>
      <c r="MOZ55" s="69"/>
      <c r="MPA55" s="69"/>
      <c r="MPB55" s="69"/>
      <c r="MPC55" s="69"/>
      <c r="MPD55" s="69"/>
      <c r="MPE55" s="69"/>
      <c r="MPF55" s="69"/>
      <c r="MPG55" s="69"/>
      <c r="MPH55" s="69"/>
      <c r="MPI55" s="69"/>
      <c r="MPJ55" s="69"/>
      <c r="MPK55" s="69"/>
      <c r="MPL55" s="69"/>
      <c r="MPM55" s="69"/>
      <c r="MPN55" s="69"/>
      <c r="MPO55" s="69"/>
      <c r="MPP55" s="69"/>
      <c r="MPQ55" s="69"/>
      <c r="MPR55" s="69"/>
      <c r="MPS55" s="69"/>
      <c r="MPT55" s="69"/>
      <c r="MPU55" s="69"/>
      <c r="MPV55" s="69"/>
      <c r="MPW55" s="69"/>
      <c r="MPX55" s="69"/>
      <c r="MPY55" s="69"/>
      <c r="MPZ55" s="69"/>
      <c r="MQA55" s="69"/>
      <c r="MQB55" s="69"/>
      <c r="MQC55" s="69"/>
      <c r="MQD55" s="69"/>
      <c r="MQE55" s="69"/>
      <c r="MQF55" s="69"/>
      <c r="MQG55" s="69"/>
      <c r="MQH55" s="69"/>
      <c r="MQI55" s="69"/>
      <c r="MQJ55" s="69"/>
      <c r="MQK55" s="69"/>
      <c r="MQL55" s="69"/>
      <c r="MQM55" s="69"/>
      <c r="MQN55" s="69"/>
      <c r="MQO55" s="69"/>
      <c r="MQP55" s="69"/>
      <c r="MQQ55" s="69"/>
      <c r="MQR55" s="69"/>
      <c r="MQS55" s="69"/>
      <c r="MQT55" s="69"/>
      <c r="MQU55" s="69"/>
      <c r="MQV55" s="69"/>
      <c r="MQW55" s="69"/>
      <c r="MQX55" s="69"/>
      <c r="MQY55" s="69"/>
      <c r="MQZ55" s="69"/>
      <c r="MRA55" s="69"/>
      <c r="MRB55" s="69"/>
      <c r="MRC55" s="69"/>
      <c r="MRD55" s="69"/>
      <c r="MRE55" s="69"/>
      <c r="MRF55" s="69"/>
      <c r="MRG55" s="69"/>
      <c r="MRH55" s="69"/>
      <c r="MRI55" s="69"/>
      <c r="MRJ55" s="69"/>
      <c r="MRK55" s="69"/>
      <c r="MRL55" s="69"/>
      <c r="MRM55" s="69"/>
      <c r="MRN55" s="69"/>
      <c r="MRO55" s="69"/>
      <c r="MRP55" s="69"/>
      <c r="MRQ55" s="69"/>
      <c r="MRR55" s="69"/>
      <c r="MRS55" s="69"/>
      <c r="MRT55" s="69"/>
      <c r="MRU55" s="69"/>
      <c r="MRV55" s="69"/>
      <c r="MRW55" s="69"/>
      <c r="MRX55" s="69"/>
      <c r="MRY55" s="69"/>
      <c r="MRZ55" s="69"/>
      <c r="MSA55" s="69"/>
      <c r="MSB55" s="69"/>
      <c r="MSC55" s="69"/>
      <c r="MSD55" s="69"/>
      <c r="MSE55" s="69"/>
      <c r="MSF55" s="69"/>
      <c r="MSG55" s="69"/>
      <c r="MSH55" s="69"/>
      <c r="MSI55" s="69"/>
      <c r="MSJ55" s="69"/>
      <c r="MSK55" s="69"/>
      <c r="MSL55" s="69"/>
      <c r="MSM55" s="69"/>
      <c r="MSN55" s="69"/>
      <c r="MSO55" s="69"/>
      <c r="MSP55" s="69"/>
      <c r="MSQ55" s="69"/>
      <c r="MSR55" s="69"/>
      <c r="MSS55" s="69"/>
      <c r="MST55" s="69"/>
      <c r="MSU55" s="69"/>
      <c r="MSV55" s="69"/>
      <c r="MSW55" s="69"/>
      <c r="MSX55" s="69"/>
      <c r="MSY55" s="69"/>
      <c r="MSZ55" s="69"/>
      <c r="MTA55" s="69"/>
      <c r="MTB55" s="69"/>
      <c r="MTC55" s="69"/>
      <c r="MTD55" s="69"/>
      <c r="MTE55" s="69"/>
      <c r="MTF55" s="69"/>
      <c r="MTG55" s="69"/>
      <c r="MTH55" s="69"/>
      <c r="MTI55" s="69"/>
      <c r="MTJ55" s="69"/>
      <c r="MTK55" s="69"/>
      <c r="MTL55" s="69"/>
      <c r="MTM55" s="69"/>
      <c r="MTN55" s="69"/>
      <c r="MTO55" s="69"/>
      <c r="MTP55" s="69"/>
      <c r="MTQ55" s="69"/>
      <c r="MTR55" s="69"/>
      <c r="MTS55" s="69"/>
      <c r="MTT55" s="69"/>
      <c r="MTU55" s="69"/>
      <c r="MTV55" s="69"/>
      <c r="MTW55" s="69"/>
      <c r="MTX55" s="69"/>
      <c r="MTY55" s="69"/>
      <c r="MTZ55" s="69"/>
      <c r="MUA55" s="69"/>
      <c r="MUB55" s="69"/>
      <c r="MUC55" s="69"/>
      <c r="MUD55" s="69"/>
      <c r="MUE55" s="69"/>
      <c r="MUF55" s="69"/>
      <c r="MUG55" s="69"/>
      <c r="MUH55" s="69"/>
      <c r="MUI55" s="69"/>
      <c r="MUJ55" s="69"/>
      <c r="MUK55" s="69"/>
      <c r="MUL55" s="69"/>
      <c r="MUM55" s="69"/>
      <c r="MUN55" s="69"/>
      <c r="MUO55" s="69"/>
      <c r="MUP55" s="69"/>
      <c r="MUQ55" s="69"/>
      <c r="MUR55" s="69"/>
      <c r="MUS55" s="69"/>
      <c r="MUT55" s="69"/>
      <c r="MUU55" s="69"/>
      <c r="MUV55" s="69"/>
      <c r="MUW55" s="69"/>
      <c r="MUX55" s="69"/>
      <c r="MUY55" s="69"/>
      <c r="MUZ55" s="69"/>
      <c r="MVA55" s="69"/>
      <c r="MVB55" s="69"/>
      <c r="MVC55" s="69"/>
      <c r="MVD55" s="69"/>
      <c r="MVE55" s="69"/>
      <c r="MVF55" s="69"/>
      <c r="MVG55" s="69"/>
      <c r="MVH55" s="69"/>
      <c r="MVI55" s="69"/>
      <c r="MVJ55" s="69"/>
      <c r="MVK55" s="69"/>
      <c r="MVL55" s="69"/>
      <c r="MVM55" s="69"/>
      <c r="MVN55" s="69"/>
      <c r="MVO55" s="69"/>
      <c r="MVP55" s="69"/>
      <c r="MVQ55" s="69"/>
      <c r="MVR55" s="69"/>
      <c r="MVS55" s="69"/>
      <c r="MVT55" s="69"/>
      <c r="MVU55" s="69"/>
      <c r="MVV55" s="69"/>
      <c r="MVW55" s="69"/>
      <c r="MVX55" s="69"/>
      <c r="MVY55" s="69"/>
      <c r="MVZ55" s="69"/>
      <c r="MWA55" s="69"/>
      <c r="MWB55" s="69"/>
      <c r="MWC55" s="69"/>
      <c r="MWD55" s="69"/>
      <c r="MWE55" s="69"/>
      <c r="MWF55" s="69"/>
      <c r="MWG55" s="69"/>
      <c r="MWH55" s="69"/>
      <c r="MWI55" s="69"/>
      <c r="MWJ55" s="69"/>
      <c r="MWK55" s="69"/>
      <c r="MWL55" s="69"/>
      <c r="MWM55" s="69"/>
      <c r="MWN55" s="69"/>
      <c r="MWO55" s="69"/>
      <c r="MWP55" s="69"/>
      <c r="MWQ55" s="69"/>
      <c r="MWR55" s="69"/>
      <c r="MWS55" s="69"/>
      <c r="MWT55" s="69"/>
      <c r="MWU55" s="69"/>
      <c r="MWV55" s="69"/>
      <c r="MWW55" s="69"/>
      <c r="MWX55" s="69"/>
      <c r="MWY55" s="69"/>
      <c r="MWZ55" s="69"/>
      <c r="MXA55" s="69"/>
      <c r="MXB55" s="69"/>
      <c r="MXC55" s="69"/>
      <c r="MXD55" s="69"/>
      <c r="MXE55" s="69"/>
      <c r="MXF55" s="69"/>
      <c r="MXG55" s="69"/>
      <c r="MXH55" s="69"/>
      <c r="MXI55" s="69"/>
      <c r="MXJ55" s="69"/>
      <c r="MXK55" s="69"/>
      <c r="MXL55" s="69"/>
      <c r="MXM55" s="69"/>
      <c r="MXN55" s="69"/>
      <c r="MXO55" s="69"/>
      <c r="MXP55" s="69"/>
      <c r="MXQ55" s="69"/>
      <c r="MXR55" s="69"/>
      <c r="MXS55" s="69"/>
      <c r="MXT55" s="69"/>
      <c r="MXU55" s="69"/>
      <c r="MXV55" s="69"/>
      <c r="MXW55" s="69"/>
      <c r="MXX55" s="69"/>
      <c r="MXY55" s="69"/>
      <c r="MXZ55" s="69"/>
      <c r="MYA55" s="69"/>
      <c r="MYB55" s="69"/>
      <c r="MYC55" s="69"/>
      <c r="MYD55" s="69"/>
      <c r="MYE55" s="69"/>
      <c r="MYF55" s="69"/>
      <c r="MYG55" s="69"/>
      <c r="MYH55" s="69"/>
      <c r="MYI55" s="69"/>
      <c r="MYJ55" s="69"/>
      <c r="MYK55" s="69"/>
      <c r="MYL55" s="69"/>
      <c r="MYM55" s="69"/>
      <c r="MYN55" s="69"/>
      <c r="MYO55" s="69"/>
      <c r="MYP55" s="69"/>
      <c r="MYQ55" s="69"/>
      <c r="MYR55" s="69"/>
      <c r="MYS55" s="69"/>
      <c r="MYT55" s="69"/>
      <c r="MYU55" s="69"/>
      <c r="MYV55" s="69"/>
      <c r="MYW55" s="69"/>
      <c r="MYX55" s="69"/>
      <c r="MYY55" s="69"/>
      <c r="MYZ55" s="69"/>
      <c r="MZA55" s="69"/>
      <c r="MZB55" s="69"/>
      <c r="MZC55" s="69"/>
      <c r="MZD55" s="69"/>
      <c r="MZE55" s="69"/>
      <c r="MZF55" s="69"/>
      <c r="MZG55" s="69"/>
      <c r="MZH55" s="69"/>
      <c r="MZI55" s="69"/>
      <c r="MZJ55" s="69"/>
      <c r="MZK55" s="69"/>
      <c r="MZL55" s="69"/>
      <c r="MZM55" s="69"/>
      <c r="MZN55" s="69"/>
      <c r="MZO55" s="69"/>
      <c r="MZP55" s="69"/>
      <c r="MZQ55" s="69"/>
      <c r="MZR55" s="69"/>
      <c r="MZS55" s="69"/>
      <c r="MZT55" s="69"/>
      <c r="MZU55" s="69"/>
      <c r="MZV55" s="69"/>
      <c r="MZW55" s="69"/>
      <c r="MZX55" s="69"/>
      <c r="MZY55" s="69"/>
      <c r="MZZ55" s="69"/>
      <c r="NAA55" s="69"/>
      <c r="NAB55" s="69"/>
      <c r="NAC55" s="69"/>
      <c r="NAD55" s="69"/>
      <c r="NAE55" s="69"/>
      <c r="NAF55" s="69"/>
      <c r="NAG55" s="69"/>
      <c r="NAH55" s="69"/>
      <c r="NAI55" s="69"/>
      <c r="NAJ55" s="69"/>
      <c r="NAK55" s="69"/>
      <c r="NAL55" s="69"/>
      <c r="NAM55" s="69"/>
      <c r="NAN55" s="69"/>
      <c r="NAO55" s="69"/>
      <c r="NAP55" s="69"/>
      <c r="NAQ55" s="69"/>
      <c r="NAR55" s="69"/>
      <c r="NAS55" s="69"/>
      <c r="NAT55" s="69"/>
      <c r="NAU55" s="69"/>
      <c r="NAV55" s="69"/>
      <c r="NAW55" s="69"/>
      <c r="NAX55" s="69"/>
      <c r="NAY55" s="69"/>
      <c r="NAZ55" s="69"/>
      <c r="NBA55" s="69"/>
      <c r="NBB55" s="69"/>
      <c r="NBC55" s="69"/>
      <c r="NBD55" s="69"/>
      <c r="NBE55" s="69"/>
      <c r="NBF55" s="69"/>
      <c r="NBG55" s="69"/>
      <c r="NBH55" s="69"/>
      <c r="NBI55" s="69"/>
      <c r="NBJ55" s="69"/>
      <c r="NBK55" s="69"/>
      <c r="NBL55" s="69"/>
      <c r="NBM55" s="69"/>
      <c r="NBN55" s="69"/>
      <c r="NBO55" s="69"/>
      <c r="NBP55" s="69"/>
      <c r="NBQ55" s="69"/>
      <c r="NBR55" s="69"/>
      <c r="NBS55" s="69"/>
      <c r="NBT55" s="69"/>
      <c r="NBU55" s="69"/>
      <c r="NBV55" s="69"/>
      <c r="NBW55" s="69"/>
      <c r="NBX55" s="69"/>
      <c r="NBY55" s="69"/>
      <c r="NBZ55" s="69"/>
      <c r="NCA55" s="69"/>
      <c r="NCB55" s="69"/>
      <c r="NCC55" s="69"/>
      <c r="NCD55" s="69"/>
      <c r="NCE55" s="69"/>
      <c r="NCF55" s="69"/>
      <c r="NCG55" s="69"/>
      <c r="NCH55" s="69"/>
      <c r="NCI55" s="69"/>
      <c r="NCJ55" s="69"/>
      <c r="NCK55" s="69"/>
      <c r="NCL55" s="69"/>
      <c r="NCM55" s="69"/>
      <c r="NCN55" s="69"/>
      <c r="NCO55" s="69"/>
      <c r="NCP55" s="69"/>
      <c r="NCQ55" s="69"/>
      <c r="NCR55" s="69"/>
      <c r="NCS55" s="69"/>
      <c r="NCT55" s="69"/>
      <c r="NCU55" s="69"/>
      <c r="NCV55" s="69"/>
      <c r="NCW55" s="69"/>
      <c r="NCX55" s="69"/>
      <c r="NCY55" s="69"/>
      <c r="NCZ55" s="69"/>
      <c r="NDA55" s="69"/>
      <c r="NDB55" s="69"/>
      <c r="NDC55" s="69"/>
      <c r="NDD55" s="69"/>
      <c r="NDE55" s="69"/>
      <c r="NDF55" s="69"/>
      <c r="NDG55" s="69"/>
      <c r="NDH55" s="69"/>
      <c r="NDI55" s="69"/>
      <c r="NDJ55" s="69"/>
      <c r="NDK55" s="69"/>
      <c r="NDL55" s="69"/>
      <c r="NDM55" s="69"/>
      <c r="NDN55" s="69"/>
      <c r="NDO55" s="69"/>
      <c r="NDP55" s="69"/>
      <c r="NDQ55" s="69"/>
      <c r="NDR55" s="69"/>
      <c r="NDS55" s="69"/>
      <c r="NDT55" s="69"/>
      <c r="NDU55" s="69"/>
      <c r="NDV55" s="69"/>
      <c r="NDW55" s="69"/>
      <c r="NDX55" s="69"/>
      <c r="NDY55" s="69"/>
      <c r="NDZ55" s="69"/>
      <c r="NEA55" s="69"/>
      <c r="NEB55" s="69"/>
      <c r="NEC55" s="69"/>
      <c r="NED55" s="69"/>
      <c r="NEE55" s="69"/>
      <c r="NEF55" s="69"/>
      <c r="NEG55" s="69"/>
      <c r="NEH55" s="69"/>
      <c r="NEI55" s="69"/>
      <c r="NEJ55" s="69"/>
      <c r="NEK55" s="69"/>
      <c r="NEL55" s="69"/>
      <c r="NEM55" s="69"/>
      <c r="NEN55" s="69"/>
      <c r="NEO55" s="69"/>
      <c r="NEP55" s="69"/>
      <c r="NEQ55" s="69"/>
      <c r="NER55" s="69"/>
      <c r="NES55" s="69"/>
      <c r="NET55" s="69"/>
      <c r="NEU55" s="69"/>
      <c r="NEV55" s="69"/>
      <c r="NEW55" s="69"/>
      <c r="NEX55" s="69"/>
      <c r="NEY55" s="69"/>
      <c r="NEZ55" s="69"/>
      <c r="NFA55" s="69"/>
      <c r="NFB55" s="69"/>
      <c r="NFC55" s="69"/>
      <c r="NFD55" s="69"/>
      <c r="NFE55" s="69"/>
      <c r="NFF55" s="69"/>
      <c r="NFG55" s="69"/>
      <c r="NFH55" s="69"/>
      <c r="NFI55" s="69"/>
      <c r="NFJ55" s="69"/>
      <c r="NFK55" s="69"/>
      <c r="NFL55" s="69"/>
      <c r="NFM55" s="69"/>
      <c r="NFN55" s="69"/>
      <c r="NFO55" s="69"/>
      <c r="NFP55" s="69"/>
      <c r="NFQ55" s="69"/>
      <c r="NFR55" s="69"/>
      <c r="NFS55" s="69"/>
      <c r="NFT55" s="69"/>
      <c r="NFU55" s="69"/>
      <c r="NFV55" s="69"/>
      <c r="NFW55" s="69"/>
      <c r="NFX55" s="69"/>
      <c r="NFY55" s="69"/>
      <c r="NFZ55" s="69"/>
      <c r="NGA55" s="69"/>
      <c r="NGB55" s="69"/>
      <c r="NGC55" s="69"/>
      <c r="NGD55" s="69"/>
      <c r="NGE55" s="69"/>
      <c r="NGF55" s="69"/>
      <c r="NGG55" s="69"/>
      <c r="NGH55" s="69"/>
      <c r="NGI55" s="69"/>
      <c r="NGJ55" s="69"/>
      <c r="NGK55" s="69"/>
      <c r="NGL55" s="69"/>
      <c r="NGM55" s="69"/>
      <c r="NGN55" s="69"/>
      <c r="NGO55" s="69"/>
      <c r="NGP55" s="69"/>
      <c r="NGQ55" s="69"/>
      <c r="NGR55" s="69"/>
      <c r="NGS55" s="69"/>
      <c r="NGT55" s="69"/>
      <c r="NGU55" s="69"/>
      <c r="NGV55" s="69"/>
      <c r="NGW55" s="69"/>
      <c r="NGX55" s="69"/>
      <c r="NGY55" s="69"/>
      <c r="NGZ55" s="69"/>
      <c r="NHA55" s="69"/>
      <c r="NHB55" s="69"/>
      <c r="NHC55" s="69"/>
      <c r="NHD55" s="69"/>
      <c r="NHE55" s="69"/>
      <c r="NHF55" s="69"/>
      <c r="NHG55" s="69"/>
      <c r="NHH55" s="69"/>
      <c r="NHI55" s="69"/>
      <c r="NHJ55" s="69"/>
      <c r="NHK55" s="69"/>
      <c r="NHL55" s="69"/>
      <c r="NHM55" s="69"/>
      <c r="NHN55" s="69"/>
      <c r="NHO55" s="69"/>
      <c r="NHP55" s="69"/>
      <c r="NHQ55" s="69"/>
      <c r="NHR55" s="69"/>
      <c r="NHS55" s="69"/>
      <c r="NHT55" s="69"/>
      <c r="NHU55" s="69"/>
      <c r="NHV55" s="69"/>
      <c r="NHW55" s="69"/>
      <c r="NHX55" s="69"/>
      <c r="NHY55" s="69"/>
      <c r="NHZ55" s="69"/>
      <c r="NIA55" s="69"/>
      <c r="NIB55" s="69"/>
      <c r="NIC55" s="69"/>
      <c r="NID55" s="69"/>
      <c r="NIE55" s="69"/>
      <c r="NIF55" s="69"/>
      <c r="NIG55" s="69"/>
      <c r="NIH55" s="69"/>
      <c r="NII55" s="69"/>
      <c r="NIJ55" s="69"/>
      <c r="NIK55" s="69"/>
      <c r="NIL55" s="69"/>
      <c r="NIM55" s="69"/>
      <c r="NIN55" s="69"/>
      <c r="NIO55" s="69"/>
      <c r="NIP55" s="69"/>
      <c r="NIQ55" s="69"/>
      <c r="NIR55" s="69"/>
      <c r="NIS55" s="69"/>
      <c r="NIT55" s="69"/>
      <c r="NIU55" s="69"/>
      <c r="NIV55" s="69"/>
      <c r="NIW55" s="69"/>
      <c r="NIX55" s="69"/>
      <c r="NIY55" s="69"/>
      <c r="NIZ55" s="69"/>
      <c r="NJA55" s="69"/>
      <c r="NJB55" s="69"/>
      <c r="NJC55" s="69"/>
      <c r="NJD55" s="69"/>
      <c r="NJE55" s="69"/>
      <c r="NJF55" s="69"/>
      <c r="NJG55" s="69"/>
      <c r="NJH55" s="69"/>
      <c r="NJI55" s="69"/>
      <c r="NJJ55" s="69"/>
      <c r="NJK55" s="69"/>
      <c r="NJL55" s="69"/>
      <c r="NJM55" s="69"/>
      <c r="NJN55" s="69"/>
      <c r="NJO55" s="69"/>
      <c r="NJP55" s="69"/>
      <c r="NJQ55" s="69"/>
      <c r="NJR55" s="69"/>
      <c r="NJS55" s="69"/>
      <c r="NJT55" s="69"/>
      <c r="NJU55" s="69"/>
      <c r="NJV55" s="69"/>
      <c r="NJW55" s="69"/>
      <c r="NJX55" s="69"/>
      <c r="NJY55" s="69"/>
      <c r="NJZ55" s="69"/>
      <c r="NKA55" s="69"/>
      <c r="NKB55" s="69"/>
      <c r="NKC55" s="69"/>
      <c r="NKD55" s="69"/>
      <c r="NKE55" s="69"/>
      <c r="NKF55" s="69"/>
      <c r="NKG55" s="69"/>
      <c r="NKH55" s="69"/>
      <c r="NKI55" s="69"/>
      <c r="NKJ55" s="69"/>
      <c r="NKK55" s="69"/>
      <c r="NKL55" s="69"/>
      <c r="NKM55" s="69"/>
      <c r="NKN55" s="69"/>
      <c r="NKO55" s="69"/>
      <c r="NKP55" s="69"/>
      <c r="NKQ55" s="69"/>
      <c r="NKR55" s="69"/>
      <c r="NKS55" s="69"/>
      <c r="NKT55" s="69"/>
      <c r="NKU55" s="69"/>
      <c r="NKV55" s="69"/>
      <c r="NKW55" s="69"/>
      <c r="NKX55" s="69"/>
      <c r="NKY55" s="69"/>
      <c r="NKZ55" s="69"/>
      <c r="NLA55" s="69"/>
      <c r="NLB55" s="69"/>
      <c r="NLC55" s="69"/>
      <c r="NLD55" s="69"/>
      <c r="NLE55" s="69"/>
      <c r="NLF55" s="69"/>
      <c r="NLG55" s="69"/>
      <c r="NLH55" s="69"/>
      <c r="NLI55" s="69"/>
      <c r="NLJ55" s="69"/>
      <c r="NLK55" s="69"/>
      <c r="NLL55" s="69"/>
      <c r="NLM55" s="69"/>
      <c r="NLN55" s="69"/>
      <c r="NLO55" s="69"/>
      <c r="NLP55" s="69"/>
      <c r="NLQ55" s="69"/>
      <c r="NLR55" s="69"/>
      <c r="NLS55" s="69"/>
      <c r="NLT55" s="69"/>
      <c r="NLU55" s="69"/>
      <c r="NLV55" s="69"/>
      <c r="NLW55" s="69"/>
      <c r="NLX55" s="69"/>
      <c r="NLY55" s="69"/>
      <c r="NLZ55" s="69"/>
      <c r="NMA55" s="69"/>
      <c r="NMB55" s="69"/>
      <c r="NMC55" s="69"/>
      <c r="NMD55" s="69"/>
      <c r="NME55" s="69"/>
      <c r="NMF55" s="69"/>
      <c r="NMG55" s="69"/>
      <c r="NMH55" s="69"/>
      <c r="NMI55" s="69"/>
      <c r="NMJ55" s="69"/>
      <c r="NMK55" s="69"/>
      <c r="NML55" s="69"/>
      <c r="NMM55" s="69"/>
      <c r="NMN55" s="69"/>
      <c r="NMO55" s="69"/>
      <c r="NMP55" s="69"/>
      <c r="NMQ55" s="69"/>
      <c r="NMR55" s="69"/>
      <c r="NMS55" s="69"/>
      <c r="NMT55" s="69"/>
      <c r="NMU55" s="69"/>
      <c r="NMV55" s="69"/>
      <c r="NMW55" s="69"/>
      <c r="NMX55" s="69"/>
      <c r="NMY55" s="69"/>
      <c r="NMZ55" s="69"/>
      <c r="NNA55" s="69"/>
      <c r="NNB55" s="69"/>
      <c r="NNC55" s="69"/>
      <c r="NND55" s="69"/>
      <c r="NNE55" s="69"/>
      <c r="NNF55" s="69"/>
      <c r="NNG55" s="69"/>
      <c r="NNH55" s="69"/>
      <c r="NNI55" s="69"/>
      <c r="NNJ55" s="69"/>
      <c r="NNK55" s="69"/>
      <c r="NNL55" s="69"/>
      <c r="NNM55" s="69"/>
      <c r="NNN55" s="69"/>
      <c r="NNO55" s="69"/>
      <c r="NNP55" s="69"/>
      <c r="NNQ55" s="69"/>
      <c r="NNR55" s="69"/>
      <c r="NNS55" s="69"/>
      <c r="NNT55" s="69"/>
      <c r="NNU55" s="69"/>
      <c r="NNV55" s="69"/>
      <c r="NNW55" s="69"/>
      <c r="NNX55" s="69"/>
      <c r="NNY55" s="69"/>
      <c r="NNZ55" s="69"/>
      <c r="NOA55" s="69"/>
      <c r="NOB55" s="69"/>
      <c r="NOC55" s="69"/>
      <c r="NOD55" s="69"/>
      <c r="NOE55" s="69"/>
      <c r="NOF55" s="69"/>
      <c r="NOG55" s="69"/>
      <c r="NOH55" s="69"/>
      <c r="NOI55" s="69"/>
      <c r="NOJ55" s="69"/>
      <c r="NOK55" s="69"/>
      <c r="NOL55" s="69"/>
      <c r="NOM55" s="69"/>
      <c r="NON55" s="69"/>
      <c r="NOO55" s="69"/>
      <c r="NOP55" s="69"/>
      <c r="NOQ55" s="69"/>
      <c r="NOR55" s="69"/>
      <c r="NOS55" s="69"/>
      <c r="NOT55" s="69"/>
      <c r="NOU55" s="69"/>
      <c r="NOV55" s="69"/>
      <c r="NOW55" s="69"/>
      <c r="NOX55" s="69"/>
      <c r="NOY55" s="69"/>
      <c r="NOZ55" s="69"/>
      <c r="NPA55" s="69"/>
      <c r="NPB55" s="69"/>
      <c r="NPC55" s="69"/>
      <c r="NPD55" s="69"/>
      <c r="NPE55" s="69"/>
      <c r="NPF55" s="69"/>
      <c r="NPG55" s="69"/>
      <c r="NPH55" s="69"/>
      <c r="NPI55" s="69"/>
      <c r="NPJ55" s="69"/>
      <c r="NPK55" s="69"/>
      <c r="NPL55" s="69"/>
      <c r="NPM55" s="69"/>
      <c r="NPN55" s="69"/>
      <c r="NPO55" s="69"/>
      <c r="NPP55" s="69"/>
      <c r="NPQ55" s="69"/>
      <c r="NPR55" s="69"/>
      <c r="NPS55" s="69"/>
      <c r="NPT55" s="69"/>
      <c r="NPU55" s="69"/>
      <c r="NPV55" s="69"/>
      <c r="NPW55" s="69"/>
      <c r="NPX55" s="69"/>
      <c r="NPY55" s="69"/>
      <c r="NPZ55" s="69"/>
      <c r="NQA55" s="69"/>
      <c r="NQB55" s="69"/>
      <c r="NQC55" s="69"/>
      <c r="NQD55" s="69"/>
      <c r="NQE55" s="69"/>
      <c r="NQF55" s="69"/>
      <c r="NQG55" s="69"/>
      <c r="NQH55" s="69"/>
      <c r="NQI55" s="69"/>
      <c r="NQJ55" s="69"/>
      <c r="NQK55" s="69"/>
      <c r="NQL55" s="69"/>
      <c r="NQM55" s="69"/>
      <c r="NQN55" s="69"/>
      <c r="NQO55" s="69"/>
      <c r="NQP55" s="69"/>
      <c r="NQQ55" s="69"/>
      <c r="NQR55" s="69"/>
      <c r="NQS55" s="69"/>
      <c r="NQT55" s="69"/>
      <c r="NQU55" s="69"/>
      <c r="NQV55" s="69"/>
      <c r="NQW55" s="69"/>
      <c r="NQX55" s="69"/>
      <c r="NQY55" s="69"/>
      <c r="NQZ55" s="69"/>
      <c r="NRA55" s="69"/>
      <c r="NRB55" s="69"/>
      <c r="NRC55" s="69"/>
      <c r="NRD55" s="69"/>
      <c r="NRE55" s="69"/>
      <c r="NRF55" s="69"/>
      <c r="NRG55" s="69"/>
      <c r="NRH55" s="69"/>
      <c r="NRI55" s="69"/>
      <c r="NRJ55" s="69"/>
      <c r="NRK55" s="69"/>
      <c r="NRL55" s="69"/>
      <c r="NRM55" s="69"/>
      <c r="NRN55" s="69"/>
      <c r="NRO55" s="69"/>
      <c r="NRP55" s="69"/>
      <c r="NRQ55" s="69"/>
      <c r="NRR55" s="69"/>
      <c r="NRS55" s="69"/>
      <c r="NRT55" s="69"/>
      <c r="NRU55" s="69"/>
      <c r="NRV55" s="69"/>
      <c r="NRW55" s="69"/>
      <c r="NRX55" s="69"/>
      <c r="NRY55" s="69"/>
      <c r="NRZ55" s="69"/>
      <c r="NSA55" s="69"/>
      <c r="NSB55" s="69"/>
      <c r="NSC55" s="69"/>
      <c r="NSD55" s="69"/>
      <c r="NSE55" s="69"/>
      <c r="NSF55" s="69"/>
      <c r="NSG55" s="69"/>
      <c r="NSH55" s="69"/>
      <c r="NSI55" s="69"/>
      <c r="NSJ55" s="69"/>
      <c r="NSK55" s="69"/>
      <c r="NSL55" s="69"/>
      <c r="NSM55" s="69"/>
      <c r="NSN55" s="69"/>
      <c r="NSO55" s="69"/>
      <c r="NSP55" s="69"/>
      <c r="NSQ55" s="69"/>
      <c r="NSR55" s="69"/>
      <c r="NSS55" s="69"/>
      <c r="NST55" s="69"/>
      <c r="NSU55" s="69"/>
      <c r="NSV55" s="69"/>
      <c r="NSW55" s="69"/>
      <c r="NSX55" s="69"/>
      <c r="NSY55" s="69"/>
      <c r="NSZ55" s="69"/>
      <c r="NTA55" s="69"/>
      <c r="NTB55" s="69"/>
      <c r="NTC55" s="69"/>
      <c r="NTD55" s="69"/>
      <c r="NTE55" s="69"/>
      <c r="NTF55" s="69"/>
      <c r="NTG55" s="69"/>
      <c r="NTH55" s="69"/>
      <c r="NTI55" s="69"/>
      <c r="NTJ55" s="69"/>
      <c r="NTK55" s="69"/>
      <c r="NTL55" s="69"/>
      <c r="NTM55" s="69"/>
      <c r="NTN55" s="69"/>
      <c r="NTO55" s="69"/>
      <c r="NTP55" s="69"/>
      <c r="NTQ55" s="69"/>
      <c r="NTR55" s="69"/>
      <c r="NTS55" s="69"/>
      <c r="NTT55" s="69"/>
      <c r="NTU55" s="69"/>
      <c r="NTV55" s="69"/>
      <c r="NTW55" s="69"/>
      <c r="NTX55" s="69"/>
      <c r="NTY55" s="69"/>
      <c r="NTZ55" s="69"/>
      <c r="NUA55" s="69"/>
      <c r="NUB55" s="69"/>
      <c r="NUC55" s="69"/>
      <c r="NUD55" s="69"/>
      <c r="NUE55" s="69"/>
      <c r="NUF55" s="69"/>
      <c r="NUG55" s="69"/>
      <c r="NUH55" s="69"/>
      <c r="NUI55" s="69"/>
      <c r="NUJ55" s="69"/>
      <c r="NUK55" s="69"/>
      <c r="NUL55" s="69"/>
      <c r="NUM55" s="69"/>
      <c r="NUN55" s="69"/>
      <c r="NUO55" s="69"/>
      <c r="NUP55" s="69"/>
      <c r="NUQ55" s="69"/>
      <c r="NUR55" s="69"/>
      <c r="NUS55" s="69"/>
      <c r="NUT55" s="69"/>
      <c r="NUU55" s="69"/>
      <c r="NUV55" s="69"/>
      <c r="NUW55" s="69"/>
      <c r="NUX55" s="69"/>
      <c r="NUY55" s="69"/>
      <c r="NUZ55" s="69"/>
      <c r="NVA55" s="69"/>
      <c r="NVB55" s="69"/>
      <c r="NVC55" s="69"/>
      <c r="NVD55" s="69"/>
      <c r="NVE55" s="69"/>
      <c r="NVF55" s="69"/>
      <c r="NVG55" s="69"/>
      <c r="NVH55" s="69"/>
      <c r="NVI55" s="69"/>
      <c r="NVJ55" s="69"/>
      <c r="NVK55" s="69"/>
      <c r="NVL55" s="69"/>
      <c r="NVM55" s="69"/>
      <c r="NVN55" s="69"/>
      <c r="NVO55" s="69"/>
      <c r="NVP55" s="69"/>
      <c r="NVQ55" s="69"/>
      <c r="NVR55" s="69"/>
      <c r="NVS55" s="69"/>
      <c r="NVT55" s="69"/>
      <c r="NVU55" s="69"/>
      <c r="NVV55" s="69"/>
      <c r="NVW55" s="69"/>
      <c r="NVX55" s="69"/>
      <c r="NVY55" s="69"/>
      <c r="NVZ55" s="69"/>
      <c r="NWA55" s="69"/>
      <c r="NWB55" s="69"/>
      <c r="NWC55" s="69"/>
      <c r="NWD55" s="69"/>
      <c r="NWE55" s="69"/>
      <c r="NWF55" s="69"/>
      <c r="NWG55" s="69"/>
      <c r="NWH55" s="69"/>
      <c r="NWI55" s="69"/>
      <c r="NWJ55" s="69"/>
      <c r="NWK55" s="69"/>
      <c r="NWL55" s="69"/>
      <c r="NWM55" s="69"/>
      <c r="NWN55" s="69"/>
      <c r="NWO55" s="69"/>
      <c r="NWP55" s="69"/>
      <c r="NWQ55" s="69"/>
      <c r="NWR55" s="69"/>
      <c r="NWS55" s="69"/>
      <c r="NWT55" s="69"/>
      <c r="NWU55" s="69"/>
      <c r="NWV55" s="69"/>
      <c r="NWW55" s="69"/>
      <c r="NWX55" s="69"/>
      <c r="NWY55" s="69"/>
      <c r="NWZ55" s="69"/>
      <c r="NXA55" s="69"/>
      <c r="NXB55" s="69"/>
      <c r="NXC55" s="69"/>
      <c r="NXD55" s="69"/>
      <c r="NXE55" s="69"/>
      <c r="NXF55" s="69"/>
      <c r="NXG55" s="69"/>
      <c r="NXH55" s="69"/>
      <c r="NXI55" s="69"/>
      <c r="NXJ55" s="69"/>
      <c r="NXK55" s="69"/>
      <c r="NXL55" s="69"/>
      <c r="NXM55" s="69"/>
      <c r="NXN55" s="69"/>
      <c r="NXO55" s="69"/>
      <c r="NXP55" s="69"/>
      <c r="NXQ55" s="69"/>
      <c r="NXR55" s="69"/>
      <c r="NXS55" s="69"/>
      <c r="NXT55" s="69"/>
      <c r="NXU55" s="69"/>
      <c r="NXV55" s="69"/>
      <c r="NXW55" s="69"/>
      <c r="NXX55" s="69"/>
      <c r="NXY55" s="69"/>
      <c r="NXZ55" s="69"/>
      <c r="NYA55" s="69"/>
      <c r="NYB55" s="69"/>
      <c r="NYC55" s="69"/>
      <c r="NYD55" s="69"/>
      <c r="NYE55" s="69"/>
      <c r="NYF55" s="69"/>
      <c r="NYG55" s="69"/>
      <c r="NYH55" s="69"/>
      <c r="NYI55" s="69"/>
      <c r="NYJ55" s="69"/>
      <c r="NYK55" s="69"/>
      <c r="NYL55" s="69"/>
      <c r="NYM55" s="69"/>
      <c r="NYN55" s="69"/>
      <c r="NYO55" s="69"/>
      <c r="NYP55" s="69"/>
      <c r="NYQ55" s="69"/>
      <c r="NYR55" s="69"/>
      <c r="NYS55" s="69"/>
      <c r="NYT55" s="69"/>
      <c r="NYU55" s="69"/>
      <c r="NYV55" s="69"/>
      <c r="NYW55" s="69"/>
      <c r="NYX55" s="69"/>
      <c r="NYY55" s="69"/>
      <c r="NYZ55" s="69"/>
      <c r="NZA55" s="69"/>
      <c r="NZB55" s="69"/>
      <c r="NZC55" s="69"/>
      <c r="NZD55" s="69"/>
      <c r="NZE55" s="69"/>
      <c r="NZF55" s="69"/>
      <c r="NZG55" s="69"/>
      <c r="NZH55" s="69"/>
      <c r="NZI55" s="69"/>
      <c r="NZJ55" s="69"/>
      <c r="NZK55" s="69"/>
      <c r="NZL55" s="69"/>
      <c r="NZM55" s="69"/>
      <c r="NZN55" s="69"/>
      <c r="NZO55" s="69"/>
      <c r="NZP55" s="69"/>
      <c r="NZQ55" s="69"/>
      <c r="NZR55" s="69"/>
      <c r="NZS55" s="69"/>
      <c r="NZT55" s="69"/>
      <c r="NZU55" s="69"/>
      <c r="NZV55" s="69"/>
      <c r="NZW55" s="69"/>
      <c r="NZX55" s="69"/>
      <c r="NZY55" s="69"/>
      <c r="NZZ55" s="69"/>
      <c r="OAA55" s="69"/>
      <c r="OAB55" s="69"/>
      <c r="OAC55" s="69"/>
      <c r="OAD55" s="69"/>
      <c r="OAE55" s="69"/>
      <c r="OAF55" s="69"/>
      <c r="OAG55" s="69"/>
      <c r="OAH55" s="69"/>
      <c r="OAI55" s="69"/>
      <c r="OAJ55" s="69"/>
      <c r="OAK55" s="69"/>
      <c r="OAL55" s="69"/>
      <c r="OAM55" s="69"/>
      <c r="OAN55" s="69"/>
      <c r="OAO55" s="69"/>
      <c r="OAP55" s="69"/>
      <c r="OAQ55" s="69"/>
      <c r="OAR55" s="69"/>
      <c r="OAS55" s="69"/>
      <c r="OAT55" s="69"/>
      <c r="OAU55" s="69"/>
      <c r="OAV55" s="69"/>
      <c r="OAW55" s="69"/>
      <c r="OAX55" s="69"/>
      <c r="OAY55" s="69"/>
      <c r="OAZ55" s="69"/>
      <c r="OBA55" s="69"/>
      <c r="OBB55" s="69"/>
      <c r="OBC55" s="69"/>
      <c r="OBD55" s="69"/>
      <c r="OBE55" s="69"/>
      <c r="OBF55" s="69"/>
      <c r="OBG55" s="69"/>
      <c r="OBH55" s="69"/>
      <c r="OBI55" s="69"/>
      <c r="OBJ55" s="69"/>
      <c r="OBK55" s="69"/>
      <c r="OBL55" s="69"/>
      <c r="OBM55" s="69"/>
      <c r="OBN55" s="69"/>
      <c r="OBO55" s="69"/>
      <c r="OBP55" s="69"/>
      <c r="OBQ55" s="69"/>
      <c r="OBR55" s="69"/>
      <c r="OBS55" s="69"/>
      <c r="OBT55" s="69"/>
      <c r="OBU55" s="69"/>
      <c r="OBV55" s="69"/>
      <c r="OBW55" s="69"/>
      <c r="OBX55" s="69"/>
      <c r="OBY55" s="69"/>
      <c r="OBZ55" s="69"/>
      <c r="OCA55" s="69"/>
      <c r="OCB55" s="69"/>
      <c r="OCC55" s="69"/>
      <c r="OCD55" s="69"/>
      <c r="OCE55" s="69"/>
      <c r="OCF55" s="69"/>
      <c r="OCG55" s="69"/>
      <c r="OCH55" s="69"/>
      <c r="OCI55" s="69"/>
      <c r="OCJ55" s="69"/>
      <c r="OCK55" s="69"/>
      <c r="OCL55" s="69"/>
      <c r="OCM55" s="69"/>
      <c r="OCN55" s="69"/>
      <c r="OCO55" s="69"/>
      <c r="OCP55" s="69"/>
      <c r="OCQ55" s="69"/>
      <c r="OCR55" s="69"/>
      <c r="OCS55" s="69"/>
      <c r="OCT55" s="69"/>
      <c r="OCU55" s="69"/>
      <c r="OCV55" s="69"/>
      <c r="OCW55" s="69"/>
      <c r="OCX55" s="69"/>
      <c r="OCY55" s="69"/>
      <c r="OCZ55" s="69"/>
      <c r="ODA55" s="69"/>
      <c r="ODB55" s="69"/>
      <c r="ODC55" s="69"/>
      <c r="ODD55" s="69"/>
      <c r="ODE55" s="69"/>
      <c r="ODF55" s="69"/>
      <c r="ODG55" s="69"/>
      <c r="ODH55" s="69"/>
      <c r="ODI55" s="69"/>
      <c r="ODJ55" s="69"/>
      <c r="ODK55" s="69"/>
      <c r="ODL55" s="69"/>
      <c r="ODM55" s="69"/>
      <c r="ODN55" s="69"/>
      <c r="ODO55" s="69"/>
      <c r="ODP55" s="69"/>
      <c r="ODQ55" s="69"/>
      <c r="ODR55" s="69"/>
      <c r="ODS55" s="69"/>
      <c r="ODT55" s="69"/>
      <c r="ODU55" s="69"/>
      <c r="ODV55" s="69"/>
      <c r="ODW55" s="69"/>
      <c r="ODX55" s="69"/>
      <c r="ODY55" s="69"/>
      <c r="ODZ55" s="69"/>
      <c r="OEA55" s="69"/>
      <c r="OEB55" s="69"/>
      <c r="OEC55" s="69"/>
      <c r="OED55" s="69"/>
      <c r="OEE55" s="69"/>
      <c r="OEF55" s="69"/>
      <c r="OEG55" s="69"/>
      <c r="OEH55" s="69"/>
      <c r="OEI55" s="69"/>
      <c r="OEJ55" s="69"/>
      <c r="OEK55" s="69"/>
      <c r="OEL55" s="69"/>
      <c r="OEM55" s="69"/>
      <c r="OEN55" s="69"/>
      <c r="OEO55" s="69"/>
      <c r="OEP55" s="69"/>
      <c r="OEQ55" s="69"/>
      <c r="OER55" s="69"/>
      <c r="OES55" s="69"/>
      <c r="OET55" s="69"/>
      <c r="OEU55" s="69"/>
      <c r="OEV55" s="69"/>
      <c r="OEW55" s="69"/>
      <c r="OEX55" s="69"/>
      <c r="OEY55" s="69"/>
      <c r="OEZ55" s="69"/>
      <c r="OFA55" s="69"/>
      <c r="OFB55" s="69"/>
      <c r="OFC55" s="69"/>
      <c r="OFD55" s="69"/>
      <c r="OFE55" s="69"/>
      <c r="OFF55" s="69"/>
      <c r="OFG55" s="69"/>
      <c r="OFH55" s="69"/>
      <c r="OFI55" s="69"/>
      <c r="OFJ55" s="69"/>
      <c r="OFK55" s="69"/>
      <c r="OFL55" s="69"/>
      <c r="OFM55" s="69"/>
      <c r="OFN55" s="69"/>
      <c r="OFO55" s="69"/>
      <c r="OFP55" s="69"/>
      <c r="OFQ55" s="69"/>
      <c r="OFR55" s="69"/>
      <c r="OFS55" s="69"/>
      <c r="OFT55" s="69"/>
      <c r="OFU55" s="69"/>
      <c r="OFV55" s="69"/>
      <c r="OFW55" s="69"/>
      <c r="OFX55" s="69"/>
      <c r="OFY55" s="69"/>
      <c r="OFZ55" s="69"/>
      <c r="OGA55" s="69"/>
      <c r="OGB55" s="69"/>
      <c r="OGC55" s="69"/>
      <c r="OGD55" s="69"/>
      <c r="OGE55" s="69"/>
      <c r="OGF55" s="69"/>
      <c r="OGG55" s="69"/>
      <c r="OGH55" s="69"/>
      <c r="OGI55" s="69"/>
      <c r="OGJ55" s="69"/>
      <c r="OGK55" s="69"/>
      <c r="OGL55" s="69"/>
      <c r="OGM55" s="69"/>
      <c r="OGN55" s="69"/>
      <c r="OGO55" s="69"/>
      <c r="OGP55" s="69"/>
      <c r="OGQ55" s="69"/>
      <c r="OGR55" s="69"/>
      <c r="OGS55" s="69"/>
      <c r="OGT55" s="69"/>
      <c r="OGU55" s="69"/>
      <c r="OGV55" s="69"/>
      <c r="OGW55" s="69"/>
      <c r="OGX55" s="69"/>
      <c r="OGY55" s="69"/>
      <c r="OGZ55" s="69"/>
      <c r="OHA55" s="69"/>
      <c r="OHB55" s="69"/>
      <c r="OHC55" s="69"/>
      <c r="OHD55" s="69"/>
      <c r="OHE55" s="69"/>
      <c r="OHF55" s="69"/>
      <c r="OHG55" s="69"/>
      <c r="OHH55" s="69"/>
      <c r="OHI55" s="69"/>
      <c r="OHJ55" s="69"/>
      <c r="OHK55" s="69"/>
      <c r="OHL55" s="69"/>
      <c r="OHM55" s="69"/>
      <c r="OHN55" s="69"/>
      <c r="OHO55" s="69"/>
      <c r="OHP55" s="69"/>
      <c r="OHQ55" s="69"/>
      <c r="OHR55" s="69"/>
      <c r="OHS55" s="69"/>
      <c r="OHT55" s="69"/>
      <c r="OHU55" s="69"/>
      <c r="OHV55" s="69"/>
      <c r="OHW55" s="69"/>
      <c r="OHX55" s="69"/>
      <c r="OHY55" s="69"/>
      <c r="OHZ55" s="69"/>
      <c r="OIA55" s="69"/>
      <c r="OIB55" s="69"/>
      <c r="OIC55" s="69"/>
      <c r="OID55" s="69"/>
      <c r="OIE55" s="69"/>
      <c r="OIF55" s="69"/>
      <c r="OIG55" s="69"/>
      <c r="OIH55" s="69"/>
      <c r="OII55" s="69"/>
      <c r="OIJ55" s="69"/>
      <c r="OIK55" s="69"/>
      <c r="OIL55" s="69"/>
      <c r="OIM55" s="69"/>
      <c r="OIN55" s="69"/>
      <c r="OIO55" s="69"/>
      <c r="OIP55" s="69"/>
      <c r="OIQ55" s="69"/>
      <c r="OIR55" s="69"/>
      <c r="OIS55" s="69"/>
      <c r="OIT55" s="69"/>
      <c r="OIU55" s="69"/>
      <c r="OIV55" s="69"/>
      <c r="OIW55" s="69"/>
      <c r="OIX55" s="69"/>
      <c r="OIY55" s="69"/>
      <c r="OIZ55" s="69"/>
      <c r="OJA55" s="69"/>
      <c r="OJB55" s="69"/>
      <c r="OJC55" s="69"/>
      <c r="OJD55" s="69"/>
      <c r="OJE55" s="69"/>
      <c r="OJF55" s="69"/>
      <c r="OJG55" s="69"/>
      <c r="OJH55" s="69"/>
      <c r="OJI55" s="69"/>
      <c r="OJJ55" s="69"/>
      <c r="OJK55" s="69"/>
      <c r="OJL55" s="69"/>
      <c r="OJM55" s="69"/>
      <c r="OJN55" s="69"/>
      <c r="OJO55" s="69"/>
      <c r="OJP55" s="69"/>
      <c r="OJQ55" s="69"/>
      <c r="OJR55" s="69"/>
      <c r="OJS55" s="69"/>
      <c r="OJT55" s="69"/>
      <c r="OJU55" s="69"/>
      <c r="OJV55" s="69"/>
      <c r="OJW55" s="69"/>
      <c r="OJX55" s="69"/>
      <c r="OJY55" s="69"/>
      <c r="OJZ55" s="69"/>
      <c r="OKA55" s="69"/>
      <c r="OKB55" s="69"/>
      <c r="OKC55" s="69"/>
      <c r="OKD55" s="69"/>
      <c r="OKE55" s="69"/>
      <c r="OKF55" s="69"/>
      <c r="OKG55" s="69"/>
      <c r="OKH55" s="69"/>
      <c r="OKI55" s="69"/>
      <c r="OKJ55" s="69"/>
      <c r="OKK55" s="69"/>
      <c r="OKL55" s="69"/>
      <c r="OKM55" s="69"/>
      <c r="OKN55" s="69"/>
      <c r="OKO55" s="69"/>
      <c r="OKP55" s="69"/>
      <c r="OKQ55" s="69"/>
      <c r="OKR55" s="69"/>
      <c r="OKS55" s="69"/>
      <c r="OKT55" s="69"/>
      <c r="OKU55" s="69"/>
      <c r="OKV55" s="69"/>
      <c r="OKW55" s="69"/>
      <c r="OKX55" s="69"/>
      <c r="OKY55" s="69"/>
      <c r="OKZ55" s="69"/>
      <c r="OLA55" s="69"/>
      <c r="OLB55" s="69"/>
      <c r="OLC55" s="69"/>
      <c r="OLD55" s="69"/>
      <c r="OLE55" s="69"/>
      <c r="OLF55" s="69"/>
      <c r="OLG55" s="69"/>
      <c r="OLH55" s="69"/>
      <c r="OLI55" s="69"/>
      <c r="OLJ55" s="69"/>
      <c r="OLK55" s="69"/>
      <c r="OLL55" s="69"/>
      <c r="OLM55" s="69"/>
      <c r="OLN55" s="69"/>
      <c r="OLO55" s="69"/>
      <c r="OLP55" s="69"/>
      <c r="OLQ55" s="69"/>
      <c r="OLR55" s="69"/>
      <c r="OLS55" s="69"/>
      <c r="OLT55" s="69"/>
      <c r="OLU55" s="69"/>
      <c r="OLV55" s="69"/>
      <c r="OLW55" s="69"/>
      <c r="OLX55" s="69"/>
      <c r="OLY55" s="69"/>
      <c r="OLZ55" s="69"/>
      <c r="OMA55" s="69"/>
      <c r="OMB55" s="69"/>
      <c r="OMC55" s="69"/>
      <c r="OMD55" s="69"/>
      <c r="OME55" s="69"/>
      <c r="OMF55" s="69"/>
      <c r="OMG55" s="69"/>
      <c r="OMH55" s="69"/>
      <c r="OMI55" s="69"/>
      <c r="OMJ55" s="69"/>
      <c r="OMK55" s="69"/>
      <c r="OML55" s="69"/>
      <c r="OMM55" s="69"/>
      <c r="OMN55" s="69"/>
      <c r="OMO55" s="69"/>
      <c r="OMP55" s="69"/>
      <c r="OMQ55" s="69"/>
      <c r="OMR55" s="69"/>
      <c r="OMS55" s="69"/>
      <c r="OMT55" s="69"/>
      <c r="OMU55" s="69"/>
      <c r="OMV55" s="69"/>
      <c r="OMW55" s="69"/>
      <c r="OMX55" s="69"/>
      <c r="OMY55" s="69"/>
      <c r="OMZ55" s="69"/>
      <c r="ONA55" s="69"/>
      <c r="ONB55" s="69"/>
      <c r="ONC55" s="69"/>
      <c r="OND55" s="69"/>
      <c r="ONE55" s="69"/>
      <c r="ONF55" s="69"/>
      <c r="ONG55" s="69"/>
      <c r="ONH55" s="69"/>
      <c r="ONI55" s="69"/>
      <c r="ONJ55" s="69"/>
      <c r="ONK55" s="69"/>
      <c r="ONL55" s="69"/>
      <c r="ONM55" s="69"/>
      <c r="ONN55" s="69"/>
      <c r="ONO55" s="69"/>
      <c r="ONP55" s="69"/>
      <c r="ONQ55" s="69"/>
      <c r="ONR55" s="69"/>
      <c r="ONS55" s="69"/>
      <c r="ONT55" s="69"/>
      <c r="ONU55" s="69"/>
      <c r="ONV55" s="69"/>
      <c r="ONW55" s="69"/>
      <c r="ONX55" s="69"/>
      <c r="ONY55" s="69"/>
      <c r="ONZ55" s="69"/>
      <c r="OOA55" s="69"/>
      <c r="OOB55" s="69"/>
      <c r="OOC55" s="69"/>
      <c r="OOD55" s="69"/>
      <c r="OOE55" s="69"/>
      <c r="OOF55" s="69"/>
      <c r="OOG55" s="69"/>
      <c r="OOH55" s="69"/>
      <c r="OOI55" s="69"/>
      <c r="OOJ55" s="69"/>
      <c r="OOK55" s="69"/>
      <c r="OOL55" s="69"/>
      <c r="OOM55" s="69"/>
      <c r="OON55" s="69"/>
      <c r="OOO55" s="69"/>
      <c r="OOP55" s="69"/>
      <c r="OOQ55" s="69"/>
      <c r="OOR55" s="69"/>
      <c r="OOS55" s="69"/>
      <c r="OOT55" s="69"/>
      <c r="OOU55" s="69"/>
      <c r="OOV55" s="69"/>
      <c r="OOW55" s="69"/>
      <c r="OOX55" s="69"/>
      <c r="OOY55" s="69"/>
      <c r="OOZ55" s="69"/>
      <c r="OPA55" s="69"/>
      <c r="OPB55" s="69"/>
      <c r="OPC55" s="69"/>
      <c r="OPD55" s="69"/>
      <c r="OPE55" s="69"/>
      <c r="OPF55" s="69"/>
      <c r="OPG55" s="69"/>
      <c r="OPH55" s="69"/>
      <c r="OPI55" s="69"/>
      <c r="OPJ55" s="69"/>
      <c r="OPK55" s="69"/>
      <c r="OPL55" s="69"/>
      <c r="OPM55" s="69"/>
      <c r="OPN55" s="69"/>
      <c r="OPO55" s="69"/>
      <c r="OPP55" s="69"/>
      <c r="OPQ55" s="69"/>
      <c r="OPR55" s="69"/>
      <c r="OPS55" s="69"/>
      <c r="OPT55" s="69"/>
      <c r="OPU55" s="69"/>
      <c r="OPV55" s="69"/>
      <c r="OPW55" s="69"/>
      <c r="OPX55" s="69"/>
      <c r="OPY55" s="69"/>
      <c r="OPZ55" s="69"/>
      <c r="OQA55" s="69"/>
      <c r="OQB55" s="69"/>
      <c r="OQC55" s="69"/>
      <c r="OQD55" s="69"/>
      <c r="OQE55" s="69"/>
      <c r="OQF55" s="69"/>
      <c r="OQG55" s="69"/>
      <c r="OQH55" s="69"/>
      <c r="OQI55" s="69"/>
      <c r="OQJ55" s="69"/>
      <c r="OQK55" s="69"/>
      <c r="OQL55" s="69"/>
      <c r="OQM55" s="69"/>
      <c r="OQN55" s="69"/>
      <c r="OQO55" s="69"/>
      <c r="OQP55" s="69"/>
      <c r="OQQ55" s="69"/>
      <c r="OQR55" s="69"/>
      <c r="OQS55" s="69"/>
      <c r="OQT55" s="69"/>
      <c r="OQU55" s="69"/>
      <c r="OQV55" s="69"/>
      <c r="OQW55" s="69"/>
      <c r="OQX55" s="69"/>
      <c r="OQY55" s="69"/>
      <c r="OQZ55" s="69"/>
      <c r="ORA55" s="69"/>
      <c r="ORB55" s="69"/>
      <c r="ORC55" s="69"/>
      <c r="ORD55" s="69"/>
      <c r="ORE55" s="69"/>
      <c r="ORF55" s="69"/>
      <c r="ORG55" s="69"/>
      <c r="ORH55" s="69"/>
      <c r="ORI55" s="69"/>
      <c r="ORJ55" s="69"/>
      <c r="ORK55" s="69"/>
      <c r="ORL55" s="69"/>
      <c r="ORM55" s="69"/>
      <c r="ORN55" s="69"/>
      <c r="ORO55" s="69"/>
      <c r="ORP55" s="69"/>
      <c r="ORQ55" s="69"/>
      <c r="ORR55" s="69"/>
      <c r="ORS55" s="69"/>
      <c r="ORT55" s="69"/>
      <c r="ORU55" s="69"/>
      <c r="ORV55" s="69"/>
      <c r="ORW55" s="69"/>
      <c r="ORX55" s="69"/>
      <c r="ORY55" s="69"/>
      <c r="ORZ55" s="69"/>
      <c r="OSA55" s="69"/>
      <c r="OSB55" s="69"/>
      <c r="OSC55" s="69"/>
      <c r="OSD55" s="69"/>
      <c r="OSE55" s="69"/>
      <c r="OSF55" s="69"/>
      <c r="OSG55" s="69"/>
      <c r="OSH55" s="69"/>
      <c r="OSI55" s="69"/>
      <c r="OSJ55" s="69"/>
      <c r="OSK55" s="69"/>
      <c r="OSL55" s="69"/>
      <c r="OSM55" s="69"/>
      <c r="OSN55" s="69"/>
      <c r="OSO55" s="69"/>
      <c r="OSP55" s="69"/>
      <c r="OSQ55" s="69"/>
      <c r="OSR55" s="69"/>
      <c r="OSS55" s="69"/>
      <c r="OST55" s="69"/>
      <c r="OSU55" s="69"/>
      <c r="OSV55" s="69"/>
      <c r="OSW55" s="69"/>
      <c r="OSX55" s="69"/>
      <c r="OSY55" s="69"/>
      <c r="OSZ55" s="69"/>
      <c r="OTA55" s="69"/>
      <c r="OTB55" s="69"/>
      <c r="OTC55" s="69"/>
      <c r="OTD55" s="69"/>
      <c r="OTE55" s="69"/>
      <c r="OTF55" s="69"/>
      <c r="OTG55" s="69"/>
      <c r="OTH55" s="69"/>
      <c r="OTI55" s="69"/>
      <c r="OTJ55" s="69"/>
      <c r="OTK55" s="69"/>
      <c r="OTL55" s="69"/>
      <c r="OTM55" s="69"/>
      <c r="OTN55" s="69"/>
      <c r="OTO55" s="69"/>
      <c r="OTP55" s="69"/>
      <c r="OTQ55" s="69"/>
      <c r="OTR55" s="69"/>
      <c r="OTS55" s="69"/>
      <c r="OTT55" s="69"/>
      <c r="OTU55" s="69"/>
      <c r="OTV55" s="69"/>
      <c r="OTW55" s="69"/>
      <c r="OTX55" s="69"/>
      <c r="OTY55" s="69"/>
      <c r="OTZ55" s="69"/>
      <c r="OUA55" s="69"/>
      <c r="OUB55" s="69"/>
      <c r="OUC55" s="69"/>
      <c r="OUD55" s="69"/>
      <c r="OUE55" s="69"/>
      <c r="OUF55" s="69"/>
      <c r="OUG55" s="69"/>
      <c r="OUH55" s="69"/>
      <c r="OUI55" s="69"/>
      <c r="OUJ55" s="69"/>
      <c r="OUK55" s="69"/>
      <c r="OUL55" s="69"/>
      <c r="OUM55" s="69"/>
      <c r="OUN55" s="69"/>
      <c r="OUO55" s="69"/>
      <c r="OUP55" s="69"/>
      <c r="OUQ55" s="69"/>
      <c r="OUR55" s="69"/>
      <c r="OUS55" s="69"/>
      <c r="OUT55" s="69"/>
      <c r="OUU55" s="69"/>
      <c r="OUV55" s="69"/>
      <c r="OUW55" s="69"/>
      <c r="OUX55" s="69"/>
      <c r="OUY55" s="69"/>
      <c r="OUZ55" s="69"/>
      <c r="OVA55" s="69"/>
      <c r="OVB55" s="69"/>
      <c r="OVC55" s="69"/>
      <c r="OVD55" s="69"/>
      <c r="OVE55" s="69"/>
      <c r="OVF55" s="69"/>
      <c r="OVG55" s="69"/>
      <c r="OVH55" s="69"/>
      <c r="OVI55" s="69"/>
      <c r="OVJ55" s="69"/>
      <c r="OVK55" s="69"/>
      <c r="OVL55" s="69"/>
      <c r="OVM55" s="69"/>
      <c r="OVN55" s="69"/>
      <c r="OVO55" s="69"/>
      <c r="OVP55" s="69"/>
      <c r="OVQ55" s="69"/>
      <c r="OVR55" s="69"/>
      <c r="OVS55" s="69"/>
      <c r="OVT55" s="69"/>
      <c r="OVU55" s="69"/>
      <c r="OVV55" s="69"/>
      <c r="OVW55" s="69"/>
      <c r="OVX55" s="69"/>
      <c r="OVY55" s="69"/>
      <c r="OVZ55" s="69"/>
      <c r="OWA55" s="69"/>
      <c r="OWB55" s="69"/>
      <c r="OWC55" s="69"/>
      <c r="OWD55" s="69"/>
      <c r="OWE55" s="69"/>
      <c r="OWF55" s="69"/>
      <c r="OWG55" s="69"/>
      <c r="OWH55" s="69"/>
      <c r="OWI55" s="69"/>
      <c r="OWJ55" s="69"/>
      <c r="OWK55" s="69"/>
      <c r="OWL55" s="69"/>
      <c r="OWM55" s="69"/>
      <c r="OWN55" s="69"/>
      <c r="OWO55" s="69"/>
      <c r="OWP55" s="69"/>
      <c r="OWQ55" s="69"/>
      <c r="OWR55" s="69"/>
      <c r="OWS55" s="69"/>
      <c r="OWT55" s="69"/>
      <c r="OWU55" s="69"/>
      <c r="OWV55" s="69"/>
      <c r="OWW55" s="69"/>
      <c r="OWX55" s="69"/>
      <c r="OWY55" s="69"/>
      <c r="OWZ55" s="69"/>
      <c r="OXA55" s="69"/>
      <c r="OXB55" s="69"/>
      <c r="OXC55" s="69"/>
      <c r="OXD55" s="69"/>
      <c r="OXE55" s="69"/>
      <c r="OXF55" s="69"/>
      <c r="OXG55" s="69"/>
      <c r="OXH55" s="69"/>
      <c r="OXI55" s="69"/>
      <c r="OXJ55" s="69"/>
      <c r="OXK55" s="69"/>
      <c r="OXL55" s="69"/>
      <c r="OXM55" s="69"/>
      <c r="OXN55" s="69"/>
      <c r="OXO55" s="69"/>
      <c r="OXP55" s="69"/>
      <c r="OXQ55" s="69"/>
      <c r="OXR55" s="69"/>
      <c r="OXS55" s="69"/>
      <c r="OXT55" s="69"/>
      <c r="OXU55" s="69"/>
      <c r="OXV55" s="69"/>
      <c r="OXW55" s="69"/>
      <c r="OXX55" s="69"/>
      <c r="OXY55" s="69"/>
      <c r="OXZ55" s="69"/>
      <c r="OYA55" s="69"/>
      <c r="OYB55" s="69"/>
      <c r="OYC55" s="69"/>
      <c r="OYD55" s="69"/>
      <c r="OYE55" s="69"/>
      <c r="OYF55" s="69"/>
      <c r="OYG55" s="69"/>
      <c r="OYH55" s="69"/>
      <c r="OYI55" s="69"/>
      <c r="OYJ55" s="69"/>
      <c r="OYK55" s="69"/>
      <c r="OYL55" s="69"/>
      <c r="OYM55" s="69"/>
      <c r="OYN55" s="69"/>
      <c r="OYO55" s="69"/>
      <c r="OYP55" s="69"/>
      <c r="OYQ55" s="69"/>
      <c r="OYR55" s="69"/>
      <c r="OYS55" s="69"/>
      <c r="OYT55" s="69"/>
      <c r="OYU55" s="69"/>
      <c r="OYV55" s="69"/>
      <c r="OYW55" s="69"/>
      <c r="OYX55" s="69"/>
      <c r="OYY55" s="69"/>
      <c r="OYZ55" s="69"/>
      <c r="OZA55" s="69"/>
      <c r="OZB55" s="69"/>
      <c r="OZC55" s="69"/>
      <c r="OZD55" s="69"/>
      <c r="OZE55" s="69"/>
      <c r="OZF55" s="69"/>
      <c r="OZG55" s="69"/>
      <c r="OZH55" s="69"/>
      <c r="OZI55" s="69"/>
      <c r="OZJ55" s="69"/>
      <c r="OZK55" s="69"/>
      <c r="OZL55" s="69"/>
      <c r="OZM55" s="69"/>
      <c r="OZN55" s="69"/>
      <c r="OZO55" s="69"/>
      <c r="OZP55" s="69"/>
      <c r="OZQ55" s="69"/>
      <c r="OZR55" s="69"/>
      <c r="OZS55" s="69"/>
      <c r="OZT55" s="69"/>
      <c r="OZU55" s="69"/>
      <c r="OZV55" s="69"/>
      <c r="OZW55" s="69"/>
      <c r="OZX55" s="69"/>
      <c r="OZY55" s="69"/>
      <c r="OZZ55" s="69"/>
      <c r="PAA55" s="69"/>
      <c r="PAB55" s="69"/>
      <c r="PAC55" s="69"/>
      <c r="PAD55" s="69"/>
      <c r="PAE55" s="69"/>
      <c r="PAF55" s="69"/>
      <c r="PAG55" s="69"/>
      <c r="PAH55" s="69"/>
      <c r="PAI55" s="69"/>
      <c r="PAJ55" s="69"/>
      <c r="PAK55" s="69"/>
      <c r="PAL55" s="69"/>
      <c r="PAM55" s="69"/>
      <c r="PAN55" s="69"/>
      <c r="PAO55" s="69"/>
      <c r="PAP55" s="69"/>
      <c r="PAQ55" s="69"/>
      <c r="PAR55" s="69"/>
      <c r="PAS55" s="69"/>
      <c r="PAT55" s="69"/>
      <c r="PAU55" s="69"/>
      <c r="PAV55" s="69"/>
      <c r="PAW55" s="69"/>
      <c r="PAX55" s="69"/>
      <c r="PAY55" s="69"/>
      <c r="PAZ55" s="69"/>
      <c r="PBA55" s="69"/>
      <c r="PBB55" s="69"/>
      <c r="PBC55" s="69"/>
      <c r="PBD55" s="69"/>
      <c r="PBE55" s="69"/>
      <c r="PBF55" s="69"/>
      <c r="PBG55" s="69"/>
      <c r="PBH55" s="69"/>
      <c r="PBI55" s="69"/>
      <c r="PBJ55" s="69"/>
      <c r="PBK55" s="69"/>
      <c r="PBL55" s="69"/>
      <c r="PBM55" s="69"/>
      <c r="PBN55" s="69"/>
      <c r="PBO55" s="69"/>
      <c r="PBP55" s="69"/>
      <c r="PBQ55" s="69"/>
      <c r="PBR55" s="69"/>
      <c r="PBS55" s="69"/>
      <c r="PBT55" s="69"/>
      <c r="PBU55" s="69"/>
      <c r="PBV55" s="69"/>
      <c r="PBW55" s="69"/>
      <c r="PBX55" s="69"/>
      <c r="PBY55" s="69"/>
      <c r="PBZ55" s="69"/>
      <c r="PCA55" s="69"/>
      <c r="PCB55" s="69"/>
      <c r="PCC55" s="69"/>
      <c r="PCD55" s="69"/>
      <c r="PCE55" s="69"/>
      <c r="PCF55" s="69"/>
      <c r="PCG55" s="69"/>
      <c r="PCH55" s="69"/>
      <c r="PCI55" s="69"/>
      <c r="PCJ55" s="69"/>
      <c r="PCK55" s="69"/>
      <c r="PCL55" s="69"/>
      <c r="PCM55" s="69"/>
      <c r="PCN55" s="69"/>
      <c r="PCO55" s="69"/>
      <c r="PCP55" s="69"/>
      <c r="PCQ55" s="69"/>
      <c r="PCR55" s="69"/>
      <c r="PCS55" s="69"/>
      <c r="PCT55" s="69"/>
      <c r="PCU55" s="69"/>
      <c r="PCV55" s="69"/>
      <c r="PCW55" s="69"/>
      <c r="PCX55" s="69"/>
      <c r="PCY55" s="69"/>
      <c r="PCZ55" s="69"/>
      <c r="PDA55" s="69"/>
      <c r="PDB55" s="69"/>
      <c r="PDC55" s="69"/>
      <c r="PDD55" s="69"/>
      <c r="PDE55" s="69"/>
      <c r="PDF55" s="69"/>
      <c r="PDG55" s="69"/>
      <c r="PDH55" s="69"/>
      <c r="PDI55" s="69"/>
      <c r="PDJ55" s="69"/>
      <c r="PDK55" s="69"/>
      <c r="PDL55" s="69"/>
      <c r="PDM55" s="69"/>
      <c r="PDN55" s="69"/>
      <c r="PDO55" s="69"/>
      <c r="PDP55" s="69"/>
      <c r="PDQ55" s="69"/>
      <c r="PDR55" s="69"/>
      <c r="PDS55" s="69"/>
      <c r="PDT55" s="69"/>
      <c r="PDU55" s="69"/>
      <c r="PDV55" s="69"/>
      <c r="PDW55" s="69"/>
      <c r="PDX55" s="69"/>
      <c r="PDY55" s="69"/>
      <c r="PDZ55" s="69"/>
      <c r="PEA55" s="69"/>
      <c r="PEB55" s="69"/>
      <c r="PEC55" s="69"/>
      <c r="PED55" s="69"/>
      <c r="PEE55" s="69"/>
      <c r="PEF55" s="69"/>
      <c r="PEG55" s="69"/>
      <c r="PEH55" s="69"/>
      <c r="PEI55" s="69"/>
      <c r="PEJ55" s="69"/>
      <c r="PEK55" s="69"/>
      <c r="PEL55" s="69"/>
      <c r="PEM55" s="69"/>
      <c r="PEN55" s="69"/>
      <c r="PEO55" s="69"/>
      <c r="PEP55" s="69"/>
      <c r="PEQ55" s="69"/>
      <c r="PER55" s="69"/>
      <c r="PES55" s="69"/>
      <c r="PET55" s="69"/>
      <c r="PEU55" s="69"/>
      <c r="PEV55" s="69"/>
      <c r="PEW55" s="69"/>
      <c r="PEX55" s="69"/>
      <c r="PEY55" s="69"/>
      <c r="PEZ55" s="69"/>
      <c r="PFA55" s="69"/>
      <c r="PFB55" s="69"/>
      <c r="PFC55" s="69"/>
      <c r="PFD55" s="69"/>
      <c r="PFE55" s="69"/>
      <c r="PFF55" s="69"/>
      <c r="PFG55" s="69"/>
      <c r="PFH55" s="69"/>
      <c r="PFI55" s="69"/>
      <c r="PFJ55" s="69"/>
      <c r="PFK55" s="69"/>
      <c r="PFL55" s="69"/>
      <c r="PFM55" s="69"/>
      <c r="PFN55" s="69"/>
      <c r="PFO55" s="69"/>
      <c r="PFP55" s="69"/>
      <c r="PFQ55" s="69"/>
      <c r="PFR55" s="69"/>
      <c r="PFS55" s="69"/>
      <c r="PFT55" s="69"/>
      <c r="PFU55" s="69"/>
      <c r="PFV55" s="69"/>
      <c r="PFW55" s="69"/>
      <c r="PFX55" s="69"/>
      <c r="PFY55" s="69"/>
      <c r="PFZ55" s="69"/>
      <c r="PGA55" s="69"/>
      <c r="PGB55" s="69"/>
      <c r="PGC55" s="69"/>
      <c r="PGD55" s="69"/>
      <c r="PGE55" s="69"/>
      <c r="PGF55" s="69"/>
      <c r="PGG55" s="69"/>
      <c r="PGH55" s="69"/>
      <c r="PGI55" s="69"/>
      <c r="PGJ55" s="69"/>
      <c r="PGK55" s="69"/>
      <c r="PGL55" s="69"/>
      <c r="PGM55" s="69"/>
      <c r="PGN55" s="69"/>
      <c r="PGO55" s="69"/>
      <c r="PGP55" s="69"/>
      <c r="PGQ55" s="69"/>
      <c r="PGR55" s="69"/>
      <c r="PGS55" s="69"/>
      <c r="PGT55" s="69"/>
      <c r="PGU55" s="69"/>
      <c r="PGV55" s="69"/>
      <c r="PGW55" s="69"/>
      <c r="PGX55" s="69"/>
      <c r="PGY55" s="69"/>
      <c r="PGZ55" s="69"/>
      <c r="PHA55" s="69"/>
      <c r="PHB55" s="69"/>
      <c r="PHC55" s="69"/>
      <c r="PHD55" s="69"/>
      <c r="PHE55" s="69"/>
      <c r="PHF55" s="69"/>
      <c r="PHG55" s="69"/>
      <c r="PHH55" s="69"/>
      <c r="PHI55" s="69"/>
      <c r="PHJ55" s="69"/>
      <c r="PHK55" s="69"/>
      <c r="PHL55" s="69"/>
      <c r="PHM55" s="69"/>
      <c r="PHN55" s="69"/>
      <c r="PHO55" s="69"/>
      <c r="PHP55" s="69"/>
      <c r="PHQ55" s="69"/>
      <c r="PHR55" s="69"/>
      <c r="PHS55" s="69"/>
      <c r="PHT55" s="69"/>
      <c r="PHU55" s="69"/>
      <c r="PHV55" s="69"/>
      <c r="PHW55" s="69"/>
      <c r="PHX55" s="69"/>
      <c r="PHY55" s="69"/>
      <c r="PHZ55" s="69"/>
      <c r="PIA55" s="69"/>
      <c r="PIB55" s="69"/>
      <c r="PIC55" s="69"/>
      <c r="PID55" s="69"/>
      <c r="PIE55" s="69"/>
      <c r="PIF55" s="69"/>
      <c r="PIG55" s="69"/>
      <c r="PIH55" s="69"/>
      <c r="PII55" s="69"/>
      <c r="PIJ55" s="69"/>
      <c r="PIK55" s="69"/>
      <c r="PIL55" s="69"/>
      <c r="PIM55" s="69"/>
      <c r="PIN55" s="69"/>
      <c r="PIO55" s="69"/>
      <c r="PIP55" s="69"/>
      <c r="PIQ55" s="69"/>
      <c r="PIR55" s="69"/>
      <c r="PIS55" s="69"/>
      <c r="PIT55" s="69"/>
      <c r="PIU55" s="69"/>
      <c r="PIV55" s="69"/>
      <c r="PIW55" s="69"/>
      <c r="PIX55" s="69"/>
      <c r="PIY55" s="69"/>
      <c r="PIZ55" s="69"/>
      <c r="PJA55" s="69"/>
      <c r="PJB55" s="69"/>
      <c r="PJC55" s="69"/>
      <c r="PJD55" s="69"/>
      <c r="PJE55" s="69"/>
      <c r="PJF55" s="69"/>
      <c r="PJG55" s="69"/>
      <c r="PJH55" s="69"/>
      <c r="PJI55" s="69"/>
      <c r="PJJ55" s="69"/>
      <c r="PJK55" s="69"/>
      <c r="PJL55" s="69"/>
      <c r="PJM55" s="69"/>
      <c r="PJN55" s="69"/>
      <c r="PJO55" s="69"/>
      <c r="PJP55" s="69"/>
      <c r="PJQ55" s="69"/>
      <c r="PJR55" s="69"/>
      <c r="PJS55" s="69"/>
      <c r="PJT55" s="69"/>
      <c r="PJU55" s="69"/>
      <c r="PJV55" s="69"/>
      <c r="PJW55" s="69"/>
      <c r="PJX55" s="69"/>
      <c r="PJY55" s="69"/>
      <c r="PJZ55" s="69"/>
      <c r="PKA55" s="69"/>
      <c r="PKB55" s="69"/>
      <c r="PKC55" s="69"/>
      <c r="PKD55" s="69"/>
      <c r="PKE55" s="69"/>
      <c r="PKF55" s="69"/>
      <c r="PKG55" s="69"/>
      <c r="PKH55" s="69"/>
      <c r="PKI55" s="69"/>
      <c r="PKJ55" s="69"/>
      <c r="PKK55" s="69"/>
      <c r="PKL55" s="69"/>
      <c r="PKM55" s="69"/>
      <c r="PKN55" s="69"/>
      <c r="PKO55" s="69"/>
      <c r="PKP55" s="69"/>
      <c r="PKQ55" s="69"/>
      <c r="PKR55" s="69"/>
      <c r="PKS55" s="69"/>
      <c r="PKT55" s="69"/>
      <c r="PKU55" s="69"/>
      <c r="PKV55" s="69"/>
      <c r="PKW55" s="69"/>
      <c r="PKX55" s="69"/>
      <c r="PKY55" s="69"/>
      <c r="PKZ55" s="69"/>
      <c r="PLA55" s="69"/>
      <c r="PLB55" s="69"/>
      <c r="PLC55" s="69"/>
      <c r="PLD55" s="69"/>
      <c r="PLE55" s="69"/>
      <c r="PLF55" s="69"/>
      <c r="PLG55" s="69"/>
      <c r="PLH55" s="69"/>
      <c r="PLI55" s="69"/>
      <c r="PLJ55" s="69"/>
      <c r="PLK55" s="69"/>
      <c r="PLL55" s="69"/>
      <c r="PLM55" s="69"/>
      <c r="PLN55" s="69"/>
      <c r="PLO55" s="69"/>
      <c r="PLP55" s="69"/>
      <c r="PLQ55" s="69"/>
      <c r="PLR55" s="69"/>
      <c r="PLS55" s="69"/>
      <c r="PLT55" s="69"/>
      <c r="PLU55" s="69"/>
      <c r="PLV55" s="69"/>
      <c r="PLW55" s="69"/>
      <c r="PLX55" s="69"/>
      <c r="PLY55" s="69"/>
      <c r="PLZ55" s="69"/>
      <c r="PMA55" s="69"/>
      <c r="PMB55" s="69"/>
      <c r="PMC55" s="69"/>
      <c r="PMD55" s="69"/>
      <c r="PME55" s="69"/>
      <c r="PMF55" s="69"/>
      <c r="PMG55" s="69"/>
      <c r="PMH55" s="69"/>
      <c r="PMI55" s="69"/>
      <c r="PMJ55" s="69"/>
      <c r="PMK55" s="69"/>
      <c r="PML55" s="69"/>
      <c r="PMM55" s="69"/>
      <c r="PMN55" s="69"/>
      <c r="PMO55" s="69"/>
      <c r="PMP55" s="69"/>
      <c r="PMQ55" s="69"/>
      <c r="PMR55" s="69"/>
      <c r="PMS55" s="69"/>
      <c r="PMT55" s="69"/>
      <c r="PMU55" s="69"/>
      <c r="PMV55" s="69"/>
      <c r="PMW55" s="69"/>
      <c r="PMX55" s="69"/>
      <c r="PMY55" s="69"/>
      <c r="PMZ55" s="69"/>
      <c r="PNA55" s="69"/>
      <c r="PNB55" s="69"/>
      <c r="PNC55" s="69"/>
      <c r="PND55" s="69"/>
      <c r="PNE55" s="69"/>
      <c r="PNF55" s="69"/>
      <c r="PNG55" s="69"/>
      <c r="PNH55" s="69"/>
      <c r="PNI55" s="69"/>
      <c r="PNJ55" s="69"/>
      <c r="PNK55" s="69"/>
      <c r="PNL55" s="69"/>
      <c r="PNM55" s="69"/>
      <c r="PNN55" s="69"/>
      <c r="PNO55" s="69"/>
      <c r="PNP55" s="69"/>
      <c r="PNQ55" s="69"/>
      <c r="PNR55" s="69"/>
      <c r="PNS55" s="69"/>
      <c r="PNT55" s="69"/>
      <c r="PNU55" s="69"/>
      <c r="PNV55" s="69"/>
      <c r="PNW55" s="69"/>
      <c r="PNX55" s="69"/>
      <c r="PNY55" s="69"/>
      <c r="PNZ55" s="69"/>
      <c r="POA55" s="69"/>
      <c r="POB55" s="69"/>
      <c r="POC55" s="69"/>
      <c r="POD55" s="69"/>
      <c r="POE55" s="69"/>
      <c r="POF55" s="69"/>
      <c r="POG55" s="69"/>
      <c r="POH55" s="69"/>
      <c r="POI55" s="69"/>
      <c r="POJ55" s="69"/>
      <c r="POK55" s="69"/>
      <c r="POL55" s="69"/>
      <c r="POM55" s="69"/>
      <c r="PON55" s="69"/>
      <c r="POO55" s="69"/>
      <c r="POP55" s="69"/>
      <c r="POQ55" s="69"/>
      <c r="POR55" s="69"/>
      <c r="POS55" s="69"/>
      <c r="POT55" s="69"/>
      <c r="POU55" s="69"/>
      <c r="POV55" s="69"/>
      <c r="POW55" s="69"/>
      <c r="POX55" s="69"/>
      <c r="POY55" s="69"/>
      <c r="POZ55" s="69"/>
      <c r="PPA55" s="69"/>
      <c r="PPB55" s="69"/>
      <c r="PPC55" s="69"/>
      <c r="PPD55" s="69"/>
      <c r="PPE55" s="69"/>
      <c r="PPF55" s="69"/>
      <c r="PPG55" s="69"/>
      <c r="PPH55" s="69"/>
      <c r="PPI55" s="69"/>
      <c r="PPJ55" s="69"/>
      <c r="PPK55" s="69"/>
      <c r="PPL55" s="69"/>
      <c r="PPM55" s="69"/>
      <c r="PPN55" s="69"/>
      <c r="PPO55" s="69"/>
      <c r="PPP55" s="69"/>
      <c r="PPQ55" s="69"/>
      <c r="PPR55" s="69"/>
      <c r="PPS55" s="69"/>
      <c r="PPT55" s="69"/>
      <c r="PPU55" s="69"/>
      <c r="PPV55" s="69"/>
      <c r="PPW55" s="69"/>
      <c r="PPX55" s="69"/>
      <c r="PPY55" s="69"/>
      <c r="PPZ55" s="69"/>
      <c r="PQA55" s="69"/>
      <c r="PQB55" s="69"/>
      <c r="PQC55" s="69"/>
      <c r="PQD55" s="69"/>
      <c r="PQE55" s="69"/>
      <c r="PQF55" s="69"/>
      <c r="PQG55" s="69"/>
      <c r="PQH55" s="69"/>
      <c r="PQI55" s="69"/>
      <c r="PQJ55" s="69"/>
      <c r="PQK55" s="69"/>
      <c r="PQL55" s="69"/>
      <c r="PQM55" s="69"/>
      <c r="PQN55" s="69"/>
      <c r="PQO55" s="69"/>
      <c r="PQP55" s="69"/>
      <c r="PQQ55" s="69"/>
      <c r="PQR55" s="69"/>
      <c r="PQS55" s="69"/>
      <c r="PQT55" s="69"/>
      <c r="PQU55" s="69"/>
      <c r="PQV55" s="69"/>
      <c r="PQW55" s="69"/>
      <c r="PQX55" s="69"/>
      <c r="PQY55" s="69"/>
      <c r="PQZ55" s="69"/>
      <c r="PRA55" s="69"/>
      <c r="PRB55" s="69"/>
      <c r="PRC55" s="69"/>
      <c r="PRD55" s="69"/>
      <c r="PRE55" s="69"/>
      <c r="PRF55" s="69"/>
      <c r="PRG55" s="69"/>
      <c r="PRH55" s="69"/>
      <c r="PRI55" s="69"/>
      <c r="PRJ55" s="69"/>
      <c r="PRK55" s="69"/>
      <c r="PRL55" s="69"/>
      <c r="PRM55" s="69"/>
      <c r="PRN55" s="69"/>
      <c r="PRO55" s="69"/>
      <c r="PRP55" s="69"/>
      <c r="PRQ55" s="69"/>
      <c r="PRR55" s="69"/>
      <c r="PRS55" s="69"/>
      <c r="PRT55" s="69"/>
      <c r="PRU55" s="69"/>
      <c r="PRV55" s="69"/>
      <c r="PRW55" s="69"/>
      <c r="PRX55" s="69"/>
      <c r="PRY55" s="69"/>
      <c r="PRZ55" s="69"/>
      <c r="PSA55" s="69"/>
      <c r="PSB55" s="69"/>
      <c r="PSC55" s="69"/>
      <c r="PSD55" s="69"/>
      <c r="PSE55" s="69"/>
      <c r="PSF55" s="69"/>
      <c r="PSG55" s="69"/>
      <c r="PSH55" s="69"/>
      <c r="PSI55" s="69"/>
      <c r="PSJ55" s="69"/>
      <c r="PSK55" s="69"/>
      <c r="PSL55" s="69"/>
      <c r="PSM55" s="69"/>
      <c r="PSN55" s="69"/>
      <c r="PSO55" s="69"/>
      <c r="PSP55" s="69"/>
      <c r="PSQ55" s="69"/>
      <c r="PSR55" s="69"/>
      <c r="PSS55" s="69"/>
      <c r="PST55" s="69"/>
      <c r="PSU55" s="69"/>
      <c r="PSV55" s="69"/>
      <c r="PSW55" s="69"/>
      <c r="PSX55" s="69"/>
      <c r="PSY55" s="69"/>
      <c r="PSZ55" s="69"/>
      <c r="PTA55" s="69"/>
      <c r="PTB55" s="69"/>
      <c r="PTC55" s="69"/>
      <c r="PTD55" s="69"/>
      <c r="PTE55" s="69"/>
      <c r="PTF55" s="69"/>
      <c r="PTG55" s="69"/>
      <c r="PTH55" s="69"/>
      <c r="PTI55" s="69"/>
      <c r="PTJ55" s="69"/>
      <c r="PTK55" s="69"/>
      <c r="PTL55" s="69"/>
      <c r="PTM55" s="69"/>
      <c r="PTN55" s="69"/>
      <c r="PTO55" s="69"/>
      <c r="PTP55" s="69"/>
      <c r="PTQ55" s="69"/>
      <c r="PTR55" s="69"/>
      <c r="PTS55" s="69"/>
      <c r="PTT55" s="69"/>
      <c r="PTU55" s="69"/>
      <c r="PTV55" s="69"/>
      <c r="PTW55" s="69"/>
      <c r="PTX55" s="69"/>
      <c r="PTY55" s="69"/>
      <c r="PTZ55" s="69"/>
      <c r="PUA55" s="69"/>
      <c r="PUB55" s="69"/>
      <c r="PUC55" s="69"/>
      <c r="PUD55" s="69"/>
      <c r="PUE55" s="69"/>
      <c r="PUF55" s="69"/>
      <c r="PUG55" s="69"/>
      <c r="PUH55" s="69"/>
      <c r="PUI55" s="69"/>
      <c r="PUJ55" s="69"/>
      <c r="PUK55" s="69"/>
      <c r="PUL55" s="69"/>
      <c r="PUM55" s="69"/>
      <c r="PUN55" s="69"/>
      <c r="PUO55" s="69"/>
      <c r="PUP55" s="69"/>
      <c r="PUQ55" s="69"/>
      <c r="PUR55" s="69"/>
      <c r="PUS55" s="69"/>
      <c r="PUT55" s="69"/>
      <c r="PUU55" s="69"/>
      <c r="PUV55" s="69"/>
      <c r="PUW55" s="69"/>
      <c r="PUX55" s="69"/>
      <c r="PUY55" s="69"/>
      <c r="PUZ55" s="69"/>
      <c r="PVA55" s="69"/>
      <c r="PVB55" s="69"/>
      <c r="PVC55" s="69"/>
      <c r="PVD55" s="69"/>
      <c r="PVE55" s="69"/>
      <c r="PVF55" s="69"/>
      <c r="PVG55" s="69"/>
      <c r="PVH55" s="69"/>
      <c r="PVI55" s="69"/>
      <c r="PVJ55" s="69"/>
      <c r="PVK55" s="69"/>
      <c r="PVL55" s="69"/>
      <c r="PVM55" s="69"/>
      <c r="PVN55" s="69"/>
      <c r="PVO55" s="69"/>
      <c r="PVP55" s="69"/>
      <c r="PVQ55" s="69"/>
      <c r="PVR55" s="69"/>
      <c r="PVS55" s="69"/>
      <c r="PVT55" s="69"/>
      <c r="PVU55" s="69"/>
      <c r="PVV55" s="69"/>
      <c r="PVW55" s="69"/>
      <c r="PVX55" s="69"/>
      <c r="PVY55" s="69"/>
      <c r="PVZ55" s="69"/>
      <c r="PWA55" s="69"/>
      <c r="PWB55" s="69"/>
      <c r="PWC55" s="69"/>
      <c r="PWD55" s="69"/>
      <c r="PWE55" s="69"/>
      <c r="PWF55" s="69"/>
      <c r="PWG55" s="69"/>
      <c r="PWH55" s="69"/>
      <c r="PWI55" s="69"/>
      <c r="PWJ55" s="69"/>
      <c r="PWK55" s="69"/>
      <c r="PWL55" s="69"/>
      <c r="PWM55" s="69"/>
      <c r="PWN55" s="69"/>
      <c r="PWO55" s="69"/>
      <c r="PWP55" s="69"/>
      <c r="PWQ55" s="69"/>
      <c r="PWR55" s="69"/>
      <c r="PWS55" s="69"/>
      <c r="PWT55" s="69"/>
      <c r="PWU55" s="69"/>
      <c r="PWV55" s="69"/>
      <c r="PWW55" s="69"/>
      <c r="PWX55" s="69"/>
      <c r="PWY55" s="69"/>
      <c r="PWZ55" s="69"/>
      <c r="PXA55" s="69"/>
      <c r="PXB55" s="69"/>
      <c r="PXC55" s="69"/>
      <c r="PXD55" s="69"/>
      <c r="PXE55" s="69"/>
      <c r="PXF55" s="69"/>
      <c r="PXG55" s="69"/>
      <c r="PXH55" s="69"/>
      <c r="PXI55" s="69"/>
      <c r="PXJ55" s="69"/>
      <c r="PXK55" s="69"/>
      <c r="PXL55" s="69"/>
      <c r="PXM55" s="69"/>
      <c r="PXN55" s="69"/>
      <c r="PXO55" s="69"/>
      <c r="PXP55" s="69"/>
      <c r="PXQ55" s="69"/>
      <c r="PXR55" s="69"/>
      <c r="PXS55" s="69"/>
      <c r="PXT55" s="69"/>
      <c r="PXU55" s="69"/>
      <c r="PXV55" s="69"/>
      <c r="PXW55" s="69"/>
      <c r="PXX55" s="69"/>
      <c r="PXY55" s="69"/>
      <c r="PXZ55" s="69"/>
      <c r="PYA55" s="69"/>
      <c r="PYB55" s="69"/>
      <c r="PYC55" s="69"/>
      <c r="PYD55" s="69"/>
      <c r="PYE55" s="69"/>
      <c r="PYF55" s="69"/>
      <c r="PYG55" s="69"/>
      <c r="PYH55" s="69"/>
      <c r="PYI55" s="69"/>
      <c r="PYJ55" s="69"/>
      <c r="PYK55" s="69"/>
      <c r="PYL55" s="69"/>
      <c r="PYM55" s="69"/>
      <c r="PYN55" s="69"/>
      <c r="PYO55" s="69"/>
      <c r="PYP55" s="69"/>
      <c r="PYQ55" s="69"/>
      <c r="PYR55" s="69"/>
      <c r="PYS55" s="69"/>
      <c r="PYT55" s="69"/>
      <c r="PYU55" s="69"/>
      <c r="PYV55" s="69"/>
      <c r="PYW55" s="69"/>
      <c r="PYX55" s="69"/>
      <c r="PYY55" s="69"/>
      <c r="PYZ55" s="69"/>
      <c r="PZA55" s="69"/>
      <c r="PZB55" s="69"/>
      <c r="PZC55" s="69"/>
      <c r="PZD55" s="69"/>
      <c r="PZE55" s="69"/>
      <c r="PZF55" s="69"/>
      <c r="PZG55" s="69"/>
      <c r="PZH55" s="69"/>
      <c r="PZI55" s="69"/>
      <c r="PZJ55" s="69"/>
      <c r="PZK55" s="69"/>
      <c r="PZL55" s="69"/>
      <c r="PZM55" s="69"/>
      <c r="PZN55" s="69"/>
      <c r="PZO55" s="69"/>
      <c r="PZP55" s="69"/>
      <c r="PZQ55" s="69"/>
      <c r="PZR55" s="69"/>
      <c r="PZS55" s="69"/>
      <c r="PZT55" s="69"/>
      <c r="PZU55" s="69"/>
      <c r="PZV55" s="69"/>
      <c r="PZW55" s="69"/>
      <c r="PZX55" s="69"/>
      <c r="PZY55" s="69"/>
      <c r="PZZ55" s="69"/>
      <c r="QAA55" s="69"/>
      <c r="QAB55" s="69"/>
      <c r="QAC55" s="69"/>
      <c r="QAD55" s="69"/>
      <c r="QAE55" s="69"/>
      <c r="QAF55" s="69"/>
      <c r="QAG55" s="69"/>
      <c r="QAH55" s="69"/>
      <c r="QAI55" s="69"/>
      <c r="QAJ55" s="69"/>
      <c r="QAK55" s="69"/>
      <c r="QAL55" s="69"/>
      <c r="QAM55" s="69"/>
      <c r="QAN55" s="69"/>
      <c r="QAO55" s="69"/>
      <c r="QAP55" s="69"/>
      <c r="QAQ55" s="69"/>
      <c r="QAR55" s="69"/>
      <c r="QAS55" s="69"/>
      <c r="QAT55" s="69"/>
      <c r="QAU55" s="69"/>
      <c r="QAV55" s="69"/>
      <c r="QAW55" s="69"/>
      <c r="QAX55" s="69"/>
      <c r="QAY55" s="69"/>
      <c r="QAZ55" s="69"/>
      <c r="QBA55" s="69"/>
      <c r="QBB55" s="69"/>
      <c r="QBC55" s="69"/>
      <c r="QBD55" s="69"/>
      <c r="QBE55" s="69"/>
      <c r="QBF55" s="69"/>
      <c r="QBG55" s="69"/>
      <c r="QBH55" s="69"/>
      <c r="QBI55" s="69"/>
      <c r="QBJ55" s="69"/>
      <c r="QBK55" s="69"/>
      <c r="QBL55" s="69"/>
      <c r="QBM55" s="69"/>
      <c r="QBN55" s="69"/>
      <c r="QBO55" s="69"/>
      <c r="QBP55" s="69"/>
      <c r="QBQ55" s="69"/>
      <c r="QBR55" s="69"/>
      <c r="QBS55" s="69"/>
      <c r="QBT55" s="69"/>
      <c r="QBU55" s="69"/>
      <c r="QBV55" s="69"/>
      <c r="QBW55" s="69"/>
      <c r="QBX55" s="69"/>
      <c r="QBY55" s="69"/>
      <c r="QBZ55" s="69"/>
      <c r="QCA55" s="69"/>
      <c r="QCB55" s="69"/>
      <c r="QCC55" s="69"/>
      <c r="QCD55" s="69"/>
      <c r="QCE55" s="69"/>
      <c r="QCF55" s="69"/>
      <c r="QCG55" s="69"/>
      <c r="QCH55" s="69"/>
      <c r="QCI55" s="69"/>
      <c r="QCJ55" s="69"/>
      <c r="QCK55" s="69"/>
      <c r="QCL55" s="69"/>
      <c r="QCM55" s="69"/>
      <c r="QCN55" s="69"/>
      <c r="QCO55" s="69"/>
      <c r="QCP55" s="69"/>
      <c r="QCQ55" s="69"/>
      <c r="QCR55" s="69"/>
      <c r="QCS55" s="69"/>
      <c r="QCT55" s="69"/>
      <c r="QCU55" s="69"/>
      <c r="QCV55" s="69"/>
      <c r="QCW55" s="69"/>
      <c r="QCX55" s="69"/>
      <c r="QCY55" s="69"/>
      <c r="QCZ55" s="69"/>
      <c r="QDA55" s="69"/>
      <c r="QDB55" s="69"/>
      <c r="QDC55" s="69"/>
      <c r="QDD55" s="69"/>
      <c r="QDE55" s="69"/>
      <c r="QDF55" s="69"/>
      <c r="QDG55" s="69"/>
      <c r="QDH55" s="69"/>
      <c r="QDI55" s="69"/>
      <c r="QDJ55" s="69"/>
      <c r="QDK55" s="69"/>
      <c r="QDL55" s="69"/>
      <c r="QDM55" s="69"/>
      <c r="QDN55" s="69"/>
      <c r="QDO55" s="69"/>
      <c r="QDP55" s="69"/>
      <c r="QDQ55" s="69"/>
      <c r="QDR55" s="69"/>
      <c r="QDS55" s="69"/>
      <c r="QDT55" s="69"/>
      <c r="QDU55" s="69"/>
      <c r="QDV55" s="69"/>
      <c r="QDW55" s="69"/>
      <c r="QDX55" s="69"/>
      <c r="QDY55" s="69"/>
      <c r="QDZ55" s="69"/>
      <c r="QEA55" s="69"/>
      <c r="QEB55" s="69"/>
      <c r="QEC55" s="69"/>
      <c r="QED55" s="69"/>
      <c r="QEE55" s="69"/>
      <c r="QEF55" s="69"/>
      <c r="QEG55" s="69"/>
      <c r="QEH55" s="69"/>
      <c r="QEI55" s="69"/>
      <c r="QEJ55" s="69"/>
      <c r="QEK55" s="69"/>
      <c r="QEL55" s="69"/>
      <c r="QEM55" s="69"/>
      <c r="QEN55" s="69"/>
      <c r="QEO55" s="69"/>
      <c r="QEP55" s="69"/>
      <c r="QEQ55" s="69"/>
      <c r="QER55" s="69"/>
      <c r="QES55" s="69"/>
      <c r="QET55" s="69"/>
      <c r="QEU55" s="69"/>
      <c r="QEV55" s="69"/>
      <c r="QEW55" s="69"/>
      <c r="QEX55" s="69"/>
      <c r="QEY55" s="69"/>
      <c r="QEZ55" s="69"/>
      <c r="QFA55" s="69"/>
      <c r="QFB55" s="69"/>
      <c r="QFC55" s="69"/>
      <c r="QFD55" s="69"/>
      <c r="QFE55" s="69"/>
      <c r="QFF55" s="69"/>
      <c r="QFG55" s="69"/>
      <c r="QFH55" s="69"/>
      <c r="QFI55" s="69"/>
      <c r="QFJ55" s="69"/>
      <c r="QFK55" s="69"/>
      <c r="QFL55" s="69"/>
      <c r="QFM55" s="69"/>
      <c r="QFN55" s="69"/>
      <c r="QFO55" s="69"/>
      <c r="QFP55" s="69"/>
      <c r="QFQ55" s="69"/>
      <c r="QFR55" s="69"/>
      <c r="QFS55" s="69"/>
      <c r="QFT55" s="69"/>
      <c r="QFU55" s="69"/>
      <c r="QFV55" s="69"/>
      <c r="QFW55" s="69"/>
      <c r="QFX55" s="69"/>
      <c r="QFY55" s="69"/>
      <c r="QFZ55" s="69"/>
      <c r="QGA55" s="69"/>
      <c r="QGB55" s="69"/>
      <c r="QGC55" s="69"/>
      <c r="QGD55" s="69"/>
      <c r="QGE55" s="69"/>
      <c r="QGF55" s="69"/>
      <c r="QGG55" s="69"/>
      <c r="QGH55" s="69"/>
      <c r="QGI55" s="69"/>
      <c r="QGJ55" s="69"/>
      <c r="QGK55" s="69"/>
      <c r="QGL55" s="69"/>
      <c r="QGM55" s="69"/>
      <c r="QGN55" s="69"/>
      <c r="QGO55" s="69"/>
      <c r="QGP55" s="69"/>
      <c r="QGQ55" s="69"/>
      <c r="QGR55" s="69"/>
      <c r="QGS55" s="69"/>
      <c r="QGT55" s="69"/>
      <c r="QGU55" s="69"/>
      <c r="QGV55" s="69"/>
      <c r="QGW55" s="69"/>
      <c r="QGX55" s="69"/>
      <c r="QGY55" s="69"/>
      <c r="QGZ55" s="69"/>
      <c r="QHA55" s="69"/>
      <c r="QHB55" s="69"/>
      <c r="QHC55" s="69"/>
      <c r="QHD55" s="69"/>
      <c r="QHE55" s="69"/>
      <c r="QHF55" s="69"/>
      <c r="QHG55" s="69"/>
      <c r="QHH55" s="69"/>
      <c r="QHI55" s="69"/>
      <c r="QHJ55" s="69"/>
      <c r="QHK55" s="69"/>
      <c r="QHL55" s="69"/>
      <c r="QHM55" s="69"/>
      <c r="QHN55" s="69"/>
      <c r="QHO55" s="69"/>
      <c r="QHP55" s="69"/>
      <c r="QHQ55" s="69"/>
      <c r="QHR55" s="69"/>
      <c r="QHS55" s="69"/>
      <c r="QHT55" s="69"/>
      <c r="QHU55" s="69"/>
      <c r="QHV55" s="69"/>
      <c r="QHW55" s="69"/>
      <c r="QHX55" s="69"/>
      <c r="QHY55" s="69"/>
      <c r="QHZ55" s="69"/>
      <c r="QIA55" s="69"/>
      <c r="QIB55" s="69"/>
      <c r="QIC55" s="69"/>
      <c r="QID55" s="69"/>
      <c r="QIE55" s="69"/>
      <c r="QIF55" s="69"/>
      <c r="QIG55" s="69"/>
      <c r="QIH55" s="69"/>
      <c r="QII55" s="69"/>
      <c r="QIJ55" s="69"/>
      <c r="QIK55" s="69"/>
      <c r="QIL55" s="69"/>
      <c r="QIM55" s="69"/>
      <c r="QIN55" s="69"/>
      <c r="QIO55" s="69"/>
      <c r="QIP55" s="69"/>
      <c r="QIQ55" s="69"/>
      <c r="QIR55" s="69"/>
      <c r="QIS55" s="69"/>
      <c r="QIT55" s="69"/>
      <c r="QIU55" s="69"/>
      <c r="QIV55" s="69"/>
      <c r="QIW55" s="69"/>
      <c r="QIX55" s="69"/>
      <c r="QIY55" s="69"/>
      <c r="QIZ55" s="69"/>
      <c r="QJA55" s="69"/>
      <c r="QJB55" s="69"/>
      <c r="QJC55" s="69"/>
      <c r="QJD55" s="69"/>
      <c r="QJE55" s="69"/>
      <c r="QJF55" s="69"/>
      <c r="QJG55" s="69"/>
      <c r="QJH55" s="69"/>
      <c r="QJI55" s="69"/>
      <c r="QJJ55" s="69"/>
      <c r="QJK55" s="69"/>
      <c r="QJL55" s="69"/>
      <c r="QJM55" s="69"/>
      <c r="QJN55" s="69"/>
      <c r="QJO55" s="69"/>
      <c r="QJP55" s="69"/>
      <c r="QJQ55" s="69"/>
      <c r="QJR55" s="69"/>
      <c r="QJS55" s="69"/>
      <c r="QJT55" s="69"/>
      <c r="QJU55" s="69"/>
      <c r="QJV55" s="69"/>
      <c r="QJW55" s="69"/>
      <c r="QJX55" s="69"/>
      <c r="QJY55" s="69"/>
      <c r="QJZ55" s="69"/>
      <c r="QKA55" s="69"/>
      <c r="QKB55" s="69"/>
      <c r="QKC55" s="69"/>
      <c r="QKD55" s="69"/>
      <c r="QKE55" s="69"/>
      <c r="QKF55" s="69"/>
      <c r="QKG55" s="69"/>
      <c r="QKH55" s="69"/>
      <c r="QKI55" s="69"/>
      <c r="QKJ55" s="69"/>
      <c r="QKK55" s="69"/>
      <c r="QKL55" s="69"/>
      <c r="QKM55" s="69"/>
      <c r="QKN55" s="69"/>
      <c r="QKO55" s="69"/>
      <c r="QKP55" s="69"/>
      <c r="QKQ55" s="69"/>
      <c r="QKR55" s="69"/>
      <c r="QKS55" s="69"/>
      <c r="QKT55" s="69"/>
      <c r="QKU55" s="69"/>
      <c r="QKV55" s="69"/>
      <c r="QKW55" s="69"/>
      <c r="QKX55" s="69"/>
      <c r="QKY55" s="69"/>
      <c r="QKZ55" s="69"/>
      <c r="QLA55" s="69"/>
      <c r="QLB55" s="69"/>
      <c r="QLC55" s="69"/>
      <c r="QLD55" s="69"/>
      <c r="QLE55" s="69"/>
      <c r="QLF55" s="69"/>
      <c r="QLG55" s="69"/>
      <c r="QLH55" s="69"/>
      <c r="QLI55" s="69"/>
      <c r="QLJ55" s="69"/>
      <c r="QLK55" s="69"/>
      <c r="QLL55" s="69"/>
      <c r="QLM55" s="69"/>
      <c r="QLN55" s="69"/>
      <c r="QLO55" s="69"/>
      <c r="QLP55" s="69"/>
      <c r="QLQ55" s="69"/>
      <c r="QLR55" s="69"/>
      <c r="QLS55" s="69"/>
      <c r="QLT55" s="69"/>
      <c r="QLU55" s="69"/>
      <c r="QLV55" s="69"/>
      <c r="QLW55" s="69"/>
      <c r="QLX55" s="69"/>
      <c r="QLY55" s="69"/>
      <c r="QLZ55" s="69"/>
      <c r="QMA55" s="69"/>
      <c r="QMB55" s="69"/>
      <c r="QMC55" s="69"/>
      <c r="QMD55" s="69"/>
      <c r="QME55" s="69"/>
      <c r="QMF55" s="69"/>
      <c r="QMG55" s="69"/>
      <c r="QMH55" s="69"/>
      <c r="QMI55" s="69"/>
      <c r="QMJ55" s="69"/>
      <c r="QMK55" s="69"/>
      <c r="QML55" s="69"/>
      <c r="QMM55" s="69"/>
      <c r="QMN55" s="69"/>
      <c r="QMO55" s="69"/>
      <c r="QMP55" s="69"/>
      <c r="QMQ55" s="69"/>
      <c r="QMR55" s="69"/>
      <c r="QMS55" s="69"/>
      <c r="QMT55" s="69"/>
      <c r="QMU55" s="69"/>
      <c r="QMV55" s="69"/>
      <c r="QMW55" s="69"/>
      <c r="QMX55" s="69"/>
      <c r="QMY55" s="69"/>
      <c r="QMZ55" s="69"/>
      <c r="QNA55" s="69"/>
      <c r="QNB55" s="69"/>
      <c r="QNC55" s="69"/>
      <c r="QND55" s="69"/>
      <c r="QNE55" s="69"/>
      <c r="QNF55" s="69"/>
      <c r="QNG55" s="69"/>
      <c r="QNH55" s="69"/>
      <c r="QNI55" s="69"/>
      <c r="QNJ55" s="69"/>
      <c r="QNK55" s="69"/>
      <c r="QNL55" s="69"/>
      <c r="QNM55" s="69"/>
      <c r="QNN55" s="69"/>
      <c r="QNO55" s="69"/>
      <c r="QNP55" s="69"/>
      <c r="QNQ55" s="69"/>
      <c r="QNR55" s="69"/>
      <c r="QNS55" s="69"/>
      <c r="QNT55" s="69"/>
      <c r="QNU55" s="69"/>
      <c r="QNV55" s="69"/>
      <c r="QNW55" s="69"/>
      <c r="QNX55" s="69"/>
      <c r="QNY55" s="69"/>
      <c r="QNZ55" s="69"/>
      <c r="QOA55" s="69"/>
      <c r="QOB55" s="69"/>
      <c r="QOC55" s="69"/>
      <c r="QOD55" s="69"/>
      <c r="QOE55" s="69"/>
      <c r="QOF55" s="69"/>
      <c r="QOG55" s="69"/>
      <c r="QOH55" s="69"/>
      <c r="QOI55" s="69"/>
      <c r="QOJ55" s="69"/>
      <c r="QOK55" s="69"/>
      <c r="QOL55" s="69"/>
      <c r="QOM55" s="69"/>
      <c r="QON55" s="69"/>
      <c r="QOO55" s="69"/>
      <c r="QOP55" s="69"/>
      <c r="QOQ55" s="69"/>
      <c r="QOR55" s="69"/>
      <c r="QOS55" s="69"/>
      <c r="QOT55" s="69"/>
      <c r="QOU55" s="69"/>
      <c r="QOV55" s="69"/>
      <c r="QOW55" s="69"/>
      <c r="QOX55" s="69"/>
      <c r="QOY55" s="69"/>
      <c r="QOZ55" s="69"/>
      <c r="QPA55" s="69"/>
      <c r="QPB55" s="69"/>
      <c r="QPC55" s="69"/>
      <c r="QPD55" s="69"/>
      <c r="QPE55" s="69"/>
      <c r="QPF55" s="69"/>
      <c r="QPG55" s="69"/>
      <c r="QPH55" s="69"/>
      <c r="QPI55" s="69"/>
      <c r="QPJ55" s="69"/>
      <c r="QPK55" s="69"/>
      <c r="QPL55" s="69"/>
      <c r="QPM55" s="69"/>
      <c r="QPN55" s="69"/>
      <c r="QPO55" s="69"/>
      <c r="QPP55" s="69"/>
      <c r="QPQ55" s="69"/>
      <c r="QPR55" s="69"/>
      <c r="QPS55" s="69"/>
      <c r="QPT55" s="69"/>
      <c r="QPU55" s="69"/>
      <c r="QPV55" s="69"/>
      <c r="QPW55" s="69"/>
      <c r="QPX55" s="69"/>
      <c r="QPY55" s="69"/>
      <c r="QPZ55" s="69"/>
      <c r="QQA55" s="69"/>
      <c r="QQB55" s="69"/>
      <c r="QQC55" s="69"/>
      <c r="QQD55" s="69"/>
      <c r="QQE55" s="69"/>
      <c r="QQF55" s="69"/>
      <c r="QQG55" s="69"/>
      <c r="QQH55" s="69"/>
      <c r="QQI55" s="69"/>
      <c r="QQJ55" s="69"/>
      <c r="QQK55" s="69"/>
      <c r="QQL55" s="69"/>
      <c r="QQM55" s="69"/>
      <c r="QQN55" s="69"/>
      <c r="QQO55" s="69"/>
      <c r="QQP55" s="69"/>
      <c r="QQQ55" s="69"/>
      <c r="QQR55" s="69"/>
      <c r="QQS55" s="69"/>
      <c r="QQT55" s="69"/>
      <c r="QQU55" s="69"/>
      <c r="QQV55" s="69"/>
      <c r="QQW55" s="69"/>
      <c r="QQX55" s="69"/>
      <c r="QQY55" s="69"/>
      <c r="QQZ55" s="69"/>
      <c r="QRA55" s="69"/>
      <c r="QRB55" s="69"/>
      <c r="QRC55" s="69"/>
      <c r="QRD55" s="69"/>
      <c r="QRE55" s="69"/>
      <c r="QRF55" s="69"/>
      <c r="QRG55" s="69"/>
      <c r="QRH55" s="69"/>
      <c r="QRI55" s="69"/>
      <c r="QRJ55" s="69"/>
      <c r="QRK55" s="69"/>
      <c r="QRL55" s="69"/>
      <c r="QRM55" s="69"/>
      <c r="QRN55" s="69"/>
      <c r="QRO55" s="69"/>
      <c r="QRP55" s="69"/>
      <c r="QRQ55" s="69"/>
      <c r="QRR55" s="69"/>
      <c r="QRS55" s="69"/>
      <c r="QRT55" s="69"/>
      <c r="QRU55" s="69"/>
      <c r="QRV55" s="69"/>
      <c r="QRW55" s="69"/>
      <c r="QRX55" s="69"/>
      <c r="QRY55" s="69"/>
      <c r="QRZ55" s="69"/>
      <c r="QSA55" s="69"/>
      <c r="QSB55" s="69"/>
      <c r="QSC55" s="69"/>
      <c r="QSD55" s="69"/>
      <c r="QSE55" s="69"/>
      <c r="QSF55" s="69"/>
      <c r="QSG55" s="69"/>
      <c r="QSH55" s="69"/>
      <c r="QSI55" s="69"/>
      <c r="QSJ55" s="69"/>
      <c r="QSK55" s="69"/>
      <c r="QSL55" s="69"/>
      <c r="QSM55" s="69"/>
      <c r="QSN55" s="69"/>
      <c r="QSO55" s="69"/>
      <c r="QSP55" s="69"/>
      <c r="QSQ55" s="69"/>
      <c r="QSR55" s="69"/>
      <c r="QSS55" s="69"/>
      <c r="QST55" s="69"/>
      <c r="QSU55" s="69"/>
      <c r="QSV55" s="69"/>
      <c r="QSW55" s="69"/>
      <c r="QSX55" s="69"/>
      <c r="QSY55" s="69"/>
      <c r="QSZ55" s="69"/>
      <c r="QTA55" s="69"/>
      <c r="QTB55" s="69"/>
      <c r="QTC55" s="69"/>
      <c r="QTD55" s="69"/>
      <c r="QTE55" s="69"/>
      <c r="QTF55" s="69"/>
      <c r="QTG55" s="69"/>
      <c r="QTH55" s="69"/>
      <c r="QTI55" s="69"/>
      <c r="QTJ55" s="69"/>
      <c r="QTK55" s="69"/>
      <c r="QTL55" s="69"/>
      <c r="QTM55" s="69"/>
      <c r="QTN55" s="69"/>
      <c r="QTO55" s="69"/>
      <c r="QTP55" s="69"/>
      <c r="QTQ55" s="69"/>
      <c r="QTR55" s="69"/>
      <c r="QTS55" s="69"/>
      <c r="QTT55" s="69"/>
      <c r="QTU55" s="69"/>
      <c r="QTV55" s="69"/>
      <c r="QTW55" s="69"/>
      <c r="QTX55" s="69"/>
      <c r="QTY55" s="69"/>
      <c r="QTZ55" s="69"/>
      <c r="QUA55" s="69"/>
      <c r="QUB55" s="69"/>
      <c r="QUC55" s="69"/>
      <c r="QUD55" s="69"/>
      <c r="QUE55" s="69"/>
      <c r="QUF55" s="69"/>
      <c r="QUG55" s="69"/>
      <c r="QUH55" s="69"/>
      <c r="QUI55" s="69"/>
      <c r="QUJ55" s="69"/>
      <c r="QUK55" s="69"/>
      <c r="QUL55" s="69"/>
      <c r="QUM55" s="69"/>
      <c r="QUN55" s="69"/>
      <c r="QUO55" s="69"/>
      <c r="QUP55" s="69"/>
      <c r="QUQ55" s="69"/>
      <c r="QUR55" s="69"/>
      <c r="QUS55" s="69"/>
      <c r="QUT55" s="69"/>
      <c r="QUU55" s="69"/>
      <c r="QUV55" s="69"/>
      <c r="QUW55" s="69"/>
      <c r="QUX55" s="69"/>
      <c r="QUY55" s="69"/>
      <c r="QUZ55" s="69"/>
      <c r="QVA55" s="69"/>
      <c r="QVB55" s="69"/>
      <c r="QVC55" s="69"/>
      <c r="QVD55" s="69"/>
      <c r="QVE55" s="69"/>
      <c r="QVF55" s="69"/>
      <c r="QVG55" s="69"/>
      <c r="QVH55" s="69"/>
      <c r="QVI55" s="69"/>
      <c r="QVJ55" s="69"/>
      <c r="QVK55" s="69"/>
      <c r="QVL55" s="69"/>
      <c r="QVM55" s="69"/>
      <c r="QVN55" s="69"/>
      <c r="QVO55" s="69"/>
      <c r="QVP55" s="69"/>
      <c r="QVQ55" s="69"/>
      <c r="QVR55" s="69"/>
      <c r="QVS55" s="69"/>
      <c r="QVT55" s="69"/>
      <c r="QVU55" s="69"/>
      <c r="QVV55" s="69"/>
      <c r="QVW55" s="69"/>
      <c r="QVX55" s="69"/>
      <c r="QVY55" s="69"/>
      <c r="QVZ55" s="69"/>
      <c r="QWA55" s="69"/>
      <c r="QWB55" s="69"/>
      <c r="QWC55" s="69"/>
      <c r="QWD55" s="69"/>
      <c r="QWE55" s="69"/>
      <c r="QWF55" s="69"/>
      <c r="QWG55" s="69"/>
      <c r="QWH55" s="69"/>
      <c r="QWI55" s="69"/>
      <c r="QWJ55" s="69"/>
      <c r="QWK55" s="69"/>
      <c r="QWL55" s="69"/>
      <c r="QWM55" s="69"/>
      <c r="QWN55" s="69"/>
      <c r="QWO55" s="69"/>
      <c r="QWP55" s="69"/>
      <c r="QWQ55" s="69"/>
      <c r="QWR55" s="69"/>
      <c r="QWS55" s="69"/>
      <c r="QWT55" s="69"/>
      <c r="QWU55" s="69"/>
      <c r="QWV55" s="69"/>
      <c r="QWW55" s="69"/>
      <c r="QWX55" s="69"/>
      <c r="QWY55" s="69"/>
      <c r="QWZ55" s="69"/>
      <c r="QXA55" s="69"/>
      <c r="QXB55" s="69"/>
      <c r="QXC55" s="69"/>
      <c r="QXD55" s="69"/>
      <c r="QXE55" s="69"/>
      <c r="QXF55" s="69"/>
      <c r="QXG55" s="69"/>
      <c r="QXH55" s="69"/>
      <c r="QXI55" s="69"/>
      <c r="QXJ55" s="69"/>
      <c r="QXK55" s="69"/>
      <c r="QXL55" s="69"/>
      <c r="QXM55" s="69"/>
      <c r="QXN55" s="69"/>
      <c r="QXO55" s="69"/>
      <c r="QXP55" s="69"/>
      <c r="QXQ55" s="69"/>
      <c r="QXR55" s="69"/>
      <c r="QXS55" s="69"/>
      <c r="QXT55" s="69"/>
      <c r="QXU55" s="69"/>
      <c r="QXV55" s="69"/>
      <c r="QXW55" s="69"/>
      <c r="QXX55" s="69"/>
      <c r="QXY55" s="69"/>
      <c r="QXZ55" s="69"/>
      <c r="QYA55" s="69"/>
      <c r="QYB55" s="69"/>
      <c r="QYC55" s="69"/>
      <c r="QYD55" s="69"/>
      <c r="QYE55" s="69"/>
      <c r="QYF55" s="69"/>
      <c r="QYG55" s="69"/>
      <c r="QYH55" s="69"/>
      <c r="QYI55" s="69"/>
      <c r="QYJ55" s="69"/>
      <c r="QYK55" s="69"/>
      <c r="QYL55" s="69"/>
      <c r="QYM55" s="69"/>
      <c r="QYN55" s="69"/>
      <c r="QYO55" s="69"/>
      <c r="QYP55" s="69"/>
      <c r="QYQ55" s="69"/>
      <c r="QYR55" s="69"/>
      <c r="QYS55" s="69"/>
      <c r="QYT55" s="69"/>
      <c r="QYU55" s="69"/>
      <c r="QYV55" s="69"/>
      <c r="QYW55" s="69"/>
      <c r="QYX55" s="69"/>
      <c r="QYY55" s="69"/>
      <c r="QYZ55" s="69"/>
      <c r="QZA55" s="69"/>
      <c r="QZB55" s="69"/>
      <c r="QZC55" s="69"/>
      <c r="QZD55" s="69"/>
      <c r="QZE55" s="69"/>
      <c r="QZF55" s="69"/>
      <c r="QZG55" s="69"/>
      <c r="QZH55" s="69"/>
      <c r="QZI55" s="69"/>
      <c r="QZJ55" s="69"/>
      <c r="QZK55" s="69"/>
      <c r="QZL55" s="69"/>
      <c r="QZM55" s="69"/>
      <c r="QZN55" s="69"/>
      <c r="QZO55" s="69"/>
      <c r="QZP55" s="69"/>
      <c r="QZQ55" s="69"/>
      <c r="QZR55" s="69"/>
      <c r="QZS55" s="69"/>
      <c r="QZT55" s="69"/>
      <c r="QZU55" s="69"/>
      <c r="QZV55" s="69"/>
      <c r="QZW55" s="69"/>
      <c r="QZX55" s="69"/>
      <c r="QZY55" s="69"/>
      <c r="QZZ55" s="69"/>
      <c r="RAA55" s="69"/>
      <c r="RAB55" s="69"/>
      <c r="RAC55" s="69"/>
      <c r="RAD55" s="69"/>
      <c r="RAE55" s="69"/>
      <c r="RAF55" s="69"/>
      <c r="RAG55" s="69"/>
      <c r="RAH55" s="69"/>
      <c r="RAI55" s="69"/>
      <c r="RAJ55" s="69"/>
      <c r="RAK55" s="69"/>
      <c r="RAL55" s="69"/>
      <c r="RAM55" s="69"/>
      <c r="RAN55" s="69"/>
      <c r="RAO55" s="69"/>
      <c r="RAP55" s="69"/>
      <c r="RAQ55" s="69"/>
      <c r="RAR55" s="69"/>
      <c r="RAS55" s="69"/>
      <c r="RAT55" s="69"/>
      <c r="RAU55" s="69"/>
      <c r="RAV55" s="69"/>
      <c r="RAW55" s="69"/>
      <c r="RAX55" s="69"/>
      <c r="RAY55" s="69"/>
      <c r="RAZ55" s="69"/>
      <c r="RBA55" s="69"/>
      <c r="RBB55" s="69"/>
      <c r="RBC55" s="69"/>
      <c r="RBD55" s="69"/>
      <c r="RBE55" s="69"/>
      <c r="RBF55" s="69"/>
      <c r="RBG55" s="69"/>
      <c r="RBH55" s="69"/>
      <c r="RBI55" s="69"/>
      <c r="RBJ55" s="69"/>
      <c r="RBK55" s="69"/>
      <c r="RBL55" s="69"/>
      <c r="RBM55" s="69"/>
      <c r="RBN55" s="69"/>
      <c r="RBO55" s="69"/>
      <c r="RBP55" s="69"/>
      <c r="RBQ55" s="69"/>
      <c r="RBR55" s="69"/>
      <c r="RBS55" s="69"/>
      <c r="RBT55" s="69"/>
      <c r="RBU55" s="69"/>
      <c r="RBV55" s="69"/>
      <c r="RBW55" s="69"/>
      <c r="RBX55" s="69"/>
      <c r="RBY55" s="69"/>
      <c r="RBZ55" s="69"/>
      <c r="RCA55" s="69"/>
      <c r="RCB55" s="69"/>
      <c r="RCC55" s="69"/>
      <c r="RCD55" s="69"/>
      <c r="RCE55" s="69"/>
      <c r="RCF55" s="69"/>
      <c r="RCG55" s="69"/>
      <c r="RCH55" s="69"/>
      <c r="RCI55" s="69"/>
      <c r="RCJ55" s="69"/>
      <c r="RCK55" s="69"/>
      <c r="RCL55" s="69"/>
      <c r="RCM55" s="69"/>
      <c r="RCN55" s="69"/>
      <c r="RCO55" s="69"/>
      <c r="RCP55" s="69"/>
      <c r="RCQ55" s="69"/>
      <c r="RCR55" s="69"/>
      <c r="RCS55" s="69"/>
      <c r="RCT55" s="69"/>
      <c r="RCU55" s="69"/>
      <c r="RCV55" s="69"/>
      <c r="RCW55" s="69"/>
      <c r="RCX55" s="69"/>
      <c r="RCY55" s="69"/>
      <c r="RCZ55" s="69"/>
      <c r="RDA55" s="69"/>
      <c r="RDB55" s="69"/>
      <c r="RDC55" s="69"/>
      <c r="RDD55" s="69"/>
      <c r="RDE55" s="69"/>
      <c r="RDF55" s="69"/>
      <c r="RDG55" s="69"/>
      <c r="RDH55" s="69"/>
      <c r="RDI55" s="69"/>
      <c r="RDJ55" s="69"/>
      <c r="RDK55" s="69"/>
      <c r="RDL55" s="69"/>
      <c r="RDM55" s="69"/>
      <c r="RDN55" s="69"/>
      <c r="RDO55" s="69"/>
      <c r="RDP55" s="69"/>
      <c r="RDQ55" s="69"/>
      <c r="RDR55" s="69"/>
      <c r="RDS55" s="69"/>
      <c r="RDT55" s="69"/>
      <c r="RDU55" s="69"/>
      <c r="RDV55" s="69"/>
      <c r="RDW55" s="69"/>
      <c r="RDX55" s="69"/>
      <c r="RDY55" s="69"/>
      <c r="RDZ55" s="69"/>
      <c r="REA55" s="69"/>
      <c r="REB55" s="69"/>
      <c r="REC55" s="69"/>
      <c r="RED55" s="69"/>
      <c r="REE55" s="69"/>
      <c r="REF55" s="69"/>
      <c r="REG55" s="69"/>
      <c r="REH55" s="69"/>
      <c r="REI55" s="69"/>
      <c r="REJ55" s="69"/>
      <c r="REK55" s="69"/>
      <c r="REL55" s="69"/>
      <c r="REM55" s="69"/>
      <c r="REN55" s="69"/>
      <c r="REO55" s="69"/>
      <c r="REP55" s="69"/>
      <c r="REQ55" s="69"/>
      <c r="RER55" s="69"/>
      <c r="RES55" s="69"/>
      <c r="RET55" s="69"/>
      <c r="REU55" s="69"/>
      <c r="REV55" s="69"/>
      <c r="REW55" s="69"/>
      <c r="REX55" s="69"/>
      <c r="REY55" s="69"/>
      <c r="REZ55" s="69"/>
      <c r="RFA55" s="69"/>
      <c r="RFB55" s="69"/>
      <c r="RFC55" s="69"/>
      <c r="RFD55" s="69"/>
      <c r="RFE55" s="69"/>
      <c r="RFF55" s="69"/>
      <c r="RFG55" s="69"/>
      <c r="RFH55" s="69"/>
      <c r="RFI55" s="69"/>
      <c r="RFJ55" s="69"/>
      <c r="RFK55" s="69"/>
      <c r="RFL55" s="69"/>
      <c r="RFM55" s="69"/>
      <c r="RFN55" s="69"/>
      <c r="RFO55" s="69"/>
      <c r="RFP55" s="69"/>
      <c r="RFQ55" s="69"/>
      <c r="RFR55" s="69"/>
      <c r="RFS55" s="69"/>
      <c r="RFT55" s="69"/>
      <c r="RFU55" s="69"/>
      <c r="RFV55" s="69"/>
      <c r="RFW55" s="69"/>
      <c r="RFX55" s="69"/>
      <c r="RFY55" s="69"/>
      <c r="RFZ55" s="69"/>
      <c r="RGA55" s="69"/>
      <c r="RGB55" s="69"/>
      <c r="RGC55" s="69"/>
      <c r="RGD55" s="69"/>
      <c r="RGE55" s="69"/>
      <c r="RGF55" s="69"/>
      <c r="RGG55" s="69"/>
      <c r="RGH55" s="69"/>
      <c r="RGI55" s="69"/>
      <c r="RGJ55" s="69"/>
      <c r="RGK55" s="69"/>
      <c r="RGL55" s="69"/>
      <c r="RGM55" s="69"/>
      <c r="RGN55" s="69"/>
      <c r="RGO55" s="69"/>
      <c r="RGP55" s="69"/>
      <c r="RGQ55" s="69"/>
      <c r="RGR55" s="69"/>
      <c r="RGS55" s="69"/>
      <c r="RGT55" s="69"/>
      <c r="RGU55" s="69"/>
      <c r="RGV55" s="69"/>
      <c r="RGW55" s="69"/>
      <c r="RGX55" s="69"/>
      <c r="RGY55" s="69"/>
      <c r="RGZ55" s="69"/>
      <c r="RHA55" s="69"/>
      <c r="RHB55" s="69"/>
      <c r="RHC55" s="69"/>
      <c r="RHD55" s="69"/>
      <c r="RHE55" s="69"/>
      <c r="RHF55" s="69"/>
      <c r="RHG55" s="69"/>
      <c r="RHH55" s="69"/>
      <c r="RHI55" s="69"/>
      <c r="RHJ55" s="69"/>
      <c r="RHK55" s="69"/>
      <c r="RHL55" s="69"/>
      <c r="RHM55" s="69"/>
      <c r="RHN55" s="69"/>
      <c r="RHO55" s="69"/>
      <c r="RHP55" s="69"/>
      <c r="RHQ55" s="69"/>
      <c r="RHR55" s="69"/>
      <c r="RHS55" s="69"/>
      <c r="RHT55" s="69"/>
      <c r="RHU55" s="69"/>
      <c r="RHV55" s="69"/>
      <c r="RHW55" s="69"/>
      <c r="RHX55" s="69"/>
      <c r="RHY55" s="69"/>
      <c r="RHZ55" s="69"/>
      <c r="RIA55" s="69"/>
      <c r="RIB55" s="69"/>
      <c r="RIC55" s="69"/>
      <c r="RID55" s="69"/>
      <c r="RIE55" s="69"/>
      <c r="RIF55" s="69"/>
      <c r="RIG55" s="69"/>
      <c r="RIH55" s="69"/>
      <c r="RII55" s="69"/>
      <c r="RIJ55" s="69"/>
      <c r="RIK55" s="69"/>
      <c r="RIL55" s="69"/>
      <c r="RIM55" s="69"/>
      <c r="RIN55" s="69"/>
      <c r="RIO55" s="69"/>
      <c r="RIP55" s="69"/>
      <c r="RIQ55" s="69"/>
      <c r="RIR55" s="69"/>
      <c r="RIS55" s="69"/>
      <c r="RIT55" s="69"/>
      <c r="RIU55" s="69"/>
      <c r="RIV55" s="69"/>
      <c r="RIW55" s="69"/>
      <c r="RIX55" s="69"/>
      <c r="RIY55" s="69"/>
      <c r="RIZ55" s="69"/>
      <c r="RJA55" s="69"/>
      <c r="RJB55" s="69"/>
      <c r="RJC55" s="69"/>
      <c r="RJD55" s="69"/>
      <c r="RJE55" s="69"/>
      <c r="RJF55" s="69"/>
      <c r="RJG55" s="69"/>
      <c r="RJH55" s="69"/>
      <c r="RJI55" s="69"/>
      <c r="RJJ55" s="69"/>
      <c r="RJK55" s="69"/>
      <c r="RJL55" s="69"/>
      <c r="RJM55" s="69"/>
      <c r="RJN55" s="69"/>
      <c r="RJO55" s="69"/>
      <c r="RJP55" s="69"/>
      <c r="RJQ55" s="69"/>
      <c r="RJR55" s="69"/>
      <c r="RJS55" s="69"/>
      <c r="RJT55" s="69"/>
      <c r="RJU55" s="69"/>
      <c r="RJV55" s="69"/>
      <c r="RJW55" s="69"/>
      <c r="RJX55" s="69"/>
      <c r="RJY55" s="69"/>
      <c r="RJZ55" s="69"/>
      <c r="RKA55" s="69"/>
      <c r="RKB55" s="69"/>
      <c r="RKC55" s="69"/>
      <c r="RKD55" s="69"/>
      <c r="RKE55" s="69"/>
      <c r="RKF55" s="69"/>
      <c r="RKG55" s="69"/>
      <c r="RKH55" s="69"/>
      <c r="RKI55" s="69"/>
      <c r="RKJ55" s="69"/>
      <c r="RKK55" s="69"/>
      <c r="RKL55" s="69"/>
      <c r="RKM55" s="69"/>
      <c r="RKN55" s="69"/>
      <c r="RKO55" s="69"/>
      <c r="RKP55" s="69"/>
      <c r="RKQ55" s="69"/>
      <c r="RKR55" s="69"/>
      <c r="RKS55" s="69"/>
      <c r="RKT55" s="69"/>
      <c r="RKU55" s="69"/>
      <c r="RKV55" s="69"/>
      <c r="RKW55" s="69"/>
      <c r="RKX55" s="69"/>
      <c r="RKY55" s="69"/>
      <c r="RKZ55" s="69"/>
      <c r="RLA55" s="69"/>
      <c r="RLB55" s="69"/>
      <c r="RLC55" s="69"/>
      <c r="RLD55" s="69"/>
      <c r="RLE55" s="69"/>
      <c r="RLF55" s="69"/>
      <c r="RLG55" s="69"/>
      <c r="RLH55" s="69"/>
      <c r="RLI55" s="69"/>
      <c r="RLJ55" s="69"/>
      <c r="RLK55" s="69"/>
      <c r="RLL55" s="69"/>
      <c r="RLM55" s="69"/>
      <c r="RLN55" s="69"/>
      <c r="RLO55" s="69"/>
      <c r="RLP55" s="69"/>
      <c r="RLQ55" s="69"/>
      <c r="RLR55" s="69"/>
      <c r="RLS55" s="69"/>
      <c r="RLT55" s="69"/>
      <c r="RLU55" s="69"/>
      <c r="RLV55" s="69"/>
      <c r="RLW55" s="69"/>
      <c r="RLX55" s="69"/>
      <c r="RLY55" s="69"/>
      <c r="RLZ55" s="69"/>
      <c r="RMA55" s="69"/>
      <c r="RMB55" s="69"/>
      <c r="RMC55" s="69"/>
      <c r="RMD55" s="69"/>
      <c r="RME55" s="69"/>
      <c r="RMF55" s="69"/>
      <c r="RMG55" s="69"/>
      <c r="RMH55" s="69"/>
      <c r="RMI55" s="69"/>
      <c r="RMJ55" s="69"/>
      <c r="RMK55" s="69"/>
      <c r="RML55" s="69"/>
      <c r="RMM55" s="69"/>
      <c r="RMN55" s="69"/>
      <c r="RMO55" s="69"/>
      <c r="RMP55" s="69"/>
      <c r="RMQ55" s="69"/>
      <c r="RMR55" s="69"/>
      <c r="RMS55" s="69"/>
      <c r="RMT55" s="69"/>
      <c r="RMU55" s="69"/>
      <c r="RMV55" s="69"/>
      <c r="RMW55" s="69"/>
      <c r="RMX55" s="69"/>
      <c r="RMY55" s="69"/>
      <c r="RMZ55" s="69"/>
      <c r="RNA55" s="69"/>
      <c r="RNB55" s="69"/>
      <c r="RNC55" s="69"/>
      <c r="RND55" s="69"/>
      <c r="RNE55" s="69"/>
      <c r="RNF55" s="69"/>
      <c r="RNG55" s="69"/>
      <c r="RNH55" s="69"/>
      <c r="RNI55" s="69"/>
      <c r="RNJ55" s="69"/>
      <c r="RNK55" s="69"/>
      <c r="RNL55" s="69"/>
      <c r="RNM55" s="69"/>
      <c r="RNN55" s="69"/>
      <c r="RNO55" s="69"/>
      <c r="RNP55" s="69"/>
      <c r="RNQ55" s="69"/>
      <c r="RNR55" s="69"/>
      <c r="RNS55" s="69"/>
      <c r="RNT55" s="69"/>
      <c r="RNU55" s="69"/>
      <c r="RNV55" s="69"/>
      <c r="RNW55" s="69"/>
      <c r="RNX55" s="69"/>
      <c r="RNY55" s="69"/>
      <c r="RNZ55" s="69"/>
      <c r="ROA55" s="69"/>
      <c r="ROB55" s="69"/>
      <c r="ROC55" s="69"/>
      <c r="ROD55" s="69"/>
      <c r="ROE55" s="69"/>
      <c r="ROF55" s="69"/>
      <c r="ROG55" s="69"/>
      <c r="ROH55" s="69"/>
      <c r="ROI55" s="69"/>
      <c r="ROJ55" s="69"/>
      <c r="ROK55" s="69"/>
      <c r="ROL55" s="69"/>
      <c r="ROM55" s="69"/>
      <c r="RON55" s="69"/>
      <c r="ROO55" s="69"/>
      <c r="ROP55" s="69"/>
      <c r="ROQ55" s="69"/>
      <c r="ROR55" s="69"/>
      <c r="ROS55" s="69"/>
      <c r="ROT55" s="69"/>
      <c r="ROU55" s="69"/>
      <c r="ROV55" s="69"/>
      <c r="ROW55" s="69"/>
      <c r="ROX55" s="69"/>
      <c r="ROY55" s="69"/>
      <c r="ROZ55" s="69"/>
      <c r="RPA55" s="69"/>
      <c r="RPB55" s="69"/>
      <c r="RPC55" s="69"/>
      <c r="RPD55" s="69"/>
      <c r="RPE55" s="69"/>
      <c r="RPF55" s="69"/>
      <c r="RPG55" s="69"/>
      <c r="RPH55" s="69"/>
      <c r="RPI55" s="69"/>
      <c r="RPJ55" s="69"/>
      <c r="RPK55" s="69"/>
      <c r="RPL55" s="69"/>
      <c r="RPM55" s="69"/>
      <c r="RPN55" s="69"/>
      <c r="RPO55" s="69"/>
      <c r="RPP55" s="69"/>
      <c r="RPQ55" s="69"/>
      <c r="RPR55" s="69"/>
      <c r="RPS55" s="69"/>
      <c r="RPT55" s="69"/>
      <c r="RPU55" s="69"/>
      <c r="RPV55" s="69"/>
      <c r="RPW55" s="69"/>
      <c r="RPX55" s="69"/>
      <c r="RPY55" s="69"/>
      <c r="RPZ55" s="69"/>
      <c r="RQA55" s="69"/>
      <c r="RQB55" s="69"/>
      <c r="RQC55" s="69"/>
      <c r="RQD55" s="69"/>
      <c r="RQE55" s="69"/>
      <c r="RQF55" s="69"/>
      <c r="RQG55" s="69"/>
      <c r="RQH55" s="69"/>
      <c r="RQI55" s="69"/>
      <c r="RQJ55" s="69"/>
      <c r="RQK55" s="69"/>
      <c r="RQL55" s="69"/>
      <c r="RQM55" s="69"/>
      <c r="RQN55" s="69"/>
      <c r="RQO55" s="69"/>
      <c r="RQP55" s="69"/>
      <c r="RQQ55" s="69"/>
      <c r="RQR55" s="69"/>
      <c r="RQS55" s="69"/>
      <c r="RQT55" s="69"/>
      <c r="RQU55" s="69"/>
      <c r="RQV55" s="69"/>
      <c r="RQW55" s="69"/>
      <c r="RQX55" s="69"/>
      <c r="RQY55" s="69"/>
      <c r="RQZ55" s="69"/>
      <c r="RRA55" s="69"/>
      <c r="RRB55" s="69"/>
      <c r="RRC55" s="69"/>
      <c r="RRD55" s="69"/>
      <c r="RRE55" s="69"/>
      <c r="RRF55" s="69"/>
      <c r="RRG55" s="69"/>
      <c r="RRH55" s="69"/>
      <c r="RRI55" s="69"/>
      <c r="RRJ55" s="69"/>
      <c r="RRK55" s="69"/>
      <c r="RRL55" s="69"/>
      <c r="RRM55" s="69"/>
      <c r="RRN55" s="69"/>
      <c r="RRO55" s="69"/>
      <c r="RRP55" s="69"/>
      <c r="RRQ55" s="69"/>
      <c r="RRR55" s="69"/>
      <c r="RRS55" s="69"/>
      <c r="RRT55" s="69"/>
      <c r="RRU55" s="69"/>
      <c r="RRV55" s="69"/>
      <c r="RRW55" s="69"/>
      <c r="RRX55" s="69"/>
      <c r="RRY55" s="69"/>
      <c r="RRZ55" s="69"/>
      <c r="RSA55" s="69"/>
      <c r="RSB55" s="69"/>
      <c r="RSC55" s="69"/>
      <c r="RSD55" s="69"/>
      <c r="RSE55" s="69"/>
      <c r="RSF55" s="69"/>
      <c r="RSG55" s="69"/>
      <c r="RSH55" s="69"/>
      <c r="RSI55" s="69"/>
      <c r="RSJ55" s="69"/>
      <c r="RSK55" s="69"/>
      <c r="RSL55" s="69"/>
      <c r="RSM55" s="69"/>
      <c r="RSN55" s="69"/>
      <c r="RSO55" s="69"/>
      <c r="RSP55" s="69"/>
      <c r="RSQ55" s="69"/>
      <c r="RSR55" s="69"/>
      <c r="RSS55" s="69"/>
      <c r="RST55" s="69"/>
      <c r="RSU55" s="69"/>
      <c r="RSV55" s="69"/>
      <c r="RSW55" s="69"/>
      <c r="RSX55" s="69"/>
      <c r="RSY55" s="69"/>
      <c r="RSZ55" s="69"/>
      <c r="RTA55" s="69"/>
      <c r="RTB55" s="69"/>
      <c r="RTC55" s="69"/>
      <c r="RTD55" s="69"/>
      <c r="RTE55" s="69"/>
      <c r="RTF55" s="69"/>
      <c r="RTG55" s="69"/>
      <c r="RTH55" s="69"/>
      <c r="RTI55" s="69"/>
      <c r="RTJ55" s="69"/>
      <c r="RTK55" s="69"/>
      <c r="RTL55" s="69"/>
      <c r="RTM55" s="69"/>
      <c r="RTN55" s="69"/>
      <c r="RTO55" s="69"/>
      <c r="RTP55" s="69"/>
      <c r="RTQ55" s="69"/>
      <c r="RTR55" s="69"/>
      <c r="RTS55" s="69"/>
      <c r="RTT55" s="69"/>
      <c r="RTU55" s="69"/>
      <c r="RTV55" s="69"/>
      <c r="RTW55" s="69"/>
      <c r="RTX55" s="69"/>
      <c r="RTY55" s="69"/>
      <c r="RTZ55" s="69"/>
      <c r="RUA55" s="69"/>
      <c r="RUB55" s="69"/>
      <c r="RUC55" s="69"/>
      <c r="RUD55" s="69"/>
      <c r="RUE55" s="69"/>
      <c r="RUF55" s="69"/>
      <c r="RUG55" s="69"/>
      <c r="RUH55" s="69"/>
      <c r="RUI55" s="69"/>
      <c r="RUJ55" s="69"/>
      <c r="RUK55" s="69"/>
      <c r="RUL55" s="69"/>
      <c r="RUM55" s="69"/>
      <c r="RUN55" s="69"/>
      <c r="RUO55" s="69"/>
      <c r="RUP55" s="69"/>
      <c r="RUQ55" s="69"/>
      <c r="RUR55" s="69"/>
      <c r="RUS55" s="69"/>
      <c r="RUT55" s="69"/>
      <c r="RUU55" s="69"/>
      <c r="RUV55" s="69"/>
      <c r="RUW55" s="69"/>
      <c r="RUX55" s="69"/>
      <c r="RUY55" s="69"/>
      <c r="RUZ55" s="69"/>
      <c r="RVA55" s="69"/>
      <c r="RVB55" s="69"/>
      <c r="RVC55" s="69"/>
      <c r="RVD55" s="69"/>
      <c r="RVE55" s="69"/>
      <c r="RVF55" s="69"/>
      <c r="RVG55" s="69"/>
      <c r="RVH55" s="69"/>
      <c r="RVI55" s="69"/>
      <c r="RVJ55" s="69"/>
      <c r="RVK55" s="69"/>
      <c r="RVL55" s="69"/>
      <c r="RVM55" s="69"/>
      <c r="RVN55" s="69"/>
      <c r="RVO55" s="69"/>
      <c r="RVP55" s="69"/>
      <c r="RVQ55" s="69"/>
      <c r="RVR55" s="69"/>
      <c r="RVS55" s="69"/>
      <c r="RVT55" s="69"/>
      <c r="RVU55" s="69"/>
      <c r="RVV55" s="69"/>
      <c r="RVW55" s="69"/>
      <c r="RVX55" s="69"/>
      <c r="RVY55" s="69"/>
      <c r="RVZ55" s="69"/>
      <c r="RWA55" s="69"/>
      <c r="RWB55" s="69"/>
      <c r="RWC55" s="69"/>
      <c r="RWD55" s="69"/>
      <c r="RWE55" s="69"/>
      <c r="RWF55" s="69"/>
      <c r="RWG55" s="69"/>
      <c r="RWH55" s="69"/>
      <c r="RWI55" s="69"/>
      <c r="RWJ55" s="69"/>
      <c r="RWK55" s="69"/>
      <c r="RWL55" s="69"/>
      <c r="RWM55" s="69"/>
      <c r="RWN55" s="69"/>
      <c r="RWO55" s="69"/>
      <c r="RWP55" s="69"/>
      <c r="RWQ55" s="69"/>
      <c r="RWR55" s="69"/>
      <c r="RWS55" s="69"/>
      <c r="RWT55" s="69"/>
      <c r="RWU55" s="69"/>
      <c r="RWV55" s="69"/>
      <c r="RWW55" s="69"/>
      <c r="RWX55" s="69"/>
      <c r="RWY55" s="69"/>
      <c r="RWZ55" s="69"/>
      <c r="RXA55" s="69"/>
      <c r="RXB55" s="69"/>
      <c r="RXC55" s="69"/>
      <c r="RXD55" s="69"/>
      <c r="RXE55" s="69"/>
      <c r="RXF55" s="69"/>
      <c r="RXG55" s="69"/>
      <c r="RXH55" s="69"/>
      <c r="RXI55" s="69"/>
      <c r="RXJ55" s="69"/>
      <c r="RXK55" s="69"/>
      <c r="RXL55" s="69"/>
      <c r="RXM55" s="69"/>
      <c r="RXN55" s="69"/>
      <c r="RXO55" s="69"/>
      <c r="RXP55" s="69"/>
      <c r="RXQ55" s="69"/>
      <c r="RXR55" s="69"/>
      <c r="RXS55" s="69"/>
      <c r="RXT55" s="69"/>
      <c r="RXU55" s="69"/>
      <c r="RXV55" s="69"/>
      <c r="RXW55" s="69"/>
      <c r="RXX55" s="69"/>
      <c r="RXY55" s="69"/>
      <c r="RXZ55" s="69"/>
      <c r="RYA55" s="69"/>
      <c r="RYB55" s="69"/>
      <c r="RYC55" s="69"/>
      <c r="RYD55" s="69"/>
      <c r="RYE55" s="69"/>
      <c r="RYF55" s="69"/>
      <c r="RYG55" s="69"/>
      <c r="RYH55" s="69"/>
      <c r="RYI55" s="69"/>
      <c r="RYJ55" s="69"/>
      <c r="RYK55" s="69"/>
      <c r="RYL55" s="69"/>
      <c r="RYM55" s="69"/>
      <c r="RYN55" s="69"/>
      <c r="RYO55" s="69"/>
      <c r="RYP55" s="69"/>
      <c r="RYQ55" s="69"/>
      <c r="RYR55" s="69"/>
      <c r="RYS55" s="69"/>
      <c r="RYT55" s="69"/>
      <c r="RYU55" s="69"/>
      <c r="RYV55" s="69"/>
      <c r="RYW55" s="69"/>
      <c r="RYX55" s="69"/>
      <c r="RYY55" s="69"/>
      <c r="RYZ55" s="69"/>
      <c r="RZA55" s="69"/>
      <c r="RZB55" s="69"/>
      <c r="RZC55" s="69"/>
      <c r="RZD55" s="69"/>
      <c r="RZE55" s="69"/>
      <c r="RZF55" s="69"/>
      <c r="RZG55" s="69"/>
      <c r="RZH55" s="69"/>
      <c r="RZI55" s="69"/>
      <c r="RZJ55" s="69"/>
      <c r="RZK55" s="69"/>
      <c r="RZL55" s="69"/>
      <c r="RZM55" s="69"/>
      <c r="RZN55" s="69"/>
      <c r="RZO55" s="69"/>
      <c r="RZP55" s="69"/>
      <c r="RZQ55" s="69"/>
      <c r="RZR55" s="69"/>
      <c r="RZS55" s="69"/>
      <c r="RZT55" s="69"/>
      <c r="RZU55" s="69"/>
      <c r="RZV55" s="69"/>
      <c r="RZW55" s="69"/>
      <c r="RZX55" s="69"/>
      <c r="RZY55" s="69"/>
      <c r="RZZ55" s="69"/>
      <c r="SAA55" s="69"/>
      <c r="SAB55" s="69"/>
      <c r="SAC55" s="69"/>
      <c r="SAD55" s="69"/>
      <c r="SAE55" s="69"/>
      <c r="SAF55" s="69"/>
      <c r="SAG55" s="69"/>
      <c r="SAH55" s="69"/>
      <c r="SAI55" s="69"/>
      <c r="SAJ55" s="69"/>
      <c r="SAK55" s="69"/>
      <c r="SAL55" s="69"/>
      <c r="SAM55" s="69"/>
      <c r="SAN55" s="69"/>
      <c r="SAO55" s="69"/>
      <c r="SAP55" s="69"/>
      <c r="SAQ55" s="69"/>
      <c r="SAR55" s="69"/>
      <c r="SAS55" s="69"/>
      <c r="SAT55" s="69"/>
      <c r="SAU55" s="69"/>
      <c r="SAV55" s="69"/>
      <c r="SAW55" s="69"/>
      <c r="SAX55" s="69"/>
      <c r="SAY55" s="69"/>
      <c r="SAZ55" s="69"/>
      <c r="SBA55" s="69"/>
      <c r="SBB55" s="69"/>
      <c r="SBC55" s="69"/>
      <c r="SBD55" s="69"/>
      <c r="SBE55" s="69"/>
      <c r="SBF55" s="69"/>
      <c r="SBG55" s="69"/>
      <c r="SBH55" s="69"/>
      <c r="SBI55" s="69"/>
      <c r="SBJ55" s="69"/>
      <c r="SBK55" s="69"/>
      <c r="SBL55" s="69"/>
      <c r="SBM55" s="69"/>
      <c r="SBN55" s="69"/>
      <c r="SBO55" s="69"/>
      <c r="SBP55" s="69"/>
      <c r="SBQ55" s="69"/>
      <c r="SBR55" s="69"/>
      <c r="SBS55" s="69"/>
      <c r="SBT55" s="69"/>
      <c r="SBU55" s="69"/>
      <c r="SBV55" s="69"/>
      <c r="SBW55" s="69"/>
      <c r="SBX55" s="69"/>
      <c r="SBY55" s="69"/>
      <c r="SBZ55" s="69"/>
      <c r="SCA55" s="69"/>
      <c r="SCB55" s="69"/>
      <c r="SCC55" s="69"/>
      <c r="SCD55" s="69"/>
      <c r="SCE55" s="69"/>
      <c r="SCF55" s="69"/>
      <c r="SCG55" s="69"/>
      <c r="SCH55" s="69"/>
      <c r="SCI55" s="69"/>
      <c r="SCJ55" s="69"/>
      <c r="SCK55" s="69"/>
      <c r="SCL55" s="69"/>
      <c r="SCM55" s="69"/>
      <c r="SCN55" s="69"/>
      <c r="SCO55" s="69"/>
      <c r="SCP55" s="69"/>
      <c r="SCQ55" s="69"/>
      <c r="SCR55" s="69"/>
      <c r="SCS55" s="69"/>
      <c r="SCT55" s="69"/>
      <c r="SCU55" s="69"/>
      <c r="SCV55" s="69"/>
      <c r="SCW55" s="69"/>
      <c r="SCX55" s="69"/>
      <c r="SCY55" s="69"/>
      <c r="SCZ55" s="69"/>
      <c r="SDA55" s="69"/>
      <c r="SDB55" s="69"/>
      <c r="SDC55" s="69"/>
      <c r="SDD55" s="69"/>
      <c r="SDE55" s="69"/>
      <c r="SDF55" s="69"/>
      <c r="SDG55" s="69"/>
      <c r="SDH55" s="69"/>
      <c r="SDI55" s="69"/>
      <c r="SDJ55" s="69"/>
      <c r="SDK55" s="69"/>
      <c r="SDL55" s="69"/>
      <c r="SDM55" s="69"/>
      <c r="SDN55" s="69"/>
      <c r="SDO55" s="69"/>
      <c r="SDP55" s="69"/>
      <c r="SDQ55" s="69"/>
      <c r="SDR55" s="69"/>
      <c r="SDS55" s="69"/>
      <c r="SDT55" s="69"/>
      <c r="SDU55" s="69"/>
      <c r="SDV55" s="69"/>
      <c r="SDW55" s="69"/>
      <c r="SDX55" s="69"/>
      <c r="SDY55" s="69"/>
      <c r="SDZ55" s="69"/>
      <c r="SEA55" s="69"/>
      <c r="SEB55" s="69"/>
      <c r="SEC55" s="69"/>
      <c r="SED55" s="69"/>
      <c r="SEE55" s="69"/>
      <c r="SEF55" s="69"/>
      <c r="SEG55" s="69"/>
      <c r="SEH55" s="69"/>
      <c r="SEI55" s="69"/>
      <c r="SEJ55" s="69"/>
      <c r="SEK55" s="69"/>
      <c r="SEL55" s="69"/>
      <c r="SEM55" s="69"/>
      <c r="SEN55" s="69"/>
      <c r="SEO55" s="69"/>
      <c r="SEP55" s="69"/>
      <c r="SEQ55" s="69"/>
      <c r="SER55" s="69"/>
      <c r="SES55" s="69"/>
      <c r="SET55" s="69"/>
      <c r="SEU55" s="69"/>
      <c r="SEV55" s="69"/>
      <c r="SEW55" s="69"/>
      <c r="SEX55" s="69"/>
      <c r="SEY55" s="69"/>
      <c r="SEZ55" s="69"/>
      <c r="SFA55" s="69"/>
      <c r="SFB55" s="69"/>
      <c r="SFC55" s="69"/>
      <c r="SFD55" s="69"/>
      <c r="SFE55" s="69"/>
      <c r="SFF55" s="69"/>
      <c r="SFG55" s="69"/>
      <c r="SFH55" s="69"/>
      <c r="SFI55" s="69"/>
      <c r="SFJ55" s="69"/>
      <c r="SFK55" s="69"/>
      <c r="SFL55" s="69"/>
      <c r="SFM55" s="69"/>
      <c r="SFN55" s="69"/>
      <c r="SFO55" s="69"/>
      <c r="SFP55" s="69"/>
      <c r="SFQ55" s="69"/>
      <c r="SFR55" s="69"/>
      <c r="SFS55" s="69"/>
      <c r="SFT55" s="69"/>
      <c r="SFU55" s="69"/>
      <c r="SFV55" s="69"/>
      <c r="SFW55" s="69"/>
      <c r="SFX55" s="69"/>
      <c r="SFY55" s="69"/>
      <c r="SFZ55" s="69"/>
      <c r="SGA55" s="69"/>
      <c r="SGB55" s="69"/>
      <c r="SGC55" s="69"/>
      <c r="SGD55" s="69"/>
      <c r="SGE55" s="69"/>
      <c r="SGF55" s="69"/>
      <c r="SGG55" s="69"/>
      <c r="SGH55" s="69"/>
      <c r="SGI55" s="69"/>
      <c r="SGJ55" s="69"/>
      <c r="SGK55" s="69"/>
      <c r="SGL55" s="69"/>
      <c r="SGM55" s="69"/>
      <c r="SGN55" s="69"/>
      <c r="SGO55" s="69"/>
      <c r="SGP55" s="69"/>
      <c r="SGQ55" s="69"/>
      <c r="SGR55" s="69"/>
      <c r="SGS55" s="69"/>
      <c r="SGT55" s="69"/>
      <c r="SGU55" s="69"/>
      <c r="SGV55" s="69"/>
      <c r="SGW55" s="69"/>
      <c r="SGX55" s="69"/>
      <c r="SGY55" s="69"/>
      <c r="SGZ55" s="69"/>
      <c r="SHA55" s="69"/>
      <c r="SHB55" s="69"/>
      <c r="SHC55" s="69"/>
      <c r="SHD55" s="69"/>
      <c r="SHE55" s="69"/>
      <c r="SHF55" s="69"/>
      <c r="SHG55" s="69"/>
      <c r="SHH55" s="69"/>
      <c r="SHI55" s="69"/>
      <c r="SHJ55" s="69"/>
      <c r="SHK55" s="69"/>
      <c r="SHL55" s="69"/>
      <c r="SHM55" s="69"/>
      <c r="SHN55" s="69"/>
      <c r="SHO55" s="69"/>
      <c r="SHP55" s="69"/>
      <c r="SHQ55" s="69"/>
      <c r="SHR55" s="69"/>
      <c r="SHS55" s="69"/>
      <c r="SHT55" s="69"/>
      <c r="SHU55" s="69"/>
      <c r="SHV55" s="69"/>
      <c r="SHW55" s="69"/>
      <c r="SHX55" s="69"/>
      <c r="SHY55" s="69"/>
      <c r="SHZ55" s="69"/>
      <c r="SIA55" s="69"/>
      <c r="SIB55" s="69"/>
      <c r="SIC55" s="69"/>
      <c r="SID55" s="69"/>
      <c r="SIE55" s="69"/>
      <c r="SIF55" s="69"/>
      <c r="SIG55" s="69"/>
      <c r="SIH55" s="69"/>
      <c r="SII55" s="69"/>
      <c r="SIJ55" s="69"/>
      <c r="SIK55" s="69"/>
      <c r="SIL55" s="69"/>
      <c r="SIM55" s="69"/>
      <c r="SIN55" s="69"/>
      <c r="SIO55" s="69"/>
      <c r="SIP55" s="69"/>
      <c r="SIQ55" s="69"/>
      <c r="SIR55" s="69"/>
      <c r="SIS55" s="69"/>
      <c r="SIT55" s="69"/>
      <c r="SIU55" s="69"/>
      <c r="SIV55" s="69"/>
      <c r="SIW55" s="69"/>
      <c r="SIX55" s="69"/>
      <c r="SIY55" s="69"/>
      <c r="SIZ55" s="69"/>
      <c r="SJA55" s="69"/>
      <c r="SJB55" s="69"/>
      <c r="SJC55" s="69"/>
      <c r="SJD55" s="69"/>
      <c r="SJE55" s="69"/>
      <c r="SJF55" s="69"/>
      <c r="SJG55" s="69"/>
      <c r="SJH55" s="69"/>
      <c r="SJI55" s="69"/>
      <c r="SJJ55" s="69"/>
      <c r="SJK55" s="69"/>
      <c r="SJL55" s="69"/>
      <c r="SJM55" s="69"/>
      <c r="SJN55" s="69"/>
      <c r="SJO55" s="69"/>
      <c r="SJP55" s="69"/>
      <c r="SJQ55" s="69"/>
      <c r="SJR55" s="69"/>
      <c r="SJS55" s="69"/>
      <c r="SJT55" s="69"/>
      <c r="SJU55" s="69"/>
      <c r="SJV55" s="69"/>
      <c r="SJW55" s="69"/>
      <c r="SJX55" s="69"/>
      <c r="SJY55" s="69"/>
      <c r="SJZ55" s="69"/>
      <c r="SKA55" s="69"/>
      <c r="SKB55" s="69"/>
      <c r="SKC55" s="69"/>
      <c r="SKD55" s="69"/>
      <c r="SKE55" s="69"/>
      <c r="SKF55" s="69"/>
      <c r="SKG55" s="69"/>
      <c r="SKH55" s="69"/>
      <c r="SKI55" s="69"/>
      <c r="SKJ55" s="69"/>
      <c r="SKK55" s="69"/>
      <c r="SKL55" s="69"/>
      <c r="SKM55" s="69"/>
      <c r="SKN55" s="69"/>
      <c r="SKO55" s="69"/>
      <c r="SKP55" s="69"/>
      <c r="SKQ55" s="69"/>
      <c r="SKR55" s="69"/>
      <c r="SKS55" s="69"/>
      <c r="SKT55" s="69"/>
      <c r="SKU55" s="69"/>
      <c r="SKV55" s="69"/>
      <c r="SKW55" s="69"/>
      <c r="SKX55" s="69"/>
      <c r="SKY55" s="69"/>
      <c r="SKZ55" s="69"/>
      <c r="SLA55" s="69"/>
      <c r="SLB55" s="69"/>
      <c r="SLC55" s="69"/>
      <c r="SLD55" s="69"/>
      <c r="SLE55" s="69"/>
      <c r="SLF55" s="69"/>
      <c r="SLG55" s="69"/>
      <c r="SLH55" s="69"/>
      <c r="SLI55" s="69"/>
      <c r="SLJ55" s="69"/>
      <c r="SLK55" s="69"/>
      <c r="SLL55" s="69"/>
      <c r="SLM55" s="69"/>
      <c r="SLN55" s="69"/>
      <c r="SLO55" s="69"/>
      <c r="SLP55" s="69"/>
      <c r="SLQ55" s="69"/>
      <c r="SLR55" s="69"/>
      <c r="SLS55" s="69"/>
      <c r="SLT55" s="69"/>
      <c r="SLU55" s="69"/>
      <c r="SLV55" s="69"/>
      <c r="SLW55" s="69"/>
      <c r="SLX55" s="69"/>
      <c r="SLY55" s="69"/>
      <c r="SLZ55" s="69"/>
      <c r="SMA55" s="69"/>
      <c r="SMB55" s="69"/>
      <c r="SMC55" s="69"/>
      <c r="SMD55" s="69"/>
      <c r="SME55" s="69"/>
      <c r="SMF55" s="69"/>
      <c r="SMG55" s="69"/>
      <c r="SMH55" s="69"/>
      <c r="SMI55" s="69"/>
      <c r="SMJ55" s="69"/>
      <c r="SMK55" s="69"/>
      <c r="SML55" s="69"/>
      <c r="SMM55" s="69"/>
      <c r="SMN55" s="69"/>
      <c r="SMO55" s="69"/>
      <c r="SMP55" s="69"/>
      <c r="SMQ55" s="69"/>
      <c r="SMR55" s="69"/>
      <c r="SMS55" s="69"/>
      <c r="SMT55" s="69"/>
      <c r="SMU55" s="69"/>
      <c r="SMV55" s="69"/>
      <c r="SMW55" s="69"/>
      <c r="SMX55" s="69"/>
      <c r="SMY55" s="69"/>
      <c r="SMZ55" s="69"/>
      <c r="SNA55" s="69"/>
      <c r="SNB55" s="69"/>
      <c r="SNC55" s="69"/>
      <c r="SND55" s="69"/>
      <c r="SNE55" s="69"/>
      <c r="SNF55" s="69"/>
      <c r="SNG55" s="69"/>
      <c r="SNH55" s="69"/>
      <c r="SNI55" s="69"/>
      <c r="SNJ55" s="69"/>
      <c r="SNK55" s="69"/>
      <c r="SNL55" s="69"/>
      <c r="SNM55" s="69"/>
      <c r="SNN55" s="69"/>
      <c r="SNO55" s="69"/>
      <c r="SNP55" s="69"/>
      <c r="SNQ55" s="69"/>
      <c r="SNR55" s="69"/>
      <c r="SNS55" s="69"/>
      <c r="SNT55" s="69"/>
      <c r="SNU55" s="69"/>
      <c r="SNV55" s="69"/>
      <c r="SNW55" s="69"/>
      <c r="SNX55" s="69"/>
      <c r="SNY55" s="69"/>
      <c r="SNZ55" s="69"/>
      <c r="SOA55" s="69"/>
      <c r="SOB55" s="69"/>
      <c r="SOC55" s="69"/>
      <c r="SOD55" s="69"/>
      <c r="SOE55" s="69"/>
      <c r="SOF55" s="69"/>
      <c r="SOG55" s="69"/>
      <c r="SOH55" s="69"/>
      <c r="SOI55" s="69"/>
      <c r="SOJ55" s="69"/>
      <c r="SOK55" s="69"/>
      <c r="SOL55" s="69"/>
      <c r="SOM55" s="69"/>
      <c r="SON55" s="69"/>
      <c r="SOO55" s="69"/>
      <c r="SOP55" s="69"/>
      <c r="SOQ55" s="69"/>
      <c r="SOR55" s="69"/>
      <c r="SOS55" s="69"/>
      <c r="SOT55" s="69"/>
      <c r="SOU55" s="69"/>
      <c r="SOV55" s="69"/>
      <c r="SOW55" s="69"/>
      <c r="SOX55" s="69"/>
      <c r="SOY55" s="69"/>
      <c r="SOZ55" s="69"/>
      <c r="SPA55" s="69"/>
      <c r="SPB55" s="69"/>
      <c r="SPC55" s="69"/>
      <c r="SPD55" s="69"/>
      <c r="SPE55" s="69"/>
      <c r="SPF55" s="69"/>
      <c r="SPG55" s="69"/>
      <c r="SPH55" s="69"/>
      <c r="SPI55" s="69"/>
      <c r="SPJ55" s="69"/>
      <c r="SPK55" s="69"/>
      <c r="SPL55" s="69"/>
      <c r="SPM55" s="69"/>
      <c r="SPN55" s="69"/>
      <c r="SPO55" s="69"/>
      <c r="SPP55" s="69"/>
      <c r="SPQ55" s="69"/>
      <c r="SPR55" s="69"/>
      <c r="SPS55" s="69"/>
      <c r="SPT55" s="69"/>
      <c r="SPU55" s="69"/>
      <c r="SPV55" s="69"/>
      <c r="SPW55" s="69"/>
      <c r="SPX55" s="69"/>
      <c r="SPY55" s="69"/>
      <c r="SPZ55" s="69"/>
      <c r="SQA55" s="69"/>
      <c r="SQB55" s="69"/>
      <c r="SQC55" s="69"/>
      <c r="SQD55" s="69"/>
      <c r="SQE55" s="69"/>
      <c r="SQF55" s="69"/>
      <c r="SQG55" s="69"/>
      <c r="SQH55" s="69"/>
      <c r="SQI55" s="69"/>
      <c r="SQJ55" s="69"/>
      <c r="SQK55" s="69"/>
      <c r="SQL55" s="69"/>
      <c r="SQM55" s="69"/>
      <c r="SQN55" s="69"/>
      <c r="SQO55" s="69"/>
      <c r="SQP55" s="69"/>
      <c r="SQQ55" s="69"/>
      <c r="SQR55" s="69"/>
      <c r="SQS55" s="69"/>
      <c r="SQT55" s="69"/>
      <c r="SQU55" s="69"/>
      <c r="SQV55" s="69"/>
      <c r="SQW55" s="69"/>
      <c r="SQX55" s="69"/>
      <c r="SQY55" s="69"/>
      <c r="SQZ55" s="69"/>
      <c r="SRA55" s="69"/>
      <c r="SRB55" s="69"/>
      <c r="SRC55" s="69"/>
      <c r="SRD55" s="69"/>
      <c r="SRE55" s="69"/>
      <c r="SRF55" s="69"/>
      <c r="SRG55" s="69"/>
      <c r="SRH55" s="69"/>
      <c r="SRI55" s="69"/>
      <c r="SRJ55" s="69"/>
      <c r="SRK55" s="69"/>
      <c r="SRL55" s="69"/>
      <c r="SRM55" s="69"/>
      <c r="SRN55" s="69"/>
      <c r="SRO55" s="69"/>
      <c r="SRP55" s="69"/>
      <c r="SRQ55" s="69"/>
      <c r="SRR55" s="69"/>
      <c r="SRS55" s="69"/>
      <c r="SRT55" s="69"/>
      <c r="SRU55" s="69"/>
      <c r="SRV55" s="69"/>
      <c r="SRW55" s="69"/>
      <c r="SRX55" s="69"/>
      <c r="SRY55" s="69"/>
      <c r="SRZ55" s="69"/>
      <c r="SSA55" s="69"/>
      <c r="SSB55" s="69"/>
      <c r="SSC55" s="69"/>
      <c r="SSD55" s="69"/>
      <c r="SSE55" s="69"/>
      <c r="SSF55" s="69"/>
      <c r="SSG55" s="69"/>
      <c r="SSH55" s="69"/>
      <c r="SSI55" s="69"/>
      <c r="SSJ55" s="69"/>
      <c r="SSK55" s="69"/>
      <c r="SSL55" s="69"/>
      <c r="SSM55" s="69"/>
      <c r="SSN55" s="69"/>
      <c r="SSO55" s="69"/>
      <c r="SSP55" s="69"/>
      <c r="SSQ55" s="69"/>
      <c r="SSR55" s="69"/>
      <c r="SSS55" s="69"/>
      <c r="SST55" s="69"/>
      <c r="SSU55" s="69"/>
      <c r="SSV55" s="69"/>
      <c r="SSW55" s="69"/>
      <c r="SSX55" s="69"/>
      <c r="SSY55" s="69"/>
      <c r="SSZ55" s="69"/>
      <c r="STA55" s="69"/>
      <c r="STB55" s="69"/>
      <c r="STC55" s="69"/>
      <c r="STD55" s="69"/>
      <c r="STE55" s="69"/>
      <c r="STF55" s="69"/>
      <c r="STG55" s="69"/>
      <c r="STH55" s="69"/>
      <c r="STI55" s="69"/>
      <c r="STJ55" s="69"/>
      <c r="STK55" s="69"/>
      <c r="STL55" s="69"/>
      <c r="STM55" s="69"/>
      <c r="STN55" s="69"/>
      <c r="STO55" s="69"/>
      <c r="STP55" s="69"/>
      <c r="STQ55" s="69"/>
      <c r="STR55" s="69"/>
      <c r="STS55" s="69"/>
      <c r="STT55" s="69"/>
      <c r="STU55" s="69"/>
      <c r="STV55" s="69"/>
      <c r="STW55" s="69"/>
      <c r="STX55" s="69"/>
      <c r="STY55" s="69"/>
      <c r="STZ55" s="69"/>
      <c r="SUA55" s="69"/>
      <c r="SUB55" s="69"/>
      <c r="SUC55" s="69"/>
      <c r="SUD55" s="69"/>
      <c r="SUE55" s="69"/>
      <c r="SUF55" s="69"/>
      <c r="SUG55" s="69"/>
      <c r="SUH55" s="69"/>
      <c r="SUI55" s="69"/>
      <c r="SUJ55" s="69"/>
      <c r="SUK55" s="69"/>
      <c r="SUL55" s="69"/>
      <c r="SUM55" s="69"/>
      <c r="SUN55" s="69"/>
      <c r="SUO55" s="69"/>
      <c r="SUP55" s="69"/>
      <c r="SUQ55" s="69"/>
      <c r="SUR55" s="69"/>
      <c r="SUS55" s="69"/>
      <c r="SUT55" s="69"/>
      <c r="SUU55" s="69"/>
      <c r="SUV55" s="69"/>
      <c r="SUW55" s="69"/>
      <c r="SUX55" s="69"/>
      <c r="SUY55" s="69"/>
      <c r="SUZ55" s="69"/>
      <c r="SVA55" s="69"/>
      <c r="SVB55" s="69"/>
      <c r="SVC55" s="69"/>
      <c r="SVD55" s="69"/>
      <c r="SVE55" s="69"/>
      <c r="SVF55" s="69"/>
      <c r="SVG55" s="69"/>
      <c r="SVH55" s="69"/>
      <c r="SVI55" s="69"/>
      <c r="SVJ55" s="69"/>
      <c r="SVK55" s="69"/>
      <c r="SVL55" s="69"/>
      <c r="SVM55" s="69"/>
      <c r="SVN55" s="69"/>
      <c r="SVO55" s="69"/>
      <c r="SVP55" s="69"/>
      <c r="SVQ55" s="69"/>
      <c r="SVR55" s="69"/>
      <c r="SVS55" s="69"/>
      <c r="SVT55" s="69"/>
      <c r="SVU55" s="69"/>
      <c r="SVV55" s="69"/>
      <c r="SVW55" s="69"/>
      <c r="SVX55" s="69"/>
      <c r="SVY55" s="69"/>
      <c r="SVZ55" s="69"/>
      <c r="SWA55" s="69"/>
      <c r="SWB55" s="69"/>
      <c r="SWC55" s="69"/>
      <c r="SWD55" s="69"/>
      <c r="SWE55" s="69"/>
      <c r="SWF55" s="69"/>
      <c r="SWG55" s="69"/>
      <c r="SWH55" s="69"/>
      <c r="SWI55" s="69"/>
      <c r="SWJ55" s="69"/>
      <c r="SWK55" s="69"/>
      <c r="SWL55" s="69"/>
      <c r="SWM55" s="69"/>
      <c r="SWN55" s="69"/>
      <c r="SWO55" s="69"/>
      <c r="SWP55" s="69"/>
      <c r="SWQ55" s="69"/>
      <c r="SWR55" s="69"/>
      <c r="SWS55" s="69"/>
      <c r="SWT55" s="69"/>
      <c r="SWU55" s="69"/>
      <c r="SWV55" s="69"/>
      <c r="SWW55" s="69"/>
      <c r="SWX55" s="69"/>
      <c r="SWY55" s="69"/>
      <c r="SWZ55" s="69"/>
      <c r="SXA55" s="69"/>
      <c r="SXB55" s="69"/>
      <c r="SXC55" s="69"/>
      <c r="SXD55" s="69"/>
      <c r="SXE55" s="69"/>
      <c r="SXF55" s="69"/>
      <c r="SXG55" s="69"/>
      <c r="SXH55" s="69"/>
      <c r="SXI55" s="69"/>
      <c r="SXJ55" s="69"/>
      <c r="SXK55" s="69"/>
      <c r="SXL55" s="69"/>
      <c r="SXM55" s="69"/>
      <c r="SXN55" s="69"/>
      <c r="SXO55" s="69"/>
      <c r="SXP55" s="69"/>
      <c r="SXQ55" s="69"/>
      <c r="SXR55" s="69"/>
      <c r="SXS55" s="69"/>
      <c r="SXT55" s="69"/>
      <c r="SXU55" s="69"/>
      <c r="SXV55" s="69"/>
      <c r="SXW55" s="69"/>
      <c r="SXX55" s="69"/>
      <c r="SXY55" s="69"/>
      <c r="SXZ55" s="69"/>
      <c r="SYA55" s="69"/>
      <c r="SYB55" s="69"/>
      <c r="SYC55" s="69"/>
      <c r="SYD55" s="69"/>
      <c r="SYE55" s="69"/>
      <c r="SYF55" s="69"/>
      <c r="SYG55" s="69"/>
      <c r="SYH55" s="69"/>
      <c r="SYI55" s="69"/>
      <c r="SYJ55" s="69"/>
      <c r="SYK55" s="69"/>
      <c r="SYL55" s="69"/>
      <c r="SYM55" s="69"/>
      <c r="SYN55" s="69"/>
      <c r="SYO55" s="69"/>
      <c r="SYP55" s="69"/>
      <c r="SYQ55" s="69"/>
      <c r="SYR55" s="69"/>
      <c r="SYS55" s="69"/>
      <c r="SYT55" s="69"/>
      <c r="SYU55" s="69"/>
      <c r="SYV55" s="69"/>
      <c r="SYW55" s="69"/>
      <c r="SYX55" s="69"/>
      <c r="SYY55" s="69"/>
      <c r="SYZ55" s="69"/>
      <c r="SZA55" s="69"/>
      <c r="SZB55" s="69"/>
      <c r="SZC55" s="69"/>
      <c r="SZD55" s="69"/>
      <c r="SZE55" s="69"/>
      <c r="SZF55" s="69"/>
      <c r="SZG55" s="69"/>
      <c r="SZH55" s="69"/>
      <c r="SZI55" s="69"/>
      <c r="SZJ55" s="69"/>
      <c r="SZK55" s="69"/>
      <c r="SZL55" s="69"/>
      <c r="SZM55" s="69"/>
      <c r="SZN55" s="69"/>
      <c r="SZO55" s="69"/>
      <c r="SZP55" s="69"/>
      <c r="SZQ55" s="69"/>
      <c r="SZR55" s="69"/>
      <c r="SZS55" s="69"/>
      <c r="SZT55" s="69"/>
      <c r="SZU55" s="69"/>
      <c r="SZV55" s="69"/>
      <c r="SZW55" s="69"/>
      <c r="SZX55" s="69"/>
      <c r="SZY55" s="69"/>
      <c r="SZZ55" s="69"/>
      <c r="TAA55" s="69"/>
      <c r="TAB55" s="69"/>
      <c r="TAC55" s="69"/>
      <c r="TAD55" s="69"/>
      <c r="TAE55" s="69"/>
      <c r="TAF55" s="69"/>
      <c r="TAG55" s="69"/>
      <c r="TAH55" s="69"/>
      <c r="TAI55" s="69"/>
      <c r="TAJ55" s="69"/>
      <c r="TAK55" s="69"/>
      <c r="TAL55" s="69"/>
      <c r="TAM55" s="69"/>
      <c r="TAN55" s="69"/>
      <c r="TAO55" s="69"/>
      <c r="TAP55" s="69"/>
      <c r="TAQ55" s="69"/>
      <c r="TAR55" s="69"/>
      <c r="TAS55" s="69"/>
      <c r="TAT55" s="69"/>
      <c r="TAU55" s="69"/>
      <c r="TAV55" s="69"/>
      <c r="TAW55" s="69"/>
      <c r="TAX55" s="69"/>
      <c r="TAY55" s="69"/>
      <c r="TAZ55" s="69"/>
      <c r="TBA55" s="69"/>
      <c r="TBB55" s="69"/>
      <c r="TBC55" s="69"/>
      <c r="TBD55" s="69"/>
      <c r="TBE55" s="69"/>
      <c r="TBF55" s="69"/>
      <c r="TBG55" s="69"/>
      <c r="TBH55" s="69"/>
      <c r="TBI55" s="69"/>
      <c r="TBJ55" s="69"/>
      <c r="TBK55" s="69"/>
      <c r="TBL55" s="69"/>
      <c r="TBM55" s="69"/>
      <c r="TBN55" s="69"/>
      <c r="TBO55" s="69"/>
      <c r="TBP55" s="69"/>
      <c r="TBQ55" s="69"/>
      <c r="TBR55" s="69"/>
      <c r="TBS55" s="69"/>
      <c r="TBT55" s="69"/>
      <c r="TBU55" s="69"/>
      <c r="TBV55" s="69"/>
      <c r="TBW55" s="69"/>
      <c r="TBX55" s="69"/>
      <c r="TBY55" s="69"/>
      <c r="TBZ55" s="69"/>
      <c r="TCA55" s="69"/>
      <c r="TCB55" s="69"/>
      <c r="TCC55" s="69"/>
      <c r="TCD55" s="69"/>
      <c r="TCE55" s="69"/>
      <c r="TCF55" s="69"/>
      <c r="TCG55" s="69"/>
      <c r="TCH55" s="69"/>
      <c r="TCI55" s="69"/>
      <c r="TCJ55" s="69"/>
      <c r="TCK55" s="69"/>
      <c r="TCL55" s="69"/>
      <c r="TCM55" s="69"/>
      <c r="TCN55" s="69"/>
      <c r="TCO55" s="69"/>
      <c r="TCP55" s="69"/>
      <c r="TCQ55" s="69"/>
      <c r="TCR55" s="69"/>
      <c r="TCS55" s="69"/>
      <c r="TCT55" s="69"/>
      <c r="TCU55" s="69"/>
      <c r="TCV55" s="69"/>
      <c r="TCW55" s="69"/>
      <c r="TCX55" s="69"/>
      <c r="TCY55" s="69"/>
      <c r="TCZ55" s="69"/>
      <c r="TDA55" s="69"/>
      <c r="TDB55" s="69"/>
      <c r="TDC55" s="69"/>
      <c r="TDD55" s="69"/>
      <c r="TDE55" s="69"/>
      <c r="TDF55" s="69"/>
      <c r="TDG55" s="69"/>
      <c r="TDH55" s="69"/>
      <c r="TDI55" s="69"/>
      <c r="TDJ55" s="69"/>
      <c r="TDK55" s="69"/>
      <c r="TDL55" s="69"/>
      <c r="TDM55" s="69"/>
      <c r="TDN55" s="69"/>
      <c r="TDO55" s="69"/>
      <c r="TDP55" s="69"/>
      <c r="TDQ55" s="69"/>
      <c r="TDR55" s="69"/>
      <c r="TDS55" s="69"/>
      <c r="TDT55" s="69"/>
      <c r="TDU55" s="69"/>
      <c r="TDV55" s="69"/>
      <c r="TDW55" s="69"/>
      <c r="TDX55" s="69"/>
      <c r="TDY55" s="69"/>
      <c r="TDZ55" s="69"/>
      <c r="TEA55" s="69"/>
      <c r="TEB55" s="69"/>
      <c r="TEC55" s="69"/>
      <c r="TED55" s="69"/>
      <c r="TEE55" s="69"/>
      <c r="TEF55" s="69"/>
      <c r="TEG55" s="69"/>
      <c r="TEH55" s="69"/>
      <c r="TEI55" s="69"/>
      <c r="TEJ55" s="69"/>
      <c r="TEK55" s="69"/>
      <c r="TEL55" s="69"/>
      <c r="TEM55" s="69"/>
      <c r="TEN55" s="69"/>
      <c r="TEO55" s="69"/>
      <c r="TEP55" s="69"/>
      <c r="TEQ55" s="69"/>
      <c r="TER55" s="69"/>
      <c r="TES55" s="69"/>
      <c r="TET55" s="69"/>
      <c r="TEU55" s="69"/>
      <c r="TEV55" s="69"/>
      <c r="TEW55" s="69"/>
      <c r="TEX55" s="69"/>
      <c r="TEY55" s="69"/>
      <c r="TEZ55" s="69"/>
      <c r="TFA55" s="69"/>
      <c r="TFB55" s="69"/>
      <c r="TFC55" s="69"/>
      <c r="TFD55" s="69"/>
      <c r="TFE55" s="69"/>
      <c r="TFF55" s="69"/>
      <c r="TFG55" s="69"/>
      <c r="TFH55" s="69"/>
      <c r="TFI55" s="69"/>
      <c r="TFJ55" s="69"/>
      <c r="TFK55" s="69"/>
      <c r="TFL55" s="69"/>
      <c r="TFM55" s="69"/>
      <c r="TFN55" s="69"/>
      <c r="TFO55" s="69"/>
      <c r="TFP55" s="69"/>
      <c r="TFQ55" s="69"/>
      <c r="TFR55" s="69"/>
      <c r="TFS55" s="69"/>
      <c r="TFT55" s="69"/>
      <c r="TFU55" s="69"/>
      <c r="TFV55" s="69"/>
      <c r="TFW55" s="69"/>
      <c r="TFX55" s="69"/>
      <c r="TFY55" s="69"/>
      <c r="TFZ55" s="69"/>
      <c r="TGA55" s="69"/>
      <c r="TGB55" s="69"/>
      <c r="TGC55" s="69"/>
      <c r="TGD55" s="69"/>
      <c r="TGE55" s="69"/>
      <c r="TGF55" s="69"/>
      <c r="TGG55" s="69"/>
      <c r="TGH55" s="69"/>
      <c r="TGI55" s="69"/>
      <c r="TGJ55" s="69"/>
      <c r="TGK55" s="69"/>
      <c r="TGL55" s="69"/>
      <c r="TGM55" s="69"/>
      <c r="TGN55" s="69"/>
      <c r="TGO55" s="69"/>
      <c r="TGP55" s="69"/>
      <c r="TGQ55" s="69"/>
      <c r="TGR55" s="69"/>
      <c r="TGS55" s="69"/>
      <c r="TGT55" s="69"/>
      <c r="TGU55" s="69"/>
      <c r="TGV55" s="69"/>
      <c r="TGW55" s="69"/>
      <c r="TGX55" s="69"/>
      <c r="TGY55" s="69"/>
      <c r="TGZ55" s="69"/>
      <c r="THA55" s="69"/>
      <c r="THB55" s="69"/>
      <c r="THC55" s="69"/>
      <c r="THD55" s="69"/>
      <c r="THE55" s="69"/>
      <c r="THF55" s="69"/>
      <c r="THG55" s="69"/>
      <c r="THH55" s="69"/>
      <c r="THI55" s="69"/>
      <c r="THJ55" s="69"/>
      <c r="THK55" s="69"/>
      <c r="THL55" s="69"/>
      <c r="THM55" s="69"/>
      <c r="THN55" s="69"/>
      <c r="THO55" s="69"/>
      <c r="THP55" s="69"/>
      <c r="THQ55" s="69"/>
      <c r="THR55" s="69"/>
      <c r="THS55" s="69"/>
      <c r="THT55" s="69"/>
      <c r="THU55" s="69"/>
      <c r="THV55" s="69"/>
      <c r="THW55" s="69"/>
      <c r="THX55" s="69"/>
      <c r="THY55" s="69"/>
      <c r="THZ55" s="69"/>
      <c r="TIA55" s="69"/>
      <c r="TIB55" s="69"/>
      <c r="TIC55" s="69"/>
      <c r="TID55" s="69"/>
      <c r="TIE55" s="69"/>
      <c r="TIF55" s="69"/>
      <c r="TIG55" s="69"/>
      <c r="TIH55" s="69"/>
      <c r="TII55" s="69"/>
      <c r="TIJ55" s="69"/>
      <c r="TIK55" s="69"/>
      <c r="TIL55" s="69"/>
      <c r="TIM55" s="69"/>
      <c r="TIN55" s="69"/>
      <c r="TIO55" s="69"/>
      <c r="TIP55" s="69"/>
      <c r="TIQ55" s="69"/>
      <c r="TIR55" s="69"/>
      <c r="TIS55" s="69"/>
      <c r="TIT55" s="69"/>
      <c r="TIU55" s="69"/>
      <c r="TIV55" s="69"/>
      <c r="TIW55" s="69"/>
      <c r="TIX55" s="69"/>
      <c r="TIY55" s="69"/>
      <c r="TIZ55" s="69"/>
      <c r="TJA55" s="69"/>
      <c r="TJB55" s="69"/>
      <c r="TJC55" s="69"/>
      <c r="TJD55" s="69"/>
      <c r="TJE55" s="69"/>
      <c r="TJF55" s="69"/>
      <c r="TJG55" s="69"/>
      <c r="TJH55" s="69"/>
      <c r="TJI55" s="69"/>
      <c r="TJJ55" s="69"/>
      <c r="TJK55" s="69"/>
      <c r="TJL55" s="69"/>
      <c r="TJM55" s="69"/>
      <c r="TJN55" s="69"/>
      <c r="TJO55" s="69"/>
      <c r="TJP55" s="69"/>
      <c r="TJQ55" s="69"/>
      <c r="TJR55" s="69"/>
      <c r="TJS55" s="69"/>
      <c r="TJT55" s="69"/>
      <c r="TJU55" s="69"/>
      <c r="TJV55" s="69"/>
      <c r="TJW55" s="69"/>
      <c r="TJX55" s="69"/>
      <c r="TJY55" s="69"/>
      <c r="TJZ55" s="69"/>
      <c r="TKA55" s="69"/>
      <c r="TKB55" s="69"/>
      <c r="TKC55" s="69"/>
      <c r="TKD55" s="69"/>
      <c r="TKE55" s="69"/>
      <c r="TKF55" s="69"/>
      <c r="TKG55" s="69"/>
      <c r="TKH55" s="69"/>
      <c r="TKI55" s="69"/>
      <c r="TKJ55" s="69"/>
      <c r="TKK55" s="69"/>
      <c r="TKL55" s="69"/>
      <c r="TKM55" s="69"/>
      <c r="TKN55" s="69"/>
      <c r="TKO55" s="69"/>
      <c r="TKP55" s="69"/>
      <c r="TKQ55" s="69"/>
      <c r="TKR55" s="69"/>
      <c r="TKS55" s="69"/>
      <c r="TKT55" s="69"/>
      <c r="TKU55" s="69"/>
      <c r="TKV55" s="69"/>
      <c r="TKW55" s="69"/>
      <c r="TKX55" s="69"/>
      <c r="TKY55" s="69"/>
      <c r="TKZ55" s="69"/>
      <c r="TLA55" s="69"/>
      <c r="TLB55" s="69"/>
      <c r="TLC55" s="69"/>
      <c r="TLD55" s="69"/>
      <c r="TLE55" s="69"/>
      <c r="TLF55" s="69"/>
      <c r="TLG55" s="69"/>
      <c r="TLH55" s="69"/>
      <c r="TLI55" s="69"/>
      <c r="TLJ55" s="69"/>
      <c r="TLK55" s="69"/>
      <c r="TLL55" s="69"/>
      <c r="TLM55" s="69"/>
      <c r="TLN55" s="69"/>
      <c r="TLO55" s="69"/>
      <c r="TLP55" s="69"/>
      <c r="TLQ55" s="69"/>
      <c r="TLR55" s="69"/>
      <c r="TLS55" s="69"/>
      <c r="TLT55" s="69"/>
      <c r="TLU55" s="69"/>
      <c r="TLV55" s="69"/>
      <c r="TLW55" s="69"/>
      <c r="TLX55" s="69"/>
      <c r="TLY55" s="69"/>
      <c r="TLZ55" s="69"/>
      <c r="TMA55" s="69"/>
      <c r="TMB55" s="69"/>
      <c r="TMC55" s="69"/>
      <c r="TMD55" s="69"/>
      <c r="TME55" s="69"/>
      <c r="TMF55" s="69"/>
      <c r="TMG55" s="69"/>
      <c r="TMH55" s="69"/>
      <c r="TMI55" s="69"/>
      <c r="TMJ55" s="69"/>
      <c r="TMK55" s="69"/>
      <c r="TML55" s="69"/>
      <c r="TMM55" s="69"/>
      <c r="TMN55" s="69"/>
      <c r="TMO55" s="69"/>
      <c r="TMP55" s="69"/>
      <c r="TMQ55" s="69"/>
      <c r="TMR55" s="69"/>
      <c r="TMS55" s="69"/>
      <c r="TMT55" s="69"/>
      <c r="TMU55" s="69"/>
      <c r="TMV55" s="69"/>
      <c r="TMW55" s="69"/>
      <c r="TMX55" s="69"/>
      <c r="TMY55" s="69"/>
      <c r="TMZ55" s="69"/>
      <c r="TNA55" s="69"/>
      <c r="TNB55" s="69"/>
      <c r="TNC55" s="69"/>
      <c r="TND55" s="69"/>
      <c r="TNE55" s="69"/>
      <c r="TNF55" s="69"/>
      <c r="TNG55" s="69"/>
      <c r="TNH55" s="69"/>
      <c r="TNI55" s="69"/>
      <c r="TNJ55" s="69"/>
      <c r="TNK55" s="69"/>
      <c r="TNL55" s="69"/>
      <c r="TNM55" s="69"/>
      <c r="TNN55" s="69"/>
      <c r="TNO55" s="69"/>
      <c r="TNP55" s="69"/>
      <c r="TNQ55" s="69"/>
      <c r="TNR55" s="69"/>
      <c r="TNS55" s="69"/>
      <c r="TNT55" s="69"/>
      <c r="TNU55" s="69"/>
      <c r="TNV55" s="69"/>
      <c r="TNW55" s="69"/>
      <c r="TNX55" s="69"/>
      <c r="TNY55" s="69"/>
      <c r="TNZ55" s="69"/>
      <c r="TOA55" s="69"/>
      <c r="TOB55" s="69"/>
      <c r="TOC55" s="69"/>
      <c r="TOD55" s="69"/>
      <c r="TOE55" s="69"/>
      <c r="TOF55" s="69"/>
      <c r="TOG55" s="69"/>
      <c r="TOH55" s="69"/>
      <c r="TOI55" s="69"/>
      <c r="TOJ55" s="69"/>
      <c r="TOK55" s="69"/>
      <c r="TOL55" s="69"/>
      <c r="TOM55" s="69"/>
      <c r="TON55" s="69"/>
      <c r="TOO55" s="69"/>
      <c r="TOP55" s="69"/>
      <c r="TOQ55" s="69"/>
      <c r="TOR55" s="69"/>
      <c r="TOS55" s="69"/>
      <c r="TOT55" s="69"/>
      <c r="TOU55" s="69"/>
      <c r="TOV55" s="69"/>
      <c r="TOW55" s="69"/>
      <c r="TOX55" s="69"/>
      <c r="TOY55" s="69"/>
      <c r="TOZ55" s="69"/>
      <c r="TPA55" s="69"/>
      <c r="TPB55" s="69"/>
      <c r="TPC55" s="69"/>
      <c r="TPD55" s="69"/>
      <c r="TPE55" s="69"/>
      <c r="TPF55" s="69"/>
      <c r="TPG55" s="69"/>
      <c r="TPH55" s="69"/>
      <c r="TPI55" s="69"/>
      <c r="TPJ55" s="69"/>
      <c r="TPK55" s="69"/>
      <c r="TPL55" s="69"/>
      <c r="TPM55" s="69"/>
      <c r="TPN55" s="69"/>
      <c r="TPO55" s="69"/>
      <c r="TPP55" s="69"/>
      <c r="TPQ55" s="69"/>
      <c r="TPR55" s="69"/>
      <c r="TPS55" s="69"/>
      <c r="TPT55" s="69"/>
      <c r="TPU55" s="69"/>
      <c r="TPV55" s="69"/>
      <c r="TPW55" s="69"/>
      <c r="TPX55" s="69"/>
      <c r="TPY55" s="69"/>
      <c r="TPZ55" s="69"/>
      <c r="TQA55" s="69"/>
      <c r="TQB55" s="69"/>
      <c r="TQC55" s="69"/>
      <c r="TQD55" s="69"/>
      <c r="TQE55" s="69"/>
      <c r="TQF55" s="69"/>
      <c r="TQG55" s="69"/>
      <c r="TQH55" s="69"/>
      <c r="TQI55" s="69"/>
      <c r="TQJ55" s="69"/>
      <c r="TQK55" s="69"/>
      <c r="TQL55" s="69"/>
      <c r="TQM55" s="69"/>
      <c r="TQN55" s="69"/>
      <c r="TQO55" s="69"/>
      <c r="TQP55" s="69"/>
      <c r="TQQ55" s="69"/>
      <c r="TQR55" s="69"/>
      <c r="TQS55" s="69"/>
      <c r="TQT55" s="69"/>
      <c r="TQU55" s="69"/>
      <c r="TQV55" s="69"/>
      <c r="TQW55" s="69"/>
      <c r="TQX55" s="69"/>
      <c r="TQY55" s="69"/>
      <c r="TQZ55" s="69"/>
      <c r="TRA55" s="69"/>
      <c r="TRB55" s="69"/>
      <c r="TRC55" s="69"/>
      <c r="TRD55" s="69"/>
      <c r="TRE55" s="69"/>
      <c r="TRF55" s="69"/>
      <c r="TRG55" s="69"/>
      <c r="TRH55" s="69"/>
      <c r="TRI55" s="69"/>
      <c r="TRJ55" s="69"/>
      <c r="TRK55" s="69"/>
      <c r="TRL55" s="69"/>
      <c r="TRM55" s="69"/>
      <c r="TRN55" s="69"/>
      <c r="TRO55" s="69"/>
      <c r="TRP55" s="69"/>
      <c r="TRQ55" s="69"/>
      <c r="TRR55" s="69"/>
      <c r="TRS55" s="69"/>
      <c r="TRT55" s="69"/>
      <c r="TRU55" s="69"/>
      <c r="TRV55" s="69"/>
      <c r="TRW55" s="69"/>
      <c r="TRX55" s="69"/>
      <c r="TRY55" s="69"/>
      <c r="TRZ55" s="69"/>
      <c r="TSA55" s="69"/>
      <c r="TSB55" s="69"/>
      <c r="TSC55" s="69"/>
      <c r="TSD55" s="69"/>
      <c r="TSE55" s="69"/>
      <c r="TSF55" s="69"/>
      <c r="TSG55" s="69"/>
      <c r="TSH55" s="69"/>
      <c r="TSI55" s="69"/>
      <c r="TSJ55" s="69"/>
      <c r="TSK55" s="69"/>
      <c r="TSL55" s="69"/>
      <c r="TSM55" s="69"/>
      <c r="TSN55" s="69"/>
      <c r="TSO55" s="69"/>
      <c r="TSP55" s="69"/>
      <c r="TSQ55" s="69"/>
      <c r="TSR55" s="69"/>
      <c r="TSS55" s="69"/>
      <c r="TST55" s="69"/>
      <c r="TSU55" s="69"/>
      <c r="TSV55" s="69"/>
      <c r="TSW55" s="69"/>
      <c r="TSX55" s="69"/>
      <c r="TSY55" s="69"/>
      <c r="TSZ55" s="69"/>
      <c r="TTA55" s="69"/>
      <c r="TTB55" s="69"/>
      <c r="TTC55" s="69"/>
      <c r="TTD55" s="69"/>
      <c r="TTE55" s="69"/>
      <c r="TTF55" s="69"/>
      <c r="TTG55" s="69"/>
      <c r="TTH55" s="69"/>
      <c r="TTI55" s="69"/>
      <c r="TTJ55" s="69"/>
      <c r="TTK55" s="69"/>
      <c r="TTL55" s="69"/>
      <c r="TTM55" s="69"/>
      <c r="TTN55" s="69"/>
      <c r="TTO55" s="69"/>
      <c r="TTP55" s="69"/>
      <c r="TTQ55" s="69"/>
      <c r="TTR55" s="69"/>
      <c r="TTS55" s="69"/>
      <c r="TTT55" s="69"/>
      <c r="TTU55" s="69"/>
      <c r="TTV55" s="69"/>
      <c r="TTW55" s="69"/>
      <c r="TTX55" s="69"/>
      <c r="TTY55" s="69"/>
      <c r="TTZ55" s="69"/>
      <c r="TUA55" s="69"/>
      <c r="TUB55" s="69"/>
      <c r="TUC55" s="69"/>
      <c r="TUD55" s="69"/>
      <c r="TUE55" s="69"/>
      <c r="TUF55" s="69"/>
      <c r="TUG55" s="69"/>
      <c r="TUH55" s="69"/>
      <c r="TUI55" s="69"/>
      <c r="TUJ55" s="69"/>
      <c r="TUK55" s="69"/>
      <c r="TUL55" s="69"/>
      <c r="TUM55" s="69"/>
      <c r="TUN55" s="69"/>
      <c r="TUO55" s="69"/>
      <c r="TUP55" s="69"/>
      <c r="TUQ55" s="69"/>
      <c r="TUR55" s="69"/>
      <c r="TUS55" s="69"/>
      <c r="TUT55" s="69"/>
      <c r="TUU55" s="69"/>
      <c r="TUV55" s="69"/>
      <c r="TUW55" s="69"/>
      <c r="TUX55" s="69"/>
      <c r="TUY55" s="69"/>
      <c r="TUZ55" s="69"/>
      <c r="TVA55" s="69"/>
      <c r="TVB55" s="69"/>
      <c r="TVC55" s="69"/>
      <c r="TVD55" s="69"/>
      <c r="TVE55" s="69"/>
      <c r="TVF55" s="69"/>
      <c r="TVG55" s="69"/>
      <c r="TVH55" s="69"/>
      <c r="TVI55" s="69"/>
      <c r="TVJ55" s="69"/>
      <c r="TVK55" s="69"/>
      <c r="TVL55" s="69"/>
      <c r="TVM55" s="69"/>
      <c r="TVN55" s="69"/>
      <c r="TVO55" s="69"/>
      <c r="TVP55" s="69"/>
      <c r="TVQ55" s="69"/>
      <c r="TVR55" s="69"/>
      <c r="TVS55" s="69"/>
      <c r="TVT55" s="69"/>
      <c r="TVU55" s="69"/>
      <c r="TVV55" s="69"/>
      <c r="TVW55" s="69"/>
      <c r="TVX55" s="69"/>
      <c r="TVY55" s="69"/>
      <c r="TVZ55" s="69"/>
      <c r="TWA55" s="69"/>
      <c r="TWB55" s="69"/>
      <c r="TWC55" s="69"/>
      <c r="TWD55" s="69"/>
      <c r="TWE55" s="69"/>
      <c r="TWF55" s="69"/>
      <c r="TWG55" s="69"/>
      <c r="TWH55" s="69"/>
      <c r="TWI55" s="69"/>
      <c r="TWJ55" s="69"/>
      <c r="TWK55" s="69"/>
      <c r="TWL55" s="69"/>
      <c r="TWM55" s="69"/>
      <c r="TWN55" s="69"/>
      <c r="TWO55" s="69"/>
      <c r="TWP55" s="69"/>
      <c r="TWQ55" s="69"/>
      <c r="TWR55" s="69"/>
      <c r="TWS55" s="69"/>
      <c r="TWT55" s="69"/>
      <c r="TWU55" s="69"/>
      <c r="TWV55" s="69"/>
      <c r="TWW55" s="69"/>
      <c r="TWX55" s="69"/>
      <c r="TWY55" s="69"/>
      <c r="TWZ55" s="69"/>
      <c r="TXA55" s="69"/>
      <c r="TXB55" s="69"/>
      <c r="TXC55" s="69"/>
      <c r="TXD55" s="69"/>
      <c r="TXE55" s="69"/>
      <c r="TXF55" s="69"/>
      <c r="TXG55" s="69"/>
      <c r="TXH55" s="69"/>
      <c r="TXI55" s="69"/>
      <c r="TXJ55" s="69"/>
      <c r="TXK55" s="69"/>
      <c r="TXL55" s="69"/>
      <c r="TXM55" s="69"/>
      <c r="TXN55" s="69"/>
      <c r="TXO55" s="69"/>
      <c r="TXP55" s="69"/>
      <c r="TXQ55" s="69"/>
      <c r="TXR55" s="69"/>
      <c r="TXS55" s="69"/>
      <c r="TXT55" s="69"/>
      <c r="TXU55" s="69"/>
      <c r="TXV55" s="69"/>
      <c r="TXW55" s="69"/>
      <c r="TXX55" s="69"/>
      <c r="TXY55" s="69"/>
      <c r="TXZ55" s="69"/>
      <c r="TYA55" s="69"/>
      <c r="TYB55" s="69"/>
      <c r="TYC55" s="69"/>
      <c r="TYD55" s="69"/>
      <c r="TYE55" s="69"/>
      <c r="TYF55" s="69"/>
      <c r="TYG55" s="69"/>
      <c r="TYH55" s="69"/>
      <c r="TYI55" s="69"/>
      <c r="TYJ55" s="69"/>
      <c r="TYK55" s="69"/>
      <c r="TYL55" s="69"/>
      <c r="TYM55" s="69"/>
      <c r="TYN55" s="69"/>
      <c r="TYO55" s="69"/>
      <c r="TYP55" s="69"/>
      <c r="TYQ55" s="69"/>
      <c r="TYR55" s="69"/>
      <c r="TYS55" s="69"/>
      <c r="TYT55" s="69"/>
      <c r="TYU55" s="69"/>
      <c r="TYV55" s="69"/>
      <c r="TYW55" s="69"/>
      <c r="TYX55" s="69"/>
      <c r="TYY55" s="69"/>
      <c r="TYZ55" s="69"/>
      <c r="TZA55" s="69"/>
      <c r="TZB55" s="69"/>
      <c r="TZC55" s="69"/>
      <c r="TZD55" s="69"/>
      <c r="TZE55" s="69"/>
      <c r="TZF55" s="69"/>
      <c r="TZG55" s="69"/>
      <c r="TZH55" s="69"/>
      <c r="TZI55" s="69"/>
      <c r="TZJ55" s="69"/>
      <c r="TZK55" s="69"/>
      <c r="TZL55" s="69"/>
      <c r="TZM55" s="69"/>
      <c r="TZN55" s="69"/>
      <c r="TZO55" s="69"/>
      <c r="TZP55" s="69"/>
      <c r="TZQ55" s="69"/>
      <c r="TZR55" s="69"/>
      <c r="TZS55" s="69"/>
      <c r="TZT55" s="69"/>
      <c r="TZU55" s="69"/>
      <c r="TZV55" s="69"/>
      <c r="TZW55" s="69"/>
      <c r="TZX55" s="69"/>
      <c r="TZY55" s="69"/>
      <c r="TZZ55" s="69"/>
      <c r="UAA55" s="69"/>
      <c r="UAB55" s="69"/>
      <c r="UAC55" s="69"/>
      <c r="UAD55" s="69"/>
      <c r="UAE55" s="69"/>
      <c r="UAF55" s="69"/>
      <c r="UAG55" s="69"/>
      <c r="UAH55" s="69"/>
      <c r="UAI55" s="69"/>
      <c r="UAJ55" s="69"/>
      <c r="UAK55" s="69"/>
      <c r="UAL55" s="69"/>
      <c r="UAM55" s="69"/>
      <c r="UAN55" s="69"/>
      <c r="UAO55" s="69"/>
      <c r="UAP55" s="69"/>
      <c r="UAQ55" s="69"/>
      <c r="UAR55" s="69"/>
      <c r="UAS55" s="69"/>
      <c r="UAT55" s="69"/>
      <c r="UAU55" s="69"/>
      <c r="UAV55" s="69"/>
      <c r="UAW55" s="69"/>
      <c r="UAX55" s="69"/>
      <c r="UAY55" s="69"/>
      <c r="UAZ55" s="69"/>
      <c r="UBA55" s="69"/>
      <c r="UBB55" s="69"/>
      <c r="UBC55" s="69"/>
      <c r="UBD55" s="69"/>
      <c r="UBE55" s="69"/>
      <c r="UBF55" s="69"/>
      <c r="UBG55" s="69"/>
      <c r="UBH55" s="69"/>
      <c r="UBI55" s="69"/>
      <c r="UBJ55" s="69"/>
      <c r="UBK55" s="69"/>
      <c r="UBL55" s="69"/>
      <c r="UBM55" s="69"/>
      <c r="UBN55" s="69"/>
      <c r="UBO55" s="69"/>
      <c r="UBP55" s="69"/>
      <c r="UBQ55" s="69"/>
      <c r="UBR55" s="69"/>
      <c r="UBS55" s="69"/>
      <c r="UBT55" s="69"/>
      <c r="UBU55" s="69"/>
      <c r="UBV55" s="69"/>
      <c r="UBW55" s="69"/>
      <c r="UBX55" s="69"/>
      <c r="UBY55" s="69"/>
      <c r="UBZ55" s="69"/>
      <c r="UCA55" s="69"/>
      <c r="UCB55" s="69"/>
      <c r="UCC55" s="69"/>
      <c r="UCD55" s="69"/>
      <c r="UCE55" s="69"/>
      <c r="UCF55" s="69"/>
      <c r="UCG55" s="69"/>
      <c r="UCH55" s="69"/>
      <c r="UCI55" s="69"/>
      <c r="UCJ55" s="69"/>
      <c r="UCK55" s="69"/>
      <c r="UCL55" s="69"/>
      <c r="UCM55" s="69"/>
      <c r="UCN55" s="69"/>
      <c r="UCO55" s="69"/>
      <c r="UCP55" s="69"/>
      <c r="UCQ55" s="69"/>
      <c r="UCR55" s="69"/>
      <c r="UCS55" s="69"/>
      <c r="UCT55" s="69"/>
      <c r="UCU55" s="69"/>
      <c r="UCV55" s="69"/>
      <c r="UCW55" s="69"/>
      <c r="UCX55" s="69"/>
      <c r="UCY55" s="69"/>
      <c r="UCZ55" s="69"/>
      <c r="UDA55" s="69"/>
      <c r="UDB55" s="69"/>
      <c r="UDC55" s="69"/>
      <c r="UDD55" s="69"/>
      <c r="UDE55" s="69"/>
      <c r="UDF55" s="69"/>
      <c r="UDG55" s="69"/>
      <c r="UDH55" s="69"/>
      <c r="UDI55" s="69"/>
      <c r="UDJ55" s="69"/>
      <c r="UDK55" s="69"/>
      <c r="UDL55" s="69"/>
      <c r="UDM55" s="69"/>
      <c r="UDN55" s="69"/>
      <c r="UDO55" s="69"/>
      <c r="UDP55" s="69"/>
      <c r="UDQ55" s="69"/>
      <c r="UDR55" s="69"/>
      <c r="UDS55" s="69"/>
      <c r="UDT55" s="69"/>
      <c r="UDU55" s="69"/>
      <c r="UDV55" s="69"/>
      <c r="UDW55" s="69"/>
      <c r="UDX55" s="69"/>
      <c r="UDY55" s="69"/>
      <c r="UDZ55" s="69"/>
      <c r="UEA55" s="69"/>
      <c r="UEB55" s="69"/>
      <c r="UEC55" s="69"/>
      <c r="UED55" s="69"/>
      <c r="UEE55" s="69"/>
      <c r="UEF55" s="69"/>
      <c r="UEG55" s="69"/>
      <c r="UEH55" s="69"/>
      <c r="UEI55" s="69"/>
      <c r="UEJ55" s="69"/>
      <c r="UEK55" s="69"/>
      <c r="UEL55" s="69"/>
      <c r="UEM55" s="69"/>
      <c r="UEN55" s="69"/>
      <c r="UEO55" s="69"/>
      <c r="UEP55" s="69"/>
      <c r="UEQ55" s="69"/>
      <c r="UER55" s="69"/>
      <c r="UES55" s="69"/>
      <c r="UET55" s="69"/>
      <c r="UEU55" s="69"/>
      <c r="UEV55" s="69"/>
      <c r="UEW55" s="69"/>
      <c r="UEX55" s="69"/>
      <c r="UEY55" s="69"/>
      <c r="UEZ55" s="69"/>
      <c r="UFA55" s="69"/>
      <c r="UFB55" s="69"/>
      <c r="UFC55" s="69"/>
      <c r="UFD55" s="69"/>
      <c r="UFE55" s="69"/>
      <c r="UFF55" s="69"/>
      <c r="UFG55" s="69"/>
      <c r="UFH55" s="69"/>
      <c r="UFI55" s="69"/>
      <c r="UFJ55" s="69"/>
      <c r="UFK55" s="69"/>
      <c r="UFL55" s="69"/>
      <c r="UFM55" s="69"/>
      <c r="UFN55" s="69"/>
      <c r="UFO55" s="69"/>
      <c r="UFP55" s="69"/>
      <c r="UFQ55" s="69"/>
      <c r="UFR55" s="69"/>
      <c r="UFS55" s="69"/>
      <c r="UFT55" s="69"/>
      <c r="UFU55" s="69"/>
      <c r="UFV55" s="69"/>
      <c r="UFW55" s="69"/>
      <c r="UFX55" s="69"/>
      <c r="UFY55" s="69"/>
      <c r="UFZ55" s="69"/>
      <c r="UGA55" s="69"/>
      <c r="UGB55" s="69"/>
      <c r="UGC55" s="69"/>
      <c r="UGD55" s="69"/>
      <c r="UGE55" s="69"/>
      <c r="UGF55" s="69"/>
      <c r="UGG55" s="69"/>
      <c r="UGH55" s="69"/>
      <c r="UGI55" s="69"/>
      <c r="UGJ55" s="69"/>
      <c r="UGK55" s="69"/>
      <c r="UGL55" s="69"/>
      <c r="UGM55" s="69"/>
      <c r="UGN55" s="69"/>
      <c r="UGO55" s="69"/>
      <c r="UGP55" s="69"/>
      <c r="UGQ55" s="69"/>
      <c r="UGR55" s="69"/>
      <c r="UGS55" s="69"/>
      <c r="UGT55" s="69"/>
      <c r="UGU55" s="69"/>
      <c r="UGV55" s="69"/>
      <c r="UGW55" s="69"/>
      <c r="UGX55" s="69"/>
      <c r="UGY55" s="69"/>
      <c r="UGZ55" s="69"/>
      <c r="UHA55" s="69"/>
      <c r="UHB55" s="69"/>
      <c r="UHC55" s="69"/>
      <c r="UHD55" s="69"/>
      <c r="UHE55" s="69"/>
      <c r="UHF55" s="69"/>
      <c r="UHG55" s="69"/>
      <c r="UHH55" s="69"/>
      <c r="UHI55" s="69"/>
      <c r="UHJ55" s="69"/>
      <c r="UHK55" s="69"/>
      <c r="UHL55" s="69"/>
      <c r="UHM55" s="69"/>
      <c r="UHN55" s="69"/>
      <c r="UHO55" s="69"/>
      <c r="UHP55" s="69"/>
      <c r="UHQ55" s="69"/>
      <c r="UHR55" s="69"/>
      <c r="UHS55" s="69"/>
      <c r="UHT55" s="69"/>
      <c r="UHU55" s="69"/>
      <c r="UHV55" s="69"/>
      <c r="UHW55" s="69"/>
      <c r="UHX55" s="69"/>
      <c r="UHY55" s="69"/>
      <c r="UHZ55" s="69"/>
      <c r="UIA55" s="69"/>
      <c r="UIB55" s="69"/>
      <c r="UIC55" s="69"/>
      <c r="UID55" s="69"/>
      <c r="UIE55" s="69"/>
      <c r="UIF55" s="69"/>
      <c r="UIG55" s="69"/>
      <c r="UIH55" s="69"/>
      <c r="UII55" s="69"/>
      <c r="UIJ55" s="69"/>
      <c r="UIK55" s="69"/>
      <c r="UIL55" s="69"/>
      <c r="UIM55" s="69"/>
      <c r="UIN55" s="69"/>
      <c r="UIO55" s="69"/>
      <c r="UIP55" s="69"/>
      <c r="UIQ55" s="69"/>
      <c r="UIR55" s="69"/>
      <c r="UIS55" s="69"/>
      <c r="UIT55" s="69"/>
      <c r="UIU55" s="69"/>
      <c r="UIV55" s="69"/>
      <c r="UIW55" s="69"/>
      <c r="UIX55" s="69"/>
      <c r="UIY55" s="69"/>
      <c r="UIZ55" s="69"/>
      <c r="UJA55" s="69"/>
      <c r="UJB55" s="69"/>
      <c r="UJC55" s="69"/>
      <c r="UJD55" s="69"/>
      <c r="UJE55" s="69"/>
      <c r="UJF55" s="69"/>
      <c r="UJG55" s="69"/>
      <c r="UJH55" s="69"/>
      <c r="UJI55" s="69"/>
      <c r="UJJ55" s="69"/>
      <c r="UJK55" s="69"/>
      <c r="UJL55" s="69"/>
      <c r="UJM55" s="69"/>
      <c r="UJN55" s="69"/>
      <c r="UJO55" s="69"/>
      <c r="UJP55" s="69"/>
      <c r="UJQ55" s="69"/>
      <c r="UJR55" s="69"/>
      <c r="UJS55" s="69"/>
      <c r="UJT55" s="69"/>
      <c r="UJU55" s="69"/>
      <c r="UJV55" s="69"/>
      <c r="UJW55" s="69"/>
      <c r="UJX55" s="69"/>
      <c r="UJY55" s="69"/>
      <c r="UJZ55" s="69"/>
      <c r="UKA55" s="69"/>
      <c r="UKB55" s="69"/>
      <c r="UKC55" s="69"/>
      <c r="UKD55" s="69"/>
      <c r="UKE55" s="69"/>
      <c r="UKF55" s="69"/>
      <c r="UKG55" s="69"/>
      <c r="UKH55" s="69"/>
      <c r="UKI55" s="69"/>
      <c r="UKJ55" s="69"/>
      <c r="UKK55" s="69"/>
      <c r="UKL55" s="69"/>
      <c r="UKM55" s="69"/>
      <c r="UKN55" s="69"/>
      <c r="UKO55" s="69"/>
      <c r="UKP55" s="69"/>
      <c r="UKQ55" s="69"/>
      <c r="UKR55" s="69"/>
      <c r="UKS55" s="69"/>
      <c r="UKT55" s="69"/>
      <c r="UKU55" s="69"/>
      <c r="UKV55" s="69"/>
      <c r="UKW55" s="69"/>
      <c r="UKX55" s="69"/>
      <c r="UKY55" s="69"/>
      <c r="UKZ55" s="69"/>
      <c r="ULA55" s="69"/>
      <c r="ULB55" s="69"/>
      <c r="ULC55" s="69"/>
      <c r="ULD55" s="69"/>
      <c r="ULE55" s="69"/>
      <c r="ULF55" s="69"/>
      <c r="ULG55" s="69"/>
      <c r="ULH55" s="69"/>
      <c r="ULI55" s="69"/>
      <c r="ULJ55" s="69"/>
      <c r="ULK55" s="69"/>
      <c r="ULL55" s="69"/>
      <c r="ULM55" s="69"/>
      <c r="ULN55" s="69"/>
      <c r="ULO55" s="69"/>
      <c r="ULP55" s="69"/>
      <c r="ULQ55" s="69"/>
      <c r="ULR55" s="69"/>
      <c r="ULS55" s="69"/>
      <c r="ULT55" s="69"/>
      <c r="ULU55" s="69"/>
      <c r="ULV55" s="69"/>
      <c r="ULW55" s="69"/>
      <c r="ULX55" s="69"/>
      <c r="ULY55" s="69"/>
      <c r="ULZ55" s="69"/>
      <c r="UMA55" s="69"/>
      <c r="UMB55" s="69"/>
      <c r="UMC55" s="69"/>
      <c r="UMD55" s="69"/>
      <c r="UME55" s="69"/>
      <c r="UMF55" s="69"/>
      <c r="UMG55" s="69"/>
      <c r="UMH55" s="69"/>
      <c r="UMI55" s="69"/>
      <c r="UMJ55" s="69"/>
      <c r="UMK55" s="69"/>
      <c r="UML55" s="69"/>
      <c r="UMM55" s="69"/>
      <c r="UMN55" s="69"/>
      <c r="UMO55" s="69"/>
      <c r="UMP55" s="69"/>
      <c r="UMQ55" s="69"/>
      <c r="UMR55" s="69"/>
      <c r="UMS55" s="69"/>
      <c r="UMT55" s="69"/>
      <c r="UMU55" s="69"/>
      <c r="UMV55" s="69"/>
      <c r="UMW55" s="69"/>
      <c r="UMX55" s="69"/>
      <c r="UMY55" s="69"/>
      <c r="UMZ55" s="69"/>
      <c r="UNA55" s="69"/>
      <c r="UNB55" s="69"/>
      <c r="UNC55" s="69"/>
      <c r="UND55" s="69"/>
      <c r="UNE55" s="69"/>
      <c r="UNF55" s="69"/>
      <c r="UNG55" s="69"/>
      <c r="UNH55" s="69"/>
      <c r="UNI55" s="69"/>
      <c r="UNJ55" s="69"/>
      <c r="UNK55" s="69"/>
      <c r="UNL55" s="69"/>
      <c r="UNM55" s="69"/>
      <c r="UNN55" s="69"/>
      <c r="UNO55" s="69"/>
      <c r="UNP55" s="69"/>
      <c r="UNQ55" s="69"/>
      <c r="UNR55" s="69"/>
      <c r="UNS55" s="69"/>
      <c r="UNT55" s="69"/>
      <c r="UNU55" s="69"/>
      <c r="UNV55" s="69"/>
      <c r="UNW55" s="69"/>
      <c r="UNX55" s="69"/>
      <c r="UNY55" s="69"/>
      <c r="UNZ55" s="69"/>
      <c r="UOA55" s="69"/>
      <c r="UOB55" s="69"/>
      <c r="UOC55" s="69"/>
      <c r="UOD55" s="69"/>
      <c r="UOE55" s="69"/>
      <c r="UOF55" s="69"/>
      <c r="UOG55" s="69"/>
      <c r="UOH55" s="69"/>
      <c r="UOI55" s="69"/>
      <c r="UOJ55" s="69"/>
      <c r="UOK55" s="69"/>
      <c r="UOL55" s="69"/>
      <c r="UOM55" s="69"/>
      <c r="UON55" s="69"/>
      <c r="UOO55" s="69"/>
      <c r="UOP55" s="69"/>
      <c r="UOQ55" s="69"/>
      <c r="UOR55" s="69"/>
      <c r="UOS55" s="69"/>
      <c r="UOT55" s="69"/>
      <c r="UOU55" s="69"/>
      <c r="UOV55" s="69"/>
      <c r="UOW55" s="69"/>
      <c r="UOX55" s="69"/>
      <c r="UOY55" s="69"/>
      <c r="UOZ55" s="69"/>
      <c r="UPA55" s="69"/>
      <c r="UPB55" s="69"/>
      <c r="UPC55" s="69"/>
      <c r="UPD55" s="69"/>
      <c r="UPE55" s="69"/>
      <c r="UPF55" s="69"/>
      <c r="UPG55" s="69"/>
      <c r="UPH55" s="69"/>
      <c r="UPI55" s="69"/>
      <c r="UPJ55" s="69"/>
      <c r="UPK55" s="69"/>
      <c r="UPL55" s="69"/>
      <c r="UPM55" s="69"/>
      <c r="UPN55" s="69"/>
      <c r="UPO55" s="69"/>
      <c r="UPP55" s="69"/>
      <c r="UPQ55" s="69"/>
      <c r="UPR55" s="69"/>
      <c r="UPS55" s="69"/>
      <c r="UPT55" s="69"/>
      <c r="UPU55" s="69"/>
      <c r="UPV55" s="69"/>
      <c r="UPW55" s="69"/>
      <c r="UPX55" s="69"/>
      <c r="UPY55" s="69"/>
      <c r="UPZ55" s="69"/>
      <c r="UQA55" s="69"/>
      <c r="UQB55" s="69"/>
      <c r="UQC55" s="69"/>
      <c r="UQD55" s="69"/>
      <c r="UQE55" s="69"/>
      <c r="UQF55" s="69"/>
      <c r="UQG55" s="69"/>
      <c r="UQH55" s="69"/>
      <c r="UQI55" s="69"/>
      <c r="UQJ55" s="69"/>
      <c r="UQK55" s="69"/>
      <c r="UQL55" s="69"/>
      <c r="UQM55" s="69"/>
      <c r="UQN55" s="69"/>
      <c r="UQO55" s="69"/>
      <c r="UQP55" s="69"/>
      <c r="UQQ55" s="69"/>
      <c r="UQR55" s="69"/>
      <c r="UQS55" s="69"/>
      <c r="UQT55" s="69"/>
      <c r="UQU55" s="69"/>
      <c r="UQV55" s="69"/>
      <c r="UQW55" s="69"/>
      <c r="UQX55" s="69"/>
      <c r="UQY55" s="69"/>
      <c r="UQZ55" s="69"/>
      <c r="URA55" s="69"/>
      <c r="URB55" s="69"/>
      <c r="URC55" s="69"/>
      <c r="URD55" s="69"/>
      <c r="URE55" s="69"/>
      <c r="URF55" s="69"/>
      <c r="URG55" s="69"/>
      <c r="URH55" s="69"/>
      <c r="URI55" s="69"/>
      <c r="URJ55" s="69"/>
      <c r="URK55" s="69"/>
      <c r="URL55" s="69"/>
      <c r="URM55" s="69"/>
      <c r="URN55" s="69"/>
      <c r="URO55" s="69"/>
      <c r="URP55" s="69"/>
      <c r="URQ55" s="69"/>
      <c r="URR55" s="69"/>
      <c r="URS55" s="69"/>
      <c r="URT55" s="69"/>
      <c r="URU55" s="69"/>
      <c r="URV55" s="69"/>
      <c r="URW55" s="69"/>
      <c r="URX55" s="69"/>
      <c r="URY55" s="69"/>
      <c r="URZ55" s="69"/>
      <c r="USA55" s="69"/>
      <c r="USB55" s="69"/>
      <c r="USC55" s="69"/>
      <c r="USD55" s="69"/>
      <c r="USE55" s="69"/>
      <c r="USF55" s="69"/>
      <c r="USG55" s="69"/>
      <c r="USH55" s="69"/>
      <c r="USI55" s="69"/>
      <c r="USJ55" s="69"/>
      <c r="USK55" s="69"/>
      <c r="USL55" s="69"/>
      <c r="USM55" s="69"/>
      <c r="USN55" s="69"/>
      <c r="USO55" s="69"/>
      <c r="USP55" s="69"/>
      <c r="USQ55" s="69"/>
      <c r="USR55" s="69"/>
      <c r="USS55" s="69"/>
      <c r="UST55" s="69"/>
      <c r="USU55" s="69"/>
      <c r="USV55" s="69"/>
      <c r="USW55" s="69"/>
      <c r="USX55" s="69"/>
      <c r="USY55" s="69"/>
      <c r="USZ55" s="69"/>
      <c r="UTA55" s="69"/>
      <c r="UTB55" s="69"/>
      <c r="UTC55" s="69"/>
      <c r="UTD55" s="69"/>
      <c r="UTE55" s="69"/>
      <c r="UTF55" s="69"/>
      <c r="UTG55" s="69"/>
      <c r="UTH55" s="69"/>
      <c r="UTI55" s="69"/>
      <c r="UTJ55" s="69"/>
      <c r="UTK55" s="69"/>
      <c r="UTL55" s="69"/>
      <c r="UTM55" s="69"/>
      <c r="UTN55" s="69"/>
      <c r="UTO55" s="69"/>
      <c r="UTP55" s="69"/>
      <c r="UTQ55" s="69"/>
      <c r="UTR55" s="69"/>
      <c r="UTS55" s="69"/>
      <c r="UTT55" s="69"/>
      <c r="UTU55" s="69"/>
      <c r="UTV55" s="69"/>
      <c r="UTW55" s="69"/>
      <c r="UTX55" s="69"/>
      <c r="UTY55" s="69"/>
      <c r="UTZ55" s="69"/>
      <c r="UUA55" s="69"/>
      <c r="UUB55" s="69"/>
      <c r="UUC55" s="69"/>
      <c r="UUD55" s="69"/>
      <c r="UUE55" s="69"/>
      <c r="UUF55" s="69"/>
      <c r="UUG55" s="69"/>
      <c r="UUH55" s="69"/>
      <c r="UUI55" s="69"/>
      <c r="UUJ55" s="69"/>
      <c r="UUK55" s="69"/>
      <c r="UUL55" s="69"/>
      <c r="UUM55" s="69"/>
      <c r="UUN55" s="69"/>
      <c r="UUO55" s="69"/>
      <c r="UUP55" s="69"/>
      <c r="UUQ55" s="69"/>
      <c r="UUR55" s="69"/>
      <c r="UUS55" s="69"/>
      <c r="UUT55" s="69"/>
      <c r="UUU55" s="69"/>
      <c r="UUV55" s="69"/>
      <c r="UUW55" s="69"/>
      <c r="UUX55" s="69"/>
      <c r="UUY55" s="69"/>
      <c r="UUZ55" s="69"/>
      <c r="UVA55" s="69"/>
      <c r="UVB55" s="69"/>
      <c r="UVC55" s="69"/>
      <c r="UVD55" s="69"/>
      <c r="UVE55" s="69"/>
      <c r="UVF55" s="69"/>
      <c r="UVG55" s="69"/>
      <c r="UVH55" s="69"/>
      <c r="UVI55" s="69"/>
      <c r="UVJ55" s="69"/>
      <c r="UVK55" s="69"/>
      <c r="UVL55" s="69"/>
      <c r="UVM55" s="69"/>
      <c r="UVN55" s="69"/>
      <c r="UVO55" s="69"/>
      <c r="UVP55" s="69"/>
      <c r="UVQ55" s="69"/>
      <c r="UVR55" s="69"/>
      <c r="UVS55" s="69"/>
      <c r="UVT55" s="69"/>
      <c r="UVU55" s="69"/>
      <c r="UVV55" s="69"/>
      <c r="UVW55" s="69"/>
      <c r="UVX55" s="69"/>
      <c r="UVY55" s="69"/>
      <c r="UVZ55" s="69"/>
      <c r="UWA55" s="69"/>
      <c r="UWB55" s="69"/>
      <c r="UWC55" s="69"/>
      <c r="UWD55" s="69"/>
      <c r="UWE55" s="69"/>
      <c r="UWF55" s="69"/>
      <c r="UWG55" s="69"/>
      <c r="UWH55" s="69"/>
      <c r="UWI55" s="69"/>
      <c r="UWJ55" s="69"/>
      <c r="UWK55" s="69"/>
      <c r="UWL55" s="69"/>
      <c r="UWM55" s="69"/>
      <c r="UWN55" s="69"/>
      <c r="UWO55" s="69"/>
      <c r="UWP55" s="69"/>
      <c r="UWQ55" s="69"/>
      <c r="UWR55" s="69"/>
      <c r="UWS55" s="69"/>
      <c r="UWT55" s="69"/>
      <c r="UWU55" s="69"/>
      <c r="UWV55" s="69"/>
      <c r="UWW55" s="69"/>
      <c r="UWX55" s="69"/>
      <c r="UWY55" s="69"/>
      <c r="UWZ55" s="69"/>
      <c r="UXA55" s="69"/>
      <c r="UXB55" s="69"/>
      <c r="UXC55" s="69"/>
      <c r="UXD55" s="69"/>
      <c r="UXE55" s="69"/>
      <c r="UXF55" s="69"/>
      <c r="UXG55" s="69"/>
      <c r="UXH55" s="69"/>
      <c r="UXI55" s="69"/>
      <c r="UXJ55" s="69"/>
      <c r="UXK55" s="69"/>
      <c r="UXL55" s="69"/>
      <c r="UXM55" s="69"/>
      <c r="UXN55" s="69"/>
      <c r="UXO55" s="69"/>
      <c r="UXP55" s="69"/>
      <c r="UXQ55" s="69"/>
      <c r="UXR55" s="69"/>
      <c r="UXS55" s="69"/>
      <c r="UXT55" s="69"/>
      <c r="UXU55" s="69"/>
      <c r="UXV55" s="69"/>
      <c r="UXW55" s="69"/>
      <c r="UXX55" s="69"/>
      <c r="UXY55" s="69"/>
      <c r="UXZ55" s="69"/>
      <c r="UYA55" s="69"/>
      <c r="UYB55" s="69"/>
      <c r="UYC55" s="69"/>
      <c r="UYD55" s="69"/>
      <c r="UYE55" s="69"/>
      <c r="UYF55" s="69"/>
      <c r="UYG55" s="69"/>
      <c r="UYH55" s="69"/>
      <c r="UYI55" s="69"/>
      <c r="UYJ55" s="69"/>
      <c r="UYK55" s="69"/>
      <c r="UYL55" s="69"/>
      <c r="UYM55" s="69"/>
      <c r="UYN55" s="69"/>
      <c r="UYO55" s="69"/>
      <c r="UYP55" s="69"/>
      <c r="UYQ55" s="69"/>
      <c r="UYR55" s="69"/>
      <c r="UYS55" s="69"/>
      <c r="UYT55" s="69"/>
      <c r="UYU55" s="69"/>
      <c r="UYV55" s="69"/>
      <c r="UYW55" s="69"/>
      <c r="UYX55" s="69"/>
      <c r="UYY55" s="69"/>
      <c r="UYZ55" s="69"/>
      <c r="UZA55" s="69"/>
      <c r="UZB55" s="69"/>
      <c r="UZC55" s="69"/>
      <c r="UZD55" s="69"/>
      <c r="UZE55" s="69"/>
      <c r="UZF55" s="69"/>
      <c r="UZG55" s="69"/>
      <c r="UZH55" s="69"/>
      <c r="UZI55" s="69"/>
      <c r="UZJ55" s="69"/>
      <c r="UZK55" s="69"/>
      <c r="UZL55" s="69"/>
      <c r="UZM55" s="69"/>
      <c r="UZN55" s="69"/>
      <c r="UZO55" s="69"/>
      <c r="UZP55" s="69"/>
      <c r="UZQ55" s="69"/>
      <c r="UZR55" s="69"/>
      <c r="UZS55" s="69"/>
      <c r="UZT55" s="69"/>
      <c r="UZU55" s="69"/>
      <c r="UZV55" s="69"/>
      <c r="UZW55" s="69"/>
      <c r="UZX55" s="69"/>
      <c r="UZY55" s="69"/>
      <c r="UZZ55" s="69"/>
      <c r="VAA55" s="69"/>
      <c r="VAB55" s="69"/>
      <c r="VAC55" s="69"/>
      <c r="VAD55" s="69"/>
      <c r="VAE55" s="69"/>
      <c r="VAF55" s="69"/>
      <c r="VAG55" s="69"/>
      <c r="VAH55" s="69"/>
      <c r="VAI55" s="69"/>
      <c r="VAJ55" s="69"/>
      <c r="VAK55" s="69"/>
      <c r="VAL55" s="69"/>
      <c r="VAM55" s="69"/>
      <c r="VAN55" s="69"/>
      <c r="VAO55" s="69"/>
      <c r="VAP55" s="69"/>
      <c r="VAQ55" s="69"/>
      <c r="VAR55" s="69"/>
      <c r="VAS55" s="69"/>
      <c r="VAT55" s="69"/>
      <c r="VAU55" s="69"/>
      <c r="VAV55" s="69"/>
      <c r="VAW55" s="69"/>
      <c r="VAX55" s="69"/>
      <c r="VAY55" s="69"/>
      <c r="VAZ55" s="69"/>
      <c r="VBA55" s="69"/>
      <c r="VBB55" s="69"/>
      <c r="VBC55" s="69"/>
      <c r="VBD55" s="69"/>
      <c r="VBE55" s="69"/>
      <c r="VBF55" s="69"/>
      <c r="VBG55" s="69"/>
      <c r="VBH55" s="69"/>
      <c r="VBI55" s="69"/>
      <c r="VBJ55" s="69"/>
      <c r="VBK55" s="69"/>
      <c r="VBL55" s="69"/>
      <c r="VBM55" s="69"/>
      <c r="VBN55" s="69"/>
      <c r="VBO55" s="69"/>
      <c r="VBP55" s="69"/>
      <c r="VBQ55" s="69"/>
      <c r="VBR55" s="69"/>
      <c r="VBS55" s="69"/>
      <c r="VBT55" s="69"/>
      <c r="VBU55" s="69"/>
      <c r="VBV55" s="69"/>
      <c r="VBW55" s="69"/>
      <c r="VBX55" s="69"/>
      <c r="VBY55" s="69"/>
      <c r="VBZ55" s="69"/>
      <c r="VCA55" s="69"/>
      <c r="VCB55" s="69"/>
      <c r="VCC55" s="69"/>
      <c r="VCD55" s="69"/>
      <c r="VCE55" s="69"/>
      <c r="VCF55" s="69"/>
      <c r="VCG55" s="69"/>
      <c r="VCH55" s="69"/>
      <c r="VCI55" s="69"/>
      <c r="VCJ55" s="69"/>
      <c r="VCK55" s="69"/>
      <c r="VCL55" s="69"/>
      <c r="VCM55" s="69"/>
      <c r="VCN55" s="69"/>
      <c r="VCO55" s="69"/>
      <c r="VCP55" s="69"/>
      <c r="VCQ55" s="69"/>
      <c r="VCR55" s="69"/>
      <c r="VCS55" s="69"/>
      <c r="VCT55" s="69"/>
      <c r="VCU55" s="69"/>
      <c r="VCV55" s="69"/>
      <c r="VCW55" s="69"/>
      <c r="VCX55" s="69"/>
      <c r="VCY55" s="69"/>
      <c r="VCZ55" s="69"/>
      <c r="VDA55" s="69"/>
      <c r="VDB55" s="69"/>
      <c r="VDC55" s="69"/>
      <c r="VDD55" s="69"/>
      <c r="VDE55" s="69"/>
      <c r="VDF55" s="69"/>
      <c r="VDG55" s="69"/>
      <c r="VDH55" s="69"/>
      <c r="VDI55" s="69"/>
      <c r="VDJ55" s="69"/>
      <c r="VDK55" s="69"/>
      <c r="VDL55" s="69"/>
      <c r="VDM55" s="69"/>
      <c r="VDN55" s="69"/>
      <c r="VDO55" s="69"/>
      <c r="VDP55" s="69"/>
      <c r="VDQ55" s="69"/>
      <c r="VDR55" s="69"/>
      <c r="VDS55" s="69"/>
      <c r="VDT55" s="69"/>
      <c r="VDU55" s="69"/>
      <c r="VDV55" s="69"/>
      <c r="VDW55" s="69"/>
      <c r="VDX55" s="69"/>
      <c r="VDY55" s="69"/>
      <c r="VDZ55" s="69"/>
      <c r="VEA55" s="69"/>
      <c r="VEB55" s="69"/>
      <c r="VEC55" s="69"/>
      <c r="VED55" s="69"/>
      <c r="VEE55" s="69"/>
      <c r="VEF55" s="69"/>
      <c r="VEG55" s="69"/>
      <c r="VEH55" s="69"/>
      <c r="VEI55" s="69"/>
      <c r="VEJ55" s="69"/>
      <c r="VEK55" s="69"/>
      <c r="VEL55" s="69"/>
      <c r="VEM55" s="69"/>
      <c r="VEN55" s="69"/>
      <c r="VEO55" s="69"/>
      <c r="VEP55" s="69"/>
      <c r="VEQ55" s="69"/>
      <c r="VER55" s="69"/>
      <c r="VES55" s="69"/>
      <c r="VET55" s="69"/>
      <c r="VEU55" s="69"/>
      <c r="VEV55" s="69"/>
      <c r="VEW55" s="69"/>
      <c r="VEX55" s="69"/>
      <c r="VEY55" s="69"/>
      <c r="VEZ55" s="69"/>
      <c r="VFA55" s="69"/>
      <c r="VFB55" s="69"/>
      <c r="VFC55" s="69"/>
      <c r="VFD55" s="69"/>
      <c r="VFE55" s="69"/>
      <c r="VFF55" s="69"/>
      <c r="VFG55" s="69"/>
      <c r="VFH55" s="69"/>
      <c r="VFI55" s="69"/>
      <c r="VFJ55" s="69"/>
      <c r="VFK55" s="69"/>
      <c r="VFL55" s="69"/>
      <c r="VFM55" s="69"/>
      <c r="VFN55" s="69"/>
      <c r="VFO55" s="69"/>
      <c r="VFP55" s="69"/>
      <c r="VFQ55" s="69"/>
      <c r="VFR55" s="69"/>
      <c r="VFS55" s="69"/>
      <c r="VFT55" s="69"/>
      <c r="VFU55" s="69"/>
      <c r="VFV55" s="69"/>
      <c r="VFW55" s="69"/>
      <c r="VFX55" s="69"/>
      <c r="VFY55" s="69"/>
      <c r="VFZ55" s="69"/>
      <c r="VGA55" s="69"/>
      <c r="VGB55" s="69"/>
      <c r="VGC55" s="69"/>
      <c r="VGD55" s="69"/>
      <c r="VGE55" s="69"/>
      <c r="VGF55" s="69"/>
      <c r="VGG55" s="69"/>
      <c r="VGH55" s="69"/>
      <c r="VGI55" s="69"/>
      <c r="VGJ55" s="69"/>
      <c r="VGK55" s="69"/>
      <c r="VGL55" s="69"/>
      <c r="VGM55" s="69"/>
      <c r="VGN55" s="69"/>
      <c r="VGO55" s="69"/>
      <c r="VGP55" s="69"/>
      <c r="VGQ55" s="69"/>
      <c r="VGR55" s="69"/>
      <c r="VGS55" s="69"/>
      <c r="VGT55" s="69"/>
      <c r="VGU55" s="69"/>
      <c r="VGV55" s="69"/>
      <c r="VGW55" s="69"/>
      <c r="VGX55" s="69"/>
      <c r="VGY55" s="69"/>
      <c r="VGZ55" s="69"/>
      <c r="VHA55" s="69"/>
      <c r="VHB55" s="69"/>
      <c r="VHC55" s="69"/>
      <c r="VHD55" s="69"/>
      <c r="VHE55" s="69"/>
      <c r="VHF55" s="69"/>
      <c r="VHG55" s="69"/>
      <c r="VHH55" s="69"/>
      <c r="VHI55" s="69"/>
      <c r="VHJ55" s="69"/>
      <c r="VHK55" s="69"/>
      <c r="VHL55" s="69"/>
      <c r="VHM55" s="69"/>
      <c r="VHN55" s="69"/>
      <c r="VHO55" s="69"/>
      <c r="VHP55" s="69"/>
      <c r="VHQ55" s="69"/>
      <c r="VHR55" s="69"/>
      <c r="VHS55" s="69"/>
      <c r="VHT55" s="69"/>
      <c r="VHU55" s="69"/>
      <c r="VHV55" s="69"/>
      <c r="VHW55" s="69"/>
      <c r="VHX55" s="69"/>
      <c r="VHY55" s="69"/>
      <c r="VHZ55" s="69"/>
      <c r="VIA55" s="69"/>
      <c r="VIB55" s="69"/>
      <c r="VIC55" s="69"/>
      <c r="VID55" s="69"/>
      <c r="VIE55" s="69"/>
      <c r="VIF55" s="69"/>
      <c r="VIG55" s="69"/>
      <c r="VIH55" s="69"/>
      <c r="VII55" s="69"/>
      <c r="VIJ55" s="69"/>
      <c r="VIK55" s="69"/>
      <c r="VIL55" s="69"/>
      <c r="VIM55" s="69"/>
      <c r="VIN55" s="69"/>
      <c r="VIO55" s="69"/>
      <c r="VIP55" s="69"/>
      <c r="VIQ55" s="69"/>
      <c r="VIR55" s="69"/>
      <c r="VIS55" s="69"/>
      <c r="VIT55" s="69"/>
      <c r="VIU55" s="69"/>
      <c r="VIV55" s="69"/>
      <c r="VIW55" s="69"/>
      <c r="VIX55" s="69"/>
      <c r="VIY55" s="69"/>
      <c r="VIZ55" s="69"/>
      <c r="VJA55" s="69"/>
      <c r="VJB55" s="69"/>
      <c r="VJC55" s="69"/>
      <c r="VJD55" s="69"/>
      <c r="VJE55" s="69"/>
      <c r="VJF55" s="69"/>
      <c r="VJG55" s="69"/>
      <c r="VJH55" s="69"/>
      <c r="VJI55" s="69"/>
      <c r="VJJ55" s="69"/>
      <c r="VJK55" s="69"/>
      <c r="VJL55" s="69"/>
      <c r="VJM55" s="69"/>
      <c r="VJN55" s="69"/>
      <c r="VJO55" s="69"/>
      <c r="VJP55" s="69"/>
      <c r="VJQ55" s="69"/>
      <c r="VJR55" s="69"/>
      <c r="VJS55" s="69"/>
      <c r="VJT55" s="69"/>
      <c r="VJU55" s="69"/>
      <c r="VJV55" s="69"/>
      <c r="VJW55" s="69"/>
      <c r="VJX55" s="69"/>
      <c r="VJY55" s="69"/>
      <c r="VJZ55" s="69"/>
      <c r="VKA55" s="69"/>
      <c r="VKB55" s="69"/>
      <c r="VKC55" s="69"/>
      <c r="VKD55" s="69"/>
      <c r="VKE55" s="69"/>
      <c r="VKF55" s="69"/>
      <c r="VKG55" s="69"/>
      <c r="VKH55" s="69"/>
      <c r="VKI55" s="69"/>
      <c r="VKJ55" s="69"/>
      <c r="VKK55" s="69"/>
      <c r="VKL55" s="69"/>
      <c r="VKM55" s="69"/>
      <c r="VKN55" s="69"/>
      <c r="VKO55" s="69"/>
      <c r="VKP55" s="69"/>
      <c r="VKQ55" s="69"/>
      <c r="VKR55" s="69"/>
      <c r="VKS55" s="69"/>
      <c r="VKT55" s="69"/>
      <c r="VKU55" s="69"/>
      <c r="VKV55" s="69"/>
      <c r="VKW55" s="69"/>
      <c r="VKX55" s="69"/>
      <c r="VKY55" s="69"/>
      <c r="VKZ55" s="69"/>
      <c r="VLA55" s="69"/>
      <c r="VLB55" s="69"/>
      <c r="VLC55" s="69"/>
      <c r="VLD55" s="69"/>
      <c r="VLE55" s="69"/>
      <c r="VLF55" s="69"/>
      <c r="VLG55" s="69"/>
      <c r="VLH55" s="69"/>
      <c r="VLI55" s="69"/>
      <c r="VLJ55" s="69"/>
      <c r="VLK55" s="69"/>
      <c r="VLL55" s="69"/>
      <c r="VLM55" s="69"/>
      <c r="VLN55" s="69"/>
      <c r="VLO55" s="69"/>
      <c r="VLP55" s="69"/>
      <c r="VLQ55" s="69"/>
      <c r="VLR55" s="69"/>
      <c r="VLS55" s="69"/>
      <c r="VLT55" s="69"/>
      <c r="VLU55" s="69"/>
      <c r="VLV55" s="69"/>
      <c r="VLW55" s="69"/>
      <c r="VLX55" s="69"/>
      <c r="VLY55" s="69"/>
      <c r="VLZ55" s="69"/>
      <c r="VMA55" s="69"/>
      <c r="VMB55" s="69"/>
      <c r="VMC55" s="69"/>
      <c r="VMD55" s="69"/>
      <c r="VME55" s="69"/>
      <c r="VMF55" s="69"/>
      <c r="VMG55" s="69"/>
      <c r="VMH55" s="69"/>
      <c r="VMI55" s="69"/>
      <c r="VMJ55" s="69"/>
      <c r="VMK55" s="69"/>
      <c r="VML55" s="69"/>
      <c r="VMM55" s="69"/>
      <c r="VMN55" s="69"/>
      <c r="VMO55" s="69"/>
      <c r="VMP55" s="69"/>
      <c r="VMQ55" s="69"/>
      <c r="VMR55" s="69"/>
      <c r="VMS55" s="69"/>
      <c r="VMT55" s="69"/>
      <c r="VMU55" s="69"/>
      <c r="VMV55" s="69"/>
      <c r="VMW55" s="69"/>
      <c r="VMX55" s="69"/>
      <c r="VMY55" s="69"/>
      <c r="VMZ55" s="69"/>
      <c r="VNA55" s="69"/>
      <c r="VNB55" s="69"/>
      <c r="VNC55" s="69"/>
      <c r="VND55" s="69"/>
      <c r="VNE55" s="69"/>
      <c r="VNF55" s="69"/>
      <c r="VNG55" s="69"/>
      <c r="VNH55" s="69"/>
      <c r="VNI55" s="69"/>
      <c r="VNJ55" s="69"/>
      <c r="VNK55" s="69"/>
      <c r="VNL55" s="69"/>
      <c r="VNM55" s="69"/>
      <c r="VNN55" s="69"/>
      <c r="VNO55" s="69"/>
      <c r="VNP55" s="69"/>
      <c r="VNQ55" s="69"/>
      <c r="VNR55" s="69"/>
      <c r="VNS55" s="69"/>
      <c r="VNT55" s="69"/>
      <c r="VNU55" s="69"/>
      <c r="VNV55" s="69"/>
      <c r="VNW55" s="69"/>
      <c r="VNX55" s="69"/>
      <c r="VNY55" s="69"/>
      <c r="VNZ55" s="69"/>
      <c r="VOA55" s="69"/>
      <c r="VOB55" s="69"/>
      <c r="VOC55" s="69"/>
      <c r="VOD55" s="69"/>
      <c r="VOE55" s="69"/>
      <c r="VOF55" s="69"/>
      <c r="VOG55" s="69"/>
      <c r="VOH55" s="69"/>
      <c r="VOI55" s="69"/>
      <c r="VOJ55" s="69"/>
      <c r="VOK55" s="69"/>
      <c r="VOL55" s="69"/>
      <c r="VOM55" s="69"/>
      <c r="VON55" s="69"/>
      <c r="VOO55" s="69"/>
      <c r="VOP55" s="69"/>
      <c r="VOQ55" s="69"/>
      <c r="VOR55" s="69"/>
      <c r="VOS55" s="69"/>
      <c r="VOT55" s="69"/>
      <c r="VOU55" s="69"/>
      <c r="VOV55" s="69"/>
      <c r="VOW55" s="69"/>
      <c r="VOX55" s="69"/>
      <c r="VOY55" s="69"/>
      <c r="VOZ55" s="69"/>
      <c r="VPA55" s="69"/>
      <c r="VPB55" s="69"/>
      <c r="VPC55" s="69"/>
      <c r="VPD55" s="69"/>
      <c r="VPE55" s="69"/>
      <c r="VPF55" s="69"/>
      <c r="VPG55" s="69"/>
      <c r="VPH55" s="69"/>
      <c r="VPI55" s="69"/>
      <c r="VPJ55" s="69"/>
      <c r="VPK55" s="69"/>
      <c r="VPL55" s="69"/>
      <c r="VPM55" s="69"/>
      <c r="VPN55" s="69"/>
      <c r="VPO55" s="69"/>
      <c r="VPP55" s="69"/>
      <c r="VPQ55" s="69"/>
      <c r="VPR55" s="69"/>
      <c r="VPS55" s="69"/>
      <c r="VPT55" s="69"/>
      <c r="VPU55" s="69"/>
      <c r="VPV55" s="69"/>
      <c r="VPW55" s="69"/>
      <c r="VPX55" s="69"/>
      <c r="VPY55" s="69"/>
      <c r="VPZ55" s="69"/>
      <c r="VQA55" s="69"/>
      <c r="VQB55" s="69"/>
      <c r="VQC55" s="69"/>
      <c r="VQD55" s="69"/>
      <c r="VQE55" s="69"/>
      <c r="VQF55" s="69"/>
      <c r="VQG55" s="69"/>
      <c r="VQH55" s="69"/>
      <c r="VQI55" s="69"/>
      <c r="VQJ55" s="69"/>
      <c r="VQK55" s="69"/>
      <c r="VQL55" s="69"/>
      <c r="VQM55" s="69"/>
      <c r="VQN55" s="69"/>
      <c r="VQO55" s="69"/>
      <c r="VQP55" s="69"/>
      <c r="VQQ55" s="69"/>
      <c r="VQR55" s="69"/>
      <c r="VQS55" s="69"/>
      <c r="VQT55" s="69"/>
      <c r="VQU55" s="69"/>
      <c r="VQV55" s="69"/>
      <c r="VQW55" s="69"/>
      <c r="VQX55" s="69"/>
      <c r="VQY55" s="69"/>
      <c r="VQZ55" s="69"/>
      <c r="VRA55" s="69"/>
      <c r="VRB55" s="69"/>
      <c r="VRC55" s="69"/>
      <c r="VRD55" s="69"/>
      <c r="VRE55" s="69"/>
      <c r="VRF55" s="69"/>
      <c r="VRG55" s="69"/>
      <c r="VRH55" s="69"/>
      <c r="VRI55" s="69"/>
      <c r="VRJ55" s="69"/>
      <c r="VRK55" s="69"/>
      <c r="VRL55" s="69"/>
      <c r="VRM55" s="69"/>
      <c r="VRN55" s="69"/>
      <c r="VRO55" s="69"/>
      <c r="VRP55" s="69"/>
      <c r="VRQ55" s="69"/>
      <c r="VRR55" s="69"/>
      <c r="VRS55" s="69"/>
      <c r="VRT55" s="69"/>
      <c r="VRU55" s="69"/>
      <c r="VRV55" s="69"/>
      <c r="VRW55" s="69"/>
      <c r="VRX55" s="69"/>
      <c r="VRY55" s="69"/>
      <c r="VRZ55" s="69"/>
      <c r="VSA55" s="69"/>
      <c r="VSB55" s="69"/>
      <c r="VSC55" s="69"/>
      <c r="VSD55" s="69"/>
      <c r="VSE55" s="69"/>
      <c r="VSF55" s="69"/>
      <c r="VSG55" s="69"/>
      <c r="VSH55" s="69"/>
      <c r="VSI55" s="69"/>
      <c r="VSJ55" s="69"/>
      <c r="VSK55" s="69"/>
      <c r="VSL55" s="69"/>
      <c r="VSM55" s="69"/>
      <c r="VSN55" s="69"/>
      <c r="VSO55" s="69"/>
      <c r="VSP55" s="69"/>
      <c r="VSQ55" s="69"/>
      <c r="VSR55" s="69"/>
      <c r="VSS55" s="69"/>
      <c r="VST55" s="69"/>
      <c r="VSU55" s="69"/>
      <c r="VSV55" s="69"/>
      <c r="VSW55" s="69"/>
      <c r="VSX55" s="69"/>
      <c r="VSY55" s="69"/>
      <c r="VSZ55" s="69"/>
      <c r="VTA55" s="69"/>
      <c r="VTB55" s="69"/>
      <c r="VTC55" s="69"/>
      <c r="VTD55" s="69"/>
      <c r="VTE55" s="69"/>
      <c r="VTF55" s="69"/>
      <c r="VTG55" s="69"/>
      <c r="VTH55" s="69"/>
      <c r="VTI55" s="69"/>
      <c r="VTJ55" s="69"/>
      <c r="VTK55" s="69"/>
      <c r="VTL55" s="69"/>
      <c r="VTM55" s="69"/>
      <c r="VTN55" s="69"/>
      <c r="VTO55" s="69"/>
      <c r="VTP55" s="69"/>
      <c r="VTQ55" s="69"/>
      <c r="VTR55" s="69"/>
      <c r="VTS55" s="69"/>
      <c r="VTT55" s="69"/>
      <c r="VTU55" s="69"/>
      <c r="VTV55" s="69"/>
      <c r="VTW55" s="69"/>
      <c r="VTX55" s="69"/>
      <c r="VTY55" s="69"/>
      <c r="VTZ55" s="69"/>
      <c r="VUA55" s="69"/>
      <c r="VUB55" s="69"/>
      <c r="VUC55" s="69"/>
      <c r="VUD55" s="69"/>
      <c r="VUE55" s="69"/>
      <c r="VUF55" s="69"/>
      <c r="VUG55" s="69"/>
      <c r="VUH55" s="69"/>
      <c r="VUI55" s="69"/>
      <c r="VUJ55" s="69"/>
      <c r="VUK55" s="69"/>
      <c r="VUL55" s="69"/>
      <c r="VUM55" s="69"/>
      <c r="VUN55" s="69"/>
      <c r="VUO55" s="69"/>
      <c r="VUP55" s="69"/>
      <c r="VUQ55" s="69"/>
      <c r="VUR55" s="69"/>
      <c r="VUS55" s="69"/>
      <c r="VUT55" s="69"/>
      <c r="VUU55" s="69"/>
      <c r="VUV55" s="69"/>
      <c r="VUW55" s="69"/>
      <c r="VUX55" s="69"/>
      <c r="VUY55" s="69"/>
      <c r="VUZ55" s="69"/>
      <c r="VVA55" s="69"/>
      <c r="VVB55" s="69"/>
      <c r="VVC55" s="69"/>
      <c r="VVD55" s="69"/>
      <c r="VVE55" s="69"/>
      <c r="VVF55" s="69"/>
      <c r="VVG55" s="69"/>
      <c r="VVH55" s="69"/>
      <c r="VVI55" s="69"/>
      <c r="VVJ55" s="69"/>
      <c r="VVK55" s="69"/>
      <c r="VVL55" s="69"/>
      <c r="VVM55" s="69"/>
      <c r="VVN55" s="69"/>
      <c r="VVO55" s="69"/>
      <c r="VVP55" s="69"/>
      <c r="VVQ55" s="69"/>
      <c r="VVR55" s="69"/>
      <c r="VVS55" s="69"/>
      <c r="VVT55" s="69"/>
      <c r="VVU55" s="69"/>
      <c r="VVV55" s="69"/>
      <c r="VVW55" s="69"/>
      <c r="VVX55" s="69"/>
      <c r="VVY55" s="69"/>
      <c r="VVZ55" s="69"/>
      <c r="VWA55" s="69"/>
      <c r="VWB55" s="69"/>
      <c r="VWC55" s="69"/>
      <c r="VWD55" s="69"/>
      <c r="VWE55" s="69"/>
      <c r="VWF55" s="69"/>
      <c r="VWG55" s="69"/>
      <c r="VWH55" s="69"/>
      <c r="VWI55" s="69"/>
      <c r="VWJ55" s="69"/>
      <c r="VWK55" s="69"/>
      <c r="VWL55" s="69"/>
      <c r="VWM55" s="69"/>
      <c r="VWN55" s="69"/>
      <c r="VWO55" s="69"/>
      <c r="VWP55" s="69"/>
      <c r="VWQ55" s="69"/>
      <c r="VWR55" s="69"/>
      <c r="VWS55" s="69"/>
      <c r="VWT55" s="69"/>
      <c r="VWU55" s="69"/>
      <c r="VWV55" s="69"/>
      <c r="VWW55" s="69"/>
      <c r="VWX55" s="69"/>
      <c r="VWY55" s="69"/>
      <c r="VWZ55" s="69"/>
      <c r="VXA55" s="69"/>
      <c r="VXB55" s="69"/>
      <c r="VXC55" s="69"/>
      <c r="VXD55" s="69"/>
      <c r="VXE55" s="69"/>
      <c r="VXF55" s="69"/>
      <c r="VXG55" s="69"/>
      <c r="VXH55" s="69"/>
      <c r="VXI55" s="69"/>
      <c r="VXJ55" s="69"/>
      <c r="VXK55" s="69"/>
      <c r="VXL55" s="69"/>
      <c r="VXM55" s="69"/>
      <c r="VXN55" s="69"/>
      <c r="VXO55" s="69"/>
      <c r="VXP55" s="69"/>
      <c r="VXQ55" s="69"/>
      <c r="VXR55" s="69"/>
      <c r="VXS55" s="69"/>
      <c r="VXT55" s="69"/>
      <c r="VXU55" s="69"/>
      <c r="VXV55" s="69"/>
      <c r="VXW55" s="69"/>
      <c r="VXX55" s="69"/>
      <c r="VXY55" s="69"/>
      <c r="VXZ55" s="69"/>
      <c r="VYA55" s="69"/>
      <c r="VYB55" s="69"/>
      <c r="VYC55" s="69"/>
      <c r="VYD55" s="69"/>
      <c r="VYE55" s="69"/>
      <c r="VYF55" s="69"/>
      <c r="VYG55" s="69"/>
      <c r="VYH55" s="69"/>
      <c r="VYI55" s="69"/>
      <c r="VYJ55" s="69"/>
      <c r="VYK55" s="69"/>
      <c r="VYL55" s="69"/>
      <c r="VYM55" s="69"/>
      <c r="VYN55" s="69"/>
      <c r="VYO55" s="69"/>
      <c r="VYP55" s="69"/>
      <c r="VYQ55" s="69"/>
      <c r="VYR55" s="69"/>
      <c r="VYS55" s="69"/>
      <c r="VYT55" s="69"/>
      <c r="VYU55" s="69"/>
      <c r="VYV55" s="69"/>
      <c r="VYW55" s="69"/>
      <c r="VYX55" s="69"/>
      <c r="VYY55" s="69"/>
      <c r="VYZ55" s="69"/>
      <c r="VZA55" s="69"/>
      <c r="VZB55" s="69"/>
      <c r="VZC55" s="69"/>
      <c r="VZD55" s="69"/>
      <c r="VZE55" s="69"/>
      <c r="VZF55" s="69"/>
      <c r="VZG55" s="69"/>
      <c r="VZH55" s="69"/>
      <c r="VZI55" s="69"/>
      <c r="VZJ55" s="69"/>
      <c r="VZK55" s="69"/>
      <c r="VZL55" s="69"/>
      <c r="VZM55" s="69"/>
      <c r="VZN55" s="69"/>
      <c r="VZO55" s="69"/>
      <c r="VZP55" s="69"/>
      <c r="VZQ55" s="69"/>
      <c r="VZR55" s="69"/>
      <c r="VZS55" s="69"/>
      <c r="VZT55" s="69"/>
      <c r="VZU55" s="69"/>
      <c r="VZV55" s="69"/>
      <c r="VZW55" s="69"/>
      <c r="VZX55" s="69"/>
      <c r="VZY55" s="69"/>
      <c r="VZZ55" s="69"/>
      <c r="WAA55" s="69"/>
      <c r="WAB55" s="69"/>
      <c r="WAC55" s="69"/>
      <c r="WAD55" s="69"/>
      <c r="WAE55" s="69"/>
      <c r="WAF55" s="69"/>
      <c r="WAG55" s="69"/>
      <c r="WAH55" s="69"/>
      <c r="WAI55" s="69"/>
      <c r="WAJ55" s="69"/>
      <c r="WAK55" s="69"/>
      <c r="WAL55" s="69"/>
      <c r="WAM55" s="69"/>
      <c r="WAN55" s="69"/>
      <c r="WAO55" s="69"/>
      <c r="WAP55" s="69"/>
      <c r="WAQ55" s="69"/>
      <c r="WAR55" s="69"/>
      <c r="WAS55" s="69"/>
      <c r="WAT55" s="69"/>
      <c r="WAU55" s="69"/>
      <c r="WAV55" s="69"/>
      <c r="WAW55" s="69"/>
      <c r="WAX55" s="69"/>
      <c r="WAY55" s="69"/>
      <c r="WAZ55" s="69"/>
      <c r="WBA55" s="69"/>
      <c r="WBB55" s="69"/>
      <c r="WBC55" s="69"/>
      <c r="WBD55" s="69"/>
      <c r="WBE55" s="69"/>
      <c r="WBF55" s="69"/>
      <c r="WBG55" s="69"/>
      <c r="WBH55" s="69"/>
      <c r="WBI55" s="69"/>
      <c r="WBJ55" s="69"/>
      <c r="WBK55" s="69"/>
      <c r="WBL55" s="69"/>
      <c r="WBM55" s="69"/>
      <c r="WBN55" s="69"/>
      <c r="WBO55" s="69"/>
      <c r="WBP55" s="69"/>
      <c r="WBQ55" s="69"/>
      <c r="WBR55" s="69"/>
      <c r="WBS55" s="69"/>
      <c r="WBT55" s="69"/>
      <c r="WBU55" s="69"/>
      <c r="WBV55" s="69"/>
      <c r="WBW55" s="69"/>
      <c r="WBX55" s="69"/>
      <c r="WBY55" s="69"/>
      <c r="WBZ55" s="69"/>
      <c r="WCA55" s="69"/>
      <c r="WCB55" s="69"/>
      <c r="WCC55" s="69"/>
      <c r="WCD55" s="69"/>
      <c r="WCE55" s="69"/>
      <c r="WCF55" s="69"/>
      <c r="WCG55" s="69"/>
      <c r="WCH55" s="69"/>
      <c r="WCI55" s="69"/>
      <c r="WCJ55" s="69"/>
      <c r="WCK55" s="69"/>
      <c r="WCL55" s="69"/>
      <c r="WCM55" s="69"/>
      <c r="WCN55" s="69"/>
      <c r="WCO55" s="69"/>
      <c r="WCP55" s="69"/>
      <c r="WCQ55" s="69"/>
      <c r="WCR55" s="69"/>
      <c r="WCS55" s="69"/>
      <c r="WCT55" s="69"/>
      <c r="WCU55" s="69"/>
      <c r="WCV55" s="69"/>
      <c r="WCW55" s="69"/>
      <c r="WCX55" s="69"/>
      <c r="WCY55" s="69"/>
      <c r="WCZ55" s="69"/>
      <c r="WDA55" s="69"/>
      <c r="WDB55" s="69"/>
      <c r="WDC55" s="69"/>
      <c r="WDD55" s="69"/>
      <c r="WDE55" s="69"/>
      <c r="WDF55" s="69"/>
      <c r="WDG55" s="69"/>
      <c r="WDH55" s="69"/>
      <c r="WDI55" s="69"/>
      <c r="WDJ55" s="69"/>
      <c r="WDK55" s="69"/>
      <c r="WDL55" s="69"/>
      <c r="WDM55" s="69"/>
      <c r="WDN55" s="69"/>
      <c r="WDO55" s="69"/>
      <c r="WDP55" s="69"/>
      <c r="WDQ55" s="69"/>
      <c r="WDR55" s="69"/>
      <c r="WDS55" s="69"/>
      <c r="WDT55" s="69"/>
      <c r="WDU55" s="69"/>
      <c r="WDV55" s="69"/>
      <c r="WDW55" s="69"/>
      <c r="WDX55" s="69"/>
      <c r="WDY55" s="69"/>
      <c r="WDZ55" s="69"/>
      <c r="WEA55" s="69"/>
      <c r="WEB55" s="69"/>
      <c r="WEC55" s="69"/>
      <c r="WED55" s="69"/>
      <c r="WEE55" s="69"/>
      <c r="WEF55" s="69"/>
      <c r="WEG55" s="69"/>
      <c r="WEH55" s="69"/>
      <c r="WEI55" s="69"/>
      <c r="WEJ55" s="69"/>
      <c r="WEK55" s="69"/>
      <c r="WEL55" s="69"/>
      <c r="WEM55" s="69"/>
      <c r="WEN55" s="69"/>
      <c r="WEO55" s="69"/>
      <c r="WEP55" s="69"/>
      <c r="WEQ55" s="69"/>
      <c r="WER55" s="69"/>
      <c r="WES55" s="69"/>
      <c r="WET55" s="69"/>
      <c r="WEU55" s="69"/>
      <c r="WEV55" s="69"/>
      <c r="WEW55" s="69"/>
      <c r="WEX55" s="69"/>
      <c r="WEY55" s="69"/>
      <c r="WEZ55" s="69"/>
      <c r="WFA55" s="69"/>
      <c r="WFB55" s="69"/>
      <c r="WFC55" s="69"/>
      <c r="WFD55" s="69"/>
      <c r="WFE55" s="69"/>
      <c r="WFF55" s="69"/>
      <c r="WFG55" s="69"/>
      <c r="WFH55" s="69"/>
      <c r="WFI55" s="69"/>
      <c r="WFJ55" s="69"/>
      <c r="WFK55" s="69"/>
      <c r="WFL55" s="69"/>
      <c r="WFM55" s="69"/>
      <c r="WFN55" s="69"/>
      <c r="WFO55" s="69"/>
      <c r="WFP55" s="69"/>
      <c r="WFQ55" s="69"/>
      <c r="WFR55" s="69"/>
      <c r="WFS55" s="69"/>
      <c r="WFT55" s="69"/>
      <c r="WFU55" s="69"/>
      <c r="WFV55" s="69"/>
      <c r="WFW55" s="69"/>
      <c r="WFX55" s="69"/>
      <c r="WFY55" s="69"/>
      <c r="WFZ55" s="69"/>
      <c r="WGA55" s="69"/>
      <c r="WGB55" s="69"/>
      <c r="WGC55" s="69"/>
      <c r="WGD55" s="69"/>
      <c r="WGE55" s="69"/>
      <c r="WGF55" s="69"/>
      <c r="WGG55" s="69"/>
      <c r="WGH55" s="69"/>
      <c r="WGI55" s="69"/>
      <c r="WGJ55" s="69"/>
      <c r="WGK55" s="69"/>
      <c r="WGL55" s="69"/>
      <c r="WGM55" s="69"/>
      <c r="WGN55" s="69"/>
      <c r="WGO55" s="69"/>
      <c r="WGP55" s="69"/>
      <c r="WGQ55" s="69"/>
      <c r="WGR55" s="69"/>
      <c r="WGS55" s="69"/>
      <c r="WGT55" s="69"/>
      <c r="WGU55" s="69"/>
      <c r="WGV55" s="69"/>
      <c r="WGW55" s="69"/>
      <c r="WGX55" s="69"/>
      <c r="WGY55" s="69"/>
      <c r="WGZ55" s="69"/>
      <c r="WHA55" s="69"/>
      <c r="WHB55" s="69"/>
      <c r="WHC55" s="69"/>
      <c r="WHD55" s="69"/>
      <c r="WHE55" s="69"/>
      <c r="WHF55" s="69"/>
      <c r="WHG55" s="69"/>
      <c r="WHH55" s="69"/>
      <c r="WHI55" s="69"/>
      <c r="WHJ55" s="69"/>
      <c r="WHK55" s="69"/>
      <c r="WHL55" s="69"/>
      <c r="WHM55" s="69"/>
      <c r="WHN55" s="69"/>
      <c r="WHO55" s="69"/>
      <c r="WHP55" s="69"/>
      <c r="WHQ55" s="69"/>
      <c r="WHR55" s="69"/>
      <c r="WHS55" s="69"/>
      <c r="WHT55" s="69"/>
      <c r="WHU55" s="69"/>
      <c r="WHV55" s="69"/>
      <c r="WHW55" s="69"/>
      <c r="WHX55" s="69"/>
      <c r="WHY55" s="69"/>
      <c r="WHZ55" s="69"/>
      <c r="WIA55" s="69"/>
      <c r="WIB55" s="69"/>
      <c r="WIC55" s="69"/>
      <c r="WID55" s="69"/>
      <c r="WIE55" s="69"/>
      <c r="WIF55" s="69"/>
      <c r="WIG55" s="69"/>
      <c r="WIH55" s="69"/>
      <c r="WII55" s="69"/>
      <c r="WIJ55" s="69"/>
      <c r="WIK55" s="69"/>
      <c r="WIL55" s="69"/>
      <c r="WIM55" s="69"/>
      <c r="WIN55" s="69"/>
      <c r="WIO55" s="69"/>
      <c r="WIP55" s="69"/>
      <c r="WIQ55" s="69"/>
      <c r="WIR55" s="69"/>
      <c r="WIS55" s="69"/>
      <c r="WIT55" s="69"/>
      <c r="WIU55" s="69"/>
      <c r="WIV55" s="69"/>
      <c r="WIW55" s="69"/>
      <c r="WIX55" s="69"/>
      <c r="WIY55" s="69"/>
      <c r="WIZ55" s="69"/>
      <c r="WJA55" s="69"/>
      <c r="WJB55" s="69"/>
      <c r="WJC55" s="69"/>
      <c r="WJD55" s="69"/>
      <c r="WJE55" s="69"/>
      <c r="WJF55" s="69"/>
      <c r="WJG55" s="69"/>
      <c r="WJH55" s="69"/>
      <c r="WJI55" s="69"/>
      <c r="WJJ55" s="69"/>
      <c r="WJK55" s="69"/>
      <c r="WJL55" s="69"/>
      <c r="WJM55" s="69"/>
      <c r="WJN55" s="69"/>
      <c r="WJO55" s="69"/>
      <c r="WJP55" s="69"/>
      <c r="WJQ55" s="69"/>
      <c r="WJR55" s="69"/>
      <c r="WJS55" s="69"/>
      <c r="WJT55" s="69"/>
      <c r="WJU55" s="69"/>
      <c r="WJV55" s="69"/>
      <c r="WJW55" s="69"/>
      <c r="WJX55" s="69"/>
      <c r="WJY55" s="69"/>
      <c r="WJZ55" s="69"/>
      <c r="WKA55" s="69"/>
      <c r="WKB55" s="69"/>
      <c r="WKC55" s="69"/>
      <c r="WKD55" s="69"/>
      <c r="WKE55" s="69"/>
      <c r="WKF55" s="69"/>
      <c r="WKG55" s="69"/>
      <c r="WKH55" s="69"/>
      <c r="WKI55" s="69"/>
      <c r="WKJ55" s="69"/>
      <c r="WKK55" s="69"/>
      <c r="WKL55" s="69"/>
      <c r="WKM55" s="69"/>
      <c r="WKN55" s="69"/>
      <c r="WKO55" s="69"/>
      <c r="WKP55" s="69"/>
      <c r="WKQ55" s="69"/>
      <c r="WKR55" s="69"/>
      <c r="WKS55" s="69"/>
      <c r="WKT55" s="69"/>
      <c r="WKU55" s="69"/>
      <c r="WKV55" s="69"/>
      <c r="WKW55" s="69"/>
      <c r="WKX55" s="69"/>
      <c r="WKY55" s="69"/>
      <c r="WKZ55" s="69"/>
      <c r="WLA55" s="69"/>
      <c r="WLB55" s="69"/>
      <c r="WLC55" s="69"/>
      <c r="WLD55" s="69"/>
      <c r="WLE55" s="69"/>
      <c r="WLF55" s="69"/>
      <c r="WLG55" s="69"/>
      <c r="WLH55" s="69"/>
      <c r="WLI55" s="69"/>
      <c r="WLJ55" s="69"/>
      <c r="WLK55" s="69"/>
      <c r="WLL55" s="69"/>
      <c r="WLM55" s="69"/>
      <c r="WLN55" s="69"/>
      <c r="WLO55" s="69"/>
      <c r="WLP55" s="69"/>
      <c r="WLQ55" s="69"/>
      <c r="WLR55" s="69"/>
      <c r="WLS55" s="69"/>
      <c r="WLT55" s="69"/>
      <c r="WLU55" s="69"/>
      <c r="WLV55" s="69"/>
      <c r="WLW55" s="69"/>
      <c r="WLX55" s="69"/>
      <c r="WLY55" s="69"/>
      <c r="WLZ55" s="69"/>
      <c r="WMA55" s="69"/>
      <c r="WMB55" s="69"/>
      <c r="WMC55" s="69"/>
      <c r="WMD55" s="69"/>
      <c r="WME55" s="69"/>
      <c r="WMF55" s="69"/>
      <c r="WMG55" s="69"/>
      <c r="WMH55" s="69"/>
      <c r="WMI55" s="69"/>
      <c r="WMJ55" s="69"/>
      <c r="WMK55" s="69"/>
      <c r="WML55" s="69"/>
      <c r="WMM55" s="69"/>
      <c r="WMN55" s="69"/>
      <c r="WMO55" s="69"/>
      <c r="WMP55" s="69"/>
      <c r="WMQ55" s="69"/>
      <c r="WMR55" s="69"/>
      <c r="WMS55" s="69"/>
      <c r="WMT55" s="69"/>
      <c r="WMU55" s="69"/>
      <c r="WMV55" s="69"/>
      <c r="WMW55" s="69"/>
      <c r="WMX55" s="69"/>
      <c r="WMY55" s="69"/>
      <c r="WMZ55" s="69"/>
      <c r="WNA55" s="69"/>
      <c r="WNB55" s="69"/>
      <c r="WNC55" s="69"/>
      <c r="WND55" s="69"/>
      <c r="WNE55" s="69"/>
      <c r="WNF55" s="69"/>
      <c r="WNG55" s="69"/>
      <c r="WNH55" s="69"/>
      <c r="WNI55" s="69"/>
      <c r="WNJ55" s="69"/>
      <c r="WNK55" s="69"/>
      <c r="WNL55" s="69"/>
      <c r="WNM55" s="69"/>
      <c r="WNN55" s="69"/>
      <c r="WNO55" s="69"/>
      <c r="WNP55" s="69"/>
      <c r="WNQ55" s="69"/>
      <c r="WNR55" s="69"/>
      <c r="WNS55" s="69"/>
      <c r="WNT55" s="69"/>
      <c r="WNU55" s="69"/>
      <c r="WNV55" s="69"/>
      <c r="WNW55" s="69"/>
      <c r="WNX55" s="69"/>
      <c r="WNY55" s="69"/>
      <c r="WNZ55" s="69"/>
      <c r="WOA55" s="69"/>
      <c r="WOB55" s="69"/>
      <c r="WOC55" s="69"/>
      <c r="WOD55" s="69"/>
      <c r="WOE55" s="69"/>
      <c r="WOF55" s="69"/>
      <c r="WOG55" s="69"/>
      <c r="WOH55" s="69"/>
      <c r="WOI55" s="69"/>
      <c r="WOJ55" s="69"/>
      <c r="WOK55" s="69"/>
      <c r="WOL55" s="69"/>
      <c r="WOM55" s="69"/>
      <c r="WON55" s="69"/>
      <c r="WOO55" s="69"/>
      <c r="WOP55" s="69"/>
      <c r="WOQ55" s="69"/>
      <c r="WOR55" s="69"/>
      <c r="WOS55" s="69"/>
      <c r="WOT55" s="69"/>
      <c r="WOU55" s="69"/>
      <c r="WOV55" s="69"/>
      <c r="WOW55" s="69"/>
      <c r="WOX55" s="69"/>
      <c r="WOY55" s="69"/>
      <c r="WOZ55" s="69"/>
      <c r="WPA55" s="69"/>
      <c r="WPB55" s="69"/>
      <c r="WPC55" s="69"/>
      <c r="WPD55" s="69"/>
      <c r="WPE55" s="69"/>
      <c r="WPF55" s="69"/>
      <c r="WPG55" s="69"/>
      <c r="WPH55" s="69"/>
      <c r="WPI55" s="69"/>
      <c r="WPJ55" s="69"/>
      <c r="WPK55" s="69"/>
      <c r="WPL55" s="69"/>
      <c r="WPM55" s="69"/>
      <c r="WPN55" s="69"/>
      <c r="WPO55" s="69"/>
      <c r="WPP55" s="69"/>
      <c r="WPQ55" s="69"/>
      <c r="WPR55" s="69"/>
      <c r="WPS55" s="69"/>
      <c r="WPT55" s="69"/>
      <c r="WPU55" s="69"/>
      <c r="WPV55" s="69"/>
      <c r="WPW55" s="69"/>
      <c r="WPX55" s="69"/>
      <c r="WPY55" s="69"/>
      <c r="WPZ55" s="69"/>
      <c r="WQA55" s="69"/>
      <c r="WQB55" s="69"/>
      <c r="WQC55" s="69"/>
      <c r="WQD55" s="69"/>
      <c r="WQE55" s="69"/>
      <c r="WQF55" s="69"/>
      <c r="WQG55" s="69"/>
      <c r="WQH55" s="69"/>
      <c r="WQI55" s="69"/>
      <c r="WQJ55" s="69"/>
      <c r="WQK55" s="69"/>
      <c r="WQL55" s="69"/>
      <c r="WQM55" s="69"/>
      <c r="WQN55" s="69"/>
      <c r="WQO55" s="69"/>
      <c r="WQP55" s="69"/>
      <c r="WQQ55" s="69"/>
      <c r="WQR55" s="69"/>
      <c r="WQS55" s="69"/>
      <c r="WQT55" s="69"/>
      <c r="WQU55" s="69"/>
      <c r="WQV55" s="69"/>
      <c r="WQW55" s="69"/>
      <c r="WQX55" s="69"/>
      <c r="WQY55" s="69"/>
      <c r="WQZ55" s="69"/>
      <c r="WRA55" s="69"/>
      <c r="WRB55" s="69"/>
      <c r="WRC55" s="69"/>
      <c r="WRD55" s="69"/>
      <c r="WRE55" s="69"/>
      <c r="WRF55" s="69"/>
      <c r="WRG55" s="69"/>
      <c r="WRH55" s="69"/>
      <c r="WRI55" s="69"/>
      <c r="WRJ55" s="69"/>
      <c r="WRK55" s="69"/>
      <c r="WRL55" s="69"/>
      <c r="WRM55" s="69"/>
      <c r="WRN55" s="69"/>
      <c r="WRO55" s="69"/>
      <c r="WRP55" s="69"/>
      <c r="WRQ55" s="69"/>
      <c r="WRR55" s="69"/>
      <c r="WRS55" s="69"/>
      <c r="WRT55" s="69"/>
      <c r="WRU55" s="69"/>
      <c r="WRV55" s="69"/>
      <c r="WRW55" s="69"/>
      <c r="WRX55" s="69"/>
      <c r="WRY55" s="69"/>
      <c r="WRZ55" s="69"/>
      <c r="WSA55" s="69"/>
      <c r="WSB55" s="69"/>
      <c r="WSC55" s="69"/>
      <c r="WSD55" s="69"/>
      <c r="WSE55" s="69"/>
      <c r="WSF55" s="69"/>
      <c r="WSG55" s="69"/>
      <c r="WSH55" s="69"/>
      <c r="WSI55" s="69"/>
      <c r="WSJ55" s="69"/>
      <c r="WSK55" s="69"/>
      <c r="WSL55" s="69"/>
      <c r="WSM55" s="69"/>
      <c r="WSN55" s="69"/>
      <c r="WSO55" s="69"/>
      <c r="WSP55" s="69"/>
      <c r="WSQ55" s="69"/>
      <c r="WSR55" s="69"/>
      <c r="WSS55" s="69"/>
      <c r="WST55" s="69"/>
      <c r="WSU55" s="69"/>
      <c r="WSV55" s="69"/>
      <c r="WSW55" s="69"/>
      <c r="WSX55" s="69"/>
      <c r="WSY55" s="69"/>
      <c r="WSZ55" s="69"/>
      <c r="WTA55" s="69"/>
      <c r="WTB55" s="69"/>
      <c r="WTC55" s="69"/>
      <c r="WTD55" s="69"/>
      <c r="WTE55" s="69"/>
      <c r="WTF55" s="69"/>
      <c r="WTG55" s="69"/>
      <c r="WTH55" s="69"/>
      <c r="WTI55" s="69"/>
      <c r="WTJ55" s="69"/>
      <c r="WTK55" s="69"/>
      <c r="WTL55" s="69"/>
      <c r="WTM55" s="69"/>
      <c r="WTN55" s="69"/>
      <c r="WTO55" s="69"/>
      <c r="WTP55" s="69"/>
      <c r="WTQ55" s="69"/>
      <c r="WTR55" s="69"/>
      <c r="WTS55" s="69"/>
      <c r="WTT55" s="69"/>
      <c r="WTU55" s="69"/>
      <c r="WTV55" s="69"/>
      <c r="WTW55" s="69"/>
      <c r="WTX55" s="69"/>
      <c r="WTY55" s="69"/>
      <c r="WTZ55" s="69"/>
      <c r="WUA55" s="69"/>
      <c r="WUB55" s="69"/>
      <c r="WUC55" s="69"/>
      <c r="WUD55" s="69"/>
      <c r="WUE55" s="69"/>
      <c r="WUF55" s="69"/>
      <c r="WUG55" s="69"/>
      <c r="WUH55" s="69"/>
      <c r="WUI55" s="69"/>
      <c r="WUJ55" s="69"/>
      <c r="WUK55" s="69"/>
      <c r="WUL55" s="69"/>
      <c r="WUM55" s="69"/>
      <c r="WUN55" s="69"/>
      <c r="WUO55" s="69"/>
      <c r="WUP55" s="69"/>
      <c r="WUQ55" s="69"/>
      <c r="WUR55" s="69"/>
      <c r="WUS55" s="69"/>
      <c r="WUT55" s="69"/>
      <c r="WUU55" s="69"/>
      <c r="WUV55" s="69"/>
      <c r="WUW55" s="69"/>
      <c r="WUX55" s="69"/>
      <c r="WUY55" s="69"/>
      <c r="WUZ55" s="69"/>
      <c r="WVA55" s="69"/>
      <c r="WVB55" s="69"/>
      <c r="WVC55" s="69"/>
      <c r="WVD55" s="69"/>
      <c r="WVE55" s="69"/>
      <c r="WVF55" s="69"/>
      <c r="WVG55" s="69"/>
      <c r="WVH55" s="69"/>
      <c r="WVI55" s="69"/>
      <c r="WVJ55" s="69"/>
      <c r="WVK55" s="69"/>
      <c r="WVL55" s="69"/>
      <c r="WVM55" s="69"/>
      <c r="WVN55" s="69"/>
      <c r="WVO55" s="69"/>
      <c r="WVP55" s="69"/>
      <c r="WVQ55" s="69"/>
      <c r="WVR55" s="69"/>
      <c r="WVS55" s="69"/>
      <c r="WVT55" s="69"/>
      <c r="WVU55" s="69"/>
      <c r="WVV55" s="69"/>
      <c r="WVW55" s="69"/>
      <c r="WVX55" s="69"/>
      <c r="WVY55" s="69"/>
      <c r="WVZ55" s="69"/>
      <c r="WWA55" s="69"/>
      <c r="WWB55" s="69"/>
      <c r="WWC55" s="69"/>
      <c r="WWD55" s="69"/>
      <c r="WWE55" s="69"/>
      <c r="WWF55" s="69"/>
      <c r="WWG55" s="69"/>
      <c r="WWH55" s="69"/>
      <c r="WWI55" s="69"/>
      <c r="WWJ55" s="69"/>
      <c r="WWK55" s="69"/>
      <c r="WWL55" s="69"/>
      <c r="WWM55" s="69"/>
      <c r="WWN55" s="69"/>
      <c r="WWO55" s="69"/>
      <c r="WWP55" s="69"/>
      <c r="WWQ55" s="69"/>
      <c r="WWR55" s="69"/>
      <c r="WWS55" s="69"/>
      <c r="WWT55" s="69"/>
      <c r="WWU55" s="69"/>
      <c r="WWV55" s="69"/>
      <c r="WWW55" s="69"/>
      <c r="WWX55" s="69"/>
      <c r="WWY55" s="69"/>
      <c r="WWZ55" s="69"/>
      <c r="WXA55" s="69"/>
      <c r="WXB55" s="69"/>
      <c r="WXC55" s="69"/>
      <c r="WXD55" s="69"/>
      <c r="WXE55" s="69"/>
      <c r="WXF55" s="69"/>
      <c r="WXG55" s="69"/>
      <c r="WXH55" s="69"/>
      <c r="WXI55" s="69"/>
      <c r="WXJ55" s="69"/>
      <c r="WXK55" s="69"/>
      <c r="WXL55" s="69"/>
      <c r="WXM55" s="69"/>
      <c r="WXN55" s="69"/>
      <c r="WXO55" s="69"/>
      <c r="WXP55" s="69"/>
      <c r="WXQ55" s="69"/>
      <c r="WXR55" s="69"/>
      <c r="WXS55" s="69"/>
      <c r="WXT55" s="69"/>
      <c r="WXU55" s="69"/>
      <c r="WXV55" s="69"/>
      <c r="WXW55" s="69"/>
      <c r="WXX55" s="69"/>
      <c r="WXY55" s="69"/>
      <c r="WXZ55" s="69"/>
      <c r="WYA55" s="69"/>
      <c r="WYB55" s="69"/>
      <c r="WYC55" s="69"/>
      <c r="WYD55" s="69"/>
      <c r="WYE55" s="69"/>
      <c r="WYF55" s="69"/>
      <c r="WYG55" s="69"/>
      <c r="WYH55" s="69"/>
      <c r="WYI55" s="69"/>
      <c r="WYJ55" s="69"/>
      <c r="WYK55" s="69"/>
      <c r="WYL55" s="69"/>
      <c r="WYM55" s="69"/>
      <c r="WYN55" s="69"/>
      <c r="WYO55" s="69"/>
      <c r="WYP55" s="69"/>
      <c r="WYQ55" s="69"/>
      <c r="WYR55" s="69"/>
      <c r="WYS55" s="69"/>
      <c r="WYT55" s="69"/>
      <c r="WYU55" s="69"/>
      <c r="WYV55" s="69"/>
      <c r="WYW55" s="69"/>
      <c r="WYX55" s="69"/>
      <c r="WYY55" s="69"/>
      <c r="WYZ55" s="69"/>
      <c r="WZA55" s="69"/>
      <c r="WZB55" s="69"/>
      <c r="WZC55" s="69"/>
      <c r="WZD55" s="69"/>
      <c r="WZE55" s="69"/>
      <c r="WZF55" s="69"/>
      <c r="WZG55" s="69"/>
      <c r="WZH55" s="69"/>
      <c r="WZI55" s="69"/>
      <c r="WZJ55" s="69"/>
      <c r="WZK55" s="69"/>
      <c r="WZL55" s="69"/>
      <c r="WZM55" s="69"/>
      <c r="WZN55" s="69"/>
      <c r="WZO55" s="69"/>
      <c r="WZP55" s="69"/>
      <c r="WZQ55" s="69"/>
      <c r="WZR55" s="69"/>
      <c r="WZS55" s="69"/>
      <c r="WZT55" s="69"/>
      <c r="WZU55" s="69"/>
      <c r="WZV55" s="69"/>
      <c r="WZW55" s="69"/>
      <c r="WZX55" s="69"/>
      <c r="WZY55" s="69"/>
      <c r="WZZ55" s="69"/>
      <c r="XAA55" s="69"/>
      <c r="XAB55" s="69"/>
      <c r="XAC55" s="69"/>
      <c r="XAD55" s="69"/>
      <c r="XAE55" s="69"/>
      <c r="XAF55" s="69"/>
      <c r="XAG55" s="69"/>
      <c r="XAH55" s="69"/>
      <c r="XAI55" s="69"/>
      <c r="XAJ55" s="69"/>
      <c r="XAK55" s="69"/>
      <c r="XAL55" s="69"/>
      <c r="XAM55" s="69"/>
      <c r="XAN55" s="69"/>
      <c r="XAO55" s="69"/>
      <c r="XAP55" s="69"/>
      <c r="XAQ55" s="69"/>
      <c r="XAR55" s="69"/>
      <c r="XAS55" s="69"/>
      <c r="XAT55" s="69"/>
      <c r="XAU55" s="69"/>
      <c r="XAV55" s="69"/>
      <c r="XAW55" s="69"/>
      <c r="XAX55" s="69"/>
      <c r="XAY55" s="69"/>
      <c r="XAZ55" s="69"/>
      <c r="XBA55" s="69"/>
      <c r="XBB55" s="69"/>
      <c r="XBC55" s="69"/>
      <c r="XBD55" s="69"/>
      <c r="XBE55" s="69"/>
      <c r="XBF55" s="69"/>
      <c r="XBG55" s="69"/>
      <c r="XBH55" s="69"/>
      <c r="XBI55" s="69"/>
      <c r="XBJ55" s="69"/>
      <c r="XBK55" s="69"/>
      <c r="XBL55" s="69"/>
      <c r="XBM55" s="69"/>
      <c r="XBN55" s="69"/>
      <c r="XBO55" s="69"/>
      <c r="XBP55" s="69"/>
      <c r="XBQ55" s="69"/>
      <c r="XBR55" s="69"/>
      <c r="XBS55" s="69"/>
      <c r="XBT55" s="69"/>
      <c r="XBU55" s="69"/>
      <c r="XBV55" s="69"/>
      <c r="XBW55" s="69"/>
      <c r="XBX55" s="69"/>
      <c r="XBY55" s="69"/>
      <c r="XBZ55" s="69"/>
      <c r="XCA55" s="69"/>
      <c r="XCB55" s="69"/>
      <c r="XCC55" s="69"/>
      <c r="XCD55" s="69"/>
      <c r="XCE55" s="69"/>
      <c r="XCF55" s="69"/>
      <c r="XCG55" s="69"/>
      <c r="XCH55" s="69"/>
      <c r="XCI55" s="69"/>
      <c r="XCJ55" s="69"/>
      <c r="XCK55" s="69"/>
      <c r="XCL55" s="69"/>
      <c r="XCM55" s="69"/>
      <c r="XCN55" s="69"/>
      <c r="XCO55" s="69"/>
      <c r="XCP55" s="69"/>
      <c r="XCQ55" s="69"/>
      <c r="XCR55" s="69"/>
      <c r="XCS55" s="69"/>
      <c r="XCT55" s="69"/>
      <c r="XCU55" s="69"/>
      <c r="XCV55" s="69"/>
      <c r="XCW55" s="69"/>
      <c r="XCX55" s="69"/>
      <c r="XCY55" s="69"/>
      <c r="XCZ55" s="69"/>
      <c r="XDA55" s="69"/>
      <c r="XDB55" s="69"/>
      <c r="XDC55" s="69"/>
      <c r="XDD55" s="69"/>
      <c r="XDE55" s="69"/>
      <c r="XDF55" s="69"/>
      <c r="XDG55" s="69"/>
      <c r="XDH55" s="69"/>
      <c r="XDI55" s="69"/>
      <c r="XDJ55" s="69"/>
      <c r="XDK55" s="69"/>
      <c r="XDL55" s="69"/>
      <c r="XDM55" s="69"/>
      <c r="XDN55" s="69"/>
      <c r="XDO55" s="69"/>
      <c r="XDP55" s="69"/>
      <c r="XDQ55" s="69"/>
      <c r="XDR55" s="69"/>
      <c r="XDS55" s="69"/>
      <c r="XDT55" s="69"/>
      <c r="XDU55" s="69"/>
      <c r="XDV55" s="69"/>
      <c r="XDW55" s="69"/>
      <c r="XDX55" s="69"/>
      <c r="XDY55" s="69"/>
      <c r="XDZ55" s="69"/>
      <c r="XEA55" s="69"/>
      <c r="XEB55" s="69"/>
      <c r="XEC55" s="69"/>
      <c r="XED55" s="69"/>
      <c r="XEE55" s="69"/>
      <c r="XEF55" s="69"/>
      <c r="XEG55" s="69"/>
      <c r="XEH55" s="69"/>
      <c r="XEI55" s="69"/>
      <c r="XEJ55" s="69"/>
      <c r="XEK55" s="69"/>
      <c r="XEL55" s="69"/>
      <c r="XEM55" s="69"/>
      <c r="XEN55" s="69"/>
      <c r="XEO55" s="69"/>
      <c r="XEP55" s="69"/>
      <c r="XEQ55" s="69"/>
      <c r="XER55" s="69"/>
      <c r="XES55" s="69"/>
      <c r="XET55" s="69"/>
      <c r="XEU55" s="69"/>
      <c r="XEV55" s="69"/>
    </row>
    <row r="56" spans="1:16376" s="83" customFormat="1" ht="25.5" customHeight="1">
      <c r="A56" s="84"/>
      <c r="B56" s="89" t="s">
        <v>1072</v>
      </c>
      <c r="C56" s="89" t="s">
        <v>7</v>
      </c>
      <c r="D56" s="73" t="s">
        <v>1432</v>
      </c>
      <c r="E56" s="73" t="s">
        <v>1433</v>
      </c>
      <c r="F56" s="76" t="s">
        <v>1444</v>
      </c>
      <c r="G56" s="76" t="s">
        <v>1445</v>
      </c>
      <c r="H56" s="71"/>
      <c r="I56" s="72"/>
      <c r="J56" s="23" t="s">
        <v>786</v>
      </c>
      <c r="K56" s="71" t="s">
        <v>1003</v>
      </c>
      <c r="L56" s="71" t="s">
        <v>1435</v>
      </c>
      <c r="M56" s="71" t="s">
        <v>1442</v>
      </c>
      <c r="N56" s="71" t="s">
        <v>1443</v>
      </c>
    </row>
    <row r="57" spans="1:16376" s="83" customFormat="1" ht="25.5" customHeight="1">
      <c r="A57" s="84"/>
      <c r="B57" s="89" t="s">
        <v>1072</v>
      </c>
      <c r="C57" s="89" t="s">
        <v>7</v>
      </c>
      <c r="D57" s="73" t="s">
        <v>1434</v>
      </c>
      <c r="E57" s="73" t="s">
        <v>1481</v>
      </c>
      <c r="F57" s="76" t="s">
        <v>1444</v>
      </c>
      <c r="G57" s="76" t="s">
        <v>1445</v>
      </c>
      <c r="H57" s="71"/>
      <c r="I57" s="72"/>
      <c r="J57" s="23" t="s">
        <v>786</v>
      </c>
      <c r="K57" s="71" t="s">
        <v>1003</v>
      </c>
      <c r="L57" s="71" t="s">
        <v>1435</v>
      </c>
      <c r="M57" s="71" t="s">
        <v>1442</v>
      </c>
      <c r="N57" s="71" t="s">
        <v>1443</v>
      </c>
    </row>
    <row r="58" spans="1:16376" ht="25.5" customHeight="1">
      <c r="A58" s="84"/>
      <c r="B58" s="89" t="s">
        <v>1072</v>
      </c>
      <c r="C58" s="89" t="s">
        <v>7</v>
      </c>
      <c r="D58" s="73" t="s">
        <v>782</v>
      </c>
      <c r="E58" s="73" t="s">
        <v>1469</v>
      </c>
      <c r="F58" s="76" t="s">
        <v>161</v>
      </c>
      <c r="G58" s="76" t="s">
        <v>808</v>
      </c>
      <c r="H58" s="71"/>
      <c r="I58" s="72" t="s">
        <v>1473</v>
      </c>
      <c r="J58" s="23" t="s">
        <v>786</v>
      </c>
      <c r="K58" s="71" t="s">
        <v>1003</v>
      </c>
      <c r="L58" s="71" t="s">
        <v>1012</v>
      </c>
      <c r="M58" s="71" t="s">
        <v>1013</v>
      </c>
      <c r="N58" s="71" t="s">
        <v>1014</v>
      </c>
    </row>
    <row r="59" spans="1:16376" s="140" customFormat="1" ht="25.5" customHeight="1">
      <c r="A59" s="145"/>
      <c r="B59" s="89" t="s">
        <v>1072</v>
      </c>
      <c r="C59" s="89" t="s">
        <v>7</v>
      </c>
      <c r="D59" s="73" t="s">
        <v>783</v>
      </c>
      <c r="E59" s="73" t="s">
        <v>1470</v>
      </c>
      <c r="F59" s="76" t="s">
        <v>161</v>
      </c>
      <c r="G59" s="76" t="s">
        <v>808</v>
      </c>
      <c r="H59" s="71"/>
      <c r="I59" s="72" t="s">
        <v>1473</v>
      </c>
      <c r="J59" s="23" t="s">
        <v>786</v>
      </c>
      <c r="K59" s="71" t="s">
        <v>1003</v>
      </c>
      <c r="L59" s="71" t="s">
        <v>1012</v>
      </c>
      <c r="M59" s="71" t="s">
        <v>1013</v>
      </c>
      <c r="N59" s="71" t="s">
        <v>1014</v>
      </c>
    </row>
    <row r="60" spans="1:16376" ht="25.5" customHeight="1">
      <c r="A60" s="84"/>
      <c r="B60" s="89" t="s">
        <v>1072</v>
      </c>
      <c r="C60" s="89" t="s">
        <v>7</v>
      </c>
      <c r="D60" s="73" t="s">
        <v>1471</v>
      </c>
      <c r="E60" s="73" t="s">
        <v>1472</v>
      </c>
      <c r="F60" s="76" t="s">
        <v>161</v>
      </c>
      <c r="G60" s="76" t="s">
        <v>808</v>
      </c>
      <c r="H60" s="71"/>
      <c r="I60" s="72" t="s">
        <v>1473</v>
      </c>
      <c r="J60" s="23" t="s">
        <v>786</v>
      </c>
      <c r="K60" s="71" t="s">
        <v>1003</v>
      </c>
      <c r="L60" s="71" t="s">
        <v>1012</v>
      </c>
      <c r="M60" s="71" t="s">
        <v>1013</v>
      </c>
      <c r="N60" s="71" t="s">
        <v>1474</v>
      </c>
    </row>
    <row r="61" spans="1:16376" ht="25.5" customHeight="1">
      <c r="A61" s="84"/>
      <c r="B61" s="89" t="s">
        <v>1074</v>
      </c>
      <c r="C61" s="89" t="s">
        <v>139</v>
      </c>
      <c r="D61" s="76" t="s">
        <v>1067</v>
      </c>
      <c r="E61" s="73" t="s">
        <v>903</v>
      </c>
      <c r="F61" s="71" t="s">
        <v>905</v>
      </c>
      <c r="G61" s="76" t="s">
        <v>798</v>
      </c>
      <c r="H61" s="71" t="s">
        <v>558</v>
      </c>
      <c r="I61" s="71" t="s">
        <v>904</v>
      </c>
      <c r="J61" s="23" t="s">
        <v>786</v>
      </c>
      <c r="K61" s="71" t="s">
        <v>995</v>
      </c>
      <c r="L61" s="71" t="s">
        <v>996</v>
      </c>
      <c r="M61" s="71" t="s">
        <v>997</v>
      </c>
      <c r="N61" s="71" t="s">
        <v>998</v>
      </c>
    </row>
    <row r="62" spans="1:16376" ht="25.5" customHeight="1">
      <c r="A62" s="84"/>
      <c r="B62" s="89" t="s">
        <v>1074</v>
      </c>
      <c r="C62" s="89" t="s">
        <v>139</v>
      </c>
      <c r="D62" s="76" t="s">
        <v>1098</v>
      </c>
      <c r="E62" s="73" t="s">
        <v>1100</v>
      </c>
      <c r="F62" s="71" t="s">
        <v>1101</v>
      </c>
      <c r="G62" s="76" t="s">
        <v>276</v>
      </c>
      <c r="H62" s="71"/>
      <c r="I62" s="71"/>
      <c r="J62" s="23" t="s">
        <v>786</v>
      </c>
      <c r="K62" s="71" t="s">
        <v>995</v>
      </c>
      <c r="L62" s="71" t="s">
        <v>996</v>
      </c>
      <c r="M62" s="71" t="s">
        <v>1102</v>
      </c>
      <c r="N62" s="71"/>
    </row>
    <row r="63" spans="1:16376" ht="25.5" customHeight="1">
      <c r="A63" s="84"/>
      <c r="B63" s="89" t="s">
        <v>1074</v>
      </c>
      <c r="C63" s="89" t="s">
        <v>122</v>
      </c>
      <c r="D63" s="76" t="s">
        <v>105</v>
      </c>
      <c r="E63" s="75" t="s">
        <v>703</v>
      </c>
      <c r="F63" s="76" t="s">
        <v>809</v>
      </c>
      <c r="G63" s="76" t="s">
        <v>810</v>
      </c>
      <c r="H63" s="71" t="s">
        <v>704</v>
      </c>
      <c r="I63" s="71"/>
      <c r="J63" s="23" t="s">
        <v>786</v>
      </c>
      <c r="K63" s="71" t="s">
        <v>995</v>
      </c>
      <c r="L63" s="71" t="s">
        <v>1015</v>
      </c>
      <c r="M63" s="71" t="s">
        <v>1016</v>
      </c>
      <c r="N63" s="71" t="s">
        <v>1017</v>
      </c>
    </row>
    <row r="64" spans="1:16376" s="83" customFormat="1" ht="25.5" customHeight="1">
      <c r="A64" s="84"/>
      <c r="B64" s="89" t="s">
        <v>1074</v>
      </c>
      <c r="C64" s="89" t="s">
        <v>136</v>
      </c>
      <c r="D64" s="76" t="s">
        <v>1414</v>
      </c>
      <c r="E64" s="75" t="s">
        <v>1415</v>
      </c>
      <c r="F64" s="76" t="s">
        <v>809</v>
      </c>
      <c r="G64" s="76" t="s">
        <v>810</v>
      </c>
      <c r="H64" s="71" t="s">
        <v>661</v>
      </c>
      <c r="I64" s="70"/>
      <c r="J64" s="23" t="s">
        <v>786</v>
      </c>
      <c r="K64" s="71" t="s">
        <v>995</v>
      </c>
      <c r="L64" s="71" t="s">
        <v>1015</v>
      </c>
      <c r="M64" s="71" t="s">
        <v>1016</v>
      </c>
      <c r="N64" s="71" t="s">
        <v>1017</v>
      </c>
    </row>
    <row r="65" spans="1:14" s="83" customFormat="1" ht="25.5" customHeight="1">
      <c r="A65" s="84"/>
      <c r="B65" s="89" t="s">
        <v>1074</v>
      </c>
      <c r="C65" s="89" t="s">
        <v>33</v>
      </c>
      <c r="D65" s="184" t="s">
        <v>1416</v>
      </c>
      <c r="E65" s="73" t="s">
        <v>1417</v>
      </c>
      <c r="F65" s="76" t="s">
        <v>809</v>
      </c>
      <c r="G65" s="76" t="s">
        <v>927</v>
      </c>
      <c r="H65" s="71" t="s">
        <v>926</v>
      </c>
      <c r="I65" s="72" t="s">
        <v>928</v>
      </c>
      <c r="J65" s="23" t="s">
        <v>786</v>
      </c>
      <c r="K65" s="71" t="s">
        <v>995</v>
      </c>
      <c r="L65" s="71" t="s">
        <v>1015</v>
      </c>
      <c r="M65" s="71" t="s">
        <v>1016</v>
      </c>
      <c r="N65" s="71" t="s">
        <v>1017</v>
      </c>
    </row>
    <row r="66" spans="1:14" s="83" customFormat="1" ht="25.5" customHeight="1">
      <c r="A66" s="84"/>
      <c r="B66" s="89" t="s">
        <v>1074</v>
      </c>
      <c r="C66" s="89" t="s">
        <v>136</v>
      </c>
      <c r="D66" s="73" t="s">
        <v>1290</v>
      </c>
      <c r="E66" s="73" t="s">
        <v>1292</v>
      </c>
      <c r="F66" s="76" t="s">
        <v>809</v>
      </c>
      <c r="G66" s="76" t="s">
        <v>927</v>
      </c>
      <c r="H66" s="71" t="s">
        <v>1413</v>
      </c>
      <c r="I66" s="72"/>
      <c r="J66" s="23" t="s">
        <v>786</v>
      </c>
      <c r="K66" s="71" t="s">
        <v>995</v>
      </c>
      <c r="L66" s="71" t="s">
        <v>1015</v>
      </c>
      <c r="M66" s="71" t="s">
        <v>1016</v>
      </c>
      <c r="N66" s="71" t="s">
        <v>1017</v>
      </c>
    </row>
    <row r="67" spans="1:14" s="83" customFormat="1" ht="25.5" customHeight="1">
      <c r="A67" s="84"/>
      <c r="B67" s="89" t="s">
        <v>1074</v>
      </c>
      <c r="C67" s="89" t="s">
        <v>136</v>
      </c>
      <c r="D67" s="73" t="s">
        <v>1291</v>
      </c>
      <c r="E67" s="73" t="s">
        <v>1293</v>
      </c>
      <c r="F67" s="76" t="s">
        <v>809</v>
      </c>
      <c r="G67" s="76" t="s">
        <v>927</v>
      </c>
      <c r="H67" s="71" t="s">
        <v>1294</v>
      </c>
      <c r="I67" s="72"/>
      <c r="J67" s="23" t="s">
        <v>786</v>
      </c>
      <c r="K67" s="71" t="s">
        <v>995</v>
      </c>
      <c r="L67" s="71" t="s">
        <v>1015</v>
      </c>
      <c r="M67" s="71" t="s">
        <v>1295</v>
      </c>
      <c r="N67" s="71"/>
    </row>
    <row r="68" spans="1:14" s="83" customFormat="1" ht="25.5" customHeight="1">
      <c r="A68" s="84"/>
      <c r="B68" s="89" t="s">
        <v>1074</v>
      </c>
      <c r="C68" s="89" t="s">
        <v>33</v>
      </c>
      <c r="D68" s="73" t="s">
        <v>12</v>
      </c>
      <c r="E68" s="73" t="s">
        <v>1446</v>
      </c>
      <c r="F68" s="76" t="s">
        <v>1452</v>
      </c>
      <c r="G68" s="76" t="s">
        <v>280</v>
      </c>
      <c r="H68" s="71" t="s">
        <v>1455</v>
      </c>
      <c r="I68" s="72" t="s">
        <v>1454</v>
      </c>
      <c r="J68" s="23" t="s">
        <v>786</v>
      </c>
      <c r="K68" s="71" t="s">
        <v>995</v>
      </c>
      <c r="L68" s="71" t="s">
        <v>1447</v>
      </c>
      <c r="M68" s="71" t="s">
        <v>1448</v>
      </c>
      <c r="N68" s="71" t="s">
        <v>1453</v>
      </c>
    </row>
    <row r="69" spans="1:14" s="83" customFormat="1" ht="25.5" customHeight="1">
      <c r="A69" s="84"/>
      <c r="B69" s="89" t="s">
        <v>1078</v>
      </c>
      <c r="C69" s="89" t="s">
        <v>139</v>
      </c>
      <c r="D69" s="73" t="s">
        <v>1301</v>
      </c>
      <c r="E69" s="73" t="s">
        <v>1349</v>
      </c>
      <c r="F69" s="76" t="s">
        <v>1078</v>
      </c>
      <c r="G69" s="76" t="s">
        <v>1296</v>
      </c>
      <c r="H69" s="71"/>
      <c r="I69" s="72"/>
      <c r="J69" s="23" t="s">
        <v>786</v>
      </c>
      <c r="K69" s="71" t="s">
        <v>981</v>
      </c>
      <c r="L69" s="71" t="s">
        <v>989</v>
      </c>
      <c r="M69" s="71" t="s">
        <v>990</v>
      </c>
      <c r="N69" s="71"/>
    </row>
    <row r="70" spans="1:14" s="83" customFormat="1" ht="25.5" customHeight="1">
      <c r="A70" s="84"/>
      <c r="B70" s="89" t="s">
        <v>1078</v>
      </c>
      <c r="C70" s="89" t="s">
        <v>139</v>
      </c>
      <c r="D70" s="73" t="s">
        <v>1302</v>
      </c>
      <c r="E70" s="73" t="s">
        <v>1350</v>
      </c>
      <c r="F70" s="76" t="s">
        <v>1078</v>
      </c>
      <c r="G70" s="76" t="s">
        <v>1296</v>
      </c>
      <c r="H70" s="71"/>
      <c r="I70" s="72"/>
      <c r="J70" s="23" t="s">
        <v>786</v>
      </c>
      <c r="K70" s="71" t="s">
        <v>981</v>
      </c>
      <c r="L70" s="71" t="s">
        <v>989</v>
      </c>
      <c r="M70" s="71" t="s">
        <v>990</v>
      </c>
      <c r="N70" s="71"/>
    </row>
    <row r="71" spans="1:14" s="83" customFormat="1" ht="25.5" customHeight="1">
      <c r="A71" s="84"/>
      <c r="B71" s="89" t="s">
        <v>1078</v>
      </c>
      <c r="C71" s="89" t="s">
        <v>139</v>
      </c>
      <c r="D71" s="73" t="s">
        <v>1303</v>
      </c>
      <c r="E71" s="73" t="s">
        <v>1351</v>
      </c>
      <c r="F71" s="76" t="s">
        <v>1078</v>
      </c>
      <c r="G71" s="76" t="s">
        <v>1296</v>
      </c>
      <c r="H71" s="71"/>
      <c r="I71" s="72"/>
      <c r="J71" s="23" t="s">
        <v>786</v>
      </c>
      <c r="K71" s="71" t="s">
        <v>981</v>
      </c>
      <c r="L71" s="71" t="s">
        <v>989</v>
      </c>
      <c r="M71" s="71" t="s">
        <v>1397</v>
      </c>
      <c r="N71" s="71"/>
    </row>
    <row r="72" spans="1:14" s="83" customFormat="1" ht="25.5" customHeight="1">
      <c r="A72" s="84"/>
      <c r="B72" s="89" t="s">
        <v>1078</v>
      </c>
      <c r="C72" s="89" t="s">
        <v>139</v>
      </c>
      <c r="D72" s="73" t="s">
        <v>1304</v>
      </c>
      <c r="E72" s="73" t="s">
        <v>1352</v>
      </c>
      <c r="F72" s="76" t="s">
        <v>1078</v>
      </c>
      <c r="G72" s="76" t="s">
        <v>1296</v>
      </c>
      <c r="H72" s="71"/>
      <c r="I72" s="72"/>
      <c r="J72" s="23" t="s">
        <v>786</v>
      </c>
      <c r="K72" s="71" t="s">
        <v>981</v>
      </c>
      <c r="L72" s="71" t="s">
        <v>1398</v>
      </c>
      <c r="M72" s="71" t="s">
        <v>1399</v>
      </c>
      <c r="N72" s="71"/>
    </row>
    <row r="73" spans="1:14" s="83" customFormat="1" ht="25.5" customHeight="1">
      <c r="A73" s="84"/>
      <c r="B73" s="89" t="s">
        <v>1078</v>
      </c>
      <c r="C73" s="89" t="s">
        <v>139</v>
      </c>
      <c r="D73" s="73" t="s">
        <v>1305</v>
      </c>
      <c r="E73" s="73" t="s">
        <v>1353</v>
      </c>
      <c r="F73" s="76" t="s">
        <v>1078</v>
      </c>
      <c r="G73" s="76" t="s">
        <v>1296</v>
      </c>
      <c r="H73" s="71"/>
      <c r="I73" s="72"/>
      <c r="J73" s="23" t="s">
        <v>786</v>
      </c>
      <c r="K73" s="71" t="s">
        <v>981</v>
      </c>
      <c r="L73" s="71" t="s">
        <v>989</v>
      </c>
      <c r="M73" s="71" t="s">
        <v>990</v>
      </c>
      <c r="N73" s="71"/>
    </row>
    <row r="74" spans="1:14" s="83" customFormat="1" ht="25.5" customHeight="1">
      <c r="A74" s="84"/>
      <c r="B74" s="89" t="s">
        <v>1078</v>
      </c>
      <c r="C74" s="89" t="s">
        <v>139</v>
      </c>
      <c r="D74" s="73" t="s">
        <v>1306</v>
      </c>
      <c r="E74" s="73" t="s">
        <v>1354</v>
      </c>
      <c r="F74" s="76" t="s">
        <v>1078</v>
      </c>
      <c r="G74" s="76" t="s">
        <v>1296</v>
      </c>
      <c r="H74" s="71"/>
      <c r="I74" s="72"/>
      <c r="J74" s="23" t="s">
        <v>786</v>
      </c>
      <c r="K74" s="71" t="s">
        <v>981</v>
      </c>
      <c r="L74" s="71" t="s">
        <v>989</v>
      </c>
      <c r="M74" s="71" t="s">
        <v>990</v>
      </c>
      <c r="N74" s="71"/>
    </row>
    <row r="75" spans="1:14" s="83" customFormat="1" ht="25.5" customHeight="1">
      <c r="A75" s="84"/>
      <c r="B75" s="89" t="s">
        <v>1078</v>
      </c>
      <c r="C75" s="89" t="s">
        <v>139</v>
      </c>
      <c r="D75" s="73" t="s">
        <v>1307</v>
      </c>
      <c r="E75" s="73" t="s">
        <v>1355</v>
      </c>
      <c r="F75" s="76" t="s">
        <v>1078</v>
      </c>
      <c r="G75" s="76" t="s">
        <v>1296</v>
      </c>
      <c r="H75" s="71"/>
      <c r="I75" s="72"/>
      <c r="J75" s="23" t="s">
        <v>786</v>
      </c>
      <c r="K75" s="71" t="s">
        <v>981</v>
      </c>
      <c r="L75" s="71" t="s">
        <v>989</v>
      </c>
      <c r="M75" s="71" t="s">
        <v>990</v>
      </c>
      <c r="N75" s="71"/>
    </row>
    <row r="76" spans="1:14" s="83" customFormat="1" ht="25.5" customHeight="1">
      <c r="A76" s="84"/>
      <c r="B76" s="89" t="s">
        <v>1078</v>
      </c>
      <c r="C76" s="89" t="s">
        <v>139</v>
      </c>
      <c r="D76" s="73" t="s">
        <v>1308</v>
      </c>
      <c r="E76" s="73" t="s">
        <v>1356</v>
      </c>
      <c r="F76" s="76" t="s">
        <v>1078</v>
      </c>
      <c r="G76" s="76" t="s">
        <v>1296</v>
      </c>
      <c r="H76" s="71"/>
      <c r="I76" s="72"/>
      <c r="J76" s="23" t="s">
        <v>786</v>
      </c>
      <c r="K76" s="71" t="s">
        <v>981</v>
      </c>
      <c r="L76" s="71" t="s">
        <v>1400</v>
      </c>
      <c r="M76" s="71"/>
      <c r="N76" s="71"/>
    </row>
    <row r="77" spans="1:14" s="83" customFormat="1" ht="25.5" customHeight="1">
      <c r="A77" s="84"/>
      <c r="B77" s="89" t="s">
        <v>1078</v>
      </c>
      <c r="C77" s="89" t="s">
        <v>139</v>
      </c>
      <c r="D77" s="73" t="s">
        <v>1309</v>
      </c>
      <c r="E77" s="73" t="s">
        <v>1357</v>
      </c>
      <c r="F77" s="76" t="s">
        <v>1078</v>
      </c>
      <c r="G77" s="76" t="s">
        <v>1296</v>
      </c>
      <c r="H77" s="71"/>
      <c r="I77" s="72"/>
      <c r="J77" s="23" t="s">
        <v>786</v>
      </c>
      <c r="K77" s="71" t="s">
        <v>981</v>
      </c>
      <c r="L77" s="71" t="s">
        <v>1400</v>
      </c>
      <c r="M77" s="71"/>
      <c r="N77" s="71"/>
    </row>
    <row r="78" spans="1:14" s="83" customFormat="1" ht="25.5" customHeight="1">
      <c r="A78" s="84"/>
      <c r="B78" s="89" t="s">
        <v>1078</v>
      </c>
      <c r="C78" s="89" t="s">
        <v>139</v>
      </c>
      <c r="D78" s="73" t="s">
        <v>1310</v>
      </c>
      <c r="E78" s="73" t="s">
        <v>1358</v>
      </c>
      <c r="F78" s="76" t="s">
        <v>1078</v>
      </c>
      <c r="G78" s="76" t="s">
        <v>1296</v>
      </c>
      <c r="H78" s="71"/>
      <c r="I78" s="72"/>
      <c r="J78" s="23" t="s">
        <v>786</v>
      </c>
      <c r="K78" s="71" t="s">
        <v>981</v>
      </c>
      <c r="L78" s="71" t="s">
        <v>1400</v>
      </c>
      <c r="M78" s="71"/>
      <c r="N78" s="71"/>
    </row>
    <row r="79" spans="1:14" s="83" customFormat="1" ht="25.5" customHeight="1">
      <c r="A79" s="84"/>
      <c r="B79" s="89" t="s">
        <v>1078</v>
      </c>
      <c r="C79" s="89" t="s">
        <v>139</v>
      </c>
      <c r="D79" s="73" t="s">
        <v>1311</v>
      </c>
      <c r="E79" s="73" t="s">
        <v>1359</v>
      </c>
      <c r="F79" s="76" t="s">
        <v>1078</v>
      </c>
      <c r="G79" s="76" t="s">
        <v>1296</v>
      </c>
      <c r="H79" s="71"/>
      <c r="I79" s="72"/>
      <c r="J79" s="23" t="s">
        <v>786</v>
      </c>
      <c r="K79" s="71" t="s">
        <v>981</v>
      </c>
      <c r="L79" s="71" t="s">
        <v>1400</v>
      </c>
      <c r="M79" s="71"/>
      <c r="N79" s="71"/>
    </row>
    <row r="80" spans="1:14" s="83" customFormat="1" ht="25.5" customHeight="1">
      <c r="A80" s="84"/>
      <c r="B80" s="89" t="s">
        <v>1078</v>
      </c>
      <c r="C80" s="89" t="s">
        <v>139</v>
      </c>
      <c r="D80" s="73" t="s">
        <v>1312</v>
      </c>
      <c r="E80" s="73" t="s">
        <v>1360</v>
      </c>
      <c r="F80" s="76" t="s">
        <v>1078</v>
      </c>
      <c r="G80" s="76" t="s">
        <v>1296</v>
      </c>
      <c r="H80" s="71"/>
      <c r="I80" s="72"/>
      <c r="J80" s="23" t="s">
        <v>786</v>
      </c>
      <c r="K80" s="71" t="s">
        <v>981</v>
      </c>
      <c r="L80" s="71" t="s">
        <v>1400</v>
      </c>
      <c r="M80" s="71"/>
      <c r="N80" s="71"/>
    </row>
    <row r="81" spans="1:14" s="83" customFormat="1" ht="25.5" customHeight="1">
      <c r="A81" s="84"/>
      <c r="B81" s="89" t="s">
        <v>1078</v>
      </c>
      <c r="C81" s="89" t="s">
        <v>139</v>
      </c>
      <c r="D81" s="73" t="s">
        <v>1313</v>
      </c>
      <c r="E81" s="73" t="s">
        <v>1361</v>
      </c>
      <c r="F81" s="76" t="s">
        <v>1078</v>
      </c>
      <c r="G81" s="76" t="s">
        <v>1296</v>
      </c>
      <c r="H81" s="71"/>
      <c r="I81" s="72"/>
      <c r="J81" s="23" t="s">
        <v>786</v>
      </c>
      <c r="K81" s="71" t="s">
        <v>981</v>
      </c>
      <c r="L81" s="71" t="s">
        <v>989</v>
      </c>
      <c r="M81" s="71"/>
      <c r="N81" s="71"/>
    </row>
    <row r="82" spans="1:14" s="83" customFormat="1" ht="25.5" customHeight="1">
      <c r="A82" s="84"/>
      <c r="B82" s="89" t="s">
        <v>1078</v>
      </c>
      <c r="C82" s="89" t="s">
        <v>139</v>
      </c>
      <c r="D82" s="73" t="s">
        <v>1314</v>
      </c>
      <c r="E82" s="73" t="s">
        <v>1362</v>
      </c>
      <c r="F82" s="76" t="s">
        <v>1078</v>
      </c>
      <c r="G82" s="76" t="s">
        <v>1296</v>
      </c>
      <c r="H82" s="71"/>
      <c r="I82" s="72"/>
      <c r="J82" s="23" t="s">
        <v>786</v>
      </c>
      <c r="K82" s="71" t="s">
        <v>981</v>
      </c>
      <c r="L82" s="71" t="s">
        <v>989</v>
      </c>
      <c r="M82" s="71" t="s">
        <v>990</v>
      </c>
      <c r="N82" s="71"/>
    </row>
    <row r="83" spans="1:14" s="83" customFormat="1" ht="25.5" customHeight="1">
      <c r="A83" s="84"/>
      <c r="B83" s="89" t="s">
        <v>1078</v>
      </c>
      <c r="C83" s="89" t="s">
        <v>33</v>
      </c>
      <c r="D83" s="73" t="s">
        <v>1315</v>
      </c>
      <c r="E83" s="73" t="s">
        <v>1363</v>
      </c>
      <c r="F83" s="76" t="s">
        <v>1078</v>
      </c>
      <c r="G83" s="76" t="s">
        <v>1296</v>
      </c>
      <c r="H83" s="71"/>
      <c r="I83" s="72"/>
      <c r="J83" s="23" t="s">
        <v>786</v>
      </c>
      <c r="K83" s="71" t="s">
        <v>981</v>
      </c>
      <c r="L83" s="71" t="s">
        <v>1398</v>
      </c>
      <c r="M83" s="71" t="s">
        <v>1399</v>
      </c>
      <c r="N83" s="71"/>
    </row>
    <row r="84" spans="1:14" s="83" customFormat="1" ht="25.5" customHeight="1">
      <c r="A84" s="84"/>
      <c r="B84" s="89" t="s">
        <v>1078</v>
      </c>
      <c r="C84" s="89" t="s">
        <v>139</v>
      </c>
      <c r="D84" s="73" t="s">
        <v>1316</v>
      </c>
      <c r="E84" s="73" t="s">
        <v>1364</v>
      </c>
      <c r="F84" s="76" t="s">
        <v>1078</v>
      </c>
      <c r="G84" s="76" t="s">
        <v>1296</v>
      </c>
      <c r="H84" s="71"/>
      <c r="I84" s="72"/>
      <c r="J84" s="23" t="s">
        <v>786</v>
      </c>
      <c r="K84" s="71" t="s">
        <v>981</v>
      </c>
      <c r="L84" s="71" t="s">
        <v>1400</v>
      </c>
      <c r="M84" s="71"/>
      <c r="N84" s="71"/>
    </row>
    <row r="85" spans="1:14" s="83" customFormat="1" ht="25.5" customHeight="1">
      <c r="A85" s="84"/>
      <c r="B85" s="89" t="s">
        <v>1078</v>
      </c>
      <c r="C85" s="89" t="s">
        <v>139</v>
      </c>
      <c r="D85" s="73" t="s">
        <v>1317</v>
      </c>
      <c r="E85" s="73" t="s">
        <v>1365</v>
      </c>
      <c r="F85" s="76" t="s">
        <v>1078</v>
      </c>
      <c r="G85" s="76" t="s">
        <v>1296</v>
      </c>
      <c r="H85" s="71"/>
      <c r="I85" s="72"/>
      <c r="J85" s="23" t="s">
        <v>786</v>
      </c>
      <c r="K85" s="71" t="s">
        <v>981</v>
      </c>
      <c r="L85" s="71" t="s">
        <v>1400</v>
      </c>
      <c r="M85" s="71"/>
      <c r="N85" s="71"/>
    </row>
    <row r="86" spans="1:14" s="83" customFormat="1" ht="25.5" customHeight="1">
      <c r="A86" s="84"/>
      <c r="B86" s="89" t="s">
        <v>1078</v>
      </c>
      <c r="C86" s="89" t="s">
        <v>139</v>
      </c>
      <c r="D86" s="73" t="s">
        <v>1318</v>
      </c>
      <c r="E86" s="73" t="s">
        <v>1366</v>
      </c>
      <c r="F86" s="76" t="s">
        <v>1078</v>
      </c>
      <c r="G86" s="76" t="s">
        <v>1296</v>
      </c>
      <c r="H86" s="71"/>
      <c r="I86" s="72"/>
      <c r="J86" s="23" t="s">
        <v>786</v>
      </c>
      <c r="K86" s="71" t="s">
        <v>981</v>
      </c>
      <c r="L86" s="71" t="s">
        <v>1401</v>
      </c>
      <c r="M86" s="71"/>
      <c r="N86" s="71"/>
    </row>
    <row r="87" spans="1:14" s="83" customFormat="1" ht="25.5" customHeight="1">
      <c r="A87" s="84"/>
      <c r="B87" s="89" t="s">
        <v>1078</v>
      </c>
      <c r="C87" s="89" t="s">
        <v>139</v>
      </c>
      <c r="D87" s="73" t="s">
        <v>1319</v>
      </c>
      <c r="E87" s="73" t="s">
        <v>1367</v>
      </c>
      <c r="F87" s="76" t="s">
        <v>1078</v>
      </c>
      <c r="G87" s="76" t="s">
        <v>1296</v>
      </c>
      <c r="H87" s="71"/>
      <c r="I87" s="72"/>
      <c r="J87" s="23" t="s">
        <v>786</v>
      </c>
      <c r="K87" s="71" t="s">
        <v>981</v>
      </c>
      <c r="L87" s="71" t="s">
        <v>989</v>
      </c>
      <c r="M87" s="71" t="s">
        <v>1402</v>
      </c>
      <c r="N87" s="71"/>
    </row>
    <row r="88" spans="1:14" s="83" customFormat="1" ht="25.5" customHeight="1">
      <c r="A88" s="84"/>
      <c r="B88" s="89" t="s">
        <v>1078</v>
      </c>
      <c r="C88" s="89" t="s">
        <v>139</v>
      </c>
      <c r="D88" s="73" t="s">
        <v>1320</v>
      </c>
      <c r="E88" s="73" t="s">
        <v>1368</v>
      </c>
      <c r="F88" s="76" t="s">
        <v>1078</v>
      </c>
      <c r="G88" s="76" t="s">
        <v>1296</v>
      </c>
      <c r="H88" s="71"/>
      <c r="I88" s="72"/>
      <c r="J88" s="23" t="s">
        <v>786</v>
      </c>
      <c r="K88" s="71" t="s">
        <v>981</v>
      </c>
      <c r="L88" s="71" t="s">
        <v>1403</v>
      </c>
      <c r="M88" s="71"/>
      <c r="N88" s="71"/>
    </row>
    <row r="89" spans="1:14" s="83" customFormat="1" ht="25.5" customHeight="1">
      <c r="A89" s="84"/>
      <c r="B89" s="89" t="s">
        <v>1078</v>
      </c>
      <c r="C89" s="89" t="s">
        <v>139</v>
      </c>
      <c r="D89" s="73" t="s">
        <v>1321</v>
      </c>
      <c r="E89" s="73" t="s">
        <v>1369</v>
      </c>
      <c r="F89" s="76" t="s">
        <v>1078</v>
      </c>
      <c r="G89" s="76" t="s">
        <v>1296</v>
      </c>
      <c r="H89" s="71"/>
      <c r="I89" s="72"/>
      <c r="J89" s="23" t="s">
        <v>786</v>
      </c>
      <c r="K89" s="71" t="s">
        <v>981</v>
      </c>
      <c r="L89" s="71" t="s">
        <v>1403</v>
      </c>
      <c r="M89" s="71"/>
      <c r="N89" s="71"/>
    </row>
    <row r="90" spans="1:14" s="83" customFormat="1" ht="25.5" customHeight="1">
      <c r="A90" s="84"/>
      <c r="B90" s="89" t="s">
        <v>1078</v>
      </c>
      <c r="C90" s="89" t="s">
        <v>139</v>
      </c>
      <c r="D90" s="73" t="s">
        <v>1322</v>
      </c>
      <c r="E90" s="73" t="s">
        <v>1370</v>
      </c>
      <c r="F90" s="76" t="s">
        <v>1078</v>
      </c>
      <c r="G90" s="76" t="s">
        <v>1296</v>
      </c>
      <c r="H90" s="71"/>
      <c r="I90" s="72"/>
      <c r="J90" s="23" t="s">
        <v>786</v>
      </c>
      <c r="K90" s="71" t="s">
        <v>981</v>
      </c>
      <c r="L90" s="71" t="s">
        <v>1400</v>
      </c>
      <c r="M90" s="71"/>
      <c r="N90" s="71"/>
    </row>
    <row r="91" spans="1:14" s="83" customFormat="1" ht="25.5" customHeight="1">
      <c r="A91" s="84"/>
      <c r="B91" s="89" t="s">
        <v>1078</v>
      </c>
      <c r="C91" s="89" t="s">
        <v>139</v>
      </c>
      <c r="D91" s="73" t="s">
        <v>1323</v>
      </c>
      <c r="E91" s="73" t="s">
        <v>1371</v>
      </c>
      <c r="F91" s="76" t="s">
        <v>1078</v>
      </c>
      <c r="G91" s="76" t="s">
        <v>1296</v>
      </c>
      <c r="H91" s="71"/>
      <c r="I91" s="72"/>
      <c r="J91" s="23" t="s">
        <v>786</v>
      </c>
      <c r="K91" s="71" t="s">
        <v>981</v>
      </c>
      <c r="L91" s="71" t="s">
        <v>1403</v>
      </c>
      <c r="M91" s="71"/>
      <c r="N91" s="71"/>
    </row>
    <row r="92" spans="1:14" s="83" customFormat="1" ht="25.5" customHeight="1">
      <c r="A92" s="84"/>
      <c r="B92" s="89" t="s">
        <v>1078</v>
      </c>
      <c r="C92" s="89" t="s">
        <v>139</v>
      </c>
      <c r="D92" s="73" t="s">
        <v>1324</v>
      </c>
      <c r="E92" s="73" t="s">
        <v>1372</v>
      </c>
      <c r="F92" s="76" t="s">
        <v>1078</v>
      </c>
      <c r="G92" s="76" t="s">
        <v>1296</v>
      </c>
      <c r="H92" s="71"/>
      <c r="I92" s="72"/>
      <c r="J92" s="23" t="s">
        <v>786</v>
      </c>
      <c r="K92" s="71" t="s">
        <v>981</v>
      </c>
      <c r="L92" s="71" t="s">
        <v>1018</v>
      </c>
      <c r="M92" s="71"/>
      <c r="N92" s="71"/>
    </row>
    <row r="93" spans="1:14" s="83" customFormat="1" ht="25.5" customHeight="1">
      <c r="A93" s="84"/>
      <c r="B93" s="89" t="s">
        <v>1078</v>
      </c>
      <c r="C93" s="89" t="s">
        <v>139</v>
      </c>
      <c r="D93" s="73" t="s">
        <v>1325</v>
      </c>
      <c r="E93" s="73" t="s">
        <v>1373</v>
      </c>
      <c r="F93" s="76" t="s">
        <v>1078</v>
      </c>
      <c r="G93" s="76" t="s">
        <v>1296</v>
      </c>
      <c r="H93" s="71"/>
      <c r="I93" s="72"/>
      <c r="J93" s="23" t="s">
        <v>786</v>
      </c>
      <c r="K93" s="71" t="s">
        <v>981</v>
      </c>
      <c r="L93" s="71" t="s">
        <v>1401</v>
      </c>
      <c r="M93" s="71" t="s">
        <v>1404</v>
      </c>
      <c r="N93" s="71"/>
    </row>
    <row r="94" spans="1:14" s="83" customFormat="1" ht="25.5" customHeight="1">
      <c r="A94" s="84"/>
      <c r="B94" s="89" t="s">
        <v>1078</v>
      </c>
      <c r="C94" s="89" t="s">
        <v>139</v>
      </c>
      <c r="D94" s="73" t="s">
        <v>1326</v>
      </c>
      <c r="E94" s="73" t="s">
        <v>1374</v>
      </c>
      <c r="F94" s="76" t="s">
        <v>1078</v>
      </c>
      <c r="G94" s="76" t="s">
        <v>1296</v>
      </c>
      <c r="H94" s="71"/>
      <c r="I94" s="72"/>
      <c r="J94" s="23" t="s">
        <v>786</v>
      </c>
      <c r="K94" s="71" t="s">
        <v>981</v>
      </c>
      <c r="L94" s="71" t="s">
        <v>1403</v>
      </c>
      <c r="M94" s="71" t="s">
        <v>1405</v>
      </c>
      <c r="N94" s="71" t="s">
        <v>1406</v>
      </c>
    </row>
    <row r="95" spans="1:14" s="83" customFormat="1" ht="25.5" customHeight="1">
      <c r="A95" s="84"/>
      <c r="B95" s="89" t="s">
        <v>1078</v>
      </c>
      <c r="C95" s="89" t="s">
        <v>136</v>
      </c>
      <c r="D95" s="73" t="s">
        <v>1327</v>
      </c>
      <c r="E95" s="73" t="s">
        <v>1375</v>
      </c>
      <c r="F95" s="76" t="s">
        <v>1078</v>
      </c>
      <c r="G95" s="76" t="s">
        <v>1296</v>
      </c>
      <c r="H95" s="71"/>
      <c r="I95" s="72"/>
      <c r="J95" s="23" t="s">
        <v>786</v>
      </c>
      <c r="K95" s="71" t="s">
        <v>981</v>
      </c>
      <c r="L95" s="71" t="s">
        <v>1018</v>
      </c>
      <c r="M95" s="71"/>
      <c r="N95" s="71"/>
    </row>
    <row r="96" spans="1:14" s="83" customFormat="1" ht="25.5" customHeight="1">
      <c r="A96" s="84"/>
      <c r="B96" s="89" t="s">
        <v>1078</v>
      </c>
      <c r="C96" s="89" t="s">
        <v>136</v>
      </c>
      <c r="D96" s="73" t="s">
        <v>1328</v>
      </c>
      <c r="E96" s="73" t="s">
        <v>1376</v>
      </c>
      <c r="F96" s="76" t="s">
        <v>1078</v>
      </c>
      <c r="G96" s="76" t="s">
        <v>1296</v>
      </c>
      <c r="H96" s="71"/>
      <c r="I96" s="72"/>
      <c r="J96" s="23" t="s">
        <v>786</v>
      </c>
      <c r="K96" s="71" t="s">
        <v>1407</v>
      </c>
      <c r="L96" s="71" t="s">
        <v>1408</v>
      </c>
      <c r="M96" s="71"/>
      <c r="N96" s="71"/>
    </row>
    <row r="97" spans="1:14" s="83" customFormat="1" ht="25.5" customHeight="1">
      <c r="A97" s="84"/>
      <c r="B97" s="89" t="s">
        <v>1078</v>
      </c>
      <c r="C97" s="89" t="s">
        <v>136</v>
      </c>
      <c r="D97" s="73" t="s">
        <v>1329</v>
      </c>
      <c r="E97" s="73" t="s">
        <v>1377</v>
      </c>
      <c r="F97" s="76" t="s">
        <v>1078</v>
      </c>
      <c r="G97" s="76" t="s">
        <v>1296</v>
      </c>
      <c r="H97" s="71"/>
      <c r="I97" s="72"/>
      <c r="J97" s="23" t="s">
        <v>786</v>
      </c>
      <c r="K97" s="71" t="s">
        <v>981</v>
      </c>
      <c r="L97" s="71" t="s">
        <v>1018</v>
      </c>
      <c r="M97" s="71"/>
      <c r="N97" s="71"/>
    </row>
    <row r="98" spans="1:14" s="83" customFormat="1" ht="25.5" customHeight="1">
      <c r="A98" s="84"/>
      <c r="B98" s="89" t="s">
        <v>1078</v>
      </c>
      <c r="C98" s="89" t="s">
        <v>136</v>
      </c>
      <c r="D98" s="73" t="s">
        <v>1330</v>
      </c>
      <c r="E98" s="73" t="s">
        <v>1378</v>
      </c>
      <c r="F98" s="76" t="s">
        <v>1078</v>
      </c>
      <c r="G98" s="76" t="s">
        <v>1296</v>
      </c>
      <c r="H98" s="71"/>
      <c r="I98" s="72"/>
      <c r="J98" s="23" t="s">
        <v>786</v>
      </c>
      <c r="K98" s="71" t="s">
        <v>981</v>
      </c>
      <c r="L98" s="71" t="s">
        <v>1398</v>
      </c>
      <c r="M98" s="71" t="s">
        <v>1399</v>
      </c>
      <c r="N98" s="71"/>
    </row>
    <row r="99" spans="1:14" s="83" customFormat="1" ht="25.5" customHeight="1">
      <c r="A99" s="84"/>
      <c r="B99" s="89" t="s">
        <v>1078</v>
      </c>
      <c r="C99" s="89" t="s">
        <v>139</v>
      </c>
      <c r="D99" s="73" t="s">
        <v>1331</v>
      </c>
      <c r="E99" s="73" t="s">
        <v>1379</v>
      </c>
      <c r="F99" s="76" t="s">
        <v>1078</v>
      </c>
      <c r="G99" s="76" t="s">
        <v>1296</v>
      </c>
      <c r="H99" s="71"/>
      <c r="I99" s="72"/>
      <c r="J99" s="23" t="s">
        <v>786</v>
      </c>
      <c r="K99" s="71" t="s">
        <v>981</v>
      </c>
      <c r="L99" s="71" t="s">
        <v>1401</v>
      </c>
      <c r="M99" s="71"/>
      <c r="N99" s="71"/>
    </row>
    <row r="100" spans="1:14" s="83" customFormat="1" ht="25.5" customHeight="1">
      <c r="A100" s="84"/>
      <c r="B100" s="89" t="s">
        <v>1078</v>
      </c>
      <c r="C100" s="89" t="s">
        <v>139</v>
      </c>
      <c r="D100" s="73" t="s">
        <v>1332</v>
      </c>
      <c r="E100" s="73" t="s">
        <v>1380</v>
      </c>
      <c r="F100" s="76" t="s">
        <v>1078</v>
      </c>
      <c r="G100" s="76" t="s">
        <v>1296</v>
      </c>
      <c r="H100" s="71"/>
      <c r="I100" s="72"/>
      <c r="J100" s="23" t="s">
        <v>786</v>
      </c>
      <c r="K100" s="71" t="s">
        <v>981</v>
      </c>
      <c r="L100" s="71" t="s">
        <v>1401</v>
      </c>
      <c r="M100" s="71"/>
      <c r="N100" s="71"/>
    </row>
    <row r="101" spans="1:14" s="83" customFormat="1" ht="25.5" customHeight="1">
      <c r="A101" s="84"/>
      <c r="B101" s="89" t="s">
        <v>1078</v>
      </c>
      <c r="C101" s="89" t="s">
        <v>139</v>
      </c>
      <c r="D101" s="73" t="s">
        <v>1333</v>
      </c>
      <c r="E101" s="73" t="s">
        <v>1381</v>
      </c>
      <c r="F101" s="76" t="s">
        <v>1078</v>
      </c>
      <c r="G101" s="76" t="s">
        <v>1296</v>
      </c>
      <c r="H101" s="71"/>
      <c r="I101" s="72"/>
      <c r="J101" s="23" t="s">
        <v>786</v>
      </c>
      <c r="K101" s="71" t="s">
        <v>981</v>
      </c>
      <c r="L101" s="71" t="s">
        <v>1401</v>
      </c>
      <c r="M101" s="71"/>
      <c r="N101" s="71"/>
    </row>
    <row r="102" spans="1:14" s="83" customFormat="1" ht="25.5" customHeight="1">
      <c r="A102" s="84"/>
      <c r="B102" s="89" t="s">
        <v>1078</v>
      </c>
      <c r="C102" s="89" t="s">
        <v>139</v>
      </c>
      <c r="D102" s="73" t="s">
        <v>1334</v>
      </c>
      <c r="E102" s="73" t="s">
        <v>1382</v>
      </c>
      <c r="F102" s="76" t="s">
        <v>1078</v>
      </c>
      <c r="G102" s="76" t="s">
        <v>1296</v>
      </c>
      <c r="H102" s="71"/>
      <c r="I102" s="72"/>
      <c r="J102" s="23" t="s">
        <v>786</v>
      </c>
      <c r="K102" s="71" t="s">
        <v>981</v>
      </c>
      <c r="L102" s="71" t="s">
        <v>1401</v>
      </c>
      <c r="M102" s="71"/>
      <c r="N102" s="71"/>
    </row>
    <row r="103" spans="1:14" s="83" customFormat="1" ht="25.5" customHeight="1">
      <c r="A103" s="84"/>
      <c r="B103" s="89" t="s">
        <v>1078</v>
      </c>
      <c r="C103" s="89" t="s">
        <v>139</v>
      </c>
      <c r="D103" s="73" t="s">
        <v>1335</v>
      </c>
      <c r="E103" s="73" t="s">
        <v>1383</v>
      </c>
      <c r="F103" s="76" t="s">
        <v>1078</v>
      </c>
      <c r="G103" s="76" t="s">
        <v>1296</v>
      </c>
      <c r="H103" s="71"/>
      <c r="I103" s="72"/>
      <c r="J103" s="23" t="s">
        <v>786</v>
      </c>
      <c r="K103" s="71" t="s">
        <v>981</v>
      </c>
      <c r="L103" s="71" t="s">
        <v>1401</v>
      </c>
      <c r="M103" s="71"/>
      <c r="N103" s="71"/>
    </row>
    <row r="104" spans="1:14" s="83" customFormat="1" ht="25.5" customHeight="1">
      <c r="A104" s="84"/>
      <c r="B104" s="89" t="s">
        <v>1078</v>
      </c>
      <c r="C104" s="89" t="s">
        <v>139</v>
      </c>
      <c r="D104" s="73" t="s">
        <v>1336</v>
      </c>
      <c r="E104" s="73" t="s">
        <v>1384</v>
      </c>
      <c r="F104" s="76" t="s">
        <v>1078</v>
      </c>
      <c r="G104" s="76" t="s">
        <v>1296</v>
      </c>
      <c r="H104" s="71"/>
      <c r="I104" s="72"/>
      <c r="J104" s="23" t="s">
        <v>786</v>
      </c>
      <c r="K104" s="71" t="s">
        <v>981</v>
      </c>
      <c r="L104" s="71" t="s">
        <v>1401</v>
      </c>
      <c r="M104" s="71"/>
      <c r="N104" s="71"/>
    </row>
    <row r="105" spans="1:14" s="83" customFormat="1" ht="25.5" customHeight="1">
      <c r="A105" s="84"/>
      <c r="B105" s="89" t="s">
        <v>1078</v>
      </c>
      <c r="C105" s="89" t="s">
        <v>139</v>
      </c>
      <c r="D105" s="73" t="s">
        <v>1337</v>
      </c>
      <c r="E105" s="73" t="s">
        <v>1385</v>
      </c>
      <c r="F105" s="76" t="s">
        <v>1078</v>
      </c>
      <c r="G105" s="76" t="s">
        <v>1296</v>
      </c>
      <c r="H105" s="71"/>
      <c r="I105" s="72"/>
      <c r="J105" s="23" t="s">
        <v>786</v>
      </c>
      <c r="K105" s="71" t="s">
        <v>981</v>
      </c>
      <c r="L105" s="71" t="s">
        <v>1401</v>
      </c>
      <c r="M105" s="71"/>
      <c r="N105" s="71"/>
    </row>
    <row r="106" spans="1:14" s="83" customFormat="1" ht="25.5" customHeight="1">
      <c r="A106" s="84"/>
      <c r="B106" s="89" t="s">
        <v>1078</v>
      </c>
      <c r="C106" s="89" t="s">
        <v>139</v>
      </c>
      <c r="D106" s="73" t="s">
        <v>1338</v>
      </c>
      <c r="E106" s="73" t="s">
        <v>1386</v>
      </c>
      <c r="F106" s="76" t="s">
        <v>1078</v>
      </c>
      <c r="G106" s="76" t="s">
        <v>1296</v>
      </c>
      <c r="H106" s="71"/>
      <c r="I106" s="72"/>
      <c r="J106" s="23" t="s">
        <v>786</v>
      </c>
      <c r="K106" s="71" t="s">
        <v>981</v>
      </c>
      <c r="L106" s="71" t="s">
        <v>1398</v>
      </c>
      <c r="M106" s="71" t="s">
        <v>1399</v>
      </c>
      <c r="N106" s="71" t="s">
        <v>1409</v>
      </c>
    </row>
    <row r="107" spans="1:14" s="83" customFormat="1" ht="25.5" customHeight="1">
      <c r="A107" s="84"/>
      <c r="B107" s="89" t="s">
        <v>1078</v>
      </c>
      <c r="C107" s="89" t="s">
        <v>139</v>
      </c>
      <c r="D107" s="73" t="s">
        <v>1339</v>
      </c>
      <c r="E107" s="73" t="s">
        <v>1387</v>
      </c>
      <c r="F107" s="76" t="s">
        <v>1078</v>
      </c>
      <c r="G107" s="76" t="s">
        <v>1296</v>
      </c>
      <c r="H107" s="71"/>
      <c r="I107" s="72"/>
      <c r="J107" s="23" t="s">
        <v>786</v>
      </c>
      <c r="K107" s="71" t="s">
        <v>981</v>
      </c>
      <c r="L107" s="71" t="s">
        <v>1398</v>
      </c>
      <c r="M107" s="71" t="s">
        <v>1410</v>
      </c>
      <c r="N107" s="71"/>
    </row>
    <row r="108" spans="1:14" s="83" customFormat="1" ht="25.5" customHeight="1">
      <c r="A108" s="84"/>
      <c r="B108" s="89" t="s">
        <v>1078</v>
      </c>
      <c r="C108" s="89" t="s">
        <v>139</v>
      </c>
      <c r="D108" s="73" t="s">
        <v>1340</v>
      </c>
      <c r="E108" s="73" t="s">
        <v>1388</v>
      </c>
      <c r="F108" s="76" t="s">
        <v>1078</v>
      </c>
      <c r="G108" s="76" t="s">
        <v>1296</v>
      </c>
      <c r="H108" s="71"/>
      <c r="I108" s="72"/>
      <c r="J108" s="23" t="s">
        <v>786</v>
      </c>
      <c r="K108" s="71" t="s">
        <v>981</v>
      </c>
      <c r="L108" s="71" t="s">
        <v>989</v>
      </c>
      <c r="M108" s="71" t="s">
        <v>1411</v>
      </c>
      <c r="N108" s="71"/>
    </row>
    <row r="109" spans="1:14" s="83" customFormat="1" ht="25.5" customHeight="1">
      <c r="A109" s="84"/>
      <c r="B109" s="89" t="s">
        <v>1078</v>
      </c>
      <c r="C109" s="89" t="s">
        <v>136</v>
      </c>
      <c r="D109" s="73" t="s">
        <v>1341</v>
      </c>
      <c r="E109" s="73" t="s">
        <v>1389</v>
      </c>
      <c r="F109" s="76" t="s">
        <v>1078</v>
      </c>
      <c r="G109" s="76" t="s">
        <v>1296</v>
      </c>
      <c r="H109" s="71"/>
      <c r="I109" s="72"/>
      <c r="J109" s="23" t="s">
        <v>786</v>
      </c>
      <c r="K109" s="71" t="s">
        <v>981</v>
      </c>
      <c r="L109" s="71" t="s">
        <v>1018</v>
      </c>
      <c r="M109" s="71"/>
      <c r="N109" s="71"/>
    </row>
    <row r="110" spans="1:14" s="83" customFormat="1" ht="25.5" customHeight="1">
      <c r="A110" s="84"/>
      <c r="B110" s="89" t="s">
        <v>1078</v>
      </c>
      <c r="C110" s="89" t="s">
        <v>139</v>
      </c>
      <c r="D110" s="73" t="s">
        <v>1342</v>
      </c>
      <c r="E110" s="73" t="s">
        <v>1390</v>
      </c>
      <c r="F110" s="76" t="s">
        <v>1078</v>
      </c>
      <c r="G110" s="76" t="s">
        <v>1296</v>
      </c>
      <c r="H110" s="71"/>
      <c r="I110" s="72"/>
      <c r="J110" s="23" t="s">
        <v>786</v>
      </c>
      <c r="K110" s="71" t="s">
        <v>981</v>
      </c>
      <c r="L110" s="71" t="s">
        <v>989</v>
      </c>
      <c r="M110" s="71" t="s">
        <v>1411</v>
      </c>
      <c r="N110" s="71"/>
    </row>
    <row r="111" spans="1:14" s="83" customFormat="1" ht="25.5" customHeight="1">
      <c r="A111" s="84"/>
      <c r="B111" s="89" t="s">
        <v>1078</v>
      </c>
      <c r="C111" s="89" t="s">
        <v>139</v>
      </c>
      <c r="D111" s="73" t="s">
        <v>1343</v>
      </c>
      <c r="E111" s="73" t="s">
        <v>1391</v>
      </c>
      <c r="F111" s="76" t="s">
        <v>1078</v>
      </c>
      <c r="G111" s="76" t="s">
        <v>1296</v>
      </c>
      <c r="H111" s="71"/>
      <c r="I111" s="72"/>
      <c r="J111" s="23" t="s">
        <v>786</v>
      </c>
      <c r="K111" s="71" t="s">
        <v>981</v>
      </c>
      <c r="L111" s="71" t="s">
        <v>989</v>
      </c>
      <c r="M111" s="71" t="s">
        <v>1411</v>
      </c>
      <c r="N111" s="71"/>
    </row>
    <row r="112" spans="1:14" s="83" customFormat="1" ht="25.5" customHeight="1">
      <c r="A112" s="84"/>
      <c r="B112" s="89" t="s">
        <v>1078</v>
      </c>
      <c r="C112" s="89" t="s">
        <v>136</v>
      </c>
      <c r="D112" s="73" t="s">
        <v>1344</v>
      </c>
      <c r="E112" s="73" t="s">
        <v>1392</v>
      </c>
      <c r="F112" s="76" t="s">
        <v>1078</v>
      </c>
      <c r="G112" s="76" t="s">
        <v>1296</v>
      </c>
      <c r="H112" s="71"/>
      <c r="I112" s="72"/>
      <c r="J112" s="23" t="s">
        <v>786</v>
      </c>
      <c r="K112" s="71" t="s">
        <v>981</v>
      </c>
      <c r="L112" s="71" t="s">
        <v>1018</v>
      </c>
      <c r="M112" s="71"/>
      <c r="N112" s="71"/>
    </row>
    <row r="113" spans="1:14" s="83" customFormat="1" ht="25.5" customHeight="1">
      <c r="A113" s="84"/>
      <c r="B113" s="89" t="s">
        <v>1078</v>
      </c>
      <c r="C113" s="89" t="s">
        <v>139</v>
      </c>
      <c r="D113" s="73" t="s">
        <v>1345</v>
      </c>
      <c r="E113" s="73" t="s">
        <v>1393</v>
      </c>
      <c r="F113" s="76" t="s">
        <v>1078</v>
      </c>
      <c r="G113" s="76" t="s">
        <v>1296</v>
      </c>
      <c r="H113" s="71"/>
      <c r="I113" s="72"/>
      <c r="J113" s="23" t="s">
        <v>786</v>
      </c>
      <c r="K113" s="71" t="s">
        <v>981</v>
      </c>
      <c r="L113" s="71" t="s">
        <v>1412</v>
      </c>
      <c r="M113" s="71"/>
      <c r="N113" s="71"/>
    </row>
    <row r="114" spans="1:14" s="83" customFormat="1" ht="25.5" customHeight="1">
      <c r="A114" s="84"/>
      <c r="B114" s="89" t="s">
        <v>1078</v>
      </c>
      <c r="C114" s="89" t="s">
        <v>139</v>
      </c>
      <c r="D114" s="73" t="s">
        <v>1346</v>
      </c>
      <c r="E114" s="73" t="s">
        <v>1394</v>
      </c>
      <c r="F114" s="76" t="s">
        <v>1078</v>
      </c>
      <c r="G114" s="76" t="s">
        <v>1296</v>
      </c>
      <c r="H114" s="71"/>
      <c r="I114" s="72"/>
      <c r="J114" s="23" t="s">
        <v>786</v>
      </c>
      <c r="K114" s="71" t="s">
        <v>981</v>
      </c>
      <c r="L114" s="71" t="s">
        <v>1412</v>
      </c>
      <c r="M114" s="71"/>
      <c r="N114" s="71"/>
    </row>
    <row r="115" spans="1:14" s="83" customFormat="1" ht="25.5" customHeight="1">
      <c r="A115" s="84"/>
      <c r="B115" s="89" t="s">
        <v>1078</v>
      </c>
      <c r="C115" s="89" t="s">
        <v>139</v>
      </c>
      <c r="D115" s="73" t="s">
        <v>1347</v>
      </c>
      <c r="E115" s="73" t="s">
        <v>1395</v>
      </c>
      <c r="F115" s="76" t="s">
        <v>1078</v>
      </c>
      <c r="G115" s="76" t="s">
        <v>1296</v>
      </c>
      <c r="H115" s="71"/>
      <c r="I115" s="72"/>
      <c r="J115" s="23" t="s">
        <v>786</v>
      </c>
      <c r="K115" s="71" t="s">
        <v>981</v>
      </c>
      <c r="L115" s="71" t="s">
        <v>1412</v>
      </c>
      <c r="M115" s="71"/>
      <c r="N115" s="71"/>
    </row>
    <row r="116" spans="1:14" s="83" customFormat="1" ht="25.5" customHeight="1">
      <c r="A116" s="84"/>
      <c r="B116" s="89" t="s">
        <v>1078</v>
      </c>
      <c r="C116" s="89" t="s">
        <v>139</v>
      </c>
      <c r="D116" s="73" t="s">
        <v>1348</v>
      </c>
      <c r="E116" s="73" t="s">
        <v>1396</v>
      </c>
      <c r="F116" s="76" t="s">
        <v>1078</v>
      </c>
      <c r="G116" s="76" t="s">
        <v>1296</v>
      </c>
      <c r="H116" s="71"/>
      <c r="I116" s="72"/>
      <c r="J116" s="23" t="s">
        <v>786</v>
      </c>
      <c r="K116" s="71" t="s">
        <v>981</v>
      </c>
      <c r="L116" s="71" t="s">
        <v>989</v>
      </c>
      <c r="M116" s="71"/>
      <c r="N116" s="71"/>
    </row>
    <row r="117" spans="1:14" s="83" customFormat="1" ht="25.5" customHeight="1">
      <c r="A117" s="84"/>
      <c r="B117" s="89" t="s">
        <v>1077</v>
      </c>
      <c r="C117" s="89" t="s">
        <v>136</v>
      </c>
      <c r="D117" s="76" t="s">
        <v>134</v>
      </c>
      <c r="E117" s="141" t="s">
        <v>956</v>
      </c>
      <c r="F117" s="76" t="s">
        <v>337</v>
      </c>
      <c r="G117" s="76" t="s">
        <v>954</v>
      </c>
      <c r="H117" s="71" t="s">
        <v>337</v>
      </c>
      <c r="I117" s="70"/>
      <c r="J117" s="23" t="s">
        <v>786</v>
      </c>
      <c r="K117" s="71" t="s">
        <v>1024</v>
      </c>
      <c r="L117" s="71" t="s">
        <v>1025</v>
      </c>
      <c r="M117" s="71" t="s">
        <v>1026</v>
      </c>
      <c r="N117" s="71" t="s">
        <v>1027</v>
      </c>
    </row>
    <row r="118" spans="1:14" s="83" customFormat="1" ht="25.5" customHeight="1">
      <c r="A118" s="84"/>
      <c r="B118" s="89" t="s">
        <v>1077</v>
      </c>
      <c r="C118" s="89" t="s">
        <v>84</v>
      </c>
      <c r="D118" s="76" t="s">
        <v>1039</v>
      </c>
      <c r="E118" s="73" t="s">
        <v>1063</v>
      </c>
      <c r="F118" s="76" t="s">
        <v>175</v>
      </c>
      <c r="G118" s="76" t="s">
        <v>924</v>
      </c>
      <c r="H118" s="71"/>
      <c r="I118" s="71"/>
      <c r="J118" s="23" t="s">
        <v>786</v>
      </c>
      <c r="K118" s="71" t="s">
        <v>1024</v>
      </c>
      <c r="L118" s="71" t="s">
        <v>1032</v>
      </c>
      <c r="M118" s="71" t="s">
        <v>1033</v>
      </c>
      <c r="N118" s="71" t="s">
        <v>560</v>
      </c>
    </row>
    <row r="119" spans="1:14" s="83" customFormat="1" ht="25.5" customHeight="1">
      <c r="A119" s="84"/>
      <c r="B119" s="89" t="s">
        <v>1077</v>
      </c>
      <c r="C119" s="89" t="s">
        <v>84</v>
      </c>
      <c r="D119" s="76" t="s">
        <v>1040</v>
      </c>
      <c r="E119" s="73" t="s">
        <v>1064</v>
      </c>
      <c r="F119" s="76" t="s">
        <v>175</v>
      </c>
      <c r="G119" s="76" t="s">
        <v>924</v>
      </c>
      <c r="H119" s="71"/>
      <c r="I119" s="71"/>
      <c r="J119" s="23" t="s">
        <v>786</v>
      </c>
      <c r="K119" s="71" t="s">
        <v>1024</v>
      </c>
      <c r="L119" s="71" t="s">
        <v>1032</v>
      </c>
      <c r="M119" s="71" t="s">
        <v>1033</v>
      </c>
      <c r="N119" s="71" t="s">
        <v>560</v>
      </c>
    </row>
    <row r="120" spans="1:14" s="83" customFormat="1" ht="25.5" customHeight="1">
      <c r="A120" s="84"/>
      <c r="B120" s="89" t="s">
        <v>1077</v>
      </c>
      <c r="C120" s="89" t="s">
        <v>84</v>
      </c>
      <c r="D120" s="76" t="s">
        <v>1041</v>
      </c>
      <c r="E120" s="73" t="s">
        <v>1049</v>
      </c>
      <c r="F120" s="76" t="s">
        <v>175</v>
      </c>
      <c r="G120" s="76" t="s">
        <v>924</v>
      </c>
      <c r="H120" s="71"/>
      <c r="I120" s="71"/>
      <c r="J120" s="23" t="s">
        <v>786</v>
      </c>
      <c r="K120" s="71" t="s">
        <v>1024</v>
      </c>
      <c r="L120" s="71" t="s">
        <v>1032</v>
      </c>
      <c r="M120" s="71" t="s">
        <v>1033</v>
      </c>
      <c r="N120" s="71" t="s">
        <v>560</v>
      </c>
    </row>
    <row r="121" spans="1:14" s="83" customFormat="1" ht="25.5" customHeight="1">
      <c r="A121" s="84"/>
      <c r="B121" s="89" t="s">
        <v>1077</v>
      </c>
      <c r="C121" s="89" t="s">
        <v>84</v>
      </c>
      <c r="D121" s="76" t="s">
        <v>1042</v>
      </c>
      <c r="E121" s="73" t="s">
        <v>1065</v>
      </c>
      <c r="F121" s="76" t="s">
        <v>175</v>
      </c>
      <c r="G121" s="76" t="s">
        <v>924</v>
      </c>
      <c r="H121" s="71"/>
      <c r="I121" s="71"/>
      <c r="J121" s="23" t="s">
        <v>786</v>
      </c>
      <c r="K121" s="71" t="s">
        <v>1024</v>
      </c>
      <c r="L121" s="71" t="s">
        <v>1032</v>
      </c>
      <c r="M121" s="71" t="s">
        <v>1033</v>
      </c>
      <c r="N121" s="71" t="s">
        <v>560</v>
      </c>
    </row>
    <row r="122" spans="1:14" s="83" customFormat="1" ht="25.5" customHeight="1">
      <c r="A122" s="84"/>
      <c r="B122" s="89" t="s">
        <v>1077</v>
      </c>
      <c r="C122" s="89" t="s">
        <v>84</v>
      </c>
      <c r="D122" s="76" t="s">
        <v>1043</v>
      </c>
      <c r="E122" s="73" t="s">
        <v>1050</v>
      </c>
      <c r="F122" s="76" t="s">
        <v>175</v>
      </c>
      <c r="G122" s="76" t="s">
        <v>924</v>
      </c>
      <c r="H122" s="71" t="s">
        <v>172</v>
      </c>
      <c r="I122" s="71"/>
      <c r="J122" s="23" t="s">
        <v>786</v>
      </c>
      <c r="K122" s="71" t="s">
        <v>1024</v>
      </c>
      <c r="L122" s="71" t="s">
        <v>1032</v>
      </c>
      <c r="M122" s="71" t="s">
        <v>1033</v>
      </c>
      <c r="N122" s="71" t="s">
        <v>560</v>
      </c>
    </row>
    <row r="123" spans="1:14" s="83" customFormat="1" ht="25.5" customHeight="1">
      <c r="A123" s="84"/>
      <c r="B123" s="89" t="s">
        <v>1077</v>
      </c>
      <c r="C123" s="89" t="s">
        <v>84</v>
      </c>
      <c r="D123" s="76" t="s">
        <v>1044</v>
      </c>
      <c r="E123" s="73" t="s">
        <v>1051</v>
      </c>
      <c r="F123" s="76" t="s">
        <v>175</v>
      </c>
      <c r="G123" s="76" t="s">
        <v>924</v>
      </c>
      <c r="H123" s="71" t="s">
        <v>175</v>
      </c>
      <c r="I123" s="71"/>
      <c r="J123" s="23" t="s">
        <v>786</v>
      </c>
      <c r="K123" s="71" t="s">
        <v>1024</v>
      </c>
      <c r="L123" s="71" t="s">
        <v>1032</v>
      </c>
      <c r="M123" s="71" t="s">
        <v>1033</v>
      </c>
      <c r="N123" s="71" t="s">
        <v>560</v>
      </c>
    </row>
    <row r="124" spans="1:14" s="83" customFormat="1" ht="25.5" customHeight="1">
      <c r="A124" s="84"/>
      <c r="B124" s="89" t="s">
        <v>1077</v>
      </c>
      <c r="C124" s="89" t="s">
        <v>84</v>
      </c>
      <c r="D124" s="76" t="s">
        <v>1045</v>
      </c>
      <c r="E124" s="73" t="s">
        <v>1066</v>
      </c>
      <c r="F124" s="76" t="s">
        <v>175</v>
      </c>
      <c r="G124" s="76" t="s">
        <v>924</v>
      </c>
      <c r="H124" s="71" t="s">
        <v>175</v>
      </c>
      <c r="I124" s="71"/>
      <c r="J124" s="23" t="s">
        <v>786</v>
      </c>
      <c r="K124" s="71" t="s">
        <v>1024</v>
      </c>
      <c r="L124" s="71" t="s">
        <v>1032</v>
      </c>
      <c r="M124" s="71" t="s">
        <v>1033</v>
      </c>
      <c r="N124" s="71" t="s">
        <v>560</v>
      </c>
    </row>
    <row r="125" spans="1:14" s="83" customFormat="1" ht="25.5" customHeight="1">
      <c r="A125" s="84"/>
      <c r="B125" s="89" t="s">
        <v>1077</v>
      </c>
      <c r="C125" s="89" t="s">
        <v>84</v>
      </c>
      <c r="D125" s="76" t="s">
        <v>1046</v>
      </c>
      <c r="E125" s="73" t="s">
        <v>1052</v>
      </c>
      <c r="F125" s="76" t="s">
        <v>175</v>
      </c>
      <c r="G125" s="76" t="s">
        <v>924</v>
      </c>
      <c r="H125" s="71" t="s">
        <v>175</v>
      </c>
      <c r="I125" s="71"/>
      <c r="J125" s="23" t="s">
        <v>786</v>
      </c>
      <c r="K125" s="71" t="s">
        <v>1024</v>
      </c>
      <c r="L125" s="71" t="s">
        <v>1032</v>
      </c>
      <c r="M125" s="71" t="s">
        <v>1033</v>
      </c>
      <c r="N125" s="71" t="s">
        <v>560</v>
      </c>
    </row>
    <row r="126" spans="1:14" s="83" customFormat="1" ht="25.5" customHeight="1">
      <c r="A126" s="84"/>
      <c r="B126" s="89" t="s">
        <v>1077</v>
      </c>
      <c r="C126" s="89" t="s">
        <v>84</v>
      </c>
      <c r="D126" s="76" t="s">
        <v>1047</v>
      </c>
      <c r="E126" s="73" t="s">
        <v>1053</v>
      </c>
      <c r="F126" s="76" t="s">
        <v>175</v>
      </c>
      <c r="G126" s="76" t="s">
        <v>924</v>
      </c>
      <c r="H126" s="71" t="s">
        <v>175</v>
      </c>
      <c r="I126" s="71"/>
      <c r="J126" s="23" t="s">
        <v>786</v>
      </c>
      <c r="K126" s="71" t="s">
        <v>1024</v>
      </c>
      <c r="L126" s="71" t="s">
        <v>1032</v>
      </c>
      <c r="M126" s="71" t="s">
        <v>1033</v>
      </c>
      <c r="N126" s="71" t="s">
        <v>560</v>
      </c>
    </row>
    <row r="127" spans="1:14" s="83" customFormat="1" ht="25.5" customHeight="1">
      <c r="A127" s="84"/>
      <c r="B127" s="89" t="s">
        <v>1077</v>
      </c>
      <c r="C127" s="89" t="s">
        <v>84</v>
      </c>
      <c r="D127" s="76" t="s">
        <v>1048</v>
      </c>
      <c r="E127" s="73" t="s">
        <v>1054</v>
      </c>
      <c r="F127" s="76" t="s">
        <v>175</v>
      </c>
      <c r="G127" s="76" t="s">
        <v>924</v>
      </c>
      <c r="H127" s="71" t="s">
        <v>175</v>
      </c>
      <c r="I127" s="71"/>
      <c r="J127" s="23" t="s">
        <v>786</v>
      </c>
      <c r="K127" s="71" t="s">
        <v>1024</v>
      </c>
      <c r="L127" s="71" t="s">
        <v>1032</v>
      </c>
      <c r="M127" s="71" t="s">
        <v>1033</v>
      </c>
      <c r="N127" s="71" t="s">
        <v>560</v>
      </c>
    </row>
    <row r="128" spans="1:14" s="83" customFormat="1" ht="25.5" customHeight="1">
      <c r="A128" s="84"/>
      <c r="B128" s="89" t="s">
        <v>1075</v>
      </c>
      <c r="C128" s="89" t="s">
        <v>7</v>
      </c>
      <c r="D128" s="76" t="s">
        <v>1190</v>
      </c>
      <c r="E128" s="73" t="s">
        <v>1125</v>
      </c>
      <c r="F128" s="76" t="s">
        <v>188</v>
      </c>
      <c r="G128" s="76" t="s">
        <v>1180</v>
      </c>
      <c r="H128" s="71" t="s">
        <v>1181</v>
      </c>
      <c r="I128" s="71" t="s">
        <v>1182</v>
      </c>
      <c r="J128" s="23" t="s">
        <v>786</v>
      </c>
      <c r="K128" s="71" t="s">
        <v>1247</v>
      </c>
      <c r="L128" s="71" t="s">
        <v>1248</v>
      </c>
      <c r="M128" s="76" t="s">
        <v>1249</v>
      </c>
      <c r="N128" s="71"/>
    </row>
    <row r="129" spans="1:14" s="83" customFormat="1" ht="25.5" customHeight="1">
      <c r="A129" s="84"/>
      <c r="B129" s="89" t="s">
        <v>1075</v>
      </c>
      <c r="C129" s="89" t="s">
        <v>7</v>
      </c>
      <c r="D129" s="76" t="s">
        <v>1191</v>
      </c>
      <c r="E129" s="73" t="s">
        <v>1126</v>
      </c>
      <c r="F129" s="76" t="s">
        <v>188</v>
      </c>
      <c r="G129" s="76" t="s">
        <v>1180</v>
      </c>
      <c r="H129" s="71" t="s">
        <v>1181</v>
      </c>
      <c r="I129" s="71" t="s">
        <v>1182</v>
      </c>
      <c r="J129" s="23" t="s">
        <v>786</v>
      </c>
      <c r="K129" s="71" t="s">
        <v>1247</v>
      </c>
      <c r="L129" s="71" t="s">
        <v>1248</v>
      </c>
      <c r="M129" s="76" t="s">
        <v>1249</v>
      </c>
      <c r="N129" s="71"/>
    </row>
    <row r="130" spans="1:14" s="83" customFormat="1" ht="25.5" customHeight="1">
      <c r="A130" s="84"/>
      <c r="B130" s="89" t="s">
        <v>1075</v>
      </c>
      <c r="C130" s="89" t="s">
        <v>7</v>
      </c>
      <c r="D130" s="76" t="s">
        <v>1192</v>
      </c>
      <c r="E130" s="73" t="s">
        <v>1127</v>
      </c>
      <c r="F130" s="76" t="s">
        <v>188</v>
      </c>
      <c r="G130" s="76" t="s">
        <v>1180</v>
      </c>
      <c r="H130" s="71" t="s">
        <v>1181</v>
      </c>
      <c r="I130" s="71" t="s">
        <v>1182</v>
      </c>
      <c r="J130" s="23" t="s">
        <v>786</v>
      </c>
      <c r="K130" s="71" t="s">
        <v>1247</v>
      </c>
      <c r="L130" s="71" t="s">
        <v>1248</v>
      </c>
      <c r="M130" s="76" t="s">
        <v>1249</v>
      </c>
      <c r="N130" s="71"/>
    </row>
    <row r="131" spans="1:14" s="83" customFormat="1" ht="25.5" customHeight="1">
      <c r="A131" s="84"/>
      <c r="B131" s="89" t="s">
        <v>1075</v>
      </c>
      <c r="C131" s="89" t="s">
        <v>7</v>
      </c>
      <c r="D131" s="76" t="s">
        <v>1193</v>
      </c>
      <c r="E131" s="73" t="s">
        <v>1128</v>
      </c>
      <c r="F131" s="76" t="s">
        <v>188</v>
      </c>
      <c r="G131" s="76" t="s">
        <v>1180</v>
      </c>
      <c r="H131" s="71" t="s">
        <v>1181</v>
      </c>
      <c r="I131" s="71" t="s">
        <v>1183</v>
      </c>
      <c r="J131" s="23" t="s">
        <v>786</v>
      </c>
      <c r="K131" s="71" t="s">
        <v>1247</v>
      </c>
      <c r="L131" s="71" t="s">
        <v>1248</v>
      </c>
      <c r="M131" s="76" t="s">
        <v>1250</v>
      </c>
      <c r="N131" s="71"/>
    </row>
    <row r="132" spans="1:14" s="83" customFormat="1" ht="25.5" customHeight="1">
      <c r="A132" s="84"/>
      <c r="B132" s="89" t="s">
        <v>1075</v>
      </c>
      <c r="C132" s="89" t="s">
        <v>7</v>
      </c>
      <c r="D132" s="76" t="s">
        <v>1194</v>
      </c>
      <c r="E132" s="73" t="s">
        <v>1129</v>
      </c>
      <c r="F132" s="76" t="s">
        <v>188</v>
      </c>
      <c r="G132" s="76" t="s">
        <v>1180</v>
      </c>
      <c r="H132" s="71" t="s">
        <v>1181</v>
      </c>
      <c r="I132" s="71" t="s">
        <v>1183</v>
      </c>
      <c r="J132" s="23" t="s">
        <v>786</v>
      </c>
      <c r="K132" s="71" t="s">
        <v>1247</v>
      </c>
      <c r="L132" s="71" t="s">
        <v>1248</v>
      </c>
      <c r="M132" s="76" t="s">
        <v>1250</v>
      </c>
      <c r="N132" s="71"/>
    </row>
    <row r="133" spans="1:14" s="83" customFormat="1" ht="25.5" customHeight="1">
      <c r="A133" s="84"/>
      <c r="B133" s="89" t="s">
        <v>1075</v>
      </c>
      <c r="C133" s="89" t="s">
        <v>7</v>
      </c>
      <c r="D133" s="76" t="s">
        <v>1195</v>
      </c>
      <c r="E133" s="73" t="s">
        <v>1130</v>
      </c>
      <c r="F133" s="76" t="s">
        <v>188</v>
      </c>
      <c r="G133" s="76" t="s">
        <v>1180</v>
      </c>
      <c r="H133" s="71" t="s">
        <v>1181</v>
      </c>
      <c r="I133" s="71" t="s">
        <v>1183</v>
      </c>
      <c r="J133" s="23" t="s">
        <v>786</v>
      </c>
      <c r="K133" s="71" t="s">
        <v>1247</v>
      </c>
      <c r="L133" s="71" t="s">
        <v>1248</v>
      </c>
      <c r="M133" s="76" t="s">
        <v>1250</v>
      </c>
      <c r="N133" s="71"/>
    </row>
    <row r="134" spans="1:14" s="83" customFormat="1" ht="25.5" customHeight="1">
      <c r="A134" s="84"/>
      <c r="B134" s="89" t="s">
        <v>1075</v>
      </c>
      <c r="C134" s="89" t="s">
        <v>7</v>
      </c>
      <c r="D134" s="76" t="s">
        <v>1196</v>
      </c>
      <c r="E134" s="73" t="s">
        <v>1131</v>
      </c>
      <c r="F134" s="76" t="s">
        <v>188</v>
      </c>
      <c r="G134" s="76" t="s">
        <v>1180</v>
      </c>
      <c r="H134" s="71" t="s">
        <v>1181</v>
      </c>
      <c r="I134" s="71" t="s">
        <v>1183</v>
      </c>
      <c r="J134" s="23" t="s">
        <v>786</v>
      </c>
      <c r="K134" s="71" t="s">
        <v>1247</v>
      </c>
      <c r="L134" s="71" t="s">
        <v>1248</v>
      </c>
      <c r="M134" s="76" t="s">
        <v>1250</v>
      </c>
      <c r="N134" s="71"/>
    </row>
    <row r="135" spans="1:14" s="83" customFormat="1" ht="25.5" customHeight="1">
      <c r="A135" s="84"/>
      <c r="B135" s="89" t="s">
        <v>1075</v>
      </c>
      <c r="C135" s="89" t="s">
        <v>7</v>
      </c>
      <c r="D135" s="76" t="s">
        <v>1197</v>
      </c>
      <c r="E135" s="73" t="s">
        <v>1132</v>
      </c>
      <c r="F135" s="76" t="s">
        <v>188</v>
      </c>
      <c r="G135" s="76" t="s">
        <v>1180</v>
      </c>
      <c r="H135" s="71" t="s">
        <v>1181</v>
      </c>
      <c r="I135" s="71" t="s">
        <v>1183</v>
      </c>
      <c r="J135" s="23" t="s">
        <v>786</v>
      </c>
      <c r="K135" s="71" t="s">
        <v>1247</v>
      </c>
      <c r="L135" s="71" t="s">
        <v>1248</v>
      </c>
      <c r="M135" s="76" t="s">
        <v>1250</v>
      </c>
      <c r="N135" s="71"/>
    </row>
    <row r="136" spans="1:14" s="83" customFormat="1" ht="25.5" customHeight="1">
      <c r="A136" s="84"/>
      <c r="B136" s="89" t="s">
        <v>1075</v>
      </c>
      <c r="C136" s="89" t="s">
        <v>7</v>
      </c>
      <c r="D136" s="76" t="s">
        <v>1198</v>
      </c>
      <c r="E136" s="73" t="s">
        <v>1133</v>
      </c>
      <c r="F136" s="76" t="s">
        <v>188</v>
      </c>
      <c r="G136" s="76" t="s">
        <v>1180</v>
      </c>
      <c r="H136" s="71" t="s">
        <v>1181</v>
      </c>
      <c r="I136" s="71" t="s">
        <v>1183</v>
      </c>
      <c r="J136" s="23" t="s">
        <v>786</v>
      </c>
      <c r="K136" s="71" t="s">
        <v>1247</v>
      </c>
      <c r="L136" s="71" t="s">
        <v>1248</v>
      </c>
      <c r="M136" s="76" t="s">
        <v>1250</v>
      </c>
      <c r="N136" s="71"/>
    </row>
    <row r="137" spans="1:14" s="83" customFormat="1" ht="25.5" customHeight="1">
      <c r="A137" s="84"/>
      <c r="B137" s="89" t="s">
        <v>1075</v>
      </c>
      <c r="C137" s="89" t="s">
        <v>7</v>
      </c>
      <c r="D137" s="76" t="s">
        <v>1199</v>
      </c>
      <c r="E137" s="73" t="s">
        <v>1134</v>
      </c>
      <c r="F137" s="76" t="s">
        <v>188</v>
      </c>
      <c r="G137" s="76" t="s">
        <v>1180</v>
      </c>
      <c r="H137" s="71" t="s">
        <v>1181</v>
      </c>
      <c r="I137" s="71" t="s">
        <v>1183</v>
      </c>
      <c r="J137" s="23" t="s">
        <v>786</v>
      </c>
      <c r="K137" s="71" t="s">
        <v>1247</v>
      </c>
      <c r="L137" s="71" t="s">
        <v>1248</v>
      </c>
      <c r="M137" s="76" t="s">
        <v>1250</v>
      </c>
      <c r="N137" s="71"/>
    </row>
    <row r="138" spans="1:14" s="83" customFormat="1" ht="25.5" customHeight="1">
      <c r="A138" s="84"/>
      <c r="B138" s="89" t="s">
        <v>1075</v>
      </c>
      <c r="C138" s="89" t="s">
        <v>7</v>
      </c>
      <c r="D138" s="76" t="s">
        <v>1200</v>
      </c>
      <c r="E138" s="73" t="s">
        <v>1134</v>
      </c>
      <c r="F138" s="76" t="s">
        <v>188</v>
      </c>
      <c r="G138" s="76" t="s">
        <v>1180</v>
      </c>
      <c r="H138" s="71" t="s">
        <v>1181</v>
      </c>
      <c r="I138" s="71" t="s">
        <v>1183</v>
      </c>
      <c r="J138" s="23" t="s">
        <v>786</v>
      </c>
      <c r="K138" s="71" t="s">
        <v>1247</v>
      </c>
      <c r="L138" s="71" t="s">
        <v>1248</v>
      </c>
      <c r="M138" s="76" t="s">
        <v>1250</v>
      </c>
      <c r="N138" s="71"/>
    </row>
    <row r="139" spans="1:14" s="83" customFormat="1" ht="25.5" customHeight="1">
      <c r="A139" s="84"/>
      <c r="B139" s="89" t="s">
        <v>1075</v>
      </c>
      <c r="C139" s="89" t="s">
        <v>7</v>
      </c>
      <c r="D139" s="76" t="s">
        <v>1201</v>
      </c>
      <c r="E139" s="73" t="s">
        <v>1134</v>
      </c>
      <c r="F139" s="76" t="s">
        <v>188</v>
      </c>
      <c r="G139" s="76" t="s">
        <v>1180</v>
      </c>
      <c r="H139" s="71" t="s">
        <v>1181</v>
      </c>
      <c r="I139" s="71" t="s">
        <v>1183</v>
      </c>
      <c r="J139" s="23" t="s">
        <v>786</v>
      </c>
      <c r="K139" s="71" t="s">
        <v>1247</v>
      </c>
      <c r="L139" s="71" t="s">
        <v>1248</v>
      </c>
      <c r="M139" s="76" t="s">
        <v>1250</v>
      </c>
      <c r="N139" s="71"/>
    </row>
    <row r="140" spans="1:14" s="83" customFormat="1" ht="25.5" customHeight="1">
      <c r="A140" s="84"/>
      <c r="B140" s="89" t="s">
        <v>1075</v>
      </c>
      <c r="C140" s="89" t="s">
        <v>7</v>
      </c>
      <c r="D140" s="76" t="s">
        <v>1202</v>
      </c>
      <c r="E140" s="73" t="s">
        <v>1135</v>
      </c>
      <c r="F140" s="76" t="s">
        <v>188</v>
      </c>
      <c r="G140" s="76" t="s">
        <v>1180</v>
      </c>
      <c r="H140" s="71" t="s">
        <v>1181</v>
      </c>
      <c r="I140" s="71" t="s">
        <v>1183</v>
      </c>
      <c r="J140" s="23" t="s">
        <v>786</v>
      </c>
      <c r="K140" s="71" t="s">
        <v>1247</v>
      </c>
      <c r="L140" s="71" t="s">
        <v>1248</v>
      </c>
      <c r="M140" s="76" t="s">
        <v>1250</v>
      </c>
      <c r="N140" s="71"/>
    </row>
    <row r="141" spans="1:14" s="83" customFormat="1" ht="25.5" customHeight="1">
      <c r="A141" s="84"/>
      <c r="B141" s="89" t="s">
        <v>1075</v>
      </c>
      <c r="C141" s="89" t="s">
        <v>7</v>
      </c>
      <c r="D141" s="76" t="s">
        <v>1203</v>
      </c>
      <c r="E141" s="73" t="s">
        <v>1136</v>
      </c>
      <c r="F141" s="76" t="s">
        <v>188</v>
      </c>
      <c r="G141" s="76" t="s">
        <v>1180</v>
      </c>
      <c r="H141" s="71" t="s">
        <v>1181</v>
      </c>
      <c r="I141" s="71" t="s">
        <v>1183</v>
      </c>
      <c r="J141" s="23" t="s">
        <v>786</v>
      </c>
      <c r="K141" s="71" t="s">
        <v>1247</v>
      </c>
      <c r="L141" s="71" t="s">
        <v>1248</v>
      </c>
      <c r="M141" s="76" t="s">
        <v>1250</v>
      </c>
      <c r="N141" s="71"/>
    </row>
    <row r="142" spans="1:14" s="83" customFormat="1" ht="25.5" customHeight="1">
      <c r="A142" s="84"/>
      <c r="B142" s="89" t="s">
        <v>1075</v>
      </c>
      <c r="C142" s="89" t="s">
        <v>7</v>
      </c>
      <c r="D142" s="76" t="s">
        <v>1204</v>
      </c>
      <c r="E142" s="73" t="s">
        <v>1137</v>
      </c>
      <c r="F142" s="76" t="s">
        <v>188</v>
      </c>
      <c r="G142" s="76" t="s">
        <v>1180</v>
      </c>
      <c r="H142" s="71" t="s">
        <v>1181</v>
      </c>
      <c r="I142" s="71" t="s">
        <v>1183</v>
      </c>
      <c r="J142" s="23" t="s">
        <v>786</v>
      </c>
      <c r="K142" s="71" t="s">
        <v>1247</v>
      </c>
      <c r="L142" s="71" t="s">
        <v>1248</v>
      </c>
      <c r="M142" s="76" t="s">
        <v>1250</v>
      </c>
      <c r="N142" s="71"/>
    </row>
    <row r="143" spans="1:14" s="83" customFormat="1" ht="25.5" customHeight="1">
      <c r="A143" s="84"/>
      <c r="B143" s="89" t="s">
        <v>1075</v>
      </c>
      <c r="C143" s="89" t="s">
        <v>7</v>
      </c>
      <c r="D143" s="76" t="s">
        <v>1205</v>
      </c>
      <c r="E143" s="73" t="s">
        <v>1137</v>
      </c>
      <c r="F143" s="76" t="s">
        <v>188</v>
      </c>
      <c r="G143" s="76" t="s">
        <v>1180</v>
      </c>
      <c r="H143" s="71" t="s">
        <v>1181</v>
      </c>
      <c r="I143" s="71" t="s">
        <v>1183</v>
      </c>
      <c r="J143" s="23" t="s">
        <v>786</v>
      </c>
      <c r="K143" s="71" t="s">
        <v>1247</v>
      </c>
      <c r="L143" s="71" t="s">
        <v>1248</v>
      </c>
      <c r="M143" s="76" t="s">
        <v>1250</v>
      </c>
      <c r="N143" s="71"/>
    </row>
    <row r="144" spans="1:14" s="83" customFormat="1" ht="25.5" customHeight="1">
      <c r="A144" s="84"/>
      <c r="B144" s="89" t="s">
        <v>1075</v>
      </c>
      <c r="C144" s="89" t="s">
        <v>7</v>
      </c>
      <c r="D144" s="76" t="s">
        <v>1206</v>
      </c>
      <c r="E144" s="73" t="s">
        <v>1138</v>
      </c>
      <c r="F144" s="76" t="s">
        <v>188</v>
      </c>
      <c r="G144" s="76" t="s">
        <v>1180</v>
      </c>
      <c r="H144" s="71" t="s">
        <v>1181</v>
      </c>
      <c r="I144" s="71" t="s">
        <v>1183</v>
      </c>
      <c r="J144" s="23" t="s">
        <v>786</v>
      </c>
      <c r="K144" s="71" t="s">
        <v>1247</v>
      </c>
      <c r="L144" s="71" t="s">
        <v>1248</v>
      </c>
      <c r="M144" s="76" t="s">
        <v>1250</v>
      </c>
      <c r="N144" s="71"/>
    </row>
    <row r="145" spans="1:14" s="83" customFormat="1" ht="25.5" customHeight="1">
      <c r="A145" s="84"/>
      <c r="B145" s="89" t="s">
        <v>1075</v>
      </c>
      <c r="C145" s="89" t="s">
        <v>7</v>
      </c>
      <c r="D145" s="76" t="s">
        <v>1207</v>
      </c>
      <c r="E145" s="73" t="s">
        <v>1139</v>
      </c>
      <c r="F145" s="76" t="s">
        <v>188</v>
      </c>
      <c r="G145" s="76" t="s">
        <v>1180</v>
      </c>
      <c r="H145" s="71" t="s">
        <v>1181</v>
      </c>
      <c r="I145" s="71" t="s">
        <v>1183</v>
      </c>
      <c r="J145" s="23" t="s">
        <v>786</v>
      </c>
      <c r="K145" s="71" t="s">
        <v>1247</v>
      </c>
      <c r="L145" s="71" t="s">
        <v>1248</v>
      </c>
      <c r="M145" s="76" t="s">
        <v>1250</v>
      </c>
      <c r="N145" s="71"/>
    </row>
    <row r="146" spans="1:14" s="83" customFormat="1" ht="25.5" customHeight="1">
      <c r="A146" s="84"/>
      <c r="B146" s="89" t="s">
        <v>1075</v>
      </c>
      <c r="C146" s="89" t="s">
        <v>7</v>
      </c>
      <c r="D146" s="76" t="s">
        <v>1208</v>
      </c>
      <c r="E146" s="73" t="s">
        <v>1140</v>
      </c>
      <c r="F146" s="76" t="s">
        <v>188</v>
      </c>
      <c r="G146" s="76" t="s">
        <v>1180</v>
      </c>
      <c r="H146" s="71" t="s">
        <v>1181</v>
      </c>
      <c r="I146" s="71" t="s">
        <v>1184</v>
      </c>
      <c r="J146" s="23" t="s">
        <v>786</v>
      </c>
      <c r="K146" s="71" t="s">
        <v>1247</v>
      </c>
      <c r="L146" s="71" t="s">
        <v>1248</v>
      </c>
      <c r="M146" s="76" t="s">
        <v>1251</v>
      </c>
      <c r="N146" s="71"/>
    </row>
    <row r="147" spans="1:14" s="83" customFormat="1" ht="25.5" customHeight="1">
      <c r="A147" s="84"/>
      <c r="B147" s="89" t="s">
        <v>1075</v>
      </c>
      <c r="C147" s="89" t="s">
        <v>7</v>
      </c>
      <c r="D147" s="76" t="s">
        <v>1209</v>
      </c>
      <c r="E147" s="73" t="s">
        <v>1141</v>
      </c>
      <c r="F147" s="76" t="s">
        <v>188</v>
      </c>
      <c r="G147" s="76" t="s">
        <v>1180</v>
      </c>
      <c r="H147" s="71" t="s">
        <v>1181</v>
      </c>
      <c r="I147" s="71" t="s">
        <v>1184</v>
      </c>
      <c r="J147" s="23" t="s">
        <v>786</v>
      </c>
      <c r="K147" s="71" t="s">
        <v>1247</v>
      </c>
      <c r="L147" s="71" t="s">
        <v>1248</v>
      </c>
      <c r="M147" s="76" t="s">
        <v>1251</v>
      </c>
      <c r="N147" s="71"/>
    </row>
    <row r="148" spans="1:14" s="83" customFormat="1" ht="25.5" customHeight="1">
      <c r="A148" s="84"/>
      <c r="B148" s="89" t="s">
        <v>1075</v>
      </c>
      <c r="C148" s="89" t="s">
        <v>7</v>
      </c>
      <c r="D148" s="76" t="s">
        <v>1210</v>
      </c>
      <c r="E148" s="73" t="s">
        <v>1142</v>
      </c>
      <c r="F148" s="76" t="s">
        <v>188</v>
      </c>
      <c r="G148" s="76" t="s">
        <v>1180</v>
      </c>
      <c r="H148" s="71" t="s">
        <v>1181</v>
      </c>
      <c r="I148" s="71" t="s">
        <v>1184</v>
      </c>
      <c r="J148" s="23" t="s">
        <v>786</v>
      </c>
      <c r="K148" s="71" t="s">
        <v>1247</v>
      </c>
      <c r="L148" s="71" t="s">
        <v>1248</v>
      </c>
      <c r="M148" s="76" t="s">
        <v>1251</v>
      </c>
      <c r="N148" s="71"/>
    </row>
    <row r="149" spans="1:14" s="83" customFormat="1" ht="25.5" customHeight="1">
      <c r="A149" s="84"/>
      <c r="B149" s="89" t="s">
        <v>1075</v>
      </c>
      <c r="C149" s="89" t="s">
        <v>7</v>
      </c>
      <c r="D149" s="76" t="s">
        <v>1211</v>
      </c>
      <c r="E149" s="73" t="s">
        <v>1143</v>
      </c>
      <c r="F149" s="76" t="s">
        <v>188</v>
      </c>
      <c r="G149" s="76" t="s">
        <v>1180</v>
      </c>
      <c r="H149" s="71" t="s">
        <v>1181</v>
      </c>
      <c r="I149" s="71" t="s">
        <v>1184</v>
      </c>
      <c r="J149" s="23" t="s">
        <v>786</v>
      </c>
      <c r="K149" s="71" t="s">
        <v>1247</v>
      </c>
      <c r="L149" s="71" t="s">
        <v>1248</v>
      </c>
      <c r="M149" s="76" t="s">
        <v>1251</v>
      </c>
      <c r="N149" s="71"/>
    </row>
    <row r="150" spans="1:14" s="83" customFormat="1" ht="25.5" customHeight="1">
      <c r="A150" s="84"/>
      <c r="B150" s="89" t="s">
        <v>1075</v>
      </c>
      <c r="C150" s="89" t="s">
        <v>7</v>
      </c>
      <c r="D150" s="76" t="s">
        <v>1212</v>
      </c>
      <c r="E150" s="73" t="s">
        <v>1144</v>
      </c>
      <c r="F150" s="76" t="s">
        <v>188</v>
      </c>
      <c r="G150" s="76" t="s">
        <v>1180</v>
      </c>
      <c r="H150" s="71" t="s">
        <v>1181</v>
      </c>
      <c r="I150" s="71" t="s">
        <v>1184</v>
      </c>
      <c r="J150" s="23" t="s">
        <v>786</v>
      </c>
      <c r="K150" s="71" t="s">
        <v>1247</v>
      </c>
      <c r="L150" s="71" t="s">
        <v>1248</v>
      </c>
      <c r="M150" s="76" t="s">
        <v>1251</v>
      </c>
      <c r="N150" s="71"/>
    </row>
    <row r="151" spans="1:14" s="83" customFormat="1" ht="25.5" customHeight="1">
      <c r="A151" s="84"/>
      <c r="B151" s="89" t="s">
        <v>1075</v>
      </c>
      <c r="C151" s="89" t="s">
        <v>7</v>
      </c>
      <c r="D151" s="76" t="s">
        <v>1213</v>
      </c>
      <c r="E151" s="73" t="s">
        <v>1145</v>
      </c>
      <c r="F151" s="76" t="s">
        <v>188</v>
      </c>
      <c r="G151" s="76" t="s">
        <v>1180</v>
      </c>
      <c r="H151" s="71" t="s">
        <v>1181</v>
      </c>
      <c r="I151" s="71" t="s">
        <v>1184</v>
      </c>
      <c r="J151" s="23" t="s">
        <v>786</v>
      </c>
      <c r="K151" s="71" t="s">
        <v>1247</v>
      </c>
      <c r="L151" s="71" t="s">
        <v>1248</v>
      </c>
      <c r="M151" s="76" t="s">
        <v>1251</v>
      </c>
      <c r="N151" s="71"/>
    </row>
    <row r="152" spans="1:14" s="83" customFormat="1" ht="25.5" customHeight="1">
      <c r="A152" s="84"/>
      <c r="B152" s="89" t="s">
        <v>1075</v>
      </c>
      <c r="C152" s="89" t="s">
        <v>7</v>
      </c>
      <c r="D152" s="76" t="s">
        <v>1214</v>
      </c>
      <c r="E152" s="73" t="s">
        <v>1146</v>
      </c>
      <c r="F152" s="76" t="s">
        <v>188</v>
      </c>
      <c r="G152" s="76" t="s">
        <v>1180</v>
      </c>
      <c r="H152" s="71" t="s">
        <v>1181</v>
      </c>
      <c r="I152" s="71" t="s">
        <v>1185</v>
      </c>
      <c r="J152" s="23" t="s">
        <v>786</v>
      </c>
      <c r="K152" s="71" t="s">
        <v>1247</v>
      </c>
      <c r="L152" s="71" t="s">
        <v>1252</v>
      </c>
      <c r="M152" s="76" t="s">
        <v>1253</v>
      </c>
      <c r="N152" s="71"/>
    </row>
    <row r="153" spans="1:14" ht="25.5" customHeight="1">
      <c r="A153" s="84"/>
      <c r="B153" s="89" t="s">
        <v>1075</v>
      </c>
      <c r="C153" s="89" t="s">
        <v>7</v>
      </c>
      <c r="D153" s="76" t="s">
        <v>1215</v>
      </c>
      <c r="E153" s="73" t="s">
        <v>1147</v>
      </c>
      <c r="F153" s="76" t="s">
        <v>188</v>
      </c>
      <c r="G153" s="76" t="s">
        <v>1180</v>
      </c>
      <c r="H153" s="71" t="s">
        <v>1181</v>
      </c>
      <c r="I153" s="71" t="s">
        <v>1185</v>
      </c>
      <c r="J153" s="23" t="s">
        <v>786</v>
      </c>
      <c r="K153" s="71" t="s">
        <v>1247</v>
      </c>
      <c r="L153" s="71" t="s">
        <v>1252</v>
      </c>
      <c r="M153" s="76" t="s">
        <v>1253</v>
      </c>
      <c r="N153" s="71"/>
    </row>
    <row r="154" spans="1:14" ht="25.5" customHeight="1">
      <c r="A154" s="84"/>
      <c r="B154" s="89" t="s">
        <v>1075</v>
      </c>
      <c r="C154" s="89" t="s">
        <v>7</v>
      </c>
      <c r="D154" s="76" t="s">
        <v>1216</v>
      </c>
      <c r="E154" s="73" t="s">
        <v>1148</v>
      </c>
      <c r="F154" s="76" t="s">
        <v>188</v>
      </c>
      <c r="G154" s="76" t="s">
        <v>1180</v>
      </c>
      <c r="H154" s="71" t="s">
        <v>1181</v>
      </c>
      <c r="I154" s="71" t="s">
        <v>1185</v>
      </c>
      <c r="J154" s="23" t="s">
        <v>786</v>
      </c>
      <c r="K154" s="71" t="s">
        <v>1247</v>
      </c>
      <c r="L154" s="71" t="s">
        <v>1252</v>
      </c>
      <c r="M154" s="76" t="s">
        <v>1253</v>
      </c>
      <c r="N154" s="71"/>
    </row>
    <row r="155" spans="1:14" ht="25.5" customHeight="1">
      <c r="A155" s="84"/>
      <c r="B155" s="89" t="s">
        <v>1075</v>
      </c>
      <c r="C155" s="89" t="s">
        <v>7</v>
      </c>
      <c r="D155" s="76" t="s">
        <v>1217</v>
      </c>
      <c r="E155" s="73" t="s">
        <v>1149</v>
      </c>
      <c r="F155" s="76" t="s">
        <v>188</v>
      </c>
      <c r="G155" s="76" t="s">
        <v>1180</v>
      </c>
      <c r="H155" s="71" t="s">
        <v>1181</v>
      </c>
      <c r="I155" s="71" t="s">
        <v>1185</v>
      </c>
      <c r="J155" s="23" t="s">
        <v>786</v>
      </c>
      <c r="K155" s="71" t="s">
        <v>1247</v>
      </c>
      <c r="L155" s="71" t="s">
        <v>1252</v>
      </c>
      <c r="M155" s="76" t="s">
        <v>1253</v>
      </c>
      <c r="N155" s="71"/>
    </row>
    <row r="156" spans="1:14" ht="25.5" customHeight="1">
      <c r="A156" s="84"/>
      <c r="B156" s="89" t="s">
        <v>1075</v>
      </c>
      <c r="C156" s="89" t="s">
        <v>7</v>
      </c>
      <c r="D156" s="76" t="s">
        <v>1218</v>
      </c>
      <c r="E156" s="73" t="s">
        <v>1150</v>
      </c>
      <c r="F156" s="76" t="s">
        <v>188</v>
      </c>
      <c r="G156" s="76" t="s">
        <v>1180</v>
      </c>
      <c r="H156" s="71" t="s">
        <v>1181</v>
      </c>
      <c r="I156" s="71" t="s">
        <v>1185</v>
      </c>
      <c r="J156" s="23" t="s">
        <v>786</v>
      </c>
      <c r="K156" s="71" t="s">
        <v>1247</v>
      </c>
      <c r="L156" s="71" t="s">
        <v>1252</v>
      </c>
      <c r="M156" s="76" t="s">
        <v>1253</v>
      </c>
      <c r="N156" s="71"/>
    </row>
    <row r="157" spans="1:14" ht="25.5" customHeight="1">
      <c r="A157" s="84"/>
      <c r="B157" s="89" t="s">
        <v>1075</v>
      </c>
      <c r="C157" s="89" t="s">
        <v>7</v>
      </c>
      <c r="D157" s="76" t="s">
        <v>1219</v>
      </c>
      <c r="E157" s="73" t="s">
        <v>1151</v>
      </c>
      <c r="F157" s="76" t="s">
        <v>188</v>
      </c>
      <c r="G157" s="76" t="s">
        <v>1180</v>
      </c>
      <c r="H157" s="71" t="s">
        <v>1181</v>
      </c>
      <c r="I157" s="71" t="s">
        <v>1185</v>
      </c>
      <c r="J157" s="23" t="s">
        <v>786</v>
      </c>
      <c r="K157" s="71" t="s">
        <v>1247</v>
      </c>
      <c r="L157" s="71" t="s">
        <v>1252</v>
      </c>
      <c r="M157" s="76" t="s">
        <v>1253</v>
      </c>
      <c r="N157" s="71"/>
    </row>
    <row r="158" spans="1:14" ht="25.5" customHeight="1">
      <c r="A158" s="84"/>
      <c r="B158" s="89" t="s">
        <v>1075</v>
      </c>
      <c r="C158" s="89" t="s">
        <v>7</v>
      </c>
      <c r="D158" s="76" t="s">
        <v>1220</v>
      </c>
      <c r="E158" s="73" t="s">
        <v>1152</v>
      </c>
      <c r="F158" s="76" t="s">
        <v>188</v>
      </c>
      <c r="G158" s="76" t="s">
        <v>1180</v>
      </c>
      <c r="H158" s="71" t="s">
        <v>1181</v>
      </c>
      <c r="I158" s="71" t="s">
        <v>1185</v>
      </c>
      <c r="J158" s="23" t="s">
        <v>786</v>
      </c>
      <c r="K158" s="71" t="s">
        <v>1247</v>
      </c>
      <c r="L158" s="71" t="s">
        <v>1252</v>
      </c>
      <c r="M158" s="76" t="s">
        <v>1253</v>
      </c>
      <c r="N158" s="71"/>
    </row>
    <row r="159" spans="1:14" ht="25.5" customHeight="1">
      <c r="A159" s="84"/>
      <c r="B159" s="89" t="s">
        <v>1075</v>
      </c>
      <c r="C159" s="89" t="s">
        <v>7</v>
      </c>
      <c r="D159" s="76" t="s">
        <v>1221</v>
      </c>
      <c r="E159" s="73" t="s">
        <v>1153</v>
      </c>
      <c r="F159" s="76" t="s">
        <v>188</v>
      </c>
      <c r="G159" s="76" t="s">
        <v>1180</v>
      </c>
      <c r="H159" s="71" t="s">
        <v>1181</v>
      </c>
      <c r="I159" s="71" t="s">
        <v>1185</v>
      </c>
      <c r="J159" s="23" t="s">
        <v>786</v>
      </c>
      <c r="K159" s="71" t="s">
        <v>1247</v>
      </c>
      <c r="L159" s="71" t="s">
        <v>1252</v>
      </c>
      <c r="M159" s="76" t="s">
        <v>1253</v>
      </c>
      <c r="N159" s="71"/>
    </row>
    <row r="160" spans="1:14" ht="25.5" customHeight="1">
      <c r="A160" s="84"/>
      <c r="B160" s="89" t="s">
        <v>1075</v>
      </c>
      <c r="C160" s="89" t="s">
        <v>7</v>
      </c>
      <c r="D160" s="76" t="s">
        <v>1222</v>
      </c>
      <c r="E160" s="73" t="s">
        <v>1154</v>
      </c>
      <c r="F160" s="76" t="s">
        <v>188</v>
      </c>
      <c r="G160" s="76" t="s">
        <v>1180</v>
      </c>
      <c r="H160" s="71" t="s">
        <v>1181</v>
      </c>
      <c r="I160" s="71" t="s">
        <v>1185</v>
      </c>
      <c r="J160" s="23" t="s">
        <v>786</v>
      </c>
      <c r="K160" s="71" t="s">
        <v>1247</v>
      </c>
      <c r="L160" s="71" t="s">
        <v>1252</v>
      </c>
      <c r="M160" s="76" t="s">
        <v>1253</v>
      </c>
      <c r="N160" s="71"/>
    </row>
    <row r="161" spans="1:14" ht="25.5" customHeight="1">
      <c r="A161" s="84"/>
      <c r="B161" s="89" t="s">
        <v>1075</v>
      </c>
      <c r="C161" s="89" t="s">
        <v>7</v>
      </c>
      <c r="D161" s="76" t="s">
        <v>1223</v>
      </c>
      <c r="E161" s="73" t="s">
        <v>1155</v>
      </c>
      <c r="F161" s="76" t="s">
        <v>188</v>
      </c>
      <c r="G161" s="76" t="s">
        <v>1180</v>
      </c>
      <c r="H161" s="71" t="s">
        <v>1181</v>
      </c>
      <c r="I161" s="71" t="s">
        <v>1186</v>
      </c>
      <c r="J161" s="23" t="s">
        <v>786</v>
      </c>
      <c r="K161" s="71" t="s">
        <v>1247</v>
      </c>
      <c r="L161" s="71" t="s">
        <v>1252</v>
      </c>
      <c r="M161" s="76" t="s">
        <v>1254</v>
      </c>
      <c r="N161" s="71"/>
    </row>
    <row r="162" spans="1:14" ht="25.5" customHeight="1">
      <c r="A162" s="84"/>
      <c r="B162" s="89" t="s">
        <v>1075</v>
      </c>
      <c r="C162" s="89" t="s">
        <v>7</v>
      </c>
      <c r="D162" s="76" t="s">
        <v>1224</v>
      </c>
      <c r="E162" s="73" t="s">
        <v>1156</v>
      </c>
      <c r="F162" s="76" t="s">
        <v>188</v>
      </c>
      <c r="G162" s="76" t="s">
        <v>1180</v>
      </c>
      <c r="H162" s="71" t="s">
        <v>1181</v>
      </c>
      <c r="I162" s="71" t="s">
        <v>1186</v>
      </c>
      <c r="J162" s="23" t="s">
        <v>786</v>
      </c>
      <c r="K162" s="71" t="s">
        <v>1247</v>
      </c>
      <c r="L162" s="71" t="s">
        <v>1252</v>
      </c>
      <c r="M162" s="76" t="s">
        <v>1254</v>
      </c>
      <c r="N162" s="71"/>
    </row>
    <row r="163" spans="1:14" ht="25.5" customHeight="1">
      <c r="A163" s="84"/>
      <c r="B163" s="89" t="s">
        <v>1075</v>
      </c>
      <c r="C163" s="89" t="s">
        <v>7</v>
      </c>
      <c r="D163" s="76" t="s">
        <v>1225</v>
      </c>
      <c r="E163" s="73" t="s">
        <v>1157</v>
      </c>
      <c r="F163" s="76" t="s">
        <v>188</v>
      </c>
      <c r="G163" s="76" t="s">
        <v>1180</v>
      </c>
      <c r="H163" s="71" t="s">
        <v>1181</v>
      </c>
      <c r="I163" s="71" t="s">
        <v>1186</v>
      </c>
      <c r="J163" s="23" t="s">
        <v>786</v>
      </c>
      <c r="K163" s="71" t="s">
        <v>1247</v>
      </c>
      <c r="L163" s="71" t="s">
        <v>1252</v>
      </c>
      <c r="M163" s="76" t="s">
        <v>1254</v>
      </c>
      <c r="N163" s="71"/>
    </row>
    <row r="164" spans="1:14" ht="25.5" customHeight="1">
      <c r="A164" s="84"/>
      <c r="B164" s="89" t="s">
        <v>1075</v>
      </c>
      <c r="C164" s="89" t="s">
        <v>7</v>
      </c>
      <c r="D164" s="76" t="s">
        <v>1226</v>
      </c>
      <c r="E164" s="73" t="s">
        <v>1158</v>
      </c>
      <c r="F164" s="76" t="s">
        <v>188</v>
      </c>
      <c r="G164" s="76" t="s">
        <v>1180</v>
      </c>
      <c r="H164" s="71" t="s">
        <v>1181</v>
      </c>
      <c r="I164" s="71" t="s">
        <v>1186</v>
      </c>
      <c r="J164" s="23" t="s">
        <v>786</v>
      </c>
      <c r="K164" s="71" t="s">
        <v>1247</v>
      </c>
      <c r="L164" s="71" t="s">
        <v>1252</v>
      </c>
      <c r="M164" s="76" t="s">
        <v>1254</v>
      </c>
      <c r="N164" s="71"/>
    </row>
    <row r="165" spans="1:14" ht="25.5" customHeight="1">
      <c r="A165" s="84"/>
      <c r="B165" s="89" t="s">
        <v>1075</v>
      </c>
      <c r="C165" s="89" t="s">
        <v>7</v>
      </c>
      <c r="D165" s="76" t="s">
        <v>1227</v>
      </c>
      <c r="E165" s="73" t="s">
        <v>1159</v>
      </c>
      <c r="F165" s="76" t="s">
        <v>188</v>
      </c>
      <c r="G165" s="76" t="s">
        <v>1180</v>
      </c>
      <c r="H165" s="71" t="s">
        <v>1181</v>
      </c>
      <c r="I165" s="71" t="s">
        <v>1186</v>
      </c>
      <c r="J165" s="23" t="s">
        <v>786</v>
      </c>
      <c r="K165" s="71" t="s">
        <v>1247</v>
      </c>
      <c r="L165" s="71" t="s">
        <v>1252</v>
      </c>
      <c r="M165" s="76" t="s">
        <v>1254</v>
      </c>
      <c r="N165" s="71"/>
    </row>
    <row r="166" spans="1:14" ht="25.5" customHeight="1">
      <c r="A166" s="84"/>
      <c r="B166" s="89" t="s">
        <v>1075</v>
      </c>
      <c r="C166" s="89" t="s">
        <v>7</v>
      </c>
      <c r="D166" s="76" t="s">
        <v>1228</v>
      </c>
      <c r="E166" s="73" t="s">
        <v>1160</v>
      </c>
      <c r="F166" s="76" t="s">
        <v>188</v>
      </c>
      <c r="G166" s="76" t="s">
        <v>1180</v>
      </c>
      <c r="H166" s="71" t="s">
        <v>1181</v>
      </c>
      <c r="I166" s="71" t="s">
        <v>1186</v>
      </c>
      <c r="J166" s="23" t="s">
        <v>786</v>
      </c>
      <c r="K166" s="71" t="s">
        <v>1247</v>
      </c>
      <c r="L166" s="71" t="s">
        <v>1252</v>
      </c>
      <c r="M166" s="76" t="s">
        <v>1254</v>
      </c>
      <c r="N166" s="71"/>
    </row>
    <row r="167" spans="1:14" ht="25.5" customHeight="1">
      <c r="A167" s="84"/>
      <c r="B167" s="89" t="s">
        <v>1075</v>
      </c>
      <c r="C167" s="89" t="s">
        <v>7</v>
      </c>
      <c r="D167" s="76" t="s">
        <v>1229</v>
      </c>
      <c r="E167" s="73" t="s">
        <v>1161</v>
      </c>
      <c r="F167" s="76" t="s">
        <v>188</v>
      </c>
      <c r="G167" s="76" t="s">
        <v>1180</v>
      </c>
      <c r="H167" s="71" t="s">
        <v>1181</v>
      </c>
      <c r="I167" s="71" t="s">
        <v>1186</v>
      </c>
      <c r="J167" s="23" t="s">
        <v>786</v>
      </c>
      <c r="K167" s="71" t="s">
        <v>1247</v>
      </c>
      <c r="L167" s="71" t="s">
        <v>1252</v>
      </c>
      <c r="M167" s="76" t="s">
        <v>1254</v>
      </c>
      <c r="N167" s="71"/>
    </row>
    <row r="168" spans="1:14" ht="25.5" customHeight="1">
      <c r="A168" s="84"/>
      <c r="B168" s="89" t="s">
        <v>1075</v>
      </c>
      <c r="C168" s="89" t="s">
        <v>7</v>
      </c>
      <c r="D168" s="76" t="s">
        <v>1230</v>
      </c>
      <c r="E168" s="73" t="s">
        <v>1162</v>
      </c>
      <c r="F168" s="76" t="s">
        <v>188</v>
      </c>
      <c r="G168" s="76" t="s">
        <v>1180</v>
      </c>
      <c r="H168" s="71" t="s">
        <v>1181</v>
      </c>
      <c r="I168" s="71" t="s">
        <v>1186</v>
      </c>
      <c r="J168" s="23" t="s">
        <v>786</v>
      </c>
      <c r="K168" s="71" t="s">
        <v>1247</v>
      </c>
      <c r="L168" s="71" t="s">
        <v>1252</v>
      </c>
      <c r="M168" s="76" t="s">
        <v>1254</v>
      </c>
      <c r="N168" s="71"/>
    </row>
    <row r="169" spans="1:14" ht="25.5" customHeight="1">
      <c r="A169" s="84"/>
      <c r="B169" s="89" t="s">
        <v>1075</v>
      </c>
      <c r="C169" s="89" t="s">
        <v>7</v>
      </c>
      <c r="D169" s="76" t="s">
        <v>1231</v>
      </c>
      <c r="E169" s="73" t="s">
        <v>1163</v>
      </c>
      <c r="F169" s="76" t="s">
        <v>188</v>
      </c>
      <c r="G169" s="76" t="s">
        <v>1180</v>
      </c>
      <c r="H169" s="71" t="s">
        <v>1181</v>
      </c>
      <c r="I169" s="71" t="s">
        <v>1186</v>
      </c>
      <c r="J169" s="23" t="s">
        <v>786</v>
      </c>
      <c r="K169" s="71" t="s">
        <v>1247</v>
      </c>
      <c r="L169" s="71" t="s">
        <v>1252</v>
      </c>
      <c r="M169" s="76" t="s">
        <v>1254</v>
      </c>
      <c r="N169" s="71"/>
    </row>
    <row r="170" spans="1:14" ht="25.5" customHeight="1">
      <c r="A170" s="84"/>
      <c r="B170" s="89" t="s">
        <v>1075</v>
      </c>
      <c r="C170" s="89" t="s">
        <v>7</v>
      </c>
      <c r="D170" s="76" t="s">
        <v>1232</v>
      </c>
      <c r="E170" s="73" t="s">
        <v>1164</v>
      </c>
      <c r="F170" s="76" t="s">
        <v>188</v>
      </c>
      <c r="G170" s="76" t="s">
        <v>1180</v>
      </c>
      <c r="H170" s="71" t="s">
        <v>1181</v>
      </c>
      <c r="I170" s="71" t="s">
        <v>1186</v>
      </c>
      <c r="J170" s="23" t="s">
        <v>786</v>
      </c>
      <c r="K170" s="71" t="s">
        <v>1247</v>
      </c>
      <c r="L170" s="71" t="s">
        <v>1252</v>
      </c>
      <c r="M170" s="76" t="s">
        <v>1254</v>
      </c>
      <c r="N170" s="71"/>
    </row>
    <row r="171" spans="1:14" ht="25.5" customHeight="1">
      <c r="A171" s="84"/>
      <c r="B171" s="89" t="s">
        <v>1075</v>
      </c>
      <c r="C171" s="89" t="s">
        <v>7</v>
      </c>
      <c r="D171" s="76" t="s">
        <v>1233</v>
      </c>
      <c r="E171" s="73" t="s">
        <v>1165</v>
      </c>
      <c r="F171" s="76" t="s">
        <v>188</v>
      </c>
      <c r="G171" s="76" t="s">
        <v>1180</v>
      </c>
      <c r="H171" s="71" t="s">
        <v>1181</v>
      </c>
      <c r="I171" s="71" t="s">
        <v>1186</v>
      </c>
      <c r="J171" s="23" t="s">
        <v>786</v>
      </c>
      <c r="K171" s="71" t="s">
        <v>1247</v>
      </c>
      <c r="L171" s="71" t="s">
        <v>1252</v>
      </c>
      <c r="M171" s="76" t="s">
        <v>1254</v>
      </c>
      <c r="N171" s="71"/>
    </row>
    <row r="172" spans="1:14" ht="25.5" customHeight="1">
      <c r="A172" s="84"/>
      <c r="B172" s="89" t="s">
        <v>1075</v>
      </c>
      <c r="C172" s="89" t="s">
        <v>7</v>
      </c>
      <c r="D172" s="76" t="s">
        <v>1234</v>
      </c>
      <c r="E172" s="73" t="s">
        <v>1166</v>
      </c>
      <c r="F172" s="76" t="s">
        <v>188</v>
      </c>
      <c r="G172" s="76" t="s">
        <v>1180</v>
      </c>
      <c r="H172" s="71" t="s">
        <v>1181</v>
      </c>
      <c r="I172" s="71" t="s">
        <v>1187</v>
      </c>
      <c r="J172" s="23" t="s">
        <v>786</v>
      </c>
      <c r="K172" s="71" t="s">
        <v>1247</v>
      </c>
      <c r="L172" s="71" t="s">
        <v>1252</v>
      </c>
      <c r="M172" s="76" t="s">
        <v>1255</v>
      </c>
      <c r="N172" s="71"/>
    </row>
    <row r="173" spans="1:14" ht="25.5" customHeight="1">
      <c r="A173" s="84"/>
      <c r="B173" s="89" t="s">
        <v>1075</v>
      </c>
      <c r="C173" s="89" t="s">
        <v>7</v>
      </c>
      <c r="D173" s="76" t="s">
        <v>1235</v>
      </c>
      <c r="E173" s="73" t="s">
        <v>1167</v>
      </c>
      <c r="F173" s="76" t="s">
        <v>188</v>
      </c>
      <c r="G173" s="76" t="s">
        <v>1180</v>
      </c>
      <c r="H173" s="71" t="s">
        <v>1181</v>
      </c>
      <c r="I173" s="71" t="s">
        <v>1187</v>
      </c>
      <c r="J173" s="23" t="s">
        <v>786</v>
      </c>
      <c r="K173" s="71" t="s">
        <v>1247</v>
      </c>
      <c r="L173" s="71" t="s">
        <v>1252</v>
      </c>
      <c r="M173" s="76" t="s">
        <v>1255</v>
      </c>
      <c r="N173" s="71"/>
    </row>
    <row r="174" spans="1:14" ht="25.5" customHeight="1">
      <c r="A174" s="84"/>
      <c r="B174" s="89" t="s">
        <v>1075</v>
      </c>
      <c r="C174" s="89" t="s">
        <v>7</v>
      </c>
      <c r="D174" s="76" t="s">
        <v>1236</v>
      </c>
      <c r="E174" s="73" t="s">
        <v>1168</v>
      </c>
      <c r="F174" s="76" t="s">
        <v>188</v>
      </c>
      <c r="G174" s="76" t="s">
        <v>1180</v>
      </c>
      <c r="H174" s="71" t="s">
        <v>1181</v>
      </c>
      <c r="I174" s="71" t="s">
        <v>1187</v>
      </c>
      <c r="J174" s="23" t="s">
        <v>786</v>
      </c>
      <c r="K174" s="71" t="s">
        <v>1247</v>
      </c>
      <c r="L174" s="71" t="s">
        <v>1252</v>
      </c>
      <c r="M174" s="76" t="s">
        <v>1255</v>
      </c>
      <c r="N174" s="71"/>
    </row>
    <row r="175" spans="1:14" ht="25.5" customHeight="1">
      <c r="A175" s="84"/>
      <c r="B175" s="89" t="s">
        <v>1075</v>
      </c>
      <c r="C175" s="89" t="s">
        <v>7</v>
      </c>
      <c r="D175" s="76" t="s">
        <v>1237</v>
      </c>
      <c r="E175" s="73" t="s">
        <v>1169</v>
      </c>
      <c r="F175" s="76" t="s">
        <v>188</v>
      </c>
      <c r="G175" s="76" t="s">
        <v>1180</v>
      </c>
      <c r="H175" s="71" t="s">
        <v>1181</v>
      </c>
      <c r="I175" s="71" t="s">
        <v>1187</v>
      </c>
      <c r="J175" s="23" t="s">
        <v>786</v>
      </c>
      <c r="K175" s="71" t="s">
        <v>1247</v>
      </c>
      <c r="L175" s="71" t="s">
        <v>1252</v>
      </c>
      <c r="M175" s="76" t="s">
        <v>1255</v>
      </c>
      <c r="N175" s="71"/>
    </row>
    <row r="176" spans="1:14" ht="25.5" customHeight="1">
      <c r="A176" s="84"/>
      <c r="B176" s="89" t="s">
        <v>1075</v>
      </c>
      <c r="C176" s="89" t="s">
        <v>7</v>
      </c>
      <c r="D176" s="76" t="s">
        <v>1238</v>
      </c>
      <c r="E176" s="73" t="s">
        <v>1170</v>
      </c>
      <c r="F176" s="76" t="s">
        <v>188</v>
      </c>
      <c r="G176" s="76" t="s">
        <v>1180</v>
      </c>
      <c r="H176" s="71" t="s">
        <v>1181</v>
      </c>
      <c r="I176" s="71" t="s">
        <v>1187</v>
      </c>
      <c r="J176" s="23" t="s">
        <v>786</v>
      </c>
      <c r="K176" s="71" t="s">
        <v>1247</v>
      </c>
      <c r="L176" s="71" t="s">
        <v>1252</v>
      </c>
      <c r="M176" s="76" t="s">
        <v>1255</v>
      </c>
      <c r="N176" s="71"/>
    </row>
    <row r="177" spans="1:14" ht="25.5" customHeight="1">
      <c r="A177" s="84"/>
      <c r="B177" s="89" t="s">
        <v>1075</v>
      </c>
      <c r="C177" s="89" t="s">
        <v>7</v>
      </c>
      <c r="D177" s="76" t="s">
        <v>1239</v>
      </c>
      <c r="E177" s="73" t="s">
        <v>1171</v>
      </c>
      <c r="F177" s="76" t="s">
        <v>188</v>
      </c>
      <c r="G177" s="76" t="s">
        <v>1180</v>
      </c>
      <c r="H177" s="71" t="s">
        <v>1181</v>
      </c>
      <c r="I177" s="71" t="s">
        <v>1188</v>
      </c>
      <c r="J177" s="23" t="s">
        <v>786</v>
      </c>
      <c r="K177" s="71" t="s">
        <v>1247</v>
      </c>
      <c r="L177" s="71" t="s">
        <v>1256</v>
      </c>
      <c r="M177" s="76"/>
      <c r="N177" s="71"/>
    </row>
    <row r="178" spans="1:14" ht="25.5" customHeight="1">
      <c r="A178" s="84"/>
      <c r="B178" s="89" t="s">
        <v>1075</v>
      </c>
      <c r="C178" s="89" t="s">
        <v>7</v>
      </c>
      <c r="D178" s="76" t="s">
        <v>1240</v>
      </c>
      <c r="E178" s="73" t="s">
        <v>1172</v>
      </c>
      <c r="F178" s="76" t="s">
        <v>188</v>
      </c>
      <c r="G178" s="76" t="s">
        <v>1180</v>
      </c>
      <c r="H178" s="71" t="s">
        <v>1181</v>
      </c>
      <c r="I178" s="71" t="s">
        <v>1188</v>
      </c>
      <c r="J178" s="23" t="s">
        <v>786</v>
      </c>
      <c r="K178" s="71" t="s">
        <v>1247</v>
      </c>
      <c r="L178" s="71" t="s">
        <v>1256</v>
      </c>
      <c r="M178" s="76"/>
      <c r="N178" s="71"/>
    </row>
    <row r="179" spans="1:14" ht="25.5" customHeight="1">
      <c r="A179" s="84"/>
      <c r="B179" s="89" t="s">
        <v>1075</v>
      </c>
      <c r="C179" s="89" t="s">
        <v>7</v>
      </c>
      <c r="D179" s="76" t="s">
        <v>1241</v>
      </c>
      <c r="E179" s="73" t="s">
        <v>1173</v>
      </c>
      <c r="F179" s="76" t="s">
        <v>188</v>
      </c>
      <c r="G179" s="76" t="s">
        <v>1180</v>
      </c>
      <c r="H179" s="71" t="s">
        <v>1181</v>
      </c>
      <c r="I179" s="71" t="s">
        <v>1188</v>
      </c>
      <c r="J179" s="23" t="s">
        <v>786</v>
      </c>
      <c r="K179" s="71" t="s">
        <v>1247</v>
      </c>
      <c r="L179" s="71" t="s">
        <v>1256</v>
      </c>
      <c r="M179" s="76"/>
      <c r="N179" s="71"/>
    </row>
    <row r="180" spans="1:14" ht="25.5" customHeight="1">
      <c r="A180" s="84"/>
      <c r="B180" s="89" t="s">
        <v>1075</v>
      </c>
      <c r="C180" s="89" t="s">
        <v>7</v>
      </c>
      <c r="D180" s="76" t="s">
        <v>1242</v>
      </c>
      <c r="E180" s="73" t="s">
        <v>1174</v>
      </c>
      <c r="F180" s="76" t="s">
        <v>188</v>
      </c>
      <c r="G180" s="76" t="s">
        <v>1180</v>
      </c>
      <c r="H180" s="71" t="s">
        <v>1181</v>
      </c>
      <c r="I180" s="71" t="s">
        <v>1188</v>
      </c>
      <c r="J180" s="23" t="s">
        <v>786</v>
      </c>
      <c r="K180" s="71" t="s">
        <v>1247</v>
      </c>
      <c r="L180" s="71" t="s">
        <v>1256</v>
      </c>
      <c r="M180" s="76"/>
      <c r="N180" s="71"/>
    </row>
    <row r="181" spans="1:14" ht="25.5" customHeight="1">
      <c r="A181" s="84"/>
      <c r="B181" s="89" t="s">
        <v>1075</v>
      </c>
      <c r="C181" s="89" t="s">
        <v>7</v>
      </c>
      <c r="D181" s="76" t="s">
        <v>1243</v>
      </c>
      <c r="E181" s="73" t="s">
        <v>1175</v>
      </c>
      <c r="F181" s="76" t="s">
        <v>188</v>
      </c>
      <c r="G181" s="76" t="s">
        <v>1180</v>
      </c>
      <c r="H181" s="71" t="s">
        <v>1181</v>
      </c>
      <c r="I181" s="71" t="s">
        <v>1188</v>
      </c>
      <c r="J181" s="23" t="s">
        <v>786</v>
      </c>
      <c r="K181" s="71" t="s">
        <v>1247</v>
      </c>
      <c r="L181" s="71" t="s">
        <v>1256</v>
      </c>
      <c r="M181" s="76"/>
      <c r="N181" s="71"/>
    </row>
    <row r="182" spans="1:14" ht="25.5" customHeight="1">
      <c r="A182" s="84"/>
      <c r="B182" s="89" t="s">
        <v>1075</v>
      </c>
      <c r="C182" s="89" t="s">
        <v>7</v>
      </c>
      <c r="D182" s="76" t="s">
        <v>1236</v>
      </c>
      <c r="E182" s="73" t="s">
        <v>1176</v>
      </c>
      <c r="F182" s="76" t="s">
        <v>188</v>
      </c>
      <c r="G182" s="76" t="s">
        <v>1180</v>
      </c>
      <c r="H182" s="71" t="s">
        <v>1181</v>
      </c>
      <c r="I182" s="71" t="s">
        <v>1188</v>
      </c>
      <c r="J182" s="23" t="s">
        <v>786</v>
      </c>
      <c r="K182" s="71" t="s">
        <v>1247</v>
      </c>
      <c r="L182" s="71" t="s">
        <v>1256</v>
      </c>
      <c r="M182" s="76"/>
      <c r="N182" s="71"/>
    </row>
    <row r="183" spans="1:14" ht="25.5" customHeight="1">
      <c r="A183" s="84"/>
      <c r="B183" s="89" t="s">
        <v>1075</v>
      </c>
      <c r="C183" s="89" t="s">
        <v>7</v>
      </c>
      <c r="D183" s="76" t="s">
        <v>1244</v>
      </c>
      <c r="E183" s="73" t="s">
        <v>1177</v>
      </c>
      <c r="F183" s="76" t="s">
        <v>188</v>
      </c>
      <c r="G183" s="76" t="s">
        <v>1180</v>
      </c>
      <c r="H183" s="71" t="s">
        <v>1181</v>
      </c>
      <c r="I183" s="71" t="s">
        <v>1189</v>
      </c>
      <c r="J183" s="23" t="s">
        <v>786</v>
      </c>
      <c r="K183" s="71" t="s">
        <v>1247</v>
      </c>
      <c r="L183" s="71" t="s">
        <v>1256</v>
      </c>
      <c r="M183" s="76"/>
      <c r="N183" s="71"/>
    </row>
    <row r="184" spans="1:14" ht="25.5" customHeight="1">
      <c r="A184" s="84"/>
      <c r="B184" s="89" t="s">
        <v>1075</v>
      </c>
      <c r="C184" s="89" t="s">
        <v>7</v>
      </c>
      <c r="D184" s="76" t="s">
        <v>1245</v>
      </c>
      <c r="E184" s="73" t="s">
        <v>1178</v>
      </c>
      <c r="F184" s="76" t="s">
        <v>188</v>
      </c>
      <c r="G184" s="76" t="s">
        <v>1180</v>
      </c>
      <c r="H184" s="71" t="s">
        <v>1181</v>
      </c>
      <c r="I184" s="71" t="s">
        <v>1189</v>
      </c>
      <c r="J184" s="23" t="s">
        <v>786</v>
      </c>
      <c r="K184" s="71" t="s">
        <v>1247</v>
      </c>
      <c r="L184" s="71" t="s">
        <v>1256</v>
      </c>
      <c r="M184" s="76"/>
      <c r="N184" s="71"/>
    </row>
    <row r="185" spans="1:14" ht="25.5" customHeight="1">
      <c r="A185" s="84"/>
      <c r="B185" s="89" t="s">
        <v>1075</v>
      </c>
      <c r="C185" s="89" t="s">
        <v>7</v>
      </c>
      <c r="D185" s="76" t="s">
        <v>1246</v>
      </c>
      <c r="E185" s="73" t="s">
        <v>1179</v>
      </c>
      <c r="F185" s="76" t="s">
        <v>188</v>
      </c>
      <c r="G185" s="76" t="s">
        <v>1180</v>
      </c>
      <c r="H185" s="71" t="s">
        <v>1181</v>
      </c>
      <c r="I185" s="71" t="s">
        <v>1189</v>
      </c>
      <c r="J185" s="23" t="s">
        <v>786</v>
      </c>
      <c r="K185" s="71" t="s">
        <v>1247</v>
      </c>
      <c r="L185" s="71" t="s">
        <v>1256</v>
      </c>
      <c r="M185" s="76"/>
      <c r="N185" s="71"/>
    </row>
    <row r="186" spans="1:14" ht="25.5" customHeight="1">
      <c r="A186" s="84"/>
      <c r="B186" s="89" t="s">
        <v>1468</v>
      </c>
      <c r="C186" s="89" t="s">
        <v>139</v>
      </c>
      <c r="D186" s="76" t="s">
        <v>544</v>
      </c>
      <c r="E186" s="73" t="s">
        <v>543</v>
      </c>
      <c r="F186" s="76" t="s">
        <v>149</v>
      </c>
      <c r="G186" s="76" t="s">
        <v>799</v>
      </c>
      <c r="H186" s="71" t="s">
        <v>149</v>
      </c>
      <c r="I186" s="71"/>
      <c r="J186" s="23" t="s">
        <v>786</v>
      </c>
      <c r="K186" s="71" t="s">
        <v>999</v>
      </c>
      <c r="L186" s="71" t="s">
        <v>999</v>
      </c>
      <c r="M186" s="71" t="s">
        <v>1000</v>
      </c>
      <c r="N186" s="71" t="s">
        <v>560</v>
      </c>
    </row>
    <row r="187" spans="1:14" ht="25.5" customHeight="1">
      <c r="A187" s="84"/>
      <c r="B187" s="89" t="s">
        <v>1468</v>
      </c>
      <c r="C187" s="89" t="s">
        <v>94</v>
      </c>
      <c r="D187" s="76" t="s">
        <v>691</v>
      </c>
      <c r="E187" s="75" t="s">
        <v>692</v>
      </c>
      <c r="F187" s="76" t="s">
        <v>149</v>
      </c>
      <c r="G187" s="76" t="s">
        <v>799</v>
      </c>
      <c r="H187" s="71" t="s">
        <v>170</v>
      </c>
      <c r="I187" s="87" t="s">
        <v>693</v>
      </c>
      <c r="J187" s="23" t="s">
        <v>786</v>
      </c>
      <c r="K187" s="71" t="s">
        <v>999</v>
      </c>
      <c r="L187" s="71" t="s">
        <v>999</v>
      </c>
      <c r="M187" s="71" t="s">
        <v>1000</v>
      </c>
      <c r="N187" s="71" t="s">
        <v>560</v>
      </c>
    </row>
    <row r="188" spans="1:14" ht="25.5" customHeight="1">
      <c r="A188" s="84"/>
      <c r="B188" s="89" t="s">
        <v>1468</v>
      </c>
      <c r="C188" s="89" t="s">
        <v>7</v>
      </c>
      <c r="D188" s="76" t="s">
        <v>1103</v>
      </c>
      <c r="E188" s="73" t="s">
        <v>1105</v>
      </c>
      <c r="F188" s="76" t="s">
        <v>1110</v>
      </c>
      <c r="G188" s="76" t="s">
        <v>1109</v>
      </c>
      <c r="H188" s="71"/>
      <c r="I188" s="71"/>
      <c r="J188" s="23" t="s">
        <v>786</v>
      </c>
      <c r="K188" s="71" t="s">
        <v>999</v>
      </c>
      <c r="L188" s="71" t="s">
        <v>1107</v>
      </c>
      <c r="M188" s="71" t="s">
        <v>1108</v>
      </c>
      <c r="N188" s="71" t="s">
        <v>1111</v>
      </c>
    </row>
    <row r="189" spans="1:14" ht="25.5" customHeight="1">
      <c r="A189" s="84"/>
      <c r="B189" s="89" t="s">
        <v>1468</v>
      </c>
      <c r="C189" s="89" t="s">
        <v>7</v>
      </c>
      <c r="D189" s="76" t="s">
        <v>1104</v>
      </c>
      <c r="E189" s="73" t="s">
        <v>1106</v>
      </c>
      <c r="F189" s="76" t="s">
        <v>1110</v>
      </c>
      <c r="G189" s="76" t="s">
        <v>1109</v>
      </c>
      <c r="H189" s="71"/>
      <c r="I189" s="71"/>
      <c r="J189" s="23" t="s">
        <v>786</v>
      </c>
      <c r="K189" s="71" t="s">
        <v>999</v>
      </c>
      <c r="L189" s="71" t="s">
        <v>1107</v>
      </c>
      <c r="M189" s="71" t="s">
        <v>1108</v>
      </c>
      <c r="N189" s="71" t="s">
        <v>1111</v>
      </c>
    </row>
    <row r="190" spans="1:14" ht="25.5" customHeight="1">
      <c r="A190" s="84"/>
      <c r="B190" s="89" t="s">
        <v>1468</v>
      </c>
      <c r="C190" s="89" t="s">
        <v>139</v>
      </c>
      <c r="D190" s="76" t="s">
        <v>1297</v>
      </c>
      <c r="E190" s="73" t="s">
        <v>1298</v>
      </c>
      <c r="F190" s="76" t="s">
        <v>1299</v>
      </c>
      <c r="G190" s="76" t="s">
        <v>296</v>
      </c>
      <c r="H190" s="71" t="s">
        <v>1300</v>
      </c>
      <c r="I190" s="71" t="s">
        <v>1449</v>
      </c>
      <c r="J190" s="23" t="s">
        <v>786</v>
      </c>
      <c r="K190" s="71" t="s">
        <v>999</v>
      </c>
      <c r="L190" s="71" t="s">
        <v>999</v>
      </c>
      <c r="M190" s="71" t="s">
        <v>1000</v>
      </c>
      <c r="N190" s="71"/>
    </row>
    <row r="191" spans="1:14" ht="25.5" customHeight="1">
      <c r="A191" s="84"/>
      <c r="B191" s="89" t="s">
        <v>1073</v>
      </c>
      <c r="C191" s="89" t="s">
        <v>136</v>
      </c>
      <c r="D191" s="76" t="s">
        <v>123</v>
      </c>
      <c r="E191" s="75" t="s">
        <v>885</v>
      </c>
      <c r="F191" s="76" t="s">
        <v>818</v>
      </c>
      <c r="G191" s="76" t="s">
        <v>819</v>
      </c>
      <c r="H191" s="71" t="s">
        <v>663</v>
      </c>
      <c r="I191" s="70"/>
      <c r="J191" s="23" t="s">
        <v>786</v>
      </c>
      <c r="K191" s="71" t="s">
        <v>1028</v>
      </c>
      <c r="L191" s="71" t="s">
        <v>1029</v>
      </c>
      <c r="M191" s="71" t="s">
        <v>1030</v>
      </c>
      <c r="N191" s="71" t="s">
        <v>1031</v>
      </c>
    </row>
    <row r="192" spans="1:14" ht="25.5" customHeight="1">
      <c r="A192" s="84"/>
      <c r="B192" s="89" t="s">
        <v>1073</v>
      </c>
      <c r="C192" s="89" t="s">
        <v>33</v>
      </c>
      <c r="D192" s="76" t="s">
        <v>886</v>
      </c>
      <c r="E192" s="75" t="s">
        <v>887</v>
      </c>
      <c r="F192" s="76" t="s">
        <v>818</v>
      </c>
      <c r="G192" s="76" t="s">
        <v>819</v>
      </c>
      <c r="H192" s="71" t="s">
        <v>141</v>
      </c>
      <c r="I192" s="92"/>
      <c r="J192" s="23" t="s">
        <v>786</v>
      </c>
      <c r="K192" s="71" t="s">
        <v>1028</v>
      </c>
      <c r="L192" s="71" t="s">
        <v>1029</v>
      </c>
      <c r="M192" s="71" t="s">
        <v>1030</v>
      </c>
      <c r="N192" s="71" t="s">
        <v>1031</v>
      </c>
    </row>
    <row r="193" spans="1:14" ht="25.5" customHeight="1">
      <c r="A193" s="84"/>
      <c r="B193" s="89" t="s">
        <v>1073</v>
      </c>
      <c r="C193" s="89" t="s">
        <v>7</v>
      </c>
      <c r="D193" s="76" t="s">
        <v>1284</v>
      </c>
      <c r="E193" s="73" t="s">
        <v>1283</v>
      </c>
      <c r="F193" s="76" t="s">
        <v>291</v>
      </c>
      <c r="G193" s="76" t="s">
        <v>1285</v>
      </c>
      <c r="H193" s="71"/>
      <c r="I193" s="71"/>
      <c r="J193" s="23" t="s">
        <v>786</v>
      </c>
      <c r="K193" s="71" t="s">
        <v>1028</v>
      </c>
      <c r="L193" s="71" t="s">
        <v>1280</v>
      </c>
      <c r="M193" s="76" t="s">
        <v>1281</v>
      </c>
      <c r="N193" s="71" t="s">
        <v>1282</v>
      </c>
    </row>
    <row r="194" spans="1:14" ht="25.5" customHeight="1">
      <c r="A194" s="84"/>
      <c r="B194" s="89" t="s">
        <v>1073</v>
      </c>
      <c r="C194" s="89" t="s">
        <v>84</v>
      </c>
      <c r="D194" s="76" t="s">
        <v>1286</v>
      </c>
      <c r="E194" s="73" t="s">
        <v>1476</v>
      </c>
      <c r="F194" s="76" t="s">
        <v>282</v>
      </c>
      <c r="G194" s="76" t="s">
        <v>283</v>
      </c>
      <c r="H194" s="71"/>
      <c r="I194" s="71"/>
      <c r="J194" s="23" t="s">
        <v>786</v>
      </c>
      <c r="K194" s="71" t="s">
        <v>1028</v>
      </c>
      <c r="L194" s="71" t="s">
        <v>1287</v>
      </c>
      <c r="M194" s="76" t="s">
        <v>1288</v>
      </c>
      <c r="N194" s="71"/>
    </row>
    <row r="195" spans="1:14" ht="25.5" customHeight="1">
      <c r="A195" s="84"/>
      <c r="B195" s="89" t="s">
        <v>1073</v>
      </c>
      <c r="C195" s="89" t="s">
        <v>84</v>
      </c>
      <c r="D195" s="76" t="s">
        <v>1286</v>
      </c>
      <c r="E195" s="73" t="s">
        <v>1477</v>
      </c>
      <c r="F195" s="76" t="s">
        <v>282</v>
      </c>
      <c r="G195" s="76" t="s">
        <v>283</v>
      </c>
      <c r="H195" s="71"/>
      <c r="I195" s="71"/>
      <c r="J195" s="23" t="s">
        <v>786</v>
      </c>
      <c r="K195" s="71" t="s">
        <v>1028</v>
      </c>
      <c r="L195" s="71" t="s">
        <v>1287</v>
      </c>
      <c r="M195" s="76" t="s">
        <v>1288</v>
      </c>
      <c r="N195" s="71"/>
    </row>
    <row r="196" spans="1:14" ht="25.5" customHeight="1">
      <c r="A196" s="84"/>
      <c r="B196" s="89" t="s">
        <v>1073</v>
      </c>
      <c r="C196" s="89" t="s">
        <v>84</v>
      </c>
      <c r="D196" s="76" t="s">
        <v>1286</v>
      </c>
      <c r="E196" s="73" t="s">
        <v>1478</v>
      </c>
      <c r="F196" s="76" t="s">
        <v>282</v>
      </c>
      <c r="G196" s="76" t="s">
        <v>283</v>
      </c>
      <c r="H196" s="71"/>
      <c r="I196" s="71"/>
      <c r="J196" s="23" t="s">
        <v>786</v>
      </c>
      <c r="K196" s="71" t="s">
        <v>1028</v>
      </c>
      <c r="L196" s="71" t="s">
        <v>1287</v>
      </c>
      <c r="M196" s="76" t="s">
        <v>1288</v>
      </c>
      <c r="N196" s="71"/>
    </row>
    <row r="197" spans="1:14" ht="25.5" customHeight="1">
      <c r="A197" s="84"/>
      <c r="B197" s="89" t="s">
        <v>1073</v>
      </c>
      <c r="C197" s="89" t="s">
        <v>84</v>
      </c>
      <c r="D197" s="76" t="s">
        <v>1286</v>
      </c>
      <c r="E197" s="73" t="s">
        <v>1479</v>
      </c>
      <c r="F197" s="76" t="s">
        <v>282</v>
      </c>
      <c r="G197" s="76" t="s">
        <v>283</v>
      </c>
      <c r="H197" s="71"/>
      <c r="I197" s="71"/>
      <c r="J197" s="23" t="s">
        <v>786</v>
      </c>
      <c r="K197" s="71" t="s">
        <v>1028</v>
      </c>
      <c r="L197" s="71" t="s">
        <v>1287</v>
      </c>
      <c r="M197" s="76" t="s">
        <v>1288</v>
      </c>
      <c r="N197" s="71"/>
    </row>
    <row r="198" spans="1:14" ht="25.5" customHeight="1">
      <c r="A198" s="84"/>
      <c r="B198" s="89" t="s">
        <v>1073</v>
      </c>
      <c r="C198" s="89" t="s">
        <v>84</v>
      </c>
      <c r="D198" s="76" t="s">
        <v>1286</v>
      </c>
      <c r="E198" s="73" t="s">
        <v>1480</v>
      </c>
      <c r="F198" s="76" t="s">
        <v>282</v>
      </c>
      <c r="G198" s="76" t="s">
        <v>283</v>
      </c>
      <c r="H198" s="71"/>
      <c r="I198" s="71"/>
      <c r="J198" s="23" t="s">
        <v>786</v>
      </c>
      <c r="K198" s="71" t="s">
        <v>1028</v>
      </c>
      <c r="L198" s="71" t="s">
        <v>1287</v>
      </c>
      <c r="M198" s="76" t="s">
        <v>1288</v>
      </c>
      <c r="N198" s="71"/>
    </row>
    <row r="199" spans="1:14" ht="25.5" customHeight="1">
      <c r="A199" s="84"/>
      <c r="B199" s="89" t="s">
        <v>1076</v>
      </c>
      <c r="C199" s="89" t="s">
        <v>139</v>
      </c>
      <c r="D199" s="76" t="s">
        <v>137</v>
      </c>
      <c r="E199" s="73" t="s">
        <v>741</v>
      </c>
      <c r="F199" s="76" t="s">
        <v>796</v>
      </c>
      <c r="G199" s="76" t="s">
        <v>797</v>
      </c>
      <c r="H199" s="71" t="s">
        <v>185</v>
      </c>
      <c r="I199" s="71" t="s">
        <v>742</v>
      </c>
      <c r="J199" s="23" t="s">
        <v>786</v>
      </c>
      <c r="K199" s="71" t="s">
        <v>992</v>
      </c>
      <c r="L199" s="71" t="s">
        <v>993</v>
      </c>
      <c r="M199" s="71" t="s">
        <v>994</v>
      </c>
      <c r="N199" s="71" t="s">
        <v>560</v>
      </c>
    </row>
    <row r="200" spans="1:14" ht="25.5" customHeight="1">
      <c r="A200" s="84"/>
      <c r="B200" s="89" t="s">
        <v>1076</v>
      </c>
      <c r="C200" s="89" t="s">
        <v>84</v>
      </c>
      <c r="D200" s="76" t="s">
        <v>77</v>
      </c>
      <c r="E200" s="73" t="s">
        <v>890</v>
      </c>
      <c r="F200" s="76" t="s">
        <v>178</v>
      </c>
      <c r="G200" s="76" t="s">
        <v>350</v>
      </c>
      <c r="H200" s="71" t="s">
        <v>178</v>
      </c>
      <c r="I200" s="71"/>
      <c r="J200" s="23" t="s">
        <v>786</v>
      </c>
      <c r="K200" s="71" t="s">
        <v>992</v>
      </c>
      <c r="L200" s="71" t="s">
        <v>1034</v>
      </c>
      <c r="M200" s="71" t="s">
        <v>560</v>
      </c>
      <c r="N200" s="71" t="s">
        <v>560</v>
      </c>
    </row>
    <row r="201" spans="1:14" ht="25.5" customHeight="1">
      <c r="A201" s="84"/>
      <c r="B201" s="89" t="s">
        <v>1076</v>
      </c>
      <c r="C201" s="89" t="s">
        <v>84</v>
      </c>
      <c r="D201" s="76" t="s">
        <v>76</v>
      </c>
      <c r="E201" s="73" t="s">
        <v>891</v>
      </c>
      <c r="F201" s="76" t="s">
        <v>178</v>
      </c>
      <c r="G201" s="76" t="s">
        <v>350</v>
      </c>
      <c r="H201" s="71" t="s">
        <v>932</v>
      </c>
      <c r="I201" s="71" t="s">
        <v>785</v>
      </c>
      <c r="J201" s="23" t="s">
        <v>786</v>
      </c>
      <c r="K201" s="71" t="s">
        <v>992</v>
      </c>
      <c r="L201" s="71" t="s">
        <v>1034</v>
      </c>
      <c r="M201" s="71" t="s">
        <v>560</v>
      </c>
      <c r="N201" s="71" t="s">
        <v>560</v>
      </c>
    </row>
    <row r="202" spans="1:14" ht="25.5" customHeight="1">
      <c r="A202" s="84"/>
      <c r="B202" s="89" t="s">
        <v>1076</v>
      </c>
      <c r="C202" s="89" t="s">
        <v>94</v>
      </c>
      <c r="D202" s="76" t="s">
        <v>52</v>
      </c>
      <c r="E202" s="73" t="s">
        <v>892</v>
      </c>
      <c r="F202" s="76" t="s">
        <v>178</v>
      </c>
      <c r="G202" s="76" t="s">
        <v>350</v>
      </c>
      <c r="H202" s="71" t="s">
        <v>176</v>
      </c>
      <c r="I202" s="71" t="s">
        <v>785</v>
      </c>
      <c r="J202" s="23" t="s">
        <v>786</v>
      </c>
      <c r="K202" s="71" t="s">
        <v>992</v>
      </c>
      <c r="L202" s="71" t="s">
        <v>1034</v>
      </c>
      <c r="M202" s="71" t="s">
        <v>560</v>
      </c>
      <c r="N202" s="71" t="s">
        <v>560</v>
      </c>
    </row>
    <row r="203" spans="1:14" ht="25.5" customHeight="1">
      <c r="A203" s="84"/>
      <c r="B203" s="89" t="s">
        <v>1076</v>
      </c>
      <c r="C203" s="89" t="s">
        <v>94</v>
      </c>
      <c r="D203" s="76" t="s">
        <v>85</v>
      </c>
      <c r="E203" s="268" t="s">
        <v>893</v>
      </c>
      <c r="F203" s="76" t="s">
        <v>178</v>
      </c>
      <c r="G203" s="76" t="s">
        <v>350</v>
      </c>
      <c r="H203" s="71"/>
      <c r="I203" s="76" t="s">
        <v>894</v>
      </c>
      <c r="J203" s="23" t="s">
        <v>786</v>
      </c>
      <c r="K203" s="71" t="s">
        <v>992</v>
      </c>
      <c r="L203" s="71" t="s">
        <v>1034</v>
      </c>
      <c r="M203" s="71" t="s">
        <v>560</v>
      </c>
      <c r="N203" s="71" t="s">
        <v>560</v>
      </c>
    </row>
    <row r="204" spans="1:14" ht="25.5" customHeight="1">
      <c r="A204" s="84"/>
      <c r="B204" s="89" t="s">
        <v>1076</v>
      </c>
      <c r="C204" s="89" t="s">
        <v>33</v>
      </c>
      <c r="D204" s="76" t="s">
        <v>31</v>
      </c>
      <c r="E204" s="73" t="s">
        <v>521</v>
      </c>
      <c r="F204" s="76" t="s">
        <v>178</v>
      </c>
      <c r="G204" s="76" t="s">
        <v>350</v>
      </c>
      <c r="H204" s="71" t="s">
        <v>174</v>
      </c>
      <c r="I204" s="71"/>
      <c r="J204" s="23" t="s">
        <v>786</v>
      </c>
      <c r="K204" s="71" t="s">
        <v>992</v>
      </c>
      <c r="L204" s="71" t="s">
        <v>1034</v>
      </c>
      <c r="M204" s="71" t="s">
        <v>560</v>
      </c>
      <c r="N204" s="71" t="s">
        <v>560</v>
      </c>
    </row>
    <row r="205" spans="1:14" ht="25.5" customHeight="1">
      <c r="A205" s="84"/>
      <c r="B205" s="89" t="s">
        <v>1076</v>
      </c>
      <c r="C205" s="89" t="s">
        <v>33</v>
      </c>
      <c r="D205" s="76" t="s">
        <v>30</v>
      </c>
      <c r="E205" s="73" t="s">
        <v>437</v>
      </c>
      <c r="F205" s="76" t="s">
        <v>178</v>
      </c>
      <c r="G205" s="76" t="s">
        <v>350</v>
      </c>
      <c r="H205" s="71" t="s">
        <v>174</v>
      </c>
      <c r="I205" s="71"/>
      <c r="J205" s="23" t="s">
        <v>786</v>
      </c>
      <c r="K205" s="71" t="s">
        <v>992</v>
      </c>
      <c r="L205" s="71" t="s">
        <v>1034</v>
      </c>
      <c r="M205" s="71" t="s">
        <v>560</v>
      </c>
      <c r="N205" s="71" t="s">
        <v>560</v>
      </c>
    </row>
    <row r="206" spans="1:14" ht="25.5" customHeight="1">
      <c r="A206" s="84"/>
      <c r="B206" s="89" t="s">
        <v>1076</v>
      </c>
      <c r="C206" s="89" t="s">
        <v>33</v>
      </c>
      <c r="D206" s="76" t="s">
        <v>29</v>
      </c>
      <c r="E206" s="73" t="s">
        <v>438</v>
      </c>
      <c r="F206" s="76" t="s">
        <v>178</v>
      </c>
      <c r="G206" s="76" t="s">
        <v>350</v>
      </c>
      <c r="H206" s="71" t="s">
        <v>174</v>
      </c>
      <c r="I206" s="71"/>
      <c r="J206" s="23" t="s">
        <v>786</v>
      </c>
      <c r="K206" s="71" t="s">
        <v>992</v>
      </c>
      <c r="L206" s="71" t="s">
        <v>1034</v>
      </c>
      <c r="M206" s="71" t="s">
        <v>560</v>
      </c>
      <c r="N206" s="71" t="s">
        <v>560</v>
      </c>
    </row>
    <row r="207" spans="1:14" ht="25.5" customHeight="1">
      <c r="A207" s="84"/>
      <c r="B207" s="89" t="s">
        <v>1076</v>
      </c>
      <c r="C207" s="89" t="s">
        <v>33</v>
      </c>
      <c r="D207" s="76" t="s">
        <v>28</v>
      </c>
      <c r="E207" s="73" t="s">
        <v>439</v>
      </c>
      <c r="F207" s="76" t="s">
        <v>178</v>
      </c>
      <c r="G207" s="76" t="s">
        <v>350</v>
      </c>
      <c r="H207" s="71" t="s">
        <v>174</v>
      </c>
      <c r="I207" s="71"/>
      <c r="J207" s="23" t="s">
        <v>786</v>
      </c>
      <c r="K207" s="71" t="s">
        <v>992</v>
      </c>
      <c r="L207" s="71" t="s">
        <v>1034</v>
      </c>
      <c r="M207" s="71" t="s">
        <v>560</v>
      </c>
      <c r="N207" s="71" t="s">
        <v>560</v>
      </c>
    </row>
    <row r="208" spans="1:14" ht="25.5" customHeight="1">
      <c r="A208" s="84"/>
      <c r="B208" s="89" t="s">
        <v>1076</v>
      </c>
      <c r="C208" s="89" t="s">
        <v>33</v>
      </c>
      <c r="D208" s="76" t="s">
        <v>1485</v>
      </c>
      <c r="E208" s="73" t="s">
        <v>440</v>
      </c>
      <c r="F208" s="76" t="s">
        <v>178</v>
      </c>
      <c r="G208" s="76" t="s">
        <v>350</v>
      </c>
      <c r="H208" s="71" t="s">
        <v>174</v>
      </c>
      <c r="I208" s="71"/>
      <c r="J208" s="23" t="s">
        <v>786</v>
      </c>
      <c r="K208" s="71" t="s">
        <v>992</v>
      </c>
      <c r="L208" s="71" t="s">
        <v>1034</v>
      </c>
      <c r="M208" s="71" t="s">
        <v>560</v>
      </c>
      <c r="N208" s="71" t="s">
        <v>560</v>
      </c>
    </row>
    <row r="209" spans="1:14" ht="25.5" customHeight="1">
      <c r="A209" s="84"/>
      <c r="B209" s="89" t="s">
        <v>1076</v>
      </c>
      <c r="C209" s="89" t="s">
        <v>33</v>
      </c>
      <c r="D209" s="76" t="s">
        <v>27</v>
      </c>
      <c r="E209" s="73" t="s">
        <v>895</v>
      </c>
      <c r="F209" s="76" t="s">
        <v>178</v>
      </c>
      <c r="G209" s="76" t="s">
        <v>350</v>
      </c>
      <c r="H209" s="71" t="s">
        <v>174</v>
      </c>
      <c r="I209" s="71"/>
      <c r="J209" s="23" t="s">
        <v>786</v>
      </c>
      <c r="K209" s="71" t="s">
        <v>992</v>
      </c>
      <c r="L209" s="71" t="s">
        <v>1034</v>
      </c>
      <c r="M209" s="71" t="s">
        <v>560</v>
      </c>
      <c r="N209" s="71" t="s">
        <v>560</v>
      </c>
    </row>
    <row r="210" spans="1:14" ht="25.5" customHeight="1">
      <c r="A210" s="84"/>
      <c r="B210" s="89" t="s">
        <v>1076</v>
      </c>
      <c r="C210" s="89" t="s">
        <v>33</v>
      </c>
      <c r="D210" s="76" t="s">
        <v>26</v>
      </c>
      <c r="E210" s="73" t="s">
        <v>442</v>
      </c>
      <c r="F210" s="76" t="s">
        <v>178</v>
      </c>
      <c r="G210" s="76" t="s">
        <v>350</v>
      </c>
      <c r="H210" s="71" t="s">
        <v>174</v>
      </c>
      <c r="I210" s="71"/>
      <c r="J210" s="23" t="s">
        <v>786</v>
      </c>
      <c r="K210" s="71" t="s">
        <v>992</v>
      </c>
      <c r="L210" s="71" t="s">
        <v>1034</v>
      </c>
      <c r="M210" s="71" t="s">
        <v>560</v>
      </c>
      <c r="N210" s="71" t="s">
        <v>560</v>
      </c>
    </row>
    <row r="211" spans="1:14" ht="25.5" customHeight="1">
      <c r="A211" s="84"/>
      <c r="B211" s="89" t="s">
        <v>1076</v>
      </c>
      <c r="C211" s="89" t="s">
        <v>33</v>
      </c>
      <c r="D211" s="76" t="s">
        <v>24</v>
      </c>
      <c r="E211" s="73" t="s">
        <v>896</v>
      </c>
      <c r="F211" s="76" t="s">
        <v>178</v>
      </c>
      <c r="G211" s="76" t="s">
        <v>350</v>
      </c>
      <c r="H211" s="71" t="s">
        <v>181</v>
      </c>
      <c r="I211" s="71"/>
      <c r="J211" s="23" t="s">
        <v>786</v>
      </c>
      <c r="K211" s="71" t="s">
        <v>992</v>
      </c>
      <c r="L211" s="71" t="s">
        <v>1034</v>
      </c>
      <c r="M211" s="71" t="s">
        <v>560</v>
      </c>
      <c r="N211" s="71" t="s">
        <v>560</v>
      </c>
    </row>
    <row r="212" spans="1:14" ht="25.5" customHeight="1">
      <c r="A212" s="84"/>
      <c r="B212" s="89" t="s">
        <v>1076</v>
      </c>
      <c r="C212" s="89" t="s">
        <v>33</v>
      </c>
      <c r="D212" s="76" t="s">
        <v>22</v>
      </c>
      <c r="E212" s="73" t="s">
        <v>897</v>
      </c>
      <c r="F212" s="76" t="s">
        <v>178</v>
      </c>
      <c r="G212" s="76" t="s">
        <v>350</v>
      </c>
      <c r="H212" s="71" t="s">
        <v>181</v>
      </c>
      <c r="I212" s="71"/>
      <c r="J212" s="23" t="s">
        <v>786</v>
      </c>
      <c r="K212" s="71" t="s">
        <v>992</v>
      </c>
      <c r="L212" s="71" t="s">
        <v>1034</v>
      </c>
      <c r="M212" s="71" t="s">
        <v>560</v>
      </c>
      <c r="N212" s="71" t="s">
        <v>560</v>
      </c>
    </row>
    <row r="213" spans="1:14" ht="25.5" customHeight="1">
      <c r="A213" s="84"/>
      <c r="B213" s="89" t="s">
        <v>1076</v>
      </c>
      <c r="C213" s="89" t="s">
        <v>33</v>
      </c>
      <c r="D213" s="184" t="s">
        <v>18</v>
      </c>
      <c r="E213" s="184" t="s">
        <v>450</v>
      </c>
      <c r="F213" s="76" t="s">
        <v>178</v>
      </c>
      <c r="G213" s="76" t="s">
        <v>350</v>
      </c>
      <c r="H213" s="71"/>
      <c r="I213" s="71"/>
      <c r="J213" s="23" t="s">
        <v>786</v>
      </c>
      <c r="K213" s="71" t="s">
        <v>992</v>
      </c>
      <c r="L213" s="71" t="s">
        <v>1034</v>
      </c>
      <c r="M213" s="71" t="s">
        <v>560</v>
      </c>
      <c r="N213" s="71" t="s">
        <v>560</v>
      </c>
    </row>
    <row r="214" spans="1:14" ht="25.5" customHeight="1">
      <c r="A214" s="84"/>
      <c r="B214" s="89" t="s">
        <v>1076</v>
      </c>
      <c r="C214" s="89" t="s">
        <v>33</v>
      </c>
      <c r="D214" s="73" t="s">
        <v>18</v>
      </c>
      <c r="E214" s="73" t="s">
        <v>743</v>
      </c>
      <c r="F214" s="76" t="s">
        <v>796</v>
      </c>
      <c r="G214" s="76" t="s">
        <v>797</v>
      </c>
      <c r="H214" s="71" t="s">
        <v>187</v>
      </c>
      <c r="I214" s="71" t="s">
        <v>744</v>
      </c>
      <c r="J214" s="23" t="s">
        <v>786</v>
      </c>
      <c r="K214" s="71" t="s">
        <v>992</v>
      </c>
      <c r="L214" s="71" t="s">
        <v>993</v>
      </c>
      <c r="M214" s="71" t="s">
        <v>994</v>
      </c>
      <c r="N214" s="71" t="s">
        <v>560</v>
      </c>
    </row>
    <row r="215" spans="1:14" ht="25.5" customHeight="1">
      <c r="A215" s="84"/>
      <c r="B215" s="89" t="s">
        <v>1076</v>
      </c>
      <c r="C215" s="89" t="s">
        <v>33</v>
      </c>
      <c r="D215" s="76" t="s">
        <v>15</v>
      </c>
      <c r="E215" s="73" t="s">
        <v>1486</v>
      </c>
      <c r="F215" s="76" t="s">
        <v>178</v>
      </c>
      <c r="G215" s="76" t="s">
        <v>350</v>
      </c>
      <c r="H215" s="71" t="s">
        <v>174</v>
      </c>
      <c r="I215" s="71"/>
      <c r="J215" s="23" t="s">
        <v>786</v>
      </c>
      <c r="K215" s="71" t="s">
        <v>992</v>
      </c>
      <c r="L215" s="71" t="s">
        <v>1034</v>
      </c>
      <c r="M215" s="71" t="s">
        <v>560</v>
      </c>
      <c r="N215" s="71" t="s">
        <v>560</v>
      </c>
    </row>
    <row r="216" spans="1:14" ht="25.5" customHeight="1">
      <c r="A216" s="84"/>
      <c r="B216" s="89" t="s">
        <v>1076</v>
      </c>
      <c r="C216" s="89" t="s">
        <v>33</v>
      </c>
      <c r="D216" s="76" t="s">
        <v>13</v>
      </c>
      <c r="E216" s="73" t="s">
        <v>456</v>
      </c>
      <c r="F216" s="76" t="s">
        <v>178</v>
      </c>
      <c r="G216" s="76" t="s">
        <v>350</v>
      </c>
      <c r="H216" s="71" t="s">
        <v>186</v>
      </c>
      <c r="I216" s="71"/>
      <c r="J216" s="23" t="s">
        <v>786</v>
      </c>
      <c r="K216" s="71" t="s">
        <v>992</v>
      </c>
      <c r="L216" s="71" t="s">
        <v>1034</v>
      </c>
      <c r="M216" s="71" t="s">
        <v>560</v>
      </c>
      <c r="N216" s="71" t="s">
        <v>560</v>
      </c>
    </row>
    <row r="217" spans="1:14" ht="25.5" customHeight="1">
      <c r="A217" s="84"/>
      <c r="B217" s="89" t="s">
        <v>1076</v>
      </c>
      <c r="C217" s="89" t="s">
        <v>33</v>
      </c>
      <c r="D217" s="73" t="s">
        <v>11</v>
      </c>
      <c r="E217" s="73" t="s">
        <v>458</v>
      </c>
      <c r="F217" s="76" t="s">
        <v>178</v>
      </c>
      <c r="G217" s="76" t="s">
        <v>350</v>
      </c>
      <c r="H217" s="71" t="s">
        <v>705</v>
      </c>
      <c r="I217" s="71" t="s">
        <v>689</v>
      </c>
      <c r="J217" s="23" t="s">
        <v>786</v>
      </c>
      <c r="K217" s="71" t="s">
        <v>992</v>
      </c>
      <c r="L217" s="71" t="s">
        <v>1034</v>
      </c>
      <c r="M217" s="71" t="s">
        <v>560</v>
      </c>
      <c r="N217" s="71" t="s">
        <v>560</v>
      </c>
    </row>
  </sheetData>
  <autoFilter ref="B2:N217"/>
  <sortState ref="B3:N217">
    <sortCondition ref="B3:B217"/>
  </sortState>
  <customSheetViews>
    <customSheetView guid="{C9815ABB-3DC4-47A9-84D6-09FB286015CF}" showGridLines="0" showAutoFilter="1">
      <selection activeCell="D14" sqref="D14"/>
      <pageMargins left="0.511811024" right="0.511811024" top="0.78740157499999996" bottom="0.78740157499999996" header="0.31496062000000002" footer="0.31496062000000002"/>
      <pageSetup paperSize="9" orientation="portrait" r:id="rId1"/>
      <autoFilter ref="A2:K6">
        <filterColumn colId="2" showButton="0"/>
      </autoFilter>
    </customSheetView>
    <customSheetView guid="{49CEE367-5EFB-43A6-A8AC-378611FA0BCF}" showGridLines="0" showAutoFilter="1">
      <pane xSplit="4" ySplit="2" topLeftCell="E3" activePane="bottomRight" state="frozen"/>
      <selection pane="bottomRight" activeCell="D6" sqref="D6"/>
      <pageMargins left="0.511811024" right="0.511811024" top="0.78740157499999996" bottom="0.78740157499999996" header="0.31496062000000002" footer="0.31496062000000002"/>
      <pageSetup paperSize="9" orientation="portrait" r:id="rId2"/>
      <autoFilter ref="A2:K6">
        <filterColumn colId="2" showButton="0"/>
      </autoFilter>
    </customSheetView>
  </customSheetViews>
  <pageMargins left="0.511811024" right="0.511811024" top="0.78740157499999996" bottom="0.78740157499999996" header="0.31496062000000002" footer="0.31496062000000002"/>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I36"/>
  <sheetViews>
    <sheetView workbookViewId="0"/>
  </sheetViews>
  <sheetFormatPr defaultRowHeight="15"/>
  <cols>
    <col min="1" max="1" width="34.7109375" customWidth="1"/>
    <col min="2" max="2" width="27" customWidth="1"/>
    <col min="5" max="5" width="18" customWidth="1"/>
    <col min="6" max="6" width="27" customWidth="1"/>
    <col min="8" max="8" width="18" customWidth="1"/>
    <col min="9" max="9" width="27" customWidth="1"/>
  </cols>
  <sheetData>
    <row r="1" spans="1:9">
      <c r="A1" s="93" t="s">
        <v>959</v>
      </c>
      <c r="B1" s="93"/>
      <c r="E1" s="93" t="s">
        <v>961</v>
      </c>
      <c r="F1" s="93"/>
      <c r="H1" s="93" t="s">
        <v>1036</v>
      </c>
      <c r="I1" s="93"/>
    </row>
    <row r="2" spans="1:9">
      <c r="A2" s="85" t="s">
        <v>780</v>
      </c>
      <c r="B2" s="262" t="s">
        <v>960</v>
      </c>
      <c r="E2" s="85" t="s">
        <v>780</v>
      </c>
      <c r="F2" s="262" t="s">
        <v>960</v>
      </c>
      <c r="H2" s="85" t="s">
        <v>780</v>
      </c>
      <c r="I2" s="262" t="s">
        <v>960</v>
      </c>
    </row>
    <row r="4" spans="1:9">
      <c r="A4" s="85" t="s">
        <v>756</v>
      </c>
      <c r="B4" t="s">
        <v>822</v>
      </c>
      <c r="E4" s="85" t="s">
        <v>756</v>
      </c>
      <c r="F4" t="s">
        <v>822</v>
      </c>
      <c r="H4" s="85" t="s">
        <v>756</v>
      </c>
      <c r="I4" t="s">
        <v>822</v>
      </c>
    </row>
    <row r="5" spans="1:9">
      <c r="A5" s="86" t="s">
        <v>175</v>
      </c>
      <c r="B5" s="263">
        <v>69</v>
      </c>
      <c r="E5" s="124" t="s">
        <v>681</v>
      </c>
      <c r="F5" s="125"/>
      <c r="H5" s="124" t="s">
        <v>681</v>
      </c>
      <c r="I5" s="125"/>
    </row>
    <row r="6" spans="1:9">
      <c r="A6" s="86" t="s">
        <v>188</v>
      </c>
      <c r="B6" s="263">
        <v>60</v>
      </c>
    </row>
    <row r="7" spans="1:9">
      <c r="A7" s="86" t="s">
        <v>1078</v>
      </c>
      <c r="B7" s="263">
        <v>48</v>
      </c>
    </row>
    <row r="8" spans="1:9">
      <c r="A8" s="86" t="s">
        <v>178</v>
      </c>
      <c r="B8" s="263">
        <v>26</v>
      </c>
    </row>
    <row r="9" spans="1:9">
      <c r="A9" s="86" t="s">
        <v>3</v>
      </c>
      <c r="B9" s="263">
        <v>14</v>
      </c>
    </row>
    <row r="10" spans="1:9">
      <c r="A10" s="86" t="s">
        <v>1444</v>
      </c>
      <c r="B10" s="263">
        <v>11</v>
      </c>
    </row>
    <row r="11" spans="1:9">
      <c r="A11" s="86" t="s">
        <v>157</v>
      </c>
      <c r="B11" s="263">
        <v>11</v>
      </c>
    </row>
    <row r="12" spans="1:9">
      <c r="A12" s="86" t="s">
        <v>805</v>
      </c>
      <c r="B12" s="263">
        <v>9</v>
      </c>
    </row>
    <row r="13" spans="1:9">
      <c r="A13" s="86" t="s">
        <v>802</v>
      </c>
      <c r="B13" s="263">
        <v>9</v>
      </c>
    </row>
    <row r="14" spans="1:9">
      <c r="A14" s="86" t="s">
        <v>1277</v>
      </c>
      <c r="B14" s="263">
        <v>8</v>
      </c>
    </row>
    <row r="15" spans="1:9">
      <c r="A15" s="86" t="s">
        <v>147</v>
      </c>
      <c r="B15" s="263">
        <v>6</v>
      </c>
    </row>
    <row r="16" spans="1:9">
      <c r="A16" s="86" t="s">
        <v>161</v>
      </c>
      <c r="B16" s="263">
        <v>5</v>
      </c>
    </row>
    <row r="17" spans="1:2">
      <c r="A17" s="86" t="s">
        <v>809</v>
      </c>
      <c r="B17" s="263">
        <v>5</v>
      </c>
    </row>
    <row r="18" spans="1:2">
      <c r="A18" s="86" t="s">
        <v>282</v>
      </c>
      <c r="B18" s="263">
        <v>5</v>
      </c>
    </row>
    <row r="19" spans="1:2">
      <c r="A19" s="86" t="s">
        <v>1056</v>
      </c>
      <c r="B19" s="263">
        <v>4</v>
      </c>
    </row>
    <row r="20" spans="1:2">
      <c r="A20" s="86" t="s">
        <v>149</v>
      </c>
      <c r="B20" s="263">
        <v>4</v>
      </c>
    </row>
    <row r="21" spans="1:2">
      <c r="A21" s="86" t="s">
        <v>818</v>
      </c>
      <c r="B21" s="263">
        <v>3</v>
      </c>
    </row>
    <row r="22" spans="1:2">
      <c r="A22" s="86" t="s">
        <v>796</v>
      </c>
      <c r="B22" s="263">
        <v>3</v>
      </c>
    </row>
    <row r="23" spans="1:2">
      <c r="A23" s="86" t="s">
        <v>337</v>
      </c>
      <c r="B23" s="263">
        <v>2</v>
      </c>
    </row>
    <row r="24" spans="1:2">
      <c r="A24" s="86" t="s">
        <v>1110</v>
      </c>
      <c r="B24" s="263">
        <v>2</v>
      </c>
    </row>
    <row r="25" spans="1:2">
      <c r="A25" s="86" t="s">
        <v>171</v>
      </c>
      <c r="B25" s="263">
        <v>2</v>
      </c>
    </row>
    <row r="26" spans="1:2">
      <c r="A26" s="86" t="s">
        <v>816</v>
      </c>
      <c r="B26" s="263">
        <v>2</v>
      </c>
    </row>
    <row r="27" spans="1:2">
      <c r="A27" s="86" t="s">
        <v>814</v>
      </c>
      <c r="B27" s="263">
        <v>2</v>
      </c>
    </row>
    <row r="28" spans="1:2">
      <c r="A28" s="86" t="s">
        <v>909</v>
      </c>
      <c r="B28" s="263">
        <v>2</v>
      </c>
    </row>
    <row r="29" spans="1:2">
      <c r="A29" s="86" t="s">
        <v>1101</v>
      </c>
      <c r="B29" s="263">
        <v>1</v>
      </c>
    </row>
    <row r="30" spans="1:2">
      <c r="A30" s="86" t="s">
        <v>794</v>
      </c>
      <c r="B30" s="263">
        <v>1</v>
      </c>
    </row>
    <row r="31" spans="1:2">
      <c r="A31" s="86" t="s">
        <v>649</v>
      </c>
      <c r="B31" s="263">
        <v>1</v>
      </c>
    </row>
    <row r="32" spans="1:2">
      <c r="A32" s="86" t="s">
        <v>291</v>
      </c>
      <c r="B32" s="263">
        <v>1</v>
      </c>
    </row>
    <row r="33" spans="1:2">
      <c r="A33" s="86" t="s">
        <v>1452</v>
      </c>
      <c r="B33" s="263">
        <v>1</v>
      </c>
    </row>
    <row r="34" spans="1:2">
      <c r="A34" s="86" t="s">
        <v>905</v>
      </c>
      <c r="B34" s="263">
        <v>1</v>
      </c>
    </row>
    <row r="35" spans="1:2">
      <c r="A35" s="86" t="s">
        <v>1299</v>
      </c>
      <c r="B35" s="263">
        <v>1</v>
      </c>
    </row>
    <row r="36" spans="1:2">
      <c r="A36" s="124" t="s">
        <v>681</v>
      </c>
      <c r="B36" s="125">
        <v>319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B1:L36"/>
  <sheetViews>
    <sheetView showGridLines="0" topLeftCell="A10" zoomScale="85" zoomScaleNormal="85" workbookViewId="0">
      <selection activeCell="B34" sqref="B34"/>
    </sheetView>
  </sheetViews>
  <sheetFormatPr defaultRowHeight="15"/>
  <cols>
    <col min="1" max="1" width="1.7109375" customWidth="1"/>
    <col min="2" max="2" width="37" customWidth="1"/>
    <col min="3" max="3" width="15.140625" style="142" customWidth="1"/>
    <col min="4" max="4" width="0.7109375" customWidth="1"/>
    <col min="5" max="6" width="17.5703125" customWidth="1"/>
    <col min="7" max="7" width="0.7109375" customWidth="1"/>
    <col min="8" max="8" width="17.5703125" customWidth="1"/>
    <col min="9" max="9" width="17.5703125" style="142" customWidth="1"/>
    <col min="10" max="10" width="0.7109375" customWidth="1"/>
    <col min="11" max="11" width="17.5703125" customWidth="1"/>
    <col min="12" max="12" width="17.5703125" style="142" customWidth="1"/>
    <col min="13" max="15" width="10.28515625" customWidth="1"/>
    <col min="16" max="16" width="7" customWidth="1"/>
    <col min="17" max="17" width="10.7109375" bestFit="1" customWidth="1"/>
  </cols>
  <sheetData>
    <row r="1" spans="2:12" ht="6" customHeight="1"/>
    <row r="2" spans="2:12" s="166" customFormat="1" ht="21" customHeight="1">
      <c r="B2" s="167"/>
      <c r="C2" s="167"/>
      <c r="D2"/>
      <c r="E2" s="287" t="s">
        <v>1037</v>
      </c>
      <c r="F2" s="288"/>
      <c r="G2" s="168"/>
      <c r="H2" s="287" t="s">
        <v>565</v>
      </c>
      <c r="I2" s="288"/>
      <c r="J2" s="168"/>
      <c r="K2" s="287" t="s">
        <v>985</v>
      </c>
      <c r="L2" s="288"/>
    </row>
    <row r="3" spans="2:12" s="170" customFormat="1">
      <c r="B3" s="171" t="s">
        <v>957</v>
      </c>
      <c r="C3" s="171" t="s">
        <v>958</v>
      </c>
      <c r="D3" s="169"/>
      <c r="E3" s="171" t="s">
        <v>1035</v>
      </c>
      <c r="F3" s="171" t="s">
        <v>972</v>
      </c>
      <c r="G3" s="169"/>
      <c r="H3" s="171" t="s">
        <v>1035</v>
      </c>
      <c r="I3" s="171" t="s">
        <v>972</v>
      </c>
      <c r="J3" s="169"/>
      <c r="K3" s="171" t="s">
        <v>1035</v>
      </c>
      <c r="L3" s="171" t="s">
        <v>972</v>
      </c>
    </row>
    <row r="4" spans="2:12">
      <c r="B4" s="143" t="s">
        <v>818</v>
      </c>
      <c r="C4" s="147">
        <v>3</v>
      </c>
      <c r="E4" s="21">
        <f>IFERROR(VLOOKUP(B4,'Anexo A - DIN TODOS OS SERVIÇOS'!A:B,2,0),"0")</f>
        <v>3</v>
      </c>
      <c r="F4" s="144">
        <f>E4/$C$35</f>
        <v>9.4043887147335428E-3</v>
      </c>
      <c r="H4" s="21" t="str">
        <f>IFERROR(VLOOKUP(B4,'Anexo A - DIN TODOS OS SERVIÇOS'!E:F,2,0),"0")</f>
        <v>0</v>
      </c>
      <c r="I4" s="144">
        <f>H4/$C$35</f>
        <v>0</v>
      </c>
      <c r="K4" s="21" t="str">
        <f>IFERROR(VLOOKUP(B4,'Anexo A - DIN TODOS OS SERVIÇOS'!H:I,2,0),"0")</f>
        <v>0</v>
      </c>
      <c r="L4" s="144">
        <f>K4/$C$35</f>
        <v>0</v>
      </c>
    </row>
    <row r="5" spans="2:12">
      <c r="B5" s="143" t="s">
        <v>805</v>
      </c>
      <c r="C5" s="147">
        <v>9</v>
      </c>
      <c r="E5" s="21">
        <f>IFERROR(VLOOKUP(B5,'Anexo A - DIN TODOS OS SERVIÇOS'!A:B,2,0),"0")</f>
        <v>9</v>
      </c>
      <c r="F5" s="144">
        <f t="shared" ref="F5:F35" si="0">E5/$C$35</f>
        <v>2.8213166144200628E-2</v>
      </c>
      <c r="H5" s="21" t="str">
        <f>IFERROR(VLOOKUP(B5,'Anexo A - DIN TODOS OS SERVIÇOS'!E:F,2,0),"0")</f>
        <v>0</v>
      </c>
      <c r="I5" s="144">
        <f t="shared" ref="I5:I35" si="1">H5/$C$35</f>
        <v>0</v>
      </c>
      <c r="K5" s="21" t="str">
        <f>IFERROR(VLOOKUP(B5,'Anexo A - DIN TODOS OS SERVIÇOS'!H:I,2,0),"0")</f>
        <v>0</v>
      </c>
      <c r="L5" s="144">
        <f t="shared" ref="L5:L35" si="2">K5/$C$35</f>
        <v>0</v>
      </c>
    </row>
    <row r="6" spans="2:12">
      <c r="B6" s="143" t="s">
        <v>3</v>
      </c>
      <c r="C6" s="147">
        <v>14</v>
      </c>
      <c r="E6" s="21">
        <f>IFERROR(VLOOKUP(B6,'Anexo A - DIN TODOS OS SERVIÇOS'!A:B,2,0),"0")</f>
        <v>14</v>
      </c>
      <c r="F6" s="144">
        <f t="shared" si="0"/>
        <v>4.3887147335423198E-2</v>
      </c>
      <c r="H6" s="21" t="str">
        <f>IFERROR(VLOOKUP(B6,'Anexo A - DIN TODOS OS SERVIÇOS'!E:F,2,0),"0")</f>
        <v>0</v>
      </c>
      <c r="I6" s="144">
        <f t="shared" si="1"/>
        <v>0</v>
      </c>
      <c r="K6" s="21" t="str">
        <f>IFERROR(VLOOKUP(B6,'Anexo A - DIN TODOS OS SERVIÇOS'!H:I,2,0),"0")</f>
        <v>0</v>
      </c>
      <c r="L6" s="144">
        <f t="shared" si="2"/>
        <v>0</v>
      </c>
    </row>
    <row r="7" spans="2:12">
      <c r="B7" s="143" t="s">
        <v>161</v>
      </c>
      <c r="C7" s="147">
        <v>5</v>
      </c>
      <c r="E7" s="21">
        <f>IFERROR(VLOOKUP(B7,'Anexo A - DIN TODOS OS SERVIÇOS'!A:B,2,0),"0")</f>
        <v>5</v>
      </c>
      <c r="F7" s="144">
        <f t="shared" si="0"/>
        <v>1.5673981191222569E-2</v>
      </c>
      <c r="H7" s="21" t="str">
        <f>IFERROR(VLOOKUP(B7,'Anexo A - DIN TODOS OS SERVIÇOS'!E:F,2,0),"0")</f>
        <v>0</v>
      </c>
      <c r="I7" s="144">
        <f t="shared" si="1"/>
        <v>0</v>
      </c>
      <c r="K7" s="21" t="str">
        <f>IFERROR(VLOOKUP(B7,'Anexo A - DIN TODOS OS SERVIÇOS'!H:I,2,0),"0")</f>
        <v>0</v>
      </c>
      <c r="L7" s="144">
        <f t="shared" si="2"/>
        <v>0</v>
      </c>
    </row>
    <row r="8" spans="2:12">
      <c r="B8" s="143" t="s">
        <v>649</v>
      </c>
      <c r="C8" s="147">
        <v>1</v>
      </c>
      <c r="E8" s="21">
        <f>IFERROR(VLOOKUP(B8,'Anexo A - DIN TODOS OS SERVIÇOS'!A:B,2,0),"0")</f>
        <v>1</v>
      </c>
      <c r="F8" s="144">
        <f t="shared" si="0"/>
        <v>3.134796238244514E-3</v>
      </c>
      <c r="H8" s="21" t="str">
        <f>IFERROR(VLOOKUP(B8,'Anexo A - DIN TODOS OS SERVIÇOS'!E:F,2,0),"0")</f>
        <v>0</v>
      </c>
      <c r="I8" s="144">
        <f t="shared" si="1"/>
        <v>0</v>
      </c>
      <c r="K8" s="21" t="str">
        <f>IFERROR(VLOOKUP(B8,'Anexo A - DIN TODOS OS SERVIÇOS'!H:I,2,0),"0")</f>
        <v>0</v>
      </c>
      <c r="L8" s="144">
        <f t="shared" si="2"/>
        <v>0</v>
      </c>
    </row>
    <row r="9" spans="2:12">
      <c r="B9" s="143" t="s">
        <v>796</v>
      </c>
      <c r="C9" s="147">
        <v>3</v>
      </c>
      <c r="E9" s="21">
        <f>IFERROR(VLOOKUP(B9,'Anexo A - DIN TODOS OS SERVIÇOS'!A:B,2,0),"0")</f>
        <v>3</v>
      </c>
      <c r="F9" s="144">
        <f t="shared" si="0"/>
        <v>9.4043887147335428E-3</v>
      </c>
      <c r="H9" s="21" t="str">
        <f>IFERROR(VLOOKUP(B9,'Anexo A - DIN TODOS OS SERVIÇOS'!E:F,2,0),"0")</f>
        <v>0</v>
      </c>
      <c r="I9" s="144">
        <f t="shared" si="1"/>
        <v>0</v>
      </c>
      <c r="K9" s="21" t="str">
        <f>IFERROR(VLOOKUP(B9,'Anexo A - DIN TODOS OS SERVIÇOS'!H:I,2,0),"0")</f>
        <v>0</v>
      </c>
      <c r="L9" s="144">
        <f t="shared" si="2"/>
        <v>0</v>
      </c>
    </row>
    <row r="10" spans="2:12">
      <c r="B10" s="143" t="s">
        <v>157</v>
      </c>
      <c r="C10" s="147">
        <v>11</v>
      </c>
      <c r="E10" s="21">
        <f>IFERROR(VLOOKUP(B10,'Anexo A - DIN TODOS OS SERVIÇOS'!A:B,2,0),"0")</f>
        <v>11</v>
      </c>
      <c r="F10" s="144">
        <f t="shared" si="0"/>
        <v>3.4482758620689655E-2</v>
      </c>
      <c r="H10" s="21" t="str">
        <f>IFERROR(VLOOKUP(B10,'Anexo A - DIN TODOS OS SERVIÇOS'!E:F,2,0),"0")</f>
        <v>0</v>
      </c>
      <c r="I10" s="144">
        <f t="shared" si="1"/>
        <v>0</v>
      </c>
      <c r="K10" s="21" t="str">
        <f>IFERROR(VLOOKUP(B10,'Anexo A - DIN TODOS OS SERVIÇOS'!H:I,2,0),"0")</f>
        <v>0</v>
      </c>
      <c r="L10" s="144">
        <f t="shared" si="2"/>
        <v>0</v>
      </c>
    </row>
    <row r="11" spans="2:12">
      <c r="B11" s="143" t="s">
        <v>809</v>
      </c>
      <c r="C11" s="147">
        <v>5</v>
      </c>
      <c r="E11" s="21">
        <f>IFERROR(VLOOKUP(B11,'Anexo A - DIN TODOS OS SERVIÇOS'!A:B,2,0),"0")</f>
        <v>5</v>
      </c>
      <c r="F11" s="144">
        <f t="shared" si="0"/>
        <v>1.5673981191222569E-2</v>
      </c>
      <c r="H11" s="21" t="str">
        <f>IFERROR(VLOOKUP(B11,'Anexo A - DIN TODOS OS SERVIÇOS'!E:F,2,0),"0")</f>
        <v>0</v>
      </c>
      <c r="I11" s="144">
        <f t="shared" si="1"/>
        <v>0</v>
      </c>
      <c r="K11" s="21" t="str">
        <f>IFERROR(VLOOKUP(B11,'Anexo A - DIN TODOS OS SERVIÇOS'!H:I,2,0),"0")</f>
        <v>0</v>
      </c>
      <c r="L11" s="144">
        <f t="shared" si="2"/>
        <v>0</v>
      </c>
    </row>
    <row r="12" spans="2:12">
      <c r="B12" s="143" t="s">
        <v>171</v>
      </c>
      <c r="C12" s="147">
        <v>2</v>
      </c>
      <c r="E12" s="21">
        <f>IFERROR(VLOOKUP(B12,'Anexo A - DIN TODOS OS SERVIÇOS'!A:B,2,0),"0")</f>
        <v>2</v>
      </c>
      <c r="F12" s="144">
        <f t="shared" si="0"/>
        <v>6.269592476489028E-3</v>
      </c>
      <c r="H12" s="21" t="str">
        <f>IFERROR(VLOOKUP(B12,'Anexo A - DIN TODOS OS SERVIÇOS'!E:F,2,0),"0")</f>
        <v>0</v>
      </c>
      <c r="I12" s="144">
        <f t="shared" si="1"/>
        <v>0</v>
      </c>
      <c r="K12" s="21" t="str">
        <f>IFERROR(VLOOKUP(B12,'Anexo A - DIN TODOS OS SERVIÇOS'!H:I,2,0),"0")</f>
        <v>0</v>
      </c>
      <c r="L12" s="144">
        <f t="shared" si="2"/>
        <v>0</v>
      </c>
    </row>
    <row r="13" spans="2:12">
      <c r="B13" s="143" t="s">
        <v>175</v>
      </c>
      <c r="C13" s="147">
        <v>69</v>
      </c>
      <c r="E13" s="21">
        <f>IFERROR(VLOOKUP(B13,'Anexo A - DIN TODOS OS SERVIÇOS'!A:B,2,0),"0")</f>
        <v>69</v>
      </c>
      <c r="F13" s="144">
        <f t="shared" si="0"/>
        <v>0.21630094043887146</v>
      </c>
      <c r="H13" s="21" t="str">
        <f>IFERROR(VLOOKUP(B13,'Anexo A - DIN TODOS OS SERVIÇOS'!E:F,2,0),"0")</f>
        <v>0</v>
      </c>
      <c r="I13" s="144">
        <f t="shared" si="1"/>
        <v>0</v>
      </c>
      <c r="K13" s="21" t="str">
        <f>IFERROR(VLOOKUP(B13,'Anexo A - DIN TODOS OS SERVIÇOS'!H:I,2,0),"0")</f>
        <v>0</v>
      </c>
      <c r="L13" s="144">
        <f t="shared" si="2"/>
        <v>0</v>
      </c>
    </row>
    <row r="14" spans="2:12">
      <c r="B14" s="143" t="s">
        <v>794</v>
      </c>
      <c r="C14" s="147">
        <v>1</v>
      </c>
      <c r="E14" s="21">
        <f>IFERROR(VLOOKUP(B14,'Anexo A - DIN TODOS OS SERVIÇOS'!A:B,2,0),"0")</f>
        <v>1</v>
      </c>
      <c r="F14" s="144">
        <f t="shared" si="0"/>
        <v>3.134796238244514E-3</v>
      </c>
      <c r="H14" s="21" t="str">
        <f>IFERROR(VLOOKUP(B14,'Anexo A - DIN TODOS OS SERVIÇOS'!E:F,2,0),"0")</f>
        <v>0</v>
      </c>
      <c r="I14" s="144">
        <f t="shared" si="1"/>
        <v>0</v>
      </c>
      <c r="K14" s="21" t="str">
        <f>IFERROR(VLOOKUP(B14,'Anexo A - DIN TODOS OS SERVIÇOS'!H:I,2,0),"0")</f>
        <v>0</v>
      </c>
      <c r="L14" s="144">
        <f t="shared" si="2"/>
        <v>0</v>
      </c>
    </row>
    <row r="15" spans="2:12">
      <c r="B15" s="143" t="s">
        <v>149</v>
      </c>
      <c r="C15" s="147">
        <v>4</v>
      </c>
      <c r="E15" s="21">
        <f>IFERROR(VLOOKUP(B15,'Anexo A - DIN TODOS OS SERVIÇOS'!A:B,2,0),"0")</f>
        <v>4</v>
      </c>
      <c r="F15" s="144">
        <f t="shared" si="0"/>
        <v>1.2539184952978056E-2</v>
      </c>
      <c r="H15" s="21" t="str">
        <f>IFERROR(VLOOKUP(B15,'Anexo A - DIN TODOS OS SERVIÇOS'!E:F,2,0),"0")</f>
        <v>0</v>
      </c>
      <c r="I15" s="144">
        <f t="shared" si="1"/>
        <v>0</v>
      </c>
      <c r="K15" s="21" t="str">
        <f>IFERROR(VLOOKUP(B15,'Anexo A - DIN TODOS OS SERVIÇOS'!H:I,2,0),"0")</f>
        <v>0</v>
      </c>
      <c r="L15" s="144">
        <f t="shared" si="2"/>
        <v>0</v>
      </c>
    </row>
    <row r="16" spans="2:12">
      <c r="B16" s="143" t="s">
        <v>178</v>
      </c>
      <c r="C16" s="147">
        <v>26</v>
      </c>
      <c r="E16" s="21">
        <f>IFERROR(VLOOKUP(B16,'Anexo A - DIN TODOS OS SERVIÇOS'!A:B,2,0),"0")</f>
        <v>26</v>
      </c>
      <c r="F16" s="144">
        <f t="shared" si="0"/>
        <v>8.1504702194357362E-2</v>
      </c>
      <c r="H16" s="21" t="str">
        <f>IFERROR(VLOOKUP(B16,'Anexo A - DIN TODOS OS SERVIÇOS'!E:F,2,0),"0")</f>
        <v>0</v>
      </c>
      <c r="I16" s="144">
        <f t="shared" si="1"/>
        <v>0</v>
      </c>
      <c r="K16" s="21" t="str">
        <f>IFERROR(VLOOKUP(B16,'Anexo A - DIN TODOS OS SERVIÇOS'!H:I,2,0),"0")</f>
        <v>0</v>
      </c>
      <c r="L16" s="144">
        <f t="shared" si="2"/>
        <v>0</v>
      </c>
    </row>
    <row r="17" spans="2:12">
      <c r="B17" s="143" t="s">
        <v>337</v>
      </c>
      <c r="C17" s="147">
        <v>2</v>
      </c>
      <c r="E17" s="21">
        <f>IFERROR(VLOOKUP(B17,'Anexo A - DIN TODOS OS SERVIÇOS'!A:B,2,0),"0")</f>
        <v>2</v>
      </c>
      <c r="F17" s="144">
        <f t="shared" si="0"/>
        <v>6.269592476489028E-3</v>
      </c>
      <c r="H17" s="21" t="str">
        <f>IFERROR(VLOOKUP(B17,'Anexo A - DIN TODOS OS SERVIÇOS'!E:F,2,0),"0")</f>
        <v>0</v>
      </c>
      <c r="I17" s="144">
        <f t="shared" si="1"/>
        <v>0</v>
      </c>
      <c r="K17" s="21" t="str">
        <f>IFERROR(VLOOKUP(B17,'Anexo A - DIN TODOS OS SERVIÇOS'!H:I,2,0),"0")</f>
        <v>0</v>
      </c>
      <c r="L17" s="144">
        <f t="shared" si="2"/>
        <v>0</v>
      </c>
    </row>
    <row r="18" spans="2:12">
      <c r="B18" s="143" t="s">
        <v>802</v>
      </c>
      <c r="C18" s="147">
        <v>9</v>
      </c>
      <c r="E18" s="21">
        <f>IFERROR(VLOOKUP(B18,'Anexo A - DIN TODOS OS SERVIÇOS'!A:B,2,0),"0")</f>
        <v>9</v>
      </c>
      <c r="F18" s="144">
        <f t="shared" si="0"/>
        <v>2.8213166144200628E-2</v>
      </c>
      <c r="H18" s="21" t="str">
        <f>IFERROR(VLOOKUP(B18,'Anexo A - DIN TODOS OS SERVIÇOS'!E:F,2,0),"0")</f>
        <v>0</v>
      </c>
      <c r="I18" s="144">
        <f t="shared" si="1"/>
        <v>0</v>
      </c>
      <c r="K18" s="21" t="str">
        <f>IFERROR(VLOOKUP(B18,'Anexo A - DIN TODOS OS SERVIÇOS'!H:I,2,0),"0")</f>
        <v>0</v>
      </c>
      <c r="L18" s="144">
        <f t="shared" si="2"/>
        <v>0</v>
      </c>
    </row>
    <row r="19" spans="2:12">
      <c r="B19" s="143" t="s">
        <v>147</v>
      </c>
      <c r="C19" s="147">
        <v>6</v>
      </c>
      <c r="E19" s="21">
        <f>IFERROR(VLOOKUP(B19,'Anexo A - DIN TODOS OS SERVIÇOS'!A:B,2,0),"0")</f>
        <v>6</v>
      </c>
      <c r="F19" s="144">
        <f t="shared" si="0"/>
        <v>1.8808777429467086E-2</v>
      </c>
      <c r="H19" s="21" t="str">
        <f>IFERROR(VLOOKUP(B19,'Anexo A - DIN TODOS OS SERVIÇOS'!E:F,2,0),"0")</f>
        <v>0</v>
      </c>
      <c r="I19" s="144">
        <f t="shared" si="1"/>
        <v>0</v>
      </c>
      <c r="K19" s="21" t="str">
        <f>IFERROR(VLOOKUP(B19,'Anexo A - DIN TODOS OS SERVIÇOS'!H:I,2,0),"0")</f>
        <v>0</v>
      </c>
      <c r="L19" s="144">
        <f t="shared" si="2"/>
        <v>0</v>
      </c>
    </row>
    <row r="20" spans="2:12">
      <c r="B20" s="143" t="s">
        <v>814</v>
      </c>
      <c r="C20" s="147">
        <v>2</v>
      </c>
      <c r="E20" s="21">
        <f>IFERROR(VLOOKUP(B20,'Anexo A - DIN TODOS OS SERVIÇOS'!A:B,2,0),"0")</f>
        <v>2</v>
      </c>
      <c r="F20" s="144">
        <f t="shared" si="0"/>
        <v>6.269592476489028E-3</v>
      </c>
      <c r="H20" s="21" t="str">
        <f>IFERROR(VLOOKUP(B20,'Anexo A - DIN TODOS OS SERVIÇOS'!E:F,2,0),"0")</f>
        <v>0</v>
      </c>
      <c r="I20" s="144">
        <f t="shared" si="1"/>
        <v>0</v>
      </c>
      <c r="K20" s="21" t="str">
        <f>IFERROR(VLOOKUP(B20,'Anexo A - DIN TODOS OS SERVIÇOS'!H:I,2,0),"0")</f>
        <v>0</v>
      </c>
      <c r="L20" s="144">
        <f t="shared" si="2"/>
        <v>0</v>
      </c>
    </row>
    <row r="21" spans="2:12">
      <c r="B21" s="143" t="s">
        <v>816</v>
      </c>
      <c r="C21" s="147">
        <v>2</v>
      </c>
      <c r="E21" s="21">
        <f>IFERROR(VLOOKUP(B21,'Anexo A - DIN TODOS OS SERVIÇOS'!A:B,2,0),"0")</f>
        <v>2</v>
      </c>
      <c r="F21" s="144">
        <f t="shared" si="0"/>
        <v>6.269592476489028E-3</v>
      </c>
      <c r="H21" s="21" t="str">
        <f>IFERROR(VLOOKUP(B21,'Anexo A - DIN TODOS OS SERVIÇOS'!E:F,2,0),"0")</f>
        <v>0</v>
      </c>
      <c r="I21" s="144">
        <f t="shared" si="1"/>
        <v>0</v>
      </c>
      <c r="K21" s="21" t="str">
        <f>IFERROR(VLOOKUP(B21,'Anexo A - DIN TODOS OS SERVIÇOS'!H:I,2,0),"0")</f>
        <v>0</v>
      </c>
      <c r="L21" s="144">
        <f t="shared" si="2"/>
        <v>0</v>
      </c>
    </row>
    <row r="22" spans="2:12">
      <c r="B22" s="143" t="s">
        <v>188</v>
      </c>
      <c r="C22" s="147">
        <v>60</v>
      </c>
      <c r="E22" s="21">
        <f>IFERROR(VLOOKUP(B22,'Anexo A - DIN TODOS OS SERVIÇOS'!A:B,2,0),"0")</f>
        <v>60</v>
      </c>
      <c r="F22" s="144">
        <f t="shared" si="0"/>
        <v>0.18808777429467086</v>
      </c>
      <c r="H22" s="21" t="str">
        <f>IFERROR(VLOOKUP(B22,'Anexo A - DIN TODOS OS SERVIÇOS'!E:F,2,0),"0")</f>
        <v>0</v>
      </c>
      <c r="I22" s="144">
        <f t="shared" si="1"/>
        <v>0</v>
      </c>
      <c r="K22" s="21" t="str">
        <f>IFERROR(VLOOKUP(B22,'Anexo A - DIN TODOS OS SERVIÇOS'!H:I,2,0),"0")</f>
        <v>0</v>
      </c>
      <c r="L22" s="144">
        <f t="shared" si="2"/>
        <v>0</v>
      </c>
    </row>
    <row r="23" spans="2:12">
      <c r="B23" s="143" t="s">
        <v>905</v>
      </c>
      <c r="C23" s="147">
        <v>1</v>
      </c>
      <c r="E23" s="21">
        <f>IFERROR(VLOOKUP(B23,'Anexo A - DIN TODOS OS SERVIÇOS'!A:B,2,0),"0")</f>
        <v>1</v>
      </c>
      <c r="F23" s="144">
        <f t="shared" si="0"/>
        <v>3.134796238244514E-3</v>
      </c>
      <c r="H23" s="21" t="str">
        <f>IFERROR(VLOOKUP(B23,'Anexo A - DIN TODOS OS SERVIÇOS'!E:F,2,0),"0")</f>
        <v>0</v>
      </c>
      <c r="I23" s="144">
        <f t="shared" si="1"/>
        <v>0</v>
      </c>
      <c r="K23" s="21" t="str">
        <f>IFERROR(VLOOKUP(B23,'Anexo A - DIN TODOS OS SERVIÇOS'!H:I,2,0),"0")</f>
        <v>0</v>
      </c>
      <c r="L23" s="144">
        <f t="shared" si="2"/>
        <v>0</v>
      </c>
    </row>
    <row r="24" spans="2:12">
      <c r="B24" s="143" t="s">
        <v>909</v>
      </c>
      <c r="C24" s="147">
        <v>2</v>
      </c>
      <c r="E24" s="21">
        <f>IFERROR(VLOOKUP(B24,'Anexo A - DIN TODOS OS SERVIÇOS'!A:B,2,0),"0")</f>
        <v>2</v>
      </c>
      <c r="F24" s="144">
        <f t="shared" si="0"/>
        <v>6.269592476489028E-3</v>
      </c>
      <c r="H24" s="21" t="str">
        <f>IFERROR(VLOOKUP(B24,'Anexo A - DIN TODOS OS SERVIÇOS'!E:F,2,0),"0")</f>
        <v>0</v>
      </c>
      <c r="I24" s="144">
        <f t="shared" si="1"/>
        <v>0</v>
      </c>
      <c r="K24" s="21" t="str">
        <f>IFERROR(VLOOKUP(B24,'Anexo A - DIN TODOS OS SERVIÇOS'!H:I,2,0),"0")</f>
        <v>0</v>
      </c>
      <c r="L24" s="144">
        <f t="shared" si="2"/>
        <v>0</v>
      </c>
    </row>
    <row r="25" spans="2:12">
      <c r="B25" s="143" t="s">
        <v>1056</v>
      </c>
      <c r="C25" s="147">
        <v>4</v>
      </c>
      <c r="E25" s="21">
        <f>IFERROR(VLOOKUP(B25,'Anexo A - DIN TODOS OS SERVIÇOS'!A:B,2,0),"0")</f>
        <v>4</v>
      </c>
      <c r="F25" s="144">
        <f t="shared" si="0"/>
        <v>1.2539184952978056E-2</v>
      </c>
      <c r="H25" s="21" t="str">
        <f>IFERROR(VLOOKUP(B25,'Anexo A - DIN TODOS OS SERVIÇOS'!E:F,2,0),"0")</f>
        <v>0</v>
      </c>
      <c r="I25" s="144">
        <f t="shared" si="1"/>
        <v>0</v>
      </c>
      <c r="K25" s="21" t="str">
        <f>IFERROR(VLOOKUP(B25,'Anexo A - DIN TODOS OS SERVIÇOS'!H:I,2,0),"0")</f>
        <v>0</v>
      </c>
      <c r="L25" s="144">
        <f t="shared" si="2"/>
        <v>0</v>
      </c>
    </row>
    <row r="26" spans="2:12">
      <c r="B26" s="143" t="s">
        <v>1101</v>
      </c>
      <c r="C26" s="147">
        <v>1</v>
      </c>
      <c r="E26" s="21">
        <f>IFERROR(VLOOKUP(B26,'Anexo A - DIN TODOS OS SERVIÇOS'!A:B,2,0),"0")</f>
        <v>1</v>
      </c>
      <c r="F26" s="144">
        <f t="shared" si="0"/>
        <v>3.134796238244514E-3</v>
      </c>
      <c r="H26" s="21" t="str">
        <f>IFERROR(VLOOKUP(B26,'Anexo A - DIN TODOS OS SERVIÇOS'!E:F,2,0),"0")</f>
        <v>0</v>
      </c>
      <c r="I26" s="144">
        <f t="shared" si="1"/>
        <v>0</v>
      </c>
      <c r="K26" s="21" t="str">
        <f>IFERROR(VLOOKUP(B26,'Anexo A - DIN TODOS OS SERVIÇOS'!H:I,2,0),"0")</f>
        <v>0</v>
      </c>
      <c r="L26" s="144">
        <f t="shared" si="2"/>
        <v>0</v>
      </c>
    </row>
    <row r="27" spans="2:12">
      <c r="B27" s="143" t="s">
        <v>1110</v>
      </c>
      <c r="C27" s="147">
        <v>2</v>
      </c>
      <c r="E27" s="21">
        <f>IFERROR(VLOOKUP(B27,'Anexo A - DIN TODOS OS SERVIÇOS'!A:B,2,0),"0")</f>
        <v>2</v>
      </c>
      <c r="F27" s="144">
        <f t="shared" si="0"/>
        <v>6.269592476489028E-3</v>
      </c>
      <c r="H27" s="21" t="str">
        <f>IFERROR(VLOOKUP(B27,'Anexo A - DIN TODOS OS SERVIÇOS'!E:F,2,0),"0")</f>
        <v>0</v>
      </c>
      <c r="I27" s="144">
        <f t="shared" si="1"/>
        <v>0</v>
      </c>
      <c r="K27" s="21" t="str">
        <f>IFERROR(VLOOKUP(B27,'Anexo A - DIN TODOS OS SERVIÇOS'!H:I,2,0),"0")</f>
        <v>0</v>
      </c>
      <c r="L27" s="144">
        <f t="shared" si="2"/>
        <v>0</v>
      </c>
    </row>
    <row r="28" spans="2:12">
      <c r="B28" s="143" t="s">
        <v>1277</v>
      </c>
      <c r="C28" s="147">
        <v>8</v>
      </c>
      <c r="E28" s="21">
        <f>IFERROR(VLOOKUP(B28,'Anexo A - DIN TODOS OS SERVIÇOS'!A:B,2,0),"0")</f>
        <v>8</v>
      </c>
      <c r="F28" s="144">
        <f t="shared" si="0"/>
        <v>2.5078369905956112E-2</v>
      </c>
      <c r="H28" s="21" t="str">
        <f>IFERROR(VLOOKUP(B28,'Anexo A - DIN TODOS OS SERVIÇOS'!E:F,2,0),"0")</f>
        <v>0</v>
      </c>
      <c r="I28" s="144">
        <f t="shared" si="1"/>
        <v>0</v>
      </c>
      <c r="K28" s="21" t="str">
        <f>IFERROR(VLOOKUP(B28,'Anexo A - DIN TODOS OS SERVIÇOS'!H:I,2,0),"0")</f>
        <v>0</v>
      </c>
      <c r="L28" s="144">
        <f t="shared" si="2"/>
        <v>0</v>
      </c>
    </row>
    <row r="29" spans="2:12">
      <c r="B29" s="143" t="s">
        <v>291</v>
      </c>
      <c r="C29" s="147">
        <v>1</v>
      </c>
      <c r="E29" s="21">
        <f>IFERROR(VLOOKUP(B29,'Anexo A - DIN TODOS OS SERVIÇOS'!A:B,2,0),"0")</f>
        <v>1</v>
      </c>
      <c r="F29" s="144">
        <f t="shared" si="0"/>
        <v>3.134796238244514E-3</v>
      </c>
      <c r="H29" s="21" t="str">
        <f>IFERROR(VLOOKUP(B29,'Anexo A - DIN TODOS OS SERVIÇOS'!E:F,2,0),"0")</f>
        <v>0</v>
      </c>
      <c r="I29" s="144">
        <f t="shared" si="1"/>
        <v>0</v>
      </c>
      <c r="K29" s="21" t="str">
        <f>IFERROR(VLOOKUP(B29,'Anexo A - DIN TODOS OS SERVIÇOS'!H:I,2,0),"0")</f>
        <v>0</v>
      </c>
      <c r="L29" s="144">
        <f t="shared" si="2"/>
        <v>0</v>
      </c>
    </row>
    <row r="30" spans="2:12">
      <c r="B30" s="143" t="s">
        <v>282</v>
      </c>
      <c r="C30" s="147">
        <v>5</v>
      </c>
      <c r="E30" s="21">
        <f>IFERROR(VLOOKUP(B30,'Anexo A - DIN TODOS OS SERVIÇOS'!A:B,2,0),"0")</f>
        <v>5</v>
      </c>
      <c r="F30" s="144">
        <f t="shared" si="0"/>
        <v>1.5673981191222569E-2</v>
      </c>
      <c r="H30" s="21" t="str">
        <f>IFERROR(VLOOKUP(B30,'Anexo A - DIN TODOS OS SERVIÇOS'!E:F,2,0),"0")</f>
        <v>0</v>
      </c>
      <c r="I30" s="144">
        <f t="shared" si="1"/>
        <v>0</v>
      </c>
      <c r="K30" s="21" t="str">
        <f>IFERROR(VLOOKUP(B30,'Anexo A - DIN TODOS OS SERVIÇOS'!H:I,2,0),"0")</f>
        <v>0</v>
      </c>
      <c r="L30" s="144">
        <f t="shared" si="2"/>
        <v>0</v>
      </c>
    </row>
    <row r="31" spans="2:12">
      <c r="B31" s="143" t="s">
        <v>1299</v>
      </c>
      <c r="C31" s="147">
        <v>1</v>
      </c>
      <c r="E31" s="21">
        <f>IFERROR(VLOOKUP(B31,'Anexo A - DIN TODOS OS SERVIÇOS'!A:B,2,0),"0")</f>
        <v>1</v>
      </c>
      <c r="F31" s="144">
        <f t="shared" si="0"/>
        <v>3.134796238244514E-3</v>
      </c>
      <c r="H31" s="21" t="str">
        <f>IFERROR(VLOOKUP(B31,'Anexo A - DIN TODOS OS SERVIÇOS'!E:F,2,0),"0")</f>
        <v>0</v>
      </c>
      <c r="I31" s="144">
        <f t="shared" si="1"/>
        <v>0</v>
      </c>
      <c r="K31" s="21" t="str">
        <f>IFERROR(VLOOKUP(B31,'Anexo A - DIN TODOS OS SERVIÇOS'!H:I,2,0),"0")</f>
        <v>0</v>
      </c>
      <c r="L31" s="144">
        <f t="shared" si="2"/>
        <v>0</v>
      </c>
    </row>
    <row r="32" spans="2:12">
      <c r="B32" s="143" t="s">
        <v>1078</v>
      </c>
      <c r="C32" s="147">
        <v>48</v>
      </c>
      <c r="E32" s="21">
        <f>IFERROR(VLOOKUP(B32,'Anexo A - DIN TODOS OS SERVIÇOS'!A:B,2,0),"0")</f>
        <v>48</v>
      </c>
      <c r="F32" s="144">
        <f t="shared" si="0"/>
        <v>0.15047021943573669</v>
      </c>
      <c r="H32" s="21" t="str">
        <f>IFERROR(VLOOKUP(B32,'Anexo A - DIN TODOS OS SERVIÇOS'!E:F,2,0),"0")</f>
        <v>0</v>
      </c>
      <c r="I32" s="144">
        <f t="shared" si="1"/>
        <v>0</v>
      </c>
      <c r="K32" s="21" t="str">
        <f>IFERROR(VLOOKUP(B32,'Anexo A - DIN TODOS OS SERVIÇOS'!H:I,2,0),"0")</f>
        <v>0</v>
      </c>
      <c r="L32" s="144">
        <f t="shared" si="2"/>
        <v>0</v>
      </c>
    </row>
    <row r="33" spans="2:12">
      <c r="B33" s="143" t="s">
        <v>1444</v>
      </c>
      <c r="C33" s="147">
        <v>11</v>
      </c>
      <c r="E33" s="21">
        <f>IFERROR(VLOOKUP(B33,'Anexo A - DIN TODOS OS SERVIÇOS'!A:B,2,0),"0")</f>
        <v>11</v>
      </c>
      <c r="F33" s="144">
        <f t="shared" si="0"/>
        <v>3.4482758620689655E-2</v>
      </c>
      <c r="H33" s="21" t="str">
        <f>IFERROR(VLOOKUP(B33,'Anexo A - DIN TODOS OS SERVIÇOS'!E:F,2,0),"0")</f>
        <v>0</v>
      </c>
      <c r="I33" s="144">
        <f t="shared" si="1"/>
        <v>0</v>
      </c>
      <c r="K33" s="21" t="str">
        <f>IFERROR(VLOOKUP(B33,'Anexo A - DIN TODOS OS SERVIÇOS'!H:I,2,0),"0")</f>
        <v>0</v>
      </c>
      <c r="L33" s="144">
        <f t="shared" si="2"/>
        <v>0</v>
      </c>
    </row>
    <row r="34" spans="2:12">
      <c r="B34" s="143" t="s">
        <v>1452</v>
      </c>
      <c r="C34" s="147">
        <v>1</v>
      </c>
      <c r="E34" s="21">
        <f>IFERROR(VLOOKUP(B34,'Anexo A - DIN TODOS OS SERVIÇOS'!A:B,2,0),"0")</f>
        <v>1</v>
      </c>
      <c r="F34" s="144">
        <f t="shared" si="0"/>
        <v>3.134796238244514E-3</v>
      </c>
      <c r="H34" s="21" t="str">
        <f>IFERROR(VLOOKUP(B34,'Anexo A - DIN TODOS OS SERVIÇOS'!E:F,2,0),"0")</f>
        <v>0</v>
      </c>
      <c r="I34" s="144">
        <f t="shared" si="1"/>
        <v>0</v>
      </c>
      <c r="K34" s="21" t="str">
        <f>IFERROR(VLOOKUP(B34,'Anexo A - DIN TODOS OS SERVIÇOS'!H:I,2,0),"0")</f>
        <v>0</v>
      </c>
      <c r="L34" s="144">
        <f t="shared" si="2"/>
        <v>0</v>
      </c>
    </row>
    <row r="35" spans="2:12">
      <c r="B35" s="164" t="s">
        <v>681</v>
      </c>
      <c r="C35" s="165">
        <v>319</v>
      </c>
      <c r="E35" s="21">
        <f>IFERROR(VLOOKUP(B35,'Anexo A - DIN TODOS OS SERVIÇOS'!A:B,2,0),"0")</f>
        <v>319</v>
      </c>
      <c r="F35" s="144">
        <f t="shared" si="0"/>
        <v>1</v>
      </c>
      <c r="H35" s="21">
        <f>IFERROR(VLOOKUP(B35,'Anexo A - DIN TODOS OS SERVIÇOS'!E:F,2,0),"0")</f>
        <v>0</v>
      </c>
      <c r="I35" s="144">
        <f t="shared" si="1"/>
        <v>0</v>
      </c>
      <c r="K35" s="21">
        <f>IFERROR(VLOOKUP(B35,'Anexo A - DIN TODOS OS SERVIÇOS'!H:I,2,0),"0")</f>
        <v>0</v>
      </c>
      <c r="L35" s="144">
        <f t="shared" si="2"/>
        <v>0</v>
      </c>
    </row>
    <row r="36" spans="2:12">
      <c r="C36"/>
    </row>
  </sheetData>
  <mergeCells count="3">
    <mergeCell ref="E2:F2"/>
    <mergeCell ref="H2:I2"/>
    <mergeCell ref="K2:L2"/>
  </mergeCells>
  <pageMargins left="0.511811024" right="0.511811024" top="0.78740157499999996" bottom="0.78740157499999996" header="0.31496062000000002" footer="0.31496062000000002"/>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showGridLines="0" topLeftCell="A52" workbookViewId="0">
      <selection activeCell="G65" sqref="G65:H65"/>
    </sheetView>
  </sheetViews>
  <sheetFormatPr defaultRowHeight="15"/>
  <cols>
    <col min="2" max="2" width="17.5703125" customWidth="1"/>
    <col min="4" max="4" width="14.85546875" customWidth="1"/>
    <col min="5" max="5" width="9.7109375" bestFit="1" customWidth="1"/>
    <col min="6" max="6" width="9.140625" customWidth="1"/>
    <col min="7" max="7" width="19.42578125" customWidth="1"/>
    <col min="8" max="8" width="27" bestFit="1" customWidth="1"/>
    <col min="9" max="9" width="10.5703125" bestFit="1" customWidth="1"/>
  </cols>
  <sheetData>
    <row r="1" spans="1:7">
      <c r="A1" t="s">
        <v>537</v>
      </c>
    </row>
    <row r="2" spans="1:7">
      <c r="B2" t="s">
        <v>965</v>
      </c>
      <c r="C2" t="s">
        <v>966</v>
      </c>
      <c r="F2" s="150">
        <v>45401</v>
      </c>
      <c r="G2" s="150">
        <v>45408</v>
      </c>
    </row>
    <row r="3" spans="1:7">
      <c r="A3" t="s">
        <v>967</v>
      </c>
      <c r="B3">
        <v>148</v>
      </c>
      <c r="C3">
        <v>159</v>
      </c>
      <c r="E3" t="s">
        <v>968</v>
      </c>
      <c r="F3">
        <v>113</v>
      </c>
      <c r="G3">
        <v>95</v>
      </c>
    </row>
    <row r="4" spans="1:7">
      <c r="E4" t="s">
        <v>969</v>
      </c>
      <c r="F4">
        <v>46</v>
      </c>
      <c r="G4">
        <v>64</v>
      </c>
    </row>
    <row r="23" spans="2:8">
      <c r="B23" s="151" t="s">
        <v>565</v>
      </c>
      <c r="C23" s="151">
        <f>SUM(C24:C33)</f>
        <v>97</v>
      </c>
      <c r="D23" s="152"/>
      <c r="G23" s="149" t="s">
        <v>756</v>
      </c>
      <c r="H23" s="149" t="s">
        <v>822</v>
      </c>
    </row>
    <row r="24" spans="2:8">
      <c r="B24" s="153" t="s">
        <v>175</v>
      </c>
      <c r="C24" s="154">
        <v>59</v>
      </c>
      <c r="D24" s="152"/>
      <c r="G24" s="155" t="s">
        <v>175</v>
      </c>
      <c r="H24" s="156">
        <v>59</v>
      </c>
    </row>
    <row r="25" spans="2:8">
      <c r="B25" s="153" t="s">
        <v>3</v>
      </c>
      <c r="C25" s="154">
        <v>15</v>
      </c>
      <c r="D25" s="152"/>
      <c r="G25" s="155" t="s">
        <v>3</v>
      </c>
      <c r="H25" s="156">
        <v>15</v>
      </c>
    </row>
    <row r="26" spans="2:8">
      <c r="B26" s="153" t="s">
        <v>178</v>
      </c>
      <c r="C26" s="154">
        <v>11</v>
      </c>
      <c r="D26" s="152"/>
      <c r="G26" s="155" t="s">
        <v>178</v>
      </c>
      <c r="H26" s="156">
        <v>11</v>
      </c>
    </row>
    <row r="27" spans="2:8">
      <c r="B27" s="153" t="s">
        <v>814</v>
      </c>
      <c r="C27" s="154">
        <v>2</v>
      </c>
      <c r="D27" s="152"/>
      <c r="G27" s="155" t="s">
        <v>814</v>
      </c>
      <c r="H27" s="156">
        <v>2</v>
      </c>
    </row>
    <row r="28" spans="2:8">
      <c r="B28" s="153" t="s">
        <v>337</v>
      </c>
      <c r="C28" s="154">
        <v>2</v>
      </c>
      <c r="D28" s="152"/>
      <c r="G28" s="155" t="s">
        <v>337</v>
      </c>
      <c r="H28" s="156">
        <v>2</v>
      </c>
    </row>
    <row r="29" spans="2:8">
      <c r="B29" s="153" t="s">
        <v>188</v>
      </c>
      <c r="C29" s="154">
        <v>2</v>
      </c>
      <c r="D29" s="152"/>
      <c r="G29" s="155" t="s">
        <v>188</v>
      </c>
      <c r="H29" s="156">
        <v>2</v>
      </c>
    </row>
    <row r="30" spans="2:8">
      <c r="B30" s="153" t="s">
        <v>171</v>
      </c>
      <c r="C30" s="154">
        <v>2</v>
      </c>
      <c r="D30" s="152"/>
      <c r="G30" s="155" t="s">
        <v>171</v>
      </c>
      <c r="H30" s="156">
        <v>2</v>
      </c>
    </row>
    <row r="31" spans="2:8">
      <c r="B31" s="153" t="s">
        <v>970</v>
      </c>
      <c r="C31" s="154">
        <v>2</v>
      </c>
      <c r="D31" s="152"/>
      <c r="G31" s="155" t="s">
        <v>970</v>
      </c>
      <c r="H31" s="156">
        <v>2</v>
      </c>
    </row>
    <row r="32" spans="2:8">
      <c r="B32" s="153" t="s">
        <v>649</v>
      </c>
      <c r="C32" s="154">
        <v>1</v>
      </c>
      <c r="D32" s="152"/>
      <c r="G32" s="155" t="s">
        <v>649</v>
      </c>
      <c r="H32" s="156">
        <v>1</v>
      </c>
    </row>
    <row r="33" spans="2:9">
      <c r="B33" s="153" t="s">
        <v>816</v>
      </c>
      <c r="C33" s="154">
        <v>1</v>
      </c>
      <c r="D33" s="152"/>
      <c r="G33" s="155" t="s">
        <v>816</v>
      </c>
      <c r="H33" s="156">
        <v>1</v>
      </c>
    </row>
    <row r="39" spans="2:9">
      <c r="H39" s="157" t="s">
        <v>971</v>
      </c>
      <c r="I39" s="157" t="s">
        <v>972</v>
      </c>
    </row>
    <row r="40" spans="2:9">
      <c r="G40" s="157" t="s">
        <v>967</v>
      </c>
      <c r="H40" s="157">
        <v>162</v>
      </c>
      <c r="I40" s="158">
        <v>0</v>
      </c>
    </row>
    <row r="41" spans="2:9">
      <c r="G41" s="159">
        <v>45401</v>
      </c>
      <c r="H41" s="160">
        <v>46</v>
      </c>
      <c r="I41" s="158">
        <f>H41/H40</f>
        <v>0.2839506172839506</v>
      </c>
    </row>
    <row r="42" spans="2:9">
      <c r="G42" s="159">
        <v>45408</v>
      </c>
      <c r="H42" s="160">
        <v>64</v>
      </c>
      <c r="I42" s="158">
        <f>H42/H40</f>
        <v>0.39506172839506171</v>
      </c>
    </row>
    <row r="53" spans="7:9">
      <c r="H53" s="157" t="s">
        <v>971</v>
      </c>
      <c r="I53" s="157" t="s">
        <v>972</v>
      </c>
    </row>
    <row r="54" spans="7:9">
      <c r="G54" s="157" t="s">
        <v>967</v>
      </c>
      <c r="H54" s="161">
        <v>317</v>
      </c>
      <c r="I54" s="158">
        <f>H54/H54</f>
        <v>1</v>
      </c>
    </row>
    <row r="55" spans="7:9">
      <c r="G55" s="159">
        <v>45399</v>
      </c>
      <c r="H55" s="161">
        <v>0</v>
      </c>
      <c r="I55" s="158">
        <f>H55/H54</f>
        <v>0</v>
      </c>
    </row>
    <row r="56" spans="7:9">
      <c r="G56" s="159">
        <v>45401</v>
      </c>
      <c r="H56" s="160">
        <v>46</v>
      </c>
      <c r="I56" s="158">
        <f>H56/H54</f>
        <v>0.14511041009463724</v>
      </c>
    </row>
    <row r="57" spans="7:9">
      <c r="G57" s="159">
        <v>45408</v>
      </c>
      <c r="H57" s="160">
        <v>64</v>
      </c>
      <c r="I57" s="158">
        <f>H57/H54</f>
        <v>0.20189274447949526</v>
      </c>
    </row>
    <row r="58" spans="7:9">
      <c r="G58" s="159">
        <v>45411</v>
      </c>
      <c r="H58" s="162">
        <v>95</v>
      </c>
      <c r="I58" s="158">
        <f>H58/H54</f>
        <v>0.29968454258675081</v>
      </c>
    </row>
    <row r="59" spans="7:9">
      <c r="G59" s="159">
        <v>45414</v>
      </c>
      <c r="H59" s="162">
        <v>104</v>
      </c>
      <c r="I59" s="158">
        <f>H59/H54</f>
        <v>0.32807570977917982</v>
      </c>
    </row>
    <row r="60" spans="7:9">
      <c r="G60" s="159">
        <v>45420</v>
      </c>
      <c r="H60" s="162">
        <v>88</v>
      </c>
      <c r="I60" s="158">
        <f>H60/H54</f>
        <v>0.27760252365930599</v>
      </c>
    </row>
    <row r="61" spans="7:9">
      <c r="G61" s="159">
        <v>45427</v>
      </c>
      <c r="H61" s="162">
        <v>162</v>
      </c>
      <c r="I61" s="158">
        <f>H61/H54</f>
        <v>0.51104100946372244</v>
      </c>
    </row>
    <row r="62" spans="7:9">
      <c r="G62" s="159">
        <v>45433</v>
      </c>
      <c r="H62" s="162">
        <v>304</v>
      </c>
      <c r="I62" s="158">
        <f>H62/H54</f>
        <v>0.95899053627760256</v>
      </c>
    </row>
    <row r="63" spans="7:9">
      <c r="G63" s="159">
        <v>45435</v>
      </c>
      <c r="H63" s="162">
        <v>314</v>
      </c>
      <c r="I63" s="158">
        <f>H63/H54</f>
        <v>0.99053627760252361</v>
      </c>
    </row>
    <row r="64" spans="7:9">
      <c r="G64" s="159">
        <v>45448</v>
      </c>
      <c r="H64" s="162">
        <v>317</v>
      </c>
      <c r="I64" s="158">
        <f>H64/H54</f>
        <v>1</v>
      </c>
    </row>
    <row r="65" spans="7:9">
      <c r="G65" s="150"/>
      <c r="H65" s="269"/>
    </row>
    <row r="67" spans="7:9">
      <c r="G67" s="159">
        <v>45432</v>
      </c>
      <c r="H67" s="162">
        <v>237</v>
      </c>
      <c r="I67" s="158">
        <f>H67/H54</f>
        <v>0.74763406940063093</v>
      </c>
    </row>
  </sheetData>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2:C29"/>
  <sheetViews>
    <sheetView showGridLines="0" showRowColHeaders="0" workbookViewId="0">
      <selection activeCell="B12" sqref="B12"/>
    </sheetView>
  </sheetViews>
  <sheetFormatPr defaultRowHeight="15"/>
  <cols>
    <col min="1" max="1" width="3.5703125" customWidth="1"/>
    <col min="2" max="2" width="35.28515625" customWidth="1"/>
    <col min="3" max="3" width="8" customWidth="1"/>
  </cols>
  <sheetData>
    <row r="2" spans="2:3">
      <c r="B2" s="247" t="s">
        <v>756</v>
      </c>
      <c r="C2" s="63" t="s">
        <v>1035</v>
      </c>
    </row>
    <row r="3" spans="2:3">
      <c r="B3" s="86" t="s">
        <v>94</v>
      </c>
      <c r="C3" s="263">
        <v>3</v>
      </c>
    </row>
    <row r="4" spans="2:3">
      <c r="B4" s="86" t="s">
        <v>136</v>
      </c>
      <c r="C4" s="263">
        <v>11</v>
      </c>
    </row>
    <row r="5" spans="2:3">
      <c r="B5" s="86" t="s">
        <v>84</v>
      </c>
      <c r="C5" s="263">
        <v>17</v>
      </c>
    </row>
    <row r="6" spans="2:3">
      <c r="B6" s="86" t="s">
        <v>33</v>
      </c>
      <c r="C6" s="263">
        <v>20</v>
      </c>
    </row>
    <row r="7" spans="2:3">
      <c r="B7" s="86" t="s">
        <v>122</v>
      </c>
      <c r="C7" s="263">
        <v>43</v>
      </c>
    </row>
    <row r="8" spans="2:3">
      <c r="B8" s="86" t="s">
        <v>139</v>
      </c>
      <c r="C8" s="263">
        <v>46</v>
      </c>
    </row>
    <row r="9" spans="2:3">
      <c r="B9" s="86" t="s">
        <v>7</v>
      </c>
      <c r="C9" s="263">
        <v>75</v>
      </c>
    </row>
    <row r="10" spans="2:3">
      <c r="B10" s="86" t="s">
        <v>681</v>
      </c>
      <c r="C10" s="263">
        <v>215</v>
      </c>
    </row>
    <row r="19" spans="2:3">
      <c r="B19" s="85" t="s">
        <v>756</v>
      </c>
      <c r="C19" s="63" t="s">
        <v>1475</v>
      </c>
    </row>
    <row r="20" spans="2:3">
      <c r="B20" s="86" t="s">
        <v>1070</v>
      </c>
      <c r="C20" s="263">
        <v>3</v>
      </c>
    </row>
    <row r="21" spans="2:3">
      <c r="B21" s="86" t="s">
        <v>1468</v>
      </c>
      <c r="C21" s="263">
        <v>5</v>
      </c>
    </row>
    <row r="22" spans="2:3">
      <c r="B22" s="86" t="s">
        <v>1074</v>
      </c>
      <c r="C22" s="263">
        <v>8</v>
      </c>
    </row>
    <row r="23" spans="2:3">
      <c r="B23" s="86" t="s">
        <v>1073</v>
      </c>
      <c r="C23" s="263">
        <v>8</v>
      </c>
    </row>
    <row r="24" spans="2:3">
      <c r="B24" s="86" t="s">
        <v>1077</v>
      </c>
      <c r="C24" s="263">
        <v>11</v>
      </c>
    </row>
    <row r="25" spans="2:3">
      <c r="B25" s="86" t="s">
        <v>1076</v>
      </c>
      <c r="C25" s="263">
        <v>19</v>
      </c>
    </row>
    <row r="26" spans="2:3">
      <c r="B26" s="86" t="s">
        <v>1078</v>
      </c>
      <c r="C26" s="263">
        <v>48</v>
      </c>
    </row>
    <row r="27" spans="2:3">
      <c r="B27" s="86" t="s">
        <v>1072</v>
      </c>
      <c r="C27" s="263">
        <v>55</v>
      </c>
    </row>
    <row r="28" spans="2:3">
      <c r="B28" s="86" t="s">
        <v>1075</v>
      </c>
      <c r="C28" s="263">
        <v>58</v>
      </c>
    </row>
    <row r="29" spans="2:3">
      <c r="B29" s="86" t="s">
        <v>681</v>
      </c>
      <c r="C29" s="263">
        <v>215</v>
      </c>
    </row>
  </sheetData>
  <pageMargins left="0.511811024" right="0.511811024" top="0.78740157499999996" bottom="0.78740157499999996" header="0.31496062000000002" footer="0.3149606200000000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E217"/>
  <sheetViews>
    <sheetView showGridLines="0" zoomScale="90" zoomScaleNormal="90" workbookViewId="0">
      <pane ySplit="2" topLeftCell="A3" activePane="bottomLeft" state="frozen"/>
      <selection pane="bottomLeft" activeCell="B2" sqref="B2"/>
    </sheetView>
  </sheetViews>
  <sheetFormatPr defaultRowHeight="14.25"/>
  <cols>
    <col min="1" max="1" width="2.28515625" style="254" bestFit="1" customWidth="1"/>
    <col min="2" max="2" width="31.28515625" style="244" bestFit="1" customWidth="1"/>
    <col min="3" max="3" width="29.140625" style="244" customWidth="1"/>
    <col min="4" max="4" width="60.140625" style="245" customWidth="1"/>
    <col min="5" max="5" width="84.42578125" style="246" customWidth="1"/>
    <col min="6" max="16384" width="9.140625" style="83"/>
  </cols>
  <sheetData>
    <row r="1" spans="1:5" s="69" customFormat="1" ht="12" customHeight="1">
      <c r="A1" s="79"/>
      <c r="B1" s="68"/>
      <c r="C1" s="68"/>
      <c r="D1" s="66"/>
      <c r="E1" s="240"/>
    </row>
    <row r="2" spans="1:5" ht="25.5" customHeight="1">
      <c r="B2" s="270" t="s">
        <v>1069</v>
      </c>
      <c r="C2" s="270" t="s">
        <v>140</v>
      </c>
      <c r="D2" s="271" t="s">
        <v>537</v>
      </c>
      <c r="E2" s="271" t="s">
        <v>1466</v>
      </c>
    </row>
    <row r="3" spans="1:5" s="241" customFormat="1" ht="30.75" customHeight="1">
      <c r="A3" s="255"/>
      <c r="B3" s="272" t="s">
        <v>1070</v>
      </c>
      <c r="C3" s="272" t="s">
        <v>122</v>
      </c>
      <c r="D3" s="273" t="s">
        <v>1057</v>
      </c>
      <c r="E3" s="274" t="s">
        <v>1059</v>
      </c>
    </row>
    <row r="4" spans="1:5" s="241" customFormat="1" ht="30.75" customHeight="1">
      <c r="A4" s="255"/>
      <c r="B4" s="272" t="s">
        <v>1070</v>
      </c>
      <c r="C4" s="272" t="s">
        <v>122</v>
      </c>
      <c r="D4" s="273" t="s">
        <v>1058</v>
      </c>
      <c r="E4" s="274" t="s">
        <v>1060</v>
      </c>
    </row>
    <row r="5" spans="1:5" s="241" customFormat="1" ht="30.75" customHeight="1">
      <c r="A5" s="255"/>
      <c r="B5" s="272" t="s">
        <v>1070</v>
      </c>
      <c r="C5" s="272" t="s">
        <v>122</v>
      </c>
      <c r="D5" s="273" t="s">
        <v>1061</v>
      </c>
      <c r="E5" s="274" t="s">
        <v>1062</v>
      </c>
    </row>
    <row r="6" spans="1:5" s="241" customFormat="1" ht="30.75" customHeight="1">
      <c r="A6" s="255"/>
      <c r="B6" s="272" t="s">
        <v>1072</v>
      </c>
      <c r="C6" s="272" t="s">
        <v>122</v>
      </c>
      <c r="D6" s="273" t="s">
        <v>121</v>
      </c>
      <c r="E6" s="275" t="s">
        <v>861</v>
      </c>
    </row>
    <row r="7" spans="1:5" s="241" customFormat="1" ht="30.75" customHeight="1">
      <c r="A7" s="243"/>
      <c r="B7" s="272" t="s">
        <v>1072</v>
      </c>
      <c r="C7" s="272" t="s">
        <v>122</v>
      </c>
      <c r="D7" s="273" t="s">
        <v>120</v>
      </c>
      <c r="E7" s="275" t="s">
        <v>862</v>
      </c>
    </row>
    <row r="8" spans="1:5" s="241" customFormat="1" ht="30.75" customHeight="1">
      <c r="A8" s="243"/>
      <c r="B8" s="272" t="s">
        <v>1072</v>
      </c>
      <c r="C8" s="272" t="s">
        <v>122</v>
      </c>
      <c r="D8" s="273" t="s">
        <v>119</v>
      </c>
      <c r="E8" s="275" t="s">
        <v>863</v>
      </c>
    </row>
    <row r="9" spans="1:5" s="241" customFormat="1" ht="30.75" customHeight="1">
      <c r="A9" s="243"/>
      <c r="B9" s="272" t="s">
        <v>1072</v>
      </c>
      <c r="C9" s="272" t="s">
        <v>122</v>
      </c>
      <c r="D9" s="273" t="s">
        <v>118</v>
      </c>
      <c r="E9" s="275" t="s">
        <v>864</v>
      </c>
    </row>
    <row r="10" spans="1:5" s="241" customFormat="1" ht="30.75" customHeight="1">
      <c r="A10" s="243"/>
      <c r="B10" s="272" t="s">
        <v>1072</v>
      </c>
      <c r="C10" s="272" t="s">
        <v>122</v>
      </c>
      <c r="D10" s="273" t="s">
        <v>117</v>
      </c>
      <c r="E10" s="275" t="s">
        <v>865</v>
      </c>
    </row>
    <row r="11" spans="1:5" s="241" customFormat="1" ht="30.75" customHeight="1">
      <c r="A11" s="243"/>
      <c r="B11" s="272" t="s">
        <v>1072</v>
      </c>
      <c r="C11" s="272" t="s">
        <v>122</v>
      </c>
      <c r="D11" s="273" t="s">
        <v>116</v>
      </c>
      <c r="E11" s="275" t="s">
        <v>866</v>
      </c>
    </row>
    <row r="12" spans="1:5" s="241" customFormat="1" ht="30.75" customHeight="1">
      <c r="A12" s="243"/>
      <c r="B12" s="272" t="s">
        <v>1072</v>
      </c>
      <c r="C12" s="272" t="s">
        <v>122</v>
      </c>
      <c r="D12" s="273" t="s">
        <v>115</v>
      </c>
      <c r="E12" s="275" t="s">
        <v>867</v>
      </c>
    </row>
    <row r="13" spans="1:5" s="241" customFormat="1" ht="30.75" customHeight="1">
      <c r="A13" s="243"/>
      <c r="B13" s="272" t="s">
        <v>1072</v>
      </c>
      <c r="C13" s="272" t="s">
        <v>122</v>
      </c>
      <c r="D13" s="273" t="s">
        <v>114</v>
      </c>
      <c r="E13" s="275" t="s">
        <v>910</v>
      </c>
    </row>
    <row r="14" spans="1:5" s="241" customFormat="1" ht="30.75" customHeight="1">
      <c r="A14" s="243"/>
      <c r="B14" s="272" t="s">
        <v>1072</v>
      </c>
      <c r="C14" s="272" t="s">
        <v>122</v>
      </c>
      <c r="D14" s="273" t="s">
        <v>113</v>
      </c>
      <c r="E14" s="275" t="s">
        <v>491</v>
      </c>
    </row>
    <row r="15" spans="1:5" s="241" customFormat="1" ht="30.75" customHeight="1">
      <c r="A15" s="243"/>
      <c r="B15" s="272" t="s">
        <v>1072</v>
      </c>
      <c r="C15" s="272" t="s">
        <v>122</v>
      </c>
      <c r="D15" s="273" t="s">
        <v>112</v>
      </c>
      <c r="E15" s="275" t="s">
        <v>492</v>
      </c>
    </row>
    <row r="16" spans="1:5" s="241" customFormat="1" ht="30.75" customHeight="1">
      <c r="A16" s="243"/>
      <c r="B16" s="272" t="s">
        <v>1072</v>
      </c>
      <c r="C16" s="272" t="s">
        <v>122</v>
      </c>
      <c r="D16" s="273" t="s">
        <v>111</v>
      </c>
      <c r="E16" s="275" t="s">
        <v>911</v>
      </c>
    </row>
    <row r="17" spans="1:5" s="241" customFormat="1" ht="30.75" customHeight="1">
      <c r="A17" s="243"/>
      <c r="B17" s="272" t="s">
        <v>1072</v>
      </c>
      <c r="C17" s="272" t="s">
        <v>122</v>
      </c>
      <c r="D17" s="273" t="s">
        <v>110</v>
      </c>
      <c r="E17" s="275" t="s">
        <v>494</v>
      </c>
    </row>
    <row r="18" spans="1:5" s="241" customFormat="1" ht="30.75" customHeight="1">
      <c r="A18" s="243"/>
      <c r="B18" s="272" t="s">
        <v>1072</v>
      </c>
      <c r="C18" s="272" t="s">
        <v>122</v>
      </c>
      <c r="D18" s="273" t="s">
        <v>109</v>
      </c>
      <c r="E18" s="275" t="s">
        <v>695</v>
      </c>
    </row>
    <row r="19" spans="1:5" s="241" customFormat="1" ht="30.75" customHeight="1">
      <c r="A19" s="243"/>
      <c r="B19" s="272" t="s">
        <v>1072</v>
      </c>
      <c r="C19" s="272" t="s">
        <v>122</v>
      </c>
      <c r="D19" s="273" t="s">
        <v>108</v>
      </c>
      <c r="E19" s="275" t="s">
        <v>496</v>
      </c>
    </row>
    <row r="20" spans="1:5" s="241" customFormat="1" ht="30.75" customHeight="1">
      <c r="A20" s="243"/>
      <c r="B20" s="272" t="s">
        <v>1072</v>
      </c>
      <c r="C20" s="272" t="s">
        <v>122</v>
      </c>
      <c r="D20" s="273" t="s">
        <v>107</v>
      </c>
      <c r="E20" s="275" t="s">
        <v>497</v>
      </c>
    </row>
    <row r="21" spans="1:5" s="241" customFormat="1" ht="30.75" customHeight="1">
      <c r="A21" s="243"/>
      <c r="B21" s="272" t="s">
        <v>1072</v>
      </c>
      <c r="C21" s="272" t="s">
        <v>122</v>
      </c>
      <c r="D21" s="273" t="s">
        <v>106</v>
      </c>
      <c r="E21" s="275" t="s">
        <v>868</v>
      </c>
    </row>
    <row r="22" spans="1:5" s="241" customFormat="1" ht="30.75" customHeight="1">
      <c r="A22" s="243"/>
      <c r="B22" s="272" t="s">
        <v>1072</v>
      </c>
      <c r="C22" s="272" t="s">
        <v>122</v>
      </c>
      <c r="D22" s="273" t="s">
        <v>103</v>
      </c>
      <c r="E22" s="275" t="s">
        <v>869</v>
      </c>
    </row>
    <row r="23" spans="1:5" s="241" customFormat="1" ht="30.75" customHeight="1">
      <c r="A23" s="243"/>
      <c r="B23" s="272" t="s">
        <v>1072</v>
      </c>
      <c r="C23" s="272" t="s">
        <v>122</v>
      </c>
      <c r="D23" s="273" t="s">
        <v>98</v>
      </c>
      <c r="E23" s="275" t="s">
        <v>871</v>
      </c>
    </row>
    <row r="24" spans="1:5" s="241" customFormat="1" ht="30.75" customHeight="1">
      <c r="A24" s="243"/>
      <c r="B24" s="272" t="s">
        <v>1072</v>
      </c>
      <c r="C24" s="272" t="s">
        <v>122</v>
      </c>
      <c r="D24" s="273" t="s">
        <v>97</v>
      </c>
      <c r="E24" s="275" t="s">
        <v>504</v>
      </c>
    </row>
    <row r="25" spans="1:5" s="241" customFormat="1" ht="30.75" customHeight="1">
      <c r="A25" s="243"/>
      <c r="B25" s="272" t="s">
        <v>1072</v>
      </c>
      <c r="C25" s="272" t="s">
        <v>122</v>
      </c>
      <c r="D25" s="273" t="s">
        <v>96</v>
      </c>
      <c r="E25" s="275" t="s">
        <v>696</v>
      </c>
    </row>
    <row r="26" spans="1:5" s="241" customFormat="1" ht="30.75" customHeight="1">
      <c r="A26" s="243"/>
      <c r="B26" s="272" t="s">
        <v>1072</v>
      </c>
      <c r="C26" s="272" t="s">
        <v>122</v>
      </c>
      <c r="D26" s="273" t="s">
        <v>95</v>
      </c>
      <c r="E26" s="275" t="s">
        <v>907</v>
      </c>
    </row>
    <row r="27" spans="1:5" s="241" customFormat="1" ht="30.75" customHeight="1">
      <c r="A27" s="243"/>
      <c r="B27" s="272" t="s">
        <v>1072</v>
      </c>
      <c r="C27" s="272" t="s">
        <v>122</v>
      </c>
      <c r="D27" s="273" t="s">
        <v>872</v>
      </c>
      <c r="E27" s="275" t="s">
        <v>873</v>
      </c>
    </row>
    <row r="28" spans="1:5" s="241" customFormat="1" ht="30.75" customHeight="1">
      <c r="A28" s="243"/>
      <c r="B28" s="272" t="s">
        <v>1072</v>
      </c>
      <c r="C28" s="272" t="s">
        <v>122</v>
      </c>
      <c r="D28" s="273" t="s">
        <v>874</v>
      </c>
      <c r="E28" s="275" t="s">
        <v>875</v>
      </c>
    </row>
    <row r="29" spans="1:5" s="241" customFormat="1" ht="30.75" customHeight="1">
      <c r="A29" s="243"/>
      <c r="B29" s="272" t="s">
        <v>1072</v>
      </c>
      <c r="C29" s="272" t="s">
        <v>122</v>
      </c>
      <c r="D29" s="273" t="s">
        <v>876</v>
      </c>
      <c r="E29" s="275" t="s">
        <v>877</v>
      </c>
    </row>
    <row r="30" spans="1:5" s="241" customFormat="1" ht="30.75" customHeight="1">
      <c r="A30" s="243"/>
      <c r="B30" s="272" t="s">
        <v>1072</v>
      </c>
      <c r="C30" s="272" t="s">
        <v>122</v>
      </c>
      <c r="D30" s="273" t="s">
        <v>878</v>
      </c>
      <c r="E30" s="275" t="s">
        <v>879</v>
      </c>
    </row>
    <row r="31" spans="1:5" s="241" customFormat="1" ht="30.75" customHeight="1">
      <c r="A31" s="243"/>
      <c r="B31" s="272" t="s">
        <v>1072</v>
      </c>
      <c r="C31" s="272" t="s">
        <v>122</v>
      </c>
      <c r="D31" s="273" t="s">
        <v>880</v>
      </c>
      <c r="E31" s="275" t="s">
        <v>881</v>
      </c>
    </row>
    <row r="32" spans="1:5" s="241" customFormat="1" ht="30.75" customHeight="1">
      <c r="A32" s="243"/>
      <c r="B32" s="276" t="s">
        <v>1072</v>
      </c>
      <c r="C32" s="276" t="s">
        <v>122</v>
      </c>
      <c r="D32" s="277" t="s">
        <v>759</v>
      </c>
      <c r="E32" s="278" t="s">
        <v>939</v>
      </c>
    </row>
    <row r="33" spans="1:5" s="241" customFormat="1" ht="30.75" customHeight="1">
      <c r="A33" s="243"/>
      <c r="B33" s="276" t="s">
        <v>1072</v>
      </c>
      <c r="C33" s="276" t="s">
        <v>122</v>
      </c>
      <c r="D33" s="277" t="s">
        <v>936</v>
      </c>
      <c r="E33" s="278" t="s">
        <v>940</v>
      </c>
    </row>
    <row r="34" spans="1:5" s="241" customFormat="1" ht="30.75" customHeight="1">
      <c r="A34" s="243"/>
      <c r="B34" s="276" t="s">
        <v>1072</v>
      </c>
      <c r="C34" s="276" t="s">
        <v>122</v>
      </c>
      <c r="D34" s="277" t="s">
        <v>770</v>
      </c>
      <c r="E34" s="278" t="s">
        <v>941</v>
      </c>
    </row>
    <row r="35" spans="1:5" s="241" customFormat="1" ht="30.75" customHeight="1">
      <c r="A35" s="243"/>
      <c r="B35" s="276" t="s">
        <v>1072</v>
      </c>
      <c r="C35" s="276" t="s">
        <v>122</v>
      </c>
      <c r="D35" s="277" t="s">
        <v>773</v>
      </c>
      <c r="E35" s="278" t="s">
        <v>942</v>
      </c>
    </row>
    <row r="36" spans="1:5" s="241" customFormat="1" ht="30.75" customHeight="1">
      <c r="A36" s="243"/>
      <c r="B36" s="272" t="s">
        <v>1072</v>
      </c>
      <c r="C36" s="272" t="s">
        <v>122</v>
      </c>
      <c r="D36" s="273" t="s">
        <v>19</v>
      </c>
      <c r="E36" s="274" t="s">
        <v>883</v>
      </c>
    </row>
    <row r="37" spans="1:5" s="241" customFormat="1" ht="30.75" customHeight="1">
      <c r="A37" s="242"/>
      <c r="B37" s="272" t="s">
        <v>1072</v>
      </c>
      <c r="C37" s="272" t="s">
        <v>33</v>
      </c>
      <c r="D37" s="277" t="s">
        <v>17</v>
      </c>
      <c r="E37" s="275" t="s">
        <v>451</v>
      </c>
    </row>
    <row r="38" spans="1:5" s="241" customFormat="1" ht="30.75" customHeight="1">
      <c r="A38" s="242"/>
      <c r="B38" s="272" t="s">
        <v>1072</v>
      </c>
      <c r="C38" s="272" t="s">
        <v>33</v>
      </c>
      <c r="D38" s="273" t="s">
        <v>9</v>
      </c>
      <c r="E38" s="274" t="s">
        <v>884</v>
      </c>
    </row>
    <row r="39" spans="1:5" s="241" customFormat="1" ht="30.75" customHeight="1">
      <c r="A39" s="242"/>
      <c r="B39" s="272" t="s">
        <v>1072</v>
      </c>
      <c r="C39" s="272" t="s">
        <v>122</v>
      </c>
      <c r="D39" s="273" t="s">
        <v>1259</v>
      </c>
      <c r="E39" s="274" t="s">
        <v>1260</v>
      </c>
    </row>
    <row r="40" spans="1:5" s="241" customFormat="1" ht="30.75" customHeight="1">
      <c r="A40" s="242"/>
      <c r="B40" s="272" t="s">
        <v>1072</v>
      </c>
      <c r="C40" s="272" t="s">
        <v>122</v>
      </c>
      <c r="D40" s="273" t="s">
        <v>1261</v>
      </c>
      <c r="E40" s="274" t="s">
        <v>1262</v>
      </c>
    </row>
    <row r="41" spans="1:5" s="241" customFormat="1" ht="30.75" customHeight="1">
      <c r="A41" s="242"/>
      <c r="B41" s="272" t="s">
        <v>1072</v>
      </c>
      <c r="C41" s="272" t="s">
        <v>122</v>
      </c>
      <c r="D41" s="273" t="s">
        <v>1263</v>
      </c>
      <c r="E41" s="274" t="s">
        <v>1264</v>
      </c>
    </row>
    <row r="42" spans="1:5" s="241" customFormat="1" ht="30.75" customHeight="1">
      <c r="A42" s="242"/>
      <c r="B42" s="272" t="s">
        <v>1072</v>
      </c>
      <c r="C42" s="272" t="s">
        <v>122</v>
      </c>
      <c r="D42" s="273" t="s">
        <v>1265</v>
      </c>
      <c r="E42" s="274" t="s">
        <v>1266</v>
      </c>
    </row>
    <row r="43" spans="1:5" s="241" customFormat="1" ht="30.75" customHeight="1">
      <c r="A43" s="242"/>
      <c r="B43" s="272" t="s">
        <v>1072</v>
      </c>
      <c r="C43" s="272" t="s">
        <v>122</v>
      </c>
      <c r="D43" s="273" t="s">
        <v>1267</v>
      </c>
      <c r="E43" s="274" t="s">
        <v>1268</v>
      </c>
    </row>
    <row r="44" spans="1:5" s="241" customFormat="1" ht="30.75" customHeight="1">
      <c r="A44" s="242"/>
      <c r="B44" s="272" t="s">
        <v>1072</v>
      </c>
      <c r="C44" s="272" t="s">
        <v>122</v>
      </c>
      <c r="D44" s="273" t="s">
        <v>1269</v>
      </c>
      <c r="E44" s="274" t="s">
        <v>1270</v>
      </c>
    </row>
    <row r="45" spans="1:5" s="241" customFormat="1" ht="30.75" customHeight="1">
      <c r="A45" s="242"/>
      <c r="B45" s="272" t="s">
        <v>1072</v>
      </c>
      <c r="C45" s="272" t="s">
        <v>122</v>
      </c>
      <c r="D45" s="273" t="s">
        <v>1271</v>
      </c>
      <c r="E45" s="274" t="s">
        <v>1272</v>
      </c>
    </row>
    <row r="46" spans="1:5" s="241" customFormat="1" ht="30.75" customHeight="1">
      <c r="A46" s="242"/>
      <c r="B46" s="272" t="s">
        <v>1072</v>
      </c>
      <c r="C46" s="272" t="s">
        <v>122</v>
      </c>
      <c r="D46" s="273" t="s">
        <v>1273</v>
      </c>
      <c r="E46" s="274" t="s">
        <v>1274</v>
      </c>
    </row>
    <row r="47" spans="1:5" s="241" customFormat="1" ht="30.75" customHeight="1">
      <c r="A47" s="242"/>
      <c r="B47" s="272" t="s">
        <v>1072</v>
      </c>
      <c r="C47" s="272" t="s">
        <v>7</v>
      </c>
      <c r="D47" s="279" t="s">
        <v>1420</v>
      </c>
      <c r="E47" s="274" t="s">
        <v>1421</v>
      </c>
    </row>
    <row r="48" spans="1:5" s="241" customFormat="1" ht="30.75" customHeight="1">
      <c r="A48" s="242"/>
      <c r="B48" s="272" t="s">
        <v>1072</v>
      </c>
      <c r="C48" s="272" t="s">
        <v>7</v>
      </c>
      <c r="D48" s="279" t="s">
        <v>1422</v>
      </c>
      <c r="E48" s="274" t="s">
        <v>1423</v>
      </c>
    </row>
    <row r="49" spans="1:5" s="241" customFormat="1" ht="30.75" customHeight="1">
      <c r="A49" s="242"/>
      <c r="B49" s="272" t="s">
        <v>1072</v>
      </c>
      <c r="C49" s="272" t="s">
        <v>7</v>
      </c>
      <c r="D49" s="279" t="s">
        <v>1424</v>
      </c>
      <c r="E49" s="274" t="s">
        <v>1425</v>
      </c>
    </row>
    <row r="50" spans="1:5" s="241" customFormat="1" ht="30.75" customHeight="1">
      <c r="A50" s="242"/>
      <c r="B50" s="272" t="s">
        <v>1072</v>
      </c>
      <c r="C50" s="272" t="s">
        <v>7</v>
      </c>
      <c r="D50" s="279" t="s">
        <v>1424</v>
      </c>
      <c r="E50" s="274" t="s">
        <v>1426</v>
      </c>
    </row>
    <row r="51" spans="1:5" s="241" customFormat="1" ht="30.75" customHeight="1">
      <c r="A51" s="242"/>
      <c r="B51" s="272" t="s">
        <v>1072</v>
      </c>
      <c r="C51" s="272" t="s">
        <v>7</v>
      </c>
      <c r="D51" s="279" t="s">
        <v>1427</v>
      </c>
      <c r="E51" s="274" t="s">
        <v>1428</v>
      </c>
    </row>
    <row r="52" spans="1:5" s="241" customFormat="1" ht="30.75" customHeight="1">
      <c r="A52" s="242"/>
      <c r="B52" s="272" t="s">
        <v>1072</v>
      </c>
      <c r="C52" s="272" t="s">
        <v>7</v>
      </c>
      <c r="D52" s="279" t="s">
        <v>1427</v>
      </c>
      <c r="E52" s="274" t="s">
        <v>1429</v>
      </c>
    </row>
    <row r="53" spans="1:5" s="241" customFormat="1" ht="30.75" customHeight="1">
      <c r="A53" s="243"/>
      <c r="B53" s="272" t="s">
        <v>1072</v>
      </c>
      <c r="C53" s="272" t="s">
        <v>7</v>
      </c>
      <c r="D53" s="279" t="s">
        <v>1482</v>
      </c>
      <c r="E53" s="274" t="s">
        <v>1483</v>
      </c>
    </row>
    <row r="54" spans="1:5" s="241" customFormat="1" ht="30.75" customHeight="1">
      <c r="A54" s="243"/>
      <c r="B54" s="272" t="s">
        <v>1072</v>
      </c>
      <c r="C54" s="272" t="s">
        <v>7</v>
      </c>
      <c r="D54" s="279" t="s">
        <v>1482</v>
      </c>
      <c r="E54" s="274" t="s">
        <v>1484</v>
      </c>
    </row>
    <row r="55" spans="1:5" s="241" customFormat="1" ht="30.75" customHeight="1">
      <c r="A55" s="243"/>
      <c r="B55" s="272" t="s">
        <v>1072</v>
      </c>
      <c r="C55" s="272" t="s">
        <v>7</v>
      </c>
      <c r="D55" s="279" t="s">
        <v>1430</v>
      </c>
      <c r="E55" s="274" t="s">
        <v>1431</v>
      </c>
    </row>
    <row r="56" spans="1:5" s="241" customFormat="1" ht="30.75" customHeight="1">
      <c r="A56" s="243"/>
      <c r="B56" s="272" t="s">
        <v>1072</v>
      </c>
      <c r="C56" s="272" t="s">
        <v>7</v>
      </c>
      <c r="D56" s="279" t="s">
        <v>1432</v>
      </c>
      <c r="E56" s="274" t="s">
        <v>1433</v>
      </c>
    </row>
    <row r="57" spans="1:5" s="241" customFormat="1" ht="30.75" customHeight="1">
      <c r="A57" s="243"/>
      <c r="B57" s="272" t="s">
        <v>1072</v>
      </c>
      <c r="C57" s="272" t="s">
        <v>7</v>
      </c>
      <c r="D57" s="279" t="s">
        <v>1434</v>
      </c>
      <c r="E57" s="274" t="s">
        <v>1481</v>
      </c>
    </row>
    <row r="58" spans="1:5" s="241" customFormat="1" ht="30.75" customHeight="1">
      <c r="A58" s="242"/>
      <c r="B58" s="272" t="s">
        <v>1072</v>
      </c>
      <c r="C58" s="272" t="s">
        <v>7</v>
      </c>
      <c r="D58" s="279" t="s">
        <v>782</v>
      </c>
      <c r="E58" s="274" t="s">
        <v>1469</v>
      </c>
    </row>
    <row r="59" spans="1:5" s="241" customFormat="1" ht="30.75" customHeight="1">
      <c r="A59" s="243"/>
      <c r="B59" s="272" t="s">
        <v>1072</v>
      </c>
      <c r="C59" s="272" t="s">
        <v>7</v>
      </c>
      <c r="D59" s="273" t="s">
        <v>783</v>
      </c>
      <c r="E59" s="275" t="s">
        <v>1470</v>
      </c>
    </row>
    <row r="60" spans="1:5" s="241" customFormat="1" ht="30.75" customHeight="1">
      <c r="A60" s="243"/>
      <c r="B60" s="272" t="s">
        <v>1072</v>
      </c>
      <c r="C60" s="272" t="s">
        <v>7</v>
      </c>
      <c r="D60" s="273" t="s">
        <v>1471</v>
      </c>
      <c r="E60" s="275" t="s">
        <v>1472</v>
      </c>
    </row>
    <row r="61" spans="1:5" s="241" customFormat="1" ht="30.75" customHeight="1">
      <c r="A61" s="242"/>
      <c r="B61" s="272" t="s">
        <v>1074</v>
      </c>
      <c r="C61" s="272" t="s">
        <v>139</v>
      </c>
      <c r="D61" s="277" t="s">
        <v>1067</v>
      </c>
      <c r="E61" s="275" t="s">
        <v>903</v>
      </c>
    </row>
    <row r="62" spans="1:5" s="241" customFormat="1" ht="30.75" customHeight="1">
      <c r="A62" s="243"/>
      <c r="B62" s="272" t="s">
        <v>1074</v>
      </c>
      <c r="C62" s="272" t="s">
        <v>139</v>
      </c>
      <c r="D62" s="277" t="s">
        <v>1098</v>
      </c>
      <c r="E62" s="275" t="s">
        <v>1100</v>
      </c>
    </row>
    <row r="63" spans="1:5" s="241" customFormat="1" ht="30.75" customHeight="1">
      <c r="A63" s="243"/>
      <c r="B63" s="272" t="s">
        <v>1074</v>
      </c>
      <c r="C63" s="272" t="s">
        <v>122</v>
      </c>
      <c r="D63" s="280" t="s">
        <v>105</v>
      </c>
      <c r="E63" s="274" t="s">
        <v>703</v>
      </c>
    </row>
    <row r="64" spans="1:5" s="241" customFormat="1" ht="30.75" customHeight="1">
      <c r="A64" s="243"/>
      <c r="B64" s="272" t="s">
        <v>1074</v>
      </c>
      <c r="C64" s="272" t="s">
        <v>136</v>
      </c>
      <c r="D64" s="281" t="s">
        <v>1414</v>
      </c>
      <c r="E64" s="274" t="s">
        <v>1415</v>
      </c>
    </row>
    <row r="65" spans="1:5" s="241" customFormat="1" ht="30.75" customHeight="1">
      <c r="A65" s="243"/>
      <c r="B65" s="272" t="s">
        <v>1074</v>
      </c>
      <c r="C65" s="272" t="s">
        <v>33</v>
      </c>
      <c r="D65" s="281" t="s">
        <v>1416</v>
      </c>
      <c r="E65" s="274" t="s">
        <v>1417</v>
      </c>
    </row>
    <row r="66" spans="1:5" s="241" customFormat="1" ht="30.75" customHeight="1">
      <c r="A66" s="243"/>
      <c r="B66" s="272" t="s">
        <v>1074</v>
      </c>
      <c r="C66" s="272" t="s">
        <v>136</v>
      </c>
      <c r="D66" s="279" t="s">
        <v>1290</v>
      </c>
      <c r="E66" s="274" t="s">
        <v>1292</v>
      </c>
    </row>
    <row r="67" spans="1:5" s="241" customFormat="1" ht="30.75" customHeight="1">
      <c r="A67" s="243"/>
      <c r="B67" s="272" t="s">
        <v>1074</v>
      </c>
      <c r="C67" s="272" t="s">
        <v>136</v>
      </c>
      <c r="D67" s="279" t="s">
        <v>1291</v>
      </c>
      <c r="E67" s="274" t="s">
        <v>1293</v>
      </c>
    </row>
    <row r="68" spans="1:5" s="241" customFormat="1" ht="30.75" customHeight="1">
      <c r="A68" s="243"/>
      <c r="B68" s="272" t="s">
        <v>1074</v>
      </c>
      <c r="C68" s="272" t="s">
        <v>33</v>
      </c>
      <c r="D68" s="279" t="s">
        <v>12</v>
      </c>
      <c r="E68" s="274" t="s">
        <v>1446</v>
      </c>
    </row>
    <row r="69" spans="1:5" s="241" customFormat="1" ht="30.75" customHeight="1">
      <c r="A69" s="243"/>
      <c r="B69" s="272" t="s">
        <v>1078</v>
      </c>
      <c r="C69" s="272" t="s">
        <v>139</v>
      </c>
      <c r="D69" s="279" t="s">
        <v>1301</v>
      </c>
      <c r="E69" s="274" t="s">
        <v>1349</v>
      </c>
    </row>
    <row r="70" spans="1:5" s="241" customFormat="1" ht="30.75" customHeight="1">
      <c r="A70" s="243"/>
      <c r="B70" s="272" t="s">
        <v>1078</v>
      </c>
      <c r="C70" s="272" t="s">
        <v>139</v>
      </c>
      <c r="D70" s="279" t="s">
        <v>1302</v>
      </c>
      <c r="E70" s="274" t="s">
        <v>1350</v>
      </c>
    </row>
    <row r="71" spans="1:5" s="241" customFormat="1" ht="30.75" customHeight="1">
      <c r="A71" s="243"/>
      <c r="B71" s="272" t="s">
        <v>1078</v>
      </c>
      <c r="C71" s="272" t="s">
        <v>139</v>
      </c>
      <c r="D71" s="279" t="s">
        <v>1303</v>
      </c>
      <c r="E71" s="274" t="s">
        <v>1351</v>
      </c>
    </row>
    <row r="72" spans="1:5" s="241" customFormat="1" ht="30.75" customHeight="1">
      <c r="A72" s="243"/>
      <c r="B72" s="272" t="s">
        <v>1078</v>
      </c>
      <c r="C72" s="272" t="s">
        <v>139</v>
      </c>
      <c r="D72" s="279" t="s">
        <v>1304</v>
      </c>
      <c r="E72" s="274" t="s">
        <v>1352</v>
      </c>
    </row>
    <row r="73" spans="1:5" s="241" customFormat="1" ht="30.75" customHeight="1">
      <c r="A73" s="243"/>
      <c r="B73" s="272" t="s">
        <v>1078</v>
      </c>
      <c r="C73" s="272" t="s">
        <v>139</v>
      </c>
      <c r="D73" s="279" t="s">
        <v>1305</v>
      </c>
      <c r="E73" s="274" t="s">
        <v>1353</v>
      </c>
    </row>
    <row r="74" spans="1:5" s="241" customFormat="1" ht="30.75" customHeight="1">
      <c r="A74" s="243"/>
      <c r="B74" s="272" t="s">
        <v>1078</v>
      </c>
      <c r="C74" s="272" t="s">
        <v>139</v>
      </c>
      <c r="D74" s="279" t="s">
        <v>1306</v>
      </c>
      <c r="E74" s="274" t="s">
        <v>1354</v>
      </c>
    </row>
    <row r="75" spans="1:5" s="241" customFormat="1" ht="30.75" customHeight="1">
      <c r="A75" s="243"/>
      <c r="B75" s="272" t="s">
        <v>1078</v>
      </c>
      <c r="C75" s="272" t="s">
        <v>139</v>
      </c>
      <c r="D75" s="279" t="s">
        <v>1307</v>
      </c>
      <c r="E75" s="274" t="s">
        <v>1355</v>
      </c>
    </row>
    <row r="76" spans="1:5" s="241" customFormat="1" ht="30.75" customHeight="1">
      <c r="A76" s="243"/>
      <c r="B76" s="272" t="s">
        <v>1078</v>
      </c>
      <c r="C76" s="272" t="s">
        <v>139</v>
      </c>
      <c r="D76" s="279" t="s">
        <v>1308</v>
      </c>
      <c r="E76" s="274" t="s">
        <v>1356</v>
      </c>
    </row>
    <row r="77" spans="1:5" s="241" customFormat="1" ht="30.75" customHeight="1">
      <c r="A77" s="243"/>
      <c r="B77" s="272" t="s">
        <v>1078</v>
      </c>
      <c r="C77" s="272" t="s">
        <v>139</v>
      </c>
      <c r="D77" s="279" t="s">
        <v>1309</v>
      </c>
      <c r="E77" s="274" t="s">
        <v>1357</v>
      </c>
    </row>
    <row r="78" spans="1:5" s="241" customFormat="1" ht="30.75" customHeight="1">
      <c r="A78" s="243"/>
      <c r="B78" s="272" t="s">
        <v>1078</v>
      </c>
      <c r="C78" s="272" t="s">
        <v>139</v>
      </c>
      <c r="D78" s="279" t="s">
        <v>1310</v>
      </c>
      <c r="E78" s="274" t="s">
        <v>1358</v>
      </c>
    </row>
    <row r="79" spans="1:5" s="241" customFormat="1" ht="30.75" customHeight="1">
      <c r="A79" s="243"/>
      <c r="B79" s="272" t="s">
        <v>1078</v>
      </c>
      <c r="C79" s="272" t="s">
        <v>139</v>
      </c>
      <c r="D79" s="279" t="s">
        <v>1311</v>
      </c>
      <c r="E79" s="274" t="s">
        <v>1359</v>
      </c>
    </row>
    <row r="80" spans="1:5" s="241" customFormat="1" ht="30.75" customHeight="1">
      <c r="A80" s="243"/>
      <c r="B80" s="272" t="s">
        <v>1078</v>
      </c>
      <c r="C80" s="272" t="s">
        <v>139</v>
      </c>
      <c r="D80" s="279" t="s">
        <v>1312</v>
      </c>
      <c r="E80" s="274" t="s">
        <v>1360</v>
      </c>
    </row>
    <row r="81" spans="1:5" s="241" customFormat="1" ht="30.75" customHeight="1">
      <c r="A81" s="243"/>
      <c r="B81" s="272" t="s">
        <v>1078</v>
      </c>
      <c r="C81" s="272" t="s">
        <v>139</v>
      </c>
      <c r="D81" s="279" t="s">
        <v>1313</v>
      </c>
      <c r="E81" s="274" t="s">
        <v>1361</v>
      </c>
    </row>
    <row r="82" spans="1:5" s="241" customFormat="1" ht="30.75" customHeight="1">
      <c r="A82" s="243"/>
      <c r="B82" s="272" t="s">
        <v>1078</v>
      </c>
      <c r="C82" s="272" t="s">
        <v>139</v>
      </c>
      <c r="D82" s="279" t="s">
        <v>1314</v>
      </c>
      <c r="E82" s="274" t="s">
        <v>1362</v>
      </c>
    </row>
    <row r="83" spans="1:5" s="241" customFormat="1" ht="30.75" customHeight="1">
      <c r="A83" s="243"/>
      <c r="B83" s="272" t="s">
        <v>1078</v>
      </c>
      <c r="C83" s="272" t="s">
        <v>33</v>
      </c>
      <c r="D83" s="279" t="s">
        <v>1315</v>
      </c>
      <c r="E83" s="274" t="s">
        <v>1363</v>
      </c>
    </row>
    <row r="84" spans="1:5" s="241" customFormat="1" ht="30.75" customHeight="1">
      <c r="A84" s="243"/>
      <c r="B84" s="272" t="s">
        <v>1078</v>
      </c>
      <c r="C84" s="272" t="s">
        <v>139</v>
      </c>
      <c r="D84" s="279" t="s">
        <v>1316</v>
      </c>
      <c r="E84" s="274" t="s">
        <v>1364</v>
      </c>
    </row>
    <row r="85" spans="1:5" s="241" customFormat="1" ht="30.75" customHeight="1">
      <c r="A85" s="243"/>
      <c r="B85" s="272" t="s">
        <v>1078</v>
      </c>
      <c r="C85" s="272" t="s">
        <v>139</v>
      </c>
      <c r="D85" s="279" t="s">
        <v>1317</v>
      </c>
      <c r="E85" s="274" t="s">
        <v>1365</v>
      </c>
    </row>
    <row r="86" spans="1:5" s="241" customFormat="1" ht="30.75" customHeight="1">
      <c r="A86" s="243"/>
      <c r="B86" s="272" t="s">
        <v>1078</v>
      </c>
      <c r="C86" s="272" t="s">
        <v>139</v>
      </c>
      <c r="D86" s="279" t="s">
        <v>1318</v>
      </c>
      <c r="E86" s="274" t="s">
        <v>1366</v>
      </c>
    </row>
    <row r="87" spans="1:5" s="241" customFormat="1" ht="30.75" customHeight="1">
      <c r="A87" s="243"/>
      <c r="B87" s="272" t="s">
        <v>1078</v>
      </c>
      <c r="C87" s="272" t="s">
        <v>139</v>
      </c>
      <c r="D87" s="279" t="s">
        <v>1319</v>
      </c>
      <c r="E87" s="274" t="s">
        <v>1367</v>
      </c>
    </row>
    <row r="88" spans="1:5" s="241" customFormat="1" ht="30.75" customHeight="1">
      <c r="A88" s="243"/>
      <c r="B88" s="272" t="s">
        <v>1078</v>
      </c>
      <c r="C88" s="272" t="s">
        <v>139</v>
      </c>
      <c r="D88" s="279" t="s">
        <v>1320</v>
      </c>
      <c r="E88" s="274" t="s">
        <v>1368</v>
      </c>
    </row>
    <row r="89" spans="1:5" s="241" customFormat="1" ht="30.75" customHeight="1">
      <c r="A89" s="243"/>
      <c r="B89" s="272" t="s">
        <v>1078</v>
      </c>
      <c r="C89" s="272" t="s">
        <v>139</v>
      </c>
      <c r="D89" s="279" t="s">
        <v>1321</v>
      </c>
      <c r="E89" s="274" t="s">
        <v>1369</v>
      </c>
    </row>
    <row r="90" spans="1:5" s="241" customFormat="1" ht="30.75" customHeight="1">
      <c r="A90" s="243"/>
      <c r="B90" s="272" t="s">
        <v>1078</v>
      </c>
      <c r="C90" s="272" t="s">
        <v>139</v>
      </c>
      <c r="D90" s="279" t="s">
        <v>1322</v>
      </c>
      <c r="E90" s="274" t="s">
        <v>1370</v>
      </c>
    </row>
    <row r="91" spans="1:5" s="241" customFormat="1" ht="30.75" customHeight="1">
      <c r="A91" s="243"/>
      <c r="B91" s="272" t="s">
        <v>1078</v>
      </c>
      <c r="C91" s="272" t="s">
        <v>139</v>
      </c>
      <c r="D91" s="279" t="s">
        <v>1323</v>
      </c>
      <c r="E91" s="274" t="s">
        <v>1371</v>
      </c>
    </row>
    <row r="92" spans="1:5" s="241" customFormat="1" ht="30.75" customHeight="1">
      <c r="A92" s="243"/>
      <c r="B92" s="272" t="s">
        <v>1078</v>
      </c>
      <c r="C92" s="272" t="s">
        <v>139</v>
      </c>
      <c r="D92" s="279" t="s">
        <v>1324</v>
      </c>
      <c r="E92" s="274" t="s">
        <v>1372</v>
      </c>
    </row>
    <row r="93" spans="1:5" s="241" customFormat="1" ht="30.75" customHeight="1">
      <c r="A93" s="243"/>
      <c r="B93" s="272" t="s">
        <v>1078</v>
      </c>
      <c r="C93" s="272" t="s">
        <v>139</v>
      </c>
      <c r="D93" s="279" t="s">
        <v>1325</v>
      </c>
      <c r="E93" s="274" t="s">
        <v>1373</v>
      </c>
    </row>
    <row r="94" spans="1:5" s="241" customFormat="1" ht="30.75" customHeight="1">
      <c r="A94" s="243"/>
      <c r="B94" s="272" t="s">
        <v>1078</v>
      </c>
      <c r="C94" s="272" t="s">
        <v>139</v>
      </c>
      <c r="D94" s="279" t="s">
        <v>1326</v>
      </c>
      <c r="E94" s="274" t="s">
        <v>1374</v>
      </c>
    </row>
    <row r="95" spans="1:5" s="241" customFormat="1" ht="30.75" customHeight="1">
      <c r="A95" s="243"/>
      <c r="B95" s="272" t="s">
        <v>1078</v>
      </c>
      <c r="C95" s="272" t="s">
        <v>136</v>
      </c>
      <c r="D95" s="279" t="s">
        <v>1327</v>
      </c>
      <c r="E95" s="274" t="s">
        <v>1375</v>
      </c>
    </row>
    <row r="96" spans="1:5" s="241" customFormat="1" ht="30.75" customHeight="1">
      <c r="A96" s="243"/>
      <c r="B96" s="272" t="s">
        <v>1078</v>
      </c>
      <c r="C96" s="272" t="s">
        <v>136</v>
      </c>
      <c r="D96" s="279" t="s">
        <v>1328</v>
      </c>
      <c r="E96" s="274" t="s">
        <v>1376</v>
      </c>
    </row>
    <row r="97" spans="1:5" s="241" customFormat="1" ht="30.75" customHeight="1">
      <c r="A97" s="243"/>
      <c r="B97" s="272" t="s">
        <v>1078</v>
      </c>
      <c r="C97" s="272" t="s">
        <v>136</v>
      </c>
      <c r="D97" s="279" t="s">
        <v>1329</v>
      </c>
      <c r="E97" s="274" t="s">
        <v>1377</v>
      </c>
    </row>
    <row r="98" spans="1:5" s="241" customFormat="1" ht="30.75" customHeight="1">
      <c r="A98" s="243"/>
      <c r="B98" s="272" t="s">
        <v>1078</v>
      </c>
      <c r="C98" s="272" t="s">
        <v>136</v>
      </c>
      <c r="D98" s="279" t="s">
        <v>1330</v>
      </c>
      <c r="E98" s="274" t="s">
        <v>1378</v>
      </c>
    </row>
    <row r="99" spans="1:5" s="241" customFormat="1" ht="30.75" customHeight="1">
      <c r="A99" s="243"/>
      <c r="B99" s="272" t="s">
        <v>1078</v>
      </c>
      <c r="C99" s="272" t="s">
        <v>139</v>
      </c>
      <c r="D99" s="279" t="s">
        <v>1331</v>
      </c>
      <c r="E99" s="274" t="s">
        <v>1379</v>
      </c>
    </row>
    <row r="100" spans="1:5" s="241" customFormat="1" ht="30.75" customHeight="1">
      <c r="A100" s="243"/>
      <c r="B100" s="272" t="s">
        <v>1078</v>
      </c>
      <c r="C100" s="272" t="s">
        <v>139</v>
      </c>
      <c r="D100" s="279" t="s">
        <v>1332</v>
      </c>
      <c r="E100" s="274" t="s">
        <v>1380</v>
      </c>
    </row>
    <row r="101" spans="1:5" s="241" customFormat="1" ht="30.75" customHeight="1">
      <c r="A101" s="243"/>
      <c r="B101" s="272" t="s">
        <v>1078</v>
      </c>
      <c r="C101" s="272" t="s">
        <v>139</v>
      </c>
      <c r="D101" s="279" t="s">
        <v>1333</v>
      </c>
      <c r="E101" s="274" t="s">
        <v>1381</v>
      </c>
    </row>
    <row r="102" spans="1:5" s="241" customFormat="1" ht="30.75" customHeight="1">
      <c r="A102" s="243"/>
      <c r="B102" s="272" t="s">
        <v>1078</v>
      </c>
      <c r="C102" s="272" t="s">
        <v>139</v>
      </c>
      <c r="D102" s="279" t="s">
        <v>1334</v>
      </c>
      <c r="E102" s="274" t="s">
        <v>1382</v>
      </c>
    </row>
    <row r="103" spans="1:5" s="241" customFormat="1" ht="30.75" customHeight="1">
      <c r="A103" s="243"/>
      <c r="B103" s="272" t="s">
        <v>1078</v>
      </c>
      <c r="C103" s="272" t="s">
        <v>139</v>
      </c>
      <c r="D103" s="279" t="s">
        <v>1335</v>
      </c>
      <c r="E103" s="274" t="s">
        <v>1383</v>
      </c>
    </row>
    <row r="104" spans="1:5" s="241" customFormat="1" ht="30.75" customHeight="1">
      <c r="A104" s="243"/>
      <c r="B104" s="272" t="s">
        <v>1078</v>
      </c>
      <c r="C104" s="272" t="s">
        <v>139</v>
      </c>
      <c r="D104" s="279" t="s">
        <v>1336</v>
      </c>
      <c r="E104" s="274" t="s">
        <v>1384</v>
      </c>
    </row>
    <row r="105" spans="1:5" s="241" customFormat="1" ht="30.75" customHeight="1">
      <c r="A105" s="243"/>
      <c r="B105" s="272" t="s">
        <v>1078</v>
      </c>
      <c r="C105" s="272" t="s">
        <v>139</v>
      </c>
      <c r="D105" s="279" t="s">
        <v>1337</v>
      </c>
      <c r="E105" s="274" t="s">
        <v>1385</v>
      </c>
    </row>
    <row r="106" spans="1:5" s="241" customFormat="1" ht="30.75" customHeight="1">
      <c r="A106" s="243"/>
      <c r="B106" s="272" t="s">
        <v>1078</v>
      </c>
      <c r="C106" s="272" t="s">
        <v>139</v>
      </c>
      <c r="D106" s="279" t="s">
        <v>1338</v>
      </c>
      <c r="E106" s="274" t="s">
        <v>1386</v>
      </c>
    </row>
    <row r="107" spans="1:5" s="241" customFormat="1" ht="30.75" customHeight="1">
      <c r="A107" s="243"/>
      <c r="B107" s="272" t="s">
        <v>1078</v>
      </c>
      <c r="C107" s="272" t="s">
        <v>139</v>
      </c>
      <c r="D107" s="279" t="s">
        <v>1339</v>
      </c>
      <c r="E107" s="274" t="s">
        <v>1387</v>
      </c>
    </row>
    <row r="108" spans="1:5" s="241" customFormat="1" ht="30.75" customHeight="1">
      <c r="A108" s="243"/>
      <c r="B108" s="272" t="s">
        <v>1078</v>
      </c>
      <c r="C108" s="272" t="s">
        <v>139</v>
      </c>
      <c r="D108" s="279" t="s">
        <v>1340</v>
      </c>
      <c r="E108" s="274" t="s">
        <v>1388</v>
      </c>
    </row>
    <row r="109" spans="1:5" s="241" customFormat="1" ht="30.75" customHeight="1">
      <c r="A109" s="243"/>
      <c r="B109" s="272" t="s">
        <v>1078</v>
      </c>
      <c r="C109" s="272" t="s">
        <v>136</v>
      </c>
      <c r="D109" s="279" t="s">
        <v>1341</v>
      </c>
      <c r="E109" s="274" t="s">
        <v>1389</v>
      </c>
    </row>
    <row r="110" spans="1:5" s="241" customFormat="1" ht="30.75" customHeight="1">
      <c r="A110" s="243"/>
      <c r="B110" s="272" t="s">
        <v>1078</v>
      </c>
      <c r="C110" s="272" t="s">
        <v>139</v>
      </c>
      <c r="D110" s="279" t="s">
        <v>1342</v>
      </c>
      <c r="E110" s="274" t="s">
        <v>1390</v>
      </c>
    </row>
    <row r="111" spans="1:5" s="241" customFormat="1" ht="30.75" customHeight="1">
      <c r="A111" s="243"/>
      <c r="B111" s="272" t="s">
        <v>1078</v>
      </c>
      <c r="C111" s="272" t="s">
        <v>139</v>
      </c>
      <c r="D111" s="279" t="s">
        <v>1343</v>
      </c>
      <c r="E111" s="274" t="s">
        <v>1391</v>
      </c>
    </row>
    <row r="112" spans="1:5" s="241" customFormat="1" ht="30.75" customHeight="1">
      <c r="A112" s="243"/>
      <c r="B112" s="272" t="s">
        <v>1078</v>
      </c>
      <c r="C112" s="272" t="s">
        <v>136</v>
      </c>
      <c r="D112" s="279" t="s">
        <v>1344</v>
      </c>
      <c r="E112" s="274" t="s">
        <v>1392</v>
      </c>
    </row>
    <row r="113" spans="1:5" s="241" customFormat="1" ht="30.75" customHeight="1">
      <c r="A113" s="243"/>
      <c r="B113" s="272" t="s">
        <v>1078</v>
      </c>
      <c r="C113" s="272" t="s">
        <v>139</v>
      </c>
      <c r="D113" s="279" t="s">
        <v>1345</v>
      </c>
      <c r="E113" s="274" t="s">
        <v>1393</v>
      </c>
    </row>
    <row r="114" spans="1:5" s="241" customFormat="1" ht="30.75" customHeight="1">
      <c r="A114" s="243"/>
      <c r="B114" s="272" t="s">
        <v>1078</v>
      </c>
      <c r="C114" s="272" t="s">
        <v>139</v>
      </c>
      <c r="D114" s="279" t="s">
        <v>1346</v>
      </c>
      <c r="E114" s="274" t="s">
        <v>1394</v>
      </c>
    </row>
    <row r="115" spans="1:5" s="241" customFormat="1" ht="30.75" customHeight="1">
      <c r="A115" s="243"/>
      <c r="B115" s="272" t="s">
        <v>1078</v>
      </c>
      <c r="C115" s="272" t="s">
        <v>139</v>
      </c>
      <c r="D115" s="273" t="s">
        <v>1347</v>
      </c>
      <c r="E115" s="282" t="s">
        <v>1395</v>
      </c>
    </row>
    <row r="116" spans="1:5" s="241" customFormat="1" ht="30.75" customHeight="1">
      <c r="A116" s="243"/>
      <c r="B116" s="272" t="s">
        <v>1078</v>
      </c>
      <c r="C116" s="272" t="s">
        <v>139</v>
      </c>
      <c r="D116" s="273" t="s">
        <v>1348</v>
      </c>
      <c r="E116" s="274" t="s">
        <v>1396</v>
      </c>
    </row>
    <row r="117" spans="1:5" s="241" customFormat="1" ht="30.75" customHeight="1">
      <c r="A117" s="243"/>
      <c r="B117" s="272" t="s">
        <v>1077</v>
      </c>
      <c r="C117" s="272" t="s">
        <v>136</v>
      </c>
      <c r="D117" s="273" t="s">
        <v>134</v>
      </c>
      <c r="E117" s="274" t="s">
        <v>956</v>
      </c>
    </row>
    <row r="118" spans="1:5" s="241" customFormat="1" ht="30.75" customHeight="1">
      <c r="A118" s="243"/>
      <c r="B118" s="272" t="s">
        <v>1077</v>
      </c>
      <c r="C118" s="272" t="s">
        <v>84</v>
      </c>
      <c r="D118" s="273" t="s">
        <v>1039</v>
      </c>
      <c r="E118" s="274" t="s">
        <v>1063</v>
      </c>
    </row>
    <row r="119" spans="1:5" s="241" customFormat="1" ht="30.75" customHeight="1">
      <c r="A119" s="243"/>
      <c r="B119" s="272" t="s">
        <v>1077</v>
      </c>
      <c r="C119" s="272" t="s">
        <v>84</v>
      </c>
      <c r="D119" s="273" t="s">
        <v>1040</v>
      </c>
      <c r="E119" s="274" t="s">
        <v>1064</v>
      </c>
    </row>
    <row r="120" spans="1:5" s="241" customFormat="1" ht="30.75" customHeight="1">
      <c r="A120" s="243"/>
      <c r="B120" s="272" t="s">
        <v>1077</v>
      </c>
      <c r="C120" s="272" t="s">
        <v>84</v>
      </c>
      <c r="D120" s="273" t="s">
        <v>1041</v>
      </c>
      <c r="E120" s="274" t="s">
        <v>1049</v>
      </c>
    </row>
    <row r="121" spans="1:5" s="241" customFormat="1" ht="30.75" customHeight="1">
      <c r="A121" s="243"/>
      <c r="B121" s="272" t="s">
        <v>1077</v>
      </c>
      <c r="C121" s="272" t="s">
        <v>84</v>
      </c>
      <c r="D121" s="273" t="s">
        <v>1042</v>
      </c>
      <c r="E121" s="274" t="s">
        <v>1065</v>
      </c>
    </row>
    <row r="122" spans="1:5" s="241" customFormat="1" ht="30.75" customHeight="1">
      <c r="A122" s="243"/>
      <c r="B122" s="272" t="s">
        <v>1077</v>
      </c>
      <c r="C122" s="272" t="s">
        <v>84</v>
      </c>
      <c r="D122" s="273" t="s">
        <v>1043</v>
      </c>
      <c r="E122" s="274" t="s">
        <v>1050</v>
      </c>
    </row>
    <row r="123" spans="1:5" s="241" customFormat="1" ht="30.75" customHeight="1">
      <c r="A123" s="243"/>
      <c r="B123" s="272" t="s">
        <v>1077</v>
      </c>
      <c r="C123" s="272" t="s">
        <v>84</v>
      </c>
      <c r="D123" s="273" t="s">
        <v>1044</v>
      </c>
      <c r="E123" s="274" t="s">
        <v>1051</v>
      </c>
    </row>
    <row r="124" spans="1:5" s="241" customFormat="1" ht="30.75" customHeight="1">
      <c r="A124" s="243"/>
      <c r="B124" s="272" t="s">
        <v>1077</v>
      </c>
      <c r="C124" s="272" t="s">
        <v>84</v>
      </c>
      <c r="D124" s="273" t="s">
        <v>1045</v>
      </c>
      <c r="E124" s="274" t="s">
        <v>1066</v>
      </c>
    </row>
    <row r="125" spans="1:5" s="241" customFormat="1" ht="30.75" customHeight="1">
      <c r="A125" s="243"/>
      <c r="B125" s="272" t="s">
        <v>1077</v>
      </c>
      <c r="C125" s="272" t="s">
        <v>84</v>
      </c>
      <c r="D125" s="273" t="s">
        <v>1046</v>
      </c>
      <c r="E125" s="274" t="s">
        <v>1052</v>
      </c>
    </row>
    <row r="126" spans="1:5" s="241" customFormat="1" ht="30.75" customHeight="1">
      <c r="A126" s="243"/>
      <c r="B126" s="272" t="s">
        <v>1077</v>
      </c>
      <c r="C126" s="272" t="s">
        <v>84</v>
      </c>
      <c r="D126" s="273" t="s">
        <v>1047</v>
      </c>
      <c r="E126" s="274" t="s">
        <v>1053</v>
      </c>
    </row>
    <row r="127" spans="1:5" s="241" customFormat="1" ht="30.75" customHeight="1">
      <c r="A127" s="243"/>
      <c r="B127" s="272" t="s">
        <v>1077</v>
      </c>
      <c r="C127" s="272" t="s">
        <v>84</v>
      </c>
      <c r="D127" s="273" t="s">
        <v>1048</v>
      </c>
      <c r="E127" s="274" t="s">
        <v>1054</v>
      </c>
    </row>
    <row r="128" spans="1:5" s="241" customFormat="1" ht="30.75" customHeight="1">
      <c r="A128" s="243"/>
      <c r="B128" s="272" t="s">
        <v>1075</v>
      </c>
      <c r="C128" s="272" t="s">
        <v>7</v>
      </c>
      <c r="D128" s="273" t="s">
        <v>1190</v>
      </c>
      <c r="E128" s="274" t="s">
        <v>1125</v>
      </c>
    </row>
    <row r="129" spans="1:5" s="241" customFormat="1" ht="30.75" customHeight="1">
      <c r="A129" s="243"/>
      <c r="B129" s="272" t="s">
        <v>1075</v>
      </c>
      <c r="C129" s="272" t="s">
        <v>7</v>
      </c>
      <c r="D129" s="273" t="s">
        <v>1191</v>
      </c>
      <c r="E129" s="274" t="s">
        <v>1126</v>
      </c>
    </row>
    <row r="130" spans="1:5" s="241" customFormat="1" ht="30.75" customHeight="1">
      <c r="A130" s="243"/>
      <c r="B130" s="272" t="s">
        <v>1075</v>
      </c>
      <c r="C130" s="272" t="s">
        <v>7</v>
      </c>
      <c r="D130" s="273" t="s">
        <v>1192</v>
      </c>
      <c r="E130" s="274" t="s">
        <v>1127</v>
      </c>
    </row>
    <row r="131" spans="1:5" s="241" customFormat="1" ht="30.75" customHeight="1">
      <c r="A131" s="243"/>
      <c r="B131" s="272" t="s">
        <v>1075</v>
      </c>
      <c r="C131" s="272" t="s">
        <v>7</v>
      </c>
      <c r="D131" s="273" t="s">
        <v>1193</v>
      </c>
      <c r="E131" s="274" t="s">
        <v>1128</v>
      </c>
    </row>
    <row r="132" spans="1:5" s="241" customFormat="1" ht="30.75" customHeight="1">
      <c r="A132" s="243"/>
      <c r="B132" s="272" t="s">
        <v>1075</v>
      </c>
      <c r="C132" s="272" t="s">
        <v>7</v>
      </c>
      <c r="D132" s="273" t="s">
        <v>1194</v>
      </c>
      <c r="E132" s="274" t="s">
        <v>1129</v>
      </c>
    </row>
    <row r="133" spans="1:5" s="241" customFormat="1" ht="30.75" customHeight="1">
      <c r="A133" s="243"/>
      <c r="B133" s="272" t="s">
        <v>1075</v>
      </c>
      <c r="C133" s="272" t="s">
        <v>7</v>
      </c>
      <c r="D133" s="273" t="s">
        <v>1195</v>
      </c>
      <c r="E133" s="274" t="s">
        <v>1130</v>
      </c>
    </row>
    <row r="134" spans="1:5" s="241" customFormat="1" ht="30.75" customHeight="1">
      <c r="A134" s="243"/>
      <c r="B134" s="272" t="s">
        <v>1075</v>
      </c>
      <c r="C134" s="272" t="s">
        <v>7</v>
      </c>
      <c r="D134" s="273" t="s">
        <v>1196</v>
      </c>
      <c r="E134" s="274" t="s">
        <v>1131</v>
      </c>
    </row>
    <row r="135" spans="1:5" s="241" customFormat="1" ht="30.75" customHeight="1">
      <c r="A135" s="243"/>
      <c r="B135" s="272" t="s">
        <v>1075</v>
      </c>
      <c r="C135" s="272" t="s">
        <v>7</v>
      </c>
      <c r="D135" s="273" t="s">
        <v>1197</v>
      </c>
      <c r="E135" s="274" t="s">
        <v>1132</v>
      </c>
    </row>
    <row r="136" spans="1:5" s="241" customFormat="1" ht="30.75" customHeight="1">
      <c r="A136" s="243"/>
      <c r="B136" s="272" t="s">
        <v>1075</v>
      </c>
      <c r="C136" s="272" t="s">
        <v>7</v>
      </c>
      <c r="D136" s="273" t="s">
        <v>1198</v>
      </c>
      <c r="E136" s="274" t="s">
        <v>1133</v>
      </c>
    </row>
    <row r="137" spans="1:5" s="241" customFormat="1" ht="30.75" customHeight="1">
      <c r="A137" s="243"/>
      <c r="B137" s="272" t="s">
        <v>1075</v>
      </c>
      <c r="C137" s="272" t="s">
        <v>7</v>
      </c>
      <c r="D137" s="273" t="s">
        <v>1199</v>
      </c>
      <c r="E137" s="274" t="s">
        <v>1134</v>
      </c>
    </row>
    <row r="138" spans="1:5" s="241" customFormat="1" ht="30.75" customHeight="1">
      <c r="A138" s="243"/>
      <c r="B138" s="272" t="s">
        <v>1075</v>
      </c>
      <c r="C138" s="272" t="s">
        <v>7</v>
      </c>
      <c r="D138" s="273" t="s">
        <v>1200</v>
      </c>
      <c r="E138" s="274" t="s">
        <v>1134</v>
      </c>
    </row>
    <row r="139" spans="1:5" s="241" customFormat="1" ht="30.75" customHeight="1">
      <c r="A139" s="243"/>
      <c r="B139" s="272" t="s">
        <v>1075</v>
      </c>
      <c r="C139" s="272" t="s">
        <v>7</v>
      </c>
      <c r="D139" s="273" t="s">
        <v>1201</v>
      </c>
      <c r="E139" s="274" t="s">
        <v>1134</v>
      </c>
    </row>
    <row r="140" spans="1:5" s="241" customFormat="1" ht="30.75" customHeight="1">
      <c r="A140" s="243"/>
      <c r="B140" s="272" t="s">
        <v>1075</v>
      </c>
      <c r="C140" s="272" t="s">
        <v>7</v>
      </c>
      <c r="D140" s="273" t="s">
        <v>1202</v>
      </c>
      <c r="E140" s="274" t="s">
        <v>1135</v>
      </c>
    </row>
    <row r="141" spans="1:5" s="241" customFormat="1" ht="30.75" customHeight="1">
      <c r="A141" s="243"/>
      <c r="B141" s="272" t="s">
        <v>1075</v>
      </c>
      <c r="C141" s="272" t="s">
        <v>7</v>
      </c>
      <c r="D141" s="273" t="s">
        <v>1203</v>
      </c>
      <c r="E141" s="274" t="s">
        <v>1136</v>
      </c>
    </row>
    <row r="142" spans="1:5" s="241" customFormat="1" ht="30.75" customHeight="1">
      <c r="A142" s="243"/>
      <c r="B142" s="272" t="s">
        <v>1075</v>
      </c>
      <c r="C142" s="272" t="s">
        <v>7</v>
      </c>
      <c r="D142" s="273" t="s">
        <v>1204</v>
      </c>
      <c r="E142" s="274" t="s">
        <v>1137</v>
      </c>
    </row>
    <row r="143" spans="1:5" s="241" customFormat="1" ht="30.75" customHeight="1">
      <c r="A143" s="243"/>
      <c r="B143" s="272" t="s">
        <v>1075</v>
      </c>
      <c r="C143" s="272" t="s">
        <v>7</v>
      </c>
      <c r="D143" s="273" t="s">
        <v>1205</v>
      </c>
      <c r="E143" s="274" t="s">
        <v>1137</v>
      </c>
    </row>
    <row r="144" spans="1:5" s="241" customFormat="1" ht="30.75" customHeight="1">
      <c r="A144" s="243"/>
      <c r="B144" s="272" t="s">
        <v>1075</v>
      </c>
      <c r="C144" s="272" t="s">
        <v>7</v>
      </c>
      <c r="D144" s="273" t="s">
        <v>1206</v>
      </c>
      <c r="E144" s="274" t="s">
        <v>1138</v>
      </c>
    </row>
    <row r="145" spans="1:5" s="241" customFormat="1" ht="30.75" customHeight="1">
      <c r="A145" s="243"/>
      <c r="B145" s="272" t="s">
        <v>1075</v>
      </c>
      <c r="C145" s="272" t="s">
        <v>7</v>
      </c>
      <c r="D145" s="273" t="s">
        <v>1207</v>
      </c>
      <c r="E145" s="274" t="s">
        <v>1139</v>
      </c>
    </row>
    <row r="146" spans="1:5" s="241" customFormat="1" ht="30.75" customHeight="1">
      <c r="A146" s="243"/>
      <c r="B146" s="272" t="s">
        <v>1075</v>
      </c>
      <c r="C146" s="272" t="s">
        <v>7</v>
      </c>
      <c r="D146" s="273" t="s">
        <v>1208</v>
      </c>
      <c r="E146" s="274" t="s">
        <v>1140</v>
      </c>
    </row>
    <row r="147" spans="1:5" s="241" customFormat="1" ht="30.75" customHeight="1">
      <c r="A147" s="243"/>
      <c r="B147" s="272" t="s">
        <v>1075</v>
      </c>
      <c r="C147" s="272" t="s">
        <v>7</v>
      </c>
      <c r="D147" s="273" t="s">
        <v>1209</v>
      </c>
      <c r="E147" s="274" t="s">
        <v>1141</v>
      </c>
    </row>
    <row r="148" spans="1:5" s="241" customFormat="1" ht="30.75" customHeight="1">
      <c r="A148" s="243"/>
      <c r="B148" s="272" t="s">
        <v>1075</v>
      </c>
      <c r="C148" s="272" t="s">
        <v>7</v>
      </c>
      <c r="D148" s="273" t="s">
        <v>1210</v>
      </c>
      <c r="E148" s="274" t="s">
        <v>1142</v>
      </c>
    </row>
    <row r="149" spans="1:5" s="241" customFormat="1" ht="30.75" customHeight="1">
      <c r="A149" s="243"/>
      <c r="B149" s="272" t="s">
        <v>1075</v>
      </c>
      <c r="C149" s="272" t="s">
        <v>7</v>
      </c>
      <c r="D149" s="273" t="s">
        <v>1211</v>
      </c>
      <c r="E149" s="274" t="s">
        <v>1143</v>
      </c>
    </row>
    <row r="150" spans="1:5" s="241" customFormat="1" ht="30.75" customHeight="1">
      <c r="A150" s="243"/>
      <c r="B150" s="272" t="s">
        <v>1075</v>
      </c>
      <c r="C150" s="272" t="s">
        <v>7</v>
      </c>
      <c r="D150" s="273" t="s">
        <v>1212</v>
      </c>
      <c r="E150" s="274" t="s">
        <v>1144</v>
      </c>
    </row>
    <row r="151" spans="1:5" s="241" customFormat="1" ht="30.75" customHeight="1">
      <c r="A151" s="243"/>
      <c r="B151" s="272" t="s">
        <v>1075</v>
      </c>
      <c r="C151" s="272" t="s">
        <v>7</v>
      </c>
      <c r="D151" s="273" t="s">
        <v>1213</v>
      </c>
      <c r="E151" s="274" t="s">
        <v>1145</v>
      </c>
    </row>
    <row r="152" spans="1:5" s="241" customFormat="1" ht="30.75" customHeight="1">
      <c r="A152" s="243"/>
      <c r="B152" s="272" t="s">
        <v>1075</v>
      </c>
      <c r="C152" s="272" t="s">
        <v>7</v>
      </c>
      <c r="D152" s="273" t="s">
        <v>1214</v>
      </c>
      <c r="E152" s="274" t="s">
        <v>1146</v>
      </c>
    </row>
    <row r="153" spans="1:5" s="241" customFormat="1" ht="30.75" customHeight="1">
      <c r="A153" s="243"/>
      <c r="B153" s="272" t="s">
        <v>1075</v>
      </c>
      <c r="C153" s="272" t="s">
        <v>7</v>
      </c>
      <c r="D153" s="273" t="s">
        <v>1215</v>
      </c>
      <c r="E153" s="274" t="s">
        <v>1147</v>
      </c>
    </row>
    <row r="154" spans="1:5" s="241" customFormat="1" ht="30.75" customHeight="1">
      <c r="A154" s="243"/>
      <c r="B154" s="272" t="s">
        <v>1075</v>
      </c>
      <c r="C154" s="272" t="s">
        <v>7</v>
      </c>
      <c r="D154" s="273" t="s">
        <v>1216</v>
      </c>
      <c r="E154" s="274" t="s">
        <v>1148</v>
      </c>
    </row>
    <row r="155" spans="1:5" s="241" customFormat="1" ht="30.75" customHeight="1">
      <c r="A155" s="243"/>
      <c r="B155" s="272" t="s">
        <v>1075</v>
      </c>
      <c r="C155" s="272" t="s">
        <v>7</v>
      </c>
      <c r="D155" s="273" t="s">
        <v>1217</v>
      </c>
      <c r="E155" s="274" t="s">
        <v>1149</v>
      </c>
    </row>
    <row r="156" spans="1:5" s="241" customFormat="1" ht="30.75" customHeight="1">
      <c r="A156" s="243"/>
      <c r="B156" s="272" t="s">
        <v>1075</v>
      </c>
      <c r="C156" s="272" t="s">
        <v>7</v>
      </c>
      <c r="D156" s="273" t="s">
        <v>1218</v>
      </c>
      <c r="E156" s="274" t="s">
        <v>1150</v>
      </c>
    </row>
    <row r="157" spans="1:5" s="241" customFormat="1" ht="30.75" customHeight="1">
      <c r="A157" s="243"/>
      <c r="B157" s="272" t="s">
        <v>1075</v>
      </c>
      <c r="C157" s="272" t="s">
        <v>7</v>
      </c>
      <c r="D157" s="273" t="s">
        <v>1219</v>
      </c>
      <c r="E157" s="274" t="s">
        <v>1151</v>
      </c>
    </row>
    <row r="158" spans="1:5" s="241" customFormat="1" ht="30.75" customHeight="1">
      <c r="A158" s="243"/>
      <c r="B158" s="272" t="s">
        <v>1075</v>
      </c>
      <c r="C158" s="272" t="s">
        <v>7</v>
      </c>
      <c r="D158" s="273" t="s">
        <v>1220</v>
      </c>
      <c r="E158" s="274" t="s">
        <v>1152</v>
      </c>
    </row>
    <row r="159" spans="1:5" s="241" customFormat="1" ht="30.75" customHeight="1">
      <c r="A159" s="243"/>
      <c r="B159" s="272" t="s">
        <v>1075</v>
      </c>
      <c r="C159" s="272" t="s">
        <v>7</v>
      </c>
      <c r="D159" s="273" t="s">
        <v>1221</v>
      </c>
      <c r="E159" s="274" t="s">
        <v>1153</v>
      </c>
    </row>
    <row r="160" spans="1:5" s="241" customFormat="1" ht="30.75" customHeight="1">
      <c r="A160" s="243"/>
      <c r="B160" s="272" t="s">
        <v>1075</v>
      </c>
      <c r="C160" s="272" t="s">
        <v>7</v>
      </c>
      <c r="D160" s="273" t="s">
        <v>1222</v>
      </c>
      <c r="E160" s="274" t="s">
        <v>1154</v>
      </c>
    </row>
    <row r="161" spans="1:5" s="241" customFormat="1" ht="30.75" customHeight="1">
      <c r="A161" s="243"/>
      <c r="B161" s="272" t="s">
        <v>1075</v>
      </c>
      <c r="C161" s="272" t="s">
        <v>7</v>
      </c>
      <c r="D161" s="273" t="s">
        <v>1223</v>
      </c>
      <c r="E161" s="274" t="s">
        <v>1155</v>
      </c>
    </row>
    <row r="162" spans="1:5" s="241" customFormat="1" ht="30.75" customHeight="1">
      <c r="A162" s="243"/>
      <c r="B162" s="272" t="s">
        <v>1075</v>
      </c>
      <c r="C162" s="272" t="s">
        <v>7</v>
      </c>
      <c r="D162" s="273" t="s">
        <v>1224</v>
      </c>
      <c r="E162" s="274" t="s">
        <v>1156</v>
      </c>
    </row>
    <row r="163" spans="1:5" s="241" customFormat="1" ht="30.75" customHeight="1">
      <c r="A163" s="243"/>
      <c r="B163" s="272" t="s">
        <v>1075</v>
      </c>
      <c r="C163" s="272" t="s">
        <v>7</v>
      </c>
      <c r="D163" s="273" t="s">
        <v>1225</v>
      </c>
      <c r="E163" s="274" t="s">
        <v>1157</v>
      </c>
    </row>
    <row r="164" spans="1:5" s="241" customFormat="1" ht="30.75" customHeight="1">
      <c r="A164" s="243"/>
      <c r="B164" s="272" t="s">
        <v>1075</v>
      </c>
      <c r="C164" s="272" t="s">
        <v>7</v>
      </c>
      <c r="D164" s="273" t="s">
        <v>1226</v>
      </c>
      <c r="E164" s="274" t="s">
        <v>1158</v>
      </c>
    </row>
    <row r="165" spans="1:5" s="241" customFormat="1" ht="30.75" customHeight="1">
      <c r="A165" s="243"/>
      <c r="B165" s="272" t="s">
        <v>1075</v>
      </c>
      <c r="C165" s="272" t="s">
        <v>7</v>
      </c>
      <c r="D165" s="273" t="s">
        <v>1227</v>
      </c>
      <c r="E165" s="274" t="s">
        <v>1159</v>
      </c>
    </row>
    <row r="166" spans="1:5" s="241" customFormat="1" ht="30.75" customHeight="1">
      <c r="A166" s="243"/>
      <c r="B166" s="272" t="s">
        <v>1075</v>
      </c>
      <c r="C166" s="272" t="s">
        <v>7</v>
      </c>
      <c r="D166" s="273" t="s">
        <v>1228</v>
      </c>
      <c r="E166" s="274" t="s">
        <v>1160</v>
      </c>
    </row>
    <row r="167" spans="1:5" s="241" customFormat="1" ht="30.75" customHeight="1">
      <c r="A167" s="243"/>
      <c r="B167" s="272" t="s">
        <v>1075</v>
      </c>
      <c r="C167" s="272" t="s">
        <v>7</v>
      </c>
      <c r="D167" s="273" t="s">
        <v>1229</v>
      </c>
      <c r="E167" s="274" t="s">
        <v>1161</v>
      </c>
    </row>
    <row r="168" spans="1:5" s="241" customFormat="1" ht="30.75" customHeight="1">
      <c r="A168" s="243"/>
      <c r="B168" s="272" t="s">
        <v>1075</v>
      </c>
      <c r="C168" s="272" t="s">
        <v>7</v>
      </c>
      <c r="D168" s="273" t="s">
        <v>1230</v>
      </c>
      <c r="E168" s="274" t="s">
        <v>1162</v>
      </c>
    </row>
    <row r="169" spans="1:5" s="241" customFormat="1" ht="30.75" customHeight="1">
      <c r="A169" s="243"/>
      <c r="B169" s="272" t="s">
        <v>1075</v>
      </c>
      <c r="C169" s="272" t="s">
        <v>7</v>
      </c>
      <c r="D169" s="273" t="s">
        <v>1231</v>
      </c>
      <c r="E169" s="274" t="s">
        <v>1163</v>
      </c>
    </row>
    <row r="170" spans="1:5" s="241" customFormat="1" ht="30.75" customHeight="1">
      <c r="A170" s="243"/>
      <c r="B170" s="272" t="s">
        <v>1075</v>
      </c>
      <c r="C170" s="272" t="s">
        <v>7</v>
      </c>
      <c r="D170" s="273" t="s">
        <v>1232</v>
      </c>
      <c r="E170" s="274" t="s">
        <v>1164</v>
      </c>
    </row>
    <row r="171" spans="1:5" s="241" customFormat="1" ht="30.75" customHeight="1">
      <c r="A171" s="243"/>
      <c r="B171" s="272" t="s">
        <v>1075</v>
      </c>
      <c r="C171" s="272" t="s">
        <v>7</v>
      </c>
      <c r="D171" s="273" t="s">
        <v>1233</v>
      </c>
      <c r="E171" s="274" t="s">
        <v>1165</v>
      </c>
    </row>
    <row r="172" spans="1:5" s="241" customFormat="1" ht="30.75" customHeight="1">
      <c r="A172" s="243"/>
      <c r="B172" s="272" t="s">
        <v>1075</v>
      </c>
      <c r="C172" s="272" t="s">
        <v>7</v>
      </c>
      <c r="D172" s="273" t="s">
        <v>1234</v>
      </c>
      <c r="E172" s="274" t="s">
        <v>1166</v>
      </c>
    </row>
    <row r="173" spans="1:5" s="241" customFormat="1" ht="30.75" customHeight="1">
      <c r="A173" s="243"/>
      <c r="B173" s="272" t="s">
        <v>1075</v>
      </c>
      <c r="C173" s="272" t="s">
        <v>7</v>
      </c>
      <c r="D173" s="273" t="s">
        <v>1235</v>
      </c>
      <c r="E173" s="274" t="s">
        <v>1167</v>
      </c>
    </row>
    <row r="174" spans="1:5" s="241" customFormat="1" ht="30.75" customHeight="1">
      <c r="A174" s="243"/>
      <c r="B174" s="272" t="s">
        <v>1075</v>
      </c>
      <c r="C174" s="272" t="s">
        <v>7</v>
      </c>
      <c r="D174" s="273" t="s">
        <v>1236</v>
      </c>
      <c r="E174" s="274" t="s">
        <v>1168</v>
      </c>
    </row>
    <row r="175" spans="1:5" s="241" customFormat="1" ht="30.75" customHeight="1">
      <c r="A175" s="243"/>
      <c r="B175" s="272" t="s">
        <v>1075</v>
      </c>
      <c r="C175" s="272" t="s">
        <v>7</v>
      </c>
      <c r="D175" s="273" t="s">
        <v>1237</v>
      </c>
      <c r="E175" s="274" t="s">
        <v>1169</v>
      </c>
    </row>
    <row r="176" spans="1:5" s="241" customFormat="1" ht="30.75" customHeight="1">
      <c r="A176" s="243"/>
      <c r="B176" s="272" t="s">
        <v>1075</v>
      </c>
      <c r="C176" s="272" t="s">
        <v>7</v>
      </c>
      <c r="D176" s="273" t="s">
        <v>1238</v>
      </c>
      <c r="E176" s="274" t="s">
        <v>1170</v>
      </c>
    </row>
    <row r="177" spans="1:5" s="241" customFormat="1" ht="30.75" customHeight="1">
      <c r="A177" s="243"/>
      <c r="B177" s="272" t="s">
        <v>1075</v>
      </c>
      <c r="C177" s="272" t="s">
        <v>7</v>
      </c>
      <c r="D177" s="273" t="s">
        <v>1239</v>
      </c>
      <c r="E177" s="274" t="s">
        <v>1171</v>
      </c>
    </row>
    <row r="178" spans="1:5" s="241" customFormat="1" ht="30.75" customHeight="1">
      <c r="A178" s="243"/>
      <c r="B178" s="272" t="s">
        <v>1075</v>
      </c>
      <c r="C178" s="272" t="s">
        <v>7</v>
      </c>
      <c r="D178" s="273" t="s">
        <v>1240</v>
      </c>
      <c r="E178" s="274" t="s">
        <v>1172</v>
      </c>
    </row>
    <row r="179" spans="1:5" s="241" customFormat="1" ht="30.75" customHeight="1">
      <c r="A179" s="243"/>
      <c r="B179" s="272" t="s">
        <v>1075</v>
      </c>
      <c r="C179" s="272" t="s">
        <v>7</v>
      </c>
      <c r="D179" s="273" t="s">
        <v>1241</v>
      </c>
      <c r="E179" s="274" t="s">
        <v>1173</v>
      </c>
    </row>
    <row r="180" spans="1:5" s="241" customFormat="1" ht="30.75" customHeight="1">
      <c r="A180" s="243"/>
      <c r="B180" s="272" t="s">
        <v>1075</v>
      </c>
      <c r="C180" s="272" t="s">
        <v>7</v>
      </c>
      <c r="D180" s="273" t="s">
        <v>1242</v>
      </c>
      <c r="E180" s="274" t="s">
        <v>1174</v>
      </c>
    </row>
    <row r="181" spans="1:5" s="241" customFormat="1" ht="30.75" customHeight="1">
      <c r="A181" s="243"/>
      <c r="B181" s="272" t="s">
        <v>1075</v>
      </c>
      <c r="C181" s="272" t="s">
        <v>7</v>
      </c>
      <c r="D181" s="273" t="s">
        <v>1243</v>
      </c>
      <c r="E181" s="274" t="s">
        <v>1175</v>
      </c>
    </row>
    <row r="182" spans="1:5" s="241" customFormat="1" ht="30.75" customHeight="1">
      <c r="A182" s="243"/>
      <c r="B182" s="272" t="s">
        <v>1075</v>
      </c>
      <c r="C182" s="272" t="s">
        <v>7</v>
      </c>
      <c r="D182" s="273" t="s">
        <v>1236</v>
      </c>
      <c r="E182" s="274" t="s">
        <v>1176</v>
      </c>
    </row>
    <row r="183" spans="1:5" s="241" customFormat="1" ht="30.75" customHeight="1">
      <c r="A183" s="243"/>
      <c r="B183" s="272" t="s">
        <v>1075</v>
      </c>
      <c r="C183" s="272" t="s">
        <v>7</v>
      </c>
      <c r="D183" s="273" t="s">
        <v>1244</v>
      </c>
      <c r="E183" s="274" t="s">
        <v>1177</v>
      </c>
    </row>
    <row r="184" spans="1:5" s="241" customFormat="1" ht="30.75" customHeight="1">
      <c r="A184" s="243"/>
      <c r="B184" s="272" t="s">
        <v>1075</v>
      </c>
      <c r="C184" s="272" t="s">
        <v>7</v>
      </c>
      <c r="D184" s="273" t="s">
        <v>1245</v>
      </c>
      <c r="E184" s="283" t="s">
        <v>1178</v>
      </c>
    </row>
    <row r="185" spans="1:5" s="241" customFormat="1" ht="30.75" customHeight="1">
      <c r="A185" s="243"/>
      <c r="B185" s="272" t="s">
        <v>1075</v>
      </c>
      <c r="C185" s="272" t="s">
        <v>7</v>
      </c>
      <c r="D185" s="277" t="s">
        <v>1246</v>
      </c>
      <c r="E185" s="283" t="s">
        <v>1179</v>
      </c>
    </row>
    <row r="186" spans="1:5" s="241" customFormat="1" ht="30.75" customHeight="1">
      <c r="A186" s="243"/>
      <c r="B186" s="272" t="s">
        <v>1468</v>
      </c>
      <c r="C186" s="272" t="s">
        <v>139</v>
      </c>
      <c r="D186" s="273" t="s">
        <v>544</v>
      </c>
      <c r="E186" s="274" t="s">
        <v>543</v>
      </c>
    </row>
    <row r="187" spans="1:5" s="241" customFormat="1" ht="30.75" customHeight="1">
      <c r="A187" s="243"/>
      <c r="B187" s="272" t="s">
        <v>1468</v>
      </c>
      <c r="C187" s="272" t="s">
        <v>94</v>
      </c>
      <c r="D187" s="273" t="s">
        <v>691</v>
      </c>
      <c r="E187" s="274" t="s">
        <v>692</v>
      </c>
    </row>
    <row r="188" spans="1:5" s="241" customFormat="1" ht="30.75" customHeight="1">
      <c r="A188" s="243"/>
      <c r="B188" s="272" t="s">
        <v>1468</v>
      </c>
      <c r="C188" s="272" t="s">
        <v>7</v>
      </c>
      <c r="D188" s="273" t="s">
        <v>1103</v>
      </c>
      <c r="E188" s="274" t="s">
        <v>1105</v>
      </c>
    </row>
    <row r="189" spans="1:5" s="241" customFormat="1" ht="30.75" customHeight="1">
      <c r="A189" s="243"/>
      <c r="B189" s="272" t="s">
        <v>1468</v>
      </c>
      <c r="C189" s="272" t="s">
        <v>7</v>
      </c>
      <c r="D189" s="273" t="s">
        <v>1104</v>
      </c>
      <c r="E189" s="274" t="s">
        <v>1106</v>
      </c>
    </row>
    <row r="190" spans="1:5" s="241" customFormat="1" ht="30.75" customHeight="1">
      <c r="A190" s="243"/>
      <c r="B190" s="272" t="s">
        <v>1468</v>
      </c>
      <c r="C190" s="272" t="s">
        <v>139</v>
      </c>
      <c r="D190" s="273" t="s">
        <v>1297</v>
      </c>
      <c r="E190" s="275" t="s">
        <v>1298</v>
      </c>
    </row>
    <row r="191" spans="1:5" s="241" customFormat="1" ht="30.75" customHeight="1">
      <c r="A191" s="243"/>
      <c r="B191" s="272" t="s">
        <v>1073</v>
      </c>
      <c r="C191" s="272" t="s">
        <v>136</v>
      </c>
      <c r="D191" s="273" t="s">
        <v>123</v>
      </c>
      <c r="E191" s="275" t="s">
        <v>885</v>
      </c>
    </row>
    <row r="192" spans="1:5" s="241" customFormat="1" ht="30.75" customHeight="1">
      <c r="A192" s="243"/>
      <c r="B192" s="272" t="s">
        <v>1073</v>
      </c>
      <c r="C192" s="272" t="s">
        <v>33</v>
      </c>
      <c r="D192" s="273" t="s">
        <v>886</v>
      </c>
      <c r="E192" s="274" t="s">
        <v>887</v>
      </c>
    </row>
    <row r="193" spans="1:5" s="241" customFormat="1" ht="30.75" customHeight="1">
      <c r="A193" s="243"/>
      <c r="B193" s="272" t="s">
        <v>1073</v>
      </c>
      <c r="C193" s="272" t="s">
        <v>7</v>
      </c>
      <c r="D193" s="273" t="s">
        <v>1284</v>
      </c>
      <c r="E193" s="274" t="s">
        <v>1283</v>
      </c>
    </row>
    <row r="194" spans="1:5" s="241" customFormat="1" ht="30.75" customHeight="1">
      <c r="A194" s="243"/>
      <c r="B194" s="272" t="s">
        <v>1073</v>
      </c>
      <c r="C194" s="272" t="s">
        <v>84</v>
      </c>
      <c r="D194" s="273" t="s">
        <v>1286</v>
      </c>
      <c r="E194" s="274" t="s">
        <v>1476</v>
      </c>
    </row>
    <row r="195" spans="1:5" s="241" customFormat="1" ht="30.75" customHeight="1">
      <c r="A195" s="243"/>
      <c r="B195" s="272" t="s">
        <v>1073</v>
      </c>
      <c r="C195" s="272" t="s">
        <v>84</v>
      </c>
      <c r="D195" s="273" t="s">
        <v>1286</v>
      </c>
      <c r="E195" s="274" t="s">
        <v>1477</v>
      </c>
    </row>
    <row r="196" spans="1:5" s="241" customFormat="1" ht="30.75" customHeight="1">
      <c r="A196" s="243"/>
      <c r="B196" s="272" t="s">
        <v>1073</v>
      </c>
      <c r="C196" s="272" t="s">
        <v>84</v>
      </c>
      <c r="D196" s="273" t="s">
        <v>1286</v>
      </c>
      <c r="E196" s="274" t="s">
        <v>1478</v>
      </c>
    </row>
    <row r="197" spans="1:5" s="241" customFormat="1" ht="30.75" customHeight="1">
      <c r="A197" s="243"/>
      <c r="B197" s="272" t="s">
        <v>1073</v>
      </c>
      <c r="C197" s="272" t="s">
        <v>84</v>
      </c>
      <c r="D197" s="273" t="s">
        <v>1286</v>
      </c>
      <c r="E197" s="274" t="s">
        <v>1479</v>
      </c>
    </row>
    <row r="198" spans="1:5" s="241" customFormat="1" ht="30.75" customHeight="1">
      <c r="A198" s="243"/>
      <c r="B198" s="272" t="s">
        <v>1073</v>
      </c>
      <c r="C198" s="272" t="s">
        <v>84</v>
      </c>
      <c r="D198" s="273" t="s">
        <v>1286</v>
      </c>
      <c r="E198" s="275" t="s">
        <v>1480</v>
      </c>
    </row>
    <row r="199" spans="1:5" s="241" customFormat="1" ht="30.75" customHeight="1">
      <c r="A199" s="243"/>
      <c r="B199" s="272" t="s">
        <v>1076</v>
      </c>
      <c r="C199" s="272" t="s">
        <v>139</v>
      </c>
      <c r="D199" s="273" t="s">
        <v>137</v>
      </c>
      <c r="E199" s="274" t="s">
        <v>741</v>
      </c>
    </row>
    <row r="200" spans="1:5" s="241" customFormat="1" ht="30.75" customHeight="1">
      <c r="A200" s="243"/>
      <c r="B200" s="272" t="s">
        <v>1076</v>
      </c>
      <c r="C200" s="272" t="s">
        <v>84</v>
      </c>
      <c r="D200" s="273" t="s">
        <v>77</v>
      </c>
      <c r="E200" s="274" t="s">
        <v>890</v>
      </c>
    </row>
    <row r="201" spans="1:5" s="241" customFormat="1" ht="30.75" customHeight="1">
      <c r="A201" s="243"/>
      <c r="B201" s="272" t="s">
        <v>1076</v>
      </c>
      <c r="C201" s="272" t="s">
        <v>84</v>
      </c>
      <c r="D201" s="277" t="s">
        <v>76</v>
      </c>
      <c r="E201" s="274" t="s">
        <v>891</v>
      </c>
    </row>
    <row r="202" spans="1:5" s="241" customFormat="1" ht="30.75" customHeight="1">
      <c r="A202" s="243"/>
      <c r="B202" s="272" t="s">
        <v>1076</v>
      </c>
      <c r="C202" s="272" t="s">
        <v>94</v>
      </c>
      <c r="D202" s="277" t="s">
        <v>52</v>
      </c>
      <c r="E202" s="274" t="s">
        <v>892</v>
      </c>
    </row>
    <row r="203" spans="1:5" s="241" customFormat="1" ht="30.75" customHeight="1">
      <c r="A203" s="243"/>
      <c r="B203" s="272" t="s">
        <v>1076</v>
      </c>
      <c r="C203" s="272" t="s">
        <v>94</v>
      </c>
      <c r="D203" s="277" t="s">
        <v>85</v>
      </c>
      <c r="E203" s="274" t="s">
        <v>893</v>
      </c>
    </row>
    <row r="204" spans="1:5" ht="30.75" customHeight="1">
      <c r="B204" s="272" t="s">
        <v>1076</v>
      </c>
      <c r="C204" s="272" t="s">
        <v>33</v>
      </c>
      <c r="D204" s="273" t="s">
        <v>31</v>
      </c>
      <c r="E204" s="274" t="s">
        <v>521</v>
      </c>
    </row>
    <row r="205" spans="1:5" ht="30.75" customHeight="1">
      <c r="B205" s="272" t="s">
        <v>1076</v>
      </c>
      <c r="C205" s="272" t="s">
        <v>33</v>
      </c>
      <c r="D205" s="273" t="s">
        <v>30</v>
      </c>
      <c r="E205" s="274" t="s">
        <v>437</v>
      </c>
    </row>
    <row r="206" spans="1:5" ht="30.75" customHeight="1">
      <c r="B206" s="272" t="s">
        <v>1076</v>
      </c>
      <c r="C206" s="272" t="s">
        <v>33</v>
      </c>
      <c r="D206" s="273" t="s">
        <v>29</v>
      </c>
      <c r="E206" s="274" t="s">
        <v>438</v>
      </c>
    </row>
    <row r="207" spans="1:5" ht="30.75" customHeight="1">
      <c r="B207" s="272" t="s">
        <v>1076</v>
      </c>
      <c r="C207" s="272" t="s">
        <v>33</v>
      </c>
      <c r="D207" s="273" t="s">
        <v>28</v>
      </c>
      <c r="E207" s="274" t="s">
        <v>439</v>
      </c>
    </row>
    <row r="208" spans="1:5" ht="30.75" customHeight="1">
      <c r="B208" s="272" t="s">
        <v>1076</v>
      </c>
      <c r="C208" s="272" t="s">
        <v>33</v>
      </c>
      <c r="D208" s="273" t="s">
        <v>1485</v>
      </c>
      <c r="E208" s="274" t="s">
        <v>440</v>
      </c>
    </row>
    <row r="209" spans="2:5" ht="30.75" customHeight="1">
      <c r="B209" s="272" t="s">
        <v>1076</v>
      </c>
      <c r="C209" s="272" t="s">
        <v>33</v>
      </c>
      <c r="D209" s="273" t="s">
        <v>27</v>
      </c>
      <c r="E209" s="274" t="s">
        <v>895</v>
      </c>
    </row>
    <row r="210" spans="2:5" ht="30.75" customHeight="1">
      <c r="B210" s="272" t="s">
        <v>1076</v>
      </c>
      <c r="C210" s="272" t="s">
        <v>33</v>
      </c>
      <c r="D210" s="273" t="s">
        <v>26</v>
      </c>
      <c r="E210" s="274" t="s">
        <v>442</v>
      </c>
    </row>
    <row r="211" spans="2:5" ht="30.75" customHeight="1">
      <c r="B211" s="272" t="s">
        <v>1076</v>
      </c>
      <c r="C211" s="272" t="s">
        <v>33</v>
      </c>
      <c r="D211" s="273" t="s">
        <v>24</v>
      </c>
      <c r="E211" s="274" t="s">
        <v>896</v>
      </c>
    </row>
    <row r="212" spans="2:5" ht="30.75" customHeight="1">
      <c r="B212" s="272" t="s">
        <v>1076</v>
      </c>
      <c r="C212" s="272" t="s">
        <v>33</v>
      </c>
      <c r="D212" s="284" t="s">
        <v>22</v>
      </c>
      <c r="E212" s="285" t="s">
        <v>897</v>
      </c>
    </row>
    <row r="213" spans="2:5" ht="30.75" customHeight="1">
      <c r="B213" s="272" t="s">
        <v>1076</v>
      </c>
      <c r="C213" s="272" t="s">
        <v>33</v>
      </c>
      <c r="D213" s="279" t="s">
        <v>18</v>
      </c>
      <c r="E213" s="274" t="s">
        <v>450</v>
      </c>
    </row>
    <row r="214" spans="2:5" ht="30.75" customHeight="1">
      <c r="B214" s="272" t="s">
        <v>1076</v>
      </c>
      <c r="C214" s="272" t="s">
        <v>33</v>
      </c>
      <c r="D214" s="273" t="s">
        <v>18</v>
      </c>
      <c r="E214" s="274" t="s">
        <v>743</v>
      </c>
    </row>
    <row r="215" spans="2:5" ht="30.75" customHeight="1">
      <c r="B215" s="272" t="s">
        <v>1076</v>
      </c>
      <c r="C215" s="272" t="s">
        <v>33</v>
      </c>
      <c r="D215" s="273" t="s">
        <v>15</v>
      </c>
      <c r="E215" s="274" t="s">
        <v>1486</v>
      </c>
    </row>
    <row r="216" spans="2:5" ht="30.75" customHeight="1">
      <c r="B216" s="272" t="s">
        <v>1076</v>
      </c>
      <c r="C216" s="272" t="s">
        <v>33</v>
      </c>
      <c r="D216" s="273" t="s">
        <v>13</v>
      </c>
      <c r="E216" s="274" t="s">
        <v>456</v>
      </c>
    </row>
    <row r="217" spans="2:5" ht="30.75" customHeight="1">
      <c r="B217" s="272" t="s">
        <v>1076</v>
      </c>
      <c r="C217" s="272" t="s">
        <v>33</v>
      </c>
      <c r="D217" s="273" t="s">
        <v>11</v>
      </c>
      <c r="E217" s="274" t="s">
        <v>458</v>
      </c>
    </row>
  </sheetData>
  <autoFilter ref="B2:E217"/>
  <sortState ref="B3:E216">
    <sortCondition ref="B3:B216"/>
  </sortState>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G19"/>
  <sheetViews>
    <sheetView showGridLines="0" zoomScale="85" zoomScaleNormal="85" workbookViewId="0"/>
  </sheetViews>
  <sheetFormatPr defaultRowHeight="15"/>
  <cols>
    <col min="1" max="1" width="3.28515625" style="142" customWidth="1"/>
    <col min="2" max="2" width="32.5703125" style="142" bestFit="1" customWidth="1"/>
    <col min="3" max="3" width="29.85546875" style="142" customWidth="1"/>
    <col min="4" max="4" width="30.140625" style="230" customWidth="1"/>
    <col min="5" max="5" width="30.140625" style="142" customWidth="1"/>
    <col min="6" max="6" width="30.140625" style="230" customWidth="1"/>
    <col min="7" max="7" width="30.140625" style="142" customWidth="1"/>
    <col min="8" max="10" width="9.140625" style="142"/>
    <col min="11" max="12" width="21.5703125" style="142" customWidth="1"/>
    <col min="13" max="13" width="27.5703125" style="142" customWidth="1"/>
    <col min="14" max="16384" width="9.140625" style="142"/>
  </cols>
  <sheetData>
    <row r="1" spans="2:7" ht="15.75" thickBot="1">
      <c r="D1" s="142"/>
      <c r="F1" s="142"/>
    </row>
    <row r="2" spans="2:7" ht="23.25" customHeight="1">
      <c r="B2" s="289" t="s">
        <v>1069</v>
      </c>
      <c r="C2" s="291" t="s">
        <v>1464</v>
      </c>
      <c r="D2" s="293" t="s">
        <v>1257</v>
      </c>
      <c r="E2" s="293"/>
      <c r="F2" s="294" t="s">
        <v>1114</v>
      </c>
      <c r="G2" s="295"/>
    </row>
    <row r="3" spans="2:7" ht="23.25" customHeight="1" thickBot="1">
      <c r="B3" s="290"/>
      <c r="C3" s="292"/>
      <c r="D3" s="233" t="s">
        <v>1450</v>
      </c>
      <c r="E3" s="233" t="s">
        <v>1456</v>
      </c>
      <c r="F3" s="234" t="s">
        <v>1450</v>
      </c>
      <c r="G3" s="235" t="s">
        <v>1456</v>
      </c>
    </row>
    <row r="4" spans="2:7" ht="33.75" customHeight="1" thickBot="1">
      <c r="B4" s="239" t="s">
        <v>1070</v>
      </c>
      <c r="C4" s="175" t="s">
        <v>969</v>
      </c>
      <c r="D4" s="229">
        <v>3</v>
      </c>
      <c r="E4" s="174">
        <v>712092</v>
      </c>
      <c r="F4" s="229">
        <v>3</v>
      </c>
      <c r="G4" s="174">
        <v>712092</v>
      </c>
    </row>
    <row r="5" spans="2:7" ht="33.75" customHeight="1" thickBot="1">
      <c r="B5" s="239" t="s">
        <v>1071</v>
      </c>
      <c r="C5" s="175" t="s">
        <v>969</v>
      </c>
      <c r="D5" s="229">
        <v>7.35</v>
      </c>
      <c r="E5" s="174">
        <v>2123817</v>
      </c>
      <c r="F5" s="229">
        <v>7.35</v>
      </c>
      <c r="G5" s="174">
        <v>2123817</v>
      </c>
    </row>
    <row r="6" spans="2:7" ht="33.75" customHeight="1" thickBot="1">
      <c r="B6" s="239" t="s">
        <v>1072</v>
      </c>
      <c r="C6" s="175" t="s">
        <v>969</v>
      </c>
      <c r="D6" s="229">
        <v>89.36</v>
      </c>
      <c r="E6" s="174">
        <v>22371886</v>
      </c>
      <c r="F6" s="229">
        <v>71.19</v>
      </c>
      <c r="G6" s="174">
        <v>17833945</v>
      </c>
    </row>
    <row r="7" spans="2:7" ht="33.75" customHeight="1" thickBot="1">
      <c r="B7" s="239" t="s">
        <v>1073</v>
      </c>
      <c r="C7" s="175" t="s">
        <v>969</v>
      </c>
      <c r="D7" s="229">
        <v>18.5</v>
      </c>
      <c r="E7" s="174">
        <v>5448983</v>
      </c>
      <c r="F7" s="229">
        <v>14.5</v>
      </c>
      <c r="G7" s="174">
        <v>4242402</v>
      </c>
    </row>
    <row r="8" spans="2:7" ht="33.75" customHeight="1" thickBot="1">
      <c r="B8" s="239" t="s">
        <v>1074</v>
      </c>
      <c r="C8" s="175" t="s">
        <v>969</v>
      </c>
      <c r="D8" s="229">
        <v>10.3</v>
      </c>
      <c r="E8" s="174">
        <v>2051559</v>
      </c>
      <c r="F8" s="229">
        <v>10.3</v>
      </c>
      <c r="G8" s="174">
        <v>2051559</v>
      </c>
    </row>
    <row r="9" spans="2:7" ht="33.75" customHeight="1" thickBot="1">
      <c r="B9" s="239" t="s">
        <v>1075</v>
      </c>
      <c r="C9" s="175" t="s">
        <v>969</v>
      </c>
      <c r="D9" s="229">
        <v>24.36</v>
      </c>
      <c r="E9" s="174">
        <v>5859231</v>
      </c>
      <c r="F9" s="229">
        <v>21.72</v>
      </c>
      <c r="G9" s="174">
        <v>5218062</v>
      </c>
    </row>
    <row r="10" spans="2:7" ht="33.75" customHeight="1" thickBot="1">
      <c r="B10" s="239" t="s">
        <v>1076</v>
      </c>
      <c r="C10" s="175" t="s">
        <v>969</v>
      </c>
      <c r="D10" s="229">
        <v>447</v>
      </c>
      <c r="E10" s="174">
        <v>117873095</v>
      </c>
      <c r="F10" s="229">
        <v>447</v>
      </c>
      <c r="G10" s="174">
        <v>117873095</v>
      </c>
    </row>
    <row r="11" spans="2:7" ht="33.75" customHeight="1" thickBot="1">
      <c r="B11" s="239" t="s">
        <v>1077</v>
      </c>
      <c r="C11" s="175" t="s">
        <v>969</v>
      </c>
      <c r="D11" s="229">
        <v>289</v>
      </c>
      <c r="E11" s="174">
        <v>75686558</v>
      </c>
      <c r="F11" s="229">
        <v>289</v>
      </c>
      <c r="G11" s="174">
        <v>75686558</v>
      </c>
    </row>
    <row r="12" spans="2:7" ht="33.75" customHeight="1" thickBot="1">
      <c r="B12" s="239" t="s">
        <v>1078</v>
      </c>
      <c r="C12" s="175" t="s">
        <v>969</v>
      </c>
      <c r="D12" s="229">
        <v>537</v>
      </c>
      <c r="E12" s="174">
        <v>135835827</v>
      </c>
      <c r="F12" s="229">
        <v>537</v>
      </c>
      <c r="G12" s="174">
        <v>135835827</v>
      </c>
    </row>
    <row r="13" spans="2:7" ht="33.75" customHeight="1" thickBot="1">
      <c r="B13" s="239" t="s">
        <v>1079</v>
      </c>
      <c r="C13" s="175" t="s">
        <v>969</v>
      </c>
      <c r="D13" s="229">
        <v>4.8</v>
      </c>
      <c r="E13" s="174">
        <v>1376952</v>
      </c>
      <c r="F13" s="229">
        <v>4.8</v>
      </c>
      <c r="G13" s="174">
        <v>1376952</v>
      </c>
    </row>
    <row r="14" spans="2:7" ht="33.75" customHeight="1" thickBot="1">
      <c r="B14" s="236" t="s">
        <v>681</v>
      </c>
      <c r="C14" s="236" t="s">
        <v>560</v>
      </c>
      <c r="D14" s="237">
        <f>SUM(D4:D13)</f>
        <v>1430.6699999999998</v>
      </c>
      <c r="E14" s="238">
        <f>SUM(E4:E13)</f>
        <v>369340000</v>
      </c>
      <c r="F14" s="237">
        <f>SUM(F4:F13)</f>
        <v>1405.86</v>
      </c>
      <c r="G14" s="238">
        <f>SUM(G4:G13)</f>
        <v>362954309</v>
      </c>
    </row>
    <row r="15" spans="2:7" s="3" customFormat="1" ht="24.75" customHeight="1">
      <c r="C15" s="3" t="s">
        <v>1462</v>
      </c>
      <c r="D15" s="231">
        <f>D14-F14</f>
        <v>24.809999999999945</v>
      </c>
      <c r="E15" s="232"/>
      <c r="F15" s="231"/>
      <c r="G15" s="232"/>
    </row>
    <row r="16" spans="2:7" s="3" customFormat="1" ht="24.75" customHeight="1">
      <c r="C16" s="3" t="s">
        <v>1465</v>
      </c>
      <c r="D16" s="232">
        <f>E14-G14</f>
        <v>6385691</v>
      </c>
      <c r="F16" s="231"/>
    </row>
    <row r="18" spans="5:7">
      <c r="E18" s="259"/>
      <c r="G18" s="259"/>
    </row>
    <row r="19" spans="5:7">
      <c r="E19" s="259"/>
      <c r="G19" s="259"/>
    </row>
  </sheetData>
  <autoFilter ref="B3:G14"/>
  <mergeCells count="4">
    <mergeCell ref="B2:B3"/>
    <mergeCell ref="C2:C3"/>
    <mergeCell ref="D2:E2"/>
    <mergeCell ref="F2:G2"/>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2"/>
  <sheetViews>
    <sheetView showGridLines="0" zoomScale="90" zoomScaleNormal="90" workbookViewId="0">
      <pane ySplit="3" topLeftCell="A25" activePane="bottomLeft" state="frozen"/>
      <selection pane="bottomLeft"/>
    </sheetView>
  </sheetViews>
  <sheetFormatPr defaultRowHeight="15"/>
  <cols>
    <col min="1" max="1" width="3.28515625" style="142" customWidth="1"/>
    <col min="2" max="2" width="19.42578125" style="142" customWidth="1"/>
    <col min="3" max="5" width="22.140625" style="142" customWidth="1"/>
    <col min="6" max="6" width="21.7109375" style="142" bestFit="1" customWidth="1"/>
    <col min="7" max="7" width="15.42578125" style="142" bestFit="1" customWidth="1"/>
    <col min="8" max="8" width="8.140625" style="142" customWidth="1"/>
    <col min="9" max="9" width="24.42578125" style="142" bestFit="1" customWidth="1"/>
    <col min="10" max="11" width="8.42578125" style="142" customWidth="1"/>
    <col min="12" max="12" width="24.42578125" style="142" bestFit="1" customWidth="1"/>
    <col min="13" max="13" width="63.28515625" style="142" bestFit="1" customWidth="1"/>
    <col min="14" max="16384" width="9.140625" style="142"/>
  </cols>
  <sheetData>
    <row r="1" spans="2:13" ht="15.75" thickBot="1"/>
    <row r="2" spans="2:13" ht="14.25" customHeight="1">
      <c r="B2" s="303" t="s">
        <v>1069</v>
      </c>
      <c r="C2" s="305" t="s">
        <v>977</v>
      </c>
      <c r="D2" s="305" t="s">
        <v>978</v>
      </c>
      <c r="E2" s="305" t="s">
        <v>1122</v>
      </c>
      <c r="F2" s="305" t="s">
        <v>1113</v>
      </c>
      <c r="G2" s="296" t="s">
        <v>1257</v>
      </c>
      <c r="H2" s="296"/>
      <c r="I2" s="296"/>
      <c r="J2" s="297" t="s">
        <v>1114</v>
      </c>
      <c r="K2" s="298"/>
      <c r="L2" s="299"/>
    </row>
    <row r="3" spans="2:13" ht="14.25" customHeight="1">
      <c r="B3" s="304"/>
      <c r="C3" s="306"/>
      <c r="D3" s="306"/>
      <c r="E3" s="306"/>
      <c r="F3" s="306"/>
      <c r="G3" s="211" t="s">
        <v>1450</v>
      </c>
      <c r="H3" s="211" t="s">
        <v>1451</v>
      </c>
      <c r="I3" s="211" t="s">
        <v>1456</v>
      </c>
      <c r="J3" s="212" t="s">
        <v>1450</v>
      </c>
      <c r="K3" s="212" t="s">
        <v>1451</v>
      </c>
      <c r="L3" s="213" t="s">
        <v>1456</v>
      </c>
    </row>
    <row r="4" spans="2:13" ht="12.75" customHeight="1">
      <c r="B4" s="197" t="s">
        <v>1070</v>
      </c>
      <c r="C4" s="179" t="s">
        <v>1055</v>
      </c>
      <c r="D4" s="179" t="s">
        <v>148</v>
      </c>
      <c r="E4" s="179" t="s">
        <v>148</v>
      </c>
      <c r="F4" s="178" t="s">
        <v>969</v>
      </c>
      <c r="G4" s="214">
        <v>3</v>
      </c>
      <c r="H4" s="225">
        <v>3</v>
      </c>
      <c r="I4" s="172">
        <v>712092</v>
      </c>
      <c r="J4" s="214">
        <v>3</v>
      </c>
      <c r="K4" s="225">
        <v>3</v>
      </c>
      <c r="L4" s="198">
        <v>712092</v>
      </c>
    </row>
    <row r="5" spans="2:13" ht="12.75" customHeight="1">
      <c r="B5" s="300" t="s">
        <v>1071</v>
      </c>
      <c r="C5" s="188" t="s">
        <v>1080</v>
      </c>
      <c r="D5" s="188" t="s">
        <v>148</v>
      </c>
      <c r="E5" s="188" t="s">
        <v>148</v>
      </c>
      <c r="F5" s="189" t="s">
        <v>969</v>
      </c>
      <c r="G5" s="218">
        <v>1</v>
      </c>
      <c r="H5" s="224">
        <v>1</v>
      </c>
      <c r="I5" s="190">
        <v>187157</v>
      </c>
      <c r="J5" s="215">
        <v>1</v>
      </c>
      <c r="K5" s="225">
        <v>1</v>
      </c>
      <c r="L5" s="199">
        <v>187157</v>
      </c>
      <c r="M5" s="185" t="s">
        <v>1289</v>
      </c>
    </row>
    <row r="6" spans="2:13" ht="12.75" customHeight="1">
      <c r="B6" s="300"/>
      <c r="C6" s="189" t="s">
        <v>1112</v>
      </c>
      <c r="D6" s="189" t="s">
        <v>1081</v>
      </c>
      <c r="E6" s="189" t="s">
        <v>148</v>
      </c>
      <c r="F6" s="189" t="s">
        <v>969</v>
      </c>
      <c r="G6" s="225">
        <v>1.35</v>
      </c>
      <c r="H6" s="215"/>
      <c r="I6" s="190">
        <v>456083</v>
      </c>
      <c r="J6" s="225">
        <v>1.35</v>
      </c>
      <c r="K6" s="215"/>
      <c r="L6" s="199">
        <v>456083</v>
      </c>
      <c r="M6" s="185" t="s">
        <v>1289</v>
      </c>
    </row>
    <row r="7" spans="2:13" ht="12.75" customHeight="1">
      <c r="B7" s="300"/>
      <c r="C7" s="189" t="s">
        <v>1082</v>
      </c>
      <c r="D7" s="188" t="s">
        <v>148</v>
      </c>
      <c r="E7" s="188" t="s">
        <v>148</v>
      </c>
      <c r="F7" s="189" t="s">
        <v>969</v>
      </c>
      <c r="G7" s="218">
        <v>1</v>
      </c>
      <c r="H7" s="224">
        <v>1</v>
      </c>
      <c r="I7" s="191">
        <v>208634</v>
      </c>
      <c r="J7" s="216">
        <v>1</v>
      </c>
      <c r="K7" s="226">
        <v>1</v>
      </c>
      <c r="L7" s="200">
        <v>208634</v>
      </c>
      <c r="M7" s="185" t="s">
        <v>1289</v>
      </c>
    </row>
    <row r="8" spans="2:13" ht="12.75" customHeight="1">
      <c r="B8" s="300"/>
      <c r="C8" s="189" t="s">
        <v>298</v>
      </c>
      <c r="D8" s="188" t="s">
        <v>148</v>
      </c>
      <c r="E8" s="188" t="s">
        <v>148</v>
      </c>
      <c r="F8" s="189" t="s">
        <v>969</v>
      </c>
      <c r="G8" s="218">
        <v>2</v>
      </c>
      <c r="H8" s="224">
        <v>2</v>
      </c>
      <c r="I8" s="191">
        <v>593065</v>
      </c>
      <c r="J8" s="216">
        <v>2</v>
      </c>
      <c r="K8" s="226">
        <v>2</v>
      </c>
      <c r="L8" s="200">
        <v>593065</v>
      </c>
      <c r="M8" s="185" t="s">
        <v>1289</v>
      </c>
    </row>
    <row r="9" spans="2:13" ht="12.75" customHeight="1">
      <c r="B9" s="300"/>
      <c r="C9" s="189" t="s">
        <v>1083</v>
      </c>
      <c r="D9" s="188" t="s">
        <v>148</v>
      </c>
      <c r="E9" s="188" t="s">
        <v>148</v>
      </c>
      <c r="F9" s="189" t="s">
        <v>969</v>
      </c>
      <c r="G9" s="218">
        <v>2</v>
      </c>
      <c r="H9" s="224">
        <v>2</v>
      </c>
      <c r="I9" s="191">
        <v>678878</v>
      </c>
      <c r="J9" s="215">
        <v>2</v>
      </c>
      <c r="K9" s="225">
        <v>2</v>
      </c>
      <c r="L9" s="200">
        <v>678878</v>
      </c>
      <c r="M9" s="185" t="s">
        <v>1289</v>
      </c>
    </row>
    <row r="10" spans="2:13" ht="12.75" customHeight="1">
      <c r="B10" s="307" t="s">
        <v>1072</v>
      </c>
      <c r="C10" s="286" t="s">
        <v>1084</v>
      </c>
      <c r="D10" s="286" t="s">
        <v>1115</v>
      </c>
      <c r="E10" s="286" t="s">
        <v>148</v>
      </c>
      <c r="F10" s="286" t="s">
        <v>1116</v>
      </c>
      <c r="G10" s="214" t="s">
        <v>148</v>
      </c>
      <c r="H10" s="214" t="s">
        <v>148</v>
      </c>
      <c r="I10" s="186">
        <v>0</v>
      </c>
      <c r="J10" s="214" t="s">
        <v>148</v>
      </c>
      <c r="K10" s="214" t="s">
        <v>148</v>
      </c>
      <c r="L10" s="201">
        <v>0</v>
      </c>
    </row>
    <row r="11" spans="2:13" ht="12.75" customHeight="1">
      <c r="B11" s="308"/>
      <c r="C11" s="310" t="s">
        <v>1085</v>
      </c>
      <c r="D11" s="286" t="s">
        <v>224</v>
      </c>
      <c r="E11" s="286" t="s">
        <v>148</v>
      </c>
      <c r="F11" s="286" t="s">
        <v>1116</v>
      </c>
      <c r="G11" s="214" t="s">
        <v>148</v>
      </c>
      <c r="H11" s="214" t="s">
        <v>148</v>
      </c>
      <c r="I11" s="186">
        <v>0</v>
      </c>
      <c r="J11" s="214" t="s">
        <v>148</v>
      </c>
      <c r="K11" s="214" t="s">
        <v>148</v>
      </c>
      <c r="L11" s="201">
        <v>0</v>
      </c>
      <c r="M11" s="177"/>
    </row>
    <row r="12" spans="2:13" ht="12.75" customHeight="1">
      <c r="B12" s="308"/>
      <c r="C12" s="311"/>
      <c r="D12" s="286" t="s">
        <v>218</v>
      </c>
      <c r="E12" s="223" t="s">
        <v>1457</v>
      </c>
      <c r="F12" s="178" t="s">
        <v>969</v>
      </c>
      <c r="G12" s="225">
        <v>3</v>
      </c>
      <c r="H12" s="214"/>
      <c r="I12" s="172">
        <v>798787</v>
      </c>
      <c r="J12" s="225">
        <v>1</v>
      </c>
      <c r="K12" s="214"/>
      <c r="L12" s="198">
        <v>266262</v>
      </c>
      <c r="M12" s="177"/>
    </row>
    <row r="13" spans="2:13" ht="12.75" customHeight="1">
      <c r="B13" s="308"/>
      <c r="C13" s="311"/>
      <c r="D13" s="286" t="s">
        <v>1117</v>
      </c>
      <c r="E13" s="286" t="s">
        <v>148</v>
      </c>
      <c r="F13" s="182" t="s">
        <v>1116</v>
      </c>
      <c r="G13" s="214" t="s">
        <v>148</v>
      </c>
      <c r="H13" s="214" t="s">
        <v>148</v>
      </c>
      <c r="I13" s="186">
        <v>0</v>
      </c>
      <c r="J13" s="214" t="s">
        <v>148</v>
      </c>
      <c r="K13" s="214" t="s">
        <v>148</v>
      </c>
      <c r="L13" s="201">
        <v>0</v>
      </c>
      <c r="M13" s="177" t="s">
        <v>1418</v>
      </c>
    </row>
    <row r="14" spans="2:13" ht="12.75" customHeight="1">
      <c r="B14" s="308"/>
      <c r="C14" s="311"/>
      <c r="D14" s="286" t="s">
        <v>1118</v>
      </c>
      <c r="E14" s="286" t="s">
        <v>148</v>
      </c>
      <c r="F14" s="182" t="s">
        <v>1116</v>
      </c>
      <c r="G14" s="214" t="s">
        <v>148</v>
      </c>
      <c r="H14" s="214" t="s">
        <v>148</v>
      </c>
      <c r="I14" s="186">
        <v>0</v>
      </c>
      <c r="J14" s="214" t="s">
        <v>148</v>
      </c>
      <c r="K14" s="214" t="s">
        <v>148</v>
      </c>
      <c r="L14" s="201">
        <v>0</v>
      </c>
      <c r="M14" s="177" t="s">
        <v>1419</v>
      </c>
    </row>
    <row r="15" spans="2:13" ht="12.75" customHeight="1">
      <c r="B15" s="308"/>
      <c r="C15" s="311"/>
      <c r="D15" s="286" t="s">
        <v>1119</v>
      </c>
      <c r="E15" s="286" t="s">
        <v>148</v>
      </c>
      <c r="F15" s="178" t="s">
        <v>969</v>
      </c>
      <c r="G15" s="225">
        <v>4.5</v>
      </c>
      <c r="H15" s="214"/>
      <c r="I15" s="186">
        <v>808445</v>
      </c>
      <c r="J15" s="225">
        <v>4.5</v>
      </c>
      <c r="K15" s="214"/>
      <c r="L15" s="201">
        <v>808445</v>
      </c>
      <c r="M15" s="177"/>
    </row>
    <row r="16" spans="2:13" ht="12.75" customHeight="1">
      <c r="B16" s="308"/>
      <c r="C16" s="311"/>
      <c r="D16" s="286" t="s">
        <v>1120</v>
      </c>
      <c r="E16" s="286" t="s">
        <v>148</v>
      </c>
      <c r="F16" s="182" t="s">
        <v>1116</v>
      </c>
      <c r="G16" s="214" t="s">
        <v>148</v>
      </c>
      <c r="H16" s="214" t="s">
        <v>148</v>
      </c>
      <c r="I16" s="186">
        <v>0</v>
      </c>
      <c r="J16" s="214" t="s">
        <v>148</v>
      </c>
      <c r="K16" s="214" t="s">
        <v>148</v>
      </c>
      <c r="L16" s="201">
        <v>0</v>
      </c>
      <c r="M16" s="177" t="s">
        <v>1418</v>
      </c>
    </row>
    <row r="17" spans="2:13" ht="12.75" customHeight="1">
      <c r="B17" s="308"/>
      <c r="C17" s="312"/>
      <c r="D17" s="286" t="s">
        <v>1121</v>
      </c>
      <c r="E17" s="286" t="s">
        <v>148</v>
      </c>
      <c r="F17" s="182" t="s">
        <v>1116</v>
      </c>
      <c r="G17" s="214" t="s">
        <v>148</v>
      </c>
      <c r="H17" s="214" t="s">
        <v>148</v>
      </c>
      <c r="I17" s="186">
        <v>0</v>
      </c>
      <c r="J17" s="214" t="s">
        <v>148</v>
      </c>
      <c r="K17" s="214" t="s">
        <v>148</v>
      </c>
      <c r="L17" s="201">
        <v>0</v>
      </c>
      <c r="M17" s="177" t="s">
        <v>1418</v>
      </c>
    </row>
    <row r="18" spans="2:13" ht="12.75" customHeight="1">
      <c r="B18" s="308"/>
      <c r="C18" s="178" t="s">
        <v>1086</v>
      </c>
      <c r="D18" s="286"/>
      <c r="E18" s="286"/>
      <c r="F18" s="180" t="s">
        <v>969</v>
      </c>
      <c r="G18" s="225">
        <v>10.86</v>
      </c>
      <c r="H18" s="217"/>
      <c r="I18" s="186">
        <v>2347241</v>
      </c>
      <c r="J18" s="225">
        <v>5.69</v>
      </c>
      <c r="K18" s="217"/>
      <c r="L18" s="201">
        <v>1242799</v>
      </c>
      <c r="M18" s="177" t="s">
        <v>1487</v>
      </c>
    </row>
    <row r="19" spans="2:13" ht="12.75" customHeight="1">
      <c r="B19" s="308"/>
      <c r="C19" s="178" t="s">
        <v>1087</v>
      </c>
      <c r="D19" s="286" t="s">
        <v>148</v>
      </c>
      <c r="E19" s="286" t="s">
        <v>148</v>
      </c>
      <c r="F19" s="180" t="s">
        <v>969</v>
      </c>
      <c r="G19" s="224">
        <v>13</v>
      </c>
      <c r="H19" s="217"/>
      <c r="I19" s="181">
        <f>881133+881133+1745593</f>
        <v>3507859</v>
      </c>
      <c r="J19" s="224">
        <v>11</v>
      </c>
      <c r="K19" s="217"/>
      <c r="L19" s="202">
        <f>293711+881133+1745593</f>
        <v>2920437</v>
      </c>
    </row>
    <row r="20" spans="2:13" ht="12.75" customHeight="1">
      <c r="B20" s="309"/>
      <c r="C20" s="178" t="s">
        <v>250</v>
      </c>
      <c r="D20" s="286" t="s">
        <v>1258</v>
      </c>
      <c r="E20" s="286"/>
      <c r="F20" s="180" t="s">
        <v>969</v>
      </c>
      <c r="G20" s="217">
        <v>58</v>
      </c>
      <c r="H20" s="224">
        <v>58</v>
      </c>
      <c r="I20" s="181">
        <v>14909554</v>
      </c>
      <c r="J20" s="217">
        <v>49</v>
      </c>
      <c r="K20" s="224">
        <v>49</v>
      </c>
      <c r="L20" s="202">
        <v>12596002</v>
      </c>
    </row>
    <row r="21" spans="2:13" ht="12.75" customHeight="1">
      <c r="B21" s="300" t="s">
        <v>1073</v>
      </c>
      <c r="C21" s="188" t="s">
        <v>1088</v>
      </c>
      <c r="D21" s="188" t="s">
        <v>148</v>
      </c>
      <c r="E21" s="188" t="s">
        <v>148</v>
      </c>
      <c r="F21" s="192" t="s">
        <v>969</v>
      </c>
      <c r="G21" s="218">
        <v>15</v>
      </c>
      <c r="H21" s="224">
        <v>15</v>
      </c>
      <c r="I21" s="193">
        <v>4524680</v>
      </c>
      <c r="J21" s="218">
        <v>11</v>
      </c>
      <c r="K21" s="224">
        <v>11</v>
      </c>
      <c r="L21" s="203">
        <v>3318099</v>
      </c>
    </row>
    <row r="22" spans="2:13" ht="12.75" customHeight="1">
      <c r="B22" s="300"/>
      <c r="C22" s="188" t="s">
        <v>1068</v>
      </c>
      <c r="D22" s="194"/>
      <c r="E22" s="194"/>
      <c r="F22" s="192" t="s">
        <v>969</v>
      </c>
      <c r="G22" s="224">
        <v>2.5</v>
      </c>
      <c r="H22" s="219"/>
      <c r="I22" s="193">
        <v>600896</v>
      </c>
      <c r="J22" s="224">
        <v>2.5</v>
      </c>
      <c r="K22" s="219"/>
      <c r="L22" s="203">
        <v>600896</v>
      </c>
      <c r="M22" s="183" t="s">
        <v>1458</v>
      </c>
    </row>
    <row r="23" spans="2:13" ht="12.75" customHeight="1">
      <c r="B23" s="300"/>
      <c r="C23" s="188" t="s">
        <v>1089</v>
      </c>
      <c r="D23" s="188"/>
      <c r="E23" s="188"/>
      <c r="F23" s="192" t="s">
        <v>969</v>
      </c>
      <c r="G23" s="218">
        <v>1</v>
      </c>
      <c r="H23" s="224">
        <v>1</v>
      </c>
      <c r="I23" s="195">
        <v>323407</v>
      </c>
      <c r="J23" s="219">
        <v>1</v>
      </c>
      <c r="K23" s="224">
        <v>1</v>
      </c>
      <c r="L23" s="204">
        <v>323407</v>
      </c>
      <c r="M23" s="177" t="s">
        <v>1289</v>
      </c>
    </row>
    <row r="24" spans="2:13" ht="12.75" customHeight="1">
      <c r="B24" s="300"/>
      <c r="C24" s="188" t="s">
        <v>1090</v>
      </c>
      <c r="D24" s="188"/>
      <c r="E24" s="188"/>
      <c r="F24" s="196" t="s">
        <v>1116</v>
      </c>
      <c r="G24" s="215" t="s">
        <v>148</v>
      </c>
      <c r="H24" s="215" t="s">
        <v>148</v>
      </c>
      <c r="I24" s="195">
        <v>0</v>
      </c>
      <c r="J24" s="215" t="s">
        <v>148</v>
      </c>
      <c r="K24" s="215" t="s">
        <v>148</v>
      </c>
      <c r="L24" s="204">
        <v>0</v>
      </c>
      <c r="M24" s="177"/>
    </row>
    <row r="25" spans="2:13" ht="12.75" customHeight="1">
      <c r="B25" s="301" t="s">
        <v>1074</v>
      </c>
      <c r="C25" s="302" t="s">
        <v>1091</v>
      </c>
      <c r="D25" s="179" t="s">
        <v>269</v>
      </c>
      <c r="E25" s="179" t="s">
        <v>148</v>
      </c>
      <c r="F25" s="180" t="s">
        <v>969</v>
      </c>
      <c r="G25" s="217">
        <v>3</v>
      </c>
      <c r="H25" s="224">
        <v>3</v>
      </c>
      <c r="I25" s="181">
        <v>419512</v>
      </c>
      <c r="J25" s="217">
        <v>3</v>
      </c>
      <c r="K25" s="224">
        <v>3</v>
      </c>
      <c r="L25" s="202">
        <v>419512</v>
      </c>
    </row>
    <row r="26" spans="2:13" ht="12.75" customHeight="1">
      <c r="B26" s="301"/>
      <c r="C26" s="302"/>
      <c r="D26" s="179" t="s">
        <v>266</v>
      </c>
      <c r="E26" s="179" t="s">
        <v>148</v>
      </c>
      <c r="F26" s="180" t="s">
        <v>969</v>
      </c>
      <c r="G26" s="217">
        <v>2</v>
      </c>
      <c r="H26" s="224">
        <v>2</v>
      </c>
      <c r="I26" s="187">
        <v>488480</v>
      </c>
      <c r="J26" s="217">
        <v>2</v>
      </c>
      <c r="K26" s="224">
        <v>2</v>
      </c>
      <c r="L26" s="205">
        <v>488480</v>
      </c>
      <c r="M26" s="177"/>
    </row>
    <row r="27" spans="2:13" ht="12.75" customHeight="1">
      <c r="B27" s="301"/>
      <c r="C27" s="302"/>
      <c r="D27" s="179" t="s">
        <v>1278</v>
      </c>
      <c r="E27" s="179" t="s">
        <v>148</v>
      </c>
      <c r="F27" s="182" t="s">
        <v>1116</v>
      </c>
      <c r="G27" s="214" t="s">
        <v>148</v>
      </c>
      <c r="H27" s="214" t="s">
        <v>148</v>
      </c>
      <c r="I27" s="186">
        <v>0</v>
      </c>
      <c r="J27" s="214" t="s">
        <v>148</v>
      </c>
      <c r="K27" s="214" t="s">
        <v>148</v>
      </c>
      <c r="L27" s="205">
        <v>0</v>
      </c>
    </row>
    <row r="28" spans="2:13" ht="12.75" customHeight="1">
      <c r="B28" s="301"/>
      <c r="C28" s="302" t="s">
        <v>270</v>
      </c>
      <c r="D28" s="179" t="s">
        <v>271</v>
      </c>
      <c r="E28" s="179" t="s">
        <v>148</v>
      </c>
      <c r="F28" s="180" t="s">
        <v>969</v>
      </c>
      <c r="G28" s="217">
        <v>3</v>
      </c>
      <c r="H28" s="224">
        <v>3</v>
      </c>
      <c r="I28" s="187">
        <v>788250</v>
      </c>
      <c r="J28" s="220">
        <v>3</v>
      </c>
      <c r="K28" s="224">
        <v>3</v>
      </c>
      <c r="L28" s="205">
        <v>788250</v>
      </c>
    </row>
    <row r="29" spans="2:13" ht="12.75" customHeight="1">
      <c r="B29" s="301"/>
      <c r="C29" s="302"/>
      <c r="D29" s="179" t="s">
        <v>1124</v>
      </c>
      <c r="E29" s="179" t="s">
        <v>148</v>
      </c>
      <c r="F29" s="180" t="s">
        <v>969</v>
      </c>
      <c r="G29" s="224">
        <v>0.3</v>
      </c>
      <c r="H29" s="217"/>
      <c r="I29" s="187">
        <v>109788</v>
      </c>
      <c r="J29" s="224">
        <v>0.3</v>
      </c>
      <c r="K29" s="217"/>
      <c r="L29" s="205">
        <v>109788</v>
      </c>
    </row>
    <row r="30" spans="2:13" ht="12.75" customHeight="1">
      <c r="B30" s="301"/>
      <c r="C30" s="179" t="s">
        <v>1092</v>
      </c>
      <c r="D30" s="179"/>
      <c r="E30" s="179"/>
      <c r="F30" s="180" t="s">
        <v>969</v>
      </c>
      <c r="G30" s="217">
        <v>2</v>
      </c>
      <c r="H30" s="224">
        <v>2</v>
      </c>
      <c r="I30" s="187">
        <v>245529</v>
      </c>
      <c r="J30" s="220">
        <v>2</v>
      </c>
      <c r="K30" s="224">
        <v>2</v>
      </c>
      <c r="L30" s="205">
        <v>245529</v>
      </c>
      <c r="M30" s="177" t="s">
        <v>1289</v>
      </c>
    </row>
    <row r="31" spans="2:13" ht="12.75" customHeight="1">
      <c r="B31" s="301"/>
      <c r="C31" s="179" t="s">
        <v>259</v>
      </c>
      <c r="D31" s="176"/>
      <c r="E31" s="176"/>
      <c r="F31" s="182" t="s">
        <v>1116</v>
      </c>
      <c r="G31" s="214" t="s">
        <v>148</v>
      </c>
      <c r="H31" s="214" t="s">
        <v>148</v>
      </c>
      <c r="I31" s="186">
        <v>0</v>
      </c>
      <c r="J31" s="214" t="s">
        <v>148</v>
      </c>
      <c r="K31" s="214" t="s">
        <v>148</v>
      </c>
      <c r="L31" s="205">
        <v>0</v>
      </c>
    </row>
    <row r="32" spans="2:13" ht="12.75" customHeight="1">
      <c r="B32" s="300" t="s">
        <v>1075</v>
      </c>
      <c r="C32" s="188" t="s">
        <v>1093</v>
      </c>
      <c r="D32" s="188" t="s">
        <v>148</v>
      </c>
      <c r="E32" s="188" t="s">
        <v>148</v>
      </c>
      <c r="F32" s="192" t="s">
        <v>969</v>
      </c>
      <c r="G32" s="224">
        <v>1.98</v>
      </c>
      <c r="H32" s="218"/>
      <c r="I32" s="193">
        <v>558822</v>
      </c>
      <c r="J32" s="224">
        <v>1.38</v>
      </c>
      <c r="K32" s="218"/>
      <c r="L32" s="203">
        <v>372548</v>
      </c>
    </row>
    <row r="33" spans="2:13" ht="12.75" customHeight="1">
      <c r="B33" s="300"/>
      <c r="C33" s="188" t="s">
        <v>303</v>
      </c>
      <c r="D33" s="188" t="s">
        <v>148</v>
      </c>
      <c r="E33" s="188" t="s">
        <v>148</v>
      </c>
      <c r="F33" s="192" t="s">
        <v>969</v>
      </c>
      <c r="G33" s="224">
        <v>10.130000000000001</v>
      </c>
      <c r="H33" s="218"/>
      <c r="I33" s="193">
        <v>2117720</v>
      </c>
      <c r="J33" s="224">
        <v>9.89</v>
      </c>
      <c r="K33" s="218"/>
      <c r="L33" s="203">
        <v>2070305</v>
      </c>
    </row>
    <row r="34" spans="2:13" ht="12.75" customHeight="1">
      <c r="B34" s="300"/>
      <c r="C34" s="188" t="s">
        <v>1094</v>
      </c>
      <c r="D34" s="188" t="s">
        <v>148</v>
      </c>
      <c r="E34" s="188" t="s">
        <v>148</v>
      </c>
      <c r="F34" s="192" t="s">
        <v>969</v>
      </c>
      <c r="G34" s="224">
        <v>12.25</v>
      </c>
      <c r="H34" s="218"/>
      <c r="I34" s="193">
        <v>3182689</v>
      </c>
      <c r="J34" s="224">
        <v>10.45</v>
      </c>
      <c r="K34" s="218"/>
      <c r="L34" s="203">
        <v>2775209</v>
      </c>
      <c r="M34" s="177"/>
    </row>
    <row r="35" spans="2:13" ht="12.75" customHeight="1">
      <c r="B35" s="300"/>
      <c r="C35" s="188" t="s">
        <v>1095</v>
      </c>
      <c r="D35" s="188" t="s">
        <v>148</v>
      </c>
      <c r="E35" s="188" t="s">
        <v>148</v>
      </c>
      <c r="F35" s="196" t="s">
        <v>1116</v>
      </c>
      <c r="G35" s="215" t="s">
        <v>148</v>
      </c>
      <c r="H35" s="215" t="s">
        <v>148</v>
      </c>
      <c r="I35" s="195">
        <v>0</v>
      </c>
      <c r="J35" s="215" t="s">
        <v>148</v>
      </c>
      <c r="K35" s="215" t="s">
        <v>148</v>
      </c>
      <c r="L35" s="204">
        <v>0</v>
      </c>
    </row>
    <row r="36" spans="2:13" ht="12.75" customHeight="1">
      <c r="B36" s="197" t="s">
        <v>1076</v>
      </c>
      <c r="C36" s="179" t="s">
        <v>1459</v>
      </c>
      <c r="D36" s="179" t="s">
        <v>148</v>
      </c>
      <c r="E36" s="179" t="s">
        <v>148</v>
      </c>
      <c r="F36" s="180" t="s">
        <v>969</v>
      </c>
      <c r="G36" s="224">
        <v>447</v>
      </c>
      <c r="H36" s="217"/>
      <c r="I36" s="187">
        <v>117873095</v>
      </c>
      <c r="J36" s="224">
        <v>447</v>
      </c>
      <c r="K36" s="220"/>
      <c r="L36" s="187">
        <v>117873095</v>
      </c>
      <c r="M36" s="142" t="s">
        <v>1279</v>
      </c>
    </row>
    <row r="37" spans="2:13" ht="12.75" customHeight="1">
      <c r="B37" s="206" t="s">
        <v>1077</v>
      </c>
      <c r="C37" s="188" t="s">
        <v>1460</v>
      </c>
      <c r="D37" s="188" t="s">
        <v>148</v>
      </c>
      <c r="E37" s="188" t="s">
        <v>148</v>
      </c>
      <c r="F37" s="192" t="s">
        <v>969</v>
      </c>
      <c r="G37" s="218">
        <v>289</v>
      </c>
      <c r="H37" s="224">
        <v>289</v>
      </c>
      <c r="I37" s="195">
        <v>75686558</v>
      </c>
      <c r="J37" s="218">
        <v>289</v>
      </c>
      <c r="K37" s="224">
        <v>289</v>
      </c>
      <c r="L37" s="195">
        <v>75686558</v>
      </c>
      <c r="M37" s="142" t="s">
        <v>1279</v>
      </c>
    </row>
    <row r="38" spans="2:13" ht="12.75" customHeight="1">
      <c r="B38" s="197" t="s">
        <v>1078</v>
      </c>
      <c r="C38" s="179" t="s">
        <v>1461</v>
      </c>
      <c r="D38" s="179" t="s">
        <v>148</v>
      </c>
      <c r="E38" s="179" t="s">
        <v>148</v>
      </c>
      <c r="F38" s="180" t="s">
        <v>969</v>
      </c>
      <c r="G38" s="214">
        <v>537</v>
      </c>
      <c r="H38" s="224">
        <v>537</v>
      </c>
      <c r="I38" s="187">
        <v>135835827</v>
      </c>
      <c r="J38" s="214">
        <v>537</v>
      </c>
      <c r="K38" s="224">
        <v>537</v>
      </c>
      <c r="L38" s="187">
        <v>135835827</v>
      </c>
      <c r="M38" s="177" t="s">
        <v>1289</v>
      </c>
    </row>
    <row r="39" spans="2:13" ht="12.75" customHeight="1">
      <c r="B39" s="300" t="s">
        <v>1079</v>
      </c>
      <c r="C39" s="188" t="s">
        <v>206</v>
      </c>
      <c r="D39" s="188" t="s">
        <v>148</v>
      </c>
      <c r="E39" s="188" t="s">
        <v>148</v>
      </c>
      <c r="F39" s="192" t="s">
        <v>1116</v>
      </c>
      <c r="G39" s="214" t="s">
        <v>148</v>
      </c>
      <c r="H39" s="214" t="s">
        <v>148</v>
      </c>
      <c r="I39" s="195">
        <v>0</v>
      </c>
      <c r="J39" s="214" t="s">
        <v>148</v>
      </c>
      <c r="K39" s="214" t="s">
        <v>148</v>
      </c>
      <c r="L39" s="204">
        <v>0</v>
      </c>
    </row>
    <row r="40" spans="2:13" ht="12.75" customHeight="1">
      <c r="B40" s="300"/>
      <c r="C40" s="188" t="s">
        <v>1096</v>
      </c>
      <c r="D40" s="188" t="s">
        <v>148</v>
      </c>
      <c r="E40" s="188" t="s">
        <v>148</v>
      </c>
      <c r="F40" s="192" t="s">
        <v>1116</v>
      </c>
      <c r="G40" s="214" t="s">
        <v>148</v>
      </c>
      <c r="H40" s="214" t="s">
        <v>148</v>
      </c>
      <c r="I40" s="195">
        <v>0</v>
      </c>
      <c r="J40" s="214" t="s">
        <v>148</v>
      </c>
      <c r="K40" s="214" t="s">
        <v>148</v>
      </c>
      <c r="L40" s="204">
        <v>0</v>
      </c>
    </row>
    <row r="41" spans="2:13" ht="12.75" customHeight="1">
      <c r="B41" s="300"/>
      <c r="C41" s="188" t="s">
        <v>1097</v>
      </c>
      <c r="D41" s="188" t="s">
        <v>215</v>
      </c>
      <c r="E41" s="188" t="s">
        <v>148</v>
      </c>
      <c r="F41" s="192" t="s">
        <v>1116</v>
      </c>
      <c r="G41" s="224">
        <v>4.8</v>
      </c>
      <c r="H41" s="214"/>
      <c r="I41" s="195">
        <v>1376952</v>
      </c>
      <c r="J41" s="224">
        <v>4.8</v>
      </c>
      <c r="K41" s="214"/>
      <c r="L41" s="204">
        <v>1376952</v>
      </c>
    </row>
    <row r="42" spans="2:13" ht="17.25" customHeight="1" thickBot="1">
      <c r="B42" s="207" t="s">
        <v>1123</v>
      </c>
      <c r="C42" s="208" t="s">
        <v>560</v>
      </c>
      <c r="D42" s="208" t="s">
        <v>560</v>
      </c>
      <c r="E42" s="208" t="s">
        <v>560</v>
      </c>
      <c r="F42" s="208" t="s">
        <v>560</v>
      </c>
      <c r="G42" s="227">
        <f>SUM(G4:G41)</f>
        <v>1430.6699999999998</v>
      </c>
      <c r="H42" s="222" t="s">
        <v>560</v>
      </c>
      <c r="I42" s="209">
        <f>SUM(I4:I41)</f>
        <v>369340000</v>
      </c>
      <c r="J42" s="227">
        <f>SUM(J4:J41)</f>
        <v>1405.86</v>
      </c>
      <c r="K42" s="221" t="s">
        <v>560</v>
      </c>
      <c r="L42" s="210">
        <f>SUM(L4:L41)</f>
        <v>362954309</v>
      </c>
    </row>
    <row r="43" spans="2:13" customFormat="1" ht="17.25" customHeight="1">
      <c r="F43" s="86" t="s">
        <v>1462</v>
      </c>
      <c r="G43" s="228">
        <f>G42-J42</f>
        <v>24.809999999999945</v>
      </c>
    </row>
    <row r="44" spans="2:13">
      <c r="F44" s="177" t="s">
        <v>1463</v>
      </c>
      <c r="G44" s="173">
        <f>I42-L42</f>
        <v>6385691</v>
      </c>
    </row>
    <row r="49" spans="3:8">
      <c r="C49" s="257">
        <v>760</v>
      </c>
      <c r="D49" s="257">
        <v>537</v>
      </c>
    </row>
    <row r="50" spans="3:8">
      <c r="C50" s="173">
        <v>135835827.87</v>
      </c>
      <c r="D50" s="173">
        <v>137576387.87</v>
      </c>
      <c r="H50" s="258">
        <f>6/21</f>
        <v>0.2857142857142857</v>
      </c>
    </row>
    <row r="51" spans="3:8">
      <c r="C51" s="173">
        <f>C50/12</f>
        <v>11319652.3225</v>
      </c>
      <c r="D51" s="173">
        <f>D50/12</f>
        <v>11464698.989166668</v>
      </c>
    </row>
    <row r="52" spans="3:8">
      <c r="C52" s="173">
        <f>C51/C49</f>
        <v>14894.279371710527</v>
      </c>
      <c r="D52" s="173">
        <f>D51/D49</f>
        <v>21349.532568280574</v>
      </c>
    </row>
  </sheetData>
  <mergeCells count="16">
    <mergeCell ref="B32:B35"/>
    <mergeCell ref="B39:B41"/>
    <mergeCell ref="G2:I2"/>
    <mergeCell ref="J2:L2"/>
    <mergeCell ref="B5:B9"/>
    <mergeCell ref="B21:B24"/>
    <mergeCell ref="B25:B31"/>
    <mergeCell ref="C25:C27"/>
    <mergeCell ref="C28:C29"/>
    <mergeCell ref="B2:B3"/>
    <mergeCell ref="C2:C3"/>
    <mergeCell ref="D2:D3"/>
    <mergeCell ref="E2:E3"/>
    <mergeCell ref="F2:F3"/>
    <mergeCell ref="B10:B20"/>
    <mergeCell ref="C11:C17"/>
  </mergeCell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8"/>
  <sheetViews>
    <sheetView showGridLines="0" showRowColHeaders="0" workbookViewId="0">
      <selection activeCell="D21" sqref="D21"/>
    </sheetView>
  </sheetViews>
  <sheetFormatPr defaultRowHeight="15"/>
  <cols>
    <col min="1" max="1" width="2.85546875" customWidth="1"/>
    <col min="2" max="2" width="9.140625" customWidth="1"/>
    <col min="3" max="3" width="100.7109375" bestFit="1" customWidth="1"/>
  </cols>
  <sheetData>
    <row r="2" spans="2:3">
      <c r="B2" s="313" t="s">
        <v>546</v>
      </c>
      <c r="C2" s="313"/>
    </row>
    <row r="3" spans="2:3">
      <c r="B3" s="21" t="s">
        <v>539</v>
      </c>
      <c r="C3" s="22" t="s">
        <v>545</v>
      </c>
    </row>
    <row r="4" spans="2:3">
      <c r="B4" s="21">
        <v>1</v>
      </c>
      <c r="C4" s="22" t="s">
        <v>540</v>
      </c>
    </row>
    <row r="5" spans="2:3">
      <c r="B5" s="21">
        <v>2</v>
      </c>
      <c r="C5" s="22" t="s">
        <v>541</v>
      </c>
    </row>
    <row r="6" spans="2:3">
      <c r="B6" s="21">
        <v>3</v>
      </c>
      <c r="C6" s="22" t="s">
        <v>542</v>
      </c>
    </row>
    <row r="8" spans="2:3">
      <c r="B8" s="123" t="s">
        <v>902</v>
      </c>
    </row>
    <row r="9" spans="2:3">
      <c r="B9" s="122" t="s">
        <v>898</v>
      </c>
    </row>
    <row r="10" spans="2:3">
      <c r="B10" s="122" t="s">
        <v>899</v>
      </c>
    </row>
    <row r="11" spans="2:3">
      <c r="B11" s="122" t="s">
        <v>900</v>
      </c>
    </row>
    <row r="12" spans="2:3">
      <c r="B12" s="122" t="s">
        <v>901</v>
      </c>
    </row>
    <row r="16" spans="2:3">
      <c r="B16" s="52"/>
    </row>
    <row r="17" spans="2:2">
      <c r="B17" s="52"/>
    </row>
    <row r="18" spans="2:2">
      <c r="B18" s="52"/>
    </row>
  </sheetData>
  <customSheetViews>
    <customSheetView guid="{C9815ABB-3DC4-47A9-84D6-09FB286015CF}" showGridLines="0" showRowCol="0">
      <selection activeCell="D18" sqref="D18"/>
      <pageMargins left="0.511811024" right="0.511811024" top="0.78740157499999996" bottom="0.78740157499999996" header="0.31496062000000002" footer="0.31496062000000002"/>
    </customSheetView>
    <customSheetView guid="{49CEE367-5EFB-43A6-A8AC-378611FA0BCF}" showGridLines="0" showRowCol="0">
      <selection activeCell="D18" sqref="D18"/>
      <pageMargins left="0.511811024" right="0.511811024" top="0.78740157499999996" bottom="0.78740157499999996" header="0.31496062000000002" footer="0.31496062000000002"/>
    </customSheetView>
  </customSheetViews>
  <mergeCells count="1">
    <mergeCell ref="B2:C2"/>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8" tint="0.79998168889431442"/>
  </sheetPr>
  <dimension ref="A1:BH312"/>
  <sheetViews>
    <sheetView showGridLines="0" topLeftCell="C2" zoomScaleNormal="100" workbookViewId="0">
      <pane ySplit="1" topLeftCell="A3" activePane="bottomLeft" state="frozen"/>
      <selection activeCell="A2" sqref="A2"/>
      <selection pane="bottomLeft" activeCell="G5" sqref="G5"/>
    </sheetView>
  </sheetViews>
  <sheetFormatPr defaultRowHeight="15"/>
  <cols>
    <col min="1" max="1" width="16.7109375" style="25" bestFit="1" customWidth="1"/>
    <col min="2" max="2" width="15.5703125" style="25" bestFit="1" customWidth="1"/>
    <col min="3" max="5" width="13.42578125" style="52" customWidth="1"/>
    <col min="6" max="6" width="31.42578125" style="27" customWidth="1"/>
    <col min="7" max="7" width="66.28515625" style="27" customWidth="1"/>
    <col min="8" max="8" width="26.28515625" style="28" hidden="1" customWidth="1"/>
    <col min="9" max="9" width="30.140625" style="28" hidden="1" customWidth="1"/>
    <col min="10" max="10" width="30.140625" style="28" customWidth="1"/>
    <col min="11" max="11" width="16.28515625" style="26" customWidth="1"/>
    <col min="12" max="12" width="20" style="26" customWidth="1"/>
    <col min="13" max="13" width="50.7109375" style="27" customWidth="1"/>
    <col min="14" max="14" width="13.7109375" style="26" customWidth="1"/>
    <col min="15" max="15" width="33.28515625" style="26" customWidth="1"/>
    <col min="16" max="16" width="26" style="26" customWidth="1"/>
    <col min="17" max="17" width="41.5703125" style="26" customWidth="1"/>
    <col min="18" max="18" width="35.7109375" style="26" bestFit="1" customWidth="1"/>
    <col min="19" max="19" width="12.28515625" style="26" customWidth="1"/>
    <col min="20" max="20" width="20.7109375" style="26" customWidth="1"/>
    <col min="21" max="21" width="49" style="27" customWidth="1"/>
    <col min="22" max="22" width="43.140625" style="26" customWidth="1"/>
    <col min="23" max="23" width="13" style="25" customWidth="1"/>
    <col min="24" max="16384" width="9.140625" style="25"/>
  </cols>
  <sheetData>
    <row r="1" spans="1:60">
      <c r="C1" s="28" t="s">
        <v>638</v>
      </c>
      <c r="D1" s="314"/>
      <c r="E1" s="314"/>
      <c r="F1" s="28" t="s">
        <v>637</v>
      </c>
      <c r="G1" s="28" t="s">
        <v>637</v>
      </c>
      <c r="H1" s="28" t="s">
        <v>637</v>
      </c>
      <c r="I1" s="28" t="s">
        <v>638</v>
      </c>
      <c r="J1" s="28" t="s">
        <v>637</v>
      </c>
      <c r="K1" s="28" t="s">
        <v>637</v>
      </c>
      <c r="L1" s="28" t="s">
        <v>637</v>
      </c>
      <c r="M1" s="28" t="s">
        <v>637</v>
      </c>
      <c r="N1" s="28" t="s">
        <v>637</v>
      </c>
      <c r="O1" s="28" t="s">
        <v>637</v>
      </c>
      <c r="P1" s="28" t="s">
        <v>637</v>
      </c>
      <c r="Q1" s="28" t="s">
        <v>637</v>
      </c>
      <c r="R1" s="28" t="s">
        <v>637</v>
      </c>
      <c r="S1" s="28" t="s">
        <v>637</v>
      </c>
      <c r="T1" s="28" t="s">
        <v>637</v>
      </c>
      <c r="U1" s="28" t="s">
        <v>637</v>
      </c>
      <c r="W1" s="59" t="s">
        <v>636</v>
      </c>
    </row>
    <row r="2" spans="1:60" s="43" customFormat="1" ht="45" customHeight="1">
      <c r="A2" s="43" t="s">
        <v>889</v>
      </c>
      <c r="B2" s="43" t="s">
        <v>888</v>
      </c>
      <c r="C2" s="46" t="s">
        <v>630</v>
      </c>
      <c r="D2" s="46" t="s">
        <v>633</v>
      </c>
      <c r="E2" s="46" t="s">
        <v>634</v>
      </c>
      <c r="F2" s="58" t="s">
        <v>626</v>
      </c>
      <c r="G2" s="57" t="s">
        <v>625</v>
      </c>
      <c r="H2" s="56" t="s">
        <v>784</v>
      </c>
      <c r="I2" s="45" t="s">
        <v>627</v>
      </c>
      <c r="J2" s="56" t="s">
        <v>631</v>
      </c>
      <c r="K2" s="57" t="s">
        <v>624</v>
      </c>
      <c r="L2" s="57" t="s">
        <v>623</v>
      </c>
      <c r="M2" s="57" t="s">
        <v>632</v>
      </c>
      <c r="N2" s="57" t="s">
        <v>622</v>
      </c>
      <c r="O2" s="57" t="s">
        <v>621</v>
      </c>
      <c r="P2" s="57" t="s">
        <v>620</v>
      </c>
      <c r="Q2" s="57" t="s">
        <v>619</v>
      </c>
      <c r="R2" s="57" t="s">
        <v>618</v>
      </c>
      <c r="S2" s="57" t="s">
        <v>617</v>
      </c>
      <c r="T2" s="57" t="s">
        <v>616</v>
      </c>
      <c r="U2" s="57" t="s">
        <v>614</v>
      </c>
      <c r="V2" s="44" t="s">
        <v>615</v>
      </c>
      <c r="W2" s="60" t="s">
        <v>635</v>
      </c>
    </row>
    <row r="3" spans="1:60">
      <c r="A3" s="25" t="s">
        <v>737</v>
      </c>
      <c r="B3" s="25" t="s">
        <v>694</v>
      </c>
      <c r="C3" s="61"/>
      <c r="D3" s="95" t="s">
        <v>139</v>
      </c>
      <c r="E3" s="95" t="s">
        <v>138</v>
      </c>
      <c r="F3" s="96" t="s">
        <v>706</v>
      </c>
      <c r="G3" s="96" t="s">
        <v>707</v>
      </c>
      <c r="H3" s="51"/>
      <c r="I3" s="97"/>
      <c r="J3" s="98">
        <v>864660</v>
      </c>
      <c r="K3" s="99" t="s">
        <v>561</v>
      </c>
      <c r="L3" s="99" t="s">
        <v>708</v>
      </c>
      <c r="M3" s="99" t="s">
        <v>566</v>
      </c>
      <c r="N3" s="99" t="s">
        <v>709</v>
      </c>
      <c r="O3" s="99" t="s">
        <v>710</v>
      </c>
      <c r="P3" s="48">
        <v>46012</v>
      </c>
      <c r="Q3" s="99"/>
      <c r="R3" s="99" t="s">
        <v>711</v>
      </c>
      <c r="S3" s="99">
        <v>103438</v>
      </c>
      <c r="T3" s="49">
        <v>96534094000158</v>
      </c>
      <c r="U3" s="99" t="s">
        <v>563</v>
      </c>
      <c r="V3" s="39" t="s">
        <v>712</v>
      </c>
      <c r="W3" s="35"/>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c r="A4" s="25" t="s">
        <v>737</v>
      </c>
      <c r="B4" s="25" t="s">
        <v>694</v>
      </c>
      <c r="C4" s="61"/>
      <c r="D4" s="95" t="s">
        <v>139</v>
      </c>
      <c r="E4" s="95" t="s">
        <v>138</v>
      </c>
      <c r="F4" s="96" t="s">
        <v>706</v>
      </c>
      <c r="G4" s="96" t="s">
        <v>713</v>
      </c>
      <c r="H4" s="100">
        <v>624000</v>
      </c>
      <c r="I4" s="97"/>
      <c r="J4" s="98">
        <v>624000</v>
      </c>
      <c r="K4" s="47" t="s">
        <v>561</v>
      </c>
      <c r="L4" s="99">
        <v>4600053154</v>
      </c>
      <c r="M4" s="99" t="s">
        <v>714</v>
      </c>
      <c r="N4" s="99" t="s">
        <v>715</v>
      </c>
      <c r="O4" s="99" t="s">
        <v>716</v>
      </c>
      <c r="P4" s="101">
        <v>45678</v>
      </c>
      <c r="Q4" s="99" t="s">
        <v>717</v>
      </c>
      <c r="R4" s="99" t="s">
        <v>718</v>
      </c>
      <c r="S4" s="99">
        <v>3003070</v>
      </c>
      <c r="T4" s="49">
        <v>17774087000157</v>
      </c>
      <c r="U4" s="50" t="s">
        <v>629</v>
      </c>
      <c r="V4" s="39"/>
      <c r="W4" s="35"/>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row>
    <row r="5" spans="1:60">
      <c r="A5" s="25" t="s">
        <v>737</v>
      </c>
      <c r="B5" s="25" t="s">
        <v>694</v>
      </c>
      <c r="C5" s="61"/>
      <c r="D5" s="95" t="s">
        <v>139</v>
      </c>
      <c r="E5" s="95" t="s">
        <v>138</v>
      </c>
      <c r="F5" s="96" t="s">
        <v>719</v>
      </c>
      <c r="G5" s="96" t="s">
        <v>720</v>
      </c>
      <c r="H5" s="100">
        <v>779301</v>
      </c>
      <c r="I5" s="97"/>
      <c r="J5" s="98" t="s">
        <v>788</v>
      </c>
      <c r="K5" s="47"/>
      <c r="L5" s="99"/>
      <c r="M5" s="99" t="s">
        <v>714</v>
      </c>
      <c r="N5" s="99"/>
      <c r="O5" s="99"/>
      <c r="P5" s="101"/>
      <c r="Q5" s="99" t="s">
        <v>789</v>
      </c>
      <c r="R5" s="99"/>
      <c r="S5" s="99"/>
      <c r="T5" s="49"/>
      <c r="U5" s="50"/>
      <c r="V5" s="39"/>
      <c r="W5" s="35"/>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row>
    <row r="6" spans="1:60">
      <c r="A6" s="25" t="s">
        <v>737</v>
      </c>
      <c r="B6" s="25" t="s">
        <v>694</v>
      </c>
      <c r="C6" s="61"/>
      <c r="D6" s="95" t="s">
        <v>139</v>
      </c>
      <c r="E6" s="95" t="s">
        <v>138</v>
      </c>
      <c r="F6" s="96" t="s">
        <v>719</v>
      </c>
      <c r="G6" s="96" t="s">
        <v>721</v>
      </c>
      <c r="H6" s="100">
        <v>988521</v>
      </c>
      <c r="I6" s="97"/>
      <c r="J6" s="98" t="s">
        <v>790</v>
      </c>
      <c r="K6" s="47"/>
      <c r="L6" s="99"/>
      <c r="M6" s="99" t="s">
        <v>714</v>
      </c>
      <c r="N6" s="99"/>
      <c r="O6" s="99"/>
      <c r="P6" s="101"/>
      <c r="Q6" s="99" t="s">
        <v>791</v>
      </c>
      <c r="R6" s="99"/>
      <c r="S6" s="99"/>
      <c r="T6" s="49"/>
      <c r="U6" s="50"/>
      <c r="V6" s="39"/>
      <c r="W6" s="35"/>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row>
    <row r="7" spans="1:60">
      <c r="A7" s="25" t="s">
        <v>737</v>
      </c>
      <c r="B7" s="25" t="s">
        <v>694</v>
      </c>
      <c r="C7" s="61"/>
      <c r="D7" s="95" t="s">
        <v>139</v>
      </c>
      <c r="E7" s="95" t="s">
        <v>138</v>
      </c>
      <c r="F7" s="96" t="s">
        <v>719</v>
      </c>
      <c r="G7" s="96" t="s">
        <v>722</v>
      </c>
      <c r="H7" s="100">
        <v>1417736.52</v>
      </c>
      <c r="I7" s="97"/>
      <c r="J7" s="98">
        <v>1417736.52</v>
      </c>
      <c r="K7" s="47" t="s">
        <v>561</v>
      </c>
      <c r="L7" s="99">
        <v>4600049606</v>
      </c>
      <c r="M7" s="99" t="s">
        <v>714</v>
      </c>
      <c r="N7" s="99" t="s">
        <v>715</v>
      </c>
      <c r="O7" s="99" t="s">
        <v>723</v>
      </c>
      <c r="P7" s="101">
        <v>45565</v>
      </c>
      <c r="Q7" s="99"/>
      <c r="R7" s="99" t="s">
        <v>562</v>
      </c>
      <c r="S7" s="99">
        <v>103467</v>
      </c>
      <c r="T7" s="49" t="s">
        <v>724</v>
      </c>
      <c r="U7" s="50" t="s">
        <v>563</v>
      </c>
      <c r="V7" s="39" t="s">
        <v>725</v>
      </c>
      <c r="W7" s="35"/>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row>
    <row r="8" spans="1:60">
      <c r="A8" s="25" t="s">
        <v>737</v>
      </c>
      <c r="B8" s="25" t="s">
        <v>694</v>
      </c>
      <c r="C8" s="61"/>
      <c r="D8" s="95" t="s">
        <v>139</v>
      </c>
      <c r="E8" s="95" t="s">
        <v>138</v>
      </c>
      <c r="F8" s="96" t="s">
        <v>719</v>
      </c>
      <c r="G8" s="96" t="s">
        <v>726</v>
      </c>
      <c r="H8" s="100">
        <v>1628049</v>
      </c>
      <c r="I8" s="97"/>
      <c r="J8" s="98">
        <v>1537780</v>
      </c>
      <c r="K8" s="47"/>
      <c r="L8" s="99"/>
      <c r="M8" s="99" t="s">
        <v>714</v>
      </c>
      <c r="N8" s="99"/>
      <c r="O8" s="99"/>
      <c r="P8" s="101"/>
      <c r="Q8" s="99" t="s">
        <v>792</v>
      </c>
      <c r="R8" s="99"/>
      <c r="S8" s="99"/>
      <c r="T8" s="49"/>
      <c r="U8" s="50"/>
      <c r="V8" s="39"/>
      <c r="W8" s="35"/>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row>
    <row r="9" spans="1:60">
      <c r="A9" s="25" t="s">
        <v>737</v>
      </c>
      <c r="B9" s="25" t="s">
        <v>694</v>
      </c>
      <c r="C9" s="61"/>
      <c r="D9" s="95" t="s">
        <v>139</v>
      </c>
      <c r="E9" s="95" t="s">
        <v>138</v>
      </c>
      <c r="F9" s="96" t="s">
        <v>719</v>
      </c>
      <c r="G9" s="96" t="s">
        <v>727</v>
      </c>
      <c r="H9" s="100">
        <v>988521</v>
      </c>
      <c r="I9" s="97"/>
      <c r="J9" s="98">
        <v>933524</v>
      </c>
      <c r="K9" s="47"/>
      <c r="L9" s="99"/>
      <c r="M9" s="99" t="s">
        <v>714</v>
      </c>
      <c r="N9" s="99"/>
      <c r="O9" s="99"/>
      <c r="P9" s="101"/>
      <c r="Q9" s="99">
        <v>54998</v>
      </c>
      <c r="R9" s="99"/>
      <c r="S9" s="99"/>
      <c r="T9" s="49"/>
      <c r="U9" s="50"/>
      <c r="V9" s="39"/>
      <c r="W9" s="35"/>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row>
    <row r="10" spans="1:60">
      <c r="A10" s="29" t="s">
        <v>738</v>
      </c>
      <c r="B10" s="29" t="s">
        <v>986</v>
      </c>
      <c r="C10" s="62"/>
      <c r="D10" s="95" t="s">
        <v>139</v>
      </c>
      <c r="E10" s="95" t="s">
        <v>138</v>
      </c>
      <c r="F10" s="39" t="s">
        <v>728</v>
      </c>
      <c r="G10" s="39" t="s">
        <v>729</v>
      </c>
      <c r="H10" s="39"/>
      <c r="I10" s="39"/>
      <c r="J10" s="98">
        <v>23254578.538107611</v>
      </c>
      <c r="K10" s="39"/>
      <c r="L10" s="39"/>
      <c r="M10" s="39"/>
      <c r="N10" s="39"/>
      <c r="O10" s="39"/>
      <c r="P10" s="39"/>
      <c r="Q10" s="39"/>
      <c r="R10" s="39"/>
      <c r="S10" s="39"/>
      <c r="T10" s="39"/>
      <c r="U10" s="39"/>
      <c r="V10" s="39"/>
      <c r="W10" s="3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row>
    <row r="11" spans="1:60">
      <c r="A11" s="29" t="s">
        <v>738</v>
      </c>
      <c r="B11" s="29" t="s">
        <v>986</v>
      </c>
      <c r="C11" s="62"/>
      <c r="D11" s="95" t="s">
        <v>139</v>
      </c>
      <c r="E11" s="95" t="s">
        <v>138</v>
      </c>
      <c r="F11" s="39" t="s">
        <v>728</v>
      </c>
      <c r="G11" s="39" t="s">
        <v>730</v>
      </c>
      <c r="H11" s="39"/>
      <c r="I11" s="39"/>
      <c r="J11" s="98">
        <v>35941768.16730202</v>
      </c>
      <c r="K11" s="39"/>
      <c r="L11" s="39"/>
      <c r="M11" s="39"/>
      <c r="N11" s="39"/>
      <c r="O11" s="39"/>
      <c r="P11" s="39"/>
      <c r="Q11" s="39"/>
      <c r="R11" s="39"/>
      <c r="S11" s="39"/>
      <c r="T11" s="39"/>
      <c r="U11" s="39"/>
      <c r="V11" s="39"/>
      <c r="W11" s="3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row>
    <row r="12" spans="1:60">
      <c r="A12" s="29" t="s">
        <v>738</v>
      </c>
      <c r="B12" s="29" t="s">
        <v>986</v>
      </c>
      <c r="C12" s="62"/>
      <c r="D12" s="95" t="s">
        <v>139</v>
      </c>
      <c r="E12" s="95" t="s">
        <v>138</v>
      </c>
      <c r="F12" s="39" t="s">
        <v>728</v>
      </c>
      <c r="G12" s="39" t="s">
        <v>731</v>
      </c>
      <c r="H12" s="39"/>
      <c r="I12" s="39"/>
      <c r="J12" s="98">
        <v>4020134.6674866704</v>
      </c>
      <c r="K12" s="39"/>
      <c r="L12" s="39"/>
      <c r="M12" s="39"/>
      <c r="N12" s="39"/>
      <c r="O12" s="39"/>
      <c r="P12" s="39"/>
      <c r="Q12" s="39"/>
      <c r="R12" s="39"/>
      <c r="S12" s="39"/>
      <c r="T12" s="39"/>
      <c r="U12" s="39"/>
      <c r="V12" s="39"/>
      <c r="W12" s="3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row>
    <row r="13" spans="1:60" ht="15" customHeight="1">
      <c r="A13" s="25" t="s">
        <v>737</v>
      </c>
      <c r="B13" s="25" t="s">
        <v>694</v>
      </c>
      <c r="C13" s="62"/>
      <c r="D13" s="95" t="s">
        <v>139</v>
      </c>
      <c r="E13" s="95" t="s">
        <v>138</v>
      </c>
      <c r="F13" s="39" t="s">
        <v>732</v>
      </c>
      <c r="G13" s="39" t="s">
        <v>733</v>
      </c>
      <c r="H13" s="102"/>
      <c r="I13" s="39"/>
      <c r="J13" s="98">
        <v>60000</v>
      </c>
      <c r="K13" s="39"/>
      <c r="L13" s="39"/>
      <c r="M13" s="39"/>
      <c r="N13" s="39"/>
      <c r="O13" s="39"/>
      <c r="P13" s="39"/>
      <c r="Q13" s="39"/>
      <c r="R13" s="39"/>
      <c r="S13" s="39"/>
      <c r="T13" s="39"/>
      <c r="U13" s="39"/>
      <c r="V13" s="103" t="s">
        <v>734</v>
      </c>
      <c r="W13" s="3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row>
    <row r="14" spans="1:60" ht="15" customHeight="1">
      <c r="A14" s="25" t="s">
        <v>737</v>
      </c>
      <c r="B14" s="25" t="s">
        <v>694</v>
      </c>
      <c r="C14" s="62"/>
      <c r="D14" s="95" t="s">
        <v>139</v>
      </c>
      <c r="E14" s="95" t="s">
        <v>138</v>
      </c>
      <c r="F14" s="39" t="s">
        <v>732</v>
      </c>
      <c r="G14" s="39" t="s">
        <v>735</v>
      </c>
      <c r="H14" s="102">
        <v>697987</v>
      </c>
      <c r="I14" s="39"/>
      <c r="J14" s="98">
        <v>658535</v>
      </c>
      <c r="K14" s="39"/>
      <c r="L14" s="39"/>
      <c r="M14" s="39" t="s">
        <v>714</v>
      </c>
      <c r="N14" s="39"/>
      <c r="O14" s="39"/>
      <c r="P14" s="39"/>
      <c r="Q14" s="39">
        <v>39452</v>
      </c>
      <c r="R14" s="39"/>
      <c r="S14" s="39"/>
      <c r="T14" s="39"/>
      <c r="U14" s="39"/>
      <c r="V14" s="103"/>
      <c r="W14" s="3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row>
    <row r="15" spans="1:60" ht="15" customHeight="1">
      <c r="A15" s="25" t="s">
        <v>737</v>
      </c>
      <c r="B15" s="25" t="s">
        <v>694</v>
      </c>
      <c r="C15" s="62"/>
      <c r="D15" s="95" t="s">
        <v>139</v>
      </c>
      <c r="E15" s="95" t="s">
        <v>138</v>
      </c>
      <c r="F15" s="39" t="s">
        <v>732</v>
      </c>
      <c r="G15" s="39" t="s">
        <v>736</v>
      </c>
      <c r="H15" s="102">
        <v>697987</v>
      </c>
      <c r="I15" s="39"/>
      <c r="J15" s="98" t="s">
        <v>793</v>
      </c>
      <c r="K15" s="39"/>
      <c r="L15" s="39"/>
      <c r="M15" s="39" t="s">
        <v>714</v>
      </c>
      <c r="N15" s="39"/>
      <c r="O15" s="39"/>
      <c r="P15" s="39"/>
      <c r="Q15" s="39">
        <v>39452</v>
      </c>
      <c r="R15" s="39"/>
      <c r="S15" s="39"/>
      <c r="T15" s="39"/>
      <c r="U15" s="39"/>
      <c r="V15" s="103"/>
      <c r="W15" s="3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row>
    <row r="16" spans="1:60" ht="15.75" hidden="1" customHeight="1">
      <c r="A16" s="25" t="s">
        <v>378</v>
      </c>
      <c r="B16" s="25" t="s">
        <v>694</v>
      </c>
      <c r="C16" s="62"/>
      <c r="D16" s="62" t="s">
        <v>139</v>
      </c>
      <c r="E16" s="62" t="s">
        <v>137</v>
      </c>
      <c r="F16" s="39" t="s">
        <v>745</v>
      </c>
      <c r="G16" s="39" t="s">
        <v>746</v>
      </c>
      <c r="H16" s="94"/>
      <c r="I16" s="94"/>
      <c r="J16" s="94">
        <v>2000000</v>
      </c>
      <c r="K16" s="33"/>
      <c r="L16" s="104"/>
      <c r="M16" s="33"/>
      <c r="N16" s="33"/>
      <c r="O16" s="33"/>
      <c r="P16" s="33"/>
      <c r="Q16" s="33"/>
      <c r="R16" s="33"/>
      <c r="S16" s="33"/>
      <c r="T16" s="33"/>
      <c r="U16" s="33"/>
      <c r="V16" s="33" t="s">
        <v>747</v>
      </c>
      <c r="W16" s="35"/>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row>
    <row r="17" spans="1:60" ht="15.75" hidden="1" customHeight="1">
      <c r="A17" s="25" t="s">
        <v>378</v>
      </c>
      <c r="B17" s="25" t="s">
        <v>694</v>
      </c>
      <c r="C17" s="62"/>
      <c r="D17" s="62" t="s">
        <v>139</v>
      </c>
      <c r="E17" s="62" t="s">
        <v>137</v>
      </c>
      <c r="F17" s="39" t="s">
        <v>745</v>
      </c>
      <c r="G17" s="39" t="s">
        <v>748</v>
      </c>
      <c r="H17" s="94"/>
      <c r="I17" s="94"/>
      <c r="J17" s="94">
        <v>2100000</v>
      </c>
      <c r="K17" s="33"/>
      <c r="L17" s="16">
        <v>4600055625</v>
      </c>
      <c r="M17" s="33" t="s">
        <v>566</v>
      </c>
      <c r="N17" s="33" t="s">
        <v>745</v>
      </c>
      <c r="O17" s="33" t="s">
        <v>749</v>
      </c>
      <c r="P17" s="33"/>
      <c r="Q17" s="33"/>
      <c r="R17" s="33"/>
      <c r="S17" s="33"/>
      <c r="T17" s="33"/>
      <c r="U17" s="33"/>
      <c r="V17" s="33" t="s">
        <v>750</v>
      </c>
      <c r="W17" s="35"/>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row>
    <row r="18" spans="1:60" ht="15.75" hidden="1" customHeight="1">
      <c r="A18" s="25" t="s">
        <v>378</v>
      </c>
      <c r="B18" s="25" t="s">
        <v>694</v>
      </c>
      <c r="C18" s="62"/>
      <c r="D18" s="62" t="s">
        <v>139</v>
      </c>
      <c r="E18" s="62" t="s">
        <v>137</v>
      </c>
      <c r="F18" s="39" t="s">
        <v>628</v>
      </c>
      <c r="G18" s="39" t="s">
        <v>751</v>
      </c>
      <c r="H18" s="94"/>
      <c r="I18" s="94"/>
      <c r="J18" s="94">
        <v>30000</v>
      </c>
      <c r="K18" s="33"/>
      <c r="L18" s="16"/>
      <c r="M18" s="33"/>
      <c r="N18" s="33"/>
      <c r="O18" s="33"/>
      <c r="P18" s="33"/>
      <c r="Q18" s="33"/>
      <c r="R18" s="33"/>
      <c r="S18" s="33"/>
      <c r="T18" s="33"/>
      <c r="U18" s="33"/>
      <c r="V18" s="33"/>
      <c r="W18" s="35"/>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row>
    <row r="19" spans="1:60" ht="15.75" hidden="1" customHeight="1">
      <c r="A19" s="25" t="s">
        <v>378</v>
      </c>
      <c r="B19" s="25" t="s">
        <v>694</v>
      </c>
      <c r="C19" s="62"/>
      <c r="D19" s="62" t="s">
        <v>33</v>
      </c>
      <c r="E19" s="62" t="s">
        <v>18</v>
      </c>
      <c r="F19" s="39" t="s">
        <v>745</v>
      </c>
      <c r="G19" s="39" t="s">
        <v>752</v>
      </c>
      <c r="H19" s="94"/>
      <c r="I19" s="94"/>
      <c r="J19" s="94">
        <v>1800000</v>
      </c>
      <c r="K19" s="33"/>
      <c r="L19" s="16"/>
      <c r="M19" s="33"/>
      <c r="N19" s="33"/>
      <c r="O19" s="33"/>
      <c r="P19" s="33"/>
      <c r="Q19" s="33"/>
      <c r="R19" s="33"/>
      <c r="S19" s="33"/>
      <c r="T19" s="33"/>
      <c r="U19" s="33"/>
      <c r="V19" s="33" t="s">
        <v>747</v>
      </c>
      <c r="W19" s="35"/>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row>
    <row r="20" spans="1:60" ht="15.75" hidden="1" customHeight="1">
      <c r="A20" s="25" t="s">
        <v>378</v>
      </c>
      <c r="B20" s="25" t="s">
        <v>694</v>
      </c>
      <c r="C20" s="62"/>
      <c r="D20" s="62" t="s">
        <v>33</v>
      </c>
      <c r="E20" s="62" t="s">
        <v>18</v>
      </c>
      <c r="F20" s="39" t="s">
        <v>628</v>
      </c>
      <c r="G20" s="39" t="s">
        <v>751</v>
      </c>
      <c r="H20" s="94"/>
      <c r="I20" s="94"/>
      <c r="J20" s="94">
        <v>30000</v>
      </c>
      <c r="K20" s="33"/>
      <c r="L20" s="16"/>
      <c r="M20" s="33"/>
      <c r="N20" s="33"/>
      <c r="O20" s="33"/>
      <c r="P20" s="33"/>
      <c r="Q20" s="33"/>
      <c r="R20" s="33"/>
      <c r="S20" s="33"/>
      <c r="T20" s="33"/>
      <c r="U20" s="33"/>
      <c r="V20" s="33"/>
      <c r="W20" s="35"/>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row>
    <row r="21" spans="1:60" ht="15.75" hidden="1" customHeight="1">
      <c r="A21" s="25" t="s">
        <v>378</v>
      </c>
      <c r="B21" s="25" t="s">
        <v>694</v>
      </c>
      <c r="C21" s="62"/>
      <c r="D21" s="62" t="s">
        <v>33</v>
      </c>
      <c r="E21" s="62" t="s">
        <v>18</v>
      </c>
      <c r="F21" s="39" t="s">
        <v>745</v>
      </c>
      <c r="G21" s="39" t="s">
        <v>753</v>
      </c>
      <c r="H21" s="94"/>
      <c r="I21" s="94"/>
      <c r="J21" s="94">
        <v>1800000</v>
      </c>
      <c r="K21" s="33"/>
      <c r="L21" s="16">
        <v>4600045038</v>
      </c>
      <c r="M21" s="33" t="s">
        <v>566</v>
      </c>
      <c r="N21" s="33" t="s">
        <v>745</v>
      </c>
      <c r="O21" s="33" t="s">
        <v>749</v>
      </c>
      <c r="P21" s="33"/>
      <c r="Q21" s="33"/>
      <c r="R21" s="33"/>
      <c r="S21" s="33"/>
      <c r="T21" s="33"/>
      <c r="U21" s="33"/>
      <c r="V21" s="33"/>
      <c r="W21" s="35"/>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row>
    <row r="22" spans="1:60" ht="15.75" hidden="1" customHeight="1">
      <c r="A22" s="25" t="s">
        <v>378</v>
      </c>
      <c r="B22" s="25" t="s">
        <v>694</v>
      </c>
      <c r="C22" s="62"/>
      <c r="D22" s="62" t="s">
        <v>33</v>
      </c>
      <c r="E22" s="62" t="s">
        <v>18</v>
      </c>
      <c r="F22" s="39" t="s">
        <v>745</v>
      </c>
      <c r="G22" s="39" t="s">
        <v>754</v>
      </c>
      <c r="H22" s="94"/>
      <c r="I22" s="94"/>
      <c r="J22" s="94">
        <v>3000000</v>
      </c>
      <c r="K22" s="33"/>
      <c r="L22" s="16">
        <v>4600049560</v>
      </c>
      <c r="M22" s="33" t="s">
        <v>714</v>
      </c>
      <c r="N22" s="33" t="s">
        <v>745</v>
      </c>
      <c r="O22" s="33" t="s">
        <v>749</v>
      </c>
      <c r="P22" s="33"/>
      <c r="Q22" s="33"/>
      <c r="R22" s="33"/>
      <c r="S22" s="33"/>
      <c r="T22" s="33"/>
      <c r="U22" s="33"/>
      <c r="V22" s="33"/>
      <c r="W22" s="35"/>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row>
    <row r="23" spans="1:60" ht="15.75" hidden="1" customHeight="1">
      <c r="A23" s="25" t="s">
        <v>378</v>
      </c>
      <c r="B23" s="25" t="s">
        <v>694</v>
      </c>
      <c r="C23" s="62"/>
      <c r="D23" s="62" t="s">
        <v>33</v>
      </c>
      <c r="E23" s="62" t="s">
        <v>18</v>
      </c>
      <c r="F23" s="39" t="s">
        <v>745</v>
      </c>
      <c r="G23" s="39" t="s">
        <v>755</v>
      </c>
      <c r="H23" s="94"/>
      <c r="I23" s="94"/>
      <c r="J23" s="94">
        <v>1800000</v>
      </c>
      <c r="K23" s="33"/>
      <c r="L23" s="16">
        <v>4600049560</v>
      </c>
      <c r="M23" s="33" t="s">
        <v>714</v>
      </c>
      <c r="N23" s="33" t="s">
        <v>745</v>
      </c>
      <c r="O23" s="33" t="s">
        <v>749</v>
      </c>
      <c r="P23" s="33"/>
      <c r="Q23" s="33"/>
      <c r="R23" s="33"/>
      <c r="S23" s="33"/>
      <c r="T23" s="33"/>
      <c r="U23" s="33"/>
      <c r="V23" s="33"/>
      <c r="W23" s="35"/>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row>
    <row r="24" spans="1:60" ht="15.75" hidden="1" customHeight="1">
      <c r="A24" s="25" t="s">
        <v>943</v>
      </c>
      <c r="B24" s="25" t="s">
        <v>694</v>
      </c>
      <c r="C24" s="91" t="s">
        <v>758</v>
      </c>
      <c r="D24" s="114" t="s">
        <v>697</v>
      </c>
      <c r="E24" s="106" t="s">
        <v>759</v>
      </c>
      <c r="F24" s="105" t="s">
        <v>602</v>
      </c>
      <c r="G24" s="107" t="s">
        <v>760</v>
      </c>
      <c r="H24" s="109"/>
      <c r="I24" s="109"/>
      <c r="J24" s="109">
        <v>326007.79199999996</v>
      </c>
      <c r="K24" s="110" t="s">
        <v>761</v>
      </c>
      <c r="L24" s="111" t="s">
        <v>762</v>
      </c>
      <c r="M24" s="110" t="s">
        <v>566</v>
      </c>
      <c r="N24" s="111" t="s">
        <v>763</v>
      </c>
      <c r="O24" s="110" t="s">
        <v>248</v>
      </c>
      <c r="P24" s="110" t="s">
        <v>764</v>
      </c>
      <c r="Q24" s="110" t="s">
        <v>560</v>
      </c>
      <c r="R24" s="110" t="s">
        <v>568</v>
      </c>
      <c r="S24" s="110">
        <v>103467</v>
      </c>
      <c r="T24" s="110" t="s">
        <v>765</v>
      </c>
      <c r="U24" s="110" t="s">
        <v>563</v>
      </c>
      <c r="V24" s="112" t="s">
        <v>766</v>
      </c>
      <c r="W24" s="113"/>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row>
    <row r="25" spans="1:60" ht="15.75" hidden="1" customHeight="1">
      <c r="A25" s="25" t="s">
        <v>943</v>
      </c>
      <c r="B25" s="25" t="s">
        <v>694</v>
      </c>
      <c r="C25" s="91" t="s">
        <v>758</v>
      </c>
      <c r="D25" s="114" t="s">
        <v>697</v>
      </c>
      <c r="E25" s="106" t="s">
        <v>767</v>
      </c>
      <c r="F25" s="114" t="s">
        <v>602</v>
      </c>
      <c r="G25" s="115" t="s">
        <v>768</v>
      </c>
      <c r="H25" s="109"/>
      <c r="I25" s="108"/>
      <c r="J25" s="108">
        <v>36468.000000000007</v>
      </c>
      <c r="K25" s="110" t="s">
        <v>761</v>
      </c>
      <c r="L25" s="112" t="s">
        <v>762</v>
      </c>
      <c r="M25" s="110" t="s">
        <v>566</v>
      </c>
      <c r="N25" s="111" t="s">
        <v>763</v>
      </c>
      <c r="O25" s="110" t="s">
        <v>248</v>
      </c>
      <c r="P25" s="110" t="s">
        <v>764</v>
      </c>
      <c r="Q25" s="116" t="s">
        <v>560</v>
      </c>
      <c r="R25" s="110" t="s">
        <v>568</v>
      </c>
      <c r="S25" s="110">
        <v>103467</v>
      </c>
      <c r="T25" s="110" t="s">
        <v>765</v>
      </c>
      <c r="U25" s="116" t="s">
        <v>563</v>
      </c>
      <c r="V25" s="112" t="s">
        <v>769</v>
      </c>
      <c r="W25" s="113"/>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row>
    <row r="26" spans="1:60" ht="15.75" hidden="1" customHeight="1">
      <c r="A26" s="25" t="s">
        <v>943</v>
      </c>
      <c r="B26" s="25" t="s">
        <v>694</v>
      </c>
      <c r="C26" s="91" t="s">
        <v>758</v>
      </c>
      <c r="D26" s="114" t="s">
        <v>697</v>
      </c>
      <c r="E26" s="106" t="s">
        <v>770</v>
      </c>
      <c r="F26" s="105" t="s">
        <v>602</v>
      </c>
      <c r="G26" s="107" t="s">
        <v>771</v>
      </c>
      <c r="H26" s="109"/>
      <c r="I26" s="109"/>
      <c r="J26" s="109">
        <v>374260.44</v>
      </c>
      <c r="K26" s="110" t="s">
        <v>761</v>
      </c>
      <c r="L26" s="111" t="s">
        <v>762</v>
      </c>
      <c r="M26" s="110" t="s">
        <v>566</v>
      </c>
      <c r="N26" s="111" t="s">
        <v>763</v>
      </c>
      <c r="O26" s="110" t="s">
        <v>248</v>
      </c>
      <c r="P26" s="110" t="s">
        <v>764</v>
      </c>
      <c r="Q26" s="110" t="s">
        <v>560</v>
      </c>
      <c r="R26" s="110" t="s">
        <v>568</v>
      </c>
      <c r="S26" s="110">
        <v>103467</v>
      </c>
      <c r="T26" s="110" t="s">
        <v>765</v>
      </c>
      <c r="U26" s="110" t="s">
        <v>563</v>
      </c>
      <c r="V26" s="112" t="s">
        <v>772</v>
      </c>
      <c r="W26" s="113"/>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row>
    <row r="27" spans="1:60" ht="15.75" hidden="1" customHeight="1">
      <c r="A27" s="25" t="s">
        <v>943</v>
      </c>
      <c r="B27" s="25" t="s">
        <v>694</v>
      </c>
      <c r="C27" s="91" t="s">
        <v>758</v>
      </c>
      <c r="D27" s="114" t="s">
        <v>697</v>
      </c>
      <c r="E27" s="106" t="s">
        <v>773</v>
      </c>
      <c r="F27" s="114" t="s">
        <v>774</v>
      </c>
      <c r="G27" s="115" t="s">
        <v>775</v>
      </c>
      <c r="H27" s="109"/>
      <c r="I27" s="108"/>
      <c r="J27" s="108">
        <v>138726.72</v>
      </c>
      <c r="K27" s="116" t="s">
        <v>761</v>
      </c>
      <c r="L27" s="116">
        <v>4600054158</v>
      </c>
      <c r="M27" s="116" t="s">
        <v>566</v>
      </c>
      <c r="N27" s="112" t="s">
        <v>763</v>
      </c>
      <c r="O27" s="116" t="s">
        <v>248</v>
      </c>
      <c r="P27" s="116" t="s">
        <v>776</v>
      </c>
      <c r="Q27" s="108"/>
      <c r="R27" s="116" t="s">
        <v>568</v>
      </c>
      <c r="S27" s="116">
        <v>3040172</v>
      </c>
      <c r="T27" s="116" t="s">
        <v>777</v>
      </c>
      <c r="U27" s="116" t="s">
        <v>778</v>
      </c>
      <c r="V27" s="112" t="s">
        <v>779</v>
      </c>
      <c r="W27" s="113"/>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row>
    <row r="28" spans="1:60" ht="15.75" hidden="1" customHeight="1">
      <c r="A28" s="25" t="s">
        <v>988</v>
      </c>
      <c r="B28" s="25" t="s">
        <v>694</v>
      </c>
      <c r="C28" s="91" t="s">
        <v>758</v>
      </c>
      <c r="D28" s="114" t="s">
        <v>697</v>
      </c>
      <c r="E28" s="106"/>
      <c r="F28" s="128" t="s">
        <v>944</v>
      </c>
      <c r="G28" s="129" t="s">
        <v>952</v>
      </c>
      <c r="H28" s="130">
        <v>5231760.3360000001</v>
      </c>
      <c r="I28" s="53"/>
      <c r="J28" s="109">
        <v>4435101.3899999997</v>
      </c>
      <c r="K28" s="38" t="s">
        <v>945</v>
      </c>
      <c r="L28" s="54" t="s">
        <v>946</v>
      </c>
      <c r="M28" s="54" t="s">
        <v>598</v>
      </c>
      <c r="N28" s="54" t="s">
        <v>598</v>
      </c>
      <c r="O28" s="54" t="s">
        <v>598</v>
      </c>
      <c r="P28" s="54" t="s">
        <v>946</v>
      </c>
      <c r="Q28" s="54" t="s">
        <v>598</v>
      </c>
      <c r="R28" s="54" t="s">
        <v>598</v>
      </c>
      <c r="S28" s="54" t="s">
        <v>598</v>
      </c>
      <c r="T28" s="54" t="s">
        <v>598</v>
      </c>
      <c r="U28" s="54" t="s">
        <v>947</v>
      </c>
      <c r="V28" s="131" t="s">
        <v>948</v>
      </c>
      <c r="W28" s="113"/>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row>
    <row r="29" spans="1:60" ht="15.75" hidden="1" customHeight="1">
      <c r="A29" s="25" t="s">
        <v>988</v>
      </c>
      <c r="B29" s="25" t="s">
        <v>694</v>
      </c>
      <c r="C29" s="91" t="s">
        <v>758</v>
      </c>
      <c r="D29" s="114" t="s">
        <v>697</v>
      </c>
      <c r="E29" s="106"/>
      <c r="F29" s="128" t="s">
        <v>944</v>
      </c>
      <c r="G29" s="129" t="s">
        <v>953</v>
      </c>
      <c r="H29" s="132"/>
      <c r="I29" s="132"/>
      <c r="J29" s="108">
        <v>45219.239999999991</v>
      </c>
      <c r="K29" s="133"/>
      <c r="L29" s="133"/>
      <c r="M29" s="134" t="s">
        <v>566</v>
      </c>
      <c r="N29" s="135" t="s">
        <v>763</v>
      </c>
      <c r="O29" s="134" t="s">
        <v>248</v>
      </c>
      <c r="P29" s="54" t="s">
        <v>946</v>
      </c>
      <c r="Q29" s="54" t="s">
        <v>598</v>
      </c>
      <c r="R29" s="54" t="s">
        <v>598</v>
      </c>
      <c r="S29" s="54" t="s">
        <v>598</v>
      </c>
      <c r="T29" s="54" t="s">
        <v>598</v>
      </c>
      <c r="U29" s="54" t="s">
        <v>949</v>
      </c>
      <c r="V29" s="131" t="s">
        <v>950</v>
      </c>
      <c r="W29" s="113"/>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row>
    <row r="30" spans="1:60" ht="15.75" hidden="1" customHeight="1">
      <c r="A30" s="25" t="s">
        <v>987</v>
      </c>
      <c r="B30" s="25" t="s">
        <v>694</v>
      </c>
      <c r="C30" s="91" t="s">
        <v>758</v>
      </c>
      <c r="D30" s="114" t="s">
        <v>697</v>
      </c>
      <c r="E30" s="106"/>
      <c r="F30" s="128" t="s">
        <v>944</v>
      </c>
      <c r="G30" s="129" t="s">
        <v>952</v>
      </c>
      <c r="H30" s="130">
        <v>5231760.3360000001</v>
      </c>
      <c r="I30" s="53"/>
      <c r="J30" s="109">
        <v>5231760.34</v>
      </c>
      <c r="K30" s="38" t="s">
        <v>945</v>
      </c>
      <c r="L30" s="54" t="s">
        <v>946</v>
      </c>
      <c r="M30" s="54" t="s">
        <v>598</v>
      </c>
      <c r="N30" s="54" t="s">
        <v>598</v>
      </c>
      <c r="O30" s="54" t="s">
        <v>598</v>
      </c>
      <c r="P30" s="54" t="s">
        <v>946</v>
      </c>
      <c r="Q30" s="54" t="s">
        <v>598</v>
      </c>
      <c r="R30" s="54" t="s">
        <v>598</v>
      </c>
      <c r="S30" s="54" t="s">
        <v>598</v>
      </c>
      <c r="T30" s="54" t="s">
        <v>598</v>
      </c>
      <c r="U30" s="54" t="s">
        <v>947</v>
      </c>
      <c r="V30" s="131" t="s">
        <v>948</v>
      </c>
      <c r="W30" s="113"/>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row>
    <row r="31" spans="1:60" ht="15.75" hidden="1" customHeight="1">
      <c r="A31" s="25" t="s">
        <v>987</v>
      </c>
      <c r="B31" s="25" t="s">
        <v>694</v>
      </c>
      <c r="C31" s="91" t="s">
        <v>758</v>
      </c>
      <c r="D31" s="114" t="s">
        <v>697</v>
      </c>
      <c r="E31" s="106"/>
      <c r="F31" s="128" t="s">
        <v>944</v>
      </c>
      <c r="G31" s="129" t="s">
        <v>953</v>
      </c>
      <c r="H31" s="132"/>
      <c r="I31" s="132"/>
      <c r="J31" s="108">
        <v>45219.239999999991</v>
      </c>
      <c r="K31" s="133"/>
      <c r="L31" s="133"/>
      <c r="M31" s="134" t="s">
        <v>566</v>
      </c>
      <c r="N31" s="135" t="s">
        <v>763</v>
      </c>
      <c r="O31" s="134" t="s">
        <v>248</v>
      </c>
      <c r="P31" s="54" t="s">
        <v>946</v>
      </c>
      <c r="Q31" s="54" t="s">
        <v>598</v>
      </c>
      <c r="R31" s="54" t="s">
        <v>598</v>
      </c>
      <c r="S31" s="54" t="s">
        <v>598</v>
      </c>
      <c r="T31" s="54" t="s">
        <v>598</v>
      </c>
      <c r="U31" s="54" t="s">
        <v>949</v>
      </c>
      <c r="V31" s="131" t="s">
        <v>950</v>
      </c>
      <c r="W31" s="113"/>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row>
    <row r="32" spans="1:60" ht="15.75" hidden="1" customHeight="1">
      <c r="A32" s="25" t="s">
        <v>219</v>
      </c>
      <c r="B32" s="25" t="s">
        <v>694</v>
      </c>
      <c r="C32" s="91"/>
      <c r="D32" s="114" t="s">
        <v>697</v>
      </c>
      <c r="E32" s="106"/>
      <c r="F32" s="39" t="s">
        <v>602</v>
      </c>
      <c r="G32" s="39" t="s">
        <v>601</v>
      </c>
      <c r="H32" s="37"/>
      <c r="I32" s="37"/>
      <c r="J32" s="108">
        <v>150666</v>
      </c>
      <c r="K32" s="38" t="s">
        <v>561</v>
      </c>
      <c r="L32" s="42">
        <v>4600052922</v>
      </c>
      <c r="M32" s="36" t="s">
        <v>566</v>
      </c>
      <c r="N32" s="36" t="s">
        <v>600</v>
      </c>
      <c r="O32" s="36" t="s">
        <v>599</v>
      </c>
      <c r="P32" s="40">
        <v>46387</v>
      </c>
      <c r="Q32" s="36"/>
      <c r="R32" s="36" t="s">
        <v>598</v>
      </c>
      <c r="S32" s="33">
        <v>103467</v>
      </c>
      <c r="T32" s="41">
        <v>96534094000158</v>
      </c>
      <c r="U32" s="38" t="s">
        <v>563</v>
      </c>
      <c r="V32" s="34"/>
      <c r="W32" s="113"/>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row>
    <row r="33" spans="1:60" ht="15.75" hidden="1" customHeight="1">
      <c r="A33" s="25" t="s">
        <v>219</v>
      </c>
      <c r="B33" s="25" t="s">
        <v>694</v>
      </c>
      <c r="C33" s="91"/>
      <c r="D33" s="114" t="s">
        <v>697</v>
      </c>
      <c r="E33" s="117" t="s">
        <v>109</v>
      </c>
      <c r="F33" s="114" t="s">
        <v>698</v>
      </c>
      <c r="G33" s="115" t="s">
        <v>699</v>
      </c>
      <c r="H33" s="108">
        <f>((((38283.81*0.2)+38283.81)/3)*5)*12</f>
        <v>918811.44</v>
      </c>
      <c r="I33" s="108"/>
      <c r="J33" s="108">
        <f>H33</f>
        <v>918811.44</v>
      </c>
      <c r="K33" s="116" t="s">
        <v>561</v>
      </c>
      <c r="L33" s="116">
        <v>4600052922</v>
      </c>
      <c r="M33" s="116" t="s">
        <v>566</v>
      </c>
      <c r="N33" s="112" t="s">
        <v>700</v>
      </c>
      <c r="O33" s="116" t="s">
        <v>701</v>
      </c>
      <c r="P33" s="116">
        <v>46387</v>
      </c>
      <c r="Q33" s="108"/>
      <c r="R33" s="116" t="s">
        <v>148</v>
      </c>
      <c r="S33" s="116">
        <v>103467</v>
      </c>
      <c r="T33" s="116">
        <v>96534094000158</v>
      </c>
      <c r="U33" s="116" t="s">
        <v>563</v>
      </c>
      <c r="V33" s="112" t="s">
        <v>702</v>
      </c>
      <c r="W33" s="113"/>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row>
    <row r="34" spans="1:60" ht="15.75" hidden="1" customHeight="1">
      <c r="A34" s="25" t="s">
        <v>219</v>
      </c>
      <c r="B34" s="25" t="s">
        <v>694</v>
      </c>
      <c r="C34" s="91"/>
      <c r="D34" s="114" t="s">
        <v>697</v>
      </c>
      <c r="E34" s="117" t="s">
        <v>96</v>
      </c>
      <c r="F34" s="114" t="s">
        <v>698</v>
      </c>
      <c r="G34" s="115" t="s">
        <v>699</v>
      </c>
      <c r="H34" s="108">
        <f>((((30474.01*20%)+30474.01)/3)*5)*12</f>
        <v>731376.24</v>
      </c>
      <c r="I34" s="108"/>
      <c r="J34" s="108">
        <f>H34</f>
        <v>731376.24</v>
      </c>
      <c r="K34" s="116" t="s">
        <v>561</v>
      </c>
      <c r="L34" s="116">
        <v>4600052922</v>
      </c>
      <c r="M34" s="116" t="s">
        <v>566</v>
      </c>
      <c r="N34" s="112" t="s">
        <v>700</v>
      </c>
      <c r="O34" s="116" t="s">
        <v>701</v>
      </c>
      <c r="P34" s="116">
        <v>46387</v>
      </c>
      <c r="Q34" s="108"/>
      <c r="R34" s="116" t="s">
        <v>148</v>
      </c>
      <c r="S34" s="116">
        <v>103467</v>
      </c>
      <c r="T34" s="116">
        <v>96534094000158</v>
      </c>
      <c r="U34" s="116" t="s">
        <v>563</v>
      </c>
      <c r="V34" s="112" t="s">
        <v>702</v>
      </c>
      <c r="W34" s="113"/>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row>
    <row r="35" spans="1:60" ht="15.75" hidden="1" customHeight="1">
      <c r="A35" s="25" t="s">
        <v>219</v>
      </c>
      <c r="B35" s="25" t="s">
        <v>694</v>
      </c>
      <c r="C35" s="91"/>
      <c r="D35" s="114" t="s">
        <v>781</v>
      </c>
      <c r="E35" s="117" t="s">
        <v>782</v>
      </c>
      <c r="F35" s="114" t="s">
        <v>698</v>
      </c>
      <c r="G35" s="115" t="s">
        <v>699</v>
      </c>
      <c r="H35" s="108">
        <f>((((52698.99*20%)+52698.99)/3)*5)*12</f>
        <v>1264775.7600000002</v>
      </c>
      <c r="I35" s="108"/>
      <c r="J35" s="108">
        <f>H35</f>
        <v>1264775.7600000002</v>
      </c>
      <c r="K35" s="116" t="s">
        <v>561</v>
      </c>
      <c r="L35" s="116">
        <v>4600052922</v>
      </c>
      <c r="M35" s="116" t="s">
        <v>566</v>
      </c>
      <c r="N35" s="112" t="s">
        <v>700</v>
      </c>
      <c r="O35" s="116" t="s">
        <v>701</v>
      </c>
      <c r="P35" s="116">
        <v>46387</v>
      </c>
      <c r="Q35" s="108"/>
      <c r="R35" s="116" t="s">
        <v>148</v>
      </c>
      <c r="S35" s="116">
        <v>103467</v>
      </c>
      <c r="T35" s="116">
        <v>96534094000158</v>
      </c>
      <c r="U35" s="116" t="s">
        <v>563</v>
      </c>
      <c r="V35" s="112" t="s">
        <v>702</v>
      </c>
      <c r="W35" s="113"/>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row>
    <row r="36" spans="1:60" ht="15.75" hidden="1" customHeight="1">
      <c r="A36" s="25" t="s">
        <v>219</v>
      </c>
      <c r="B36" s="25" t="s">
        <v>694</v>
      </c>
      <c r="C36" s="91"/>
      <c r="D36" s="114" t="s">
        <v>781</v>
      </c>
      <c r="E36" s="117" t="s">
        <v>783</v>
      </c>
      <c r="F36" s="114" t="s">
        <v>698</v>
      </c>
      <c r="G36" s="115" t="s">
        <v>699</v>
      </c>
      <c r="H36" s="108">
        <f>((((52698.99*20%)+52698.99)/3)*5)*12</f>
        <v>1264775.7600000002</v>
      </c>
      <c r="I36" s="108"/>
      <c r="J36" s="108">
        <f>H36</f>
        <v>1264775.7600000002</v>
      </c>
      <c r="K36" s="116" t="s">
        <v>561</v>
      </c>
      <c r="L36" s="116">
        <v>4600052922</v>
      </c>
      <c r="M36" s="116" t="s">
        <v>566</v>
      </c>
      <c r="N36" s="112" t="s">
        <v>700</v>
      </c>
      <c r="O36" s="116" t="s">
        <v>701</v>
      </c>
      <c r="P36" s="116">
        <v>46387</v>
      </c>
      <c r="Q36" s="108"/>
      <c r="R36" s="116" t="s">
        <v>148</v>
      </c>
      <c r="S36" s="116">
        <v>103467</v>
      </c>
      <c r="T36" s="116">
        <v>96534094000158</v>
      </c>
      <c r="U36" s="116" t="s">
        <v>563</v>
      </c>
      <c r="V36" s="112" t="s">
        <v>702</v>
      </c>
      <c r="W36" s="113"/>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row>
    <row r="37" spans="1:60" ht="15.75" hidden="1" customHeight="1">
      <c r="A37" s="25" t="s">
        <v>787</v>
      </c>
      <c r="B37" s="25" t="s">
        <v>694</v>
      </c>
      <c r="C37" s="91"/>
      <c r="D37" s="114" t="s">
        <v>697</v>
      </c>
      <c r="E37" s="106"/>
      <c r="F37" s="114"/>
      <c r="G37" s="115"/>
      <c r="H37" s="108"/>
      <c r="I37" s="108"/>
      <c r="J37" s="108">
        <v>132200000</v>
      </c>
      <c r="K37" s="116"/>
      <c r="L37" s="116"/>
      <c r="M37" s="116"/>
      <c r="N37" s="112"/>
      <c r="O37" s="116"/>
      <c r="P37" s="116"/>
      <c r="Q37" s="108"/>
      <c r="R37" s="116"/>
      <c r="S37" s="116"/>
      <c r="T37" s="116"/>
      <c r="U37" s="116"/>
      <c r="V37" s="112"/>
      <c r="W37" s="113"/>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row>
    <row r="38" spans="1:60" ht="15.75" hidden="1" customHeight="1">
      <c r="A38" s="25" t="s">
        <v>860</v>
      </c>
      <c r="B38" s="25" t="s">
        <v>694</v>
      </c>
      <c r="C38" s="91"/>
      <c r="D38" s="114"/>
      <c r="E38" s="106"/>
      <c r="F38" s="114" t="s">
        <v>604</v>
      </c>
      <c r="G38" s="115" t="s">
        <v>827</v>
      </c>
      <c r="H38" s="108">
        <v>4689245.0571093233</v>
      </c>
      <c r="I38" s="108"/>
      <c r="J38" s="108">
        <v>515816.95628202567</v>
      </c>
      <c r="K38" s="116" t="s">
        <v>561</v>
      </c>
      <c r="L38" s="116">
        <v>4600054472</v>
      </c>
      <c r="M38" s="116" t="s">
        <v>566</v>
      </c>
      <c r="N38" s="112" t="s">
        <v>600</v>
      </c>
      <c r="O38" s="116" t="s">
        <v>599</v>
      </c>
      <c r="P38" s="116">
        <v>46022</v>
      </c>
      <c r="Q38" s="108" t="s">
        <v>832</v>
      </c>
      <c r="R38" s="116" t="s">
        <v>598</v>
      </c>
      <c r="S38" s="116">
        <v>3028220</v>
      </c>
      <c r="T38" s="116">
        <v>30630667000139</v>
      </c>
      <c r="U38" s="116" t="s">
        <v>833</v>
      </c>
      <c r="V38" s="112"/>
      <c r="W38" s="113"/>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row>
    <row r="39" spans="1:60" ht="15.75" hidden="1" customHeight="1">
      <c r="A39" s="25" t="s">
        <v>860</v>
      </c>
      <c r="B39" s="25" t="s">
        <v>694</v>
      </c>
      <c r="C39" s="91"/>
      <c r="D39" s="114"/>
      <c r="E39" s="106"/>
      <c r="F39" s="114" t="s">
        <v>604</v>
      </c>
      <c r="G39" s="115" t="s">
        <v>613</v>
      </c>
      <c r="H39" s="108">
        <v>41589731.140000001</v>
      </c>
      <c r="I39" s="108"/>
      <c r="J39" s="108">
        <v>29513533.215767968</v>
      </c>
      <c r="K39" s="116" t="s">
        <v>561</v>
      </c>
      <c r="L39" s="116">
        <v>4600053908</v>
      </c>
      <c r="M39" s="116" t="s">
        <v>566</v>
      </c>
      <c r="N39" s="112" t="s">
        <v>604</v>
      </c>
      <c r="O39" s="116" t="s">
        <v>611</v>
      </c>
      <c r="P39" s="116">
        <v>48073</v>
      </c>
      <c r="Q39" s="108" t="s">
        <v>832</v>
      </c>
      <c r="R39" s="116" t="s">
        <v>598</v>
      </c>
      <c r="S39" s="116">
        <v>104922</v>
      </c>
      <c r="T39" s="116">
        <v>34028316000103</v>
      </c>
      <c r="U39" s="116" t="s">
        <v>612</v>
      </c>
      <c r="V39" s="112"/>
      <c r="W39" s="113"/>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row>
    <row r="40" spans="1:60" ht="15.75" hidden="1" customHeight="1">
      <c r="A40" s="25" t="s">
        <v>860</v>
      </c>
      <c r="B40" s="25" t="s">
        <v>694</v>
      </c>
      <c r="C40" s="91"/>
      <c r="D40" s="114"/>
      <c r="E40" s="106"/>
      <c r="F40" s="114" t="s">
        <v>604</v>
      </c>
      <c r="G40" s="115" t="s">
        <v>828</v>
      </c>
      <c r="H40" s="108">
        <v>724783.20000000007</v>
      </c>
      <c r="I40" s="108"/>
      <c r="J40" s="108">
        <v>490508.82483370893</v>
      </c>
      <c r="K40" s="116" t="s">
        <v>561</v>
      </c>
      <c r="L40" s="116">
        <v>4600053687</v>
      </c>
      <c r="M40" s="116" t="s">
        <v>566</v>
      </c>
      <c r="N40" s="112" t="s">
        <v>600</v>
      </c>
      <c r="O40" s="116" t="s">
        <v>599</v>
      </c>
      <c r="P40" s="116">
        <v>45911</v>
      </c>
      <c r="Q40" s="108" t="s">
        <v>832</v>
      </c>
      <c r="R40" s="116" t="s">
        <v>598</v>
      </c>
      <c r="S40" s="116">
        <v>168387</v>
      </c>
      <c r="T40" s="116">
        <v>7385111000102</v>
      </c>
      <c r="U40" s="116" t="s">
        <v>603</v>
      </c>
      <c r="V40" s="112"/>
      <c r="W40" s="113"/>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row>
    <row r="41" spans="1:60" ht="15.75" hidden="1" customHeight="1">
      <c r="A41" s="25" t="s">
        <v>860</v>
      </c>
      <c r="B41" s="25" t="s">
        <v>694</v>
      </c>
      <c r="C41" s="91"/>
      <c r="D41" s="114"/>
      <c r="E41" s="106"/>
      <c r="F41" s="114" t="s">
        <v>604</v>
      </c>
      <c r="G41" s="115" t="s">
        <v>608</v>
      </c>
      <c r="H41" s="108">
        <v>5624970.761733111</v>
      </c>
      <c r="I41" s="108"/>
      <c r="J41" s="108">
        <v>4035240.9134399197</v>
      </c>
      <c r="K41" s="116" t="s">
        <v>561</v>
      </c>
      <c r="L41" s="116">
        <v>4600052837</v>
      </c>
      <c r="M41" s="116" t="s">
        <v>566</v>
      </c>
      <c r="N41" s="112" t="s">
        <v>604</v>
      </c>
      <c r="O41" s="116" t="s">
        <v>606</v>
      </c>
      <c r="P41" s="116">
        <v>46053</v>
      </c>
      <c r="Q41" s="108" t="s">
        <v>832</v>
      </c>
      <c r="R41" s="116" t="s">
        <v>598</v>
      </c>
      <c r="S41" s="116">
        <v>175464</v>
      </c>
      <c r="T41" s="116">
        <v>3270407000127</v>
      </c>
      <c r="U41" s="116" t="s">
        <v>610</v>
      </c>
      <c r="V41" s="112"/>
      <c r="W41" s="113"/>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row>
    <row r="42" spans="1:60" ht="15.75" hidden="1" customHeight="1">
      <c r="A42" s="25" t="s">
        <v>860</v>
      </c>
      <c r="B42" s="25" t="s">
        <v>694</v>
      </c>
      <c r="C42" s="91"/>
      <c r="D42" s="114"/>
      <c r="E42" s="106"/>
      <c r="F42" s="114" t="s">
        <v>604</v>
      </c>
      <c r="G42" s="115" t="s">
        <v>608</v>
      </c>
      <c r="H42" s="108">
        <v>3128211.7854584395</v>
      </c>
      <c r="I42" s="108"/>
      <c r="J42" s="108">
        <v>2733262.3235044931</v>
      </c>
      <c r="K42" s="116" t="s">
        <v>561</v>
      </c>
      <c r="L42" s="116">
        <v>4600052837</v>
      </c>
      <c r="M42" s="116" t="s">
        <v>566</v>
      </c>
      <c r="N42" s="112" t="s">
        <v>604</v>
      </c>
      <c r="O42" s="116" t="s">
        <v>606</v>
      </c>
      <c r="P42" s="116">
        <v>46053</v>
      </c>
      <c r="Q42" s="108" t="s">
        <v>832</v>
      </c>
      <c r="R42" s="116" t="s">
        <v>598</v>
      </c>
      <c r="S42" s="116">
        <v>3036863</v>
      </c>
      <c r="T42" s="116">
        <v>66079609000459</v>
      </c>
      <c r="U42" s="116" t="s">
        <v>607</v>
      </c>
      <c r="V42" s="112"/>
      <c r="W42" s="113"/>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row>
    <row r="43" spans="1:60" ht="15.75" hidden="1" customHeight="1">
      <c r="A43" s="25" t="s">
        <v>860</v>
      </c>
      <c r="B43" s="25" t="s">
        <v>694</v>
      </c>
      <c r="C43" s="91"/>
      <c r="D43" s="114"/>
      <c r="E43" s="106"/>
      <c r="F43" s="114" t="s">
        <v>604</v>
      </c>
      <c r="G43" s="115" t="s">
        <v>829</v>
      </c>
      <c r="H43" s="108">
        <v>4629722.7012781026</v>
      </c>
      <c r="I43" s="108"/>
      <c r="J43" s="108">
        <v>509269.49714059138</v>
      </c>
      <c r="K43" s="116" t="s">
        <v>561</v>
      </c>
      <c r="L43" s="116">
        <v>4600047137</v>
      </c>
      <c r="M43" s="116" t="s">
        <v>566</v>
      </c>
      <c r="N43" s="112" t="s">
        <v>604</v>
      </c>
      <c r="O43" s="116" t="s">
        <v>606</v>
      </c>
      <c r="P43" s="116">
        <v>45662</v>
      </c>
      <c r="Q43" s="108" t="s">
        <v>832</v>
      </c>
      <c r="R43" s="116" t="s">
        <v>598</v>
      </c>
      <c r="S43" s="116">
        <v>3012922</v>
      </c>
      <c r="T43" s="116">
        <v>17310090000110</v>
      </c>
      <c r="U43" s="116" t="s">
        <v>834</v>
      </c>
      <c r="V43" s="112"/>
      <c r="W43" s="113"/>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row>
    <row r="44" spans="1:60" ht="15.75" hidden="1" customHeight="1">
      <c r="A44" s="25" t="s">
        <v>860</v>
      </c>
      <c r="B44" s="25" t="s">
        <v>694</v>
      </c>
      <c r="C44" s="91"/>
      <c r="D44" s="114"/>
      <c r="E44" s="106"/>
      <c r="F44" s="114" t="s">
        <v>604</v>
      </c>
      <c r="G44" s="115" t="s">
        <v>830</v>
      </c>
      <c r="H44" s="108">
        <v>827776.96245343168</v>
      </c>
      <c r="I44" s="108"/>
      <c r="J44" s="108">
        <v>710516.03623272304</v>
      </c>
      <c r="K44" s="116" t="s">
        <v>561</v>
      </c>
      <c r="L44" s="116">
        <v>4600053882</v>
      </c>
      <c r="M44" s="116" t="s">
        <v>566</v>
      </c>
      <c r="N44" s="112" t="s">
        <v>835</v>
      </c>
      <c r="O44" s="116" t="s">
        <v>836</v>
      </c>
      <c r="P44" s="116">
        <v>45523</v>
      </c>
      <c r="Q44" s="108" t="s">
        <v>832</v>
      </c>
      <c r="R44" s="116" t="s">
        <v>598</v>
      </c>
      <c r="S44" s="116">
        <v>175009</v>
      </c>
      <c r="T44" s="116">
        <v>584567000152</v>
      </c>
      <c r="U44" s="116" t="s">
        <v>605</v>
      </c>
      <c r="V44" s="112"/>
      <c r="W44" s="113"/>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row>
    <row r="45" spans="1:60" ht="15.75" hidden="1" customHeight="1">
      <c r="A45" s="25" t="s">
        <v>860</v>
      </c>
      <c r="B45" s="25" t="s">
        <v>694</v>
      </c>
      <c r="C45" s="91"/>
      <c r="D45" s="114"/>
      <c r="E45" s="106"/>
      <c r="F45" s="114" t="s">
        <v>602</v>
      </c>
      <c r="G45" s="115" t="s">
        <v>831</v>
      </c>
      <c r="H45" s="108">
        <v>22146078.988031488</v>
      </c>
      <c r="I45" s="108"/>
      <c r="J45" s="108">
        <v>8443735.2819874883</v>
      </c>
      <c r="K45" s="116" t="s">
        <v>561</v>
      </c>
      <c r="L45" s="116">
        <v>4600052922</v>
      </c>
      <c r="M45" s="116" t="s">
        <v>566</v>
      </c>
      <c r="N45" s="112" t="s">
        <v>600</v>
      </c>
      <c r="O45" s="116" t="s">
        <v>599</v>
      </c>
      <c r="P45" s="116">
        <v>46387</v>
      </c>
      <c r="Q45" s="108" t="s">
        <v>832</v>
      </c>
      <c r="R45" s="116" t="s">
        <v>598</v>
      </c>
      <c r="S45" s="116">
        <v>103467</v>
      </c>
      <c r="T45" s="116">
        <v>96534094000158</v>
      </c>
      <c r="U45" s="116" t="s">
        <v>563</v>
      </c>
      <c r="V45" s="112"/>
      <c r="W45" s="113"/>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row>
    <row r="46" spans="1:60" ht="15.75" hidden="1" customHeight="1">
      <c r="A46" s="25" t="s">
        <v>860</v>
      </c>
      <c r="B46" s="25" t="s">
        <v>694</v>
      </c>
      <c r="C46" s="91"/>
      <c r="D46" s="114"/>
      <c r="E46" s="106"/>
      <c r="F46" s="114" t="s">
        <v>604</v>
      </c>
      <c r="G46" s="115" t="s">
        <v>608</v>
      </c>
      <c r="H46" s="108">
        <v>2820845.8879705234</v>
      </c>
      <c r="I46" s="108"/>
      <c r="J46" s="108">
        <v>1869220.039337114</v>
      </c>
      <c r="K46" s="116" t="s">
        <v>561</v>
      </c>
      <c r="L46" s="116">
        <v>4600056798</v>
      </c>
      <c r="M46" s="116" t="s">
        <v>566</v>
      </c>
      <c r="N46" s="112" t="s">
        <v>604</v>
      </c>
      <c r="O46" s="116" t="s">
        <v>606</v>
      </c>
      <c r="P46" s="116">
        <v>45982</v>
      </c>
      <c r="Q46" s="108" t="s">
        <v>832</v>
      </c>
      <c r="R46" s="116" t="s">
        <v>598</v>
      </c>
      <c r="S46" s="116">
        <v>100196</v>
      </c>
      <c r="T46" s="116">
        <v>33113309000147</v>
      </c>
      <c r="U46" s="116" t="s">
        <v>609</v>
      </c>
      <c r="V46" s="112"/>
      <c r="W46" s="113"/>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row>
    <row r="47" spans="1:60" ht="15.75" hidden="1" customHeight="1">
      <c r="A47" s="25" t="s">
        <v>860</v>
      </c>
      <c r="B47" s="25" t="s">
        <v>694</v>
      </c>
      <c r="C47" s="91"/>
      <c r="D47" s="114"/>
      <c r="E47" s="106"/>
      <c r="F47" s="114" t="s">
        <v>604</v>
      </c>
      <c r="G47" s="115" t="s">
        <v>837</v>
      </c>
      <c r="H47" s="108">
        <v>588812.3452000001</v>
      </c>
      <c r="I47" s="108"/>
      <c r="J47" s="108">
        <v>588812.3452000001</v>
      </c>
      <c r="K47" s="116" t="s">
        <v>561</v>
      </c>
      <c r="L47" s="116">
        <v>4600056828</v>
      </c>
      <c r="M47" s="116" t="s">
        <v>714</v>
      </c>
      <c r="N47" s="112" t="s">
        <v>600</v>
      </c>
      <c r="O47" s="116" t="s">
        <v>599</v>
      </c>
      <c r="P47" s="116">
        <v>45618</v>
      </c>
      <c r="Q47" s="108" t="s">
        <v>845</v>
      </c>
      <c r="R47" s="116" t="s">
        <v>598</v>
      </c>
      <c r="S47" s="116">
        <v>3042533</v>
      </c>
      <c r="T47" s="116">
        <v>14127656000184</v>
      </c>
      <c r="U47" s="116" t="s">
        <v>846</v>
      </c>
      <c r="V47" s="112"/>
      <c r="W47" s="113"/>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row>
    <row r="48" spans="1:60" ht="15.75" hidden="1" customHeight="1">
      <c r="A48" s="25" t="s">
        <v>860</v>
      </c>
      <c r="B48" s="25" t="s">
        <v>694</v>
      </c>
      <c r="C48" s="91"/>
      <c r="D48" s="114"/>
      <c r="E48" s="106"/>
      <c r="F48" s="114" t="s">
        <v>604</v>
      </c>
      <c r="G48" s="115" t="s">
        <v>838</v>
      </c>
      <c r="H48" s="108">
        <v>8745482.8470239975</v>
      </c>
      <c r="I48" s="108"/>
      <c r="J48" s="108">
        <v>774560.51166921388</v>
      </c>
      <c r="K48" s="116" t="s">
        <v>561</v>
      </c>
      <c r="L48" s="116">
        <v>4600046860</v>
      </c>
      <c r="M48" s="116" t="s">
        <v>566</v>
      </c>
      <c r="N48" s="112" t="s">
        <v>600</v>
      </c>
      <c r="O48" s="116" t="s">
        <v>599</v>
      </c>
      <c r="P48" s="116">
        <v>46630</v>
      </c>
      <c r="Q48" s="108" t="s">
        <v>832</v>
      </c>
      <c r="R48" s="116" t="s">
        <v>598</v>
      </c>
      <c r="S48" s="116">
        <v>110268</v>
      </c>
      <c r="T48" s="116">
        <v>3572137000109</v>
      </c>
      <c r="U48" s="116" t="s">
        <v>847</v>
      </c>
      <c r="V48" s="112"/>
      <c r="W48" s="113"/>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row>
    <row r="49" spans="1:60" ht="15.75" hidden="1" customHeight="1">
      <c r="A49" s="25" t="s">
        <v>860</v>
      </c>
      <c r="B49" s="25" t="s">
        <v>694</v>
      </c>
      <c r="C49" s="91"/>
      <c r="D49" s="114"/>
      <c r="E49" s="106"/>
      <c r="F49" s="114" t="s">
        <v>604</v>
      </c>
      <c r="G49" s="115" t="s">
        <v>839</v>
      </c>
      <c r="H49" s="108">
        <v>671799.91425333486</v>
      </c>
      <c r="I49" s="108"/>
      <c r="J49" s="108">
        <v>636778.2781843727</v>
      </c>
      <c r="K49" s="116" t="s">
        <v>561</v>
      </c>
      <c r="L49" s="116">
        <v>4600048909</v>
      </c>
      <c r="M49" s="116" t="s">
        <v>566</v>
      </c>
      <c r="N49" s="112" t="s">
        <v>835</v>
      </c>
      <c r="O49" s="116" t="s">
        <v>836</v>
      </c>
      <c r="P49" s="116">
        <v>45504</v>
      </c>
      <c r="Q49" s="108" t="s">
        <v>832</v>
      </c>
      <c r="R49" s="116" t="s">
        <v>598</v>
      </c>
      <c r="S49" s="116">
        <v>110268</v>
      </c>
      <c r="T49" s="116">
        <v>3572137000109</v>
      </c>
      <c r="U49" s="116" t="s">
        <v>847</v>
      </c>
      <c r="V49" s="112"/>
      <c r="W49" s="113"/>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row>
    <row r="50" spans="1:60" ht="15.75" hidden="1" customHeight="1">
      <c r="A50" s="25" t="s">
        <v>860</v>
      </c>
      <c r="B50" s="25" t="s">
        <v>694</v>
      </c>
      <c r="C50" s="91"/>
      <c r="D50" s="114"/>
      <c r="E50" s="106"/>
      <c r="F50" s="114" t="s">
        <v>602</v>
      </c>
      <c r="G50" s="115" t="s">
        <v>840</v>
      </c>
      <c r="H50" s="108">
        <v>12735019.040000001</v>
      </c>
      <c r="I50" s="108"/>
      <c r="J50" s="108">
        <v>12735019.040000001</v>
      </c>
      <c r="K50" s="116" t="s">
        <v>148</v>
      </c>
      <c r="L50" s="116" t="s">
        <v>848</v>
      </c>
      <c r="M50" s="116" t="s">
        <v>714</v>
      </c>
      <c r="N50" s="112" t="s">
        <v>600</v>
      </c>
      <c r="O50" s="116" t="s">
        <v>599</v>
      </c>
      <c r="P50" s="116" t="s">
        <v>148</v>
      </c>
      <c r="Q50" s="108" t="s">
        <v>849</v>
      </c>
      <c r="R50" s="116" t="s">
        <v>598</v>
      </c>
      <c r="S50" s="116">
        <v>103467</v>
      </c>
      <c r="T50" s="116">
        <v>96534094000158</v>
      </c>
      <c r="U50" s="116" t="s">
        <v>563</v>
      </c>
      <c r="V50" s="112"/>
      <c r="W50" s="113"/>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row>
    <row r="51" spans="1:60" ht="15.75" hidden="1" customHeight="1">
      <c r="A51" s="25" t="s">
        <v>860</v>
      </c>
      <c r="B51" s="25" t="s">
        <v>694</v>
      </c>
      <c r="C51" s="91"/>
      <c r="D51" s="114"/>
      <c r="E51" s="106"/>
      <c r="F51" s="114" t="s">
        <v>576</v>
      </c>
      <c r="G51" s="115" t="s">
        <v>589</v>
      </c>
      <c r="H51" s="108"/>
      <c r="I51" s="108"/>
      <c r="J51" s="108">
        <v>557123.24859939166</v>
      </c>
      <c r="K51" s="116" t="s">
        <v>561</v>
      </c>
      <c r="L51" s="116">
        <v>4600045814</v>
      </c>
      <c r="M51" s="116" t="s">
        <v>566</v>
      </c>
      <c r="N51" s="112" t="s">
        <v>574</v>
      </c>
      <c r="O51" s="116" t="s">
        <v>573</v>
      </c>
      <c r="P51" s="116">
        <v>45896</v>
      </c>
      <c r="Q51" s="108" t="s">
        <v>572</v>
      </c>
      <c r="R51" s="116" t="s">
        <v>571</v>
      </c>
      <c r="S51" s="116">
        <v>141024</v>
      </c>
      <c r="T51" s="116" t="s">
        <v>597</v>
      </c>
      <c r="U51" s="116" t="s">
        <v>596</v>
      </c>
      <c r="V51" s="112" t="s">
        <v>588</v>
      </c>
      <c r="W51" s="113"/>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row>
    <row r="52" spans="1:60" ht="15.75" hidden="1" customHeight="1">
      <c r="A52" s="25" t="s">
        <v>860</v>
      </c>
      <c r="B52" s="25" t="s">
        <v>694</v>
      </c>
      <c r="C52" s="91"/>
      <c r="D52" s="114"/>
      <c r="E52" s="106"/>
      <c r="F52" s="114" t="s">
        <v>576</v>
      </c>
      <c r="G52" s="115" t="s">
        <v>589</v>
      </c>
      <c r="H52" s="108"/>
      <c r="I52" s="108"/>
      <c r="J52" s="108">
        <v>557123.24859939166</v>
      </c>
      <c r="K52" s="116" t="s">
        <v>561</v>
      </c>
      <c r="L52" s="116" t="s">
        <v>595</v>
      </c>
      <c r="M52" s="116" t="s">
        <v>566</v>
      </c>
      <c r="N52" s="112" t="s">
        <v>574</v>
      </c>
      <c r="O52" s="116" t="s">
        <v>573</v>
      </c>
      <c r="P52" s="116">
        <v>45896</v>
      </c>
      <c r="Q52" s="108" t="s">
        <v>572</v>
      </c>
      <c r="R52" s="116" t="s">
        <v>571</v>
      </c>
      <c r="S52" s="116" t="s">
        <v>594</v>
      </c>
      <c r="T52" s="116" t="s">
        <v>593</v>
      </c>
      <c r="U52" s="116" t="s">
        <v>592</v>
      </c>
      <c r="V52" s="112" t="s">
        <v>588</v>
      </c>
      <c r="W52" s="113"/>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row>
    <row r="53" spans="1:60" ht="15.75" hidden="1" customHeight="1">
      <c r="A53" s="25" t="s">
        <v>860</v>
      </c>
      <c r="B53" s="25" t="s">
        <v>694</v>
      </c>
      <c r="C53" s="91"/>
      <c r="D53" s="114"/>
      <c r="E53" s="106"/>
      <c r="F53" s="114" t="s">
        <v>576</v>
      </c>
      <c r="G53" s="115" t="s">
        <v>589</v>
      </c>
      <c r="H53" s="108"/>
      <c r="I53" s="108"/>
      <c r="J53" s="108">
        <v>557123.24859939166</v>
      </c>
      <c r="K53" s="116" t="s">
        <v>561</v>
      </c>
      <c r="L53" s="116" t="s">
        <v>591</v>
      </c>
      <c r="M53" s="116" t="s">
        <v>566</v>
      </c>
      <c r="N53" s="112" t="s">
        <v>574</v>
      </c>
      <c r="O53" s="116" t="s">
        <v>573</v>
      </c>
      <c r="P53" s="116">
        <v>45382</v>
      </c>
      <c r="Q53" s="108" t="s">
        <v>572</v>
      </c>
      <c r="R53" s="116" t="s">
        <v>580</v>
      </c>
      <c r="S53" s="116">
        <v>3006396</v>
      </c>
      <c r="T53" s="116" t="s">
        <v>564</v>
      </c>
      <c r="U53" s="116" t="s">
        <v>590</v>
      </c>
      <c r="V53" s="112" t="s">
        <v>588</v>
      </c>
      <c r="W53" s="113"/>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row>
    <row r="54" spans="1:60" ht="15.75" hidden="1" customHeight="1">
      <c r="A54" s="25" t="s">
        <v>860</v>
      </c>
      <c r="B54" s="25" t="s">
        <v>694</v>
      </c>
      <c r="C54" s="91"/>
      <c r="D54" s="114"/>
      <c r="E54" s="106"/>
      <c r="F54" s="114" t="s">
        <v>576</v>
      </c>
      <c r="G54" s="115" t="s">
        <v>589</v>
      </c>
      <c r="H54" s="108"/>
      <c r="I54" s="108"/>
      <c r="J54" s="108">
        <v>557123.24859939166</v>
      </c>
      <c r="K54" s="116" t="s">
        <v>561</v>
      </c>
      <c r="L54" s="116">
        <v>4600045819</v>
      </c>
      <c r="M54" s="116" t="s">
        <v>566</v>
      </c>
      <c r="N54" s="112" t="s">
        <v>574</v>
      </c>
      <c r="O54" s="116" t="s">
        <v>573</v>
      </c>
      <c r="P54" s="116">
        <v>45966</v>
      </c>
      <c r="Q54" s="108" t="s">
        <v>572</v>
      </c>
      <c r="R54" s="116" t="s">
        <v>571</v>
      </c>
      <c r="S54" s="116">
        <v>175009</v>
      </c>
      <c r="T54" s="116" t="s">
        <v>578</v>
      </c>
      <c r="U54" s="116" t="s">
        <v>577</v>
      </c>
      <c r="V54" s="112" t="s">
        <v>588</v>
      </c>
      <c r="W54" s="113"/>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row>
    <row r="55" spans="1:60" ht="15.75" hidden="1" customHeight="1">
      <c r="A55" s="25" t="s">
        <v>860</v>
      </c>
      <c r="B55" s="25" t="s">
        <v>694</v>
      </c>
      <c r="C55" s="91"/>
      <c r="D55" s="114"/>
      <c r="E55" s="106"/>
      <c r="F55" s="114" t="s">
        <v>576</v>
      </c>
      <c r="G55" s="115" t="s">
        <v>587</v>
      </c>
      <c r="H55" s="108"/>
      <c r="I55" s="108"/>
      <c r="J55" s="108">
        <v>4639822.3762720991</v>
      </c>
      <c r="K55" s="116" t="s">
        <v>561</v>
      </c>
      <c r="L55" s="116">
        <v>4600055726</v>
      </c>
      <c r="M55" s="116" t="s">
        <v>566</v>
      </c>
      <c r="N55" s="112" t="s">
        <v>574</v>
      </c>
      <c r="O55" s="116" t="s">
        <v>573</v>
      </c>
      <c r="P55" s="116">
        <v>45777</v>
      </c>
      <c r="Q55" s="108" t="s">
        <v>572</v>
      </c>
      <c r="R55" s="116" t="s">
        <v>571</v>
      </c>
      <c r="S55" s="116">
        <v>102179</v>
      </c>
      <c r="T55" s="116" t="s">
        <v>586</v>
      </c>
      <c r="U55" s="116" t="s">
        <v>585</v>
      </c>
      <c r="V55" s="112" t="s">
        <v>584</v>
      </c>
      <c r="W55" s="113"/>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row>
    <row r="56" spans="1:60" ht="15.75" hidden="1" customHeight="1">
      <c r="A56" s="25" t="s">
        <v>860</v>
      </c>
      <c r="B56" s="25" t="s">
        <v>694</v>
      </c>
      <c r="C56" s="91"/>
      <c r="D56" s="114"/>
      <c r="E56" s="106"/>
      <c r="F56" s="114" t="s">
        <v>576</v>
      </c>
      <c r="G56" s="115" t="s">
        <v>583</v>
      </c>
      <c r="H56" s="108"/>
      <c r="I56" s="108"/>
      <c r="J56" s="108">
        <v>822342.99400000006</v>
      </c>
      <c r="K56" s="116" t="s">
        <v>561</v>
      </c>
      <c r="L56" s="116">
        <v>4600053344</v>
      </c>
      <c r="M56" s="116" t="s">
        <v>566</v>
      </c>
      <c r="N56" s="112" t="s">
        <v>574</v>
      </c>
      <c r="O56" s="116" t="s">
        <v>573</v>
      </c>
      <c r="P56" s="116">
        <v>45382</v>
      </c>
      <c r="Q56" s="108" t="s">
        <v>572</v>
      </c>
      <c r="R56" s="116" t="s">
        <v>580</v>
      </c>
      <c r="S56" s="116">
        <v>3008129</v>
      </c>
      <c r="T56" s="116" t="s">
        <v>564</v>
      </c>
      <c r="U56" s="116" t="s">
        <v>582</v>
      </c>
      <c r="V56" s="112" t="s">
        <v>850</v>
      </c>
      <c r="W56" s="113"/>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row>
    <row r="57" spans="1:60" ht="15.75" hidden="1" customHeight="1">
      <c r="A57" s="25" t="s">
        <v>860</v>
      </c>
      <c r="B57" s="25" t="s">
        <v>694</v>
      </c>
      <c r="C57" s="91"/>
      <c r="D57" s="114"/>
      <c r="E57" s="106"/>
      <c r="F57" s="114" t="s">
        <v>576</v>
      </c>
      <c r="G57" s="115" t="s">
        <v>581</v>
      </c>
      <c r="H57" s="108"/>
      <c r="I57" s="108"/>
      <c r="J57" s="108">
        <v>6768618.3340019556</v>
      </c>
      <c r="K57" s="116" t="s">
        <v>561</v>
      </c>
      <c r="L57" s="116"/>
      <c r="M57" s="116" t="s">
        <v>566</v>
      </c>
      <c r="N57" s="112" t="s">
        <v>574</v>
      </c>
      <c r="O57" s="116" t="s">
        <v>573</v>
      </c>
      <c r="P57" s="116"/>
      <c r="Q57" s="108" t="s">
        <v>572</v>
      </c>
      <c r="R57" s="116"/>
      <c r="S57" s="116"/>
      <c r="T57" s="116"/>
      <c r="U57" s="116" t="s">
        <v>851</v>
      </c>
      <c r="V57" s="112" t="s">
        <v>579</v>
      </c>
      <c r="W57" s="113"/>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row>
    <row r="58" spans="1:60" ht="15.75" hidden="1" customHeight="1">
      <c r="A58" s="25" t="s">
        <v>860</v>
      </c>
      <c r="B58" s="25" t="s">
        <v>694</v>
      </c>
      <c r="C58" s="91"/>
      <c r="D58" s="114"/>
      <c r="E58" s="106"/>
      <c r="F58" s="114" t="s">
        <v>576</v>
      </c>
      <c r="G58" s="115" t="s">
        <v>575</v>
      </c>
      <c r="H58" s="108"/>
      <c r="I58" s="108"/>
      <c r="J58" s="108">
        <v>282071.8896953254</v>
      </c>
      <c r="K58" s="116" t="s">
        <v>561</v>
      </c>
      <c r="L58" s="116">
        <v>4600053830</v>
      </c>
      <c r="M58" s="116" t="s">
        <v>566</v>
      </c>
      <c r="N58" s="112" t="s">
        <v>574</v>
      </c>
      <c r="O58" s="116" t="s">
        <v>573</v>
      </c>
      <c r="P58" s="116">
        <v>45626</v>
      </c>
      <c r="Q58" s="108" t="s">
        <v>572</v>
      </c>
      <c r="R58" s="116" t="s">
        <v>571</v>
      </c>
      <c r="S58" s="116">
        <v>3018474</v>
      </c>
      <c r="T58" s="116" t="s">
        <v>567</v>
      </c>
      <c r="U58" s="116" t="s">
        <v>570</v>
      </c>
      <c r="V58" s="112" t="s">
        <v>569</v>
      </c>
      <c r="W58" s="113"/>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row>
    <row r="59" spans="1:60" ht="15.75" hidden="1" customHeight="1">
      <c r="A59" s="25" t="s">
        <v>860</v>
      </c>
      <c r="B59" s="25" t="s">
        <v>694</v>
      </c>
      <c r="C59" s="91"/>
      <c r="D59" s="114"/>
      <c r="E59" s="106"/>
      <c r="F59" s="114" t="s">
        <v>576</v>
      </c>
      <c r="G59" s="115" t="s">
        <v>841</v>
      </c>
      <c r="H59" s="108"/>
      <c r="I59" s="108"/>
      <c r="J59" s="108">
        <v>7531078.345429888</v>
      </c>
      <c r="K59" s="116" t="s">
        <v>561</v>
      </c>
      <c r="L59" s="116">
        <v>4600057793</v>
      </c>
      <c r="M59" s="116" t="s">
        <v>566</v>
      </c>
      <c r="N59" s="112" t="s">
        <v>574</v>
      </c>
      <c r="O59" s="116" t="s">
        <v>573</v>
      </c>
      <c r="P59" s="116">
        <v>46023</v>
      </c>
      <c r="Q59" s="108" t="s">
        <v>572</v>
      </c>
      <c r="R59" s="116" t="s">
        <v>852</v>
      </c>
      <c r="S59" s="116">
        <v>3028220</v>
      </c>
      <c r="T59" s="116" t="s">
        <v>853</v>
      </c>
      <c r="U59" s="116" t="s">
        <v>854</v>
      </c>
      <c r="V59" s="112" t="s">
        <v>855</v>
      </c>
      <c r="W59" s="113"/>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row>
    <row r="60" spans="1:60" ht="15.75" hidden="1" customHeight="1">
      <c r="A60" s="25" t="s">
        <v>860</v>
      </c>
      <c r="B60" s="25" t="s">
        <v>694</v>
      </c>
      <c r="C60" s="91"/>
      <c r="D60" s="114"/>
      <c r="E60" s="106"/>
      <c r="F60" s="114" t="s">
        <v>576</v>
      </c>
      <c r="G60" s="115" t="s">
        <v>842</v>
      </c>
      <c r="H60" s="108"/>
      <c r="I60" s="108"/>
      <c r="J60" s="108">
        <v>12872374.141199969</v>
      </c>
      <c r="K60" s="116" t="s">
        <v>561</v>
      </c>
      <c r="L60" s="116">
        <v>4600052381</v>
      </c>
      <c r="M60" s="116" t="s">
        <v>566</v>
      </c>
      <c r="N60" s="112" t="s">
        <v>574</v>
      </c>
      <c r="O60" s="116" t="s">
        <v>573</v>
      </c>
      <c r="P60" s="116">
        <v>45747</v>
      </c>
      <c r="Q60" s="108" t="s">
        <v>572</v>
      </c>
      <c r="R60" s="116" t="s">
        <v>580</v>
      </c>
      <c r="S60" s="116">
        <v>103438</v>
      </c>
      <c r="T60" s="116" t="s">
        <v>724</v>
      </c>
      <c r="U60" s="116" t="s">
        <v>856</v>
      </c>
      <c r="V60" s="112" t="s">
        <v>857</v>
      </c>
      <c r="W60" s="113"/>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row>
    <row r="61" spans="1:60" ht="15.75" hidden="1" customHeight="1">
      <c r="A61" s="25" t="s">
        <v>860</v>
      </c>
      <c r="B61" s="25" t="s">
        <v>694</v>
      </c>
      <c r="C61" s="91"/>
      <c r="D61" s="114"/>
      <c r="E61" s="106"/>
      <c r="F61" s="114" t="s">
        <v>576</v>
      </c>
      <c r="G61" s="115" t="s">
        <v>843</v>
      </c>
      <c r="H61" s="108"/>
      <c r="I61" s="108"/>
      <c r="J61" s="108">
        <v>1350784.2951362126</v>
      </c>
      <c r="K61" s="116" t="s">
        <v>561</v>
      </c>
      <c r="L61" s="116">
        <v>4600057795</v>
      </c>
      <c r="M61" s="116" t="s">
        <v>566</v>
      </c>
      <c r="N61" s="112" t="s">
        <v>574</v>
      </c>
      <c r="O61" s="116" t="s">
        <v>573</v>
      </c>
      <c r="P61" s="116">
        <v>46023</v>
      </c>
      <c r="Q61" s="108" t="s">
        <v>572</v>
      </c>
      <c r="R61" s="116" t="s">
        <v>852</v>
      </c>
      <c r="S61" s="116">
        <v>3028220</v>
      </c>
      <c r="T61" s="116" t="s">
        <v>853</v>
      </c>
      <c r="U61" s="116" t="s">
        <v>854</v>
      </c>
      <c r="V61" s="112" t="s">
        <v>858</v>
      </c>
      <c r="W61" s="113"/>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row>
    <row r="62" spans="1:60" ht="15.75" hidden="1" customHeight="1">
      <c r="A62" s="25" t="s">
        <v>860</v>
      </c>
      <c r="B62" s="25" t="s">
        <v>694</v>
      </c>
      <c r="C62" s="91"/>
      <c r="D62" s="114"/>
      <c r="E62" s="106"/>
      <c r="F62" s="114" t="s">
        <v>576</v>
      </c>
      <c r="G62" s="115" t="s">
        <v>844</v>
      </c>
      <c r="H62" s="108"/>
      <c r="I62" s="108"/>
      <c r="J62" s="108">
        <v>2008287.5587813035</v>
      </c>
      <c r="K62" s="116" t="s">
        <v>561</v>
      </c>
      <c r="L62" s="116">
        <v>4600053338</v>
      </c>
      <c r="M62" s="116" t="s">
        <v>566</v>
      </c>
      <c r="N62" s="112" t="s">
        <v>574</v>
      </c>
      <c r="O62" s="116" t="s">
        <v>573</v>
      </c>
      <c r="P62" s="116">
        <v>45747</v>
      </c>
      <c r="Q62" s="108" t="s">
        <v>572</v>
      </c>
      <c r="R62" s="116" t="s">
        <v>580</v>
      </c>
      <c r="S62" s="116">
        <v>187089</v>
      </c>
      <c r="T62" s="116" t="s">
        <v>564</v>
      </c>
      <c r="U62" s="116" t="s">
        <v>590</v>
      </c>
      <c r="V62" s="112" t="s">
        <v>859</v>
      </c>
      <c r="W62" s="113"/>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row>
    <row r="63" spans="1:60" ht="15.75" hidden="1" customHeight="1">
      <c r="A63" s="25" t="s">
        <v>251</v>
      </c>
      <c r="B63" s="25" t="s">
        <v>694</v>
      </c>
      <c r="C63" s="91"/>
      <c r="D63" s="114"/>
      <c r="E63" s="106"/>
      <c r="F63" s="114" t="s">
        <v>975</v>
      </c>
      <c r="G63" s="115"/>
      <c r="H63" s="108"/>
      <c r="I63" s="108"/>
      <c r="J63" s="163">
        <v>37062000</v>
      </c>
      <c r="K63" s="116"/>
      <c r="L63" s="116"/>
      <c r="M63" s="116"/>
      <c r="N63" s="112"/>
      <c r="O63" s="116"/>
      <c r="P63" s="116"/>
      <c r="Q63" s="108"/>
      <c r="R63" s="116"/>
      <c r="S63" s="116"/>
      <c r="T63" s="116"/>
      <c r="U63" s="116"/>
      <c r="V63" s="112"/>
      <c r="W63" s="113"/>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row>
    <row r="64" spans="1:60">
      <c r="C64" s="55"/>
      <c r="D64" s="55"/>
      <c r="E64" s="55"/>
      <c r="F64" s="118"/>
      <c r="G64" s="118"/>
      <c r="H64" s="119"/>
      <c r="I64" s="119"/>
      <c r="J64" s="119"/>
      <c r="K64" s="120"/>
      <c r="L64" s="120"/>
      <c r="M64" s="120"/>
      <c r="N64" s="120"/>
      <c r="O64" s="120"/>
      <c r="P64" s="120"/>
      <c r="Q64" s="120"/>
      <c r="R64" s="120"/>
      <c r="S64" s="120"/>
      <c r="T64" s="120"/>
      <c r="U64" s="120"/>
      <c r="V64" s="120"/>
      <c r="W64" s="121"/>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row>
    <row r="65" spans="3:60">
      <c r="C65" s="55"/>
      <c r="D65" s="55"/>
      <c r="E65" s="55"/>
      <c r="F65" s="118"/>
      <c r="G65" s="118"/>
      <c r="H65" s="119"/>
      <c r="I65" s="119"/>
      <c r="J65" s="119"/>
      <c r="K65" s="120"/>
      <c r="L65" s="120"/>
      <c r="M65" s="120"/>
      <c r="N65" s="120"/>
      <c r="O65" s="120"/>
      <c r="P65" s="120"/>
      <c r="Q65" s="120"/>
      <c r="R65" s="120"/>
      <c r="S65" s="120"/>
      <c r="T65" s="120"/>
      <c r="U65" s="120"/>
      <c r="V65" s="120"/>
      <c r="W65" s="121"/>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row>
    <row r="66" spans="3:60">
      <c r="C66" s="55"/>
      <c r="D66" s="55"/>
      <c r="E66" s="55"/>
      <c r="F66" s="118"/>
      <c r="G66" s="118"/>
      <c r="H66" s="119"/>
      <c r="I66" s="119"/>
      <c r="J66" s="119"/>
      <c r="K66" s="120"/>
      <c r="L66" s="120"/>
      <c r="M66" s="120"/>
      <c r="N66" s="120"/>
      <c r="O66" s="120"/>
      <c r="P66" s="120"/>
      <c r="Q66" s="120"/>
      <c r="R66" s="120"/>
      <c r="S66" s="120"/>
      <c r="T66" s="120"/>
      <c r="U66" s="120"/>
      <c r="V66" s="120"/>
      <c r="W66" s="121"/>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row>
    <row r="67" spans="3:60">
      <c r="C67" s="55"/>
      <c r="D67" s="55"/>
      <c r="E67" s="55"/>
      <c r="F67" s="118"/>
      <c r="G67" s="118"/>
      <c r="H67" s="119"/>
      <c r="I67" s="119"/>
      <c r="J67" s="119"/>
      <c r="K67" s="120"/>
      <c r="L67" s="120"/>
      <c r="M67" s="120"/>
      <c r="N67" s="120"/>
      <c r="O67" s="120"/>
      <c r="P67" s="120"/>
      <c r="Q67" s="120"/>
      <c r="R67" s="120"/>
      <c r="S67" s="120"/>
      <c r="T67" s="120"/>
      <c r="U67" s="120"/>
      <c r="V67" s="120"/>
      <c r="W67" s="121"/>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row>
    <row r="68" spans="3:60">
      <c r="C68" s="55"/>
      <c r="D68" s="55"/>
      <c r="E68" s="55"/>
      <c r="F68" s="118"/>
      <c r="G68" s="118"/>
      <c r="H68" s="119"/>
      <c r="I68" s="119"/>
      <c r="J68" s="119"/>
      <c r="K68" s="120"/>
      <c r="L68" s="120"/>
      <c r="M68" s="120"/>
      <c r="N68" s="120"/>
      <c r="O68" s="120"/>
      <c r="P68" s="120"/>
      <c r="Q68" s="120"/>
      <c r="R68" s="120"/>
      <c r="S68" s="120"/>
      <c r="T68" s="120"/>
      <c r="U68" s="120"/>
      <c r="V68" s="120"/>
      <c r="W68" s="121"/>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row>
    <row r="69" spans="3:60">
      <c r="C69" s="55"/>
      <c r="D69" s="55"/>
      <c r="E69" s="55"/>
      <c r="F69" s="118"/>
      <c r="H69" s="119"/>
      <c r="I69" s="119"/>
      <c r="J69" s="119"/>
      <c r="K69" s="120"/>
      <c r="L69" s="120"/>
      <c r="M69" s="120"/>
      <c r="N69" s="120"/>
      <c r="O69" s="120"/>
      <c r="P69" s="120"/>
      <c r="Q69" s="120"/>
      <c r="R69" s="120"/>
      <c r="S69" s="120"/>
      <c r="T69" s="120"/>
      <c r="U69" s="120"/>
      <c r="V69" s="120"/>
      <c r="W69" s="121"/>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row>
    <row r="70" spans="3:60">
      <c r="C70" s="55"/>
      <c r="D70" s="55"/>
      <c r="E70" s="55"/>
      <c r="F70" s="118"/>
      <c r="G70" s="118"/>
      <c r="H70" s="119"/>
      <c r="I70" s="119"/>
      <c r="J70" s="119"/>
      <c r="K70" s="120"/>
      <c r="L70" s="120"/>
      <c r="M70" s="120"/>
      <c r="N70" s="120"/>
      <c r="O70" s="120"/>
      <c r="P70" s="120"/>
      <c r="Q70" s="120"/>
      <c r="R70" s="120"/>
      <c r="S70" s="120"/>
      <c r="T70" s="120"/>
      <c r="U70" s="120"/>
      <c r="V70" s="120"/>
      <c r="W70" s="121"/>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row>
    <row r="71" spans="3:60">
      <c r="C71" s="55"/>
      <c r="D71" s="55"/>
      <c r="E71" s="55"/>
      <c r="F71" s="118"/>
      <c r="G71" s="118"/>
      <c r="H71" s="119"/>
      <c r="I71" s="119"/>
      <c r="J71" s="119"/>
      <c r="K71" s="120"/>
      <c r="L71" s="120"/>
      <c r="M71" s="120"/>
      <c r="N71" s="120"/>
      <c r="O71" s="120"/>
      <c r="P71" s="120"/>
      <c r="Q71" s="120"/>
      <c r="R71" s="120"/>
      <c r="S71" s="120"/>
      <c r="T71" s="120"/>
      <c r="U71" s="120"/>
      <c r="V71" s="120"/>
      <c r="W71" s="121"/>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row>
    <row r="72" spans="3:60">
      <c r="C72" s="55"/>
      <c r="D72" s="55"/>
      <c r="E72" s="55"/>
      <c r="F72" s="118"/>
      <c r="G72" s="118"/>
      <c r="H72" s="119"/>
      <c r="I72" s="119"/>
      <c r="J72" s="119"/>
      <c r="K72" s="120"/>
      <c r="L72" s="120"/>
      <c r="M72" s="120"/>
      <c r="N72" s="120"/>
      <c r="O72" s="120"/>
      <c r="P72" s="120"/>
      <c r="Q72" s="120"/>
      <c r="R72" s="120"/>
      <c r="S72" s="120"/>
      <c r="T72" s="120"/>
      <c r="U72" s="120"/>
      <c r="V72" s="120"/>
      <c r="W72" s="121"/>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row>
    <row r="73" spans="3:60">
      <c r="C73" s="55"/>
      <c r="D73" s="55"/>
      <c r="E73" s="55"/>
      <c r="F73" s="118"/>
      <c r="G73" s="118"/>
      <c r="H73" s="119"/>
      <c r="I73" s="119"/>
      <c r="J73" s="119"/>
      <c r="K73" s="120"/>
      <c r="L73" s="120"/>
      <c r="M73" s="120"/>
      <c r="N73" s="120"/>
      <c r="O73" s="120"/>
      <c r="P73" s="120"/>
      <c r="Q73" s="120"/>
      <c r="R73" s="120"/>
      <c r="S73" s="120"/>
      <c r="T73" s="120"/>
      <c r="U73" s="120"/>
      <c r="V73" s="120"/>
      <c r="W73" s="121"/>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row>
    <row r="74" spans="3:60">
      <c r="C74" s="55"/>
      <c r="D74" s="55"/>
      <c r="E74" s="55"/>
      <c r="F74" s="118"/>
      <c r="G74" s="118"/>
      <c r="H74" s="119"/>
      <c r="I74" s="119"/>
      <c r="J74" s="119"/>
      <c r="K74" s="120"/>
      <c r="L74" s="120"/>
      <c r="M74" s="120"/>
      <c r="N74" s="120"/>
      <c r="O74" s="120"/>
      <c r="P74" s="120"/>
      <c r="Q74" s="120"/>
      <c r="R74" s="120"/>
      <c r="S74" s="120"/>
      <c r="T74" s="120"/>
      <c r="U74" s="120"/>
      <c r="V74" s="120"/>
      <c r="W74" s="121"/>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row>
    <row r="75" spans="3:60">
      <c r="F75" s="118"/>
      <c r="H75" s="119"/>
      <c r="I75" s="119"/>
      <c r="J75" s="119"/>
      <c r="K75" s="120"/>
      <c r="L75" s="120"/>
      <c r="M75" s="120"/>
      <c r="N75" s="120"/>
      <c r="O75" s="120"/>
      <c r="P75" s="120"/>
      <c r="Q75" s="120"/>
      <c r="R75" s="120"/>
      <c r="S75" s="120"/>
      <c r="T75" s="120"/>
      <c r="U75" s="120"/>
      <c r="V75" s="120"/>
      <c r="W75" s="121"/>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row>
    <row r="76" spans="3:60">
      <c r="F76" s="118"/>
      <c r="G76" s="118"/>
      <c r="H76" s="119"/>
      <c r="I76" s="119"/>
      <c r="J76" s="119"/>
      <c r="K76" s="120"/>
      <c r="L76" s="120"/>
      <c r="M76" s="120"/>
      <c r="N76" s="120"/>
      <c r="O76" s="120"/>
      <c r="P76" s="120"/>
      <c r="Q76" s="120"/>
      <c r="R76" s="120"/>
      <c r="S76" s="120"/>
      <c r="T76" s="120"/>
      <c r="U76" s="120"/>
      <c r="V76" s="120"/>
      <c r="W76" s="121"/>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row>
    <row r="77" spans="3:60">
      <c r="F77" s="118"/>
      <c r="G77" s="118"/>
      <c r="H77" s="119"/>
      <c r="I77" s="119"/>
      <c r="J77" s="119"/>
      <c r="K77" s="120"/>
      <c r="L77" s="120"/>
      <c r="M77" s="120"/>
      <c r="N77" s="120"/>
      <c r="O77" s="120"/>
      <c r="P77" s="120"/>
      <c r="Q77" s="120"/>
      <c r="R77" s="120"/>
      <c r="S77" s="120"/>
      <c r="T77" s="120"/>
      <c r="U77" s="120"/>
      <c r="V77" s="120"/>
      <c r="W77" s="121"/>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row>
    <row r="78" spans="3:60">
      <c r="F78" s="118"/>
      <c r="G78" s="118"/>
      <c r="H78" s="119"/>
      <c r="I78" s="119"/>
      <c r="J78" s="119"/>
      <c r="K78" s="120"/>
      <c r="L78" s="120"/>
      <c r="M78" s="120"/>
      <c r="N78" s="120"/>
      <c r="O78" s="120"/>
      <c r="P78" s="120"/>
      <c r="Q78" s="120"/>
      <c r="R78" s="120"/>
      <c r="S78" s="120"/>
      <c r="T78" s="120"/>
      <c r="U78" s="120"/>
      <c r="V78" s="120"/>
      <c r="W78" s="121"/>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row>
    <row r="79" spans="3:60">
      <c r="F79" s="118"/>
      <c r="G79" s="118"/>
      <c r="H79" s="119"/>
      <c r="I79" s="119"/>
      <c r="J79" s="119"/>
      <c r="K79" s="120"/>
      <c r="L79" s="120"/>
      <c r="M79" s="120"/>
      <c r="N79" s="120"/>
      <c r="O79" s="120"/>
      <c r="P79" s="120"/>
      <c r="Q79" s="120"/>
      <c r="R79" s="120"/>
      <c r="S79" s="120"/>
      <c r="T79" s="120"/>
      <c r="U79" s="120"/>
      <c r="V79" s="120"/>
      <c r="W79" s="121"/>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row>
    <row r="80" spans="3:60">
      <c r="F80" s="118"/>
      <c r="G80" s="118"/>
      <c r="H80" s="119"/>
      <c r="I80" s="119"/>
      <c r="J80" s="119"/>
      <c r="K80" s="120"/>
      <c r="L80" s="120"/>
      <c r="M80" s="120"/>
      <c r="N80" s="120"/>
      <c r="O80" s="120"/>
      <c r="P80" s="120"/>
      <c r="Q80" s="120"/>
      <c r="R80" s="120"/>
      <c r="S80" s="120"/>
      <c r="T80" s="120"/>
      <c r="U80" s="120"/>
      <c r="V80" s="120"/>
      <c r="W80" s="121"/>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row>
    <row r="81" spans="6:60">
      <c r="F81" s="118"/>
      <c r="G81" s="118"/>
      <c r="H81" s="119"/>
      <c r="I81" s="119"/>
      <c r="J81" s="119"/>
      <c r="K81" s="120"/>
      <c r="L81" s="120"/>
      <c r="M81" s="120"/>
      <c r="N81" s="120"/>
      <c r="O81" s="120"/>
      <c r="P81" s="120"/>
      <c r="Q81" s="120"/>
      <c r="R81" s="120"/>
      <c r="S81" s="120"/>
      <c r="T81" s="120"/>
      <c r="U81" s="120"/>
      <c r="V81" s="120"/>
      <c r="W81" s="121"/>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row>
    <row r="82" spans="6:60">
      <c r="F82" s="118"/>
      <c r="G82" s="118"/>
      <c r="H82" s="119"/>
      <c r="I82" s="119"/>
      <c r="J82" s="119"/>
      <c r="K82" s="120"/>
      <c r="L82" s="120"/>
      <c r="M82" s="120"/>
      <c r="N82" s="120"/>
      <c r="O82" s="120"/>
      <c r="P82" s="120"/>
      <c r="Q82" s="120"/>
      <c r="R82" s="120"/>
      <c r="S82" s="120"/>
      <c r="T82" s="120"/>
      <c r="U82" s="120"/>
      <c r="V82" s="120"/>
      <c r="W82" s="121"/>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row>
    <row r="83" spans="6:60">
      <c r="F83" s="118"/>
      <c r="G83" s="118"/>
      <c r="H83" s="119"/>
      <c r="I83" s="119"/>
      <c r="J83" s="119"/>
      <c r="K83" s="120"/>
      <c r="L83" s="120"/>
      <c r="M83" s="120"/>
      <c r="N83" s="120"/>
      <c r="O83" s="120"/>
      <c r="P83" s="120"/>
      <c r="Q83" s="120"/>
      <c r="R83" s="120"/>
      <c r="S83" s="120"/>
      <c r="T83" s="120"/>
      <c r="U83" s="120"/>
      <c r="V83" s="120"/>
      <c r="W83" s="121"/>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row>
    <row r="84" spans="6:60">
      <c r="F84" s="118"/>
      <c r="G84" s="118"/>
      <c r="H84" s="119"/>
      <c r="I84" s="119"/>
      <c r="J84" s="119"/>
      <c r="K84" s="120"/>
      <c r="L84" s="120"/>
      <c r="M84" s="120"/>
      <c r="N84" s="120"/>
      <c r="O84" s="120"/>
      <c r="P84" s="120"/>
      <c r="Q84" s="120"/>
      <c r="R84" s="120"/>
      <c r="S84" s="120"/>
      <c r="T84" s="120"/>
      <c r="U84" s="120"/>
      <c r="V84" s="120"/>
      <c r="W84" s="121"/>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row>
    <row r="85" spans="6:60">
      <c r="F85" s="118"/>
      <c r="G85" s="118"/>
      <c r="H85" s="119"/>
      <c r="I85" s="119"/>
      <c r="J85" s="119"/>
      <c r="K85" s="120"/>
      <c r="L85" s="120"/>
      <c r="M85" s="120"/>
      <c r="N85" s="120"/>
      <c r="O85" s="120"/>
      <c r="P85" s="120"/>
      <c r="Q85" s="120"/>
      <c r="R85" s="120"/>
      <c r="S85" s="120"/>
      <c r="T85" s="120"/>
      <c r="U85" s="120"/>
      <c r="V85" s="120"/>
      <c r="W85" s="121"/>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row>
    <row r="86" spans="6:60">
      <c r="F86" s="118"/>
      <c r="G86" s="118"/>
      <c r="H86" s="119"/>
      <c r="I86" s="119"/>
      <c r="J86" s="119"/>
      <c r="K86" s="120"/>
      <c r="L86" s="120"/>
      <c r="M86" s="120"/>
      <c r="N86" s="120"/>
      <c r="O86" s="120"/>
      <c r="P86" s="120"/>
      <c r="Q86" s="120"/>
      <c r="R86" s="120"/>
      <c r="S86" s="120"/>
      <c r="T86" s="120"/>
      <c r="U86" s="120"/>
      <c r="V86" s="120"/>
      <c r="W86" s="121"/>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row>
    <row r="87" spans="6:60">
      <c r="F87" s="118"/>
      <c r="G87" s="118"/>
      <c r="H87" s="119"/>
      <c r="I87" s="119"/>
      <c r="J87" s="119"/>
      <c r="K87" s="120"/>
      <c r="L87" s="120"/>
      <c r="M87" s="120"/>
      <c r="N87" s="120"/>
      <c r="O87" s="120"/>
      <c r="P87" s="120"/>
      <c r="Q87" s="120"/>
      <c r="R87" s="120"/>
      <c r="S87" s="120"/>
      <c r="T87" s="120"/>
      <c r="U87" s="120"/>
      <c r="V87" s="120"/>
      <c r="W87" s="121"/>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row>
    <row r="88" spans="6:60">
      <c r="F88" s="118"/>
      <c r="G88" s="118"/>
      <c r="H88" s="119"/>
      <c r="I88" s="119"/>
      <c r="J88" s="119"/>
      <c r="K88" s="120"/>
      <c r="L88" s="120"/>
      <c r="M88" s="120"/>
      <c r="N88" s="120"/>
      <c r="O88" s="120"/>
      <c r="P88" s="120"/>
      <c r="Q88" s="120"/>
      <c r="R88" s="120"/>
      <c r="S88" s="120"/>
      <c r="T88" s="120"/>
      <c r="U88" s="120"/>
      <c r="V88" s="120"/>
      <c r="W88" s="121"/>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row>
    <row r="89" spans="6:60">
      <c r="F89" s="118"/>
      <c r="G89" s="118"/>
      <c r="H89" s="119"/>
      <c r="I89" s="119"/>
      <c r="J89" s="119"/>
      <c r="K89" s="120"/>
      <c r="L89" s="120"/>
      <c r="M89" s="120"/>
      <c r="N89" s="120"/>
      <c r="O89" s="120"/>
      <c r="P89" s="120"/>
      <c r="Q89" s="120"/>
      <c r="R89" s="120"/>
      <c r="S89" s="120"/>
      <c r="T89" s="120"/>
      <c r="U89" s="120"/>
      <c r="V89" s="120"/>
      <c r="W89" s="121"/>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row>
    <row r="90" spans="6:60">
      <c r="F90" s="118"/>
      <c r="G90" s="118"/>
      <c r="H90" s="119"/>
      <c r="I90" s="119"/>
      <c r="J90" s="119"/>
      <c r="K90" s="120"/>
      <c r="L90" s="120"/>
      <c r="M90" s="120"/>
      <c r="N90" s="120"/>
      <c r="O90" s="120"/>
      <c r="P90" s="120"/>
      <c r="Q90" s="120"/>
      <c r="R90" s="120"/>
      <c r="S90" s="120"/>
      <c r="T90" s="120"/>
      <c r="U90" s="120"/>
      <c r="V90" s="120"/>
      <c r="W90" s="121"/>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row>
    <row r="91" spans="6:60">
      <c r="F91" s="118"/>
      <c r="G91" s="118"/>
      <c r="H91" s="119"/>
      <c r="I91" s="119"/>
      <c r="J91" s="119"/>
      <c r="K91" s="120"/>
      <c r="L91" s="120"/>
      <c r="M91" s="120"/>
      <c r="N91" s="120"/>
      <c r="O91" s="120"/>
      <c r="P91" s="120"/>
      <c r="Q91" s="120"/>
      <c r="R91" s="120"/>
      <c r="S91" s="120"/>
      <c r="T91" s="120"/>
      <c r="U91" s="120"/>
      <c r="V91" s="120"/>
      <c r="W91" s="121"/>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row>
    <row r="92" spans="6:60">
      <c r="F92" s="118"/>
      <c r="G92" s="118"/>
      <c r="H92" s="119"/>
      <c r="I92" s="119"/>
      <c r="J92" s="119"/>
      <c r="K92" s="120"/>
      <c r="L92" s="120"/>
      <c r="M92" s="120"/>
      <c r="N92" s="120"/>
      <c r="O92" s="120"/>
      <c r="P92" s="120"/>
      <c r="Q92" s="120"/>
      <c r="R92" s="120"/>
      <c r="S92" s="120"/>
      <c r="T92" s="120"/>
      <c r="U92" s="120"/>
      <c r="V92" s="120"/>
      <c r="W92" s="121"/>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row>
    <row r="93" spans="6:60">
      <c r="F93" s="118"/>
      <c r="G93" s="118"/>
      <c r="H93" s="119"/>
      <c r="I93" s="119"/>
      <c r="J93" s="119"/>
      <c r="K93" s="120"/>
      <c r="L93" s="120"/>
      <c r="M93" s="120"/>
      <c r="N93" s="120"/>
      <c r="O93" s="120"/>
      <c r="P93" s="120"/>
      <c r="Q93" s="120"/>
      <c r="R93" s="120"/>
      <c r="S93" s="120"/>
      <c r="T93" s="120"/>
      <c r="U93" s="120"/>
      <c r="V93" s="120"/>
      <c r="W93" s="121"/>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row>
    <row r="94" spans="6:60">
      <c r="F94" s="118"/>
      <c r="G94" s="118"/>
      <c r="H94" s="119"/>
      <c r="I94" s="119"/>
      <c r="J94" s="119"/>
      <c r="K94" s="120"/>
      <c r="L94" s="120"/>
      <c r="M94" s="120"/>
      <c r="N94" s="120"/>
      <c r="O94" s="120"/>
      <c r="P94" s="120"/>
      <c r="Q94" s="120"/>
      <c r="R94" s="120"/>
      <c r="S94" s="120"/>
      <c r="T94" s="120"/>
      <c r="U94" s="120"/>
      <c r="V94" s="120"/>
      <c r="W94" s="121"/>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row>
    <row r="95" spans="6:60">
      <c r="F95" s="118"/>
      <c r="G95" s="118"/>
      <c r="H95" s="119"/>
      <c r="I95" s="119"/>
      <c r="J95" s="119"/>
      <c r="K95" s="120"/>
      <c r="L95" s="120"/>
      <c r="M95" s="120"/>
      <c r="N95" s="120"/>
      <c r="O95" s="120"/>
      <c r="P95" s="120"/>
      <c r="Q95" s="120"/>
      <c r="R95" s="120"/>
      <c r="S95" s="120"/>
      <c r="T95" s="120"/>
      <c r="U95" s="120"/>
      <c r="V95" s="120"/>
      <c r="W95" s="121"/>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row>
    <row r="96" spans="6:60">
      <c r="F96" s="118"/>
      <c r="G96" s="118"/>
      <c r="H96" s="119"/>
      <c r="I96" s="119"/>
      <c r="J96" s="119"/>
      <c r="K96" s="120"/>
      <c r="L96" s="120"/>
      <c r="M96" s="120"/>
      <c r="N96" s="120"/>
      <c r="O96" s="120"/>
      <c r="P96" s="120"/>
      <c r="Q96" s="120"/>
      <c r="R96" s="120"/>
      <c r="S96" s="120"/>
      <c r="T96" s="120"/>
      <c r="U96" s="120"/>
      <c r="V96" s="120"/>
      <c r="W96" s="121"/>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row>
    <row r="97" spans="6:60">
      <c r="F97" s="31"/>
      <c r="G97" s="31"/>
      <c r="H97" s="32"/>
      <c r="I97" s="32"/>
      <c r="J97" s="32"/>
      <c r="K97" s="30"/>
      <c r="L97" s="30"/>
      <c r="M97" s="30"/>
      <c r="N97" s="30"/>
      <c r="O97" s="30"/>
      <c r="P97" s="30"/>
      <c r="Q97" s="30"/>
      <c r="R97" s="30"/>
      <c r="S97" s="30"/>
      <c r="T97" s="30"/>
      <c r="U97" s="30"/>
      <c r="V97" s="30"/>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row>
    <row r="98" spans="6:60">
      <c r="F98" s="31"/>
      <c r="G98" s="31"/>
      <c r="H98" s="32"/>
      <c r="I98" s="32"/>
      <c r="J98" s="32"/>
      <c r="K98" s="30"/>
      <c r="L98" s="30"/>
      <c r="M98" s="30"/>
      <c r="N98" s="30"/>
      <c r="O98" s="30"/>
      <c r="P98" s="30"/>
      <c r="Q98" s="30"/>
      <c r="R98" s="30"/>
      <c r="S98" s="30"/>
      <c r="T98" s="30"/>
      <c r="U98" s="30"/>
      <c r="V98" s="30"/>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row>
    <row r="99" spans="6:60">
      <c r="F99" s="31"/>
      <c r="G99" s="31"/>
      <c r="H99" s="32"/>
      <c r="I99" s="32"/>
      <c r="J99" s="32"/>
      <c r="K99" s="30"/>
      <c r="L99" s="30"/>
      <c r="M99" s="30"/>
      <c r="N99" s="30"/>
      <c r="O99" s="30"/>
      <c r="P99" s="30"/>
      <c r="Q99" s="30"/>
      <c r="R99" s="30"/>
      <c r="S99" s="30"/>
      <c r="T99" s="30"/>
      <c r="U99" s="30"/>
      <c r="V99" s="30"/>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row>
    <row r="100" spans="6:60">
      <c r="F100" s="31"/>
      <c r="G100" s="31"/>
      <c r="H100" s="32"/>
      <c r="I100" s="32"/>
      <c r="J100" s="32"/>
      <c r="K100" s="30"/>
      <c r="L100" s="30"/>
      <c r="M100" s="30"/>
      <c r="N100" s="30"/>
      <c r="O100" s="30"/>
      <c r="P100" s="30"/>
      <c r="Q100" s="30"/>
      <c r="R100" s="30"/>
      <c r="S100" s="30"/>
      <c r="T100" s="30"/>
      <c r="U100" s="30"/>
      <c r="V100" s="30"/>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row>
    <row r="101" spans="6:60">
      <c r="F101" s="31"/>
      <c r="G101" s="31"/>
      <c r="H101" s="32"/>
      <c r="I101" s="32"/>
      <c r="J101" s="32"/>
      <c r="K101" s="30"/>
      <c r="L101" s="30"/>
      <c r="M101" s="30"/>
      <c r="N101" s="30"/>
      <c r="O101" s="30"/>
      <c r="P101" s="30"/>
      <c r="Q101" s="30"/>
      <c r="R101" s="30"/>
      <c r="S101" s="30"/>
      <c r="T101" s="30"/>
      <c r="U101" s="30"/>
      <c r="V101" s="30"/>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row>
    <row r="102" spans="6:60">
      <c r="F102" s="31"/>
      <c r="G102" s="31"/>
      <c r="H102" s="32"/>
      <c r="I102" s="32"/>
      <c r="J102" s="32"/>
      <c r="K102" s="30"/>
      <c r="L102" s="30"/>
      <c r="M102" s="30"/>
      <c r="N102" s="30"/>
      <c r="O102" s="30"/>
      <c r="P102" s="30"/>
      <c r="Q102" s="30"/>
      <c r="R102" s="30"/>
      <c r="S102" s="30"/>
      <c r="T102" s="30"/>
      <c r="U102" s="30"/>
      <c r="V102" s="30"/>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row>
    <row r="103" spans="6:60">
      <c r="F103" s="31"/>
      <c r="G103" s="31"/>
      <c r="H103" s="32"/>
      <c r="I103" s="32"/>
      <c r="J103" s="32"/>
      <c r="K103" s="30"/>
      <c r="L103" s="30"/>
      <c r="M103" s="30"/>
      <c r="N103" s="30"/>
      <c r="O103" s="30"/>
      <c r="P103" s="30"/>
      <c r="Q103" s="30"/>
      <c r="R103" s="30"/>
      <c r="S103" s="30"/>
      <c r="T103" s="30"/>
      <c r="U103" s="30"/>
      <c r="V103" s="30"/>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row>
    <row r="104" spans="6:60">
      <c r="F104" s="31"/>
      <c r="G104" s="31"/>
      <c r="H104" s="32"/>
      <c r="I104" s="32"/>
      <c r="J104" s="32"/>
      <c r="K104" s="30"/>
      <c r="L104" s="30"/>
      <c r="M104" s="30"/>
      <c r="N104" s="30"/>
      <c r="O104" s="30"/>
      <c r="P104" s="30"/>
      <c r="Q104" s="30"/>
      <c r="R104" s="30"/>
      <c r="S104" s="30"/>
      <c r="T104" s="30"/>
      <c r="U104" s="30"/>
      <c r="V104" s="30"/>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row>
    <row r="105" spans="6:60">
      <c r="F105" s="31"/>
      <c r="G105" s="31"/>
      <c r="H105" s="32"/>
      <c r="I105" s="32"/>
      <c r="J105" s="32"/>
      <c r="K105" s="30"/>
      <c r="L105" s="30"/>
      <c r="M105" s="30"/>
      <c r="N105" s="30"/>
      <c r="O105" s="30"/>
      <c r="P105" s="30"/>
      <c r="Q105" s="30"/>
      <c r="R105" s="30"/>
      <c r="S105" s="30"/>
      <c r="T105" s="30"/>
      <c r="U105" s="30"/>
      <c r="V105" s="30"/>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row>
    <row r="106" spans="6:60">
      <c r="F106" s="31"/>
      <c r="G106" s="31"/>
      <c r="H106" s="32"/>
      <c r="I106" s="32"/>
      <c r="J106" s="32"/>
      <c r="K106" s="30"/>
      <c r="L106" s="30"/>
      <c r="M106" s="30"/>
      <c r="N106" s="30"/>
      <c r="O106" s="30"/>
      <c r="P106" s="30"/>
      <c r="Q106" s="30"/>
      <c r="R106" s="30"/>
      <c r="S106" s="30"/>
      <c r="T106" s="30"/>
      <c r="U106" s="30"/>
      <c r="V106" s="30"/>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row>
    <row r="107" spans="6:60">
      <c r="F107" s="31"/>
      <c r="G107" s="31"/>
      <c r="H107" s="32"/>
      <c r="I107" s="32"/>
      <c r="J107" s="32"/>
      <c r="K107" s="30"/>
      <c r="L107" s="30"/>
      <c r="M107" s="30"/>
      <c r="N107" s="30"/>
      <c r="O107" s="30"/>
      <c r="P107" s="30"/>
      <c r="Q107" s="30"/>
      <c r="R107" s="30"/>
      <c r="S107" s="30"/>
      <c r="T107" s="30"/>
      <c r="U107" s="30"/>
      <c r="V107" s="30"/>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row>
    <row r="108" spans="6:60">
      <c r="F108" s="31"/>
      <c r="G108" s="31"/>
      <c r="H108" s="32"/>
      <c r="I108" s="32"/>
      <c r="J108" s="32"/>
      <c r="K108" s="30"/>
      <c r="L108" s="30"/>
      <c r="M108" s="30"/>
      <c r="N108" s="30"/>
      <c r="O108" s="30"/>
      <c r="P108" s="30"/>
      <c r="Q108" s="30"/>
      <c r="R108" s="30"/>
      <c r="S108" s="30"/>
      <c r="T108" s="30"/>
      <c r="U108" s="30"/>
      <c r="V108" s="30"/>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row>
    <row r="109" spans="6:60">
      <c r="F109" s="31"/>
      <c r="G109" s="31"/>
      <c r="H109" s="32"/>
      <c r="I109" s="32"/>
      <c r="J109" s="32"/>
      <c r="K109" s="30"/>
      <c r="L109" s="30"/>
      <c r="M109" s="30"/>
      <c r="N109" s="30"/>
      <c r="O109" s="30"/>
      <c r="P109" s="30"/>
      <c r="Q109" s="30"/>
      <c r="R109" s="30"/>
      <c r="S109" s="30"/>
      <c r="T109" s="30"/>
      <c r="U109" s="30"/>
      <c r="V109" s="30"/>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row>
    <row r="110" spans="6:60">
      <c r="F110" s="31"/>
      <c r="G110" s="31"/>
      <c r="H110" s="32"/>
      <c r="I110" s="32"/>
      <c r="J110" s="32"/>
      <c r="K110" s="30"/>
      <c r="L110" s="30"/>
      <c r="M110" s="30"/>
      <c r="N110" s="30"/>
      <c r="O110" s="30"/>
      <c r="P110" s="30"/>
      <c r="Q110" s="30"/>
      <c r="R110" s="30"/>
      <c r="S110" s="30"/>
      <c r="T110" s="30"/>
      <c r="U110" s="30"/>
      <c r="V110" s="30"/>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row>
    <row r="111" spans="6:60">
      <c r="F111" s="31"/>
      <c r="G111" s="31"/>
      <c r="H111" s="32"/>
      <c r="I111" s="32"/>
      <c r="J111" s="32"/>
      <c r="K111" s="30"/>
      <c r="L111" s="30"/>
      <c r="M111" s="30"/>
      <c r="N111" s="30"/>
      <c r="O111" s="30"/>
      <c r="P111" s="30"/>
      <c r="Q111" s="30"/>
      <c r="R111" s="30"/>
      <c r="S111" s="30"/>
      <c r="T111" s="30"/>
      <c r="U111" s="30"/>
      <c r="V111" s="30"/>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row>
    <row r="112" spans="6:60">
      <c r="F112" s="31"/>
      <c r="G112" s="31"/>
      <c r="H112" s="32"/>
      <c r="I112" s="32"/>
      <c r="J112" s="32"/>
      <c r="K112" s="30"/>
      <c r="L112" s="30"/>
      <c r="M112" s="30"/>
      <c r="N112" s="30"/>
      <c r="O112" s="30"/>
      <c r="P112" s="30"/>
      <c r="Q112" s="30"/>
      <c r="R112" s="30"/>
      <c r="S112" s="30"/>
      <c r="T112" s="30"/>
      <c r="U112" s="30"/>
      <c r="V112" s="30"/>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row>
    <row r="113" spans="6:60">
      <c r="F113" s="31"/>
      <c r="G113" s="31"/>
      <c r="H113" s="32"/>
      <c r="I113" s="32"/>
      <c r="J113" s="32"/>
      <c r="K113" s="30"/>
      <c r="L113" s="30"/>
      <c r="M113" s="30"/>
      <c r="N113" s="30"/>
      <c r="O113" s="30"/>
      <c r="P113" s="30"/>
      <c r="Q113" s="30"/>
      <c r="R113" s="30"/>
      <c r="S113" s="30"/>
      <c r="T113" s="30"/>
      <c r="U113" s="30"/>
      <c r="V113" s="30"/>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row>
    <row r="114" spans="6:60">
      <c r="F114" s="31"/>
      <c r="G114" s="31"/>
      <c r="H114" s="32"/>
      <c r="I114" s="32"/>
      <c r="J114" s="32"/>
      <c r="K114" s="30"/>
      <c r="L114" s="30"/>
      <c r="M114" s="30"/>
      <c r="N114" s="30"/>
      <c r="O114" s="30"/>
      <c r="P114" s="30"/>
      <c r="Q114" s="30"/>
      <c r="R114" s="30"/>
      <c r="S114" s="30"/>
      <c r="T114" s="30"/>
      <c r="U114" s="30"/>
      <c r="V114" s="30"/>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row>
    <row r="115" spans="6:60">
      <c r="F115" s="31"/>
      <c r="G115" s="31"/>
      <c r="H115" s="32"/>
      <c r="I115" s="32"/>
      <c r="J115" s="32"/>
      <c r="K115" s="30"/>
      <c r="L115" s="30"/>
      <c r="M115" s="30"/>
      <c r="N115" s="30"/>
      <c r="O115" s="30"/>
      <c r="P115" s="30"/>
      <c r="Q115" s="30"/>
      <c r="R115" s="30"/>
      <c r="S115" s="30"/>
      <c r="T115" s="30"/>
      <c r="U115" s="30"/>
      <c r="V115" s="30"/>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row>
    <row r="116" spans="6:60">
      <c r="F116" s="31"/>
      <c r="G116" s="31"/>
      <c r="H116" s="32"/>
      <c r="I116" s="32"/>
      <c r="J116" s="32"/>
      <c r="K116" s="30"/>
      <c r="L116" s="30"/>
      <c r="M116" s="30"/>
      <c r="N116" s="30"/>
      <c r="O116" s="30"/>
      <c r="P116" s="30"/>
      <c r="Q116" s="30"/>
      <c r="R116" s="30"/>
      <c r="S116" s="30"/>
      <c r="T116" s="30"/>
      <c r="U116" s="30"/>
      <c r="V116" s="30"/>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row>
    <row r="117" spans="6:60">
      <c r="F117" s="31"/>
      <c r="G117" s="31"/>
      <c r="H117" s="32"/>
      <c r="I117" s="32"/>
      <c r="J117" s="32"/>
      <c r="K117" s="30"/>
      <c r="L117" s="30"/>
      <c r="M117" s="30"/>
      <c r="N117" s="30"/>
      <c r="O117" s="30"/>
      <c r="P117" s="30"/>
      <c r="Q117" s="30"/>
      <c r="R117" s="30"/>
      <c r="S117" s="30"/>
      <c r="T117" s="30"/>
      <c r="U117" s="30"/>
      <c r="V117" s="30"/>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row>
    <row r="118" spans="6:60">
      <c r="F118" s="31"/>
      <c r="G118" s="31"/>
      <c r="H118" s="32"/>
      <c r="I118" s="32"/>
      <c r="J118" s="32"/>
      <c r="K118" s="30"/>
      <c r="L118" s="30"/>
      <c r="M118" s="30"/>
      <c r="N118" s="30"/>
      <c r="O118" s="30"/>
      <c r="P118" s="30"/>
      <c r="Q118" s="30"/>
      <c r="R118" s="30"/>
      <c r="S118" s="30"/>
      <c r="T118" s="30"/>
      <c r="U118" s="30"/>
      <c r="V118" s="30"/>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row>
    <row r="119" spans="6:60">
      <c r="F119" s="31"/>
      <c r="G119" s="31"/>
      <c r="H119" s="32"/>
      <c r="I119" s="32"/>
      <c r="J119" s="32"/>
      <c r="K119" s="30"/>
      <c r="L119" s="30"/>
      <c r="M119" s="30"/>
      <c r="N119" s="30"/>
      <c r="O119" s="30"/>
      <c r="P119" s="30"/>
      <c r="Q119" s="30"/>
      <c r="R119" s="30"/>
      <c r="S119" s="30"/>
      <c r="T119" s="30"/>
      <c r="U119" s="30"/>
      <c r="V119" s="30"/>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row>
    <row r="120" spans="6:60">
      <c r="F120" s="31"/>
      <c r="G120" s="31"/>
      <c r="H120" s="32"/>
      <c r="I120" s="32"/>
      <c r="J120" s="32"/>
      <c r="K120" s="30"/>
      <c r="L120" s="30"/>
      <c r="M120" s="30"/>
      <c r="N120" s="30"/>
      <c r="O120" s="30"/>
      <c r="P120" s="30"/>
      <c r="Q120" s="30"/>
      <c r="R120" s="30"/>
      <c r="S120" s="30"/>
      <c r="T120" s="30"/>
      <c r="U120" s="30"/>
      <c r="V120" s="30"/>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row>
    <row r="121" spans="6:60">
      <c r="F121" s="31"/>
      <c r="G121" s="31"/>
      <c r="H121" s="32"/>
      <c r="I121" s="32"/>
      <c r="J121" s="32"/>
      <c r="K121" s="30"/>
      <c r="L121" s="30"/>
      <c r="M121" s="30"/>
      <c r="N121" s="30"/>
      <c r="O121" s="30"/>
      <c r="P121" s="30"/>
      <c r="Q121" s="30"/>
      <c r="R121" s="30"/>
      <c r="S121" s="30"/>
      <c r="T121" s="30"/>
      <c r="U121" s="30"/>
      <c r="V121" s="30"/>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row>
    <row r="122" spans="6:60">
      <c r="F122" s="31"/>
      <c r="G122" s="31"/>
      <c r="H122" s="32"/>
      <c r="I122" s="32"/>
      <c r="J122" s="32"/>
      <c r="K122" s="30"/>
      <c r="L122" s="30"/>
      <c r="M122" s="30"/>
      <c r="N122" s="30"/>
      <c r="O122" s="30"/>
      <c r="P122" s="30"/>
      <c r="Q122" s="30"/>
      <c r="R122" s="30"/>
      <c r="S122" s="30"/>
      <c r="T122" s="30"/>
      <c r="U122" s="30"/>
      <c r="V122" s="30"/>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row>
    <row r="123" spans="6:60">
      <c r="F123" s="31"/>
      <c r="G123" s="31"/>
      <c r="H123" s="32"/>
      <c r="I123" s="32"/>
      <c r="J123" s="32"/>
      <c r="K123" s="30"/>
      <c r="L123" s="30"/>
      <c r="M123" s="30"/>
      <c r="N123" s="30"/>
      <c r="O123" s="30"/>
      <c r="P123" s="30"/>
      <c r="Q123" s="30"/>
      <c r="R123" s="30"/>
      <c r="S123" s="30"/>
      <c r="T123" s="30"/>
      <c r="U123" s="30"/>
      <c r="V123" s="30"/>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row>
    <row r="124" spans="6:60">
      <c r="F124" s="31"/>
      <c r="G124" s="31"/>
      <c r="H124" s="32"/>
      <c r="I124" s="32"/>
      <c r="J124" s="32"/>
      <c r="K124" s="30"/>
      <c r="L124" s="30"/>
      <c r="M124" s="30"/>
      <c r="N124" s="30"/>
      <c r="O124" s="30"/>
      <c r="P124" s="30"/>
      <c r="Q124" s="30"/>
      <c r="R124" s="30"/>
      <c r="S124" s="30"/>
      <c r="T124" s="30"/>
      <c r="U124" s="30"/>
      <c r="V124" s="30"/>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row>
    <row r="125" spans="6:60">
      <c r="F125" s="31"/>
      <c r="G125" s="31"/>
      <c r="H125" s="32"/>
      <c r="I125" s="32"/>
      <c r="J125" s="32"/>
      <c r="K125" s="30"/>
      <c r="L125" s="30"/>
      <c r="M125" s="30"/>
      <c r="N125" s="30"/>
      <c r="O125" s="30"/>
      <c r="P125" s="30"/>
      <c r="Q125" s="30"/>
      <c r="R125" s="30"/>
      <c r="S125" s="30"/>
      <c r="T125" s="30"/>
      <c r="U125" s="30"/>
      <c r="V125" s="30"/>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row>
    <row r="126" spans="6:60">
      <c r="F126" s="31"/>
      <c r="G126" s="31"/>
      <c r="H126" s="32"/>
      <c r="I126" s="32"/>
      <c r="J126" s="32"/>
      <c r="K126" s="30"/>
      <c r="L126" s="30"/>
      <c r="M126" s="30"/>
      <c r="N126" s="30"/>
      <c r="O126" s="30"/>
      <c r="P126" s="30"/>
      <c r="Q126" s="30"/>
      <c r="R126" s="30"/>
      <c r="S126" s="30"/>
      <c r="T126" s="30"/>
      <c r="U126" s="30"/>
      <c r="V126" s="30"/>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row>
    <row r="127" spans="6:60">
      <c r="F127" s="31"/>
      <c r="G127" s="31"/>
      <c r="H127" s="32"/>
      <c r="I127" s="32"/>
      <c r="J127" s="32"/>
      <c r="K127" s="30"/>
      <c r="L127" s="30"/>
      <c r="M127" s="30"/>
      <c r="N127" s="30"/>
      <c r="O127" s="30"/>
      <c r="P127" s="30"/>
      <c r="Q127" s="30"/>
      <c r="R127" s="30"/>
      <c r="S127" s="30"/>
      <c r="T127" s="30"/>
      <c r="U127" s="30"/>
      <c r="V127" s="30"/>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row>
    <row r="128" spans="6:60">
      <c r="F128" s="31"/>
      <c r="G128" s="31"/>
      <c r="H128" s="32"/>
      <c r="I128" s="32"/>
      <c r="J128" s="32"/>
      <c r="K128" s="30"/>
      <c r="L128" s="30"/>
      <c r="M128" s="30"/>
      <c r="N128" s="30"/>
      <c r="O128" s="30"/>
      <c r="P128" s="30"/>
      <c r="Q128" s="30"/>
      <c r="R128" s="30"/>
      <c r="S128" s="30"/>
      <c r="T128" s="30"/>
      <c r="U128" s="30"/>
      <c r="V128" s="30"/>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row>
    <row r="129" spans="6:60">
      <c r="F129" s="31"/>
      <c r="G129" s="31"/>
      <c r="H129" s="32"/>
      <c r="I129" s="32"/>
      <c r="J129" s="32"/>
      <c r="K129" s="30"/>
      <c r="L129" s="30"/>
      <c r="M129" s="30"/>
      <c r="N129" s="30"/>
      <c r="O129" s="30"/>
      <c r="P129" s="30"/>
      <c r="Q129" s="30"/>
      <c r="R129" s="30"/>
      <c r="S129" s="30"/>
      <c r="T129" s="30"/>
      <c r="U129" s="30"/>
      <c r="V129" s="30"/>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row>
    <row r="130" spans="6:60">
      <c r="F130" s="31"/>
      <c r="G130" s="31"/>
      <c r="H130" s="32"/>
      <c r="I130" s="32"/>
      <c r="J130" s="32"/>
      <c r="K130" s="30"/>
      <c r="L130" s="30"/>
      <c r="M130" s="30"/>
      <c r="N130" s="30"/>
      <c r="O130" s="30"/>
      <c r="P130" s="30"/>
      <c r="Q130" s="30"/>
      <c r="R130" s="30"/>
      <c r="S130" s="30"/>
      <c r="T130" s="30"/>
      <c r="U130" s="30"/>
      <c r="V130" s="30"/>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row>
    <row r="131" spans="6:60">
      <c r="F131" s="31"/>
      <c r="G131" s="31"/>
      <c r="H131" s="32"/>
      <c r="I131" s="32"/>
      <c r="J131" s="32"/>
      <c r="K131" s="30"/>
      <c r="L131" s="30"/>
      <c r="M131" s="30"/>
      <c r="N131" s="30"/>
      <c r="O131" s="30"/>
      <c r="P131" s="30"/>
      <c r="Q131" s="30"/>
      <c r="R131" s="30"/>
      <c r="S131" s="30"/>
      <c r="T131" s="30"/>
      <c r="U131" s="30"/>
      <c r="V131" s="30"/>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row>
    <row r="132" spans="6:60">
      <c r="F132" s="31"/>
      <c r="G132" s="31"/>
      <c r="H132" s="32"/>
      <c r="I132" s="32"/>
      <c r="J132" s="32"/>
      <c r="K132" s="30"/>
      <c r="L132" s="30"/>
      <c r="M132" s="30"/>
      <c r="N132" s="30"/>
      <c r="O132" s="30"/>
      <c r="P132" s="30"/>
      <c r="Q132" s="30"/>
      <c r="R132" s="30"/>
      <c r="S132" s="30"/>
      <c r="T132" s="30"/>
      <c r="U132" s="30"/>
      <c r="V132" s="30"/>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row>
    <row r="133" spans="6:60">
      <c r="F133" s="31"/>
      <c r="G133" s="31"/>
      <c r="H133" s="32"/>
      <c r="I133" s="32"/>
      <c r="J133" s="32"/>
      <c r="K133" s="30"/>
      <c r="L133" s="30"/>
      <c r="M133" s="30"/>
      <c r="N133" s="30"/>
      <c r="O133" s="30"/>
      <c r="P133" s="30"/>
      <c r="Q133" s="30"/>
      <c r="R133" s="30"/>
      <c r="S133" s="30"/>
      <c r="T133" s="30"/>
      <c r="U133" s="30"/>
      <c r="V133" s="30"/>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row>
    <row r="134" spans="6:60">
      <c r="F134" s="31"/>
      <c r="G134" s="31"/>
      <c r="H134" s="32"/>
      <c r="I134" s="32"/>
      <c r="J134" s="32"/>
      <c r="K134" s="30"/>
      <c r="L134" s="30"/>
      <c r="M134" s="30"/>
      <c r="N134" s="30"/>
      <c r="O134" s="30"/>
      <c r="P134" s="30"/>
      <c r="Q134" s="30"/>
      <c r="R134" s="30"/>
      <c r="S134" s="30"/>
      <c r="T134" s="30"/>
      <c r="U134" s="30"/>
      <c r="V134" s="30"/>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row>
    <row r="135" spans="6:60">
      <c r="F135" s="31"/>
      <c r="G135" s="31"/>
      <c r="H135" s="32"/>
      <c r="I135" s="32"/>
      <c r="J135" s="32"/>
      <c r="K135" s="30"/>
      <c r="L135" s="30"/>
      <c r="M135" s="30"/>
      <c r="N135" s="30"/>
      <c r="O135" s="30"/>
      <c r="P135" s="30"/>
      <c r="Q135" s="30"/>
      <c r="R135" s="30"/>
      <c r="S135" s="30"/>
      <c r="T135" s="30"/>
      <c r="U135" s="30"/>
      <c r="V135" s="30"/>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row>
    <row r="136" spans="6:60">
      <c r="F136" s="31"/>
      <c r="G136" s="31"/>
      <c r="H136" s="32"/>
      <c r="I136" s="32"/>
      <c r="J136" s="32"/>
      <c r="K136" s="30"/>
      <c r="L136" s="30"/>
      <c r="M136" s="30"/>
      <c r="N136" s="30"/>
      <c r="O136" s="30"/>
      <c r="P136" s="30"/>
      <c r="Q136" s="30"/>
      <c r="R136" s="30"/>
      <c r="S136" s="30"/>
      <c r="T136" s="30"/>
      <c r="U136" s="30"/>
      <c r="V136" s="30"/>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row>
    <row r="137" spans="6:60">
      <c r="F137" s="31"/>
      <c r="G137" s="31"/>
      <c r="H137" s="32"/>
      <c r="I137" s="32"/>
      <c r="J137" s="32"/>
      <c r="K137" s="30"/>
      <c r="L137" s="30"/>
      <c r="M137" s="30"/>
      <c r="N137" s="30"/>
      <c r="O137" s="30"/>
      <c r="P137" s="30"/>
      <c r="Q137" s="30"/>
      <c r="R137" s="30"/>
      <c r="S137" s="30"/>
      <c r="T137" s="30"/>
      <c r="U137" s="30"/>
      <c r="V137" s="30"/>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row>
    <row r="138" spans="6:60">
      <c r="F138" s="31"/>
      <c r="G138" s="31"/>
      <c r="H138" s="32"/>
      <c r="I138" s="32"/>
      <c r="J138" s="32"/>
      <c r="K138" s="30"/>
      <c r="L138" s="30"/>
      <c r="M138" s="30"/>
      <c r="N138" s="30"/>
      <c r="O138" s="30"/>
      <c r="P138" s="30"/>
      <c r="Q138" s="30"/>
      <c r="R138" s="30"/>
      <c r="S138" s="30"/>
      <c r="T138" s="30"/>
      <c r="U138" s="30"/>
      <c r="V138" s="30"/>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row>
    <row r="139" spans="6:60">
      <c r="F139" s="31"/>
      <c r="G139" s="31"/>
      <c r="H139" s="32"/>
      <c r="I139" s="32"/>
      <c r="J139" s="32"/>
      <c r="K139" s="30"/>
      <c r="L139" s="30"/>
      <c r="M139" s="30"/>
      <c r="N139" s="30"/>
      <c r="O139" s="30"/>
      <c r="P139" s="30"/>
      <c r="Q139" s="30"/>
      <c r="R139" s="30"/>
      <c r="S139" s="30"/>
      <c r="T139" s="30"/>
      <c r="U139" s="30"/>
      <c r="V139" s="30"/>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row>
    <row r="140" spans="6:60">
      <c r="F140" s="31"/>
      <c r="G140" s="31"/>
      <c r="H140" s="32"/>
      <c r="I140" s="32"/>
      <c r="J140" s="32"/>
      <c r="K140" s="30"/>
      <c r="L140" s="30"/>
      <c r="M140" s="30"/>
      <c r="N140" s="30"/>
      <c r="O140" s="30"/>
      <c r="P140" s="30"/>
      <c r="Q140" s="30"/>
      <c r="R140" s="30"/>
      <c r="S140" s="30"/>
      <c r="T140" s="30"/>
      <c r="U140" s="30"/>
      <c r="V140" s="30"/>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row>
    <row r="141" spans="6:60">
      <c r="F141" s="31"/>
      <c r="G141" s="31"/>
      <c r="H141" s="32"/>
      <c r="I141" s="32"/>
      <c r="J141" s="32"/>
      <c r="K141" s="30"/>
      <c r="L141" s="30"/>
      <c r="M141" s="30"/>
      <c r="N141" s="30"/>
      <c r="O141" s="30"/>
      <c r="P141" s="30"/>
      <c r="Q141" s="30"/>
      <c r="R141" s="30"/>
      <c r="S141" s="30"/>
      <c r="T141" s="30"/>
      <c r="U141" s="30"/>
      <c r="V141" s="30"/>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row>
    <row r="142" spans="6:60">
      <c r="F142" s="31"/>
      <c r="G142" s="31"/>
      <c r="H142" s="32"/>
      <c r="I142" s="32"/>
      <c r="J142" s="32"/>
      <c r="K142" s="30"/>
      <c r="L142" s="30"/>
      <c r="M142" s="30"/>
      <c r="N142" s="30"/>
      <c r="O142" s="30"/>
      <c r="P142" s="30"/>
      <c r="Q142" s="30"/>
      <c r="R142" s="30"/>
      <c r="S142" s="30"/>
      <c r="T142" s="30"/>
      <c r="U142" s="30"/>
      <c r="V142" s="30"/>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row>
    <row r="143" spans="6:60">
      <c r="F143" s="31"/>
      <c r="G143" s="31"/>
      <c r="H143" s="32"/>
      <c r="I143" s="32"/>
      <c r="J143" s="32"/>
      <c r="K143" s="30"/>
      <c r="L143" s="30"/>
      <c r="M143" s="30"/>
      <c r="N143" s="30"/>
      <c r="O143" s="30"/>
      <c r="P143" s="30"/>
      <c r="Q143" s="30"/>
      <c r="R143" s="30"/>
      <c r="S143" s="30"/>
      <c r="T143" s="30"/>
      <c r="U143" s="30"/>
      <c r="V143" s="30"/>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row>
    <row r="144" spans="6:60">
      <c r="F144" s="31"/>
      <c r="G144" s="31"/>
      <c r="H144" s="32"/>
      <c r="I144" s="32"/>
      <c r="J144" s="32"/>
      <c r="K144" s="30"/>
      <c r="L144" s="30"/>
      <c r="M144" s="30"/>
      <c r="N144" s="30"/>
      <c r="O144" s="30"/>
      <c r="P144" s="30"/>
      <c r="Q144" s="30"/>
      <c r="R144" s="30"/>
      <c r="S144" s="30"/>
      <c r="T144" s="30"/>
      <c r="U144" s="30"/>
      <c r="V144" s="30"/>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row>
    <row r="145" spans="6:60">
      <c r="F145" s="31"/>
      <c r="G145" s="31"/>
      <c r="H145" s="32"/>
      <c r="I145" s="32"/>
      <c r="J145" s="32"/>
      <c r="K145" s="30"/>
      <c r="L145" s="30"/>
      <c r="M145" s="30"/>
      <c r="N145" s="30"/>
      <c r="O145" s="30"/>
      <c r="P145" s="30"/>
      <c r="Q145" s="30"/>
      <c r="R145" s="30"/>
      <c r="S145" s="30"/>
      <c r="T145" s="30"/>
      <c r="U145" s="30"/>
      <c r="V145" s="30"/>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row>
    <row r="146" spans="6:60">
      <c r="F146" s="31"/>
      <c r="G146" s="31"/>
      <c r="H146" s="32"/>
      <c r="I146" s="32"/>
      <c r="J146" s="32"/>
      <c r="K146" s="30"/>
      <c r="L146" s="30"/>
      <c r="M146" s="30"/>
      <c r="N146" s="30"/>
      <c r="O146" s="30"/>
      <c r="P146" s="30"/>
      <c r="Q146" s="30"/>
      <c r="R146" s="30"/>
      <c r="S146" s="30"/>
      <c r="T146" s="30"/>
      <c r="U146" s="30"/>
      <c r="V146" s="30"/>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row>
    <row r="147" spans="6:60">
      <c r="F147" s="31"/>
      <c r="G147" s="31"/>
      <c r="H147" s="32"/>
      <c r="I147" s="32"/>
      <c r="J147" s="32"/>
      <c r="K147" s="30"/>
      <c r="L147" s="30"/>
      <c r="M147" s="30"/>
      <c r="N147" s="30"/>
      <c r="O147" s="30"/>
      <c r="P147" s="30"/>
      <c r="Q147" s="30"/>
      <c r="R147" s="30"/>
      <c r="S147" s="30"/>
      <c r="T147" s="30"/>
      <c r="U147" s="30"/>
      <c r="V147" s="30"/>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row>
    <row r="148" spans="6:60">
      <c r="F148" s="31"/>
      <c r="G148" s="31"/>
      <c r="H148" s="32"/>
      <c r="I148" s="32"/>
      <c r="J148" s="32"/>
      <c r="K148" s="30"/>
      <c r="L148" s="30"/>
      <c r="M148" s="30"/>
      <c r="N148" s="30"/>
      <c r="O148" s="30"/>
      <c r="P148" s="30"/>
      <c r="Q148" s="30"/>
      <c r="R148" s="30"/>
      <c r="S148" s="30"/>
      <c r="T148" s="30"/>
      <c r="U148" s="30"/>
      <c r="V148" s="30"/>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row>
    <row r="149" spans="6:60">
      <c r="F149" s="31"/>
      <c r="G149" s="31"/>
      <c r="H149" s="32"/>
      <c r="I149" s="32"/>
      <c r="J149" s="32"/>
      <c r="K149" s="30"/>
      <c r="L149" s="30"/>
      <c r="M149" s="30"/>
      <c r="N149" s="30"/>
      <c r="O149" s="30"/>
      <c r="P149" s="30"/>
      <c r="Q149" s="30"/>
      <c r="R149" s="30"/>
      <c r="S149" s="30"/>
      <c r="T149" s="30"/>
      <c r="U149" s="30"/>
      <c r="V149" s="30"/>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row>
    <row r="150" spans="6:60">
      <c r="F150" s="31"/>
      <c r="G150" s="31"/>
      <c r="H150" s="32"/>
      <c r="I150" s="32"/>
      <c r="J150" s="32"/>
      <c r="K150" s="30"/>
      <c r="L150" s="30"/>
      <c r="M150" s="30"/>
      <c r="N150" s="30"/>
      <c r="O150" s="30"/>
      <c r="P150" s="30"/>
      <c r="Q150" s="30"/>
      <c r="R150" s="30"/>
      <c r="S150" s="30"/>
      <c r="T150" s="30"/>
      <c r="U150" s="30"/>
      <c r="V150" s="30"/>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row>
    <row r="151" spans="6:60">
      <c r="F151" s="31"/>
      <c r="G151" s="31"/>
      <c r="H151" s="32"/>
      <c r="I151" s="32"/>
      <c r="J151" s="32"/>
      <c r="K151" s="30"/>
      <c r="L151" s="30"/>
      <c r="M151" s="30"/>
      <c r="N151" s="30"/>
      <c r="O151" s="30"/>
      <c r="P151" s="30"/>
      <c r="Q151" s="30"/>
      <c r="R151" s="30"/>
      <c r="S151" s="30"/>
      <c r="T151" s="30"/>
      <c r="U151" s="30"/>
      <c r="V151" s="30"/>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row>
    <row r="152" spans="6:60">
      <c r="F152" s="31"/>
      <c r="G152" s="31"/>
      <c r="H152" s="32"/>
      <c r="I152" s="32"/>
      <c r="J152" s="32"/>
      <c r="K152" s="30"/>
      <c r="L152" s="30"/>
      <c r="M152" s="30"/>
      <c r="N152" s="30"/>
      <c r="O152" s="30"/>
      <c r="P152" s="30"/>
      <c r="Q152" s="30"/>
      <c r="R152" s="30"/>
      <c r="S152" s="30"/>
      <c r="T152" s="30"/>
      <c r="U152" s="30"/>
      <c r="V152" s="30"/>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row>
    <row r="153" spans="6:60">
      <c r="F153" s="31"/>
      <c r="G153" s="31"/>
      <c r="H153" s="32"/>
      <c r="I153" s="32"/>
      <c r="J153" s="32"/>
      <c r="K153" s="30"/>
      <c r="L153" s="30"/>
      <c r="M153" s="30"/>
      <c r="N153" s="30"/>
      <c r="O153" s="30"/>
      <c r="P153" s="30"/>
      <c r="Q153" s="30"/>
      <c r="R153" s="30"/>
      <c r="S153" s="30"/>
      <c r="T153" s="30"/>
      <c r="U153" s="30"/>
      <c r="V153" s="30"/>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row>
    <row r="154" spans="6:60">
      <c r="F154" s="31"/>
      <c r="G154" s="31"/>
      <c r="H154" s="32"/>
      <c r="I154" s="32"/>
      <c r="J154" s="32"/>
      <c r="K154" s="30"/>
      <c r="L154" s="30"/>
      <c r="M154" s="30"/>
      <c r="N154" s="30"/>
      <c r="O154" s="30"/>
      <c r="P154" s="30"/>
      <c r="Q154" s="30"/>
      <c r="R154" s="30"/>
      <c r="S154" s="30"/>
      <c r="T154" s="30"/>
      <c r="U154" s="30"/>
      <c r="V154" s="30"/>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row>
    <row r="155" spans="6:60">
      <c r="F155" s="31"/>
      <c r="G155" s="31"/>
      <c r="H155" s="32"/>
      <c r="I155" s="32"/>
      <c r="J155" s="32"/>
      <c r="K155" s="30"/>
      <c r="L155" s="30"/>
      <c r="M155" s="30"/>
      <c r="N155" s="30"/>
      <c r="O155" s="30"/>
      <c r="P155" s="30"/>
      <c r="Q155" s="30"/>
      <c r="R155" s="30"/>
      <c r="S155" s="30"/>
      <c r="T155" s="30"/>
      <c r="U155" s="30"/>
      <c r="V155" s="30"/>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row>
    <row r="156" spans="6:60">
      <c r="F156" s="31"/>
      <c r="G156" s="31"/>
      <c r="H156" s="32"/>
      <c r="I156" s="32"/>
      <c r="J156" s="32"/>
      <c r="K156" s="30"/>
      <c r="L156" s="30"/>
      <c r="M156" s="30"/>
      <c r="N156" s="30"/>
      <c r="O156" s="30"/>
      <c r="P156" s="30"/>
      <c r="Q156" s="30"/>
      <c r="R156" s="30"/>
      <c r="S156" s="30"/>
      <c r="T156" s="30"/>
      <c r="U156" s="30"/>
      <c r="V156" s="30"/>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row>
    <row r="157" spans="6:60">
      <c r="F157" s="31"/>
      <c r="G157" s="31"/>
      <c r="H157" s="32"/>
      <c r="I157" s="32"/>
      <c r="J157" s="32"/>
      <c r="K157" s="30"/>
      <c r="L157" s="30"/>
      <c r="M157" s="30"/>
      <c r="N157" s="30"/>
      <c r="O157" s="30"/>
      <c r="P157" s="30"/>
      <c r="Q157" s="30"/>
      <c r="R157" s="30"/>
      <c r="S157" s="30"/>
      <c r="T157" s="30"/>
      <c r="U157" s="30"/>
      <c r="V157" s="30"/>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row>
    <row r="158" spans="6:60">
      <c r="F158" s="31"/>
      <c r="G158" s="31"/>
      <c r="H158" s="32"/>
      <c r="I158" s="32"/>
      <c r="J158" s="32"/>
      <c r="K158" s="30"/>
      <c r="L158" s="30"/>
      <c r="M158" s="30"/>
      <c r="N158" s="30"/>
      <c r="O158" s="30"/>
      <c r="P158" s="30"/>
      <c r="Q158" s="30"/>
      <c r="R158" s="30"/>
      <c r="S158" s="30"/>
      <c r="T158" s="30"/>
      <c r="U158" s="30"/>
      <c r="V158" s="30"/>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row>
    <row r="159" spans="6:60">
      <c r="F159" s="31"/>
      <c r="G159" s="31"/>
      <c r="H159" s="32"/>
      <c r="I159" s="32"/>
      <c r="J159" s="32"/>
      <c r="K159" s="30"/>
      <c r="L159" s="30"/>
      <c r="M159" s="30"/>
      <c r="N159" s="30"/>
      <c r="O159" s="30"/>
      <c r="P159" s="30"/>
      <c r="Q159" s="30"/>
      <c r="R159" s="30"/>
      <c r="S159" s="30"/>
      <c r="T159" s="30"/>
      <c r="U159" s="30"/>
      <c r="V159" s="30"/>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row>
    <row r="160" spans="6:60">
      <c r="F160" s="31"/>
      <c r="G160" s="31"/>
      <c r="H160" s="32"/>
      <c r="I160" s="32"/>
      <c r="J160" s="32"/>
      <c r="K160" s="30"/>
      <c r="L160" s="30"/>
      <c r="M160" s="30"/>
      <c r="N160" s="30"/>
      <c r="O160" s="30"/>
      <c r="P160" s="30"/>
      <c r="Q160" s="30"/>
      <c r="R160" s="30"/>
      <c r="S160" s="30"/>
      <c r="T160" s="30"/>
      <c r="U160" s="30"/>
      <c r="V160" s="30"/>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row>
    <row r="161" spans="6:60">
      <c r="F161" s="31"/>
      <c r="G161" s="31"/>
      <c r="H161" s="32"/>
      <c r="I161" s="32"/>
      <c r="J161" s="32"/>
      <c r="K161" s="30"/>
      <c r="L161" s="30"/>
      <c r="M161" s="30"/>
      <c r="N161" s="30"/>
      <c r="O161" s="30"/>
      <c r="P161" s="30"/>
      <c r="Q161" s="30"/>
      <c r="R161" s="30"/>
      <c r="S161" s="30"/>
      <c r="T161" s="30"/>
      <c r="U161" s="30"/>
      <c r="V161" s="30"/>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row>
    <row r="162" spans="6:60">
      <c r="F162" s="31"/>
      <c r="G162" s="31"/>
      <c r="H162" s="32"/>
      <c r="I162" s="32"/>
      <c r="J162" s="32"/>
      <c r="K162" s="30"/>
      <c r="L162" s="30"/>
      <c r="M162" s="30"/>
      <c r="N162" s="30"/>
      <c r="O162" s="30"/>
      <c r="P162" s="30"/>
      <c r="Q162" s="30"/>
      <c r="R162" s="30"/>
      <c r="S162" s="30"/>
      <c r="T162" s="30"/>
      <c r="U162" s="30"/>
      <c r="V162" s="30"/>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row>
    <row r="163" spans="6:60">
      <c r="F163" s="31"/>
      <c r="G163" s="31"/>
      <c r="H163" s="32"/>
      <c r="I163" s="32"/>
      <c r="J163" s="32"/>
      <c r="K163" s="30"/>
      <c r="L163" s="30"/>
      <c r="M163" s="30"/>
      <c r="N163" s="30"/>
      <c r="O163" s="30"/>
      <c r="P163" s="30"/>
      <c r="Q163" s="30"/>
      <c r="R163" s="30"/>
      <c r="S163" s="30"/>
      <c r="T163" s="30"/>
      <c r="U163" s="30"/>
      <c r="V163" s="30"/>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row>
    <row r="164" spans="6:60">
      <c r="F164" s="31"/>
      <c r="G164" s="31"/>
      <c r="H164" s="32"/>
      <c r="I164" s="32"/>
      <c r="J164" s="32"/>
      <c r="K164" s="30"/>
      <c r="L164" s="30"/>
      <c r="M164" s="30"/>
      <c r="N164" s="30"/>
      <c r="O164" s="30"/>
      <c r="P164" s="30"/>
      <c r="Q164" s="30"/>
      <c r="R164" s="30"/>
      <c r="S164" s="30"/>
      <c r="T164" s="30"/>
      <c r="U164" s="30"/>
      <c r="V164" s="30"/>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row>
    <row r="165" spans="6:60">
      <c r="F165" s="31"/>
      <c r="G165" s="31"/>
      <c r="H165" s="32"/>
      <c r="I165" s="32"/>
      <c r="J165" s="32"/>
      <c r="K165" s="30"/>
      <c r="L165" s="30"/>
      <c r="M165" s="30"/>
      <c r="N165" s="30"/>
      <c r="O165" s="30"/>
      <c r="P165" s="30"/>
      <c r="Q165" s="30"/>
      <c r="R165" s="30"/>
      <c r="S165" s="30"/>
      <c r="T165" s="30"/>
      <c r="U165" s="30"/>
      <c r="V165" s="30"/>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row>
    <row r="166" spans="6:60">
      <c r="F166" s="31"/>
      <c r="G166" s="31"/>
      <c r="H166" s="32"/>
      <c r="I166" s="32"/>
      <c r="J166" s="32"/>
      <c r="K166" s="30"/>
      <c r="L166" s="30"/>
      <c r="M166" s="30"/>
      <c r="N166" s="30"/>
      <c r="O166" s="30"/>
      <c r="P166" s="30"/>
      <c r="Q166" s="30"/>
      <c r="R166" s="30"/>
      <c r="S166" s="30"/>
      <c r="T166" s="30"/>
      <c r="U166" s="30"/>
      <c r="V166" s="30"/>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row>
    <row r="167" spans="6:60">
      <c r="F167" s="31"/>
      <c r="G167" s="31"/>
      <c r="H167" s="32"/>
      <c r="I167" s="32"/>
      <c r="J167" s="32"/>
      <c r="K167" s="30"/>
      <c r="L167" s="30"/>
      <c r="M167" s="30"/>
      <c r="N167" s="30"/>
      <c r="O167" s="30"/>
      <c r="P167" s="30"/>
      <c r="Q167" s="30"/>
      <c r="R167" s="30"/>
      <c r="S167" s="30"/>
      <c r="T167" s="30"/>
      <c r="U167" s="30"/>
      <c r="V167" s="30"/>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row>
    <row r="168" spans="6:60">
      <c r="F168" s="31"/>
      <c r="G168" s="31"/>
      <c r="H168" s="32"/>
      <c r="I168" s="32"/>
      <c r="J168" s="32"/>
      <c r="K168" s="30"/>
      <c r="L168" s="30"/>
      <c r="M168" s="30"/>
      <c r="N168" s="30"/>
      <c r="O168" s="30"/>
      <c r="P168" s="30"/>
      <c r="Q168" s="30"/>
      <c r="R168" s="30"/>
      <c r="S168" s="30"/>
      <c r="T168" s="30"/>
      <c r="U168" s="30"/>
      <c r="V168" s="30"/>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row>
    <row r="169" spans="6:60">
      <c r="F169" s="31"/>
      <c r="G169" s="31"/>
      <c r="H169" s="32"/>
      <c r="I169" s="32"/>
      <c r="J169" s="32"/>
      <c r="K169" s="30"/>
      <c r="L169" s="30"/>
      <c r="M169" s="30"/>
      <c r="N169" s="30"/>
      <c r="O169" s="30"/>
      <c r="P169" s="30"/>
      <c r="Q169" s="30"/>
      <c r="R169" s="30"/>
      <c r="S169" s="30"/>
      <c r="T169" s="30"/>
      <c r="U169" s="30"/>
      <c r="V169" s="30"/>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row>
    <row r="170" spans="6:60">
      <c r="F170" s="31"/>
      <c r="G170" s="31"/>
      <c r="H170" s="32"/>
      <c r="I170" s="32"/>
      <c r="J170" s="32"/>
      <c r="K170" s="30"/>
      <c r="L170" s="30"/>
      <c r="M170" s="30"/>
      <c r="N170" s="30"/>
      <c r="O170" s="30"/>
      <c r="P170" s="30"/>
      <c r="Q170" s="30"/>
      <c r="R170" s="30"/>
      <c r="S170" s="30"/>
      <c r="T170" s="30"/>
      <c r="U170" s="30"/>
      <c r="V170" s="30"/>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row>
    <row r="171" spans="6:60">
      <c r="F171" s="31"/>
      <c r="G171" s="31"/>
      <c r="H171" s="32"/>
      <c r="I171" s="32"/>
      <c r="J171" s="32"/>
      <c r="K171" s="30"/>
      <c r="L171" s="30"/>
      <c r="M171" s="30"/>
      <c r="N171" s="30"/>
      <c r="O171" s="30"/>
      <c r="P171" s="30"/>
      <c r="Q171" s="30"/>
      <c r="R171" s="30"/>
      <c r="S171" s="30"/>
      <c r="T171" s="30"/>
      <c r="U171" s="30"/>
      <c r="V171" s="30"/>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row>
    <row r="172" spans="6:60">
      <c r="F172" s="31"/>
      <c r="G172" s="31"/>
      <c r="H172" s="32"/>
      <c r="I172" s="32"/>
      <c r="J172" s="32"/>
      <c r="K172" s="30"/>
      <c r="L172" s="30"/>
      <c r="M172" s="30"/>
      <c r="N172" s="30"/>
      <c r="O172" s="30"/>
      <c r="P172" s="30"/>
      <c r="Q172" s="30"/>
      <c r="R172" s="30"/>
      <c r="S172" s="30"/>
      <c r="T172" s="30"/>
      <c r="U172" s="30"/>
      <c r="V172" s="30"/>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row>
    <row r="173" spans="6:60">
      <c r="F173" s="31"/>
      <c r="G173" s="31"/>
      <c r="H173" s="32"/>
      <c r="I173" s="32"/>
      <c r="J173" s="32"/>
      <c r="K173" s="30"/>
      <c r="L173" s="30"/>
      <c r="M173" s="30"/>
      <c r="N173" s="30"/>
      <c r="O173" s="30"/>
      <c r="P173" s="30"/>
      <c r="Q173" s="30"/>
      <c r="R173" s="30"/>
      <c r="S173" s="30"/>
      <c r="T173" s="30"/>
      <c r="U173" s="30"/>
      <c r="V173" s="30"/>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row>
    <row r="174" spans="6:60">
      <c r="F174" s="31"/>
      <c r="G174" s="31"/>
      <c r="H174" s="32"/>
      <c r="I174" s="32"/>
      <c r="J174" s="32"/>
      <c r="K174" s="30"/>
      <c r="L174" s="30"/>
      <c r="M174" s="30"/>
      <c r="N174" s="30"/>
      <c r="O174" s="30"/>
      <c r="P174" s="30"/>
      <c r="Q174" s="30"/>
      <c r="R174" s="30"/>
      <c r="S174" s="30"/>
      <c r="T174" s="30"/>
      <c r="U174" s="30"/>
      <c r="V174" s="30"/>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row>
    <row r="175" spans="6:60">
      <c r="F175" s="31"/>
      <c r="G175" s="31"/>
      <c r="H175" s="32"/>
      <c r="I175" s="32"/>
      <c r="J175" s="32"/>
      <c r="K175" s="30"/>
      <c r="L175" s="30"/>
      <c r="M175" s="30"/>
      <c r="N175" s="30"/>
      <c r="O175" s="30"/>
      <c r="P175" s="30"/>
      <c r="Q175" s="30"/>
      <c r="R175" s="30"/>
      <c r="S175" s="30"/>
      <c r="T175" s="30"/>
      <c r="U175" s="30"/>
      <c r="V175" s="30"/>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row>
    <row r="176" spans="6:60">
      <c r="F176" s="31"/>
      <c r="G176" s="31"/>
      <c r="H176" s="32"/>
      <c r="I176" s="32"/>
      <c r="J176" s="32"/>
      <c r="K176" s="30"/>
      <c r="L176" s="30"/>
      <c r="M176" s="30"/>
      <c r="N176" s="30"/>
      <c r="O176" s="30"/>
      <c r="P176" s="30"/>
      <c r="Q176" s="30"/>
      <c r="R176" s="30"/>
      <c r="S176" s="30"/>
      <c r="T176" s="30"/>
      <c r="U176" s="30"/>
      <c r="V176" s="30"/>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row>
    <row r="177" spans="6:60">
      <c r="F177" s="31"/>
      <c r="G177" s="31"/>
      <c r="H177" s="32"/>
      <c r="I177" s="32"/>
      <c r="J177" s="32"/>
      <c r="K177" s="30"/>
      <c r="L177" s="30"/>
      <c r="M177" s="30"/>
      <c r="N177" s="30"/>
      <c r="O177" s="30"/>
      <c r="P177" s="30"/>
      <c r="Q177" s="30"/>
      <c r="R177" s="30"/>
      <c r="S177" s="30"/>
      <c r="T177" s="30"/>
      <c r="U177" s="30"/>
      <c r="V177" s="30"/>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row>
    <row r="178" spans="6:60">
      <c r="F178" s="31"/>
      <c r="G178" s="31"/>
      <c r="H178" s="32"/>
      <c r="I178" s="32"/>
      <c r="J178" s="32"/>
      <c r="K178" s="30"/>
      <c r="L178" s="30"/>
      <c r="M178" s="30"/>
      <c r="N178" s="30"/>
      <c r="O178" s="30"/>
      <c r="P178" s="30"/>
      <c r="Q178" s="30"/>
      <c r="R178" s="30"/>
      <c r="S178" s="30"/>
      <c r="T178" s="30"/>
      <c r="U178" s="30"/>
      <c r="V178" s="30"/>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row>
    <row r="179" spans="6:60">
      <c r="F179" s="31"/>
      <c r="G179" s="31"/>
      <c r="H179" s="32"/>
      <c r="I179" s="32"/>
      <c r="J179" s="32"/>
      <c r="K179" s="30"/>
      <c r="L179" s="30"/>
      <c r="M179" s="30"/>
      <c r="N179" s="30"/>
      <c r="O179" s="30"/>
      <c r="P179" s="30"/>
      <c r="Q179" s="30"/>
      <c r="R179" s="30"/>
      <c r="S179" s="30"/>
      <c r="T179" s="30"/>
      <c r="U179" s="30"/>
      <c r="V179" s="30"/>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row>
    <row r="180" spans="6:60">
      <c r="F180" s="31"/>
      <c r="G180" s="31"/>
      <c r="H180" s="32"/>
      <c r="I180" s="32"/>
      <c r="J180" s="32"/>
      <c r="K180" s="30"/>
      <c r="L180" s="30"/>
      <c r="M180" s="30"/>
      <c r="N180" s="30"/>
      <c r="O180" s="30"/>
      <c r="P180" s="30"/>
      <c r="Q180" s="30"/>
      <c r="R180" s="30"/>
      <c r="S180" s="30"/>
      <c r="T180" s="30"/>
      <c r="U180" s="30"/>
      <c r="V180" s="30"/>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row>
    <row r="181" spans="6:60">
      <c r="F181" s="31"/>
      <c r="G181" s="31"/>
      <c r="H181" s="32"/>
      <c r="I181" s="32"/>
      <c r="J181" s="32"/>
      <c r="K181" s="30"/>
      <c r="L181" s="30"/>
      <c r="M181" s="30"/>
      <c r="N181" s="30"/>
      <c r="O181" s="30"/>
      <c r="P181" s="30"/>
      <c r="Q181" s="30"/>
      <c r="R181" s="30"/>
      <c r="S181" s="30"/>
      <c r="T181" s="30"/>
      <c r="U181" s="30"/>
      <c r="V181" s="30"/>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row>
    <row r="182" spans="6:60">
      <c r="F182" s="31"/>
      <c r="G182" s="31"/>
      <c r="H182" s="32"/>
      <c r="I182" s="32"/>
      <c r="J182" s="32"/>
      <c r="K182" s="30"/>
      <c r="L182" s="30"/>
      <c r="M182" s="30"/>
      <c r="N182" s="30"/>
      <c r="O182" s="30"/>
      <c r="P182" s="30"/>
      <c r="Q182" s="30"/>
      <c r="R182" s="30"/>
      <c r="S182" s="30"/>
      <c r="T182" s="30"/>
      <c r="U182" s="30"/>
      <c r="V182" s="30"/>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row>
    <row r="183" spans="6:60">
      <c r="F183" s="31"/>
      <c r="G183" s="31"/>
      <c r="H183" s="32"/>
      <c r="I183" s="32"/>
      <c r="J183" s="32"/>
      <c r="K183" s="30"/>
      <c r="L183" s="30"/>
      <c r="M183" s="30"/>
      <c r="N183" s="30"/>
      <c r="O183" s="30"/>
      <c r="P183" s="30"/>
      <c r="Q183" s="30"/>
      <c r="R183" s="30"/>
      <c r="S183" s="30"/>
      <c r="T183" s="30"/>
      <c r="U183" s="30"/>
      <c r="V183" s="30"/>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row>
    <row r="184" spans="6:60">
      <c r="F184" s="31"/>
      <c r="G184" s="31"/>
      <c r="H184" s="32"/>
      <c r="I184" s="32"/>
      <c r="J184" s="32"/>
      <c r="K184" s="30"/>
      <c r="L184" s="30"/>
      <c r="M184" s="30"/>
      <c r="N184" s="30"/>
      <c r="O184" s="30"/>
      <c r="P184" s="30"/>
      <c r="Q184" s="30"/>
      <c r="R184" s="30"/>
      <c r="S184" s="30"/>
      <c r="T184" s="30"/>
      <c r="U184" s="30"/>
      <c r="V184" s="30"/>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row>
    <row r="185" spans="6:60">
      <c r="F185" s="31"/>
      <c r="G185" s="31"/>
      <c r="H185" s="32"/>
      <c r="I185" s="32"/>
      <c r="J185" s="32"/>
      <c r="K185" s="30"/>
      <c r="L185" s="30"/>
      <c r="M185" s="30"/>
      <c r="N185" s="30"/>
      <c r="O185" s="30"/>
      <c r="P185" s="30"/>
      <c r="Q185" s="30"/>
      <c r="R185" s="30"/>
      <c r="S185" s="30"/>
      <c r="T185" s="30"/>
      <c r="U185" s="30"/>
      <c r="V185" s="30"/>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row>
    <row r="186" spans="6:60">
      <c r="F186" s="31"/>
      <c r="G186" s="31"/>
      <c r="H186" s="32"/>
      <c r="I186" s="32"/>
      <c r="J186" s="32"/>
      <c r="K186" s="30"/>
      <c r="L186" s="30"/>
      <c r="M186" s="30"/>
      <c r="N186" s="30"/>
      <c r="O186" s="30"/>
      <c r="P186" s="30"/>
      <c r="Q186" s="30"/>
      <c r="R186" s="30"/>
      <c r="S186" s="30"/>
      <c r="T186" s="30"/>
      <c r="U186" s="30"/>
      <c r="V186" s="30"/>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row>
    <row r="187" spans="6:60">
      <c r="F187" s="31"/>
      <c r="G187" s="31"/>
      <c r="H187" s="32"/>
      <c r="I187" s="32"/>
      <c r="J187" s="32"/>
      <c r="K187" s="30"/>
      <c r="L187" s="30"/>
      <c r="M187" s="30"/>
      <c r="N187" s="30"/>
      <c r="O187" s="30"/>
      <c r="P187" s="30"/>
      <c r="Q187" s="30"/>
      <c r="R187" s="30"/>
      <c r="S187" s="30"/>
      <c r="T187" s="30"/>
      <c r="U187" s="30"/>
      <c r="V187" s="30"/>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row>
    <row r="188" spans="6:60">
      <c r="F188" s="31"/>
      <c r="G188" s="31"/>
      <c r="H188" s="32"/>
      <c r="I188" s="32"/>
      <c r="J188" s="32"/>
      <c r="K188" s="30"/>
      <c r="L188" s="30"/>
      <c r="M188" s="30"/>
      <c r="N188" s="30"/>
      <c r="O188" s="30"/>
      <c r="P188" s="30"/>
      <c r="Q188" s="30"/>
      <c r="R188" s="30"/>
      <c r="S188" s="30"/>
      <c r="T188" s="30"/>
      <c r="U188" s="30"/>
      <c r="V188" s="30"/>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row>
    <row r="189" spans="6:60">
      <c r="F189" s="31"/>
      <c r="G189" s="31"/>
      <c r="H189" s="32"/>
      <c r="I189" s="32"/>
      <c r="J189" s="32"/>
      <c r="K189" s="30"/>
      <c r="L189" s="30"/>
      <c r="M189" s="30"/>
      <c r="N189" s="30"/>
      <c r="O189" s="30"/>
      <c r="P189" s="30"/>
      <c r="Q189" s="30"/>
      <c r="R189" s="30"/>
      <c r="S189" s="30"/>
      <c r="T189" s="30"/>
      <c r="U189" s="30"/>
      <c r="V189" s="30"/>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row>
    <row r="190" spans="6:60">
      <c r="F190" s="31"/>
      <c r="G190" s="31"/>
      <c r="H190" s="32"/>
      <c r="I190" s="32"/>
      <c r="J190" s="32"/>
      <c r="K190" s="30"/>
      <c r="L190" s="30"/>
      <c r="M190" s="30"/>
      <c r="N190" s="30"/>
      <c r="O190" s="30"/>
      <c r="P190" s="30"/>
      <c r="Q190" s="30"/>
      <c r="R190" s="30"/>
      <c r="S190" s="30"/>
      <c r="T190" s="30"/>
      <c r="U190" s="30"/>
      <c r="V190" s="30"/>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row>
    <row r="191" spans="6:60">
      <c r="F191" s="31"/>
      <c r="G191" s="31"/>
      <c r="H191" s="32"/>
      <c r="I191" s="32"/>
      <c r="J191" s="32"/>
      <c r="K191" s="30"/>
      <c r="L191" s="30"/>
      <c r="M191" s="30"/>
      <c r="N191" s="30"/>
      <c r="O191" s="30"/>
      <c r="P191" s="30"/>
      <c r="Q191" s="30"/>
      <c r="R191" s="30"/>
      <c r="S191" s="30"/>
      <c r="T191" s="30"/>
      <c r="U191" s="30"/>
      <c r="V191" s="30"/>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row>
    <row r="192" spans="6:60">
      <c r="F192" s="31"/>
      <c r="G192" s="31"/>
      <c r="H192" s="32"/>
      <c r="I192" s="32"/>
      <c r="J192" s="32"/>
      <c r="K192" s="30"/>
      <c r="L192" s="30"/>
      <c r="M192" s="30"/>
      <c r="N192" s="30"/>
      <c r="O192" s="30"/>
      <c r="P192" s="30"/>
      <c r="Q192" s="30"/>
      <c r="R192" s="30"/>
      <c r="S192" s="30"/>
      <c r="T192" s="30"/>
      <c r="U192" s="30"/>
      <c r="V192" s="30"/>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row>
    <row r="193" spans="6:60">
      <c r="F193" s="31"/>
      <c r="G193" s="31"/>
      <c r="H193" s="32"/>
      <c r="I193" s="32"/>
      <c r="J193" s="32"/>
      <c r="K193" s="30"/>
      <c r="L193" s="30"/>
      <c r="M193" s="30"/>
      <c r="N193" s="30"/>
      <c r="O193" s="30"/>
      <c r="P193" s="30"/>
      <c r="Q193" s="30"/>
      <c r="R193" s="30"/>
      <c r="S193" s="30"/>
      <c r="T193" s="30"/>
      <c r="U193" s="30"/>
      <c r="V193" s="30"/>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row>
    <row r="194" spans="6:60">
      <c r="F194" s="31"/>
      <c r="G194" s="31"/>
      <c r="H194" s="32"/>
      <c r="I194" s="32"/>
      <c r="J194" s="32"/>
      <c r="K194" s="30"/>
      <c r="L194" s="30"/>
      <c r="M194" s="30"/>
      <c r="N194" s="30"/>
      <c r="O194" s="30"/>
      <c r="P194" s="30"/>
      <c r="Q194" s="30"/>
      <c r="R194" s="30"/>
      <c r="S194" s="30"/>
      <c r="T194" s="30"/>
      <c r="U194" s="30"/>
      <c r="V194" s="30"/>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row>
    <row r="195" spans="6:60">
      <c r="F195" s="31"/>
      <c r="G195" s="31"/>
      <c r="H195" s="32"/>
      <c r="I195" s="32"/>
      <c r="J195" s="32"/>
      <c r="K195" s="30"/>
      <c r="L195" s="30"/>
      <c r="M195" s="30"/>
      <c r="N195" s="30"/>
      <c r="O195" s="30"/>
      <c r="P195" s="30"/>
      <c r="Q195" s="30"/>
      <c r="R195" s="30"/>
      <c r="S195" s="30"/>
      <c r="T195" s="30"/>
      <c r="U195" s="30"/>
      <c r="V195" s="30"/>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row>
    <row r="196" spans="6:60">
      <c r="F196" s="31"/>
      <c r="G196" s="31"/>
      <c r="H196" s="32"/>
      <c r="I196" s="32"/>
      <c r="J196" s="32"/>
      <c r="K196" s="30"/>
      <c r="L196" s="30"/>
      <c r="M196" s="30"/>
      <c r="N196" s="30"/>
      <c r="O196" s="30"/>
      <c r="P196" s="30"/>
      <c r="Q196" s="30"/>
      <c r="R196" s="30"/>
      <c r="S196" s="30"/>
      <c r="T196" s="30"/>
      <c r="U196" s="30"/>
      <c r="V196" s="30"/>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row>
    <row r="197" spans="6:60">
      <c r="F197" s="31"/>
      <c r="G197" s="31"/>
      <c r="H197" s="32"/>
      <c r="I197" s="32"/>
      <c r="J197" s="32"/>
      <c r="K197" s="30"/>
      <c r="L197" s="30"/>
      <c r="M197" s="30"/>
      <c r="N197" s="30"/>
      <c r="O197" s="30"/>
      <c r="P197" s="30"/>
      <c r="Q197" s="30"/>
      <c r="R197" s="30"/>
      <c r="S197" s="30"/>
      <c r="T197" s="30"/>
      <c r="U197" s="30"/>
      <c r="V197" s="30"/>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row>
    <row r="198" spans="6:60">
      <c r="F198" s="31"/>
      <c r="G198" s="31"/>
      <c r="H198" s="32"/>
      <c r="I198" s="32"/>
      <c r="J198" s="32"/>
      <c r="K198" s="30"/>
      <c r="L198" s="30"/>
      <c r="M198" s="30"/>
      <c r="N198" s="30"/>
      <c r="O198" s="30"/>
      <c r="P198" s="30"/>
      <c r="Q198" s="30"/>
      <c r="R198" s="30"/>
      <c r="S198" s="30"/>
      <c r="T198" s="30"/>
      <c r="U198" s="30"/>
      <c r="V198" s="30"/>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row>
    <row r="199" spans="6:60">
      <c r="F199" s="31"/>
      <c r="G199" s="31"/>
      <c r="H199" s="32"/>
      <c r="I199" s="32"/>
      <c r="J199" s="32"/>
      <c r="K199" s="30"/>
      <c r="L199" s="30"/>
      <c r="M199" s="30"/>
      <c r="N199" s="30"/>
      <c r="O199" s="30"/>
      <c r="P199" s="30"/>
      <c r="Q199" s="30"/>
      <c r="R199" s="30"/>
      <c r="S199" s="30"/>
      <c r="T199" s="30"/>
      <c r="U199" s="30"/>
      <c r="V199" s="30"/>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row>
    <row r="200" spans="6:60">
      <c r="F200" s="31"/>
      <c r="G200" s="31"/>
      <c r="H200" s="32"/>
      <c r="I200" s="32"/>
      <c r="J200" s="32"/>
      <c r="K200" s="30"/>
      <c r="L200" s="30"/>
      <c r="M200" s="30"/>
      <c r="N200" s="30"/>
      <c r="O200" s="30"/>
      <c r="P200" s="30"/>
      <c r="Q200" s="30"/>
      <c r="R200" s="30"/>
      <c r="S200" s="30"/>
      <c r="T200" s="30"/>
      <c r="U200" s="30"/>
      <c r="V200" s="30"/>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row>
    <row r="201" spans="6:60">
      <c r="F201" s="31"/>
      <c r="G201" s="31"/>
      <c r="H201" s="32"/>
      <c r="I201" s="32"/>
      <c r="J201" s="32"/>
      <c r="K201" s="30"/>
      <c r="L201" s="30"/>
      <c r="M201" s="30"/>
      <c r="N201" s="30"/>
      <c r="O201" s="30"/>
      <c r="P201" s="30"/>
      <c r="Q201" s="30"/>
      <c r="R201" s="30"/>
      <c r="S201" s="30"/>
      <c r="T201" s="30"/>
      <c r="U201" s="30"/>
      <c r="V201" s="30"/>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row>
    <row r="202" spans="6:60">
      <c r="F202" s="31"/>
      <c r="G202" s="31"/>
      <c r="H202" s="32"/>
      <c r="I202" s="32"/>
      <c r="J202" s="32"/>
      <c r="K202" s="30"/>
      <c r="L202" s="30"/>
      <c r="M202" s="30"/>
      <c r="N202" s="30"/>
      <c r="O202" s="30"/>
      <c r="P202" s="30"/>
      <c r="Q202" s="30"/>
      <c r="R202" s="30"/>
      <c r="S202" s="30"/>
      <c r="T202" s="30"/>
      <c r="U202" s="30"/>
      <c r="V202" s="30"/>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row>
    <row r="203" spans="6:60">
      <c r="F203" s="31"/>
      <c r="G203" s="31"/>
      <c r="H203" s="32"/>
      <c r="I203" s="32"/>
      <c r="J203" s="32"/>
      <c r="K203" s="30"/>
      <c r="L203" s="30"/>
      <c r="M203" s="30"/>
      <c r="N203" s="30"/>
      <c r="O203" s="30"/>
      <c r="P203" s="30"/>
      <c r="Q203" s="30"/>
      <c r="R203" s="30"/>
      <c r="S203" s="30"/>
      <c r="T203" s="30"/>
      <c r="U203" s="30"/>
      <c r="V203" s="30"/>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row>
    <row r="204" spans="6:60">
      <c r="F204" s="31"/>
      <c r="G204" s="31"/>
      <c r="H204" s="32"/>
      <c r="I204" s="32"/>
      <c r="J204" s="32"/>
      <c r="K204" s="30"/>
      <c r="L204" s="30"/>
      <c r="M204" s="30"/>
      <c r="N204" s="30"/>
      <c r="O204" s="30"/>
      <c r="P204" s="30"/>
      <c r="Q204" s="30"/>
      <c r="R204" s="30"/>
      <c r="S204" s="30"/>
      <c r="T204" s="30"/>
      <c r="U204" s="30"/>
      <c r="V204" s="30"/>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row>
    <row r="205" spans="6:60">
      <c r="F205" s="31"/>
      <c r="G205" s="31"/>
      <c r="H205" s="32"/>
      <c r="I205" s="32"/>
      <c r="J205" s="32"/>
      <c r="K205" s="30"/>
      <c r="L205" s="30"/>
      <c r="M205" s="30"/>
      <c r="N205" s="30"/>
      <c r="O205" s="30"/>
      <c r="P205" s="30"/>
      <c r="Q205" s="30"/>
      <c r="R205" s="30"/>
      <c r="S205" s="30"/>
      <c r="T205" s="30"/>
      <c r="U205" s="30"/>
      <c r="V205" s="30"/>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row>
    <row r="206" spans="6:60">
      <c r="F206" s="31"/>
      <c r="G206" s="31"/>
      <c r="H206" s="32"/>
      <c r="I206" s="32"/>
      <c r="J206" s="32"/>
      <c r="K206" s="30"/>
      <c r="L206" s="30"/>
      <c r="M206" s="30"/>
      <c r="N206" s="30"/>
      <c r="O206" s="30"/>
      <c r="P206" s="30"/>
      <c r="Q206" s="30"/>
      <c r="R206" s="30"/>
      <c r="S206" s="30"/>
      <c r="T206" s="30"/>
      <c r="U206" s="30"/>
      <c r="V206" s="30"/>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row>
    <row r="207" spans="6:60">
      <c r="F207" s="31"/>
      <c r="G207" s="31"/>
      <c r="H207" s="32"/>
      <c r="I207" s="32"/>
      <c r="J207" s="32"/>
      <c r="K207" s="30"/>
      <c r="L207" s="30"/>
      <c r="M207" s="30"/>
      <c r="N207" s="30"/>
      <c r="O207" s="30"/>
      <c r="P207" s="30"/>
      <c r="Q207" s="30"/>
      <c r="R207" s="30"/>
      <c r="S207" s="30"/>
      <c r="T207" s="30"/>
      <c r="U207" s="30"/>
      <c r="V207" s="30"/>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row>
    <row r="208" spans="6:60">
      <c r="F208" s="31"/>
      <c r="G208" s="31"/>
      <c r="H208" s="32"/>
      <c r="I208" s="32"/>
      <c r="J208" s="32"/>
      <c r="K208" s="30"/>
      <c r="L208" s="30"/>
      <c r="M208" s="30"/>
      <c r="N208" s="30"/>
      <c r="O208" s="30"/>
      <c r="P208" s="30"/>
      <c r="Q208" s="30"/>
      <c r="R208" s="30"/>
      <c r="S208" s="30"/>
      <c r="T208" s="30"/>
      <c r="U208" s="30"/>
      <c r="V208" s="30"/>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c r="BG208" s="29"/>
      <c r="BH208" s="29"/>
    </row>
    <row r="209" spans="6:60">
      <c r="F209" s="31"/>
      <c r="G209" s="31"/>
      <c r="H209" s="32"/>
      <c r="I209" s="32"/>
      <c r="J209" s="32"/>
      <c r="K209" s="30"/>
      <c r="L209" s="30"/>
      <c r="M209" s="30"/>
      <c r="N209" s="30"/>
      <c r="O209" s="30"/>
      <c r="P209" s="30"/>
      <c r="Q209" s="30"/>
      <c r="R209" s="30"/>
      <c r="S209" s="30"/>
      <c r="T209" s="30"/>
      <c r="U209" s="30"/>
      <c r="V209" s="30"/>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row>
    <row r="210" spans="6:60">
      <c r="F210" s="31"/>
      <c r="G210" s="31"/>
      <c r="H210" s="32"/>
      <c r="I210" s="32"/>
      <c r="J210" s="32"/>
      <c r="K210" s="30"/>
      <c r="L210" s="30"/>
      <c r="M210" s="30"/>
      <c r="N210" s="30"/>
      <c r="O210" s="30"/>
      <c r="P210" s="30"/>
      <c r="Q210" s="30"/>
      <c r="R210" s="30"/>
      <c r="S210" s="30"/>
      <c r="T210" s="30"/>
      <c r="U210" s="30"/>
      <c r="V210" s="30"/>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row>
    <row r="211" spans="6:60">
      <c r="F211" s="31"/>
      <c r="G211" s="31"/>
      <c r="H211" s="32"/>
      <c r="I211" s="32"/>
      <c r="J211" s="32"/>
      <c r="K211" s="30"/>
      <c r="L211" s="30"/>
      <c r="M211" s="30"/>
      <c r="N211" s="30"/>
      <c r="O211" s="30"/>
      <c r="P211" s="30"/>
      <c r="Q211" s="30"/>
      <c r="R211" s="30"/>
      <c r="S211" s="30"/>
      <c r="T211" s="30"/>
      <c r="U211" s="30"/>
      <c r="V211" s="30"/>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row>
    <row r="212" spans="6:60">
      <c r="F212" s="31"/>
      <c r="G212" s="31"/>
      <c r="H212" s="32"/>
      <c r="I212" s="32"/>
      <c r="J212" s="32"/>
      <c r="K212" s="30"/>
      <c r="L212" s="30"/>
      <c r="M212" s="30"/>
      <c r="N212" s="30"/>
      <c r="O212" s="30"/>
      <c r="P212" s="30"/>
      <c r="Q212" s="30"/>
      <c r="R212" s="30"/>
      <c r="S212" s="30"/>
      <c r="T212" s="30"/>
      <c r="U212" s="30"/>
      <c r="V212" s="30"/>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row>
    <row r="213" spans="6:60">
      <c r="F213" s="31"/>
      <c r="G213" s="31"/>
      <c r="H213" s="32"/>
      <c r="I213" s="32"/>
      <c r="J213" s="32"/>
      <c r="K213" s="30"/>
      <c r="L213" s="30"/>
      <c r="M213" s="30"/>
      <c r="N213" s="30"/>
      <c r="O213" s="30"/>
      <c r="P213" s="30"/>
      <c r="Q213" s="30"/>
      <c r="R213" s="30"/>
      <c r="S213" s="30"/>
      <c r="T213" s="30"/>
      <c r="U213" s="30"/>
      <c r="V213" s="30"/>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row>
    <row r="214" spans="6:60">
      <c r="F214" s="31"/>
      <c r="G214" s="31"/>
      <c r="H214" s="32"/>
      <c r="I214" s="32"/>
      <c r="J214" s="32"/>
      <c r="K214" s="30"/>
      <c r="L214" s="30"/>
      <c r="M214" s="30"/>
      <c r="N214" s="30"/>
      <c r="O214" s="30"/>
      <c r="P214" s="30"/>
      <c r="Q214" s="30"/>
      <c r="R214" s="30"/>
      <c r="S214" s="30"/>
      <c r="T214" s="30"/>
      <c r="U214" s="30"/>
      <c r="V214" s="30"/>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row>
    <row r="215" spans="6:60">
      <c r="F215" s="31"/>
      <c r="G215" s="31"/>
      <c r="H215" s="32"/>
      <c r="I215" s="32"/>
      <c r="J215" s="32"/>
      <c r="K215" s="30"/>
      <c r="L215" s="30"/>
      <c r="M215" s="30"/>
      <c r="N215" s="30"/>
      <c r="O215" s="30"/>
      <c r="P215" s="30"/>
      <c r="Q215" s="30"/>
      <c r="R215" s="30"/>
      <c r="S215" s="30"/>
      <c r="T215" s="30"/>
      <c r="U215" s="30"/>
      <c r="V215" s="30"/>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row>
    <row r="216" spans="6:60">
      <c r="F216" s="31"/>
      <c r="G216" s="31"/>
      <c r="H216" s="32"/>
      <c r="I216" s="32"/>
      <c r="J216" s="32"/>
      <c r="K216" s="30"/>
      <c r="L216" s="30"/>
      <c r="M216" s="30"/>
      <c r="N216" s="30"/>
      <c r="O216" s="30"/>
      <c r="P216" s="30"/>
      <c r="Q216" s="30"/>
      <c r="R216" s="30"/>
      <c r="S216" s="30"/>
      <c r="T216" s="30"/>
      <c r="U216" s="30"/>
      <c r="V216" s="30"/>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row>
    <row r="217" spans="6:60">
      <c r="F217" s="31"/>
      <c r="G217" s="31"/>
      <c r="H217" s="32"/>
      <c r="I217" s="32"/>
      <c r="J217" s="32"/>
      <c r="K217" s="30"/>
      <c r="L217" s="30"/>
      <c r="M217" s="30"/>
      <c r="N217" s="30"/>
      <c r="O217" s="30"/>
      <c r="P217" s="30"/>
      <c r="Q217" s="30"/>
      <c r="R217" s="30"/>
      <c r="S217" s="30"/>
      <c r="T217" s="30"/>
      <c r="U217" s="30"/>
      <c r="V217" s="30"/>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row>
    <row r="218" spans="6:60">
      <c r="F218" s="31"/>
      <c r="G218" s="31"/>
      <c r="H218" s="32"/>
      <c r="I218" s="32"/>
      <c r="J218" s="32"/>
      <c r="K218" s="30"/>
      <c r="L218" s="30"/>
      <c r="M218" s="30"/>
      <c r="N218" s="30"/>
      <c r="O218" s="30"/>
      <c r="P218" s="30"/>
      <c r="Q218" s="30"/>
      <c r="R218" s="30"/>
      <c r="S218" s="30"/>
      <c r="T218" s="30"/>
      <c r="U218" s="30"/>
      <c r="V218" s="30"/>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row>
    <row r="219" spans="6:60">
      <c r="F219" s="31"/>
      <c r="G219" s="31"/>
      <c r="H219" s="32"/>
      <c r="I219" s="32"/>
      <c r="J219" s="32"/>
      <c r="K219" s="30"/>
      <c r="L219" s="30"/>
      <c r="M219" s="30"/>
      <c r="N219" s="30"/>
      <c r="O219" s="30"/>
      <c r="P219" s="30"/>
      <c r="Q219" s="30"/>
      <c r="R219" s="30"/>
      <c r="S219" s="30"/>
      <c r="T219" s="30"/>
      <c r="U219" s="30"/>
      <c r="V219" s="30"/>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row>
    <row r="220" spans="6:60">
      <c r="F220" s="31"/>
      <c r="G220" s="31"/>
      <c r="H220" s="32"/>
      <c r="I220" s="32"/>
      <c r="J220" s="32"/>
      <c r="K220" s="30"/>
      <c r="L220" s="30"/>
      <c r="M220" s="30"/>
      <c r="N220" s="30"/>
      <c r="O220" s="30"/>
      <c r="P220" s="30"/>
      <c r="Q220" s="30"/>
      <c r="R220" s="30"/>
      <c r="S220" s="30"/>
      <c r="T220" s="30"/>
      <c r="U220" s="30"/>
      <c r="V220" s="30"/>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row>
    <row r="221" spans="6:60">
      <c r="F221" s="31"/>
      <c r="G221" s="31"/>
      <c r="H221" s="32"/>
      <c r="I221" s="32"/>
      <c r="J221" s="32"/>
      <c r="K221" s="30"/>
      <c r="L221" s="30"/>
      <c r="M221" s="30"/>
      <c r="N221" s="30"/>
      <c r="O221" s="30"/>
      <c r="P221" s="30"/>
      <c r="Q221" s="30"/>
      <c r="R221" s="30"/>
      <c r="S221" s="30"/>
      <c r="T221" s="30"/>
      <c r="U221" s="30"/>
      <c r="V221" s="30"/>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row>
    <row r="222" spans="6:60">
      <c r="F222" s="31"/>
      <c r="G222" s="31"/>
      <c r="H222" s="32"/>
      <c r="I222" s="32"/>
      <c r="J222" s="32"/>
      <c r="K222" s="30"/>
      <c r="L222" s="30"/>
      <c r="M222" s="30"/>
      <c r="N222" s="30"/>
      <c r="O222" s="30"/>
      <c r="P222" s="30"/>
      <c r="Q222" s="30"/>
      <c r="R222" s="30"/>
      <c r="S222" s="30"/>
      <c r="T222" s="30"/>
      <c r="U222" s="30"/>
      <c r="V222" s="30"/>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row>
    <row r="223" spans="6:60">
      <c r="F223" s="31"/>
      <c r="G223" s="31"/>
      <c r="H223" s="32"/>
      <c r="I223" s="32"/>
      <c r="J223" s="32"/>
      <c r="K223" s="30"/>
      <c r="L223" s="30"/>
      <c r="M223" s="30"/>
      <c r="N223" s="30"/>
      <c r="O223" s="30"/>
      <c r="P223" s="30"/>
      <c r="Q223" s="30"/>
      <c r="R223" s="30"/>
      <c r="S223" s="30"/>
      <c r="T223" s="30"/>
      <c r="U223" s="30"/>
      <c r="V223" s="30"/>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row>
    <row r="224" spans="6:60">
      <c r="F224" s="31"/>
      <c r="G224" s="31"/>
      <c r="H224" s="32"/>
      <c r="I224" s="32"/>
      <c r="J224" s="32"/>
      <c r="K224" s="30"/>
      <c r="L224" s="30"/>
      <c r="M224" s="30"/>
      <c r="N224" s="30"/>
      <c r="O224" s="30"/>
      <c r="P224" s="30"/>
      <c r="Q224" s="30"/>
      <c r="R224" s="30"/>
      <c r="S224" s="30"/>
      <c r="T224" s="30"/>
      <c r="U224" s="30"/>
      <c r="V224" s="30"/>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row>
    <row r="225" spans="6:60">
      <c r="F225" s="31"/>
      <c r="G225" s="31"/>
      <c r="H225" s="32"/>
      <c r="I225" s="32"/>
      <c r="J225" s="32"/>
      <c r="K225" s="30"/>
      <c r="L225" s="30"/>
      <c r="M225" s="30"/>
      <c r="N225" s="30"/>
      <c r="O225" s="30"/>
      <c r="P225" s="30"/>
      <c r="Q225" s="30"/>
      <c r="R225" s="30"/>
      <c r="S225" s="30"/>
      <c r="T225" s="30"/>
      <c r="U225" s="30"/>
      <c r="V225" s="30"/>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row>
    <row r="226" spans="6:60">
      <c r="F226" s="31"/>
      <c r="G226" s="31"/>
      <c r="H226" s="32"/>
      <c r="I226" s="32"/>
      <c r="J226" s="32"/>
      <c r="K226" s="30"/>
      <c r="L226" s="30"/>
      <c r="M226" s="30"/>
      <c r="N226" s="30"/>
      <c r="O226" s="30"/>
      <c r="P226" s="30"/>
      <c r="Q226" s="30"/>
      <c r="R226" s="30"/>
      <c r="S226" s="30"/>
      <c r="T226" s="30"/>
      <c r="U226" s="30"/>
      <c r="V226" s="30"/>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row>
    <row r="227" spans="6:60">
      <c r="F227" s="31"/>
      <c r="G227" s="31"/>
      <c r="H227" s="32"/>
      <c r="I227" s="32"/>
      <c r="J227" s="32"/>
      <c r="K227" s="30"/>
      <c r="L227" s="30"/>
      <c r="M227" s="30"/>
      <c r="N227" s="30"/>
      <c r="O227" s="30"/>
      <c r="P227" s="30"/>
      <c r="Q227" s="30"/>
      <c r="R227" s="30"/>
      <c r="S227" s="30"/>
      <c r="T227" s="30"/>
      <c r="U227" s="30"/>
      <c r="V227" s="30"/>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row>
    <row r="228" spans="6:60">
      <c r="F228" s="31"/>
      <c r="G228" s="31"/>
      <c r="H228" s="32"/>
      <c r="I228" s="32"/>
      <c r="J228" s="32"/>
      <c r="K228" s="30"/>
      <c r="L228" s="30"/>
      <c r="M228" s="30"/>
      <c r="N228" s="30"/>
      <c r="O228" s="30"/>
      <c r="P228" s="30"/>
      <c r="Q228" s="30"/>
      <c r="R228" s="30"/>
      <c r="S228" s="30"/>
      <c r="T228" s="30"/>
      <c r="U228" s="30"/>
      <c r="V228" s="30"/>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row>
    <row r="229" spans="6:60">
      <c r="F229" s="31"/>
      <c r="G229" s="31"/>
      <c r="H229" s="32"/>
      <c r="I229" s="32"/>
      <c r="J229" s="32"/>
      <c r="K229" s="30"/>
      <c r="L229" s="30"/>
      <c r="M229" s="30"/>
      <c r="N229" s="30"/>
      <c r="O229" s="30"/>
      <c r="P229" s="30"/>
      <c r="Q229" s="30"/>
      <c r="R229" s="30"/>
      <c r="S229" s="30"/>
      <c r="T229" s="30"/>
      <c r="U229" s="30"/>
      <c r="V229" s="30"/>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row>
    <row r="230" spans="6:60">
      <c r="F230" s="31"/>
      <c r="G230" s="31"/>
      <c r="H230" s="32"/>
      <c r="I230" s="32"/>
      <c r="J230" s="32"/>
      <c r="K230" s="30"/>
      <c r="L230" s="30"/>
      <c r="M230" s="30"/>
      <c r="N230" s="30"/>
      <c r="O230" s="30"/>
      <c r="P230" s="30"/>
      <c r="Q230" s="30"/>
      <c r="R230" s="30"/>
      <c r="S230" s="30"/>
      <c r="T230" s="30"/>
      <c r="U230" s="30"/>
      <c r="V230" s="30"/>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row>
    <row r="231" spans="6:60">
      <c r="F231" s="31"/>
      <c r="G231" s="31"/>
      <c r="H231" s="32"/>
      <c r="I231" s="32"/>
      <c r="J231" s="32"/>
      <c r="K231" s="30"/>
      <c r="L231" s="30"/>
      <c r="M231" s="30"/>
      <c r="N231" s="30"/>
      <c r="O231" s="30"/>
      <c r="P231" s="30"/>
      <c r="Q231" s="30"/>
      <c r="R231" s="30"/>
      <c r="S231" s="30"/>
      <c r="T231" s="30"/>
      <c r="U231" s="30"/>
      <c r="V231" s="30"/>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row>
    <row r="232" spans="6:60">
      <c r="F232" s="31"/>
      <c r="G232" s="31"/>
      <c r="H232" s="32"/>
      <c r="I232" s="32"/>
      <c r="J232" s="32"/>
      <c r="K232" s="30"/>
      <c r="L232" s="30"/>
      <c r="M232" s="30"/>
      <c r="N232" s="30"/>
      <c r="O232" s="30"/>
      <c r="P232" s="30"/>
      <c r="Q232" s="30"/>
      <c r="R232" s="30"/>
      <c r="S232" s="30"/>
      <c r="T232" s="30"/>
      <c r="U232" s="30"/>
      <c r="V232" s="30"/>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row>
    <row r="233" spans="6:60">
      <c r="F233" s="31"/>
      <c r="G233" s="31"/>
      <c r="H233" s="32"/>
      <c r="I233" s="32"/>
      <c r="J233" s="32"/>
      <c r="K233" s="30"/>
      <c r="L233" s="30"/>
      <c r="M233" s="30"/>
      <c r="N233" s="30"/>
      <c r="O233" s="30"/>
      <c r="P233" s="30"/>
      <c r="Q233" s="30"/>
      <c r="R233" s="30"/>
      <c r="S233" s="30"/>
      <c r="T233" s="30"/>
      <c r="U233" s="30"/>
      <c r="V233" s="30"/>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row>
    <row r="234" spans="6:60">
      <c r="F234" s="31"/>
      <c r="G234" s="31"/>
      <c r="H234" s="32"/>
      <c r="I234" s="32"/>
      <c r="J234" s="32"/>
      <c r="K234" s="30"/>
      <c r="L234" s="30"/>
      <c r="M234" s="30"/>
      <c r="N234" s="30"/>
      <c r="O234" s="30"/>
      <c r="P234" s="30"/>
      <c r="Q234" s="30"/>
      <c r="R234" s="30"/>
      <c r="S234" s="30"/>
      <c r="T234" s="30"/>
      <c r="U234" s="30"/>
      <c r="V234" s="30"/>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row>
    <row r="235" spans="6:60">
      <c r="F235" s="31"/>
      <c r="G235" s="31"/>
      <c r="H235" s="32"/>
      <c r="I235" s="32"/>
      <c r="J235" s="32"/>
      <c r="K235" s="30"/>
      <c r="L235" s="30"/>
      <c r="M235" s="30"/>
      <c r="N235" s="30"/>
      <c r="O235" s="30"/>
      <c r="P235" s="30"/>
      <c r="Q235" s="30"/>
      <c r="R235" s="30"/>
      <c r="S235" s="30"/>
      <c r="T235" s="30"/>
      <c r="U235" s="30"/>
      <c r="V235" s="30"/>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row>
    <row r="236" spans="6:60">
      <c r="F236" s="31"/>
      <c r="G236" s="31"/>
      <c r="H236" s="32"/>
      <c r="I236" s="32"/>
      <c r="J236" s="32"/>
      <c r="K236" s="30"/>
      <c r="L236" s="30"/>
      <c r="M236" s="30"/>
      <c r="N236" s="30"/>
      <c r="O236" s="30"/>
      <c r="P236" s="30"/>
      <c r="Q236" s="30"/>
      <c r="R236" s="30"/>
      <c r="S236" s="30"/>
      <c r="T236" s="30"/>
      <c r="U236" s="30"/>
      <c r="V236" s="30"/>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row>
    <row r="237" spans="6:60">
      <c r="F237" s="31"/>
      <c r="G237" s="31"/>
      <c r="H237" s="32"/>
      <c r="I237" s="32"/>
      <c r="J237" s="32"/>
      <c r="K237" s="30"/>
      <c r="L237" s="30"/>
      <c r="M237" s="30"/>
      <c r="N237" s="30"/>
      <c r="O237" s="30"/>
      <c r="P237" s="30"/>
      <c r="Q237" s="30"/>
      <c r="R237" s="30"/>
      <c r="S237" s="30"/>
      <c r="T237" s="30"/>
      <c r="U237" s="30"/>
      <c r="V237" s="30"/>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row>
    <row r="238" spans="6:60">
      <c r="F238" s="31"/>
      <c r="G238" s="31"/>
      <c r="H238" s="32"/>
      <c r="I238" s="32"/>
      <c r="J238" s="32"/>
      <c r="K238" s="30"/>
      <c r="L238" s="30"/>
      <c r="M238" s="30"/>
      <c r="N238" s="30"/>
      <c r="O238" s="30"/>
      <c r="P238" s="30"/>
      <c r="Q238" s="30"/>
      <c r="R238" s="30"/>
      <c r="S238" s="30"/>
      <c r="T238" s="30"/>
      <c r="U238" s="30"/>
      <c r="V238" s="30"/>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row>
    <row r="239" spans="6:60">
      <c r="F239" s="31"/>
      <c r="G239" s="31"/>
      <c r="H239" s="32"/>
      <c r="I239" s="32"/>
      <c r="J239" s="32"/>
      <c r="K239" s="30"/>
      <c r="L239" s="30"/>
      <c r="M239" s="30"/>
      <c r="N239" s="30"/>
      <c r="O239" s="30"/>
      <c r="P239" s="30"/>
      <c r="Q239" s="30"/>
      <c r="R239" s="30"/>
      <c r="S239" s="30"/>
      <c r="T239" s="30"/>
      <c r="U239" s="30"/>
      <c r="V239" s="30"/>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row>
    <row r="240" spans="6:60">
      <c r="F240" s="31"/>
      <c r="G240" s="31"/>
      <c r="H240" s="32"/>
      <c r="I240" s="32"/>
      <c r="J240" s="32"/>
      <c r="K240" s="30"/>
      <c r="L240" s="30"/>
      <c r="M240" s="30"/>
      <c r="N240" s="30"/>
      <c r="O240" s="30"/>
      <c r="P240" s="30"/>
      <c r="Q240" s="30"/>
      <c r="R240" s="30"/>
      <c r="S240" s="30"/>
      <c r="T240" s="30"/>
      <c r="U240" s="30"/>
      <c r="V240" s="30"/>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row>
    <row r="241" spans="6:60">
      <c r="F241" s="31"/>
      <c r="G241" s="31"/>
      <c r="H241" s="32"/>
      <c r="I241" s="32"/>
      <c r="J241" s="32"/>
      <c r="K241" s="30"/>
      <c r="L241" s="30"/>
      <c r="M241" s="30"/>
      <c r="N241" s="30"/>
      <c r="O241" s="30"/>
      <c r="P241" s="30"/>
      <c r="Q241" s="30"/>
      <c r="R241" s="30"/>
      <c r="S241" s="30"/>
      <c r="T241" s="30"/>
      <c r="U241" s="30"/>
      <c r="V241" s="30"/>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row>
    <row r="242" spans="6:60">
      <c r="F242" s="31"/>
      <c r="G242" s="31"/>
      <c r="H242" s="32"/>
      <c r="I242" s="32"/>
      <c r="J242" s="32"/>
      <c r="K242" s="30"/>
      <c r="L242" s="30"/>
      <c r="M242" s="30"/>
      <c r="N242" s="30"/>
      <c r="O242" s="30"/>
      <c r="P242" s="30"/>
      <c r="Q242" s="30"/>
      <c r="R242" s="30"/>
      <c r="S242" s="30"/>
      <c r="T242" s="30"/>
      <c r="U242" s="30"/>
      <c r="V242" s="30"/>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row>
    <row r="243" spans="6:60">
      <c r="F243" s="31"/>
      <c r="G243" s="31"/>
      <c r="H243" s="32"/>
      <c r="I243" s="32"/>
      <c r="J243" s="32"/>
      <c r="K243" s="30"/>
      <c r="L243" s="30"/>
      <c r="M243" s="30"/>
      <c r="N243" s="30"/>
      <c r="O243" s="30"/>
      <c r="P243" s="30"/>
      <c r="Q243" s="30"/>
      <c r="R243" s="30"/>
      <c r="S243" s="30"/>
      <c r="T243" s="30"/>
      <c r="U243" s="30"/>
      <c r="V243" s="30"/>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row>
    <row r="244" spans="6:60">
      <c r="F244" s="31"/>
      <c r="G244" s="31"/>
      <c r="H244" s="32"/>
      <c r="I244" s="32"/>
      <c r="J244" s="32"/>
      <c r="K244" s="30"/>
      <c r="L244" s="30"/>
      <c r="M244" s="30"/>
      <c r="N244" s="30"/>
      <c r="O244" s="30"/>
      <c r="P244" s="30"/>
      <c r="Q244" s="30"/>
      <c r="R244" s="30"/>
      <c r="S244" s="30"/>
      <c r="T244" s="30"/>
      <c r="U244" s="30"/>
      <c r="V244" s="30"/>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row>
    <row r="245" spans="6:60">
      <c r="F245" s="31"/>
      <c r="G245" s="31"/>
      <c r="H245" s="32"/>
      <c r="I245" s="32"/>
      <c r="J245" s="32"/>
      <c r="K245" s="30"/>
      <c r="L245" s="30"/>
      <c r="M245" s="30"/>
      <c r="N245" s="30"/>
      <c r="O245" s="30"/>
      <c r="P245" s="30"/>
      <c r="Q245" s="30"/>
      <c r="R245" s="30"/>
      <c r="S245" s="30"/>
      <c r="T245" s="30"/>
      <c r="U245" s="30"/>
      <c r="V245" s="30"/>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row>
    <row r="246" spans="6:60">
      <c r="F246" s="31"/>
      <c r="G246" s="31"/>
      <c r="H246" s="32"/>
      <c r="I246" s="32"/>
      <c r="J246" s="32"/>
      <c r="K246" s="30"/>
      <c r="L246" s="30"/>
      <c r="M246" s="30"/>
      <c r="N246" s="30"/>
      <c r="O246" s="30"/>
      <c r="P246" s="30"/>
      <c r="Q246" s="30"/>
      <c r="R246" s="30"/>
      <c r="S246" s="30"/>
      <c r="T246" s="30"/>
      <c r="U246" s="30"/>
      <c r="V246" s="30"/>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row>
    <row r="247" spans="6:60">
      <c r="F247" s="31"/>
      <c r="G247" s="31"/>
      <c r="H247" s="32"/>
      <c r="I247" s="32"/>
      <c r="J247" s="32"/>
      <c r="K247" s="30"/>
      <c r="L247" s="30"/>
      <c r="M247" s="30"/>
      <c r="N247" s="30"/>
      <c r="O247" s="30"/>
      <c r="P247" s="30"/>
      <c r="Q247" s="30"/>
      <c r="R247" s="30"/>
      <c r="S247" s="30"/>
      <c r="T247" s="30"/>
      <c r="U247" s="30"/>
      <c r="V247" s="30"/>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row>
    <row r="248" spans="6:60">
      <c r="F248" s="31"/>
      <c r="G248" s="31"/>
      <c r="H248" s="32"/>
      <c r="I248" s="32"/>
      <c r="J248" s="32"/>
      <c r="K248" s="30"/>
      <c r="L248" s="30"/>
      <c r="M248" s="30"/>
      <c r="N248" s="30"/>
      <c r="O248" s="30"/>
      <c r="P248" s="30"/>
      <c r="Q248" s="30"/>
      <c r="R248" s="30"/>
      <c r="S248" s="30"/>
      <c r="T248" s="30"/>
      <c r="U248" s="30"/>
      <c r="V248" s="30"/>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row>
    <row r="249" spans="6:60">
      <c r="F249" s="31"/>
      <c r="G249" s="31"/>
      <c r="H249" s="32"/>
      <c r="I249" s="32"/>
      <c r="J249" s="32"/>
      <c r="K249" s="30"/>
      <c r="L249" s="30"/>
      <c r="M249" s="30"/>
      <c r="N249" s="30"/>
      <c r="O249" s="30"/>
      <c r="P249" s="30"/>
      <c r="Q249" s="30"/>
      <c r="R249" s="30"/>
      <c r="S249" s="30"/>
      <c r="T249" s="30"/>
      <c r="U249" s="30"/>
      <c r="V249" s="30"/>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row>
    <row r="250" spans="6:60">
      <c r="F250" s="31"/>
      <c r="G250" s="31"/>
      <c r="H250" s="32"/>
      <c r="I250" s="32"/>
      <c r="J250" s="32"/>
      <c r="K250" s="30"/>
      <c r="L250" s="30"/>
      <c r="M250" s="30"/>
      <c r="N250" s="30"/>
      <c r="O250" s="30"/>
      <c r="P250" s="30"/>
      <c r="Q250" s="30"/>
      <c r="R250" s="30"/>
      <c r="S250" s="30"/>
      <c r="T250" s="30"/>
      <c r="U250" s="30"/>
      <c r="V250" s="30"/>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row>
    <row r="251" spans="6:60">
      <c r="F251" s="31"/>
      <c r="G251" s="31"/>
      <c r="H251" s="32"/>
      <c r="I251" s="32"/>
      <c r="J251" s="32"/>
      <c r="K251" s="30"/>
      <c r="L251" s="30"/>
      <c r="M251" s="30"/>
      <c r="N251" s="30"/>
      <c r="O251" s="30"/>
      <c r="P251" s="30"/>
      <c r="Q251" s="30"/>
      <c r="R251" s="30"/>
      <c r="S251" s="30"/>
      <c r="T251" s="30"/>
      <c r="U251" s="30"/>
      <c r="V251" s="30"/>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row>
    <row r="252" spans="6:60">
      <c r="F252" s="31"/>
      <c r="G252" s="31"/>
      <c r="H252" s="32"/>
      <c r="I252" s="32"/>
      <c r="J252" s="32"/>
      <c r="K252" s="30"/>
      <c r="L252" s="30"/>
      <c r="M252" s="30"/>
      <c r="N252" s="30"/>
      <c r="O252" s="30"/>
      <c r="P252" s="30"/>
      <c r="Q252" s="30"/>
      <c r="R252" s="30"/>
      <c r="S252" s="30"/>
      <c r="T252" s="30"/>
      <c r="U252" s="30"/>
      <c r="V252" s="30"/>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row>
    <row r="253" spans="6:60">
      <c r="F253" s="31"/>
      <c r="G253" s="31"/>
      <c r="H253" s="32"/>
      <c r="I253" s="32"/>
      <c r="J253" s="32"/>
      <c r="K253" s="30"/>
      <c r="L253" s="30"/>
      <c r="M253" s="30"/>
      <c r="N253" s="30"/>
      <c r="O253" s="30"/>
      <c r="P253" s="30"/>
      <c r="Q253" s="30"/>
      <c r="R253" s="30"/>
      <c r="S253" s="30"/>
      <c r="T253" s="30"/>
      <c r="U253" s="30"/>
      <c r="V253" s="30"/>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row>
    <row r="254" spans="6:60">
      <c r="F254" s="31"/>
      <c r="G254" s="31"/>
      <c r="H254" s="32"/>
      <c r="I254" s="32"/>
      <c r="J254" s="32"/>
      <c r="K254" s="30"/>
      <c r="L254" s="30"/>
      <c r="M254" s="30"/>
      <c r="N254" s="30"/>
      <c r="O254" s="30"/>
      <c r="P254" s="30"/>
      <c r="Q254" s="30"/>
      <c r="R254" s="30"/>
      <c r="S254" s="30"/>
      <c r="T254" s="30"/>
      <c r="U254" s="30"/>
      <c r="V254" s="30"/>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row>
    <row r="255" spans="6:60">
      <c r="F255" s="31"/>
      <c r="G255" s="31"/>
      <c r="H255" s="32"/>
      <c r="I255" s="32"/>
      <c r="J255" s="32"/>
      <c r="K255" s="30"/>
      <c r="L255" s="30"/>
      <c r="M255" s="30"/>
      <c r="N255" s="30"/>
      <c r="O255" s="30"/>
      <c r="P255" s="30"/>
      <c r="Q255" s="30"/>
      <c r="R255" s="30"/>
      <c r="S255" s="30"/>
      <c r="T255" s="30"/>
      <c r="U255" s="30"/>
      <c r="V255" s="30"/>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row>
    <row r="256" spans="6:60">
      <c r="F256" s="31"/>
      <c r="G256" s="31"/>
      <c r="H256" s="32"/>
      <c r="I256" s="32"/>
      <c r="J256" s="32"/>
      <c r="K256" s="30"/>
      <c r="L256" s="30"/>
      <c r="M256" s="30"/>
      <c r="N256" s="30"/>
      <c r="O256" s="30"/>
      <c r="P256" s="30"/>
      <c r="Q256" s="30"/>
      <c r="R256" s="30"/>
      <c r="S256" s="30"/>
      <c r="T256" s="30"/>
      <c r="U256" s="30"/>
      <c r="V256" s="30"/>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row>
    <row r="257" spans="6:60">
      <c r="F257" s="31"/>
      <c r="G257" s="31"/>
      <c r="H257" s="32"/>
      <c r="I257" s="32"/>
      <c r="J257" s="32"/>
      <c r="K257" s="30"/>
      <c r="L257" s="30"/>
      <c r="M257" s="30"/>
      <c r="N257" s="30"/>
      <c r="O257" s="30"/>
      <c r="P257" s="30"/>
      <c r="Q257" s="30"/>
      <c r="R257" s="30"/>
      <c r="S257" s="30"/>
      <c r="T257" s="30"/>
      <c r="U257" s="30"/>
      <c r="V257" s="30"/>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row>
    <row r="258" spans="6:60">
      <c r="F258" s="31"/>
      <c r="G258" s="31"/>
      <c r="H258" s="32"/>
      <c r="I258" s="32"/>
      <c r="J258" s="32"/>
      <c r="K258" s="30"/>
      <c r="L258" s="30"/>
      <c r="M258" s="30"/>
      <c r="N258" s="30"/>
      <c r="O258" s="30"/>
      <c r="P258" s="30"/>
      <c r="Q258" s="30"/>
      <c r="R258" s="30"/>
      <c r="S258" s="30"/>
      <c r="T258" s="30"/>
      <c r="U258" s="30"/>
      <c r="V258" s="30"/>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row>
    <row r="259" spans="6:60">
      <c r="F259" s="31"/>
      <c r="G259" s="31"/>
      <c r="H259" s="32"/>
      <c r="I259" s="32"/>
      <c r="J259" s="32"/>
      <c r="K259" s="30"/>
      <c r="L259" s="30"/>
      <c r="M259" s="30"/>
      <c r="N259" s="30"/>
      <c r="O259" s="30"/>
      <c r="P259" s="30"/>
      <c r="Q259" s="30"/>
      <c r="R259" s="30"/>
      <c r="S259" s="30"/>
      <c r="T259" s="30"/>
      <c r="U259" s="30"/>
      <c r="V259" s="30"/>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row>
    <row r="260" spans="6:60">
      <c r="F260" s="31"/>
      <c r="G260" s="31"/>
      <c r="H260" s="32"/>
      <c r="I260" s="32"/>
      <c r="J260" s="32"/>
      <c r="K260" s="30"/>
      <c r="L260" s="30"/>
      <c r="M260" s="30"/>
      <c r="N260" s="30"/>
      <c r="O260" s="30"/>
      <c r="P260" s="30"/>
      <c r="Q260" s="30"/>
      <c r="R260" s="30"/>
      <c r="S260" s="30"/>
      <c r="T260" s="30"/>
      <c r="U260" s="30"/>
      <c r="V260" s="30"/>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c r="BG260" s="29"/>
      <c r="BH260" s="29"/>
    </row>
    <row r="261" spans="6:60">
      <c r="F261" s="31"/>
      <c r="G261" s="31"/>
      <c r="H261" s="32"/>
      <c r="I261" s="32"/>
      <c r="J261" s="32"/>
      <c r="K261" s="30"/>
      <c r="L261" s="30"/>
      <c r="M261" s="30"/>
      <c r="N261" s="30"/>
      <c r="O261" s="30"/>
      <c r="P261" s="30"/>
      <c r="Q261" s="30"/>
      <c r="R261" s="30"/>
      <c r="S261" s="30"/>
      <c r="T261" s="30"/>
      <c r="U261" s="30"/>
      <c r="V261" s="30"/>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row>
    <row r="262" spans="6:60">
      <c r="F262" s="31"/>
      <c r="G262" s="31"/>
      <c r="H262" s="32"/>
      <c r="I262" s="32"/>
      <c r="J262" s="32"/>
      <c r="K262" s="30"/>
      <c r="L262" s="30"/>
      <c r="M262" s="30"/>
      <c r="N262" s="30"/>
      <c r="O262" s="30"/>
      <c r="P262" s="30"/>
      <c r="Q262" s="30"/>
      <c r="R262" s="30"/>
      <c r="S262" s="30"/>
      <c r="T262" s="30"/>
      <c r="U262" s="30"/>
      <c r="V262" s="30"/>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row>
    <row r="263" spans="6:60">
      <c r="F263" s="31"/>
      <c r="G263" s="31"/>
      <c r="H263" s="32"/>
      <c r="I263" s="32"/>
      <c r="J263" s="32"/>
      <c r="K263" s="30"/>
      <c r="L263" s="30"/>
      <c r="M263" s="30"/>
      <c r="N263" s="30"/>
      <c r="O263" s="30"/>
      <c r="P263" s="30"/>
      <c r="Q263" s="30"/>
      <c r="R263" s="30"/>
      <c r="S263" s="30"/>
      <c r="T263" s="30"/>
      <c r="U263" s="30"/>
      <c r="V263" s="30"/>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row>
    <row r="264" spans="6:60">
      <c r="F264" s="31"/>
      <c r="G264" s="31"/>
      <c r="H264" s="32"/>
      <c r="I264" s="32"/>
      <c r="J264" s="32"/>
      <c r="K264" s="30"/>
      <c r="L264" s="30"/>
      <c r="M264" s="30"/>
      <c r="N264" s="30"/>
      <c r="O264" s="30"/>
      <c r="P264" s="30"/>
      <c r="Q264" s="30"/>
      <c r="R264" s="30"/>
      <c r="S264" s="30"/>
      <c r="T264" s="30"/>
      <c r="U264" s="30"/>
      <c r="V264" s="30"/>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c r="BC264" s="29"/>
      <c r="BD264" s="29"/>
      <c r="BE264" s="29"/>
      <c r="BF264" s="29"/>
      <c r="BG264" s="29"/>
      <c r="BH264" s="29"/>
    </row>
    <row r="265" spans="6:60">
      <c r="F265" s="31"/>
      <c r="G265" s="31"/>
      <c r="H265" s="32"/>
      <c r="I265" s="32"/>
      <c r="J265" s="32"/>
      <c r="K265" s="30"/>
      <c r="L265" s="30"/>
      <c r="M265" s="30"/>
      <c r="N265" s="30"/>
      <c r="O265" s="30"/>
      <c r="P265" s="30"/>
      <c r="Q265" s="30"/>
      <c r="R265" s="30"/>
      <c r="S265" s="30"/>
      <c r="T265" s="30"/>
      <c r="U265" s="30"/>
      <c r="V265" s="30"/>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row>
    <row r="266" spans="6:60">
      <c r="F266" s="31"/>
      <c r="G266" s="31"/>
      <c r="H266" s="32"/>
      <c r="I266" s="32"/>
      <c r="J266" s="32"/>
      <c r="K266" s="30"/>
      <c r="L266" s="30"/>
      <c r="M266" s="30"/>
      <c r="N266" s="30"/>
      <c r="O266" s="30"/>
      <c r="P266" s="30"/>
      <c r="Q266" s="30"/>
      <c r="R266" s="30"/>
      <c r="S266" s="30"/>
      <c r="T266" s="30"/>
      <c r="U266" s="30"/>
      <c r="V266" s="30"/>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row>
    <row r="267" spans="6:60">
      <c r="F267" s="31"/>
      <c r="G267" s="31"/>
      <c r="H267" s="32"/>
      <c r="I267" s="32"/>
      <c r="J267" s="32"/>
      <c r="K267" s="30"/>
      <c r="L267" s="30"/>
      <c r="M267" s="30"/>
      <c r="N267" s="30"/>
      <c r="O267" s="30"/>
      <c r="P267" s="30"/>
      <c r="Q267" s="30"/>
      <c r="R267" s="30"/>
      <c r="S267" s="30"/>
      <c r="T267" s="30"/>
      <c r="U267" s="30"/>
      <c r="V267" s="30"/>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row>
    <row r="268" spans="6:60">
      <c r="F268" s="31"/>
      <c r="G268" s="31"/>
      <c r="H268" s="32"/>
      <c r="I268" s="32"/>
      <c r="J268" s="32"/>
      <c r="K268" s="30"/>
      <c r="L268" s="30"/>
      <c r="M268" s="30"/>
      <c r="N268" s="30"/>
      <c r="O268" s="30"/>
      <c r="P268" s="30"/>
      <c r="Q268" s="30"/>
      <c r="R268" s="30"/>
      <c r="S268" s="30"/>
      <c r="T268" s="30"/>
      <c r="U268" s="30"/>
      <c r="V268" s="30"/>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row>
    <row r="269" spans="6:60">
      <c r="F269" s="31"/>
      <c r="G269" s="31"/>
      <c r="H269" s="32"/>
      <c r="I269" s="32"/>
      <c r="J269" s="32"/>
      <c r="K269" s="30"/>
      <c r="L269" s="30"/>
      <c r="M269" s="30"/>
      <c r="N269" s="30"/>
      <c r="O269" s="30"/>
      <c r="P269" s="30"/>
      <c r="Q269" s="30"/>
      <c r="R269" s="30"/>
      <c r="S269" s="30"/>
      <c r="T269" s="30"/>
      <c r="U269" s="30"/>
      <c r="V269" s="30"/>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row>
    <row r="270" spans="6:60">
      <c r="F270" s="31"/>
      <c r="G270" s="31"/>
      <c r="H270" s="32"/>
      <c r="I270" s="32"/>
      <c r="J270" s="32"/>
      <c r="K270" s="30"/>
      <c r="L270" s="30"/>
      <c r="M270" s="30"/>
      <c r="N270" s="30"/>
      <c r="O270" s="30"/>
      <c r="P270" s="30"/>
      <c r="Q270" s="30"/>
      <c r="R270" s="30"/>
      <c r="S270" s="30"/>
      <c r="T270" s="30"/>
      <c r="U270" s="30"/>
      <c r="V270" s="30"/>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row>
    <row r="271" spans="6:60">
      <c r="F271" s="31"/>
      <c r="G271" s="31"/>
      <c r="H271" s="32"/>
      <c r="I271" s="32"/>
      <c r="J271" s="32"/>
      <c r="K271" s="30"/>
      <c r="L271" s="30"/>
      <c r="M271" s="30"/>
      <c r="N271" s="30"/>
      <c r="O271" s="30"/>
      <c r="P271" s="30"/>
      <c r="Q271" s="30"/>
      <c r="R271" s="30"/>
      <c r="S271" s="30"/>
      <c r="T271" s="30"/>
      <c r="U271" s="30"/>
      <c r="V271" s="30"/>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row>
    <row r="272" spans="6:60">
      <c r="F272" s="31"/>
      <c r="G272" s="31"/>
      <c r="H272" s="32"/>
      <c r="I272" s="32"/>
      <c r="J272" s="32"/>
      <c r="K272" s="30"/>
      <c r="L272" s="30"/>
      <c r="M272" s="30"/>
      <c r="N272" s="30"/>
      <c r="O272" s="30"/>
      <c r="P272" s="30"/>
      <c r="Q272" s="30"/>
      <c r="R272" s="30"/>
      <c r="S272" s="30"/>
      <c r="T272" s="30"/>
      <c r="U272" s="30"/>
      <c r="V272" s="30"/>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row>
    <row r="273" spans="6:60">
      <c r="F273" s="31"/>
      <c r="G273" s="31"/>
      <c r="H273" s="32"/>
      <c r="I273" s="32"/>
      <c r="J273" s="32"/>
      <c r="K273" s="30"/>
      <c r="L273" s="30"/>
      <c r="M273" s="30"/>
      <c r="N273" s="30"/>
      <c r="O273" s="30"/>
      <c r="P273" s="30"/>
      <c r="Q273" s="30"/>
      <c r="R273" s="30"/>
      <c r="S273" s="30"/>
      <c r="T273" s="30"/>
      <c r="U273" s="30"/>
      <c r="V273" s="30"/>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row>
    <row r="274" spans="6:60">
      <c r="F274" s="31"/>
      <c r="G274" s="31"/>
      <c r="H274" s="32"/>
      <c r="I274" s="32"/>
      <c r="J274" s="32"/>
      <c r="K274" s="30"/>
      <c r="L274" s="30"/>
      <c r="M274" s="30"/>
      <c r="N274" s="30"/>
      <c r="O274" s="30"/>
      <c r="P274" s="30"/>
      <c r="Q274" s="30"/>
      <c r="R274" s="30"/>
      <c r="S274" s="30"/>
      <c r="T274" s="30"/>
      <c r="U274" s="30"/>
      <c r="V274" s="30"/>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row>
    <row r="275" spans="6:60">
      <c r="F275" s="31"/>
      <c r="G275" s="31"/>
      <c r="H275" s="32"/>
      <c r="I275" s="32"/>
      <c r="J275" s="32"/>
      <c r="K275" s="30"/>
      <c r="L275" s="30"/>
      <c r="M275" s="30"/>
      <c r="N275" s="30"/>
      <c r="O275" s="30"/>
      <c r="P275" s="30"/>
      <c r="Q275" s="30"/>
      <c r="R275" s="30"/>
      <c r="S275" s="30"/>
      <c r="T275" s="30"/>
      <c r="U275" s="30"/>
      <c r="V275" s="30"/>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row>
    <row r="276" spans="6:60">
      <c r="F276" s="31"/>
      <c r="G276" s="31"/>
      <c r="H276" s="32"/>
      <c r="I276" s="32"/>
      <c r="J276" s="32"/>
      <c r="K276" s="30"/>
      <c r="L276" s="30"/>
      <c r="M276" s="30"/>
      <c r="N276" s="30"/>
      <c r="O276" s="30"/>
      <c r="P276" s="30"/>
      <c r="Q276" s="30"/>
      <c r="R276" s="30"/>
      <c r="S276" s="30"/>
      <c r="T276" s="30"/>
      <c r="U276" s="30"/>
      <c r="V276" s="30"/>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row>
    <row r="277" spans="6:60">
      <c r="F277" s="31"/>
      <c r="G277" s="31"/>
      <c r="H277" s="32"/>
      <c r="I277" s="32"/>
      <c r="J277" s="32"/>
      <c r="K277" s="30"/>
      <c r="L277" s="30"/>
      <c r="M277" s="30"/>
      <c r="N277" s="30"/>
      <c r="O277" s="30"/>
      <c r="P277" s="30"/>
      <c r="Q277" s="30"/>
      <c r="R277" s="30"/>
      <c r="S277" s="30"/>
      <c r="T277" s="30"/>
      <c r="U277" s="30"/>
      <c r="V277" s="30"/>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row>
    <row r="278" spans="6:60">
      <c r="F278" s="31"/>
      <c r="G278" s="31"/>
      <c r="H278" s="32"/>
      <c r="I278" s="32"/>
      <c r="J278" s="32"/>
      <c r="K278" s="30"/>
      <c r="L278" s="30"/>
      <c r="M278" s="30"/>
      <c r="N278" s="30"/>
      <c r="O278" s="30"/>
      <c r="P278" s="30"/>
      <c r="Q278" s="30"/>
      <c r="R278" s="30"/>
      <c r="S278" s="30"/>
      <c r="T278" s="30"/>
      <c r="U278" s="30"/>
      <c r="V278" s="30"/>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row>
    <row r="279" spans="6:60">
      <c r="F279" s="31"/>
      <c r="G279" s="31"/>
      <c r="H279" s="32"/>
      <c r="I279" s="32"/>
      <c r="J279" s="32"/>
      <c r="K279" s="30"/>
      <c r="L279" s="30"/>
      <c r="M279" s="30"/>
      <c r="N279" s="30"/>
      <c r="O279" s="30"/>
      <c r="P279" s="30"/>
      <c r="Q279" s="30"/>
      <c r="R279" s="30"/>
      <c r="S279" s="30"/>
      <c r="T279" s="30"/>
      <c r="U279" s="30"/>
      <c r="V279" s="30"/>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row>
    <row r="280" spans="6:60">
      <c r="F280" s="31"/>
      <c r="G280" s="31"/>
      <c r="H280" s="32"/>
      <c r="I280" s="32"/>
      <c r="J280" s="32"/>
      <c r="K280" s="30"/>
      <c r="L280" s="30"/>
      <c r="M280" s="30"/>
      <c r="N280" s="30"/>
      <c r="O280" s="30"/>
      <c r="P280" s="30"/>
      <c r="Q280" s="30"/>
      <c r="R280" s="30"/>
      <c r="S280" s="30"/>
      <c r="T280" s="30"/>
      <c r="U280" s="30"/>
      <c r="V280" s="30"/>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row>
    <row r="281" spans="6:60">
      <c r="F281" s="31"/>
      <c r="G281" s="31"/>
      <c r="H281" s="32"/>
      <c r="I281" s="32"/>
      <c r="J281" s="32"/>
      <c r="K281" s="30"/>
      <c r="L281" s="30"/>
      <c r="M281" s="30"/>
      <c r="N281" s="30"/>
      <c r="O281" s="30"/>
      <c r="P281" s="30"/>
      <c r="Q281" s="30"/>
      <c r="R281" s="30"/>
      <c r="S281" s="30"/>
      <c r="T281" s="30"/>
      <c r="U281" s="30"/>
      <c r="V281" s="30"/>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row>
    <row r="282" spans="6:60">
      <c r="F282" s="31"/>
      <c r="G282" s="31"/>
      <c r="H282" s="32"/>
      <c r="I282" s="32"/>
      <c r="J282" s="32"/>
      <c r="K282" s="30"/>
      <c r="L282" s="30"/>
      <c r="M282" s="30"/>
      <c r="N282" s="30"/>
      <c r="O282" s="30"/>
      <c r="P282" s="30"/>
      <c r="Q282" s="30"/>
      <c r="R282" s="30"/>
      <c r="S282" s="30"/>
      <c r="T282" s="30"/>
      <c r="U282" s="30"/>
      <c r="V282" s="30"/>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row>
    <row r="283" spans="6:60">
      <c r="F283" s="31"/>
      <c r="G283" s="31"/>
      <c r="H283" s="32"/>
      <c r="I283" s="32"/>
      <c r="J283" s="32"/>
      <c r="K283" s="30"/>
      <c r="L283" s="30"/>
      <c r="M283" s="30"/>
      <c r="N283" s="30"/>
      <c r="O283" s="30"/>
      <c r="P283" s="30"/>
      <c r="Q283" s="30"/>
      <c r="R283" s="30"/>
      <c r="S283" s="30"/>
      <c r="T283" s="30"/>
      <c r="U283" s="30"/>
      <c r="V283" s="30"/>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row>
    <row r="284" spans="6:60">
      <c r="F284" s="31"/>
      <c r="G284" s="31"/>
      <c r="H284" s="32"/>
      <c r="I284" s="32"/>
      <c r="J284" s="32"/>
      <c r="K284" s="30"/>
      <c r="L284" s="30"/>
      <c r="M284" s="30"/>
      <c r="N284" s="30"/>
      <c r="O284" s="30"/>
      <c r="P284" s="30"/>
      <c r="Q284" s="30"/>
      <c r="R284" s="30"/>
      <c r="S284" s="30"/>
      <c r="T284" s="30"/>
      <c r="U284" s="30"/>
      <c r="V284" s="30"/>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row>
    <row r="285" spans="6:60">
      <c r="F285" s="31"/>
      <c r="G285" s="31"/>
      <c r="H285" s="32"/>
      <c r="I285" s="32"/>
      <c r="J285" s="32"/>
      <c r="K285" s="30"/>
      <c r="L285" s="30"/>
      <c r="M285" s="30"/>
      <c r="N285" s="30"/>
      <c r="O285" s="30"/>
      <c r="P285" s="30"/>
      <c r="Q285" s="30"/>
      <c r="R285" s="30"/>
      <c r="S285" s="30"/>
      <c r="T285" s="30"/>
      <c r="U285" s="30"/>
      <c r="V285" s="30"/>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row>
    <row r="286" spans="6:60">
      <c r="F286" s="31"/>
      <c r="G286" s="31"/>
      <c r="H286" s="32"/>
      <c r="I286" s="32"/>
      <c r="J286" s="32"/>
      <c r="K286" s="30"/>
      <c r="L286" s="30"/>
      <c r="M286" s="30"/>
      <c r="N286" s="30"/>
      <c r="O286" s="30"/>
      <c r="P286" s="30"/>
      <c r="Q286" s="30"/>
      <c r="R286" s="30"/>
      <c r="S286" s="30"/>
      <c r="T286" s="30"/>
      <c r="U286" s="30"/>
      <c r="V286" s="30"/>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row>
    <row r="287" spans="6:60">
      <c r="F287" s="31"/>
      <c r="G287" s="31"/>
      <c r="H287" s="32"/>
      <c r="I287" s="32"/>
      <c r="J287" s="32"/>
      <c r="K287" s="30"/>
      <c r="L287" s="30"/>
      <c r="M287" s="30"/>
      <c r="N287" s="30"/>
      <c r="O287" s="30"/>
      <c r="P287" s="30"/>
      <c r="Q287" s="30"/>
      <c r="R287" s="30"/>
      <c r="S287" s="30"/>
      <c r="T287" s="30"/>
      <c r="U287" s="30"/>
      <c r="V287" s="30"/>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row>
    <row r="288" spans="6:60">
      <c r="F288" s="31"/>
      <c r="G288" s="31"/>
      <c r="H288" s="32"/>
      <c r="I288" s="32"/>
      <c r="J288" s="32"/>
      <c r="K288" s="30"/>
      <c r="L288" s="30"/>
      <c r="M288" s="30"/>
      <c r="N288" s="30"/>
      <c r="O288" s="30"/>
      <c r="P288" s="30"/>
      <c r="Q288" s="30"/>
      <c r="R288" s="30"/>
      <c r="S288" s="30"/>
      <c r="T288" s="30"/>
      <c r="U288" s="30"/>
      <c r="V288" s="30"/>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row>
    <row r="289" spans="6:60">
      <c r="F289" s="31"/>
      <c r="G289" s="31"/>
      <c r="H289" s="32"/>
      <c r="I289" s="32"/>
      <c r="J289" s="32"/>
      <c r="K289" s="30"/>
      <c r="L289" s="30"/>
      <c r="M289" s="30"/>
      <c r="N289" s="30"/>
      <c r="O289" s="30"/>
      <c r="P289" s="30"/>
      <c r="Q289" s="30"/>
      <c r="R289" s="30"/>
      <c r="S289" s="30"/>
      <c r="T289" s="30"/>
      <c r="U289" s="30"/>
      <c r="V289" s="30"/>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row>
    <row r="290" spans="6:60">
      <c r="F290" s="31"/>
      <c r="G290" s="31"/>
      <c r="H290" s="32"/>
      <c r="I290" s="32"/>
      <c r="J290" s="32"/>
      <c r="K290" s="30"/>
      <c r="L290" s="30"/>
      <c r="M290" s="30"/>
      <c r="N290" s="30"/>
      <c r="O290" s="30"/>
      <c r="P290" s="30"/>
      <c r="Q290" s="30"/>
      <c r="R290" s="30"/>
      <c r="S290" s="30"/>
      <c r="T290" s="30"/>
      <c r="U290" s="30"/>
      <c r="V290" s="30"/>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c r="BC290" s="29"/>
      <c r="BD290" s="29"/>
      <c r="BE290" s="29"/>
      <c r="BF290" s="29"/>
      <c r="BG290" s="29"/>
      <c r="BH290" s="29"/>
    </row>
    <row r="291" spans="6:60">
      <c r="F291" s="31"/>
      <c r="G291" s="31"/>
      <c r="H291" s="32"/>
      <c r="I291" s="32"/>
      <c r="J291" s="32"/>
      <c r="K291" s="30"/>
      <c r="L291" s="30"/>
      <c r="M291" s="30"/>
      <c r="N291" s="30"/>
      <c r="O291" s="30"/>
      <c r="P291" s="30"/>
      <c r="Q291" s="30"/>
      <c r="R291" s="30"/>
      <c r="S291" s="30"/>
      <c r="T291" s="30"/>
      <c r="U291" s="30"/>
      <c r="V291" s="30"/>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row>
    <row r="292" spans="6:60">
      <c r="F292" s="31"/>
      <c r="G292" s="31"/>
      <c r="H292" s="32"/>
      <c r="I292" s="32"/>
      <c r="J292" s="32"/>
      <c r="K292" s="30"/>
      <c r="L292" s="30"/>
      <c r="M292" s="30"/>
      <c r="N292" s="30"/>
      <c r="O292" s="30"/>
      <c r="P292" s="30"/>
      <c r="Q292" s="30"/>
      <c r="R292" s="30"/>
      <c r="S292" s="30"/>
      <c r="T292" s="30"/>
      <c r="U292" s="30"/>
      <c r="V292" s="30"/>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c r="BG292" s="29"/>
      <c r="BH292" s="29"/>
    </row>
    <row r="293" spans="6:60">
      <c r="F293" s="31"/>
      <c r="G293" s="31"/>
      <c r="H293" s="32"/>
      <c r="I293" s="32"/>
      <c r="J293" s="32"/>
      <c r="K293" s="30"/>
      <c r="L293" s="30"/>
      <c r="M293" s="30"/>
      <c r="N293" s="30"/>
      <c r="O293" s="30"/>
      <c r="P293" s="30"/>
      <c r="Q293" s="30"/>
      <c r="R293" s="30"/>
      <c r="S293" s="30"/>
      <c r="T293" s="30"/>
      <c r="U293" s="30"/>
      <c r="V293" s="30"/>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row>
    <row r="294" spans="6:60">
      <c r="F294" s="31"/>
      <c r="G294" s="31"/>
      <c r="H294" s="32"/>
      <c r="I294" s="32"/>
      <c r="J294" s="32"/>
      <c r="K294" s="30"/>
      <c r="L294" s="30"/>
      <c r="M294" s="30"/>
      <c r="N294" s="30"/>
      <c r="O294" s="30"/>
      <c r="P294" s="30"/>
      <c r="Q294" s="30"/>
      <c r="R294" s="30"/>
      <c r="S294" s="30"/>
      <c r="T294" s="30"/>
      <c r="U294" s="30"/>
      <c r="V294" s="30"/>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row>
    <row r="295" spans="6:60">
      <c r="F295" s="31"/>
      <c r="G295" s="31"/>
      <c r="H295" s="32"/>
      <c r="I295" s="32"/>
      <c r="J295" s="32"/>
      <c r="K295" s="30"/>
      <c r="L295" s="30"/>
      <c r="M295" s="30"/>
      <c r="N295" s="30"/>
      <c r="O295" s="30"/>
      <c r="P295" s="30"/>
      <c r="Q295" s="30"/>
      <c r="R295" s="30"/>
      <c r="S295" s="30"/>
      <c r="T295" s="30"/>
      <c r="U295" s="30"/>
      <c r="V295" s="30"/>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row>
    <row r="296" spans="6:60">
      <c r="F296" s="31"/>
      <c r="G296" s="31"/>
      <c r="H296" s="32"/>
      <c r="I296" s="32"/>
      <c r="J296" s="32"/>
      <c r="K296" s="30"/>
      <c r="L296" s="30"/>
      <c r="M296" s="30"/>
      <c r="N296" s="30"/>
      <c r="O296" s="30"/>
      <c r="P296" s="30"/>
      <c r="Q296" s="30"/>
      <c r="R296" s="30"/>
      <c r="S296" s="30"/>
      <c r="T296" s="30"/>
      <c r="U296" s="30"/>
      <c r="V296" s="30"/>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c r="BC296" s="29"/>
      <c r="BD296" s="29"/>
      <c r="BE296" s="29"/>
      <c r="BF296" s="29"/>
      <c r="BG296" s="29"/>
      <c r="BH296" s="29"/>
    </row>
    <row r="297" spans="6:60">
      <c r="F297" s="31"/>
      <c r="G297" s="31"/>
      <c r="H297" s="32"/>
      <c r="I297" s="32"/>
      <c r="J297" s="32"/>
      <c r="K297" s="30"/>
      <c r="L297" s="30"/>
      <c r="M297" s="30"/>
      <c r="N297" s="30"/>
      <c r="O297" s="30"/>
      <c r="P297" s="30"/>
      <c r="Q297" s="30"/>
      <c r="R297" s="30"/>
      <c r="S297" s="30"/>
      <c r="T297" s="30"/>
      <c r="U297" s="30"/>
      <c r="V297" s="30"/>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row>
    <row r="298" spans="6:60">
      <c r="F298" s="31"/>
      <c r="G298" s="31"/>
      <c r="H298" s="32"/>
      <c r="I298" s="32"/>
      <c r="J298" s="32"/>
      <c r="K298" s="30"/>
      <c r="L298" s="30"/>
      <c r="M298" s="30"/>
      <c r="N298" s="30"/>
      <c r="O298" s="30"/>
      <c r="P298" s="30"/>
      <c r="Q298" s="30"/>
      <c r="R298" s="30"/>
      <c r="S298" s="30"/>
      <c r="T298" s="30"/>
      <c r="U298" s="30"/>
      <c r="V298" s="30"/>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row>
    <row r="299" spans="6:60">
      <c r="F299" s="31"/>
      <c r="G299" s="31"/>
      <c r="H299" s="32"/>
      <c r="I299" s="32"/>
      <c r="J299" s="32"/>
      <c r="K299" s="30"/>
      <c r="L299" s="30"/>
      <c r="M299" s="30"/>
      <c r="N299" s="30"/>
      <c r="O299" s="30"/>
      <c r="P299" s="30"/>
      <c r="Q299" s="30"/>
      <c r="R299" s="30"/>
      <c r="S299" s="30"/>
      <c r="T299" s="30"/>
      <c r="U299" s="30"/>
      <c r="V299" s="30"/>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row>
    <row r="300" spans="6:60">
      <c r="F300" s="31"/>
      <c r="G300" s="31"/>
      <c r="H300" s="32"/>
      <c r="I300" s="32"/>
      <c r="J300" s="32"/>
      <c r="K300" s="30"/>
      <c r="L300" s="30"/>
      <c r="M300" s="30"/>
      <c r="N300" s="30"/>
      <c r="O300" s="30"/>
      <c r="P300" s="30"/>
      <c r="Q300" s="30"/>
      <c r="R300" s="30"/>
      <c r="S300" s="30"/>
      <c r="T300" s="30"/>
      <c r="U300" s="30"/>
      <c r="V300" s="30"/>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row>
    <row r="301" spans="6:60">
      <c r="F301" s="31"/>
      <c r="G301" s="31"/>
      <c r="H301" s="32"/>
      <c r="I301" s="32"/>
      <c r="J301" s="32"/>
      <c r="K301" s="30"/>
      <c r="L301" s="30"/>
      <c r="M301" s="30"/>
      <c r="N301" s="30"/>
      <c r="O301" s="30"/>
      <c r="P301" s="30"/>
      <c r="Q301" s="30"/>
      <c r="R301" s="30"/>
      <c r="S301" s="30"/>
      <c r="T301" s="30"/>
      <c r="U301" s="30"/>
      <c r="V301" s="30"/>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row>
    <row r="302" spans="6:60">
      <c r="F302" s="31"/>
      <c r="G302" s="31"/>
      <c r="H302" s="32"/>
      <c r="I302" s="32"/>
      <c r="J302" s="32"/>
      <c r="K302" s="30"/>
      <c r="L302" s="30"/>
      <c r="M302" s="30"/>
      <c r="N302" s="30"/>
      <c r="O302" s="30"/>
      <c r="P302" s="30"/>
      <c r="Q302" s="30"/>
      <c r="R302" s="30"/>
      <c r="S302" s="30"/>
      <c r="T302" s="30"/>
      <c r="U302" s="30"/>
      <c r="V302" s="30"/>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row>
    <row r="303" spans="6:60">
      <c r="F303" s="31"/>
      <c r="G303" s="31"/>
      <c r="H303" s="32"/>
      <c r="I303" s="32"/>
      <c r="J303" s="32"/>
      <c r="K303" s="30"/>
      <c r="L303" s="30"/>
      <c r="M303" s="30"/>
      <c r="N303" s="30"/>
      <c r="O303" s="30"/>
      <c r="P303" s="30"/>
      <c r="Q303" s="30"/>
      <c r="R303" s="30"/>
      <c r="S303" s="30"/>
      <c r="T303" s="30"/>
      <c r="U303" s="30"/>
      <c r="V303" s="30"/>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row>
    <row r="304" spans="6:60">
      <c r="F304" s="31"/>
      <c r="G304" s="31"/>
      <c r="H304" s="32"/>
      <c r="I304" s="32"/>
      <c r="J304" s="32"/>
      <c r="K304" s="30"/>
      <c r="L304" s="30"/>
      <c r="M304" s="30"/>
      <c r="N304" s="30"/>
      <c r="O304" s="30"/>
      <c r="P304" s="30"/>
      <c r="Q304" s="30"/>
      <c r="R304" s="30"/>
      <c r="S304" s="30"/>
      <c r="T304" s="30"/>
      <c r="U304" s="30"/>
      <c r="V304" s="30"/>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row>
    <row r="305" spans="6:60">
      <c r="F305" s="31"/>
      <c r="G305" s="31"/>
      <c r="H305" s="32"/>
      <c r="I305" s="32"/>
      <c r="J305" s="32"/>
      <c r="K305" s="30"/>
      <c r="L305" s="30"/>
      <c r="M305" s="30"/>
      <c r="N305" s="30"/>
      <c r="O305" s="30"/>
      <c r="P305" s="30"/>
      <c r="Q305" s="30"/>
      <c r="R305" s="30"/>
      <c r="S305" s="30"/>
      <c r="T305" s="30"/>
      <c r="U305" s="30"/>
      <c r="V305" s="30"/>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row>
    <row r="306" spans="6:60">
      <c r="F306" s="31"/>
      <c r="G306" s="31"/>
      <c r="H306" s="32"/>
      <c r="I306" s="32"/>
      <c r="J306" s="32"/>
      <c r="K306" s="30"/>
      <c r="L306" s="30"/>
      <c r="M306" s="30"/>
      <c r="N306" s="30"/>
      <c r="O306" s="30"/>
      <c r="P306" s="30"/>
      <c r="Q306" s="30"/>
      <c r="R306" s="30"/>
      <c r="S306" s="30"/>
      <c r="T306" s="30"/>
      <c r="U306" s="30"/>
      <c r="V306" s="30"/>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c r="AY306" s="29"/>
      <c r="AZ306" s="29"/>
      <c r="BA306" s="29"/>
      <c r="BB306" s="29"/>
      <c r="BC306" s="29"/>
      <c r="BD306" s="29"/>
      <c r="BE306" s="29"/>
      <c r="BF306" s="29"/>
      <c r="BG306" s="29"/>
      <c r="BH306" s="29"/>
    </row>
    <row r="307" spans="6:60">
      <c r="F307" s="31"/>
      <c r="G307" s="31"/>
      <c r="H307" s="32"/>
      <c r="I307" s="32"/>
      <c r="J307" s="32"/>
      <c r="K307" s="30"/>
      <c r="L307" s="30"/>
      <c r="M307" s="30"/>
      <c r="N307" s="30"/>
      <c r="O307" s="30"/>
      <c r="P307" s="30"/>
      <c r="Q307" s="30"/>
      <c r="R307" s="30"/>
      <c r="S307" s="30"/>
      <c r="T307" s="30"/>
      <c r="U307" s="30"/>
      <c r="V307" s="30"/>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row>
    <row r="308" spans="6:60">
      <c r="F308" s="31"/>
      <c r="G308" s="31"/>
      <c r="H308" s="32"/>
      <c r="I308" s="32"/>
      <c r="J308" s="32"/>
      <c r="K308" s="30"/>
      <c r="L308" s="30"/>
      <c r="M308" s="30"/>
      <c r="N308" s="30"/>
      <c r="O308" s="30"/>
      <c r="P308" s="30"/>
      <c r="Q308" s="30"/>
      <c r="R308" s="30"/>
      <c r="S308" s="30"/>
      <c r="T308" s="30"/>
      <c r="U308" s="30"/>
      <c r="V308" s="30"/>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c r="BG308" s="29"/>
      <c r="BH308" s="29"/>
    </row>
    <row r="309" spans="6:60">
      <c r="F309" s="31"/>
      <c r="G309" s="31"/>
      <c r="H309" s="32"/>
      <c r="I309" s="32"/>
      <c r="J309" s="32"/>
      <c r="K309" s="30"/>
      <c r="L309" s="30"/>
      <c r="M309" s="30"/>
      <c r="N309" s="30"/>
      <c r="O309" s="30"/>
      <c r="P309" s="30"/>
      <c r="Q309" s="30"/>
      <c r="R309" s="30"/>
      <c r="S309" s="30"/>
      <c r="T309" s="30"/>
      <c r="U309" s="30"/>
      <c r="V309" s="30"/>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row>
    <row r="310" spans="6:60">
      <c r="F310" s="31"/>
      <c r="G310" s="31"/>
      <c r="H310" s="32"/>
      <c r="I310" s="32"/>
      <c r="J310" s="32"/>
      <c r="K310" s="30"/>
      <c r="L310" s="30"/>
      <c r="M310" s="30"/>
      <c r="N310" s="30"/>
      <c r="O310" s="30"/>
      <c r="P310" s="30"/>
      <c r="Q310" s="30"/>
      <c r="R310" s="30"/>
      <c r="S310" s="30"/>
      <c r="T310" s="30"/>
      <c r="U310" s="30"/>
      <c r="V310" s="30"/>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row>
    <row r="311" spans="6:60">
      <c r="F311" s="31"/>
      <c r="G311" s="31"/>
      <c r="H311" s="32"/>
      <c r="I311" s="32"/>
      <c r="J311" s="32"/>
      <c r="K311" s="30"/>
      <c r="L311" s="30"/>
      <c r="M311" s="30"/>
      <c r="N311" s="30"/>
      <c r="O311" s="30"/>
      <c r="P311" s="30"/>
      <c r="Q311" s="30"/>
      <c r="R311" s="30"/>
      <c r="S311" s="30"/>
      <c r="T311" s="30"/>
      <c r="U311" s="30"/>
      <c r="V311" s="30"/>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row>
    <row r="312" spans="6:60">
      <c r="F312" s="31"/>
      <c r="G312" s="31"/>
      <c r="H312" s="32"/>
      <c r="I312" s="32"/>
      <c r="J312" s="32"/>
      <c r="K312" s="30"/>
      <c r="L312" s="30"/>
      <c r="M312" s="30"/>
      <c r="N312" s="30"/>
      <c r="O312" s="30"/>
      <c r="P312" s="30"/>
      <c r="Q312" s="30"/>
      <c r="R312" s="30"/>
      <c r="S312" s="30"/>
      <c r="T312" s="30"/>
      <c r="U312" s="30"/>
      <c r="V312" s="30"/>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c r="AY312" s="29"/>
      <c r="AZ312" s="29"/>
      <c r="BA312" s="29"/>
      <c r="BB312" s="29"/>
      <c r="BC312" s="29"/>
      <c r="BD312" s="29"/>
      <c r="BE312" s="29"/>
      <c r="BF312" s="29"/>
      <c r="BG312" s="29"/>
      <c r="BH312" s="29"/>
    </row>
  </sheetData>
  <autoFilter ref="A2:W63">
    <filterColumn colId="0">
      <filters>
        <filter val="Dani Greco"/>
        <filter val="Felícia"/>
      </filters>
    </filterColumn>
  </autoFilter>
  <mergeCells count="1">
    <mergeCell ref="D1:E1"/>
  </mergeCells>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B2:E10"/>
  <sheetViews>
    <sheetView showGridLines="0" zoomScale="80" zoomScaleNormal="80" workbookViewId="0">
      <selection activeCell="H6" sqref="H6"/>
    </sheetView>
  </sheetViews>
  <sheetFormatPr defaultRowHeight="14.25"/>
  <cols>
    <col min="1" max="1" width="2.7109375" style="16" customWidth="1"/>
    <col min="2" max="2" width="40.28515625" style="16" bestFit="1" customWidth="1"/>
    <col min="3" max="3" width="65.85546875" style="16" customWidth="1"/>
    <col min="4" max="4" width="59.85546875" style="16" hidden="1" customWidth="1"/>
    <col min="5" max="5" width="64.42578125" style="16" hidden="1" customWidth="1"/>
    <col min="6" max="16384" width="9.140625" style="16"/>
  </cols>
  <sheetData>
    <row r="2" spans="2:5" ht="18.75" customHeight="1">
      <c r="B2" s="315" t="s">
        <v>536</v>
      </c>
      <c r="C2" s="315"/>
      <c r="D2" s="315"/>
      <c r="E2" s="315"/>
    </row>
    <row r="3" spans="2:5" ht="18.75" customHeight="1">
      <c r="B3" s="17" t="s">
        <v>527</v>
      </c>
      <c r="C3" s="17" t="s">
        <v>548</v>
      </c>
      <c r="D3" s="18" t="s">
        <v>549</v>
      </c>
      <c r="E3" s="18" t="s">
        <v>550</v>
      </c>
    </row>
    <row r="4" spans="2:5" ht="54.75" customHeight="1">
      <c r="B4" s="19" t="s">
        <v>528</v>
      </c>
      <c r="C4" s="19" t="s">
        <v>529</v>
      </c>
      <c r="D4" s="20" t="s">
        <v>557</v>
      </c>
      <c r="E4" s="20"/>
    </row>
    <row r="5" spans="2:5" ht="54.75" customHeight="1">
      <c r="B5" s="19" t="s">
        <v>551</v>
      </c>
      <c r="C5" s="19" t="s">
        <v>530</v>
      </c>
      <c r="D5" s="20" t="s">
        <v>557</v>
      </c>
      <c r="E5" s="20"/>
    </row>
    <row r="6" spans="2:5" ht="54.75" customHeight="1">
      <c r="B6" s="19" t="s">
        <v>552</v>
      </c>
      <c r="C6" s="19" t="s">
        <v>535</v>
      </c>
      <c r="D6" s="20" t="s">
        <v>557</v>
      </c>
      <c r="E6" s="20"/>
    </row>
    <row r="7" spans="2:5" ht="54.75" customHeight="1">
      <c r="B7" s="19" t="s">
        <v>553</v>
      </c>
      <c r="C7" s="19" t="s">
        <v>531</v>
      </c>
      <c r="D7" s="20" t="s">
        <v>557</v>
      </c>
      <c r="E7" s="20"/>
    </row>
    <row r="8" spans="2:5" ht="54.75" customHeight="1">
      <c r="B8" s="19" t="s">
        <v>554</v>
      </c>
      <c r="C8" s="19" t="s">
        <v>532</v>
      </c>
      <c r="D8" s="20" t="s">
        <v>557</v>
      </c>
      <c r="E8" s="20"/>
    </row>
    <row r="9" spans="2:5" ht="54.75" customHeight="1">
      <c r="B9" s="19" t="s">
        <v>555</v>
      </c>
      <c r="C9" s="19" t="s">
        <v>533</v>
      </c>
      <c r="D9" s="20" t="s">
        <v>557</v>
      </c>
      <c r="E9" s="20"/>
    </row>
    <row r="10" spans="2:5" ht="54.75" customHeight="1">
      <c r="B10" s="19" t="s">
        <v>556</v>
      </c>
      <c r="C10" s="19" t="s">
        <v>534</v>
      </c>
      <c r="D10" s="20" t="s">
        <v>557</v>
      </c>
      <c r="E10" s="20"/>
    </row>
  </sheetData>
  <customSheetViews>
    <customSheetView guid="{C9815ABB-3DC4-47A9-84D6-09FB286015CF}" scale="80" showGridLines="0">
      <selection activeCell="B3" sqref="B3:D8"/>
      <pageMargins left="0.511811024" right="0.511811024" top="0.78740157499999996" bottom="0.78740157499999996" header="0.31496062000000002" footer="0.31496062000000002"/>
    </customSheetView>
    <customSheetView guid="{49CEE367-5EFB-43A6-A8AC-378611FA0BCF}" scale="80" showGridLines="0">
      <selection activeCell="D10" sqref="D10"/>
      <pageMargins left="0.511811024" right="0.511811024" top="0.78740157499999996" bottom="0.78740157499999996" header="0.31496062000000002" footer="0.31496062000000002"/>
    </customSheetView>
  </customSheetViews>
  <mergeCells count="1">
    <mergeCell ref="B2:E2"/>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3"/>
  <sheetViews>
    <sheetView topLeftCell="A46" workbookViewId="0">
      <selection activeCell="A57" sqref="A57"/>
    </sheetView>
  </sheetViews>
  <sheetFormatPr defaultRowHeight="15"/>
  <cols>
    <col min="1" max="1" width="34.140625" style="3" customWidth="1"/>
    <col min="2" max="4" width="23.140625" style="3" bestFit="1" customWidth="1"/>
    <col min="5" max="5" width="27.85546875" style="3" bestFit="1" customWidth="1"/>
    <col min="6" max="6" width="20.28515625" style="3" bestFit="1" customWidth="1"/>
    <col min="7" max="16384" width="9.140625" style="3"/>
  </cols>
  <sheetData>
    <row r="1" spans="1:6">
      <c r="A1" s="24" t="s">
        <v>559</v>
      </c>
    </row>
    <row r="2" spans="1:6" s="2" customFormat="1" ht="15" customHeight="1">
      <c r="A2" s="1" t="s">
        <v>142</v>
      </c>
      <c r="B2" s="1" t="s">
        <v>143</v>
      </c>
      <c r="C2" s="1" t="s">
        <v>144</v>
      </c>
      <c r="D2" s="1" t="s">
        <v>145</v>
      </c>
      <c r="E2" s="1" t="s">
        <v>146</v>
      </c>
    </row>
    <row r="3" spans="1:6" ht="15" customHeight="1">
      <c r="A3" s="319" t="s">
        <v>205</v>
      </c>
      <c r="B3" s="319" t="s">
        <v>206</v>
      </c>
      <c r="C3" s="6" t="s">
        <v>207</v>
      </c>
      <c r="D3" s="6" t="s">
        <v>208</v>
      </c>
      <c r="E3" s="6" t="s">
        <v>209</v>
      </c>
      <c r="F3" s="4"/>
    </row>
    <row r="4" spans="1:6" ht="15" customHeight="1">
      <c r="A4" s="320"/>
      <c r="B4" s="320"/>
      <c r="C4" s="6" t="s">
        <v>210</v>
      </c>
      <c r="D4" s="6" t="s">
        <v>211</v>
      </c>
      <c r="E4" s="6" t="s">
        <v>212</v>
      </c>
      <c r="F4" s="4"/>
    </row>
    <row r="5" spans="1:6" ht="15" customHeight="1">
      <c r="A5" s="6" t="s">
        <v>213</v>
      </c>
      <c r="B5" s="6" t="s">
        <v>214</v>
      </c>
      <c r="C5" s="6" t="s">
        <v>215</v>
      </c>
      <c r="D5" s="6" t="s">
        <v>215</v>
      </c>
      <c r="E5" s="6" t="s">
        <v>216</v>
      </c>
      <c r="F5" s="4"/>
    </row>
    <row r="6" spans="1:6" ht="15" customHeight="1">
      <c r="A6" s="319" t="s">
        <v>161</v>
      </c>
      <c r="B6" s="319" t="s">
        <v>217</v>
      </c>
      <c r="C6" s="7" t="s">
        <v>218</v>
      </c>
      <c r="D6" s="6" t="s">
        <v>219</v>
      </c>
      <c r="E6" s="6" t="s">
        <v>220</v>
      </c>
      <c r="F6" s="4"/>
    </row>
    <row r="7" spans="1:6" ht="15" customHeight="1">
      <c r="A7" s="320"/>
      <c r="B7" s="321"/>
      <c r="C7" s="8"/>
      <c r="D7" s="6" t="s">
        <v>221</v>
      </c>
      <c r="E7" s="6" t="s">
        <v>222</v>
      </c>
      <c r="F7" s="4"/>
    </row>
    <row r="8" spans="1:6" ht="15" customHeight="1">
      <c r="A8" s="6" t="s">
        <v>223</v>
      </c>
      <c r="B8" s="320"/>
      <c r="C8" s="6" t="s">
        <v>224</v>
      </c>
      <c r="D8" s="6" t="s">
        <v>224</v>
      </c>
      <c r="E8" s="6" t="s">
        <v>225</v>
      </c>
      <c r="F8" s="4"/>
    </row>
    <row r="9" spans="1:6" ht="15" customHeight="1">
      <c r="A9" s="319" t="s">
        <v>226</v>
      </c>
      <c r="B9" s="319" t="s">
        <v>227</v>
      </c>
      <c r="C9" s="6" t="s">
        <v>228</v>
      </c>
      <c r="D9" s="6" t="s">
        <v>229</v>
      </c>
      <c r="E9" s="6" t="s">
        <v>230</v>
      </c>
      <c r="F9" s="4"/>
    </row>
    <row r="10" spans="1:6" ht="15" customHeight="1">
      <c r="A10" s="320"/>
      <c r="B10" s="321"/>
      <c r="C10" s="6" t="s">
        <v>231</v>
      </c>
      <c r="D10" s="6" t="s">
        <v>231</v>
      </c>
      <c r="E10" s="6" t="s">
        <v>232</v>
      </c>
      <c r="F10" s="4"/>
    </row>
    <row r="11" spans="1:6" ht="15" customHeight="1">
      <c r="A11" s="6" t="s">
        <v>233</v>
      </c>
      <c r="B11" s="321"/>
      <c r="C11" s="6" t="s">
        <v>234</v>
      </c>
      <c r="D11" s="6" t="s">
        <v>234</v>
      </c>
      <c r="E11" s="6" t="s">
        <v>235</v>
      </c>
      <c r="F11" s="4"/>
    </row>
    <row r="12" spans="1:6" ht="15" customHeight="1">
      <c r="A12" s="6" t="s">
        <v>236</v>
      </c>
      <c r="B12" s="321"/>
      <c r="C12" s="6" t="s">
        <v>237</v>
      </c>
      <c r="D12" s="6" t="s">
        <v>238</v>
      </c>
      <c r="E12" s="6" t="s">
        <v>239</v>
      </c>
      <c r="F12" s="4"/>
    </row>
    <row r="13" spans="1:6" ht="15" customHeight="1">
      <c r="A13" s="6" t="s">
        <v>240</v>
      </c>
      <c r="B13" s="320"/>
      <c r="C13" s="6" t="s">
        <v>241</v>
      </c>
      <c r="D13" s="6" t="s">
        <v>241</v>
      </c>
      <c r="E13" s="6" t="s">
        <v>242</v>
      </c>
      <c r="F13" s="4"/>
    </row>
    <row r="14" spans="1:6" ht="15" customHeight="1">
      <c r="A14" s="319" t="s">
        <v>147</v>
      </c>
      <c r="B14" s="319" t="s">
        <v>243</v>
      </c>
      <c r="C14" s="6" t="s">
        <v>244</v>
      </c>
      <c r="D14" s="6" t="s">
        <v>244</v>
      </c>
      <c r="E14" s="6" t="s">
        <v>245</v>
      </c>
      <c r="F14" s="4"/>
    </row>
    <row r="15" spans="1:6" ht="15" customHeight="1">
      <c r="A15" s="321"/>
      <c r="B15" s="321"/>
      <c r="C15" s="6" t="s">
        <v>246</v>
      </c>
      <c r="D15" s="6" t="s">
        <v>246</v>
      </c>
      <c r="E15" s="6" t="s">
        <v>247</v>
      </c>
      <c r="F15" s="4"/>
    </row>
    <row r="16" spans="1:6" ht="15" customHeight="1">
      <c r="A16" s="320"/>
      <c r="B16" s="320"/>
      <c r="C16" s="6" t="s">
        <v>248</v>
      </c>
      <c r="D16" s="6" t="s">
        <v>248</v>
      </c>
      <c r="E16" s="6" t="s">
        <v>249</v>
      </c>
      <c r="F16" s="4"/>
    </row>
    <row r="17" spans="1:6" ht="15" customHeight="1">
      <c r="A17" s="6" t="s">
        <v>167</v>
      </c>
      <c r="B17" s="319" t="s">
        <v>250</v>
      </c>
      <c r="C17" s="6" t="s">
        <v>251</v>
      </c>
      <c r="D17" s="6" t="s">
        <v>251</v>
      </c>
      <c r="E17" s="6" t="s">
        <v>252</v>
      </c>
      <c r="F17" s="4"/>
    </row>
    <row r="18" spans="1:6" ht="15" customHeight="1">
      <c r="A18" s="6" t="s">
        <v>157</v>
      </c>
      <c r="B18" s="321"/>
      <c r="C18" s="6" t="s">
        <v>253</v>
      </c>
      <c r="D18" s="6" t="s">
        <v>254</v>
      </c>
      <c r="E18" s="6" t="s">
        <v>255</v>
      </c>
      <c r="F18" s="4"/>
    </row>
    <row r="19" spans="1:6" ht="15" customHeight="1">
      <c r="A19" s="4" t="s">
        <v>158</v>
      </c>
      <c r="B19" s="321"/>
      <c r="C19" s="4" t="s">
        <v>194</v>
      </c>
      <c r="D19" s="4" t="s">
        <v>194</v>
      </c>
      <c r="E19" s="6" t="s">
        <v>197</v>
      </c>
      <c r="F19" s="4" t="s">
        <v>203</v>
      </c>
    </row>
    <row r="20" spans="1:6" ht="15" customHeight="1">
      <c r="A20" s="6" t="s">
        <v>256</v>
      </c>
      <c r="B20" s="320"/>
      <c r="C20" s="6" t="s">
        <v>257</v>
      </c>
      <c r="D20" s="6" t="s">
        <v>257</v>
      </c>
      <c r="E20" s="6" t="s">
        <v>258</v>
      </c>
      <c r="F20" s="4"/>
    </row>
    <row r="21" spans="1:6" ht="15" customHeight="1">
      <c r="A21" s="6" t="s">
        <v>189</v>
      </c>
      <c r="B21" s="6" t="s">
        <v>259</v>
      </c>
      <c r="C21" s="6" t="s">
        <v>260</v>
      </c>
      <c r="D21" s="6" t="s">
        <v>261</v>
      </c>
      <c r="E21" s="6" t="s">
        <v>262</v>
      </c>
      <c r="F21" s="4"/>
    </row>
    <row r="22" spans="1:6" ht="15" customHeight="1">
      <c r="A22" s="6" t="s">
        <v>190</v>
      </c>
      <c r="B22" s="6" t="s">
        <v>259</v>
      </c>
      <c r="C22" s="6" t="s">
        <v>263</v>
      </c>
      <c r="D22" s="6" t="s">
        <v>263</v>
      </c>
      <c r="E22" s="6" t="s">
        <v>264</v>
      </c>
      <c r="F22" s="4"/>
    </row>
    <row r="23" spans="1:6" ht="15" customHeight="1">
      <c r="A23" s="319" t="s">
        <v>155</v>
      </c>
      <c r="B23" s="319" t="s">
        <v>265</v>
      </c>
      <c r="C23" s="6" t="s">
        <v>266</v>
      </c>
      <c r="D23" s="6" t="s">
        <v>267</v>
      </c>
      <c r="E23" s="6" t="s">
        <v>268</v>
      </c>
      <c r="F23" s="4"/>
    </row>
    <row r="24" spans="1:6" ht="15" customHeight="1">
      <c r="A24" s="320"/>
      <c r="B24" s="320"/>
      <c r="C24" s="6" t="s">
        <v>269</v>
      </c>
      <c r="D24" s="6" t="s">
        <v>667</v>
      </c>
      <c r="E24" s="6" t="s">
        <v>666</v>
      </c>
      <c r="F24" s="4"/>
    </row>
    <row r="25" spans="1:6" ht="15" customHeight="1">
      <c r="A25" s="322" t="s">
        <v>151</v>
      </c>
      <c r="B25" s="319" t="s">
        <v>270</v>
      </c>
      <c r="C25" s="7" t="s">
        <v>271</v>
      </c>
      <c r="D25" s="6" t="s">
        <v>272</v>
      </c>
      <c r="E25" s="6" t="s">
        <v>273</v>
      </c>
      <c r="F25" s="4"/>
    </row>
    <row r="26" spans="1:6" ht="15" customHeight="1">
      <c r="A26" s="323"/>
      <c r="B26" s="321"/>
      <c r="C26" s="8"/>
      <c r="D26" s="6" t="s">
        <v>274</v>
      </c>
      <c r="E26" s="6" t="s">
        <v>275</v>
      </c>
      <c r="F26" s="4"/>
    </row>
    <row r="27" spans="1:6" ht="15" customHeight="1">
      <c r="A27" s="6" t="s">
        <v>191</v>
      </c>
      <c r="B27" s="320"/>
      <c r="C27" s="6" t="s">
        <v>276</v>
      </c>
      <c r="D27" s="6" t="s">
        <v>276</v>
      </c>
      <c r="E27" s="6" t="s">
        <v>277</v>
      </c>
      <c r="F27" s="4"/>
    </row>
    <row r="28" spans="1:6" ht="15" customHeight="1">
      <c r="A28" s="6" t="s">
        <v>278</v>
      </c>
      <c r="B28" s="6" t="s">
        <v>279</v>
      </c>
      <c r="C28" s="6" t="s">
        <v>280</v>
      </c>
      <c r="D28" s="6" t="s">
        <v>280</v>
      </c>
      <c r="E28" s="6" t="s">
        <v>281</v>
      </c>
      <c r="F28" s="4"/>
    </row>
    <row r="29" spans="1:6" ht="15" customHeight="1">
      <c r="A29" s="6" t="s">
        <v>282</v>
      </c>
      <c r="B29" s="6" t="s">
        <v>283</v>
      </c>
      <c r="C29" s="6" t="s">
        <v>284</v>
      </c>
      <c r="D29" s="6" t="s">
        <v>284</v>
      </c>
      <c r="E29" s="6" t="s">
        <v>285</v>
      </c>
      <c r="F29" s="4"/>
    </row>
    <row r="30" spans="1:6" ht="15" customHeight="1">
      <c r="A30" s="319" t="s">
        <v>141</v>
      </c>
      <c r="B30" s="6" t="s">
        <v>286</v>
      </c>
      <c r="C30" s="6" t="s">
        <v>287</v>
      </c>
      <c r="D30" s="6" t="s">
        <v>287</v>
      </c>
      <c r="E30" s="6" t="s">
        <v>288</v>
      </c>
      <c r="F30" s="4"/>
    </row>
    <row r="31" spans="1:6" ht="15" customHeight="1">
      <c r="A31" s="321"/>
      <c r="B31" s="9" t="s">
        <v>289</v>
      </c>
      <c r="C31" s="9" t="s">
        <v>289</v>
      </c>
      <c r="D31" s="9" t="s">
        <v>289</v>
      </c>
      <c r="E31" s="9" t="s">
        <v>290</v>
      </c>
      <c r="F31" s="4" t="s">
        <v>204</v>
      </c>
    </row>
    <row r="32" spans="1:6" ht="15.75" customHeight="1">
      <c r="A32" s="320"/>
      <c r="B32" s="5" t="s">
        <v>202</v>
      </c>
      <c r="C32" s="5" t="s">
        <v>202</v>
      </c>
      <c r="D32" s="5" t="s">
        <v>202</v>
      </c>
      <c r="E32" s="10" t="s">
        <v>201</v>
      </c>
      <c r="F32" s="4" t="s">
        <v>203</v>
      </c>
    </row>
    <row r="33" spans="1:6" ht="15" customHeight="1">
      <c r="A33" s="6" t="s">
        <v>291</v>
      </c>
      <c r="B33" s="6" t="s">
        <v>292</v>
      </c>
      <c r="C33" s="6" t="s">
        <v>293</v>
      </c>
      <c r="D33" s="6" t="s">
        <v>293</v>
      </c>
      <c r="E33" s="6" t="s">
        <v>294</v>
      </c>
      <c r="F33" s="4"/>
    </row>
    <row r="34" spans="1:6" ht="15" customHeight="1">
      <c r="A34" s="319" t="s">
        <v>149</v>
      </c>
      <c r="B34" s="319" t="s">
        <v>295</v>
      </c>
      <c r="C34" s="6" t="s">
        <v>296</v>
      </c>
      <c r="D34" s="6" t="s">
        <v>296</v>
      </c>
      <c r="E34" s="6" t="s">
        <v>297</v>
      </c>
      <c r="F34" s="4"/>
    </row>
    <row r="35" spans="1:6" ht="15" customHeight="1">
      <c r="A35" s="321"/>
      <c r="B35" s="321"/>
      <c r="C35" s="6" t="s">
        <v>298</v>
      </c>
      <c r="D35" s="6" t="s">
        <v>298</v>
      </c>
      <c r="E35" s="6" t="s">
        <v>299</v>
      </c>
      <c r="F35" s="4"/>
    </row>
    <row r="36" spans="1:6" ht="15" customHeight="1">
      <c r="A36" s="320"/>
      <c r="B36" s="320"/>
      <c r="C36" s="6" t="s">
        <v>300</v>
      </c>
      <c r="D36" s="6" t="s">
        <v>300</v>
      </c>
      <c r="E36" s="6" t="s">
        <v>301</v>
      </c>
      <c r="F36" s="4"/>
    </row>
    <row r="37" spans="1:6" ht="25.5" customHeight="1">
      <c r="A37" s="316" t="s">
        <v>302</v>
      </c>
      <c r="B37" s="316" t="s">
        <v>303</v>
      </c>
      <c r="C37" s="11" t="s">
        <v>304</v>
      </c>
      <c r="D37" s="11" t="s">
        <v>304</v>
      </c>
      <c r="E37" s="11" t="s">
        <v>305</v>
      </c>
      <c r="F37" s="4"/>
    </row>
    <row r="38" spans="1:6" ht="15" customHeight="1">
      <c r="A38" s="317"/>
      <c r="B38" s="317"/>
      <c r="C38" s="11" t="s">
        <v>303</v>
      </c>
      <c r="D38" s="11" t="s">
        <v>680</v>
      </c>
      <c r="E38" s="90" t="s">
        <v>306</v>
      </c>
      <c r="F38" s="4"/>
    </row>
    <row r="39" spans="1:6" ht="15" customHeight="1">
      <c r="A39" s="318"/>
      <c r="B39" s="318"/>
      <c r="C39" s="11" t="s">
        <v>307</v>
      </c>
      <c r="D39" s="11" t="s">
        <v>307</v>
      </c>
      <c r="E39" s="11" t="s">
        <v>308</v>
      </c>
      <c r="F39" s="4"/>
    </row>
    <row r="40" spans="1:6" ht="15" customHeight="1">
      <c r="A40" s="11" t="s">
        <v>309</v>
      </c>
      <c r="B40" s="11" t="s">
        <v>310</v>
      </c>
      <c r="C40" s="11" t="s">
        <v>311</v>
      </c>
      <c r="D40" s="11" t="s">
        <v>311</v>
      </c>
      <c r="E40" s="11" t="s">
        <v>312</v>
      </c>
      <c r="F40" s="4"/>
    </row>
    <row r="41" spans="1:6" ht="15" customHeight="1">
      <c r="A41" s="11" t="s">
        <v>642</v>
      </c>
      <c r="B41" s="11" t="s">
        <v>313</v>
      </c>
      <c r="C41" s="4" t="s">
        <v>164</v>
      </c>
      <c r="D41" s="4" t="s">
        <v>164</v>
      </c>
      <c r="E41" s="10" t="s">
        <v>198</v>
      </c>
      <c r="F41" s="4"/>
    </row>
    <row r="42" spans="1:6" ht="15" customHeight="1">
      <c r="A42" s="4" t="s">
        <v>649</v>
      </c>
      <c r="B42" s="4" t="s">
        <v>250</v>
      </c>
      <c r="C42" s="4" t="s">
        <v>675</v>
      </c>
      <c r="D42" s="4" t="s">
        <v>650</v>
      </c>
      <c r="E42" s="10" t="s">
        <v>676</v>
      </c>
      <c r="F42" s="4" t="s">
        <v>203</v>
      </c>
    </row>
    <row r="43" spans="1:6" ht="15" customHeight="1">
      <c r="A43" s="4" t="s">
        <v>162</v>
      </c>
      <c r="B43" s="4" t="s">
        <v>166</v>
      </c>
      <c r="C43" s="4" t="s">
        <v>166</v>
      </c>
      <c r="D43" s="4" t="s">
        <v>166</v>
      </c>
      <c r="E43" s="10" t="s">
        <v>199</v>
      </c>
      <c r="F43" s="4" t="s">
        <v>203</v>
      </c>
    </row>
    <row r="44" spans="1:6" ht="15" customHeight="1">
      <c r="A44" s="4" t="s">
        <v>163</v>
      </c>
      <c r="B44" s="4" t="s">
        <v>165</v>
      </c>
      <c r="C44" s="4" t="s">
        <v>165</v>
      </c>
      <c r="D44" s="4" t="s">
        <v>165</v>
      </c>
      <c r="E44" s="10" t="s">
        <v>200</v>
      </c>
      <c r="F44" s="4" t="s">
        <v>203</v>
      </c>
    </row>
    <row r="45" spans="1:6" ht="15" customHeight="1">
      <c r="A45" s="4" t="s">
        <v>156</v>
      </c>
      <c r="B45" s="4" t="s">
        <v>193</v>
      </c>
      <c r="C45" s="4" t="s">
        <v>193</v>
      </c>
      <c r="D45" s="4" t="s">
        <v>193</v>
      </c>
      <c r="E45" s="4" t="s">
        <v>196</v>
      </c>
      <c r="F45" s="4" t="s">
        <v>203</v>
      </c>
    </row>
    <row r="46" spans="1:6" ht="15" customHeight="1">
      <c r="A46" s="4" t="s">
        <v>0</v>
      </c>
      <c r="B46" s="4" t="s">
        <v>195</v>
      </c>
      <c r="C46" s="4" t="s">
        <v>195</v>
      </c>
      <c r="D46" s="4" t="s">
        <v>195</v>
      </c>
      <c r="E46" s="10" t="s">
        <v>150</v>
      </c>
      <c r="F46" s="4" t="s">
        <v>203</v>
      </c>
    </row>
    <row r="47" spans="1:6" ht="15" customHeight="1">
      <c r="A47" s="316" t="s">
        <v>314</v>
      </c>
      <c r="B47" s="316" t="s">
        <v>330</v>
      </c>
      <c r="C47" s="11" t="s">
        <v>315</v>
      </c>
      <c r="D47" s="11" t="s">
        <v>315</v>
      </c>
      <c r="E47" s="11" t="s">
        <v>316</v>
      </c>
      <c r="F47" s="4"/>
    </row>
    <row r="48" spans="1:6" ht="15" customHeight="1">
      <c r="A48" s="317"/>
      <c r="B48" s="317"/>
      <c r="C48" s="11" t="s">
        <v>317</v>
      </c>
      <c r="D48" s="11" t="s">
        <v>317</v>
      </c>
      <c r="E48" s="11" t="s">
        <v>318</v>
      </c>
      <c r="F48" s="4"/>
    </row>
    <row r="49" spans="1:7" ht="15" customHeight="1">
      <c r="A49" s="317"/>
      <c r="B49" s="317"/>
      <c r="C49" s="11" t="s">
        <v>319</v>
      </c>
      <c r="D49" s="11" t="s">
        <v>319</v>
      </c>
      <c r="E49" s="11" t="s">
        <v>320</v>
      </c>
      <c r="F49" s="4"/>
    </row>
    <row r="50" spans="1:7" ht="15" customHeight="1">
      <c r="A50" s="317"/>
      <c r="B50" s="317"/>
      <c r="C50" s="11" t="s">
        <v>321</v>
      </c>
      <c r="D50" s="11" t="s">
        <v>321</v>
      </c>
      <c r="E50" s="11" t="s">
        <v>322</v>
      </c>
      <c r="F50" s="4"/>
      <c r="G50" s="3" t="s">
        <v>538</v>
      </c>
    </row>
    <row r="51" spans="1:7" ht="15" customHeight="1">
      <c r="A51" s="317"/>
      <c r="B51" s="317"/>
      <c r="C51" s="11" t="s">
        <v>323</v>
      </c>
      <c r="D51" s="11" t="s">
        <v>323</v>
      </c>
      <c r="E51" s="11" t="s">
        <v>324</v>
      </c>
      <c r="F51" s="4"/>
    </row>
    <row r="52" spans="1:7" ht="15" customHeight="1">
      <c r="A52" s="317"/>
      <c r="B52" s="317"/>
      <c r="C52" s="11" t="s">
        <v>325</v>
      </c>
      <c r="D52" s="11" t="s">
        <v>325</v>
      </c>
      <c r="E52" s="11" t="s">
        <v>326</v>
      </c>
      <c r="F52" s="4"/>
    </row>
    <row r="53" spans="1:7" ht="15" customHeight="1">
      <c r="A53" s="318"/>
      <c r="B53" s="317"/>
      <c r="C53" s="12" t="s">
        <v>327</v>
      </c>
      <c r="D53" s="12" t="s">
        <v>327</v>
      </c>
      <c r="E53" s="12" t="s">
        <v>328</v>
      </c>
      <c r="F53" s="4" t="s">
        <v>204</v>
      </c>
    </row>
    <row r="54" spans="1:7" ht="15" customHeight="1">
      <c r="A54" s="316" t="s">
        <v>329</v>
      </c>
      <c r="B54" s="317"/>
      <c r="C54" s="11" t="s">
        <v>331</v>
      </c>
      <c r="D54" s="11" t="s">
        <v>331</v>
      </c>
      <c r="E54" s="11" t="s">
        <v>332</v>
      </c>
      <c r="F54" s="4"/>
    </row>
    <row r="55" spans="1:7" ht="15" customHeight="1">
      <c r="A55" s="317"/>
      <c r="B55" s="317"/>
      <c r="C55" s="11" t="s">
        <v>333</v>
      </c>
      <c r="D55" s="11" t="s">
        <v>333</v>
      </c>
      <c r="E55" s="11" t="s">
        <v>334</v>
      </c>
      <c r="F55" s="4"/>
    </row>
    <row r="56" spans="1:7" ht="15" customHeight="1">
      <c r="A56" s="318"/>
      <c r="B56" s="318"/>
      <c r="C56" s="11" t="s">
        <v>335</v>
      </c>
      <c r="D56" s="11" t="s">
        <v>335</v>
      </c>
      <c r="E56" s="11" t="s">
        <v>336</v>
      </c>
      <c r="F56" s="4"/>
    </row>
    <row r="57" spans="1:7" ht="15" customHeight="1">
      <c r="A57" s="11" t="s">
        <v>337</v>
      </c>
      <c r="B57" s="11" t="s">
        <v>671</v>
      </c>
      <c r="C57" s="11" t="s">
        <v>674</v>
      </c>
      <c r="D57" s="11" t="s">
        <v>672</v>
      </c>
      <c r="E57" s="11" t="s">
        <v>673</v>
      </c>
      <c r="F57" s="4"/>
    </row>
    <row r="58" spans="1:7" ht="15" customHeight="1">
      <c r="A58" s="11" t="s">
        <v>338</v>
      </c>
      <c r="B58" s="11" t="s">
        <v>339</v>
      </c>
      <c r="C58" s="11" t="s">
        <v>340</v>
      </c>
      <c r="D58" s="11" t="s">
        <v>340</v>
      </c>
      <c r="E58" s="11" t="s">
        <v>341</v>
      </c>
      <c r="F58" s="4"/>
    </row>
    <row r="59" spans="1:7" ht="15" customHeight="1">
      <c r="A59" s="316" t="s">
        <v>171</v>
      </c>
      <c r="B59" s="316" t="s">
        <v>342</v>
      </c>
      <c r="C59" s="13" t="s">
        <v>343</v>
      </c>
      <c r="D59" s="11" t="s">
        <v>344</v>
      </c>
      <c r="E59" s="11" t="s">
        <v>345</v>
      </c>
      <c r="F59" s="4"/>
    </row>
    <row r="60" spans="1:7" ht="15" customHeight="1">
      <c r="A60" s="318"/>
      <c r="B60" s="318"/>
      <c r="C60" s="14"/>
      <c r="D60" s="11" t="s">
        <v>346</v>
      </c>
      <c r="E60" s="11" t="s">
        <v>347</v>
      </c>
      <c r="F60" s="4"/>
    </row>
    <row r="61" spans="1:7" ht="15" customHeight="1">
      <c r="A61" s="11" t="s">
        <v>175</v>
      </c>
      <c r="B61" s="11" t="s">
        <v>348</v>
      </c>
      <c r="C61" s="11" t="s">
        <v>348</v>
      </c>
      <c r="D61" s="11" t="s">
        <v>348</v>
      </c>
      <c r="E61" s="11" t="s">
        <v>349</v>
      </c>
      <c r="F61" s="4"/>
    </row>
    <row r="62" spans="1:7" ht="15" customHeight="1">
      <c r="A62" s="316" t="s">
        <v>173</v>
      </c>
      <c r="B62" s="316" t="s">
        <v>350</v>
      </c>
      <c r="C62" s="11" t="s">
        <v>351</v>
      </c>
      <c r="D62" s="11" t="s">
        <v>352</v>
      </c>
      <c r="E62" s="11" t="s">
        <v>353</v>
      </c>
      <c r="F62" s="4"/>
    </row>
    <row r="63" spans="1:7" ht="15" customHeight="1">
      <c r="A63" s="317"/>
      <c r="B63" s="317"/>
      <c r="C63" s="11" t="s">
        <v>354</v>
      </c>
      <c r="D63" s="11" t="s">
        <v>354</v>
      </c>
      <c r="E63" s="11" t="s">
        <v>355</v>
      </c>
      <c r="F63" s="4"/>
    </row>
    <row r="64" spans="1:7" ht="15" customHeight="1">
      <c r="A64" s="317"/>
      <c r="B64" s="317"/>
      <c r="C64" s="11" t="s">
        <v>356</v>
      </c>
      <c r="D64" s="11" t="s">
        <v>356</v>
      </c>
      <c r="E64" s="11" t="s">
        <v>357</v>
      </c>
      <c r="F64" s="4"/>
    </row>
    <row r="65" spans="1:6" ht="15" customHeight="1">
      <c r="A65" s="318"/>
      <c r="B65" s="318"/>
      <c r="C65" s="11" t="s">
        <v>358</v>
      </c>
      <c r="D65" s="11" t="s">
        <v>358</v>
      </c>
      <c r="E65" s="11" t="s">
        <v>359</v>
      </c>
      <c r="F65" s="4"/>
    </row>
    <row r="66" spans="1:6" ht="15" customHeight="1">
      <c r="A66" s="316" t="s">
        <v>174</v>
      </c>
      <c r="B66" s="316" t="s">
        <v>360</v>
      </c>
      <c r="C66" s="316" t="s">
        <v>361</v>
      </c>
      <c r="D66" s="11" t="s">
        <v>362</v>
      </c>
      <c r="E66" s="11" t="s">
        <v>363</v>
      </c>
      <c r="F66" s="4"/>
    </row>
    <row r="67" spans="1:6" ht="15" customHeight="1">
      <c r="A67" s="317"/>
      <c r="B67" s="317"/>
      <c r="C67" s="317"/>
      <c r="D67" s="11" t="s">
        <v>364</v>
      </c>
      <c r="E67" s="11" t="s">
        <v>365</v>
      </c>
      <c r="F67" s="4"/>
    </row>
    <row r="68" spans="1:6" ht="15" customHeight="1">
      <c r="A68" s="318"/>
      <c r="B68" s="318"/>
      <c r="C68" s="318"/>
      <c r="D68" s="11" t="s">
        <v>366</v>
      </c>
      <c r="E68" s="11" t="s">
        <v>367</v>
      </c>
      <c r="F68" s="4"/>
    </row>
    <row r="69" spans="1:6" ht="15" customHeight="1">
      <c r="A69" s="316" t="s">
        <v>179</v>
      </c>
      <c r="B69" s="316" t="s">
        <v>368</v>
      </c>
      <c r="C69" s="11" t="s">
        <v>369</v>
      </c>
      <c r="D69" s="11" t="s">
        <v>369</v>
      </c>
      <c r="E69" s="11" t="s">
        <v>370</v>
      </c>
      <c r="F69" s="4"/>
    </row>
    <row r="70" spans="1:6" ht="15" customHeight="1">
      <c r="A70" s="318"/>
      <c r="B70" s="318"/>
      <c r="C70" s="11" t="s">
        <v>371</v>
      </c>
      <c r="D70" s="11" t="s">
        <v>371</v>
      </c>
      <c r="E70" s="11" t="s">
        <v>372</v>
      </c>
      <c r="F70" s="4"/>
    </row>
    <row r="71" spans="1:6" ht="15" customHeight="1">
      <c r="A71" s="11" t="s">
        <v>373</v>
      </c>
      <c r="B71" s="11" t="s">
        <v>374</v>
      </c>
      <c r="C71" s="11" t="s">
        <v>375</v>
      </c>
      <c r="D71" s="11" t="s">
        <v>375</v>
      </c>
      <c r="E71" s="11" t="s">
        <v>376</v>
      </c>
      <c r="F71" s="4"/>
    </row>
    <row r="72" spans="1:6" ht="15" customHeight="1">
      <c r="A72" s="15" t="s">
        <v>185</v>
      </c>
      <c r="B72" s="11" t="s">
        <v>377</v>
      </c>
      <c r="C72" s="11" t="s">
        <v>377</v>
      </c>
      <c r="D72" s="11" t="s">
        <v>378</v>
      </c>
      <c r="E72" s="11" t="s">
        <v>379</v>
      </c>
      <c r="F72" s="4"/>
    </row>
    <row r="73" spans="1:6" ht="15" customHeight="1">
      <c r="A73" s="11" t="s">
        <v>668</v>
      </c>
      <c r="B73" s="11" t="s">
        <v>381</v>
      </c>
      <c r="C73" s="11" t="s">
        <v>381</v>
      </c>
      <c r="D73" s="11" t="s">
        <v>669</v>
      </c>
      <c r="E73" s="11" t="s">
        <v>670</v>
      </c>
      <c r="F73" s="4" t="s">
        <v>203</v>
      </c>
    </row>
    <row r="74" spans="1:6" ht="25.5">
      <c r="A74" s="4" t="s">
        <v>655</v>
      </c>
      <c r="B74" s="64" t="s">
        <v>678</v>
      </c>
      <c r="C74" s="64" t="s">
        <v>678</v>
      </c>
      <c r="D74" s="63" t="s">
        <v>677</v>
      </c>
      <c r="E74" s="11" t="s">
        <v>906</v>
      </c>
      <c r="F74" s="4" t="s">
        <v>203</v>
      </c>
    </row>
    <row r="75" spans="1:6">
      <c r="A75" s="4" t="s">
        <v>656</v>
      </c>
      <c r="B75" s="4" t="s">
        <v>657</v>
      </c>
      <c r="C75" s="4" t="s">
        <v>657</v>
      </c>
      <c r="D75" s="4" t="s">
        <v>657</v>
      </c>
      <c r="E75" s="11" t="s">
        <v>679</v>
      </c>
      <c r="F75" s="4" t="s">
        <v>203</v>
      </c>
    </row>
    <row r="76" spans="1:6">
      <c r="A76" s="4"/>
      <c r="B76" s="4"/>
      <c r="C76" s="4"/>
      <c r="D76" s="4"/>
      <c r="E76" s="4"/>
      <c r="F76" s="4"/>
    </row>
    <row r="77" spans="1:6">
      <c r="A77" s="4"/>
      <c r="B77" s="4"/>
      <c r="C77" s="4"/>
      <c r="D77" s="4"/>
      <c r="E77" s="4"/>
      <c r="F77" s="4"/>
    </row>
    <row r="78" spans="1:6">
      <c r="A78" s="4"/>
      <c r="B78" s="4"/>
      <c r="C78" s="4"/>
      <c r="D78" s="4"/>
      <c r="E78" s="4"/>
      <c r="F78" s="4"/>
    </row>
    <row r="79" spans="1:6">
      <c r="A79" s="4"/>
      <c r="B79" s="4"/>
      <c r="C79" s="4"/>
      <c r="D79" s="4"/>
      <c r="E79" s="4"/>
      <c r="F79" s="4"/>
    </row>
    <row r="80" spans="1:6">
      <c r="A80" s="4"/>
      <c r="B80" s="4"/>
      <c r="C80" s="4"/>
      <c r="D80" s="4"/>
      <c r="E80" s="4"/>
      <c r="F80" s="4"/>
    </row>
    <row r="81" spans="1:6">
      <c r="A81" s="4"/>
      <c r="B81" s="4"/>
      <c r="C81" s="4"/>
      <c r="D81" s="4"/>
      <c r="E81" s="4"/>
      <c r="F81" s="4"/>
    </row>
    <row r="82" spans="1:6">
      <c r="A82" s="4"/>
      <c r="B82" s="4"/>
      <c r="C82" s="4"/>
      <c r="D82" s="4"/>
      <c r="E82" s="4"/>
      <c r="F82" s="4"/>
    </row>
    <row r="83" spans="1:6">
      <c r="A83" s="4"/>
      <c r="B83" s="4"/>
      <c r="C83" s="4"/>
      <c r="D83" s="4"/>
      <c r="E83" s="4"/>
      <c r="F83" s="4"/>
    </row>
    <row r="84" spans="1:6">
      <c r="A84" s="4"/>
      <c r="B84" s="4"/>
      <c r="C84" s="4"/>
      <c r="D84" s="4"/>
      <c r="E84" s="4"/>
      <c r="F84" s="4"/>
    </row>
    <row r="85" spans="1:6">
      <c r="A85" s="4"/>
      <c r="B85" s="4"/>
      <c r="C85" s="4"/>
      <c r="D85" s="4"/>
      <c r="E85" s="4"/>
      <c r="F85" s="4"/>
    </row>
    <row r="86" spans="1:6">
      <c r="A86" s="4"/>
      <c r="B86" s="4"/>
      <c r="C86" s="4"/>
      <c r="D86" s="4"/>
      <c r="E86" s="4"/>
      <c r="F86" s="4"/>
    </row>
    <row r="87" spans="1:6">
      <c r="A87" s="4"/>
      <c r="B87" s="4"/>
      <c r="C87" s="4"/>
      <c r="D87" s="4"/>
      <c r="E87" s="4"/>
      <c r="F87" s="4"/>
    </row>
    <row r="88" spans="1:6">
      <c r="A88" s="4"/>
      <c r="B88" s="4"/>
      <c r="C88" s="4"/>
      <c r="D88" s="4"/>
      <c r="E88" s="4"/>
      <c r="F88" s="4"/>
    </row>
    <row r="89" spans="1:6">
      <c r="A89" s="4"/>
      <c r="B89" s="4"/>
      <c r="C89" s="4"/>
      <c r="D89" s="4"/>
      <c r="E89" s="4"/>
      <c r="F89" s="4"/>
    </row>
    <row r="90" spans="1:6">
      <c r="A90" s="4"/>
      <c r="B90" s="4"/>
      <c r="C90" s="4"/>
      <c r="D90" s="4"/>
      <c r="E90" s="4"/>
      <c r="F90" s="4"/>
    </row>
    <row r="91" spans="1:6">
      <c r="A91" s="4"/>
      <c r="B91" s="4"/>
      <c r="C91" s="4"/>
      <c r="D91" s="4"/>
      <c r="E91" s="4"/>
      <c r="F91" s="4"/>
    </row>
    <row r="92" spans="1:6">
      <c r="A92" s="4"/>
      <c r="B92" s="4"/>
      <c r="C92" s="4"/>
      <c r="D92" s="4"/>
      <c r="E92" s="4"/>
      <c r="F92" s="4"/>
    </row>
    <row r="93" spans="1:6">
      <c r="A93" s="4"/>
      <c r="B93" s="4"/>
      <c r="C93" s="4"/>
      <c r="D93" s="4"/>
      <c r="E93" s="4"/>
      <c r="F93" s="4"/>
    </row>
    <row r="94" spans="1:6">
      <c r="A94" s="4"/>
      <c r="B94" s="4"/>
      <c r="C94" s="4"/>
      <c r="D94" s="4"/>
      <c r="E94" s="4"/>
      <c r="F94" s="4"/>
    </row>
    <row r="95" spans="1:6">
      <c r="A95" s="4"/>
      <c r="B95" s="4"/>
      <c r="C95" s="4"/>
      <c r="D95" s="4"/>
      <c r="E95" s="4"/>
      <c r="F95" s="4"/>
    </row>
    <row r="96" spans="1:6">
      <c r="A96" s="4"/>
      <c r="B96" s="4"/>
      <c r="C96" s="4"/>
      <c r="D96" s="4"/>
      <c r="E96" s="4"/>
      <c r="F96" s="4"/>
    </row>
    <row r="97" spans="1:6">
      <c r="A97" s="4"/>
      <c r="B97" s="4"/>
      <c r="C97" s="4"/>
      <c r="D97" s="4"/>
      <c r="E97" s="4"/>
      <c r="F97" s="4"/>
    </row>
    <row r="98" spans="1:6">
      <c r="A98" s="4"/>
      <c r="B98" s="4"/>
      <c r="C98" s="4"/>
      <c r="D98" s="4"/>
      <c r="E98" s="4"/>
      <c r="F98" s="4"/>
    </row>
    <row r="99" spans="1:6">
      <c r="A99" s="4"/>
      <c r="B99" s="4"/>
      <c r="C99" s="4"/>
      <c r="D99" s="4"/>
      <c r="E99" s="4"/>
      <c r="F99" s="4"/>
    </row>
    <row r="100" spans="1:6">
      <c r="A100" s="4"/>
      <c r="B100" s="4"/>
      <c r="C100" s="4"/>
      <c r="D100" s="4"/>
      <c r="E100" s="4"/>
      <c r="F100" s="4"/>
    </row>
    <row r="101" spans="1:6">
      <c r="A101" s="4"/>
      <c r="B101" s="4"/>
      <c r="C101" s="4"/>
      <c r="D101" s="4"/>
      <c r="E101" s="4"/>
      <c r="F101" s="4"/>
    </row>
    <row r="102" spans="1:6">
      <c r="A102" s="4"/>
      <c r="B102" s="4"/>
      <c r="C102" s="4"/>
      <c r="D102" s="4"/>
      <c r="E102" s="4"/>
      <c r="F102" s="4"/>
    </row>
    <row r="103" spans="1:6">
      <c r="A103" s="4"/>
      <c r="B103" s="4"/>
      <c r="C103" s="4"/>
      <c r="D103" s="4"/>
      <c r="E103" s="4"/>
      <c r="F103" s="4"/>
    </row>
    <row r="104" spans="1:6">
      <c r="A104" s="4"/>
      <c r="B104" s="4"/>
      <c r="C104" s="4"/>
      <c r="D104" s="4"/>
      <c r="E104" s="4"/>
      <c r="F104" s="4"/>
    </row>
    <row r="105" spans="1:6">
      <c r="A105" s="4"/>
      <c r="B105" s="4"/>
      <c r="C105" s="4"/>
      <c r="D105" s="4"/>
      <c r="E105" s="4"/>
      <c r="F105" s="4"/>
    </row>
    <row r="106" spans="1:6">
      <c r="A106" s="4"/>
      <c r="B106" s="4"/>
      <c r="C106" s="4"/>
      <c r="D106" s="4"/>
      <c r="E106" s="4"/>
      <c r="F106" s="4"/>
    </row>
    <row r="107" spans="1:6">
      <c r="A107" s="4"/>
      <c r="B107" s="4"/>
      <c r="C107" s="4"/>
      <c r="D107" s="4"/>
      <c r="E107" s="4"/>
      <c r="F107" s="4"/>
    </row>
    <row r="108" spans="1:6">
      <c r="A108" s="4"/>
      <c r="B108" s="4"/>
      <c r="C108" s="4"/>
      <c r="D108" s="4"/>
      <c r="E108" s="4"/>
      <c r="F108" s="4"/>
    </row>
    <row r="109" spans="1:6">
      <c r="A109" s="4"/>
      <c r="B109" s="4"/>
      <c r="C109" s="4"/>
      <c r="D109" s="4"/>
      <c r="E109" s="4"/>
      <c r="F109" s="4"/>
    </row>
    <row r="110" spans="1:6">
      <c r="A110" s="4"/>
      <c r="B110" s="4"/>
      <c r="C110" s="4"/>
      <c r="D110" s="4"/>
      <c r="E110" s="4"/>
      <c r="F110" s="4"/>
    </row>
    <row r="111" spans="1:6">
      <c r="A111" s="4"/>
      <c r="B111" s="4"/>
      <c r="C111" s="4"/>
      <c r="D111" s="4"/>
      <c r="E111" s="4"/>
      <c r="F111" s="4"/>
    </row>
    <row r="112" spans="1:6">
      <c r="A112" s="4"/>
      <c r="B112" s="4"/>
      <c r="C112" s="4"/>
      <c r="D112" s="4"/>
      <c r="E112" s="4"/>
      <c r="F112" s="4"/>
    </row>
    <row r="113" spans="1:6">
      <c r="A113" s="4"/>
      <c r="B113" s="4"/>
      <c r="C113" s="4"/>
      <c r="D113" s="4"/>
      <c r="E113" s="4"/>
      <c r="F113" s="4"/>
    </row>
    <row r="114" spans="1:6">
      <c r="A114" s="4"/>
      <c r="B114" s="4"/>
      <c r="C114" s="4"/>
      <c r="D114" s="4"/>
      <c r="E114" s="4"/>
      <c r="F114" s="4"/>
    </row>
    <row r="115" spans="1:6">
      <c r="A115" s="4"/>
      <c r="B115" s="4"/>
      <c r="C115" s="4"/>
      <c r="D115" s="4"/>
      <c r="E115" s="4"/>
      <c r="F115" s="4"/>
    </row>
    <row r="116" spans="1:6">
      <c r="A116" s="4"/>
      <c r="B116" s="4"/>
      <c r="C116" s="4"/>
      <c r="D116" s="4"/>
      <c r="E116" s="4"/>
      <c r="F116" s="4"/>
    </row>
    <row r="117" spans="1:6">
      <c r="A117" s="4"/>
      <c r="B117" s="4"/>
      <c r="C117" s="4"/>
      <c r="D117" s="4"/>
      <c r="E117" s="4"/>
      <c r="F117" s="4"/>
    </row>
    <row r="118" spans="1:6">
      <c r="A118" s="4"/>
      <c r="B118" s="4"/>
      <c r="C118" s="4"/>
      <c r="D118" s="4"/>
      <c r="E118" s="4"/>
      <c r="F118" s="4"/>
    </row>
    <row r="119" spans="1:6">
      <c r="A119" s="4"/>
      <c r="B119" s="4"/>
      <c r="C119" s="4"/>
      <c r="D119" s="4"/>
      <c r="E119" s="4"/>
      <c r="F119" s="4"/>
    </row>
    <row r="120" spans="1:6">
      <c r="A120" s="4"/>
      <c r="B120" s="4"/>
      <c r="C120" s="4"/>
      <c r="D120" s="4"/>
      <c r="E120" s="4"/>
      <c r="F120" s="4"/>
    </row>
    <row r="121" spans="1:6">
      <c r="A121" s="4"/>
      <c r="B121" s="4"/>
      <c r="C121" s="4"/>
      <c r="D121" s="4"/>
      <c r="E121" s="4"/>
      <c r="F121" s="4"/>
    </row>
    <row r="122" spans="1:6">
      <c r="A122" s="4"/>
      <c r="B122" s="4"/>
      <c r="C122" s="4"/>
      <c r="D122" s="4"/>
      <c r="E122" s="4"/>
      <c r="F122" s="4"/>
    </row>
    <row r="123" spans="1:6">
      <c r="A123" s="4"/>
      <c r="B123" s="4"/>
      <c r="C123" s="4"/>
      <c r="D123" s="4"/>
      <c r="E123" s="4"/>
      <c r="F123" s="4"/>
    </row>
    <row r="124" spans="1:6">
      <c r="A124" s="4"/>
      <c r="B124" s="4"/>
      <c r="C124" s="4"/>
      <c r="D124" s="4"/>
      <c r="E124" s="4"/>
      <c r="F124" s="4"/>
    </row>
    <row r="125" spans="1:6">
      <c r="A125" s="4"/>
      <c r="B125" s="4"/>
      <c r="C125" s="4"/>
      <c r="D125" s="4"/>
      <c r="E125" s="4"/>
      <c r="F125" s="4"/>
    </row>
    <row r="126" spans="1:6">
      <c r="A126" s="4"/>
      <c r="B126" s="4"/>
      <c r="C126" s="4"/>
      <c r="D126" s="4"/>
      <c r="E126" s="4"/>
      <c r="F126" s="4"/>
    </row>
    <row r="127" spans="1:6">
      <c r="A127" s="4"/>
      <c r="B127" s="4"/>
      <c r="C127" s="4"/>
      <c r="D127" s="4"/>
      <c r="E127" s="4"/>
      <c r="F127" s="4"/>
    </row>
    <row r="128" spans="1:6">
      <c r="A128" s="4"/>
      <c r="B128" s="4"/>
      <c r="C128" s="4"/>
      <c r="D128" s="4"/>
      <c r="E128" s="4"/>
      <c r="F128" s="4"/>
    </row>
    <row r="129" spans="1:6">
      <c r="A129" s="4"/>
      <c r="B129" s="4"/>
      <c r="C129" s="4"/>
      <c r="D129" s="4"/>
      <c r="E129" s="4"/>
      <c r="F129" s="4"/>
    </row>
    <row r="130" spans="1:6">
      <c r="A130" s="4"/>
      <c r="B130" s="4"/>
      <c r="C130" s="4"/>
      <c r="D130" s="4"/>
      <c r="E130" s="4"/>
      <c r="F130" s="4"/>
    </row>
    <row r="131" spans="1:6">
      <c r="A131" s="4"/>
      <c r="B131" s="4"/>
      <c r="C131" s="4"/>
      <c r="D131" s="4"/>
      <c r="E131" s="4"/>
      <c r="F131" s="4"/>
    </row>
    <row r="132" spans="1:6">
      <c r="A132" s="4"/>
      <c r="B132" s="4"/>
      <c r="C132" s="4"/>
      <c r="D132" s="4"/>
      <c r="E132" s="4"/>
      <c r="F132" s="4"/>
    </row>
    <row r="133" spans="1:6">
      <c r="A133" s="4"/>
      <c r="B133" s="4"/>
      <c r="C133" s="4"/>
      <c r="D133" s="4"/>
      <c r="E133" s="4"/>
      <c r="F133" s="4"/>
    </row>
  </sheetData>
  <customSheetViews>
    <customSheetView guid="{C9815ABB-3DC4-47A9-84D6-09FB286015CF}" topLeftCell="A22">
      <selection activeCell="D25" sqref="D25:D26"/>
      <pageMargins left="0.511811024" right="0.511811024" top="0.78740157499999996" bottom="0.78740157499999996" header="0.31496062000000002" footer="0.31496062000000002"/>
      <pageSetup paperSize="9" orientation="portrait" r:id="rId1"/>
    </customSheetView>
    <customSheetView guid="{49CEE367-5EFB-43A6-A8AC-378611FA0BCF}" topLeftCell="A28">
      <selection activeCell="A42" sqref="A42"/>
      <pageMargins left="0.511811024" right="0.511811024" top="0.78740157499999996" bottom="0.78740157499999996" header="0.31496062000000002" footer="0.31496062000000002"/>
      <pageSetup paperSize="9" orientation="portrait" r:id="rId2"/>
    </customSheetView>
  </customSheetViews>
  <mergeCells count="30">
    <mergeCell ref="A59:A60"/>
    <mergeCell ref="B59:B60"/>
    <mergeCell ref="A62:A65"/>
    <mergeCell ref="B62:B65"/>
    <mergeCell ref="A37:A39"/>
    <mergeCell ref="B37:B39"/>
    <mergeCell ref="A47:A53"/>
    <mergeCell ref="A54:A56"/>
    <mergeCell ref="B47:B56"/>
    <mergeCell ref="A25:A26"/>
    <mergeCell ref="B25:B27"/>
    <mergeCell ref="A30:A32"/>
    <mergeCell ref="A34:A36"/>
    <mergeCell ref="B34:B36"/>
    <mergeCell ref="A14:A16"/>
    <mergeCell ref="B14:B16"/>
    <mergeCell ref="B17:B20"/>
    <mergeCell ref="A23:A24"/>
    <mergeCell ref="B23:B24"/>
    <mergeCell ref="A3:A4"/>
    <mergeCell ref="A6:A7"/>
    <mergeCell ref="B6:B8"/>
    <mergeCell ref="B3:B4"/>
    <mergeCell ref="A9:A10"/>
    <mergeCell ref="B9:B13"/>
    <mergeCell ref="A66:A68"/>
    <mergeCell ref="B66:B68"/>
    <mergeCell ref="C66:C68"/>
    <mergeCell ref="A69:A70"/>
    <mergeCell ref="B69:B70"/>
  </mergeCells>
  <hyperlinks>
    <hyperlink ref="E3" r:id="rId3" display="mailto:charlene.silva@oi.net.br"/>
    <hyperlink ref="E4" r:id="rId4" display="mailto:viviane.calaca@oi.net.br"/>
    <hyperlink ref="E5" r:id="rId5" display="mailto:karina.fortes@oi.net.br"/>
    <hyperlink ref="E6" r:id="rId6" display="mailto:marcelo.gomes@oi.net.br"/>
    <hyperlink ref="E7" r:id="rId7" display="mailto:pan@oi.net.br"/>
    <hyperlink ref="E8" r:id="rId8" display="mailto:patricia.gouveia@oi.net.br"/>
    <hyperlink ref="E9" r:id="rId9" display="mailto:philippe.carmo@oi.net.br"/>
    <hyperlink ref="E10" r:id="rId10" display="mailto:carolina.gava@oi.net.br"/>
    <hyperlink ref="E11" r:id="rId11" display="mailto:liege.casqueiro@oi.net.br"/>
    <hyperlink ref="E12" r:id="rId12" display="mailto:manuela.grande@oi.net.br"/>
    <hyperlink ref="E13" r:id="rId13" display="mailto:eduardo.streit@oi.net.br"/>
    <hyperlink ref="E14" r:id="rId14" display="mailto:paulo.vidal@oi.net.br"/>
    <hyperlink ref="E15" r:id="rId15" display="mailto:erika.braga@oi.net.br"/>
    <hyperlink ref="E16" r:id="rId16" display="mailto:hozana.braga@oi.net.br"/>
    <hyperlink ref="E17" r:id="rId17" display="mailto:daniel.sanguedo@oi.net.br"/>
    <hyperlink ref="E18" r:id="rId18" display="mailto:iara.braga@oi.net.br"/>
    <hyperlink ref="E20" r:id="rId19" display="mailto:alessandro.varme@oi.net.br"/>
    <hyperlink ref="E21" r:id="rId20" display="mailto:marina.maciel@oi.net.br"/>
    <hyperlink ref="E22" r:id="rId21" display="mailto:barbara.erthal@oi.net.br"/>
    <hyperlink ref="E23" r:id="rId22" display="mailto:derick.assis@oi.net.br"/>
    <hyperlink ref="E24" r:id="rId23"/>
    <hyperlink ref="E25" r:id="rId24" display="mailto:julia.torres@oi.net.br"/>
    <hyperlink ref="E26" r:id="rId25" display="mailto:alessandra.benevides@oi.net.br"/>
    <hyperlink ref="E28" r:id="rId26" display="mailto:douglas.coelho@oi.net.br"/>
    <hyperlink ref="E29" r:id="rId27" display="mailto:carolina.arlotta@oi.net.br"/>
    <hyperlink ref="E30" r:id="rId28" display="mailto:bernardo.ieno@oi.net.br"/>
    <hyperlink ref="E33" r:id="rId29" display="mailto:rafael.muniz@oi.net.br"/>
    <hyperlink ref="E35" r:id="rId30" display="mailto:carlosgalvao@oi.net.br"/>
    <hyperlink ref="E36" r:id="rId31" display="mailto:jorgelsc@oi.net.br"/>
    <hyperlink ref="E37" r:id="rId32" display="mailto:valeria.braga@oi.net.br"/>
    <hyperlink ref="E38" r:id="rId33"/>
    <hyperlink ref="E39" r:id="rId34" display="mailto:jussara.rocha@oi.net.br"/>
    <hyperlink ref="E40" r:id="rId35" display="mailto:cintia.rau@oi.net.br"/>
    <hyperlink ref="E41" r:id="rId36" display="mailto:diego.avelar@oi.net.br"/>
    <hyperlink ref="E47" r:id="rId37" display="mailto:felicia@oi.net.br"/>
    <hyperlink ref="E48" r:id="rId38" display="mailto:daniela.greco@oi.net.br"/>
    <hyperlink ref="E49" r:id="rId39" display="mailto:renato.elias@oi.net.br"/>
    <hyperlink ref="E50" r:id="rId40" display="mailto:hugo.nascimento@oi.net.br"/>
    <hyperlink ref="E51" r:id="rId41" display="mailto:rafael.almeida@oi.net.br"/>
    <hyperlink ref="E52" r:id="rId42" display="mailto:priscila.monteza@oi.net.br"/>
    <hyperlink ref="E53" r:id="rId43" display="mailto:josecler.alves@oi.net.br"/>
    <hyperlink ref="E54" r:id="rId44" display="mailto:anderson.esteves@oi.net.br"/>
    <hyperlink ref="E55" r:id="rId45" display="mailto:thiego.sampaio@oi.net.br"/>
    <hyperlink ref="E56" r:id="rId46" display="mailto:anamurad@oi.net.br"/>
    <hyperlink ref="E58" r:id="rId47" display="mailto:barbara.martinho@oi.net.br"/>
    <hyperlink ref="E59" r:id="rId48" display="mailto:leonardo.serejo@oi.net.br"/>
    <hyperlink ref="E60" r:id="rId49" display="mailto:clarita.ferreira@oi.net.br"/>
    <hyperlink ref="E61" r:id="rId50" display="mailto:rafael.amorim@oi.net.br"/>
    <hyperlink ref="E62" r:id="rId51" display="mailto:melchiades.neto@oi.net.br"/>
    <hyperlink ref="E63" r:id="rId52" display="mailto:carolina.barros@oi.net.br"/>
    <hyperlink ref="E64" r:id="rId53" display="mailto:daniel.nassur@oi.net.br"/>
    <hyperlink ref="E65" r:id="rId54" display="mailto:carlos.lapa@oi.net.br"/>
    <hyperlink ref="E66" r:id="rId55" display="mailto:taian@oi.net.br"/>
    <hyperlink ref="E67" r:id="rId56" display="mailto:wagner.triano@oi.net.br"/>
    <hyperlink ref="E68" r:id="rId57" display="mailto:cid.junior@oi.net.br"/>
    <hyperlink ref="E69" r:id="rId58" display="mailto:luis.wright@oi.net.br"/>
    <hyperlink ref="E70" r:id="rId59" display="mailto:sergio.figueiredo@oi.net.br"/>
    <hyperlink ref="E71" r:id="rId60" display="mailto:nivaldo.santos@oi.net.br"/>
    <hyperlink ref="E72" r:id="rId61" display="mailto:bruno.palombo@oi.net.br"/>
    <hyperlink ref="E31" r:id="rId62" display="mailto:marcia.fonseca@oi.net.br"/>
    <hyperlink ref="E46" r:id="rId63"/>
    <hyperlink ref="E42" r:id="rId64"/>
    <hyperlink ref="E43" r:id="rId65"/>
    <hyperlink ref="E44" r:id="rId66"/>
    <hyperlink ref="E32" r:id="rId67"/>
    <hyperlink ref="E19" r:id="rId68"/>
    <hyperlink ref="E34" r:id="rId69" display="mailto:mariana.doher@oi.net.br"/>
    <hyperlink ref="E73" r:id="rId70"/>
    <hyperlink ref="E57" r:id="rId71"/>
    <hyperlink ref="E74" r:id="rId72" display="emanuelle.rocha@oi.net.br"/>
    <hyperlink ref="E75" r:id="rId73"/>
  </hyperlinks>
  <pageMargins left="0.511811024" right="0.511811024" top="0.78740157499999996" bottom="0.78740157499999996" header="0.31496062000000002" footer="0.31496062000000002"/>
  <pageSetup paperSize="9" orientation="portrait" r:id="rId7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80" zoomScaleNormal="80" workbookViewId="0">
      <selection activeCell="B11" sqref="B11"/>
    </sheetView>
  </sheetViews>
  <sheetFormatPr defaultRowHeight="15"/>
  <sheetData/>
  <customSheetViews>
    <customSheetView guid="{C9815ABB-3DC4-47A9-84D6-09FB286015CF}" scale="80">
      <selection activeCell="V8" sqref="V8"/>
      <pageMargins left="0.511811024" right="0.511811024" top="0.78740157499999996" bottom="0.78740157499999996" header="0.31496062000000002" footer="0.31496062000000002"/>
    </customSheetView>
    <customSheetView guid="{49CEE367-5EFB-43A6-A8AC-378611FA0BCF}" scale="80">
      <selection activeCell="V8" sqref="V8"/>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Anexo A-TODOS OS SERVIÇOS (OLD)</vt:lpstr>
      <vt:lpstr>Anexo A - TODOS OS SERVIÇOS</vt:lpstr>
      <vt:lpstr>Anexo A - DIN TODOS OS SERVIÇOS</vt:lpstr>
      <vt:lpstr>Anexo A -DIN2 TODOS OS SERVIÇOS</vt:lpstr>
      <vt:lpstr>Anexo A -DRAF TODOS OS SERVIÇOS</vt:lpstr>
      <vt:lpstr>Draft Anexo A - Dinâmica</vt:lpstr>
      <vt:lpstr>Draft Anexo A</vt:lpstr>
      <vt:lpstr>Draft Anexo B</vt:lpstr>
      <vt:lpstr>Anexo B - Aberto por gerente</vt:lpstr>
      <vt:lpstr>Comentários adicionais</vt:lpstr>
      <vt:lpstr>Anexo B - old (até 10-05)</vt:lpstr>
      <vt:lpstr>Anexo B - Modelo Móvel</vt:lpstr>
      <vt:lpstr>Pontos Focais ClientCO</vt:lpstr>
      <vt:lpstr>Produtos ClientCo</vt:lpstr>
    </vt:vector>
  </TitlesOfParts>
  <Company>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De Moraes Alves</dc:creator>
  <cp:lastModifiedBy>Leandro De Moraes Alves</cp:lastModifiedBy>
  <dcterms:created xsi:type="dcterms:W3CDTF">2024-04-11T18:12:54Z</dcterms:created>
  <dcterms:modified xsi:type="dcterms:W3CDTF">2024-07-19T13:29:54Z</dcterms:modified>
</cp:coreProperties>
</file>