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i417992\Desktop\Oi TV\"/>
    </mc:Choice>
  </mc:AlternateContent>
  <bookViews>
    <workbookView xWindow="0" yWindow="0" windowWidth="20490" windowHeight="7620" firstSheet="3" activeTab="3"/>
  </bookViews>
  <sheets>
    <sheet name="Dinâmica Conteúdos" sheetId="4" r:id="rId1"/>
    <sheet name="Planilha3" sheetId="8" r:id="rId2"/>
    <sheet name="Planilha5" sheetId="10" r:id="rId3"/>
    <sheet name="Contratos de Conteúdo" sheetId="1" r:id="rId4"/>
    <sheet name="Contratos Diversos" sheetId="3" r:id="rId5"/>
  </sheets>
  <definedNames>
    <definedName name="_xlnm._FilterDatabase" localSheetId="3" hidden="1">'Contratos de Conteúdo'!$A$1:$V$63</definedName>
    <definedName name="_xlnm._FilterDatabase" localSheetId="4" hidden="1">'Contratos Diversos'!$A$2:$U$39</definedName>
  </definedNames>
  <calcPr calcId="162913"/>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8" i="3" l="1"/>
  <c r="O28" i="3"/>
  <c r="Q27" i="3"/>
  <c r="O27" i="3"/>
  <c r="Q26" i="3"/>
  <c r="O26" i="3"/>
  <c r="Q25" i="3"/>
  <c r="Q24" i="3"/>
  <c r="O24" i="3"/>
  <c r="Q23" i="3"/>
  <c r="O23" i="3"/>
  <c r="Q22" i="3"/>
  <c r="O22" i="3"/>
  <c r="Q21" i="3"/>
  <c r="O21" i="3"/>
  <c r="Q20" i="3"/>
  <c r="O20" i="3"/>
  <c r="Q19" i="3"/>
  <c r="Q18" i="3"/>
  <c r="Q16" i="3"/>
  <c r="O16" i="3"/>
  <c r="Q14" i="3"/>
  <c r="O14" i="3"/>
  <c r="Q12" i="3"/>
  <c r="O12" i="3"/>
  <c r="Q11" i="3"/>
  <c r="O11" i="3"/>
  <c r="Q10" i="3"/>
  <c r="O10" i="3"/>
  <c r="Q9" i="3"/>
  <c r="O9" i="3"/>
  <c r="Q8" i="3"/>
  <c r="O8" i="3"/>
  <c r="Q7" i="3"/>
  <c r="O7" i="3"/>
  <c r="Q6" i="3"/>
  <c r="O6" i="3"/>
  <c r="Q5" i="3"/>
  <c r="O5" i="3"/>
  <c r="Q4" i="3"/>
  <c r="O4" i="3"/>
  <c r="Q3" i="3"/>
  <c r="O3" i="3"/>
  <c r="T4" i="1" l="1"/>
  <c r="R4" i="1"/>
  <c r="T20" i="1" l="1"/>
  <c r="R20" i="1"/>
  <c r="T19" i="1"/>
  <c r="R19" i="1"/>
  <c r="T16" i="1"/>
  <c r="R16" i="1"/>
  <c r="T14" i="1"/>
  <c r="R14" i="1"/>
  <c r="T13" i="1"/>
  <c r="R13" i="1"/>
  <c r="T8" i="1"/>
  <c r="T9" i="1"/>
  <c r="T10" i="1"/>
  <c r="R8" i="1"/>
  <c r="R9" i="1"/>
  <c r="R10" i="1"/>
  <c r="T7" i="1"/>
  <c r="R7" i="1"/>
  <c r="T6" i="1"/>
  <c r="R6" i="1"/>
  <c r="T5" i="1" l="1"/>
</calcChain>
</file>

<file path=xl/sharedStrings.xml><?xml version="1.0" encoding="utf-8"?>
<sst xmlns="http://schemas.openxmlformats.org/spreadsheetml/2006/main" count="1207" uniqueCount="408">
  <si>
    <t>Parte contratada</t>
  </si>
  <si>
    <t>Contém restrição de confidencialidade? (S/N e nº Cl)</t>
  </si>
  <si>
    <t>Admite Cessão? Com ou sem anuência? (S/N e nº Cl)</t>
  </si>
  <si>
    <t xml:space="preserve">Prazo final de vigência </t>
  </si>
  <si>
    <t>Admite rescisão antecipada? Qual o prazo?</t>
  </si>
  <si>
    <t>Qual o prazo para oposição a renovações de vigência?</t>
  </si>
  <si>
    <t>Contratos Diversos  - Oi TV</t>
  </si>
  <si>
    <t>Pasta Vazia</t>
  </si>
  <si>
    <t>Mtv Networks Brasil Programação Televisiva e Publicidade LTDA</t>
  </si>
  <si>
    <t>Contax</t>
  </si>
  <si>
    <t>Ecad</t>
  </si>
  <si>
    <t>MK Media Solutions Soluções em Mídia Eireli</t>
  </si>
  <si>
    <t>Multilaser</t>
  </si>
  <si>
    <t>NEC Latin America S.A.</t>
  </si>
  <si>
    <t>NGN Telecom Tecnologia</t>
  </si>
  <si>
    <t>Openlabs</t>
  </si>
  <si>
    <t>Power Diamond Projetos e Serviços</t>
  </si>
  <si>
    <t>Prill Tecnologia Ltda.</t>
  </si>
  <si>
    <t>SDB Multimidia Ltda EPP</t>
  </si>
  <si>
    <t>Synamedia Americas LLC</t>
  </si>
  <si>
    <t>Sim. Cl. 9.1</t>
  </si>
  <si>
    <t>N/A</t>
  </si>
  <si>
    <t>Sim, sem anuência Cl. 12.2</t>
  </si>
  <si>
    <t>Formalizar pretensão de rescisão ou encerramento com 12 meses de antecedência. Cl. 6.1.1</t>
  </si>
  <si>
    <t>Sim, mediante notificação com 30 dias da data pretendida para rescisão.</t>
  </si>
  <si>
    <t>Denúncia com menos de 12 meses de aviso prévio incorre nas multas previstas na cl. 6.3</t>
  </si>
  <si>
    <t>Sim Cls. 7.1 e 7.2</t>
  </si>
  <si>
    <t>60 meses a contar da assinatura (11/05/2020)</t>
  </si>
  <si>
    <t>Sim, sem anuência Cl. 8.5</t>
  </si>
  <si>
    <t>Sim, mediante notificação com 30 dias da data pretendida para rescisão. Cl. 9.2</t>
  </si>
  <si>
    <t>Sim. Cl. 6.1 das Condições Gerais de Contratação</t>
  </si>
  <si>
    <t>Sim, sem anuência. Cl. 1.3 do 16º TA</t>
  </si>
  <si>
    <t>Até 31/07/2024</t>
  </si>
  <si>
    <t>Tahto</t>
  </si>
  <si>
    <t>Sim Cl. 11.1</t>
  </si>
  <si>
    <t>Sim. Conforme Cl. 15.1 do contrato e Cl 1.2 do 11º Aditivo.</t>
  </si>
  <si>
    <t>31 de dezembro de 2024, cf Cl. 1.1 do 18º TA</t>
  </si>
  <si>
    <t>ABR (SEAC)</t>
  </si>
  <si>
    <t>New Skies</t>
  </si>
  <si>
    <t>Nokia</t>
  </si>
  <si>
    <t>Vtal</t>
  </si>
  <si>
    <t>Pasta vazia</t>
  </si>
  <si>
    <t>Sim, Cl 8</t>
  </si>
  <si>
    <t>Fevereiro de 2027</t>
  </si>
  <si>
    <t>Sem previsão contratual</t>
  </si>
  <si>
    <t>Sim, mediante notificação com 30 dias da data pretendida para rescisão. CL 6</t>
  </si>
  <si>
    <t>Sim, Cl 9</t>
  </si>
  <si>
    <t>Sim, mediante notificação com 30 dias da data pretendida para rescisão. CL 10</t>
  </si>
  <si>
    <t>Sim, sem anuência Cl. 12</t>
  </si>
  <si>
    <t>Sim, mediante notificação com 30 dias da data pretendida para rescisão, mas tem multa. CL 10</t>
  </si>
  <si>
    <t>Sim, sem anuência Cl. 12 do 3 Termo Aditivo</t>
  </si>
  <si>
    <t>Sim, sem anuência Cl. 12 do 1 Termo Aditivo</t>
  </si>
  <si>
    <t xml:space="preserve">Pasta atualizada com os Aditivos faltantes foram inseridos na Pasta em 23/05/24 </t>
  </si>
  <si>
    <t>Retorno Governança (Eliane Carmo - 23/05)</t>
  </si>
  <si>
    <t>Solicitado a área responsável em 23/05/24</t>
  </si>
  <si>
    <t xml:space="preserve">Pasta atualizada com os documentos em 23/05/24 </t>
  </si>
  <si>
    <t>Aguardando finalização da Negociação. Previsão final de Mai/24</t>
  </si>
  <si>
    <t>Os Aditivo anterirores estão inseridos nas pastas separados por Ano. 
OBS: Mantido o formado recebido pela área responsável.</t>
  </si>
  <si>
    <t>Aguardando a área enviar o contrato e possíveis aditivos.</t>
  </si>
  <si>
    <t>Retorno Governança (Salete - 23/05)</t>
  </si>
  <si>
    <t>Este contrato está dentro da pasta da Band. Documento está em fase de assinatura do aditivo que renova o contrato.</t>
  </si>
  <si>
    <t>Incluído todos os aditivos. Vigência do contrato até 31/12/24</t>
  </si>
  <si>
    <t>Iremos solicitar a programadora</t>
  </si>
  <si>
    <t>Iremos solicitar a programadora os aditivos</t>
  </si>
  <si>
    <t>Incluído na pasta o 6º aditivo com a vigência do contrato até 31/12/24. Será solicitado a programadora o 5ª aditivo ao contrato</t>
  </si>
  <si>
    <t>Incluído na pasta o 6º aditivo com a vigência do contrato. Será solicitado a programadora o 5ª aditivo ao contrato</t>
  </si>
  <si>
    <t>Incluído na pasta o 6º aditivo com a vigência do contrato até 31/12/24. Será solicitado a programadora o 5ª aditivo ao contrato.</t>
  </si>
  <si>
    <t>A pasta foi limpa para constar soemnte os documentos da Discovery. Data de vencimento do contrato até 30/06/25</t>
  </si>
  <si>
    <t>Incluído na pasta o 3º aditivo com a vigência do contrato até 31/12/24. Será solicitado a programadora o 2ª aditivo ao contrato.</t>
  </si>
  <si>
    <t>Incluído na pasta o 2º aditivo com a vigência do contrato até 31/12/24. Será solicitado a programadora o 1ª aditivo ao contrato.</t>
  </si>
  <si>
    <t>Incluído na pasta o 6º aditivo com a vigência do contrato até 30/09/24. Será solicitado a programadora o 5ª aditivo ao contrato.</t>
  </si>
  <si>
    <r>
      <t xml:space="preserve">Sim, mediante notificação com 180 dias da data pretendida para rescisão. Cl. 1.4 do 4º aditivo.
Recisão apenas de uma operação parcial o prazo de rescisão é de </t>
    </r>
    <r>
      <rPr>
        <b/>
        <sz val="11"/>
        <color theme="1"/>
        <rFont val="Calibri"/>
        <family val="2"/>
        <scheme val="minor"/>
      </rPr>
      <t>90 dias</t>
    </r>
  </si>
  <si>
    <r>
      <t>Formalizar pretensão de rescisão ou encerramento com</t>
    </r>
    <r>
      <rPr>
        <b/>
        <sz val="11"/>
        <color theme="1"/>
        <rFont val="Calibri"/>
        <family val="2"/>
        <scheme val="minor"/>
      </rPr>
      <t xml:space="preserve"> 120</t>
    </r>
    <r>
      <rPr>
        <sz val="11"/>
        <color theme="1"/>
        <rFont val="Calibri"/>
        <family val="2"/>
        <scheme val="minor"/>
      </rPr>
      <t xml:space="preserve"> dias de antecedência da data prevista para renovação. Cl. 13.2</t>
    </r>
  </si>
  <si>
    <t>até 13/07/2025</t>
  </si>
  <si>
    <t>Contrato exclusivo ou compartilhado?</t>
  </si>
  <si>
    <t>Renovação por mais 1 mês e rescisão em 31/01/25</t>
  </si>
  <si>
    <t>Objetivo notificação</t>
  </si>
  <si>
    <t>Retorno Governança (Salete - 03/06)</t>
  </si>
  <si>
    <t>Pasta atualizada</t>
  </si>
  <si>
    <t>A pasta foi limpa para constar soemnte os documentos da Discovery. Data de vencimento do contrato até 30/06/25. Falta o 7º e 8º aditivos</t>
  </si>
  <si>
    <t>STATUS</t>
  </si>
  <si>
    <t>MOTIVO</t>
  </si>
  <si>
    <t>Liberado</t>
  </si>
  <si>
    <t>Pendente</t>
  </si>
  <si>
    <t>Em assinatura</t>
  </si>
  <si>
    <t>Rótulos de Linha</t>
  </si>
  <si>
    <t>(vazio)</t>
  </si>
  <si>
    <t>Total Geral</t>
  </si>
  <si>
    <t>Contagem de STATUS</t>
  </si>
  <si>
    <t>Rótulos de Coluna</t>
  </si>
  <si>
    <t>Retorno Governança (Eliane Carmo - 03/06)</t>
  </si>
  <si>
    <t>Enviado documentação pendente (pasta atualizada em 27/05)</t>
  </si>
  <si>
    <t>Em renovação</t>
  </si>
  <si>
    <t>Documentos enviados em 27/05.  OBS: Realizado a alteração na pasta  Objective (Planner do Teams: Principais Contratos SES &gt; Objective). Criei a pasta OLD onde armazenei a documentação "criticada" e inseri as novas documentações enviadas por Suprimentos.</t>
  </si>
  <si>
    <t>No retorno da 1ª validação do Contrato da América Tecnologia e Informática e Eletro-eletrônicos Ltda não foi mencionado o  contrato, mas verificando o prazo final da Vigência o mesmo corresponde ao produto IPTV, porém há o contrato 4600057542 que é compartilhado com demais produtos. Esse foi avaliado?</t>
  </si>
  <si>
    <t>Concluído</t>
  </si>
  <si>
    <t>Aditivos adicionados a pasta</t>
  </si>
  <si>
    <t>Qual o prazo para oposição a renovações de vigência automática ?</t>
  </si>
  <si>
    <t>Sim. Cl. 8.11</t>
  </si>
  <si>
    <t>31/12/2024 Cl 1.1 do 6º Aditivo</t>
  </si>
  <si>
    <t>Pasta completa</t>
  </si>
  <si>
    <t>Sim . Cl. 10.1</t>
  </si>
  <si>
    <t>Sim, mas depende de anuência prévia. Cl. 14.1</t>
  </si>
  <si>
    <t>31/12/2024 Cl.1.1 do 3º Aditivo</t>
  </si>
  <si>
    <t>31/12/2024 Cl 2.1 do 3ºAditivo</t>
  </si>
  <si>
    <t>Sim Cl. 4.1</t>
  </si>
  <si>
    <t>Não.</t>
  </si>
  <si>
    <t>Sim. Cl 10.1</t>
  </si>
  <si>
    <t>Sim, mas depende de anuência prévia. Cl. 13.1</t>
  </si>
  <si>
    <t>Sim Cl. 1.1 do 2º aditivo</t>
  </si>
  <si>
    <t>31/12/2027 Cl. 3.1 do 3º aditivo</t>
  </si>
  <si>
    <t>Sim,  mediante notificação com 180 dias da data pretendida para rescisão. Cl 6.2 do 3º Aditivo.</t>
  </si>
  <si>
    <t>Sim Cl. 10.1</t>
  </si>
  <si>
    <t>Sim, mas com anuência prévia Cl. 14.2</t>
  </si>
  <si>
    <t>Permanece vigente enquanto houver ordem de capacidade vigente.</t>
  </si>
  <si>
    <t>Sim, para afiliadas, coligadas ou controladoras, desde que autorizadas pela Anatal e mediante aviso prévio de 60 dias. Cl 5.</t>
  </si>
  <si>
    <t>Sim Cl 12 dos Termos e Condições</t>
  </si>
  <si>
    <t xml:space="preserve">Não. Cl 4 (a) </t>
  </si>
  <si>
    <t>24 meses a contar da assinatura. Cl 10.1</t>
  </si>
  <si>
    <t>Sim, mediante notificação com 30 dias da data pretendida para rescisão CL 10.2</t>
  </si>
  <si>
    <t>Sim, mas com anuência prévia Cl. 12.1</t>
  </si>
  <si>
    <t>Sim Cl 9.1</t>
  </si>
  <si>
    <t>Até 31/12/2024</t>
  </si>
  <si>
    <t>Sim, mediante notificação com 30 dias da data pretendida para rescisão CL 11.2</t>
  </si>
  <si>
    <t>Sim, sem anuência. Cl 12.1.1.10 e Cl 13.1</t>
  </si>
  <si>
    <t>Objective (Pasta 4600049340)</t>
  </si>
  <si>
    <t>Objective (Pasta 4600047188)</t>
  </si>
  <si>
    <t>Sim, com anuência. Cl 1.6 do 4º aditivo</t>
  </si>
  <si>
    <t>Sim Cl 9</t>
  </si>
  <si>
    <t>Sim, sem anuência Cl. 12 .1 e 18.1</t>
  </si>
  <si>
    <t>Retorno Governança (Roberto - 20/06)</t>
  </si>
  <si>
    <t>ok</t>
  </si>
  <si>
    <t>Nome do arquivo do 6º aditivo - OI_TNL x Way TV_Distribuiçao Telecine e Megapix_AD6 (9617)</t>
  </si>
  <si>
    <t>Incluido na pasta: Nome do arquivo do 4º aditivo - 4º Aditivo ESPN_Oi (vigência até 30-jun-24)</t>
  </si>
  <si>
    <t>Arquivos carregados</t>
  </si>
  <si>
    <r>
      <t xml:space="preserve">Sim. Cl 1.2 do 2º aditivo </t>
    </r>
    <r>
      <rPr>
        <b/>
        <sz val="11"/>
        <color rgb="FFFF0000"/>
        <rFont val="Calibri"/>
        <family val="2"/>
        <scheme val="minor"/>
      </rPr>
      <t>(60 das)</t>
    </r>
  </si>
  <si>
    <t>O contrato está em fase de assinatura.</t>
  </si>
  <si>
    <r>
      <t>HBO BRASIL LTDA</t>
    </r>
    <r>
      <rPr>
        <b/>
        <sz val="11"/>
        <color rgb="FFFF0000"/>
        <rFont val="Calibri"/>
        <family val="2"/>
        <scheme val="minor"/>
      </rPr>
      <t xml:space="preserve"> (PASTA WARNER DISCOVERY</t>
    </r>
    <r>
      <rPr>
        <sz val="11"/>
        <color theme="1"/>
        <rFont val="Calibri"/>
        <family val="2"/>
        <scheme val="minor"/>
      </rPr>
      <t>)</t>
    </r>
  </si>
  <si>
    <r>
      <t xml:space="preserve">TURNER INTERNATIONAL LATIN AMERICA, INC </t>
    </r>
    <r>
      <rPr>
        <b/>
        <sz val="11"/>
        <color rgb="FFFF0000"/>
        <rFont val="Calibri"/>
        <family val="2"/>
        <scheme val="minor"/>
      </rPr>
      <t>((PASTA WARNER DISCOVERY)</t>
    </r>
  </si>
  <si>
    <t>Retorno Governança (Eliane Carmo - 20/06)</t>
  </si>
  <si>
    <t>Karina Duprat informou que não será mais necessário validar a documentação. A pasta vazia será exluída do Teams.</t>
  </si>
  <si>
    <t>Aguardando a finalização do contrato</t>
  </si>
  <si>
    <t>Sim, sem anuência. Cl 13.1</t>
  </si>
  <si>
    <t>Sim, mediante notificação com 30 dias da data pretendida para rescisão CL 11.1.1</t>
  </si>
  <si>
    <t>EXCLUSIVO (DTH)</t>
  </si>
  <si>
    <t>COMPARTILHADO (DTH/IPTV)</t>
  </si>
  <si>
    <t>EXCLUSIVO (IPTV)</t>
  </si>
  <si>
    <t>COMPARTILHADO (DTH, IPTV E OUTROS PRODUTOS/ SERVIÇOS)</t>
  </si>
  <si>
    <t>WOOHOO</t>
  </si>
  <si>
    <t>ZOOMOO</t>
  </si>
  <si>
    <t>PLAYTV</t>
  </si>
  <si>
    <r>
      <t xml:space="preserve">TFCF LATIN AMERICAN CHANNEL, LLC e TFCF LATIN AMERICA CHANNELS DO BRASIL LTDA.
</t>
    </r>
    <r>
      <rPr>
        <b/>
        <sz val="11"/>
        <color rgb="FFFF0000"/>
        <rFont val="Calibri"/>
        <family val="2"/>
        <scheme val="minor"/>
      </rPr>
      <t>GRUPO DISNEY-TFCF (ESPN, STAR-FOX)</t>
    </r>
  </si>
  <si>
    <t>Prazo final de vigência  com data</t>
  </si>
  <si>
    <t>Estender o contrato até 31/01/25 e cancelar no mês seguinte.</t>
  </si>
  <si>
    <t>Vamoss avisar o que? Que vamos cancelar o contrato como um todo??  Ou vamos canclear somente o Iptv??
Estender por 1 mês e cancelar no mês seguinte.</t>
  </si>
  <si>
    <t>Já foi denunciado por e-mail e carta:  janeiro e fevereiro/24</t>
  </si>
  <si>
    <t>Documento da RJ já formaliza a utilização do satélite até  15/02/25</t>
  </si>
  <si>
    <t>Foi questionado para a Tati Lera/ Vivian se o contrato está ativo e solicitado o aditivo que comprove.</t>
  </si>
  <si>
    <t>Possível data de término Tv DTH</t>
  </si>
  <si>
    <t>Possível data de término Tv IPTV</t>
  </si>
  <si>
    <r>
      <t xml:space="preserve">ESPN do Brasil Eventos Esportivos LTDA (TFCF LATIN)- 
</t>
    </r>
    <r>
      <rPr>
        <b/>
        <sz val="11"/>
        <color rgb="FFFF0000"/>
        <rFont val="Calibri"/>
        <family val="2"/>
        <scheme val="minor"/>
      </rPr>
      <t>(PASTA GRUPO DISNEY-TFCF (ESPN, STAR-FOX /ESPN)</t>
    </r>
  </si>
  <si>
    <r>
      <t xml:space="preserve">Telecine Programação de Filmes LTDA </t>
    </r>
    <r>
      <rPr>
        <b/>
        <sz val="11"/>
        <color rgb="FFFF0000"/>
        <rFont val="Calibri"/>
        <family val="2"/>
        <scheme val="minor"/>
      </rPr>
      <t>(PASTA ENVIADOS PARA A SES&gt;GRUPO GLOBO ENTREGA 1)</t>
    </r>
  </si>
  <si>
    <t xml:space="preserve">Empresa Brasileira de Correios e Telégrafos
(Correios) </t>
  </si>
  <si>
    <t>Não</t>
  </si>
  <si>
    <t>Sim, mediante notificação com 30 dias da data pretendida para rescisão. CL 9.1.1</t>
  </si>
  <si>
    <t>Renovação automática a cada 12 meses e por até 120 meses a contar de 16/08/2021. Oposição à renovação com 30 dias da data rpevista para renovação. Cl 7º</t>
  </si>
  <si>
    <t>Fast Print &amp; System Ltda.</t>
  </si>
  <si>
    <t>Pela Oi sim, sem anuência. Cl 12.1 e 12.1.</t>
  </si>
  <si>
    <t>31/01/2026 cl 1.2 do 4º aditivo</t>
  </si>
  <si>
    <t>Sim, mediante notificação com 90 dias da data pretendida para rescisão. CL 10</t>
  </si>
  <si>
    <t>Gracenote Brasil Metainformação Ltd.</t>
  </si>
  <si>
    <t>Sim Cl 8.</t>
  </si>
  <si>
    <t>sim, mas com consentimento prévio e por escrito da outra parte Cl 13.</t>
  </si>
  <si>
    <t>31/12/2025 cl 1 do 5º aditivo</t>
  </si>
  <si>
    <t>Sim, mediante notificação com 90 dias da data pretendida para rescisão. CL  1ª do 4º Aditivo</t>
  </si>
  <si>
    <t>Log &amp; Print Gráfica, dados variáveis</t>
  </si>
  <si>
    <t>31/01/2026 cl1.2 do 5º aditivo</t>
  </si>
  <si>
    <t>Serede Serviços de Rede S.A.</t>
  </si>
  <si>
    <t>Telemont</t>
  </si>
  <si>
    <t xml:space="preserve">Sim, sem anuência Cl. 12 </t>
  </si>
  <si>
    <t>Sim, mediante notificação com 90 dias da data pretendida para rescisão. Cl. 9.2</t>
  </si>
  <si>
    <t>Valid Soluções e Serviços de Segurança</t>
  </si>
  <si>
    <t>Sim, sem anuência Cl. 12.1</t>
  </si>
  <si>
    <t>até 10/08/2025</t>
  </si>
  <si>
    <t>América Tecnologia e Informática e Eletro-eletrônicos Ltda. (sap 4600057542)</t>
  </si>
  <si>
    <t>América Tecnologia e Informática e Eletro-eletrônicos Ltda. (sap 4600053570)</t>
  </si>
  <si>
    <t>Concluído. No entanto, importa notar que alguns aditivos analisados só tinham versão em word, ou seja, não eram versões finais assinadas.</t>
  </si>
  <si>
    <t>Sim, mediante notificação com 60 dias da data pretendida para rescisão. CL 10</t>
  </si>
  <si>
    <t>Aguardando aditivo que renova prazo de vigência</t>
  </si>
  <si>
    <t>31/12/2024 Cl.1.1 do 6º Aditivo</t>
  </si>
  <si>
    <t xml:space="preserve">Sim, mediante notificação com 60  dias de antecedência. CL 1.3 do 6º Termo Aditivo. </t>
  </si>
  <si>
    <t>Foi firmado um contrato de licença de distribuição que vigorou de 2017 até 30/04/2023. Paralelamente, foi celebrado um MOU para disponibilização do ESPN play, mas os aditivos ao MOU não prorrogam o ESPN Play, mas sim a distribuição de canais. No entanto, o documento chamado "ESPN_Oi_Linear_Channels_Segundo aditivo_2020" faz menção a um outro contrato de distribuição de conteúdo supostamente celebrado em 2018. Pedimos verificar.</t>
  </si>
  <si>
    <t xml:space="preserve"> Tuna Entretenimento e Audiovisual - FISH TV</t>
  </si>
  <si>
    <t>31/12/2024 cl 1.2 do 6º aditivo</t>
  </si>
  <si>
    <t>Sim cl 7.1</t>
  </si>
  <si>
    <t xml:space="preserve">Sim, mediante notificação com 60  dias de antecedência da data pretendida para a rescisão. Cl 9.1. </t>
  </si>
  <si>
    <t>Sim , mediante prévia e expressa anuência da outra parte. Cl 9.3.1.3</t>
  </si>
  <si>
    <t xml:space="preserve">Sim , mediante prévia e expressa anuência da outra parte, salvo se a cessionária for sociedade controlada pela Oi Cl 8.12. </t>
  </si>
  <si>
    <t>Existem diversos contratos na pasta, inviabilizando saber qual é o que efetivamente vigora. Exemplo: existe um arquivo chamado DTH_HBO e outro chamado HBO Basic Deal 2015. Bem como o HBO Basic Deal 2017. Pedimos esclarecer.</t>
  </si>
  <si>
    <t>30/06/2025 Cl 6 do 9º aditivo</t>
  </si>
  <si>
    <t>Sim, mas depende de anuência prévia. Cl. 14.7</t>
  </si>
  <si>
    <t>Sim Cl 14.2</t>
  </si>
  <si>
    <t>Sim, mas depende de prévia anuência da outra parte. Se a cessão derivar de operação societária, o consentimento prévio fica dispensado Cl 9.1 dos Termos e Condições</t>
  </si>
  <si>
    <t xml:space="preserve">Pasta completa. Obs 11jul: não temos como confirmar o prazo para rescisão antecipada visto que a pasta deixou de constar do Teams. </t>
  </si>
  <si>
    <t>31/12/2024 Cl 5.1</t>
  </si>
  <si>
    <t xml:space="preserve">Sim, mediante notificação com 60  dias de antecedência. CL 6.1 </t>
  </si>
  <si>
    <t>Sim, sem necessidade de anuência prévia. Cl 11.16</t>
  </si>
  <si>
    <t>A pasta contém vários contratos e aditivos a contratos já expirados, um MOU e vários aditivos ao MOU (1º ao 6º, mas faltando o 3º e o 5º aditivos ao MOU). Pedimos enviar tais documentos.</t>
  </si>
  <si>
    <t xml:space="preserve">Supostamente, não existe contrato em vigor. Foi celebrado um contrato em 2013 e depois mais 3 aditivos. Em 2018 foi celebrado um MOU que vigoraria entre 2018 e 2019, até que fosse celebrado novo aditivo ao contrato de 2013. Em 2021 foi enviada uma proposta pela Warner sinalizando a assinatura de um novo contrato que vigoraria até 31/12/2023. Esse contrato não está na pasta e não há aditivos a ele. </t>
  </si>
  <si>
    <t>08/01/2025 Cl 1.3 do 3º aditivo</t>
  </si>
  <si>
    <t>Sim, sem anuênia cl 1.5 do 2º aditivo</t>
  </si>
  <si>
    <t>Sim Cl 7.1</t>
  </si>
  <si>
    <t>Sim, mediante notificação com 60  dias de antecedência. CL 9.1</t>
  </si>
  <si>
    <t>31/12/2024 cl 2.1 do 1º aditivo</t>
  </si>
  <si>
    <t>sim, sem anuência cl 9.1.1.3</t>
  </si>
  <si>
    <t>Sim, mediante notificação com 60  dias de antecedência. CL 8.2</t>
  </si>
  <si>
    <t>Status Jurídico até 11/07</t>
  </si>
  <si>
    <t>Concluído.Ainda, tendo em vista o comentário de 03/06 foi incluída a linha abaixo.</t>
  </si>
  <si>
    <t>Data Limite notificação rescisão IPTV (Time TSA)</t>
  </si>
  <si>
    <t>Data Limite notificação rescisão DTH (Time TSA)</t>
  </si>
  <si>
    <r>
      <t>SIMBA</t>
    </r>
    <r>
      <rPr>
        <b/>
        <sz val="11"/>
        <color rgb="FFFF0000"/>
        <rFont val="Calibri"/>
        <family val="2"/>
        <scheme val="minor"/>
      </rPr>
      <t xml:space="preserve"> (PASTA: NÃO COMPARTILHAR&gt;SIMBA-NÃO AUTORIZADO&gt;SIMBA)</t>
    </r>
  </si>
  <si>
    <t>OK. No 3º aditivo foi incluido a clausula de rescisão antecipada de 60 dias.</t>
  </si>
  <si>
    <t>OK</t>
  </si>
  <si>
    <t>OK. Pode por favor nos identificar qual clausula do aditivo indica que o contrato so pode ser rescindido a partir de 01/03/2025?.</t>
  </si>
  <si>
    <t>Pasta organizada somente com os documentos validos. Documento valido entre as partes para distribuição de conteúdo é o MEMORANDO DE ENTENDIMENTOS PARA LICENÇA DE DISTRIBUIÇÃO DE CANAIS EM TELEVISÃO POR ASSINATURA.</t>
  </si>
  <si>
    <t>OK, em análise.</t>
  </si>
  <si>
    <t>Documentos disponiveis</t>
  </si>
  <si>
    <t>PARCIALMENTE</t>
  </si>
  <si>
    <t>Pode confirmar se o prazo de rescisão é de 60 dias, por favor?</t>
  </si>
  <si>
    <t>Retorno Governança (Roberto/Salete - 16/07)</t>
  </si>
  <si>
    <t>Caminho indicado, em vermelho, na coluna "A"</t>
  </si>
  <si>
    <r>
      <t xml:space="preserve">BAND -NEWCO PROGRAMADORA 
</t>
    </r>
    <r>
      <rPr>
        <sz val="11"/>
        <color rgb="FFFF0000"/>
        <rFont val="Calibri"/>
        <family val="2"/>
        <scheme val="minor"/>
      </rPr>
      <t>(PASTA: COMPLETOS&gt;ENTREGA 4&gt;BAND&gt;
BAND - NEWCO PROGRAMADORA</t>
    </r>
    <r>
      <rPr>
        <sz val="11"/>
        <color theme="1"/>
        <rFont val="Calibri"/>
        <family val="2"/>
        <scheme val="minor"/>
      </rPr>
      <t xml:space="preserve">
</t>
    </r>
  </si>
  <si>
    <r>
      <t xml:space="preserve">Canal Brazil S.A
</t>
    </r>
    <r>
      <rPr>
        <sz val="11"/>
        <color rgb="FFFF0000"/>
        <rFont val="Calibri"/>
        <family val="2"/>
        <scheme val="minor"/>
      </rPr>
      <t>(PASTA: COMPLETOS&gt;ENTREGA 1&gt;
GRUPO GLOBO ENTREGA 1)</t>
    </r>
  </si>
  <si>
    <r>
      <t xml:space="preserve">DISCOVERY NETWORKS, S.L. (nova razão social da DISCOVERY LATIN AMERICA, S.L)
</t>
    </r>
    <r>
      <rPr>
        <b/>
        <sz val="11"/>
        <color rgb="FFFF0000"/>
        <rFont val="Calibri"/>
        <family val="2"/>
        <scheme val="minor"/>
      </rPr>
      <t xml:space="preserve"> (Pasta: COMPLETOS&gt;ENTREGA 2&gt;
WARNER DISCOVERY)</t>
    </r>
  </si>
  <si>
    <r>
      <t xml:space="preserve">Globo Comunicação e Participações AS (TV Globo Recife-PE) 
</t>
    </r>
    <r>
      <rPr>
        <sz val="11"/>
        <color rgb="FFFF0000"/>
        <rFont val="Calibri"/>
        <family val="2"/>
        <scheme val="minor"/>
      </rPr>
      <t>(Pasta: COMPLETOS&gt;ENTREGA 1&gt;GRUPO GLOBO ENTREGA 1&gt;
GLOBO COMUNICAÇÃO E PARTICIPAÇÕES SA</t>
    </r>
  </si>
  <si>
    <r>
      <t xml:space="preserve">Globo Comunicação e Participações S.A. (TV Globo Rio de Janeiro)
</t>
    </r>
    <r>
      <rPr>
        <sz val="11"/>
        <color rgb="FFFF0000"/>
        <rFont val="Calibri"/>
        <family val="2"/>
        <scheme val="minor"/>
      </rPr>
      <t>(Pasta: COMPLETOS&gt;ENTREGA 1&gt;GRUPO GLOBO ENTREGA 1&gt;
GLOBO COMUNICAÇÃO E PARTICIPAÇÕES AS</t>
    </r>
    <r>
      <rPr>
        <sz val="11"/>
        <color theme="1"/>
        <rFont val="Calibri"/>
        <family val="2"/>
        <scheme val="minor"/>
      </rPr>
      <t>)</t>
    </r>
  </si>
  <si>
    <r>
      <t xml:space="preserve">Globo Comunicação e Participações SA (TV Globo Belo Horizonte)
</t>
    </r>
    <r>
      <rPr>
        <sz val="11"/>
        <color rgb="FFFF0000"/>
        <rFont val="Calibri"/>
        <family val="2"/>
        <scheme val="minor"/>
      </rPr>
      <t>(Pasta: COMPLETOS&gt;ENTREGA 1&gt;GRUPO GLOBO ENTREGA 1&gt;
GLOBO COMUNICAÇÃO E PARTICIPAÇÕES AS)</t>
    </r>
  </si>
  <si>
    <r>
      <t xml:space="preserve">Globo Comunicação e Participações SA (TV Globo Brasília-DF)
</t>
    </r>
    <r>
      <rPr>
        <sz val="11"/>
        <color rgb="FFFF0000"/>
        <rFont val="Calibri"/>
        <family val="2"/>
        <scheme val="minor"/>
      </rPr>
      <t>(Pasta: COMPLETOS&gt;ENTREGA 1&gt;GRUPO GLOBO ENTREGA 1&gt;
GLOBO COMUNICAÇÃO E PARTICIPAÇÕES SA</t>
    </r>
  </si>
  <si>
    <r>
      <t>NBCUniversal Networks International Brasil Programadora S.A( atual denominação da USA BRASIL PROGRAMADORA LTDA)</t>
    </r>
    <r>
      <rPr>
        <b/>
        <sz val="11"/>
        <color rgb="FFFF0000"/>
        <rFont val="Calibri"/>
        <family val="2"/>
        <scheme val="minor"/>
      </rPr>
      <t xml:space="preserve"> 
(Pasta: COMPLETOS&gt;ENTREGA 1&gt;GRUPO GLOBO ENTREGA 1)
</t>
    </r>
  </si>
  <si>
    <r>
      <t xml:space="preserve">PB BRASIL ENTRETENIMENTO S/A
</t>
    </r>
    <r>
      <rPr>
        <sz val="11"/>
        <color rgb="FFFF0000"/>
        <rFont val="Calibri"/>
        <family val="2"/>
        <scheme val="minor"/>
      </rPr>
      <t>(PASTA: COMPLETOS&gt;ENTREGA 3)</t>
    </r>
  </si>
  <si>
    <r>
      <t xml:space="preserve">TV5MONDE
</t>
    </r>
    <r>
      <rPr>
        <sz val="11"/>
        <color rgb="FFFF0000"/>
        <rFont val="Calibri"/>
        <family val="2"/>
        <scheme val="minor"/>
      </rPr>
      <t>(PASTA: COMPLETOS&gt;ENTREGA 3)</t>
    </r>
    <r>
      <rPr>
        <sz val="11"/>
        <color theme="1"/>
        <rFont val="Calibri"/>
        <family val="2"/>
        <scheme val="minor"/>
      </rPr>
      <t xml:space="preserve">
</t>
    </r>
  </si>
  <si>
    <r>
      <t xml:space="preserve">BOX BRASIL
</t>
    </r>
    <r>
      <rPr>
        <sz val="11"/>
        <color rgb="FFFF0000"/>
        <rFont val="Calibri"/>
        <family val="2"/>
        <scheme val="minor"/>
      </rPr>
      <t>(PASTA: COMPLETOS&gt;ENTREGA 3)</t>
    </r>
  </si>
  <si>
    <r>
      <t xml:space="preserve">RA TIM BUM
</t>
    </r>
    <r>
      <rPr>
        <sz val="11"/>
        <color rgb="FFFF0000"/>
        <rFont val="Calibri"/>
        <family val="2"/>
        <scheme val="minor"/>
      </rPr>
      <t>(PASTA:COMPLETOS&gt;ENTREGA 4&gt;FUNDAÇÃO PADRE ANCHIETA)</t>
    </r>
  </si>
  <si>
    <r>
      <t xml:space="preserve">BLOOMBERG
</t>
    </r>
    <r>
      <rPr>
        <sz val="11"/>
        <color rgb="FFFF0000"/>
        <rFont val="Calibri"/>
        <family val="2"/>
        <scheme val="minor"/>
      </rPr>
      <t>(PASTA: COMPLETOS&gt;ENTREGA 3)</t>
    </r>
  </si>
  <si>
    <r>
      <t xml:space="preserve">CINE BRASIL
</t>
    </r>
    <r>
      <rPr>
        <sz val="11"/>
        <color rgb="FFFF0000"/>
        <rFont val="Calibri"/>
        <family val="2"/>
        <scheme val="minor"/>
      </rPr>
      <t>(PASTA: COMPLETOS&gt;ENTREGA 2)</t>
    </r>
  </si>
  <si>
    <r>
      <t xml:space="preserve">RTPI
</t>
    </r>
    <r>
      <rPr>
        <sz val="11"/>
        <color rgb="FFFF0000"/>
        <rFont val="Calibri"/>
        <family val="2"/>
        <scheme val="minor"/>
      </rPr>
      <t>(PASTA: COMPLETOS&gt;ENTREGA 3)</t>
    </r>
  </si>
  <si>
    <r>
      <t xml:space="preserve">CHEF TV
</t>
    </r>
    <r>
      <rPr>
        <sz val="11"/>
        <color rgb="FFFF0000"/>
        <rFont val="Calibri"/>
        <family val="2"/>
        <scheme val="minor"/>
      </rPr>
      <t>(PASTA: COMPLETOS&gt;ENTREGA 2)</t>
    </r>
  </si>
  <si>
    <r>
      <t xml:space="preserve">CURTA
</t>
    </r>
    <r>
      <rPr>
        <sz val="11"/>
        <color rgb="FFFF0000"/>
        <rFont val="Calibri"/>
        <family val="2"/>
        <scheme val="minor"/>
      </rPr>
      <t>(PASTA: COMPLETOS&gt;ENTREGA 3)</t>
    </r>
  </si>
  <si>
    <r>
      <t xml:space="preserve">TELEVISAO CABO BRANCO LTDA
</t>
    </r>
    <r>
      <rPr>
        <sz val="11"/>
        <color rgb="FFFF0000"/>
        <rFont val="Calibri"/>
        <family val="2"/>
        <scheme val="minor"/>
      </rPr>
      <t>(PASTA: COMPLETOS&gt;ENTREGA 1&gt;
GRUPO GLOBO ENTREGA 1)</t>
    </r>
  </si>
  <si>
    <r>
      <t xml:space="preserve">RADIO TV DO AMAZONAS LTDA
</t>
    </r>
    <r>
      <rPr>
        <sz val="11"/>
        <color rgb="FFFF0000"/>
        <rFont val="Calibri"/>
        <family val="2"/>
        <scheme val="minor"/>
      </rPr>
      <t>(PASTA: COMPLETOS&gt;ENTREGA 1&gt;
GRUPO GLOBO ENTREGA 1)</t>
    </r>
  </si>
  <si>
    <r>
      <t xml:space="preserve">TELEVISAO MIRANTE LTDA
</t>
    </r>
    <r>
      <rPr>
        <sz val="11"/>
        <color rgb="FFFF0000"/>
        <rFont val="Calibri"/>
        <family val="2"/>
        <scheme val="minor"/>
      </rPr>
      <t>(PASTA: COMPLETOS&gt;ENTREGA 1&gt;
GRUPO GLOBO ENTREGA 1</t>
    </r>
    <r>
      <rPr>
        <sz val="11"/>
        <color theme="1"/>
        <rFont val="Calibri"/>
        <family val="2"/>
        <scheme val="minor"/>
      </rPr>
      <t>)</t>
    </r>
  </si>
  <si>
    <r>
      <t xml:space="preserve">TV RADIO CLUBE DE TERESINA AS
</t>
    </r>
    <r>
      <rPr>
        <sz val="11"/>
        <color rgb="FFFF0000"/>
        <rFont val="Calibri"/>
        <family val="2"/>
        <scheme val="minor"/>
      </rPr>
      <t>(PASTA: COMPLETOS&gt;ENTREGA 1&gt;
GRUPO GLOBO ENTREGA 1)</t>
    </r>
  </si>
  <si>
    <r>
      <t xml:space="preserve">TELEVISAO CABUGI LTDA
</t>
    </r>
    <r>
      <rPr>
        <sz val="11"/>
        <color rgb="FFFF0000"/>
        <rFont val="Calibri"/>
        <family val="2"/>
        <scheme val="minor"/>
      </rPr>
      <t>(PASTA: COMPLETOS&gt;ENTREGA 1&gt;
GRUPO GLOBO ENTREGA 1)</t>
    </r>
  </si>
  <si>
    <r>
      <t xml:space="preserve">TELEVISAO VERDES MARES LTDA
</t>
    </r>
    <r>
      <rPr>
        <sz val="11"/>
        <color rgb="FFFF0000"/>
        <rFont val="Calibri"/>
        <family val="2"/>
        <scheme val="minor"/>
      </rPr>
      <t>(PASTA: COMPLETOS&gt;ENTREGA 1&gt;
GRUPO GLOBO ENTREGA 1)</t>
    </r>
    <r>
      <rPr>
        <sz val="11"/>
        <color theme="1"/>
        <rFont val="Calibri"/>
        <family val="2"/>
        <scheme val="minor"/>
      </rPr>
      <t xml:space="preserve">
</t>
    </r>
  </si>
  <si>
    <t>Contagem de MOTIVO</t>
  </si>
  <si>
    <t>Não liberado</t>
  </si>
  <si>
    <t>TURNER INTERNATIONAL LATIN AMERICA, INC ((PASTA WARNER DISCOVERY)</t>
  </si>
  <si>
    <t>TFCF LATIN AMERICAN CHANNEL, LLC e TFCF LATIN AMERICA CHANNELS DO BRASIL LTDA.
GRUPO DISNEY-TFCF (ESPN, STAR-FOX)</t>
  </si>
  <si>
    <t>HBO BRASIL LTDA (PASTA WARNER DISCOVERY)</t>
  </si>
  <si>
    <t>Em análise Produtos</t>
  </si>
  <si>
    <r>
      <t xml:space="preserve">RADIO TELEVISAO DE SERGIPE AS
</t>
    </r>
    <r>
      <rPr>
        <sz val="11"/>
        <color rgb="FFFF0000"/>
        <rFont val="Calibri"/>
        <family val="2"/>
        <scheme val="minor"/>
      </rPr>
      <t>(PASTA: COMPLETOS&gt;ENTREGA 1&gt;
GRUPO GLOBO ENTREGA 1)</t>
    </r>
  </si>
  <si>
    <r>
      <t xml:space="preserve">TV SUL DE MINAS LTDA
</t>
    </r>
    <r>
      <rPr>
        <sz val="11"/>
        <color rgb="FFFF0000"/>
        <rFont val="Calibri"/>
        <family val="2"/>
        <scheme val="minor"/>
      </rPr>
      <t>(PASTA: COMPLETOS&gt;ENTREGA 1&gt;
GRUPO GLOBO ENTREGA 1)</t>
    </r>
  </si>
  <si>
    <r>
      <t xml:space="preserve">INTERVISAO EMISSORAS DE RADIO E TEL
</t>
    </r>
    <r>
      <rPr>
        <sz val="11"/>
        <color rgb="FFFF0000"/>
        <rFont val="Calibri"/>
        <family val="2"/>
        <scheme val="minor"/>
      </rPr>
      <t>(PASTA: COMPLETOS&gt;ENTREGA 1&gt;
GRUPO GLOBO ENTREGA 1)</t>
    </r>
  </si>
  <si>
    <r>
      <t xml:space="preserve">REDE NORDESTE DE COMUNICACAO LTDA
</t>
    </r>
    <r>
      <rPr>
        <sz val="11"/>
        <color rgb="FFFF0000"/>
        <rFont val="Calibri"/>
        <family val="2"/>
        <scheme val="minor"/>
      </rPr>
      <t>(PASTA: COMPLETOS&gt;ENTREGA 1&gt;
GRUPO GLOBO ENTREGA 1)</t>
    </r>
  </si>
  <si>
    <r>
      <t xml:space="preserve">RBS PARTICIPACOES S A (PORTO ALEGRE)
</t>
    </r>
    <r>
      <rPr>
        <sz val="11"/>
        <color rgb="FFFF0000"/>
        <rFont val="Calibri"/>
        <family val="2"/>
        <scheme val="minor"/>
      </rPr>
      <t>(PASTA: COMPLETOS&gt;ENTREGA 1&gt;
GRUPO GLOBO ENTREGA 1)</t>
    </r>
  </si>
  <si>
    <r>
      <t xml:space="preserve">TELEVISAO BAHIA LTDA
</t>
    </r>
    <r>
      <rPr>
        <sz val="11"/>
        <color rgb="FFFF0000"/>
        <rFont val="Calibri"/>
        <family val="2"/>
        <scheme val="minor"/>
      </rPr>
      <t>(PASTA: COMPLETOS&gt;ENTREGA 1&gt;
GRUPO GLOBO ENTREGA 1)</t>
    </r>
  </si>
  <si>
    <r>
      <t xml:space="preserve">SOCIEDADE RADIO EMISSORA PARANAENSE
</t>
    </r>
    <r>
      <rPr>
        <sz val="11"/>
        <color rgb="FFFF0000"/>
        <rFont val="Calibri"/>
        <family val="2"/>
        <scheme val="minor"/>
      </rPr>
      <t>(PASTA: COMPLETOS&gt;ENTREGA 2&gt;GRUPO GLOBO ENTREGA 2)</t>
    </r>
  </si>
  <si>
    <r>
      <t xml:space="preserve">A GAZETA DO ESPIRITO SANTO RADIO E
</t>
    </r>
    <r>
      <rPr>
        <sz val="11"/>
        <color rgb="FFFF0000"/>
        <rFont val="Calibri"/>
        <family val="2"/>
        <scheme val="minor"/>
      </rPr>
      <t>(PASTA: COMPLETOS&gt;ENTREGA 1&gt;
GRUPO GLOBO ENTREGA 1)</t>
    </r>
  </si>
  <si>
    <r>
      <t xml:space="preserve">TV RIO SUL LTDA
</t>
    </r>
    <r>
      <rPr>
        <sz val="11"/>
        <color rgb="FFFF0000"/>
        <rFont val="Calibri"/>
        <family val="2"/>
        <scheme val="minor"/>
      </rPr>
      <t>(PASTA: COMPLETOS&gt;ENTREGA 1&gt;
GRUPO GLOBO ENTREGA 1)</t>
    </r>
  </si>
  <si>
    <r>
      <t xml:space="preserve">TELEVISAO TUIUTI AS
</t>
    </r>
    <r>
      <rPr>
        <sz val="11"/>
        <color rgb="FFFF0000"/>
        <rFont val="Calibri"/>
        <family val="2"/>
        <scheme val="minor"/>
      </rPr>
      <t>(PASTA: COMPLETOS&gt;ENTREGA 1&gt;
GRUPO GLOBO ENTREGA 1)</t>
    </r>
  </si>
  <si>
    <r>
      <rPr>
        <sz val="11"/>
        <rFont val="Calibri"/>
        <family val="2"/>
        <scheme val="minor"/>
      </rPr>
      <t>TELEVISÃO IMEMBUI AS</t>
    </r>
    <r>
      <rPr>
        <sz val="11"/>
        <color rgb="FFFF0000"/>
        <rFont val="Calibri"/>
        <family val="2"/>
        <scheme val="minor"/>
      </rPr>
      <t xml:space="preserve">
(PASTA: COMPLETOS&gt;ENTREGA 1&gt;
GRUPO GLOBO ENTREGA 1)</t>
    </r>
  </si>
  <si>
    <r>
      <t xml:space="preserve">TV CENTRO AMÉRICA LTDA
</t>
    </r>
    <r>
      <rPr>
        <sz val="11"/>
        <color rgb="FFFF0000"/>
        <rFont val="Calibri"/>
        <family val="2"/>
        <scheme val="minor"/>
      </rPr>
      <t>(PASTA: COMPLETOS&gt;ENTREGA 1&gt;
GRUPO GLOBO ENTREGA 1)</t>
    </r>
  </si>
  <si>
    <r>
      <t xml:space="preserve">TELEVISÃO JOAÇABA LTDA
</t>
    </r>
    <r>
      <rPr>
        <sz val="11"/>
        <color rgb="FFFF0000"/>
        <rFont val="Calibri"/>
        <family val="2"/>
        <scheme val="minor"/>
      </rPr>
      <t>(PASTA: COMPLETOS&gt;ENTREGA 1&gt;
GRUPO GLOBO ENTREGA 1)</t>
    </r>
  </si>
  <si>
    <r>
      <t xml:space="preserve">TV ANHANGUERA S/A
</t>
    </r>
    <r>
      <rPr>
        <sz val="11"/>
        <color rgb="FFFF0000"/>
        <rFont val="Calibri"/>
        <family val="2"/>
        <scheme val="minor"/>
      </rPr>
      <t>(PASTA: COMPLETOS&gt;ENTREGA 1&gt;
GRUPO GLOBO ENTREGA 1)</t>
    </r>
  </si>
  <si>
    <r>
      <t xml:space="preserve">TV CATARATAS LTDA
</t>
    </r>
    <r>
      <rPr>
        <sz val="11"/>
        <color rgb="FFFF0000"/>
        <rFont val="Calibri"/>
        <family val="2"/>
        <scheme val="minor"/>
      </rPr>
      <t>(PASTA: COMPLETOS&gt;ENTREGA 1&gt;
GRUPO GLOBO ENTREGA 1)</t>
    </r>
  </si>
  <si>
    <r>
      <t xml:space="preserve">RADIO E TELEVISAO IMAGEM LTDA
</t>
    </r>
    <r>
      <rPr>
        <sz val="11"/>
        <color rgb="FFFF0000"/>
        <rFont val="Calibri"/>
        <family val="2"/>
        <scheme val="minor"/>
      </rPr>
      <t>(PASTA: COMPLETOS&gt;ENTREGA 1&gt;
GRUPO GLOBO ENTREGA 1)</t>
    </r>
  </si>
  <si>
    <r>
      <t xml:space="preserve">RBS PARTICIPACOES S A (FLORIANÓPOLIS -  SC)
</t>
    </r>
    <r>
      <rPr>
        <sz val="11"/>
        <color rgb="FFFF0000"/>
        <rFont val="Calibri"/>
        <family val="2"/>
        <scheme val="minor"/>
      </rPr>
      <t>(PASTA: COMPLETOS&gt;ENTREGA 1&gt;
GRUPO GLOBO ENTREGA 1)</t>
    </r>
  </si>
  <si>
    <r>
      <t xml:space="preserve">TELEVISAO CACHOEIRO LTDA
</t>
    </r>
    <r>
      <rPr>
        <sz val="11"/>
        <color rgb="FFFF0000"/>
        <rFont val="Calibri"/>
        <family val="2"/>
        <scheme val="minor"/>
      </rPr>
      <t>(PASTA: COMPLETOS&gt;ENTREGA 1&gt;
GRUPO GLOBO ENTREGA 1)</t>
    </r>
  </si>
  <si>
    <r>
      <t xml:space="preserve">EMPREENDIMENTOS RADIODIFUSÃO CABO F
</t>
    </r>
    <r>
      <rPr>
        <sz val="11"/>
        <color rgb="FFFF0000"/>
        <rFont val="Calibri"/>
        <family val="2"/>
        <scheme val="minor"/>
      </rPr>
      <t>(PASTA: COMPLETOS&gt;ENTREGA 1&gt;
GRUPO GLOBO ENTREGA 1)</t>
    </r>
  </si>
  <si>
    <r>
      <t xml:space="preserve">TELEVISAO CULTURA DE MARINGA LTDA
</t>
    </r>
    <r>
      <rPr>
        <sz val="11"/>
        <color rgb="FFFF0000"/>
        <rFont val="Calibri"/>
        <family val="2"/>
        <scheme val="minor"/>
      </rPr>
      <t>(PASTA: COMPLETOS&gt;ENTREGA 1&gt;
GRUPO GLOBO ENTREGA 1)</t>
    </r>
  </si>
  <si>
    <r>
      <t xml:space="preserve">TV ESPLANADA DO PARANA LTDA
</t>
    </r>
    <r>
      <rPr>
        <sz val="11"/>
        <color rgb="FFFF0000"/>
        <rFont val="Calibri"/>
        <family val="2"/>
        <scheme val="minor"/>
      </rPr>
      <t>(PASTA: COMPLETOS&gt;ENTREGA 1&gt;
GRUPO GLOBO ENTREGA 1)</t>
    </r>
  </si>
  <si>
    <r>
      <t xml:space="preserve">TV VALE DO ACO LTDA
</t>
    </r>
    <r>
      <rPr>
        <sz val="11"/>
        <color rgb="FFFF0000"/>
        <rFont val="Calibri"/>
        <family val="2"/>
        <scheme val="minor"/>
      </rPr>
      <t>(PASTA: COMPLETOS&gt;ENTREGA 1&gt;
GRUPO GLOBO ENTREGA 1)</t>
    </r>
  </si>
  <si>
    <t>ACCENTURE DO BRASIL LTDA (BPO)</t>
  </si>
  <si>
    <t>OPEN LABS (4600052185)</t>
  </si>
  <si>
    <t>COMPARTILHADO (OI TV e OI FIXO)</t>
  </si>
  <si>
    <t>NA</t>
  </si>
  <si>
    <t>OBS.:O contrato tem apenas um aditivo, que foi nomeado incorretamente como segundo aditivo</t>
  </si>
  <si>
    <t>Possível data de término TV IPTV</t>
  </si>
  <si>
    <t>Possível data de término TV DTH</t>
  </si>
  <si>
    <t>Sim, mediante notificação com 60 dias de antecedência da data pretendida para a rescisão Cl. 1.2 do 3º Aditivo</t>
  </si>
  <si>
    <t>A informação já constava da coluna E, mas confirmei novamente: 6.1 do 9º aditivo.</t>
  </si>
  <si>
    <t>Atenção: Vigência do MOU expirou em 30/06/2024.</t>
  </si>
  <si>
    <t xml:space="preserve">Para não ser renovado automaticamente após 30/06/2025, deve haver notificação de oposição à  com no mínimo 30 dias de antecedência da renovação automática (ou seja, até 30/05/2025) </t>
  </si>
  <si>
    <t>Pode ser rescindido a partir de 01/03/2023, desde que haja notificação prévia com 30 dias da data pretendida para a rescisão Cl 1.3 do 3º aditivo.</t>
  </si>
  <si>
    <t>Sim cl 11.</t>
  </si>
  <si>
    <t>sim, sem anuência para empresas do mesmo grupo econômico (cl 13). Se a cessão for para terceiros, depende de anuência (cl 13.1).</t>
  </si>
  <si>
    <t>30/06/2024 cf 4º aditivo</t>
  </si>
  <si>
    <t xml:space="preserve">Sim, mediante notificação com 60  dias de antecedência da data pretendida para a rescisão. Cl 1.2 do 6º aditivo </t>
  </si>
  <si>
    <t>Concluído após rever coluna E, confrorme informação governança de 16/07.</t>
  </si>
  <si>
    <t>Concluído após comeplemtnar coluna E, confrorme solicitação governança de 16/07.</t>
  </si>
  <si>
    <t>O caminho indicado na coluna A parece estar incorreto. Peço confirmar.</t>
  </si>
  <si>
    <t>O contrato foi distratado em 29/01/2024</t>
  </si>
  <si>
    <t>Aguardando análise da governança</t>
  </si>
  <si>
    <t>31/12/2024 cl 3.1</t>
  </si>
  <si>
    <t>Sim, mediante notificação com 60  dias de antecedência. CL 3.5</t>
  </si>
  <si>
    <t>A cessão, pela Oi, depende de anuência prévia da Licenciante Cl 10.4</t>
  </si>
  <si>
    <t>31/12/2024 cl 2.1 do 2ºTA</t>
  </si>
  <si>
    <t>O contrato menciona a existência de um Acordo de confidencialidade celebrado em 2011 ao qual não tivemos acesso.</t>
  </si>
  <si>
    <t>Sim, desde que haja anuência prévia da outra parte (não há prazo estipulado) Cl 11.2</t>
  </si>
  <si>
    <t>Sim, mediante notificação com 90  dias de antecedência. CL 9.1</t>
  </si>
  <si>
    <t>Sim Cl 14.1</t>
  </si>
  <si>
    <t>Sim, desde que haja anuência prévia da TV5MONDE e só a uma afiliada ou subsidiária, desde que a OI permaneça como responsável perante a TV5MONDE após a cessão.</t>
  </si>
  <si>
    <t>vigência até 15/11/2012, mas está em renovação automática de 2 anos, conforme Resumo das Condições anexo ao Contrato.</t>
  </si>
  <si>
    <t>Para não ser renovado automaticamente, deve haver notificação de oposição com no mínimo 90 dias de antecedência da renovação automática.</t>
  </si>
  <si>
    <t>31/12/2024 cl 2 do 2ºTA</t>
  </si>
  <si>
    <t>Sim, desde que haja anuência prévia da outra parte (não há prazo estipulado) Cl 12.2</t>
  </si>
  <si>
    <t>Não há  essa previsão. Cl 12</t>
  </si>
  <si>
    <t>A renovação se dá por somente após 1 período de 1 ano após o príodo inicial de vigência. Para não ser renovado automaticamente, deve haver notificação de oposição com no mínimo 60 dias de antecedência da renovação automática.</t>
  </si>
  <si>
    <t>até 31/12/2024 Cl 1.1 do 3º TA</t>
  </si>
  <si>
    <t>não há essa previsão</t>
  </si>
  <si>
    <t>Sim, sem prévio consentimento. No entanto, no caso de cessão pela Oi a Bloomber deve ser notificada no prazo máximo de 10 dias após a consumação de cessão e terá 30 dias para notificar de volta, exercendo sua opção em manter ou rescindir o contrato. Cl 13</t>
  </si>
  <si>
    <t>3 anos da data inicial (que foi em 2013, ou seja, o contrato está expirado.</t>
  </si>
  <si>
    <t>Pasta completa. Atenção:  contrato expirado.</t>
  </si>
  <si>
    <t>31/12/2024 cl 1.1 do 1ºTA</t>
  </si>
  <si>
    <t>Sim, mediante notificação com 60  dias de antecedência. cl 1.1 do 1ºTA</t>
  </si>
  <si>
    <t>31/12/2024 cl 1.1 do 5ºTA</t>
  </si>
  <si>
    <t xml:space="preserve">Sim, mediante notificação com 60  dias de antecedência. cl 9.1 </t>
  </si>
  <si>
    <t>31/12/2024 cl 1.1 do 4ºTA</t>
  </si>
  <si>
    <t>Sim, mediante notificação com 60  dias de antecedência. cl 1.2 do 5º TA</t>
  </si>
  <si>
    <t>Sim, mediante notificação com 60  dias de antecedência. cl 1.2 do 4º TA</t>
  </si>
  <si>
    <t>Sim Cl 8.11</t>
  </si>
  <si>
    <t>21/12/2024 cl 1.1 do 4º TA</t>
  </si>
  <si>
    <t>31/12/2024 cl 1.1 do 3ºTA</t>
  </si>
  <si>
    <t>Sim, mediante notificação com 60  dias de antecedência. cl 1.2 do 3º TA</t>
  </si>
  <si>
    <t>Pasta completa. Atenção:  contrato expirado desde 31/12/2022 cf 2º TA</t>
  </si>
  <si>
    <t>31/12/2022 cl 1 do 1ºTA</t>
  </si>
  <si>
    <t>Não há previsão</t>
  </si>
  <si>
    <t>31/12/2024 cl 1.1 do 6ºTA</t>
  </si>
  <si>
    <t>Sim, mediante notificação com 60  dias de antecedência. cl 1.2 do 6º TA</t>
  </si>
  <si>
    <t>Sim, desde que haja anuência prévia da Globo e só a uma controlada ou controladora da Oi e desde que: i) a cessionária não tenha ainda contrato com a Globo ou com a RBS Participações e ii) que a OI permaneça como responsável subsidiária após a cessão. Cl 8.12</t>
  </si>
  <si>
    <t>31/12/2024 cl 1.1 do 7ºTA</t>
  </si>
  <si>
    <t>Sim, mediante notificação com 60  dias de antecedência. cl 1.2 do 7º TA</t>
  </si>
  <si>
    <t>Sim, desde que haja anuência prévia da Globo e só a uma controlada ou controladora da Oi e desde que: i) a cessionária não tenha ainda contrato com a Globo ou com a Televisão Bahia e ii) que a OI permaneça como responsável subsidiária após a cessão. Cl 8.12</t>
  </si>
  <si>
    <t>Pasta não localizada.</t>
  </si>
  <si>
    <t>Status Jurídico até 02/08</t>
  </si>
  <si>
    <t>Sim, desde que haja anuência prévia da Globo e só a uma controlada ou controladora da Oi e desde que: i) a cessionária não tenha ainda contrato com a Globo ou com a TV Rio Sul e ii) que a OI permaneça como responsável subsidiária após a cessão. Cl 8.12</t>
  </si>
  <si>
    <t>Pode ser rescindido a partir de 30/06/2025, desde que haja notificação prévia com 30 dias da data pretendida para a rescisão Cl 6.1 do 9º aditivo.</t>
  </si>
  <si>
    <t>Sim, desde que haja anuência prévia da Globo e só a uma controlada ou controladora da Oi e desde que: i) a cessionária não tenha ainda contrato com a Globo ou com a Televisão Cachoeiro e ii) que a OI permaneça como responsável subsidiária após a cessão. Cl 8.12</t>
  </si>
  <si>
    <t>A pasta não existe</t>
  </si>
  <si>
    <t xml:space="preserve">O caminho está correto. Na pasta o nome do arquivo está como USA BRASIL PROGRAMADORA. </t>
  </si>
  <si>
    <t>No mesmo documento do distrato está o 5º termo aditivo a partir da página 3. Peço a gentileza de reavaliar.</t>
  </si>
  <si>
    <t>O documento está na pasta que foi indicada na coluna A: (PASTA: COMPLETOS&gt;ENTREGA 2&gt;GRUPO GLOBO ENTREGA 2)</t>
  </si>
  <si>
    <t>O documento está na pasta que foi indicada na coluna A: (PASTA: COMPLETOS&gt;ENTREGA 1&gt;
GRUPO GLOBO ENTREGA 1))</t>
  </si>
  <si>
    <r>
      <t xml:space="preserve">CNN BRASIL </t>
    </r>
    <r>
      <rPr>
        <sz val="11"/>
        <color rgb="FFFF0000"/>
        <rFont val="Calibri"/>
        <family val="2"/>
        <scheme val="minor"/>
      </rPr>
      <t>(COMPLETOS&gt;ENTREGA 4)</t>
    </r>
  </si>
  <si>
    <r>
      <t xml:space="preserve">TV JUIZ DE FORA LTDA </t>
    </r>
    <r>
      <rPr>
        <sz val="11"/>
        <color rgb="FFFF0000"/>
        <rFont val="Calibri"/>
        <family val="2"/>
        <scheme val="minor"/>
      </rPr>
      <t>(COMPLETOS&gt;ENTREGA 4)</t>
    </r>
  </si>
  <si>
    <r>
      <t xml:space="preserve">TV UNIAO DE MINAS LTDA. </t>
    </r>
    <r>
      <rPr>
        <sz val="11"/>
        <color rgb="FFFF0000"/>
        <rFont val="Calibri"/>
        <family val="2"/>
        <scheme val="minor"/>
      </rPr>
      <t>(COMPLETOS&gt;ENTREGA 4)</t>
    </r>
  </si>
  <si>
    <r>
      <t xml:space="preserve">RADIO GLOBO SOCIEDADE ANONIMA </t>
    </r>
    <r>
      <rPr>
        <sz val="11"/>
        <color rgb="FFFF0000"/>
        <rFont val="Calibri"/>
        <family val="2"/>
        <scheme val="minor"/>
      </rPr>
      <t>(COMPLETOS&gt;ENTREGA 4)</t>
    </r>
  </si>
  <si>
    <r>
      <t xml:space="preserve">DW </t>
    </r>
    <r>
      <rPr>
        <sz val="11"/>
        <color rgb="FFFF0000"/>
        <rFont val="Calibri"/>
        <family val="2"/>
        <scheme val="minor"/>
      </rPr>
      <t>(COMPLETOS&gt;ENTREGA 4)</t>
    </r>
  </si>
  <si>
    <t>Solicitado à programadora o contrato e os aditivos atuais.</t>
  </si>
  <si>
    <t>Em negociação com o grupo Disney para renovação do contrato até 31/01/25</t>
  </si>
  <si>
    <t>Em análise</t>
  </si>
  <si>
    <t>Aguardando retorno da programadora para saber se temos algum outro contrato válido</t>
  </si>
  <si>
    <t>Na pasta tem o 6º aditivo que renova o contrato até 31/12/24</t>
  </si>
  <si>
    <r>
      <t>CLIMA TEMPO</t>
    </r>
    <r>
      <rPr>
        <sz val="11"/>
        <color rgb="FFFF0000"/>
        <rFont val="Calibri"/>
        <family val="2"/>
        <scheme val="minor"/>
      </rPr>
      <t xml:space="preserve"> (SES&gt;AVALIAR)</t>
    </r>
  </si>
  <si>
    <t>Ainda não temos o 1º aditivo, porém peço que avalie se é possível preencher as colunas com os contratos que estão na pasta.</t>
  </si>
  <si>
    <t>7 aditivos só falta o terceiro. peço que avalie se é possível preencher as colunas com os contratos que estão na pasta</t>
  </si>
  <si>
    <t>4 aditivos só falta o segundo.peço que avalie se é possível preencher as colunas com os contratos que estão na pasta</t>
  </si>
  <si>
    <r>
      <t xml:space="preserve">TV COLIGADAS DE SANTA CATARINA S A </t>
    </r>
    <r>
      <rPr>
        <sz val="11"/>
        <color rgb="FFFF0000"/>
        <rFont val="Calibri"/>
        <family val="2"/>
        <scheme val="minor"/>
      </rPr>
      <t>(SES&gt;AVALIAR)</t>
    </r>
  </si>
  <si>
    <r>
      <t xml:space="preserve">TELEVISAO CHAPECO S/A </t>
    </r>
    <r>
      <rPr>
        <sz val="11"/>
        <color rgb="FFFF0000"/>
        <rFont val="Calibri"/>
        <family val="2"/>
        <scheme val="minor"/>
      </rPr>
      <t>(SES&gt;AVALIAR)</t>
    </r>
  </si>
  <si>
    <r>
      <t xml:space="preserve">RBS PARTICIPACOES S A (CRICIÚMA -  SC) </t>
    </r>
    <r>
      <rPr>
        <sz val="11"/>
        <color rgb="FFFF0000"/>
        <rFont val="Calibri"/>
        <family val="2"/>
        <scheme val="minor"/>
      </rPr>
      <t>(SES&gt;AVALIAR)</t>
    </r>
  </si>
  <si>
    <t>5 aditivos só falta o terceiro. peço que avalie se é possível preencher as colunas com os contratos que estão na pasta</t>
  </si>
  <si>
    <r>
      <t>CANAL E TRANSMISSOES INTERTV LTDA</t>
    </r>
    <r>
      <rPr>
        <sz val="9"/>
        <color rgb="FFFF0000"/>
        <rFont val="Calibri"/>
        <family val="2"/>
      </rPr>
      <t xml:space="preserve"> (SES&gt;AVALIAR)</t>
    </r>
  </si>
  <si>
    <r>
      <t xml:space="preserve">CIA CATARINENSE DE RADIO E TELEVISA </t>
    </r>
    <r>
      <rPr>
        <sz val="11"/>
        <color rgb="FFFF0000"/>
        <rFont val="Calibri"/>
        <family val="2"/>
        <scheme val="minor"/>
      </rPr>
      <t>(SES&gt;AVALIAR)</t>
    </r>
  </si>
  <si>
    <t>ELO CONTACT CENTER SERVICOS LTDA </t>
  </si>
  <si>
    <t>E-SALES SOLUCOES DE INTEGRACAO LTDA </t>
  </si>
  <si>
    <t>SERASA </t>
  </si>
  <si>
    <t>EASYCOB </t>
  </si>
  <si>
    <t>LIQ</t>
  </si>
  <si>
    <t>ACCENTURE DO BRASIL LTDA (PA VIRTUAL)</t>
  </si>
  <si>
    <t>SAPHETY BRASIL TRANSAÇÕES ELETRÔNICAS LTDA</t>
  </si>
  <si>
    <t>ACCENTURE DO BRASIL LTDA</t>
  </si>
  <si>
    <t>RDS</t>
  </si>
  <si>
    <t>Retorno Governança (Roberto/Salete - 23/8)</t>
  </si>
  <si>
    <t>Contrato assinado em Ago/24</t>
  </si>
  <si>
    <r>
      <t xml:space="preserve">Companhia Rio Bonito Comunicações </t>
    </r>
    <r>
      <rPr>
        <sz val="11"/>
        <color rgb="FFFF0000"/>
        <rFont val="Calibri"/>
        <family val="2"/>
        <scheme val="minor"/>
      </rPr>
      <t>(COMPLETOS&gt;ENTREGA 4)</t>
    </r>
  </si>
  <si>
    <t>Sim, mediante notificação com 90  dias de antecedência. cl 5.3</t>
  </si>
  <si>
    <t>Sim Cl 11.1</t>
  </si>
  <si>
    <t>Sim. Mas atenção que constitui motivo de rescisão antecipada motivada a cessão ou transferência a terceiros das obrigações e/ou direitos aqui previstos, total ou parcialmente, pela outra Parte, que impacte diretamente a continuidade saudável do presente contrato.</t>
  </si>
  <si>
    <t>Sim, cl 9.1</t>
  </si>
  <si>
    <t>31/12/2024 cl 1.1 do 2ºTA</t>
  </si>
  <si>
    <t>Sim, mediante notificação com 60  dias de antecedência. cl 1.2 do 2º TA</t>
  </si>
  <si>
    <t xml:space="preserve">31/12/2024 cl 11 do contrato em vigor  </t>
  </si>
  <si>
    <t>Sim, mediante notificação com 90  dias de antecedência. cl 11 do contrato em vigor</t>
  </si>
  <si>
    <t>Não existe  informação sobre isso. Ver coluna G</t>
  </si>
  <si>
    <t>Sim, desde que haja anuência prévia da outra parte Cl 12</t>
  </si>
  <si>
    <t>Sim Cl 14</t>
  </si>
  <si>
    <t xml:space="preserve">31/12/2024 cl 1.2 do 2º TA </t>
  </si>
  <si>
    <t>Sim, desde que haja anuência prévia da outra parte Cl 12.2</t>
  </si>
  <si>
    <t>Sim, mediante notificação com 60  dias de antecedência. cl 9.1</t>
  </si>
  <si>
    <t xml:space="preserve">31/12/2024 cl 1.1 do 7º TA </t>
  </si>
  <si>
    <t>Sim, mediante notificação com 60  dias de antecedência. cl 1.2 do 7ºTA</t>
  </si>
  <si>
    <t xml:space="preserve">Sim, Cl 8.12. desde que haja anuência prévia da Globo e só a uma controlada ou controladora da Oi e desde que: i) a cessionária não tenha ainda contrato com a Globo ou com a Afiliada e ii) que a OI permaneça como responsável subsidiária após a cessão. Cl 8.12.
Não obstante, é necessário observar o disposto na cláusula 8.2, que dispõe que qualquer alteração no capital social da Oi que "enseje a mudança de controle da Oi" dá direito à Globo ou à Afiliada de rescindir o contrato, mas não incide multa. 
</t>
  </si>
  <si>
    <t>Sim, mediante notificação com 60  dias de antecedência. cl 1.2 do 4ºTA</t>
  </si>
  <si>
    <t xml:space="preserve">31/12/2024 cl 1.1 do 4º TA </t>
  </si>
  <si>
    <t>A Pasta está incompleta. Não consta 2º aditivo, ou seja, as informações aqui constantes não são seguras, já que se certas disposições do contrato tiverem sido alteradas pelo aditivo faltante, mas não tenham sido re-alteradas pelos aditivos subsequentes, então, não teremos conhecimento do que foi mudado pelo segundo aditivo</t>
  </si>
  <si>
    <t>A Pasta está incompleta. Não consta 1º aditivo, ou seja, as informações aqui constantes não são seguras, já que se certas disposições do contrato tiverem sido alteradas pelo aditivo faltante, mas não tenham sido re-alteradas pelos aditivos subsequentes, então, não teremos conhecimento do que foi mudado pelo segundo aditivo</t>
  </si>
  <si>
    <t>A Pasta está incompleta. Não consta 3º aditivo, ou seja, as informações aqui constantes não são seguras, já que se certas disposições do contrato tiverem sido alteradas pelo aditivo faltante, mas não tenham sido re-alteradas pelos aditivos subsequentes, então, não teremos conhecimento do que foi mudado pelo segundo aditivo</t>
  </si>
  <si>
    <t>Status Jurídico até 12/09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</si>
</sst>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_-* #,##0_-;\-* #,##0_-;_-* &quot;-&quot;??_-;_-@_-"/>
  </numFmts>
  <fonts count="13" x14ac:knownFonts="1">
    <font>
      <sz val="11"/>
      <color theme="1"/>
      <name val="Calibri"/>
      <family val="2"/>
      <scheme val="minor"/>
    </font>
    <font>
      <b/>
      <sz val="11"/>
      <color theme="1"/>
      <name val="Calibri"/>
      <family val="2"/>
      <scheme val="minor"/>
    </font>
    <font>
      <sz val="11"/>
      <color rgb="FFFF0000"/>
      <name val="Calibri"/>
      <family val="2"/>
      <scheme val="minor"/>
    </font>
    <font>
      <b/>
      <sz val="12"/>
      <color theme="1"/>
      <name val="Calibri"/>
      <family val="2"/>
      <scheme val="minor"/>
    </font>
    <font>
      <b/>
      <sz val="22"/>
      <color theme="1"/>
      <name val="Calibri"/>
      <family val="2"/>
      <scheme val="minor"/>
    </font>
    <font>
      <sz val="12"/>
      <color theme="1"/>
      <name val="Calibri"/>
      <family val="2"/>
      <scheme val="minor"/>
    </font>
    <font>
      <b/>
      <sz val="11"/>
      <color rgb="FFFF0000"/>
      <name val="Calibri"/>
      <family val="2"/>
      <scheme val="minor"/>
    </font>
    <font>
      <sz val="11"/>
      <color theme="1"/>
      <name val="Calibri"/>
      <family val="2"/>
      <scheme val="minor"/>
    </font>
    <font>
      <strike/>
      <sz val="11"/>
      <color theme="1"/>
      <name val="Calibri"/>
      <family val="2"/>
      <scheme val="minor"/>
    </font>
    <font>
      <sz val="9"/>
      <name val="Calibri"/>
      <family val="2"/>
      <scheme val="minor"/>
    </font>
    <font>
      <sz val="11"/>
      <name val="Calibri"/>
      <family val="2"/>
      <scheme val="minor"/>
    </font>
    <font>
      <sz val="9"/>
      <color theme="1"/>
      <name val="Calibri"/>
      <family val="2"/>
    </font>
    <font>
      <sz val="9"/>
      <color rgb="FFFF0000"/>
      <name val="Calibri"/>
      <family val="2"/>
    </font>
  </fonts>
  <fills count="10">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s>
  <cellStyleXfs count="2">
    <xf numFmtId="0" fontId="0" fillId="0" borderId="0"/>
    <xf numFmtId="43" fontId="7" fillId="0" borderId="0" applyFont="0" applyFill="0" applyBorder="0" applyAlignment="0" applyProtection="0"/>
  </cellStyleXfs>
  <cellXfs count="78">
    <xf numFmtId="0" fontId="0" fillId="0" borderId="0" xfId="0"/>
    <xf numFmtId="0" fontId="0" fillId="0" borderId="1" xfId="0" applyBorder="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5" fillId="0" borderId="1" xfId="0" applyFont="1" applyBorder="1"/>
    <xf numFmtId="0" fontId="0" fillId="4" borderId="1" xfId="0" applyFill="1" applyBorder="1" applyAlignment="1">
      <alignment horizontal="center" vertical="center" wrapText="1"/>
    </xf>
    <xf numFmtId="0" fontId="0" fillId="0" borderId="1" xfId="0"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xf numFmtId="14" fontId="0" fillId="0" borderId="1" xfId="0" applyNumberFormat="1" applyFont="1"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0" borderId="1" xfId="0" applyBorder="1" applyAlignment="1">
      <alignment vertical="top" wrapText="1"/>
    </xf>
    <xf numFmtId="0" fontId="0" fillId="0" borderId="1" xfId="0" applyFont="1" applyFill="1" applyBorder="1" applyAlignment="1">
      <alignment horizontal="left" vertical="center" wrapText="1"/>
    </xf>
    <xf numFmtId="0" fontId="0" fillId="0" borderId="0" xfId="0" applyAlignment="1">
      <alignment horizontal="left" vertical="center" wrapText="1"/>
    </xf>
    <xf numFmtId="0" fontId="0" fillId="5" borderId="1" xfId="0" applyFont="1" applyFill="1" applyBorder="1" applyAlignment="1">
      <alignment horizontal="left" vertical="center" wrapText="1"/>
    </xf>
    <xf numFmtId="0" fontId="0" fillId="0" borderId="0" xfId="0" applyAlignment="1">
      <alignment horizontal="center" vertical="center"/>
    </xf>
    <xf numFmtId="0" fontId="4" fillId="3" borderId="0"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1" fillId="6"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top" wrapText="1"/>
    </xf>
    <xf numFmtId="0" fontId="1" fillId="7" borderId="1" xfId="0" applyFont="1" applyFill="1" applyBorder="1" applyAlignment="1">
      <alignment horizontal="center" vertical="center" wrapText="1"/>
    </xf>
    <xf numFmtId="0" fontId="0" fillId="0" borderId="3" xfId="0" applyBorder="1" applyAlignment="1">
      <alignment vertical="top" wrapText="1"/>
    </xf>
    <xf numFmtId="0" fontId="0" fillId="0" borderId="3" xfId="0" applyBorder="1"/>
    <xf numFmtId="0" fontId="0" fillId="0" borderId="1" xfId="0" applyBorder="1" applyAlignment="1">
      <alignment wrapText="1"/>
    </xf>
    <xf numFmtId="0" fontId="2" fillId="0" borderId="0" xfId="0" applyFont="1" applyAlignment="1">
      <alignment wrapText="1"/>
    </xf>
    <xf numFmtId="0" fontId="0" fillId="0" borderId="0" xfId="0" applyBorder="1"/>
    <xf numFmtId="0" fontId="0" fillId="0" borderId="4" xfId="0" applyBorder="1" applyAlignment="1">
      <alignment horizontal="center" vertical="center" wrapText="1"/>
    </xf>
    <xf numFmtId="0" fontId="0" fillId="0" borderId="1" xfId="0" applyBorder="1" applyAlignment="1">
      <alignment horizontal="left" vertical="center" wrapText="1"/>
    </xf>
    <xf numFmtId="0" fontId="0" fillId="0" borderId="4" xfId="0" applyBorder="1"/>
    <xf numFmtId="0" fontId="8" fillId="0" borderId="1" xfId="0" applyFont="1"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vertical="top" wrapText="1"/>
    </xf>
    <xf numFmtId="0" fontId="0" fillId="4" borderId="3" xfId="0" applyFill="1" applyBorder="1" applyAlignment="1">
      <alignment vertical="top" wrapText="1"/>
    </xf>
    <xf numFmtId="0" fontId="0" fillId="0" borderId="1" xfId="0" applyBorder="1" applyAlignment="1">
      <alignment horizontal="left" wrapText="1"/>
    </xf>
    <xf numFmtId="14" fontId="0" fillId="0" borderId="1" xfId="0" applyNumberFormat="1" applyBorder="1" applyAlignment="1">
      <alignment wrapText="1"/>
    </xf>
    <xf numFmtId="14" fontId="0" fillId="0" borderId="1" xfId="0" applyNumberFormat="1" applyBorder="1" applyAlignment="1">
      <alignment horizontal="center" vertical="center"/>
    </xf>
    <xf numFmtId="0" fontId="10" fillId="0" borderId="1" xfId="0" applyFont="1" applyBorder="1" applyAlignment="1">
      <alignment wrapText="1"/>
    </xf>
    <xf numFmtId="0" fontId="10" fillId="0" borderId="1" xfId="0" applyFont="1" applyBorder="1"/>
    <xf numFmtId="0" fontId="10" fillId="0" borderId="1" xfId="0" applyFont="1" applyBorder="1" applyAlignment="1"/>
    <xf numFmtId="0" fontId="0" fillId="0" borderId="1" xfId="0" applyBorder="1" applyAlignment="1">
      <alignment horizontal="center"/>
    </xf>
    <xf numFmtId="164" fontId="9" fillId="0" borderId="1" xfId="1" applyNumberFormat="1" applyFont="1" applyFill="1" applyBorder="1" applyAlignment="1">
      <alignment horizontal="center" vertical="center"/>
    </xf>
    <xf numFmtId="14" fontId="0" fillId="0" borderId="4" xfId="0" applyNumberFormat="1" applyBorder="1" applyAlignment="1">
      <alignment horizontal="center" vertical="center" wrapText="1"/>
    </xf>
    <xf numFmtId="0" fontId="2" fillId="8" borderId="1" xfId="0" applyFont="1" applyFill="1" applyBorder="1" applyAlignment="1">
      <alignment horizontal="center" vertical="center" wrapText="1"/>
    </xf>
    <xf numFmtId="0" fontId="5" fillId="0" borderId="1" xfId="0" applyFont="1" applyBorder="1" applyAlignment="1">
      <alignment wrapText="1"/>
    </xf>
    <xf numFmtId="0" fontId="1" fillId="9"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0" xfId="0" applyFill="1"/>
    <xf numFmtId="0" fontId="1" fillId="8"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0" fillId="8" borderId="0" xfId="0" applyFill="1"/>
    <xf numFmtId="14" fontId="0" fillId="0" borderId="1" xfId="0" applyNumberFormat="1" applyFill="1" applyBorder="1" applyAlignment="1">
      <alignment horizontal="center" vertical="center" wrapText="1"/>
    </xf>
    <xf numFmtId="0" fontId="0" fillId="0" borderId="1" xfId="0" applyFill="1" applyBorder="1"/>
    <xf numFmtId="14" fontId="0" fillId="7" borderId="1" xfId="0" applyNumberFormat="1" applyFill="1" applyBorder="1" applyAlignment="1">
      <alignment horizontal="center" vertical="center" wrapText="1"/>
    </xf>
    <xf numFmtId="0" fontId="0" fillId="7" borderId="1" xfId="0" applyFill="1" applyBorder="1"/>
    <xf numFmtId="0" fontId="0" fillId="7" borderId="0" xfId="0" applyFill="1"/>
    <xf numFmtId="164" fontId="9" fillId="0" borderId="4" xfId="1" applyNumberFormat="1" applyFont="1" applyFill="1" applyBorder="1" applyAlignment="1">
      <alignment horizontal="center" vertical="center"/>
    </xf>
    <xf numFmtId="0" fontId="0" fillId="0" borderId="4" xfId="0" applyFont="1" applyFill="1" applyBorder="1" applyAlignment="1">
      <alignment horizontal="center" vertical="center" wrapText="1"/>
    </xf>
    <xf numFmtId="0" fontId="0" fillId="0" borderId="4" xfId="0" applyBorder="1" applyAlignment="1">
      <alignment horizontal="left" vertical="center" wrapText="1"/>
    </xf>
    <xf numFmtId="14" fontId="0" fillId="9" borderId="4" xfId="0" applyNumberFormat="1" applyFill="1" applyBorder="1" applyAlignment="1">
      <alignment horizontal="center" vertical="center" wrapText="1"/>
    </xf>
    <xf numFmtId="14" fontId="0" fillId="8" borderId="4" xfId="0" applyNumberFormat="1" applyFill="1" applyBorder="1" applyAlignment="1">
      <alignment horizontal="center" vertical="center" wrapText="1"/>
    </xf>
    <xf numFmtId="14"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5" xfId="0" applyBorder="1"/>
    <xf numFmtId="0" fontId="0" fillId="9" borderId="1" xfId="0" applyFill="1" applyBorder="1"/>
    <xf numFmtId="0" fontId="0" fillId="8" borderId="1" xfId="0" applyFill="1" applyBorder="1"/>
    <xf numFmtId="0" fontId="0" fillId="0" borderId="1" xfId="0" applyFont="1" applyBorder="1" applyAlignment="1">
      <alignment wrapText="1"/>
    </xf>
    <xf numFmtId="14" fontId="0" fillId="0" borderId="0" xfId="0" applyNumberFormat="1"/>
    <xf numFmtId="0" fontId="0" fillId="0" borderId="0" xfId="0" applyAlignment="1">
      <alignment wrapText="1"/>
    </xf>
    <xf numFmtId="0" fontId="2" fillId="0" borderId="1" xfId="0" applyFont="1" applyFill="1" applyBorder="1" applyAlignment="1">
      <alignment horizontal="center" vertical="center" wrapText="1"/>
    </xf>
    <xf numFmtId="0" fontId="11" fillId="0" borderId="6" xfId="0" applyFont="1" applyBorder="1" applyAlignment="1">
      <alignment horizontal="center" vertical="center"/>
    </xf>
    <xf numFmtId="0" fontId="4" fillId="3" borderId="2" xfId="0" applyFont="1" applyFill="1" applyBorder="1" applyAlignment="1">
      <alignment horizontal="center" vertical="center" wrapText="1"/>
    </xf>
    <xf numFmtId="0" fontId="4" fillId="3" borderId="0" xfId="0" applyFont="1" applyFill="1" applyBorder="1" applyAlignment="1">
      <alignment horizontal="center" vertical="center" wrapText="1"/>
    </xf>
  </cellXfs>
  <cellStyles count="2">
    <cellStyle name="Normal" xfId="0" builtinId="0"/>
    <cellStyle name="Vírgula" xfId="1" builtinId="3"/>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alete Do Amaral Pereira Da Silva" refreshedDate="45490.671030555553" createdVersion="6" refreshedVersion="6" minRefreshableVersion="3" recordCount="96">
  <cacheSource type="worksheet">
    <worksheetSource ref="A1:U1048576" sheet="Contratos de Conteúdo"/>
  </cacheSource>
  <cacheFields count="19">
    <cacheField name="Parte contratada" numFmtId="0">
      <sharedItems containsBlank="1"/>
    </cacheField>
    <cacheField name="Contém restrição de confidencialidade? (S/N e nº Cl)" numFmtId="0">
      <sharedItems containsBlank="1"/>
    </cacheField>
    <cacheField name="Admite Cessão? Com ou sem anuência? (S/N e nº Cl)" numFmtId="0">
      <sharedItems containsBlank="1"/>
    </cacheField>
    <cacheField name="Prazo final de vigência  com data" numFmtId="0">
      <sharedItems containsBlank="1"/>
    </cacheField>
    <cacheField name="Admite rescisão antecipada? Qual o prazo?" numFmtId="0">
      <sharedItems containsBlank="1"/>
    </cacheField>
    <cacheField name="Qual o prazo para oposição a renovações de vigência automática ?" numFmtId="0">
      <sharedItems containsBlank="1"/>
    </cacheField>
    <cacheField name="Status Jurídico até 11/07" numFmtId="0">
      <sharedItems containsBlank="1" longText="1"/>
    </cacheField>
    <cacheField name="Retorno Governança (Salete - 23/05)" numFmtId="0">
      <sharedItems containsBlank="1"/>
    </cacheField>
    <cacheField name="Retorno Governança (Salete - 03/06)" numFmtId="0">
      <sharedItems containsBlank="1"/>
    </cacheField>
    <cacheField name="Retorno Governança (Roberto - 20/06)" numFmtId="0">
      <sharedItems containsBlank="1"/>
    </cacheField>
    <cacheField name="Retorno Governança (Roberto/Salete - 16/07)" numFmtId="0">
      <sharedItems containsBlank="1"/>
    </cacheField>
    <cacheField name="STATUS" numFmtId="0">
      <sharedItems containsBlank="1" count="6">
        <s v="PARCIALMENTE"/>
        <s v="Pendente"/>
        <s v="Liberado"/>
        <s v="Concluído"/>
        <s v="Não liberado"/>
        <m/>
      </sharedItems>
    </cacheField>
    <cacheField name="MOTIVO" numFmtId="0">
      <sharedItems containsBlank="1" count="8">
        <s v="PARCIALMENTE"/>
        <s v="Em assinatura"/>
        <s v="Liberado"/>
        <s v="Concluído"/>
        <s v="Pendente"/>
        <s v="Não liberado"/>
        <m/>
        <s v="Falta aditivo" u="1"/>
      </sharedItems>
    </cacheField>
    <cacheField name="Contrato exclusivo ou compartilhado?" numFmtId="0">
      <sharedItems containsBlank="1"/>
    </cacheField>
    <cacheField name="Possível data de término Tv IPTV" numFmtId="0">
      <sharedItems containsNonDate="0" containsDate="1" containsString="0" containsBlank="1" minDate="2024-11-30T00:00:00" maxDate="2024-12-01T00:00:00"/>
    </cacheField>
    <cacheField name="Data Limite notificação rescisão IPTV (Time TSA)" numFmtId="0">
      <sharedItems containsNonDate="0" containsDate="1" containsString="0" containsBlank="1" minDate="2024-10-01T00:00:00" maxDate="2024-11-01T00:00:00"/>
    </cacheField>
    <cacheField name="Possível data de término Tv DTH" numFmtId="0">
      <sharedItems containsNonDate="0" containsDate="1" containsString="0" containsBlank="1" minDate="2025-01-31T00:00:00" maxDate="2025-02-01T00:00:00"/>
    </cacheField>
    <cacheField name="Data Limite notificação rescisão DTH (Time TSA)" numFmtId="0">
      <sharedItems containsNonDate="0" containsDate="1" containsString="0" containsBlank="1" minDate="2024-12-02T00:00:00" maxDate="2025-01-02T00:00:00"/>
    </cacheField>
    <cacheField name="Objetivo notificaçã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6">
  <r>
    <s v="Canal Brazil S.A_x000a_(PASTA: COMPLETOS&gt;ENTREGA 1&gt;_x000a_GRUPO GLOBO ENTREGA 1)"/>
    <s v="Sim . Cl. 10.1"/>
    <s v="Sim, mas depende de anuência prévia. Cl. 14.1"/>
    <s v="31/12/2024 Cl.1.1 do 3º Aditivo"/>
    <s v="Não Cl. 9.1"/>
    <s v="N/A"/>
    <s v="Concluído"/>
    <s v="Incluído na pasta o 3º aditivo com a vigência do contrato até 31/12/24. Será solicitado a programadora o 2ª aditivo ao contrato."/>
    <s v="Pasta atualizada"/>
    <s v="ok"/>
    <s v="OK. No 3º aditivo foi incluido a clausula de rescisão antecipada de 60 dias."/>
    <x v="0"/>
    <x v="0"/>
    <s v="COMPARTILHADO (DTH/IPTV)"/>
    <d v="2024-11-30T00:00:00"/>
    <m/>
    <d v="2025-01-31T00:00:00"/>
    <m/>
    <m/>
  </r>
  <r>
    <s v="Companhia Rio Bonito Comunicações"/>
    <m/>
    <m/>
    <m/>
    <m/>
    <m/>
    <s v="Aguardando aditivo que renova prazo de vigência"/>
    <s v="Este contrato está dentro da pasta da Band. Documento está em fase de assinatura do aditivo que renova o contrato."/>
    <s v="Este contrato está dentro da pasta da Band. Documento está em fase de assinatura do aditivo que renova o contrato."/>
    <s v="O contrato está em fase de assinatura."/>
    <s v="Em assinatura"/>
    <x v="1"/>
    <x v="1"/>
    <s v="COMPARTILHADO (DTH/IPTV)"/>
    <d v="2024-11-30T00:00:00"/>
    <m/>
    <d v="2025-01-31T00:00:00"/>
    <m/>
    <m/>
  </r>
  <r>
    <s v="DISCOVERY NETWORKS, S.L. (nova razão social da DISCOVERY LATIN AMERICA, S.L)_x000a_ (Pasta: COMPLETOS&gt;ENTREGA 2&gt;_x000a_WARNER DISCOVERY)"/>
    <s v="Sim Cl 14.2"/>
    <s v="Sim, mas depende de anuência prévia. Cl. 14.7"/>
    <s v="30/06/2025 Cl 6 do 9º aditivo"/>
    <s v="Pode ser rescindido a partir de 01/03/2025, desde que haja notificação prévia com 30 dias da data pretendida para a rescisão Cl 6.1 do 9º aditivo."/>
    <s v="para não ser renovado automaticamente após 30/06/2025, deve haver notificação de oposição à  com no mínimo 30 dias de antecedência da renovação automática (ou seja, até 30/05/2025) "/>
    <m/>
    <s v="A pasta foi limpa para constar soemnte os documentos da Discovery. Data de vencimento do contrato até 30/06/25"/>
    <s v="A pasta foi limpa para constar soemnte os documentos da Discovery. Data de vencimento do contrato até 30/06/25. Falta o 7º e 8º aditivos"/>
    <s v="Arquivos carregados"/>
    <s v="OK. Pode por favor nos identificar qual clausula do aditivo indica que o contrato so pode ser rescindido a partir de 01/03/2025?."/>
    <x v="0"/>
    <x v="0"/>
    <s v="COMPARTILHADO (DTH/IPTV)"/>
    <d v="2024-11-30T00:00:00"/>
    <d v="2024-10-31T00:00:00"/>
    <d v="2025-01-31T00:00:00"/>
    <d v="2025-01-01T00:00:00"/>
    <m/>
  </r>
  <r>
    <s v="ESPN do Brasil Eventos Esportivos LTDA (TFCF LATIN)- _x000a_(PASTA GRUPO DISNEY-TFCF (ESPN, STAR-FOX /ESPN)"/>
    <m/>
    <m/>
    <m/>
    <m/>
    <m/>
    <s v="Foi firmado um contrato de licença de distribuição que vigorou de 2017 até 30/04/2023. Paralelamente, foi celebrado um MOU para disponibilização do ESPN play, mas os aditivos ao MOU não prorrogam o ESPN Play, mas sim a distribuição de canais. No entanto, o documento chamado &quot;ESPN_Oi_Linear_Channels_Segundo aditivo_2020&quot; faz menção a um outro contrato de distribuição de conteúdo supostamente celebrado em 2018. Pedimos verificar."/>
    <s v="Iremos solicitar a programadora"/>
    <s v="Pasta atualizada"/>
    <s v="Incluido na pasta: Nome do arquivo do 4º aditivo - 4º Aditivo ESPN_Oi (vigência até 30-jun-24)"/>
    <s v="Pasta organizada somente com os documentos validos. Documento valido entre as partes para distribuição de conteúdo é o MEMORANDO DE ENTENDIMENTOS PARA LICENÇA DE DISTRIBUIÇÃO DE CANAIS EM TELEVISÃO POR ASSINATURA."/>
    <x v="2"/>
    <x v="2"/>
    <s v="COMPARTILHADO (DTH/IPTV)"/>
    <d v="2024-11-30T00:00:00"/>
    <m/>
    <d v="2025-01-31T00:00:00"/>
    <d v="2024-12-02T00:00:00"/>
    <s v="Estender o contrato até 31/01/25 e cancelar no mês seguinte."/>
  </r>
  <r>
    <s v=" Tuna Entretenimento e Audiovisual - FISH TV"/>
    <s v="Sim cl 7.1"/>
    <s v="Sim , mediante prévia e expressa anuência da outra parte. Cl 9.3.1.3"/>
    <s v="31/12/2024 cl 1.2 do 6º aditivo"/>
    <s v="Sim, mediante notificação com 60  dias de antecedência da data pretendida para a rescisão. Cl 9.1. "/>
    <s v="N/A/"/>
    <s v="Pasta completa"/>
    <m/>
    <m/>
    <m/>
    <s v="OK"/>
    <x v="3"/>
    <x v="3"/>
    <s v="COMPARTILHADO (DTH/IPTV)"/>
    <d v="2024-11-30T00:00:00"/>
    <d v="2024-10-01T00:00:00"/>
    <d v="2025-01-31T00:00:00"/>
    <d v="2024-12-02T00:00:00"/>
    <m/>
  </r>
  <r>
    <s v="Globo Comunicação e Participações AS (TV Globo Recife-PE) _x000a_(Pasta: COMPLETOS&gt;ENTREGA 1&gt;GRUPO GLOBO ENTREGA 1&gt;_x000a_GLOBO COMUNICAÇÃO E PARTICIPAÇÕES SA"/>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Será solicitado a programadora o 5ª aditivo ao contrato"/>
    <s v="Pasta atualizada"/>
    <s v="ok"/>
    <s v="Pode confirmar se o prazo de rescisão é de 60 dias, por favor?"/>
    <x v="0"/>
    <x v="0"/>
    <s v="COMPARTILHADO (DTH/IPTV)"/>
    <d v="2024-11-30T00:00:00"/>
    <d v="2024-10-01T00:00:00"/>
    <d v="2025-01-31T00:00:00"/>
    <d v="2024-12-02T00:00:00"/>
    <m/>
  </r>
  <r>
    <s v="Globo Comunicação e Participações S.A. (TV Globo Rio de Janeiro)_x000a_(Pasta: COMPLETOS&gt;ENTREGA 1&gt;GRUPO GLOBO ENTREGA 1&gt;_x000a_GLOBO COMUNICAÇÃO E PARTICIPAÇÕES AS)"/>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até 31/12/24. Será solicitado a programadora o 5ª aditivo ao contrato"/>
    <s v="Pasta atualizada"/>
    <s v="ok"/>
    <s v="Pode confirmar se o prazo de rescisão é de 60 dias, por favor?"/>
    <x v="0"/>
    <x v="0"/>
    <s v="COMPARTILHADO (DTH/IPTV)"/>
    <d v="2024-11-30T00:00:00"/>
    <d v="2024-10-01T00:00:00"/>
    <d v="2025-01-31T00:00:00"/>
    <d v="2024-12-02T00:00:00"/>
    <m/>
  </r>
  <r>
    <s v="Globo Comunicação e Participações SA (TV Globo Belo Horizonte)_x000a_(Pasta: COMPLETOS&gt;ENTREGA 1&gt;GRUPO GLOBO ENTREGA 1&gt;_x000a_GLOBO COMUNICAÇÃO E PARTICIPAÇÕES AS)"/>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Será solicitado a programadora o 5ª aditivo ao contrato"/>
    <s v="Pasta atualizada"/>
    <s v="ok"/>
    <s v="Pode confirmar se o prazo de rescisão é de 60 dias, por favor?"/>
    <x v="0"/>
    <x v="0"/>
    <s v="COMPARTILHADO (DTH/IPTV)"/>
    <d v="2024-11-30T00:00:00"/>
    <d v="2024-10-01T00:00:00"/>
    <d v="2025-01-31T00:00:00"/>
    <d v="2024-12-02T00:00:00"/>
    <m/>
  </r>
  <r>
    <s v="Globo Comunicação e Participações SA (TV Globo Brasília-DF)_x000a_(Pasta: COMPLETOS&gt;ENTREGA 1&gt;GRUPO GLOBO ENTREGA 1&gt;_x000a_GLOBO COMUNICAÇÃO E PARTICIPAÇÕES SA"/>
    <s v="Sim. Cl. 8.11"/>
    <s v="Sim , mediante prévia e expressa anuência da outra parte, salvo se a cessionária for sociedade controlada pela Oi Cl 8.12. "/>
    <s v="31/12/2024 Cl 1.1 do 6º Aditivo"/>
    <s v="Sim Cl. 1.2 do 6º aditivo (60 dias?)"/>
    <s v="N/A"/>
    <s v="Pasta completa"/>
    <s v="Incluído na pasta o 6º aditivo com a vigência do contrato. Será solicitado a programadora o 5ª aditivo ao contrato"/>
    <s v="Pasta atualizada"/>
    <s v="ok"/>
    <s v="Pode confirmar se o prazo de rescisão é de 60 dias, por favor?"/>
    <x v="0"/>
    <x v="0"/>
    <s v="COMPARTILHADO (DTH/IPTV)"/>
    <d v="2024-11-30T00:00:00"/>
    <d v="2024-10-01T00:00:00"/>
    <d v="2025-01-31T00:00:00"/>
    <d v="2024-12-02T00:00:00"/>
    <m/>
  </r>
  <r>
    <s v="HBO BRASIL LTDA (PASTA WARNER DISCOVERY)"/>
    <m/>
    <m/>
    <m/>
    <m/>
    <m/>
    <s v="Existem diversos contratos na pasta, inviabilizando saber qual é o que efetivamente vigora. Exemplo: existe um arquivo chamado DTH_HBO e outro chamado HBO Basic Deal 2015. Bem como o HBO Basic Deal 2017. Pedimos esclarecer."/>
    <s v="Iremos solicitar a programadora os aditivos"/>
    <s v="Aditivos adicionados a pasta"/>
    <s v="Arquivos carregados"/>
    <s v="OK, em análise."/>
    <x v="1"/>
    <x v="4"/>
    <s v="COMPARTILHADO (DTH/IPTV)"/>
    <d v="2024-11-30T00:00:00"/>
    <m/>
    <d v="2025-01-31T00:00:00"/>
    <m/>
    <m/>
  </r>
  <r>
    <s v="Mtv Networks Brasil Programação Televisiva e Publicidade LTDA"/>
    <s v="Sim Cl. 4.1"/>
    <s v="Sim, mas depende de prévia anuência da outra parte. Se a cessão derivar de operação societária, o consentimento prévio fica dispensado Cl 9.1 dos Termos e Condições"/>
    <s v="31/12/2024 Cl 2.1 do 3ºAditivo"/>
    <s v="Não."/>
    <s v="N/A"/>
    <s v="Pasta completa"/>
    <s v="Incluído todos os aditivos. Vigência do contrato até 31/12/24"/>
    <s v="Pasta atualizada"/>
    <s v="ok"/>
    <s v="OK"/>
    <x v="3"/>
    <x v="3"/>
    <s v="COMPARTILHADO (DTH/IPTV)"/>
    <d v="2024-11-30T00:00:00"/>
    <m/>
    <d v="2025-01-31T00:00:00"/>
    <m/>
    <m/>
  </r>
  <r>
    <s v="NBCUniversal Networks International Brasil Programadora S.A( atual denominação da USA BRASIL PROGRAMADORA LTDA) _x000a_(Pasta: COMPLETOS&gt;ENTREGA 1&gt;GRUPO GLOBO ENTREGA 1)_x000a_"/>
    <s v="Sim. Cl 10.1"/>
    <s v="Sim, mas depende de anuência prévia. Cl. 13.1"/>
    <s v="Sim Cl. 1.1 do 2º aditivo"/>
    <s v="Sim. Cl 1.2 do 2º aditivo (60 das)"/>
    <s v="N/A"/>
    <s v="Pasta completa. Obs 11jul: não temos como confirmar o prazo para rescisão antecipada visto que a pasta deixou de constar do Teams. "/>
    <s v="Incluído na pasta o 2º aditivo com a vigência do contrato até 31/12/24. Será solicitado a programadora o 1ª aditivo ao contrato."/>
    <s v="Pasta atualizada"/>
    <s v="ok"/>
    <s v="Caminho indicado, em vermelho, na coluna &quot;A&quot;"/>
    <x v="0"/>
    <x v="0"/>
    <s v="COMPARTILHADO (DTH/IPTV)"/>
    <d v="2024-11-30T00:00:00"/>
    <d v="2024-10-01T00:00:00"/>
    <d v="2025-01-31T00:00:00"/>
    <d v="2024-12-02T00:00:00"/>
    <m/>
  </r>
  <r>
    <s v="PLAYTV"/>
    <s v="Sim. Cl 10.1"/>
    <s v="Sim, sem necessidade de anuência prévia. Cl 11.16"/>
    <s v="31/12/2024 Cl 5.1"/>
    <s v="Sim, mediante notificação com 60  dias de antecedência. CL 6.1 "/>
    <s v="N/A"/>
    <s v="Pasta completa"/>
    <m/>
    <m/>
    <m/>
    <s v="OK"/>
    <x v="3"/>
    <x v="3"/>
    <s v="COMPARTILHADO (DTH/IPTV)"/>
    <d v="2024-11-30T00:00:00"/>
    <d v="2024-10-01T00:00:00"/>
    <d v="2025-01-31T00:00:00"/>
    <d v="2024-12-02T00:00:00"/>
    <m/>
  </r>
  <r>
    <s v="SIMBA (PASTA: NÃO COMPARTILHAR&gt;SIMBA-NÃO AUTORIZADO&gt;SIMBA)"/>
    <m/>
    <m/>
    <m/>
    <m/>
    <m/>
    <s v="Pasta Vazia"/>
    <m/>
    <m/>
    <m/>
    <s v="Documentos disponiveis"/>
    <x v="2"/>
    <x v="2"/>
    <s v="COMPARTILHADO (DTH/IPTV)"/>
    <d v="2024-11-30T00:00:00"/>
    <m/>
    <d v="2025-01-31T00:00:00"/>
    <m/>
    <m/>
  </r>
  <r>
    <s v="Telecine Programação de Filmes LTDA (PASTA ENVIADOS PARA A SES&gt;GRUPO GLOBO ENTREGA 1)"/>
    <s v="Sim . Cl. 10.1"/>
    <s v="Sim, mas depende de anuência prévia. Cl. 14.1"/>
    <s v="31/12/2024 Cl.1.1 do 6º Aditivo"/>
    <s v="Sim, mediante notificação com 60  dias de antecedência. CL 1.3 do 6º Termo Aditivo. "/>
    <s v="N/A"/>
    <s v="Pasta completa"/>
    <s v="Incluído na pasta o 6º aditivo com a vigência do contrato até 31/12/24. Será solicitado a programadora o 5ª aditivo ao contrato."/>
    <s v="Pasta atualizada"/>
    <s v="Nome do arquivo do 6º aditivo - OI_TNL x Way TV_Distribuiçao Telecine e Megapix_AD6 (9617)"/>
    <s v="OK"/>
    <x v="3"/>
    <x v="3"/>
    <s v="COMPARTILHADO (DTH/IPTV)"/>
    <d v="2024-11-30T00:00:00"/>
    <d v="2024-10-01T00:00:00"/>
    <d v="2025-01-31T00:00:00"/>
    <d v="2024-12-02T00:00:00"/>
    <s v="Vamoss avisar o que? Que vamos cancelar o contrato como um todo??  Ou vamos canclear somente o Iptv??_x000a_Estender por 1 mês e cancelar no mês seguinte."/>
  </r>
  <r>
    <s v="TFCF LATIN AMERICAN CHANNEL, LLC e TFCF LATIN AMERICA CHANNELS DO BRASIL LTDA._x000a_GRUPO DISNEY-TFCF (ESPN, STAR-FOX)"/>
    <m/>
    <m/>
    <m/>
    <m/>
    <m/>
    <s v="A pasta contém vários contratos e aditivos a contratos já expirados, um MOU e vários aditivos ao MOU (1º ao 6º, mas faltando o 3º e o 5º aditivos ao MOU). Pedimos enviar tais documentos."/>
    <s v="Incluído na pasta o 6º aditivo com a vigência do contrato até 30/09/24. Será solicitado a programadora o 5ª aditivo ao contrato."/>
    <s v="Incluído na pasta o 6º aditivo com a vigência do contrato até 30/09/24. Será solicitado a programadora o 5ª aditivo ao contrato."/>
    <s v="Arquivos carregados"/>
    <s v="OK, em análise."/>
    <x v="1"/>
    <x v="4"/>
    <s v="COMPARTILHADO (DTH/IPTV)"/>
    <d v="2024-11-30T00:00:00"/>
    <m/>
    <d v="2025-01-31T00:00:00"/>
    <m/>
    <m/>
  </r>
  <r>
    <s v="TURNER INTERNATIONAL LATIN AMERICA, INC ((PASTA WARNER DISCOVERY)"/>
    <m/>
    <m/>
    <m/>
    <m/>
    <m/>
    <s v="Supostamente, não existe contrato em vigor. Foi celebrado um contrato em 2013 e depois mais 3 aditivos. Em 2018 foi celebrado um MOU que vigoraria entre 2018 e 2019, até que fosse celebrado novo aditivo ao contrato de 2013. Em 2021 foi enviada uma proposta pela Warner sinalizando a assinatura de um novo contrato que vigoraria até 31/12/2023. Esse contrato não está na pasta e não há aditivos a ele. "/>
    <s v="Iremos solicitar a programadora os aditivos"/>
    <s v="Aditivos adicionados a pasta"/>
    <s v="Arquivos carregados"/>
    <s v="OK, em análise."/>
    <x v="1"/>
    <x v="4"/>
    <s v="COMPARTILHADO (DTH/IPTV)"/>
    <d v="2024-11-30T00:00:00"/>
    <m/>
    <d v="2025-01-31T00:00:00"/>
    <m/>
    <m/>
  </r>
  <r>
    <s v="WOOHOO"/>
    <s v="Sim cl 7.1"/>
    <s v="Sim, sem anuênia cl 1.5 do 2º aditivo"/>
    <s v="08/01/2025 Cl 1.3 do 3º aditivo"/>
    <s v="Sim, mediante notificação com 60  dias de antecedência. CL 9.1"/>
    <s v="N/A"/>
    <s v="Pasta completa"/>
    <m/>
    <m/>
    <m/>
    <s v="OK"/>
    <x v="3"/>
    <x v="3"/>
    <s v="COMPARTILHADO (DTH/IPTV)"/>
    <d v="2024-11-30T00:00:00"/>
    <d v="2024-10-01T00:00:00"/>
    <d v="2025-01-31T00:00:00"/>
    <d v="2024-12-02T00:00:00"/>
    <m/>
  </r>
  <r>
    <s v="ZOOMOO"/>
    <s v="Sim cl 7.1"/>
    <s v="sim, sem anuência cl 9.1.1.3"/>
    <s v="31/12/2024 cl 2.1 do 1º aditivo"/>
    <s v="Sim, mediante notificação com 60  dias de antecedência. CL 8.2"/>
    <s v="N/A"/>
    <m/>
    <m/>
    <m/>
    <m/>
    <s v="OK"/>
    <x v="3"/>
    <x v="3"/>
    <s v="COMPARTILHADO (DTH/IPTV)"/>
    <d v="2024-11-30T00:00:00"/>
    <d v="2024-10-01T00:00:00"/>
    <d v="2025-01-31T00:00:00"/>
    <d v="2024-12-02T00:00:00"/>
    <m/>
  </r>
  <r>
    <s v="BAND -NEWCO PROGRAMADORA _x000a_(PASTA: COMPLETOS&gt;ENTREGA 4&gt;BAND&gt;_x000a_BAND - NEWCO PROGRAMADORA_x000a_"/>
    <m/>
    <m/>
    <m/>
    <m/>
    <m/>
    <m/>
    <m/>
    <m/>
    <m/>
    <m/>
    <x v="4"/>
    <x v="5"/>
    <m/>
    <m/>
    <m/>
    <m/>
    <m/>
    <m/>
  </r>
  <r>
    <s v="PB BRASIL ENTRETENIMENTO S/A_x000a_(PASTA: COMPLETOS&gt;ENTREGA 3)"/>
    <m/>
    <m/>
    <m/>
    <m/>
    <m/>
    <m/>
    <m/>
    <m/>
    <m/>
    <m/>
    <x v="4"/>
    <x v="5"/>
    <m/>
    <m/>
    <m/>
    <m/>
    <m/>
    <m/>
  </r>
  <r>
    <s v="TV5MONDE_x000a_(PASTA: COMPLETOS&gt;ENTREGA 3)_x000a_"/>
    <m/>
    <m/>
    <m/>
    <m/>
    <m/>
    <m/>
    <m/>
    <m/>
    <m/>
    <m/>
    <x v="4"/>
    <x v="5"/>
    <m/>
    <m/>
    <m/>
    <m/>
    <m/>
    <m/>
  </r>
  <r>
    <s v="BOX BRASIL_x000a_(PASTA: COMPLETOS&gt;ENTREGA 3)"/>
    <m/>
    <m/>
    <m/>
    <m/>
    <m/>
    <m/>
    <m/>
    <m/>
    <m/>
    <m/>
    <x v="4"/>
    <x v="5"/>
    <m/>
    <m/>
    <m/>
    <m/>
    <m/>
    <m/>
  </r>
  <r>
    <s v="RA TIM BUM_x000a_(PASTA:COMPLETOS&gt;ENTREGA 4&gt;FUNDAÇÃO PADRE ANCHIETA)"/>
    <m/>
    <m/>
    <m/>
    <m/>
    <m/>
    <m/>
    <m/>
    <m/>
    <m/>
    <s v="O contrato tem apenas um aditivo, que foi nomeado incorretamente como segundo aditivo"/>
    <x v="4"/>
    <x v="5"/>
    <m/>
    <m/>
    <m/>
    <m/>
    <m/>
    <m/>
  </r>
  <r>
    <s v="BLOOMBERG_x000a_(PASTA: COMPLETOS&gt;ENTREGA 3)"/>
    <m/>
    <m/>
    <m/>
    <m/>
    <m/>
    <m/>
    <m/>
    <m/>
    <m/>
    <m/>
    <x v="4"/>
    <x v="5"/>
    <m/>
    <m/>
    <m/>
    <m/>
    <m/>
    <m/>
  </r>
  <r>
    <s v="CINE BRASIL_x000a_(PASTA: COMPLETOS&gt;ENTREGA 2)"/>
    <m/>
    <m/>
    <m/>
    <m/>
    <m/>
    <m/>
    <m/>
    <m/>
    <m/>
    <m/>
    <x v="4"/>
    <x v="5"/>
    <m/>
    <m/>
    <m/>
    <m/>
    <m/>
    <m/>
  </r>
  <r>
    <s v="RTPI_x000a_(PASTA: COMPLETOS&gt;ENTREGA 3)"/>
    <m/>
    <m/>
    <m/>
    <m/>
    <m/>
    <m/>
    <m/>
    <m/>
    <m/>
    <m/>
    <x v="4"/>
    <x v="5"/>
    <m/>
    <m/>
    <m/>
    <m/>
    <m/>
    <m/>
  </r>
  <r>
    <s v="CHEF TV_x000a_(PASTA: COMPLETOS&gt;ENTREGA 2)"/>
    <m/>
    <m/>
    <m/>
    <m/>
    <m/>
    <m/>
    <m/>
    <m/>
    <m/>
    <m/>
    <x v="4"/>
    <x v="5"/>
    <m/>
    <m/>
    <m/>
    <m/>
    <m/>
    <m/>
  </r>
  <r>
    <s v="CURTA_x000a_(PASTA: COMPLETOS&gt;ENTREGA 3)"/>
    <m/>
    <m/>
    <m/>
    <m/>
    <m/>
    <m/>
    <m/>
    <m/>
    <m/>
    <m/>
    <x v="4"/>
    <x v="5"/>
    <m/>
    <m/>
    <m/>
    <m/>
    <m/>
    <m/>
  </r>
  <r>
    <s v="TELEVISAO CABO BRANCO LTDA_x000a_(PASTA: COMPLETOS&gt;ENTREGA 1&gt;_x000a_GRUPO GLOBO ENTREGA 1)"/>
    <m/>
    <m/>
    <m/>
    <m/>
    <m/>
    <m/>
    <m/>
    <m/>
    <m/>
    <m/>
    <x v="4"/>
    <x v="5"/>
    <m/>
    <m/>
    <m/>
    <m/>
    <m/>
    <m/>
  </r>
  <r>
    <s v="RADIO TV DO AMAZONAS LTDA_x000a_(PASTA: COMPLETOS&gt;ENTREGA 1&gt;_x000a_GRUPO GLOBO ENTREGA 1)"/>
    <m/>
    <m/>
    <m/>
    <m/>
    <m/>
    <m/>
    <m/>
    <m/>
    <m/>
    <m/>
    <x v="4"/>
    <x v="5"/>
    <m/>
    <m/>
    <m/>
    <m/>
    <m/>
    <m/>
  </r>
  <r>
    <s v="TELEVISAO MIRANTE LTDA_x000a_(PASTA: COMPLETOS&gt;ENTREGA 1&gt;_x000a_GRUPO GLOBO ENTREGA 1)"/>
    <m/>
    <m/>
    <m/>
    <m/>
    <m/>
    <m/>
    <m/>
    <m/>
    <m/>
    <m/>
    <x v="4"/>
    <x v="5"/>
    <m/>
    <m/>
    <m/>
    <m/>
    <m/>
    <m/>
  </r>
  <r>
    <s v="TV RADIO CLUBE DE TERESINA AS_x000a_(PASTA: COMPLETOS&gt;ENTREGA 1&gt;_x000a_GRUPO GLOBO ENTREGA 1)"/>
    <m/>
    <m/>
    <m/>
    <m/>
    <m/>
    <m/>
    <m/>
    <m/>
    <m/>
    <m/>
    <x v="4"/>
    <x v="5"/>
    <m/>
    <m/>
    <m/>
    <m/>
    <m/>
    <m/>
  </r>
  <r>
    <s v="TELEVISAO CABUGI LTDA_x000a_(PASTA: COMPLETOS&gt;ENTREGA 1&gt;_x000a_GRUPO GLOBO ENTREGA 1)"/>
    <m/>
    <m/>
    <m/>
    <m/>
    <m/>
    <m/>
    <m/>
    <m/>
    <m/>
    <m/>
    <x v="4"/>
    <x v="5"/>
    <m/>
    <m/>
    <m/>
    <m/>
    <m/>
    <m/>
  </r>
  <r>
    <s v="TELEVISAO VERDES MARES LTDA_x000a_(PASTA: COMPLETOS&gt;ENTREGA 1&gt;_x000a_GRUPO GLOBO ENTREGA 1)_x000a_"/>
    <m/>
    <m/>
    <m/>
    <m/>
    <m/>
    <m/>
    <m/>
    <m/>
    <m/>
    <m/>
    <x v="4"/>
    <x v="5"/>
    <m/>
    <m/>
    <m/>
    <m/>
    <m/>
    <m/>
  </r>
  <r>
    <s v="RADIO TELEVISAO DE SERGIPE SA"/>
    <m/>
    <m/>
    <m/>
    <m/>
    <m/>
    <m/>
    <m/>
    <m/>
    <m/>
    <m/>
    <x v="4"/>
    <x v="5"/>
    <m/>
    <m/>
    <m/>
    <m/>
    <m/>
    <m/>
  </r>
  <r>
    <s v="TELEVISÃO SUL DE MINAS LTDA"/>
    <m/>
    <m/>
    <m/>
    <m/>
    <m/>
    <m/>
    <m/>
    <m/>
    <m/>
    <m/>
    <x v="4"/>
    <x v="5"/>
    <m/>
    <m/>
    <m/>
    <m/>
    <m/>
    <m/>
  </r>
  <r>
    <s v="INTERVISAO EMISSORAS DE RADIO E TEL"/>
    <m/>
    <m/>
    <m/>
    <m/>
    <m/>
    <m/>
    <m/>
    <m/>
    <m/>
    <m/>
    <x v="4"/>
    <x v="5"/>
    <m/>
    <m/>
    <m/>
    <m/>
    <m/>
    <m/>
  </r>
  <r>
    <s v="REDE NORDESTE DE COMUNICACAO LTDA"/>
    <m/>
    <m/>
    <m/>
    <m/>
    <m/>
    <m/>
    <m/>
    <m/>
    <m/>
    <m/>
    <x v="4"/>
    <x v="5"/>
    <m/>
    <m/>
    <m/>
    <m/>
    <m/>
    <m/>
  </r>
  <r>
    <s v="RBS PARTICIPACOES S A (PORTO ALEGRE)"/>
    <m/>
    <m/>
    <m/>
    <m/>
    <m/>
    <m/>
    <m/>
    <m/>
    <m/>
    <m/>
    <x v="4"/>
    <x v="5"/>
    <m/>
    <m/>
    <m/>
    <m/>
    <m/>
    <m/>
  </r>
  <r>
    <s v="TELEVISAO BAHIA LTDA"/>
    <m/>
    <m/>
    <m/>
    <m/>
    <m/>
    <m/>
    <m/>
    <m/>
    <m/>
    <m/>
    <x v="4"/>
    <x v="5"/>
    <m/>
    <m/>
    <m/>
    <m/>
    <m/>
    <m/>
  </r>
  <r>
    <s v="SOCIEDADE RADIO EMISSORA PARANAENSE"/>
    <m/>
    <m/>
    <m/>
    <m/>
    <m/>
    <m/>
    <m/>
    <m/>
    <m/>
    <m/>
    <x v="4"/>
    <x v="5"/>
    <m/>
    <m/>
    <m/>
    <m/>
    <m/>
    <m/>
  </r>
  <r>
    <s v="A GAZETA DO ESPIRITO SANTO RADIO E"/>
    <m/>
    <m/>
    <m/>
    <m/>
    <m/>
    <m/>
    <m/>
    <m/>
    <m/>
    <m/>
    <x v="4"/>
    <x v="5"/>
    <m/>
    <m/>
    <m/>
    <m/>
    <m/>
    <m/>
  </r>
  <r>
    <s v="TV RIO SUL LTDA"/>
    <m/>
    <m/>
    <m/>
    <m/>
    <m/>
    <m/>
    <m/>
    <m/>
    <m/>
    <m/>
    <x v="4"/>
    <x v="5"/>
    <m/>
    <m/>
    <m/>
    <m/>
    <m/>
    <m/>
  </r>
  <r>
    <s v="TELEVISAO TUIUTI SA"/>
    <m/>
    <m/>
    <m/>
    <m/>
    <m/>
    <m/>
    <m/>
    <m/>
    <m/>
    <m/>
    <x v="4"/>
    <x v="5"/>
    <m/>
    <m/>
    <m/>
    <m/>
    <m/>
    <m/>
  </r>
  <r>
    <s v="TELEVISÃO IMEMBUI SA"/>
    <m/>
    <m/>
    <m/>
    <m/>
    <m/>
    <m/>
    <m/>
    <m/>
    <m/>
    <m/>
    <x v="4"/>
    <x v="5"/>
    <m/>
    <m/>
    <m/>
    <m/>
    <m/>
    <m/>
  </r>
  <r>
    <s v="TELEVISÃO CENTRO AMÉRICA LTDA"/>
    <m/>
    <m/>
    <m/>
    <m/>
    <m/>
    <m/>
    <m/>
    <m/>
    <m/>
    <m/>
    <x v="4"/>
    <x v="5"/>
    <m/>
    <m/>
    <m/>
    <m/>
    <m/>
    <m/>
  </r>
  <r>
    <s v="TELEVISÃO JOAÇABA LTDA"/>
    <m/>
    <m/>
    <m/>
    <m/>
    <m/>
    <m/>
    <m/>
    <m/>
    <m/>
    <m/>
    <x v="4"/>
    <x v="5"/>
    <m/>
    <m/>
    <m/>
    <m/>
    <m/>
    <m/>
  </r>
  <r>
    <s v="TELEVISAO ANHANGUERA S/A"/>
    <m/>
    <m/>
    <m/>
    <m/>
    <m/>
    <m/>
    <m/>
    <m/>
    <m/>
    <m/>
    <x v="4"/>
    <x v="5"/>
    <m/>
    <m/>
    <m/>
    <m/>
    <m/>
    <m/>
  </r>
  <r>
    <s v="TV CATARATAS LTDA"/>
    <m/>
    <m/>
    <m/>
    <m/>
    <m/>
    <m/>
    <m/>
    <m/>
    <m/>
    <m/>
    <x v="4"/>
    <x v="5"/>
    <m/>
    <m/>
    <m/>
    <m/>
    <m/>
    <m/>
  </r>
  <r>
    <s v="RADIO E TELEVISAO IMAGEM LTDA"/>
    <m/>
    <m/>
    <m/>
    <m/>
    <m/>
    <m/>
    <m/>
    <m/>
    <m/>
    <m/>
    <x v="4"/>
    <x v="5"/>
    <m/>
    <m/>
    <m/>
    <m/>
    <m/>
    <m/>
  </r>
  <r>
    <s v="RBS PARTICIPACOES S A (FLORIANÓPOLIS -  SC)"/>
    <m/>
    <m/>
    <m/>
    <m/>
    <m/>
    <m/>
    <m/>
    <m/>
    <m/>
    <m/>
    <x v="4"/>
    <x v="5"/>
    <m/>
    <m/>
    <m/>
    <m/>
    <m/>
    <m/>
  </r>
  <r>
    <s v="TELEVISAO CACHOEIRO LTDA"/>
    <m/>
    <m/>
    <m/>
    <m/>
    <m/>
    <m/>
    <m/>
    <m/>
    <m/>
    <m/>
    <x v="4"/>
    <x v="5"/>
    <m/>
    <m/>
    <m/>
    <m/>
    <m/>
    <m/>
  </r>
  <r>
    <s v="EMPREENDIMENTOS RADIODIFUSÃO CABO F"/>
    <m/>
    <m/>
    <m/>
    <m/>
    <m/>
    <m/>
    <m/>
    <m/>
    <m/>
    <m/>
    <x v="4"/>
    <x v="5"/>
    <m/>
    <m/>
    <m/>
    <m/>
    <m/>
    <m/>
  </r>
  <r>
    <s v="TELEVISAO CULTURA DE MARINGA LTDA"/>
    <m/>
    <m/>
    <m/>
    <m/>
    <m/>
    <m/>
    <m/>
    <m/>
    <m/>
    <m/>
    <x v="4"/>
    <x v="5"/>
    <m/>
    <m/>
    <m/>
    <m/>
    <m/>
    <m/>
  </r>
  <r>
    <s v="TV ESPLANADA DO PARANA LTDA"/>
    <m/>
    <m/>
    <m/>
    <m/>
    <m/>
    <m/>
    <m/>
    <m/>
    <m/>
    <m/>
    <x v="4"/>
    <x v="5"/>
    <m/>
    <m/>
    <m/>
    <m/>
    <m/>
    <m/>
  </r>
  <r>
    <s v="TV VALE DO ACO LTDA"/>
    <m/>
    <m/>
    <m/>
    <m/>
    <m/>
    <m/>
    <m/>
    <m/>
    <m/>
    <m/>
    <x v="4"/>
    <x v="5"/>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r>
    <m/>
    <m/>
    <m/>
    <m/>
    <m/>
    <m/>
    <m/>
    <m/>
    <m/>
    <m/>
    <m/>
    <x v="5"/>
    <x v="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2"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I11" firstHeaderRow="1" firstDataRow="2" firstDataCol="1"/>
  <pivotFields count="19">
    <pivotField showAll="0"/>
    <pivotField showAll="0"/>
    <pivotField showAll="0"/>
    <pivotField showAll="0" defaultSubtotal="0"/>
    <pivotField showAll="0"/>
    <pivotField showAll="0" defaultSubtotal="0"/>
    <pivotField showAll="0" defaultSubtotal="0"/>
    <pivotField showAll="0"/>
    <pivotField showAll="0"/>
    <pivotField showAll="0" defaultSubtotal="0"/>
    <pivotField showAll="0" defaultSubtotal="0"/>
    <pivotField axis="axisRow" dataField="1" showAll="0">
      <items count="7">
        <item x="2"/>
        <item x="1"/>
        <item x="5"/>
        <item x="0"/>
        <item x="3"/>
        <item x="4"/>
        <item t="default"/>
      </items>
    </pivotField>
    <pivotField axis="axisCol" showAll="0">
      <items count="9">
        <item x="1"/>
        <item m="1" x="7"/>
        <item x="2"/>
        <item x="6"/>
        <item x="0"/>
        <item x="3"/>
        <item x="4"/>
        <item x="5"/>
        <item t="default"/>
      </items>
    </pivotField>
    <pivotField showAll="0"/>
    <pivotField showAll="0" defaultSubtotal="0"/>
    <pivotField showAll="0" defaultSubtotal="0"/>
    <pivotField showAll="0" defaultSubtotal="0"/>
    <pivotField showAll="0" defaultSubtotal="0"/>
    <pivotField showAll="0"/>
  </pivotFields>
  <rowFields count="1">
    <field x="11"/>
  </rowFields>
  <rowItems count="7">
    <i>
      <x/>
    </i>
    <i>
      <x v="1"/>
    </i>
    <i>
      <x v="2"/>
    </i>
    <i>
      <x v="3"/>
    </i>
    <i>
      <x v="4"/>
    </i>
    <i>
      <x v="5"/>
    </i>
    <i t="grand">
      <x/>
    </i>
  </rowItems>
  <colFields count="1">
    <field x="12"/>
  </colFields>
  <colItems count="8">
    <i>
      <x/>
    </i>
    <i>
      <x v="2"/>
    </i>
    <i>
      <x v="3"/>
    </i>
    <i>
      <x v="4"/>
    </i>
    <i>
      <x v="5"/>
    </i>
    <i>
      <x v="6"/>
    </i>
    <i>
      <x v="7"/>
    </i>
    <i t="grand">
      <x/>
    </i>
  </colItems>
  <dataFields count="1">
    <dataField name="Contagem de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4" cacheId="0"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I11" firstHeaderRow="1" firstDataRow="2" firstDataCol="1"/>
  <pivotFields count="19">
    <pivotField showAll="0"/>
    <pivotField showAll="0"/>
    <pivotField showAll="0"/>
    <pivotField showAll="0" defaultSubtotal="0"/>
    <pivotField showAll="0"/>
    <pivotField showAll="0" defaultSubtotal="0"/>
    <pivotField showAll="0" defaultSubtotal="0"/>
    <pivotField showAll="0"/>
    <pivotField showAll="0"/>
    <pivotField showAll="0" defaultSubtotal="0"/>
    <pivotField showAll="0" defaultSubtotal="0"/>
    <pivotField axis="axisRow" showAll="0">
      <items count="7">
        <item x="2"/>
        <item x="1"/>
        <item x="5"/>
        <item x="0"/>
        <item x="3"/>
        <item x="4"/>
        <item t="default"/>
      </items>
    </pivotField>
    <pivotField axis="axisCol" dataField="1" showAll="0">
      <items count="9">
        <item x="1"/>
        <item m="1" x="7"/>
        <item x="2"/>
        <item x="6"/>
        <item x="0"/>
        <item x="3"/>
        <item x="4"/>
        <item x="5"/>
        <item t="default"/>
      </items>
    </pivotField>
    <pivotField showAll="0"/>
    <pivotField showAll="0" defaultSubtotal="0"/>
    <pivotField showAll="0" defaultSubtotal="0"/>
    <pivotField showAll="0" defaultSubtotal="0"/>
    <pivotField showAll="0" defaultSubtotal="0"/>
    <pivotField showAll="0"/>
  </pivotFields>
  <rowFields count="1">
    <field x="11"/>
  </rowFields>
  <rowItems count="7">
    <i>
      <x/>
    </i>
    <i>
      <x v="1"/>
    </i>
    <i>
      <x v="2"/>
    </i>
    <i>
      <x v="3"/>
    </i>
    <i>
      <x v="4"/>
    </i>
    <i>
      <x v="5"/>
    </i>
    <i t="grand">
      <x/>
    </i>
  </rowItems>
  <colFields count="1">
    <field x="12"/>
  </colFields>
  <colItems count="8">
    <i>
      <x/>
    </i>
    <i>
      <x v="2"/>
    </i>
    <i>
      <x v="3"/>
    </i>
    <i>
      <x v="4"/>
    </i>
    <i>
      <x v="5"/>
    </i>
    <i>
      <x v="6"/>
    </i>
    <i>
      <x v="7"/>
    </i>
    <i t="grand">
      <x/>
    </i>
  </colItems>
  <dataFields count="1">
    <dataField name="Contagem de MOTIVO"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A1:S4" totalsRowShown="0">
  <autoFilter ref="A1:S4"/>
  <tableColumns count="19">
    <tableColumn id="1" name="Parte contratada"/>
    <tableColumn id="2" name="Contém restrição de confidencialidade? (S/N e nº Cl)"/>
    <tableColumn id="3" name="Admite Cessão? Com ou sem anuência? (S/N e nº Cl)"/>
    <tableColumn id="4" name="Prazo final de vigência  com data"/>
    <tableColumn id="5" name="Admite rescisão antecipada? Qual o prazo?"/>
    <tableColumn id="6" name="Qual o prazo para oposição a renovações de vigência automática ?"/>
    <tableColumn id="7" name="Status Jurídico até 11/07"/>
    <tableColumn id="8" name="Retorno Governança (Salete - 23/05)"/>
    <tableColumn id="9" name="Retorno Governança (Salete - 03/06)"/>
    <tableColumn id="10" name="Retorno Governança (Roberto - 20/06)"/>
    <tableColumn id="11" name="Retorno Governança (Roberto/Salete - 16/07)"/>
    <tableColumn id="12" name="STATUS"/>
    <tableColumn id="13" name="MOTIVO"/>
    <tableColumn id="14" name="Contrato exclusivo ou compartilhado?"/>
    <tableColumn id="15" name="Possível data de término Tv IPTV" dataDxfId="1"/>
    <tableColumn id="16" name="Data Limite notificação rescisão IPTV (Time TSA)"/>
    <tableColumn id="17" name="Possível data de término Tv DTH" dataDxfId="0"/>
    <tableColumn id="18" name="Data Limite notificação rescisão DTH (Time TSA)"/>
    <tableColumn id="19" name="Objetivo notificação"/>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1"/>
  <sheetViews>
    <sheetView workbookViewId="0">
      <selection activeCell="A3" sqref="A3:H11"/>
    </sheetView>
  </sheetViews>
  <sheetFormatPr defaultRowHeight="15" x14ac:dyDescent="0.25"/>
  <cols>
    <col min="1" max="1" width="20.140625" bestFit="1" customWidth="1"/>
    <col min="2" max="2" width="19.5703125" customWidth="1"/>
    <col min="3" max="3" width="8.7109375" bestFit="1" customWidth="1"/>
    <col min="4" max="4" width="7" bestFit="1" customWidth="1"/>
    <col min="5" max="5" width="14.85546875" bestFit="1" customWidth="1"/>
    <col min="6" max="6" width="9.85546875" bestFit="1" customWidth="1"/>
    <col min="7" max="7" width="9.7109375" bestFit="1" customWidth="1"/>
    <col min="8" max="8" width="12.42578125" bestFit="1" customWidth="1"/>
    <col min="9" max="9" width="10.7109375" bestFit="1" customWidth="1"/>
  </cols>
  <sheetData>
    <row r="3" spans="1:9" x14ac:dyDescent="0.25">
      <c r="A3" s="22" t="s">
        <v>88</v>
      </c>
      <c r="B3" s="22" t="s">
        <v>89</v>
      </c>
    </row>
    <row r="4" spans="1:9" x14ac:dyDescent="0.25">
      <c r="A4" s="22" t="s">
        <v>85</v>
      </c>
      <c r="B4" t="s">
        <v>84</v>
      </c>
      <c r="C4" t="s">
        <v>82</v>
      </c>
      <c r="D4" t="s">
        <v>86</v>
      </c>
      <c r="E4" t="s">
        <v>227</v>
      </c>
      <c r="F4" t="s">
        <v>95</v>
      </c>
      <c r="G4" t="s">
        <v>83</v>
      </c>
      <c r="H4" t="s">
        <v>255</v>
      </c>
      <c r="I4" t="s">
        <v>87</v>
      </c>
    </row>
    <row r="5" spans="1:9" x14ac:dyDescent="0.25">
      <c r="A5" s="23" t="s">
        <v>82</v>
      </c>
      <c r="B5" s="24"/>
      <c r="C5" s="24">
        <v>2</v>
      </c>
      <c r="D5" s="24"/>
      <c r="E5" s="24"/>
      <c r="F5" s="24"/>
      <c r="G5" s="24"/>
      <c r="H5" s="24"/>
      <c r="I5" s="24">
        <v>2</v>
      </c>
    </row>
    <row r="6" spans="1:9" x14ac:dyDescent="0.25">
      <c r="A6" s="23" t="s">
        <v>83</v>
      </c>
      <c r="B6" s="24">
        <v>1</v>
      </c>
      <c r="C6" s="24"/>
      <c r="D6" s="24"/>
      <c r="E6" s="24"/>
      <c r="F6" s="24"/>
      <c r="G6" s="24">
        <v>3</v>
      </c>
      <c r="H6" s="24"/>
      <c r="I6" s="24">
        <v>4</v>
      </c>
    </row>
    <row r="7" spans="1:9" x14ac:dyDescent="0.25">
      <c r="A7" s="23" t="s">
        <v>86</v>
      </c>
      <c r="B7" s="24"/>
      <c r="C7" s="24"/>
      <c r="D7" s="24"/>
      <c r="E7" s="24"/>
      <c r="F7" s="24"/>
      <c r="G7" s="24"/>
      <c r="H7" s="24"/>
      <c r="I7" s="24"/>
    </row>
    <row r="8" spans="1:9" x14ac:dyDescent="0.25">
      <c r="A8" s="23" t="s">
        <v>227</v>
      </c>
      <c r="B8" s="24"/>
      <c r="C8" s="24"/>
      <c r="D8" s="24"/>
      <c r="E8" s="24">
        <v>7</v>
      </c>
      <c r="F8" s="24"/>
      <c r="G8" s="24"/>
      <c r="H8" s="24"/>
      <c r="I8" s="24">
        <v>7</v>
      </c>
    </row>
    <row r="9" spans="1:9" x14ac:dyDescent="0.25">
      <c r="A9" s="23" t="s">
        <v>95</v>
      </c>
      <c r="B9" s="24"/>
      <c r="C9" s="24"/>
      <c r="D9" s="24"/>
      <c r="E9" s="24"/>
      <c r="F9" s="24">
        <v>6</v>
      </c>
      <c r="G9" s="24"/>
      <c r="H9" s="24"/>
      <c r="I9" s="24">
        <v>6</v>
      </c>
    </row>
    <row r="10" spans="1:9" x14ac:dyDescent="0.25">
      <c r="A10" s="23" t="s">
        <v>255</v>
      </c>
      <c r="B10" s="24"/>
      <c r="C10" s="24"/>
      <c r="D10" s="24"/>
      <c r="E10" s="24"/>
      <c r="F10" s="24"/>
      <c r="G10" s="24"/>
      <c r="H10" s="24">
        <v>38</v>
      </c>
      <c r="I10" s="24">
        <v>38</v>
      </c>
    </row>
    <row r="11" spans="1:9" x14ac:dyDescent="0.25">
      <c r="A11" s="23" t="s">
        <v>87</v>
      </c>
      <c r="B11" s="24">
        <v>1</v>
      </c>
      <c r="C11" s="24">
        <v>2</v>
      </c>
      <c r="D11" s="24"/>
      <c r="E11" s="24">
        <v>7</v>
      </c>
      <c r="F11" s="24">
        <v>6</v>
      </c>
      <c r="G11" s="24">
        <v>3</v>
      </c>
      <c r="H11" s="24">
        <v>38</v>
      </c>
      <c r="I11" s="24">
        <v>57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1"/>
  <sheetViews>
    <sheetView workbookViewId="0">
      <selection activeCell="A3" sqref="A3"/>
    </sheetView>
  </sheetViews>
  <sheetFormatPr defaultRowHeight="15" x14ac:dyDescent="0.25"/>
  <cols>
    <col min="1" max="1" width="21" bestFit="1" customWidth="1"/>
    <col min="2" max="2" width="19.5703125" bestFit="1" customWidth="1"/>
    <col min="3" max="3" width="8.7109375" customWidth="1"/>
    <col min="4" max="4" width="7" customWidth="1"/>
    <col min="5" max="5" width="14.85546875" customWidth="1"/>
    <col min="6" max="6" width="9.85546875" customWidth="1"/>
    <col min="7" max="7" width="9.7109375" bestFit="1" customWidth="1"/>
    <col min="8" max="8" width="12.42578125" bestFit="1" customWidth="1"/>
    <col min="9" max="9" width="10.7109375" bestFit="1" customWidth="1"/>
  </cols>
  <sheetData>
    <row r="3" spans="1:9" x14ac:dyDescent="0.25">
      <c r="A3" s="22" t="s">
        <v>254</v>
      </c>
      <c r="B3" s="22" t="s">
        <v>89</v>
      </c>
    </row>
    <row r="4" spans="1:9" x14ac:dyDescent="0.25">
      <c r="A4" s="22" t="s">
        <v>85</v>
      </c>
      <c r="B4" t="s">
        <v>84</v>
      </c>
      <c r="C4" t="s">
        <v>82</v>
      </c>
      <c r="D4" t="s">
        <v>86</v>
      </c>
      <c r="E4" t="s">
        <v>227</v>
      </c>
      <c r="F4" t="s">
        <v>95</v>
      </c>
      <c r="G4" t="s">
        <v>83</v>
      </c>
      <c r="H4" t="s">
        <v>255</v>
      </c>
      <c r="I4" t="s">
        <v>87</v>
      </c>
    </row>
    <row r="5" spans="1:9" x14ac:dyDescent="0.25">
      <c r="A5" s="23" t="s">
        <v>82</v>
      </c>
      <c r="B5" s="24"/>
      <c r="C5" s="24">
        <v>2</v>
      </c>
      <c r="D5" s="24"/>
      <c r="E5" s="24"/>
      <c r="F5" s="24"/>
      <c r="G5" s="24"/>
      <c r="H5" s="24"/>
      <c r="I5" s="24">
        <v>2</v>
      </c>
    </row>
    <row r="6" spans="1:9" x14ac:dyDescent="0.25">
      <c r="A6" s="23" t="s">
        <v>83</v>
      </c>
      <c r="B6" s="24">
        <v>1</v>
      </c>
      <c r="C6" s="24"/>
      <c r="D6" s="24"/>
      <c r="E6" s="24"/>
      <c r="F6" s="24"/>
      <c r="G6" s="24">
        <v>3</v>
      </c>
      <c r="H6" s="24"/>
      <c r="I6" s="24">
        <v>4</v>
      </c>
    </row>
    <row r="7" spans="1:9" x14ac:dyDescent="0.25">
      <c r="A7" s="23" t="s">
        <v>86</v>
      </c>
      <c r="B7" s="24"/>
      <c r="C7" s="24"/>
      <c r="D7" s="24"/>
      <c r="E7" s="24"/>
      <c r="F7" s="24"/>
      <c r="G7" s="24"/>
      <c r="H7" s="24"/>
      <c r="I7" s="24"/>
    </row>
    <row r="8" spans="1:9" x14ac:dyDescent="0.25">
      <c r="A8" s="23" t="s">
        <v>227</v>
      </c>
      <c r="B8" s="24"/>
      <c r="C8" s="24"/>
      <c r="D8" s="24"/>
      <c r="E8" s="24">
        <v>7</v>
      </c>
      <c r="F8" s="24"/>
      <c r="G8" s="24"/>
      <c r="H8" s="24"/>
      <c r="I8" s="24">
        <v>7</v>
      </c>
    </row>
    <row r="9" spans="1:9" x14ac:dyDescent="0.25">
      <c r="A9" s="23" t="s">
        <v>95</v>
      </c>
      <c r="B9" s="24"/>
      <c r="C9" s="24"/>
      <c r="D9" s="24"/>
      <c r="E9" s="24"/>
      <c r="F9" s="24">
        <v>6</v>
      </c>
      <c r="G9" s="24"/>
      <c r="H9" s="24"/>
      <c r="I9" s="24">
        <v>6</v>
      </c>
    </row>
    <row r="10" spans="1:9" x14ac:dyDescent="0.25">
      <c r="A10" s="23" t="s">
        <v>255</v>
      </c>
      <c r="B10" s="24"/>
      <c r="C10" s="24"/>
      <c r="D10" s="24"/>
      <c r="E10" s="24"/>
      <c r="F10" s="24"/>
      <c r="G10" s="24"/>
      <c r="H10" s="24">
        <v>38</v>
      </c>
      <c r="I10" s="24">
        <v>38</v>
      </c>
    </row>
    <row r="11" spans="1:9" x14ac:dyDescent="0.25">
      <c r="A11" s="23" t="s">
        <v>87</v>
      </c>
      <c r="B11" s="24">
        <v>1</v>
      </c>
      <c r="C11" s="24">
        <v>2</v>
      </c>
      <c r="D11" s="24"/>
      <c r="E11" s="24">
        <v>7</v>
      </c>
      <c r="F11" s="24">
        <v>6</v>
      </c>
      <c r="G11" s="24">
        <v>3</v>
      </c>
      <c r="H11" s="24">
        <v>38</v>
      </c>
      <c r="I11" s="24">
        <v>57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
  <sheetViews>
    <sheetView workbookViewId="0">
      <selection activeCell="A2" sqref="A2:A4"/>
    </sheetView>
  </sheetViews>
  <sheetFormatPr defaultRowHeight="15" x14ac:dyDescent="0.25"/>
  <cols>
    <col min="1" max="1" width="17.7109375" customWidth="1"/>
    <col min="2" max="2" width="49.7109375" customWidth="1"/>
    <col min="3" max="3" width="49.42578125" customWidth="1"/>
    <col min="4" max="4" width="31.7109375" customWidth="1"/>
    <col min="5" max="5" width="40.85546875" customWidth="1"/>
    <col min="6" max="6" width="60.85546875" customWidth="1"/>
    <col min="7" max="7" width="24.42578125" customWidth="1"/>
    <col min="8" max="9" width="35.140625" customWidth="1"/>
    <col min="10" max="10" width="36.7109375" customWidth="1"/>
    <col min="11" max="11" width="43.140625" customWidth="1"/>
    <col min="12" max="12" width="9.85546875" customWidth="1"/>
    <col min="13" max="13" width="10.7109375" customWidth="1"/>
    <col min="14" max="14" width="36.5703125" customWidth="1"/>
    <col min="15" max="15" width="31.85546875" customWidth="1"/>
    <col min="16" max="16" width="45.28515625" customWidth="1"/>
    <col min="17" max="17" width="31.42578125" customWidth="1"/>
    <col min="18" max="18" width="44.85546875" customWidth="1"/>
    <col min="19" max="19" width="21" customWidth="1"/>
  </cols>
  <sheetData>
    <row r="1" spans="1:19" x14ac:dyDescent="0.25">
      <c r="A1" t="s">
        <v>0</v>
      </c>
      <c r="B1" t="s">
        <v>1</v>
      </c>
      <c r="C1" t="s">
        <v>2</v>
      </c>
      <c r="D1" t="s">
        <v>152</v>
      </c>
      <c r="E1" t="s">
        <v>4</v>
      </c>
      <c r="F1" t="s">
        <v>97</v>
      </c>
      <c r="G1" t="s">
        <v>216</v>
      </c>
      <c r="H1" t="s">
        <v>59</v>
      </c>
      <c r="I1" t="s">
        <v>77</v>
      </c>
      <c r="J1" t="s">
        <v>130</v>
      </c>
      <c r="K1" t="s">
        <v>229</v>
      </c>
      <c r="L1" t="s">
        <v>80</v>
      </c>
      <c r="M1" t="s">
        <v>81</v>
      </c>
      <c r="N1" t="s">
        <v>74</v>
      </c>
      <c r="O1" t="s">
        <v>159</v>
      </c>
      <c r="P1" t="s">
        <v>218</v>
      </c>
      <c r="Q1" t="s">
        <v>158</v>
      </c>
      <c r="R1" t="s">
        <v>219</v>
      </c>
      <c r="S1" t="s">
        <v>76</v>
      </c>
    </row>
    <row r="2" spans="1:19" x14ac:dyDescent="0.25">
      <c r="A2" t="s">
        <v>256</v>
      </c>
      <c r="G2" t="s">
        <v>208</v>
      </c>
      <c r="H2" t="s">
        <v>63</v>
      </c>
      <c r="I2" t="s">
        <v>96</v>
      </c>
      <c r="J2" t="s">
        <v>134</v>
      </c>
      <c r="K2" t="s">
        <v>225</v>
      </c>
      <c r="L2" t="s">
        <v>83</v>
      </c>
      <c r="M2" t="s">
        <v>83</v>
      </c>
      <c r="N2" t="s">
        <v>145</v>
      </c>
      <c r="O2" s="72">
        <v>45626</v>
      </c>
      <c r="Q2" s="72">
        <v>45688</v>
      </c>
    </row>
    <row r="3" spans="1:19" ht="150" x14ac:dyDescent="0.25">
      <c r="A3" s="73" t="s">
        <v>257</v>
      </c>
      <c r="G3" t="s">
        <v>207</v>
      </c>
      <c r="H3" t="s">
        <v>70</v>
      </c>
      <c r="I3" t="s">
        <v>70</v>
      </c>
      <c r="J3" t="s">
        <v>134</v>
      </c>
      <c r="K3" t="s">
        <v>225</v>
      </c>
      <c r="L3" t="s">
        <v>83</v>
      </c>
      <c r="M3" t="s">
        <v>83</v>
      </c>
      <c r="N3" t="s">
        <v>145</v>
      </c>
      <c r="O3" s="72">
        <v>45626</v>
      </c>
      <c r="Q3" s="72">
        <v>45688</v>
      </c>
    </row>
    <row r="4" spans="1:19" x14ac:dyDescent="0.25">
      <c r="A4" t="s">
        <v>258</v>
      </c>
      <c r="G4" t="s">
        <v>198</v>
      </c>
      <c r="H4" t="s">
        <v>63</v>
      </c>
      <c r="I4" t="s">
        <v>96</v>
      </c>
      <c r="J4" t="s">
        <v>134</v>
      </c>
      <c r="K4" t="s">
        <v>225</v>
      </c>
      <c r="L4" t="s">
        <v>83</v>
      </c>
      <c r="M4" t="s">
        <v>83</v>
      </c>
      <c r="N4" t="s">
        <v>145</v>
      </c>
      <c r="O4" s="72">
        <v>45626</v>
      </c>
      <c r="Q4" s="72">
        <v>45688</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6"/>
  <sheetViews>
    <sheetView tabSelected="1" zoomScale="80" zoomScaleNormal="80" workbookViewId="0">
      <pane xSplit="1" topLeftCell="B1" activePane="topRight" state="frozen"/>
      <selection pane="topRight" activeCell="G1" sqref="G1"/>
    </sheetView>
  </sheetViews>
  <sheetFormatPr defaultRowHeight="15" x14ac:dyDescent="0.25"/>
  <cols>
    <col min="1" max="1" width="68.7109375" bestFit="1" customWidth="1"/>
    <col min="2" max="2" width="38.42578125" bestFit="1" customWidth="1"/>
    <col min="3" max="3" width="42.7109375" customWidth="1"/>
    <col min="4" max="4" width="39.140625" bestFit="1" customWidth="1"/>
    <col min="5" max="5" width="42.42578125" bestFit="1" customWidth="1"/>
    <col min="6" max="6" width="43.42578125" bestFit="1" customWidth="1"/>
    <col min="7" max="7" width="43.42578125" customWidth="1"/>
    <col min="8" max="8" width="38.42578125" hidden="1" customWidth="1"/>
    <col min="9" max="9" width="33.7109375" style="16" hidden="1" customWidth="1"/>
    <col min="10" max="10" width="32.28515625" style="16" hidden="1" customWidth="1"/>
    <col min="11" max="11" width="26.28515625" style="16" hidden="1" customWidth="1"/>
    <col min="12" max="12" width="29.28515625" style="16" bestFit="1" customWidth="1"/>
    <col min="13" max="13" width="29.28515625" style="16" customWidth="1"/>
    <col min="14" max="15" width="15.28515625" style="16" bestFit="1" customWidth="1"/>
    <col min="16" max="16" width="20.85546875" bestFit="1" customWidth="1"/>
    <col min="17" max="17" width="36.5703125" style="52" bestFit="1" customWidth="1"/>
    <col min="18" max="18" width="40.5703125" bestFit="1" customWidth="1"/>
    <col min="19" max="19" width="36.5703125" style="55" bestFit="1" customWidth="1"/>
    <col min="20" max="20" width="40.5703125" style="18" bestFit="1" customWidth="1"/>
    <col min="21" max="21" width="35.28515625" style="18" bestFit="1" customWidth="1"/>
    <col min="22" max="22" width="3.42578125" bestFit="1" customWidth="1"/>
  </cols>
  <sheetData>
    <row r="1" spans="1:22" ht="58.5" customHeight="1" x14ac:dyDescent="0.25">
      <c r="A1" s="5" t="s">
        <v>0</v>
      </c>
      <c r="B1" s="6" t="s">
        <v>1</v>
      </c>
      <c r="C1" s="6" t="s">
        <v>2</v>
      </c>
      <c r="D1" s="6" t="s">
        <v>152</v>
      </c>
      <c r="E1" s="6" t="s">
        <v>4</v>
      </c>
      <c r="F1" s="6" t="s">
        <v>97</v>
      </c>
      <c r="G1" s="6" t="s">
        <v>407</v>
      </c>
      <c r="H1" s="6" t="s">
        <v>216</v>
      </c>
      <c r="I1" s="26" t="s">
        <v>59</v>
      </c>
      <c r="J1" s="26" t="s">
        <v>77</v>
      </c>
      <c r="K1" s="26" t="s">
        <v>130</v>
      </c>
      <c r="L1" s="26" t="s">
        <v>229</v>
      </c>
      <c r="M1" s="26" t="s">
        <v>382</v>
      </c>
      <c r="N1" s="26" t="s">
        <v>80</v>
      </c>
      <c r="O1" s="26" t="s">
        <v>81</v>
      </c>
      <c r="P1" s="21" t="s">
        <v>74</v>
      </c>
      <c r="Q1" s="50" t="s">
        <v>287</v>
      </c>
      <c r="R1" s="21" t="s">
        <v>218</v>
      </c>
      <c r="S1" s="53" t="s">
        <v>288</v>
      </c>
      <c r="T1" s="21" t="s">
        <v>219</v>
      </c>
      <c r="U1" s="21" t="s">
        <v>76</v>
      </c>
    </row>
    <row r="2" spans="1:22" ht="60" x14ac:dyDescent="0.25">
      <c r="A2" s="10" t="s">
        <v>232</v>
      </c>
      <c r="B2" s="10" t="s">
        <v>101</v>
      </c>
      <c r="C2" s="10" t="s">
        <v>102</v>
      </c>
      <c r="D2" s="10" t="s">
        <v>103</v>
      </c>
      <c r="E2" s="10" t="s">
        <v>289</v>
      </c>
      <c r="F2" s="10" t="s">
        <v>21</v>
      </c>
      <c r="G2" s="48" t="s">
        <v>298</v>
      </c>
      <c r="H2" s="48" t="s">
        <v>95</v>
      </c>
      <c r="I2" s="15" t="s">
        <v>68</v>
      </c>
      <c r="J2" s="1" t="s">
        <v>78</v>
      </c>
      <c r="K2" s="1" t="s">
        <v>131</v>
      </c>
      <c r="L2" s="10" t="s">
        <v>221</v>
      </c>
      <c r="M2" s="10" t="s">
        <v>222</v>
      </c>
      <c r="N2" s="1" t="s">
        <v>95</v>
      </c>
      <c r="O2" s="1" t="s">
        <v>95</v>
      </c>
      <c r="P2" s="4" t="s">
        <v>145</v>
      </c>
      <c r="Q2" s="51">
        <v>45626</v>
      </c>
      <c r="R2" s="20"/>
      <c r="S2" s="54">
        <v>45688</v>
      </c>
      <c r="T2" s="4"/>
      <c r="U2" s="4"/>
    </row>
    <row r="3" spans="1:22" ht="60" x14ac:dyDescent="0.25">
      <c r="A3" s="10" t="s">
        <v>384</v>
      </c>
      <c r="B3" s="10"/>
      <c r="C3" s="11"/>
      <c r="D3" s="10"/>
      <c r="E3" s="10"/>
      <c r="F3" s="11"/>
      <c r="G3" s="48" t="s">
        <v>188</v>
      </c>
      <c r="H3" s="48" t="s">
        <v>188</v>
      </c>
      <c r="I3" s="15" t="s">
        <v>60</v>
      </c>
      <c r="J3" s="29" t="s">
        <v>60</v>
      </c>
      <c r="K3" s="15" t="s">
        <v>136</v>
      </c>
      <c r="L3" s="1" t="s">
        <v>84</v>
      </c>
      <c r="M3" s="1" t="s">
        <v>383</v>
      </c>
      <c r="N3" s="1" t="s">
        <v>82</v>
      </c>
      <c r="O3" s="1" t="s">
        <v>82</v>
      </c>
      <c r="P3" s="4" t="s">
        <v>145</v>
      </c>
      <c r="Q3" s="51">
        <v>45626</v>
      </c>
      <c r="R3" s="20"/>
      <c r="S3" s="54">
        <v>45688</v>
      </c>
      <c r="T3" s="4"/>
      <c r="U3" s="4"/>
    </row>
    <row r="4" spans="1:22" ht="75" x14ac:dyDescent="0.25">
      <c r="A4" s="10" t="s">
        <v>233</v>
      </c>
      <c r="B4" s="10" t="s">
        <v>201</v>
      </c>
      <c r="C4" s="10" t="s">
        <v>200</v>
      </c>
      <c r="D4" s="12" t="s">
        <v>199</v>
      </c>
      <c r="E4" s="10" t="s">
        <v>346</v>
      </c>
      <c r="F4" s="10" t="s">
        <v>292</v>
      </c>
      <c r="G4" s="48" t="s">
        <v>290</v>
      </c>
      <c r="H4" s="48"/>
      <c r="I4" s="15" t="s">
        <v>67</v>
      </c>
      <c r="J4" s="29" t="s">
        <v>79</v>
      </c>
      <c r="K4" s="10" t="s">
        <v>134</v>
      </c>
      <c r="L4" s="10" t="s">
        <v>223</v>
      </c>
      <c r="M4" s="10" t="s">
        <v>222</v>
      </c>
      <c r="N4" s="1" t="s">
        <v>95</v>
      </c>
      <c r="O4" s="1" t="s">
        <v>95</v>
      </c>
      <c r="P4" s="4" t="s">
        <v>145</v>
      </c>
      <c r="Q4" s="51">
        <v>45626</v>
      </c>
      <c r="R4" s="20">
        <f>Q4-30</f>
        <v>45596</v>
      </c>
      <c r="S4" s="54">
        <v>45688</v>
      </c>
      <c r="T4" s="20">
        <f>S4-30</f>
        <v>45658</v>
      </c>
      <c r="U4" s="4"/>
    </row>
    <row r="5" spans="1:22" ht="195" x14ac:dyDescent="0.25">
      <c r="A5" s="10" t="s">
        <v>160</v>
      </c>
      <c r="B5" s="10" t="s">
        <v>294</v>
      </c>
      <c r="C5" s="10" t="s">
        <v>295</v>
      </c>
      <c r="D5" s="12" t="s">
        <v>296</v>
      </c>
      <c r="E5" s="10" t="s">
        <v>293</v>
      </c>
      <c r="F5" s="10" t="s">
        <v>21</v>
      </c>
      <c r="G5" s="48" t="s">
        <v>291</v>
      </c>
      <c r="H5" s="48" t="s">
        <v>191</v>
      </c>
      <c r="I5" s="15" t="s">
        <v>62</v>
      </c>
      <c r="J5" s="1" t="s">
        <v>78</v>
      </c>
      <c r="K5" s="15" t="s">
        <v>133</v>
      </c>
      <c r="L5" s="15" t="s">
        <v>224</v>
      </c>
      <c r="M5" s="15" t="s">
        <v>359</v>
      </c>
      <c r="N5" s="1" t="s">
        <v>95</v>
      </c>
      <c r="O5" s="1" t="s">
        <v>95</v>
      </c>
      <c r="P5" s="4" t="s">
        <v>145</v>
      </c>
      <c r="Q5" s="51">
        <v>45626</v>
      </c>
      <c r="R5" s="20"/>
      <c r="S5" s="54">
        <v>45688</v>
      </c>
      <c r="T5" s="20">
        <f>S5-V5</f>
        <v>45628</v>
      </c>
      <c r="U5" s="4" t="s">
        <v>153</v>
      </c>
      <c r="V5">
        <v>60</v>
      </c>
    </row>
    <row r="6" spans="1:22" ht="60" customHeight="1" x14ac:dyDescent="0.25">
      <c r="A6" s="46" t="s">
        <v>192</v>
      </c>
      <c r="B6" s="10" t="s">
        <v>194</v>
      </c>
      <c r="C6" s="10" t="s">
        <v>196</v>
      </c>
      <c r="D6" s="10" t="s">
        <v>193</v>
      </c>
      <c r="E6" s="10" t="s">
        <v>195</v>
      </c>
      <c r="F6" s="10" t="s">
        <v>21</v>
      </c>
      <c r="G6" s="48" t="s">
        <v>100</v>
      </c>
      <c r="H6" s="48" t="s">
        <v>100</v>
      </c>
      <c r="I6" s="33"/>
      <c r="J6" s="33"/>
      <c r="K6" s="33"/>
      <c r="L6" s="33" t="s">
        <v>222</v>
      </c>
      <c r="M6" s="33" t="s">
        <v>222</v>
      </c>
      <c r="N6" s="33" t="s">
        <v>95</v>
      </c>
      <c r="O6" s="33" t="s">
        <v>95</v>
      </c>
      <c r="P6" s="4" t="s">
        <v>145</v>
      </c>
      <c r="Q6" s="51">
        <v>45626</v>
      </c>
      <c r="R6" s="20">
        <f>Q6-60</f>
        <v>45566</v>
      </c>
      <c r="S6" s="54">
        <v>45688</v>
      </c>
      <c r="T6" s="41">
        <f>S6-60</f>
        <v>45628</v>
      </c>
      <c r="U6" s="36"/>
      <c r="V6">
        <v>60</v>
      </c>
    </row>
    <row r="7" spans="1:22" ht="60" x14ac:dyDescent="0.25">
      <c r="A7" s="10" t="s">
        <v>234</v>
      </c>
      <c r="B7" s="10" t="s">
        <v>98</v>
      </c>
      <c r="C7" s="10" t="s">
        <v>197</v>
      </c>
      <c r="D7" s="10" t="s">
        <v>99</v>
      </c>
      <c r="E7" s="10" t="s">
        <v>297</v>
      </c>
      <c r="F7" s="10" t="s">
        <v>21</v>
      </c>
      <c r="G7" s="48" t="s">
        <v>299</v>
      </c>
      <c r="H7" s="48" t="s">
        <v>100</v>
      </c>
      <c r="I7" s="15" t="s">
        <v>65</v>
      </c>
      <c r="J7" s="1" t="s">
        <v>78</v>
      </c>
      <c r="K7" s="1" t="s">
        <v>131</v>
      </c>
      <c r="L7" s="29" t="s">
        <v>228</v>
      </c>
      <c r="M7" s="29" t="s">
        <v>222</v>
      </c>
      <c r="N7" s="1" t="s">
        <v>95</v>
      </c>
      <c r="O7" s="1" t="s">
        <v>95</v>
      </c>
      <c r="P7" s="4" t="s">
        <v>145</v>
      </c>
      <c r="Q7" s="51">
        <v>45626</v>
      </c>
      <c r="R7" s="20">
        <f>Q7-60</f>
        <v>45566</v>
      </c>
      <c r="S7" s="54">
        <v>45688</v>
      </c>
      <c r="T7" s="20">
        <f>S7-60</f>
        <v>45628</v>
      </c>
      <c r="U7" s="20"/>
    </row>
    <row r="8" spans="1:22" ht="60" x14ac:dyDescent="0.25">
      <c r="A8" s="10" t="s">
        <v>235</v>
      </c>
      <c r="B8" s="10" t="s">
        <v>98</v>
      </c>
      <c r="C8" s="10" t="s">
        <v>197</v>
      </c>
      <c r="D8" s="10" t="s">
        <v>99</v>
      </c>
      <c r="E8" s="10" t="s">
        <v>297</v>
      </c>
      <c r="F8" s="10" t="s">
        <v>21</v>
      </c>
      <c r="G8" s="48" t="s">
        <v>299</v>
      </c>
      <c r="H8" s="48" t="s">
        <v>100</v>
      </c>
      <c r="I8" s="15" t="s">
        <v>64</v>
      </c>
      <c r="J8" s="1" t="s">
        <v>78</v>
      </c>
      <c r="K8" s="1" t="s">
        <v>131</v>
      </c>
      <c r="L8" s="29" t="s">
        <v>228</v>
      </c>
      <c r="M8" s="29" t="s">
        <v>222</v>
      </c>
      <c r="N8" s="1" t="s">
        <v>95</v>
      </c>
      <c r="O8" s="1" t="s">
        <v>95</v>
      </c>
      <c r="P8" s="4" t="s">
        <v>145</v>
      </c>
      <c r="Q8" s="51">
        <v>45626</v>
      </c>
      <c r="R8" s="20">
        <f>Q8-60</f>
        <v>45566</v>
      </c>
      <c r="S8" s="54">
        <v>45688</v>
      </c>
      <c r="T8" s="20">
        <f>S8-60</f>
        <v>45628</v>
      </c>
      <c r="U8" s="4"/>
    </row>
    <row r="9" spans="1:22" ht="60" x14ac:dyDescent="0.25">
      <c r="A9" s="10" t="s">
        <v>236</v>
      </c>
      <c r="B9" s="10" t="s">
        <v>98</v>
      </c>
      <c r="C9" s="10" t="s">
        <v>197</v>
      </c>
      <c r="D9" s="10" t="s">
        <v>99</v>
      </c>
      <c r="E9" s="10" t="s">
        <v>297</v>
      </c>
      <c r="F9" s="10" t="s">
        <v>21</v>
      </c>
      <c r="G9" s="48" t="s">
        <v>299</v>
      </c>
      <c r="H9" s="48" t="s">
        <v>100</v>
      </c>
      <c r="I9" s="15" t="s">
        <v>65</v>
      </c>
      <c r="J9" s="1" t="s">
        <v>78</v>
      </c>
      <c r="K9" s="1" t="s">
        <v>131</v>
      </c>
      <c r="L9" s="29" t="s">
        <v>228</v>
      </c>
      <c r="M9" s="29" t="s">
        <v>222</v>
      </c>
      <c r="N9" s="1" t="s">
        <v>95</v>
      </c>
      <c r="O9" s="1" t="s">
        <v>95</v>
      </c>
      <c r="P9" s="4" t="s">
        <v>145</v>
      </c>
      <c r="Q9" s="51">
        <v>45626</v>
      </c>
      <c r="R9" s="20">
        <f>Q9-60</f>
        <v>45566</v>
      </c>
      <c r="S9" s="54">
        <v>45688</v>
      </c>
      <c r="T9" s="20">
        <f>S9-60</f>
        <v>45628</v>
      </c>
      <c r="U9" s="20"/>
    </row>
    <row r="10" spans="1:22" ht="60" x14ac:dyDescent="0.25">
      <c r="A10" s="10" t="s">
        <v>237</v>
      </c>
      <c r="B10" s="10" t="s">
        <v>98</v>
      </c>
      <c r="C10" s="10" t="s">
        <v>197</v>
      </c>
      <c r="D10" s="10" t="s">
        <v>99</v>
      </c>
      <c r="E10" s="10" t="s">
        <v>297</v>
      </c>
      <c r="F10" s="10" t="s">
        <v>21</v>
      </c>
      <c r="G10" s="48" t="s">
        <v>299</v>
      </c>
      <c r="H10" s="48" t="s">
        <v>100</v>
      </c>
      <c r="I10" s="15" t="s">
        <v>65</v>
      </c>
      <c r="J10" s="1" t="s">
        <v>78</v>
      </c>
      <c r="K10" s="1" t="s">
        <v>131</v>
      </c>
      <c r="L10" s="29" t="s">
        <v>228</v>
      </c>
      <c r="M10" s="29" t="s">
        <v>222</v>
      </c>
      <c r="N10" s="1" t="s">
        <v>95</v>
      </c>
      <c r="O10" s="1" t="s">
        <v>95</v>
      </c>
      <c r="P10" s="4" t="s">
        <v>145</v>
      </c>
      <c r="Q10" s="51">
        <v>45626</v>
      </c>
      <c r="R10" s="20">
        <f>Q10-60</f>
        <v>45566</v>
      </c>
      <c r="S10" s="54">
        <v>45688</v>
      </c>
      <c r="T10" s="20">
        <f>S10-60</f>
        <v>45628</v>
      </c>
      <c r="U10" s="4"/>
    </row>
    <row r="11" spans="1:22" ht="144.75" customHeight="1" x14ac:dyDescent="0.25">
      <c r="A11" s="10" t="s">
        <v>137</v>
      </c>
      <c r="B11" s="11"/>
      <c r="C11" s="11"/>
      <c r="D11" s="11"/>
      <c r="E11" s="11"/>
      <c r="F11" s="11"/>
      <c r="G11" s="48" t="s">
        <v>302</v>
      </c>
      <c r="H11" s="48" t="s">
        <v>198</v>
      </c>
      <c r="I11" s="15" t="s">
        <v>63</v>
      </c>
      <c r="J11" s="10" t="s">
        <v>96</v>
      </c>
      <c r="K11" s="10" t="s">
        <v>134</v>
      </c>
      <c r="L11" s="10" t="s">
        <v>225</v>
      </c>
      <c r="M11" s="15" t="s">
        <v>358</v>
      </c>
      <c r="N11" s="1" t="s">
        <v>83</v>
      </c>
      <c r="O11" s="1" t="s">
        <v>259</v>
      </c>
      <c r="P11" s="4" t="s">
        <v>145</v>
      </c>
      <c r="Q11" s="51">
        <v>45626</v>
      </c>
      <c r="R11" s="20"/>
      <c r="S11" s="54">
        <v>45688</v>
      </c>
      <c r="T11" s="4"/>
      <c r="U11" s="4"/>
    </row>
    <row r="12" spans="1:22" ht="75" x14ac:dyDescent="0.25">
      <c r="A12" s="10" t="s">
        <v>8</v>
      </c>
      <c r="B12" s="10" t="s">
        <v>105</v>
      </c>
      <c r="C12" s="10" t="s">
        <v>202</v>
      </c>
      <c r="D12" s="10" t="s">
        <v>104</v>
      </c>
      <c r="E12" s="10" t="s">
        <v>106</v>
      </c>
      <c r="F12" s="10" t="s">
        <v>21</v>
      </c>
      <c r="G12" s="48" t="s">
        <v>100</v>
      </c>
      <c r="H12" s="48" t="s">
        <v>100</v>
      </c>
      <c r="I12" s="17" t="s">
        <v>61</v>
      </c>
      <c r="J12" s="1" t="s">
        <v>78</v>
      </c>
      <c r="K12" s="1" t="s">
        <v>131</v>
      </c>
      <c r="L12" s="1" t="s">
        <v>222</v>
      </c>
      <c r="M12" s="1" t="s">
        <v>222</v>
      </c>
      <c r="N12" s="1" t="s">
        <v>95</v>
      </c>
      <c r="O12" s="1" t="s">
        <v>95</v>
      </c>
      <c r="P12" s="4" t="s">
        <v>145</v>
      </c>
      <c r="Q12" s="51">
        <v>45626</v>
      </c>
      <c r="R12" s="20"/>
      <c r="S12" s="54">
        <v>45688</v>
      </c>
      <c r="T12" s="4"/>
      <c r="U12" s="4"/>
    </row>
    <row r="13" spans="1:22" ht="60" x14ac:dyDescent="0.25">
      <c r="A13" s="10" t="s">
        <v>238</v>
      </c>
      <c r="B13" s="10" t="s">
        <v>107</v>
      </c>
      <c r="C13" s="10" t="s">
        <v>108</v>
      </c>
      <c r="D13" s="10" t="s">
        <v>109</v>
      </c>
      <c r="E13" s="10" t="s">
        <v>135</v>
      </c>
      <c r="F13" s="10" t="s">
        <v>21</v>
      </c>
      <c r="G13" s="48" t="s">
        <v>300</v>
      </c>
      <c r="H13" s="48" t="s">
        <v>203</v>
      </c>
      <c r="I13" s="15" t="s">
        <v>69</v>
      </c>
      <c r="J13" s="1" t="s">
        <v>78</v>
      </c>
      <c r="K13" s="1" t="s">
        <v>131</v>
      </c>
      <c r="L13" s="29" t="s">
        <v>230</v>
      </c>
      <c r="M13" s="29" t="s">
        <v>349</v>
      </c>
      <c r="N13" s="1" t="s">
        <v>82</v>
      </c>
      <c r="O13" s="1" t="s">
        <v>82</v>
      </c>
      <c r="P13" s="4" t="s">
        <v>145</v>
      </c>
      <c r="Q13" s="51">
        <v>45626</v>
      </c>
      <c r="R13" s="20">
        <f>Q13-60</f>
        <v>45566</v>
      </c>
      <c r="S13" s="54">
        <v>45688</v>
      </c>
      <c r="T13" s="20">
        <f>S13-60</f>
        <v>45628</v>
      </c>
      <c r="U13" s="4"/>
      <c r="V13">
        <v>60</v>
      </c>
    </row>
    <row r="14" spans="1:22" ht="30" x14ac:dyDescent="0.25">
      <c r="A14" s="46" t="s">
        <v>150</v>
      </c>
      <c r="B14" s="10" t="s">
        <v>107</v>
      </c>
      <c r="C14" s="10" t="s">
        <v>206</v>
      </c>
      <c r="D14" s="10" t="s">
        <v>204</v>
      </c>
      <c r="E14" s="10" t="s">
        <v>205</v>
      </c>
      <c r="F14" s="10" t="s">
        <v>21</v>
      </c>
      <c r="G14" s="48" t="s">
        <v>100</v>
      </c>
      <c r="H14" s="48" t="s">
        <v>100</v>
      </c>
      <c r="I14" s="33"/>
      <c r="J14" s="33"/>
      <c r="K14" s="33"/>
      <c r="L14" s="33" t="s">
        <v>222</v>
      </c>
      <c r="M14" s="33" t="s">
        <v>222</v>
      </c>
      <c r="N14" s="33" t="s">
        <v>95</v>
      </c>
      <c r="O14" s="33" t="s">
        <v>95</v>
      </c>
      <c r="P14" s="4" t="s">
        <v>145</v>
      </c>
      <c r="Q14" s="51">
        <v>45626</v>
      </c>
      <c r="R14" s="20">
        <f>Q14-60</f>
        <v>45566</v>
      </c>
      <c r="S14" s="54">
        <v>45688</v>
      </c>
      <c r="T14" s="41">
        <f>S14-60</f>
        <v>45628</v>
      </c>
      <c r="U14" s="36"/>
    </row>
    <row r="15" spans="1:22" ht="60" x14ac:dyDescent="0.25">
      <c r="A15" s="10" t="s">
        <v>220</v>
      </c>
      <c r="B15" s="11"/>
      <c r="C15" s="11"/>
      <c r="D15" s="11"/>
      <c r="E15" s="11"/>
      <c r="F15" s="11"/>
      <c r="G15" s="48" t="s">
        <v>301</v>
      </c>
      <c r="H15" s="48" t="s">
        <v>7</v>
      </c>
      <c r="I15" s="33"/>
      <c r="J15" s="33"/>
      <c r="K15" s="33"/>
      <c r="L15" s="33" t="s">
        <v>226</v>
      </c>
      <c r="M15" s="33" t="s">
        <v>350</v>
      </c>
      <c r="N15" s="33" t="s">
        <v>82</v>
      </c>
      <c r="O15" s="33" t="s">
        <v>82</v>
      </c>
      <c r="P15" s="4" t="s">
        <v>145</v>
      </c>
      <c r="Q15" s="51">
        <v>45626</v>
      </c>
      <c r="R15" s="20"/>
      <c r="S15" s="54">
        <v>45688</v>
      </c>
      <c r="T15" s="33"/>
      <c r="U15" s="33"/>
    </row>
    <row r="16" spans="1:22" ht="75" x14ac:dyDescent="0.25">
      <c r="A16" s="10" t="s">
        <v>161</v>
      </c>
      <c r="B16" s="10" t="s">
        <v>101</v>
      </c>
      <c r="C16" s="10" t="s">
        <v>102</v>
      </c>
      <c r="D16" s="10" t="s">
        <v>189</v>
      </c>
      <c r="E16" s="10" t="s">
        <v>190</v>
      </c>
      <c r="F16" s="10" t="s">
        <v>21</v>
      </c>
      <c r="G16" s="48" t="s">
        <v>100</v>
      </c>
      <c r="H16" s="48" t="s">
        <v>100</v>
      </c>
      <c r="I16" s="15" t="s">
        <v>66</v>
      </c>
      <c r="J16" s="1" t="s">
        <v>78</v>
      </c>
      <c r="K16" s="15" t="s">
        <v>132</v>
      </c>
      <c r="L16" s="15" t="s">
        <v>222</v>
      </c>
      <c r="M16" s="15" t="s">
        <v>222</v>
      </c>
      <c r="N16" s="1" t="s">
        <v>95</v>
      </c>
      <c r="O16" s="1" t="s">
        <v>95</v>
      </c>
      <c r="P16" s="4" t="s">
        <v>145</v>
      </c>
      <c r="Q16" s="51">
        <v>45626</v>
      </c>
      <c r="R16" s="20">
        <f>Q16-60</f>
        <v>45566</v>
      </c>
      <c r="S16" s="54">
        <v>45688</v>
      </c>
      <c r="T16" s="47">
        <f>S16-60</f>
        <v>45628</v>
      </c>
      <c r="U16" s="32" t="s">
        <v>154</v>
      </c>
      <c r="V16">
        <v>90</v>
      </c>
    </row>
    <row r="17" spans="1:23" ht="75" x14ac:dyDescent="0.25">
      <c r="A17" s="10" t="s">
        <v>151</v>
      </c>
      <c r="B17" s="11"/>
      <c r="C17" s="11"/>
      <c r="D17" s="12"/>
      <c r="E17" s="11"/>
      <c r="F17" s="11"/>
      <c r="G17" s="48" t="s">
        <v>302</v>
      </c>
      <c r="H17" s="48" t="s">
        <v>207</v>
      </c>
      <c r="I17" s="15" t="s">
        <v>70</v>
      </c>
      <c r="J17" s="29" t="s">
        <v>70</v>
      </c>
      <c r="K17" s="10" t="s">
        <v>134</v>
      </c>
      <c r="L17" s="10" t="s">
        <v>225</v>
      </c>
      <c r="M17" s="10" t="s">
        <v>360</v>
      </c>
      <c r="N17" s="1" t="s">
        <v>83</v>
      </c>
      <c r="O17" s="1" t="s">
        <v>259</v>
      </c>
      <c r="P17" s="4" t="s">
        <v>145</v>
      </c>
      <c r="Q17" s="51">
        <v>45626</v>
      </c>
      <c r="R17" s="20"/>
      <c r="S17" s="54">
        <v>45688</v>
      </c>
      <c r="T17" s="4"/>
      <c r="U17" s="4"/>
      <c r="V17" s="1"/>
    </row>
    <row r="18" spans="1:23" ht="249.75" customHeight="1" x14ac:dyDescent="0.25">
      <c r="A18" s="10" t="s">
        <v>138</v>
      </c>
      <c r="B18" s="10"/>
      <c r="C18" s="11"/>
      <c r="D18" s="11"/>
      <c r="E18" s="11"/>
      <c r="F18" s="11"/>
      <c r="G18" s="48" t="s">
        <v>302</v>
      </c>
      <c r="H18" s="48" t="s">
        <v>208</v>
      </c>
      <c r="I18" s="15" t="s">
        <v>63</v>
      </c>
      <c r="J18" s="10" t="s">
        <v>96</v>
      </c>
      <c r="K18" s="10" t="s">
        <v>134</v>
      </c>
      <c r="L18" s="10" t="s">
        <v>225</v>
      </c>
      <c r="M18" s="10" t="s">
        <v>360</v>
      </c>
      <c r="N18" s="1" t="s">
        <v>83</v>
      </c>
      <c r="O18" s="1" t="s">
        <v>259</v>
      </c>
      <c r="P18" s="4" t="s">
        <v>145</v>
      </c>
      <c r="Q18" s="51">
        <v>45626</v>
      </c>
      <c r="R18" s="20"/>
      <c r="S18" s="54">
        <v>45688</v>
      </c>
      <c r="T18" s="4"/>
      <c r="U18" s="4"/>
      <c r="V18" s="1"/>
    </row>
    <row r="19" spans="1:23" ht="49.5" customHeight="1" x14ac:dyDescent="0.25">
      <c r="A19" s="46" t="s">
        <v>148</v>
      </c>
      <c r="B19" s="10" t="s">
        <v>211</v>
      </c>
      <c r="C19" s="49" t="s">
        <v>210</v>
      </c>
      <c r="D19" s="10" t="s">
        <v>209</v>
      </c>
      <c r="E19" s="10" t="s">
        <v>212</v>
      </c>
      <c r="F19" s="10" t="s">
        <v>21</v>
      </c>
      <c r="G19" s="48" t="s">
        <v>100</v>
      </c>
      <c r="H19" s="48" t="s">
        <v>100</v>
      </c>
      <c r="I19" s="33"/>
      <c r="J19" s="33"/>
      <c r="K19" s="33"/>
      <c r="L19" s="33" t="s">
        <v>222</v>
      </c>
      <c r="M19" s="33" t="s">
        <v>222</v>
      </c>
      <c r="N19" s="33" t="s">
        <v>95</v>
      </c>
      <c r="O19" s="33" t="s">
        <v>95</v>
      </c>
      <c r="P19" s="4" t="s">
        <v>145</v>
      </c>
      <c r="Q19" s="51">
        <v>45626</v>
      </c>
      <c r="R19" s="20">
        <f>Q19-60</f>
        <v>45566</v>
      </c>
      <c r="S19" s="54">
        <v>45688</v>
      </c>
      <c r="T19" s="41">
        <f>S19-60</f>
        <v>45628</v>
      </c>
      <c r="U19" s="36"/>
      <c r="V19" s="1"/>
    </row>
    <row r="20" spans="1:23" ht="45.75" customHeight="1" x14ac:dyDescent="0.25">
      <c r="A20" s="61" t="s">
        <v>149</v>
      </c>
      <c r="B20" s="62" t="s">
        <v>211</v>
      </c>
      <c r="C20" s="62" t="s">
        <v>214</v>
      </c>
      <c r="D20" s="62" t="s">
        <v>213</v>
      </c>
      <c r="E20" s="62" t="s">
        <v>215</v>
      </c>
      <c r="F20" s="62" t="s">
        <v>21</v>
      </c>
      <c r="G20" s="48" t="s">
        <v>100</v>
      </c>
      <c r="H20" s="48" t="s">
        <v>100</v>
      </c>
      <c r="I20" s="63"/>
      <c r="J20" s="63"/>
      <c r="K20" s="63"/>
      <c r="L20" s="63" t="s">
        <v>222</v>
      </c>
      <c r="M20" s="63" t="s">
        <v>222</v>
      </c>
      <c r="N20" s="63" t="s">
        <v>95</v>
      </c>
      <c r="O20" s="63" t="s">
        <v>95</v>
      </c>
      <c r="P20" s="32" t="s">
        <v>145</v>
      </c>
      <c r="Q20" s="64">
        <v>45626</v>
      </c>
      <c r="R20" s="47">
        <f>Q20-60</f>
        <v>45566</v>
      </c>
      <c r="S20" s="65">
        <v>45688</v>
      </c>
      <c r="T20" s="66">
        <f>S20-60</f>
        <v>45628</v>
      </c>
      <c r="U20" s="67"/>
      <c r="V20" s="34"/>
    </row>
    <row r="21" spans="1:23" ht="60" x14ac:dyDescent="0.25">
      <c r="A21" s="10" t="s">
        <v>231</v>
      </c>
      <c r="B21" s="62" t="s">
        <v>121</v>
      </c>
      <c r="C21" s="62" t="s">
        <v>305</v>
      </c>
      <c r="D21" s="62" t="s">
        <v>303</v>
      </c>
      <c r="E21" s="62" t="s">
        <v>304</v>
      </c>
      <c r="F21" s="62" t="s">
        <v>21</v>
      </c>
      <c r="G21" s="48" t="s">
        <v>100</v>
      </c>
      <c r="H21" s="7"/>
      <c r="I21" s="33"/>
      <c r="J21" s="33"/>
      <c r="K21" s="33"/>
      <c r="L21" s="33"/>
      <c r="M21" s="33" t="s">
        <v>222</v>
      </c>
      <c r="N21" s="33" t="s">
        <v>95</v>
      </c>
      <c r="O21" s="33" t="s">
        <v>95</v>
      </c>
      <c r="P21" s="32" t="s">
        <v>145</v>
      </c>
      <c r="Q21" s="64">
        <v>45626</v>
      </c>
      <c r="R21" s="1"/>
      <c r="S21" s="65">
        <v>45688</v>
      </c>
      <c r="T21" s="36"/>
      <c r="U21" s="36"/>
      <c r="V21" s="1"/>
      <c r="W21" s="1"/>
    </row>
    <row r="22" spans="1:23" ht="63" x14ac:dyDescent="0.25">
      <c r="A22" s="10" t="s">
        <v>239</v>
      </c>
      <c r="B22" s="49" t="s">
        <v>307</v>
      </c>
      <c r="C22" s="62" t="s">
        <v>308</v>
      </c>
      <c r="D22" s="62" t="s">
        <v>306</v>
      </c>
      <c r="E22" s="62" t="s">
        <v>21</v>
      </c>
      <c r="F22" s="62" t="s">
        <v>21</v>
      </c>
      <c r="G22" s="48" t="s">
        <v>100</v>
      </c>
      <c r="H22" s="7"/>
      <c r="I22" s="33"/>
      <c r="J22" s="33"/>
      <c r="K22" s="33"/>
      <c r="L22" s="33"/>
      <c r="M22" s="33" t="s">
        <v>222</v>
      </c>
      <c r="N22" s="33" t="s">
        <v>95</v>
      </c>
      <c r="O22" s="33" t="s">
        <v>95</v>
      </c>
      <c r="P22" s="32" t="s">
        <v>145</v>
      </c>
      <c r="Q22" s="64">
        <v>45626</v>
      </c>
      <c r="R22" s="1"/>
      <c r="S22" s="65">
        <v>45688</v>
      </c>
      <c r="T22" s="36"/>
      <c r="U22" s="36"/>
      <c r="V22" s="1"/>
      <c r="W22" s="1"/>
    </row>
    <row r="23" spans="1:23" ht="75" x14ac:dyDescent="0.25">
      <c r="A23" s="10" t="s">
        <v>240</v>
      </c>
      <c r="B23" s="62" t="s">
        <v>310</v>
      </c>
      <c r="C23" s="62" t="s">
        <v>311</v>
      </c>
      <c r="D23" s="62" t="s">
        <v>312</v>
      </c>
      <c r="E23" s="62" t="s">
        <v>309</v>
      </c>
      <c r="F23" s="10" t="s">
        <v>313</v>
      </c>
      <c r="G23" s="48" t="s">
        <v>100</v>
      </c>
      <c r="H23" s="7"/>
      <c r="I23" s="33"/>
      <c r="J23" s="33"/>
      <c r="K23" s="33"/>
      <c r="L23" s="33"/>
      <c r="M23" s="33" t="s">
        <v>222</v>
      </c>
      <c r="N23" s="33" t="s">
        <v>95</v>
      </c>
      <c r="O23" s="33" t="s">
        <v>95</v>
      </c>
      <c r="P23" s="32" t="s">
        <v>145</v>
      </c>
      <c r="Q23" s="64">
        <v>45626</v>
      </c>
      <c r="R23" s="1"/>
      <c r="S23" s="65">
        <v>45688</v>
      </c>
      <c r="T23" s="36"/>
      <c r="U23" s="36"/>
      <c r="V23" s="1"/>
      <c r="W23" s="1"/>
    </row>
    <row r="24" spans="1:23" ht="45" x14ac:dyDescent="0.25">
      <c r="A24" s="10" t="s">
        <v>241</v>
      </c>
      <c r="B24" s="62" t="s">
        <v>211</v>
      </c>
      <c r="C24" s="62" t="s">
        <v>315</v>
      </c>
      <c r="D24" s="62" t="s">
        <v>314</v>
      </c>
      <c r="E24" s="62" t="s">
        <v>212</v>
      </c>
      <c r="F24" s="62" t="s">
        <v>21</v>
      </c>
      <c r="G24" s="48" t="s">
        <v>100</v>
      </c>
      <c r="H24" s="7"/>
      <c r="I24" s="33"/>
      <c r="J24" s="33"/>
      <c r="K24" s="33"/>
      <c r="L24" s="33"/>
      <c r="M24" s="33" t="s">
        <v>222</v>
      </c>
      <c r="N24" s="33" t="s">
        <v>95</v>
      </c>
      <c r="O24" s="33" t="s">
        <v>95</v>
      </c>
      <c r="P24" s="32" t="s">
        <v>145</v>
      </c>
      <c r="Q24" s="64">
        <v>45626</v>
      </c>
      <c r="R24" s="1"/>
      <c r="S24" s="65">
        <v>45688</v>
      </c>
      <c r="T24" s="36"/>
      <c r="U24" s="36"/>
      <c r="V24" s="1"/>
      <c r="W24" s="1"/>
    </row>
    <row r="25" spans="1:23" ht="60" x14ac:dyDescent="0.25">
      <c r="A25" s="10" t="s">
        <v>242</v>
      </c>
      <c r="B25" s="62" t="s">
        <v>211</v>
      </c>
      <c r="C25" s="62" t="s">
        <v>315</v>
      </c>
      <c r="D25" s="62" t="s">
        <v>314</v>
      </c>
      <c r="E25" s="62" t="s">
        <v>212</v>
      </c>
      <c r="F25" s="62" t="s">
        <v>21</v>
      </c>
      <c r="G25" s="48" t="s">
        <v>100</v>
      </c>
      <c r="H25" s="7"/>
      <c r="I25" s="33"/>
      <c r="J25" s="33"/>
      <c r="K25" s="33"/>
      <c r="L25" s="71" t="s">
        <v>286</v>
      </c>
      <c r="M25" s="71" t="s">
        <v>222</v>
      </c>
      <c r="N25" s="33" t="s">
        <v>95</v>
      </c>
      <c r="O25" s="33" t="s">
        <v>95</v>
      </c>
      <c r="P25" s="32" t="s">
        <v>145</v>
      </c>
      <c r="Q25" s="64">
        <v>45626</v>
      </c>
      <c r="R25" s="1"/>
      <c r="S25" s="65">
        <v>45688</v>
      </c>
      <c r="T25" s="36"/>
      <c r="U25" s="36"/>
      <c r="V25" s="1"/>
      <c r="W25" s="1"/>
    </row>
    <row r="26" spans="1:23" ht="126" customHeight="1" x14ac:dyDescent="0.25">
      <c r="A26" s="10" t="s">
        <v>243</v>
      </c>
      <c r="B26" s="62" t="s">
        <v>128</v>
      </c>
      <c r="C26" s="62" t="s">
        <v>320</v>
      </c>
      <c r="D26" s="62" t="s">
        <v>321</v>
      </c>
      <c r="E26" s="62" t="s">
        <v>316</v>
      </c>
      <c r="F26" s="10" t="s">
        <v>317</v>
      </c>
      <c r="G26" s="48" t="s">
        <v>322</v>
      </c>
      <c r="H26" s="7"/>
      <c r="I26" s="33"/>
      <c r="J26" s="33"/>
      <c r="K26" s="33"/>
      <c r="L26" s="33"/>
      <c r="M26" s="33" t="s">
        <v>361</v>
      </c>
      <c r="N26" s="33" t="s">
        <v>95</v>
      </c>
      <c r="O26" s="33" t="s">
        <v>95</v>
      </c>
      <c r="P26" s="32" t="s">
        <v>145</v>
      </c>
      <c r="Q26" s="64">
        <v>45626</v>
      </c>
      <c r="R26" s="1"/>
      <c r="S26" s="65">
        <v>45688</v>
      </c>
      <c r="T26" s="36"/>
      <c r="U26" s="36"/>
      <c r="V26" s="1"/>
      <c r="W26" s="1"/>
    </row>
    <row r="27" spans="1:23" ht="45" x14ac:dyDescent="0.25">
      <c r="A27" s="10" t="s">
        <v>244</v>
      </c>
      <c r="B27" s="62" t="s">
        <v>211</v>
      </c>
      <c r="C27" s="62" t="s">
        <v>315</v>
      </c>
      <c r="D27" s="62" t="s">
        <v>318</v>
      </c>
      <c r="E27" s="62" t="s">
        <v>319</v>
      </c>
      <c r="F27" s="62" t="s">
        <v>21</v>
      </c>
      <c r="G27" s="48" t="s">
        <v>100</v>
      </c>
      <c r="H27" s="7"/>
      <c r="I27" s="33"/>
      <c r="J27" s="33"/>
      <c r="K27" s="33"/>
      <c r="L27" s="33"/>
      <c r="M27" s="33" t="s">
        <v>222</v>
      </c>
      <c r="N27" s="33" t="s">
        <v>95</v>
      </c>
      <c r="O27" s="33" t="s">
        <v>95</v>
      </c>
      <c r="P27" s="32" t="s">
        <v>145</v>
      </c>
      <c r="Q27" s="64">
        <v>45626</v>
      </c>
      <c r="R27" s="1"/>
      <c r="S27" s="65">
        <v>45688</v>
      </c>
      <c r="T27" s="36"/>
      <c r="U27" s="36"/>
      <c r="V27" s="1"/>
      <c r="W27" s="1"/>
    </row>
    <row r="28" spans="1:23" ht="45" x14ac:dyDescent="0.25">
      <c r="A28" s="10" t="s">
        <v>245</v>
      </c>
      <c r="B28" s="62" t="s">
        <v>211</v>
      </c>
      <c r="C28" s="62" t="s">
        <v>315</v>
      </c>
      <c r="D28" s="62" t="s">
        <v>323</v>
      </c>
      <c r="E28" s="62" t="s">
        <v>324</v>
      </c>
      <c r="F28" s="62" t="s">
        <v>21</v>
      </c>
      <c r="G28" s="48" t="s">
        <v>100</v>
      </c>
      <c r="H28" s="7"/>
      <c r="I28" s="33"/>
      <c r="J28" s="33"/>
      <c r="K28" s="33"/>
      <c r="L28" s="33"/>
      <c r="M28" s="33" t="s">
        <v>222</v>
      </c>
      <c r="N28" s="33" t="s">
        <v>95</v>
      </c>
      <c r="O28" s="33" t="s">
        <v>95</v>
      </c>
      <c r="P28" s="32" t="s">
        <v>145</v>
      </c>
      <c r="Q28" s="64">
        <v>45626</v>
      </c>
      <c r="R28" s="1"/>
      <c r="S28" s="65">
        <v>45688</v>
      </c>
      <c r="T28" s="36"/>
      <c r="U28" s="36"/>
      <c r="V28" s="1"/>
      <c r="W28" s="1"/>
    </row>
    <row r="29" spans="1:23" ht="45" x14ac:dyDescent="0.25">
      <c r="A29" s="10" t="s">
        <v>246</v>
      </c>
      <c r="B29" s="62" t="s">
        <v>211</v>
      </c>
      <c r="C29" s="62" t="s">
        <v>315</v>
      </c>
      <c r="D29" s="62" t="s">
        <v>325</v>
      </c>
      <c r="E29" s="62" t="s">
        <v>326</v>
      </c>
      <c r="F29" s="62" t="s">
        <v>21</v>
      </c>
      <c r="G29" s="48" t="s">
        <v>100</v>
      </c>
      <c r="H29" s="7"/>
      <c r="I29" s="33"/>
      <c r="J29" s="33"/>
      <c r="K29" s="33"/>
      <c r="L29" s="33"/>
      <c r="M29" s="33" t="s">
        <v>222</v>
      </c>
      <c r="N29" s="33" t="s">
        <v>95</v>
      </c>
      <c r="O29" s="33" t="s">
        <v>95</v>
      </c>
      <c r="P29" s="32" t="s">
        <v>145</v>
      </c>
      <c r="Q29" s="64">
        <v>45626</v>
      </c>
      <c r="R29" s="1"/>
      <c r="S29" s="65">
        <v>45688</v>
      </c>
      <c r="T29" s="36"/>
      <c r="U29" s="36"/>
      <c r="V29" s="1"/>
      <c r="W29" s="1"/>
    </row>
    <row r="30" spans="1:23" ht="45" x14ac:dyDescent="0.25">
      <c r="A30" s="10" t="s">
        <v>247</v>
      </c>
      <c r="B30" s="62" t="s">
        <v>211</v>
      </c>
      <c r="C30" s="62" t="s">
        <v>315</v>
      </c>
      <c r="D30" s="62" t="s">
        <v>325</v>
      </c>
      <c r="E30" s="62" t="s">
        <v>328</v>
      </c>
      <c r="F30" s="62" t="s">
        <v>21</v>
      </c>
      <c r="G30" s="48" t="s">
        <v>100</v>
      </c>
      <c r="H30" s="7"/>
      <c r="I30" s="33"/>
      <c r="J30" s="33"/>
      <c r="K30" s="33"/>
      <c r="L30" s="33"/>
      <c r="M30" s="33" t="s">
        <v>222</v>
      </c>
      <c r="N30" s="33" t="s">
        <v>95</v>
      </c>
      <c r="O30" s="33" t="s">
        <v>95</v>
      </c>
      <c r="P30" s="32" t="s">
        <v>145</v>
      </c>
      <c r="Q30" s="64">
        <v>45626</v>
      </c>
      <c r="R30" s="1"/>
      <c r="S30" s="65">
        <v>45688</v>
      </c>
      <c r="T30" s="36"/>
      <c r="U30" s="36"/>
      <c r="V30" s="1"/>
      <c r="W30" s="1"/>
    </row>
    <row r="31" spans="1:23" ht="217.5" customHeight="1" x14ac:dyDescent="0.25">
      <c r="A31" s="10" t="s">
        <v>248</v>
      </c>
      <c r="B31" s="62" t="s">
        <v>330</v>
      </c>
      <c r="C31" s="62" t="s">
        <v>401</v>
      </c>
      <c r="D31" s="62" t="s">
        <v>331</v>
      </c>
      <c r="E31" s="62" t="s">
        <v>329</v>
      </c>
      <c r="F31" s="62" t="s">
        <v>21</v>
      </c>
      <c r="G31" s="48" t="s">
        <v>100</v>
      </c>
      <c r="H31" s="7"/>
      <c r="I31" s="33"/>
      <c r="J31" s="33"/>
      <c r="K31" s="33"/>
      <c r="L31" s="33"/>
      <c r="M31" s="33" t="s">
        <v>222</v>
      </c>
      <c r="N31" s="33" t="s">
        <v>95</v>
      </c>
      <c r="O31" s="33" t="s">
        <v>95</v>
      </c>
      <c r="P31" s="32" t="s">
        <v>145</v>
      </c>
      <c r="Q31" s="64">
        <v>45626</v>
      </c>
      <c r="R31" s="1"/>
      <c r="S31" s="65">
        <v>45688</v>
      </c>
      <c r="T31" s="36"/>
      <c r="U31" s="36"/>
      <c r="V31" s="1"/>
      <c r="W31" s="1"/>
    </row>
    <row r="32" spans="1:23" ht="225" x14ac:dyDescent="0.25">
      <c r="A32" s="10" t="s">
        <v>249</v>
      </c>
      <c r="B32" s="62" t="s">
        <v>330</v>
      </c>
      <c r="C32" s="62" t="s">
        <v>401</v>
      </c>
      <c r="D32" s="62" t="s">
        <v>332</v>
      </c>
      <c r="E32" s="62" t="s">
        <v>333</v>
      </c>
      <c r="F32" s="62" t="s">
        <v>21</v>
      </c>
      <c r="G32" s="48" t="s">
        <v>100</v>
      </c>
      <c r="H32" s="7"/>
      <c r="I32" s="33"/>
      <c r="J32" s="33"/>
      <c r="K32" s="33"/>
      <c r="L32" s="33"/>
      <c r="M32" s="33" t="s">
        <v>222</v>
      </c>
      <c r="N32" s="33" t="s">
        <v>95</v>
      </c>
      <c r="O32" s="33" t="s">
        <v>95</v>
      </c>
      <c r="P32" s="32" t="s">
        <v>145</v>
      </c>
      <c r="Q32" s="64">
        <v>45626</v>
      </c>
      <c r="R32" s="1"/>
      <c r="S32" s="65">
        <v>45688</v>
      </c>
      <c r="T32" s="36"/>
      <c r="U32" s="36"/>
      <c r="V32" s="1"/>
      <c r="W32" s="1"/>
    </row>
    <row r="33" spans="1:23" ht="225" x14ac:dyDescent="0.25">
      <c r="A33" s="10" t="s">
        <v>250</v>
      </c>
      <c r="B33" s="62" t="s">
        <v>330</v>
      </c>
      <c r="C33" s="62" t="s">
        <v>401</v>
      </c>
      <c r="D33" s="62" t="s">
        <v>325</v>
      </c>
      <c r="E33" s="62" t="s">
        <v>328</v>
      </c>
      <c r="F33" s="62" t="s">
        <v>21</v>
      </c>
      <c r="G33" s="48" t="s">
        <v>100</v>
      </c>
      <c r="H33" s="7"/>
      <c r="I33" s="33"/>
      <c r="J33" s="33"/>
      <c r="K33" s="33"/>
      <c r="L33" s="33"/>
      <c r="M33" s="33" t="s">
        <v>222</v>
      </c>
      <c r="N33" s="33" t="s">
        <v>95</v>
      </c>
      <c r="O33" s="33" t="s">
        <v>95</v>
      </c>
      <c r="P33" s="32" t="s">
        <v>145</v>
      </c>
      <c r="Q33" s="64">
        <v>45626</v>
      </c>
      <c r="R33" s="1"/>
      <c r="S33" s="65">
        <v>45688</v>
      </c>
      <c r="T33" s="36"/>
      <c r="U33" s="36"/>
      <c r="V33" s="1"/>
      <c r="W33" s="1"/>
    </row>
    <row r="34" spans="1:23" ht="225" x14ac:dyDescent="0.25">
      <c r="A34" s="10" t="s">
        <v>251</v>
      </c>
      <c r="B34" s="62" t="s">
        <v>330</v>
      </c>
      <c r="C34" s="62" t="s">
        <v>401</v>
      </c>
      <c r="D34" s="62" t="s">
        <v>327</v>
      </c>
      <c r="E34" s="62" t="s">
        <v>329</v>
      </c>
      <c r="F34" s="62" t="s">
        <v>21</v>
      </c>
      <c r="G34" s="48" t="s">
        <v>100</v>
      </c>
      <c r="H34" s="7"/>
      <c r="I34" s="33"/>
      <c r="J34" s="33"/>
      <c r="K34" s="33"/>
      <c r="L34" s="33"/>
      <c r="M34" s="33" t="s">
        <v>222</v>
      </c>
      <c r="N34" s="33" t="s">
        <v>95</v>
      </c>
      <c r="O34" s="33" t="s">
        <v>95</v>
      </c>
      <c r="P34" s="32" t="s">
        <v>145</v>
      </c>
      <c r="Q34" s="64">
        <v>45626</v>
      </c>
      <c r="R34" s="1"/>
      <c r="S34" s="65">
        <v>45688</v>
      </c>
      <c r="T34" s="36"/>
      <c r="U34" s="36"/>
      <c r="V34" s="1"/>
      <c r="W34" s="1"/>
    </row>
    <row r="35" spans="1:23" ht="123" customHeight="1" x14ac:dyDescent="0.25">
      <c r="A35" s="10" t="s">
        <v>252</v>
      </c>
      <c r="B35" s="62" t="s">
        <v>330</v>
      </c>
      <c r="C35" s="62" t="s">
        <v>401</v>
      </c>
      <c r="D35" s="62" t="s">
        <v>335</v>
      </c>
      <c r="E35" s="62" t="s">
        <v>336</v>
      </c>
      <c r="F35" s="62" t="s">
        <v>21</v>
      </c>
      <c r="G35" s="48" t="s">
        <v>334</v>
      </c>
      <c r="H35" s="7"/>
      <c r="I35" s="33"/>
      <c r="J35" s="33"/>
      <c r="K35" s="33"/>
      <c r="L35" s="33"/>
      <c r="M35" s="33" t="s">
        <v>362</v>
      </c>
      <c r="N35" s="33" t="s">
        <v>82</v>
      </c>
      <c r="O35" s="33" t="s">
        <v>82</v>
      </c>
      <c r="P35" s="32" t="s">
        <v>145</v>
      </c>
      <c r="Q35" s="64">
        <v>45626</v>
      </c>
      <c r="R35" s="1"/>
      <c r="S35" s="65">
        <v>45688</v>
      </c>
      <c r="T35" s="36"/>
      <c r="U35" s="36"/>
      <c r="V35" s="1"/>
      <c r="W35" s="1"/>
    </row>
    <row r="36" spans="1:23" ht="126.75" customHeight="1" x14ac:dyDescent="0.25">
      <c r="A36" s="10" t="s">
        <v>253</v>
      </c>
      <c r="B36" s="62" t="s">
        <v>330</v>
      </c>
      <c r="C36" s="62" t="s">
        <v>401</v>
      </c>
      <c r="D36" s="62" t="s">
        <v>337</v>
      </c>
      <c r="E36" s="62" t="s">
        <v>338</v>
      </c>
      <c r="F36" s="62" t="s">
        <v>21</v>
      </c>
      <c r="G36" s="48" t="s">
        <v>100</v>
      </c>
      <c r="H36" s="7"/>
      <c r="I36" s="33"/>
      <c r="J36" s="33"/>
      <c r="K36" s="33"/>
      <c r="L36" s="33"/>
      <c r="M36" s="33" t="s">
        <v>222</v>
      </c>
      <c r="N36" s="33" t="s">
        <v>95</v>
      </c>
      <c r="O36" s="33" t="s">
        <v>95</v>
      </c>
      <c r="P36" s="32" t="s">
        <v>145</v>
      </c>
      <c r="Q36" s="64">
        <v>45626</v>
      </c>
      <c r="R36" s="1"/>
      <c r="S36" s="65">
        <v>45688</v>
      </c>
      <c r="T36" s="36"/>
      <c r="U36" s="36"/>
      <c r="V36" s="1"/>
      <c r="W36" s="1"/>
    </row>
    <row r="37" spans="1:23" ht="225" x14ac:dyDescent="0.25">
      <c r="A37" s="10" t="s">
        <v>260</v>
      </c>
      <c r="B37" s="62" t="s">
        <v>330</v>
      </c>
      <c r="C37" s="62" t="s">
        <v>401</v>
      </c>
      <c r="D37" s="62" t="s">
        <v>327</v>
      </c>
      <c r="E37" s="62" t="s">
        <v>329</v>
      </c>
      <c r="F37" s="62" t="s">
        <v>21</v>
      </c>
      <c r="G37" s="48" t="s">
        <v>100</v>
      </c>
      <c r="H37" s="7"/>
      <c r="I37" s="33"/>
      <c r="J37" s="33"/>
      <c r="K37" s="33"/>
      <c r="L37" s="33"/>
      <c r="M37" s="33" t="s">
        <v>222</v>
      </c>
      <c r="N37" s="33" t="s">
        <v>95</v>
      </c>
      <c r="O37" s="33" t="s">
        <v>95</v>
      </c>
      <c r="P37" s="32" t="s">
        <v>145</v>
      </c>
      <c r="Q37" s="64">
        <v>45626</v>
      </c>
      <c r="R37" s="1"/>
      <c r="S37" s="65">
        <v>45688</v>
      </c>
      <c r="T37" s="36"/>
      <c r="U37" s="36"/>
      <c r="V37" s="1"/>
      <c r="W37" s="1"/>
    </row>
    <row r="38" spans="1:23" ht="225" x14ac:dyDescent="0.25">
      <c r="A38" s="10" t="s">
        <v>261</v>
      </c>
      <c r="B38" s="62" t="s">
        <v>330</v>
      </c>
      <c r="C38" s="62" t="s">
        <v>401</v>
      </c>
      <c r="D38" s="62" t="s">
        <v>337</v>
      </c>
      <c r="E38" s="62" t="s">
        <v>338</v>
      </c>
      <c r="F38" s="62" t="s">
        <v>21</v>
      </c>
      <c r="G38" s="48" t="s">
        <v>100</v>
      </c>
      <c r="H38" s="7"/>
      <c r="I38" s="33"/>
      <c r="J38" s="33"/>
      <c r="K38" s="33"/>
      <c r="L38" s="33"/>
      <c r="M38" s="33" t="s">
        <v>222</v>
      </c>
      <c r="N38" s="33" t="s">
        <v>95</v>
      </c>
      <c r="O38" s="33" t="s">
        <v>95</v>
      </c>
      <c r="P38" s="32" t="s">
        <v>145</v>
      </c>
      <c r="Q38" s="64">
        <v>45626</v>
      </c>
      <c r="R38" s="1"/>
      <c r="S38" s="65">
        <v>45688</v>
      </c>
      <c r="T38" s="36"/>
      <c r="U38" s="36"/>
      <c r="V38" s="1"/>
      <c r="W38" s="1"/>
    </row>
    <row r="39" spans="1:23" ht="225" x14ac:dyDescent="0.25">
      <c r="A39" s="10" t="s">
        <v>262</v>
      </c>
      <c r="B39" s="62" t="s">
        <v>330</v>
      </c>
      <c r="C39" s="62" t="s">
        <v>401</v>
      </c>
      <c r="D39" s="62" t="s">
        <v>327</v>
      </c>
      <c r="E39" s="62" t="s">
        <v>329</v>
      </c>
      <c r="F39" s="62" t="s">
        <v>21</v>
      </c>
      <c r="G39" s="48" t="s">
        <v>100</v>
      </c>
      <c r="H39" s="7"/>
      <c r="I39" s="33"/>
      <c r="J39" s="33"/>
      <c r="K39" s="33"/>
      <c r="L39" s="33"/>
      <c r="M39" s="33" t="s">
        <v>222</v>
      </c>
      <c r="N39" s="33" t="s">
        <v>95</v>
      </c>
      <c r="O39" s="33" t="s">
        <v>95</v>
      </c>
      <c r="P39" s="32" t="s">
        <v>145</v>
      </c>
      <c r="Q39" s="64">
        <v>45626</v>
      </c>
      <c r="R39" s="1"/>
      <c r="S39" s="65">
        <v>45688</v>
      </c>
      <c r="T39" s="36"/>
      <c r="U39" s="36"/>
      <c r="V39" s="1"/>
      <c r="W39" s="1"/>
    </row>
    <row r="40" spans="1:23" ht="225" x14ac:dyDescent="0.25">
      <c r="A40" s="10" t="s">
        <v>263</v>
      </c>
      <c r="B40" s="62" t="s">
        <v>330</v>
      </c>
      <c r="C40" s="62" t="s">
        <v>401</v>
      </c>
      <c r="D40" s="62" t="s">
        <v>327</v>
      </c>
      <c r="E40" s="62" t="s">
        <v>329</v>
      </c>
      <c r="F40" s="62" t="s">
        <v>21</v>
      </c>
      <c r="G40" s="48" t="s">
        <v>100</v>
      </c>
      <c r="H40" s="7"/>
      <c r="I40" s="33"/>
      <c r="J40" s="33"/>
      <c r="K40" s="33"/>
      <c r="L40" s="33"/>
      <c r="M40" s="33" t="s">
        <v>222</v>
      </c>
      <c r="N40" s="33" t="s">
        <v>95</v>
      </c>
      <c r="O40" s="33" t="s">
        <v>95</v>
      </c>
      <c r="P40" s="32" t="s">
        <v>145</v>
      </c>
      <c r="Q40" s="64">
        <v>45626</v>
      </c>
      <c r="R40" s="1"/>
      <c r="S40" s="65">
        <v>45688</v>
      </c>
      <c r="T40" s="36"/>
      <c r="U40" s="36"/>
      <c r="V40" s="1"/>
      <c r="W40" s="1"/>
    </row>
    <row r="41" spans="1:23" ht="105" x14ac:dyDescent="0.25">
      <c r="A41" s="10" t="s">
        <v>264</v>
      </c>
      <c r="B41" s="62" t="s">
        <v>330</v>
      </c>
      <c r="C41" s="62" t="s">
        <v>339</v>
      </c>
      <c r="D41" s="62" t="s">
        <v>332</v>
      </c>
      <c r="E41" s="62" t="s">
        <v>333</v>
      </c>
      <c r="F41" s="62" t="s">
        <v>21</v>
      </c>
      <c r="G41" s="48" t="s">
        <v>100</v>
      </c>
      <c r="H41" s="7"/>
      <c r="I41" s="33"/>
      <c r="J41" s="33"/>
      <c r="K41" s="33"/>
      <c r="L41" s="33"/>
      <c r="M41" s="33" t="s">
        <v>222</v>
      </c>
      <c r="N41" s="33" t="s">
        <v>95</v>
      </c>
      <c r="O41" s="33" t="s">
        <v>95</v>
      </c>
      <c r="P41" s="32" t="s">
        <v>145</v>
      </c>
      <c r="Q41" s="64">
        <v>45626</v>
      </c>
      <c r="R41" s="1"/>
      <c r="S41" s="65">
        <v>45688</v>
      </c>
      <c r="T41" s="36"/>
      <c r="U41" s="36"/>
      <c r="V41" s="1"/>
      <c r="W41" s="1"/>
    </row>
    <row r="42" spans="1:23" ht="105" x14ac:dyDescent="0.25">
      <c r="A42" s="10" t="s">
        <v>265</v>
      </c>
      <c r="B42" s="62" t="s">
        <v>330</v>
      </c>
      <c r="C42" s="62" t="s">
        <v>342</v>
      </c>
      <c r="D42" s="62" t="s">
        <v>340</v>
      </c>
      <c r="E42" s="62" t="s">
        <v>341</v>
      </c>
      <c r="F42" s="62" t="s">
        <v>21</v>
      </c>
      <c r="G42" s="48" t="s">
        <v>100</v>
      </c>
      <c r="H42" s="7"/>
      <c r="I42" s="33"/>
      <c r="J42" s="33"/>
      <c r="K42" s="33"/>
      <c r="L42" s="33"/>
      <c r="M42" s="33" t="s">
        <v>222</v>
      </c>
      <c r="N42" s="33" t="s">
        <v>95</v>
      </c>
      <c r="O42" s="33" t="s">
        <v>95</v>
      </c>
      <c r="P42" s="32" t="s">
        <v>145</v>
      </c>
      <c r="Q42" s="64">
        <v>45626</v>
      </c>
      <c r="R42" s="1"/>
      <c r="S42" s="65">
        <v>45688</v>
      </c>
      <c r="T42" s="36"/>
      <c r="U42" s="36"/>
      <c r="V42" s="1"/>
      <c r="W42" s="1"/>
    </row>
    <row r="43" spans="1:23" ht="60" x14ac:dyDescent="0.25">
      <c r="A43" s="10" t="s">
        <v>266</v>
      </c>
      <c r="B43" s="7"/>
      <c r="C43" s="7"/>
      <c r="D43" s="7"/>
      <c r="E43" s="7"/>
      <c r="F43" s="7"/>
      <c r="G43" s="48" t="s">
        <v>343</v>
      </c>
      <c r="H43" s="7"/>
      <c r="I43" s="33"/>
      <c r="J43" s="33"/>
      <c r="K43" s="33"/>
      <c r="L43" s="33"/>
      <c r="M43" s="33" t="s">
        <v>351</v>
      </c>
      <c r="N43" s="33" t="s">
        <v>82</v>
      </c>
      <c r="O43" s="33" t="s">
        <v>82</v>
      </c>
      <c r="P43" s="32" t="s">
        <v>145</v>
      </c>
      <c r="Q43" s="64">
        <v>45626</v>
      </c>
      <c r="R43" s="1"/>
      <c r="S43" s="65">
        <v>45688</v>
      </c>
      <c r="T43" s="36"/>
      <c r="U43" s="36"/>
      <c r="V43" s="1"/>
      <c r="W43" s="1"/>
    </row>
    <row r="44" spans="1:23" ht="225" x14ac:dyDescent="0.25">
      <c r="A44" s="10" t="s">
        <v>267</v>
      </c>
      <c r="B44" s="62" t="s">
        <v>330</v>
      </c>
      <c r="C44" s="62" t="s">
        <v>401</v>
      </c>
      <c r="D44" s="62" t="s">
        <v>337</v>
      </c>
      <c r="E44" s="62" t="s">
        <v>338</v>
      </c>
      <c r="F44" s="62" t="s">
        <v>21</v>
      </c>
      <c r="G44" s="48" t="s">
        <v>100</v>
      </c>
      <c r="H44" s="7"/>
      <c r="I44" s="33"/>
      <c r="J44" s="33"/>
      <c r="K44" s="33"/>
      <c r="L44" s="33"/>
      <c r="M44" s="33" t="s">
        <v>222</v>
      </c>
      <c r="N44" s="33" t="s">
        <v>95</v>
      </c>
      <c r="O44" s="33" t="s">
        <v>95</v>
      </c>
      <c r="P44" s="32" t="s">
        <v>145</v>
      </c>
      <c r="Q44" s="64">
        <v>45626</v>
      </c>
      <c r="R44" s="1"/>
      <c r="S44" s="65">
        <v>45688</v>
      </c>
      <c r="T44" s="36"/>
      <c r="U44" s="36"/>
      <c r="V44" s="1"/>
      <c r="W44" s="1"/>
    </row>
    <row r="45" spans="1:23" ht="105" x14ac:dyDescent="0.25">
      <c r="A45" s="10" t="s">
        <v>268</v>
      </c>
      <c r="B45" s="62" t="s">
        <v>330</v>
      </c>
      <c r="C45" s="62" t="s">
        <v>345</v>
      </c>
      <c r="D45" s="62" t="s">
        <v>337</v>
      </c>
      <c r="E45" s="62" t="s">
        <v>338</v>
      </c>
      <c r="F45" s="62" t="s">
        <v>21</v>
      </c>
      <c r="G45" s="48" t="s">
        <v>100</v>
      </c>
      <c r="H45" s="7"/>
      <c r="I45" s="33"/>
      <c r="J45" s="33"/>
      <c r="K45" s="33"/>
      <c r="L45" s="33"/>
      <c r="M45" s="33" t="s">
        <v>222</v>
      </c>
      <c r="N45" s="33" t="s">
        <v>95</v>
      </c>
      <c r="O45" s="33" t="s">
        <v>95</v>
      </c>
      <c r="P45" s="32" t="s">
        <v>145</v>
      </c>
      <c r="Q45" s="64">
        <v>45626</v>
      </c>
      <c r="R45" s="1"/>
      <c r="S45" s="65">
        <v>45688</v>
      </c>
      <c r="T45" s="36"/>
      <c r="U45" s="36"/>
      <c r="V45" s="1"/>
      <c r="W45" s="1"/>
    </row>
    <row r="46" spans="1:23" ht="225" x14ac:dyDescent="0.25">
      <c r="A46" s="10" t="s">
        <v>269</v>
      </c>
      <c r="B46" s="62" t="s">
        <v>330</v>
      </c>
      <c r="C46" s="62" t="s">
        <v>401</v>
      </c>
      <c r="D46" s="62" t="s">
        <v>325</v>
      </c>
      <c r="E46" s="62" t="s">
        <v>328</v>
      </c>
      <c r="F46" s="62" t="s">
        <v>21</v>
      </c>
      <c r="G46" s="48" t="s">
        <v>100</v>
      </c>
      <c r="H46" s="7"/>
      <c r="I46" s="33"/>
      <c r="J46" s="33"/>
      <c r="K46" s="33"/>
      <c r="L46" s="33"/>
      <c r="M46" s="33" t="s">
        <v>222</v>
      </c>
      <c r="N46" s="33" t="s">
        <v>95</v>
      </c>
      <c r="O46" s="33" t="s">
        <v>95</v>
      </c>
      <c r="P46" s="32" t="s">
        <v>145</v>
      </c>
      <c r="Q46" s="64">
        <v>45626</v>
      </c>
      <c r="R46" s="1"/>
      <c r="S46" s="65">
        <v>45688</v>
      </c>
      <c r="T46" s="36"/>
      <c r="U46" s="36"/>
      <c r="V46" s="1"/>
      <c r="W46" s="1"/>
    </row>
    <row r="47" spans="1:23" ht="225" x14ac:dyDescent="0.25">
      <c r="A47" s="74" t="s">
        <v>270</v>
      </c>
      <c r="B47" s="62" t="s">
        <v>330</v>
      </c>
      <c r="C47" s="62" t="s">
        <v>401</v>
      </c>
      <c r="D47" s="62" t="s">
        <v>327</v>
      </c>
      <c r="E47" s="62" t="s">
        <v>329</v>
      </c>
      <c r="F47" s="62" t="s">
        <v>21</v>
      </c>
      <c r="G47" s="48" t="s">
        <v>100</v>
      </c>
      <c r="H47" s="7"/>
      <c r="I47" s="33"/>
      <c r="J47" s="33"/>
      <c r="K47" s="33"/>
      <c r="L47" s="33"/>
      <c r="M47" s="33" t="s">
        <v>222</v>
      </c>
      <c r="N47" s="33" t="s">
        <v>95</v>
      </c>
      <c r="O47" s="33" t="s">
        <v>95</v>
      </c>
      <c r="P47" s="32" t="s">
        <v>145</v>
      </c>
      <c r="Q47" s="64">
        <v>45626</v>
      </c>
      <c r="R47" s="1"/>
      <c r="S47" s="65">
        <v>45688</v>
      </c>
      <c r="T47" s="36"/>
      <c r="U47" s="36"/>
      <c r="V47" s="1"/>
      <c r="W47" s="1"/>
    </row>
    <row r="48" spans="1:23" ht="124.5" customHeight="1" x14ac:dyDescent="0.25">
      <c r="A48" s="10" t="s">
        <v>271</v>
      </c>
      <c r="B48" s="62" t="s">
        <v>330</v>
      </c>
      <c r="C48" s="62" t="s">
        <v>401</v>
      </c>
      <c r="D48" s="62" t="s">
        <v>327</v>
      </c>
      <c r="E48" s="62" t="s">
        <v>329</v>
      </c>
      <c r="F48" s="62" t="s">
        <v>21</v>
      </c>
      <c r="G48" s="48" t="s">
        <v>100</v>
      </c>
      <c r="H48" s="7"/>
      <c r="I48" s="33"/>
      <c r="J48" s="33"/>
      <c r="K48" s="33"/>
      <c r="L48" s="33"/>
      <c r="M48" s="33" t="s">
        <v>222</v>
      </c>
      <c r="N48" s="33" t="s">
        <v>95</v>
      </c>
      <c r="O48" s="33" t="s">
        <v>95</v>
      </c>
      <c r="P48" s="32" t="s">
        <v>145</v>
      </c>
      <c r="Q48" s="64">
        <v>45626</v>
      </c>
      <c r="R48" s="1"/>
      <c r="S48" s="65">
        <v>45688</v>
      </c>
      <c r="T48" s="36"/>
      <c r="U48" s="36"/>
      <c r="V48" s="1"/>
      <c r="W48" s="1"/>
    </row>
    <row r="49" spans="1:23" ht="127.5" customHeight="1" x14ac:dyDescent="0.25">
      <c r="A49" s="10" t="s">
        <v>272</v>
      </c>
      <c r="B49" s="62" t="s">
        <v>330</v>
      </c>
      <c r="C49" s="62" t="s">
        <v>401</v>
      </c>
      <c r="D49" s="62" t="s">
        <v>327</v>
      </c>
      <c r="E49" s="62" t="s">
        <v>329</v>
      </c>
      <c r="F49" s="62" t="s">
        <v>21</v>
      </c>
      <c r="G49" s="48" t="s">
        <v>100</v>
      </c>
      <c r="H49" s="7"/>
      <c r="I49" s="33"/>
      <c r="J49" s="33"/>
      <c r="K49" s="33"/>
      <c r="L49" s="33"/>
      <c r="M49" s="33" t="s">
        <v>222</v>
      </c>
      <c r="N49" s="33" t="s">
        <v>95</v>
      </c>
      <c r="O49" s="33" t="s">
        <v>95</v>
      </c>
      <c r="P49" s="32" t="s">
        <v>145</v>
      </c>
      <c r="Q49" s="64">
        <v>45626</v>
      </c>
      <c r="R49" s="1"/>
      <c r="S49" s="65">
        <v>45688</v>
      </c>
      <c r="T49" s="36"/>
      <c r="U49" s="36"/>
      <c r="V49" s="1"/>
      <c r="W49" s="1"/>
    </row>
    <row r="50" spans="1:23" ht="225" x14ac:dyDescent="0.25">
      <c r="A50" s="10" t="s">
        <v>273</v>
      </c>
      <c r="B50" s="62" t="s">
        <v>330</v>
      </c>
      <c r="C50" s="62" t="s">
        <v>401</v>
      </c>
      <c r="D50" s="62" t="s">
        <v>327</v>
      </c>
      <c r="E50" s="62" t="s">
        <v>329</v>
      </c>
      <c r="F50" s="62" t="s">
        <v>21</v>
      </c>
      <c r="G50" s="48" t="s">
        <v>100</v>
      </c>
      <c r="H50" s="7"/>
      <c r="I50" s="33"/>
      <c r="J50" s="33"/>
      <c r="K50" s="33"/>
      <c r="L50" s="33"/>
      <c r="M50" s="33" t="s">
        <v>222</v>
      </c>
      <c r="N50" s="33" t="s">
        <v>95</v>
      </c>
      <c r="O50" s="33" t="s">
        <v>95</v>
      </c>
      <c r="P50" s="32" t="s">
        <v>145</v>
      </c>
      <c r="Q50" s="64">
        <v>45626</v>
      </c>
      <c r="R50" s="1"/>
      <c r="S50" s="65">
        <v>45688</v>
      </c>
      <c r="T50" s="36"/>
      <c r="U50" s="36"/>
      <c r="V50" s="1"/>
      <c r="W50" s="1"/>
    </row>
    <row r="51" spans="1:23" ht="225" x14ac:dyDescent="0.25">
      <c r="A51" s="10" t="s">
        <v>274</v>
      </c>
      <c r="B51" s="62" t="s">
        <v>330</v>
      </c>
      <c r="C51" s="62" t="s">
        <v>401</v>
      </c>
      <c r="D51" s="62" t="s">
        <v>325</v>
      </c>
      <c r="E51" s="62" t="s">
        <v>328</v>
      </c>
      <c r="F51" s="62" t="s">
        <v>21</v>
      </c>
      <c r="G51" s="48" t="s">
        <v>100</v>
      </c>
      <c r="H51" s="7"/>
      <c r="I51" s="33"/>
      <c r="J51" s="33"/>
      <c r="K51" s="33"/>
      <c r="L51" s="33"/>
      <c r="M51" s="33" t="s">
        <v>222</v>
      </c>
      <c r="N51" s="33" t="s">
        <v>95</v>
      </c>
      <c r="O51" s="33" t="s">
        <v>95</v>
      </c>
      <c r="P51" s="32" t="s">
        <v>145</v>
      </c>
      <c r="Q51" s="64">
        <v>45626</v>
      </c>
      <c r="R51" s="1"/>
      <c r="S51" s="65">
        <v>45688</v>
      </c>
      <c r="T51" s="36"/>
      <c r="U51" s="36"/>
      <c r="V51" s="1"/>
      <c r="W51" s="1"/>
    </row>
    <row r="52" spans="1:23" ht="123" customHeight="1" x14ac:dyDescent="0.25">
      <c r="A52" s="10" t="s">
        <v>275</v>
      </c>
      <c r="B52" s="62" t="s">
        <v>330</v>
      </c>
      <c r="C52" s="62" t="s">
        <v>401</v>
      </c>
      <c r="D52" s="62" t="s">
        <v>332</v>
      </c>
      <c r="E52" s="62" t="s">
        <v>333</v>
      </c>
      <c r="F52" s="62" t="s">
        <v>21</v>
      </c>
      <c r="G52" s="48" t="s">
        <v>100</v>
      </c>
      <c r="H52" s="7"/>
      <c r="I52" s="33"/>
      <c r="J52" s="33"/>
      <c r="K52" s="33"/>
      <c r="L52" s="33"/>
      <c r="M52" s="33" t="s">
        <v>222</v>
      </c>
      <c r="N52" s="33" t="s">
        <v>95</v>
      </c>
      <c r="O52" s="33" t="s">
        <v>95</v>
      </c>
      <c r="P52" s="32" t="s">
        <v>145</v>
      </c>
      <c r="Q52" s="64">
        <v>45626</v>
      </c>
      <c r="R52" s="1"/>
      <c r="S52" s="65">
        <v>45688</v>
      </c>
      <c r="T52" s="36"/>
      <c r="U52" s="36"/>
      <c r="V52" s="1"/>
      <c r="W52" s="1"/>
    </row>
    <row r="53" spans="1:23" ht="225" x14ac:dyDescent="0.25">
      <c r="A53" s="10" t="s">
        <v>276</v>
      </c>
      <c r="B53" s="62" t="s">
        <v>330</v>
      </c>
      <c r="C53" s="62" t="s">
        <v>401</v>
      </c>
      <c r="D53" s="62" t="s">
        <v>325</v>
      </c>
      <c r="E53" s="62" t="s">
        <v>328</v>
      </c>
      <c r="F53" s="62" t="s">
        <v>21</v>
      </c>
      <c r="G53" s="48" t="s">
        <v>100</v>
      </c>
      <c r="H53" s="7"/>
      <c r="I53" s="33"/>
      <c r="J53" s="33"/>
      <c r="K53" s="33"/>
      <c r="L53" s="33"/>
      <c r="M53" s="33" t="s">
        <v>222</v>
      </c>
      <c r="N53" s="33" t="s">
        <v>95</v>
      </c>
      <c r="O53" s="33" t="s">
        <v>95</v>
      </c>
      <c r="P53" s="32" t="s">
        <v>145</v>
      </c>
      <c r="Q53" s="64">
        <v>45626</v>
      </c>
      <c r="R53" s="1"/>
      <c r="S53" s="65">
        <v>45688</v>
      </c>
      <c r="T53" s="36"/>
      <c r="U53" s="36"/>
      <c r="V53" s="1"/>
      <c r="W53" s="1"/>
    </row>
    <row r="54" spans="1:23" ht="225" x14ac:dyDescent="0.25">
      <c r="A54" s="10" t="s">
        <v>277</v>
      </c>
      <c r="B54" s="62" t="s">
        <v>330</v>
      </c>
      <c r="C54" s="62" t="s">
        <v>401</v>
      </c>
      <c r="D54" s="62" t="s">
        <v>327</v>
      </c>
      <c r="E54" s="62" t="s">
        <v>329</v>
      </c>
      <c r="F54" s="62" t="s">
        <v>21</v>
      </c>
      <c r="G54" s="48" t="s">
        <v>100</v>
      </c>
      <c r="H54" s="7"/>
      <c r="I54" s="33"/>
      <c r="J54" s="33"/>
      <c r="K54" s="33"/>
      <c r="L54" s="33"/>
      <c r="M54" s="33" t="s">
        <v>222</v>
      </c>
      <c r="N54" s="33" t="s">
        <v>95</v>
      </c>
      <c r="O54" s="33" t="s">
        <v>95</v>
      </c>
      <c r="P54" s="32" t="s">
        <v>145</v>
      </c>
      <c r="Q54" s="64">
        <v>45626</v>
      </c>
      <c r="R54" s="1"/>
      <c r="S54" s="65">
        <v>45688</v>
      </c>
      <c r="T54" s="36"/>
      <c r="U54" s="36"/>
      <c r="V54" s="1"/>
      <c r="W54" s="1"/>
    </row>
    <row r="55" spans="1:23" ht="225" x14ac:dyDescent="0.25">
      <c r="A55" s="10" t="s">
        <v>278</v>
      </c>
      <c r="B55" s="62" t="s">
        <v>330</v>
      </c>
      <c r="C55" s="62" t="s">
        <v>401</v>
      </c>
      <c r="D55" s="62" t="s">
        <v>325</v>
      </c>
      <c r="E55" s="62" t="s">
        <v>328</v>
      </c>
      <c r="F55" s="62" t="s">
        <v>21</v>
      </c>
      <c r="G55" s="48" t="s">
        <v>100</v>
      </c>
      <c r="H55" s="7"/>
      <c r="I55" s="33"/>
      <c r="J55" s="33"/>
      <c r="K55" s="33"/>
      <c r="L55" s="33"/>
      <c r="M55" s="33" t="s">
        <v>222</v>
      </c>
      <c r="N55" s="33" t="s">
        <v>95</v>
      </c>
      <c r="O55" s="33" t="s">
        <v>95</v>
      </c>
      <c r="P55" s="32" t="s">
        <v>145</v>
      </c>
      <c r="Q55" s="64">
        <v>45626</v>
      </c>
      <c r="R55" s="1"/>
      <c r="S55" s="65">
        <v>45688</v>
      </c>
      <c r="T55" s="36"/>
      <c r="U55" s="36"/>
      <c r="V55" s="1"/>
      <c r="W55" s="1"/>
    </row>
    <row r="56" spans="1:23" ht="225" x14ac:dyDescent="0.25">
      <c r="A56" s="10" t="s">
        <v>279</v>
      </c>
      <c r="B56" s="62" t="s">
        <v>330</v>
      </c>
      <c r="C56" s="62" t="s">
        <v>401</v>
      </c>
      <c r="D56" s="62" t="s">
        <v>332</v>
      </c>
      <c r="E56" s="62" t="s">
        <v>333</v>
      </c>
      <c r="F56" s="62" t="s">
        <v>21</v>
      </c>
      <c r="G56" s="48" t="s">
        <v>100</v>
      </c>
      <c r="H56" s="7"/>
      <c r="I56" s="33"/>
      <c r="J56" s="33"/>
      <c r="K56" s="33"/>
      <c r="L56" s="33"/>
      <c r="M56" s="33" t="s">
        <v>222</v>
      </c>
      <c r="N56" s="33" t="s">
        <v>95</v>
      </c>
      <c r="O56" s="33" t="s">
        <v>95</v>
      </c>
      <c r="P56" s="32" t="s">
        <v>145</v>
      </c>
      <c r="Q56" s="64">
        <v>45626</v>
      </c>
      <c r="R56" s="1"/>
      <c r="S56" s="65">
        <v>45688</v>
      </c>
      <c r="T56" s="36"/>
      <c r="U56" s="36"/>
      <c r="V56" s="1"/>
      <c r="W56" s="1"/>
    </row>
    <row r="57" spans="1:23" ht="225" x14ac:dyDescent="0.25">
      <c r="A57" s="10" t="s">
        <v>280</v>
      </c>
      <c r="B57" s="62" t="s">
        <v>330</v>
      </c>
      <c r="C57" s="62" t="s">
        <v>401</v>
      </c>
      <c r="D57" s="62" t="s">
        <v>332</v>
      </c>
      <c r="E57" s="62" t="s">
        <v>333</v>
      </c>
      <c r="F57" s="62" t="s">
        <v>21</v>
      </c>
      <c r="G57" s="48" t="s">
        <v>100</v>
      </c>
      <c r="H57" s="7"/>
      <c r="I57" s="33"/>
      <c r="J57" s="33"/>
      <c r="K57" s="33"/>
      <c r="L57" s="33"/>
      <c r="M57" s="33" t="s">
        <v>222</v>
      </c>
      <c r="N57" s="33" t="s">
        <v>95</v>
      </c>
      <c r="O57" s="33" t="s">
        <v>95</v>
      </c>
      <c r="P57" s="32" t="s">
        <v>145</v>
      </c>
      <c r="Q57" s="64">
        <v>45626</v>
      </c>
      <c r="R57" s="1"/>
      <c r="S57" s="65">
        <v>45688</v>
      </c>
      <c r="T57" s="36"/>
      <c r="U57" s="36"/>
      <c r="V57" s="1"/>
      <c r="W57" s="1"/>
    </row>
    <row r="58" spans="1:23" ht="75" x14ac:dyDescent="0.25">
      <c r="A58" s="10" t="s">
        <v>281</v>
      </c>
      <c r="B58" s="7"/>
      <c r="C58" s="7"/>
      <c r="D58" s="7"/>
      <c r="E58" s="7"/>
      <c r="F58" s="62"/>
      <c r="G58" s="48" t="s">
        <v>348</v>
      </c>
      <c r="H58" s="7"/>
      <c r="I58" s="33"/>
      <c r="J58" s="33"/>
      <c r="K58" s="33"/>
      <c r="L58" s="33"/>
      <c r="M58" s="33" t="s">
        <v>352</v>
      </c>
      <c r="N58" s="33" t="s">
        <v>82</v>
      </c>
      <c r="O58" s="33" t="s">
        <v>82</v>
      </c>
      <c r="P58" s="32" t="s">
        <v>145</v>
      </c>
      <c r="Q58" s="64">
        <v>45626</v>
      </c>
      <c r="R58" s="1"/>
      <c r="S58" s="65">
        <v>45688</v>
      </c>
      <c r="T58" s="36"/>
      <c r="U58" s="36"/>
      <c r="V58" s="1"/>
      <c r="W58" s="1"/>
    </row>
    <row r="59" spans="1:23" ht="114.75" customHeight="1" x14ac:dyDescent="0.25">
      <c r="A59" s="10" t="s">
        <v>353</v>
      </c>
      <c r="B59" s="62" t="s">
        <v>386</v>
      </c>
      <c r="C59" s="62" t="s">
        <v>387</v>
      </c>
      <c r="D59" s="62" t="s">
        <v>323</v>
      </c>
      <c r="E59" s="62" t="s">
        <v>385</v>
      </c>
      <c r="F59" s="62" t="s">
        <v>21</v>
      </c>
      <c r="G59" s="48" t="s">
        <v>100</v>
      </c>
      <c r="H59" s="7"/>
      <c r="I59" s="33"/>
      <c r="J59" s="33"/>
      <c r="K59" s="33"/>
      <c r="L59" s="33"/>
      <c r="M59" s="33"/>
      <c r="N59" s="33"/>
      <c r="O59" s="33"/>
      <c r="P59" s="1"/>
      <c r="Q59" s="69"/>
      <c r="R59" s="1"/>
      <c r="S59" s="70"/>
      <c r="T59" s="36"/>
      <c r="U59" s="36"/>
      <c r="V59" s="1"/>
      <c r="W59" s="1"/>
    </row>
    <row r="60" spans="1:23" ht="109.5" customHeight="1" x14ac:dyDescent="0.25">
      <c r="A60" s="10" t="s">
        <v>354</v>
      </c>
      <c r="B60" s="62" t="s">
        <v>330</v>
      </c>
      <c r="C60" s="62" t="s">
        <v>401</v>
      </c>
      <c r="D60" s="62" t="s">
        <v>337</v>
      </c>
      <c r="E60" s="62" t="s">
        <v>338</v>
      </c>
      <c r="F60" s="62" t="s">
        <v>21</v>
      </c>
      <c r="G60" s="48" t="s">
        <v>100</v>
      </c>
      <c r="H60" s="1"/>
      <c r="I60" s="33"/>
      <c r="J60" s="33"/>
      <c r="K60" s="33"/>
      <c r="L60" s="33"/>
      <c r="M60" s="33"/>
      <c r="N60" s="33"/>
      <c r="O60" s="33"/>
      <c r="P60" s="1"/>
      <c r="Q60" s="69"/>
      <c r="R60" s="1"/>
      <c r="S60" s="70"/>
      <c r="T60" s="36"/>
      <c r="U60" s="36"/>
      <c r="V60" s="1"/>
      <c r="W60" s="1"/>
    </row>
    <row r="61" spans="1:23" ht="90" x14ac:dyDescent="0.25">
      <c r="A61" s="10" t="s">
        <v>355</v>
      </c>
      <c r="B61" s="62" t="s">
        <v>330</v>
      </c>
      <c r="C61" s="62" t="s">
        <v>347</v>
      </c>
      <c r="D61" s="62" t="s">
        <v>325</v>
      </c>
      <c r="E61" s="62" t="s">
        <v>328</v>
      </c>
      <c r="F61" s="62" t="s">
        <v>21</v>
      </c>
      <c r="G61" s="48" t="s">
        <v>100</v>
      </c>
      <c r="H61" s="1"/>
      <c r="I61" s="33"/>
      <c r="J61" s="33"/>
      <c r="K61" s="33"/>
      <c r="L61" s="33"/>
      <c r="M61" s="33"/>
      <c r="N61" s="33"/>
      <c r="O61" s="33"/>
      <c r="P61" s="1"/>
      <c r="Q61" s="69"/>
      <c r="R61" s="1"/>
      <c r="S61" s="70"/>
      <c r="T61" s="36"/>
      <c r="U61" s="36"/>
      <c r="V61" s="1"/>
      <c r="W61" s="1"/>
    </row>
    <row r="62" spans="1:23" ht="120" x14ac:dyDescent="0.25">
      <c r="A62" s="10" t="s">
        <v>356</v>
      </c>
      <c r="B62" s="62" t="s">
        <v>388</v>
      </c>
      <c r="C62" s="62" t="s">
        <v>393</v>
      </c>
      <c r="D62" s="62" t="s">
        <v>389</v>
      </c>
      <c r="E62" s="62" t="s">
        <v>390</v>
      </c>
      <c r="F62" s="62" t="s">
        <v>21</v>
      </c>
      <c r="G62" s="48" t="s">
        <v>405</v>
      </c>
      <c r="H62" s="1"/>
      <c r="I62" s="33"/>
      <c r="J62" s="33"/>
      <c r="K62" s="33"/>
      <c r="L62" s="33"/>
      <c r="M62" s="33"/>
      <c r="N62" s="33"/>
      <c r="O62" s="33"/>
      <c r="P62" s="1"/>
      <c r="Q62" s="69"/>
      <c r="R62" s="1"/>
      <c r="S62" s="70"/>
      <c r="T62" s="36"/>
      <c r="U62" s="36"/>
      <c r="V62" s="1"/>
      <c r="W62" s="1"/>
    </row>
    <row r="63" spans="1:23" ht="30" x14ac:dyDescent="0.25">
      <c r="A63" s="10" t="s">
        <v>357</v>
      </c>
      <c r="B63" s="62" t="s">
        <v>395</v>
      </c>
      <c r="C63" s="62" t="s">
        <v>394</v>
      </c>
      <c r="D63" s="62" t="s">
        <v>391</v>
      </c>
      <c r="E63" s="62" t="s">
        <v>392</v>
      </c>
      <c r="F63" s="62" t="s">
        <v>21</v>
      </c>
      <c r="G63" s="48" t="s">
        <v>100</v>
      </c>
      <c r="H63" s="1"/>
      <c r="I63" s="33"/>
      <c r="J63" s="33"/>
      <c r="K63" s="33"/>
      <c r="L63" s="33"/>
      <c r="M63" s="33"/>
      <c r="N63" s="33"/>
      <c r="O63" s="33"/>
      <c r="P63" s="1"/>
      <c r="Q63" s="69"/>
      <c r="R63" s="1"/>
      <c r="S63" s="70"/>
      <c r="T63" s="36"/>
      <c r="U63" s="36"/>
      <c r="V63" s="1"/>
      <c r="W63" s="1"/>
    </row>
    <row r="64" spans="1:23" ht="120" x14ac:dyDescent="0.25">
      <c r="A64" s="10" t="s">
        <v>363</v>
      </c>
      <c r="B64" s="62" t="s">
        <v>211</v>
      </c>
      <c r="C64" s="62" t="s">
        <v>397</v>
      </c>
      <c r="D64" s="62" t="s">
        <v>396</v>
      </c>
      <c r="E64" s="62" t="s">
        <v>398</v>
      </c>
      <c r="F64" s="62" t="s">
        <v>21</v>
      </c>
      <c r="G64" s="48" t="s">
        <v>405</v>
      </c>
      <c r="H64" s="1"/>
      <c r="I64" s="33"/>
      <c r="J64" s="33"/>
      <c r="K64" s="33"/>
      <c r="L64" s="33"/>
      <c r="M64" s="33" t="s">
        <v>364</v>
      </c>
      <c r="N64" s="33"/>
      <c r="O64" s="33"/>
      <c r="P64" s="1"/>
      <c r="Q64" s="69"/>
      <c r="R64" s="1"/>
      <c r="S64" s="70"/>
      <c r="T64" s="36"/>
      <c r="U64" s="36"/>
      <c r="V64" s="1"/>
      <c r="W64" s="1"/>
    </row>
    <row r="65" spans="1:23" ht="225" x14ac:dyDescent="0.25">
      <c r="A65" s="10" t="s">
        <v>367</v>
      </c>
      <c r="B65" s="62" t="s">
        <v>330</v>
      </c>
      <c r="C65" s="62" t="s">
        <v>401</v>
      </c>
      <c r="D65" s="62" t="s">
        <v>399</v>
      </c>
      <c r="E65" s="62" t="s">
        <v>400</v>
      </c>
      <c r="F65" s="62" t="s">
        <v>21</v>
      </c>
      <c r="G65" s="48" t="s">
        <v>404</v>
      </c>
      <c r="H65" s="1"/>
      <c r="I65" s="33"/>
      <c r="J65" s="33"/>
      <c r="K65" s="33"/>
      <c r="L65" s="33"/>
      <c r="M65" s="33" t="s">
        <v>365</v>
      </c>
      <c r="N65" s="33"/>
      <c r="O65" s="33"/>
      <c r="P65" s="1"/>
      <c r="Q65" s="69"/>
      <c r="R65" s="1"/>
      <c r="S65" s="70"/>
      <c r="T65" s="36"/>
      <c r="U65" s="36"/>
      <c r="V65" s="1"/>
      <c r="W65" s="1"/>
    </row>
    <row r="66" spans="1:23" ht="225" x14ac:dyDescent="0.25">
      <c r="A66" s="10" t="s">
        <v>372</v>
      </c>
      <c r="B66" s="62" t="s">
        <v>330</v>
      </c>
      <c r="C66" s="62" t="s">
        <v>401</v>
      </c>
      <c r="D66" s="62" t="s">
        <v>403</v>
      </c>
      <c r="E66" s="62" t="s">
        <v>402</v>
      </c>
      <c r="F66" s="62" t="s">
        <v>21</v>
      </c>
      <c r="G66" s="48" t="s">
        <v>404</v>
      </c>
      <c r="H66" s="1"/>
      <c r="I66" s="33"/>
      <c r="J66" s="33"/>
      <c r="K66" s="33"/>
      <c r="L66" s="33"/>
      <c r="M66" s="33" t="s">
        <v>366</v>
      </c>
      <c r="N66" s="33"/>
      <c r="O66" s="33"/>
      <c r="P66" s="1"/>
      <c r="Q66" s="69"/>
      <c r="R66" s="1"/>
      <c r="S66" s="70"/>
      <c r="T66" s="36"/>
      <c r="U66" s="36"/>
      <c r="V66" s="1"/>
      <c r="W66" s="1"/>
    </row>
    <row r="67" spans="1:23" ht="225" x14ac:dyDescent="0.25">
      <c r="A67" s="10" t="s">
        <v>368</v>
      </c>
      <c r="B67" s="62" t="s">
        <v>330</v>
      </c>
      <c r="C67" s="62" t="s">
        <v>401</v>
      </c>
      <c r="D67" s="62" t="s">
        <v>403</v>
      </c>
      <c r="E67" s="62" t="s">
        <v>402</v>
      </c>
      <c r="F67" s="62" t="s">
        <v>21</v>
      </c>
      <c r="G67" s="48" t="s">
        <v>404</v>
      </c>
      <c r="H67" s="1"/>
      <c r="I67" s="33"/>
      <c r="J67" s="33"/>
      <c r="K67" s="33"/>
      <c r="L67" s="33"/>
      <c r="M67" s="33" t="s">
        <v>366</v>
      </c>
      <c r="N67" s="33"/>
      <c r="O67" s="33"/>
      <c r="P67" s="1"/>
      <c r="Q67" s="69"/>
      <c r="R67" s="1"/>
      <c r="S67" s="70"/>
      <c r="T67" s="36"/>
      <c r="U67" s="36"/>
      <c r="V67" s="1"/>
      <c r="W67" s="1"/>
    </row>
    <row r="68" spans="1:23" ht="225" x14ac:dyDescent="0.25">
      <c r="A68" s="10" t="s">
        <v>369</v>
      </c>
      <c r="B68" s="62" t="s">
        <v>330</v>
      </c>
      <c r="C68" s="62" t="s">
        <v>401</v>
      </c>
      <c r="D68" s="62" t="s">
        <v>403</v>
      </c>
      <c r="E68" s="62" t="s">
        <v>402</v>
      </c>
      <c r="F68" s="62" t="s">
        <v>21</v>
      </c>
      <c r="G68" s="48" t="s">
        <v>404</v>
      </c>
      <c r="H68" s="1"/>
      <c r="I68" s="33"/>
      <c r="J68" s="33"/>
      <c r="K68" s="33"/>
      <c r="L68" s="33"/>
      <c r="M68" s="33" t="s">
        <v>366</v>
      </c>
      <c r="N68" s="33"/>
      <c r="O68" s="33"/>
      <c r="P68" s="1"/>
      <c r="Q68" s="69"/>
      <c r="R68" s="1"/>
      <c r="S68" s="70"/>
      <c r="T68" s="36"/>
      <c r="U68" s="36"/>
      <c r="V68" s="1"/>
      <c r="W68" s="1"/>
    </row>
    <row r="69" spans="1:23" ht="225.75" thickBot="1" x14ac:dyDescent="0.3">
      <c r="A69" s="75" t="s">
        <v>371</v>
      </c>
      <c r="B69" s="62" t="s">
        <v>330</v>
      </c>
      <c r="C69" s="62" t="s">
        <v>401</v>
      </c>
      <c r="D69" s="62" t="s">
        <v>403</v>
      </c>
      <c r="E69" s="62" t="s">
        <v>402</v>
      </c>
      <c r="F69" s="62" t="s">
        <v>21</v>
      </c>
      <c r="G69" s="48" t="s">
        <v>406</v>
      </c>
      <c r="H69" s="1"/>
      <c r="I69" s="33"/>
      <c r="J69" s="33"/>
      <c r="K69" s="33"/>
      <c r="L69" s="33"/>
      <c r="M69" s="33" t="s">
        <v>370</v>
      </c>
      <c r="N69" s="33"/>
      <c r="O69" s="33"/>
      <c r="P69" s="1"/>
      <c r="Q69" s="69"/>
      <c r="R69" s="1"/>
      <c r="S69" s="70"/>
      <c r="T69" s="36"/>
      <c r="U69" s="36"/>
      <c r="V69" s="1"/>
      <c r="W69" s="1"/>
    </row>
    <row r="70" spans="1:23" x14ac:dyDescent="0.25">
      <c r="A70" s="1"/>
      <c r="B70" s="1"/>
      <c r="C70" s="1"/>
      <c r="D70" s="1"/>
      <c r="E70" s="1"/>
      <c r="F70" s="1"/>
      <c r="G70" s="1"/>
      <c r="H70" s="1"/>
      <c r="I70" s="33"/>
      <c r="J70" s="33"/>
      <c r="K70" s="33"/>
      <c r="L70" s="33"/>
      <c r="M70" s="33"/>
      <c r="N70" s="33"/>
      <c r="O70" s="33"/>
      <c r="P70" s="1"/>
      <c r="Q70" s="69"/>
      <c r="R70" s="1"/>
      <c r="S70" s="70"/>
      <c r="T70" s="36"/>
      <c r="U70" s="36"/>
      <c r="V70" s="1"/>
      <c r="W70" s="1"/>
    </row>
    <row r="71" spans="1:23" x14ac:dyDescent="0.25">
      <c r="A71" s="1"/>
      <c r="B71" s="1"/>
      <c r="C71" s="1"/>
      <c r="D71" s="1"/>
      <c r="E71" s="1"/>
      <c r="F71" s="1"/>
      <c r="G71" s="1"/>
      <c r="H71" s="1"/>
      <c r="I71" s="33"/>
      <c r="J71" s="33"/>
      <c r="K71" s="33"/>
      <c r="L71" s="33"/>
      <c r="M71" s="33"/>
      <c r="N71" s="33"/>
      <c r="O71" s="33"/>
      <c r="P71" s="1"/>
      <c r="Q71" s="69"/>
      <c r="R71" s="1"/>
      <c r="S71" s="70"/>
      <c r="T71" s="36"/>
      <c r="U71" s="36"/>
      <c r="V71" s="1"/>
      <c r="W71" s="1"/>
    </row>
    <row r="72" spans="1:23" x14ac:dyDescent="0.25">
      <c r="A72" s="1"/>
      <c r="B72" s="1"/>
      <c r="C72" s="1"/>
      <c r="D72" s="1"/>
      <c r="E72" s="1"/>
      <c r="F72" s="1"/>
      <c r="G72" s="1"/>
      <c r="H72" s="1"/>
      <c r="I72" s="33"/>
      <c r="J72" s="33"/>
      <c r="K72" s="33"/>
      <c r="L72" s="33"/>
      <c r="M72" s="33"/>
      <c r="N72" s="33"/>
      <c r="O72" s="33"/>
      <c r="P72" s="1"/>
      <c r="Q72" s="69"/>
      <c r="R72" s="1"/>
      <c r="S72" s="70"/>
      <c r="T72" s="36"/>
      <c r="U72" s="36"/>
      <c r="V72" s="1"/>
      <c r="W72" s="1"/>
    </row>
    <row r="73" spans="1:23" x14ac:dyDescent="0.25">
      <c r="A73" s="1"/>
      <c r="B73" s="1"/>
      <c r="C73" s="1"/>
      <c r="D73" s="1"/>
      <c r="E73" s="1"/>
      <c r="F73" s="1"/>
      <c r="G73" s="1"/>
      <c r="H73" s="1"/>
      <c r="I73" s="33"/>
      <c r="J73" s="33"/>
      <c r="K73" s="33"/>
      <c r="L73" s="33"/>
      <c r="M73" s="33"/>
      <c r="N73" s="33"/>
      <c r="O73" s="33"/>
      <c r="P73" s="1"/>
      <c r="Q73" s="69"/>
      <c r="R73" s="1"/>
      <c r="S73" s="70"/>
      <c r="T73" s="36"/>
      <c r="U73" s="36"/>
      <c r="V73" s="1"/>
      <c r="W73" s="1"/>
    </row>
    <row r="74" spans="1:23" x14ac:dyDescent="0.25">
      <c r="A74" s="1"/>
      <c r="B74" s="1"/>
      <c r="C74" s="1"/>
      <c r="D74" s="1"/>
      <c r="E74" s="1"/>
      <c r="F74" s="1"/>
      <c r="G74" s="1"/>
      <c r="H74" s="1"/>
      <c r="I74" s="33"/>
      <c r="J74" s="33"/>
      <c r="K74" s="33"/>
      <c r="L74" s="33"/>
      <c r="M74" s="33"/>
      <c r="N74" s="33"/>
      <c r="O74" s="33"/>
      <c r="P74" s="1"/>
      <c r="Q74" s="69"/>
      <c r="R74" s="1"/>
      <c r="S74" s="70"/>
      <c r="T74" s="36"/>
      <c r="U74" s="36"/>
      <c r="V74" s="1"/>
      <c r="W74" s="1"/>
    </row>
    <row r="75" spans="1:23" x14ac:dyDescent="0.25">
      <c r="A75" s="1"/>
      <c r="B75" s="1"/>
      <c r="C75" s="1"/>
      <c r="D75" s="1"/>
      <c r="E75" s="1"/>
      <c r="F75" s="1"/>
      <c r="G75" s="1"/>
      <c r="H75" s="1"/>
      <c r="I75" s="33"/>
      <c r="J75" s="33"/>
      <c r="K75" s="33"/>
      <c r="L75" s="33"/>
      <c r="M75" s="33"/>
      <c r="N75" s="33"/>
      <c r="O75" s="33"/>
      <c r="P75" s="1"/>
      <c r="Q75" s="69"/>
      <c r="R75" s="1"/>
      <c r="S75" s="70"/>
      <c r="T75" s="36"/>
      <c r="U75" s="36"/>
      <c r="V75" s="1"/>
      <c r="W75" s="1"/>
    </row>
    <row r="76" spans="1:23" x14ac:dyDescent="0.25">
      <c r="A76" s="68"/>
      <c r="B76" s="68"/>
      <c r="C76" s="68"/>
      <c r="D76" s="68"/>
      <c r="E76" s="68"/>
      <c r="F76" s="68"/>
      <c r="G76" s="31"/>
      <c r="H76" s="31"/>
    </row>
    <row r="77" spans="1:23" x14ac:dyDescent="0.25">
      <c r="A77" s="1"/>
      <c r="B77" s="1"/>
      <c r="C77" s="1"/>
      <c r="D77" s="1"/>
      <c r="E77" s="1"/>
      <c r="F77" s="1"/>
      <c r="G77" s="31"/>
      <c r="H77" s="31"/>
    </row>
    <row r="78" spans="1:23" x14ac:dyDescent="0.25">
      <c r="A78" s="1"/>
      <c r="B78" s="1"/>
      <c r="C78" s="1"/>
      <c r="D78" s="1"/>
      <c r="E78" s="1"/>
      <c r="F78" s="1"/>
      <c r="G78" s="31"/>
      <c r="H78" s="31"/>
    </row>
    <row r="79" spans="1:23" x14ac:dyDescent="0.25">
      <c r="A79" s="1"/>
      <c r="B79" s="1"/>
      <c r="C79" s="1"/>
      <c r="D79" s="1"/>
      <c r="E79" s="1"/>
      <c r="F79" s="1"/>
      <c r="G79" s="31"/>
      <c r="H79" s="31"/>
    </row>
    <row r="80" spans="1:23" x14ac:dyDescent="0.25">
      <c r="A80" s="1"/>
      <c r="B80" s="1"/>
      <c r="C80" s="1"/>
      <c r="D80" s="1"/>
      <c r="E80" s="1"/>
      <c r="F80" s="1"/>
      <c r="G80" s="31"/>
      <c r="H80" s="31"/>
    </row>
    <row r="81" spans="1:8" x14ac:dyDescent="0.25">
      <c r="A81" s="1"/>
      <c r="B81" s="1"/>
      <c r="C81" s="1"/>
      <c r="D81" s="1"/>
      <c r="E81" s="1"/>
      <c r="F81" s="1"/>
      <c r="G81" s="31"/>
      <c r="H81" s="31"/>
    </row>
    <row r="82" spans="1:8" x14ac:dyDescent="0.25">
      <c r="A82" s="1"/>
      <c r="B82" s="1"/>
      <c r="C82" s="1"/>
      <c r="D82" s="1"/>
      <c r="E82" s="1"/>
      <c r="F82" s="1"/>
      <c r="G82" s="31"/>
      <c r="H82" s="31"/>
    </row>
    <row r="83" spans="1:8" x14ac:dyDescent="0.25">
      <c r="A83" s="1"/>
      <c r="B83" s="1"/>
      <c r="C83" s="1"/>
      <c r="D83" s="1"/>
      <c r="E83" s="1"/>
      <c r="F83" s="1"/>
      <c r="G83" s="31"/>
      <c r="H83" s="31"/>
    </row>
    <row r="84" spans="1:8" x14ac:dyDescent="0.25">
      <c r="A84" s="1"/>
      <c r="B84" s="1"/>
      <c r="C84" s="1"/>
      <c r="D84" s="1"/>
      <c r="E84" s="1"/>
      <c r="F84" s="1"/>
      <c r="G84" s="31"/>
      <c r="H84" s="31"/>
    </row>
    <row r="85" spans="1:8" x14ac:dyDescent="0.25">
      <c r="A85" s="1"/>
      <c r="B85" s="1"/>
      <c r="C85" s="1"/>
      <c r="D85" s="1"/>
      <c r="E85" s="1"/>
      <c r="F85" s="1"/>
      <c r="G85" s="31"/>
      <c r="H85" s="31"/>
    </row>
    <row r="86" spans="1:8" x14ac:dyDescent="0.25">
      <c r="A86" s="1"/>
      <c r="B86" s="1"/>
      <c r="C86" s="1"/>
      <c r="D86" s="1"/>
      <c r="E86" s="1"/>
      <c r="F86" s="1"/>
      <c r="G86" s="31"/>
      <c r="H86" s="31"/>
    </row>
    <row r="87" spans="1:8" x14ac:dyDescent="0.25">
      <c r="A87" s="1"/>
      <c r="B87" s="1"/>
      <c r="C87" s="1"/>
      <c r="D87" s="1"/>
      <c r="E87" s="1"/>
      <c r="F87" s="1"/>
      <c r="G87" s="31"/>
      <c r="H87" s="31"/>
    </row>
    <row r="88" spans="1:8" x14ac:dyDescent="0.25">
      <c r="A88" s="1"/>
      <c r="B88" s="1"/>
      <c r="C88" s="1"/>
      <c r="D88" s="1"/>
      <c r="E88" s="1"/>
      <c r="F88" s="1"/>
      <c r="G88" s="31"/>
      <c r="H88" s="31"/>
    </row>
    <row r="89" spans="1:8" x14ac:dyDescent="0.25">
      <c r="A89" s="1"/>
      <c r="B89" s="1"/>
      <c r="C89" s="1"/>
      <c r="D89" s="1"/>
      <c r="E89" s="1"/>
      <c r="F89" s="1"/>
      <c r="G89" s="31"/>
      <c r="H89" s="31"/>
    </row>
    <row r="90" spans="1:8" x14ac:dyDescent="0.25">
      <c r="A90" s="1"/>
      <c r="B90" s="1"/>
      <c r="C90" s="1"/>
      <c r="D90" s="1"/>
      <c r="E90" s="1"/>
      <c r="F90" s="1"/>
      <c r="G90" s="31"/>
      <c r="H90" s="31"/>
    </row>
    <row r="91" spans="1:8" x14ac:dyDescent="0.25">
      <c r="A91" s="1"/>
      <c r="B91" s="1"/>
      <c r="C91" s="1"/>
      <c r="D91" s="1"/>
      <c r="E91" s="1"/>
      <c r="F91" s="1"/>
      <c r="G91" s="31"/>
      <c r="H91" s="31"/>
    </row>
    <row r="92" spans="1:8" x14ac:dyDescent="0.25">
      <c r="A92" s="1"/>
      <c r="B92" s="1"/>
      <c r="C92" s="1"/>
      <c r="D92" s="1"/>
      <c r="E92" s="1"/>
      <c r="F92" s="1"/>
      <c r="G92" s="31"/>
      <c r="H92" s="31"/>
    </row>
    <row r="93" spans="1:8" x14ac:dyDescent="0.25">
      <c r="A93" s="1"/>
      <c r="B93" s="1"/>
      <c r="C93" s="1"/>
      <c r="D93" s="1"/>
      <c r="E93" s="1"/>
      <c r="F93" s="1"/>
      <c r="G93" s="31"/>
      <c r="H93" s="31"/>
    </row>
    <row r="94" spans="1:8" x14ac:dyDescent="0.25">
      <c r="A94" s="1"/>
      <c r="B94" s="1"/>
      <c r="C94" s="1"/>
      <c r="D94" s="1"/>
      <c r="E94" s="1"/>
      <c r="F94" s="1"/>
      <c r="G94" s="31"/>
      <c r="H94" s="31"/>
    </row>
    <row r="95" spans="1:8" x14ac:dyDescent="0.25">
      <c r="A95" s="1"/>
      <c r="B95" s="1"/>
      <c r="C95" s="1"/>
      <c r="D95" s="1"/>
      <c r="E95" s="1"/>
      <c r="F95" s="1"/>
      <c r="G95" s="31"/>
      <c r="H95" s="31"/>
    </row>
    <row r="96" spans="1:8" x14ac:dyDescent="0.25">
      <c r="A96" s="1"/>
      <c r="B96" s="1"/>
      <c r="C96" s="1"/>
      <c r="D96" s="1"/>
      <c r="E96" s="1"/>
      <c r="F96" s="1"/>
      <c r="G96" s="31"/>
      <c r="H96" s="31"/>
    </row>
  </sheetData>
  <autoFilter ref="A1:V63"/>
  <sortState ref="A2:R96">
    <sortCondition ref="A13"/>
  </sortState>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U118"/>
  <sheetViews>
    <sheetView topLeftCell="A28" zoomScale="80" zoomScaleNormal="80" workbookViewId="0">
      <pane xSplit="1" topLeftCell="B1" activePane="topRight" state="frozen"/>
      <selection activeCell="A2" sqref="A2"/>
      <selection pane="topRight" activeCell="A40" sqref="A30:A40"/>
    </sheetView>
  </sheetViews>
  <sheetFormatPr defaultRowHeight="15" x14ac:dyDescent="0.25"/>
  <cols>
    <col min="1" max="1" width="53" bestFit="1" customWidth="1"/>
    <col min="2" max="2" width="22.140625" customWidth="1"/>
    <col min="3" max="3" width="26.28515625" customWidth="1"/>
    <col min="4" max="4" width="23.42578125" customWidth="1"/>
    <col min="5" max="5" width="32.42578125" customWidth="1"/>
    <col min="6" max="6" width="23.7109375" customWidth="1"/>
    <col min="7" max="7" width="20.42578125" customWidth="1"/>
    <col min="8" max="8" width="22.85546875" hidden="1" customWidth="1"/>
    <col min="9" max="9" width="28.140625" hidden="1" customWidth="1"/>
    <col min="10" max="15" width="28.140625" customWidth="1"/>
    <col min="16" max="16" width="28.140625" style="60" customWidth="1"/>
    <col min="17" max="18" width="28.7109375" style="18" customWidth="1"/>
    <col min="19" max="19" width="9.140625" customWidth="1"/>
  </cols>
  <sheetData>
    <row r="1" spans="1:19" ht="54.95" hidden="1" customHeight="1" x14ac:dyDescent="0.25">
      <c r="A1" s="76" t="s">
        <v>6</v>
      </c>
      <c r="B1" s="77"/>
      <c r="C1" s="77"/>
      <c r="D1" s="77"/>
      <c r="E1" s="77"/>
      <c r="F1" s="77"/>
      <c r="G1" s="77"/>
      <c r="H1" s="77"/>
      <c r="I1" s="77"/>
      <c r="J1" s="77"/>
      <c r="K1" s="77"/>
      <c r="L1" s="77"/>
      <c r="M1" s="77"/>
      <c r="N1" s="77"/>
      <c r="O1" s="77"/>
      <c r="P1" s="77"/>
      <c r="Q1" s="77"/>
      <c r="R1" s="19"/>
    </row>
    <row r="2" spans="1:19" ht="68.25" customHeight="1" x14ac:dyDescent="0.25">
      <c r="A2" s="2" t="s">
        <v>0</v>
      </c>
      <c r="B2" s="3" t="s">
        <v>1</v>
      </c>
      <c r="C2" s="3" t="s">
        <v>2</v>
      </c>
      <c r="D2" s="3" t="s">
        <v>3</v>
      </c>
      <c r="E2" s="3" t="s">
        <v>4</v>
      </c>
      <c r="F2" s="3" t="s">
        <v>5</v>
      </c>
      <c r="G2" s="3" t="s">
        <v>344</v>
      </c>
      <c r="H2" s="26" t="s">
        <v>53</v>
      </c>
      <c r="I2" s="26" t="s">
        <v>90</v>
      </c>
      <c r="J2" s="26" t="s">
        <v>139</v>
      </c>
      <c r="K2" s="26" t="s">
        <v>80</v>
      </c>
      <c r="L2" s="26" t="s">
        <v>81</v>
      </c>
      <c r="M2" s="21" t="s">
        <v>74</v>
      </c>
      <c r="N2" s="50" t="s">
        <v>159</v>
      </c>
      <c r="O2" s="21" t="s">
        <v>218</v>
      </c>
      <c r="P2" s="26" t="s">
        <v>158</v>
      </c>
      <c r="Q2" s="21" t="s">
        <v>219</v>
      </c>
      <c r="R2" s="21" t="s">
        <v>76</v>
      </c>
    </row>
    <row r="3" spans="1:19" ht="68.25" customHeight="1" x14ac:dyDescent="0.25">
      <c r="A3" s="8" t="s">
        <v>37</v>
      </c>
      <c r="B3" s="4" t="s">
        <v>112</v>
      </c>
      <c r="C3" s="4" t="s">
        <v>113</v>
      </c>
      <c r="D3" s="4" t="s">
        <v>110</v>
      </c>
      <c r="E3" s="4" t="s">
        <v>111</v>
      </c>
      <c r="F3" s="4" t="s">
        <v>21</v>
      </c>
      <c r="G3" s="48" t="s">
        <v>95</v>
      </c>
      <c r="H3" s="14" t="s">
        <v>52</v>
      </c>
      <c r="I3" s="27" t="s">
        <v>52</v>
      </c>
      <c r="J3" s="1" t="s">
        <v>95</v>
      </c>
      <c r="K3" s="1" t="s">
        <v>95</v>
      </c>
      <c r="L3" s="1" t="s">
        <v>95</v>
      </c>
      <c r="M3" s="14" t="s">
        <v>145</v>
      </c>
      <c r="N3" s="51">
        <v>45626</v>
      </c>
      <c r="O3" s="56">
        <f>N3-S3</f>
        <v>45446</v>
      </c>
      <c r="P3" s="58">
        <v>45688</v>
      </c>
      <c r="Q3" s="20">
        <f t="shared" ref="Q3:Q12" si="0">P3-S3</f>
        <v>45508</v>
      </c>
      <c r="R3" s="4"/>
      <c r="S3">
        <v>180</v>
      </c>
    </row>
    <row r="4" spans="1:19" ht="138" customHeight="1" x14ac:dyDescent="0.25">
      <c r="A4" s="4" t="s">
        <v>185</v>
      </c>
      <c r="B4" s="4" t="s">
        <v>20</v>
      </c>
      <c r="C4" s="4" t="s">
        <v>22</v>
      </c>
      <c r="D4" s="4" t="s">
        <v>73</v>
      </c>
      <c r="E4" s="4" t="s">
        <v>24</v>
      </c>
      <c r="F4" s="4" t="s">
        <v>21</v>
      </c>
      <c r="G4" s="48" t="s">
        <v>217</v>
      </c>
      <c r="H4" s="1"/>
      <c r="I4" s="30" t="s">
        <v>94</v>
      </c>
      <c r="J4" s="1" t="s">
        <v>95</v>
      </c>
      <c r="K4" s="1" t="s">
        <v>95</v>
      </c>
      <c r="L4" s="1" t="s">
        <v>95</v>
      </c>
      <c r="M4" s="1" t="s">
        <v>146</v>
      </c>
      <c r="N4" s="51">
        <v>45626</v>
      </c>
      <c r="O4" s="56">
        <f t="shared" ref="O4:O10" si="1">N4-S4</f>
        <v>45596</v>
      </c>
      <c r="P4" s="58">
        <v>45688</v>
      </c>
      <c r="Q4" s="20">
        <f t="shared" si="0"/>
        <v>45658</v>
      </c>
      <c r="R4" s="20"/>
      <c r="S4">
        <v>30</v>
      </c>
    </row>
    <row r="5" spans="1:19" ht="138" customHeight="1" x14ac:dyDescent="0.25">
      <c r="A5" s="4" t="s">
        <v>184</v>
      </c>
      <c r="B5" s="4" t="s">
        <v>20</v>
      </c>
      <c r="C5" s="4" t="s">
        <v>182</v>
      </c>
      <c r="D5" s="4" t="s">
        <v>183</v>
      </c>
      <c r="E5" s="4" t="s">
        <v>24</v>
      </c>
      <c r="F5" s="4" t="s">
        <v>21</v>
      </c>
      <c r="G5" s="48" t="s">
        <v>95</v>
      </c>
      <c r="H5" s="1"/>
      <c r="I5" s="30"/>
      <c r="J5" s="1" t="s">
        <v>95</v>
      </c>
      <c r="K5" s="1" t="s">
        <v>95</v>
      </c>
      <c r="L5" s="1" t="s">
        <v>95</v>
      </c>
      <c r="M5" s="29" t="s">
        <v>147</v>
      </c>
      <c r="N5" s="51">
        <v>45626</v>
      </c>
      <c r="O5" s="56">
        <f t="shared" si="1"/>
        <v>45596</v>
      </c>
      <c r="P5" s="58">
        <v>45688</v>
      </c>
      <c r="Q5" s="20">
        <f t="shared" si="0"/>
        <v>45658</v>
      </c>
      <c r="R5" s="20"/>
      <c r="S5">
        <v>30</v>
      </c>
    </row>
    <row r="6" spans="1:19" ht="90.75" customHeight="1" x14ac:dyDescent="0.25">
      <c r="A6" s="4" t="s">
        <v>9</v>
      </c>
      <c r="B6" s="4" t="s">
        <v>34</v>
      </c>
      <c r="C6" s="4" t="s">
        <v>35</v>
      </c>
      <c r="D6" s="9" t="s">
        <v>36</v>
      </c>
      <c r="E6" s="4" t="s">
        <v>71</v>
      </c>
      <c r="F6" s="4" t="s">
        <v>72</v>
      </c>
      <c r="G6" s="48" t="s">
        <v>95</v>
      </c>
      <c r="H6" s="1" t="s">
        <v>95</v>
      </c>
      <c r="I6" s="1" t="s">
        <v>95</v>
      </c>
      <c r="J6" s="1"/>
      <c r="K6" s="1" t="s">
        <v>95</v>
      </c>
      <c r="L6" s="1" t="s">
        <v>95</v>
      </c>
      <c r="M6" s="29" t="s">
        <v>147</v>
      </c>
      <c r="N6" s="51">
        <v>45626</v>
      </c>
      <c r="O6" s="56">
        <f t="shared" si="1"/>
        <v>45536</v>
      </c>
      <c r="P6" s="58">
        <v>45688</v>
      </c>
      <c r="Q6" s="20">
        <f t="shared" si="0"/>
        <v>45598</v>
      </c>
      <c r="R6" s="20" t="s">
        <v>75</v>
      </c>
      <c r="S6">
        <v>90</v>
      </c>
    </row>
    <row r="7" spans="1:19" ht="68.25" customHeight="1" x14ac:dyDescent="0.25">
      <c r="A7" s="8" t="s">
        <v>10</v>
      </c>
      <c r="B7" s="8" t="s">
        <v>42</v>
      </c>
      <c r="C7" s="8" t="s">
        <v>44</v>
      </c>
      <c r="D7" s="8" t="s">
        <v>43</v>
      </c>
      <c r="E7" s="8" t="s">
        <v>45</v>
      </c>
      <c r="F7" s="8" t="s">
        <v>21</v>
      </c>
      <c r="G7" s="48" t="s">
        <v>95</v>
      </c>
      <c r="H7" s="1" t="s">
        <v>95</v>
      </c>
      <c r="I7" s="1" t="s">
        <v>95</v>
      </c>
      <c r="J7" s="1" t="s">
        <v>95</v>
      </c>
      <c r="K7" s="1" t="s">
        <v>95</v>
      </c>
      <c r="L7" s="1" t="s">
        <v>95</v>
      </c>
      <c r="M7" s="40" t="s">
        <v>145</v>
      </c>
      <c r="N7" s="51">
        <v>45626</v>
      </c>
      <c r="O7" s="56">
        <f t="shared" si="1"/>
        <v>45596</v>
      </c>
      <c r="P7" s="58">
        <v>45688</v>
      </c>
      <c r="Q7" s="20">
        <f t="shared" si="0"/>
        <v>45658</v>
      </c>
      <c r="R7" s="4"/>
      <c r="S7">
        <v>30</v>
      </c>
    </row>
    <row r="8" spans="1:19" ht="137.25" customHeight="1" x14ac:dyDescent="0.25">
      <c r="A8" s="8" t="s">
        <v>162</v>
      </c>
      <c r="B8" s="8" t="s">
        <v>163</v>
      </c>
      <c r="C8" s="8" t="s">
        <v>21</v>
      </c>
      <c r="D8" s="13">
        <v>48075</v>
      </c>
      <c r="E8" s="8" t="s">
        <v>164</v>
      </c>
      <c r="F8" s="8" t="s">
        <v>165</v>
      </c>
      <c r="G8" s="48" t="s">
        <v>95</v>
      </c>
      <c r="H8" s="1"/>
      <c r="I8" s="31"/>
      <c r="J8" s="1" t="s">
        <v>95</v>
      </c>
      <c r="K8" s="1" t="s">
        <v>95</v>
      </c>
      <c r="L8" s="1" t="s">
        <v>95</v>
      </c>
      <c r="M8" s="40" t="s">
        <v>147</v>
      </c>
      <c r="N8" s="51">
        <v>45626</v>
      </c>
      <c r="O8" s="56">
        <f t="shared" si="1"/>
        <v>45596</v>
      </c>
      <c r="P8" s="58">
        <v>45688</v>
      </c>
      <c r="Q8" s="20">
        <f t="shared" si="0"/>
        <v>45658</v>
      </c>
      <c r="R8" s="4"/>
      <c r="S8">
        <v>30</v>
      </c>
    </row>
    <row r="9" spans="1:19" ht="68.25" customHeight="1" x14ac:dyDescent="0.25">
      <c r="A9" s="8" t="s">
        <v>166</v>
      </c>
      <c r="B9" s="8" t="s">
        <v>128</v>
      </c>
      <c r="C9" s="8" t="s">
        <v>167</v>
      </c>
      <c r="D9" s="13" t="s">
        <v>168</v>
      </c>
      <c r="E9" s="8" t="s">
        <v>169</v>
      </c>
      <c r="F9" s="8" t="s">
        <v>21</v>
      </c>
      <c r="G9" s="48" t="s">
        <v>95</v>
      </c>
      <c r="H9" s="1"/>
      <c r="I9" s="31"/>
      <c r="J9" s="1" t="s">
        <v>95</v>
      </c>
      <c r="K9" s="1" t="s">
        <v>95</v>
      </c>
      <c r="L9" s="1" t="s">
        <v>95</v>
      </c>
      <c r="M9" s="40" t="s">
        <v>147</v>
      </c>
      <c r="N9" s="51">
        <v>45626</v>
      </c>
      <c r="O9" s="56">
        <f t="shared" si="1"/>
        <v>45536</v>
      </c>
      <c r="P9" s="58">
        <v>45688</v>
      </c>
      <c r="Q9" s="20">
        <f t="shared" si="0"/>
        <v>45598</v>
      </c>
      <c r="R9" s="4"/>
      <c r="S9">
        <v>90</v>
      </c>
    </row>
    <row r="10" spans="1:19" ht="68.25" customHeight="1" x14ac:dyDescent="0.25">
      <c r="A10" s="8" t="s">
        <v>170</v>
      </c>
      <c r="B10" s="8" t="s">
        <v>171</v>
      </c>
      <c r="C10" s="8" t="s">
        <v>172</v>
      </c>
      <c r="D10" s="13" t="s">
        <v>173</v>
      </c>
      <c r="E10" s="8" t="s">
        <v>174</v>
      </c>
      <c r="F10" s="8" t="s">
        <v>21</v>
      </c>
      <c r="G10" s="48" t="s">
        <v>95</v>
      </c>
      <c r="H10" s="1"/>
      <c r="I10" s="31"/>
      <c r="J10" s="1" t="s">
        <v>95</v>
      </c>
      <c r="K10" s="1" t="s">
        <v>95</v>
      </c>
      <c r="L10" s="1" t="s">
        <v>95</v>
      </c>
      <c r="M10" s="40" t="s">
        <v>144</v>
      </c>
      <c r="N10" s="51">
        <v>45626</v>
      </c>
      <c r="O10" s="56">
        <f t="shared" si="1"/>
        <v>45536</v>
      </c>
      <c r="P10" s="58">
        <v>45688</v>
      </c>
      <c r="Q10" s="20">
        <f t="shared" si="0"/>
        <v>45598</v>
      </c>
      <c r="R10" s="4"/>
      <c r="S10">
        <v>90</v>
      </c>
    </row>
    <row r="11" spans="1:19" ht="68.25" customHeight="1" x14ac:dyDescent="0.25">
      <c r="A11" s="8" t="s">
        <v>175</v>
      </c>
      <c r="B11" s="8" t="s">
        <v>46</v>
      </c>
      <c r="C11" s="8" t="s">
        <v>48</v>
      </c>
      <c r="D11" s="13" t="s">
        <v>176</v>
      </c>
      <c r="E11" s="8" t="s">
        <v>47</v>
      </c>
      <c r="F11" s="8" t="s">
        <v>21</v>
      </c>
      <c r="G11" s="48" t="s">
        <v>95</v>
      </c>
      <c r="H11" s="1"/>
      <c r="I11" s="31"/>
      <c r="J11" s="1" t="s">
        <v>95</v>
      </c>
      <c r="K11" s="1" t="s">
        <v>95</v>
      </c>
      <c r="L11" s="1" t="s">
        <v>95</v>
      </c>
      <c r="M11" s="40" t="s">
        <v>147</v>
      </c>
      <c r="N11" s="51">
        <v>45626</v>
      </c>
      <c r="O11" s="56">
        <f>N11-S11</f>
        <v>45596</v>
      </c>
      <c r="P11" s="58">
        <v>45688</v>
      </c>
      <c r="Q11" s="20">
        <f t="shared" si="0"/>
        <v>45658</v>
      </c>
      <c r="R11" s="4"/>
      <c r="S11">
        <v>30</v>
      </c>
    </row>
    <row r="12" spans="1:19" ht="68.25" customHeight="1" x14ac:dyDescent="0.25">
      <c r="A12" s="8" t="s">
        <v>11</v>
      </c>
      <c r="B12" s="8" t="s">
        <v>46</v>
      </c>
      <c r="C12" s="8" t="s">
        <v>48</v>
      </c>
      <c r="D12" s="13">
        <v>45657</v>
      </c>
      <c r="E12" s="8" t="s">
        <v>47</v>
      </c>
      <c r="F12" s="8" t="s">
        <v>21</v>
      </c>
      <c r="G12" s="48" t="s">
        <v>95</v>
      </c>
      <c r="H12" s="14" t="s">
        <v>54</v>
      </c>
      <c r="I12" s="25" t="s">
        <v>91</v>
      </c>
      <c r="J12" s="1" t="s">
        <v>95</v>
      </c>
      <c r="K12" s="1" t="s">
        <v>95</v>
      </c>
      <c r="L12" s="1" t="s">
        <v>95</v>
      </c>
      <c r="M12" s="42" t="s">
        <v>145</v>
      </c>
      <c r="N12" s="51">
        <v>45626</v>
      </c>
      <c r="O12" s="56">
        <f>N12-S12</f>
        <v>45596</v>
      </c>
      <c r="P12" s="58">
        <v>45688</v>
      </c>
      <c r="Q12" s="20">
        <f t="shared" si="0"/>
        <v>45658</v>
      </c>
      <c r="R12" s="4"/>
      <c r="S12">
        <v>30</v>
      </c>
    </row>
    <row r="13" spans="1:19" ht="78.75" customHeight="1" x14ac:dyDescent="0.25">
      <c r="A13" s="4" t="s">
        <v>12</v>
      </c>
      <c r="B13" s="4" t="s">
        <v>26</v>
      </c>
      <c r="C13" s="4" t="s">
        <v>28</v>
      </c>
      <c r="D13" s="4" t="s">
        <v>27</v>
      </c>
      <c r="E13" s="4" t="s">
        <v>25</v>
      </c>
      <c r="F13" s="4" t="s">
        <v>23</v>
      </c>
      <c r="G13" s="48" t="s">
        <v>95</v>
      </c>
      <c r="H13" s="1" t="s">
        <v>95</v>
      </c>
      <c r="I13" s="1" t="s">
        <v>95</v>
      </c>
      <c r="J13" s="1" t="s">
        <v>95</v>
      </c>
      <c r="K13" s="1" t="s">
        <v>95</v>
      </c>
      <c r="L13" s="1" t="s">
        <v>95</v>
      </c>
      <c r="M13" s="1" t="s">
        <v>144</v>
      </c>
      <c r="N13" s="51">
        <v>45626</v>
      </c>
      <c r="O13" s="56" t="s">
        <v>285</v>
      </c>
      <c r="P13" s="58">
        <v>45688</v>
      </c>
      <c r="Q13" s="20"/>
      <c r="R13" s="4" t="s">
        <v>155</v>
      </c>
    </row>
    <row r="14" spans="1:19" ht="68.25" customHeight="1" x14ac:dyDescent="0.25">
      <c r="A14" s="8" t="s">
        <v>13</v>
      </c>
      <c r="B14" s="8" t="s">
        <v>46</v>
      </c>
      <c r="C14" s="8" t="s">
        <v>48</v>
      </c>
      <c r="D14" s="13">
        <v>45657</v>
      </c>
      <c r="E14" s="8" t="s">
        <v>49</v>
      </c>
      <c r="F14" s="8" t="s">
        <v>21</v>
      </c>
      <c r="G14" s="48" t="s">
        <v>95</v>
      </c>
      <c r="H14" s="1" t="s">
        <v>95</v>
      </c>
      <c r="I14" s="1" t="s">
        <v>95</v>
      </c>
      <c r="J14" s="1" t="s">
        <v>95</v>
      </c>
      <c r="K14" s="1" t="s">
        <v>95</v>
      </c>
      <c r="L14" s="1" t="s">
        <v>95</v>
      </c>
      <c r="M14" s="29" t="s">
        <v>145</v>
      </c>
      <c r="N14" s="51">
        <v>45626</v>
      </c>
      <c r="O14" s="56">
        <f>N14-S14</f>
        <v>45596</v>
      </c>
      <c r="P14" s="58">
        <v>45688</v>
      </c>
      <c r="Q14" s="20">
        <f>P14-S14</f>
        <v>45658</v>
      </c>
      <c r="R14" s="4"/>
      <c r="S14">
        <v>30</v>
      </c>
    </row>
    <row r="15" spans="1:19" ht="76.5" hidden="1" customHeight="1" x14ac:dyDescent="0.25">
      <c r="A15" s="8" t="s">
        <v>38</v>
      </c>
      <c r="B15" s="4" t="s">
        <v>116</v>
      </c>
      <c r="C15" s="4" t="s">
        <v>115</v>
      </c>
      <c r="D15" s="4" t="s">
        <v>114</v>
      </c>
      <c r="E15" s="4" t="s">
        <v>117</v>
      </c>
      <c r="F15" s="4" t="s">
        <v>21</v>
      </c>
      <c r="G15" s="48"/>
      <c r="H15" s="14" t="s">
        <v>55</v>
      </c>
      <c r="I15" s="27" t="s">
        <v>55</v>
      </c>
      <c r="J15" s="1" t="s">
        <v>95</v>
      </c>
      <c r="K15" s="1" t="s">
        <v>82</v>
      </c>
      <c r="L15" s="1" t="s">
        <v>82</v>
      </c>
      <c r="M15" s="43" t="s">
        <v>144</v>
      </c>
      <c r="N15" s="51">
        <v>45627</v>
      </c>
      <c r="O15" s="56" t="s">
        <v>285</v>
      </c>
      <c r="P15" s="20">
        <v>45688</v>
      </c>
      <c r="Q15" s="20"/>
      <c r="R15" s="4" t="s">
        <v>156</v>
      </c>
    </row>
    <row r="16" spans="1:19" ht="68.25" customHeight="1" x14ac:dyDescent="0.25">
      <c r="A16" s="4" t="s">
        <v>14</v>
      </c>
      <c r="B16" s="4" t="s">
        <v>121</v>
      </c>
      <c r="C16" s="4" t="s">
        <v>120</v>
      </c>
      <c r="D16" s="8" t="s">
        <v>118</v>
      </c>
      <c r="E16" s="8" t="s">
        <v>119</v>
      </c>
      <c r="F16" s="4" t="s">
        <v>21</v>
      </c>
      <c r="G16" s="48" t="s">
        <v>95</v>
      </c>
      <c r="H16" s="14" t="s">
        <v>52</v>
      </c>
      <c r="I16" s="27" t="s">
        <v>52</v>
      </c>
      <c r="J16" s="1" t="s">
        <v>95</v>
      </c>
      <c r="K16" s="1" t="s">
        <v>95</v>
      </c>
      <c r="L16" s="1" t="s">
        <v>95</v>
      </c>
      <c r="M16" s="42" t="s">
        <v>145</v>
      </c>
      <c r="N16" s="51">
        <v>45626</v>
      </c>
      <c r="O16" s="56">
        <f>N16-S16</f>
        <v>45596</v>
      </c>
      <c r="P16" s="58">
        <v>45688</v>
      </c>
      <c r="Q16" s="20">
        <f>P16-S16</f>
        <v>45658</v>
      </c>
      <c r="R16" s="4"/>
      <c r="S16">
        <v>30</v>
      </c>
    </row>
    <row r="17" spans="1:21" ht="68.25" customHeight="1" x14ac:dyDescent="0.25">
      <c r="A17" s="4" t="s">
        <v>39</v>
      </c>
      <c r="B17" s="4"/>
      <c r="C17" s="4"/>
      <c r="D17" s="4"/>
      <c r="E17" s="4"/>
      <c r="F17" s="4"/>
      <c r="G17" s="48" t="s">
        <v>41</v>
      </c>
      <c r="H17" s="14" t="s">
        <v>56</v>
      </c>
      <c r="I17" s="27" t="s">
        <v>56</v>
      </c>
      <c r="J17" s="27" t="s">
        <v>141</v>
      </c>
      <c r="K17" s="1" t="s">
        <v>92</v>
      </c>
      <c r="L17" s="1" t="s">
        <v>92</v>
      </c>
      <c r="M17" s="14"/>
      <c r="N17" s="51">
        <v>45626</v>
      </c>
      <c r="O17" s="56"/>
      <c r="P17" s="58">
        <v>45688</v>
      </c>
      <c r="Q17" s="20"/>
      <c r="R17" s="4"/>
    </row>
    <row r="18" spans="1:21" ht="68.25" customHeight="1" x14ac:dyDescent="0.25">
      <c r="A18" s="8" t="s">
        <v>125</v>
      </c>
      <c r="B18" s="8" t="s">
        <v>112</v>
      </c>
      <c r="C18" s="8" t="s">
        <v>124</v>
      </c>
      <c r="D18" s="8" t="s">
        <v>122</v>
      </c>
      <c r="E18" s="8" t="s">
        <v>123</v>
      </c>
      <c r="F18" s="4" t="s">
        <v>21</v>
      </c>
      <c r="G18" s="48" t="s">
        <v>95</v>
      </c>
      <c r="H18" s="14"/>
      <c r="I18" s="27"/>
      <c r="J18" s="1" t="s">
        <v>95</v>
      </c>
      <c r="K18" s="1" t="s">
        <v>95</v>
      </c>
      <c r="L18" s="1" t="s">
        <v>95</v>
      </c>
      <c r="M18" s="44" t="s">
        <v>144</v>
      </c>
      <c r="N18" s="51">
        <v>45626</v>
      </c>
      <c r="O18" s="56" t="s">
        <v>285</v>
      </c>
      <c r="P18" s="58">
        <v>45688</v>
      </c>
      <c r="Q18" s="20">
        <f t="shared" ref="Q18:Q24" si="2">P18-S18</f>
        <v>45658</v>
      </c>
      <c r="R18" s="4"/>
      <c r="S18">
        <v>30</v>
      </c>
    </row>
    <row r="19" spans="1:21" ht="150" x14ac:dyDescent="0.25">
      <c r="A19" s="8" t="s">
        <v>126</v>
      </c>
      <c r="B19" s="8" t="s">
        <v>112</v>
      </c>
      <c r="C19" s="8" t="s">
        <v>142</v>
      </c>
      <c r="D19" s="8" t="s">
        <v>122</v>
      </c>
      <c r="E19" s="8" t="s">
        <v>143</v>
      </c>
      <c r="F19" s="8" t="s">
        <v>21</v>
      </c>
      <c r="G19" s="48" t="s">
        <v>186</v>
      </c>
      <c r="H19" s="37" t="s">
        <v>57</v>
      </c>
      <c r="I19" s="38" t="s">
        <v>93</v>
      </c>
      <c r="J19" s="38" t="s">
        <v>157</v>
      </c>
      <c r="K19" s="1" t="s">
        <v>95</v>
      </c>
      <c r="L19" s="1" t="s">
        <v>95</v>
      </c>
      <c r="M19" s="39" t="s">
        <v>144</v>
      </c>
      <c r="N19" s="51">
        <v>45626</v>
      </c>
      <c r="O19" s="56" t="s">
        <v>285</v>
      </c>
      <c r="P19" s="58">
        <v>45688</v>
      </c>
      <c r="Q19" s="20">
        <f t="shared" si="2"/>
        <v>45658</v>
      </c>
      <c r="R19" s="4"/>
      <c r="S19">
        <v>30</v>
      </c>
    </row>
    <row r="20" spans="1:21" ht="68.25" customHeight="1" x14ac:dyDescent="0.25">
      <c r="A20" s="4" t="s">
        <v>15</v>
      </c>
      <c r="B20" s="4" t="s">
        <v>121</v>
      </c>
      <c r="C20" s="8" t="s">
        <v>127</v>
      </c>
      <c r="D20" s="13">
        <v>45657</v>
      </c>
      <c r="E20" s="8" t="s">
        <v>123</v>
      </c>
      <c r="F20" s="4" t="s">
        <v>21</v>
      </c>
      <c r="G20" s="48" t="s">
        <v>95</v>
      </c>
      <c r="H20" s="14" t="s">
        <v>52</v>
      </c>
      <c r="I20" s="27" t="s">
        <v>52</v>
      </c>
      <c r="J20" s="1" t="s">
        <v>95</v>
      </c>
      <c r="K20" s="1" t="s">
        <v>95</v>
      </c>
      <c r="L20" s="1" t="s">
        <v>95</v>
      </c>
      <c r="M20" s="14" t="s">
        <v>147</v>
      </c>
      <c r="N20" s="51">
        <v>45626</v>
      </c>
      <c r="O20" s="56">
        <f>N20-S20</f>
        <v>45596</v>
      </c>
      <c r="P20" s="58">
        <v>45688</v>
      </c>
      <c r="Q20" s="20">
        <f t="shared" si="2"/>
        <v>45658</v>
      </c>
      <c r="R20" s="4"/>
      <c r="S20">
        <v>30</v>
      </c>
    </row>
    <row r="21" spans="1:21" ht="68.25" customHeight="1" x14ac:dyDescent="0.25">
      <c r="A21" s="8" t="s">
        <v>16</v>
      </c>
      <c r="B21" s="8" t="s">
        <v>46</v>
      </c>
      <c r="C21" s="8" t="s">
        <v>50</v>
      </c>
      <c r="D21" s="13">
        <v>45657</v>
      </c>
      <c r="E21" s="8" t="s">
        <v>119</v>
      </c>
      <c r="F21" s="8" t="s">
        <v>21</v>
      </c>
      <c r="G21" s="48" t="s">
        <v>95</v>
      </c>
      <c r="H21" s="1" t="s">
        <v>95</v>
      </c>
      <c r="I21" s="28" t="s">
        <v>95</v>
      </c>
      <c r="J21" s="1" t="s">
        <v>95</v>
      </c>
      <c r="K21" s="1" t="s">
        <v>95</v>
      </c>
      <c r="L21" s="1" t="s">
        <v>95</v>
      </c>
      <c r="M21" s="29" t="s">
        <v>145</v>
      </c>
      <c r="N21" s="51">
        <v>45626</v>
      </c>
      <c r="O21" s="56">
        <f>N21-S21</f>
        <v>45596</v>
      </c>
      <c r="P21" s="58">
        <v>45688</v>
      </c>
      <c r="Q21" s="20">
        <f t="shared" si="2"/>
        <v>45658</v>
      </c>
      <c r="R21" s="4"/>
      <c r="S21">
        <v>30</v>
      </c>
    </row>
    <row r="22" spans="1:21" ht="68.25" customHeight="1" x14ac:dyDescent="0.25">
      <c r="A22" s="4" t="s">
        <v>17</v>
      </c>
      <c r="B22" s="4" t="s">
        <v>128</v>
      </c>
      <c r="C22" s="8" t="s">
        <v>129</v>
      </c>
      <c r="D22" s="20">
        <v>45736</v>
      </c>
      <c r="E22" s="8" t="s">
        <v>119</v>
      </c>
      <c r="F22" s="8" t="s">
        <v>21</v>
      </c>
      <c r="G22" s="48" t="s">
        <v>95</v>
      </c>
      <c r="H22" s="14" t="s">
        <v>52</v>
      </c>
      <c r="I22" s="27" t="s">
        <v>52</v>
      </c>
      <c r="J22" s="1" t="s">
        <v>95</v>
      </c>
      <c r="K22" s="1" t="s">
        <v>95</v>
      </c>
      <c r="L22" s="1" t="s">
        <v>95</v>
      </c>
      <c r="M22" s="42" t="s">
        <v>145</v>
      </c>
      <c r="N22" s="51">
        <v>45626</v>
      </c>
      <c r="O22" s="56">
        <f>N22-S22</f>
        <v>45596</v>
      </c>
      <c r="P22" s="58">
        <v>45688</v>
      </c>
      <c r="Q22" s="20">
        <f t="shared" si="2"/>
        <v>45658</v>
      </c>
      <c r="R22" s="4"/>
      <c r="S22">
        <v>30</v>
      </c>
    </row>
    <row r="23" spans="1:21" ht="68.25" customHeight="1" x14ac:dyDescent="0.25">
      <c r="A23" s="8" t="s">
        <v>18</v>
      </c>
      <c r="B23" s="8" t="s">
        <v>46</v>
      </c>
      <c r="C23" s="8" t="s">
        <v>50</v>
      </c>
      <c r="D23" s="13">
        <v>45657</v>
      </c>
      <c r="E23" s="8" t="s">
        <v>119</v>
      </c>
      <c r="F23" s="8" t="s">
        <v>21</v>
      </c>
      <c r="G23" s="48" t="s">
        <v>95</v>
      </c>
      <c r="H23" s="1" t="s">
        <v>95</v>
      </c>
      <c r="I23" s="1" t="s">
        <v>95</v>
      </c>
      <c r="J23" s="1" t="s">
        <v>95</v>
      </c>
      <c r="K23" s="1" t="s">
        <v>95</v>
      </c>
      <c r="L23" s="1" t="s">
        <v>95</v>
      </c>
      <c r="M23" s="29" t="s">
        <v>145</v>
      </c>
      <c r="N23" s="51">
        <v>45626</v>
      </c>
      <c r="O23" s="56">
        <f>N23-S23</f>
        <v>45596</v>
      </c>
      <c r="P23" s="58">
        <v>45688</v>
      </c>
      <c r="Q23" s="20">
        <f t="shared" si="2"/>
        <v>45658</v>
      </c>
      <c r="R23" s="4"/>
      <c r="S23">
        <v>30</v>
      </c>
    </row>
    <row r="24" spans="1:21" ht="68.25" customHeight="1" x14ac:dyDescent="0.25">
      <c r="A24" s="8" t="s">
        <v>177</v>
      </c>
      <c r="B24" s="8" t="s">
        <v>46</v>
      </c>
      <c r="C24" s="8" t="s">
        <v>179</v>
      </c>
      <c r="D24" s="13">
        <v>45930</v>
      </c>
      <c r="E24" s="4" t="s">
        <v>180</v>
      </c>
      <c r="F24" s="8" t="s">
        <v>21</v>
      </c>
      <c r="G24" s="48" t="s">
        <v>95</v>
      </c>
      <c r="H24" s="1"/>
      <c r="I24" s="1"/>
      <c r="J24" s="1" t="s">
        <v>95</v>
      </c>
      <c r="K24" s="1" t="s">
        <v>95</v>
      </c>
      <c r="L24" s="1" t="s">
        <v>95</v>
      </c>
      <c r="M24" s="29" t="s">
        <v>147</v>
      </c>
      <c r="N24" s="51">
        <v>45626</v>
      </c>
      <c r="O24" s="56">
        <f>N24-S24</f>
        <v>45536</v>
      </c>
      <c r="P24" s="58">
        <v>45689</v>
      </c>
      <c r="Q24" s="20">
        <f t="shared" si="2"/>
        <v>45599</v>
      </c>
      <c r="R24" s="4"/>
      <c r="S24">
        <v>90</v>
      </c>
    </row>
    <row r="25" spans="1:21" ht="68.25" customHeight="1" x14ac:dyDescent="0.25">
      <c r="A25" s="8" t="s">
        <v>19</v>
      </c>
      <c r="B25" s="8" t="s">
        <v>46</v>
      </c>
      <c r="C25" s="8" t="s">
        <v>51</v>
      </c>
      <c r="D25" s="13">
        <v>46022</v>
      </c>
      <c r="E25" s="9" t="s">
        <v>187</v>
      </c>
      <c r="F25" s="8" t="s">
        <v>21</v>
      </c>
      <c r="G25" s="48" t="s">
        <v>95</v>
      </c>
      <c r="H25" s="1" t="s">
        <v>95</v>
      </c>
      <c r="I25" s="1" t="s">
        <v>95</v>
      </c>
      <c r="J25" s="1" t="s">
        <v>95</v>
      </c>
      <c r="K25" s="1" t="s">
        <v>95</v>
      </c>
      <c r="L25" s="1" t="s">
        <v>95</v>
      </c>
      <c r="M25" s="43" t="s">
        <v>144</v>
      </c>
      <c r="N25" s="51">
        <v>45626</v>
      </c>
      <c r="O25" s="56" t="s">
        <v>285</v>
      </c>
      <c r="P25" s="58">
        <v>45688</v>
      </c>
      <c r="Q25" s="20">
        <f>P25-S25</f>
        <v>45628</v>
      </c>
      <c r="R25" s="4"/>
      <c r="S25">
        <v>60</v>
      </c>
    </row>
    <row r="26" spans="1:21" ht="68.25" customHeight="1" x14ac:dyDescent="0.25">
      <c r="A26" s="32" t="s">
        <v>33</v>
      </c>
      <c r="B26" s="32" t="s">
        <v>30</v>
      </c>
      <c r="C26" s="32" t="s">
        <v>31</v>
      </c>
      <c r="D26" s="32" t="s">
        <v>32</v>
      </c>
      <c r="E26" s="32" t="s">
        <v>29</v>
      </c>
      <c r="F26" s="32" t="s">
        <v>21</v>
      </c>
      <c r="G26" s="48" t="s">
        <v>95</v>
      </c>
      <c r="H26" s="34" t="s">
        <v>95</v>
      </c>
      <c r="I26" s="34" t="s">
        <v>95</v>
      </c>
      <c r="J26" s="1" t="s">
        <v>95</v>
      </c>
      <c r="K26" s="1" t="s">
        <v>95</v>
      </c>
      <c r="L26" s="1" t="s">
        <v>95</v>
      </c>
      <c r="M26" s="29" t="s">
        <v>147</v>
      </c>
      <c r="N26" s="51">
        <v>45626</v>
      </c>
      <c r="O26" s="56">
        <f>N26-S26</f>
        <v>45596</v>
      </c>
      <c r="P26" s="58">
        <v>45688</v>
      </c>
      <c r="Q26" s="20">
        <f>P26-S26</f>
        <v>45658</v>
      </c>
      <c r="R26" s="4"/>
      <c r="S26">
        <v>30</v>
      </c>
    </row>
    <row r="27" spans="1:21" ht="68.25" customHeight="1" x14ac:dyDescent="0.25">
      <c r="A27" s="32" t="s">
        <v>178</v>
      </c>
      <c r="B27" s="8" t="s">
        <v>46</v>
      </c>
      <c r="C27" s="8" t="s">
        <v>179</v>
      </c>
      <c r="D27" s="47">
        <v>45930</v>
      </c>
      <c r="E27" s="4" t="s">
        <v>180</v>
      </c>
      <c r="F27" s="4" t="s">
        <v>21</v>
      </c>
      <c r="G27" s="48" t="s">
        <v>95</v>
      </c>
      <c r="H27" s="34"/>
      <c r="I27" s="34"/>
      <c r="J27" s="1" t="s">
        <v>95</v>
      </c>
      <c r="K27" s="1" t="s">
        <v>95</v>
      </c>
      <c r="L27" s="1" t="s">
        <v>95</v>
      </c>
      <c r="M27" s="1" t="s">
        <v>147</v>
      </c>
      <c r="N27" s="51">
        <v>45626</v>
      </c>
      <c r="O27" s="56">
        <f>N27-S27</f>
        <v>45536</v>
      </c>
      <c r="P27" s="58">
        <v>45688</v>
      </c>
      <c r="Q27" s="20">
        <f>P27-S27</f>
        <v>45598</v>
      </c>
      <c r="R27" s="4"/>
      <c r="S27">
        <v>90</v>
      </c>
    </row>
    <row r="28" spans="1:21" ht="68.25" customHeight="1" x14ac:dyDescent="0.25">
      <c r="A28" s="32" t="s">
        <v>181</v>
      </c>
      <c r="B28" s="8" t="s">
        <v>46</v>
      </c>
      <c r="C28" s="8" t="s">
        <v>179</v>
      </c>
      <c r="D28" s="47">
        <v>45982</v>
      </c>
      <c r="E28" s="32" t="s">
        <v>29</v>
      </c>
      <c r="F28" s="4" t="s">
        <v>21</v>
      </c>
      <c r="G28" s="48" t="s">
        <v>95</v>
      </c>
      <c r="H28" s="34"/>
      <c r="I28" s="34"/>
      <c r="J28" s="1" t="s">
        <v>95</v>
      </c>
      <c r="K28" s="1" t="s">
        <v>95</v>
      </c>
      <c r="L28" s="1" t="s">
        <v>95</v>
      </c>
      <c r="M28" s="29" t="s">
        <v>147</v>
      </c>
      <c r="N28" s="51">
        <v>45626</v>
      </c>
      <c r="O28" s="56">
        <f>N28-S28</f>
        <v>45596</v>
      </c>
      <c r="P28" s="58">
        <v>45808</v>
      </c>
      <c r="Q28" s="20">
        <f>P28-S28</f>
        <v>45778</v>
      </c>
      <c r="R28" s="4"/>
      <c r="S28">
        <v>30</v>
      </c>
    </row>
    <row r="29" spans="1:21" ht="68.25" customHeight="1" x14ac:dyDescent="0.25">
      <c r="A29" s="35" t="s">
        <v>40</v>
      </c>
      <c r="B29" s="4"/>
      <c r="C29" s="4"/>
      <c r="D29" s="4"/>
      <c r="E29" s="4"/>
      <c r="F29" s="4"/>
      <c r="G29" s="48" t="s">
        <v>41</v>
      </c>
      <c r="H29" s="14" t="s">
        <v>58</v>
      </c>
      <c r="I29" s="14" t="s">
        <v>58</v>
      </c>
      <c r="J29" s="14" t="s">
        <v>140</v>
      </c>
      <c r="K29" s="1" t="s">
        <v>21</v>
      </c>
      <c r="L29" s="1" t="s">
        <v>21</v>
      </c>
      <c r="M29" s="14"/>
      <c r="N29" s="51">
        <v>45626</v>
      </c>
      <c r="O29" s="56"/>
      <c r="P29" s="58">
        <v>45688</v>
      </c>
      <c r="Q29" s="4"/>
      <c r="R29" s="4"/>
      <c r="S29" s="1"/>
      <c r="T29" s="1"/>
      <c r="U29" s="1"/>
    </row>
    <row r="30" spans="1:21" ht="68.25" customHeight="1" x14ac:dyDescent="0.25">
      <c r="A30" s="45" t="s">
        <v>282</v>
      </c>
      <c r="B30" s="33"/>
      <c r="C30" s="33"/>
      <c r="D30" s="33"/>
      <c r="E30" s="33"/>
      <c r="F30" s="33"/>
      <c r="G30" s="33"/>
      <c r="H30" s="1"/>
      <c r="I30" s="1"/>
      <c r="J30" s="1"/>
      <c r="K30" s="1"/>
      <c r="L30" s="1"/>
      <c r="M30" s="29" t="s">
        <v>147</v>
      </c>
      <c r="N30" s="51">
        <v>45626</v>
      </c>
      <c r="O30" s="57"/>
      <c r="P30" s="58">
        <v>45688</v>
      </c>
      <c r="Q30" s="36"/>
      <c r="R30" s="36"/>
      <c r="S30" s="1"/>
      <c r="T30" s="1"/>
      <c r="U30" s="1"/>
    </row>
    <row r="31" spans="1:21" ht="68.25" customHeight="1" x14ac:dyDescent="0.25">
      <c r="A31" s="45" t="s">
        <v>283</v>
      </c>
      <c r="B31" s="33"/>
      <c r="C31" s="33"/>
      <c r="D31" s="33"/>
      <c r="E31" s="33"/>
      <c r="F31" s="33"/>
      <c r="G31" s="33"/>
      <c r="H31" s="1"/>
      <c r="I31" s="1"/>
      <c r="J31" s="1"/>
      <c r="K31" s="1"/>
      <c r="L31" s="1"/>
      <c r="M31" s="39" t="s">
        <v>284</v>
      </c>
      <c r="N31" s="51">
        <v>45626</v>
      </c>
      <c r="O31" s="57"/>
      <c r="P31" s="58">
        <v>45688</v>
      </c>
      <c r="Q31" s="36"/>
      <c r="R31" s="36"/>
      <c r="S31" s="1"/>
      <c r="T31" s="1"/>
      <c r="U31" s="1"/>
    </row>
    <row r="32" spans="1:21" ht="68.25" customHeight="1" x14ac:dyDescent="0.25">
      <c r="A32" s="45" t="s">
        <v>373</v>
      </c>
      <c r="B32" s="33"/>
      <c r="C32" s="33"/>
      <c r="D32" s="33"/>
      <c r="E32" s="33"/>
      <c r="F32" s="33"/>
      <c r="G32" s="33"/>
      <c r="H32" s="1"/>
      <c r="I32" s="1"/>
      <c r="J32" s="1"/>
      <c r="K32" s="1"/>
      <c r="L32" s="1"/>
      <c r="M32" s="1"/>
      <c r="N32" s="1"/>
      <c r="O32" s="1"/>
      <c r="P32" s="58"/>
      <c r="Q32" s="36"/>
      <c r="R32" s="36"/>
      <c r="S32" s="1"/>
      <c r="T32" s="1"/>
      <c r="U32" s="1"/>
    </row>
    <row r="33" spans="1:21" ht="68.25" customHeight="1" x14ac:dyDescent="0.25">
      <c r="A33" s="45" t="s">
        <v>374</v>
      </c>
      <c r="B33" s="33"/>
      <c r="C33" s="33"/>
      <c r="D33" s="33"/>
      <c r="E33" s="33"/>
      <c r="F33" s="33"/>
      <c r="G33" s="33"/>
      <c r="H33" s="1"/>
      <c r="I33" s="1"/>
      <c r="J33" s="1"/>
      <c r="K33" s="1"/>
      <c r="L33" s="1"/>
      <c r="M33" s="1"/>
      <c r="N33" s="1"/>
      <c r="O33" s="1"/>
      <c r="P33" s="58"/>
      <c r="Q33" s="36"/>
      <c r="R33" s="36"/>
      <c r="S33" s="1"/>
      <c r="T33" s="1"/>
      <c r="U33" s="1"/>
    </row>
    <row r="34" spans="1:21" ht="68.25" customHeight="1" x14ac:dyDescent="0.25">
      <c r="A34" s="45" t="s">
        <v>375</v>
      </c>
      <c r="B34" s="33"/>
      <c r="C34" s="33"/>
      <c r="D34" s="33"/>
      <c r="E34" s="33"/>
      <c r="F34" s="33"/>
      <c r="G34" s="33"/>
      <c r="H34" s="1"/>
      <c r="I34" s="1"/>
      <c r="J34" s="1"/>
      <c r="K34" s="1"/>
      <c r="L34" s="1"/>
      <c r="M34" s="1"/>
      <c r="N34" s="1"/>
      <c r="O34" s="1"/>
      <c r="P34" s="59"/>
      <c r="Q34" s="36"/>
      <c r="R34" s="36"/>
      <c r="S34" s="1"/>
      <c r="T34" s="1"/>
      <c r="U34" s="1"/>
    </row>
    <row r="35" spans="1:21" ht="68.25" customHeight="1" x14ac:dyDescent="0.25">
      <c r="A35" s="45" t="s">
        <v>376</v>
      </c>
      <c r="B35" s="33"/>
      <c r="C35" s="33"/>
      <c r="D35" s="33"/>
      <c r="E35" s="33"/>
      <c r="F35" s="33"/>
      <c r="G35" s="33"/>
      <c r="H35" s="1"/>
      <c r="I35" s="1"/>
      <c r="J35" s="1"/>
      <c r="K35" s="1"/>
      <c r="L35" s="1"/>
      <c r="M35" s="1"/>
      <c r="N35" s="1"/>
      <c r="O35" s="1"/>
      <c r="P35" s="59"/>
      <c r="Q35" s="36"/>
      <c r="R35" s="36"/>
      <c r="S35" s="1"/>
      <c r="T35" s="1"/>
      <c r="U35" s="1"/>
    </row>
    <row r="36" spans="1:21" ht="68.25" customHeight="1" x14ac:dyDescent="0.25">
      <c r="A36" s="45" t="s">
        <v>377</v>
      </c>
      <c r="B36" s="33"/>
      <c r="C36" s="33"/>
      <c r="D36" s="33"/>
      <c r="E36" s="33"/>
      <c r="F36" s="33"/>
      <c r="G36" s="33"/>
      <c r="H36" s="1"/>
      <c r="I36" s="1"/>
      <c r="J36" s="1"/>
      <c r="K36" s="1"/>
      <c r="L36" s="1"/>
      <c r="M36" s="1"/>
      <c r="N36" s="1"/>
      <c r="O36" s="1"/>
      <c r="P36" s="59"/>
      <c r="Q36" s="36"/>
      <c r="R36" s="36"/>
      <c r="S36" s="1"/>
      <c r="T36" s="1"/>
      <c r="U36" s="1"/>
    </row>
    <row r="37" spans="1:21" ht="68.25" customHeight="1" x14ac:dyDescent="0.25">
      <c r="A37" s="45" t="s">
        <v>378</v>
      </c>
      <c r="B37" s="33"/>
      <c r="C37" s="33"/>
      <c r="D37" s="33"/>
      <c r="E37" s="33"/>
      <c r="F37" s="33"/>
      <c r="G37" s="33"/>
      <c r="H37" s="1"/>
      <c r="I37" s="1"/>
      <c r="J37" s="1"/>
      <c r="K37" s="1"/>
      <c r="L37" s="1"/>
      <c r="M37" s="1"/>
      <c r="N37" s="1"/>
      <c r="O37" s="1"/>
      <c r="P37" s="59"/>
      <c r="Q37" s="36"/>
      <c r="R37" s="36"/>
      <c r="S37" s="1"/>
      <c r="T37" s="1"/>
      <c r="U37" s="1"/>
    </row>
    <row r="38" spans="1:21" ht="68.25" customHeight="1" x14ac:dyDescent="0.25">
      <c r="A38" s="45" t="s">
        <v>379</v>
      </c>
      <c r="B38" s="1"/>
      <c r="C38" s="1"/>
      <c r="D38" s="1"/>
      <c r="E38" s="1"/>
      <c r="F38" s="1"/>
      <c r="G38" s="1"/>
      <c r="H38" s="1"/>
      <c r="I38" s="1"/>
      <c r="J38" s="1"/>
      <c r="K38" s="1"/>
      <c r="L38" s="1"/>
      <c r="M38" s="1"/>
      <c r="N38" s="1"/>
      <c r="O38" s="1"/>
      <c r="P38" s="58">
        <v>45688</v>
      </c>
      <c r="Q38" s="36"/>
      <c r="R38" s="36"/>
      <c r="S38" s="1"/>
      <c r="T38" s="1"/>
      <c r="U38" s="1"/>
    </row>
    <row r="39" spans="1:21" ht="68.25" customHeight="1" x14ac:dyDescent="0.25">
      <c r="A39" s="45" t="s">
        <v>380</v>
      </c>
      <c r="B39" s="1"/>
      <c r="C39" s="1"/>
      <c r="D39" s="1"/>
      <c r="E39" s="1"/>
      <c r="F39" s="1"/>
      <c r="G39" s="1"/>
      <c r="H39" s="1"/>
      <c r="I39" s="1"/>
      <c r="J39" s="1"/>
      <c r="K39" s="1"/>
      <c r="L39" s="1"/>
      <c r="M39" s="1"/>
      <c r="N39" s="1"/>
      <c r="O39" s="1"/>
      <c r="P39" s="58">
        <v>45688</v>
      </c>
      <c r="Q39" s="36"/>
      <c r="R39" s="36"/>
      <c r="S39" s="1"/>
      <c r="T39" s="1"/>
      <c r="U39" s="1"/>
    </row>
    <row r="40" spans="1:21" ht="68.25" customHeight="1" x14ac:dyDescent="0.25">
      <c r="A40" s="45" t="s">
        <v>381</v>
      </c>
      <c r="B40" s="31"/>
      <c r="C40" s="31"/>
      <c r="D40" s="31"/>
      <c r="E40" s="31"/>
      <c r="F40" s="31"/>
      <c r="G40" s="31"/>
    </row>
    <row r="41" spans="1:21" ht="68.25" customHeight="1" x14ac:dyDescent="0.25">
      <c r="A41" s="31"/>
      <c r="B41" s="31"/>
      <c r="C41" s="31"/>
      <c r="D41" s="31"/>
      <c r="E41" s="31"/>
      <c r="F41" s="31"/>
      <c r="G41" s="31"/>
    </row>
    <row r="42" spans="1:21" ht="68.25" customHeight="1" x14ac:dyDescent="0.25">
      <c r="A42" s="31"/>
      <c r="B42" s="31"/>
      <c r="C42" s="31"/>
      <c r="D42" s="31"/>
      <c r="E42" s="31"/>
      <c r="F42" s="31"/>
      <c r="G42" s="31"/>
    </row>
    <row r="43" spans="1:21" ht="68.25" customHeight="1" x14ac:dyDescent="0.25">
      <c r="A43" s="31"/>
      <c r="B43" s="31"/>
      <c r="C43" s="31"/>
      <c r="D43" s="31"/>
      <c r="E43" s="31"/>
      <c r="F43" s="31"/>
      <c r="G43" s="31"/>
    </row>
    <row r="44" spans="1:21" ht="68.25" customHeight="1" x14ac:dyDescent="0.25">
      <c r="A44" s="31"/>
      <c r="B44" s="31"/>
      <c r="C44" s="31"/>
      <c r="D44" s="31"/>
      <c r="E44" s="31"/>
      <c r="F44" s="31"/>
      <c r="G44" s="31"/>
    </row>
    <row r="45" spans="1:21" ht="68.25" customHeight="1" x14ac:dyDescent="0.25">
      <c r="A45" s="31"/>
      <c r="B45" s="31"/>
      <c r="C45" s="31"/>
      <c r="D45" s="31"/>
      <c r="E45" s="31"/>
      <c r="F45" s="31"/>
      <c r="G45" s="31"/>
    </row>
    <row r="46" spans="1:21" ht="68.25" customHeight="1" x14ac:dyDescent="0.25">
      <c r="A46" s="31"/>
      <c r="B46" s="31"/>
      <c r="C46" s="31"/>
      <c r="D46" s="31"/>
      <c r="E46" s="31"/>
      <c r="F46" s="31"/>
      <c r="G46" s="31"/>
    </row>
    <row r="47" spans="1:21" ht="68.25" customHeight="1" x14ac:dyDescent="0.25">
      <c r="A47" s="31"/>
      <c r="B47" s="31"/>
      <c r="C47" s="31"/>
      <c r="D47" s="31"/>
      <c r="E47" s="31"/>
      <c r="F47" s="31"/>
      <c r="G47" s="31"/>
    </row>
    <row r="48" spans="1:21" ht="68.25" customHeight="1" x14ac:dyDescent="0.25">
      <c r="A48" s="31"/>
      <c r="B48" s="31"/>
      <c r="C48" s="31"/>
      <c r="D48" s="31"/>
      <c r="E48" s="31"/>
      <c r="F48" s="31"/>
      <c r="G48" s="31"/>
    </row>
    <row r="49" spans="1:7" ht="68.25" customHeight="1" x14ac:dyDescent="0.25">
      <c r="A49" s="31"/>
      <c r="B49" s="31"/>
      <c r="C49" s="31"/>
      <c r="D49" s="31"/>
      <c r="E49" s="31"/>
      <c r="F49" s="31"/>
      <c r="G49" s="31"/>
    </row>
    <row r="50" spans="1:7" ht="68.25" customHeight="1" x14ac:dyDescent="0.25">
      <c r="A50" s="31"/>
      <c r="B50" s="31"/>
      <c r="C50" s="31"/>
      <c r="D50" s="31"/>
      <c r="E50" s="31"/>
      <c r="F50" s="31"/>
      <c r="G50" s="31"/>
    </row>
    <row r="51" spans="1:7" ht="68.25" customHeight="1" x14ac:dyDescent="0.25">
      <c r="A51" s="31"/>
      <c r="B51" s="31"/>
      <c r="C51" s="31"/>
      <c r="D51" s="31"/>
      <c r="E51" s="31"/>
      <c r="F51" s="31"/>
      <c r="G51" s="31"/>
    </row>
    <row r="52" spans="1:7" ht="68.25" customHeight="1" x14ac:dyDescent="0.25">
      <c r="A52" s="31"/>
      <c r="B52" s="31"/>
      <c r="C52" s="31"/>
      <c r="D52" s="31"/>
      <c r="E52" s="31"/>
      <c r="F52" s="31"/>
      <c r="G52" s="31"/>
    </row>
    <row r="53" spans="1:7" ht="68.25" customHeight="1" x14ac:dyDescent="0.25">
      <c r="A53" s="31"/>
      <c r="B53" s="31"/>
      <c r="C53" s="31"/>
      <c r="D53" s="31"/>
      <c r="E53" s="31"/>
      <c r="F53" s="31"/>
      <c r="G53" s="31"/>
    </row>
    <row r="54" spans="1:7" ht="68.25" customHeight="1" x14ac:dyDescent="0.25">
      <c r="A54" s="31"/>
      <c r="B54" s="31"/>
      <c r="C54" s="31"/>
      <c r="D54" s="31"/>
      <c r="E54" s="31"/>
      <c r="F54" s="31"/>
      <c r="G54" s="31"/>
    </row>
    <row r="55" spans="1:7" ht="68.25" customHeight="1" x14ac:dyDescent="0.25">
      <c r="A55" s="31"/>
      <c r="B55" s="31"/>
      <c r="C55" s="31"/>
      <c r="D55" s="31"/>
      <c r="E55" s="31"/>
      <c r="F55" s="31"/>
      <c r="G55" s="31"/>
    </row>
    <row r="56" spans="1:7" ht="68.25" customHeight="1" x14ac:dyDescent="0.25">
      <c r="A56" s="31"/>
      <c r="B56" s="31"/>
      <c r="C56" s="31"/>
      <c r="D56" s="31"/>
      <c r="E56" s="31"/>
      <c r="F56" s="31"/>
      <c r="G56" s="31"/>
    </row>
    <row r="57" spans="1:7" ht="68.25" customHeight="1" x14ac:dyDescent="0.25">
      <c r="A57" s="31"/>
      <c r="B57" s="31"/>
      <c r="C57" s="31"/>
      <c r="D57" s="31"/>
      <c r="E57" s="31"/>
      <c r="F57" s="31"/>
      <c r="G57" s="31"/>
    </row>
    <row r="58" spans="1:7" ht="68.25" customHeight="1" x14ac:dyDescent="0.25">
      <c r="A58" s="31"/>
      <c r="B58" s="31"/>
      <c r="C58" s="31"/>
      <c r="D58" s="31"/>
      <c r="E58" s="31"/>
      <c r="F58" s="31"/>
      <c r="G58" s="31"/>
    </row>
    <row r="59" spans="1:7" ht="68.25" customHeight="1" x14ac:dyDescent="0.25">
      <c r="A59" s="31"/>
      <c r="B59" s="31"/>
      <c r="C59" s="31"/>
      <c r="D59" s="31"/>
      <c r="E59" s="31"/>
      <c r="F59" s="31"/>
      <c r="G59" s="31"/>
    </row>
    <row r="60" spans="1:7" ht="68.25" customHeight="1" x14ac:dyDescent="0.25">
      <c r="A60" s="31"/>
      <c r="B60" s="31"/>
      <c r="C60" s="31"/>
      <c r="D60" s="31"/>
      <c r="E60" s="31"/>
      <c r="F60" s="31"/>
      <c r="G60" s="31"/>
    </row>
    <row r="61" spans="1:7" ht="68.25" customHeight="1" x14ac:dyDescent="0.25">
      <c r="A61" s="31"/>
      <c r="B61" s="31"/>
      <c r="C61" s="31"/>
      <c r="D61" s="31"/>
      <c r="E61" s="31"/>
      <c r="F61" s="31"/>
      <c r="G61" s="31"/>
    </row>
    <row r="62" spans="1:7" ht="68.25" customHeight="1" x14ac:dyDescent="0.25">
      <c r="A62" s="31"/>
      <c r="B62" s="31"/>
      <c r="C62" s="31"/>
      <c r="D62" s="31"/>
      <c r="E62" s="31"/>
      <c r="F62" s="31"/>
      <c r="G62" s="31"/>
    </row>
    <row r="63" spans="1:7" ht="68.25" customHeight="1" x14ac:dyDescent="0.25">
      <c r="A63" s="31"/>
      <c r="B63" s="31"/>
      <c r="C63" s="31"/>
      <c r="D63" s="31"/>
      <c r="E63" s="31"/>
      <c r="F63" s="31"/>
      <c r="G63" s="31"/>
    </row>
    <row r="64" spans="1:7" ht="68.25" customHeight="1" x14ac:dyDescent="0.25">
      <c r="A64" s="31"/>
      <c r="B64" s="31"/>
      <c r="C64" s="31"/>
      <c r="D64" s="31"/>
      <c r="E64" s="31"/>
      <c r="F64" s="31"/>
      <c r="G64" s="31"/>
    </row>
    <row r="65" spans="1:7" ht="68.25" customHeight="1" x14ac:dyDescent="0.25">
      <c r="A65" s="31"/>
      <c r="B65" s="31"/>
      <c r="C65" s="31"/>
      <c r="D65" s="31"/>
      <c r="E65" s="31"/>
      <c r="F65" s="31"/>
      <c r="G65" s="31"/>
    </row>
    <row r="66" spans="1:7" ht="68.25" customHeight="1" x14ac:dyDescent="0.25">
      <c r="A66" s="31"/>
      <c r="B66" s="31"/>
      <c r="C66" s="31"/>
      <c r="D66" s="31"/>
      <c r="E66" s="31"/>
      <c r="F66" s="31"/>
      <c r="G66" s="31"/>
    </row>
    <row r="67" spans="1:7" ht="68.25" customHeight="1" x14ac:dyDescent="0.25">
      <c r="A67" s="31"/>
      <c r="B67" s="31"/>
      <c r="C67" s="31"/>
      <c r="D67" s="31"/>
      <c r="E67" s="31"/>
      <c r="F67" s="31"/>
      <c r="G67" s="31"/>
    </row>
    <row r="68" spans="1:7" ht="68.25" customHeight="1" x14ac:dyDescent="0.25">
      <c r="A68" s="31"/>
      <c r="B68" s="31"/>
      <c r="C68" s="31"/>
      <c r="D68" s="31"/>
      <c r="E68" s="31"/>
      <c r="F68" s="31"/>
      <c r="G68" s="31"/>
    </row>
    <row r="69" spans="1:7" ht="68.25" customHeight="1" x14ac:dyDescent="0.25">
      <c r="A69" s="31"/>
      <c r="B69" s="31"/>
      <c r="C69" s="31"/>
      <c r="D69" s="31"/>
      <c r="E69" s="31"/>
      <c r="F69" s="31"/>
      <c r="G69" s="31"/>
    </row>
    <row r="70" spans="1:7" ht="68.25" customHeight="1" x14ac:dyDescent="0.25">
      <c r="A70" s="31"/>
      <c r="B70" s="31"/>
      <c r="C70" s="31"/>
      <c r="D70" s="31"/>
      <c r="E70" s="31"/>
      <c r="F70" s="31"/>
      <c r="G70" s="31"/>
    </row>
    <row r="71" spans="1:7" ht="68.25" customHeight="1" x14ac:dyDescent="0.25">
      <c r="A71" s="31"/>
      <c r="B71" s="31"/>
      <c r="C71" s="31"/>
      <c r="D71" s="31"/>
      <c r="E71" s="31"/>
      <c r="F71" s="31"/>
      <c r="G71" s="31"/>
    </row>
    <row r="72" spans="1:7" ht="68.25" customHeight="1" x14ac:dyDescent="0.25">
      <c r="A72" s="31"/>
      <c r="B72" s="31"/>
      <c r="C72" s="31"/>
      <c r="D72" s="31"/>
      <c r="E72" s="31"/>
      <c r="F72" s="31"/>
      <c r="G72" s="31"/>
    </row>
    <row r="73" spans="1:7" ht="68.25" customHeight="1" x14ac:dyDescent="0.25">
      <c r="A73" s="31"/>
      <c r="B73" s="31"/>
      <c r="C73" s="31"/>
      <c r="D73" s="31"/>
      <c r="E73" s="31"/>
      <c r="F73" s="31"/>
      <c r="G73" s="31"/>
    </row>
    <row r="74" spans="1:7" ht="68.25" customHeight="1" x14ac:dyDescent="0.25">
      <c r="A74" s="31"/>
      <c r="B74" s="31"/>
      <c r="C74" s="31"/>
      <c r="D74" s="31"/>
      <c r="E74" s="31"/>
      <c r="F74" s="31"/>
      <c r="G74" s="31"/>
    </row>
    <row r="75" spans="1:7" ht="68.25" customHeight="1" x14ac:dyDescent="0.25">
      <c r="A75" s="31"/>
      <c r="B75" s="31"/>
      <c r="C75" s="31"/>
      <c r="D75" s="31"/>
      <c r="E75" s="31"/>
      <c r="F75" s="31"/>
      <c r="G75" s="31"/>
    </row>
    <row r="76" spans="1:7" ht="68.25" customHeight="1" x14ac:dyDescent="0.25">
      <c r="A76" s="31"/>
      <c r="B76" s="31"/>
      <c r="C76" s="31"/>
      <c r="D76" s="31"/>
      <c r="E76" s="31"/>
      <c r="F76" s="31"/>
      <c r="G76" s="31"/>
    </row>
    <row r="77" spans="1:7" ht="68.25" customHeight="1" x14ac:dyDescent="0.25">
      <c r="A77" s="31"/>
      <c r="B77" s="31"/>
      <c r="C77" s="31"/>
      <c r="D77" s="31"/>
      <c r="E77" s="31"/>
      <c r="F77" s="31"/>
      <c r="G77" s="31"/>
    </row>
    <row r="78" spans="1:7" ht="68.25" customHeight="1" x14ac:dyDescent="0.25">
      <c r="A78" s="31"/>
      <c r="B78" s="31"/>
      <c r="C78" s="31"/>
      <c r="D78" s="31"/>
      <c r="E78" s="31"/>
      <c r="F78" s="31"/>
      <c r="G78" s="31"/>
    </row>
    <row r="79" spans="1:7" ht="68.25" customHeight="1" x14ac:dyDescent="0.25">
      <c r="A79" s="31"/>
      <c r="B79" s="31"/>
      <c r="C79" s="31"/>
      <c r="D79" s="31"/>
      <c r="E79" s="31"/>
      <c r="F79" s="31"/>
      <c r="G79" s="31"/>
    </row>
    <row r="80" spans="1:7" ht="68.25" customHeight="1" x14ac:dyDescent="0.25">
      <c r="A80" s="31"/>
      <c r="B80" s="31"/>
      <c r="C80" s="31"/>
      <c r="D80" s="31"/>
      <c r="E80" s="31"/>
      <c r="F80" s="31"/>
      <c r="G80" s="31"/>
    </row>
    <row r="81" spans="1:7" ht="68.25" customHeight="1" x14ac:dyDescent="0.25">
      <c r="A81" s="31"/>
      <c r="B81" s="31"/>
      <c r="C81" s="31"/>
      <c r="D81" s="31"/>
      <c r="E81" s="31"/>
      <c r="F81" s="31"/>
      <c r="G81" s="31"/>
    </row>
    <row r="82" spans="1:7" ht="68.25" customHeight="1" x14ac:dyDescent="0.25">
      <c r="A82" s="31"/>
      <c r="B82" s="31"/>
      <c r="C82" s="31"/>
      <c r="D82" s="31"/>
      <c r="E82" s="31"/>
      <c r="F82" s="31"/>
      <c r="G82" s="31"/>
    </row>
    <row r="83" spans="1:7" ht="68.25" customHeight="1" x14ac:dyDescent="0.25">
      <c r="A83" s="31"/>
      <c r="B83" s="31"/>
      <c r="C83" s="31"/>
      <c r="D83" s="31"/>
      <c r="E83" s="31"/>
      <c r="F83" s="31"/>
      <c r="G83" s="31"/>
    </row>
    <row r="84" spans="1:7" ht="68.25" customHeight="1" x14ac:dyDescent="0.25">
      <c r="A84" s="31"/>
      <c r="B84" s="31"/>
      <c r="C84" s="31"/>
      <c r="D84" s="31"/>
      <c r="E84" s="31"/>
      <c r="F84" s="31"/>
      <c r="G84" s="31"/>
    </row>
    <row r="85" spans="1:7" ht="68.25" customHeight="1" x14ac:dyDescent="0.25">
      <c r="A85" s="31"/>
      <c r="B85" s="31"/>
      <c r="C85" s="31"/>
      <c r="D85" s="31"/>
      <c r="E85" s="31"/>
      <c r="F85" s="31"/>
      <c r="G85" s="31"/>
    </row>
    <row r="86" spans="1:7" ht="68.25" customHeight="1" x14ac:dyDescent="0.25">
      <c r="A86" s="31"/>
      <c r="B86" s="31"/>
      <c r="C86" s="31"/>
      <c r="D86" s="31"/>
      <c r="E86" s="31"/>
      <c r="F86" s="31"/>
      <c r="G86" s="31"/>
    </row>
    <row r="87" spans="1:7" ht="68.25" customHeight="1" x14ac:dyDescent="0.25">
      <c r="A87" s="31"/>
      <c r="B87" s="31"/>
      <c r="C87" s="31"/>
      <c r="D87" s="31"/>
      <c r="E87" s="31"/>
      <c r="F87" s="31"/>
      <c r="G87" s="31"/>
    </row>
    <row r="88" spans="1:7" ht="68.25" customHeight="1" x14ac:dyDescent="0.25">
      <c r="A88" s="31"/>
      <c r="B88" s="31"/>
      <c r="C88" s="31"/>
      <c r="D88" s="31"/>
      <c r="E88" s="31"/>
      <c r="F88" s="31"/>
      <c r="G88" s="31"/>
    </row>
    <row r="89" spans="1:7" ht="68.25" customHeight="1" x14ac:dyDescent="0.25">
      <c r="A89" s="31"/>
      <c r="B89" s="31"/>
      <c r="C89" s="31"/>
      <c r="D89" s="31"/>
      <c r="E89" s="31"/>
      <c r="F89" s="31"/>
      <c r="G89" s="31"/>
    </row>
    <row r="90" spans="1:7" ht="68.25" customHeight="1" x14ac:dyDescent="0.25">
      <c r="A90" s="31"/>
      <c r="B90" s="31"/>
      <c r="C90" s="31"/>
      <c r="D90" s="31"/>
      <c r="E90" s="31"/>
      <c r="F90" s="31"/>
      <c r="G90" s="31"/>
    </row>
    <row r="91" spans="1:7" ht="68.25" customHeight="1" x14ac:dyDescent="0.25">
      <c r="A91" s="31"/>
      <c r="B91" s="31"/>
      <c r="C91" s="31"/>
      <c r="D91" s="31"/>
      <c r="E91" s="31"/>
      <c r="F91" s="31"/>
      <c r="G91" s="31"/>
    </row>
    <row r="92" spans="1:7" ht="68.25" customHeight="1" x14ac:dyDescent="0.25">
      <c r="A92" s="31"/>
      <c r="B92" s="31"/>
      <c r="C92" s="31"/>
      <c r="D92" s="31"/>
      <c r="E92" s="31"/>
      <c r="F92" s="31"/>
      <c r="G92" s="31"/>
    </row>
    <row r="93" spans="1:7" ht="68.25" customHeight="1" x14ac:dyDescent="0.25">
      <c r="A93" s="31"/>
      <c r="B93" s="31"/>
      <c r="C93" s="31"/>
      <c r="D93" s="31"/>
      <c r="E93" s="31"/>
      <c r="F93" s="31"/>
      <c r="G93" s="31"/>
    </row>
    <row r="94" spans="1:7" ht="68.25" customHeight="1" x14ac:dyDescent="0.25">
      <c r="A94" s="31"/>
      <c r="B94" s="31"/>
      <c r="C94" s="31"/>
      <c r="D94" s="31"/>
      <c r="E94" s="31"/>
      <c r="F94" s="31"/>
      <c r="G94" s="31"/>
    </row>
    <row r="95" spans="1:7" ht="68.25" customHeight="1" x14ac:dyDescent="0.25">
      <c r="A95" s="31"/>
      <c r="B95" s="31"/>
      <c r="C95" s="31"/>
      <c r="D95" s="31"/>
      <c r="E95" s="31"/>
      <c r="F95" s="31"/>
      <c r="G95" s="31"/>
    </row>
    <row r="96" spans="1:7" ht="68.25" customHeight="1" x14ac:dyDescent="0.25">
      <c r="A96" s="31"/>
      <c r="B96" s="31"/>
      <c r="C96" s="31"/>
      <c r="D96" s="31"/>
      <c r="E96" s="31"/>
      <c r="F96" s="31"/>
      <c r="G96" s="31"/>
    </row>
    <row r="97" spans="1:7" ht="68.25" customHeight="1" x14ac:dyDescent="0.25">
      <c r="A97" s="31"/>
      <c r="B97" s="31"/>
      <c r="C97" s="31"/>
      <c r="D97" s="31"/>
      <c r="E97" s="31"/>
      <c r="F97" s="31"/>
      <c r="G97" s="31"/>
    </row>
    <row r="98" spans="1:7" ht="68.25" customHeight="1" x14ac:dyDescent="0.25">
      <c r="A98" s="31"/>
      <c r="B98" s="31"/>
      <c r="C98" s="31"/>
      <c r="D98" s="31"/>
      <c r="E98" s="31"/>
      <c r="F98" s="31"/>
      <c r="G98" s="31"/>
    </row>
    <row r="99" spans="1:7" ht="68.25" customHeight="1" x14ac:dyDescent="0.25">
      <c r="A99" s="31"/>
      <c r="B99" s="31"/>
      <c r="C99" s="31"/>
      <c r="D99" s="31"/>
      <c r="E99" s="31"/>
      <c r="F99" s="31"/>
      <c r="G99" s="31"/>
    </row>
    <row r="100" spans="1:7" ht="68.25" customHeight="1" x14ac:dyDescent="0.25">
      <c r="A100" s="31"/>
      <c r="B100" s="31"/>
      <c r="C100" s="31"/>
      <c r="D100" s="31"/>
      <c r="E100" s="31"/>
      <c r="F100" s="31"/>
      <c r="G100" s="31"/>
    </row>
    <row r="101" spans="1:7" ht="68.25" customHeight="1" x14ac:dyDescent="0.25">
      <c r="A101" s="31"/>
      <c r="B101" s="31"/>
      <c r="C101" s="31"/>
      <c r="D101" s="31"/>
      <c r="E101" s="31"/>
      <c r="F101" s="31"/>
      <c r="G101" s="31"/>
    </row>
    <row r="102" spans="1:7" ht="68.25" customHeight="1" x14ac:dyDescent="0.25">
      <c r="A102" s="31"/>
      <c r="B102" s="31"/>
      <c r="C102" s="31"/>
      <c r="D102" s="31"/>
      <c r="E102" s="31"/>
      <c r="F102" s="31"/>
      <c r="G102" s="31"/>
    </row>
    <row r="103" spans="1:7" ht="68.25" customHeight="1" x14ac:dyDescent="0.25">
      <c r="A103" s="31"/>
      <c r="B103" s="31"/>
      <c r="C103" s="31"/>
      <c r="D103" s="31"/>
      <c r="E103" s="31"/>
      <c r="F103" s="31"/>
      <c r="G103" s="31"/>
    </row>
    <row r="104" spans="1:7" ht="68.25" customHeight="1" x14ac:dyDescent="0.25">
      <c r="A104" s="31"/>
      <c r="B104" s="31"/>
      <c r="C104" s="31"/>
      <c r="D104" s="31"/>
      <c r="E104" s="31"/>
      <c r="F104" s="31"/>
      <c r="G104" s="31"/>
    </row>
    <row r="105" spans="1:7" ht="68.25" customHeight="1" x14ac:dyDescent="0.25">
      <c r="A105" s="31"/>
      <c r="B105" s="31"/>
      <c r="C105" s="31"/>
      <c r="D105" s="31"/>
      <c r="E105" s="31"/>
      <c r="F105" s="31"/>
      <c r="G105" s="31"/>
    </row>
    <row r="106" spans="1:7" ht="68.25" customHeight="1" x14ac:dyDescent="0.25">
      <c r="A106" s="31"/>
      <c r="B106" s="31"/>
      <c r="C106" s="31"/>
      <c r="D106" s="31"/>
      <c r="E106" s="31"/>
      <c r="F106" s="31"/>
      <c r="G106" s="31"/>
    </row>
    <row r="107" spans="1:7" ht="68.25" customHeight="1" x14ac:dyDescent="0.25">
      <c r="A107" s="31"/>
      <c r="B107" s="31"/>
      <c r="C107" s="31"/>
      <c r="D107" s="31"/>
      <c r="E107" s="31"/>
      <c r="F107" s="31"/>
      <c r="G107" s="31"/>
    </row>
    <row r="108" spans="1:7" ht="68.25" customHeight="1" x14ac:dyDescent="0.25">
      <c r="A108" s="31"/>
      <c r="B108" s="31"/>
      <c r="C108" s="31"/>
      <c r="D108" s="31"/>
      <c r="E108" s="31"/>
      <c r="F108" s="31"/>
      <c r="G108" s="31"/>
    </row>
    <row r="109" spans="1:7" ht="18.75" customHeight="1" x14ac:dyDescent="0.25">
      <c r="A109" s="31"/>
      <c r="B109" s="31"/>
      <c r="C109" s="31"/>
      <c r="D109" s="31"/>
      <c r="E109" s="31"/>
      <c r="F109" s="31"/>
      <c r="G109" s="31"/>
    </row>
    <row r="110" spans="1:7" x14ac:dyDescent="0.25">
      <c r="A110" s="31"/>
      <c r="B110" s="31"/>
      <c r="C110" s="31"/>
      <c r="D110" s="31"/>
      <c r="E110" s="31"/>
      <c r="F110" s="31"/>
      <c r="G110" s="31"/>
    </row>
    <row r="111" spans="1:7" x14ac:dyDescent="0.25">
      <c r="A111" s="31"/>
      <c r="B111" s="31"/>
      <c r="C111" s="31"/>
      <c r="D111" s="31"/>
      <c r="E111" s="31"/>
      <c r="F111" s="31"/>
      <c r="G111" s="31"/>
    </row>
    <row r="112" spans="1:7" x14ac:dyDescent="0.25">
      <c r="A112" s="31"/>
      <c r="B112" s="31"/>
      <c r="C112" s="31"/>
      <c r="D112" s="31"/>
      <c r="E112" s="31"/>
      <c r="F112" s="31"/>
      <c r="G112" s="31"/>
    </row>
    <row r="113" spans="1:7" x14ac:dyDescent="0.25">
      <c r="A113" s="31"/>
      <c r="B113" s="31"/>
      <c r="C113" s="31"/>
      <c r="D113" s="31"/>
      <c r="E113" s="31"/>
      <c r="F113" s="31"/>
      <c r="G113" s="31"/>
    </row>
    <row r="114" spans="1:7" x14ac:dyDescent="0.25">
      <c r="A114" s="31"/>
      <c r="B114" s="31"/>
      <c r="C114" s="31"/>
      <c r="D114" s="31"/>
      <c r="E114" s="31"/>
      <c r="F114" s="31"/>
      <c r="G114" s="31"/>
    </row>
    <row r="115" spans="1:7" x14ac:dyDescent="0.25">
      <c r="A115" s="31"/>
      <c r="B115" s="31"/>
      <c r="C115" s="31"/>
      <c r="D115" s="31"/>
      <c r="E115" s="31"/>
      <c r="F115" s="31"/>
      <c r="G115" s="31"/>
    </row>
    <row r="116" spans="1:7" x14ac:dyDescent="0.25">
      <c r="A116" s="31"/>
      <c r="B116" s="31"/>
      <c r="C116" s="31"/>
      <c r="D116" s="31"/>
      <c r="E116" s="31"/>
      <c r="F116" s="31"/>
      <c r="G116" s="31"/>
    </row>
    <row r="117" spans="1:7" x14ac:dyDescent="0.25">
      <c r="A117" s="31"/>
      <c r="B117" s="31"/>
      <c r="C117" s="31"/>
      <c r="D117" s="31"/>
      <c r="E117" s="31"/>
      <c r="F117" s="31"/>
      <c r="G117" s="31"/>
    </row>
    <row r="118" spans="1:7" x14ac:dyDescent="0.25">
      <c r="A118" s="31"/>
      <c r="B118" s="31"/>
      <c r="C118" s="31"/>
      <c r="D118" s="31"/>
      <c r="E118" s="31"/>
      <c r="F118" s="31"/>
      <c r="G118" s="31"/>
    </row>
  </sheetData>
  <autoFilter ref="A2:U39">
    <filterColumn colId="4">
      <filters blank="1">
        <filter val="Denúncia com menos de 12 meses de aviso prévio incorre nas multas previstas na cl. 6.3"/>
        <filter val="Sim,  mediante notificação com 180 dias da data pretendida para rescisão. Cl 6.2 do 3º Aditivo."/>
        <filter val="Sim, mediante notificação com 180 dias da data pretendida para rescisão. Cl. 1.4 do 4º aditivo._x000a_Recisão apenas de uma operação parcial o prazo de rescisão é de 90 dias"/>
        <filter val="Sim, mediante notificação com 30 dias da data pretendida para rescisão CL 10.2"/>
        <filter val="Sim, mediante notificação com 30 dias da data pretendida para rescisão CL 11.1.1"/>
        <filter val="Sim, mediante notificação com 30 dias da data pretendida para rescisão CL 11.2"/>
        <filter val="Sim, mediante notificação com 30 dias da data pretendida para rescisão, mas tem multa. CL 10"/>
        <filter val="Sim, mediante notificação com 30 dias da data pretendida para rescisão."/>
        <filter val="Sim, mediante notificação com 30 dias da data pretendida para rescisão. CL 10"/>
        <filter val="Sim, mediante notificação com 30 dias da data pretendida para rescisão. CL 6"/>
        <filter val="Sim, mediante notificação com 30 dias da data pretendida para rescisão. Cl. 9.2"/>
        <filter val="Sim, mediante notificação com 60 dias da data pretendida para rescisão, mas tem multa. CL 10"/>
      </filters>
    </filterColumn>
  </autoFilter>
  <mergeCells count="1">
    <mergeCell ref="A1:Q1"/>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Dinâmica Conteúdos</vt:lpstr>
      <vt:lpstr>Planilha3</vt:lpstr>
      <vt:lpstr>Planilha5</vt:lpstr>
      <vt:lpstr>Contratos de Conteúdo</vt:lpstr>
      <vt:lpstr>Contratos Diversos</vt:lpstr>
    </vt:vector>
  </TitlesOfParts>
  <Company>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De Mello Tavares Lopes</dc:creator>
  <cp:lastModifiedBy>Fernanda De Mello Tavares Lopes</cp:lastModifiedBy>
  <dcterms:created xsi:type="dcterms:W3CDTF">2024-05-15T20:50:42Z</dcterms:created>
  <dcterms:modified xsi:type="dcterms:W3CDTF">2024-09-12T11:37:37Z</dcterms:modified>
</cp:coreProperties>
</file>