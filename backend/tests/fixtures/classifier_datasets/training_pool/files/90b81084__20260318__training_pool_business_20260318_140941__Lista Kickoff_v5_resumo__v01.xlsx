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i272873\Dados\# M&amp;A 2023\2024_01. Client Co\Kick-Off\"/>
    </mc:Choice>
  </mc:AlternateContent>
  <bookViews>
    <workbookView xWindow="0" yWindow="0" windowWidth="20490" windowHeight="7320" activeTab="1"/>
  </bookViews>
  <sheets>
    <sheet name="MTZ_Steakholders" sheetId="1" r:id="rId1"/>
    <sheet name="Lista Única Pessoas" sheetId="2" r:id="rId2"/>
    <sheet name="Agenda Reuniões" sheetId="3" r:id="rId3"/>
  </sheets>
  <definedNames>
    <definedName name="_xlnm._FilterDatabase" localSheetId="1" hidden="1">'Lista Única Pessoas'!$A$1:$F$198</definedName>
    <definedName name="_xlnm._FilterDatabase" localSheetId="0" hidden="1">MTZ_Steakholders!$A$1:$K$1</definedName>
    <definedName name="emailLink" localSheetId="0">MTZ_Steakholders!$J$2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68" i="2" l="1"/>
  <c r="C198" i="2"/>
  <c r="C197" i="2"/>
  <c r="C196" i="2"/>
  <c r="C195" i="2"/>
  <c r="C194" i="2"/>
  <c r="C193" i="2"/>
  <c r="C192" i="2"/>
  <c r="C191" i="2"/>
  <c r="C190" i="2"/>
  <c r="C189" i="2"/>
  <c r="C188" i="2"/>
  <c r="C187" i="2"/>
  <c r="C186" i="2"/>
  <c r="C185" i="2"/>
  <c r="C184" i="2"/>
  <c r="C183" i="2"/>
  <c r="C182" i="2"/>
  <c r="C181" i="2"/>
  <c r="C180" i="2"/>
  <c r="C179" i="2"/>
  <c r="C178" i="2"/>
  <c r="C177" i="2"/>
  <c r="C176" i="2"/>
  <c r="C175" i="2"/>
  <c r="C174" i="2"/>
  <c r="C173" i="2"/>
  <c r="C172" i="2"/>
  <c r="C171" i="2"/>
  <c r="C170" i="2"/>
  <c r="C169" i="2"/>
  <c r="C168" i="2"/>
  <c r="C167" i="2"/>
  <c r="C166" i="2"/>
  <c r="C165" i="2"/>
  <c r="C164" i="2"/>
  <c r="C163" i="2"/>
  <c r="C162" i="2"/>
  <c r="C161" i="2"/>
  <c r="C160" i="2"/>
  <c r="C159" i="2"/>
  <c r="C158" i="2"/>
  <c r="C157" i="2"/>
  <c r="C156" i="2"/>
  <c r="C155" i="2"/>
  <c r="C154" i="2"/>
  <c r="C153" i="2"/>
  <c r="C152" i="2"/>
  <c r="C151" i="2"/>
  <c r="C150" i="2"/>
  <c r="C149" i="2"/>
  <c r="C148" i="2"/>
  <c r="C147" i="2"/>
  <c r="C146" i="2"/>
  <c r="C145" i="2"/>
  <c r="C144" i="2"/>
  <c r="C143" i="2"/>
  <c r="C142" i="2"/>
  <c r="C141" i="2"/>
  <c r="C140" i="2"/>
  <c r="C139" i="2"/>
  <c r="C138" i="2"/>
  <c r="C137" i="2"/>
  <c r="C136" i="2"/>
  <c r="C135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</calcChain>
</file>

<file path=xl/comments1.xml><?xml version="1.0" encoding="utf-8"?>
<comments xmlns="http://schemas.openxmlformats.org/spreadsheetml/2006/main">
  <authors>
    <author>Charlene Santino Da Silva</author>
  </authors>
  <commentList>
    <comment ref="E1" authorId="0" shapeId="0">
      <text>
        <r>
          <rPr>
            <b/>
            <sz val="9"/>
            <color indexed="81"/>
            <rFont val="Segoe UI"/>
            <family val="2"/>
          </rPr>
          <t>Charlene Santino Da Silva:</t>
        </r>
        <r>
          <rPr>
            <sz val="9"/>
            <color indexed="81"/>
            <rFont val="Segoe UI"/>
            <family val="2"/>
          </rPr>
          <t xml:space="preserve">
Incluir número separado por "ponto e vírgula" conforme agenda reuniões</t>
        </r>
      </text>
    </comment>
  </commentList>
</comments>
</file>

<file path=xl/sharedStrings.xml><?xml version="1.0" encoding="utf-8"?>
<sst xmlns="http://schemas.openxmlformats.org/spreadsheetml/2006/main" count="1841" uniqueCount="466">
  <si>
    <t>NOME N1</t>
  </si>
  <si>
    <t>E-mail</t>
  </si>
  <si>
    <t>NOME N2</t>
  </si>
  <si>
    <t>NOME N3</t>
  </si>
  <si>
    <t>GESTOR IMEDIATO</t>
  </si>
  <si>
    <t>PONTO FOCAL</t>
  </si>
  <si>
    <t>Área</t>
  </si>
  <si>
    <t xml:space="preserve">Duilio De Novaes Alves </t>
  </si>
  <si>
    <t>duilio.alves@oi.net.br</t>
  </si>
  <si>
    <t>Kamila De Vasconcelos Vieira </t>
  </si>
  <si>
    <t>kamila.vieira@oi.net.br</t>
  </si>
  <si>
    <t>Alana de Souza Silva</t>
  </si>
  <si>
    <t>alana.silva@oi.net.br</t>
  </si>
  <si>
    <t>Riscos/Controles</t>
  </si>
  <si>
    <t>Adriana da Cunha Costa</t>
  </si>
  <si>
    <t>adriana.costa@oi.net.br</t>
  </si>
  <si>
    <t xml:space="preserve">Viviane Prado Perdigao </t>
  </si>
  <si>
    <t>viviane.perdigao@oi.net.br</t>
  </si>
  <si>
    <t>Jorge Luiz Da Silva Correia</t>
  </si>
  <si>
    <t>jorgelsc@oi.net.br</t>
  </si>
  <si>
    <t>Regulatório</t>
  </si>
  <si>
    <t>Carlos Vasconcelos Galvão</t>
  </si>
  <si>
    <t>carlosgalvao@oi.net.br</t>
  </si>
  <si>
    <t>Mayara Florencio Alves Rios </t>
  </si>
  <si>
    <t>mayara.rios@oi.net.br</t>
  </si>
  <si>
    <t>Adilson de Souza e Silva</t>
  </si>
  <si>
    <t>adilson.souza@oi.net.br</t>
  </si>
  <si>
    <t>Liliane Marins Diniz</t>
  </si>
  <si>
    <t>liliane.diniz@oi.net.br</t>
  </si>
  <si>
    <t>Paulo Erny Souza De Freitas</t>
  </si>
  <si>
    <t>pfreitas@oi.net.br</t>
  </si>
  <si>
    <t>Sandro Esteves Pires Martins</t>
  </si>
  <si>
    <t>sandro.martins@oi.net.br</t>
  </si>
  <si>
    <t>Mariana Oliveira Massuh Doher </t>
  </si>
  <si>
    <t>mariana.doher@oi.net.br</t>
  </si>
  <si>
    <t>Monica Cristina Felizardo Vasconcellos Dos Anjos</t>
  </si>
  <si>
    <t>monica.anjos@oi.net.br</t>
  </si>
  <si>
    <t>Maria Margarete da Rocha</t>
  </si>
  <si>
    <t>maria.rocha@oi.net.br</t>
  </si>
  <si>
    <t>Eduardo Levy Cardoso Moreira</t>
  </si>
  <si>
    <t>eduardo.levy@oi.net.br</t>
  </si>
  <si>
    <t>Ildeu Randolfo Borges Junior</t>
  </si>
  <si>
    <t>ildeu.borges@oi.net.br</t>
  </si>
  <si>
    <t>Rogerio Takayanagi</t>
  </si>
  <si>
    <t>rogerio.t@oi.net.br</t>
  </si>
  <si>
    <t>Luiz Henrique Soares Rosa </t>
  </si>
  <si>
    <t>luiz.rosa@oi.net.br</t>
  </si>
  <si>
    <t>Alessandro de Magalhães Barbosa</t>
  </si>
  <si>
    <t>alessandro.magalhaes@oi.net.br</t>
  </si>
  <si>
    <t>Charlene Santino da Silva</t>
  </si>
  <si>
    <t>charlene.silva@oi.net.br</t>
  </si>
  <si>
    <t>M&amp;A</t>
  </si>
  <si>
    <t>Francisco Anderson Pereira De Paiva </t>
  </si>
  <si>
    <t>francisco.paiva@oi.net.br</t>
  </si>
  <si>
    <t>Nathalia Piltz Correa</t>
  </si>
  <si>
    <t>nathalia.correa@oi.net.br</t>
  </si>
  <si>
    <t>Eduardo Reis Beraldo </t>
  </si>
  <si>
    <t>eduardo.beraldo@oi.net.br</t>
  </si>
  <si>
    <t>Viviane De Medeiros Calaca Gomes </t>
  </si>
  <si>
    <t>viviane.calaca@oi.net.br</t>
  </si>
  <si>
    <t>Thais Hiromi Nakazone</t>
  </si>
  <si>
    <t>thais.nakazone@oi.net.br</t>
  </si>
  <si>
    <t>Thiago Marcos Da Silva Barbosa</t>
  </si>
  <si>
    <t xml:space="preserve"> thiagobarbosa@oi.net.br</t>
  </si>
  <si>
    <t>Elly Resende Silva</t>
  </si>
  <si>
    <t>elly.resende@oi.net.br</t>
  </si>
  <si>
    <t>Karina Duprat Fortes </t>
  </si>
  <si>
    <t>karina.fortes@oi.net.br</t>
  </si>
  <si>
    <t>Transição</t>
  </si>
  <si>
    <t>NI</t>
  </si>
  <si>
    <t>Vanda Coutinho Neves De Almeida </t>
  </si>
  <si>
    <t>vandacna@oi.net.br</t>
  </si>
  <si>
    <t>Suporte Técnico</t>
  </si>
  <si>
    <t>Igor Friedrich Pinheiro</t>
  </si>
  <si>
    <t>igor.pinheiro@oi.net.br</t>
  </si>
  <si>
    <t>Cristiane Barretto Sales</t>
  </si>
  <si>
    <t xml:space="preserve"> cristiane.barretto@oi.net.br</t>
  </si>
  <si>
    <t>Andre Tavares Paradizi</t>
  </si>
  <si>
    <t>andre.paradizi@oi.net.br</t>
  </si>
  <si>
    <t>Patricia Decursi Gouveia de Souza</t>
  </si>
  <si>
    <t>patricia.gouveia@oi.net.br</t>
  </si>
  <si>
    <t>Anderson Luis da Silva de Souza</t>
  </si>
  <si>
    <t>andersonlss@oi.net.br</t>
  </si>
  <si>
    <t>Controladoria</t>
  </si>
  <si>
    <t>Francisco Paulo Macambira Haick </t>
  </si>
  <si>
    <t>francisco.haick@oi.net.br</t>
  </si>
  <si>
    <t>Patricia Ann Necyk</t>
  </si>
  <si>
    <t>pan@oi.net.br</t>
  </si>
  <si>
    <t>Adriana Fragoso</t>
  </si>
  <si>
    <t>adriana.fragoso@oi.net.br</t>
  </si>
  <si>
    <t>Contabilidade</t>
  </si>
  <si>
    <t>Priscila Duarte De Oliveira</t>
  </si>
  <si>
    <t>priscila.oliveira@oi.net.br</t>
  </si>
  <si>
    <t>Patricia Almeida</t>
  </si>
  <si>
    <t>patricia.maria@oi.net.br</t>
  </si>
  <si>
    <t>Celiane Sousa Vieira</t>
  </si>
  <si>
    <t>celiane.vieira@oi.net.br</t>
  </si>
  <si>
    <t>Marcelo Gomes</t>
  </si>
  <si>
    <t>marcelo.gomes@oi.net.br</t>
  </si>
  <si>
    <t>Alessandra Leandro de Oliveira</t>
  </si>
  <si>
    <t>alessandra.leandro@oi.net.br</t>
  </si>
  <si>
    <t>Jonas de Azevedo Almeida</t>
  </si>
  <si>
    <t>jonas.almeida@oi.net.br</t>
  </si>
  <si>
    <t>Mateus Pacheco De Oliveira Santos </t>
  </si>
  <si>
    <t>mateussantos@oi.net.br</t>
  </si>
  <si>
    <t>Lilian Carmen de Freitas</t>
  </si>
  <si>
    <t>lilian.freitas@oi.net.br</t>
  </si>
  <si>
    <t>Priscila Bittencourt Martins Mannino</t>
  </si>
  <si>
    <t>priscila.mannino@oi.net.br</t>
  </si>
  <si>
    <t>Planejamento Digital</t>
  </si>
  <si>
    <t>Pedro De Andrade Franca</t>
  </si>
  <si>
    <t>pedro.franca@oi.net.br</t>
  </si>
  <si>
    <t>Philippe Reis Brasil</t>
  </si>
  <si>
    <t>Elisabete de Sousa Ribeiro</t>
  </si>
  <si>
    <t>elisabete.ribeiro@oi.net.br</t>
  </si>
  <si>
    <t>Tesouraria</t>
  </si>
  <si>
    <t>Carolina Gava</t>
  </si>
  <si>
    <t>carolina.gava@oi.net.br</t>
  </si>
  <si>
    <t>Daniele Morais Silva Gouvea </t>
  </si>
  <si>
    <t>daniele.gouvea@oi.net.br</t>
  </si>
  <si>
    <t>Liege Casqueiro </t>
  </si>
  <si>
    <t>liege.casqueiro@oi.net.br</t>
  </si>
  <si>
    <t>Camila Costa da Silva</t>
  </si>
  <si>
    <t>camilacosta@oi.net.br</t>
  </si>
  <si>
    <t>Seguros</t>
  </si>
  <si>
    <t>Leonardo Bauer Marinho</t>
  </si>
  <si>
    <t>leonardo.marinho@oi.net.br</t>
  </si>
  <si>
    <t>Ana Kelly Da Silva Carneiro</t>
  </si>
  <si>
    <t>ana.carneiro@oi.net.br</t>
  </si>
  <si>
    <t>Manuela Barros de Sá Grande</t>
  </si>
  <si>
    <t>manuela.grande@oi.net.br</t>
  </si>
  <si>
    <t>Fernanda Beserra De Almeida</t>
  </si>
  <si>
    <t>fernanda.almeida@oi.net.br</t>
  </si>
  <si>
    <t>CAP</t>
  </si>
  <si>
    <t>Eduardo Streit</t>
  </si>
  <si>
    <t>eduardo.streit@oi.net.br</t>
  </si>
  <si>
    <t>Caixa</t>
  </si>
  <si>
    <t>Flavia Sobreira Casali Lima Bastos</t>
  </si>
  <si>
    <t>flaviacasali@oi.net.br</t>
  </si>
  <si>
    <t>Paulo Roberto Salgueiro Vidal</t>
  </si>
  <si>
    <t>paulo.vidal@oi.net.br</t>
  </si>
  <si>
    <t>Cristiana Teixeira de Luna Freire</t>
  </si>
  <si>
    <t>cristiana.freire@oi.net.br</t>
  </si>
  <si>
    <t>Tributos/Fiscal</t>
  </si>
  <si>
    <t>Marcos Carneiro Pereira</t>
  </si>
  <si>
    <t>marcospereira@oi.net.br</t>
  </si>
  <si>
    <t>Erika Braga</t>
  </si>
  <si>
    <t>erika.braga@oi.net.br</t>
  </si>
  <si>
    <t>Elaine Vermil Lima Santiago</t>
  </si>
  <si>
    <t>elaine.santiago@oi.net.br</t>
  </si>
  <si>
    <t>Christie Ramos Opytaciano Dos Santos</t>
  </si>
  <si>
    <t>christie.santos@oi.net.br</t>
  </si>
  <si>
    <t>Diogo Gomes Santos de Santana</t>
  </si>
  <si>
    <t>diogo.santana@oi.net.br</t>
  </si>
  <si>
    <t>Rafael da Silva Farias</t>
  </si>
  <si>
    <t>rafael.farias@oi.net.br</t>
  </si>
  <si>
    <t>Hozana Guimarães de Sá Braga</t>
  </si>
  <si>
    <t>hozana.braga@oi.net.br</t>
  </si>
  <si>
    <t>Francisco Herio Rodrigues Freire</t>
  </si>
  <si>
    <t>francisco.freire@oi.net.br</t>
  </si>
  <si>
    <t>Aroldo Candido Junior </t>
  </si>
  <si>
    <t>aroldo.junior@oi.net.br</t>
  </si>
  <si>
    <t>Bruno Macedo Soares</t>
  </si>
  <si>
    <t>bmacedo@oi.net.br</t>
  </si>
  <si>
    <t>Paulo Jose Amantino Rodrigues</t>
  </si>
  <si>
    <t>paulo.amantino@oi.net.br</t>
  </si>
  <si>
    <t>PDD</t>
  </si>
  <si>
    <t>Daniel Cattete Sanguedo</t>
  </si>
  <si>
    <t>daniel.sanguedo@oi.net.br</t>
  </si>
  <si>
    <t>Camilla Luciano Teixeira</t>
  </si>
  <si>
    <t>camilla.teixeira@oi.net.br</t>
  </si>
  <si>
    <t>Contas a receber</t>
  </si>
  <si>
    <t>Bruno de Sousa Oliveira</t>
  </si>
  <si>
    <t>bruno.sousa@oi.net.br</t>
  </si>
  <si>
    <t>Cobrança</t>
  </si>
  <si>
    <t>Altevo Carlos De Sa Volotao</t>
  </si>
  <si>
    <t>altevo.volotao@oi.net.br</t>
  </si>
  <si>
    <t>Iara Kelli da Cruz Braga</t>
  </si>
  <si>
    <t>iara.braga@oi.net.br</t>
  </si>
  <si>
    <t>Jocely Rocha dos Santos</t>
  </si>
  <si>
    <t xml:space="preserve"> jocely.santos@oi.net.br</t>
  </si>
  <si>
    <t>Faturamento</t>
  </si>
  <si>
    <t>Monica Sant Anna Paetzoldt </t>
  </si>
  <si>
    <t>monica.paetzoldt@oi.net.br</t>
  </si>
  <si>
    <t>Alessandro Luiz Varme Dias</t>
  </si>
  <si>
    <t>alessandro.varme@oi.net.br</t>
  </si>
  <si>
    <t>Andre Pereira Lopes</t>
  </si>
  <si>
    <t>andrelopes@oi.net.br</t>
  </si>
  <si>
    <t>Fraude</t>
  </si>
  <si>
    <t>Daniel Hermeto</t>
  </si>
  <si>
    <t>daniel.hermeto@oi.net.br</t>
  </si>
  <si>
    <t>Evandro Schimming Smith Angelo</t>
  </si>
  <si>
    <t>evandro.angelo@oi.net.br</t>
  </si>
  <si>
    <t>Bernardo Maturo Ieno</t>
  </si>
  <si>
    <t>bernardo.ieno@oi.net.br</t>
  </si>
  <si>
    <t>Miriam Castro Granado Valladas </t>
  </si>
  <si>
    <t xml:space="preserve"> miriam.valladas@oi.net.br</t>
  </si>
  <si>
    <t>Patrimonio</t>
  </si>
  <si>
    <t>Adriano Andrey Israel</t>
  </si>
  <si>
    <t>adriano.israel@oi.net.br</t>
  </si>
  <si>
    <t>Marcia Helena da Fonseca</t>
  </si>
  <si>
    <t>marcia.fonseca@oi.net.br</t>
  </si>
  <si>
    <t>Imóveis</t>
  </si>
  <si>
    <t>Luiz Fellipe Mendes Vieira </t>
  </si>
  <si>
    <t>luiz.vieira@oi.net.br</t>
  </si>
  <si>
    <t>Rafael Maia De Vasconcelos Muniz</t>
  </si>
  <si>
    <t>rafael.muniz@oi.net.br</t>
  </si>
  <si>
    <t>Suprimentos</t>
  </si>
  <si>
    <t>Ana Thereza Silva Miguelote</t>
  </si>
  <si>
    <t>ana.miguelote@oi.net.br</t>
  </si>
  <si>
    <t>Carolina Arlotta</t>
  </si>
  <si>
    <t>carolina.arlotta@oi.net.br</t>
  </si>
  <si>
    <t>Energia</t>
  </si>
  <si>
    <t>Thalles Paixao</t>
  </si>
  <si>
    <t xml:space="preserve"> thalles.paixao@oi.net.br</t>
  </si>
  <si>
    <t>Fernando Raposo Franco</t>
  </si>
  <si>
    <t>fernando.franco@oi.net.br</t>
  </si>
  <si>
    <t>Pedro Rique Nepomuceno</t>
  </si>
  <si>
    <t>pedro.nepomuceno@oi.net.br</t>
  </si>
  <si>
    <t>Alessandra Lima Ramos de Mattos Benevides</t>
  </si>
  <si>
    <t>alessandra.benevides@oi.net.br</t>
  </si>
  <si>
    <t>Jur Tributario</t>
  </si>
  <si>
    <t xml:space="preserve">Julia Villares Torres </t>
  </si>
  <si>
    <t>julia.torres@oi.net.br</t>
  </si>
  <si>
    <t>Luiz Felipe Neves Do Couto Vargas </t>
  </si>
  <si>
    <t>luizf.vargas@oi.net,br</t>
  </si>
  <si>
    <t>Jur Civel Estrategico e Regulamento</t>
  </si>
  <si>
    <t>Williams Pereira Junior</t>
  </si>
  <si>
    <t>williams.pereira@oi.net.br</t>
  </si>
  <si>
    <t>Douglas Tostes Coelho</t>
  </si>
  <si>
    <t>douglas.coelho@oi.net.br</t>
  </si>
  <si>
    <t>Jur Trabalhista</t>
  </si>
  <si>
    <t>Gustavo Medina Miranda Da Silva</t>
  </si>
  <si>
    <t>gustavo.medina@oi.net.br</t>
  </si>
  <si>
    <t>Viviane Lima Marques</t>
  </si>
  <si>
    <t>viviane.marques@oi.net.br</t>
  </si>
  <si>
    <t>Elen Marques Souto La Croix</t>
  </si>
  <si>
    <t>elen.souto@oi.net.br</t>
  </si>
  <si>
    <t>Fabricio Cardoso De Faria Martins</t>
  </si>
  <si>
    <t>fabricio.martins@oi.net.br</t>
  </si>
  <si>
    <t>Derick Ian Ferreira Machado De Assis</t>
  </si>
  <si>
    <t>derick.assis@oi.net.br</t>
  </si>
  <si>
    <t>Jur Consumidor</t>
  </si>
  <si>
    <t>Adriana Velhote</t>
  </si>
  <si>
    <t>adriana.velhote@oi.net.br</t>
  </si>
  <si>
    <t>Daniella Geszikter Ventura</t>
  </si>
  <si>
    <t>daniella.ventura@oi.net.br</t>
  </si>
  <si>
    <t>Barbara Erthal Pinheiro</t>
  </si>
  <si>
    <t>barbara.erthal@oi.net.br</t>
  </si>
  <si>
    <t>Jur Societário</t>
  </si>
  <si>
    <t>Leandro Diogo Luz</t>
  </si>
  <si>
    <t>leandro.luz@oi.net.br</t>
  </si>
  <si>
    <t>Marina Silva</t>
  </si>
  <si>
    <t>marina.maciel@oi.net.br</t>
  </si>
  <si>
    <t>Caio Marcio Gusmon</t>
  </si>
  <si>
    <t>caio.gusmon@oi.net.br</t>
  </si>
  <si>
    <t>Bruno Diehl</t>
  </si>
  <si>
    <t>bruno.diehl@oi.net.br</t>
  </si>
  <si>
    <t>Viviane Aparecida De Jesus </t>
  </si>
  <si>
    <t>vivian.jesus@oi.net.br</t>
  </si>
  <si>
    <t>Marcelo Nogueira</t>
  </si>
  <si>
    <t>marcelo.nogueira@oi.net.br</t>
  </si>
  <si>
    <t>Sistemas TI</t>
  </si>
  <si>
    <t>Marlon Junqueira Reis </t>
  </si>
  <si>
    <t>marlon.reis@oi.net.br</t>
  </si>
  <si>
    <t>Melchiades Neto </t>
  </si>
  <si>
    <t>melchiades.neto@oi.net.br</t>
  </si>
  <si>
    <t>Gabriel Vidal da Silva</t>
  </si>
  <si>
    <t>gabriel.vidal@oi.net.br</t>
  </si>
  <si>
    <t xml:space="preserve">Francis Valente De Souza </t>
  </si>
  <si>
    <t>francis.souza@oi.net.br</t>
  </si>
  <si>
    <t>Willian Harrison de Oliveira Marcelino</t>
  </si>
  <si>
    <t>willian.marcelino@oi.net.br</t>
  </si>
  <si>
    <t xml:space="preserve">Cristiane Dias E Alpoim Jacobson </t>
  </si>
  <si>
    <t>cristiane.jacobson@oi.net.br</t>
  </si>
  <si>
    <t xml:space="preserve">Alexandre De Souza Soares </t>
  </si>
  <si>
    <t>alexandre.ssoares@oi.net.br</t>
  </si>
  <si>
    <t xml:space="preserve">Guilherme Pinheiro Da Fonseca Pascoa </t>
  </si>
  <si>
    <t>guilherme.pascoa@oi.net.br</t>
  </si>
  <si>
    <t xml:space="preserve">Gustavo Queiroz Da Silva Pinto </t>
  </si>
  <si>
    <t>gustavo.queiroz@oi.net.br</t>
  </si>
  <si>
    <t xml:space="preserve">Paulo Cezar Da Silva </t>
  </si>
  <si>
    <t>paulos@oi.net.br</t>
  </si>
  <si>
    <t xml:space="preserve">Eduardo Damasceno </t>
  </si>
  <si>
    <t>eduardo.damasceno@oi.net.br</t>
  </si>
  <si>
    <t xml:space="preserve">Ramilson Nepomuceno Filho </t>
  </si>
  <si>
    <t>ramilson.filho@oi.net.br</t>
  </si>
  <si>
    <t xml:space="preserve">Ana Luiza Cunha E Silva Jorge </t>
  </si>
  <si>
    <t>ana.luiza@oi.net.br</t>
  </si>
  <si>
    <t>Carolina Darigo Kopschitz Facchinetti</t>
  </si>
  <si>
    <t>carolina.barros@oi.net.br</t>
  </si>
  <si>
    <t>Sandra Schittini </t>
  </si>
  <si>
    <t>sandra.schittini@oi.net.br</t>
  </si>
  <si>
    <t>Carlos Alberto Sant Anna Lapa</t>
  </si>
  <si>
    <t>carlos.lapa@oi.net.br</t>
  </si>
  <si>
    <t>Viviane Godoy Maximo Da Silva</t>
  </si>
  <si>
    <t>vivianeg@oi.net.br</t>
  </si>
  <si>
    <t>Antonio Carlos Da Silva Gomes</t>
  </si>
  <si>
    <t>antonio.silva.gomes@oi.net.br</t>
  </si>
  <si>
    <t>Daniel Nassur De Souza</t>
  </si>
  <si>
    <t>daniel.nassur@oi.net.br</t>
  </si>
  <si>
    <t xml:space="preserve">Hudson Conceicao Da Silva </t>
  </si>
  <si>
    <t>hudson.silva@oi.net.br</t>
  </si>
  <si>
    <t>David Sodre Da Silva Ferreira</t>
  </si>
  <si>
    <t>david.sodre@oi.net.br</t>
  </si>
  <si>
    <t xml:space="preserve">Rodrigo Distasio Maia </t>
  </si>
  <si>
    <t>rodrigo.maia@oi.net.br</t>
  </si>
  <si>
    <t xml:space="preserve">Viviane Pessoa Cruz </t>
  </si>
  <si>
    <t>viviane.cruz@oi.net.br</t>
  </si>
  <si>
    <t xml:space="preserve">Iva Vieira Rivetti </t>
  </si>
  <si>
    <t>iva.rivetti@oi.net.br</t>
  </si>
  <si>
    <t xml:space="preserve">Elaine Ortega Gonzo Funchal Camacho </t>
  </si>
  <si>
    <t>elaine.camacho@oi.net.br</t>
  </si>
  <si>
    <t>Lia Bedoucha </t>
  </si>
  <si>
    <t>lia.bedoucha@oi.net.br</t>
  </si>
  <si>
    <t>Regina Celia de Souza Montes </t>
  </si>
  <si>
    <t>regina.montes@oi.net.br</t>
  </si>
  <si>
    <t>Soraia Andreia Casagrande </t>
  </si>
  <si>
    <t>soraia.casagrande@oi.net.br</t>
  </si>
  <si>
    <t>Alexandre Luiz Furtado Domingues</t>
  </si>
  <si>
    <t>alexandre.domingues@oi.net.br</t>
  </si>
  <si>
    <t>Ana Carolina Sarno De Mattos</t>
  </si>
  <si>
    <t>anamattos@oi.net.br</t>
  </si>
  <si>
    <t xml:space="preserve">Taian Nunes Buriche </t>
  </si>
  <si>
    <t>taian@oi.net.br</t>
  </si>
  <si>
    <t>Infra e Operações TI</t>
  </si>
  <si>
    <t>Wagner Gomes Triano</t>
  </si>
  <si>
    <t>wagner.triano@oi.net.br</t>
  </si>
  <si>
    <t>Cid Antunes Horta Junior</t>
  </si>
  <si>
    <t>cid.junior@oi.net.br</t>
  </si>
  <si>
    <t>Cesar Augusto Bento Do Nascimento</t>
  </si>
  <si>
    <t>cesar.nascimento@oi.net.br</t>
  </si>
  <si>
    <t xml:space="preserve">Luis Felipe De Moura Ramiz Wright </t>
  </si>
  <si>
    <t>luis.wright@oi.net.br</t>
  </si>
  <si>
    <t>Arquitetura TI</t>
  </si>
  <si>
    <t xml:space="preserve">Sergio Ricardo Neto Figueiredo </t>
  </si>
  <si>
    <t>sergio.figueiredo@oi.net.br</t>
  </si>
  <si>
    <t>Ulisses Fonseca Alves</t>
  </si>
  <si>
    <t>ulisses.alves@oi.net.br</t>
  </si>
  <si>
    <t>Bruno De Almeida Palombo</t>
  </si>
  <si>
    <t>bruno.palombo@oi.net.br</t>
  </si>
  <si>
    <t xml:space="preserve">Herivelton Pereira </t>
  </si>
  <si>
    <t>herivelton.santo@oi.net.br</t>
  </si>
  <si>
    <t>Data Analytics</t>
  </si>
  <si>
    <t xml:space="preserve">Paulo Behling </t>
  </si>
  <si>
    <t>paulo.behling@oi.net.br</t>
  </si>
  <si>
    <t>Alessandra Perrelli</t>
  </si>
  <si>
    <t>alessandra.perrelli@oi.net.br</t>
  </si>
  <si>
    <t>Juscelino Ribeiro Carvalho</t>
  </si>
  <si>
    <t>juscelino.carvalho@oi.net.br</t>
  </si>
  <si>
    <t>Gustavo Roberto Brambila</t>
  </si>
  <si>
    <t>gbrambila@oi.net.br</t>
  </si>
  <si>
    <t>Rafael Freitas De Amorim</t>
  </si>
  <si>
    <t>rafael.amorim@oi.net.br</t>
  </si>
  <si>
    <t>Operação de Rede e SI</t>
  </si>
  <si>
    <t>Thiago Vasconcelos</t>
  </si>
  <si>
    <t>thiago.vasconcelos@oi.net.br</t>
  </si>
  <si>
    <t>Eduardo Pedreira De Oliveira</t>
  </si>
  <si>
    <t>eduardo.oliveira@oi.net.br</t>
  </si>
  <si>
    <t>Leonardo Medeiros Serejo </t>
  </si>
  <si>
    <t>leonardo.serejo@oi.net.br</t>
  </si>
  <si>
    <t>Logística</t>
  </si>
  <si>
    <t xml:space="preserve">Clarita Ferreira </t>
  </si>
  <si>
    <t>clarita.ferreira@oi.net.br</t>
  </si>
  <si>
    <t>Duhare Da Silveira Fernandes</t>
  </si>
  <si>
    <t>duhare.fernandes@oi.net.br</t>
  </si>
  <si>
    <t>River De Morais E Silva</t>
  </si>
  <si>
    <t>river@oi.net.br</t>
  </si>
  <si>
    <t>Nivaldo Santos</t>
  </si>
  <si>
    <t xml:space="preserve"> nivaldo.santos@oi.net.br</t>
  </si>
  <si>
    <t>Marcio Daudt da Silva</t>
  </si>
  <si>
    <t>marcio.daudt@oi.net.br</t>
  </si>
  <si>
    <t>Segurança da Informação</t>
  </si>
  <si>
    <t>Ricardo Luiz Pereira Cotovio</t>
  </si>
  <si>
    <t>ricardo.cotovio@oi.net.br</t>
  </si>
  <si>
    <t>Rafael Pereira Alcantara</t>
  </si>
  <si>
    <t>rafael.alcantara@oi.net.br</t>
  </si>
  <si>
    <t>Marcos Mendes</t>
  </si>
  <si>
    <t>marcos.mendes@oi.net.br</t>
  </si>
  <si>
    <t>Ricardo Goulart</t>
  </si>
  <si>
    <t>rgoulart@oi.net.br</t>
  </si>
  <si>
    <t>Valeria Da Conceicao Braga</t>
  </si>
  <si>
    <t>valeria.braga@oi.net.br</t>
  </si>
  <si>
    <t>Raul Luiz Dond Filho</t>
  </si>
  <si>
    <t>raul.dond@oi.net.br</t>
  </si>
  <si>
    <t xml:space="preserve">RH - Remuneração, Planejamento e Gestão </t>
  </si>
  <si>
    <t>Carlos Eduardo da Rocha Andrade</t>
  </si>
  <si>
    <t>carlos.andrade@oi.net.br&gt;</t>
  </si>
  <si>
    <t>Jussara Petra Rocha</t>
  </si>
  <si>
    <t>jussara.rocha@oi.net.br</t>
  </si>
  <si>
    <t>Ariane Fonseca Vieira</t>
  </si>
  <si>
    <t>ariane.vieira@oi.net.br</t>
  </si>
  <si>
    <t>Cintia Zozimo Marques Rau</t>
  </si>
  <si>
    <t>cintia.rau@oi.net.br</t>
  </si>
  <si>
    <t>RH - Relac. Trab., Seg.</t>
  </si>
  <si>
    <t>Fabricio Bindi</t>
  </si>
  <si>
    <t xml:space="preserve"> fabricio.bindi@oi.net.br</t>
  </si>
  <si>
    <t>Francisco Jose Thurler Tecles Junior</t>
  </si>
  <si>
    <t>francisco.tecles@oi.net.br</t>
  </si>
  <si>
    <t>Felicia Daquino Nonato Rosetti</t>
  </si>
  <si>
    <t>felicia@oi.net.br</t>
  </si>
  <si>
    <t>Varejo</t>
  </si>
  <si>
    <t>Daniela Greco Guasti</t>
  </si>
  <si>
    <t>daniela.greco@oi.net.br</t>
  </si>
  <si>
    <t>Renato Da Costa Elias</t>
  </si>
  <si>
    <t>renato.elias@oi.net.br</t>
  </si>
  <si>
    <t>Hugo Leonardo Spiller Nascimento</t>
  </si>
  <si>
    <t>hugo.nascimento@oi.net.br</t>
  </si>
  <si>
    <t>Rafael De Almeida Rodrigues</t>
  </si>
  <si>
    <t>rafael.almeida@oi.net.br</t>
  </si>
  <si>
    <t>Priscila Monteza Cardoso</t>
  </si>
  <si>
    <t>priscila.monteza@oi.net.br</t>
  </si>
  <si>
    <t>Josecler Baptista Alves</t>
  </si>
  <si>
    <t>josecler.alves@oi.net.br</t>
  </si>
  <si>
    <t>Luis Filipe Meira Fernandez</t>
  </si>
  <si>
    <t>lfmeira@oi.net.br</t>
  </si>
  <si>
    <t>Anderson Luiz Fernandes Esteves</t>
  </si>
  <si>
    <t>anderson.esteves@oi.net.br</t>
  </si>
  <si>
    <t>Empresarial</t>
  </si>
  <si>
    <t>Thiego Fernandes Sampaio</t>
  </si>
  <si>
    <t>thiego.sampaio@oi.net.br</t>
  </si>
  <si>
    <t>Ana Cristina Guimaraes Murad</t>
  </si>
  <si>
    <t>anamurad@oi.net.br</t>
  </si>
  <si>
    <t>Livia Marquez Rocha</t>
  </si>
  <si>
    <t>livia.marquez@oi.net.br</t>
  </si>
  <si>
    <t>Barbara Coelho Martinho</t>
  </si>
  <si>
    <t>barbara.martinho@oi.net.br</t>
  </si>
  <si>
    <t>Comunicação</t>
  </si>
  <si>
    <t>Giovani Cristiano Da Silva</t>
  </si>
  <si>
    <t>giovani.silva@oi.net.br</t>
  </si>
  <si>
    <t>Jomerson Da Silva Almeida</t>
  </si>
  <si>
    <t>jomerson.almeida@oi.net.br</t>
  </si>
  <si>
    <t>Diego de Avelar Ferreira</t>
  </si>
  <si>
    <t>diego.avelar@oi.net.br</t>
  </si>
  <si>
    <t>Atendimento</t>
  </si>
  <si>
    <t>Fernanda Cristina Lisboa Fischer</t>
  </si>
  <si>
    <t>fernanda.fischer@oi.net.br</t>
  </si>
  <si>
    <t>Transformação</t>
  </si>
  <si>
    <t>Fernando Vairolatti Del Negro Fonseca</t>
  </si>
  <si>
    <t>fernando.fonseca@oi.net.br</t>
  </si>
  <si>
    <t>Planejamento</t>
  </si>
  <si>
    <t>Nomes</t>
  </si>
  <si>
    <t>E-mails</t>
  </si>
  <si>
    <t>Nivel</t>
  </si>
  <si>
    <t>N1</t>
  </si>
  <si>
    <t>N2</t>
  </si>
  <si>
    <t>N3</t>
  </si>
  <si>
    <t>cristiane.barretto@oi.net.br</t>
  </si>
  <si>
    <t>fabricio.bindi@oi.net.br</t>
  </si>
  <si>
    <t>thalles.paixao@oi.net.br</t>
  </si>
  <si>
    <t>thiagobarbosa@oi.net.br</t>
  </si>
  <si>
    <t>Gestor Imediato</t>
  </si>
  <si>
    <t>Ponto Focal</t>
  </si>
  <si>
    <t>N</t>
  </si>
  <si>
    <t>S</t>
  </si>
  <si>
    <t>Incluir na reunião</t>
  </si>
  <si>
    <t>Agenda de Reunião</t>
  </si>
  <si>
    <t>Daily M&amp;A</t>
  </si>
  <si>
    <t>Weekly Executiva</t>
  </si>
  <si>
    <t>Quinzenal Executiva</t>
  </si>
  <si>
    <t>Qua 11hs</t>
  </si>
  <si>
    <t>Qui 11hs</t>
  </si>
  <si>
    <t>10hs</t>
  </si>
  <si>
    <t>Mensal CDG</t>
  </si>
  <si>
    <t>Após a confirmação dos participantes, iremos propor a agenda das reuniões das frentes de trabalho.</t>
  </si>
  <si>
    <t>Enviar 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</si>
</sst>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1" fillId="2" borderId="0" xfId="0" applyFont="1" applyFill="1" applyBorder="1" applyAlignment="1">
      <alignment vertical="center"/>
    </xf>
    <xf numFmtId="0" fontId="0" fillId="0" borderId="0" xfId="0" applyFill="1"/>
    <xf numFmtId="0" fontId="0" fillId="0" borderId="0" xfId="0" applyFont="1" applyFill="1"/>
    <xf numFmtId="0" fontId="0" fillId="0" borderId="0" xfId="0" applyFont="1" applyFill="1" applyAlignment="1">
      <alignment horizontal="left"/>
    </xf>
    <xf numFmtId="0" fontId="3" fillId="0" borderId="0" xfId="1" applyFont="1" applyFill="1"/>
    <xf numFmtId="0" fontId="0" fillId="0" borderId="0" xfId="0" applyFont="1" applyFill="1" applyAlignment="1">
      <alignment vertical="center"/>
    </xf>
    <xf numFmtId="0" fontId="3" fillId="0" borderId="0" xfId="1" applyFont="1" applyFill="1" applyBorder="1"/>
    <xf numFmtId="0" fontId="0" fillId="0" borderId="0" xfId="1" applyFont="1" applyFill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Fill="1" applyBorder="1" applyAlignment="1">
      <alignment horizontal="left"/>
    </xf>
    <xf numFmtId="0" fontId="4" fillId="0" borderId="0" xfId="0" applyFont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daniella.ventura@oi.net.br" TargetMode="External"/><Relationship Id="rId299" Type="http://schemas.openxmlformats.org/officeDocument/2006/relationships/hyperlink" Target="mailto:francisco.haick@oi.net.br" TargetMode="External"/><Relationship Id="rId303" Type="http://schemas.openxmlformats.org/officeDocument/2006/relationships/hyperlink" Target="mailto:pan@oi.net.br" TargetMode="External"/><Relationship Id="rId21" Type="http://schemas.openxmlformats.org/officeDocument/2006/relationships/hyperlink" Target="mailto:thiago.vasconcelos@oi.net.br" TargetMode="External"/><Relationship Id="rId42" Type="http://schemas.openxmlformats.org/officeDocument/2006/relationships/hyperlink" Target="mailto:caio.gusmon@oi.net.br" TargetMode="External"/><Relationship Id="rId63" Type="http://schemas.openxmlformats.org/officeDocument/2006/relationships/hyperlink" Target="mailto:caio.gusmon@oi.net.br" TargetMode="External"/><Relationship Id="rId84" Type="http://schemas.openxmlformats.org/officeDocument/2006/relationships/hyperlink" Target="mailto:daniel.nassur@oi.net.br" TargetMode="External"/><Relationship Id="rId138" Type="http://schemas.openxmlformats.org/officeDocument/2006/relationships/hyperlink" Target="mailto:eduardo.beraldo@oi.net.br" TargetMode="External"/><Relationship Id="rId159" Type="http://schemas.openxmlformats.org/officeDocument/2006/relationships/hyperlink" Target="mailto:clarita.ferreira@oi.net.br" TargetMode="External"/><Relationship Id="rId324" Type="http://schemas.openxmlformats.org/officeDocument/2006/relationships/hyperlink" Target="mailto:ildeu.borges@oi.net.br" TargetMode="External"/><Relationship Id="rId345" Type="http://schemas.openxmlformats.org/officeDocument/2006/relationships/hyperlink" Target="mailto:gbrambila@oi.net.br" TargetMode="External"/><Relationship Id="rId366" Type="http://schemas.openxmlformats.org/officeDocument/2006/relationships/hyperlink" Target="mailto:sandra.schittini@oi.net.br" TargetMode="External"/><Relationship Id="rId170" Type="http://schemas.openxmlformats.org/officeDocument/2006/relationships/hyperlink" Target="mailto:anderson.esteves@oi.net.br" TargetMode="External"/><Relationship Id="rId191" Type="http://schemas.openxmlformats.org/officeDocument/2006/relationships/hyperlink" Target="mailto:barbara.erthal@oi.net.br" TargetMode="External"/><Relationship Id="rId205" Type="http://schemas.openxmlformats.org/officeDocument/2006/relationships/hyperlink" Target="mailto:patricia.gouveia@oi.net.br" TargetMode="External"/><Relationship Id="rId226" Type="http://schemas.openxmlformats.org/officeDocument/2006/relationships/hyperlink" Target="mailto:ana.miguelote@oi.net.br" TargetMode="External"/><Relationship Id="rId247" Type="http://schemas.openxmlformats.org/officeDocument/2006/relationships/hyperlink" Target="mailto:ana.luiza@oi.net.br" TargetMode="External"/><Relationship Id="rId107" Type="http://schemas.openxmlformats.org/officeDocument/2006/relationships/hyperlink" Target="mailto:bruno.diehl@oi.net.br" TargetMode="External"/><Relationship Id="rId268" Type="http://schemas.openxmlformats.org/officeDocument/2006/relationships/hyperlink" Target="mailto:ricardo.cotovio@oi.net.br" TargetMode="External"/><Relationship Id="rId289" Type="http://schemas.openxmlformats.org/officeDocument/2006/relationships/hyperlink" Target="mailto:andre.paradizi@oi.net.br" TargetMode="External"/><Relationship Id="rId11" Type="http://schemas.openxmlformats.org/officeDocument/2006/relationships/hyperlink" Target="mailto:rgoulart@oi.net.br" TargetMode="External"/><Relationship Id="rId32" Type="http://schemas.openxmlformats.org/officeDocument/2006/relationships/hyperlink" Target="mailto:anamattos@oi.net.br" TargetMode="External"/><Relationship Id="rId53" Type="http://schemas.openxmlformats.org/officeDocument/2006/relationships/hyperlink" Target="mailto:caio.gusmon@oi.net.br" TargetMode="External"/><Relationship Id="rId74" Type="http://schemas.openxmlformats.org/officeDocument/2006/relationships/hyperlink" Target="mailto:vivian.jesus@oi.net.br" TargetMode="External"/><Relationship Id="rId128" Type="http://schemas.openxmlformats.org/officeDocument/2006/relationships/hyperlink" Target="mailto:pedro.franca@oi.net.br" TargetMode="External"/><Relationship Id="rId149" Type="http://schemas.openxmlformats.org/officeDocument/2006/relationships/hyperlink" Target="mailto:adriana.costa@oi.net.br" TargetMode="External"/><Relationship Id="rId314" Type="http://schemas.openxmlformats.org/officeDocument/2006/relationships/hyperlink" Target="mailto:williams.pereira@oi.net.br" TargetMode="External"/><Relationship Id="rId335" Type="http://schemas.openxmlformats.org/officeDocument/2006/relationships/hyperlink" Target="mailto:mayara.rios@oi.net.br" TargetMode="External"/><Relationship Id="rId356" Type="http://schemas.openxmlformats.org/officeDocument/2006/relationships/hyperlink" Target="mailto:adriana.costa@oi.net.br" TargetMode="External"/><Relationship Id="rId377" Type="http://schemas.openxmlformats.org/officeDocument/2006/relationships/hyperlink" Target="mailto:viviane.perdigao@oi.net.br" TargetMode="External"/><Relationship Id="rId5" Type="http://schemas.openxmlformats.org/officeDocument/2006/relationships/hyperlink" Target="mailto:francisco.tecles@oi.net.br" TargetMode="External"/><Relationship Id="rId95" Type="http://schemas.openxmlformats.org/officeDocument/2006/relationships/hyperlink" Target="mailto:bruno.diehl@oi.net.br" TargetMode="External"/><Relationship Id="rId160" Type="http://schemas.openxmlformats.org/officeDocument/2006/relationships/hyperlink" Target="mailto:alessandro.varme@oi.net.br" TargetMode="External"/><Relationship Id="rId181" Type="http://schemas.openxmlformats.org/officeDocument/2006/relationships/hyperlink" Target="mailto:bruno.palombo@oi.net.br" TargetMode="External"/><Relationship Id="rId216" Type="http://schemas.openxmlformats.org/officeDocument/2006/relationships/hyperlink" Target="mailto:altevo.volotao@oi.net.br" TargetMode="External"/><Relationship Id="rId237" Type="http://schemas.openxmlformats.org/officeDocument/2006/relationships/hyperlink" Target="mailto:paulo.behling@oi.net.br" TargetMode="External"/><Relationship Id="rId258" Type="http://schemas.openxmlformats.org/officeDocument/2006/relationships/hyperlink" Target="mailto:marcelo.nogueira@oi.net.br" TargetMode="External"/><Relationship Id="rId279" Type="http://schemas.openxmlformats.org/officeDocument/2006/relationships/hyperlink" Target="mailto:carolina.gava@oi.net.br" TargetMode="External"/><Relationship Id="rId22" Type="http://schemas.openxmlformats.org/officeDocument/2006/relationships/hyperlink" Target="mailto:gbrambila@oi.net.br" TargetMode="External"/><Relationship Id="rId43" Type="http://schemas.openxmlformats.org/officeDocument/2006/relationships/hyperlink" Target="mailto:caio.gusmon@oi.net.br" TargetMode="External"/><Relationship Id="rId64" Type="http://schemas.openxmlformats.org/officeDocument/2006/relationships/hyperlink" Target="mailto:caio.gusmon@oi.net.br" TargetMode="External"/><Relationship Id="rId118" Type="http://schemas.openxmlformats.org/officeDocument/2006/relationships/hyperlink" Target="mailto:elen.souto@oi.net.br" TargetMode="External"/><Relationship Id="rId139" Type="http://schemas.openxmlformats.org/officeDocument/2006/relationships/hyperlink" Target="mailto:alessandro.magalhaes@oi.net.br" TargetMode="External"/><Relationship Id="rId290" Type="http://schemas.openxmlformats.org/officeDocument/2006/relationships/hyperlink" Target="mailto:andre.paradizi@oi.net.br" TargetMode="External"/><Relationship Id="rId304" Type="http://schemas.openxmlformats.org/officeDocument/2006/relationships/hyperlink" Target="mailto:marcelo.gomes@oi.net.br" TargetMode="External"/><Relationship Id="rId325" Type="http://schemas.openxmlformats.org/officeDocument/2006/relationships/hyperlink" Target="mailto:ulisses.alves@oi.net.br" TargetMode="External"/><Relationship Id="rId346" Type="http://schemas.openxmlformats.org/officeDocument/2006/relationships/hyperlink" Target="mailto:rafael.alcantara@oi.net.br" TargetMode="External"/><Relationship Id="rId367" Type="http://schemas.openxmlformats.org/officeDocument/2006/relationships/hyperlink" Target="mailto:soraia.casagrande@oi.net.br" TargetMode="External"/><Relationship Id="rId85" Type="http://schemas.openxmlformats.org/officeDocument/2006/relationships/hyperlink" Target="mailto:daniel.nassur@oi.net.br" TargetMode="External"/><Relationship Id="rId150" Type="http://schemas.openxmlformats.org/officeDocument/2006/relationships/hyperlink" Target="mailto:adriana.velhote@oi.net.br" TargetMode="External"/><Relationship Id="rId171" Type="http://schemas.openxmlformats.org/officeDocument/2006/relationships/hyperlink" Target="mailto:daniela.greco@oi.net.br" TargetMode="External"/><Relationship Id="rId192" Type="http://schemas.openxmlformats.org/officeDocument/2006/relationships/hyperlink" Target="mailto:fabricio.martins@oi.net.br" TargetMode="External"/><Relationship Id="rId206" Type="http://schemas.openxmlformats.org/officeDocument/2006/relationships/hyperlink" Target="mailto:alessandro.magalhaes@oi.net.br" TargetMode="External"/><Relationship Id="rId227" Type="http://schemas.openxmlformats.org/officeDocument/2006/relationships/hyperlink" Target="mailto:evandro.angelo@oi.net.br" TargetMode="External"/><Relationship Id="rId248" Type="http://schemas.openxmlformats.org/officeDocument/2006/relationships/hyperlink" Target="mailto:ramilson.filho@oi.net.br" TargetMode="External"/><Relationship Id="rId269" Type="http://schemas.openxmlformats.org/officeDocument/2006/relationships/hyperlink" Target="mailto:julia.torres@oi.net.br" TargetMode="External"/><Relationship Id="rId12" Type="http://schemas.openxmlformats.org/officeDocument/2006/relationships/hyperlink" Target="mailto:rgoulart@oi.net.br" TargetMode="External"/><Relationship Id="rId33" Type="http://schemas.openxmlformats.org/officeDocument/2006/relationships/hyperlink" Target="mailto:alexandre.domingues@oi.net.br" TargetMode="External"/><Relationship Id="rId108" Type="http://schemas.openxmlformats.org/officeDocument/2006/relationships/hyperlink" Target="mailto:bruno.diehl@oi.net.br" TargetMode="External"/><Relationship Id="rId129" Type="http://schemas.openxmlformats.org/officeDocument/2006/relationships/hyperlink" Target="mailto:pedro.franca@oi.net.br" TargetMode="External"/><Relationship Id="rId280" Type="http://schemas.openxmlformats.org/officeDocument/2006/relationships/hyperlink" Target="mailto:elisabete.ribeiro@oi.net.br" TargetMode="External"/><Relationship Id="rId315" Type="http://schemas.openxmlformats.org/officeDocument/2006/relationships/hyperlink" Target="mailto:andre.paradizi@oi.net.br" TargetMode="External"/><Relationship Id="rId336" Type="http://schemas.openxmlformats.org/officeDocument/2006/relationships/hyperlink" Target="mailto:marlon.reis@oi.net.br" TargetMode="External"/><Relationship Id="rId357" Type="http://schemas.openxmlformats.org/officeDocument/2006/relationships/hyperlink" Target="mailto:adriana.costa@oi.net.br" TargetMode="External"/><Relationship Id="rId54" Type="http://schemas.openxmlformats.org/officeDocument/2006/relationships/hyperlink" Target="mailto:caio.gusmon@oi.net.br" TargetMode="External"/><Relationship Id="rId75" Type="http://schemas.openxmlformats.org/officeDocument/2006/relationships/hyperlink" Target="mailto:vivian.jesus@oi.net.br" TargetMode="External"/><Relationship Id="rId96" Type="http://schemas.openxmlformats.org/officeDocument/2006/relationships/hyperlink" Target="mailto:bruno.diehl@oi.net.br" TargetMode="External"/><Relationship Id="rId140" Type="http://schemas.openxmlformats.org/officeDocument/2006/relationships/hyperlink" Target="mailto:alessandro.magalhaes@oi.net.br" TargetMode="External"/><Relationship Id="rId161" Type="http://schemas.openxmlformats.org/officeDocument/2006/relationships/hyperlink" Target="mailto:leonardo.serejo@oi.net.br" TargetMode="External"/><Relationship Id="rId182" Type="http://schemas.openxmlformats.org/officeDocument/2006/relationships/hyperlink" Target="mailto:daniel.nassur@oi.net.br" TargetMode="External"/><Relationship Id="rId217" Type="http://schemas.openxmlformats.org/officeDocument/2006/relationships/hyperlink" Target="mailto:celiane.vieira@oi.net.br" TargetMode="External"/><Relationship Id="rId378" Type="http://schemas.openxmlformats.org/officeDocument/2006/relationships/hyperlink" Target="mailto:viviane.perdigao@oi.net.br" TargetMode="External"/><Relationship Id="rId6" Type="http://schemas.openxmlformats.org/officeDocument/2006/relationships/hyperlink" Target="mailto:francisco.tecles@oi.net.br" TargetMode="External"/><Relationship Id="rId238" Type="http://schemas.openxmlformats.org/officeDocument/2006/relationships/hyperlink" Target="mailto:herivelton.santo@oi.net.br" TargetMode="External"/><Relationship Id="rId259" Type="http://schemas.openxmlformats.org/officeDocument/2006/relationships/hyperlink" Target="mailto:eduardo.streit@oi.net.br" TargetMode="External"/><Relationship Id="rId23" Type="http://schemas.openxmlformats.org/officeDocument/2006/relationships/hyperlink" Target="mailto:gbrambila@oi.net.br" TargetMode="External"/><Relationship Id="rId119" Type="http://schemas.openxmlformats.org/officeDocument/2006/relationships/hyperlink" Target="mailto:williams.pereira@oi.net.br" TargetMode="External"/><Relationship Id="rId270" Type="http://schemas.openxmlformats.org/officeDocument/2006/relationships/hyperlink" Target="mailto:bruno.sousa@oi.net.br" TargetMode="External"/><Relationship Id="rId291" Type="http://schemas.openxmlformats.org/officeDocument/2006/relationships/hyperlink" Target="mailto:andre.paradizi@oi.net.br" TargetMode="External"/><Relationship Id="rId305" Type="http://schemas.openxmlformats.org/officeDocument/2006/relationships/hyperlink" Target="mailto:marcelo.gomes@oi.net.br" TargetMode="External"/><Relationship Id="rId326" Type="http://schemas.openxmlformats.org/officeDocument/2006/relationships/hyperlink" Target="mailto:caio.gusmon@oi.net.br" TargetMode="External"/><Relationship Id="rId347" Type="http://schemas.openxmlformats.org/officeDocument/2006/relationships/hyperlink" Target="mailto:aroldo.junior@oi.net.br" TargetMode="External"/><Relationship Id="rId44" Type="http://schemas.openxmlformats.org/officeDocument/2006/relationships/hyperlink" Target="mailto:caio.gusmon@oi.net.br" TargetMode="External"/><Relationship Id="rId65" Type="http://schemas.openxmlformats.org/officeDocument/2006/relationships/hyperlink" Target="mailto:caio.gusmon@oi.net.br" TargetMode="External"/><Relationship Id="rId86" Type="http://schemas.openxmlformats.org/officeDocument/2006/relationships/hyperlink" Target="mailto:daniel.nassur@oi.net.br" TargetMode="External"/><Relationship Id="rId130" Type="http://schemas.openxmlformats.org/officeDocument/2006/relationships/hyperlink" Target="mailto:flaviacasali@oi.net.br" TargetMode="External"/><Relationship Id="rId151" Type="http://schemas.openxmlformats.org/officeDocument/2006/relationships/hyperlink" Target="mailto:thais.nakazone@oi.net.br" TargetMode="External"/><Relationship Id="rId368" Type="http://schemas.openxmlformats.org/officeDocument/2006/relationships/hyperlink" Target="mailto:erika.braga@oi.net.br" TargetMode="External"/><Relationship Id="rId172" Type="http://schemas.openxmlformats.org/officeDocument/2006/relationships/hyperlink" Target="mailto:felicia@oi.net.br" TargetMode="External"/><Relationship Id="rId193" Type="http://schemas.openxmlformats.org/officeDocument/2006/relationships/hyperlink" Target="mailto:pedro.nepomuceno@oi.net.br" TargetMode="External"/><Relationship Id="rId207" Type="http://schemas.openxmlformats.org/officeDocument/2006/relationships/hyperlink" Target="mailto:carlosgalvao@oi.net.br" TargetMode="External"/><Relationship Id="rId228" Type="http://schemas.openxmlformats.org/officeDocument/2006/relationships/hyperlink" Target="mailto:luiz.vieira@oi.net.br" TargetMode="External"/><Relationship Id="rId249" Type="http://schemas.openxmlformats.org/officeDocument/2006/relationships/hyperlink" Target="mailto:eduardo.damasceno@oi.net.br" TargetMode="External"/><Relationship Id="rId13" Type="http://schemas.openxmlformats.org/officeDocument/2006/relationships/hyperlink" Target="mailto:marcos.mendes@oi.net.br" TargetMode="External"/><Relationship Id="rId109" Type="http://schemas.openxmlformats.org/officeDocument/2006/relationships/hyperlink" Target="mailto:bruno.diehl@oi.net.br" TargetMode="External"/><Relationship Id="rId260" Type="http://schemas.openxmlformats.org/officeDocument/2006/relationships/hyperlink" Target="mailto:andersonlss@oi.net.br" TargetMode="External"/><Relationship Id="rId281" Type="http://schemas.openxmlformats.org/officeDocument/2006/relationships/hyperlink" Target="mailto:pedro.franca@oi.net.br" TargetMode="External"/><Relationship Id="rId316" Type="http://schemas.openxmlformats.org/officeDocument/2006/relationships/hyperlink" Target="mailto:priscila.mannino@oi.net.br" TargetMode="External"/><Relationship Id="rId337" Type="http://schemas.openxmlformats.org/officeDocument/2006/relationships/hyperlink" Target="mailto:melchiades.neto@oi.net.br" TargetMode="External"/><Relationship Id="rId34" Type="http://schemas.openxmlformats.org/officeDocument/2006/relationships/hyperlink" Target="mailto:alexandre.domingues@oi.net.br" TargetMode="External"/><Relationship Id="rId55" Type="http://schemas.openxmlformats.org/officeDocument/2006/relationships/hyperlink" Target="mailto:caio.gusmon@oi.net.br" TargetMode="External"/><Relationship Id="rId76" Type="http://schemas.openxmlformats.org/officeDocument/2006/relationships/hyperlink" Target="mailto:vivian.jesus@oi.net.br" TargetMode="External"/><Relationship Id="rId97" Type="http://schemas.openxmlformats.org/officeDocument/2006/relationships/hyperlink" Target="mailto:bruno.diehl@oi.net.br" TargetMode="External"/><Relationship Id="rId120" Type="http://schemas.openxmlformats.org/officeDocument/2006/relationships/hyperlink" Target="mailto:fernando.franco@oi.net.br" TargetMode="External"/><Relationship Id="rId141" Type="http://schemas.openxmlformats.org/officeDocument/2006/relationships/hyperlink" Target="mailto:luiz.rosa@oi.net.br" TargetMode="External"/><Relationship Id="rId358" Type="http://schemas.openxmlformats.org/officeDocument/2006/relationships/hyperlink" Target="mailto:adriana.costa@oi.net.br" TargetMode="External"/><Relationship Id="rId379" Type="http://schemas.openxmlformats.org/officeDocument/2006/relationships/hyperlink" Target="mailto:viviane.perdigao@oi.net.br" TargetMode="External"/><Relationship Id="rId7" Type="http://schemas.openxmlformats.org/officeDocument/2006/relationships/hyperlink" Target="mailto:francisco.tecles@oi.net.br" TargetMode="External"/><Relationship Id="rId162" Type="http://schemas.openxmlformats.org/officeDocument/2006/relationships/hyperlink" Target="mailto:rafael.muniz@oi.net.br" TargetMode="External"/><Relationship Id="rId183" Type="http://schemas.openxmlformats.org/officeDocument/2006/relationships/hyperlink" Target="mailto:sergio.figueiredo@oi.net.br" TargetMode="External"/><Relationship Id="rId218" Type="http://schemas.openxmlformats.org/officeDocument/2006/relationships/hyperlink" Target="mailto:patricia.maria@oi.net.br" TargetMode="External"/><Relationship Id="rId239" Type="http://schemas.openxmlformats.org/officeDocument/2006/relationships/hyperlink" Target="mailto:elaine.camacho@oi.net.br" TargetMode="External"/><Relationship Id="rId250" Type="http://schemas.openxmlformats.org/officeDocument/2006/relationships/hyperlink" Target="mailto:paulos@oi.net.br" TargetMode="External"/><Relationship Id="rId271" Type="http://schemas.openxmlformats.org/officeDocument/2006/relationships/hyperlink" Target="mailto:jonas.almeida@oi.net.br" TargetMode="External"/><Relationship Id="rId292" Type="http://schemas.openxmlformats.org/officeDocument/2006/relationships/hyperlink" Target="mailto:andre.paradizi@oi.net.br" TargetMode="External"/><Relationship Id="rId306" Type="http://schemas.openxmlformats.org/officeDocument/2006/relationships/hyperlink" Target="mailto:marcelo.gomes@oi.net.br" TargetMode="External"/><Relationship Id="rId24" Type="http://schemas.openxmlformats.org/officeDocument/2006/relationships/hyperlink" Target="mailto:gbrambila@oi.net.br" TargetMode="External"/><Relationship Id="rId45" Type="http://schemas.openxmlformats.org/officeDocument/2006/relationships/hyperlink" Target="mailto:caio.gusmon@oi.net.br" TargetMode="External"/><Relationship Id="rId66" Type="http://schemas.openxmlformats.org/officeDocument/2006/relationships/hyperlink" Target="mailto:caio.gusmon@oi.net.br" TargetMode="External"/><Relationship Id="rId87" Type="http://schemas.openxmlformats.org/officeDocument/2006/relationships/hyperlink" Target="mailto:bruno.diehl@oi.net.br" TargetMode="External"/><Relationship Id="rId110" Type="http://schemas.openxmlformats.org/officeDocument/2006/relationships/hyperlink" Target="mailto:caio.gusmon@oi.net.br" TargetMode="External"/><Relationship Id="rId131" Type="http://schemas.openxmlformats.org/officeDocument/2006/relationships/hyperlink" Target="mailto:flaviacasali@oi.net.br" TargetMode="External"/><Relationship Id="rId327" Type="http://schemas.openxmlformats.org/officeDocument/2006/relationships/hyperlink" Target="mailto:juscelino.carvalho@oi.net.br" TargetMode="External"/><Relationship Id="rId348" Type="http://schemas.openxmlformats.org/officeDocument/2006/relationships/hyperlink" Target="mailto:christie.santos@oi.net.br" TargetMode="External"/><Relationship Id="rId369" Type="http://schemas.openxmlformats.org/officeDocument/2006/relationships/hyperlink" Target="mailto:hozana.braga@oi.net.br" TargetMode="External"/><Relationship Id="rId152" Type="http://schemas.openxmlformats.org/officeDocument/2006/relationships/hyperlink" Target="mailto:nathalia.correa@oi.net.br" TargetMode="External"/><Relationship Id="rId173" Type="http://schemas.openxmlformats.org/officeDocument/2006/relationships/hyperlink" Target="mailto:bernardo.ieno@oi.net.br" TargetMode="External"/><Relationship Id="rId194" Type="http://schemas.openxmlformats.org/officeDocument/2006/relationships/hyperlink" Target="mailto:marcelo.gomes@oi.net.br" TargetMode="External"/><Relationship Id="rId208" Type="http://schemas.openxmlformats.org/officeDocument/2006/relationships/hyperlink" Target="mailto:kamila.vieira@oi.net.br" TargetMode="External"/><Relationship Id="rId229" Type="http://schemas.openxmlformats.org/officeDocument/2006/relationships/hyperlink" Target="mailto:bmacedo@oi.net.br" TargetMode="External"/><Relationship Id="rId380" Type="http://schemas.openxmlformats.org/officeDocument/2006/relationships/hyperlink" Target="mailto:eduardo.levy@oi.net.br" TargetMode="External"/><Relationship Id="rId240" Type="http://schemas.openxmlformats.org/officeDocument/2006/relationships/hyperlink" Target="mailto:iva.rivetti@oi.net.br" TargetMode="External"/><Relationship Id="rId261" Type="http://schemas.openxmlformats.org/officeDocument/2006/relationships/hyperlink" Target="mailto:alessandra.benevides@oi.net.br" TargetMode="External"/><Relationship Id="rId14" Type="http://schemas.openxmlformats.org/officeDocument/2006/relationships/hyperlink" Target="mailto:marcos.mendes@oi.net.br" TargetMode="External"/><Relationship Id="rId35" Type="http://schemas.openxmlformats.org/officeDocument/2006/relationships/hyperlink" Target="mailto:anamattos@oi.net.br" TargetMode="External"/><Relationship Id="rId56" Type="http://schemas.openxmlformats.org/officeDocument/2006/relationships/hyperlink" Target="mailto:caio.gusmon@oi.net.br" TargetMode="External"/><Relationship Id="rId77" Type="http://schemas.openxmlformats.org/officeDocument/2006/relationships/hyperlink" Target="mailto:vivian.jesus@oi.net.br" TargetMode="External"/><Relationship Id="rId100" Type="http://schemas.openxmlformats.org/officeDocument/2006/relationships/hyperlink" Target="mailto:bruno.diehl@oi.net.br" TargetMode="External"/><Relationship Id="rId282" Type="http://schemas.openxmlformats.org/officeDocument/2006/relationships/hyperlink" Target="mailto:adriana.fragoso@oi.net.br" TargetMode="External"/><Relationship Id="rId317" Type="http://schemas.openxmlformats.org/officeDocument/2006/relationships/hyperlink" Target="mailto:bmacedo@oi.net.br" TargetMode="External"/><Relationship Id="rId338" Type="http://schemas.openxmlformats.org/officeDocument/2006/relationships/hyperlink" Target="mailto:mateussantos@oi.net.br" TargetMode="External"/><Relationship Id="rId359" Type="http://schemas.openxmlformats.org/officeDocument/2006/relationships/hyperlink" Target="mailto:adilson.souza@oi.net.br" TargetMode="External"/><Relationship Id="rId8" Type="http://schemas.openxmlformats.org/officeDocument/2006/relationships/hyperlink" Target="mailto:francisco.tecles@oi.net.br" TargetMode="External"/><Relationship Id="rId98" Type="http://schemas.openxmlformats.org/officeDocument/2006/relationships/hyperlink" Target="mailto:bruno.diehl@oi.net.br" TargetMode="External"/><Relationship Id="rId121" Type="http://schemas.openxmlformats.org/officeDocument/2006/relationships/hyperlink" Target="mailto:daniel.hermeto@oi.net.br" TargetMode="External"/><Relationship Id="rId142" Type="http://schemas.openxmlformats.org/officeDocument/2006/relationships/hyperlink" Target="mailto:luiz.rosa@oi.net.br" TargetMode="External"/><Relationship Id="rId163" Type="http://schemas.openxmlformats.org/officeDocument/2006/relationships/hyperlink" Target="mailto:rafael.almeida@oi.net.br" TargetMode="External"/><Relationship Id="rId184" Type="http://schemas.openxmlformats.org/officeDocument/2006/relationships/hyperlink" Target="mailto:luis.wright@oi.net.br" TargetMode="External"/><Relationship Id="rId219" Type="http://schemas.openxmlformats.org/officeDocument/2006/relationships/hyperlink" Target="mailto:luiz.rosa@oi.net.br" TargetMode="External"/><Relationship Id="rId370" Type="http://schemas.openxmlformats.org/officeDocument/2006/relationships/hyperlink" Target="mailto:erika.braga@oi.net.br" TargetMode="External"/><Relationship Id="rId230" Type="http://schemas.openxmlformats.org/officeDocument/2006/relationships/hyperlink" Target="mailto:flaviacasali@oi.net.br" TargetMode="External"/><Relationship Id="rId251" Type="http://schemas.openxmlformats.org/officeDocument/2006/relationships/hyperlink" Target="mailto:gustavo.queiroz@oi.net.br" TargetMode="External"/><Relationship Id="rId25" Type="http://schemas.openxmlformats.org/officeDocument/2006/relationships/hyperlink" Target="mailto:gbrambila@oi.net.br" TargetMode="External"/><Relationship Id="rId46" Type="http://schemas.openxmlformats.org/officeDocument/2006/relationships/hyperlink" Target="mailto:caio.gusmon@oi.net.br" TargetMode="External"/><Relationship Id="rId67" Type="http://schemas.openxmlformats.org/officeDocument/2006/relationships/hyperlink" Target="mailto:vivian.jesus@oi.net.br" TargetMode="External"/><Relationship Id="rId272" Type="http://schemas.openxmlformats.org/officeDocument/2006/relationships/hyperlink" Target="mailto:francisco.freire@oi.net.br" TargetMode="External"/><Relationship Id="rId293" Type="http://schemas.openxmlformats.org/officeDocument/2006/relationships/hyperlink" Target="mailto:andre.paradizi@oi.net.br" TargetMode="External"/><Relationship Id="rId307" Type="http://schemas.openxmlformats.org/officeDocument/2006/relationships/hyperlink" Target="mailto:adriana.costa@oi.net.br" TargetMode="External"/><Relationship Id="rId328" Type="http://schemas.openxmlformats.org/officeDocument/2006/relationships/hyperlink" Target="mailto:daniel.hermeto@oi.net.br" TargetMode="External"/><Relationship Id="rId349" Type="http://schemas.openxmlformats.org/officeDocument/2006/relationships/hyperlink" Target="mailto:diogo.santana@oi.net.br" TargetMode="External"/><Relationship Id="rId88" Type="http://schemas.openxmlformats.org/officeDocument/2006/relationships/hyperlink" Target="mailto:bruno.diehl@oi.net.br" TargetMode="External"/><Relationship Id="rId111" Type="http://schemas.openxmlformats.org/officeDocument/2006/relationships/hyperlink" Target="mailto:leandro.luz@oi.net.br" TargetMode="External"/><Relationship Id="rId132" Type="http://schemas.openxmlformats.org/officeDocument/2006/relationships/hyperlink" Target="mailto:daniel.sanguedo@oi.net.br" TargetMode="External"/><Relationship Id="rId153" Type="http://schemas.openxmlformats.org/officeDocument/2006/relationships/hyperlink" Target="mailto:cintia.rau@oi.net.br" TargetMode="External"/><Relationship Id="rId174" Type="http://schemas.openxmlformats.org/officeDocument/2006/relationships/hyperlink" Target="mailto:derick.assis@oi.net.br" TargetMode="External"/><Relationship Id="rId195" Type="http://schemas.openxmlformats.org/officeDocument/2006/relationships/hyperlink" Target="mailto:pan@oi.net.br" TargetMode="External"/><Relationship Id="rId209" Type="http://schemas.openxmlformats.org/officeDocument/2006/relationships/hyperlink" Target="mailto:ulisses.alves@oi.net.br" TargetMode="External"/><Relationship Id="rId360" Type="http://schemas.openxmlformats.org/officeDocument/2006/relationships/hyperlink" Target="mailto:liliane.diniz@oi.net.br" TargetMode="External"/><Relationship Id="rId381" Type="http://schemas.openxmlformats.org/officeDocument/2006/relationships/hyperlink" Target="mailto:liege.casqueiro@oi.net.br" TargetMode="External"/><Relationship Id="rId220" Type="http://schemas.openxmlformats.org/officeDocument/2006/relationships/hyperlink" Target="mailto:livia.marquez@oi.net.br" TargetMode="External"/><Relationship Id="rId241" Type="http://schemas.openxmlformats.org/officeDocument/2006/relationships/hyperlink" Target="mailto:viviane.cruz@oi.net.br" TargetMode="External"/><Relationship Id="rId15" Type="http://schemas.openxmlformats.org/officeDocument/2006/relationships/hyperlink" Target="mailto:marcos.mendes@oi.net.br" TargetMode="External"/><Relationship Id="rId36" Type="http://schemas.openxmlformats.org/officeDocument/2006/relationships/hyperlink" Target="mailto:alexandre.domingues@oi.net.br" TargetMode="External"/><Relationship Id="rId57" Type="http://schemas.openxmlformats.org/officeDocument/2006/relationships/hyperlink" Target="mailto:caio.gusmon@oi.net.br" TargetMode="External"/><Relationship Id="rId262" Type="http://schemas.openxmlformats.org/officeDocument/2006/relationships/hyperlink" Target="mailto:elaine.santiago@oi.net.br" TargetMode="External"/><Relationship Id="rId283" Type="http://schemas.openxmlformats.org/officeDocument/2006/relationships/hyperlink" Target="mailto:alana.silva@oi.net.br" TargetMode="External"/><Relationship Id="rId318" Type="http://schemas.openxmlformats.org/officeDocument/2006/relationships/hyperlink" Target="mailto:altevo.volotao@oi.net.br" TargetMode="External"/><Relationship Id="rId339" Type="http://schemas.openxmlformats.org/officeDocument/2006/relationships/hyperlink" Target="mailto:francisco.paiva@oi.net.br" TargetMode="External"/><Relationship Id="rId78" Type="http://schemas.openxmlformats.org/officeDocument/2006/relationships/hyperlink" Target="mailto:vivian.jesus@oi.net.br" TargetMode="External"/><Relationship Id="rId99" Type="http://schemas.openxmlformats.org/officeDocument/2006/relationships/hyperlink" Target="mailto:bruno.diehl@oi.net.br" TargetMode="External"/><Relationship Id="rId101" Type="http://schemas.openxmlformats.org/officeDocument/2006/relationships/hyperlink" Target="mailto:bruno.diehl@oi.net.br" TargetMode="External"/><Relationship Id="rId122" Type="http://schemas.openxmlformats.org/officeDocument/2006/relationships/hyperlink" Target="mailto:daniel.hermeto@oi.net.br" TargetMode="External"/><Relationship Id="rId143" Type="http://schemas.openxmlformats.org/officeDocument/2006/relationships/hyperlink" Target="mailto:luiz.rosa@oi.net.br" TargetMode="External"/><Relationship Id="rId164" Type="http://schemas.openxmlformats.org/officeDocument/2006/relationships/hyperlink" Target="mailto:priscila.monteza@oi.net.br" TargetMode="External"/><Relationship Id="rId185" Type="http://schemas.openxmlformats.org/officeDocument/2006/relationships/hyperlink" Target="mailto:carolina.barros@oi.net.br" TargetMode="External"/><Relationship Id="rId350" Type="http://schemas.openxmlformats.org/officeDocument/2006/relationships/hyperlink" Target="mailto:rafael.farias@oi.net.br" TargetMode="External"/><Relationship Id="rId371" Type="http://schemas.openxmlformats.org/officeDocument/2006/relationships/hyperlink" Target="mailto:erika.braga@oi.net.br" TargetMode="External"/><Relationship Id="rId9" Type="http://schemas.openxmlformats.org/officeDocument/2006/relationships/hyperlink" Target="mailto:francisco.tecles@oi.net.br" TargetMode="External"/><Relationship Id="rId210" Type="http://schemas.openxmlformats.org/officeDocument/2006/relationships/hyperlink" Target="mailto:duilio.alves@oi.net.br" TargetMode="External"/><Relationship Id="rId26" Type="http://schemas.openxmlformats.org/officeDocument/2006/relationships/hyperlink" Target="mailto:gbrambila@oi.net.br" TargetMode="External"/><Relationship Id="rId231" Type="http://schemas.openxmlformats.org/officeDocument/2006/relationships/hyperlink" Target="mailto:pedro.franca@oi.net.br" TargetMode="External"/><Relationship Id="rId252" Type="http://schemas.openxmlformats.org/officeDocument/2006/relationships/hyperlink" Target="mailto:guilherme.pascoa@oi.net.br" TargetMode="External"/><Relationship Id="rId273" Type="http://schemas.openxmlformats.org/officeDocument/2006/relationships/hyperlink" Target="mailto:marcio.daudt@oi.net.br" TargetMode="External"/><Relationship Id="rId294" Type="http://schemas.openxmlformats.org/officeDocument/2006/relationships/hyperlink" Target="mailto:francisco.haick@oi.net.br" TargetMode="External"/><Relationship Id="rId308" Type="http://schemas.openxmlformats.org/officeDocument/2006/relationships/hyperlink" Target="mailto:viviane.perdigao@oi.net.br" TargetMode="External"/><Relationship Id="rId329" Type="http://schemas.openxmlformats.org/officeDocument/2006/relationships/hyperlink" Target="mailto:evandro.angelo@oi.net.br" TargetMode="External"/><Relationship Id="rId47" Type="http://schemas.openxmlformats.org/officeDocument/2006/relationships/hyperlink" Target="mailto:caio.gusmon@oi.net.br" TargetMode="External"/><Relationship Id="rId68" Type="http://schemas.openxmlformats.org/officeDocument/2006/relationships/hyperlink" Target="mailto:vivian.jesus@oi.net.br" TargetMode="External"/><Relationship Id="rId89" Type="http://schemas.openxmlformats.org/officeDocument/2006/relationships/hyperlink" Target="mailto:bruno.diehl@oi.net.br" TargetMode="External"/><Relationship Id="rId112" Type="http://schemas.openxmlformats.org/officeDocument/2006/relationships/hyperlink" Target="mailto:daniella.ventura@oi.net.br" TargetMode="External"/><Relationship Id="rId133" Type="http://schemas.openxmlformats.org/officeDocument/2006/relationships/hyperlink" Target="mailto:bmacedo@oi.net.br" TargetMode="External"/><Relationship Id="rId154" Type="http://schemas.openxmlformats.org/officeDocument/2006/relationships/hyperlink" Target="mailto:jussara.rocha@oi.net.br" TargetMode="External"/><Relationship Id="rId175" Type="http://schemas.openxmlformats.org/officeDocument/2006/relationships/hyperlink" Target="mailto:igor.pinheiro@oi.net.br" TargetMode="External"/><Relationship Id="rId340" Type="http://schemas.openxmlformats.org/officeDocument/2006/relationships/hyperlink" Target="mailto:lia.bedoucha@oi.net.br" TargetMode="External"/><Relationship Id="rId361" Type="http://schemas.openxmlformats.org/officeDocument/2006/relationships/hyperlink" Target="mailto:pfreitas@oi.net.br" TargetMode="External"/><Relationship Id="rId196" Type="http://schemas.openxmlformats.org/officeDocument/2006/relationships/hyperlink" Target="mailto:luizf.vargas@oi.net,br" TargetMode="External"/><Relationship Id="rId200" Type="http://schemas.openxmlformats.org/officeDocument/2006/relationships/hyperlink" Target="mailto:daniel.sanguedo@oi.net.br" TargetMode="External"/><Relationship Id="rId382" Type="http://schemas.openxmlformats.org/officeDocument/2006/relationships/printerSettings" Target="../printerSettings/printerSettings1.bin"/><Relationship Id="rId16" Type="http://schemas.openxmlformats.org/officeDocument/2006/relationships/hyperlink" Target="mailto:marcos.mendes@oi.net.br" TargetMode="External"/><Relationship Id="rId221" Type="http://schemas.openxmlformats.org/officeDocument/2006/relationships/hyperlink" Target="mailto:jomerson.almeida@oi.net.br" TargetMode="External"/><Relationship Id="rId242" Type="http://schemas.openxmlformats.org/officeDocument/2006/relationships/hyperlink" Target="mailto:rodrigo.maia@oi.net.br" TargetMode="External"/><Relationship Id="rId263" Type="http://schemas.openxmlformats.org/officeDocument/2006/relationships/hyperlink" Target="mailto:cristiana.freire@oi.net.br" TargetMode="External"/><Relationship Id="rId284" Type="http://schemas.openxmlformats.org/officeDocument/2006/relationships/hyperlink" Target="mailto:viviane.perdigao@oi.net.br" TargetMode="External"/><Relationship Id="rId319" Type="http://schemas.openxmlformats.org/officeDocument/2006/relationships/hyperlink" Target="mailto:monica.paetzoldt@oi.net.br" TargetMode="External"/><Relationship Id="rId37" Type="http://schemas.openxmlformats.org/officeDocument/2006/relationships/hyperlink" Target="mailto:caio.gusmon@oi.net.br" TargetMode="External"/><Relationship Id="rId58" Type="http://schemas.openxmlformats.org/officeDocument/2006/relationships/hyperlink" Target="mailto:caio.gusmon@oi.net.br" TargetMode="External"/><Relationship Id="rId79" Type="http://schemas.openxmlformats.org/officeDocument/2006/relationships/hyperlink" Target="mailto:vivian.jesus@oi.net.br" TargetMode="External"/><Relationship Id="rId102" Type="http://schemas.openxmlformats.org/officeDocument/2006/relationships/hyperlink" Target="mailto:bruno.diehl@oi.net.br" TargetMode="External"/><Relationship Id="rId123" Type="http://schemas.openxmlformats.org/officeDocument/2006/relationships/hyperlink" Target="mailto:daniel.hermeto@oi.net.br" TargetMode="External"/><Relationship Id="rId144" Type="http://schemas.openxmlformats.org/officeDocument/2006/relationships/hyperlink" Target="mailto:luiz.rosa@oi.net.br" TargetMode="External"/><Relationship Id="rId330" Type="http://schemas.openxmlformats.org/officeDocument/2006/relationships/hyperlink" Target="mailto:adriano.israel@oi.net.br" TargetMode="External"/><Relationship Id="rId90" Type="http://schemas.openxmlformats.org/officeDocument/2006/relationships/hyperlink" Target="mailto:bruno.diehl@oi.net.br" TargetMode="External"/><Relationship Id="rId165" Type="http://schemas.openxmlformats.org/officeDocument/2006/relationships/hyperlink" Target="mailto:anamurad@oi.net.br" TargetMode="External"/><Relationship Id="rId186" Type="http://schemas.openxmlformats.org/officeDocument/2006/relationships/hyperlink" Target="mailto:cid.junior@oi.net.br" TargetMode="External"/><Relationship Id="rId351" Type="http://schemas.openxmlformats.org/officeDocument/2006/relationships/hyperlink" Target="mailto:flaviacasali@oi.net.br" TargetMode="External"/><Relationship Id="rId372" Type="http://schemas.openxmlformats.org/officeDocument/2006/relationships/hyperlink" Target="mailto:carlosgalvao@oi.net.br" TargetMode="External"/><Relationship Id="rId211" Type="http://schemas.openxmlformats.org/officeDocument/2006/relationships/hyperlink" Target="mailto:eduardo.oliveira@oi.net.br" TargetMode="External"/><Relationship Id="rId232" Type="http://schemas.openxmlformats.org/officeDocument/2006/relationships/hyperlink" Target="mailto:andre.paradizi@oi.net.br" TargetMode="External"/><Relationship Id="rId253" Type="http://schemas.openxmlformats.org/officeDocument/2006/relationships/hyperlink" Target="mailto:alexandre.ssoares@oi.net.br" TargetMode="External"/><Relationship Id="rId274" Type="http://schemas.openxmlformats.org/officeDocument/2006/relationships/hyperlink" Target="mailto:paulo.amantino@oi.net.br" TargetMode="External"/><Relationship Id="rId295" Type="http://schemas.openxmlformats.org/officeDocument/2006/relationships/hyperlink" Target="mailto:francisco.haick@oi.net.br" TargetMode="External"/><Relationship Id="rId309" Type="http://schemas.openxmlformats.org/officeDocument/2006/relationships/hyperlink" Target="mailto:maria.rocha@oi.net.br" TargetMode="External"/><Relationship Id="rId27" Type="http://schemas.openxmlformats.org/officeDocument/2006/relationships/hyperlink" Target="mailto:bruno.palombo@oi.net.br" TargetMode="External"/><Relationship Id="rId48" Type="http://schemas.openxmlformats.org/officeDocument/2006/relationships/hyperlink" Target="mailto:caio.gusmon@oi.net.br" TargetMode="External"/><Relationship Id="rId69" Type="http://schemas.openxmlformats.org/officeDocument/2006/relationships/hyperlink" Target="mailto:vivian.jesus@oi.net.br" TargetMode="External"/><Relationship Id="rId113" Type="http://schemas.openxmlformats.org/officeDocument/2006/relationships/hyperlink" Target="mailto:elen.souto@oi.net.br" TargetMode="External"/><Relationship Id="rId134" Type="http://schemas.openxmlformats.org/officeDocument/2006/relationships/hyperlink" Target="mailto:bmacedo@oi.net.br" TargetMode="External"/><Relationship Id="rId320" Type="http://schemas.openxmlformats.org/officeDocument/2006/relationships/hyperlink" Target="mailto:fernando.fonseca@oi.net.br" TargetMode="External"/><Relationship Id="rId80" Type="http://schemas.openxmlformats.org/officeDocument/2006/relationships/hyperlink" Target="mailto:carlos.lapa@oi.net.br" TargetMode="External"/><Relationship Id="rId155" Type="http://schemas.openxmlformats.org/officeDocument/2006/relationships/hyperlink" Target="mailto:carlos.andrade@oi.net.br%3E" TargetMode="External"/><Relationship Id="rId176" Type="http://schemas.openxmlformats.org/officeDocument/2006/relationships/hyperlink" Target="mailto:raul.dond@oi.net.br" TargetMode="External"/><Relationship Id="rId197" Type="http://schemas.openxmlformats.org/officeDocument/2006/relationships/hyperlink" Target="mailto:mariana.doher@oi.net.br" TargetMode="External"/><Relationship Id="rId341" Type="http://schemas.openxmlformats.org/officeDocument/2006/relationships/hyperlink" Target="mailto:paulo.vidal@oi.net.br" TargetMode="External"/><Relationship Id="rId362" Type="http://schemas.openxmlformats.org/officeDocument/2006/relationships/hyperlink" Target="mailto:sandro.martins@oi.net.br" TargetMode="External"/><Relationship Id="rId201" Type="http://schemas.openxmlformats.org/officeDocument/2006/relationships/hyperlink" Target="mailto:hozana.braga@oi.net.br" TargetMode="External"/><Relationship Id="rId222" Type="http://schemas.openxmlformats.org/officeDocument/2006/relationships/hyperlink" Target="mailto:lfmeira@oi.net.br" TargetMode="External"/><Relationship Id="rId243" Type="http://schemas.openxmlformats.org/officeDocument/2006/relationships/hyperlink" Target="mailto:david.sodre@oi.net.br" TargetMode="External"/><Relationship Id="rId264" Type="http://schemas.openxmlformats.org/officeDocument/2006/relationships/hyperlink" Target="mailto:lilian.freitas@oi.net.br" TargetMode="External"/><Relationship Id="rId285" Type="http://schemas.openxmlformats.org/officeDocument/2006/relationships/hyperlink" Target="mailto:viviane.perdigao@oi.net.br" TargetMode="External"/><Relationship Id="rId17" Type="http://schemas.openxmlformats.org/officeDocument/2006/relationships/hyperlink" Target="mailto:ariane.vieira@oi.net.br" TargetMode="External"/><Relationship Id="rId38" Type="http://schemas.openxmlformats.org/officeDocument/2006/relationships/hyperlink" Target="mailto:caio.gusmon@oi.net.br" TargetMode="External"/><Relationship Id="rId59" Type="http://schemas.openxmlformats.org/officeDocument/2006/relationships/hyperlink" Target="mailto:caio.gusmon@oi.net.br" TargetMode="External"/><Relationship Id="rId103" Type="http://schemas.openxmlformats.org/officeDocument/2006/relationships/hyperlink" Target="mailto:bruno.diehl@oi.net.br" TargetMode="External"/><Relationship Id="rId124" Type="http://schemas.openxmlformats.org/officeDocument/2006/relationships/hyperlink" Target="mailto:daniel.hermeto@oi.net.br" TargetMode="External"/><Relationship Id="rId310" Type="http://schemas.openxmlformats.org/officeDocument/2006/relationships/hyperlink" Target="mailto:adriana.costa@oi.net.br" TargetMode="External"/><Relationship Id="rId70" Type="http://schemas.openxmlformats.org/officeDocument/2006/relationships/hyperlink" Target="mailto:vivian.jesus@oi.net.br" TargetMode="External"/><Relationship Id="rId91" Type="http://schemas.openxmlformats.org/officeDocument/2006/relationships/hyperlink" Target="mailto:bruno.diehl@oi.net.br" TargetMode="External"/><Relationship Id="rId145" Type="http://schemas.openxmlformats.org/officeDocument/2006/relationships/hyperlink" Target="mailto:luiz.rosa@oi.net.br" TargetMode="External"/><Relationship Id="rId166" Type="http://schemas.openxmlformats.org/officeDocument/2006/relationships/hyperlink" Target="mailto:thiego.sampaio@oi.net.br" TargetMode="External"/><Relationship Id="rId187" Type="http://schemas.openxmlformats.org/officeDocument/2006/relationships/hyperlink" Target="mailto:wagner.triano@oi.net.br" TargetMode="External"/><Relationship Id="rId331" Type="http://schemas.openxmlformats.org/officeDocument/2006/relationships/hyperlink" Target="mailto:caio.gusmon@oi.net.br" TargetMode="External"/><Relationship Id="rId352" Type="http://schemas.openxmlformats.org/officeDocument/2006/relationships/hyperlink" Target="mailto:flaviacasali@oi.net.br" TargetMode="External"/><Relationship Id="rId373" Type="http://schemas.openxmlformats.org/officeDocument/2006/relationships/hyperlink" Target="mailto:carlosgalvao@oi.net.br" TargetMode="External"/><Relationship Id="rId1" Type="http://schemas.openxmlformats.org/officeDocument/2006/relationships/hyperlink" Target="mailto:fernanda.fischer@oi.net.br" TargetMode="External"/><Relationship Id="rId212" Type="http://schemas.openxmlformats.org/officeDocument/2006/relationships/hyperlink" Target="mailto:viviane.perdigao@oi.net.br" TargetMode="External"/><Relationship Id="rId233" Type="http://schemas.openxmlformats.org/officeDocument/2006/relationships/hyperlink" Target="mailto:bruno.diehl@oi.net.br" TargetMode="External"/><Relationship Id="rId254" Type="http://schemas.openxmlformats.org/officeDocument/2006/relationships/hyperlink" Target="mailto:cristiane.jacobson@oi.net.br" TargetMode="External"/><Relationship Id="rId28" Type="http://schemas.openxmlformats.org/officeDocument/2006/relationships/hyperlink" Target="mailto:ulisses.alves@oi.net.br" TargetMode="External"/><Relationship Id="rId49" Type="http://schemas.openxmlformats.org/officeDocument/2006/relationships/hyperlink" Target="mailto:caio.gusmon@oi.net.br" TargetMode="External"/><Relationship Id="rId114" Type="http://schemas.openxmlformats.org/officeDocument/2006/relationships/hyperlink" Target="mailto:pedro.nepomuceno@oi.net.br" TargetMode="External"/><Relationship Id="rId275" Type="http://schemas.openxmlformats.org/officeDocument/2006/relationships/hyperlink" Target="mailto:camilla.teixeira@oi.net.br" TargetMode="External"/><Relationship Id="rId296" Type="http://schemas.openxmlformats.org/officeDocument/2006/relationships/hyperlink" Target="mailto:francisco.haick@oi.net.br" TargetMode="External"/><Relationship Id="rId300" Type="http://schemas.openxmlformats.org/officeDocument/2006/relationships/hyperlink" Target="mailto:francisco.haick@oi.net.br" TargetMode="External"/><Relationship Id="rId60" Type="http://schemas.openxmlformats.org/officeDocument/2006/relationships/hyperlink" Target="mailto:caio.gusmon@oi.net.br" TargetMode="External"/><Relationship Id="rId81" Type="http://schemas.openxmlformats.org/officeDocument/2006/relationships/hyperlink" Target="mailto:daniel.nassur@oi.net.br" TargetMode="External"/><Relationship Id="rId135" Type="http://schemas.openxmlformats.org/officeDocument/2006/relationships/hyperlink" Target="mailto:bmacedo@oi.net.br" TargetMode="External"/><Relationship Id="rId156" Type="http://schemas.openxmlformats.org/officeDocument/2006/relationships/hyperlink" Target="mailto:eduardo.beraldo@oi.net.br" TargetMode="External"/><Relationship Id="rId177" Type="http://schemas.openxmlformats.org/officeDocument/2006/relationships/hyperlink" Target="mailto:valeria.braga@oi.net.br" TargetMode="External"/><Relationship Id="rId198" Type="http://schemas.openxmlformats.org/officeDocument/2006/relationships/hyperlink" Target="mailto:iara.braga@oi.net.br" TargetMode="External"/><Relationship Id="rId321" Type="http://schemas.openxmlformats.org/officeDocument/2006/relationships/hyperlink" Target="mailto:ulisses.alves@oi.net.br" TargetMode="External"/><Relationship Id="rId342" Type="http://schemas.openxmlformats.org/officeDocument/2006/relationships/hyperlink" Target="mailto:flaviacasali@oi.net.br" TargetMode="External"/><Relationship Id="rId363" Type="http://schemas.openxmlformats.org/officeDocument/2006/relationships/hyperlink" Target="mailto:andre.paradizi@oi.net.br" TargetMode="External"/><Relationship Id="rId202" Type="http://schemas.openxmlformats.org/officeDocument/2006/relationships/hyperlink" Target="mailto:erika.braga@oi.net.br" TargetMode="External"/><Relationship Id="rId223" Type="http://schemas.openxmlformats.org/officeDocument/2006/relationships/hyperlink" Target="mailto:francisco.tecles@oi.net.br" TargetMode="External"/><Relationship Id="rId244" Type="http://schemas.openxmlformats.org/officeDocument/2006/relationships/hyperlink" Target="mailto:hudson.silva@oi.net.br" TargetMode="External"/><Relationship Id="rId18" Type="http://schemas.openxmlformats.org/officeDocument/2006/relationships/hyperlink" Target="mailto:river@oi.net.br" TargetMode="External"/><Relationship Id="rId39" Type="http://schemas.openxmlformats.org/officeDocument/2006/relationships/hyperlink" Target="mailto:caio.gusmon@oi.net.br" TargetMode="External"/><Relationship Id="rId265" Type="http://schemas.openxmlformats.org/officeDocument/2006/relationships/hyperlink" Target="mailto:alessandra.leandro@oi.net.br" TargetMode="External"/><Relationship Id="rId286" Type="http://schemas.openxmlformats.org/officeDocument/2006/relationships/hyperlink" Target="mailto:andre.paradizi@oi.net.br" TargetMode="External"/><Relationship Id="rId50" Type="http://schemas.openxmlformats.org/officeDocument/2006/relationships/hyperlink" Target="mailto:caio.gusmon@oi.net.br" TargetMode="External"/><Relationship Id="rId104" Type="http://schemas.openxmlformats.org/officeDocument/2006/relationships/hyperlink" Target="mailto:bruno.diehl@oi.net.br" TargetMode="External"/><Relationship Id="rId125" Type="http://schemas.openxmlformats.org/officeDocument/2006/relationships/hyperlink" Target="mailto:ana.carneiro@oi.net.br" TargetMode="External"/><Relationship Id="rId146" Type="http://schemas.openxmlformats.org/officeDocument/2006/relationships/hyperlink" Target="mailto:rogerio.t@oi.net.br" TargetMode="External"/><Relationship Id="rId167" Type="http://schemas.openxmlformats.org/officeDocument/2006/relationships/hyperlink" Target="mailto:hugo.nascimento@oi.net.br" TargetMode="External"/><Relationship Id="rId188" Type="http://schemas.openxmlformats.org/officeDocument/2006/relationships/hyperlink" Target="mailto:taian@oi.net.br" TargetMode="External"/><Relationship Id="rId311" Type="http://schemas.openxmlformats.org/officeDocument/2006/relationships/hyperlink" Target="mailto:gustavo.medina@oi.net.br" TargetMode="External"/><Relationship Id="rId332" Type="http://schemas.openxmlformats.org/officeDocument/2006/relationships/hyperlink" Target="mailto:bruno.diehl@oi.net.br" TargetMode="External"/><Relationship Id="rId353" Type="http://schemas.openxmlformats.org/officeDocument/2006/relationships/hyperlink" Target="mailto:flaviacasali@oi.net.br" TargetMode="External"/><Relationship Id="rId374" Type="http://schemas.openxmlformats.org/officeDocument/2006/relationships/hyperlink" Target="mailto:carlosgalvao@oi.net.br" TargetMode="External"/><Relationship Id="rId71" Type="http://schemas.openxmlformats.org/officeDocument/2006/relationships/hyperlink" Target="mailto:vivian.jesus@oi.net.br" TargetMode="External"/><Relationship Id="rId92" Type="http://schemas.openxmlformats.org/officeDocument/2006/relationships/hyperlink" Target="mailto:bruno.diehl@oi.net.br" TargetMode="External"/><Relationship Id="rId213" Type="http://schemas.openxmlformats.org/officeDocument/2006/relationships/hyperlink" Target="mailto:duhare.fernandes@oi.net.br" TargetMode="External"/><Relationship Id="rId234" Type="http://schemas.openxmlformats.org/officeDocument/2006/relationships/hyperlink" Target="mailto:marcia.fonseca@oi.net.br" TargetMode="External"/><Relationship Id="rId2" Type="http://schemas.openxmlformats.org/officeDocument/2006/relationships/hyperlink" Target="mailto:giovani.silva@oi.net.br" TargetMode="External"/><Relationship Id="rId29" Type="http://schemas.openxmlformats.org/officeDocument/2006/relationships/hyperlink" Target="mailto:cesar.nascimento@oi.net.br" TargetMode="External"/><Relationship Id="rId255" Type="http://schemas.openxmlformats.org/officeDocument/2006/relationships/hyperlink" Target="mailto:willian.marcelino@oi.net.br" TargetMode="External"/><Relationship Id="rId276" Type="http://schemas.openxmlformats.org/officeDocument/2006/relationships/hyperlink" Target="mailto:fernanda.almeida@oi.net.br" TargetMode="External"/><Relationship Id="rId297" Type="http://schemas.openxmlformats.org/officeDocument/2006/relationships/hyperlink" Target="mailto:francisco.haick@oi.net.br" TargetMode="External"/><Relationship Id="rId40" Type="http://schemas.openxmlformats.org/officeDocument/2006/relationships/hyperlink" Target="mailto:caio.gusmon@oi.net.br" TargetMode="External"/><Relationship Id="rId115" Type="http://schemas.openxmlformats.org/officeDocument/2006/relationships/hyperlink" Target="mailto:fernando.franco@oi.net.br" TargetMode="External"/><Relationship Id="rId136" Type="http://schemas.openxmlformats.org/officeDocument/2006/relationships/hyperlink" Target="mailto:bmacedo@oi.net.br" TargetMode="External"/><Relationship Id="rId157" Type="http://schemas.openxmlformats.org/officeDocument/2006/relationships/hyperlink" Target="mailto:jorgelsc@oi.net.br" TargetMode="External"/><Relationship Id="rId178" Type="http://schemas.openxmlformats.org/officeDocument/2006/relationships/hyperlink" Target="mailto:diego.avelar@oi.net.br" TargetMode="External"/><Relationship Id="rId301" Type="http://schemas.openxmlformats.org/officeDocument/2006/relationships/hyperlink" Target="mailto:pan@oi.net.br" TargetMode="External"/><Relationship Id="rId322" Type="http://schemas.openxmlformats.org/officeDocument/2006/relationships/hyperlink" Target="mailto:caio.gusmon@oi.net.br" TargetMode="External"/><Relationship Id="rId343" Type="http://schemas.openxmlformats.org/officeDocument/2006/relationships/hyperlink" Target="mailto:marcospereira@oi.net.br" TargetMode="External"/><Relationship Id="rId364" Type="http://schemas.openxmlformats.org/officeDocument/2006/relationships/hyperlink" Target="mailto:camilacosta@oi.net.br" TargetMode="External"/><Relationship Id="rId61" Type="http://schemas.openxmlformats.org/officeDocument/2006/relationships/hyperlink" Target="mailto:caio.gusmon@oi.net.br" TargetMode="External"/><Relationship Id="rId82" Type="http://schemas.openxmlformats.org/officeDocument/2006/relationships/hyperlink" Target="mailto:daniel.nassur@oi.net.br" TargetMode="External"/><Relationship Id="rId199" Type="http://schemas.openxmlformats.org/officeDocument/2006/relationships/hyperlink" Target="mailto:vivian.jesus@oi.net.br" TargetMode="External"/><Relationship Id="rId203" Type="http://schemas.openxmlformats.org/officeDocument/2006/relationships/hyperlink" Target="mailto:paulo.vidal@oi.net.br" TargetMode="External"/><Relationship Id="rId19" Type="http://schemas.openxmlformats.org/officeDocument/2006/relationships/hyperlink" Target="mailto:river@oi.net.br" TargetMode="External"/><Relationship Id="rId224" Type="http://schemas.openxmlformats.org/officeDocument/2006/relationships/hyperlink" Target="mailto:thiago.vasconcelos@oi.net.br" TargetMode="External"/><Relationship Id="rId245" Type="http://schemas.openxmlformats.org/officeDocument/2006/relationships/hyperlink" Target="mailto:antonio.silva.gomes@oi.net.br" TargetMode="External"/><Relationship Id="rId266" Type="http://schemas.openxmlformats.org/officeDocument/2006/relationships/hyperlink" Target="mailto:charlene.silva@oi.net.br" TargetMode="External"/><Relationship Id="rId287" Type="http://schemas.openxmlformats.org/officeDocument/2006/relationships/hyperlink" Target="mailto:andre.paradizi@oi.net.br" TargetMode="External"/><Relationship Id="rId30" Type="http://schemas.openxmlformats.org/officeDocument/2006/relationships/hyperlink" Target="mailto:cesar.nascimento@oi.net.br" TargetMode="External"/><Relationship Id="rId105" Type="http://schemas.openxmlformats.org/officeDocument/2006/relationships/hyperlink" Target="mailto:bruno.diehl@oi.net.br" TargetMode="External"/><Relationship Id="rId126" Type="http://schemas.openxmlformats.org/officeDocument/2006/relationships/hyperlink" Target="mailto:pedro.franca@oi.net.br" TargetMode="External"/><Relationship Id="rId147" Type="http://schemas.openxmlformats.org/officeDocument/2006/relationships/hyperlink" Target="mailto:rogerio.t@oi.net.br" TargetMode="External"/><Relationship Id="rId168" Type="http://schemas.openxmlformats.org/officeDocument/2006/relationships/hyperlink" Target="mailto:renato.elias@oi.net.br" TargetMode="External"/><Relationship Id="rId312" Type="http://schemas.openxmlformats.org/officeDocument/2006/relationships/hyperlink" Target="mailto:viviane.marques@oi.net.br" TargetMode="External"/><Relationship Id="rId333" Type="http://schemas.openxmlformats.org/officeDocument/2006/relationships/hyperlink" Target="mailto:regina.montes@oi.net.br" TargetMode="External"/><Relationship Id="rId354" Type="http://schemas.openxmlformats.org/officeDocument/2006/relationships/hyperlink" Target="mailto:flaviacasali@oi.net.br" TargetMode="External"/><Relationship Id="rId51" Type="http://schemas.openxmlformats.org/officeDocument/2006/relationships/hyperlink" Target="mailto:caio.gusmon@oi.net.br" TargetMode="External"/><Relationship Id="rId72" Type="http://schemas.openxmlformats.org/officeDocument/2006/relationships/hyperlink" Target="mailto:vivian.jesus@oi.net.br" TargetMode="External"/><Relationship Id="rId93" Type="http://schemas.openxmlformats.org/officeDocument/2006/relationships/hyperlink" Target="mailto:bruno.diehl@oi.net.br" TargetMode="External"/><Relationship Id="rId189" Type="http://schemas.openxmlformats.org/officeDocument/2006/relationships/hyperlink" Target="mailto:carlos.lapa@oi.net.br" TargetMode="External"/><Relationship Id="rId375" Type="http://schemas.openxmlformats.org/officeDocument/2006/relationships/hyperlink" Target="mailto:carlosgalvao@oi.net.br" TargetMode="External"/><Relationship Id="rId3" Type="http://schemas.openxmlformats.org/officeDocument/2006/relationships/hyperlink" Target="mailto:lfmeira@oi.net.br" TargetMode="External"/><Relationship Id="rId214" Type="http://schemas.openxmlformats.org/officeDocument/2006/relationships/hyperlink" Target="mailto:duhare.fernandes@oi.net.br" TargetMode="External"/><Relationship Id="rId235" Type="http://schemas.openxmlformats.org/officeDocument/2006/relationships/hyperlink" Target="mailto:priscila.oliveira@oi.net.br" TargetMode="External"/><Relationship Id="rId256" Type="http://schemas.openxmlformats.org/officeDocument/2006/relationships/hyperlink" Target="mailto:francis.souza@oi.net.br" TargetMode="External"/><Relationship Id="rId277" Type="http://schemas.openxmlformats.org/officeDocument/2006/relationships/hyperlink" Target="mailto:liege.casqueiro@oi.net.br" TargetMode="External"/><Relationship Id="rId298" Type="http://schemas.openxmlformats.org/officeDocument/2006/relationships/hyperlink" Target="mailto:francisco.haick@oi.net.br" TargetMode="External"/><Relationship Id="rId116" Type="http://schemas.openxmlformats.org/officeDocument/2006/relationships/hyperlink" Target="mailto:fernando.franco@oi.net.br" TargetMode="External"/><Relationship Id="rId137" Type="http://schemas.openxmlformats.org/officeDocument/2006/relationships/hyperlink" Target="mailto:eduardo.beraldo@oi.net.br" TargetMode="External"/><Relationship Id="rId158" Type="http://schemas.openxmlformats.org/officeDocument/2006/relationships/hyperlink" Target="mailto:clarita.ferreira@oi.net.br" TargetMode="External"/><Relationship Id="rId302" Type="http://schemas.openxmlformats.org/officeDocument/2006/relationships/hyperlink" Target="mailto:pan@oi.net.br" TargetMode="External"/><Relationship Id="rId323" Type="http://schemas.openxmlformats.org/officeDocument/2006/relationships/hyperlink" Target="mailto:alessandra.perrelli@oi.net.br" TargetMode="External"/><Relationship Id="rId344" Type="http://schemas.openxmlformats.org/officeDocument/2006/relationships/hyperlink" Target="mailto:river@oi.net.br" TargetMode="External"/><Relationship Id="rId20" Type="http://schemas.openxmlformats.org/officeDocument/2006/relationships/hyperlink" Target="mailto:eduardo.oliveira@oi.net.br" TargetMode="External"/><Relationship Id="rId41" Type="http://schemas.openxmlformats.org/officeDocument/2006/relationships/hyperlink" Target="mailto:caio.gusmon@oi.net.br" TargetMode="External"/><Relationship Id="rId62" Type="http://schemas.openxmlformats.org/officeDocument/2006/relationships/hyperlink" Target="mailto:caio.gusmon@oi.net.br" TargetMode="External"/><Relationship Id="rId83" Type="http://schemas.openxmlformats.org/officeDocument/2006/relationships/hyperlink" Target="mailto:daniel.nassur@oi.net.br" TargetMode="External"/><Relationship Id="rId179" Type="http://schemas.openxmlformats.org/officeDocument/2006/relationships/hyperlink" Target="mailto:elly.resende@oi.net.br" TargetMode="External"/><Relationship Id="rId365" Type="http://schemas.openxmlformats.org/officeDocument/2006/relationships/hyperlink" Target="mailto:leonardo.marinho@oi.net.br" TargetMode="External"/><Relationship Id="rId190" Type="http://schemas.openxmlformats.org/officeDocument/2006/relationships/hyperlink" Target="mailto:douglas.coelho@oi.net.br" TargetMode="External"/><Relationship Id="rId204" Type="http://schemas.openxmlformats.org/officeDocument/2006/relationships/hyperlink" Target="mailto:manuela.grande@oi.net.br" TargetMode="External"/><Relationship Id="rId225" Type="http://schemas.openxmlformats.org/officeDocument/2006/relationships/hyperlink" Target="mailto:rafael.amorim@oi.net.br" TargetMode="External"/><Relationship Id="rId246" Type="http://schemas.openxmlformats.org/officeDocument/2006/relationships/hyperlink" Target="mailto:vivianeg@oi.net.br" TargetMode="External"/><Relationship Id="rId267" Type="http://schemas.openxmlformats.org/officeDocument/2006/relationships/hyperlink" Target="mailto:francisco.haick@oi.net.br" TargetMode="External"/><Relationship Id="rId288" Type="http://schemas.openxmlformats.org/officeDocument/2006/relationships/hyperlink" Target="mailto:andre.paradizi@oi.net.br" TargetMode="External"/><Relationship Id="rId106" Type="http://schemas.openxmlformats.org/officeDocument/2006/relationships/hyperlink" Target="mailto:bruno.diehl@oi.net.br" TargetMode="External"/><Relationship Id="rId127" Type="http://schemas.openxmlformats.org/officeDocument/2006/relationships/hyperlink" Target="mailto:pedro.franca@oi.net.br" TargetMode="External"/><Relationship Id="rId313" Type="http://schemas.openxmlformats.org/officeDocument/2006/relationships/hyperlink" Target="mailto:williams.pereira@oi.net.br" TargetMode="External"/><Relationship Id="rId10" Type="http://schemas.openxmlformats.org/officeDocument/2006/relationships/hyperlink" Target="mailto:francisco.tecles@oi.net.br" TargetMode="External"/><Relationship Id="rId31" Type="http://schemas.openxmlformats.org/officeDocument/2006/relationships/hyperlink" Target="mailto:anamattos@oi.net.br" TargetMode="External"/><Relationship Id="rId52" Type="http://schemas.openxmlformats.org/officeDocument/2006/relationships/hyperlink" Target="mailto:caio.gusmon@oi.net.br" TargetMode="External"/><Relationship Id="rId73" Type="http://schemas.openxmlformats.org/officeDocument/2006/relationships/hyperlink" Target="mailto:vivian.jesus@oi.net.br" TargetMode="External"/><Relationship Id="rId94" Type="http://schemas.openxmlformats.org/officeDocument/2006/relationships/hyperlink" Target="mailto:bruno.diehl@oi.net.br" TargetMode="External"/><Relationship Id="rId148" Type="http://schemas.openxmlformats.org/officeDocument/2006/relationships/hyperlink" Target="mailto:adriana.costa@oi.net.br" TargetMode="External"/><Relationship Id="rId169" Type="http://schemas.openxmlformats.org/officeDocument/2006/relationships/hyperlink" Target="mailto:josecler.alves@oi.net.br" TargetMode="External"/><Relationship Id="rId334" Type="http://schemas.openxmlformats.org/officeDocument/2006/relationships/hyperlink" Target="mailto:monica.anjos@oi.net.br" TargetMode="External"/><Relationship Id="rId355" Type="http://schemas.openxmlformats.org/officeDocument/2006/relationships/hyperlink" Target="mailto:adriana.costa@oi.net.br" TargetMode="External"/><Relationship Id="rId376" Type="http://schemas.openxmlformats.org/officeDocument/2006/relationships/hyperlink" Target="mailto:viviane.perdigao@oi.net.br" TargetMode="External"/><Relationship Id="rId4" Type="http://schemas.openxmlformats.org/officeDocument/2006/relationships/hyperlink" Target="mailto:lfmeira@oi.net.br" TargetMode="External"/><Relationship Id="rId180" Type="http://schemas.openxmlformats.org/officeDocument/2006/relationships/hyperlink" Target="mailto:carolina.arlotta@oi.net.br" TargetMode="External"/><Relationship Id="rId215" Type="http://schemas.openxmlformats.org/officeDocument/2006/relationships/hyperlink" Target="mailto:andrelopes@oi.net.br" TargetMode="External"/><Relationship Id="rId236" Type="http://schemas.openxmlformats.org/officeDocument/2006/relationships/hyperlink" Target="mailto:rgoulart@oi.net.br" TargetMode="External"/><Relationship Id="rId257" Type="http://schemas.openxmlformats.org/officeDocument/2006/relationships/hyperlink" Target="mailto:gabriel.vidal@oi.net.br" TargetMode="External"/><Relationship Id="rId278" Type="http://schemas.openxmlformats.org/officeDocument/2006/relationships/hyperlink" Target="mailto:daniele.gouvea@oi.net.br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mailto:elisabete.ribeiro@oi.net.br" TargetMode="External"/><Relationship Id="rId21" Type="http://schemas.openxmlformats.org/officeDocument/2006/relationships/hyperlink" Target="mailto:ulisses.alves@oi.net.br" TargetMode="External"/><Relationship Id="rId42" Type="http://schemas.openxmlformats.org/officeDocument/2006/relationships/hyperlink" Target="mailto:daniel.sanguedo@oi.net.br" TargetMode="External"/><Relationship Id="rId47" Type="http://schemas.openxmlformats.org/officeDocument/2006/relationships/hyperlink" Target="mailto:francisco.haick@oi.net.br" TargetMode="External"/><Relationship Id="rId63" Type="http://schemas.openxmlformats.org/officeDocument/2006/relationships/hyperlink" Target="mailto:derick.assis@oi.net.br" TargetMode="External"/><Relationship Id="rId68" Type="http://schemas.openxmlformats.org/officeDocument/2006/relationships/hyperlink" Target="mailto:duhare.fernandes@oi.net.br" TargetMode="External"/><Relationship Id="rId84" Type="http://schemas.openxmlformats.org/officeDocument/2006/relationships/hyperlink" Target="mailto:ana.luiza@oi.net.br" TargetMode="External"/><Relationship Id="rId89" Type="http://schemas.openxmlformats.org/officeDocument/2006/relationships/hyperlink" Target="mailto:guilherme.pascoa@oi.net.br" TargetMode="External"/><Relationship Id="rId112" Type="http://schemas.openxmlformats.org/officeDocument/2006/relationships/hyperlink" Target="mailto:melchiades.neto@oi.net.br" TargetMode="External"/><Relationship Id="rId133" Type="http://schemas.openxmlformats.org/officeDocument/2006/relationships/hyperlink" Target="mailto:thiego.sampaio@oi.net.br" TargetMode="External"/><Relationship Id="rId138" Type="http://schemas.openxmlformats.org/officeDocument/2006/relationships/hyperlink" Target="mailto:daniela.greco@oi.net.br" TargetMode="External"/><Relationship Id="rId154" Type="http://schemas.openxmlformats.org/officeDocument/2006/relationships/hyperlink" Target="mailto:pedro.nepomuceno@oi.net.br" TargetMode="External"/><Relationship Id="rId159" Type="http://schemas.openxmlformats.org/officeDocument/2006/relationships/hyperlink" Target="mailto:erika.braga@oi.net.br" TargetMode="External"/><Relationship Id="rId175" Type="http://schemas.openxmlformats.org/officeDocument/2006/relationships/hyperlink" Target="mailto:adriano.israel@oi.net.br" TargetMode="External"/><Relationship Id="rId170" Type="http://schemas.openxmlformats.org/officeDocument/2006/relationships/hyperlink" Target="mailto:regina.montes@oi.net.br" TargetMode="External"/><Relationship Id="rId191" Type="http://schemas.openxmlformats.org/officeDocument/2006/relationships/hyperlink" Target="mailto:rafael.farias@oi.net.br" TargetMode="External"/><Relationship Id="rId196" Type="http://schemas.openxmlformats.org/officeDocument/2006/relationships/comments" Target="../comments1.xml"/><Relationship Id="rId16" Type="http://schemas.openxmlformats.org/officeDocument/2006/relationships/hyperlink" Target="mailto:daniella.ventura@oi.net.br" TargetMode="External"/><Relationship Id="rId107" Type="http://schemas.openxmlformats.org/officeDocument/2006/relationships/hyperlink" Target="mailto:bruno.sousa@oi.net.br" TargetMode="External"/><Relationship Id="rId11" Type="http://schemas.openxmlformats.org/officeDocument/2006/relationships/hyperlink" Target="mailto:giovani.silva@oi.net.br" TargetMode="External"/><Relationship Id="rId32" Type="http://schemas.openxmlformats.org/officeDocument/2006/relationships/hyperlink" Target="mailto:bmacedo@oi.net.br" TargetMode="External"/><Relationship Id="rId37" Type="http://schemas.openxmlformats.org/officeDocument/2006/relationships/hyperlink" Target="mailto:marcia.fonseca@oi.net.br" TargetMode="External"/><Relationship Id="rId53" Type="http://schemas.openxmlformats.org/officeDocument/2006/relationships/hyperlink" Target="mailto:igor.pinheiro@oi.net.br" TargetMode="External"/><Relationship Id="rId58" Type="http://schemas.openxmlformats.org/officeDocument/2006/relationships/hyperlink" Target="mailto:alessandro.magalhaes@oi.net.br" TargetMode="External"/><Relationship Id="rId74" Type="http://schemas.openxmlformats.org/officeDocument/2006/relationships/hyperlink" Target="mailto:herivelton.santo@oi.net.br" TargetMode="External"/><Relationship Id="rId79" Type="http://schemas.openxmlformats.org/officeDocument/2006/relationships/hyperlink" Target="mailto:rodrigo.maia@oi.net.br" TargetMode="External"/><Relationship Id="rId102" Type="http://schemas.openxmlformats.org/officeDocument/2006/relationships/hyperlink" Target="mailto:alessandra.leandro@oi.net.br" TargetMode="External"/><Relationship Id="rId123" Type="http://schemas.openxmlformats.org/officeDocument/2006/relationships/hyperlink" Target="mailto:cintia.rau@oi.net.br" TargetMode="External"/><Relationship Id="rId128" Type="http://schemas.openxmlformats.org/officeDocument/2006/relationships/hyperlink" Target="mailto:leonardo.serejo@oi.net.br" TargetMode="External"/><Relationship Id="rId144" Type="http://schemas.openxmlformats.org/officeDocument/2006/relationships/hyperlink" Target="mailto:bruno.palombo@oi.net.br" TargetMode="External"/><Relationship Id="rId149" Type="http://schemas.openxmlformats.org/officeDocument/2006/relationships/hyperlink" Target="mailto:taian@oi.net.br" TargetMode="External"/><Relationship Id="rId5" Type="http://schemas.openxmlformats.org/officeDocument/2006/relationships/hyperlink" Target="mailto:rogerio.t@oi.net.br" TargetMode="External"/><Relationship Id="rId90" Type="http://schemas.openxmlformats.org/officeDocument/2006/relationships/hyperlink" Target="mailto:alexandre.ssoares@oi.net.br" TargetMode="External"/><Relationship Id="rId95" Type="http://schemas.openxmlformats.org/officeDocument/2006/relationships/hyperlink" Target="mailto:marcelo.nogueira@oi.net.br" TargetMode="External"/><Relationship Id="rId160" Type="http://schemas.openxmlformats.org/officeDocument/2006/relationships/hyperlink" Target="mailto:paulo.vidal@oi.net.br" TargetMode="External"/><Relationship Id="rId165" Type="http://schemas.openxmlformats.org/officeDocument/2006/relationships/hyperlink" Target="mailto:fabricio.bindi@oi.net.br" TargetMode="External"/><Relationship Id="rId181" Type="http://schemas.openxmlformats.org/officeDocument/2006/relationships/hyperlink" Target="mailto:liliane.diniz@oi.net.br" TargetMode="External"/><Relationship Id="rId186" Type="http://schemas.openxmlformats.org/officeDocument/2006/relationships/hyperlink" Target="mailto:juscelino.carvalho@oi.net.br" TargetMode="External"/><Relationship Id="rId22" Type="http://schemas.openxmlformats.org/officeDocument/2006/relationships/hyperlink" Target="mailto:viviane.perdigao@oi.net.br" TargetMode="External"/><Relationship Id="rId27" Type="http://schemas.openxmlformats.org/officeDocument/2006/relationships/hyperlink" Target="mailto:thiago.vasconcelos@oi.net.br" TargetMode="External"/><Relationship Id="rId43" Type="http://schemas.openxmlformats.org/officeDocument/2006/relationships/hyperlink" Target="mailto:eduardo.oliveira@oi.net.br" TargetMode="External"/><Relationship Id="rId48" Type="http://schemas.openxmlformats.org/officeDocument/2006/relationships/hyperlink" Target="mailto:liege.casqueiro@oi.net.br" TargetMode="External"/><Relationship Id="rId64" Type="http://schemas.openxmlformats.org/officeDocument/2006/relationships/hyperlink" Target="mailto:raul.dond@oi.net.br" TargetMode="External"/><Relationship Id="rId69" Type="http://schemas.openxmlformats.org/officeDocument/2006/relationships/hyperlink" Target="mailto:andrelopes@oi.net.br" TargetMode="External"/><Relationship Id="rId113" Type="http://schemas.openxmlformats.org/officeDocument/2006/relationships/hyperlink" Target="mailto:paulo.amantino@oi.net.br" TargetMode="External"/><Relationship Id="rId118" Type="http://schemas.openxmlformats.org/officeDocument/2006/relationships/hyperlink" Target="mailto:adriana.fragoso@oi.net.br" TargetMode="External"/><Relationship Id="rId134" Type="http://schemas.openxmlformats.org/officeDocument/2006/relationships/hyperlink" Target="mailto:hugo.nascimento@oi.net.br" TargetMode="External"/><Relationship Id="rId139" Type="http://schemas.openxmlformats.org/officeDocument/2006/relationships/hyperlink" Target="mailto:felicia@oi.net.br" TargetMode="External"/><Relationship Id="rId80" Type="http://schemas.openxmlformats.org/officeDocument/2006/relationships/hyperlink" Target="mailto:david.sodre@oi.net.br" TargetMode="External"/><Relationship Id="rId85" Type="http://schemas.openxmlformats.org/officeDocument/2006/relationships/hyperlink" Target="mailto:ramilson.filho@oi.net.br" TargetMode="External"/><Relationship Id="rId150" Type="http://schemas.openxmlformats.org/officeDocument/2006/relationships/hyperlink" Target="mailto:carlos.lapa@oi.net.br" TargetMode="External"/><Relationship Id="rId155" Type="http://schemas.openxmlformats.org/officeDocument/2006/relationships/hyperlink" Target="mailto:luizf.vargas@oi.net,br" TargetMode="External"/><Relationship Id="rId171" Type="http://schemas.openxmlformats.org/officeDocument/2006/relationships/hyperlink" Target="mailto:sandra.schittini@oi.net.br" TargetMode="External"/><Relationship Id="rId176" Type="http://schemas.openxmlformats.org/officeDocument/2006/relationships/hyperlink" Target="mailto:marcospereira@oi.net.br" TargetMode="External"/><Relationship Id="rId192" Type="http://schemas.openxmlformats.org/officeDocument/2006/relationships/hyperlink" Target="mailto:christie.santos@oi.net.br" TargetMode="External"/><Relationship Id="rId12" Type="http://schemas.openxmlformats.org/officeDocument/2006/relationships/hyperlink" Target="mailto:ariane.vieira@oi.net.br" TargetMode="External"/><Relationship Id="rId17" Type="http://schemas.openxmlformats.org/officeDocument/2006/relationships/hyperlink" Target="mailto:elen.souto@oi.net.br" TargetMode="External"/><Relationship Id="rId33" Type="http://schemas.openxmlformats.org/officeDocument/2006/relationships/hyperlink" Target="mailto:flaviacasali@oi.net.br" TargetMode="External"/><Relationship Id="rId38" Type="http://schemas.openxmlformats.org/officeDocument/2006/relationships/hyperlink" Target="mailto:rgoulart@oi.net.br" TargetMode="External"/><Relationship Id="rId59" Type="http://schemas.openxmlformats.org/officeDocument/2006/relationships/hyperlink" Target="mailto:carlosgalvao@oi.net.br" TargetMode="External"/><Relationship Id="rId103" Type="http://schemas.openxmlformats.org/officeDocument/2006/relationships/hyperlink" Target="mailto:charlene.silva@oi.net.br" TargetMode="External"/><Relationship Id="rId108" Type="http://schemas.openxmlformats.org/officeDocument/2006/relationships/hyperlink" Target="mailto:jonas.almeida@oi.net.br" TargetMode="External"/><Relationship Id="rId124" Type="http://schemas.openxmlformats.org/officeDocument/2006/relationships/hyperlink" Target="mailto:jussara.rocha@oi.net.br" TargetMode="External"/><Relationship Id="rId129" Type="http://schemas.openxmlformats.org/officeDocument/2006/relationships/hyperlink" Target="mailto:rafael.muniz@oi.net.br" TargetMode="External"/><Relationship Id="rId54" Type="http://schemas.openxmlformats.org/officeDocument/2006/relationships/hyperlink" Target="mailto:marcelo.gomes@oi.net.br" TargetMode="External"/><Relationship Id="rId70" Type="http://schemas.openxmlformats.org/officeDocument/2006/relationships/hyperlink" Target="mailto:celiane.vieira@oi.net.br" TargetMode="External"/><Relationship Id="rId75" Type="http://schemas.openxmlformats.org/officeDocument/2006/relationships/hyperlink" Target="mailto:lia.bedoucha@oi.net.br" TargetMode="External"/><Relationship Id="rId91" Type="http://schemas.openxmlformats.org/officeDocument/2006/relationships/hyperlink" Target="mailto:cristiane.jacobson@oi.net.br" TargetMode="External"/><Relationship Id="rId96" Type="http://schemas.openxmlformats.org/officeDocument/2006/relationships/hyperlink" Target="mailto:marlon.reis@oi.net.br" TargetMode="External"/><Relationship Id="rId140" Type="http://schemas.openxmlformats.org/officeDocument/2006/relationships/hyperlink" Target="mailto:bernardo.ieno@oi.net.br" TargetMode="External"/><Relationship Id="rId145" Type="http://schemas.openxmlformats.org/officeDocument/2006/relationships/hyperlink" Target="mailto:daniel.nassur@oi.net.br" TargetMode="External"/><Relationship Id="rId161" Type="http://schemas.openxmlformats.org/officeDocument/2006/relationships/hyperlink" Target="mailto:manuela.grande@oi.net.br" TargetMode="External"/><Relationship Id="rId166" Type="http://schemas.openxmlformats.org/officeDocument/2006/relationships/hyperlink" Target="mailto:aroldo.junior@oi.net.br" TargetMode="External"/><Relationship Id="rId182" Type="http://schemas.openxmlformats.org/officeDocument/2006/relationships/hyperlink" Target="mailto:priscila.mannino@oi.net.br" TargetMode="External"/><Relationship Id="rId187" Type="http://schemas.openxmlformats.org/officeDocument/2006/relationships/hyperlink" Target="mailto:leonardo.marinho@oi.net.br" TargetMode="External"/><Relationship Id="rId1" Type="http://schemas.openxmlformats.org/officeDocument/2006/relationships/hyperlink" Target="mailto:marcos.mendes@oi.net.br" TargetMode="External"/><Relationship Id="rId6" Type="http://schemas.openxmlformats.org/officeDocument/2006/relationships/hyperlink" Target="mailto:rogerio.t@oi.net.br" TargetMode="External"/><Relationship Id="rId23" Type="http://schemas.openxmlformats.org/officeDocument/2006/relationships/hyperlink" Target="mailto:luiz.rosa@oi.net.br" TargetMode="External"/><Relationship Id="rId28" Type="http://schemas.openxmlformats.org/officeDocument/2006/relationships/hyperlink" Target="mailto:rafael.amorim@oi.net.br" TargetMode="External"/><Relationship Id="rId49" Type="http://schemas.openxmlformats.org/officeDocument/2006/relationships/hyperlink" Target="mailto:carolina.gava@oi.net.br" TargetMode="External"/><Relationship Id="rId114" Type="http://schemas.openxmlformats.org/officeDocument/2006/relationships/hyperlink" Target="mailto:camilla.teixeira@oi.net.br" TargetMode="External"/><Relationship Id="rId119" Type="http://schemas.openxmlformats.org/officeDocument/2006/relationships/hyperlink" Target="mailto:mayara.rios@oi.net.br" TargetMode="External"/><Relationship Id="rId44" Type="http://schemas.openxmlformats.org/officeDocument/2006/relationships/hyperlink" Target="mailto:altevo.volotao@oi.net.br" TargetMode="External"/><Relationship Id="rId60" Type="http://schemas.openxmlformats.org/officeDocument/2006/relationships/hyperlink" Target="mailto:kamila.vieira@oi.net.br" TargetMode="External"/><Relationship Id="rId65" Type="http://schemas.openxmlformats.org/officeDocument/2006/relationships/hyperlink" Target="mailto:sergio.figueiredo@oi.net.br" TargetMode="External"/><Relationship Id="rId81" Type="http://schemas.openxmlformats.org/officeDocument/2006/relationships/hyperlink" Target="mailto:hudson.silva@oi.net.br" TargetMode="External"/><Relationship Id="rId86" Type="http://schemas.openxmlformats.org/officeDocument/2006/relationships/hyperlink" Target="mailto:eduardo.damasceno@oi.net.br" TargetMode="External"/><Relationship Id="rId130" Type="http://schemas.openxmlformats.org/officeDocument/2006/relationships/hyperlink" Target="mailto:rafael.almeida@oi.net.br" TargetMode="External"/><Relationship Id="rId135" Type="http://schemas.openxmlformats.org/officeDocument/2006/relationships/hyperlink" Target="mailto:renato.elias@oi.net.br" TargetMode="External"/><Relationship Id="rId151" Type="http://schemas.openxmlformats.org/officeDocument/2006/relationships/hyperlink" Target="mailto:douglas.coelho@oi.net.br" TargetMode="External"/><Relationship Id="rId156" Type="http://schemas.openxmlformats.org/officeDocument/2006/relationships/hyperlink" Target="mailto:iara.braga@oi.net.br" TargetMode="External"/><Relationship Id="rId177" Type="http://schemas.openxmlformats.org/officeDocument/2006/relationships/hyperlink" Target="mailto:viviane.marques@oi.net.br" TargetMode="External"/><Relationship Id="rId172" Type="http://schemas.openxmlformats.org/officeDocument/2006/relationships/hyperlink" Target="mailto:soraia.casagrande@oi.net.br" TargetMode="External"/><Relationship Id="rId193" Type="http://schemas.openxmlformats.org/officeDocument/2006/relationships/hyperlink" Target="mailto:eduardo.levy@oi.net.br" TargetMode="External"/><Relationship Id="rId13" Type="http://schemas.openxmlformats.org/officeDocument/2006/relationships/hyperlink" Target="mailto:river@oi.net.br" TargetMode="External"/><Relationship Id="rId18" Type="http://schemas.openxmlformats.org/officeDocument/2006/relationships/hyperlink" Target="mailto:williams.pereira@oi.net.br" TargetMode="External"/><Relationship Id="rId39" Type="http://schemas.openxmlformats.org/officeDocument/2006/relationships/hyperlink" Target="mailto:anamattos@oi.net.br" TargetMode="External"/><Relationship Id="rId109" Type="http://schemas.openxmlformats.org/officeDocument/2006/relationships/hyperlink" Target="mailto:mateussantos@oi.net.br" TargetMode="External"/><Relationship Id="rId34" Type="http://schemas.openxmlformats.org/officeDocument/2006/relationships/hyperlink" Target="mailto:pedro.franca@oi.net.br" TargetMode="External"/><Relationship Id="rId50" Type="http://schemas.openxmlformats.org/officeDocument/2006/relationships/hyperlink" Target="mailto:pedro.franca@oi.net.br" TargetMode="External"/><Relationship Id="rId55" Type="http://schemas.openxmlformats.org/officeDocument/2006/relationships/hyperlink" Target="mailto:pan@oi.net.br" TargetMode="External"/><Relationship Id="rId76" Type="http://schemas.openxmlformats.org/officeDocument/2006/relationships/hyperlink" Target="mailto:elaine.camacho@oi.net.br" TargetMode="External"/><Relationship Id="rId97" Type="http://schemas.openxmlformats.org/officeDocument/2006/relationships/hyperlink" Target="mailto:andersonlss@oi.net.br" TargetMode="External"/><Relationship Id="rId104" Type="http://schemas.openxmlformats.org/officeDocument/2006/relationships/hyperlink" Target="mailto:ricardo.cotovio@oi.net.br" TargetMode="External"/><Relationship Id="rId120" Type="http://schemas.openxmlformats.org/officeDocument/2006/relationships/hyperlink" Target="mailto:alana.silva@oi.net.br" TargetMode="External"/><Relationship Id="rId125" Type="http://schemas.openxmlformats.org/officeDocument/2006/relationships/hyperlink" Target="mailto:carlos.andrade@oi.net.br%3E" TargetMode="External"/><Relationship Id="rId141" Type="http://schemas.openxmlformats.org/officeDocument/2006/relationships/hyperlink" Target="mailto:valeria.braga@oi.net.br" TargetMode="External"/><Relationship Id="rId146" Type="http://schemas.openxmlformats.org/officeDocument/2006/relationships/hyperlink" Target="mailto:carolina.barros@oi.net.br" TargetMode="External"/><Relationship Id="rId167" Type="http://schemas.openxmlformats.org/officeDocument/2006/relationships/hyperlink" Target="mailto:fernando.fonseca@oi.net.br" TargetMode="External"/><Relationship Id="rId188" Type="http://schemas.openxmlformats.org/officeDocument/2006/relationships/hyperlink" Target="mailto:camilacosta@oi.net.br" TargetMode="External"/><Relationship Id="rId7" Type="http://schemas.openxmlformats.org/officeDocument/2006/relationships/hyperlink" Target="mailto:adriana.costa@oi.net.br" TargetMode="External"/><Relationship Id="rId71" Type="http://schemas.openxmlformats.org/officeDocument/2006/relationships/hyperlink" Target="mailto:patricia.maria@oi.net.br" TargetMode="External"/><Relationship Id="rId92" Type="http://schemas.openxmlformats.org/officeDocument/2006/relationships/hyperlink" Target="mailto:willian.marcelino@oi.net.br" TargetMode="External"/><Relationship Id="rId162" Type="http://schemas.openxmlformats.org/officeDocument/2006/relationships/hyperlink" Target="mailto:thalles.paixao@oi.net.br" TargetMode="External"/><Relationship Id="rId183" Type="http://schemas.openxmlformats.org/officeDocument/2006/relationships/hyperlink" Target="mailto:sandro.martins@oi.net.br" TargetMode="External"/><Relationship Id="rId2" Type="http://schemas.openxmlformats.org/officeDocument/2006/relationships/hyperlink" Target="mailto:gbrambila@oi.net.br" TargetMode="External"/><Relationship Id="rId29" Type="http://schemas.openxmlformats.org/officeDocument/2006/relationships/hyperlink" Target="mailto:ana.miguelote@oi.net.br" TargetMode="External"/><Relationship Id="rId24" Type="http://schemas.openxmlformats.org/officeDocument/2006/relationships/hyperlink" Target="mailto:livia.marquez@oi.net.br" TargetMode="External"/><Relationship Id="rId40" Type="http://schemas.openxmlformats.org/officeDocument/2006/relationships/hyperlink" Target="mailto:ana.carneiro@oi.net.br" TargetMode="External"/><Relationship Id="rId45" Type="http://schemas.openxmlformats.org/officeDocument/2006/relationships/hyperlink" Target="mailto:jomerson.almeida@oi.net.br" TargetMode="External"/><Relationship Id="rId66" Type="http://schemas.openxmlformats.org/officeDocument/2006/relationships/hyperlink" Target="mailto:luis.wright@oi.net.br" TargetMode="External"/><Relationship Id="rId87" Type="http://schemas.openxmlformats.org/officeDocument/2006/relationships/hyperlink" Target="mailto:paulos@oi.net.br" TargetMode="External"/><Relationship Id="rId110" Type="http://schemas.openxmlformats.org/officeDocument/2006/relationships/hyperlink" Target="mailto:francisco.freire@oi.net.br" TargetMode="External"/><Relationship Id="rId115" Type="http://schemas.openxmlformats.org/officeDocument/2006/relationships/hyperlink" Target="mailto:fernanda.almeida@oi.net.br" TargetMode="External"/><Relationship Id="rId131" Type="http://schemas.openxmlformats.org/officeDocument/2006/relationships/hyperlink" Target="mailto:priscila.monteza@oi.net.br" TargetMode="External"/><Relationship Id="rId136" Type="http://schemas.openxmlformats.org/officeDocument/2006/relationships/hyperlink" Target="mailto:josecler.alves@oi.net.br" TargetMode="External"/><Relationship Id="rId157" Type="http://schemas.openxmlformats.org/officeDocument/2006/relationships/hyperlink" Target="mailto:vivian.jesus@oi.net.br" TargetMode="External"/><Relationship Id="rId178" Type="http://schemas.openxmlformats.org/officeDocument/2006/relationships/hyperlink" Target="mailto:gustavo.medina@oi.net.br" TargetMode="External"/><Relationship Id="rId61" Type="http://schemas.openxmlformats.org/officeDocument/2006/relationships/hyperlink" Target="mailto:thais.nakazone@oi.net.br" TargetMode="External"/><Relationship Id="rId82" Type="http://schemas.openxmlformats.org/officeDocument/2006/relationships/hyperlink" Target="mailto:antonio.silva.gomes@oi.net.br" TargetMode="External"/><Relationship Id="rId152" Type="http://schemas.openxmlformats.org/officeDocument/2006/relationships/hyperlink" Target="mailto:barbara.erthal@oi.net.br" TargetMode="External"/><Relationship Id="rId173" Type="http://schemas.openxmlformats.org/officeDocument/2006/relationships/hyperlink" Target="mailto:ildeu.borges@oi.net.br" TargetMode="External"/><Relationship Id="rId194" Type="http://schemas.openxmlformats.org/officeDocument/2006/relationships/printerSettings" Target="../printerSettings/printerSettings2.bin"/><Relationship Id="rId19" Type="http://schemas.openxmlformats.org/officeDocument/2006/relationships/hyperlink" Target="mailto:fernando.franco@oi.net.br" TargetMode="External"/><Relationship Id="rId14" Type="http://schemas.openxmlformats.org/officeDocument/2006/relationships/hyperlink" Target="mailto:cesar.nascimento@oi.net.br" TargetMode="External"/><Relationship Id="rId30" Type="http://schemas.openxmlformats.org/officeDocument/2006/relationships/hyperlink" Target="mailto:evandro.angelo@oi.net.br" TargetMode="External"/><Relationship Id="rId35" Type="http://schemas.openxmlformats.org/officeDocument/2006/relationships/hyperlink" Target="mailto:andre.paradizi@oi.net.br" TargetMode="External"/><Relationship Id="rId56" Type="http://schemas.openxmlformats.org/officeDocument/2006/relationships/hyperlink" Target="mailto:mariana.doher@oi.net.br" TargetMode="External"/><Relationship Id="rId77" Type="http://schemas.openxmlformats.org/officeDocument/2006/relationships/hyperlink" Target="mailto:iva.rivetti@oi.net.br" TargetMode="External"/><Relationship Id="rId100" Type="http://schemas.openxmlformats.org/officeDocument/2006/relationships/hyperlink" Target="mailto:cristiana.freire@oi.net.br" TargetMode="External"/><Relationship Id="rId105" Type="http://schemas.openxmlformats.org/officeDocument/2006/relationships/hyperlink" Target="mailto:julia.torres@oi.net.br" TargetMode="External"/><Relationship Id="rId126" Type="http://schemas.openxmlformats.org/officeDocument/2006/relationships/hyperlink" Target="mailto:clarita.ferreira@oi.net.br" TargetMode="External"/><Relationship Id="rId147" Type="http://schemas.openxmlformats.org/officeDocument/2006/relationships/hyperlink" Target="mailto:cid.junior@oi.net.br" TargetMode="External"/><Relationship Id="rId168" Type="http://schemas.openxmlformats.org/officeDocument/2006/relationships/hyperlink" Target="mailto:francisco.paiva@oi.net.br" TargetMode="External"/><Relationship Id="rId8" Type="http://schemas.openxmlformats.org/officeDocument/2006/relationships/hyperlink" Target="mailto:adriana.costa@oi.net.br" TargetMode="External"/><Relationship Id="rId51" Type="http://schemas.openxmlformats.org/officeDocument/2006/relationships/hyperlink" Target="mailto:eduardo.beraldo@oi.net.br" TargetMode="External"/><Relationship Id="rId72" Type="http://schemas.openxmlformats.org/officeDocument/2006/relationships/hyperlink" Target="mailto:priscila.oliveira@oi.net.br" TargetMode="External"/><Relationship Id="rId93" Type="http://schemas.openxmlformats.org/officeDocument/2006/relationships/hyperlink" Target="mailto:francis.souza@oi.net.br" TargetMode="External"/><Relationship Id="rId98" Type="http://schemas.openxmlformats.org/officeDocument/2006/relationships/hyperlink" Target="mailto:alessandra.benevides@oi.net.br" TargetMode="External"/><Relationship Id="rId121" Type="http://schemas.openxmlformats.org/officeDocument/2006/relationships/hyperlink" Target="mailto:leandro.luz@oi.net.br" TargetMode="External"/><Relationship Id="rId142" Type="http://schemas.openxmlformats.org/officeDocument/2006/relationships/hyperlink" Target="mailto:diego.avelar@oi.net.br" TargetMode="External"/><Relationship Id="rId163" Type="http://schemas.openxmlformats.org/officeDocument/2006/relationships/hyperlink" Target="mailto:thiagobarbosa@oi.net.br" TargetMode="External"/><Relationship Id="rId184" Type="http://schemas.openxmlformats.org/officeDocument/2006/relationships/hyperlink" Target="mailto:monica.anjos@oi.net.br" TargetMode="External"/><Relationship Id="rId189" Type="http://schemas.openxmlformats.org/officeDocument/2006/relationships/hyperlink" Target="mailto:rafael.alcantara@oi.net.br" TargetMode="External"/><Relationship Id="rId3" Type="http://schemas.openxmlformats.org/officeDocument/2006/relationships/hyperlink" Target="mailto:caio.gusmon@oi.net.br" TargetMode="External"/><Relationship Id="rId25" Type="http://schemas.openxmlformats.org/officeDocument/2006/relationships/hyperlink" Target="mailto:lfmeira@oi.net.br" TargetMode="External"/><Relationship Id="rId46" Type="http://schemas.openxmlformats.org/officeDocument/2006/relationships/hyperlink" Target="mailto:eduardo.streit@oi.net.br" TargetMode="External"/><Relationship Id="rId67" Type="http://schemas.openxmlformats.org/officeDocument/2006/relationships/hyperlink" Target="mailto:duhare.fernandes@oi.net.br" TargetMode="External"/><Relationship Id="rId116" Type="http://schemas.openxmlformats.org/officeDocument/2006/relationships/hyperlink" Target="mailto:daniele.gouvea@oi.net.br" TargetMode="External"/><Relationship Id="rId137" Type="http://schemas.openxmlformats.org/officeDocument/2006/relationships/hyperlink" Target="mailto:anderson.esteves@oi.net.br" TargetMode="External"/><Relationship Id="rId158" Type="http://schemas.openxmlformats.org/officeDocument/2006/relationships/hyperlink" Target="mailto:hozana.braga@oi.net.br" TargetMode="External"/><Relationship Id="rId20" Type="http://schemas.openxmlformats.org/officeDocument/2006/relationships/hyperlink" Target="mailto:elly.resende@oi.net.br" TargetMode="External"/><Relationship Id="rId41" Type="http://schemas.openxmlformats.org/officeDocument/2006/relationships/hyperlink" Target="mailto:alessandro.varme@oi.net.br" TargetMode="External"/><Relationship Id="rId62" Type="http://schemas.openxmlformats.org/officeDocument/2006/relationships/hyperlink" Target="mailto:nathalia.correa@oi.net.br" TargetMode="External"/><Relationship Id="rId83" Type="http://schemas.openxmlformats.org/officeDocument/2006/relationships/hyperlink" Target="mailto:vivianeg@oi.net.br" TargetMode="External"/><Relationship Id="rId88" Type="http://schemas.openxmlformats.org/officeDocument/2006/relationships/hyperlink" Target="mailto:gustavo.queiroz@oi.net.br" TargetMode="External"/><Relationship Id="rId111" Type="http://schemas.openxmlformats.org/officeDocument/2006/relationships/hyperlink" Target="mailto:marcio.daudt@oi.net.br" TargetMode="External"/><Relationship Id="rId132" Type="http://schemas.openxmlformats.org/officeDocument/2006/relationships/hyperlink" Target="mailto:anamurad@oi.net.br" TargetMode="External"/><Relationship Id="rId153" Type="http://schemas.openxmlformats.org/officeDocument/2006/relationships/hyperlink" Target="mailto:fabricio.martins@oi.net.br" TargetMode="External"/><Relationship Id="rId174" Type="http://schemas.openxmlformats.org/officeDocument/2006/relationships/hyperlink" Target="mailto:maria.rocha@oi.net.br" TargetMode="External"/><Relationship Id="rId179" Type="http://schemas.openxmlformats.org/officeDocument/2006/relationships/hyperlink" Target="mailto:pfreitas@oi.net.br" TargetMode="External"/><Relationship Id="rId195" Type="http://schemas.openxmlformats.org/officeDocument/2006/relationships/vmlDrawing" Target="../drawings/vmlDrawing1.vml"/><Relationship Id="rId190" Type="http://schemas.openxmlformats.org/officeDocument/2006/relationships/hyperlink" Target="mailto:diogo.santana@oi.net.br" TargetMode="External"/><Relationship Id="rId15" Type="http://schemas.openxmlformats.org/officeDocument/2006/relationships/hyperlink" Target="mailto:alexandre.domingues@oi.net.br" TargetMode="External"/><Relationship Id="rId36" Type="http://schemas.openxmlformats.org/officeDocument/2006/relationships/hyperlink" Target="mailto:bruno.diehl@oi.net.br" TargetMode="External"/><Relationship Id="rId57" Type="http://schemas.openxmlformats.org/officeDocument/2006/relationships/hyperlink" Target="mailto:patricia.gouveia@oi.net.br" TargetMode="External"/><Relationship Id="rId106" Type="http://schemas.openxmlformats.org/officeDocument/2006/relationships/hyperlink" Target="mailto:francisco.paiva@oi.net.br" TargetMode="External"/><Relationship Id="rId127" Type="http://schemas.openxmlformats.org/officeDocument/2006/relationships/hyperlink" Target="mailto:clarita.ferreira@oi.net.br" TargetMode="External"/><Relationship Id="rId10" Type="http://schemas.openxmlformats.org/officeDocument/2006/relationships/hyperlink" Target="mailto:fernanda.fischer@oi.net.br" TargetMode="External"/><Relationship Id="rId31" Type="http://schemas.openxmlformats.org/officeDocument/2006/relationships/hyperlink" Target="mailto:luiz.vieira@oi.net.br" TargetMode="External"/><Relationship Id="rId52" Type="http://schemas.openxmlformats.org/officeDocument/2006/relationships/hyperlink" Target="mailto:jorgelsc@oi.net.br" TargetMode="External"/><Relationship Id="rId73" Type="http://schemas.openxmlformats.org/officeDocument/2006/relationships/hyperlink" Target="mailto:paulo.behling@oi.net.br" TargetMode="External"/><Relationship Id="rId78" Type="http://schemas.openxmlformats.org/officeDocument/2006/relationships/hyperlink" Target="mailto:viviane.cruz@oi.net.br" TargetMode="External"/><Relationship Id="rId94" Type="http://schemas.openxmlformats.org/officeDocument/2006/relationships/hyperlink" Target="mailto:gabriel.vidal@oi.net.br" TargetMode="External"/><Relationship Id="rId99" Type="http://schemas.openxmlformats.org/officeDocument/2006/relationships/hyperlink" Target="mailto:elaine.santiago@oi.net.br" TargetMode="External"/><Relationship Id="rId101" Type="http://schemas.openxmlformats.org/officeDocument/2006/relationships/hyperlink" Target="mailto:lilian.freitas@oi.net.br" TargetMode="External"/><Relationship Id="rId122" Type="http://schemas.openxmlformats.org/officeDocument/2006/relationships/hyperlink" Target="mailto:adriana.velhote@oi.net.br" TargetMode="External"/><Relationship Id="rId143" Type="http://schemas.openxmlformats.org/officeDocument/2006/relationships/hyperlink" Target="mailto:carolina.arlotta@oi.net.br" TargetMode="External"/><Relationship Id="rId148" Type="http://schemas.openxmlformats.org/officeDocument/2006/relationships/hyperlink" Target="mailto:wagner.triano@oi.net.br" TargetMode="External"/><Relationship Id="rId164" Type="http://schemas.openxmlformats.org/officeDocument/2006/relationships/hyperlink" Target="mailto:cristiane.barretto@oi.net.br" TargetMode="External"/><Relationship Id="rId169" Type="http://schemas.openxmlformats.org/officeDocument/2006/relationships/hyperlink" Target="mailto:monica.paetzoldt@oi.net.br" TargetMode="External"/><Relationship Id="rId185" Type="http://schemas.openxmlformats.org/officeDocument/2006/relationships/hyperlink" Target="mailto:alessandra.perrelli@oi.net.br" TargetMode="External"/><Relationship Id="rId4" Type="http://schemas.openxmlformats.org/officeDocument/2006/relationships/hyperlink" Target="mailto:daniel.hermeto@oi.net.br" TargetMode="External"/><Relationship Id="rId9" Type="http://schemas.openxmlformats.org/officeDocument/2006/relationships/hyperlink" Target="mailto:duilio.alves@oi.net.br" TargetMode="External"/><Relationship Id="rId180" Type="http://schemas.openxmlformats.org/officeDocument/2006/relationships/hyperlink" Target="mailto:adilson.souza@oi.net.br" TargetMode="External"/><Relationship Id="rId26" Type="http://schemas.openxmlformats.org/officeDocument/2006/relationships/hyperlink" Target="mailto:francisco.tecles@oi.net.br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3"/>
  <sheetViews>
    <sheetView workbookViewId="0">
      <selection activeCell="A2" sqref="A2"/>
    </sheetView>
  </sheetViews>
  <sheetFormatPr defaultRowHeight="15" x14ac:dyDescent="0.25"/>
  <cols>
    <col min="1" max="1" width="22.7109375" customWidth="1"/>
    <col min="2" max="2" width="21.140625" bestFit="1" customWidth="1"/>
    <col min="3" max="6" width="16" customWidth="1"/>
    <col min="7" max="7" width="41.42578125" customWidth="1"/>
    <col min="8" max="8" width="16" customWidth="1"/>
    <col min="9" max="9" width="16.42578125" customWidth="1"/>
    <col min="10" max="10" width="16" customWidth="1"/>
    <col min="11" max="11" width="40.140625" bestFit="1" customWidth="1"/>
  </cols>
  <sheetData>
    <row r="1" spans="1:11" ht="29.25" customHeight="1" x14ac:dyDescent="0.25">
      <c r="A1" s="1" t="s">
        <v>0</v>
      </c>
      <c r="B1" s="1" t="s">
        <v>1</v>
      </c>
      <c r="C1" s="1" t="s">
        <v>2</v>
      </c>
      <c r="D1" s="1" t="s">
        <v>1</v>
      </c>
      <c r="E1" s="1" t="s">
        <v>3</v>
      </c>
      <c r="F1" s="1" t="s">
        <v>1</v>
      </c>
      <c r="G1" s="1" t="s">
        <v>4</v>
      </c>
      <c r="H1" s="1" t="s">
        <v>1</v>
      </c>
      <c r="I1" s="1" t="s">
        <v>5</v>
      </c>
      <c r="J1" s="1" t="s">
        <v>1</v>
      </c>
      <c r="K1" s="1" t="s">
        <v>6</v>
      </c>
    </row>
    <row r="2" spans="1:11" x14ac:dyDescent="0.25">
      <c r="A2" s="4" t="s">
        <v>7</v>
      </c>
      <c r="B2" s="5" t="s">
        <v>8</v>
      </c>
      <c r="C2" s="3"/>
      <c r="D2" s="3"/>
      <c r="E2" s="3"/>
      <c r="F2" s="5"/>
      <c r="G2" s="6" t="s">
        <v>9</v>
      </c>
      <c r="H2" s="5" t="s">
        <v>10</v>
      </c>
      <c r="I2" s="3" t="s">
        <v>11</v>
      </c>
      <c r="J2" s="5" t="s">
        <v>12</v>
      </c>
      <c r="K2" s="3" t="s">
        <v>13</v>
      </c>
    </row>
    <row r="3" spans="1:11" x14ac:dyDescent="0.25">
      <c r="A3" s="3" t="s">
        <v>14</v>
      </c>
      <c r="B3" s="5" t="s">
        <v>15</v>
      </c>
      <c r="C3" s="3" t="s">
        <v>16</v>
      </c>
      <c r="D3" s="5" t="s">
        <v>17</v>
      </c>
      <c r="E3" s="3"/>
      <c r="F3" s="5"/>
      <c r="G3" s="3" t="s">
        <v>18</v>
      </c>
      <c r="H3" s="5" t="s">
        <v>19</v>
      </c>
      <c r="I3" s="3"/>
      <c r="J3" s="3"/>
      <c r="K3" s="3" t="s">
        <v>20</v>
      </c>
    </row>
    <row r="4" spans="1:11" x14ac:dyDescent="0.25">
      <c r="A4" s="3" t="s">
        <v>14</v>
      </c>
      <c r="B4" s="5" t="s">
        <v>15</v>
      </c>
      <c r="C4" s="3" t="s">
        <v>16</v>
      </c>
      <c r="D4" s="5" t="s">
        <v>17</v>
      </c>
      <c r="E4" s="3"/>
      <c r="F4" s="5"/>
      <c r="G4" s="3" t="s">
        <v>21</v>
      </c>
      <c r="H4" s="5" t="s">
        <v>22</v>
      </c>
      <c r="I4" s="6" t="s">
        <v>23</v>
      </c>
      <c r="J4" s="5" t="s">
        <v>24</v>
      </c>
      <c r="K4" s="3" t="s">
        <v>20</v>
      </c>
    </row>
    <row r="5" spans="1:11" x14ac:dyDescent="0.25">
      <c r="A5" s="3" t="s">
        <v>14</v>
      </c>
      <c r="B5" s="5" t="s">
        <v>15</v>
      </c>
      <c r="C5" s="3" t="s">
        <v>16</v>
      </c>
      <c r="D5" s="5" t="s">
        <v>17</v>
      </c>
      <c r="E5" s="3"/>
      <c r="F5" s="5"/>
      <c r="G5" s="3" t="s">
        <v>21</v>
      </c>
      <c r="H5" s="5" t="s">
        <v>22</v>
      </c>
      <c r="I5" s="3" t="s">
        <v>25</v>
      </c>
      <c r="J5" s="5" t="s">
        <v>26</v>
      </c>
      <c r="K5" s="3" t="s">
        <v>20</v>
      </c>
    </row>
    <row r="6" spans="1:11" x14ac:dyDescent="0.25">
      <c r="A6" s="3" t="s">
        <v>14</v>
      </c>
      <c r="B6" s="5" t="s">
        <v>15</v>
      </c>
      <c r="C6" s="3" t="s">
        <v>16</v>
      </c>
      <c r="D6" s="5" t="s">
        <v>17</v>
      </c>
      <c r="E6" s="3"/>
      <c r="F6" s="5"/>
      <c r="G6" s="3" t="s">
        <v>21</v>
      </c>
      <c r="H6" s="5" t="s">
        <v>22</v>
      </c>
      <c r="I6" s="3" t="s">
        <v>27</v>
      </c>
      <c r="J6" s="5" t="s">
        <v>28</v>
      </c>
      <c r="K6" s="3" t="s">
        <v>20</v>
      </c>
    </row>
    <row r="7" spans="1:11" x14ac:dyDescent="0.25">
      <c r="A7" s="3" t="s">
        <v>14</v>
      </c>
      <c r="B7" s="5" t="s">
        <v>15</v>
      </c>
      <c r="C7" s="3" t="s">
        <v>16</v>
      </c>
      <c r="D7" s="5" t="s">
        <v>17</v>
      </c>
      <c r="E7" s="3"/>
      <c r="F7" s="5"/>
      <c r="G7" s="3" t="s">
        <v>21</v>
      </c>
      <c r="H7" s="5" t="s">
        <v>22</v>
      </c>
      <c r="I7" s="3" t="s">
        <v>29</v>
      </c>
      <c r="J7" s="5" t="s">
        <v>30</v>
      </c>
      <c r="K7" s="3" t="s">
        <v>20</v>
      </c>
    </row>
    <row r="8" spans="1:11" x14ac:dyDescent="0.25">
      <c r="A8" s="3" t="s">
        <v>14</v>
      </c>
      <c r="B8" s="5" t="s">
        <v>15</v>
      </c>
      <c r="C8" s="3" t="s">
        <v>16</v>
      </c>
      <c r="D8" s="5" t="s">
        <v>17</v>
      </c>
      <c r="E8" s="3"/>
      <c r="F8" s="5"/>
      <c r="G8" s="3" t="s">
        <v>21</v>
      </c>
      <c r="H8" s="5" t="s">
        <v>22</v>
      </c>
      <c r="I8" s="3" t="s">
        <v>31</v>
      </c>
      <c r="J8" s="5" t="s">
        <v>32</v>
      </c>
      <c r="K8" s="3" t="s">
        <v>20</v>
      </c>
    </row>
    <row r="9" spans="1:11" x14ac:dyDescent="0.25">
      <c r="A9" s="3" t="s">
        <v>14</v>
      </c>
      <c r="B9" s="5" t="s">
        <v>15</v>
      </c>
      <c r="C9" s="3" t="s">
        <v>16</v>
      </c>
      <c r="D9" s="5" t="s">
        <v>17</v>
      </c>
      <c r="E9" s="3"/>
      <c r="F9" s="5"/>
      <c r="G9" s="6" t="s">
        <v>33</v>
      </c>
      <c r="H9" s="5" t="s">
        <v>34</v>
      </c>
      <c r="I9" s="3" t="s">
        <v>35</v>
      </c>
      <c r="J9" s="5" t="s">
        <v>36</v>
      </c>
      <c r="K9" s="3" t="s">
        <v>20</v>
      </c>
    </row>
    <row r="10" spans="1:11" x14ac:dyDescent="0.25">
      <c r="A10" s="3" t="s">
        <v>14</v>
      </c>
      <c r="B10" s="5" t="s">
        <v>15</v>
      </c>
      <c r="C10" s="3" t="s">
        <v>16</v>
      </c>
      <c r="D10" s="5" t="s">
        <v>17</v>
      </c>
      <c r="E10" s="3"/>
      <c r="F10" s="5"/>
      <c r="G10" s="3" t="s">
        <v>37</v>
      </c>
      <c r="H10" s="5" t="s">
        <v>38</v>
      </c>
      <c r="I10" s="3"/>
      <c r="J10" s="5"/>
      <c r="K10" s="3" t="s">
        <v>20</v>
      </c>
    </row>
    <row r="11" spans="1:11" x14ac:dyDescent="0.25">
      <c r="A11" s="3" t="s">
        <v>14</v>
      </c>
      <c r="B11" s="5" t="s">
        <v>15</v>
      </c>
      <c r="C11" s="3" t="s">
        <v>39</v>
      </c>
      <c r="D11" s="5" t="s">
        <v>40</v>
      </c>
      <c r="E11" s="3"/>
      <c r="F11" s="5"/>
      <c r="G11" s="3" t="s">
        <v>41</v>
      </c>
      <c r="H11" s="5" t="s">
        <v>42</v>
      </c>
      <c r="I11" s="3"/>
      <c r="J11" s="5"/>
      <c r="K11" s="3" t="s">
        <v>20</v>
      </c>
    </row>
    <row r="12" spans="1:11" x14ac:dyDescent="0.25">
      <c r="A12" s="3" t="s">
        <v>43</v>
      </c>
      <c r="B12" s="5" t="s">
        <v>44</v>
      </c>
      <c r="C12" s="6" t="s">
        <v>45</v>
      </c>
      <c r="D12" s="5" t="s">
        <v>46</v>
      </c>
      <c r="E12" s="3"/>
      <c r="F12" s="5"/>
      <c r="G12" s="3" t="s">
        <v>47</v>
      </c>
      <c r="H12" s="5" t="s">
        <v>48</v>
      </c>
      <c r="I12" s="3" t="s">
        <v>49</v>
      </c>
      <c r="J12" s="5" t="s">
        <v>50</v>
      </c>
      <c r="K12" s="3" t="s">
        <v>51</v>
      </c>
    </row>
    <row r="13" spans="1:11" x14ac:dyDescent="0.25">
      <c r="A13" s="3" t="s">
        <v>43</v>
      </c>
      <c r="B13" s="5" t="s">
        <v>44</v>
      </c>
      <c r="C13" s="6" t="s">
        <v>45</v>
      </c>
      <c r="D13" s="5" t="s">
        <v>46</v>
      </c>
      <c r="E13" s="3"/>
      <c r="F13" s="5"/>
      <c r="G13" s="3" t="s">
        <v>47</v>
      </c>
      <c r="H13" s="5" t="s">
        <v>48</v>
      </c>
      <c r="I13" s="6" t="s">
        <v>52</v>
      </c>
      <c r="J13" s="5" t="s">
        <v>53</v>
      </c>
      <c r="K13" s="3" t="s">
        <v>51</v>
      </c>
    </row>
    <row r="14" spans="1:11" x14ac:dyDescent="0.25">
      <c r="A14" s="3" t="s">
        <v>43</v>
      </c>
      <c r="B14" s="5" t="s">
        <v>44</v>
      </c>
      <c r="C14" s="6" t="s">
        <v>45</v>
      </c>
      <c r="D14" s="5" t="s">
        <v>46</v>
      </c>
      <c r="E14" s="3"/>
      <c r="F14" s="5"/>
      <c r="G14" s="3" t="s">
        <v>47</v>
      </c>
      <c r="H14" s="5" t="s">
        <v>48</v>
      </c>
      <c r="I14" s="3" t="s">
        <v>54</v>
      </c>
      <c r="J14" s="5" t="s">
        <v>55</v>
      </c>
      <c r="K14" s="3" t="s">
        <v>51</v>
      </c>
    </row>
    <row r="15" spans="1:11" x14ac:dyDescent="0.25">
      <c r="A15" s="3" t="s">
        <v>43</v>
      </c>
      <c r="B15" s="5" t="s">
        <v>44</v>
      </c>
      <c r="C15" s="6" t="s">
        <v>45</v>
      </c>
      <c r="D15" s="5" t="s">
        <v>46</v>
      </c>
      <c r="E15" s="3"/>
      <c r="F15" s="5"/>
      <c r="G15" s="6" t="s">
        <v>56</v>
      </c>
      <c r="H15" s="5" t="s">
        <v>57</v>
      </c>
      <c r="I15" s="6" t="s">
        <v>58</v>
      </c>
      <c r="J15" s="5" t="s">
        <v>59</v>
      </c>
      <c r="K15" s="3" t="s">
        <v>51</v>
      </c>
    </row>
    <row r="16" spans="1:11" x14ac:dyDescent="0.25">
      <c r="A16" s="3" t="s">
        <v>43</v>
      </c>
      <c r="B16" s="5" t="s">
        <v>44</v>
      </c>
      <c r="C16" s="6" t="s">
        <v>45</v>
      </c>
      <c r="D16" s="5" t="s">
        <v>46</v>
      </c>
      <c r="E16" s="3"/>
      <c r="F16" s="5"/>
      <c r="G16" s="6" t="s">
        <v>56</v>
      </c>
      <c r="H16" s="5" t="s">
        <v>57</v>
      </c>
      <c r="I16" s="3" t="s">
        <v>60</v>
      </c>
      <c r="J16" s="5" t="s">
        <v>61</v>
      </c>
      <c r="K16" s="3" t="s">
        <v>51</v>
      </c>
    </row>
    <row r="17" spans="1:11" x14ac:dyDescent="0.25">
      <c r="A17" s="3" t="s">
        <v>43</v>
      </c>
      <c r="B17" s="5" t="s">
        <v>44</v>
      </c>
      <c r="C17" s="6" t="s">
        <v>45</v>
      </c>
      <c r="D17" s="5" t="s">
        <v>46</v>
      </c>
      <c r="E17" s="3"/>
      <c r="F17" s="5"/>
      <c r="G17" s="6" t="s">
        <v>56</v>
      </c>
      <c r="H17" s="5" t="s">
        <v>57</v>
      </c>
      <c r="I17" s="3" t="s">
        <v>62</v>
      </c>
      <c r="J17" s="5" t="s">
        <v>63</v>
      </c>
      <c r="K17" s="3" t="s">
        <v>51</v>
      </c>
    </row>
    <row r="18" spans="1:11" x14ac:dyDescent="0.25">
      <c r="A18" s="3" t="s">
        <v>43</v>
      </c>
      <c r="B18" s="5" t="s">
        <v>44</v>
      </c>
      <c r="C18" s="3" t="s">
        <v>64</v>
      </c>
      <c r="D18" s="5" t="s">
        <v>65</v>
      </c>
      <c r="E18" s="3"/>
      <c r="F18" s="5"/>
      <c r="G18" s="6" t="s">
        <v>66</v>
      </c>
      <c r="H18" s="3" t="s">
        <v>67</v>
      </c>
      <c r="I18" s="3"/>
      <c r="J18" s="5"/>
      <c r="K18" s="3" t="s">
        <v>68</v>
      </c>
    </row>
    <row r="19" spans="1:11" x14ac:dyDescent="0.25">
      <c r="A19" s="3" t="s">
        <v>43</v>
      </c>
      <c r="B19" s="5" t="s">
        <v>44</v>
      </c>
      <c r="C19" s="3" t="s">
        <v>69</v>
      </c>
      <c r="D19" s="3"/>
      <c r="E19" s="3"/>
      <c r="F19" s="5"/>
      <c r="G19" s="6" t="s">
        <v>70</v>
      </c>
      <c r="H19" s="5" t="s">
        <v>71</v>
      </c>
      <c r="I19" s="3"/>
      <c r="J19" s="3"/>
      <c r="K19" s="3" t="s">
        <v>72</v>
      </c>
    </row>
    <row r="20" spans="1:11" x14ac:dyDescent="0.25">
      <c r="A20" s="3" t="s">
        <v>43</v>
      </c>
      <c r="B20" s="5" t="s">
        <v>44</v>
      </c>
      <c r="C20" s="3" t="s">
        <v>69</v>
      </c>
      <c r="D20" s="3"/>
      <c r="E20" s="3"/>
      <c r="F20" s="5"/>
      <c r="G20" s="3" t="s">
        <v>73</v>
      </c>
      <c r="H20" s="5" t="s">
        <v>74</v>
      </c>
      <c r="I20" s="3"/>
      <c r="J20" s="3"/>
      <c r="K20" s="3" t="s">
        <v>72</v>
      </c>
    </row>
    <row r="21" spans="1:11" s="2" customFormat="1" x14ac:dyDescent="0.25">
      <c r="A21" s="3" t="s">
        <v>75</v>
      </c>
      <c r="B21" s="3" t="s">
        <v>76</v>
      </c>
      <c r="C21" s="3" t="s">
        <v>77</v>
      </c>
      <c r="D21" s="5" t="s">
        <v>78</v>
      </c>
      <c r="E21" s="3"/>
      <c r="F21" s="5"/>
      <c r="G21" s="3" t="s">
        <v>79</v>
      </c>
      <c r="H21" s="5" t="s">
        <v>80</v>
      </c>
      <c r="I21" s="3" t="s">
        <v>81</v>
      </c>
      <c r="J21" s="5" t="s">
        <v>82</v>
      </c>
      <c r="K21" s="3" t="s">
        <v>83</v>
      </c>
    </row>
    <row r="22" spans="1:11" s="2" customFormat="1" x14ac:dyDescent="0.25">
      <c r="A22" s="3" t="s">
        <v>75</v>
      </c>
      <c r="B22" s="3" t="s">
        <v>76</v>
      </c>
      <c r="C22" s="3" t="s">
        <v>77</v>
      </c>
      <c r="D22" s="5" t="s">
        <v>78</v>
      </c>
      <c r="E22" s="6" t="s">
        <v>84</v>
      </c>
      <c r="F22" s="5" t="s">
        <v>85</v>
      </c>
      <c r="G22" s="3" t="s">
        <v>86</v>
      </c>
      <c r="H22" s="5" t="s">
        <v>87</v>
      </c>
      <c r="I22" s="3" t="s">
        <v>88</v>
      </c>
      <c r="J22" s="5" t="s">
        <v>89</v>
      </c>
      <c r="K22" s="3" t="s">
        <v>90</v>
      </c>
    </row>
    <row r="23" spans="1:11" s="2" customFormat="1" x14ac:dyDescent="0.25">
      <c r="A23" s="3" t="s">
        <v>75</v>
      </c>
      <c r="B23" s="3" t="s">
        <v>76</v>
      </c>
      <c r="C23" s="3" t="s">
        <v>77</v>
      </c>
      <c r="D23" s="5" t="s">
        <v>78</v>
      </c>
      <c r="E23" s="6" t="s">
        <v>84</v>
      </c>
      <c r="F23" s="5" t="s">
        <v>85</v>
      </c>
      <c r="G23" s="3" t="s">
        <v>86</v>
      </c>
      <c r="H23" s="5" t="s">
        <v>87</v>
      </c>
      <c r="I23" s="3" t="s">
        <v>91</v>
      </c>
      <c r="J23" s="5" t="s">
        <v>92</v>
      </c>
      <c r="K23" s="3" t="s">
        <v>90</v>
      </c>
    </row>
    <row r="24" spans="1:11" s="2" customFormat="1" x14ac:dyDescent="0.25">
      <c r="A24" s="3" t="s">
        <v>75</v>
      </c>
      <c r="B24" s="3" t="s">
        <v>76</v>
      </c>
      <c r="C24" s="3" t="s">
        <v>77</v>
      </c>
      <c r="D24" s="5" t="s">
        <v>78</v>
      </c>
      <c r="E24" s="6" t="s">
        <v>84</v>
      </c>
      <c r="F24" s="5" t="s">
        <v>85</v>
      </c>
      <c r="G24" s="3" t="s">
        <v>86</v>
      </c>
      <c r="H24" s="5" t="s">
        <v>87</v>
      </c>
      <c r="I24" s="3" t="s">
        <v>93</v>
      </c>
      <c r="J24" s="5" t="s">
        <v>94</v>
      </c>
      <c r="K24" s="3" t="s">
        <v>90</v>
      </c>
    </row>
    <row r="25" spans="1:11" s="2" customFormat="1" x14ac:dyDescent="0.25">
      <c r="A25" s="3" t="s">
        <v>75</v>
      </c>
      <c r="B25" s="3" t="s">
        <v>76</v>
      </c>
      <c r="C25" s="3" t="s">
        <v>77</v>
      </c>
      <c r="D25" s="5" t="s">
        <v>78</v>
      </c>
      <c r="E25" s="6" t="s">
        <v>84</v>
      </c>
      <c r="F25" s="5" t="s">
        <v>85</v>
      </c>
      <c r="G25" s="3" t="s">
        <v>86</v>
      </c>
      <c r="H25" s="5" t="s">
        <v>87</v>
      </c>
      <c r="I25" s="3" t="s">
        <v>95</v>
      </c>
      <c r="J25" s="5" t="s">
        <v>96</v>
      </c>
      <c r="K25" s="3" t="s">
        <v>90</v>
      </c>
    </row>
    <row r="26" spans="1:11" s="2" customFormat="1" x14ac:dyDescent="0.25">
      <c r="A26" s="3" t="s">
        <v>75</v>
      </c>
      <c r="B26" s="3" t="s">
        <v>76</v>
      </c>
      <c r="C26" s="3" t="s">
        <v>77</v>
      </c>
      <c r="D26" s="5" t="s">
        <v>78</v>
      </c>
      <c r="E26" s="6" t="s">
        <v>84</v>
      </c>
      <c r="F26" s="5" t="s">
        <v>85</v>
      </c>
      <c r="G26" s="3" t="s">
        <v>97</v>
      </c>
      <c r="H26" s="5" t="s">
        <v>98</v>
      </c>
      <c r="I26" s="3" t="s">
        <v>99</v>
      </c>
      <c r="J26" s="5" t="s">
        <v>100</v>
      </c>
      <c r="K26" s="3" t="s">
        <v>90</v>
      </c>
    </row>
    <row r="27" spans="1:11" s="2" customFormat="1" x14ac:dyDescent="0.25">
      <c r="A27" s="3" t="s">
        <v>75</v>
      </c>
      <c r="B27" s="3" t="s">
        <v>76</v>
      </c>
      <c r="C27" s="3" t="s">
        <v>77</v>
      </c>
      <c r="D27" s="5" t="s">
        <v>78</v>
      </c>
      <c r="E27" s="6" t="s">
        <v>84</v>
      </c>
      <c r="F27" s="5" t="s">
        <v>85</v>
      </c>
      <c r="G27" s="3" t="s">
        <v>97</v>
      </c>
      <c r="H27" s="5" t="s">
        <v>98</v>
      </c>
      <c r="I27" s="3" t="s">
        <v>101</v>
      </c>
      <c r="J27" s="5" t="s">
        <v>102</v>
      </c>
      <c r="K27" s="3" t="s">
        <v>90</v>
      </c>
    </row>
    <row r="28" spans="1:11" s="2" customFormat="1" x14ac:dyDescent="0.25">
      <c r="A28" s="3" t="s">
        <v>75</v>
      </c>
      <c r="B28" s="3" t="s">
        <v>76</v>
      </c>
      <c r="C28" s="3" t="s">
        <v>77</v>
      </c>
      <c r="D28" s="5" t="s">
        <v>78</v>
      </c>
      <c r="E28" s="6" t="s">
        <v>84</v>
      </c>
      <c r="F28" s="5" t="s">
        <v>85</v>
      </c>
      <c r="G28" s="3" t="s">
        <v>97</v>
      </c>
      <c r="H28" s="5" t="s">
        <v>98</v>
      </c>
      <c r="I28" s="6" t="s">
        <v>103</v>
      </c>
      <c r="J28" s="5" t="s">
        <v>104</v>
      </c>
      <c r="K28" s="3" t="s">
        <v>90</v>
      </c>
    </row>
    <row r="29" spans="1:11" s="2" customFormat="1" x14ac:dyDescent="0.25">
      <c r="A29" s="3" t="s">
        <v>75</v>
      </c>
      <c r="B29" s="3" t="s">
        <v>76</v>
      </c>
      <c r="C29" s="3" t="s">
        <v>77</v>
      </c>
      <c r="D29" s="5" t="s">
        <v>78</v>
      </c>
      <c r="E29" s="6" t="s">
        <v>84</v>
      </c>
      <c r="F29" s="5" t="s">
        <v>85</v>
      </c>
      <c r="G29" s="3" t="s">
        <v>97</v>
      </c>
      <c r="H29" s="5" t="s">
        <v>98</v>
      </c>
      <c r="I29" s="3" t="s">
        <v>105</v>
      </c>
      <c r="J29" s="5" t="s">
        <v>106</v>
      </c>
      <c r="K29" s="3" t="s">
        <v>90</v>
      </c>
    </row>
    <row r="30" spans="1:11" s="2" customFormat="1" x14ac:dyDescent="0.25">
      <c r="A30" s="3" t="s">
        <v>75</v>
      </c>
      <c r="B30" s="3" t="s">
        <v>76</v>
      </c>
      <c r="C30" s="3" t="s">
        <v>77</v>
      </c>
      <c r="D30" s="5" t="s">
        <v>78</v>
      </c>
      <c r="E30" s="3" t="s">
        <v>107</v>
      </c>
      <c r="F30" s="5" t="s">
        <v>108</v>
      </c>
      <c r="G30" s="3"/>
      <c r="H30" s="5"/>
      <c r="I30" s="3"/>
      <c r="J30" s="5"/>
      <c r="K30" s="3" t="s">
        <v>109</v>
      </c>
    </row>
    <row r="31" spans="1:11" s="2" customFormat="1" x14ac:dyDescent="0.25">
      <c r="A31" s="3" t="s">
        <v>75</v>
      </c>
      <c r="B31" s="3" t="s">
        <v>76</v>
      </c>
      <c r="C31" s="3" t="s">
        <v>110</v>
      </c>
      <c r="D31" s="5" t="s">
        <v>111</v>
      </c>
      <c r="E31" s="3" t="s">
        <v>112</v>
      </c>
      <c r="F31" s="5" t="s">
        <v>111</v>
      </c>
      <c r="G31" s="3"/>
      <c r="H31" s="5"/>
      <c r="I31" s="3" t="s">
        <v>113</v>
      </c>
      <c r="J31" s="5" t="s">
        <v>114</v>
      </c>
      <c r="K31" s="3" t="s">
        <v>115</v>
      </c>
    </row>
    <row r="32" spans="1:11" s="2" customFormat="1" x14ac:dyDescent="0.25">
      <c r="A32" s="3" t="s">
        <v>75</v>
      </c>
      <c r="B32" s="3" t="s">
        <v>76</v>
      </c>
      <c r="C32" s="3" t="s">
        <v>110</v>
      </c>
      <c r="D32" s="5" t="s">
        <v>111</v>
      </c>
      <c r="E32" s="3" t="s">
        <v>116</v>
      </c>
      <c r="F32" s="5" t="s">
        <v>117</v>
      </c>
      <c r="G32" s="3"/>
      <c r="H32" s="5"/>
      <c r="I32" s="6" t="s">
        <v>118</v>
      </c>
      <c r="J32" s="5" t="s">
        <v>119</v>
      </c>
      <c r="K32" s="3" t="s">
        <v>115</v>
      </c>
    </row>
    <row r="33" spans="1:11" s="2" customFormat="1" x14ac:dyDescent="0.25">
      <c r="A33" s="3" t="s">
        <v>75</v>
      </c>
      <c r="B33" s="3" t="s">
        <v>76</v>
      </c>
      <c r="C33" s="3" t="s">
        <v>110</v>
      </c>
      <c r="D33" s="5" t="s">
        <v>111</v>
      </c>
      <c r="E33" s="6" t="s">
        <v>120</v>
      </c>
      <c r="F33" s="5" t="s">
        <v>121</v>
      </c>
      <c r="G33" s="3"/>
      <c r="H33" s="5"/>
      <c r="I33" s="3" t="s">
        <v>122</v>
      </c>
      <c r="J33" s="5" t="s">
        <v>123</v>
      </c>
      <c r="K33" s="3" t="s">
        <v>124</v>
      </c>
    </row>
    <row r="34" spans="1:11" s="2" customFormat="1" x14ac:dyDescent="0.25">
      <c r="A34" s="3" t="s">
        <v>75</v>
      </c>
      <c r="B34" s="3" t="s">
        <v>76</v>
      </c>
      <c r="C34" s="3" t="s">
        <v>77</v>
      </c>
      <c r="D34" s="5" t="s">
        <v>78</v>
      </c>
      <c r="E34" s="6" t="s">
        <v>120</v>
      </c>
      <c r="F34" s="5" t="s">
        <v>121</v>
      </c>
      <c r="G34" s="3"/>
      <c r="H34" s="5"/>
      <c r="I34" s="3" t="s">
        <v>125</v>
      </c>
      <c r="J34" s="5" t="s">
        <v>126</v>
      </c>
      <c r="K34" s="3" t="s">
        <v>124</v>
      </c>
    </row>
    <row r="35" spans="1:11" s="2" customFormat="1" x14ac:dyDescent="0.25">
      <c r="A35" s="3" t="s">
        <v>75</v>
      </c>
      <c r="B35" s="3" t="s">
        <v>76</v>
      </c>
      <c r="C35" s="3" t="s">
        <v>110</v>
      </c>
      <c r="D35" s="5" t="s">
        <v>111</v>
      </c>
      <c r="E35" s="3" t="s">
        <v>127</v>
      </c>
      <c r="F35" s="5" t="s">
        <v>128</v>
      </c>
      <c r="G35" s="3" t="s">
        <v>129</v>
      </c>
      <c r="H35" s="5" t="s">
        <v>130</v>
      </c>
      <c r="I35" s="6" t="s">
        <v>131</v>
      </c>
      <c r="J35" s="5" t="s">
        <v>132</v>
      </c>
      <c r="K35" s="3" t="s">
        <v>133</v>
      </c>
    </row>
    <row r="36" spans="1:11" s="2" customFormat="1" x14ac:dyDescent="0.25">
      <c r="A36" s="3" t="s">
        <v>75</v>
      </c>
      <c r="B36" s="3" t="s">
        <v>76</v>
      </c>
      <c r="C36" s="3" t="s">
        <v>110</v>
      </c>
      <c r="D36" s="5" t="s">
        <v>111</v>
      </c>
      <c r="E36" s="3" t="s">
        <v>134</v>
      </c>
      <c r="F36" s="5" t="s">
        <v>135</v>
      </c>
      <c r="G36" s="3"/>
      <c r="H36" s="5"/>
      <c r="I36" s="3"/>
      <c r="J36" s="5"/>
      <c r="K36" s="3" t="s">
        <v>136</v>
      </c>
    </row>
    <row r="37" spans="1:11" s="2" customFormat="1" x14ac:dyDescent="0.25">
      <c r="A37" s="3" t="s">
        <v>75</v>
      </c>
      <c r="B37" s="3" t="s">
        <v>76</v>
      </c>
      <c r="C37" s="3" t="s">
        <v>137</v>
      </c>
      <c r="D37" s="5" t="s">
        <v>138</v>
      </c>
      <c r="E37" s="3"/>
      <c r="F37" s="5"/>
      <c r="G37" s="3" t="s">
        <v>139</v>
      </c>
      <c r="H37" s="5" t="s">
        <v>140</v>
      </c>
      <c r="I37" s="3" t="s">
        <v>141</v>
      </c>
      <c r="J37" s="5" t="s">
        <v>142</v>
      </c>
      <c r="K37" s="3" t="s">
        <v>143</v>
      </c>
    </row>
    <row r="38" spans="1:11" s="2" customFormat="1" x14ac:dyDescent="0.25">
      <c r="A38" s="3"/>
      <c r="B38" s="3" t="s">
        <v>76</v>
      </c>
      <c r="C38" s="3" t="s">
        <v>137</v>
      </c>
      <c r="D38" s="5" t="s">
        <v>138</v>
      </c>
      <c r="E38" s="3"/>
      <c r="F38" s="5"/>
      <c r="G38" s="3" t="s">
        <v>139</v>
      </c>
      <c r="H38" s="5" t="s">
        <v>140</v>
      </c>
      <c r="I38" s="3" t="s">
        <v>144</v>
      </c>
      <c r="J38" s="5" t="s">
        <v>145</v>
      </c>
      <c r="K38" s="3" t="s">
        <v>143</v>
      </c>
    </row>
    <row r="39" spans="1:11" s="2" customFormat="1" x14ac:dyDescent="0.25">
      <c r="A39" s="3" t="s">
        <v>75</v>
      </c>
      <c r="B39" s="3" t="s">
        <v>76</v>
      </c>
      <c r="C39" s="3" t="s">
        <v>137</v>
      </c>
      <c r="D39" s="5" t="s">
        <v>138</v>
      </c>
      <c r="E39" s="3"/>
      <c r="F39" s="5"/>
      <c r="G39" s="3" t="s">
        <v>146</v>
      </c>
      <c r="H39" s="5" t="s">
        <v>147</v>
      </c>
      <c r="I39" s="3" t="s">
        <v>148</v>
      </c>
      <c r="J39" s="5" t="s">
        <v>149</v>
      </c>
      <c r="K39" s="3" t="s">
        <v>143</v>
      </c>
    </row>
    <row r="40" spans="1:11" s="2" customFormat="1" x14ac:dyDescent="0.25">
      <c r="A40" s="3" t="s">
        <v>75</v>
      </c>
      <c r="B40" s="3" t="s">
        <v>76</v>
      </c>
      <c r="C40" s="3" t="s">
        <v>137</v>
      </c>
      <c r="D40" s="5" t="s">
        <v>138</v>
      </c>
      <c r="E40" s="3"/>
      <c r="F40" s="5"/>
      <c r="G40" s="3" t="s">
        <v>146</v>
      </c>
      <c r="H40" s="5" t="s">
        <v>147</v>
      </c>
      <c r="I40" s="3" t="s">
        <v>150</v>
      </c>
      <c r="J40" s="5" t="s">
        <v>151</v>
      </c>
      <c r="K40" s="3" t="s">
        <v>143</v>
      </c>
    </row>
    <row r="41" spans="1:11" s="2" customFormat="1" x14ac:dyDescent="0.25">
      <c r="A41" s="3" t="s">
        <v>75</v>
      </c>
      <c r="B41" s="3" t="s">
        <v>76</v>
      </c>
      <c r="C41" s="3" t="s">
        <v>137</v>
      </c>
      <c r="D41" s="5" t="s">
        <v>138</v>
      </c>
      <c r="E41" s="3"/>
      <c r="F41" s="5"/>
      <c r="G41" s="3" t="s">
        <v>146</v>
      </c>
      <c r="H41" s="5" t="s">
        <v>147</v>
      </c>
      <c r="I41" s="3" t="s">
        <v>152</v>
      </c>
      <c r="J41" s="5" t="s">
        <v>153</v>
      </c>
      <c r="K41" s="3" t="s">
        <v>143</v>
      </c>
    </row>
    <row r="42" spans="1:11" s="2" customFormat="1" x14ac:dyDescent="0.25">
      <c r="A42" s="3" t="s">
        <v>75</v>
      </c>
      <c r="B42" s="3" t="s">
        <v>76</v>
      </c>
      <c r="C42" s="3" t="s">
        <v>137</v>
      </c>
      <c r="D42" s="5" t="s">
        <v>138</v>
      </c>
      <c r="E42" s="3"/>
      <c r="F42" s="5"/>
      <c r="G42" s="3" t="s">
        <v>146</v>
      </c>
      <c r="H42" s="5" t="s">
        <v>147</v>
      </c>
      <c r="I42" s="3" t="s">
        <v>154</v>
      </c>
      <c r="J42" s="5" t="s">
        <v>155</v>
      </c>
      <c r="K42" s="3" t="s">
        <v>143</v>
      </c>
    </row>
    <row r="43" spans="1:11" s="2" customFormat="1" x14ac:dyDescent="0.25">
      <c r="A43" s="3" t="s">
        <v>75</v>
      </c>
      <c r="B43" s="3" t="s">
        <v>76</v>
      </c>
      <c r="C43" s="3" t="s">
        <v>137</v>
      </c>
      <c r="D43" s="5" t="s">
        <v>138</v>
      </c>
      <c r="E43" s="3"/>
      <c r="F43" s="5"/>
      <c r="G43" s="3" t="s">
        <v>156</v>
      </c>
      <c r="H43" s="5" t="s">
        <v>157</v>
      </c>
      <c r="I43" s="3" t="s">
        <v>158</v>
      </c>
      <c r="J43" s="5" t="s">
        <v>159</v>
      </c>
      <c r="K43" s="3" t="s">
        <v>143</v>
      </c>
    </row>
    <row r="44" spans="1:11" s="2" customFormat="1" x14ac:dyDescent="0.25">
      <c r="A44" s="3" t="s">
        <v>75</v>
      </c>
      <c r="B44" s="3" t="s">
        <v>76</v>
      </c>
      <c r="C44" s="3" t="s">
        <v>137</v>
      </c>
      <c r="D44" s="5" t="s">
        <v>138</v>
      </c>
      <c r="E44" s="3"/>
      <c r="F44" s="5"/>
      <c r="G44" s="3" t="s">
        <v>156</v>
      </c>
      <c r="H44" s="5" t="s">
        <v>157</v>
      </c>
      <c r="I44" s="6" t="s">
        <v>160</v>
      </c>
      <c r="J44" s="5" t="s">
        <v>161</v>
      </c>
      <c r="K44" s="3" t="s">
        <v>143</v>
      </c>
    </row>
    <row r="45" spans="1:11" s="2" customFormat="1" x14ac:dyDescent="0.25">
      <c r="A45" s="3" t="s">
        <v>75</v>
      </c>
      <c r="B45" s="3" t="s">
        <v>76</v>
      </c>
      <c r="C45" s="3" t="s">
        <v>162</v>
      </c>
      <c r="D45" s="5" t="s">
        <v>163</v>
      </c>
      <c r="E45" s="3"/>
      <c r="F45" s="5"/>
      <c r="G45" s="3"/>
      <c r="H45" s="5"/>
      <c r="I45" s="3" t="s">
        <v>164</v>
      </c>
      <c r="J45" s="5" t="s">
        <v>165</v>
      </c>
      <c r="K45" s="3" t="s">
        <v>166</v>
      </c>
    </row>
    <row r="46" spans="1:11" s="2" customFormat="1" x14ac:dyDescent="0.25">
      <c r="A46" s="3" t="s">
        <v>75</v>
      </c>
      <c r="B46" s="3" t="s">
        <v>76</v>
      </c>
      <c r="C46" s="3" t="s">
        <v>162</v>
      </c>
      <c r="D46" s="5" t="s">
        <v>163</v>
      </c>
      <c r="E46" s="3" t="s">
        <v>167</v>
      </c>
      <c r="F46" s="5" t="s">
        <v>168</v>
      </c>
      <c r="G46" s="3"/>
      <c r="H46" s="3"/>
      <c r="I46" s="3" t="s">
        <v>169</v>
      </c>
      <c r="J46" s="5" t="s">
        <v>170</v>
      </c>
      <c r="K46" s="3" t="s">
        <v>171</v>
      </c>
    </row>
    <row r="47" spans="1:11" s="2" customFormat="1" x14ac:dyDescent="0.25">
      <c r="A47" s="3" t="s">
        <v>75</v>
      </c>
      <c r="B47" s="3" t="s">
        <v>76</v>
      </c>
      <c r="C47" s="3" t="s">
        <v>162</v>
      </c>
      <c r="D47" s="5" t="s">
        <v>163</v>
      </c>
      <c r="E47" s="3" t="s">
        <v>167</v>
      </c>
      <c r="F47" s="5" t="s">
        <v>168</v>
      </c>
      <c r="G47" s="3"/>
      <c r="H47" s="5"/>
      <c r="I47" s="3" t="s">
        <v>172</v>
      </c>
      <c r="J47" s="5" t="s">
        <v>173</v>
      </c>
      <c r="K47" s="3" t="s">
        <v>174</v>
      </c>
    </row>
    <row r="48" spans="1:11" s="2" customFormat="1" x14ac:dyDescent="0.25">
      <c r="A48" s="3" t="s">
        <v>75</v>
      </c>
      <c r="B48" s="3" t="s">
        <v>76</v>
      </c>
      <c r="C48" s="3" t="s">
        <v>162</v>
      </c>
      <c r="D48" s="5" t="s">
        <v>163</v>
      </c>
      <c r="E48" s="3" t="s">
        <v>175</v>
      </c>
      <c r="F48" s="5" t="s">
        <v>176</v>
      </c>
      <c r="G48" s="3" t="s">
        <v>177</v>
      </c>
      <c r="H48" s="5" t="s">
        <v>178</v>
      </c>
      <c r="I48" s="3" t="s">
        <v>179</v>
      </c>
      <c r="J48" s="5" t="s">
        <v>180</v>
      </c>
      <c r="K48" s="3" t="s">
        <v>181</v>
      </c>
    </row>
    <row r="49" spans="1:11" s="2" customFormat="1" x14ac:dyDescent="0.25">
      <c r="A49" s="3" t="s">
        <v>75</v>
      </c>
      <c r="B49" s="3" t="s">
        <v>76</v>
      </c>
      <c r="C49" s="3" t="s">
        <v>162</v>
      </c>
      <c r="D49" s="5" t="s">
        <v>163</v>
      </c>
      <c r="E49" s="3" t="s">
        <v>175</v>
      </c>
      <c r="F49" s="5" t="s">
        <v>176</v>
      </c>
      <c r="G49" s="6" t="s">
        <v>182</v>
      </c>
      <c r="H49" s="5" t="s">
        <v>183</v>
      </c>
      <c r="I49" s="3"/>
      <c r="J49" s="5"/>
      <c r="K49" s="3" t="s">
        <v>181</v>
      </c>
    </row>
    <row r="50" spans="1:11" s="2" customFormat="1" x14ac:dyDescent="0.25">
      <c r="A50" s="3" t="s">
        <v>75</v>
      </c>
      <c r="B50" s="3" t="s">
        <v>76</v>
      </c>
      <c r="C50" s="3" t="s">
        <v>162</v>
      </c>
      <c r="D50" s="5" t="s">
        <v>163</v>
      </c>
      <c r="E50" s="3" t="s">
        <v>184</v>
      </c>
      <c r="F50" s="5" t="s">
        <v>185</v>
      </c>
      <c r="G50" s="3"/>
      <c r="H50" s="3"/>
      <c r="I50" s="3" t="s">
        <v>186</v>
      </c>
      <c r="J50" s="5" t="s">
        <v>187</v>
      </c>
      <c r="K50" s="3" t="s">
        <v>188</v>
      </c>
    </row>
    <row r="51" spans="1:11" x14ac:dyDescent="0.25">
      <c r="A51" s="3" t="s">
        <v>189</v>
      </c>
      <c r="B51" s="5" t="s">
        <v>190</v>
      </c>
      <c r="C51" s="3" t="s">
        <v>191</v>
      </c>
      <c r="D51" s="5" t="s">
        <v>192</v>
      </c>
      <c r="E51" s="3"/>
      <c r="F51" s="5"/>
      <c r="G51" s="3" t="s">
        <v>193</v>
      </c>
      <c r="H51" s="5" t="s">
        <v>194</v>
      </c>
      <c r="I51" s="6" t="s">
        <v>195</v>
      </c>
      <c r="J51" s="5" t="s">
        <v>196</v>
      </c>
      <c r="K51" s="3" t="s">
        <v>197</v>
      </c>
    </row>
    <row r="52" spans="1:11" x14ac:dyDescent="0.25">
      <c r="A52" s="3" t="s">
        <v>189</v>
      </c>
      <c r="B52" s="5" t="s">
        <v>190</v>
      </c>
      <c r="C52" s="3" t="s">
        <v>191</v>
      </c>
      <c r="D52" s="5" t="s">
        <v>192</v>
      </c>
      <c r="E52" s="3"/>
      <c r="F52" s="5"/>
      <c r="G52" s="3" t="s">
        <v>198</v>
      </c>
      <c r="H52" s="5" t="s">
        <v>199</v>
      </c>
      <c r="I52" s="3"/>
      <c r="J52" s="5"/>
      <c r="K52" s="3" t="s">
        <v>197</v>
      </c>
    </row>
    <row r="53" spans="1:11" x14ac:dyDescent="0.25">
      <c r="A53" s="3" t="s">
        <v>189</v>
      </c>
      <c r="B53" s="5" t="s">
        <v>190</v>
      </c>
      <c r="C53" s="3" t="s">
        <v>200</v>
      </c>
      <c r="D53" s="5" t="s">
        <v>201</v>
      </c>
      <c r="E53" s="3"/>
      <c r="F53" s="3"/>
      <c r="G53" s="3"/>
      <c r="H53" s="5"/>
      <c r="I53" s="3"/>
      <c r="J53" s="5"/>
      <c r="K53" s="3" t="s">
        <v>202</v>
      </c>
    </row>
    <row r="54" spans="1:11" x14ac:dyDescent="0.25">
      <c r="A54" s="3" t="s">
        <v>189</v>
      </c>
      <c r="B54" s="5" t="s">
        <v>190</v>
      </c>
      <c r="C54" s="6" t="s">
        <v>203</v>
      </c>
      <c r="D54" s="5" t="s">
        <v>204</v>
      </c>
      <c r="E54" s="3"/>
      <c r="F54" s="5"/>
      <c r="G54" s="3" t="s">
        <v>205</v>
      </c>
      <c r="H54" s="5" t="s">
        <v>206</v>
      </c>
      <c r="I54" s="3"/>
      <c r="J54" s="3"/>
      <c r="K54" s="3" t="s">
        <v>207</v>
      </c>
    </row>
    <row r="55" spans="1:11" x14ac:dyDescent="0.25">
      <c r="A55" s="3" t="s">
        <v>189</v>
      </c>
      <c r="B55" s="5" t="s">
        <v>190</v>
      </c>
      <c r="C55" s="3" t="s">
        <v>208</v>
      </c>
      <c r="D55" s="5" t="s">
        <v>209</v>
      </c>
      <c r="E55" s="3"/>
      <c r="F55" s="5"/>
      <c r="G55" s="3" t="s">
        <v>210</v>
      </c>
      <c r="H55" s="5" t="s">
        <v>211</v>
      </c>
      <c r="I55" s="3"/>
      <c r="J55" s="5"/>
      <c r="K55" s="3" t="s">
        <v>212</v>
      </c>
    </row>
    <row r="56" spans="1:11" x14ac:dyDescent="0.25">
      <c r="A56" s="3" t="s">
        <v>213</v>
      </c>
      <c r="B56" s="3" t="s">
        <v>214</v>
      </c>
      <c r="C56" s="3" t="s">
        <v>215</v>
      </c>
      <c r="D56" s="5" t="s">
        <v>216</v>
      </c>
      <c r="E56" s="3"/>
      <c r="F56" s="5"/>
      <c r="G56" s="3" t="s">
        <v>217</v>
      </c>
      <c r="H56" s="5" t="s">
        <v>218</v>
      </c>
      <c r="I56" s="3" t="s">
        <v>219</v>
      </c>
      <c r="J56" s="5" t="s">
        <v>220</v>
      </c>
      <c r="K56" s="3" t="s">
        <v>221</v>
      </c>
    </row>
    <row r="57" spans="1:11" x14ac:dyDescent="0.25">
      <c r="A57" s="3" t="s">
        <v>213</v>
      </c>
      <c r="B57" s="3" t="s">
        <v>214</v>
      </c>
      <c r="C57" s="3" t="s">
        <v>215</v>
      </c>
      <c r="D57" s="5" t="s">
        <v>216</v>
      </c>
      <c r="E57" s="3"/>
      <c r="F57" s="5"/>
      <c r="G57" s="3" t="s">
        <v>217</v>
      </c>
      <c r="H57" s="5" t="s">
        <v>218</v>
      </c>
      <c r="I57" s="3" t="s">
        <v>222</v>
      </c>
      <c r="J57" s="5" t="s">
        <v>223</v>
      </c>
      <c r="K57" s="3" t="s">
        <v>221</v>
      </c>
    </row>
    <row r="58" spans="1:11" x14ac:dyDescent="0.25">
      <c r="A58" s="3" t="s">
        <v>213</v>
      </c>
      <c r="B58" s="3" t="s">
        <v>214</v>
      </c>
      <c r="C58" s="3" t="s">
        <v>215</v>
      </c>
      <c r="D58" s="5" t="s">
        <v>216</v>
      </c>
      <c r="E58" s="3"/>
      <c r="F58" s="5"/>
      <c r="G58" s="6" t="s">
        <v>224</v>
      </c>
      <c r="H58" s="5" t="s">
        <v>225</v>
      </c>
      <c r="I58" s="3"/>
      <c r="J58" s="5"/>
      <c r="K58" s="3" t="s">
        <v>226</v>
      </c>
    </row>
    <row r="59" spans="1:11" x14ac:dyDescent="0.25">
      <c r="A59" s="3" t="s">
        <v>213</v>
      </c>
      <c r="B59" s="3" t="s">
        <v>214</v>
      </c>
      <c r="C59" s="3" t="s">
        <v>227</v>
      </c>
      <c r="D59" s="5" t="s">
        <v>228</v>
      </c>
      <c r="E59" s="3"/>
      <c r="F59" s="5"/>
      <c r="G59" s="3" t="s">
        <v>229</v>
      </c>
      <c r="H59" s="5" t="s">
        <v>230</v>
      </c>
      <c r="I59" s="3"/>
      <c r="J59" s="5"/>
      <c r="K59" s="3" t="s">
        <v>231</v>
      </c>
    </row>
    <row r="60" spans="1:11" x14ac:dyDescent="0.25">
      <c r="A60" s="3" t="s">
        <v>213</v>
      </c>
      <c r="B60" s="3" t="s">
        <v>214</v>
      </c>
      <c r="C60" s="3" t="s">
        <v>227</v>
      </c>
      <c r="D60" s="5" t="s">
        <v>228</v>
      </c>
      <c r="E60" s="3"/>
      <c r="F60" s="5"/>
      <c r="G60" s="3" t="s">
        <v>232</v>
      </c>
      <c r="H60" s="5" t="s">
        <v>233</v>
      </c>
      <c r="I60" s="3"/>
      <c r="J60" s="5"/>
      <c r="K60" s="3" t="s">
        <v>231</v>
      </c>
    </row>
    <row r="61" spans="1:11" x14ac:dyDescent="0.25">
      <c r="A61" s="3" t="s">
        <v>213</v>
      </c>
      <c r="B61" s="3" t="s">
        <v>214</v>
      </c>
      <c r="C61" s="3" t="s">
        <v>227</v>
      </c>
      <c r="D61" s="5" t="s">
        <v>228</v>
      </c>
      <c r="E61" s="3"/>
      <c r="F61" s="5"/>
      <c r="G61" s="3" t="s">
        <v>234</v>
      </c>
      <c r="H61" s="5" t="s">
        <v>235</v>
      </c>
      <c r="I61" s="3"/>
      <c r="J61" s="5"/>
      <c r="K61" s="3" t="s">
        <v>231</v>
      </c>
    </row>
    <row r="62" spans="1:11" x14ac:dyDescent="0.25">
      <c r="A62" s="3" t="s">
        <v>213</v>
      </c>
      <c r="B62" s="3" t="s">
        <v>214</v>
      </c>
      <c r="C62" s="3" t="s">
        <v>236</v>
      </c>
      <c r="D62" s="5" t="s">
        <v>237</v>
      </c>
      <c r="E62" s="3"/>
      <c r="F62" s="5"/>
      <c r="G62" s="3" t="s">
        <v>238</v>
      </c>
      <c r="H62" s="5" t="s">
        <v>239</v>
      </c>
      <c r="I62" s="3" t="s">
        <v>240</v>
      </c>
      <c r="J62" s="5" t="s">
        <v>241</v>
      </c>
      <c r="K62" s="3" t="s">
        <v>242</v>
      </c>
    </row>
    <row r="63" spans="1:11" x14ac:dyDescent="0.25">
      <c r="A63" s="3" t="s">
        <v>213</v>
      </c>
      <c r="B63" s="3" t="s">
        <v>214</v>
      </c>
      <c r="C63" s="3" t="s">
        <v>236</v>
      </c>
      <c r="D63" s="5" t="s">
        <v>237</v>
      </c>
      <c r="E63" s="3"/>
      <c r="F63" s="5"/>
      <c r="G63" s="3" t="s">
        <v>243</v>
      </c>
      <c r="H63" s="5" t="s">
        <v>244</v>
      </c>
      <c r="I63" s="3"/>
      <c r="J63" s="5"/>
      <c r="K63" s="3" t="s">
        <v>242</v>
      </c>
    </row>
    <row r="64" spans="1:11" x14ac:dyDescent="0.25">
      <c r="A64" s="3" t="s">
        <v>213</v>
      </c>
      <c r="B64" s="3" t="s">
        <v>214</v>
      </c>
      <c r="C64" s="3" t="s">
        <v>245</v>
      </c>
      <c r="D64" s="5" t="s">
        <v>246</v>
      </c>
      <c r="E64" s="3"/>
      <c r="F64" s="5"/>
      <c r="G64" s="3" t="s">
        <v>247</v>
      </c>
      <c r="H64" s="5" t="s">
        <v>248</v>
      </c>
      <c r="I64" s="3"/>
      <c r="J64" s="5"/>
      <c r="K64" s="3" t="s">
        <v>249</v>
      </c>
    </row>
    <row r="65" spans="1:11" x14ac:dyDescent="0.25">
      <c r="A65" s="3" t="s">
        <v>213</v>
      </c>
      <c r="B65" s="3" t="s">
        <v>214</v>
      </c>
      <c r="C65" s="3" t="s">
        <v>245</v>
      </c>
      <c r="D65" s="5" t="s">
        <v>246</v>
      </c>
      <c r="E65" s="3"/>
      <c r="F65" s="5"/>
      <c r="G65" s="3" t="s">
        <v>250</v>
      </c>
      <c r="H65" s="5" t="s">
        <v>251</v>
      </c>
      <c r="I65" s="3" t="s">
        <v>252</v>
      </c>
      <c r="J65" s="5" t="s">
        <v>253</v>
      </c>
      <c r="K65" s="3" t="s">
        <v>249</v>
      </c>
    </row>
    <row r="66" spans="1:11" x14ac:dyDescent="0.25">
      <c r="A66" s="3" t="s">
        <v>254</v>
      </c>
      <c r="B66" s="5" t="s">
        <v>255</v>
      </c>
      <c r="C66" s="3" t="s">
        <v>256</v>
      </c>
      <c r="D66" s="5" t="s">
        <v>257</v>
      </c>
      <c r="E66" s="3"/>
      <c r="F66" s="5"/>
      <c r="G66" s="6" t="s">
        <v>258</v>
      </c>
      <c r="H66" s="5" t="s">
        <v>259</v>
      </c>
      <c r="I66" s="3" t="s">
        <v>260</v>
      </c>
      <c r="J66" s="5" t="s">
        <v>261</v>
      </c>
      <c r="K66" s="3" t="s">
        <v>262</v>
      </c>
    </row>
    <row r="67" spans="1:11" x14ac:dyDescent="0.25">
      <c r="A67" s="3" t="s">
        <v>254</v>
      </c>
      <c r="B67" s="5" t="s">
        <v>255</v>
      </c>
      <c r="C67" s="3" t="s">
        <v>256</v>
      </c>
      <c r="D67" s="5" t="s">
        <v>257</v>
      </c>
      <c r="E67" s="3"/>
      <c r="F67" s="3"/>
      <c r="G67" s="6" t="s">
        <v>258</v>
      </c>
      <c r="H67" s="5" t="s">
        <v>259</v>
      </c>
      <c r="I67" s="6" t="s">
        <v>263</v>
      </c>
      <c r="J67" s="5" t="s">
        <v>264</v>
      </c>
      <c r="K67" s="3" t="s">
        <v>262</v>
      </c>
    </row>
    <row r="68" spans="1:11" x14ac:dyDescent="0.25">
      <c r="A68" s="3" t="s">
        <v>254</v>
      </c>
      <c r="B68" s="5" t="s">
        <v>255</v>
      </c>
      <c r="C68" s="3" t="s">
        <v>256</v>
      </c>
      <c r="D68" s="5" t="s">
        <v>257</v>
      </c>
      <c r="E68" s="3"/>
      <c r="F68" s="3"/>
      <c r="G68" s="6" t="s">
        <v>258</v>
      </c>
      <c r="H68" s="5" t="s">
        <v>259</v>
      </c>
      <c r="I68" s="6" t="s">
        <v>265</v>
      </c>
      <c r="J68" s="7" t="s">
        <v>266</v>
      </c>
      <c r="K68" s="3" t="s">
        <v>262</v>
      </c>
    </row>
    <row r="69" spans="1:11" x14ac:dyDescent="0.25">
      <c r="A69" s="3" t="s">
        <v>254</v>
      </c>
      <c r="B69" s="5" t="s">
        <v>255</v>
      </c>
      <c r="C69" s="3" t="s">
        <v>256</v>
      </c>
      <c r="D69" s="5" t="s">
        <v>257</v>
      </c>
      <c r="E69" s="3"/>
      <c r="F69" s="3"/>
      <c r="G69" s="6" t="s">
        <v>258</v>
      </c>
      <c r="H69" s="5" t="s">
        <v>259</v>
      </c>
      <c r="I69" s="3" t="s">
        <v>267</v>
      </c>
      <c r="J69" s="5" t="s">
        <v>268</v>
      </c>
      <c r="K69" s="3" t="s">
        <v>262</v>
      </c>
    </row>
    <row r="70" spans="1:11" x14ac:dyDescent="0.25">
      <c r="A70" s="3" t="s">
        <v>254</v>
      </c>
      <c r="B70" s="5" t="s">
        <v>255</v>
      </c>
      <c r="C70" s="3" t="s">
        <v>256</v>
      </c>
      <c r="D70" s="5" t="s">
        <v>257</v>
      </c>
      <c r="E70" s="3"/>
      <c r="F70" s="3"/>
      <c r="G70" s="6" t="s">
        <v>258</v>
      </c>
      <c r="H70" s="5" t="s">
        <v>259</v>
      </c>
      <c r="I70" s="3" t="s">
        <v>269</v>
      </c>
      <c r="J70" s="5" t="s">
        <v>270</v>
      </c>
      <c r="K70" s="3" t="s">
        <v>262</v>
      </c>
    </row>
    <row r="71" spans="1:11" x14ac:dyDescent="0.25">
      <c r="A71" s="3" t="s">
        <v>254</v>
      </c>
      <c r="B71" s="5" t="s">
        <v>255</v>
      </c>
      <c r="C71" s="3" t="s">
        <v>256</v>
      </c>
      <c r="D71" s="5" t="s">
        <v>257</v>
      </c>
      <c r="E71" s="3"/>
      <c r="F71" s="3"/>
      <c r="G71" s="6" t="s">
        <v>258</v>
      </c>
      <c r="H71" s="5" t="s">
        <v>259</v>
      </c>
      <c r="I71" s="3" t="s">
        <v>271</v>
      </c>
      <c r="J71" s="5" t="s">
        <v>272</v>
      </c>
      <c r="K71" s="3" t="s">
        <v>262</v>
      </c>
    </row>
    <row r="72" spans="1:11" x14ac:dyDescent="0.25">
      <c r="A72" s="3" t="s">
        <v>254</v>
      </c>
      <c r="B72" s="5" t="s">
        <v>255</v>
      </c>
      <c r="C72" s="3" t="s">
        <v>256</v>
      </c>
      <c r="D72" s="5" t="s">
        <v>257</v>
      </c>
      <c r="E72" s="3"/>
      <c r="F72" s="3"/>
      <c r="G72" s="6" t="s">
        <v>258</v>
      </c>
      <c r="H72" s="5" t="s">
        <v>259</v>
      </c>
      <c r="I72" s="3" t="s">
        <v>273</v>
      </c>
      <c r="J72" s="5" t="s">
        <v>274</v>
      </c>
      <c r="K72" s="3" t="s">
        <v>262</v>
      </c>
    </row>
    <row r="73" spans="1:11" x14ac:dyDescent="0.25">
      <c r="A73" s="3" t="s">
        <v>254</v>
      </c>
      <c r="B73" s="5" t="s">
        <v>255</v>
      </c>
      <c r="C73" s="3" t="s">
        <v>256</v>
      </c>
      <c r="D73" s="5" t="s">
        <v>257</v>
      </c>
      <c r="E73" s="3"/>
      <c r="F73" s="3"/>
      <c r="G73" s="6" t="s">
        <v>258</v>
      </c>
      <c r="H73" s="5" t="s">
        <v>259</v>
      </c>
      <c r="I73" s="3" t="s">
        <v>275</v>
      </c>
      <c r="J73" s="5" t="s">
        <v>276</v>
      </c>
      <c r="K73" s="3" t="s">
        <v>262</v>
      </c>
    </row>
    <row r="74" spans="1:11" x14ac:dyDescent="0.25">
      <c r="A74" s="3" t="s">
        <v>254</v>
      </c>
      <c r="B74" s="5" t="s">
        <v>255</v>
      </c>
      <c r="C74" s="3" t="s">
        <v>256</v>
      </c>
      <c r="D74" s="5" t="s">
        <v>257</v>
      </c>
      <c r="E74" s="3"/>
      <c r="F74" s="3"/>
      <c r="G74" s="6" t="s">
        <v>258</v>
      </c>
      <c r="H74" s="5" t="s">
        <v>259</v>
      </c>
      <c r="I74" s="3" t="s">
        <v>277</v>
      </c>
      <c r="J74" s="5" t="s">
        <v>278</v>
      </c>
      <c r="K74" s="3" t="s">
        <v>262</v>
      </c>
    </row>
    <row r="75" spans="1:11" x14ac:dyDescent="0.25">
      <c r="A75" s="3" t="s">
        <v>254</v>
      </c>
      <c r="B75" s="5" t="s">
        <v>255</v>
      </c>
      <c r="C75" s="3" t="s">
        <v>256</v>
      </c>
      <c r="D75" s="5" t="s">
        <v>257</v>
      </c>
      <c r="E75" s="3"/>
      <c r="F75" s="3"/>
      <c r="G75" s="6" t="s">
        <v>258</v>
      </c>
      <c r="H75" s="5" t="s">
        <v>259</v>
      </c>
      <c r="I75" s="3" t="s">
        <v>279</v>
      </c>
      <c r="J75" s="5" t="s">
        <v>280</v>
      </c>
      <c r="K75" s="3" t="s">
        <v>262</v>
      </c>
    </row>
    <row r="76" spans="1:11" x14ac:dyDescent="0.25">
      <c r="A76" s="3" t="s">
        <v>254</v>
      </c>
      <c r="B76" s="5" t="s">
        <v>255</v>
      </c>
      <c r="C76" s="3" t="s">
        <v>256</v>
      </c>
      <c r="D76" s="5" t="s">
        <v>257</v>
      </c>
      <c r="E76" s="3"/>
      <c r="F76" s="3"/>
      <c r="G76" s="6" t="s">
        <v>258</v>
      </c>
      <c r="H76" s="5" t="s">
        <v>259</v>
      </c>
      <c r="I76" s="3" t="s">
        <v>281</v>
      </c>
      <c r="J76" s="5" t="s">
        <v>282</v>
      </c>
      <c r="K76" s="3" t="s">
        <v>262</v>
      </c>
    </row>
    <row r="77" spans="1:11" x14ac:dyDescent="0.25">
      <c r="A77" s="3" t="s">
        <v>254</v>
      </c>
      <c r="B77" s="5" t="s">
        <v>255</v>
      </c>
      <c r="C77" s="3" t="s">
        <v>256</v>
      </c>
      <c r="D77" s="5" t="s">
        <v>257</v>
      </c>
      <c r="E77" s="3"/>
      <c r="F77" s="3"/>
      <c r="G77" s="6" t="s">
        <v>258</v>
      </c>
      <c r="H77" s="5" t="s">
        <v>259</v>
      </c>
      <c r="I77" s="3" t="s">
        <v>283</v>
      </c>
      <c r="J77" s="5" t="s">
        <v>284</v>
      </c>
      <c r="K77" s="3" t="s">
        <v>262</v>
      </c>
    </row>
    <row r="78" spans="1:11" x14ac:dyDescent="0.25">
      <c r="A78" s="3" t="s">
        <v>254</v>
      </c>
      <c r="B78" s="5" t="s">
        <v>255</v>
      </c>
      <c r="C78" s="3" t="s">
        <v>256</v>
      </c>
      <c r="D78" s="5" t="s">
        <v>257</v>
      </c>
      <c r="E78" s="3"/>
      <c r="F78" s="3"/>
      <c r="G78" s="6" t="s">
        <v>258</v>
      </c>
      <c r="H78" s="5" t="s">
        <v>259</v>
      </c>
      <c r="I78" s="3" t="s">
        <v>285</v>
      </c>
      <c r="J78" s="5" t="s">
        <v>286</v>
      </c>
      <c r="K78" s="3" t="s">
        <v>262</v>
      </c>
    </row>
    <row r="79" spans="1:11" x14ac:dyDescent="0.25">
      <c r="A79" s="3" t="s">
        <v>254</v>
      </c>
      <c r="B79" s="5" t="s">
        <v>255</v>
      </c>
      <c r="C79" s="3" t="s">
        <v>256</v>
      </c>
      <c r="D79" s="5" t="s">
        <v>257</v>
      </c>
      <c r="E79" s="3"/>
      <c r="F79" s="3"/>
      <c r="G79" s="6" t="s">
        <v>258</v>
      </c>
      <c r="H79" s="5" t="s">
        <v>259</v>
      </c>
      <c r="I79" s="3" t="s">
        <v>287</v>
      </c>
      <c r="J79" s="5" t="s">
        <v>288</v>
      </c>
      <c r="K79" s="3" t="s">
        <v>262</v>
      </c>
    </row>
    <row r="80" spans="1:11" x14ac:dyDescent="0.25">
      <c r="A80" s="3" t="s">
        <v>254</v>
      </c>
      <c r="B80" s="5" t="s">
        <v>255</v>
      </c>
      <c r="C80" s="3" t="s">
        <v>256</v>
      </c>
      <c r="D80" s="5" t="s">
        <v>257</v>
      </c>
      <c r="E80" s="3"/>
      <c r="F80" s="5"/>
      <c r="G80" s="3" t="s">
        <v>289</v>
      </c>
      <c r="H80" s="5" t="s">
        <v>290</v>
      </c>
      <c r="I80" s="6" t="s">
        <v>291</v>
      </c>
      <c r="J80" s="5" t="s">
        <v>292</v>
      </c>
      <c r="K80" s="3" t="s">
        <v>262</v>
      </c>
    </row>
    <row r="81" spans="1:11" x14ac:dyDescent="0.25">
      <c r="A81" s="3" t="s">
        <v>254</v>
      </c>
      <c r="B81" s="5" t="s">
        <v>255</v>
      </c>
      <c r="C81" s="3" t="s">
        <v>256</v>
      </c>
      <c r="D81" s="5" t="s">
        <v>257</v>
      </c>
      <c r="E81" s="3"/>
      <c r="F81" s="5"/>
      <c r="G81" s="3" t="s">
        <v>293</v>
      </c>
      <c r="H81" s="5" t="s">
        <v>294</v>
      </c>
      <c r="I81" s="3" t="s">
        <v>295</v>
      </c>
      <c r="J81" s="5" t="s">
        <v>296</v>
      </c>
      <c r="K81" s="3" t="s">
        <v>262</v>
      </c>
    </row>
    <row r="82" spans="1:11" x14ac:dyDescent="0.25">
      <c r="A82" s="3" t="s">
        <v>254</v>
      </c>
      <c r="B82" s="5" t="s">
        <v>255</v>
      </c>
      <c r="C82" s="3" t="s">
        <v>256</v>
      </c>
      <c r="D82" s="5" t="s">
        <v>257</v>
      </c>
      <c r="E82" s="3"/>
      <c r="F82" s="5"/>
      <c r="G82" s="3" t="s">
        <v>293</v>
      </c>
      <c r="H82" s="5" t="s">
        <v>294</v>
      </c>
      <c r="I82" s="3" t="s">
        <v>297</v>
      </c>
      <c r="J82" s="5" t="s">
        <v>298</v>
      </c>
      <c r="K82" s="3" t="s">
        <v>262</v>
      </c>
    </row>
    <row r="83" spans="1:11" x14ac:dyDescent="0.25">
      <c r="A83" s="3" t="s">
        <v>254</v>
      </c>
      <c r="B83" s="5" t="s">
        <v>255</v>
      </c>
      <c r="C83" s="3" t="s">
        <v>256</v>
      </c>
      <c r="D83" s="5" t="s">
        <v>257</v>
      </c>
      <c r="E83" s="3"/>
      <c r="F83" s="5"/>
      <c r="G83" s="3" t="s">
        <v>299</v>
      </c>
      <c r="H83" s="5" t="s">
        <v>300</v>
      </c>
      <c r="I83" s="3" t="s">
        <v>301</v>
      </c>
      <c r="J83" s="5" t="s">
        <v>302</v>
      </c>
      <c r="K83" s="3" t="s">
        <v>262</v>
      </c>
    </row>
    <row r="84" spans="1:11" x14ac:dyDescent="0.25">
      <c r="A84" s="3" t="s">
        <v>254</v>
      </c>
      <c r="B84" s="5" t="s">
        <v>255</v>
      </c>
      <c r="C84" s="3" t="s">
        <v>256</v>
      </c>
      <c r="D84" s="5" t="s">
        <v>257</v>
      </c>
      <c r="E84" s="3"/>
      <c r="F84" s="5"/>
      <c r="G84" s="3" t="s">
        <v>299</v>
      </c>
      <c r="H84" s="5" t="s">
        <v>300</v>
      </c>
      <c r="I84" s="3" t="s">
        <v>303</v>
      </c>
      <c r="J84" s="5" t="s">
        <v>304</v>
      </c>
      <c r="K84" s="3" t="s">
        <v>262</v>
      </c>
    </row>
    <row r="85" spans="1:11" x14ac:dyDescent="0.25">
      <c r="A85" s="3" t="s">
        <v>254</v>
      </c>
      <c r="B85" s="5" t="s">
        <v>255</v>
      </c>
      <c r="C85" s="3" t="s">
        <v>256</v>
      </c>
      <c r="D85" s="5" t="s">
        <v>257</v>
      </c>
      <c r="E85" s="3"/>
      <c r="F85" s="5"/>
      <c r="G85" s="3" t="s">
        <v>299</v>
      </c>
      <c r="H85" s="5" t="s">
        <v>300</v>
      </c>
      <c r="I85" s="3" t="s">
        <v>305</v>
      </c>
      <c r="J85" s="5" t="s">
        <v>306</v>
      </c>
      <c r="K85" s="3" t="s">
        <v>262</v>
      </c>
    </row>
    <row r="86" spans="1:11" x14ac:dyDescent="0.25">
      <c r="A86" s="3" t="s">
        <v>254</v>
      </c>
      <c r="B86" s="5" t="s">
        <v>255</v>
      </c>
      <c r="C86" s="3" t="s">
        <v>256</v>
      </c>
      <c r="D86" s="5" t="s">
        <v>257</v>
      </c>
      <c r="E86" s="3"/>
      <c r="F86" s="5"/>
      <c r="G86" s="3" t="s">
        <v>299</v>
      </c>
      <c r="H86" s="5" t="s">
        <v>300</v>
      </c>
      <c r="I86" s="3" t="s">
        <v>307</v>
      </c>
      <c r="J86" s="5" t="s">
        <v>308</v>
      </c>
      <c r="K86" s="3" t="s">
        <v>262</v>
      </c>
    </row>
    <row r="87" spans="1:11" x14ac:dyDescent="0.25">
      <c r="A87" s="3" t="s">
        <v>254</v>
      </c>
      <c r="B87" s="5" t="s">
        <v>255</v>
      </c>
      <c r="C87" s="3" t="s">
        <v>256</v>
      </c>
      <c r="D87" s="5" t="s">
        <v>257</v>
      </c>
      <c r="E87" s="3"/>
      <c r="F87" s="5"/>
      <c r="G87" s="3" t="s">
        <v>299</v>
      </c>
      <c r="H87" s="5" t="s">
        <v>300</v>
      </c>
      <c r="I87" s="3" t="s">
        <v>309</v>
      </c>
      <c r="J87" s="5" t="s">
        <v>310</v>
      </c>
      <c r="K87" s="3" t="s">
        <v>262</v>
      </c>
    </row>
    <row r="88" spans="1:11" x14ac:dyDescent="0.25">
      <c r="A88" s="3" t="s">
        <v>254</v>
      </c>
      <c r="B88" s="5" t="s">
        <v>255</v>
      </c>
      <c r="C88" s="3" t="s">
        <v>256</v>
      </c>
      <c r="D88" s="5" t="s">
        <v>257</v>
      </c>
      <c r="E88" s="3"/>
      <c r="F88" s="5"/>
      <c r="G88" s="3" t="s">
        <v>299</v>
      </c>
      <c r="H88" s="5" t="s">
        <v>300</v>
      </c>
      <c r="I88" s="3" t="s">
        <v>311</v>
      </c>
      <c r="J88" s="5" t="s">
        <v>312</v>
      </c>
      <c r="K88" s="3" t="s">
        <v>262</v>
      </c>
    </row>
    <row r="89" spans="1:11" x14ac:dyDescent="0.25">
      <c r="A89" s="3" t="s">
        <v>254</v>
      </c>
      <c r="B89" s="5" t="s">
        <v>255</v>
      </c>
      <c r="C89" s="3" t="s">
        <v>256</v>
      </c>
      <c r="D89" s="5" t="s">
        <v>257</v>
      </c>
      <c r="E89" s="3"/>
      <c r="F89" s="5"/>
      <c r="G89" s="3" t="s">
        <v>299</v>
      </c>
      <c r="H89" s="5" t="s">
        <v>300</v>
      </c>
      <c r="I89" s="6" t="s">
        <v>313</v>
      </c>
      <c r="J89" s="5" t="s">
        <v>314</v>
      </c>
      <c r="K89" s="3" t="s">
        <v>262</v>
      </c>
    </row>
    <row r="90" spans="1:11" x14ac:dyDescent="0.25">
      <c r="A90" s="3" t="s">
        <v>254</v>
      </c>
      <c r="B90" s="5" t="s">
        <v>255</v>
      </c>
      <c r="C90" s="3" t="s">
        <v>256</v>
      </c>
      <c r="D90" s="5" t="s">
        <v>257</v>
      </c>
      <c r="E90" s="3"/>
      <c r="F90" s="5"/>
      <c r="G90" s="6" t="s">
        <v>315</v>
      </c>
      <c r="H90" s="5" t="s">
        <v>316</v>
      </c>
      <c r="I90" s="6" t="s">
        <v>317</v>
      </c>
      <c r="J90" s="5" t="s">
        <v>318</v>
      </c>
      <c r="K90" s="3" t="s">
        <v>262</v>
      </c>
    </row>
    <row r="91" spans="1:11" x14ac:dyDescent="0.25">
      <c r="A91" s="3" t="s">
        <v>254</v>
      </c>
      <c r="B91" s="5" t="s">
        <v>255</v>
      </c>
      <c r="C91" s="3" t="s">
        <v>319</v>
      </c>
      <c r="D91" s="5" t="s">
        <v>320</v>
      </c>
      <c r="E91" s="3" t="s">
        <v>321</v>
      </c>
      <c r="F91" s="5" t="s">
        <v>322</v>
      </c>
      <c r="G91" s="3" t="s">
        <v>323</v>
      </c>
      <c r="H91" s="5" t="s">
        <v>324</v>
      </c>
      <c r="I91" s="3"/>
      <c r="J91" s="3"/>
      <c r="K91" s="3" t="s">
        <v>325</v>
      </c>
    </row>
    <row r="92" spans="1:11" x14ac:dyDescent="0.25">
      <c r="A92" s="3" t="s">
        <v>254</v>
      </c>
      <c r="B92" s="5" t="s">
        <v>255</v>
      </c>
      <c r="C92" s="3" t="s">
        <v>319</v>
      </c>
      <c r="D92" s="5" t="s">
        <v>320</v>
      </c>
      <c r="E92" s="3" t="s">
        <v>321</v>
      </c>
      <c r="F92" s="5" t="s">
        <v>322</v>
      </c>
      <c r="G92" s="3" t="s">
        <v>326</v>
      </c>
      <c r="H92" s="5" t="s">
        <v>327</v>
      </c>
      <c r="I92" s="3"/>
      <c r="J92" s="3"/>
      <c r="K92" s="3" t="s">
        <v>325</v>
      </c>
    </row>
    <row r="93" spans="1:11" x14ac:dyDescent="0.25">
      <c r="A93" s="3" t="s">
        <v>254</v>
      </c>
      <c r="B93" s="5" t="s">
        <v>255</v>
      </c>
      <c r="C93" s="3" t="s">
        <v>319</v>
      </c>
      <c r="D93" s="5" t="s">
        <v>320</v>
      </c>
      <c r="E93" s="3" t="s">
        <v>321</v>
      </c>
      <c r="F93" s="5" t="s">
        <v>322</v>
      </c>
      <c r="G93" s="3" t="s">
        <v>328</v>
      </c>
      <c r="H93" s="5" t="s">
        <v>329</v>
      </c>
      <c r="I93" s="3"/>
      <c r="J93" s="3"/>
      <c r="K93" s="3" t="s">
        <v>325</v>
      </c>
    </row>
    <row r="94" spans="1:11" x14ac:dyDescent="0.25">
      <c r="A94" s="3" t="s">
        <v>254</v>
      </c>
      <c r="B94" s="5" t="s">
        <v>255</v>
      </c>
      <c r="C94" s="3" t="s">
        <v>330</v>
      </c>
      <c r="D94" s="5" t="s">
        <v>331</v>
      </c>
      <c r="E94" s="3"/>
      <c r="F94" s="5"/>
      <c r="G94" s="3"/>
      <c r="H94" s="5"/>
      <c r="I94" s="3" t="s">
        <v>332</v>
      </c>
      <c r="J94" s="5" t="s">
        <v>333</v>
      </c>
      <c r="K94" s="3" t="s">
        <v>334</v>
      </c>
    </row>
    <row r="95" spans="1:11" x14ac:dyDescent="0.25">
      <c r="A95" s="3" t="s">
        <v>254</v>
      </c>
      <c r="B95" s="5" t="s">
        <v>255</v>
      </c>
      <c r="C95" s="3" t="s">
        <v>330</v>
      </c>
      <c r="D95" s="5" t="s">
        <v>331</v>
      </c>
      <c r="E95" s="3"/>
      <c r="F95" s="5"/>
      <c r="G95" s="3"/>
      <c r="H95" s="5"/>
      <c r="I95" s="3" t="s">
        <v>335</v>
      </c>
      <c r="J95" s="5" t="s">
        <v>336</v>
      </c>
      <c r="K95" s="3" t="s">
        <v>334</v>
      </c>
    </row>
    <row r="96" spans="1:11" x14ac:dyDescent="0.25">
      <c r="A96" s="3" t="s">
        <v>254</v>
      </c>
      <c r="B96" s="5" t="s">
        <v>255</v>
      </c>
      <c r="C96" s="3" t="s">
        <v>337</v>
      </c>
      <c r="D96" s="5" t="s">
        <v>338</v>
      </c>
      <c r="E96" s="3"/>
      <c r="F96" s="5"/>
      <c r="G96" s="3" t="s">
        <v>339</v>
      </c>
      <c r="H96" s="5" t="s">
        <v>340</v>
      </c>
      <c r="I96" s="3" t="s">
        <v>341</v>
      </c>
      <c r="J96" s="5" t="s">
        <v>342</v>
      </c>
      <c r="K96" s="3" t="s">
        <v>343</v>
      </c>
    </row>
    <row r="97" spans="1:11" x14ac:dyDescent="0.25">
      <c r="A97" s="3" t="s">
        <v>254</v>
      </c>
      <c r="B97" s="5" t="s">
        <v>255</v>
      </c>
      <c r="C97" s="3" t="s">
        <v>337</v>
      </c>
      <c r="D97" s="5" t="s">
        <v>338</v>
      </c>
      <c r="E97" s="3"/>
      <c r="F97" s="5"/>
      <c r="G97" s="3" t="s">
        <v>339</v>
      </c>
      <c r="H97" s="5" t="s">
        <v>340</v>
      </c>
      <c r="I97" s="3" t="s">
        <v>344</v>
      </c>
      <c r="J97" s="5" t="s">
        <v>345</v>
      </c>
      <c r="K97" s="3" t="s">
        <v>343</v>
      </c>
    </row>
    <row r="98" spans="1:11" x14ac:dyDescent="0.25">
      <c r="A98" s="3" t="s">
        <v>254</v>
      </c>
      <c r="B98" s="5" t="s">
        <v>255</v>
      </c>
      <c r="C98" s="3" t="s">
        <v>337</v>
      </c>
      <c r="D98" s="5" t="s">
        <v>338</v>
      </c>
      <c r="E98" s="3"/>
      <c r="F98" s="5"/>
      <c r="G98" s="3" t="s">
        <v>346</v>
      </c>
      <c r="H98" s="5" t="s">
        <v>347</v>
      </c>
      <c r="I98" s="3"/>
      <c r="J98" s="5"/>
      <c r="K98" s="3" t="s">
        <v>343</v>
      </c>
    </row>
    <row r="99" spans="1:11" x14ac:dyDescent="0.25">
      <c r="A99" s="3" t="s">
        <v>254</v>
      </c>
      <c r="B99" s="5" t="s">
        <v>255</v>
      </c>
      <c r="C99" s="3" t="s">
        <v>337</v>
      </c>
      <c r="D99" s="5" t="s">
        <v>338</v>
      </c>
      <c r="E99" s="3"/>
      <c r="F99" s="5"/>
      <c r="G99" s="3" t="s">
        <v>348</v>
      </c>
      <c r="H99" s="5" t="s">
        <v>349</v>
      </c>
      <c r="I99" s="3"/>
      <c r="J99" s="5"/>
      <c r="K99" s="3" t="s">
        <v>343</v>
      </c>
    </row>
    <row r="100" spans="1:11" x14ac:dyDescent="0.25">
      <c r="A100" s="3" t="s">
        <v>350</v>
      </c>
      <c r="B100" s="5" t="s">
        <v>351</v>
      </c>
      <c r="C100" s="3" t="s">
        <v>352</v>
      </c>
      <c r="D100" s="5" t="s">
        <v>353</v>
      </c>
      <c r="E100" s="3"/>
      <c r="F100" s="3"/>
      <c r="G100" s="3"/>
      <c r="H100" s="3"/>
      <c r="I100" s="3"/>
      <c r="J100" s="3"/>
      <c r="K100" s="3" t="s">
        <v>354</v>
      </c>
    </row>
    <row r="101" spans="1:11" x14ac:dyDescent="0.25">
      <c r="A101" s="3" t="s">
        <v>350</v>
      </c>
      <c r="B101" s="5" t="s">
        <v>351</v>
      </c>
      <c r="C101" s="3" t="s">
        <v>355</v>
      </c>
      <c r="D101" s="5" t="s">
        <v>356</v>
      </c>
      <c r="E101" s="3" t="s">
        <v>357</v>
      </c>
      <c r="F101" s="5" t="s">
        <v>358</v>
      </c>
      <c r="G101" s="6" t="s">
        <v>359</v>
      </c>
      <c r="H101" s="5" t="s">
        <v>360</v>
      </c>
      <c r="I101" s="3"/>
      <c r="J101" s="3"/>
      <c r="K101" s="3" t="s">
        <v>361</v>
      </c>
    </row>
    <row r="102" spans="1:11" x14ac:dyDescent="0.25">
      <c r="A102" s="3" t="s">
        <v>350</v>
      </c>
      <c r="B102" s="5" t="s">
        <v>351</v>
      </c>
      <c r="C102" s="3" t="s">
        <v>355</v>
      </c>
      <c r="D102" s="5" t="s">
        <v>356</v>
      </c>
      <c r="E102" s="3" t="s">
        <v>357</v>
      </c>
      <c r="F102" s="5" t="s">
        <v>358</v>
      </c>
      <c r="G102" s="3" t="s">
        <v>362</v>
      </c>
      <c r="H102" s="5" t="s">
        <v>363</v>
      </c>
      <c r="I102" s="3" t="s">
        <v>364</v>
      </c>
      <c r="J102" s="5" t="s">
        <v>365</v>
      </c>
      <c r="K102" s="3" t="s">
        <v>361</v>
      </c>
    </row>
    <row r="103" spans="1:11" x14ac:dyDescent="0.25">
      <c r="A103" s="3" t="s">
        <v>350</v>
      </c>
      <c r="B103" s="5" t="s">
        <v>351</v>
      </c>
      <c r="C103" s="3" t="s">
        <v>366</v>
      </c>
      <c r="D103" s="5" t="s">
        <v>367</v>
      </c>
      <c r="E103" s="3"/>
      <c r="F103" s="5"/>
      <c r="G103" s="3" t="s">
        <v>368</v>
      </c>
      <c r="H103" s="5" t="s">
        <v>369</v>
      </c>
      <c r="I103" s="3" t="s">
        <v>370</v>
      </c>
      <c r="J103" s="5" t="s">
        <v>371</v>
      </c>
      <c r="K103" s="3" t="s">
        <v>372</v>
      </c>
    </row>
    <row r="104" spans="1:11" x14ac:dyDescent="0.25">
      <c r="A104" s="3" t="s">
        <v>350</v>
      </c>
      <c r="B104" s="5" t="s">
        <v>351</v>
      </c>
      <c r="C104" s="3" t="s">
        <v>366</v>
      </c>
      <c r="D104" s="5" t="s">
        <v>367</v>
      </c>
      <c r="E104" s="3"/>
      <c r="F104" s="3"/>
      <c r="G104" s="3" t="s">
        <v>368</v>
      </c>
      <c r="H104" s="5" t="s">
        <v>369</v>
      </c>
      <c r="I104" s="3" t="s">
        <v>373</v>
      </c>
      <c r="J104" s="5" t="s">
        <v>374</v>
      </c>
      <c r="K104" s="3" t="s">
        <v>372</v>
      </c>
    </row>
    <row r="105" spans="1:11" x14ac:dyDescent="0.25">
      <c r="A105" s="3" t="s">
        <v>350</v>
      </c>
      <c r="B105" s="5" t="s">
        <v>351</v>
      </c>
      <c r="C105" s="3" t="s">
        <v>366</v>
      </c>
      <c r="D105" s="5" t="s">
        <v>367</v>
      </c>
      <c r="E105" s="3"/>
      <c r="F105" s="3"/>
      <c r="G105" s="3" t="s">
        <v>368</v>
      </c>
      <c r="H105" s="5" t="s">
        <v>369</v>
      </c>
      <c r="I105" s="3" t="s">
        <v>375</v>
      </c>
      <c r="J105" s="5" t="s">
        <v>376</v>
      </c>
      <c r="K105" s="3" t="s">
        <v>372</v>
      </c>
    </row>
    <row r="106" spans="1:11" ht="15" customHeight="1" x14ac:dyDescent="0.25">
      <c r="A106" s="3" t="s">
        <v>377</v>
      </c>
      <c r="B106" s="5" t="s">
        <v>378</v>
      </c>
      <c r="C106" s="3" t="s">
        <v>379</v>
      </c>
      <c r="D106" s="5" t="s">
        <v>380</v>
      </c>
      <c r="E106" s="3"/>
      <c r="F106" s="3"/>
      <c r="G106" s="3" t="s">
        <v>381</v>
      </c>
      <c r="H106" s="5" t="s">
        <v>382</v>
      </c>
      <c r="I106" s="3" t="s">
        <v>383</v>
      </c>
      <c r="J106" s="5" t="s">
        <v>384</v>
      </c>
      <c r="K106" s="3" t="s">
        <v>385</v>
      </c>
    </row>
    <row r="107" spans="1:11" ht="15" customHeight="1" x14ac:dyDescent="0.25">
      <c r="A107" s="3" t="s">
        <v>377</v>
      </c>
      <c r="B107" s="5" t="s">
        <v>378</v>
      </c>
      <c r="C107" s="3" t="s">
        <v>379</v>
      </c>
      <c r="D107" s="5" t="s">
        <v>380</v>
      </c>
      <c r="E107" s="3"/>
      <c r="F107" s="3"/>
      <c r="G107" s="3" t="s">
        <v>386</v>
      </c>
      <c r="H107" s="5" t="s">
        <v>387</v>
      </c>
      <c r="I107" s="3"/>
      <c r="J107" s="5"/>
      <c r="K107" s="3" t="s">
        <v>385</v>
      </c>
    </row>
    <row r="108" spans="1:11" ht="15" customHeight="1" x14ac:dyDescent="0.25">
      <c r="A108" s="3" t="s">
        <v>377</v>
      </c>
      <c r="B108" s="5" t="s">
        <v>378</v>
      </c>
      <c r="C108" s="3" t="s">
        <v>379</v>
      </c>
      <c r="D108" s="5" t="s">
        <v>380</v>
      </c>
      <c r="E108" s="3"/>
      <c r="F108" s="3"/>
      <c r="G108" s="3" t="s">
        <v>388</v>
      </c>
      <c r="H108" s="5" t="s">
        <v>389</v>
      </c>
      <c r="I108" s="3"/>
      <c r="J108" s="5"/>
      <c r="K108" s="3" t="s">
        <v>385</v>
      </c>
    </row>
    <row r="109" spans="1:11" x14ac:dyDescent="0.25">
      <c r="A109" s="3" t="s">
        <v>377</v>
      </c>
      <c r="B109" s="5" t="s">
        <v>378</v>
      </c>
      <c r="C109" s="3" t="s">
        <v>390</v>
      </c>
      <c r="D109" s="5" t="s">
        <v>391</v>
      </c>
      <c r="E109" s="3"/>
      <c r="F109" s="3"/>
      <c r="G109" s="3" t="s">
        <v>392</v>
      </c>
      <c r="H109" s="5" t="s">
        <v>393</v>
      </c>
      <c r="I109" s="3"/>
      <c r="J109" s="5"/>
      <c r="K109" s="3" t="s">
        <v>394</v>
      </c>
    </row>
    <row r="110" spans="1:11" ht="16.5" customHeight="1" x14ac:dyDescent="0.25">
      <c r="A110" s="3" t="s">
        <v>395</v>
      </c>
      <c r="B110" s="3" t="s">
        <v>396</v>
      </c>
      <c r="C110" s="3" t="s">
        <v>397</v>
      </c>
      <c r="D110" s="5" t="s">
        <v>398</v>
      </c>
      <c r="E110" s="3"/>
      <c r="F110" s="3"/>
      <c r="G110" s="3" t="s">
        <v>399</v>
      </c>
      <c r="H110" s="5" t="s">
        <v>400</v>
      </c>
      <c r="I110" s="3"/>
      <c r="J110" s="3"/>
      <c r="K110" s="3" t="s">
        <v>401</v>
      </c>
    </row>
    <row r="111" spans="1:11" ht="16.5" customHeight="1" x14ac:dyDescent="0.25">
      <c r="A111" s="3" t="s">
        <v>395</v>
      </c>
      <c r="B111" s="3" t="s">
        <v>396</v>
      </c>
      <c r="C111" s="3" t="s">
        <v>397</v>
      </c>
      <c r="D111" s="5" t="s">
        <v>398</v>
      </c>
      <c r="E111" s="3"/>
      <c r="F111" s="3"/>
      <c r="G111" s="3" t="s">
        <v>402</v>
      </c>
      <c r="H111" s="5" t="s">
        <v>403</v>
      </c>
      <c r="I111" s="3"/>
      <c r="J111" s="3"/>
      <c r="K111" s="3" t="s">
        <v>401</v>
      </c>
    </row>
    <row r="112" spans="1:11" ht="16.5" customHeight="1" x14ac:dyDescent="0.25">
      <c r="A112" s="3" t="s">
        <v>395</v>
      </c>
      <c r="B112" s="3" t="s">
        <v>396</v>
      </c>
      <c r="C112" s="3" t="s">
        <v>397</v>
      </c>
      <c r="D112" s="5" t="s">
        <v>398</v>
      </c>
      <c r="E112" s="3"/>
      <c r="F112" s="3"/>
      <c r="G112" s="3" t="s">
        <v>404</v>
      </c>
      <c r="H112" s="5" t="s">
        <v>405</v>
      </c>
      <c r="I112" s="3"/>
      <c r="J112" s="3"/>
      <c r="K112" s="3" t="s">
        <v>401</v>
      </c>
    </row>
    <row r="113" spans="1:11" ht="16.5" customHeight="1" x14ac:dyDescent="0.25">
      <c r="A113" s="3" t="s">
        <v>395</v>
      </c>
      <c r="B113" s="3" t="s">
        <v>396</v>
      </c>
      <c r="C113" s="3" t="s">
        <v>397</v>
      </c>
      <c r="D113" s="5" t="s">
        <v>398</v>
      </c>
      <c r="E113" s="3"/>
      <c r="F113" s="3"/>
      <c r="G113" s="3" t="s">
        <v>406</v>
      </c>
      <c r="H113" s="5" t="s">
        <v>407</v>
      </c>
      <c r="I113" s="3"/>
      <c r="J113" s="3"/>
      <c r="K113" s="3" t="s">
        <v>401</v>
      </c>
    </row>
    <row r="114" spans="1:11" ht="16.5" customHeight="1" x14ac:dyDescent="0.25">
      <c r="A114" s="3" t="s">
        <v>395</v>
      </c>
      <c r="B114" s="3" t="s">
        <v>396</v>
      </c>
      <c r="C114" s="3" t="s">
        <v>397</v>
      </c>
      <c r="D114" s="5" t="s">
        <v>398</v>
      </c>
      <c r="E114" s="3"/>
      <c r="F114" s="3"/>
      <c r="G114" s="3" t="s">
        <v>408</v>
      </c>
      <c r="H114" s="5" t="s">
        <v>409</v>
      </c>
      <c r="I114" s="3"/>
      <c r="J114" s="3"/>
      <c r="K114" s="3" t="s">
        <v>401</v>
      </c>
    </row>
    <row r="115" spans="1:11" ht="16.5" customHeight="1" x14ac:dyDescent="0.25">
      <c r="A115" s="3" t="s">
        <v>395</v>
      </c>
      <c r="B115" s="3" t="s">
        <v>396</v>
      </c>
      <c r="C115" s="3" t="s">
        <v>397</v>
      </c>
      <c r="D115" s="5" t="s">
        <v>398</v>
      </c>
      <c r="E115" s="3"/>
      <c r="F115" s="3"/>
      <c r="G115" s="3" t="s">
        <v>410</v>
      </c>
      <c r="H115" s="5" t="s">
        <v>411</v>
      </c>
      <c r="I115" s="3"/>
      <c r="J115" s="3"/>
      <c r="K115" s="3" t="s">
        <v>401</v>
      </c>
    </row>
    <row r="116" spans="1:11" ht="16.5" customHeight="1" x14ac:dyDescent="0.25">
      <c r="A116" s="3" t="s">
        <v>395</v>
      </c>
      <c r="B116" s="3" t="s">
        <v>396</v>
      </c>
      <c r="C116" s="3" t="s">
        <v>397</v>
      </c>
      <c r="D116" s="5" t="s">
        <v>398</v>
      </c>
      <c r="E116" s="3"/>
      <c r="F116" s="3"/>
      <c r="G116" s="3" t="s">
        <v>412</v>
      </c>
      <c r="H116" s="5" t="s">
        <v>413</v>
      </c>
      <c r="I116" s="3"/>
      <c r="J116" s="3"/>
      <c r="K116" s="3" t="s">
        <v>401</v>
      </c>
    </row>
    <row r="117" spans="1:11" ht="16.5" customHeight="1" x14ac:dyDescent="0.25">
      <c r="A117" s="3" t="s">
        <v>395</v>
      </c>
      <c r="B117" s="3" t="s">
        <v>396</v>
      </c>
      <c r="C117" s="3" t="s">
        <v>414</v>
      </c>
      <c r="D117" s="5" t="s">
        <v>415</v>
      </c>
      <c r="E117" s="3"/>
      <c r="F117" s="3"/>
      <c r="G117" s="3" t="s">
        <v>416</v>
      </c>
      <c r="H117" s="5" t="s">
        <v>417</v>
      </c>
      <c r="I117" s="3"/>
      <c r="J117" s="3"/>
      <c r="K117" s="3" t="s">
        <v>418</v>
      </c>
    </row>
    <row r="118" spans="1:11" ht="16.5" customHeight="1" x14ac:dyDescent="0.25">
      <c r="A118" s="3" t="s">
        <v>395</v>
      </c>
      <c r="B118" s="3" t="s">
        <v>396</v>
      </c>
      <c r="C118" s="3" t="s">
        <v>414</v>
      </c>
      <c r="D118" s="5" t="s">
        <v>415</v>
      </c>
      <c r="E118" s="3"/>
      <c r="F118" s="3"/>
      <c r="G118" s="3" t="s">
        <v>419</v>
      </c>
      <c r="H118" s="5" t="s">
        <v>420</v>
      </c>
      <c r="I118" s="3"/>
      <c r="J118" s="3"/>
      <c r="K118" s="3" t="s">
        <v>418</v>
      </c>
    </row>
    <row r="119" spans="1:11" ht="16.5" customHeight="1" x14ac:dyDescent="0.25">
      <c r="A119" s="3" t="s">
        <v>395</v>
      </c>
      <c r="B119" s="3" t="s">
        <v>396</v>
      </c>
      <c r="C119" s="3" t="s">
        <v>414</v>
      </c>
      <c r="D119" s="5" t="s">
        <v>415</v>
      </c>
      <c r="E119" s="3"/>
      <c r="F119" s="3"/>
      <c r="G119" s="3" t="s">
        <v>421</v>
      </c>
      <c r="H119" s="5" t="s">
        <v>422</v>
      </c>
      <c r="I119" s="3"/>
      <c r="J119" s="3"/>
      <c r="K119" s="3" t="s">
        <v>418</v>
      </c>
    </row>
    <row r="120" spans="1:11" ht="16.5" customHeight="1" x14ac:dyDescent="0.25">
      <c r="A120" s="3" t="s">
        <v>395</v>
      </c>
      <c r="B120" s="3" t="s">
        <v>396</v>
      </c>
      <c r="C120" s="3" t="s">
        <v>423</v>
      </c>
      <c r="D120" s="5" t="s">
        <v>424</v>
      </c>
      <c r="E120" s="3"/>
      <c r="F120" s="3"/>
      <c r="G120" s="3" t="s">
        <v>425</v>
      </c>
      <c r="H120" s="5" t="s">
        <v>426</v>
      </c>
      <c r="I120" s="3"/>
      <c r="J120" s="3"/>
      <c r="K120" s="3" t="s">
        <v>427</v>
      </c>
    </row>
    <row r="121" spans="1:11" x14ac:dyDescent="0.25">
      <c r="A121" s="3" t="s">
        <v>395</v>
      </c>
      <c r="B121" s="3" t="s">
        <v>396</v>
      </c>
      <c r="C121" s="3" t="s">
        <v>428</v>
      </c>
      <c r="D121" s="5" t="s">
        <v>429</v>
      </c>
      <c r="E121" s="3" t="s">
        <v>430</v>
      </c>
      <c r="F121" s="5" t="s">
        <v>431</v>
      </c>
      <c r="G121" s="3" t="s">
        <v>432</v>
      </c>
      <c r="H121" s="5" t="s">
        <v>433</v>
      </c>
      <c r="I121" s="3"/>
      <c r="J121" s="3"/>
      <c r="K121" s="3" t="s">
        <v>434</v>
      </c>
    </row>
    <row r="122" spans="1:11" x14ac:dyDescent="0.25">
      <c r="A122" s="3" t="s">
        <v>395</v>
      </c>
      <c r="B122" s="3" t="s">
        <v>396</v>
      </c>
      <c r="C122" s="3" t="s">
        <v>435</v>
      </c>
      <c r="D122" s="5" t="s">
        <v>436</v>
      </c>
      <c r="E122" s="3"/>
      <c r="F122" s="3"/>
      <c r="G122" s="3"/>
      <c r="H122" s="3"/>
      <c r="I122" s="3"/>
      <c r="J122" s="3"/>
      <c r="K122" s="3" t="s">
        <v>437</v>
      </c>
    </row>
    <row r="123" spans="1:11" x14ac:dyDescent="0.25">
      <c r="A123" s="3" t="s">
        <v>395</v>
      </c>
      <c r="B123" s="3" t="s">
        <v>396</v>
      </c>
      <c r="C123" s="6" t="s">
        <v>438</v>
      </c>
      <c r="D123" s="5" t="s">
        <v>439</v>
      </c>
      <c r="E123" s="3"/>
      <c r="F123" s="3"/>
      <c r="G123" s="3"/>
      <c r="H123" s="3"/>
      <c r="I123" s="3"/>
      <c r="J123" s="3"/>
      <c r="K123" s="3" t="s">
        <v>440</v>
      </c>
    </row>
  </sheetData>
  <autoFilter ref="A1:K1"/>
  <hyperlinks>
    <hyperlink ref="D122" r:id="rId1"/>
    <hyperlink ref="D121" r:id="rId2"/>
    <hyperlink ref="D119" r:id="rId3"/>
    <hyperlink ref="D118" r:id="rId4"/>
    <hyperlink ref="D116" r:id="rId5"/>
    <hyperlink ref="D115" r:id="rId6"/>
    <hyperlink ref="D114" r:id="rId7"/>
    <hyperlink ref="D113" r:id="rId8"/>
    <hyperlink ref="D112" r:id="rId9"/>
    <hyperlink ref="D111" r:id="rId10"/>
    <hyperlink ref="D108" r:id="rId11"/>
    <hyperlink ref="D107" r:id="rId12"/>
    <hyperlink ref="B108" r:id="rId13"/>
    <hyperlink ref="B107" r:id="rId14"/>
    <hyperlink ref="B106" r:id="rId15"/>
    <hyperlink ref="B109" r:id="rId16"/>
    <hyperlink ref="D109" r:id="rId17"/>
    <hyperlink ref="D104" r:id="rId18"/>
    <hyperlink ref="D103" r:id="rId19"/>
    <hyperlink ref="F102" r:id="rId20"/>
    <hyperlink ref="D102" r:id="rId21"/>
    <hyperlink ref="B104" r:id="rId22"/>
    <hyperlink ref="B103" r:id="rId23"/>
    <hyperlink ref="B102" r:id="rId24"/>
    <hyperlink ref="B101" r:id="rId25"/>
    <hyperlink ref="B100" r:id="rId26"/>
    <hyperlink ref="H97" r:id="rId27"/>
    <hyperlink ref="D97" r:id="rId28"/>
    <hyperlink ref="D95" r:id="rId29"/>
    <hyperlink ref="D94" r:id="rId30"/>
    <hyperlink ref="F93" r:id="rId31"/>
    <hyperlink ref="F92" r:id="rId32"/>
    <hyperlink ref="D93" r:id="rId33"/>
    <hyperlink ref="D92" r:id="rId34"/>
    <hyperlink ref="F91" r:id="rId35"/>
    <hyperlink ref="D91" r:id="rId36"/>
    <hyperlink ref="B97" r:id="rId37"/>
    <hyperlink ref="B96" r:id="rId38"/>
    <hyperlink ref="B95" r:id="rId39"/>
    <hyperlink ref="B94" r:id="rId40"/>
    <hyperlink ref="B93" r:id="rId41"/>
    <hyperlink ref="B92" r:id="rId42"/>
    <hyperlink ref="B91" r:id="rId43"/>
    <hyperlink ref="B89" r:id="rId44"/>
    <hyperlink ref="B88" r:id="rId45"/>
    <hyperlink ref="B87" r:id="rId46"/>
    <hyperlink ref="B86" r:id="rId47"/>
    <hyperlink ref="B85" r:id="rId48"/>
    <hyperlink ref="B84" r:id="rId49"/>
    <hyperlink ref="B83" r:id="rId50"/>
    <hyperlink ref="B82" r:id="rId51"/>
    <hyperlink ref="B81" r:id="rId52"/>
    <hyperlink ref="B80" r:id="rId53"/>
    <hyperlink ref="B79" r:id="rId54"/>
    <hyperlink ref="B78" r:id="rId55"/>
    <hyperlink ref="B77" r:id="rId56"/>
    <hyperlink ref="B76" r:id="rId57"/>
    <hyperlink ref="B75" r:id="rId58"/>
    <hyperlink ref="B74" r:id="rId59"/>
    <hyperlink ref="B73" r:id="rId60"/>
    <hyperlink ref="B72" r:id="rId61"/>
    <hyperlink ref="B71" r:id="rId62"/>
    <hyperlink ref="B70" r:id="rId63"/>
    <hyperlink ref="B69" r:id="rId64"/>
    <hyperlink ref="B68" r:id="rId65"/>
    <hyperlink ref="B67" r:id="rId66"/>
    <hyperlink ref="H79" r:id="rId67"/>
    <hyperlink ref="H78" r:id="rId68"/>
    <hyperlink ref="H77" r:id="rId69"/>
    <hyperlink ref="H76" r:id="rId70"/>
    <hyperlink ref="H75" r:id="rId71"/>
    <hyperlink ref="H74" r:id="rId72"/>
    <hyperlink ref="H73" r:id="rId73"/>
    <hyperlink ref="H72" r:id="rId74"/>
    <hyperlink ref="H71" r:id="rId75"/>
    <hyperlink ref="H70" r:id="rId76"/>
    <hyperlink ref="H69" r:id="rId77"/>
    <hyperlink ref="H68" r:id="rId78"/>
    <hyperlink ref="H67" r:id="rId79"/>
    <hyperlink ref="H82" r:id="rId80"/>
    <hyperlink ref="H89" r:id="rId81"/>
    <hyperlink ref="H88" r:id="rId82"/>
    <hyperlink ref="H87" r:id="rId83"/>
    <hyperlink ref="H86" r:id="rId84"/>
    <hyperlink ref="H85" r:id="rId85"/>
    <hyperlink ref="H84" r:id="rId86"/>
    <hyperlink ref="D89" r:id="rId87"/>
    <hyperlink ref="D88" r:id="rId88"/>
    <hyperlink ref="D87" r:id="rId89"/>
    <hyperlink ref="D86" r:id="rId90"/>
    <hyperlink ref="D85" r:id="rId91"/>
    <hyperlink ref="D84" r:id="rId92"/>
    <hyperlink ref="D83" r:id="rId93"/>
    <hyperlink ref="D82" r:id="rId94"/>
    <hyperlink ref="D81" r:id="rId95"/>
    <hyperlink ref="D80" r:id="rId96"/>
    <hyperlink ref="D79" r:id="rId97"/>
    <hyperlink ref="D78" r:id="rId98"/>
    <hyperlink ref="D77" r:id="rId99"/>
    <hyperlink ref="D76" r:id="rId100"/>
    <hyperlink ref="D75" r:id="rId101"/>
    <hyperlink ref="D74" r:id="rId102"/>
    <hyperlink ref="D73" r:id="rId103"/>
    <hyperlink ref="D72" r:id="rId104"/>
    <hyperlink ref="D71" r:id="rId105"/>
    <hyperlink ref="D70" r:id="rId106"/>
    <hyperlink ref="D69" r:id="rId107"/>
    <hyperlink ref="D68" r:id="rId108"/>
    <hyperlink ref="D67" r:id="rId109"/>
    <hyperlink ref="B66" r:id="rId110"/>
    <hyperlink ref="H65" r:id="rId111"/>
    <hyperlink ref="D65" r:id="rId112"/>
    <hyperlink ref="D63" r:id="rId113"/>
    <hyperlink ref="H57" r:id="rId114"/>
    <hyperlink ref="D58" r:id="rId115"/>
    <hyperlink ref="D57" r:id="rId116"/>
    <hyperlink ref="D64" r:id="rId117"/>
    <hyperlink ref="D62" r:id="rId118"/>
    <hyperlink ref="D59" r:id="rId119"/>
    <hyperlink ref="D56" r:id="rId120"/>
    <hyperlink ref="B55" r:id="rId121"/>
    <hyperlink ref="B54" r:id="rId122"/>
    <hyperlink ref="B53" r:id="rId123"/>
    <hyperlink ref="B51" r:id="rId124"/>
    <hyperlink ref="F35" r:id="rId125"/>
    <hyperlink ref="D36" r:id="rId126"/>
    <hyperlink ref="D35" r:id="rId127"/>
    <hyperlink ref="D33" r:id="rId128"/>
    <hyperlink ref="D32" r:id="rId129"/>
    <hyperlink ref="D43" r:id="rId130"/>
    <hyperlink ref="D39" r:id="rId131"/>
    <hyperlink ref="F47" r:id="rId132"/>
    <hyperlink ref="D50" r:id="rId133"/>
    <hyperlink ref="D48" r:id="rId134"/>
    <hyperlink ref="D47" r:id="rId135"/>
    <hyperlink ref="D46" r:id="rId136"/>
    <hyperlink ref="H17" r:id="rId137"/>
    <hyperlink ref="H16" r:id="rId138"/>
    <hyperlink ref="H14" r:id="rId139"/>
    <hyperlink ref="H13" r:id="rId140"/>
    <hyperlink ref="D17" r:id="rId141"/>
    <hyperlink ref="D16" r:id="rId142"/>
    <hyperlink ref="D15" r:id="rId143"/>
    <hyperlink ref="D14" r:id="rId144"/>
    <hyperlink ref="D13" r:id="rId145"/>
    <hyperlink ref="B13:B20" r:id="rId146" display="rogerio.t@oi.net.br"/>
    <hyperlink ref="B12" r:id="rId147"/>
    <hyperlink ref="B4:B9" r:id="rId148" display="adriana.costa@oi.net.br"/>
    <hyperlink ref="B3" r:id="rId149"/>
    <hyperlink ref="H63" r:id="rId150"/>
    <hyperlink ref="J16" r:id="rId151"/>
    <hyperlink ref="J14" r:id="rId152"/>
    <hyperlink ref="H109" r:id="rId153"/>
    <hyperlink ref="H108" r:id="rId154"/>
    <hyperlink ref="H107" r:id="rId155"/>
    <hyperlink ref="H15" r:id="rId156"/>
    <hyperlink ref="H3" r:id="rId157"/>
    <hyperlink ref="H102" r:id="rId158"/>
    <hyperlink ref="G102" r:id="rId159" display="mailto:clarita.ferreira@oi.net.br"/>
    <hyperlink ref="F50" r:id="rId160"/>
    <hyperlink ref="H101" r:id="rId161"/>
    <hyperlink ref="H54" r:id="rId162"/>
    <hyperlink ref="H114" r:id="rId163"/>
    <hyperlink ref="H115" r:id="rId164"/>
    <hyperlink ref="H119" r:id="rId165"/>
    <hyperlink ref="H118" r:id="rId166"/>
    <hyperlink ref="H113" r:id="rId167"/>
    <hyperlink ref="H112" r:id="rId168"/>
    <hyperlink ref="H116" r:id="rId169"/>
    <hyperlink ref="H117" r:id="rId170"/>
    <hyperlink ref="H111" r:id="rId171"/>
    <hyperlink ref="H110" r:id="rId172"/>
    <hyperlink ref="H51" r:id="rId173"/>
    <hyperlink ref="J62" r:id="rId174"/>
    <hyperlink ref="H20" r:id="rId175"/>
    <hyperlink ref="J106" r:id="rId176"/>
    <hyperlink ref="H106" r:id="rId177"/>
    <hyperlink ref="H121" r:id="rId178"/>
    <hyperlink ref="D18" r:id="rId179"/>
    <hyperlink ref="H55" r:id="rId180"/>
    <hyperlink ref="H96" r:id="rId181"/>
    <hyperlink ref="H83" r:id="rId182"/>
    <hyperlink ref="J95" r:id="rId183"/>
    <hyperlink ref="J94" r:id="rId184"/>
    <hyperlink ref="H80" r:id="rId185"/>
    <hyperlink ref="H93" r:id="rId186"/>
    <hyperlink ref="H92" r:id="rId187"/>
    <hyperlink ref="H91" r:id="rId188"/>
    <hyperlink ref="H81" r:id="rId189"/>
    <hyperlink ref="H59" r:id="rId190"/>
    <hyperlink ref="H64" r:id="rId191"/>
    <hyperlink ref="H62" r:id="rId192"/>
    <hyperlink ref="H56" r:id="rId193"/>
    <hyperlink ref="H26" r:id="rId194"/>
    <hyperlink ref="H22" r:id="rId195"/>
    <hyperlink ref="H58" r:id="rId196"/>
    <hyperlink ref="H9" r:id="rId197"/>
    <hyperlink ref="H48" r:id="rId198"/>
    <hyperlink ref="H66" r:id="rId199"/>
    <hyperlink ref="F46" r:id="rId200"/>
    <hyperlink ref="H43" r:id="rId201"/>
    <hyperlink ref="H39" r:id="rId202"/>
    <hyperlink ref="H37" r:id="rId203"/>
    <hyperlink ref="H35" r:id="rId204"/>
    <hyperlink ref="H21" r:id="rId205"/>
    <hyperlink ref="H12" r:id="rId206"/>
    <hyperlink ref="H4" r:id="rId207"/>
    <hyperlink ref="H2" r:id="rId208" tooltip="send eMail" display="mailto:kamila.vieira@oi.net.br"/>
    <hyperlink ref="D96" r:id="rId209"/>
    <hyperlink ref="B2" r:id="rId210"/>
    <hyperlink ref="F101" r:id="rId211"/>
    <hyperlink ref="D3" r:id="rId212"/>
    <hyperlink ref="J102" r:id="rId213"/>
    <hyperlink ref="I102" r:id="rId214" display="mailto:duhare.fernandes@oi.net.br"/>
    <hyperlink ref="J50" r:id="rId215"/>
    <hyperlink ref="F48" r:id="rId216"/>
    <hyperlink ref="J25" r:id="rId217"/>
    <hyperlink ref="J24" r:id="rId218"/>
    <hyperlink ref="D12" r:id="rId219"/>
    <hyperlink ref="D120" r:id="rId220"/>
    <hyperlink ref="F121" r:id="rId221"/>
    <hyperlink ref="D117" r:id="rId222"/>
    <hyperlink ref="D110" r:id="rId223"/>
    <hyperlink ref="D101" r:id="rId224"/>
    <hyperlink ref="D100" r:id="rId225"/>
    <hyperlink ref="D55" r:id="rId226"/>
    <hyperlink ref="D51" r:id="rId227"/>
    <hyperlink ref="D54" r:id="rId228"/>
    <hyperlink ref="D45" r:id="rId229"/>
    <hyperlink ref="D37" r:id="rId230"/>
    <hyperlink ref="D31" r:id="rId231"/>
    <hyperlink ref="D21" r:id="rId232"/>
    <hyperlink ref="D66" r:id="rId233"/>
    <hyperlink ref="D53" r:id="rId234"/>
    <hyperlink ref="J23" r:id="rId235"/>
    <hyperlink ref="D106" r:id="rId236"/>
    <hyperlink ref="J97" r:id="rId237"/>
    <hyperlink ref="J96" r:id="rId238"/>
    <hyperlink ref="J88" r:id="rId239"/>
    <hyperlink ref="J87" r:id="rId240"/>
    <hyperlink ref="J86" r:id="rId241"/>
    <hyperlink ref="J85" r:id="rId242"/>
    <hyperlink ref="J84" r:id="rId243"/>
    <hyperlink ref="J83" r:id="rId244"/>
    <hyperlink ref="J82" r:id="rId245"/>
    <hyperlink ref="J81" r:id="rId246"/>
    <hyperlink ref="J79" r:id="rId247" display="mailto:ana.luiza@oi.net.br"/>
    <hyperlink ref="J78" r:id="rId248" display="mailto:ramilson.filho@oi.net.br"/>
    <hyperlink ref="J77" r:id="rId249" display="mailto:eduardo.damasceno@oi.net.br"/>
    <hyperlink ref="J76" r:id="rId250" display="mailto:paulos@oi.net.br"/>
    <hyperlink ref="J75" r:id="rId251" display="mailto:gustavo.queiroz@oi.net.br"/>
    <hyperlink ref="J74" r:id="rId252"/>
    <hyperlink ref="J73" r:id="rId253"/>
    <hyperlink ref="J72" r:id="rId254"/>
    <hyperlink ref="J71" r:id="rId255"/>
    <hyperlink ref="J70" r:id="rId256"/>
    <hyperlink ref="J69" r:id="rId257"/>
    <hyperlink ref="J66" r:id="rId258"/>
    <hyperlink ref="F36" r:id="rId259"/>
    <hyperlink ref="J21" r:id="rId260"/>
    <hyperlink ref="J56" r:id="rId261"/>
    <hyperlink ref="J39" r:id="rId262"/>
    <hyperlink ref="J37" r:id="rId263"/>
    <hyperlink ref="J29" r:id="rId264"/>
    <hyperlink ref="J26" r:id="rId265"/>
    <hyperlink ref="J12" r:id="rId266"/>
    <hyperlink ref="F22" r:id="rId267"/>
    <hyperlink ref="J104" r:id="rId268"/>
    <hyperlink ref="J57" r:id="rId269"/>
    <hyperlink ref="J47" r:id="rId270"/>
    <hyperlink ref="J27" r:id="rId271"/>
    <hyperlink ref="J43" r:id="rId272"/>
    <hyperlink ref="J103" r:id="rId273"/>
    <hyperlink ref="J45" r:id="rId274"/>
    <hyperlink ref="J46" r:id="rId275"/>
    <hyperlink ref="J35" r:id="rId276"/>
    <hyperlink ref="F33" r:id="rId277"/>
    <hyperlink ref="J32" r:id="rId278"/>
    <hyperlink ref="F32" r:id="rId279"/>
    <hyperlink ref="J31" r:id="rId280"/>
    <hyperlink ref="F31" r:id="rId281"/>
    <hyperlink ref="J22" r:id="rId282"/>
    <hyperlink ref="J2" r:id="rId283" tooltip="send eMail" display="mailto:alana.silva@oi.net.br"/>
    <hyperlink ref="D4" r:id="rId284"/>
    <hyperlink ref="D9" r:id="rId285"/>
    <hyperlink ref="D22" r:id="rId286"/>
    <hyperlink ref="D23" r:id="rId287"/>
    <hyperlink ref="D24" r:id="rId288"/>
    <hyperlink ref="D25" r:id="rId289"/>
    <hyperlink ref="D26" r:id="rId290"/>
    <hyperlink ref="D27" r:id="rId291"/>
    <hyperlink ref="D28" r:id="rId292"/>
    <hyperlink ref="D29" r:id="rId293"/>
    <hyperlink ref="F23" r:id="rId294"/>
    <hyperlink ref="F24" r:id="rId295"/>
    <hyperlink ref="F25" r:id="rId296"/>
    <hyperlink ref="F26" r:id="rId297"/>
    <hyperlink ref="F27" r:id="rId298"/>
    <hyperlink ref="F28" r:id="rId299"/>
    <hyperlink ref="F29" r:id="rId300"/>
    <hyperlink ref="H23" r:id="rId301"/>
    <hyperlink ref="H24" r:id="rId302"/>
    <hyperlink ref="H25" r:id="rId303"/>
    <hyperlink ref="H27" r:id="rId304"/>
    <hyperlink ref="H28" r:id="rId305"/>
    <hyperlink ref="H29" r:id="rId306"/>
    <hyperlink ref="B10" r:id="rId307"/>
    <hyperlink ref="D10" r:id="rId308"/>
    <hyperlink ref="H10" r:id="rId309"/>
    <hyperlink ref="B11" r:id="rId310"/>
    <hyperlink ref="H60" r:id="rId311"/>
    <hyperlink ref="H61" r:id="rId312"/>
    <hyperlink ref="D60" r:id="rId313"/>
    <hyperlink ref="D61" r:id="rId314"/>
    <hyperlink ref="D30" r:id="rId315"/>
    <hyperlink ref="F30" r:id="rId316"/>
    <hyperlink ref="D49" r:id="rId317"/>
    <hyperlink ref="F49" r:id="rId318"/>
    <hyperlink ref="H49" r:id="rId319"/>
    <hyperlink ref="D123" r:id="rId320"/>
    <hyperlink ref="D98" r:id="rId321"/>
    <hyperlink ref="B98" r:id="rId322"/>
    <hyperlink ref="H98" r:id="rId323"/>
    <hyperlink ref="H11" r:id="rId324"/>
    <hyperlink ref="D99" r:id="rId325"/>
    <hyperlink ref="B99" r:id="rId326"/>
    <hyperlink ref="H99" r:id="rId327"/>
    <hyperlink ref="B52" r:id="rId328"/>
    <hyperlink ref="D52" r:id="rId329"/>
    <hyperlink ref="H52" r:id="rId330"/>
    <hyperlink ref="B90" r:id="rId331"/>
    <hyperlink ref="D90" r:id="rId332"/>
    <hyperlink ref="H90" r:id="rId333"/>
    <hyperlink ref="J9" r:id="rId334"/>
    <hyperlink ref="J4" r:id="rId335"/>
    <hyperlink ref="J67" r:id="rId336"/>
    <hyperlink ref="J68" r:id="rId337"/>
    <hyperlink ref="J28" r:id="rId338"/>
    <hyperlink ref="J13" r:id="rId339"/>
    <hyperlink ref="J89" r:id="rId340"/>
    <hyperlink ref="H38" r:id="rId341"/>
    <hyperlink ref="D38" r:id="rId342"/>
    <hyperlink ref="J38" r:id="rId343"/>
    <hyperlink ref="D105" r:id="rId344"/>
    <hyperlink ref="B105" r:id="rId345"/>
    <hyperlink ref="J105" r:id="rId346"/>
    <hyperlink ref="J44" r:id="rId347"/>
    <hyperlink ref="J40" r:id="rId348"/>
    <hyperlink ref="J41" r:id="rId349"/>
    <hyperlink ref="J42" r:id="rId350"/>
    <hyperlink ref="D44" r:id="rId351"/>
    <hyperlink ref="D40" r:id="rId352"/>
    <hyperlink ref="D41" r:id="rId353"/>
    <hyperlink ref="D42" r:id="rId354"/>
    <hyperlink ref="B5" r:id="rId355"/>
    <hyperlink ref="B6" r:id="rId356"/>
    <hyperlink ref="B7" r:id="rId357"/>
    <hyperlink ref="B8" r:id="rId358"/>
    <hyperlink ref="J5" r:id="rId359"/>
    <hyperlink ref="J6" r:id="rId360"/>
    <hyperlink ref="J7" r:id="rId361"/>
    <hyperlink ref="J8" r:id="rId362"/>
    <hyperlink ref="D34" r:id="rId363"/>
    <hyperlink ref="J33" r:id="rId364"/>
    <hyperlink ref="J34" r:id="rId365"/>
    <hyperlink ref="J80" r:id="rId366"/>
    <hyperlink ref="J90" r:id="rId367"/>
    <hyperlink ref="H40" r:id="rId368"/>
    <hyperlink ref="H44" r:id="rId369"/>
    <hyperlink ref="H41" r:id="rId370"/>
    <hyperlink ref="H42" r:id="rId371"/>
    <hyperlink ref="H5" r:id="rId372"/>
    <hyperlink ref="H6" r:id="rId373"/>
    <hyperlink ref="H7" r:id="rId374"/>
    <hyperlink ref="H8" r:id="rId375"/>
    <hyperlink ref="D5" r:id="rId376"/>
    <hyperlink ref="D6" r:id="rId377"/>
    <hyperlink ref="D7" r:id="rId378"/>
    <hyperlink ref="D8" r:id="rId379"/>
    <hyperlink ref="D11" r:id="rId380"/>
    <hyperlink ref="F34" r:id="rId381"/>
  </hyperlinks>
  <pageMargins left="0.511811024" right="0.511811024" top="0.78740157499999996" bottom="0.78740157499999996" header="0.31496062000000002" footer="0.31496062000000002"/>
  <pageSetup paperSize="9" orientation="portrait" r:id="rId38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201"/>
  <sheetViews>
    <sheetView tabSelected="1" workbookViewId="0"/>
  </sheetViews>
  <sheetFormatPr defaultRowHeight="15" x14ac:dyDescent="0.25"/>
  <cols>
    <col min="1" max="1" width="45.28515625" bestFit="1" customWidth="1"/>
    <col min="2" max="2" width="30.85546875" bestFit="1" customWidth="1"/>
    <col min="3" max="3" width="40.140625" bestFit="1" customWidth="1"/>
    <col min="4" max="4" width="15.42578125" bestFit="1" customWidth="1"/>
    <col min="5" max="5" width="18.85546875" bestFit="1" customWidth="1"/>
    <col min="6" max="6" width="16.7109375" bestFit="1" customWidth="1"/>
  </cols>
  <sheetData>
    <row r="1" spans="1:9" x14ac:dyDescent="0.25">
      <c r="A1" s="1" t="s">
        <v>441</v>
      </c>
      <c r="B1" s="1" t="s">
        <v>442</v>
      </c>
      <c r="C1" s="1" t="s">
        <v>6</v>
      </c>
      <c r="D1" s="1" t="s">
        <v>443</v>
      </c>
      <c r="E1" s="1" t="s">
        <v>455</v>
      </c>
      <c r="F1" s="1" t="s">
        <v>465</v>
      </c>
      <c r="I1">
        <v>1</v>
      </c>
    </row>
    <row r="2" spans="1:9" x14ac:dyDescent="0.25">
      <c r="A2" s="3" t="s">
        <v>25</v>
      </c>
      <c r="B2" s="5" t="s">
        <v>26</v>
      </c>
      <c r="C2" s="8" t="str">
        <f>VLOOKUP(A2,MTZ_Steakholders!$I$2:$K$123,3,0)</f>
        <v>Regulatório</v>
      </c>
      <c r="D2" s="3" t="s">
        <v>452</v>
      </c>
      <c r="E2" s="3"/>
      <c r="F2" t="s">
        <v>453</v>
      </c>
      <c r="I2">
        <v>2</v>
      </c>
    </row>
    <row r="3" spans="1:9" x14ac:dyDescent="0.25">
      <c r="A3" s="3" t="s">
        <v>14</v>
      </c>
      <c r="B3" s="5" t="s">
        <v>15</v>
      </c>
      <c r="C3" s="8" t="str">
        <f>VLOOKUP(A3,MTZ_Steakholders!$A$2:$K$123,11,0)</f>
        <v>Regulatório</v>
      </c>
      <c r="D3" s="3" t="s">
        <v>444</v>
      </c>
      <c r="E3" s="3"/>
      <c r="F3" t="s">
        <v>453</v>
      </c>
      <c r="I3">
        <v>2</v>
      </c>
    </row>
    <row r="4" spans="1:9" x14ac:dyDescent="0.25">
      <c r="A4" s="3" t="s">
        <v>88</v>
      </c>
      <c r="B4" s="5" t="s">
        <v>89</v>
      </c>
      <c r="C4" s="8" t="str">
        <f>VLOOKUP(A4,MTZ_Steakholders!$I$2:$K$123,3,0)</f>
        <v>Contabilidade</v>
      </c>
      <c r="D4" s="3" t="s">
        <v>452</v>
      </c>
      <c r="E4" s="3"/>
      <c r="F4" t="s">
        <v>453</v>
      </c>
    </row>
    <row r="5" spans="1:9" x14ac:dyDescent="0.25">
      <c r="A5" s="3" t="s">
        <v>243</v>
      </c>
      <c r="B5" s="5" t="s">
        <v>244</v>
      </c>
      <c r="C5" s="8" t="str">
        <f>VLOOKUP(A5,MTZ_Steakholders!$G$2:$K$123,5,0)</f>
        <v>Jur Consumidor</v>
      </c>
      <c r="D5" s="3" t="s">
        <v>451</v>
      </c>
      <c r="E5" s="3"/>
      <c r="F5" t="s">
        <v>454</v>
      </c>
    </row>
    <row r="6" spans="1:9" x14ac:dyDescent="0.25">
      <c r="A6" s="3" t="s">
        <v>198</v>
      </c>
      <c r="B6" s="5" t="s">
        <v>199</v>
      </c>
      <c r="C6" s="8" t="str">
        <f>VLOOKUP(A6,MTZ_Steakholders!$G$2:$K$123,5,0)</f>
        <v>Patrimonio</v>
      </c>
      <c r="D6" s="3" t="s">
        <v>451</v>
      </c>
      <c r="E6" s="3"/>
      <c r="F6" t="s">
        <v>454</v>
      </c>
    </row>
    <row r="7" spans="1:9" x14ac:dyDescent="0.25">
      <c r="A7" s="3" t="s">
        <v>11</v>
      </c>
      <c r="B7" s="5" t="s">
        <v>12</v>
      </c>
      <c r="C7" s="8" t="str">
        <f>VLOOKUP(A7,MTZ_Steakholders!$I$2:$K$123,3,0)</f>
        <v>Riscos/Controles</v>
      </c>
      <c r="D7" s="3" t="s">
        <v>452</v>
      </c>
      <c r="E7" s="3"/>
      <c r="F7" t="s">
        <v>453</v>
      </c>
    </row>
    <row r="8" spans="1:9" x14ac:dyDescent="0.25">
      <c r="A8" s="3" t="s">
        <v>99</v>
      </c>
      <c r="B8" s="5" t="s">
        <v>100</v>
      </c>
      <c r="C8" s="8" t="str">
        <f>VLOOKUP(A8,MTZ_Steakholders!$I$2:$K$123,3,0)</f>
        <v>Contabilidade</v>
      </c>
      <c r="D8" s="3" t="s">
        <v>452</v>
      </c>
      <c r="E8" s="3"/>
      <c r="F8" t="s">
        <v>453</v>
      </c>
    </row>
    <row r="9" spans="1:9" x14ac:dyDescent="0.25">
      <c r="A9" s="3" t="s">
        <v>219</v>
      </c>
      <c r="B9" s="5" t="s">
        <v>220</v>
      </c>
      <c r="C9" s="8" t="str">
        <f>VLOOKUP(A9,MTZ_Steakholders!$I$2:$K$123,3,0)</f>
        <v>Jur Tributario</v>
      </c>
      <c r="D9" s="3" t="s">
        <v>452</v>
      </c>
      <c r="E9" s="3"/>
      <c r="F9" t="s">
        <v>453</v>
      </c>
    </row>
    <row r="10" spans="1:9" x14ac:dyDescent="0.25">
      <c r="A10" s="3" t="s">
        <v>346</v>
      </c>
      <c r="B10" s="5" t="s">
        <v>347</v>
      </c>
      <c r="C10" s="8" t="str">
        <f>VLOOKUP(A10,MTZ_Steakholders!$G$2:$K$123,5,0)</f>
        <v>Data Analytics</v>
      </c>
      <c r="D10" s="3" t="s">
        <v>451</v>
      </c>
      <c r="E10" s="3"/>
      <c r="F10" t="s">
        <v>454</v>
      </c>
    </row>
    <row r="11" spans="1:9" x14ac:dyDescent="0.25">
      <c r="A11" s="3" t="s">
        <v>47</v>
      </c>
      <c r="B11" s="5" t="s">
        <v>48</v>
      </c>
      <c r="C11" s="8" t="str">
        <f>VLOOKUP(A11,MTZ_Steakholders!$G$2:$K$123,5,0)</f>
        <v>M&amp;A</v>
      </c>
      <c r="D11" s="3" t="s">
        <v>451</v>
      </c>
      <c r="E11" s="3"/>
      <c r="F11" t="s">
        <v>454</v>
      </c>
    </row>
    <row r="12" spans="1:9" x14ac:dyDescent="0.25">
      <c r="A12" s="3" t="s">
        <v>184</v>
      </c>
      <c r="B12" s="5" t="s">
        <v>185</v>
      </c>
      <c r="C12" s="8" t="str">
        <f>VLOOKUP(A12,MTZ_Steakholders!$E$2:$K$123,7,0)</f>
        <v>Fraude</v>
      </c>
      <c r="D12" s="3" t="s">
        <v>446</v>
      </c>
      <c r="E12" s="3"/>
      <c r="F12" t="s">
        <v>454</v>
      </c>
    </row>
    <row r="13" spans="1:9" x14ac:dyDescent="0.25">
      <c r="A13" s="3" t="s">
        <v>275</v>
      </c>
      <c r="B13" s="5" t="s">
        <v>276</v>
      </c>
      <c r="C13" s="8" t="str">
        <f>VLOOKUP(A13,MTZ_Steakholders!$I$2:$K$123,3,0)</f>
        <v>Sistemas TI</v>
      </c>
      <c r="D13" s="3" t="s">
        <v>452</v>
      </c>
      <c r="E13" s="3"/>
      <c r="F13" t="s">
        <v>453</v>
      </c>
    </row>
    <row r="14" spans="1:9" x14ac:dyDescent="0.25">
      <c r="A14" s="3" t="s">
        <v>319</v>
      </c>
      <c r="B14" s="5" t="s">
        <v>320</v>
      </c>
      <c r="C14" s="8" t="str">
        <f>VLOOKUP(A14,MTZ_Steakholders!$C$2:$K$123,9,0)</f>
        <v>Infra e Operações TI</v>
      </c>
      <c r="D14" s="3" t="s">
        <v>445</v>
      </c>
      <c r="E14" s="3"/>
      <c r="F14" t="s">
        <v>454</v>
      </c>
    </row>
    <row r="15" spans="1:9" x14ac:dyDescent="0.25">
      <c r="A15" s="3" t="s">
        <v>175</v>
      </c>
      <c r="B15" s="5" t="s">
        <v>176</v>
      </c>
      <c r="C15" s="8" t="str">
        <f>VLOOKUP(A15,MTZ_Steakholders!$E$2:$K$123,7,0)</f>
        <v>Faturamento</v>
      </c>
      <c r="D15" s="3" t="s">
        <v>446</v>
      </c>
      <c r="E15" s="3"/>
      <c r="F15" t="s">
        <v>454</v>
      </c>
    </row>
    <row r="16" spans="1:9" x14ac:dyDescent="0.25">
      <c r="A16" s="3" t="s">
        <v>321</v>
      </c>
      <c r="B16" s="5" t="s">
        <v>322</v>
      </c>
      <c r="C16" s="8" t="str">
        <f>VLOOKUP(A16,MTZ_Steakholders!$E$2:$K$123,7,0)</f>
        <v>Infra e Operações TI</v>
      </c>
      <c r="D16" s="3" t="s">
        <v>446</v>
      </c>
      <c r="E16" s="3"/>
      <c r="F16" t="s">
        <v>454</v>
      </c>
    </row>
    <row r="17" spans="1:6" x14ac:dyDescent="0.25">
      <c r="A17" s="3" t="s">
        <v>421</v>
      </c>
      <c r="B17" s="5" t="s">
        <v>422</v>
      </c>
      <c r="C17" s="8" t="str">
        <f>VLOOKUP(A17,MTZ_Steakholders!$G$2:$K$123,5,0)</f>
        <v>Empresarial</v>
      </c>
      <c r="D17" s="3" t="s">
        <v>451</v>
      </c>
      <c r="E17" s="3"/>
      <c r="F17" t="s">
        <v>454</v>
      </c>
    </row>
    <row r="18" spans="1:6" x14ac:dyDescent="0.25">
      <c r="A18" s="3" t="s">
        <v>127</v>
      </c>
      <c r="B18" s="5" t="s">
        <v>128</v>
      </c>
      <c r="C18" s="8" t="str">
        <f>VLOOKUP(A18,MTZ_Steakholders!$E$2:$K$123,7,0)</f>
        <v>CAP</v>
      </c>
      <c r="D18" s="3" t="s">
        <v>446</v>
      </c>
      <c r="E18" s="3"/>
      <c r="F18" t="s">
        <v>454</v>
      </c>
    </row>
    <row r="19" spans="1:6" x14ac:dyDescent="0.25">
      <c r="A19" s="3" t="s">
        <v>287</v>
      </c>
      <c r="B19" s="5" t="s">
        <v>288</v>
      </c>
      <c r="C19" s="8" t="str">
        <f>VLOOKUP(A19,MTZ_Steakholders!$I$2:$K$123,3,0)</f>
        <v>Sistemas TI</v>
      </c>
      <c r="D19" s="3" t="s">
        <v>452</v>
      </c>
      <c r="E19" s="3"/>
      <c r="F19" t="s">
        <v>453</v>
      </c>
    </row>
    <row r="20" spans="1:6" x14ac:dyDescent="0.25">
      <c r="A20" s="3" t="s">
        <v>208</v>
      </c>
      <c r="B20" s="5" t="s">
        <v>209</v>
      </c>
      <c r="C20" s="8" t="str">
        <f>VLOOKUP(A20,MTZ_Steakholders!$C$2:$K$123,9,0)</f>
        <v>Energia</v>
      </c>
      <c r="D20" s="3" t="s">
        <v>445</v>
      </c>
      <c r="E20" s="3"/>
      <c r="F20" t="s">
        <v>454</v>
      </c>
    </row>
    <row r="21" spans="1:6" x14ac:dyDescent="0.25">
      <c r="A21" s="3" t="s">
        <v>81</v>
      </c>
      <c r="B21" s="5" t="s">
        <v>82</v>
      </c>
      <c r="C21" s="8" t="str">
        <f>VLOOKUP(A21,MTZ_Steakholders!$I$2:$K$123,3,0)</f>
        <v>Controladoria</v>
      </c>
      <c r="D21" s="3" t="s">
        <v>452</v>
      </c>
      <c r="E21" s="3"/>
      <c r="F21" t="s">
        <v>453</v>
      </c>
    </row>
    <row r="22" spans="1:6" x14ac:dyDescent="0.25">
      <c r="A22" s="3" t="s">
        <v>416</v>
      </c>
      <c r="B22" s="5" t="s">
        <v>417</v>
      </c>
      <c r="C22" s="8" t="str">
        <f>VLOOKUP(A22,MTZ_Steakholders!$G$2:$K$123,5,0)</f>
        <v>Empresarial</v>
      </c>
      <c r="D22" s="3" t="s">
        <v>451</v>
      </c>
      <c r="E22" s="3"/>
      <c r="F22" t="s">
        <v>454</v>
      </c>
    </row>
    <row r="23" spans="1:6" x14ac:dyDescent="0.25">
      <c r="A23" s="3" t="s">
        <v>186</v>
      </c>
      <c r="B23" s="5" t="s">
        <v>187</v>
      </c>
      <c r="C23" s="8" t="str">
        <f>VLOOKUP(A23,MTZ_Steakholders!$I$2:$K$123,3,0)</f>
        <v>Fraude</v>
      </c>
      <c r="D23" s="3" t="s">
        <v>452</v>
      </c>
      <c r="E23" s="3"/>
      <c r="F23" t="s">
        <v>453</v>
      </c>
    </row>
    <row r="24" spans="1:6" x14ac:dyDescent="0.25">
      <c r="A24" s="3" t="s">
        <v>77</v>
      </c>
      <c r="B24" s="5" t="s">
        <v>78</v>
      </c>
      <c r="C24" s="8" t="str">
        <f>VLOOKUP(A24,MTZ_Steakholders!$C$2:$K$123,9,0)</f>
        <v>Controladoria</v>
      </c>
      <c r="D24" s="3" t="s">
        <v>445</v>
      </c>
      <c r="E24" s="3"/>
      <c r="F24" t="s">
        <v>454</v>
      </c>
    </row>
    <row r="25" spans="1:6" x14ac:dyDescent="0.25">
      <c r="A25" s="3" t="s">
        <v>297</v>
      </c>
      <c r="B25" s="5" t="s">
        <v>298</v>
      </c>
      <c r="C25" s="8" t="str">
        <f>VLOOKUP(A25,MTZ_Steakholders!$I$2:$K$123,3,0)</f>
        <v>Sistemas TI</v>
      </c>
      <c r="D25" s="3" t="s">
        <v>452</v>
      </c>
      <c r="E25" s="3"/>
      <c r="F25" t="s">
        <v>453</v>
      </c>
    </row>
    <row r="26" spans="1:6" x14ac:dyDescent="0.25">
      <c r="A26" s="3" t="s">
        <v>390</v>
      </c>
      <c r="B26" s="5" t="s">
        <v>391</v>
      </c>
      <c r="C26" s="8" t="str">
        <f>VLOOKUP(A26,MTZ_Steakholders!$C$2:$K$123,9,0)</f>
        <v>RH - Relac. Trab., Seg.</v>
      </c>
      <c r="D26" s="3" t="s">
        <v>445</v>
      </c>
      <c r="E26" s="3"/>
      <c r="F26" t="s">
        <v>454</v>
      </c>
    </row>
    <row r="27" spans="1:6" x14ac:dyDescent="0.25">
      <c r="A27" s="6" t="s">
        <v>160</v>
      </c>
      <c r="B27" s="5" t="s">
        <v>161</v>
      </c>
      <c r="C27" s="8" t="str">
        <f>VLOOKUP(A27,MTZ_Steakholders!$I$2:$K$123,3,0)</f>
        <v>Tributos/Fiscal</v>
      </c>
      <c r="D27" s="3" t="s">
        <v>452</v>
      </c>
      <c r="E27" s="3"/>
      <c r="F27" t="s">
        <v>453</v>
      </c>
    </row>
    <row r="28" spans="1:6" x14ac:dyDescent="0.25">
      <c r="A28" s="3" t="s">
        <v>425</v>
      </c>
      <c r="B28" s="5" t="s">
        <v>426</v>
      </c>
      <c r="C28" s="8" t="str">
        <f>VLOOKUP(A28,MTZ_Steakholders!$G$2:$K$123,5,0)</f>
        <v>Comunicação</v>
      </c>
      <c r="D28" s="3" t="s">
        <v>451</v>
      </c>
      <c r="E28" s="3"/>
      <c r="F28" t="s">
        <v>454</v>
      </c>
    </row>
    <row r="29" spans="1:6" x14ac:dyDescent="0.25">
      <c r="A29" s="3" t="s">
        <v>247</v>
      </c>
      <c r="B29" s="5" t="s">
        <v>248</v>
      </c>
      <c r="C29" s="8" t="str">
        <f>VLOOKUP(A29,MTZ_Steakholders!$G$2:$K$123,5,0)</f>
        <v>Jur Societário</v>
      </c>
      <c r="D29" s="3" t="s">
        <v>451</v>
      </c>
      <c r="E29" s="3"/>
      <c r="F29" t="s">
        <v>454</v>
      </c>
    </row>
    <row r="30" spans="1:6" x14ac:dyDescent="0.25">
      <c r="A30" s="3" t="s">
        <v>193</v>
      </c>
      <c r="B30" s="5" t="s">
        <v>194</v>
      </c>
      <c r="C30" s="8" t="str">
        <f>VLOOKUP(A30,MTZ_Steakholders!$G$2:$K$123,5,0)</f>
        <v>Patrimonio</v>
      </c>
      <c r="D30" s="3" t="s">
        <v>451</v>
      </c>
      <c r="E30" s="3"/>
      <c r="F30" t="s">
        <v>454</v>
      </c>
    </row>
    <row r="31" spans="1:6" x14ac:dyDescent="0.25">
      <c r="A31" s="3" t="s">
        <v>339</v>
      </c>
      <c r="B31" s="5" t="s">
        <v>340</v>
      </c>
      <c r="C31" s="8" t="str">
        <f>VLOOKUP(A31,MTZ_Steakholders!$G$2:$K$123,5,0)</f>
        <v>Data Analytics</v>
      </c>
      <c r="D31" s="3" t="s">
        <v>451</v>
      </c>
      <c r="E31" s="3"/>
      <c r="F31" t="s">
        <v>454</v>
      </c>
    </row>
    <row r="32" spans="1:6" x14ac:dyDescent="0.25">
      <c r="A32" s="3" t="s">
        <v>172</v>
      </c>
      <c r="B32" s="5" t="s">
        <v>173</v>
      </c>
      <c r="C32" s="8" t="str">
        <f>VLOOKUP(A32,MTZ_Steakholders!$I$2:$K$123,3,0)</f>
        <v>Cobrança</v>
      </c>
      <c r="D32" s="3" t="s">
        <v>452</v>
      </c>
      <c r="E32" s="3"/>
      <c r="F32" t="s">
        <v>453</v>
      </c>
    </row>
    <row r="33" spans="1:6" x14ac:dyDescent="0.25">
      <c r="A33" s="3" t="s">
        <v>256</v>
      </c>
      <c r="B33" s="5" t="s">
        <v>257</v>
      </c>
      <c r="C33" s="8" t="str">
        <f>VLOOKUP(A33,MTZ_Steakholders!$C$2:$K$123,9,0)</f>
        <v>Sistemas TI</v>
      </c>
      <c r="D33" s="3" t="s">
        <v>445</v>
      </c>
      <c r="E33" s="3"/>
      <c r="F33" t="s">
        <v>454</v>
      </c>
    </row>
    <row r="34" spans="1:6" x14ac:dyDescent="0.25">
      <c r="A34" s="3" t="s">
        <v>162</v>
      </c>
      <c r="B34" s="5" t="s">
        <v>163</v>
      </c>
      <c r="C34" s="8" t="str">
        <f>VLOOKUP(A34,MTZ_Steakholders!$C$2:$K$123,9,0)</f>
        <v>PDD</v>
      </c>
      <c r="D34" s="3" t="s">
        <v>445</v>
      </c>
      <c r="E34" s="3"/>
      <c r="F34" t="s">
        <v>454</v>
      </c>
    </row>
    <row r="35" spans="1:6" x14ac:dyDescent="0.25">
      <c r="A35" s="3" t="s">
        <v>254</v>
      </c>
      <c r="B35" s="5" t="s">
        <v>255</v>
      </c>
      <c r="C35" s="8" t="str">
        <f>VLOOKUP(A35,MTZ_Steakholders!$A$2:$K$123,11,0)</f>
        <v>Sistemas TI</v>
      </c>
      <c r="D35" s="3" t="s">
        <v>444</v>
      </c>
      <c r="E35" s="3"/>
      <c r="F35" t="s">
        <v>454</v>
      </c>
    </row>
    <row r="36" spans="1:6" x14ac:dyDescent="0.25">
      <c r="A36" s="3" t="s">
        <v>122</v>
      </c>
      <c r="B36" s="5" t="s">
        <v>123</v>
      </c>
      <c r="C36" s="8" t="str">
        <f>VLOOKUP(A36,MTZ_Steakholders!$I$2:$K$123,3,0)</f>
        <v>Seguros</v>
      </c>
      <c r="D36" s="3" t="s">
        <v>452</v>
      </c>
      <c r="E36" s="3"/>
      <c r="F36" t="s">
        <v>453</v>
      </c>
    </row>
    <row r="37" spans="1:6" x14ac:dyDescent="0.25">
      <c r="A37" s="3" t="s">
        <v>169</v>
      </c>
      <c r="B37" s="5" t="s">
        <v>170</v>
      </c>
      <c r="C37" s="8" t="str">
        <f>VLOOKUP(A37,MTZ_Steakholders!$I$2:$K$123,3,0)</f>
        <v>Contas a receber</v>
      </c>
      <c r="D37" s="3" t="s">
        <v>452</v>
      </c>
      <c r="E37" s="3"/>
      <c r="F37" t="s">
        <v>453</v>
      </c>
    </row>
    <row r="38" spans="1:6" x14ac:dyDescent="0.25">
      <c r="A38" s="3" t="s">
        <v>293</v>
      </c>
      <c r="B38" s="5" t="s">
        <v>294</v>
      </c>
      <c r="C38" s="8" t="str">
        <f>VLOOKUP(A38,MTZ_Steakholders!$G$2:$K$123,5,0)</f>
        <v>Sistemas TI</v>
      </c>
      <c r="D38" s="3" t="s">
        <v>451</v>
      </c>
      <c r="E38" s="3"/>
      <c r="F38" t="s">
        <v>454</v>
      </c>
    </row>
    <row r="39" spans="1:6" x14ac:dyDescent="0.25">
      <c r="A39" s="3" t="s">
        <v>386</v>
      </c>
      <c r="B39" s="5" t="s">
        <v>387</v>
      </c>
      <c r="C39" s="8" t="str">
        <f>VLOOKUP(A39,MTZ_Steakholders!$G$2:$K$123,5,0)</f>
        <v xml:space="preserve">RH - Remuneração, Planejamento e Gestão </v>
      </c>
      <c r="D39" s="3" t="s">
        <v>451</v>
      </c>
      <c r="E39" s="3"/>
      <c r="F39" t="s">
        <v>454</v>
      </c>
    </row>
    <row r="40" spans="1:6" x14ac:dyDescent="0.25">
      <c r="A40" s="3" t="s">
        <v>21</v>
      </c>
      <c r="B40" s="5" t="s">
        <v>22</v>
      </c>
      <c r="C40" s="8" t="str">
        <f>VLOOKUP(A40,MTZ_Steakholders!$G$2:$K$123,5,0)</f>
        <v>Regulatório</v>
      </c>
      <c r="D40" s="3" t="s">
        <v>451</v>
      </c>
      <c r="E40" s="3"/>
      <c r="F40" t="s">
        <v>454</v>
      </c>
    </row>
    <row r="41" spans="1:6" x14ac:dyDescent="0.25">
      <c r="A41" s="3" t="s">
        <v>210</v>
      </c>
      <c r="B41" s="5" t="s">
        <v>211</v>
      </c>
      <c r="C41" s="8" t="str">
        <f>VLOOKUP(A41,MTZ_Steakholders!$G$2:$K$123,5,0)</f>
        <v>Energia</v>
      </c>
      <c r="D41" s="3" t="s">
        <v>451</v>
      </c>
      <c r="E41" s="3"/>
      <c r="F41" t="s">
        <v>454</v>
      </c>
    </row>
    <row r="42" spans="1:6" x14ac:dyDescent="0.25">
      <c r="A42" s="3" t="s">
        <v>289</v>
      </c>
      <c r="B42" s="5" t="s">
        <v>290</v>
      </c>
      <c r="C42" s="8" t="str">
        <f>VLOOKUP(A42,MTZ_Steakholders!$G$2:$K$123,5,0)</f>
        <v>Sistemas TI</v>
      </c>
      <c r="D42" s="3" t="s">
        <v>451</v>
      </c>
      <c r="E42" s="3"/>
      <c r="F42" t="s">
        <v>454</v>
      </c>
    </row>
    <row r="43" spans="1:6" x14ac:dyDescent="0.25">
      <c r="A43" s="3" t="s">
        <v>116</v>
      </c>
      <c r="B43" s="5" t="s">
        <v>117</v>
      </c>
      <c r="C43" s="8" t="str">
        <f>VLOOKUP(A43,MTZ_Steakholders!$E$2:$K$123,7,0)</f>
        <v>Tesouraria</v>
      </c>
      <c r="D43" s="3" t="s">
        <v>446</v>
      </c>
      <c r="E43" s="3"/>
      <c r="F43" t="s">
        <v>454</v>
      </c>
    </row>
    <row r="44" spans="1:6" x14ac:dyDescent="0.25">
      <c r="A44" s="3" t="s">
        <v>95</v>
      </c>
      <c r="B44" s="5" t="s">
        <v>96</v>
      </c>
      <c r="C44" s="8" t="str">
        <f>VLOOKUP(A44,MTZ_Steakholders!$I$2:$K$123,3,0)</f>
        <v>Contabilidade</v>
      </c>
      <c r="D44" s="3" t="s">
        <v>452</v>
      </c>
      <c r="E44" s="3"/>
      <c r="F44" t="s">
        <v>453</v>
      </c>
    </row>
    <row r="45" spans="1:6" x14ac:dyDescent="0.25">
      <c r="A45" s="3" t="s">
        <v>330</v>
      </c>
      <c r="B45" s="5" t="s">
        <v>331</v>
      </c>
      <c r="C45" s="8" t="str">
        <f>VLOOKUP(A45,MTZ_Steakholders!$C$2:$K$123,9,0)</f>
        <v>Arquitetura TI</v>
      </c>
      <c r="D45" s="3" t="s">
        <v>445</v>
      </c>
      <c r="E45" s="3"/>
      <c r="F45" t="s">
        <v>454</v>
      </c>
    </row>
    <row r="46" spans="1:6" x14ac:dyDescent="0.25">
      <c r="A46" s="3" t="s">
        <v>49</v>
      </c>
      <c r="B46" s="5" t="s">
        <v>50</v>
      </c>
      <c r="C46" s="8" t="str">
        <f>VLOOKUP(A46,MTZ_Steakholders!$I$2:$K$123,3,0)</f>
        <v>M&amp;A</v>
      </c>
      <c r="D46" s="3" t="s">
        <v>452</v>
      </c>
      <c r="E46" s="3"/>
      <c r="F46" t="s">
        <v>453</v>
      </c>
    </row>
    <row r="47" spans="1:6" x14ac:dyDescent="0.25">
      <c r="A47" s="3" t="s">
        <v>150</v>
      </c>
      <c r="B47" s="5" t="s">
        <v>151</v>
      </c>
      <c r="C47" s="8" t="str">
        <f>VLOOKUP(A47,MTZ_Steakholders!$I$2:$K$123,3,0)</f>
        <v>Tributos/Fiscal</v>
      </c>
      <c r="D47" s="3" t="s">
        <v>452</v>
      </c>
      <c r="E47" s="3"/>
      <c r="F47" t="s">
        <v>453</v>
      </c>
    </row>
    <row r="48" spans="1:6" x14ac:dyDescent="0.25">
      <c r="A48" s="3" t="s">
        <v>328</v>
      </c>
      <c r="B48" s="5" t="s">
        <v>329</v>
      </c>
      <c r="C48" s="8" t="str">
        <f>VLOOKUP(A48,MTZ_Steakholders!$G$2:$K$123,5,0)</f>
        <v>Infra e Operações TI</v>
      </c>
      <c r="D48" s="3" t="s">
        <v>451</v>
      </c>
      <c r="E48" s="3"/>
      <c r="F48" t="s">
        <v>454</v>
      </c>
    </row>
    <row r="49" spans="1:6" x14ac:dyDescent="0.25">
      <c r="A49" s="3" t="s">
        <v>392</v>
      </c>
      <c r="B49" s="5" t="s">
        <v>393</v>
      </c>
      <c r="C49" s="8" t="str">
        <f>VLOOKUP(A49,MTZ_Steakholders!$G$2:$K$123,5,0)</f>
        <v>RH - Relac. Trab., Seg.</v>
      </c>
      <c r="D49" s="3" t="s">
        <v>451</v>
      </c>
      <c r="E49" s="3"/>
      <c r="F49" t="s">
        <v>454</v>
      </c>
    </row>
    <row r="50" spans="1:6" x14ac:dyDescent="0.25">
      <c r="A50" s="3" t="s">
        <v>362</v>
      </c>
      <c r="B50" s="5" t="s">
        <v>363</v>
      </c>
      <c r="C50" s="8" t="str">
        <f>VLOOKUP(A50,MTZ_Steakholders!$G$2:$K$123,5,0)</f>
        <v>Logística</v>
      </c>
      <c r="D50" s="3" t="s">
        <v>451</v>
      </c>
      <c r="E50" s="3"/>
      <c r="F50" t="s">
        <v>454</v>
      </c>
    </row>
    <row r="51" spans="1:6" x14ac:dyDescent="0.25">
      <c r="A51" s="3" t="s">
        <v>141</v>
      </c>
      <c r="B51" s="5" t="s">
        <v>142</v>
      </c>
      <c r="C51" s="8" t="str">
        <f>VLOOKUP(A51,MTZ_Steakholders!$I$2:$K$123,3,0)</f>
        <v>Tributos/Fiscal</v>
      </c>
      <c r="D51" s="3" t="s">
        <v>452</v>
      </c>
      <c r="E51" s="3"/>
      <c r="F51" t="s">
        <v>453</v>
      </c>
    </row>
    <row r="52" spans="1:6" x14ac:dyDescent="0.25">
      <c r="A52" s="3" t="s">
        <v>75</v>
      </c>
      <c r="B52" s="5" t="s">
        <v>447</v>
      </c>
      <c r="C52" s="8" t="str">
        <f>VLOOKUP(A52,MTZ_Steakholders!$A$2:$K$123,11,0)</f>
        <v>Controladoria</v>
      </c>
      <c r="D52" s="3" t="s">
        <v>444</v>
      </c>
      <c r="E52" s="3"/>
      <c r="F52" t="s">
        <v>453</v>
      </c>
    </row>
    <row r="53" spans="1:6" x14ac:dyDescent="0.25">
      <c r="A53" s="3" t="s">
        <v>273</v>
      </c>
      <c r="B53" s="5" t="s">
        <v>274</v>
      </c>
      <c r="C53" s="8" t="str">
        <f>VLOOKUP(A53,MTZ_Steakholders!$I$2:$K$123,3,0)</f>
        <v>Sistemas TI</v>
      </c>
      <c r="D53" s="3" t="s">
        <v>452</v>
      </c>
      <c r="E53" s="3"/>
      <c r="F53" t="s">
        <v>453</v>
      </c>
    </row>
    <row r="54" spans="1:6" x14ac:dyDescent="0.25">
      <c r="A54" s="3" t="s">
        <v>167</v>
      </c>
      <c r="B54" s="5" t="s">
        <v>168</v>
      </c>
      <c r="C54" s="8" t="str">
        <f>VLOOKUP(A54,MTZ_Steakholders!$E$2:$K$123,7,0)</f>
        <v>Contas a receber</v>
      </c>
      <c r="D54" s="3" t="s">
        <v>446</v>
      </c>
      <c r="E54" s="3"/>
      <c r="F54" t="s">
        <v>454</v>
      </c>
    </row>
    <row r="55" spans="1:6" x14ac:dyDescent="0.25">
      <c r="A55" s="3" t="s">
        <v>189</v>
      </c>
      <c r="B55" s="5" t="s">
        <v>190</v>
      </c>
      <c r="C55" s="8" t="str">
        <f>VLOOKUP(A55,MTZ_Steakholders!$A$2:$K$123,11,0)</f>
        <v>Patrimonio</v>
      </c>
      <c r="D55" s="3" t="s">
        <v>444</v>
      </c>
      <c r="E55" s="3"/>
      <c r="F55" t="s">
        <v>453</v>
      </c>
    </row>
    <row r="56" spans="1:6" x14ac:dyDescent="0.25">
      <c r="A56" s="3" t="s">
        <v>299</v>
      </c>
      <c r="B56" s="5" t="s">
        <v>300</v>
      </c>
      <c r="C56" s="8" t="str">
        <f>VLOOKUP(A56,MTZ_Steakholders!$G$2:$K$123,5,0)</f>
        <v>Sistemas TI</v>
      </c>
      <c r="D56" s="3" t="s">
        <v>451</v>
      </c>
      <c r="E56" s="3"/>
      <c r="F56" t="s">
        <v>454</v>
      </c>
    </row>
    <row r="57" spans="1:6" x14ac:dyDescent="0.25">
      <c r="A57" s="3" t="s">
        <v>402</v>
      </c>
      <c r="B57" s="5" t="s">
        <v>403</v>
      </c>
      <c r="C57" s="8" t="str">
        <f>VLOOKUP(A57,MTZ_Steakholders!$G$2:$K$123,5,0)</f>
        <v>Varejo</v>
      </c>
      <c r="D57" s="3" t="s">
        <v>451</v>
      </c>
      <c r="E57" s="3"/>
      <c r="F57" t="s">
        <v>454</v>
      </c>
    </row>
    <row r="58" spans="1:6" x14ac:dyDescent="0.25">
      <c r="A58" s="6" t="s">
        <v>118</v>
      </c>
      <c r="B58" s="5" t="s">
        <v>119</v>
      </c>
      <c r="C58" s="8" t="str">
        <f>VLOOKUP(A58,MTZ_Steakholders!$I$2:$K$123,3,0)</f>
        <v>Tesouraria</v>
      </c>
      <c r="D58" s="3" t="s">
        <v>452</v>
      </c>
      <c r="E58" s="3"/>
      <c r="F58" t="s">
        <v>453</v>
      </c>
    </row>
    <row r="59" spans="1:6" x14ac:dyDescent="0.25">
      <c r="A59" s="3" t="s">
        <v>245</v>
      </c>
      <c r="B59" s="5" t="s">
        <v>246</v>
      </c>
      <c r="C59" s="8" t="str">
        <f>VLOOKUP(A59,MTZ_Steakholders!$C$2:$K$123,9,0)</f>
        <v>Jur Societário</v>
      </c>
      <c r="D59" s="3" t="s">
        <v>445</v>
      </c>
      <c r="E59" s="3"/>
      <c r="F59" t="s">
        <v>454</v>
      </c>
    </row>
    <row r="60" spans="1:6" x14ac:dyDescent="0.25">
      <c r="A60" s="3" t="s">
        <v>303</v>
      </c>
      <c r="B60" s="5" t="s">
        <v>304</v>
      </c>
      <c r="C60" s="8" t="str">
        <f>VLOOKUP(A60,MTZ_Steakholders!$I$2:$K$123,3,0)</f>
        <v>Sistemas TI</v>
      </c>
      <c r="D60" s="3" t="s">
        <v>452</v>
      </c>
      <c r="E60" s="3"/>
      <c r="F60" t="s">
        <v>453</v>
      </c>
    </row>
    <row r="61" spans="1:6" x14ac:dyDescent="0.25">
      <c r="A61" s="3" t="s">
        <v>240</v>
      </c>
      <c r="B61" s="5" t="s">
        <v>241</v>
      </c>
      <c r="C61" s="8" t="str">
        <f>VLOOKUP(A61,MTZ_Steakholders!$I$2:$K$123,3,0)</f>
        <v>Jur Consumidor</v>
      </c>
      <c r="D61" s="3" t="s">
        <v>452</v>
      </c>
      <c r="E61" s="3"/>
      <c r="F61" t="s">
        <v>453</v>
      </c>
    </row>
    <row r="62" spans="1:6" x14ac:dyDescent="0.25">
      <c r="A62" s="3" t="s">
        <v>432</v>
      </c>
      <c r="B62" s="5" t="s">
        <v>433</v>
      </c>
      <c r="C62" s="8" t="str">
        <f>VLOOKUP(A62,MTZ_Steakholders!$G$2:$K$123,5,0)</f>
        <v>Atendimento</v>
      </c>
      <c r="D62" s="3" t="s">
        <v>451</v>
      </c>
      <c r="E62" s="3"/>
      <c r="F62" t="s">
        <v>454</v>
      </c>
    </row>
    <row r="63" spans="1:6" x14ac:dyDescent="0.25">
      <c r="A63" s="3" t="s">
        <v>152</v>
      </c>
      <c r="B63" s="5" t="s">
        <v>153</v>
      </c>
      <c r="C63" s="8" t="str">
        <f>VLOOKUP(A63,MTZ_Steakholders!$I$2:$K$123,3,0)</f>
        <v>Tributos/Fiscal</v>
      </c>
      <c r="D63" s="3" t="s">
        <v>452</v>
      </c>
      <c r="E63" s="3"/>
      <c r="F63" t="s">
        <v>453</v>
      </c>
    </row>
    <row r="64" spans="1:6" x14ac:dyDescent="0.25">
      <c r="A64" s="3" t="s">
        <v>229</v>
      </c>
      <c r="B64" s="5" t="s">
        <v>230</v>
      </c>
      <c r="C64" s="8" t="str">
        <f>VLOOKUP(A64,MTZ_Steakholders!$G$2:$K$123,5,0)</f>
        <v>Jur Trabalhista</v>
      </c>
      <c r="D64" s="3" t="s">
        <v>451</v>
      </c>
      <c r="E64" s="3"/>
      <c r="F64" t="s">
        <v>454</v>
      </c>
    </row>
    <row r="65" spans="1:6" x14ac:dyDescent="0.25">
      <c r="A65" s="3" t="s">
        <v>364</v>
      </c>
      <c r="B65" s="5" t="s">
        <v>365</v>
      </c>
      <c r="C65" s="8" t="str">
        <f>VLOOKUP(A65,MTZ_Steakholders!$I$2:$K$123,3,0)</f>
        <v>Logística</v>
      </c>
      <c r="D65" s="3" t="s">
        <v>452</v>
      </c>
      <c r="E65" s="3"/>
      <c r="F65" t="s">
        <v>453</v>
      </c>
    </row>
    <row r="66" spans="1:6" x14ac:dyDescent="0.25">
      <c r="A66" s="4" t="s">
        <v>7</v>
      </c>
      <c r="B66" s="5" t="s">
        <v>8</v>
      </c>
      <c r="C66" s="8" t="str">
        <f>VLOOKUP(A66,MTZ_Steakholders!$A$2:$K$123,11,0)</f>
        <v>Riscos/Controles</v>
      </c>
      <c r="D66" s="3" t="s">
        <v>444</v>
      </c>
      <c r="E66" s="3"/>
      <c r="F66" t="s">
        <v>454</v>
      </c>
    </row>
    <row r="67" spans="1:6" x14ac:dyDescent="0.25">
      <c r="A67" s="3" t="s">
        <v>283</v>
      </c>
      <c r="B67" s="5" t="s">
        <v>284</v>
      </c>
      <c r="C67" s="8" t="str">
        <f>VLOOKUP(A67,MTZ_Steakholders!$I$2:$K$123,3,0)</f>
        <v>Sistemas TI</v>
      </c>
      <c r="D67" s="3" t="s">
        <v>452</v>
      </c>
      <c r="E67" s="3"/>
      <c r="F67" t="s">
        <v>453</v>
      </c>
    </row>
    <row r="68" spans="1:6" x14ac:dyDescent="0.25">
      <c r="A68" s="3" t="s">
        <v>39</v>
      </c>
      <c r="B68" s="5" t="s">
        <v>40</v>
      </c>
      <c r="C68" s="8" t="str">
        <f>VLOOKUP(A68,MTZ_Steakholders!$C$2:$K$123,9,0)</f>
        <v>Regulatório</v>
      </c>
      <c r="D68" s="3" t="s">
        <v>445</v>
      </c>
      <c r="E68" s="3"/>
      <c r="F68" t="s">
        <v>454</v>
      </c>
    </row>
    <row r="69" spans="1:6" x14ac:dyDescent="0.25">
      <c r="A69" s="3" t="s">
        <v>357</v>
      </c>
      <c r="B69" s="5" t="s">
        <v>358</v>
      </c>
      <c r="C69" s="8" t="str">
        <f>VLOOKUP(A69,MTZ_Steakholders!$E$2:$K$123,7,0)</f>
        <v>Logística</v>
      </c>
      <c r="D69" s="3" t="s">
        <v>446</v>
      </c>
      <c r="E69" s="3"/>
      <c r="F69" t="s">
        <v>454</v>
      </c>
    </row>
    <row r="70" spans="1:6" x14ac:dyDescent="0.25">
      <c r="A70" s="6" t="s">
        <v>56</v>
      </c>
      <c r="B70" s="5" t="s">
        <v>57</v>
      </c>
      <c r="C70" s="8" t="str">
        <f>VLOOKUP(A70,MTZ_Steakholders!$G$2:$K$123,5,0)</f>
        <v>M&amp;A</v>
      </c>
      <c r="D70" s="3" t="s">
        <v>451</v>
      </c>
      <c r="E70" s="3"/>
      <c r="F70" t="s">
        <v>454</v>
      </c>
    </row>
    <row r="71" spans="1:6" x14ac:dyDescent="0.25">
      <c r="A71" s="3" t="s">
        <v>134</v>
      </c>
      <c r="B71" s="5" t="s">
        <v>135</v>
      </c>
      <c r="C71" s="8" t="str">
        <f>VLOOKUP(A71,MTZ_Steakholders!$E$2:$K$123,7,0)</f>
        <v>Caixa</v>
      </c>
      <c r="D71" s="3" t="s">
        <v>446</v>
      </c>
      <c r="E71" s="3"/>
      <c r="F71" t="s">
        <v>454</v>
      </c>
    </row>
    <row r="72" spans="1:6" x14ac:dyDescent="0.25">
      <c r="A72" s="3" t="s">
        <v>311</v>
      </c>
      <c r="B72" s="5" t="s">
        <v>312</v>
      </c>
      <c r="C72" s="8" t="str">
        <f>VLOOKUP(A72,MTZ_Steakholders!$I$2:$K$123,3,0)</f>
        <v>Sistemas TI</v>
      </c>
      <c r="D72" s="3" t="s">
        <v>452</v>
      </c>
      <c r="E72" s="3"/>
      <c r="F72" t="s">
        <v>453</v>
      </c>
    </row>
    <row r="73" spans="1:6" x14ac:dyDescent="0.25">
      <c r="A73" s="3" t="s">
        <v>148</v>
      </c>
      <c r="B73" s="5" t="s">
        <v>149</v>
      </c>
      <c r="C73" s="8" t="str">
        <f>VLOOKUP(A73,MTZ_Steakholders!$I$2:$K$123,3,0)</f>
        <v>Tributos/Fiscal</v>
      </c>
      <c r="D73" s="3" t="s">
        <v>452</v>
      </c>
      <c r="E73" s="3"/>
      <c r="F73" t="s">
        <v>453</v>
      </c>
    </row>
    <row r="74" spans="1:6" x14ac:dyDescent="0.25">
      <c r="A74" s="3" t="s">
        <v>236</v>
      </c>
      <c r="B74" s="5" t="s">
        <v>237</v>
      </c>
      <c r="C74" s="8" t="str">
        <f>VLOOKUP(A74,MTZ_Steakholders!$C$2:$K$123,9,0)</f>
        <v>Jur Consumidor</v>
      </c>
      <c r="D74" s="3" t="s">
        <v>445</v>
      </c>
      <c r="E74" s="3"/>
      <c r="F74" t="s">
        <v>454</v>
      </c>
    </row>
    <row r="75" spans="1:6" x14ac:dyDescent="0.25">
      <c r="A75" s="3" t="s">
        <v>113</v>
      </c>
      <c r="B75" s="5" t="s">
        <v>114</v>
      </c>
      <c r="C75" s="8" t="str">
        <f>VLOOKUP(A75,MTZ_Steakholders!$I$2:$K$123,3,0)</f>
        <v>Tesouraria</v>
      </c>
      <c r="D75" s="3" t="s">
        <v>452</v>
      </c>
      <c r="E75" s="3"/>
      <c r="F75" t="s">
        <v>453</v>
      </c>
    </row>
    <row r="76" spans="1:6" x14ac:dyDescent="0.25">
      <c r="A76" s="3" t="s">
        <v>64</v>
      </c>
      <c r="B76" s="5" t="s">
        <v>65</v>
      </c>
      <c r="C76" s="8" t="str">
        <f>VLOOKUP(A76,MTZ_Steakholders!$C$2:$K$123,9,0)</f>
        <v>Transição</v>
      </c>
      <c r="D76" s="3" t="s">
        <v>445</v>
      </c>
      <c r="E76" s="3"/>
      <c r="F76" t="s">
        <v>454</v>
      </c>
    </row>
    <row r="77" spans="1:6" x14ac:dyDescent="0.25">
      <c r="A77" s="3" t="s">
        <v>146</v>
      </c>
      <c r="B77" s="5" t="s">
        <v>147</v>
      </c>
      <c r="C77" s="8" t="str">
        <f>VLOOKUP(A77,MTZ_Steakholders!$G$2:$K$123,5,0)</f>
        <v>Tributos/Fiscal</v>
      </c>
      <c r="D77" s="3" t="s">
        <v>451</v>
      </c>
      <c r="E77" s="3"/>
      <c r="F77" t="s">
        <v>454</v>
      </c>
    </row>
    <row r="78" spans="1:6" x14ac:dyDescent="0.25">
      <c r="A78" s="3" t="s">
        <v>191</v>
      </c>
      <c r="B78" s="5" t="s">
        <v>192</v>
      </c>
      <c r="C78" s="8" t="str">
        <f>VLOOKUP(A78,MTZ_Steakholders!$C$2:$K$123,9,0)</f>
        <v>Patrimonio</v>
      </c>
      <c r="D78" s="3" t="s">
        <v>445</v>
      </c>
      <c r="E78" s="3"/>
      <c r="F78" t="s">
        <v>454</v>
      </c>
    </row>
    <row r="79" spans="1:6" x14ac:dyDescent="0.25">
      <c r="A79" s="3" t="s">
        <v>395</v>
      </c>
      <c r="B79" s="5" t="s">
        <v>448</v>
      </c>
      <c r="C79" s="8" t="str">
        <f>VLOOKUP(A79,MTZ_Steakholders!$A$2:$K$123,11,0)</f>
        <v>Varejo</v>
      </c>
      <c r="D79" s="3" t="s">
        <v>444</v>
      </c>
      <c r="E79" s="3"/>
      <c r="F79" t="s">
        <v>454</v>
      </c>
    </row>
    <row r="80" spans="1:6" x14ac:dyDescent="0.25">
      <c r="A80" s="3" t="s">
        <v>238</v>
      </c>
      <c r="B80" s="5" t="s">
        <v>239</v>
      </c>
      <c r="C80" s="8" t="str">
        <f>VLOOKUP(A80,MTZ_Steakholders!$G$2:$K$123,5,0)</f>
        <v>Jur Consumidor</v>
      </c>
      <c r="D80" s="3" t="s">
        <v>451</v>
      </c>
      <c r="E80" s="3"/>
      <c r="F80" t="s">
        <v>454</v>
      </c>
    </row>
    <row r="81" spans="1:6" x14ac:dyDescent="0.25">
      <c r="A81" s="3" t="s">
        <v>399</v>
      </c>
      <c r="B81" s="5" t="s">
        <v>400</v>
      </c>
      <c r="C81" s="8" t="str">
        <f>VLOOKUP(A81,MTZ_Steakholders!$G$2:$K$123,5,0)</f>
        <v>Varejo</v>
      </c>
      <c r="D81" s="3" t="s">
        <v>451</v>
      </c>
      <c r="E81" s="3"/>
      <c r="F81" t="s">
        <v>454</v>
      </c>
    </row>
    <row r="82" spans="1:6" x14ac:dyDescent="0.25">
      <c r="A82" s="6" t="s">
        <v>131</v>
      </c>
      <c r="B82" s="5" t="s">
        <v>132</v>
      </c>
      <c r="C82" s="8" t="str">
        <f>VLOOKUP(A82,MTZ_Steakholders!$I$2:$K$123,3,0)</f>
        <v>CAP</v>
      </c>
      <c r="D82" s="3" t="s">
        <v>452</v>
      </c>
      <c r="E82" s="3"/>
      <c r="F82" t="s">
        <v>453</v>
      </c>
    </row>
    <row r="83" spans="1:6" x14ac:dyDescent="0.25">
      <c r="A83" s="3" t="s">
        <v>435</v>
      </c>
      <c r="B83" s="5" t="s">
        <v>436</v>
      </c>
      <c r="C83" s="8" t="str">
        <f>VLOOKUP(A83,MTZ_Steakholders!$C$2:$K$123,9,0)</f>
        <v>Transformação</v>
      </c>
      <c r="D83" s="3" t="s">
        <v>445</v>
      </c>
      <c r="E83" s="3"/>
      <c r="F83" t="s">
        <v>454</v>
      </c>
    </row>
    <row r="84" spans="1:6" x14ac:dyDescent="0.25">
      <c r="A84" s="3" t="s">
        <v>215</v>
      </c>
      <c r="B84" s="5" t="s">
        <v>216</v>
      </c>
      <c r="C84" s="8" t="str">
        <f>VLOOKUP(A84,MTZ_Steakholders!$C$2:$K$123,9,0)</f>
        <v>Jur Tributario</v>
      </c>
      <c r="D84" s="3" t="s">
        <v>445</v>
      </c>
      <c r="E84" s="3"/>
      <c r="F84" t="s">
        <v>454</v>
      </c>
    </row>
    <row r="85" spans="1:6" x14ac:dyDescent="0.25">
      <c r="A85" s="6" t="s">
        <v>438</v>
      </c>
      <c r="B85" s="5" t="s">
        <v>439</v>
      </c>
      <c r="C85" s="8" t="str">
        <f>VLOOKUP(A85,MTZ_Steakholders!$C$2:$K$123,9,0)</f>
        <v>Planejamento</v>
      </c>
      <c r="D85" s="3" t="s">
        <v>445</v>
      </c>
      <c r="E85" s="3"/>
      <c r="F85" t="s">
        <v>454</v>
      </c>
    </row>
    <row r="86" spans="1:6" x14ac:dyDescent="0.25">
      <c r="A86" s="3" t="s">
        <v>137</v>
      </c>
      <c r="B86" s="5" t="s">
        <v>138</v>
      </c>
      <c r="C86" s="8" t="str">
        <f>VLOOKUP(A86,MTZ_Steakholders!$C$2:$K$123,9,0)</f>
        <v>Tributos/Fiscal</v>
      </c>
      <c r="D86" s="3" t="s">
        <v>445</v>
      </c>
      <c r="E86" s="3"/>
      <c r="F86" t="s">
        <v>454</v>
      </c>
    </row>
    <row r="87" spans="1:6" x14ac:dyDescent="0.25">
      <c r="A87" s="3" t="s">
        <v>269</v>
      </c>
      <c r="B87" s="5" t="s">
        <v>270</v>
      </c>
      <c r="C87" s="8" t="str">
        <f>VLOOKUP(A87,MTZ_Steakholders!$I$2:$K$123,3,0)</f>
        <v>Sistemas TI</v>
      </c>
      <c r="D87" s="3" t="s">
        <v>452</v>
      </c>
      <c r="E87" s="3"/>
      <c r="F87" t="s">
        <v>453</v>
      </c>
    </row>
    <row r="88" spans="1:6" x14ac:dyDescent="0.25">
      <c r="A88" s="6" t="s">
        <v>52</v>
      </c>
      <c r="B88" s="5" t="s">
        <v>53</v>
      </c>
      <c r="C88" s="8" t="str">
        <f>VLOOKUP(A88,MTZ_Steakholders!$I$2:$K$123,3,0)</f>
        <v>M&amp;A</v>
      </c>
      <c r="D88" s="3" t="s">
        <v>452</v>
      </c>
      <c r="E88" s="3"/>
      <c r="F88" t="s">
        <v>453</v>
      </c>
    </row>
    <row r="89" spans="1:6" x14ac:dyDescent="0.25">
      <c r="A89" s="6" t="s">
        <v>52</v>
      </c>
      <c r="B89" s="5" t="s">
        <v>53</v>
      </c>
      <c r="C89" s="8" t="str">
        <f>VLOOKUP(A89,MTZ_Steakholders!$I$2:$K$123,3,0)</f>
        <v>M&amp;A</v>
      </c>
      <c r="D89" s="3" t="s">
        <v>452</v>
      </c>
      <c r="E89" s="3"/>
      <c r="F89" t="s">
        <v>453</v>
      </c>
    </row>
    <row r="90" spans="1:6" x14ac:dyDescent="0.25">
      <c r="A90" s="3" t="s">
        <v>158</v>
      </c>
      <c r="B90" s="5" t="s">
        <v>159</v>
      </c>
      <c r="C90" s="8" t="str">
        <f>VLOOKUP(A90,MTZ_Steakholders!$I$2:$K$123,3,0)</f>
        <v>Tributos/Fiscal</v>
      </c>
      <c r="D90" s="3" t="s">
        <v>452</v>
      </c>
      <c r="E90" s="3"/>
      <c r="F90" t="s">
        <v>453</v>
      </c>
    </row>
    <row r="91" spans="1:6" x14ac:dyDescent="0.25">
      <c r="A91" s="3" t="s">
        <v>397</v>
      </c>
      <c r="B91" s="5" t="s">
        <v>398</v>
      </c>
      <c r="C91" s="8" t="str">
        <f>VLOOKUP(A91,MTZ_Steakholders!$C$2:$K$123,9,0)</f>
        <v>Varejo</v>
      </c>
      <c r="D91" s="3" t="s">
        <v>445</v>
      </c>
      <c r="E91" s="3"/>
      <c r="F91" t="s">
        <v>454</v>
      </c>
    </row>
    <row r="92" spans="1:6" x14ac:dyDescent="0.25">
      <c r="A92" s="6" t="s">
        <v>84</v>
      </c>
      <c r="B92" s="5" t="s">
        <v>85</v>
      </c>
      <c r="C92" s="8" t="str">
        <f>VLOOKUP(A92,MTZ_Steakholders!$E$2:$K$123,7,0)</f>
        <v>Contabilidade</v>
      </c>
      <c r="D92" s="3" t="s">
        <v>446</v>
      </c>
      <c r="E92" s="3"/>
      <c r="F92" t="s">
        <v>454</v>
      </c>
    </row>
    <row r="93" spans="1:6" x14ac:dyDescent="0.25">
      <c r="A93" s="3" t="s">
        <v>267</v>
      </c>
      <c r="B93" s="5" t="s">
        <v>268</v>
      </c>
      <c r="C93" s="8" t="str">
        <f>VLOOKUP(A93,MTZ_Steakholders!$I$2:$K$123,3,0)</f>
        <v>Sistemas TI</v>
      </c>
      <c r="D93" s="3" t="s">
        <v>452</v>
      </c>
      <c r="E93" s="3"/>
      <c r="F93" t="s">
        <v>453</v>
      </c>
    </row>
    <row r="94" spans="1:6" x14ac:dyDescent="0.25">
      <c r="A94" s="3" t="s">
        <v>428</v>
      </c>
      <c r="B94" s="5" t="s">
        <v>429</v>
      </c>
      <c r="C94" s="8" t="str">
        <f>VLOOKUP(A94,MTZ_Steakholders!$C$2:$K$123,9,0)</f>
        <v>Atendimento</v>
      </c>
      <c r="D94" s="3" t="s">
        <v>445</v>
      </c>
      <c r="E94" s="3"/>
      <c r="F94" t="s">
        <v>454</v>
      </c>
    </row>
    <row r="95" spans="1:6" x14ac:dyDescent="0.25">
      <c r="A95" s="3" t="s">
        <v>277</v>
      </c>
      <c r="B95" s="5" t="s">
        <v>278</v>
      </c>
      <c r="C95" s="8" t="str">
        <f>VLOOKUP(A95,MTZ_Steakholders!$I$2:$K$123,3,0)</f>
        <v>Sistemas TI</v>
      </c>
      <c r="D95" s="3" t="s">
        <v>452</v>
      </c>
      <c r="E95" s="3"/>
      <c r="F95" t="s">
        <v>453</v>
      </c>
    </row>
    <row r="96" spans="1:6" x14ac:dyDescent="0.25">
      <c r="A96" s="3" t="s">
        <v>232</v>
      </c>
      <c r="B96" s="5" t="s">
        <v>233</v>
      </c>
      <c r="C96" s="8" t="str">
        <f>VLOOKUP(A96,MTZ_Steakholders!$G$2:$K$123,5,0)</f>
        <v>Jur Trabalhista</v>
      </c>
      <c r="D96" s="3" t="s">
        <v>451</v>
      </c>
      <c r="E96" s="3"/>
      <c r="F96" t="s">
        <v>454</v>
      </c>
    </row>
    <row r="97" spans="1:6" x14ac:dyDescent="0.25">
      <c r="A97" s="3" t="s">
        <v>279</v>
      </c>
      <c r="B97" s="5" t="s">
        <v>280</v>
      </c>
      <c r="C97" s="8" t="str">
        <f>VLOOKUP(A97,MTZ_Steakholders!$I$2:$K$123,3,0)</f>
        <v>Sistemas TI</v>
      </c>
      <c r="D97" s="3" t="s">
        <v>452</v>
      </c>
      <c r="E97" s="3"/>
      <c r="F97" t="s">
        <v>453</v>
      </c>
    </row>
    <row r="98" spans="1:6" x14ac:dyDescent="0.25">
      <c r="A98" s="3" t="s">
        <v>350</v>
      </c>
      <c r="B98" s="5" t="s">
        <v>351</v>
      </c>
      <c r="C98" s="8" t="str">
        <f>VLOOKUP(A98,MTZ_Steakholders!$A$2:$K$123,11,0)</f>
        <v>Operação de Rede e SI</v>
      </c>
      <c r="D98" s="3" t="s">
        <v>444</v>
      </c>
      <c r="E98" s="3"/>
      <c r="F98" t="s">
        <v>454</v>
      </c>
    </row>
    <row r="99" spans="1:6" x14ac:dyDescent="0.25">
      <c r="A99" s="3" t="s">
        <v>341</v>
      </c>
      <c r="B99" s="5" t="s">
        <v>342</v>
      </c>
      <c r="C99" s="8" t="str">
        <f>VLOOKUP(A99,MTZ_Steakholders!$I$2:$K$123,3,0)</f>
        <v>Data Analytics</v>
      </c>
      <c r="D99" s="3" t="s">
        <v>452</v>
      </c>
      <c r="E99" s="3"/>
      <c r="F99" t="s">
        <v>453</v>
      </c>
    </row>
    <row r="100" spans="1:6" x14ac:dyDescent="0.25">
      <c r="A100" s="3" t="s">
        <v>156</v>
      </c>
      <c r="B100" s="5" t="s">
        <v>157</v>
      </c>
      <c r="C100" s="8" t="str">
        <f>VLOOKUP(A100,MTZ_Steakholders!$G$2:$K$123,5,0)</f>
        <v>Tributos/Fiscal</v>
      </c>
      <c r="D100" s="3" t="s">
        <v>451</v>
      </c>
      <c r="E100" s="3"/>
      <c r="F100" t="s">
        <v>454</v>
      </c>
    </row>
    <row r="101" spans="1:6" x14ac:dyDescent="0.25">
      <c r="A101" s="3" t="s">
        <v>301</v>
      </c>
      <c r="B101" s="5" t="s">
        <v>302</v>
      </c>
      <c r="C101" s="8" t="str">
        <f>VLOOKUP(A101,MTZ_Steakholders!$I$2:$K$123,3,0)</f>
        <v>Sistemas TI</v>
      </c>
      <c r="D101" s="3" t="s">
        <v>452</v>
      </c>
      <c r="E101" s="3"/>
      <c r="F101" t="s">
        <v>453</v>
      </c>
    </row>
    <row r="102" spans="1:6" x14ac:dyDescent="0.25">
      <c r="A102" s="3" t="s">
        <v>406</v>
      </c>
      <c r="B102" s="5" t="s">
        <v>407</v>
      </c>
      <c r="C102" s="8" t="str">
        <f>VLOOKUP(A102,MTZ_Steakholders!$G$2:$K$123,5,0)</f>
        <v>Varejo</v>
      </c>
      <c r="D102" s="3" t="s">
        <v>451</v>
      </c>
      <c r="E102" s="3"/>
      <c r="F102" t="s">
        <v>454</v>
      </c>
    </row>
    <row r="103" spans="1:6" x14ac:dyDescent="0.25">
      <c r="A103" s="3" t="s">
        <v>177</v>
      </c>
      <c r="B103" s="5" t="s">
        <v>178</v>
      </c>
      <c r="C103" s="8" t="str">
        <f>VLOOKUP(A103,MTZ_Steakholders!$G$2:$K$123,5,0)</f>
        <v>Faturamento</v>
      </c>
      <c r="D103" s="3" t="s">
        <v>451</v>
      </c>
      <c r="E103" s="3"/>
      <c r="F103" t="s">
        <v>454</v>
      </c>
    </row>
    <row r="104" spans="1:6" x14ac:dyDescent="0.25">
      <c r="A104" s="3" t="s">
        <v>73</v>
      </c>
      <c r="B104" s="5" t="s">
        <v>74</v>
      </c>
      <c r="C104" s="8" t="str">
        <f>VLOOKUP(A104,MTZ_Steakholders!$G$2:$K$123,5,0)</f>
        <v>Suporte Técnico</v>
      </c>
      <c r="D104" s="3" t="s">
        <v>451</v>
      </c>
      <c r="E104" s="3"/>
      <c r="F104" t="s">
        <v>454</v>
      </c>
    </row>
    <row r="105" spans="1:6" x14ac:dyDescent="0.25">
      <c r="A105" s="3" t="s">
        <v>41</v>
      </c>
      <c r="B105" s="5" t="s">
        <v>42</v>
      </c>
      <c r="C105" s="8" t="str">
        <f>VLOOKUP(A105,MTZ_Steakholders!$G$2:$K$123,5,0)</f>
        <v>Regulatório</v>
      </c>
      <c r="D105" s="3" t="s">
        <v>451</v>
      </c>
      <c r="E105" s="3"/>
      <c r="F105" t="s">
        <v>454</v>
      </c>
    </row>
    <row r="106" spans="1:6" x14ac:dyDescent="0.25">
      <c r="A106" s="3" t="s">
        <v>309</v>
      </c>
      <c r="B106" s="5" t="s">
        <v>310</v>
      </c>
      <c r="C106" s="8" t="str">
        <f>VLOOKUP(A106,MTZ_Steakholders!$I$2:$K$123,3,0)</f>
        <v>Sistemas TI</v>
      </c>
      <c r="D106" s="3" t="s">
        <v>452</v>
      </c>
      <c r="E106" s="3"/>
      <c r="F106" t="s">
        <v>453</v>
      </c>
    </row>
    <row r="107" spans="1:6" x14ac:dyDescent="0.25">
      <c r="A107" s="3" t="s">
        <v>179</v>
      </c>
      <c r="B107" s="5" t="s">
        <v>180</v>
      </c>
      <c r="C107" s="8" t="str">
        <f>VLOOKUP(A107,MTZ_Steakholders!$I$2:$K$123,3,0)</f>
        <v>Faturamento</v>
      </c>
      <c r="D107" s="3" t="s">
        <v>452</v>
      </c>
      <c r="E107" s="3"/>
      <c r="F107" t="s">
        <v>453</v>
      </c>
    </row>
    <row r="108" spans="1:6" x14ac:dyDescent="0.25">
      <c r="A108" s="3" t="s">
        <v>430</v>
      </c>
      <c r="B108" s="5" t="s">
        <v>431</v>
      </c>
      <c r="C108" s="8" t="str">
        <f>VLOOKUP(A108,MTZ_Steakholders!$E$2:$K$123,7,0)</f>
        <v>Atendimento</v>
      </c>
      <c r="D108" s="3" t="s">
        <v>446</v>
      </c>
      <c r="E108" s="3"/>
      <c r="F108" t="s">
        <v>454</v>
      </c>
    </row>
    <row r="109" spans="1:6" x14ac:dyDescent="0.25">
      <c r="A109" s="3" t="s">
        <v>101</v>
      </c>
      <c r="B109" s="5" t="s">
        <v>102</v>
      </c>
      <c r="C109" s="8" t="str">
        <f>VLOOKUP(A109,MTZ_Steakholders!$I$2:$K$123,3,0)</f>
        <v>Contabilidade</v>
      </c>
      <c r="D109" s="3" t="s">
        <v>452</v>
      </c>
      <c r="E109" s="3"/>
      <c r="F109" t="s">
        <v>453</v>
      </c>
    </row>
    <row r="110" spans="1:6" x14ac:dyDescent="0.25">
      <c r="A110" s="3" t="s">
        <v>18</v>
      </c>
      <c r="B110" s="5" t="s">
        <v>19</v>
      </c>
      <c r="C110" s="8" t="str">
        <f>VLOOKUP(A110,MTZ_Steakholders!$G$2:$K$123,5,0)</f>
        <v>Regulatório</v>
      </c>
      <c r="D110" s="3" t="s">
        <v>451</v>
      </c>
      <c r="E110" s="3"/>
      <c r="F110" t="s">
        <v>454</v>
      </c>
    </row>
    <row r="111" spans="1:6" x14ac:dyDescent="0.25">
      <c r="A111" s="3" t="s">
        <v>412</v>
      </c>
      <c r="B111" s="5" t="s">
        <v>413</v>
      </c>
      <c r="C111" s="8" t="str">
        <f>VLOOKUP(A111,MTZ_Steakholders!$G$2:$K$123,5,0)</f>
        <v>Varejo</v>
      </c>
      <c r="D111" s="3" t="s">
        <v>451</v>
      </c>
      <c r="E111" s="3"/>
      <c r="F111" t="s">
        <v>454</v>
      </c>
    </row>
    <row r="112" spans="1:6" x14ac:dyDescent="0.25">
      <c r="A112" s="3" t="s">
        <v>222</v>
      </c>
      <c r="B112" s="5" t="s">
        <v>223</v>
      </c>
      <c r="C112" s="8" t="str">
        <f>VLOOKUP(A112,MTZ_Steakholders!$I$2:$K$123,3,0)</f>
        <v>Jur Tributario</v>
      </c>
      <c r="D112" s="3" t="s">
        <v>452</v>
      </c>
      <c r="E112" s="3"/>
      <c r="F112" t="s">
        <v>453</v>
      </c>
    </row>
    <row r="113" spans="1:6" x14ac:dyDescent="0.25">
      <c r="A113" s="3" t="s">
        <v>348</v>
      </c>
      <c r="B113" s="5" t="s">
        <v>349</v>
      </c>
      <c r="C113" s="8" t="str">
        <f>VLOOKUP(A113,MTZ_Steakholders!$G$2:$K$123,5,0)</f>
        <v>Data Analytics</v>
      </c>
      <c r="D113" s="3" t="s">
        <v>451</v>
      </c>
      <c r="E113" s="3"/>
      <c r="F113" t="s">
        <v>454</v>
      </c>
    </row>
    <row r="114" spans="1:6" x14ac:dyDescent="0.25">
      <c r="A114" s="3" t="s">
        <v>388</v>
      </c>
      <c r="B114" s="5" t="s">
        <v>389</v>
      </c>
      <c r="C114" s="8" t="str">
        <f>VLOOKUP(A114,MTZ_Steakholders!$G$2:$K$123,5,0)</f>
        <v xml:space="preserve">RH - Remuneração, Planejamento e Gestão </v>
      </c>
      <c r="D114" s="3" t="s">
        <v>451</v>
      </c>
      <c r="E114" s="3"/>
      <c r="F114" t="s">
        <v>454</v>
      </c>
    </row>
    <row r="115" spans="1:6" x14ac:dyDescent="0.25">
      <c r="A115" s="6" t="s">
        <v>9</v>
      </c>
      <c r="B115" s="5" t="s">
        <v>10</v>
      </c>
      <c r="C115" s="8" t="str">
        <f>VLOOKUP(A115,MTZ_Steakholders!$G$2:$K$123,5,0)</f>
        <v>Riscos/Controles</v>
      </c>
      <c r="D115" s="3" t="s">
        <v>451</v>
      </c>
      <c r="E115" s="3"/>
      <c r="F115" t="s">
        <v>454</v>
      </c>
    </row>
    <row r="116" spans="1:6" x14ac:dyDescent="0.25">
      <c r="A116" s="6" t="s">
        <v>66</v>
      </c>
      <c r="B116" s="3" t="s">
        <v>67</v>
      </c>
      <c r="C116" s="8" t="str">
        <f>VLOOKUP(A116,MTZ_Steakholders!$G$2:$K$123,5,0)</f>
        <v>Transição</v>
      </c>
      <c r="D116" s="3" t="s">
        <v>451</v>
      </c>
      <c r="E116" s="3"/>
      <c r="F116" t="s">
        <v>454</v>
      </c>
    </row>
    <row r="117" spans="1:6" x14ac:dyDescent="0.25">
      <c r="A117" s="3" t="s">
        <v>250</v>
      </c>
      <c r="B117" s="5" t="s">
        <v>251</v>
      </c>
      <c r="C117" s="8" t="str">
        <f>VLOOKUP(A117,MTZ_Steakholders!$G$2:$K$123,5,0)</f>
        <v>Jur Societário</v>
      </c>
      <c r="D117" s="3" t="s">
        <v>451</v>
      </c>
      <c r="E117" s="3"/>
      <c r="F117" t="s">
        <v>454</v>
      </c>
    </row>
    <row r="118" spans="1:6" x14ac:dyDescent="0.25">
      <c r="A118" s="3" t="s">
        <v>125</v>
      </c>
      <c r="B118" s="5" t="s">
        <v>126</v>
      </c>
      <c r="C118" s="8" t="str">
        <f>VLOOKUP(A118,MTZ_Steakholders!$I$2:$K$123,3,0)</f>
        <v>Seguros</v>
      </c>
      <c r="D118" s="3" t="s">
        <v>452</v>
      </c>
      <c r="E118" s="3"/>
      <c r="F118" t="s">
        <v>453</v>
      </c>
    </row>
    <row r="119" spans="1:6" x14ac:dyDescent="0.25">
      <c r="A119" s="6" t="s">
        <v>359</v>
      </c>
      <c r="B119" s="5" t="s">
        <v>360</v>
      </c>
      <c r="C119" s="8" t="str">
        <f>VLOOKUP(A119,MTZ_Steakholders!$G$2:$K$123,5,0)</f>
        <v>Logística</v>
      </c>
      <c r="D119" s="3" t="s">
        <v>451</v>
      </c>
      <c r="E119" s="3"/>
      <c r="F119" t="s">
        <v>454</v>
      </c>
    </row>
    <row r="120" spans="1:6" x14ac:dyDescent="0.25">
      <c r="A120" s="6" t="s">
        <v>313</v>
      </c>
      <c r="B120" s="5" t="s">
        <v>314</v>
      </c>
      <c r="C120" s="8" t="str">
        <f>VLOOKUP(A120,MTZ_Steakholders!$I$2:$K$123,3,0)</f>
        <v>Sistemas TI</v>
      </c>
      <c r="D120" s="3" t="s">
        <v>452</v>
      </c>
      <c r="E120" s="3"/>
      <c r="F120" t="s">
        <v>453</v>
      </c>
    </row>
    <row r="121" spans="1:6" x14ac:dyDescent="0.25">
      <c r="A121" s="6" t="s">
        <v>120</v>
      </c>
      <c r="B121" s="5" t="s">
        <v>121</v>
      </c>
      <c r="C121" s="8" t="str">
        <f>VLOOKUP(A121,MTZ_Steakholders!$E$2:$K$123,7,0)</f>
        <v>Seguros</v>
      </c>
      <c r="D121" s="3" t="s">
        <v>446</v>
      </c>
      <c r="E121" s="3"/>
      <c r="F121" t="s">
        <v>454</v>
      </c>
    </row>
    <row r="122" spans="1:6" x14ac:dyDescent="0.25">
      <c r="A122" s="3" t="s">
        <v>105</v>
      </c>
      <c r="B122" s="5" t="s">
        <v>106</v>
      </c>
      <c r="C122" s="8" t="str">
        <f>VLOOKUP(A122,MTZ_Steakholders!$I$2:$K$123,3,0)</f>
        <v>Contabilidade</v>
      </c>
      <c r="D122" s="3" t="s">
        <v>452</v>
      </c>
      <c r="E122" s="3"/>
      <c r="F122" t="s">
        <v>453</v>
      </c>
    </row>
    <row r="123" spans="1:6" x14ac:dyDescent="0.25">
      <c r="A123" s="3" t="s">
        <v>27</v>
      </c>
      <c r="B123" s="5" t="s">
        <v>28</v>
      </c>
      <c r="C123" s="8" t="str">
        <f>VLOOKUP(A123,MTZ_Steakholders!$I$2:$K$123,3,0)</f>
        <v>Regulatório</v>
      </c>
      <c r="D123" s="3" t="s">
        <v>452</v>
      </c>
      <c r="E123" s="3"/>
      <c r="F123" t="s">
        <v>453</v>
      </c>
    </row>
    <row r="124" spans="1:6" x14ac:dyDescent="0.25">
      <c r="A124" s="3" t="s">
        <v>423</v>
      </c>
      <c r="B124" s="5" t="s">
        <v>424</v>
      </c>
      <c r="C124" s="8" t="str">
        <f>VLOOKUP(A124,MTZ_Steakholders!$C$2:$K$123,9,0)</f>
        <v>Comunicação</v>
      </c>
      <c r="D124" s="3" t="s">
        <v>445</v>
      </c>
      <c r="E124" s="3"/>
      <c r="F124" t="s">
        <v>454</v>
      </c>
    </row>
    <row r="125" spans="1:6" x14ac:dyDescent="0.25">
      <c r="A125" s="3" t="s">
        <v>332</v>
      </c>
      <c r="B125" s="5" t="s">
        <v>333</v>
      </c>
      <c r="C125" s="8" t="str">
        <f>VLOOKUP(A125,MTZ_Steakholders!$I$2:$K$123,3,0)</f>
        <v>Arquitetura TI</v>
      </c>
      <c r="D125" s="3" t="s">
        <v>452</v>
      </c>
      <c r="E125" s="3"/>
      <c r="F125" t="s">
        <v>453</v>
      </c>
    </row>
    <row r="126" spans="1:6" x14ac:dyDescent="0.25">
      <c r="A126" s="3" t="s">
        <v>414</v>
      </c>
      <c r="B126" s="5" t="s">
        <v>415</v>
      </c>
      <c r="C126" s="8" t="str">
        <f>VLOOKUP(A126,MTZ_Steakholders!$C$2:$K$123,9,0)</f>
        <v>Empresarial</v>
      </c>
      <c r="D126" s="3" t="s">
        <v>445</v>
      </c>
      <c r="E126" s="3"/>
      <c r="F126" t="s">
        <v>454</v>
      </c>
    </row>
    <row r="127" spans="1:6" x14ac:dyDescent="0.25">
      <c r="A127" s="6" t="s">
        <v>224</v>
      </c>
      <c r="B127" s="5" t="s">
        <v>225</v>
      </c>
      <c r="C127" s="8" t="str">
        <f>VLOOKUP(A127,MTZ_Steakholders!$G$2:$K$123,5,0)</f>
        <v>Jur Civel Estrategico e Regulamento</v>
      </c>
      <c r="D127" s="3" t="s">
        <v>451</v>
      </c>
      <c r="E127" s="3"/>
      <c r="F127" t="s">
        <v>454</v>
      </c>
    </row>
    <row r="128" spans="1:6" x14ac:dyDescent="0.25">
      <c r="A128" s="6" t="s">
        <v>203</v>
      </c>
      <c r="B128" s="5" t="s">
        <v>204</v>
      </c>
      <c r="C128" s="8" t="str">
        <f>VLOOKUP(A128,MTZ_Steakholders!$C$2:$K$123,9,0)</f>
        <v>Suprimentos</v>
      </c>
      <c r="D128" s="3" t="s">
        <v>445</v>
      </c>
      <c r="E128" s="3"/>
      <c r="F128" t="s">
        <v>454</v>
      </c>
    </row>
    <row r="129" spans="1:6" x14ac:dyDescent="0.25">
      <c r="A129" s="6" t="s">
        <v>45</v>
      </c>
      <c r="B129" s="5" t="s">
        <v>46</v>
      </c>
      <c r="C129" s="8" t="str">
        <f>VLOOKUP(A129,MTZ_Steakholders!$C$2:$K$123,9,0)</f>
        <v>M&amp;A</v>
      </c>
      <c r="D129" s="3" t="s">
        <v>445</v>
      </c>
      <c r="E129" s="3"/>
      <c r="F129" t="s">
        <v>454</v>
      </c>
    </row>
    <row r="130" spans="1:6" x14ac:dyDescent="0.25">
      <c r="A130" s="3" t="s">
        <v>129</v>
      </c>
      <c r="B130" s="5" t="s">
        <v>130</v>
      </c>
      <c r="C130" s="8" t="str">
        <f>VLOOKUP(A130,MTZ_Steakholders!$G$2:$K$123,5,0)</f>
        <v>CAP</v>
      </c>
      <c r="D130" s="3" t="s">
        <v>451</v>
      </c>
      <c r="E130" s="3"/>
      <c r="F130" t="s">
        <v>454</v>
      </c>
    </row>
    <row r="131" spans="1:6" x14ac:dyDescent="0.25">
      <c r="A131" s="3" t="s">
        <v>97</v>
      </c>
      <c r="B131" s="5" t="s">
        <v>98</v>
      </c>
      <c r="C131" s="8" t="str">
        <f>VLOOKUP(A131,MTZ_Steakholders!$G$2:$K$123,5,0)</f>
        <v>Contabilidade</v>
      </c>
      <c r="D131" s="3" t="s">
        <v>451</v>
      </c>
      <c r="E131" s="3"/>
      <c r="F131" t="s">
        <v>454</v>
      </c>
    </row>
    <row r="132" spans="1:6" x14ac:dyDescent="0.25">
      <c r="A132" s="3" t="s">
        <v>260</v>
      </c>
      <c r="B132" s="5" t="s">
        <v>261</v>
      </c>
      <c r="C132" s="8" t="str">
        <f>VLOOKUP(A132,MTZ_Steakholders!$I$2:$K$123,3,0)</f>
        <v>Sistemas TI</v>
      </c>
      <c r="D132" s="3" t="s">
        <v>452</v>
      </c>
      <c r="E132" s="3"/>
      <c r="F132" t="s">
        <v>453</v>
      </c>
    </row>
    <row r="133" spans="1:6" x14ac:dyDescent="0.25">
      <c r="A133" s="3" t="s">
        <v>200</v>
      </c>
      <c r="B133" s="5" t="s">
        <v>201</v>
      </c>
      <c r="C133" s="8" t="str">
        <f>VLOOKUP(A133,MTZ_Steakholders!$C$2:$K$123,9,0)</f>
        <v>Imóveis</v>
      </c>
      <c r="D133" s="3" t="s">
        <v>445</v>
      </c>
      <c r="E133" s="3"/>
      <c r="F133" t="s">
        <v>454</v>
      </c>
    </row>
    <row r="134" spans="1:6" x14ac:dyDescent="0.25">
      <c r="A134" s="3" t="s">
        <v>370</v>
      </c>
      <c r="B134" s="5" t="s">
        <v>371</v>
      </c>
      <c r="C134" s="8" t="str">
        <f>VLOOKUP(A134,MTZ_Steakholders!$I$2:$K$123,3,0)</f>
        <v>Segurança da Informação</v>
      </c>
      <c r="D134" s="3" t="s">
        <v>452</v>
      </c>
      <c r="E134" s="3"/>
      <c r="F134" t="s">
        <v>453</v>
      </c>
    </row>
    <row r="135" spans="1:6" x14ac:dyDescent="0.25">
      <c r="A135" s="3" t="s">
        <v>144</v>
      </c>
      <c r="B135" s="5" t="s">
        <v>145</v>
      </c>
      <c r="C135" s="8" t="str">
        <f>VLOOKUP(A135,MTZ_Steakholders!$I$2:$K$123,3,0)</f>
        <v>Tributos/Fiscal</v>
      </c>
      <c r="D135" s="3" t="s">
        <v>452</v>
      </c>
      <c r="E135" s="3"/>
      <c r="F135" t="s">
        <v>453</v>
      </c>
    </row>
    <row r="136" spans="1:6" x14ac:dyDescent="0.25">
      <c r="A136" s="3" t="s">
        <v>377</v>
      </c>
      <c r="B136" s="5" t="s">
        <v>378</v>
      </c>
      <c r="C136" s="8" t="str">
        <f>VLOOKUP(A136,MTZ_Steakholders!$A$2:$K$123,11,0)</f>
        <v xml:space="preserve">RH - Remuneração, Planejamento e Gestão </v>
      </c>
      <c r="D136" s="3" t="s">
        <v>444</v>
      </c>
      <c r="E136" s="3"/>
      <c r="F136" t="s">
        <v>453</v>
      </c>
    </row>
    <row r="137" spans="1:6" x14ac:dyDescent="0.25">
      <c r="A137" s="3" t="s">
        <v>37</v>
      </c>
      <c r="B137" s="5" t="s">
        <v>38</v>
      </c>
      <c r="C137" s="8" t="str">
        <f>VLOOKUP(A137,MTZ_Steakholders!$G$2:$K$123,5,0)</f>
        <v>Regulatório</v>
      </c>
      <c r="D137" s="3" t="s">
        <v>451</v>
      </c>
      <c r="E137" s="3"/>
      <c r="F137" t="s">
        <v>454</v>
      </c>
    </row>
    <row r="138" spans="1:6" x14ac:dyDescent="0.25">
      <c r="A138" s="6" t="s">
        <v>33</v>
      </c>
      <c r="B138" s="5" t="s">
        <v>34</v>
      </c>
      <c r="C138" s="8" t="str">
        <f>VLOOKUP(A138,MTZ_Steakholders!$G$2:$K$123,5,0)</f>
        <v>Regulatório</v>
      </c>
      <c r="D138" s="3" t="s">
        <v>451</v>
      </c>
      <c r="E138" s="3"/>
      <c r="F138" t="s">
        <v>454</v>
      </c>
    </row>
    <row r="139" spans="1:6" x14ac:dyDescent="0.25">
      <c r="A139" s="3" t="s">
        <v>252</v>
      </c>
      <c r="B139" s="5" t="s">
        <v>253</v>
      </c>
      <c r="C139" s="8" t="str">
        <f>VLOOKUP(A139,MTZ_Steakholders!$I$2:$K$123,3,0)</f>
        <v>Jur Societário</v>
      </c>
      <c r="D139" s="3" t="s">
        <v>452</v>
      </c>
      <c r="E139" s="3"/>
      <c r="F139" t="s">
        <v>453</v>
      </c>
    </row>
    <row r="140" spans="1:6" x14ac:dyDescent="0.25">
      <c r="A140" s="6" t="s">
        <v>263</v>
      </c>
      <c r="B140" s="5" t="s">
        <v>264</v>
      </c>
      <c r="C140" s="8" t="str">
        <f>VLOOKUP(A140,MTZ_Steakholders!$I$2:$K$123,3,0)</f>
        <v>Sistemas TI</v>
      </c>
      <c r="D140" s="3" t="s">
        <v>452</v>
      </c>
      <c r="E140" s="3"/>
      <c r="F140" t="s">
        <v>453</v>
      </c>
    </row>
    <row r="141" spans="1:6" x14ac:dyDescent="0.25">
      <c r="A141" s="6" t="s">
        <v>103</v>
      </c>
      <c r="B141" s="5" t="s">
        <v>104</v>
      </c>
      <c r="C141" s="8" t="str">
        <f>VLOOKUP(A141,MTZ_Steakholders!$I$2:$K$123,3,0)</f>
        <v>Contabilidade</v>
      </c>
      <c r="D141" s="3" t="s">
        <v>452</v>
      </c>
      <c r="E141" s="3"/>
      <c r="F141" t="s">
        <v>453</v>
      </c>
    </row>
    <row r="142" spans="1:6" x14ac:dyDescent="0.25">
      <c r="A142" s="6" t="s">
        <v>23</v>
      </c>
      <c r="B142" s="5" t="s">
        <v>24</v>
      </c>
      <c r="C142" s="8" t="str">
        <f>VLOOKUP(A142,MTZ_Steakholders!$I$2:$K$123,3,0)</f>
        <v>Regulatório</v>
      </c>
      <c r="D142" s="3" t="s">
        <v>452</v>
      </c>
      <c r="E142" s="3"/>
      <c r="F142" t="s">
        <v>453</v>
      </c>
    </row>
    <row r="143" spans="1:6" x14ac:dyDescent="0.25">
      <c r="A143" s="6" t="s">
        <v>265</v>
      </c>
      <c r="B143" s="7" t="s">
        <v>266</v>
      </c>
      <c r="C143" s="8" t="str">
        <f>VLOOKUP(A143,MTZ_Steakholders!$I$2:$K$123,3,0)</f>
        <v>Sistemas TI</v>
      </c>
      <c r="D143" s="3" t="s">
        <v>452</v>
      </c>
      <c r="E143" s="3"/>
      <c r="F143" t="s">
        <v>453</v>
      </c>
    </row>
    <row r="144" spans="1:6" x14ac:dyDescent="0.25">
      <c r="A144" s="6" t="s">
        <v>195</v>
      </c>
      <c r="B144" s="5" t="s">
        <v>196</v>
      </c>
      <c r="C144" s="8" t="str">
        <f>VLOOKUP(A144,MTZ_Steakholders!$I$2:$K$123,3,0)</f>
        <v>Patrimonio</v>
      </c>
      <c r="D144" s="3" t="s">
        <v>452</v>
      </c>
      <c r="E144" s="3"/>
      <c r="F144" t="s">
        <v>453</v>
      </c>
    </row>
    <row r="145" spans="1:6" x14ac:dyDescent="0.25">
      <c r="A145" s="3" t="s">
        <v>35</v>
      </c>
      <c r="B145" s="5" t="s">
        <v>36</v>
      </c>
      <c r="C145" s="8" t="str">
        <f>VLOOKUP(A145,MTZ_Steakholders!$I$2:$K$123,3,0)</f>
        <v>Regulatório</v>
      </c>
      <c r="D145" s="3" t="s">
        <v>452</v>
      </c>
      <c r="E145" s="3"/>
      <c r="F145" t="s">
        <v>453</v>
      </c>
    </row>
    <row r="146" spans="1:6" x14ac:dyDescent="0.25">
      <c r="A146" s="6" t="s">
        <v>182</v>
      </c>
      <c r="B146" s="5" t="s">
        <v>183</v>
      </c>
      <c r="C146" s="8" t="str">
        <f>VLOOKUP(A146,MTZ_Steakholders!$G$2:$K$123,5,0)</f>
        <v>Faturamento</v>
      </c>
      <c r="D146" s="3" t="s">
        <v>451</v>
      </c>
      <c r="E146" s="3"/>
      <c r="F146" t="s">
        <v>454</v>
      </c>
    </row>
    <row r="147" spans="1:6" x14ac:dyDescent="0.25">
      <c r="A147" s="3" t="s">
        <v>54</v>
      </c>
      <c r="B147" s="5" t="s">
        <v>55</v>
      </c>
      <c r="C147" s="8" t="str">
        <f>VLOOKUP(A147,MTZ_Steakholders!$I$2:$K$123,3,0)</f>
        <v>M&amp;A</v>
      </c>
      <c r="D147" s="3" t="s">
        <v>452</v>
      </c>
      <c r="E147" s="3"/>
      <c r="F147" t="s">
        <v>453</v>
      </c>
    </row>
    <row r="148" spans="1:6" x14ac:dyDescent="0.25">
      <c r="A148" s="3" t="s">
        <v>368</v>
      </c>
      <c r="B148" s="5" t="s">
        <v>369</v>
      </c>
      <c r="C148" s="8" t="str">
        <f>VLOOKUP(A148,MTZ_Steakholders!$G$2:$K$123,5,0)</f>
        <v>Segurança da Informação</v>
      </c>
      <c r="D148" s="3" t="s">
        <v>451</v>
      </c>
      <c r="E148" s="3"/>
      <c r="F148" t="s">
        <v>454</v>
      </c>
    </row>
    <row r="149" spans="1:6" x14ac:dyDescent="0.25">
      <c r="A149" s="3" t="s">
        <v>93</v>
      </c>
      <c r="B149" s="5" t="s">
        <v>94</v>
      </c>
      <c r="C149" s="8" t="str">
        <f>VLOOKUP(A149,MTZ_Steakholders!$I$2:$K$123,3,0)</f>
        <v>Contabilidade</v>
      </c>
      <c r="D149" s="3" t="s">
        <v>452</v>
      </c>
      <c r="E149" s="3"/>
      <c r="F149" t="s">
        <v>453</v>
      </c>
    </row>
    <row r="150" spans="1:6" x14ac:dyDescent="0.25">
      <c r="A150" s="3" t="s">
        <v>86</v>
      </c>
      <c r="B150" s="5" t="s">
        <v>87</v>
      </c>
      <c r="C150" s="8" t="str">
        <f>VLOOKUP(A150,MTZ_Steakholders!$G$2:$K$123,5,0)</f>
        <v>Contabilidade</v>
      </c>
      <c r="D150" s="3" t="s">
        <v>451</v>
      </c>
      <c r="E150" s="3"/>
      <c r="F150" t="s">
        <v>454</v>
      </c>
    </row>
    <row r="151" spans="1:6" x14ac:dyDescent="0.25">
      <c r="A151" s="3" t="s">
        <v>79</v>
      </c>
      <c r="B151" s="5" t="s">
        <v>80</v>
      </c>
      <c r="C151" s="8" t="str">
        <f>VLOOKUP(A151,MTZ_Steakholders!$G$2:$K$123,5,0)</f>
        <v>Controladoria</v>
      </c>
      <c r="D151" s="3" t="s">
        <v>451</v>
      </c>
      <c r="E151" s="3"/>
      <c r="F151" t="s">
        <v>454</v>
      </c>
    </row>
    <row r="152" spans="1:6" x14ac:dyDescent="0.25">
      <c r="A152" s="3" t="s">
        <v>344</v>
      </c>
      <c r="B152" s="5" t="s">
        <v>345</v>
      </c>
      <c r="C152" s="8" t="str">
        <f>VLOOKUP(A152,MTZ_Steakholders!$I$2:$K$123,3,0)</f>
        <v>Data Analytics</v>
      </c>
      <c r="D152" s="3" t="s">
        <v>452</v>
      </c>
      <c r="E152" s="3"/>
      <c r="F152" t="s">
        <v>453</v>
      </c>
    </row>
    <row r="153" spans="1:6" x14ac:dyDescent="0.25">
      <c r="A153" s="3" t="s">
        <v>281</v>
      </c>
      <c r="B153" s="5" t="s">
        <v>282</v>
      </c>
      <c r="C153" s="8" t="str">
        <f>VLOOKUP(A153,MTZ_Steakholders!$I$2:$K$123,3,0)</f>
        <v>Sistemas TI</v>
      </c>
      <c r="D153" s="3" t="s">
        <v>452</v>
      </c>
      <c r="E153" s="3"/>
      <c r="F153" t="s">
        <v>453</v>
      </c>
    </row>
    <row r="154" spans="1:6" x14ac:dyDescent="0.25">
      <c r="A154" s="3" t="s">
        <v>29</v>
      </c>
      <c r="B154" s="5" t="s">
        <v>30</v>
      </c>
      <c r="C154" s="8" t="str">
        <f>VLOOKUP(A154,MTZ_Steakholders!$I$2:$K$123,3,0)</f>
        <v>Regulatório</v>
      </c>
      <c r="D154" s="3" t="s">
        <v>452</v>
      </c>
      <c r="E154" s="3"/>
      <c r="F154" t="s">
        <v>453</v>
      </c>
    </row>
    <row r="155" spans="1:6" x14ac:dyDescent="0.25">
      <c r="A155" s="3" t="s">
        <v>164</v>
      </c>
      <c r="B155" s="5" t="s">
        <v>165</v>
      </c>
      <c r="C155" s="8" t="str">
        <f>VLOOKUP(A155,MTZ_Steakholders!$I$2:$K$123,3,0)</f>
        <v>PDD</v>
      </c>
      <c r="D155" s="3" t="s">
        <v>452</v>
      </c>
      <c r="E155" s="3"/>
      <c r="F155" t="s">
        <v>453</v>
      </c>
    </row>
    <row r="156" spans="1:6" x14ac:dyDescent="0.25">
      <c r="A156" s="3" t="s">
        <v>139</v>
      </c>
      <c r="B156" s="5" t="s">
        <v>140</v>
      </c>
      <c r="C156" s="8" t="str">
        <f>VLOOKUP(A156,MTZ_Steakholders!$G$2:$K$123,5,0)</f>
        <v>Tributos/Fiscal</v>
      </c>
      <c r="D156" s="3" t="s">
        <v>451</v>
      </c>
      <c r="E156" s="3"/>
      <c r="F156" t="s">
        <v>454</v>
      </c>
    </row>
    <row r="157" spans="1:6" x14ac:dyDescent="0.25">
      <c r="A157" s="3" t="s">
        <v>110</v>
      </c>
      <c r="B157" s="5" t="s">
        <v>111</v>
      </c>
      <c r="C157" s="8" t="str">
        <f>VLOOKUP(A157,MTZ_Steakholders!$C$2:$K$123,9,0)</f>
        <v>Tesouraria</v>
      </c>
      <c r="D157" s="3" t="s">
        <v>445</v>
      </c>
      <c r="E157" s="3"/>
      <c r="F157" t="s">
        <v>454</v>
      </c>
    </row>
    <row r="158" spans="1:6" x14ac:dyDescent="0.25">
      <c r="A158" s="3" t="s">
        <v>217</v>
      </c>
      <c r="B158" s="5" t="s">
        <v>218</v>
      </c>
      <c r="C158" s="8" t="str">
        <f>VLOOKUP(A158,MTZ_Steakholders!$G$2:$K$123,5,0)</f>
        <v>Jur Tributario</v>
      </c>
      <c r="D158" s="3" t="s">
        <v>451</v>
      </c>
      <c r="E158" s="3"/>
      <c r="F158" t="s">
        <v>454</v>
      </c>
    </row>
    <row r="159" spans="1:6" x14ac:dyDescent="0.25">
      <c r="A159" s="3" t="s">
        <v>112</v>
      </c>
      <c r="B159" s="5" t="s">
        <v>111</v>
      </c>
      <c r="C159" s="8" t="str">
        <f>VLOOKUP(A159,MTZ_Steakholders!$E$2:$K$123,7,0)</f>
        <v>Tesouraria</v>
      </c>
      <c r="D159" s="3" t="s">
        <v>446</v>
      </c>
      <c r="E159" s="3"/>
      <c r="F159" t="s">
        <v>454</v>
      </c>
    </row>
    <row r="160" spans="1:6" x14ac:dyDescent="0.25">
      <c r="A160" s="3" t="s">
        <v>107</v>
      </c>
      <c r="B160" s="5" t="s">
        <v>108</v>
      </c>
      <c r="C160" s="8" t="str">
        <f>VLOOKUP(A160,MTZ_Steakholders!$E$2:$K$123,7,0)</f>
        <v>Planejamento Digital</v>
      </c>
      <c r="D160" s="3" t="s">
        <v>446</v>
      </c>
      <c r="E160" s="3"/>
      <c r="F160" t="s">
        <v>454</v>
      </c>
    </row>
    <row r="161" spans="1:6" x14ac:dyDescent="0.25">
      <c r="A161" s="3" t="s">
        <v>91</v>
      </c>
      <c r="B161" s="5" t="s">
        <v>92</v>
      </c>
      <c r="C161" s="8" t="str">
        <f>VLOOKUP(A161,MTZ_Steakholders!$I$2:$K$123,3,0)</f>
        <v>Contabilidade</v>
      </c>
      <c r="D161" s="3" t="s">
        <v>452</v>
      </c>
      <c r="E161" s="3"/>
      <c r="F161" t="s">
        <v>453</v>
      </c>
    </row>
    <row r="162" spans="1:6" x14ac:dyDescent="0.25">
      <c r="A162" s="3" t="s">
        <v>410</v>
      </c>
      <c r="B162" s="5" t="s">
        <v>411</v>
      </c>
      <c r="C162" s="8" t="str">
        <f>VLOOKUP(A162,MTZ_Steakholders!$G$2:$K$123,5,0)</f>
        <v>Varejo</v>
      </c>
      <c r="D162" s="3" t="s">
        <v>451</v>
      </c>
      <c r="E162" s="3"/>
      <c r="F162" t="s">
        <v>454</v>
      </c>
    </row>
    <row r="163" spans="1:6" x14ac:dyDescent="0.25">
      <c r="A163" s="3" t="s">
        <v>154</v>
      </c>
      <c r="B163" s="5" t="s">
        <v>155</v>
      </c>
      <c r="C163" s="8" t="str">
        <f>VLOOKUP(A163,MTZ_Steakholders!$I$2:$K$123,3,0)</f>
        <v>Tributos/Fiscal</v>
      </c>
      <c r="D163" s="3" t="s">
        <v>452</v>
      </c>
      <c r="E163" s="3"/>
      <c r="F163" t="s">
        <v>453</v>
      </c>
    </row>
    <row r="164" spans="1:6" x14ac:dyDescent="0.25">
      <c r="A164" s="3" t="s">
        <v>408</v>
      </c>
      <c r="B164" s="5" t="s">
        <v>409</v>
      </c>
      <c r="C164" s="8" t="str">
        <f>VLOOKUP(A164,MTZ_Steakholders!$G$2:$K$123,5,0)</f>
        <v>Varejo</v>
      </c>
      <c r="D164" s="3" t="s">
        <v>451</v>
      </c>
      <c r="E164" s="3"/>
      <c r="F164" t="s">
        <v>454</v>
      </c>
    </row>
    <row r="165" spans="1:6" x14ac:dyDescent="0.25">
      <c r="A165" s="3" t="s">
        <v>352</v>
      </c>
      <c r="B165" s="5" t="s">
        <v>353</v>
      </c>
      <c r="C165" s="8" t="str">
        <f>VLOOKUP(A165,MTZ_Steakholders!$C$2:$K$123,9,0)</f>
        <v>Operação de Rede e SI</v>
      </c>
      <c r="D165" s="3" t="s">
        <v>445</v>
      </c>
      <c r="E165" s="3"/>
      <c r="F165" t="s">
        <v>454</v>
      </c>
    </row>
    <row r="166" spans="1:6" x14ac:dyDescent="0.25">
      <c r="A166" s="3" t="s">
        <v>205</v>
      </c>
      <c r="B166" s="5" t="s">
        <v>206</v>
      </c>
      <c r="C166" s="8" t="str">
        <f>VLOOKUP(A166,MTZ_Steakholders!$G$2:$K$123,5,0)</f>
        <v>Suprimentos</v>
      </c>
      <c r="D166" s="3" t="s">
        <v>451</v>
      </c>
      <c r="E166" s="3"/>
      <c r="F166" t="s">
        <v>454</v>
      </c>
    </row>
    <row r="167" spans="1:6" x14ac:dyDescent="0.25">
      <c r="A167" s="3" t="s">
        <v>375</v>
      </c>
      <c r="B167" s="5" t="s">
        <v>376</v>
      </c>
      <c r="C167" s="8" t="str">
        <f>VLOOKUP(A167,MTZ_Steakholders!$I$2:$K$123,3,0)</f>
        <v>Segurança da Informação</v>
      </c>
      <c r="D167" s="3" t="s">
        <v>452</v>
      </c>
      <c r="E167" s="3"/>
      <c r="F167" t="s">
        <v>453</v>
      </c>
    </row>
    <row r="168" spans="1:6" x14ac:dyDescent="0.25">
      <c r="A168" s="3" t="s">
        <v>285</v>
      </c>
      <c r="B168" s="5" t="s">
        <v>286</v>
      </c>
      <c r="C168" s="8" t="str">
        <f>VLOOKUP(A168,MTZ_Steakholders!$I$2:$K$123,3,0)</f>
        <v>Sistemas TI</v>
      </c>
      <c r="D168" s="3" t="s">
        <v>452</v>
      </c>
      <c r="E168" s="3"/>
      <c r="F168" t="s">
        <v>453</v>
      </c>
    </row>
    <row r="169" spans="1:6" x14ac:dyDescent="0.25">
      <c r="A169" s="3" t="s">
        <v>383</v>
      </c>
      <c r="B169" s="5" t="s">
        <v>384</v>
      </c>
      <c r="C169" s="8" t="str">
        <f>VLOOKUP(A169,MTZ_Steakholders!$I$2:$K$123,3,0)</f>
        <v xml:space="preserve">RH - Remuneração, Planejamento e Gestão </v>
      </c>
      <c r="D169" s="3" t="s">
        <v>452</v>
      </c>
      <c r="E169" s="3"/>
      <c r="F169" t="s">
        <v>453</v>
      </c>
    </row>
    <row r="170" spans="1:6" x14ac:dyDescent="0.25">
      <c r="A170" s="6" t="s">
        <v>315</v>
      </c>
      <c r="B170" s="5" t="s">
        <v>316</v>
      </c>
      <c r="C170" s="8" t="str">
        <f>VLOOKUP(A170,MTZ_Steakholders!$G$2:$K$123,5,0)</f>
        <v>Sistemas TI</v>
      </c>
      <c r="D170" s="3" t="s">
        <v>451</v>
      </c>
      <c r="E170" s="3"/>
      <c r="F170" t="s">
        <v>454</v>
      </c>
    </row>
    <row r="171" spans="1:6" x14ac:dyDescent="0.25">
      <c r="A171" s="3" t="s">
        <v>404</v>
      </c>
      <c r="B171" s="5" t="s">
        <v>405</v>
      </c>
      <c r="C171" s="8" t="str">
        <f>VLOOKUP(A171,MTZ_Steakholders!$G$2:$K$123,5,0)</f>
        <v>Varejo</v>
      </c>
      <c r="D171" s="3" t="s">
        <v>451</v>
      </c>
      <c r="E171" s="3"/>
      <c r="F171" t="s">
        <v>454</v>
      </c>
    </row>
    <row r="172" spans="1:6" x14ac:dyDescent="0.25">
      <c r="A172" s="3" t="s">
        <v>379</v>
      </c>
      <c r="B172" s="5" t="s">
        <v>380</v>
      </c>
      <c r="C172" s="8" t="str">
        <f>VLOOKUP(A172,MTZ_Steakholders!$C$2:$K$123,9,0)</f>
        <v xml:space="preserve">RH - Remuneração, Planejamento e Gestão </v>
      </c>
      <c r="D172" s="3" t="s">
        <v>445</v>
      </c>
      <c r="E172" s="3"/>
      <c r="F172" t="s">
        <v>454</v>
      </c>
    </row>
    <row r="173" spans="1:6" x14ac:dyDescent="0.25">
      <c r="A173" s="3" t="s">
        <v>373</v>
      </c>
      <c r="B173" s="5" t="s">
        <v>374</v>
      </c>
      <c r="C173" s="8" t="str">
        <f>VLOOKUP(A173,MTZ_Steakholders!$I$2:$K$123,3,0)</f>
        <v>Segurança da Informação</v>
      </c>
      <c r="D173" s="3" t="s">
        <v>452</v>
      </c>
      <c r="E173" s="3"/>
      <c r="F173" t="s">
        <v>453</v>
      </c>
    </row>
    <row r="174" spans="1:6" x14ac:dyDescent="0.25">
      <c r="A174" s="3" t="s">
        <v>366</v>
      </c>
      <c r="B174" s="5" t="s">
        <v>367</v>
      </c>
      <c r="C174" s="8" t="str">
        <f>VLOOKUP(A174,MTZ_Steakholders!$C$2:$K$123,9,0)</f>
        <v>Segurança da Informação</v>
      </c>
      <c r="D174" s="3" t="s">
        <v>445</v>
      </c>
      <c r="E174" s="3"/>
      <c r="F174" t="s">
        <v>454</v>
      </c>
    </row>
    <row r="175" spans="1:6" x14ac:dyDescent="0.25">
      <c r="A175" s="3" t="s">
        <v>305</v>
      </c>
      <c r="B175" s="5" t="s">
        <v>306</v>
      </c>
      <c r="C175" s="8" t="str">
        <f>VLOOKUP(A175,MTZ_Steakholders!$I$2:$K$123,3,0)</f>
        <v>Sistemas TI</v>
      </c>
      <c r="D175" s="3" t="s">
        <v>452</v>
      </c>
      <c r="E175" s="3"/>
      <c r="F175" t="s">
        <v>453</v>
      </c>
    </row>
    <row r="176" spans="1:6" x14ac:dyDescent="0.25">
      <c r="A176" s="3" t="s">
        <v>43</v>
      </c>
      <c r="B176" s="5" t="s">
        <v>44</v>
      </c>
      <c r="C176" s="8" t="str">
        <f>VLOOKUP(A176,MTZ_Steakholders!$A$2:$K$123,11,0)</f>
        <v>M&amp;A</v>
      </c>
      <c r="D176" s="3" t="s">
        <v>444</v>
      </c>
      <c r="E176" s="3"/>
      <c r="F176" t="s">
        <v>454</v>
      </c>
    </row>
    <row r="177" spans="1:6" x14ac:dyDescent="0.25">
      <c r="A177" s="6" t="s">
        <v>291</v>
      </c>
      <c r="B177" s="5" t="s">
        <v>292</v>
      </c>
      <c r="C177" s="8" t="str">
        <f>VLOOKUP(A177,MTZ_Steakholders!$I$2:$K$123,3,0)</f>
        <v>Sistemas TI</v>
      </c>
      <c r="D177" s="3" t="s">
        <v>452</v>
      </c>
      <c r="E177" s="3"/>
      <c r="F177" t="s">
        <v>453</v>
      </c>
    </row>
    <row r="178" spans="1:6" x14ac:dyDescent="0.25">
      <c r="A178" s="3" t="s">
        <v>31</v>
      </c>
      <c r="B178" s="5" t="s">
        <v>32</v>
      </c>
      <c r="C178" s="8" t="str">
        <f>VLOOKUP(A178,MTZ_Steakholders!$I$2:$K$123,3,0)</f>
        <v>Regulatório</v>
      </c>
      <c r="D178" s="3" t="s">
        <v>452</v>
      </c>
      <c r="E178" s="3"/>
      <c r="F178" t="s">
        <v>453</v>
      </c>
    </row>
    <row r="179" spans="1:6" x14ac:dyDescent="0.25">
      <c r="A179" s="3" t="s">
        <v>335</v>
      </c>
      <c r="B179" s="5" t="s">
        <v>336</v>
      </c>
      <c r="C179" s="8" t="str">
        <f>VLOOKUP(A179,MTZ_Steakholders!$I$2:$K$123,3,0)</f>
        <v>Arquitetura TI</v>
      </c>
      <c r="D179" s="3" t="s">
        <v>452</v>
      </c>
      <c r="E179" s="3"/>
      <c r="F179" t="s">
        <v>453</v>
      </c>
    </row>
    <row r="180" spans="1:6" x14ac:dyDescent="0.25">
      <c r="A180" s="6" t="s">
        <v>317</v>
      </c>
      <c r="B180" s="5" t="s">
        <v>318</v>
      </c>
      <c r="C180" s="8" t="str">
        <f>VLOOKUP(A180,MTZ_Steakholders!$I$2:$K$123,3,0)</f>
        <v>Sistemas TI</v>
      </c>
      <c r="D180" s="3" t="s">
        <v>452</v>
      </c>
      <c r="E180" s="3"/>
      <c r="F180" t="s">
        <v>453</v>
      </c>
    </row>
    <row r="181" spans="1:6" x14ac:dyDescent="0.25">
      <c r="A181" s="3" t="s">
        <v>323</v>
      </c>
      <c r="B181" s="5" t="s">
        <v>324</v>
      </c>
      <c r="C181" s="8" t="str">
        <f>VLOOKUP(A181,MTZ_Steakholders!$G$2:$K$123,5,0)</f>
        <v>Infra e Operações TI</v>
      </c>
      <c r="D181" s="3" t="s">
        <v>451</v>
      </c>
      <c r="E181" s="3"/>
      <c r="F181" t="s">
        <v>454</v>
      </c>
    </row>
    <row r="182" spans="1:6" x14ac:dyDescent="0.25">
      <c r="A182" s="3" t="s">
        <v>60</v>
      </c>
      <c r="B182" s="5" t="s">
        <v>61</v>
      </c>
      <c r="C182" s="8" t="str">
        <f>VLOOKUP(A182,MTZ_Steakholders!$I$2:$K$123,3,0)</f>
        <v>M&amp;A</v>
      </c>
      <c r="D182" s="3" t="s">
        <v>452</v>
      </c>
      <c r="E182" s="3"/>
      <c r="F182" t="s">
        <v>453</v>
      </c>
    </row>
    <row r="183" spans="1:6" x14ac:dyDescent="0.25">
      <c r="A183" s="3" t="s">
        <v>213</v>
      </c>
      <c r="B183" s="5" t="s">
        <v>449</v>
      </c>
      <c r="C183" s="8" t="str">
        <f>VLOOKUP(A183,MTZ_Steakholders!$A$2:$K$123,11,0)</f>
        <v>Jur Tributario</v>
      </c>
      <c r="D183" s="3" t="s">
        <v>444</v>
      </c>
      <c r="E183" s="3"/>
      <c r="F183" t="s">
        <v>453</v>
      </c>
    </row>
    <row r="184" spans="1:6" x14ac:dyDescent="0.25">
      <c r="A184" s="3" t="s">
        <v>62</v>
      </c>
      <c r="B184" s="5" t="s">
        <v>450</v>
      </c>
      <c r="C184" s="8" t="str">
        <f>VLOOKUP(A184,MTZ_Steakholders!$I$2:$K$123,3,0)</f>
        <v>M&amp;A</v>
      </c>
      <c r="D184" s="3" t="s">
        <v>452</v>
      </c>
      <c r="E184" s="3"/>
      <c r="F184" t="s">
        <v>453</v>
      </c>
    </row>
    <row r="185" spans="1:6" x14ac:dyDescent="0.25">
      <c r="A185" s="3" t="s">
        <v>355</v>
      </c>
      <c r="B185" s="5" t="s">
        <v>356</v>
      </c>
      <c r="C185" s="8" t="str">
        <f>VLOOKUP(A185,MTZ_Steakholders!$C$2:$K$123,9,0)</f>
        <v>Logística</v>
      </c>
      <c r="D185" s="3" t="s">
        <v>445</v>
      </c>
      <c r="E185" s="3"/>
      <c r="F185" t="s">
        <v>454</v>
      </c>
    </row>
    <row r="186" spans="1:6" x14ac:dyDescent="0.25">
      <c r="A186" s="3" t="s">
        <v>419</v>
      </c>
      <c r="B186" s="5" t="s">
        <v>420</v>
      </c>
      <c r="C186" s="8" t="str">
        <f>VLOOKUP(A186,MTZ_Steakholders!$G$2:$K$123,5,0)</f>
        <v>Empresarial</v>
      </c>
      <c r="D186" s="3" t="s">
        <v>451</v>
      </c>
      <c r="E186" s="3"/>
      <c r="F186" t="s">
        <v>454</v>
      </c>
    </row>
    <row r="187" spans="1:6" x14ac:dyDescent="0.25">
      <c r="A187" s="3" t="s">
        <v>337</v>
      </c>
      <c r="B187" s="5" t="s">
        <v>338</v>
      </c>
      <c r="C187" s="8" t="str">
        <f>VLOOKUP(A187,MTZ_Steakholders!$C$2:$K$123,9,0)</f>
        <v>Data Analytics</v>
      </c>
      <c r="D187" s="3" t="s">
        <v>445</v>
      </c>
      <c r="E187" s="3"/>
      <c r="F187" t="s">
        <v>454</v>
      </c>
    </row>
    <row r="188" spans="1:6" x14ac:dyDescent="0.25">
      <c r="A188" s="3" t="s">
        <v>381</v>
      </c>
      <c r="B188" s="5" t="s">
        <v>382</v>
      </c>
      <c r="C188" s="8" t="str">
        <f>VLOOKUP(A188,MTZ_Steakholders!$G$2:$K$123,5,0)</f>
        <v xml:space="preserve">RH - Remuneração, Planejamento e Gestão </v>
      </c>
      <c r="D188" s="3" t="s">
        <v>451</v>
      </c>
      <c r="E188" s="3"/>
      <c r="F188" t="s">
        <v>454</v>
      </c>
    </row>
    <row r="189" spans="1:6" x14ac:dyDescent="0.25">
      <c r="A189" s="6" t="s">
        <v>70</v>
      </c>
      <c r="B189" s="5" t="s">
        <v>71</v>
      </c>
      <c r="C189" s="8" t="str">
        <f>VLOOKUP(A189,MTZ_Steakholders!$G$2:$K$123,5,0)</f>
        <v>Suporte Técnico</v>
      </c>
      <c r="D189" s="3" t="s">
        <v>451</v>
      </c>
      <c r="E189" s="3"/>
      <c r="F189" t="s">
        <v>454</v>
      </c>
    </row>
    <row r="190" spans="1:6" x14ac:dyDescent="0.25">
      <c r="A190" s="6" t="s">
        <v>258</v>
      </c>
      <c r="B190" s="5" t="s">
        <v>259</v>
      </c>
      <c r="C190" s="8" t="str">
        <f>VLOOKUP(A190,MTZ_Steakholders!$G$2:$K$123,5,0)</f>
        <v>Sistemas TI</v>
      </c>
      <c r="D190" s="3" t="s">
        <v>451</v>
      </c>
      <c r="E190" s="3"/>
      <c r="F190" t="s">
        <v>454</v>
      </c>
    </row>
    <row r="191" spans="1:6" x14ac:dyDescent="0.25">
      <c r="A191" s="6" t="s">
        <v>58</v>
      </c>
      <c r="B191" s="5" t="s">
        <v>59</v>
      </c>
      <c r="C191" s="8" t="str">
        <f>VLOOKUP(A191,MTZ_Steakholders!$I$2:$K$123,3,0)</f>
        <v>M&amp;A</v>
      </c>
      <c r="D191" s="3" t="s">
        <v>452</v>
      </c>
      <c r="E191" s="3"/>
      <c r="F191" t="s">
        <v>453</v>
      </c>
    </row>
    <row r="192" spans="1:6" x14ac:dyDescent="0.25">
      <c r="A192" s="3" t="s">
        <v>295</v>
      </c>
      <c r="B192" s="5" t="s">
        <v>296</v>
      </c>
      <c r="C192" s="8" t="str">
        <f>VLOOKUP(A192,MTZ_Steakholders!$I$2:$K$123,3,0)</f>
        <v>Sistemas TI</v>
      </c>
      <c r="D192" s="3" t="s">
        <v>452</v>
      </c>
      <c r="E192" s="3"/>
      <c r="F192" t="s">
        <v>453</v>
      </c>
    </row>
    <row r="193" spans="1:6" x14ac:dyDescent="0.25">
      <c r="A193" s="3" t="s">
        <v>234</v>
      </c>
      <c r="B193" s="5" t="s">
        <v>235</v>
      </c>
      <c r="C193" s="8" t="str">
        <f>VLOOKUP(A193,MTZ_Steakholders!$G$2:$K$123,5,0)</f>
        <v>Jur Trabalhista</v>
      </c>
      <c r="D193" s="3" t="s">
        <v>451</v>
      </c>
      <c r="E193" s="3"/>
      <c r="F193" t="s">
        <v>454</v>
      </c>
    </row>
    <row r="194" spans="1:6" x14ac:dyDescent="0.25">
      <c r="A194" s="3" t="s">
        <v>307</v>
      </c>
      <c r="B194" s="5" t="s">
        <v>308</v>
      </c>
      <c r="C194" s="8" t="str">
        <f>VLOOKUP(A194,MTZ_Steakholders!$I$2:$K$123,3,0)</f>
        <v>Sistemas TI</v>
      </c>
      <c r="D194" s="3" t="s">
        <v>452</v>
      </c>
      <c r="E194" s="3"/>
      <c r="F194" t="s">
        <v>453</v>
      </c>
    </row>
    <row r="195" spans="1:6" x14ac:dyDescent="0.25">
      <c r="A195" s="3" t="s">
        <v>16</v>
      </c>
      <c r="B195" s="5" t="s">
        <v>17</v>
      </c>
      <c r="C195" s="8" t="str">
        <f>VLOOKUP(A195,MTZ_Steakholders!$C$2:$K$123,9,0)</f>
        <v>Regulatório</v>
      </c>
      <c r="D195" s="3" t="s">
        <v>445</v>
      </c>
      <c r="E195" s="3"/>
      <c r="F195" t="s">
        <v>454</v>
      </c>
    </row>
    <row r="196" spans="1:6" x14ac:dyDescent="0.25">
      <c r="A196" s="3" t="s">
        <v>326</v>
      </c>
      <c r="B196" s="5" t="s">
        <v>327</v>
      </c>
      <c r="C196" s="8" t="str">
        <f>VLOOKUP(A196,MTZ_Steakholders!$G$2:$K$123,5,0)</f>
        <v>Infra e Operações TI</v>
      </c>
      <c r="D196" s="3" t="s">
        <v>451</v>
      </c>
      <c r="E196" s="3"/>
      <c r="F196" t="s">
        <v>454</v>
      </c>
    </row>
    <row r="197" spans="1:6" x14ac:dyDescent="0.25">
      <c r="A197" s="3" t="s">
        <v>227</v>
      </c>
      <c r="B197" s="5" t="s">
        <v>228</v>
      </c>
      <c r="C197" s="8" t="str">
        <f>VLOOKUP(A197,MTZ_Steakholders!$C$2:$K$123,9,0)</f>
        <v>Jur Trabalhista</v>
      </c>
      <c r="D197" s="3" t="s">
        <v>445</v>
      </c>
      <c r="E197" s="3"/>
      <c r="F197" t="s">
        <v>454</v>
      </c>
    </row>
    <row r="198" spans="1:6" x14ac:dyDescent="0.25">
      <c r="A198" s="3" t="s">
        <v>271</v>
      </c>
      <c r="B198" s="5" t="s">
        <v>272</v>
      </c>
      <c r="C198" s="8" t="str">
        <f>VLOOKUP(A198,MTZ_Steakholders!$I$2:$K$123,3,0)</f>
        <v>Sistemas TI</v>
      </c>
      <c r="D198" s="3" t="s">
        <v>452</v>
      </c>
      <c r="E198" s="3"/>
      <c r="F198" t="s">
        <v>453</v>
      </c>
    </row>
    <row r="201" spans="1:6" x14ac:dyDescent="0.25">
      <c r="A201" s="2"/>
    </row>
  </sheetData>
  <autoFilter ref="A1:F198"/>
  <sortState ref="A2:D198">
    <sortCondition ref="A2"/>
  </sortState>
  <hyperlinks>
    <hyperlink ref="B136" r:id="rId1"/>
    <hyperlink ref="B98" r:id="rId2"/>
    <hyperlink ref="B35" r:id="rId3"/>
    <hyperlink ref="B55" r:id="rId4"/>
    <hyperlink ref="B7:B14" r:id="rId5" display="rogerio.t@oi.net.br"/>
    <hyperlink ref="B176" r:id="rId6"/>
    <hyperlink ref="B4:B5" r:id="rId7" display="adriana.costa@oi.net.br"/>
    <hyperlink ref="B3" r:id="rId8"/>
    <hyperlink ref="B66" r:id="rId9"/>
    <hyperlink ref="B83" r:id="rId10"/>
    <hyperlink ref="B94" r:id="rId11"/>
    <hyperlink ref="B26" r:id="rId12"/>
    <hyperlink ref="B174" r:id="rId13"/>
    <hyperlink ref="B45" r:id="rId14"/>
    <hyperlink ref="B14" r:id="rId15"/>
    <hyperlink ref="B59" r:id="rId16"/>
    <hyperlink ref="B74" r:id="rId17"/>
    <hyperlink ref="B197" r:id="rId18"/>
    <hyperlink ref="B84" r:id="rId19"/>
    <hyperlink ref="B76" r:id="rId20"/>
    <hyperlink ref="B187" r:id="rId21"/>
    <hyperlink ref="B195" r:id="rId22"/>
    <hyperlink ref="B129" r:id="rId23"/>
    <hyperlink ref="B124" r:id="rId24"/>
    <hyperlink ref="B126" r:id="rId25"/>
    <hyperlink ref="B91" r:id="rId26"/>
    <hyperlink ref="B185" r:id="rId27"/>
    <hyperlink ref="B165" r:id="rId28"/>
    <hyperlink ref="B20" r:id="rId29"/>
    <hyperlink ref="B78" r:id="rId30"/>
    <hyperlink ref="B128" r:id="rId31"/>
    <hyperlink ref="B34" r:id="rId32"/>
    <hyperlink ref="B86" r:id="rId33"/>
    <hyperlink ref="B157" r:id="rId34"/>
    <hyperlink ref="B24" r:id="rId35"/>
    <hyperlink ref="B33" r:id="rId36"/>
    <hyperlink ref="B133" r:id="rId37"/>
    <hyperlink ref="B172" r:id="rId38"/>
    <hyperlink ref="B16" r:id="rId39"/>
    <hyperlink ref="B18" r:id="rId40"/>
    <hyperlink ref="B12" r:id="rId41"/>
    <hyperlink ref="B54" r:id="rId42"/>
    <hyperlink ref="B69" r:id="rId43"/>
    <hyperlink ref="B15" r:id="rId44"/>
    <hyperlink ref="B108" r:id="rId45"/>
    <hyperlink ref="B71" r:id="rId46"/>
    <hyperlink ref="B92" r:id="rId47"/>
    <hyperlink ref="B121" r:id="rId48"/>
    <hyperlink ref="B43" r:id="rId49"/>
    <hyperlink ref="B159" r:id="rId50"/>
    <hyperlink ref="B70" r:id="rId51"/>
    <hyperlink ref="B110" r:id="rId52"/>
    <hyperlink ref="B104" r:id="rId53"/>
    <hyperlink ref="B131" r:id="rId54"/>
    <hyperlink ref="B150" r:id="rId55"/>
    <hyperlink ref="B138" r:id="rId56"/>
    <hyperlink ref="B151" r:id="rId57"/>
    <hyperlink ref="B11" r:id="rId58"/>
    <hyperlink ref="B40" r:id="rId59"/>
    <hyperlink ref="B115" r:id="rId60" tooltip="send eMail" display="mailto:kamila.vieira@oi.net.br"/>
    <hyperlink ref="B182" r:id="rId61"/>
    <hyperlink ref="B147" r:id="rId62"/>
    <hyperlink ref="B61" r:id="rId63"/>
    <hyperlink ref="B169" r:id="rId64"/>
    <hyperlink ref="B179" r:id="rId65"/>
    <hyperlink ref="B125" r:id="rId66"/>
    <hyperlink ref="B65" r:id="rId67"/>
    <hyperlink ref="A65" r:id="rId68" display="mailto:duhare.fernandes@oi.net.br"/>
    <hyperlink ref="B23" r:id="rId69"/>
    <hyperlink ref="B44" r:id="rId70"/>
    <hyperlink ref="B149" r:id="rId71"/>
    <hyperlink ref="B161" r:id="rId72"/>
    <hyperlink ref="B152" r:id="rId73"/>
    <hyperlink ref="B99" r:id="rId74"/>
    <hyperlink ref="B120" r:id="rId75"/>
    <hyperlink ref="B72" r:id="rId76"/>
    <hyperlink ref="B106" r:id="rId77"/>
    <hyperlink ref="B194" r:id="rId78"/>
    <hyperlink ref="B175" r:id="rId79"/>
    <hyperlink ref="B60" r:id="rId80"/>
    <hyperlink ref="B101" r:id="rId81"/>
    <hyperlink ref="B25" r:id="rId82"/>
    <hyperlink ref="B192" r:id="rId83"/>
    <hyperlink ref="B19" r:id="rId84" display="mailto:ana.luiza@oi.net.br"/>
    <hyperlink ref="B168" r:id="rId85" display="mailto:ramilson.filho@oi.net.br"/>
    <hyperlink ref="B67" r:id="rId86" display="mailto:eduardo.damasceno@oi.net.br"/>
    <hyperlink ref="B153" r:id="rId87" display="mailto:paulos@oi.net.br"/>
    <hyperlink ref="B97" r:id="rId88" display="mailto:gustavo.queiroz@oi.net.br"/>
    <hyperlink ref="B95" r:id="rId89"/>
    <hyperlink ref="B13" r:id="rId90"/>
    <hyperlink ref="B53" r:id="rId91"/>
    <hyperlink ref="B198" r:id="rId92"/>
    <hyperlink ref="B87" r:id="rId93"/>
    <hyperlink ref="B93" r:id="rId94"/>
    <hyperlink ref="B132" r:id="rId95"/>
    <hyperlink ref="B140" r:id="rId96"/>
    <hyperlink ref="B21" r:id="rId97"/>
    <hyperlink ref="B9" r:id="rId98"/>
    <hyperlink ref="B73" r:id="rId99"/>
    <hyperlink ref="B51" r:id="rId100"/>
    <hyperlink ref="B122" r:id="rId101"/>
    <hyperlink ref="B8" r:id="rId102"/>
    <hyperlink ref="B46" r:id="rId103"/>
    <hyperlink ref="B173" r:id="rId104"/>
    <hyperlink ref="B112" r:id="rId105"/>
    <hyperlink ref="B88" r:id="rId106"/>
    <hyperlink ref="B32" r:id="rId107"/>
    <hyperlink ref="B109" r:id="rId108"/>
    <hyperlink ref="B141" r:id="rId109"/>
    <hyperlink ref="B90" r:id="rId110"/>
    <hyperlink ref="B134" r:id="rId111"/>
    <hyperlink ref="B143" r:id="rId112"/>
    <hyperlink ref="B155" r:id="rId113"/>
    <hyperlink ref="B37" r:id="rId114"/>
    <hyperlink ref="B82" r:id="rId115"/>
    <hyperlink ref="B58" r:id="rId116"/>
    <hyperlink ref="B75" r:id="rId117"/>
    <hyperlink ref="B4" r:id="rId118"/>
    <hyperlink ref="B142" r:id="rId119"/>
    <hyperlink ref="B7" r:id="rId120" tooltip="send eMail" display="mailto:alana.silva@oi.net.br"/>
    <hyperlink ref="B117" r:id="rId121"/>
    <hyperlink ref="B5" r:id="rId122"/>
    <hyperlink ref="B49" r:id="rId123"/>
    <hyperlink ref="B114" r:id="rId124"/>
    <hyperlink ref="B39" r:id="rId125"/>
    <hyperlink ref="B50" r:id="rId126"/>
    <hyperlink ref="A50" r:id="rId127" display="mailto:clarita.ferreira@oi.net.br"/>
    <hyperlink ref="B119" r:id="rId128"/>
    <hyperlink ref="B166" r:id="rId129"/>
    <hyperlink ref="B164" r:id="rId130"/>
    <hyperlink ref="B162" r:id="rId131"/>
    <hyperlink ref="B17" r:id="rId132"/>
    <hyperlink ref="B186" r:id="rId133"/>
    <hyperlink ref="B102" r:id="rId134"/>
    <hyperlink ref="B171" r:id="rId135"/>
    <hyperlink ref="B111" r:id="rId136"/>
    <hyperlink ref="B22" r:id="rId137"/>
    <hyperlink ref="B57" r:id="rId138"/>
    <hyperlink ref="B81" r:id="rId139"/>
    <hyperlink ref="B30" r:id="rId140"/>
    <hyperlink ref="B188" r:id="rId141"/>
    <hyperlink ref="B62" r:id="rId142"/>
    <hyperlink ref="B41" r:id="rId143"/>
    <hyperlink ref="B31" r:id="rId144"/>
    <hyperlink ref="B56" r:id="rId145"/>
    <hyperlink ref="B42" r:id="rId146"/>
    <hyperlink ref="B48" r:id="rId147"/>
    <hyperlink ref="B196" r:id="rId148"/>
    <hyperlink ref="B181" r:id="rId149"/>
    <hyperlink ref="B38" r:id="rId150"/>
    <hyperlink ref="B64" r:id="rId151"/>
    <hyperlink ref="B29" r:id="rId152"/>
    <hyperlink ref="B80" r:id="rId153"/>
    <hyperlink ref="B158" r:id="rId154"/>
    <hyperlink ref="B127" r:id="rId155"/>
    <hyperlink ref="B103" r:id="rId156"/>
    <hyperlink ref="B190" r:id="rId157"/>
    <hyperlink ref="B100" r:id="rId158"/>
    <hyperlink ref="B77" r:id="rId159"/>
    <hyperlink ref="B156" r:id="rId160"/>
    <hyperlink ref="B130" r:id="rId161"/>
    <hyperlink ref="B183" r:id="rId162"/>
    <hyperlink ref="B184" r:id="rId163"/>
    <hyperlink ref="B52" r:id="rId164"/>
    <hyperlink ref="B79" r:id="rId165"/>
    <hyperlink ref="B27" r:id="rId166"/>
    <hyperlink ref="B85" r:id="rId167"/>
    <hyperlink ref="B89" r:id="rId168"/>
    <hyperlink ref="B146" r:id="rId169"/>
    <hyperlink ref="B170" r:id="rId170"/>
    <hyperlink ref="B177" r:id="rId171"/>
    <hyperlink ref="B180" r:id="rId172"/>
    <hyperlink ref="B105" r:id="rId173"/>
    <hyperlink ref="B137" r:id="rId174"/>
    <hyperlink ref="B6" r:id="rId175"/>
    <hyperlink ref="B135" r:id="rId176"/>
    <hyperlink ref="B193" r:id="rId177"/>
    <hyperlink ref="B96" r:id="rId178"/>
    <hyperlink ref="B154" r:id="rId179"/>
    <hyperlink ref="B2" r:id="rId180"/>
    <hyperlink ref="B123" r:id="rId181"/>
    <hyperlink ref="B160" r:id="rId182"/>
    <hyperlink ref="B178" r:id="rId183"/>
    <hyperlink ref="B145" r:id="rId184"/>
    <hyperlink ref="B10" r:id="rId185"/>
    <hyperlink ref="B113" r:id="rId186"/>
    <hyperlink ref="B118" r:id="rId187"/>
    <hyperlink ref="B36" r:id="rId188"/>
    <hyperlink ref="B167" r:id="rId189"/>
    <hyperlink ref="B63" r:id="rId190"/>
    <hyperlink ref="B163" r:id="rId191"/>
    <hyperlink ref="B47" r:id="rId192"/>
    <hyperlink ref="B68" r:id="rId193"/>
  </hyperlinks>
  <pageMargins left="0.511811024" right="0.511811024" top="0.78740157499999996" bottom="0.78740157499999996" header="0.31496062000000002" footer="0.31496062000000002"/>
  <pageSetup paperSize="9" orientation="portrait" horizontalDpi="300" verticalDpi="300" r:id="rId194"/>
  <legacyDrawing r:id="rId1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9"/>
  <sheetViews>
    <sheetView workbookViewId="0">
      <selection activeCell="A9" sqref="A9"/>
    </sheetView>
  </sheetViews>
  <sheetFormatPr defaultRowHeight="15" x14ac:dyDescent="0.25"/>
  <cols>
    <col min="2" max="2" width="19.140625" bestFit="1" customWidth="1"/>
    <col min="3" max="3" width="13.7109375" bestFit="1" customWidth="1"/>
  </cols>
  <sheetData>
    <row r="2" spans="1:3" x14ac:dyDescent="0.25">
      <c r="A2" s="1"/>
      <c r="B2" s="1" t="s">
        <v>456</v>
      </c>
      <c r="C2" s="1"/>
    </row>
    <row r="3" spans="1:3" x14ac:dyDescent="0.25">
      <c r="A3" s="9">
        <v>1</v>
      </c>
      <c r="B3" s="9" t="s">
        <v>457</v>
      </c>
      <c r="C3" s="9" t="s">
        <v>462</v>
      </c>
    </row>
    <row r="4" spans="1:3" x14ac:dyDescent="0.25">
      <c r="A4" s="9">
        <v>2</v>
      </c>
      <c r="B4" s="9" t="s">
        <v>458</v>
      </c>
      <c r="C4" s="9" t="s">
        <v>461</v>
      </c>
    </row>
    <row r="5" spans="1:3" x14ac:dyDescent="0.25">
      <c r="A5" s="9">
        <v>3</v>
      </c>
      <c r="B5" s="9" t="s">
        <v>459</v>
      </c>
      <c r="C5" s="9" t="s">
        <v>460</v>
      </c>
    </row>
    <row r="6" spans="1:3" x14ac:dyDescent="0.25">
      <c r="A6" s="9">
        <v>4</v>
      </c>
      <c r="B6" s="10" t="s">
        <v>463</v>
      </c>
      <c r="C6" s="9"/>
    </row>
    <row r="9" spans="1:3" x14ac:dyDescent="0.25">
      <c r="A9" s="11" t="s">
        <v>464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MTZ_Steakholders</vt:lpstr>
      <vt:lpstr>Lista Única Pessoas</vt:lpstr>
      <vt:lpstr>Agenda Reuniões</vt:lpstr>
      <vt:lpstr>MTZ_Steakholders!emailLink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Charlene Santino Da Silva</dc:creator>
  <cp:lastModifiedBy>Charlene Santino Da Silva</cp:lastModifiedBy>
  <dcterms:created xsi:type="dcterms:W3CDTF">2024-03-04T17:39:39Z</dcterms:created>
  <dcterms:modified xsi:type="dcterms:W3CDTF">2024-03-04T19:07:39Z</dcterms:modified>
</cp:coreProperties>
</file>