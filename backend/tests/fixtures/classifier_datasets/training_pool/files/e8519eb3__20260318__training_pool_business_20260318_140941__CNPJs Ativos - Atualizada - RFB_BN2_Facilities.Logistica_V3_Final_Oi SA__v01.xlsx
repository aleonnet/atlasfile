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Societário/"/>
    </mc:Choice>
  </mc:AlternateContent>
  <xr:revisionPtr revIDLastSave="458" documentId="8_{E0EF4A29-464E-BA4E-ACD7-8E4BE0FF118B}" xr6:coauthVersionLast="47" xr6:coauthVersionMax="47" xr10:uidLastSave="{79A641F4-6E39-5A48-888B-09368D97D958}"/>
  <bookViews>
    <workbookView xWindow="25640" yWindow="580" windowWidth="25480" windowHeight="26440" xr2:uid="{00000000-000D-0000-FFFF-FFFF00000000}"/>
  </bookViews>
  <sheets>
    <sheet name="CNPJS" sheetId="1" r:id="rId1"/>
    <sheet name="SEM CNPJ" sheetId="2" r:id="rId2"/>
  </sheets>
  <externalReferences>
    <externalReference r:id="rId3"/>
  </externalReferences>
  <definedNames>
    <definedName name="_xlnm._FilterDatabase" localSheetId="0" hidden="1">CNPJS!$A$1:$Q$109</definedName>
    <definedName name="_xlnm._FilterDatabase" localSheetId="1" hidden="1">'SEM CNPJ'!$A$1:$I$37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1" l="1"/>
  <c r="Q100" i="1"/>
  <c r="Q96" i="1"/>
  <c r="Q92" i="1"/>
  <c r="Q89" i="1"/>
  <c r="Q87" i="1"/>
  <c r="Q86" i="1"/>
  <c r="Q82" i="1"/>
  <c r="Q81" i="1"/>
  <c r="Q73" i="1"/>
  <c r="Q71" i="1"/>
  <c r="Q70" i="1"/>
  <c r="Q69" i="1"/>
  <c r="Q66" i="1"/>
  <c r="Q65" i="1"/>
  <c r="Q62" i="1"/>
  <c r="Q59" i="1"/>
  <c r="Q58" i="1"/>
  <c r="Q57" i="1"/>
  <c r="Q56" i="1"/>
  <c r="Q55" i="1"/>
  <c r="Q54" i="1"/>
  <c r="Q53" i="1"/>
  <c r="Q46" i="1"/>
  <c r="Q45" i="1"/>
  <c r="Q44" i="1"/>
  <c r="Q43" i="1"/>
  <c r="Q40" i="1"/>
  <c r="Q39" i="1"/>
  <c r="Q38" i="1"/>
  <c r="Q36" i="1"/>
  <c r="Q31" i="1"/>
  <c r="Q28" i="1"/>
  <c r="Q26" i="1"/>
  <c r="Q25" i="1"/>
  <c r="Q23" i="1"/>
  <c r="Q20" i="1"/>
  <c r="Q19" i="1"/>
  <c r="Q17" i="1"/>
  <c r="Q16" i="1"/>
  <c r="Q14" i="1"/>
  <c r="Q12" i="1"/>
  <c r="Q7" i="1"/>
  <c r="Q6" i="1"/>
  <c r="Q4" i="1"/>
  <c r="Q3" i="1"/>
  <c r="Q2" i="1"/>
  <c r="Q5" i="1"/>
  <c r="F115" i="1"/>
  <c r="F114" i="1"/>
  <c r="F113" i="1"/>
</calcChain>
</file>

<file path=xl/sharedStrings.xml><?xml version="1.0" encoding="utf-8"?>
<sst xmlns="http://schemas.openxmlformats.org/spreadsheetml/2006/main" count="1305" uniqueCount="509">
  <si>
    <t>UF</t>
  </si>
  <si>
    <t>AL</t>
  </si>
  <si>
    <t>AM</t>
  </si>
  <si>
    <t>AP</t>
  </si>
  <si>
    <t>BA</t>
  </si>
  <si>
    <t>CE</t>
  </si>
  <si>
    <t>GO</t>
  </si>
  <si>
    <t>MA</t>
  </si>
  <si>
    <t>MG</t>
  </si>
  <si>
    <t>PA</t>
  </si>
  <si>
    <t>RAZÃO SOCIAL</t>
  </si>
  <si>
    <t xml:space="preserve">SEREDE - SERVICOS DE REDE S.A. </t>
  </si>
  <si>
    <t>CNPJ</t>
  </si>
  <si>
    <t>08.596.854/0060-44</t>
  </si>
  <si>
    <t>08.596.854/0010-85</t>
  </si>
  <si>
    <t>08.596.854/0091-40</t>
  </si>
  <si>
    <t>08.596.854/0078-73</t>
  </si>
  <si>
    <t>08.596.854/0083-30</t>
  </si>
  <si>
    <t>08.596.854/0005-18</t>
  </si>
  <si>
    <t xml:space="preserve">08.596.854/0090-60 </t>
  </si>
  <si>
    <t>08.596.854/0093-02</t>
  </si>
  <si>
    <t>08.596.854/0094-93</t>
  </si>
  <si>
    <t>08.596.854/0024-80</t>
  </si>
  <si>
    <t>08.596.854/0081-79</t>
  </si>
  <si>
    <t>08.596.854/0077-92</t>
  </si>
  <si>
    <t>08.596.854/0085-00</t>
  </si>
  <si>
    <t>08.596.854/0026-42</t>
  </si>
  <si>
    <t>08.596.854/0015-90</t>
  </si>
  <si>
    <t>08.596.854/0017-51</t>
  </si>
  <si>
    <t>08.596.854/0086-83</t>
  </si>
  <si>
    <t>LOGRADOURO</t>
  </si>
  <si>
    <t>BAIRRO</t>
  </si>
  <si>
    <t>MUNICÍPIO</t>
  </si>
  <si>
    <t>CEP</t>
  </si>
  <si>
    <t>AV. PRESIDENTE GETULIO VARGAS, 66</t>
  </si>
  <si>
    <t>SERRARIA</t>
  </si>
  <si>
    <t>MACEIO</t>
  </si>
  <si>
    <t>AV. PRESIDENTE KENNEDY, 920</t>
  </si>
  <si>
    <t>COLONIA OL. MACHADO</t>
  </si>
  <si>
    <t>MANAUS</t>
  </si>
  <si>
    <t>AV. EPHIGENIA SALLES, 700</t>
  </si>
  <si>
    <t>ADRIANOPOLIS</t>
  </si>
  <si>
    <t>AVENIDA STEPHAN HOUAT SN,</t>
  </si>
  <si>
    <t xml:space="preserve"> JARDIM MARCO ZERO</t>
  </si>
  <si>
    <t>MACAPÁ</t>
  </si>
  <si>
    <t>CENTRAL</t>
  </si>
  <si>
    <t>MACAPA</t>
  </si>
  <si>
    <t>SALVADOR</t>
  </si>
  <si>
    <t xml:space="preserve">AV. MATHIAS, 90 </t>
  </si>
  <si>
    <t>CIS</t>
  </si>
  <si>
    <t>FEIRA DE SANTANA</t>
  </si>
  <si>
    <t>RUA MONTES CLAROS S/N</t>
  </si>
  <si>
    <t>JOÃO SOARES</t>
  </si>
  <si>
    <t>ITABUNA</t>
  </si>
  <si>
    <t>AV. WENEFRIDO MELO, 294</t>
  </si>
  <si>
    <t>MONDUBIM</t>
  </si>
  <si>
    <t>FORTALEZA</t>
  </si>
  <si>
    <t>EDSON QUEIROZ</t>
  </si>
  <si>
    <t>ALDEOTA</t>
  </si>
  <si>
    <t>GOIÂNIA</t>
  </si>
  <si>
    <t>AURORA</t>
  </si>
  <si>
    <t>SÃO LUIS</t>
  </si>
  <si>
    <t>RUA SALINAS, 1639 - ANDAR 1 - SALA 01</t>
  </si>
  <si>
    <t>SANTA TEREZA</t>
  </si>
  <si>
    <t>BELO HORIZONTE</t>
  </si>
  <si>
    <t>RODOVIA BR 316, 1906, KM 07, CNF 08 E 09, SETOR CNF 10</t>
  </si>
  <si>
    <t>CENTRO</t>
  </si>
  <si>
    <t>ANANINDEUA</t>
  </si>
  <si>
    <t>NAZARÉ</t>
  </si>
  <si>
    <t>BELÉM</t>
  </si>
  <si>
    <t>PB</t>
  </si>
  <si>
    <t>PE</t>
  </si>
  <si>
    <t>PI</t>
  </si>
  <si>
    <t>PR</t>
  </si>
  <si>
    <t>RJ</t>
  </si>
  <si>
    <t>08.596.854/0088-45</t>
  </si>
  <si>
    <t>08.596.854/0076-01</t>
  </si>
  <si>
    <t>08.596.854/0007-80</t>
  </si>
  <si>
    <t>08.596.854/0084-11</t>
  </si>
  <si>
    <t>08.596.854/0079-54</t>
  </si>
  <si>
    <t>08.596.854/0025-61</t>
  </si>
  <si>
    <t>08.596.854/0056-68</t>
  </si>
  <si>
    <t xml:space="preserve">08.596.854/0057-49 </t>
  </si>
  <si>
    <t>08.596.854/0058-20</t>
  </si>
  <si>
    <t>08.596.854/0059-00</t>
  </si>
  <si>
    <t>08.596.854/0074-40</t>
  </si>
  <si>
    <t>08.596.854/0001-94</t>
  </si>
  <si>
    <t>08.596.854/0002-75</t>
  </si>
  <si>
    <t>MARABA</t>
  </si>
  <si>
    <t>RUA LUIZA DANTAS MEDEIROS 99</t>
  </si>
  <si>
    <t>JOSE AMERICO DE ALMEIDA</t>
  </si>
  <si>
    <t>JOAO PESSOA</t>
  </si>
  <si>
    <t>RODOVIA BR 101 SUL, KM 96,4, Nº 5225, GALPAO 03, MOD 04</t>
  </si>
  <si>
    <t>CABO DE SANTO AGOSTINHO</t>
  </si>
  <si>
    <t>OLINDA</t>
  </si>
  <si>
    <t>RUA MARIA DO SOCORRO 3175</t>
  </si>
  <si>
    <t xml:space="preserve">SANTO ANTONIO </t>
  </si>
  <si>
    <t>TERESINA</t>
  </si>
  <si>
    <t>CURITIBA</t>
  </si>
  <si>
    <t>RUA THEODORO GUIMARÃES, 242 - PARTE</t>
  </si>
  <si>
    <t>BOA VISTA</t>
  </si>
  <si>
    <t>PONTA GROSSA</t>
  </si>
  <si>
    <t xml:space="preserve">AV. IRAI, 976 - UNIF. L-2/3 - PARTE </t>
  </si>
  <si>
    <t>WEISSOPOLIS</t>
  </si>
  <si>
    <t>PINHAIS</t>
  </si>
  <si>
    <t>R JOSE DOS SANTOS PIONEIRO Nº 206, LOTE GLEBA RIBEIRAO P.</t>
  </si>
  <si>
    <t>JARDIM ITAIPU</t>
  </si>
  <si>
    <t>MARINGÁ</t>
  </si>
  <si>
    <t>RODOVIA BR - 467, 2302 - PARTE</t>
  </si>
  <si>
    <t>PERIOLO</t>
  </si>
  <si>
    <t>CASCAVEL</t>
  </si>
  <si>
    <t>RUA TEODORO DA SILVA, 707, 3 ANDAR</t>
  </si>
  <si>
    <t>VILA ISABEL</t>
  </si>
  <si>
    <t>RIO DE JANEIRO</t>
  </si>
  <si>
    <t>ESTRADA DO COLÉGIO, 860 - COM ENTRADA SUPLEMENTAR PELA RUA ANA CAMARA, 3 - PARTE</t>
  </si>
  <si>
    <t>COLÉGIO</t>
  </si>
  <si>
    <t>08.596.854/0030-29</t>
  </si>
  <si>
    <t>R. TEODORO DA SILVA, 707 - ANDAR 3</t>
  </si>
  <si>
    <t>08.596.854/0032-90</t>
  </si>
  <si>
    <t>08.596.854/0033-71</t>
  </si>
  <si>
    <t>08.596.854/0034-52</t>
  </si>
  <si>
    <t>R. DOS LIMOEIROS, 200 - PARTE</t>
  </si>
  <si>
    <t>CAMPO GRANDE</t>
  </si>
  <si>
    <t>R. MONSENHOR JERONIMO, 146 - PARTE</t>
  </si>
  <si>
    <t>ENGENHO DE DENTRO</t>
  </si>
  <si>
    <t>ESTR. MARECHAL MIGUEL SALAZAR MENDES DE MORAIS , 1409 – PARTE</t>
  </si>
  <si>
    <t>CIDADE DE DEUS</t>
  </si>
  <si>
    <t>08.596.854/0038-86</t>
  </si>
  <si>
    <t>08.596.854/0039-67</t>
  </si>
  <si>
    <t>08.596.854/0040-09</t>
  </si>
  <si>
    <t>08.596.854/0041-81</t>
  </si>
  <si>
    <t>R. URANOS, 1119 e 1125 - PARTE</t>
  </si>
  <si>
    <t>BONSUCESSO</t>
  </si>
  <si>
    <t>R. CONDE DE PORTO ALEGRE, 515 - PARTE</t>
  </si>
  <si>
    <t>JARDIM VINTE E CINCO DE AGOSTO</t>
  </si>
  <si>
    <t>DUQUE DE CAXIAS</t>
  </si>
  <si>
    <t>R. GENERAL MENA BARRETO, 81 - PARTE</t>
  </si>
  <si>
    <t>R. JOÃO VICENTE, 1067 - PARTE</t>
  </si>
  <si>
    <t>OSWALDO CRUZ</t>
  </si>
  <si>
    <t>08.596.854/0044-24</t>
  </si>
  <si>
    <t>08.596.854/0045-05</t>
  </si>
  <si>
    <t>AV. TEIXEIRA E SOUZA, 1761 - PARTE</t>
  </si>
  <si>
    <t>CABO FRIO</t>
  </si>
  <si>
    <t>RUA CINCO DE JULHO Nº 235, PARTE</t>
  </si>
  <si>
    <t>ICARAÍ</t>
  </si>
  <si>
    <t>NITERÓI</t>
  </si>
  <si>
    <t>08.596.854/0047-77</t>
  </si>
  <si>
    <t>08.596.854/0048-58</t>
  </si>
  <si>
    <t>BARRA MANSA</t>
  </si>
  <si>
    <t>AV. TREZE DE MAIO, 90 - PARTE</t>
  </si>
  <si>
    <t>CAMPO DOS GOYTACAZES</t>
  </si>
  <si>
    <t>08.596.854/0052-34</t>
  </si>
  <si>
    <t>AV. NILO PEÇANHA, 460 - PARTE</t>
  </si>
  <si>
    <t>NOVA IGUAÇÚ</t>
  </si>
  <si>
    <t>08.596.854/0066-30</t>
  </si>
  <si>
    <t>CASCADURA</t>
  </si>
  <si>
    <t>RN</t>
  </si>
  <si>
    <t>RR</t>
  </si>
  <si>
    <t>RS</t>
  </si>
  <si>
    <t>SC</t>
  </si>
  <si>
    <t>SE</t>
  </si>
  <si>
    <t>SP</t>
  </si>
  <si>
    <t>08.596.854/0050-72</t>
  </si>
  <si>
    <t>08.596.854/0019-13</t>
  </si>
  <si>
    <t>08.596.854/0089-26</t>
  </si>
  <si>
    <t>08.596.854/0080-98</t>
  </si>
  <si>
    <t>08.596.854/0004-37</t>
  </si>
  <si>
    <t>08.596.854/0067-10</t>
  </si>
  <si>
    <t>08.596.854/0069-82</t>
  </si>
  <si>
    <t>08.596.854/0070-16</t>
  </si>
  <si>
    <t>08.596.854/0071-05</t>
  </si>
  <si>
    <t>08.596.854/0072-88</t>
  </si>
  <si>
    <t>08.596.854/0011-66</t>
  </si>
  <si>
    <t>08.596.854/0035-33</t>
  </si>
  <si>
    <t>08.596.854/0054-04</t>
  </si>
  <si>
    <t>08.596.854/0055-87</t>
  </si>
  <si>
    <t>08.596.854/0061-25</t>
  </si>
  <si>
    <t>08.596.854/0012-47</t>
  </si>
  <si>
    <t>08.596.854/0068-00</t>
  </si>
  <si>
    <t xml:space="preserve">RODOVIA PRESIDENTE DUTRA, 2480 </t>
  </si>
  <si>
    <t>PAVUNA</t>
  </si>
  <si>
    <t>RUA MORAIS NAVARRO 2030, SETOR III</t>
  </si>
  <si>
    <t>LAGOA NOVA</t>
  </si>
  <si>
    <t>NATAL</t>
  </si>
  <si>
    <t>AVENIDA PRUDENTE DE MORAIS Nº 757, CASA C</t>
  </si>
  <si>
    <t>TIROL</t>
  </si>
  <si>
    <t>RUA LEONCIO BARBOSA 1451, BLOCO A</t>
  </si>
  <si>
    <t>TANCREDO NEVES</t>
  </si>
  <si>
    <t>PORTO ALEGRE</t>
  </si>
  <si>
    <t>OSORIO</t>
  </si>
  <si>
    <t>ROD ERS-122, Nº 106</t>
  </si>
  <si>
    <t>NOSSA SENHORA DA SAUDE</t>
  </si>
  <si>
    <t>CAXIAS DO SUL</t>
  </si>
  <si>
    <t>AV A. J. RENNER , 681 - PARTE</t>
  </si>
  <si>
    <t>FARRAPOS</t>
  </si>
  <si>
    <t>AV PAUL HARRIS, 943</t>
  </si>
  <si>
    <t>ANA NERY</t>
  </si>
  <si>
    <t>SANTA CRUZ DO SUL</t>
  </si>
  <si>
    <t>FRAGATA</t>
  </si>
  <si>
    <t>PELOTAS</t>
  </si>
  <si>
    <t>RUA DESEMBARGADOR GIL COSTA, Nº 605</t>
  </si>
  <si>
    <t>CAPOEIRAS</t>
  </si>
  <si>
    <t>FLORIANÓPOLIS</t>
  </si>
  <si>
    <t xml:space="preserve">RUA ALWIN RUTZEN, 130 -EXPR. MIRA </t>
  </si>
  <si>
    <t>ITOUPAVAZINHA</t>
  </si>
  <si>
    <t>BLUMENAU</t>
  </si>
  <si>
    <t>JOINVILLE</t>
  </si>
  <si>
    <t>R SAO JOAQUIM, 623-E PARTE</t>
  </si>
  <si>
    <t>ELDORADO</t>
  </si>
  <si>
    <t>CHAPECÓ</t>
  </si>
  <si>
    <t>RUA DR. ARICIO GUIMARAES FORTES 461</t>
  </si>
  <si>
    <t>ATALAIA</t>
  </si>
  <si>
    <t>ARACAJÚ</t>
  </si>
  <si>
    <t>SÃO PAULO</t>
  </si>
  <si>
    <t>AC</t>
  </si>
  <si>
    <t>DF</t>
  </si>
  <si>
    <t>ES</t>
  </si>
  <si>
    <t>MT</t>
  </si>
  <si>
    <t>MS</t>
  </si>
  <si>
    <t>RO</t>
  </si>
  <si>
    <t>TO</t>
  </si>
  <si>
    <t>08.596.854/0095-74</t>
  </si>
  <si>
    <t>08.596.854/0096-55</t>
  </si>
  <si>
    <t>08.596.854/0097-36</t>
  </si>
  <si>
    <t>08.596.854/0098-17</t>
  </si>
  <si>
    <t>08.596.854/0099-06</t>
  </si>
  <si>
    <t>08.596.854/0100-76</t>
  </si>
  <si>
    <t>08.596.854/0101-57</t>
  </si>
  <si>
    <t>AVENIDA BRASIL, 381</t>
  </si>
  <si>
    <t>RIO BRANCO</t>
  </si>
  <si>
    <t>ASA SUL</t>
  </si>
  <si>
    <t>BRASÍLIA</t>
  </si>
  <si>
    <t>VITÓRIA</t>
  </si>
  <si>
    <t>CENTRO-SUL</t>
  </si>
  <si>
    <t>CUIABÁ</t>
  </si>
  <si>
    <t>RUA TAPAJOS 660</t>
  </si>
  <si>
    <t>VILA RICA</t>
  </si>
  <si>
    <t>RUA DOM PEDRO II 1213</t>
  </si>
  <si>
    <t>PORTO VELHO</t>
  </si>
  <si>
    <t>PLANO DIRETOR SUL</t>
  </si>
  <si>
    <t>PALMAS</t>
  </si>
  <si>
    <t>08.596.854/0102-38</t>
  </si>
  <si>
    <t>08.596.854/0103-19</t>
  </si>
  <si>
    <t>08.596.854/0104-08</t>
  </si>
  <si>
    <t>AVENIDA PRESIDENTE DUTRA S/N</t>
  </si>
  <si>
    <t>NOSSA SENHORA APARECIDA</t>
  </si>
  <si>
    <t>VITÓRIA DA CONQUISTA</t>
  </si>
  <si>
    <t>COHAMA</t>
  </si>
  <si>
    <t>AVENIDA FREI SERAFIM 1782</t>
  </si>
  <si>
    <t>AVENIDA DUQUE DE CAXIAS Nº 106, SETOR 01 QUADRA80 LOTE 298</t>
  </si>
  <si>
    <t>RUA DOUTOR CARLOS RIBEIRO PAMPLONA Nº 239</t>
  </si>
  <si>
    <t>RUA TIBÚRCIO CAVALCANTI Nº 1359</t>
  </si>
  <si>
    <t>Rua 9, nº 681, Quadra 579, Lote 10-13</t>
  </si>
  <si>
    <t>Bro Aeroviário</t>
  </si>
  <si>
    <t>ESTRADA DE RIBAMAR 222 A</t>
  </si>
  <si>
    <t>TRAVESSA DOUTOR MORAES, 121</t>
  </si>
  <si>
    <t>NOVA MARABA</t>
  </si>
  <si>
    <t xml:space="preserve">RUA FOLHA 17, QUADRA E LOTE ESPECIAL, SN </t>
  </si>
  <si>
    <t>DISTRITO INDUSTRIAL DIPER</t>
  </si>
  <si>
    <t>RODOVIA PE 01, Nº 2001, A</t>
  </si>
  <si>
    <t>SANTA TEREZA - 1</t>
  </si>
  <si>
    <t>RUA JOSÉ GONÇALVES REBOLLAS, 1078, QUADRA 000, LOTE B</t>
  </si>
  <si>
    <t>BOCAININHA</t>
  </si>
  <si>
    <t>RUA MARECHAL FLORIANO PEIXOTO, 1124, PARTE</t>
  </si>
  <si>
    <t xml:space="preserve">RUA PRESIDENTE PRUDENTE DE MORAES, 175 </t>
  </si>
  <si>
    <t>SETOR SCS QUADRA 2, BLOCO E,  S/N, PAVIMENTO 014</t>
  </si>
  <si>
    <t>RUA DO ROSÁRIO 150, PAVIMENTO 05</t>
  </si>
  <si>
    <t>RUA BARAO DE MELGACO 3209, AREA A</t>
  </si>
  <si>
    <t>QUADRA ACSU SO 20 AVENIDA NS A,Nº 201, CONJ 02 LOTE 06</t>
  </si>
  <si>
    <t>AVENIDA DANIEL DE LA TOUCHE, Nº 31, AREA 03 - LADO I</t>
  </si>
  <si>
    <t>08.596.854/0105-80</t>
  </si>
  <si>
    <t>EST RAUL VEIGA, S/N, LOTE 02, QUADRA 2 A</t>
  </si>
  <si>
    <t>RAUL VEIGA</t>
  </si>
  <si>
    <t>SÃO GONÇALO</t>
  </si>
  <si>
    <t>RUA AMAMBAI, Nº 1102</t>
  </si>
  <si>
    <t>VILA MARIA</t>
  </si>
  <si>
    <t>AVENIDA ELY CORREA, Nº 2450, DEPOSITO 16</t>
  </si>
  <si>
    <t>GIRASSOL</t>
  </si>
  <si>
    <t>GRAVATAI</t>
  </si>
  <si>
    <t>RUA DOUTOR ALTINO TEIXEIRA, 1719, GALPÃO 05 E 06</t>
  </si>
  <si>
    <t>PORTO SECO PIRAJA</t>
  </si>
  <si>
    <t>RUA DOUTOR ALTINO TEIXEIRA, 1719, GALPÃO 07</t>
  </si>
  <si>
    <t>RUA PROFESSORA  MARIA DE ASSUMPÇÃO, 200</t>
  </si>
  <si>
    <t>HAUER</t>
  </si>
  <si>
    <t>CA</t>
  </si>
  <si>
    <t>CD</t>
  </si>
  <si>
    <t>ADM</t>
  </si>
  <si>
    <t>Tipo</t>
  </si>
  <si>
    <t>Endereços</t>
  </si>
  <si>
    <t>Cidade</t>
  </si>
  <si>
    <t>Estado</t>
  </si>
  <si>
    <t>FEDEX</t>
  </si>
  <si>
    <t>OI</t>
  </si>
  <si>
    <t>Av. União, 2524 - Real Copagre</t>
  </si>
  <si>
    <t>Teresina</t>
  </si>
  <si>
    <t>Rua General Osório, 3442 - Centro - Parque São Paulo</t>
  </si>
  <si>
    <t>Cascavel</t>
  </si>
  <si>
    <t>Av. Coimbra, 500 - Santa Terezinha</t>
  </si>
  <si>
    <t>Colombo</t>
  </si>
  <si>
    <t>Av. Vereador Toaldo Tulio, 2119 - Santa Felicidade</t>
  </si>
  <si>
    <t>Curitiba</t>
  </si>
  <si>
    <t>Rua Anne Frank, 2.183 - Boqueirão</t>
  </si>
  <si>
    <t>Rua Luiz Franca, 1.170 - Parte - Cajuru</t>
  </si>
  <si>
    <t>Rua Jose Maria de Brito, 715 - Jardim das Nações</t>
  </si>
  <si>
    <t>Foz do Iguacu</t>
  </si>
  <si>
    <t>Rua Ver.Romeu Lauro Werlang - Centro</t>
  </si>
  <si>
    <t>Francisco Beltrão</t>
  </si>
  <si>
    <t>Rua Professor João Candido, 556 - Centro</t>
  </si>
  <si>
    <t>Londrina</t>
  </si>
  <si>
    <t>Rua Neo Alves Martins, 2250</t>
  </si>
  <si>
    <t>Maringá</t>
  </si>
  <si>
    <t>Av. Gabriel de Lara, 780 - An. 1 - Parte - Centro</t>
  </si>
  <si>
    <t>Paranaguá</t>
  </si>
  <si>
    <t>Rua Mj. Luciano, 300 - Bonfim</t>
  </si>
  <si>
    <t>Piraquara</t>
  </si>
  <si>
    <t>Rua Vis do Rio Branco, 1889 // Visconde Rio Branco 1839, parte - Centro</t>
  </si>
  <si>
    <t>São José dos Pinhais</t>
  </si>
  <si>
    <t>Rua Raul Pompeia, 97 - Centro</t>
  </si>
  <si>
    <t>Angra dos Reis</t>
  </si>
  <si>
    <t>Rua Ministro Armando Alencar, 28 - Itaipava</t>
  </si>
  <si>
    <t>Petrópolis</t>
  </si>
  <si>
    <t>Rua General Canabarro, 215 - Maracanã</t>
  </si>
  <si>
    <t>Rio de Janeiro</t>
  </si>
  <si>
    <t>Rio das Ostras</t>
  </si>
  <si>
    <t>Avenida Retiro de Imprenssa, 595 - Belford Roxo</t>
  </si>
  <si>
    <t>Rua Zacarias da Silva, 132 - Barra da Tijuca</t>
  </si>
  <si>
    <t>Rua Gaspar Martins 179 - Centro</t>
  </si>
  <si>
    <t>Alegrete</t>
  </si>
  <si>
    <t>Rua Anápio Gomes, 1600 - Centro</t>
  </si>
  <si>
    <t>Gravataí</t>
  </si>
  <si>
    <t>Mario Catoi 146 - Sala Almox e O&amp;M-Terreo; 2º andar - Centro</t>
  </si>
  <si>
    <t>Lajeado</t>
  </si>
  <si>
    <t xml:space="preserve">Rua Capitão Eleutério 575 - Sala  Almox -Térreo;Sala de Rede 2º Andar </t>
  </si>
  <si>
    <t>Passo Fundo</t>
  </si>
  <si>
    <t>Av. Baltazar de Oliveira Garcia, 1245 - Jardim Itu</t>
  </si>
  <si>
    <t>Porto Alegre</t>
  </si>
  <si>
    <t xml:space="preserve">Av. Juca Batista, 400 - Ipanema </t>
  </si>
  <si>
    <t>Marcelino Champagnat, 145 - Jardim Sol</t>
  </si>
  <si>
    <t>Rio Grande</t>
  </si>
  <si>
    <t>Rua Caracaraí SN - Sala ADM e Sala Almox -térreo (Est. BR 392 SN) - Urlandia</t>
  </si>
  <si>
    <t xml:space="preserve">Santa Maria </t>
  </si>
  <si>
    <t>Rua dos Andradas 688 - Escritório/ Projetos/Equipe de dados 2ºandar - Centro</t>
  </si>
  <si>
    <t>Santo Angelo</t>
  </si>
  <si>
    <t xml:space="preserve">Av Fernandes Bastos, 450 (463) - Centro </t>
  </si>
  <si>
    <t>Tramandaí</t>
  </si>
  <si>
    <t>Rua Duque de Caxias 2038 - Administrativo térreo</t>
  </si>
  <si>
    <t>Uruguaiana</t>
  </si>
  <si>
    <t>Rua Luiz Michelon, 1129</t>
  </si>
  <si>
    <t>Caxias do Sul</t>
  </si>
  <si>
    <t>Av. dos Italianos, 275 - Pinheirinho</t>
  </si>
  <si>
    <t>Criciúma</t>
  </si>
  <si>
    <t>Rua Gustavo Bernedit, 98 - Cordeiros</t>
  </si>
  <si>
    <t>Itajai</t>
  </si>
  <si>
    <t>Av. Humberto de Campos, 1224 - Coral</t>
  </si>
  <si>
    <t>Lages</t>
  </si>
  <si>
    <t>Rua XV de Novembro, 142 - Centro</t>
  </si>
  <si>
    <t>Rio do Sul</t>
  </si>
  <si>
    <t>Av. Jose Acácio Moreira, 1591 - Dehon</t>
  </si>
  <si>
    <t>Tubarão</t>
  </si>
  <si>
    <t>SIM</t>
  </si>
  <si>
    <t>Observação</t>
  </si>
  <si>
    <t/>
  </si>
  <si>
    <t>RNO</t>
  </si>
  <si>
    <t>RNE</t>
  </si>
  <si>
    <t>RSUL</t>
  </si>
  <si>
    <t>N/A</t>
  </si>
  <si>
    <t>RRJ</t>
  </si>
  <si>
    <t>RBA</t>
  </si>
  <si>
    <t>BASE OPERACIONAL</t>
  </si>
  <si>
    <r>
      <t xml:space="preserve">R PADRE TELEMACO, 97 </t>
    </r>
    <r>
      <rPr>
        <sz val="10"/>
        <rFont val="Arial"/>
        <family val="2"/>
      </rPr>
      <t xml:space="preserve"> -</t>
    </r>
    <r>
      <rPr>
        <sz val="10"/>
        <rFont val="Calibri"/>
        <family val="2"/>
        <scheme val="minor"/>
      </rPr>
      <t xml:space="preserve"> ALMOXARIFADO - PARTE</t>
    </r>
  </si>
  <si>
    <t>R JANUARIO COELHO DA COSTA , 110 - PARTE</t>
  </si>
  <si>
    <t>TIPO</t>
  </si>
  <si>
    <t>SEREDE</t>
  </si>
  <si>
    <t>OI S/A - EM RECUPERAÇÃO JUDICIAL</t>
  </si>
  <si>
    <t>76.535.764/0370-63</t>
  </si>
  <si>
    <t>R PROFESSOR JOAO CANDIDO, 556- TÉRREO SALA 1</t>
  </si>
  <si>
    <t>LONDRINA</t>
  </si>
  <si>
    <t>86.010-000</t>
  </si>
  <si>
    <t>LOCALIZADA</t>
  </si>
  <si>
    <t>NÃO</t>
  </si>
  <si>
    <t>76.535.764/0368-49</t>
  </si>
  <si>
    <t xml:space="preserve">R NEO ALVES MARTINS, 2236- TERREO DT 5-6 </t>
  </si>
  <si>
    <t>ZONA 01</t>
  </si>
  <si>
    <t>MARINGA</t>
  </si>
  <si>
    <t>87.013-930</t>
  </si>
  <si>
    <t>R GENERAL OSORIO, 3442-  QUADRA 0008 - LOTE 0021 -TERREO - SALA 1</t>
  </si>
  <si>
    <t>85.801-110</t>
  </si>
  <si>
    <t>76.535.764/0371-44</t>
  </si>
  <si>
    <t>AV RAUL POMPEIA, 97, SALA 101</t>
  </si>
  <si>
    <t>ANGRA DOS REIS</t>
  </si>
  <si>
    <t>23.900-425</t>
  </si>
  <si>
    <t>76.535.764/0145-27</t>
  </si>
  <si>
    <t>R GENERAL CANABARRO, 00215, SALA 301</t>
  </si>
  <si>
    <t>MARACANA</t>
  </si>
  <si>
    <t>20.271-202</t>
  </si>
  <si>
    <t>76.535.764/0113-40</t>
  </si>
  <si>
    <t>R ZACARIAS DA SILVA, 00132, SALA 301</t>
  </si>
  <si>
    <t>BARRA DA TIJUCA</t>
  </si>
  <si>
    <t>22.793-190</t>
  </si>
  <si>
    <t>76.535.764/0174-61</t>
  </si>
  <si>
    <t>R CAPITAO ELEUTERIO 575 - SALA 102 - ANDAR 1</t>
  </si>
  <si>
    <t>PASSO FUNDO</t>
  </si>
  <si>
    <t>99.010-060</t>
  </si>
  <si>
    <t>76.535.764/0373-06</t>
  </si>
  <si>
    <t xml:space="preserve"> R DOS ANDRADAS 688-SALA 102 - ANDAR 1°</t>
  </si>
  <si>
    <t>SANTO ANGELO</t>
  </si>
  <si>
    <t>98.803-430</t>
  </si>
  <si>
    <t>76.535.764/0372-25</t>
  </si>
  <si>
    <t>AVENIDA .JOSE ACACIO MOREIRA, 1591-SALA 01 - TÉRREO</t>
  </si>
  <si>
    <t>TUBARAO</t>
  </si>
  <si>
    <t>SANTA CATARINA</t>
  </si>
  <si>
    <t>88.704-557</t>
  </si>
  <si>
    <t>76.535.764/0382-05</t>
  </si>
  <si>
    <t>AV. UNIÃO, 2524 - REAL COPAGRE</t>
  </si>
  <si>
    <t>AV. COIMBRA, 500 - SANTA TEREZINHA</t>
  </si>
  <si>
    <t>COLOMBO</t>
  </si>
  <si>
    <t>AV. VEREADOR TOALDO TULIO, 2119 - SANTA FELICIDADE</t>
  </si>
  <si>
    <t>RUA ANNE FRANK, 2.183 - BOQUEIRÃO</t>
  </si>
  <si>
    <t>RUA LUIZ FRANCA, 1.170 - PARTE - CAJURU</t>
  </si>
  <si>
    <t>RUA JOSE MARIA DE BRITO, 715 - JARDIM DAS NAÇÕES</t>
  </si>
  <si>
    <t>FOZ DO IGUACU</t>
  </si>
  <si>
    <t>RUA VER.ROMEU LAURO WERLANG - CENTRO</t>
  </si>
  <si>
    <t>FRANCISCO BELTRÃO</t>
  </si>
  <si>
    <t>AV. GABRIEL DE LARA, 780 - AN. 1 - PARTE - CENTRO</t>
  </si>
  <si>
    <t>PARANAGUÁ</t>
  </si>
  <si>
    <t>RUA MJ. LUCIANO, 300 - BONFIM</t>
  </si>
  <si>
    <t>PIRAQUARA</t>
  </si>
  <si>
    <t>RUA VIS DO RIO BRANCO, 1889 // VISCONDE RIO BRANCO 1839, PARTE - CENTRO</t>
  </si>
  <si>
    <t>SÃO JOSÉ DOS PINHAIS</t>
  </si>
  <si>
    <t>RUA MINISTRO ARMANDO ALENCAR, 28 - ITAIPAVA</t>
  </si>
  <si>
    <t>PETRÓPOLIS</t>
  </si>
  <si>
    <t>RIO DAS OSTRAS</t>
  </si>
  <si>
    <t>AVENIDA RETIRO DE IMPRENSSA, 595 - BELFORD ROXO</t>
  </si>
  <si>
    <t>RUA GASPAR MARTINS 179 - CENTRO</t>
  </si>
  <si>
    <t>ALEGRETE</t>
  </si>
  <si>
    <t>RUA ANÁPIO GOMES, 1600 - CENTRO</t>
  </si>
  <si>
    <t>GRAVATAÍ</t>
  </si>
  <si>
    <t>MARIO CATOI 146 - SALA ALMOX E O&amp;M-TERREO; 2º ANDAR - CENTRO</t>
  </si>
  <si>
    <t>LAJEADO</t>
  </si>
  <si>
    <t>AV. BALTAZAR DE OLIVEIRA GARCIA, 1245 - JARDIM ITU</t>
  </si>
  <si>
    <t xml:space="preserve">AV. JUCA BATISTA, 400 - IPANEMA </t>
  </si>
  <si>
    <t>MARCELINO CHAMPAGNAT, 145 - JARDIM SOL</t>
  </si>
  <si>
    <t>RIO GRANDE</t>
  </si>
  <si>
    <t xml:space="preserve">AV FERNANDES BASTOS, 450 (463) - CENTRO </t>
  </si>
  <si>
    <t>TRAMANDAÍ</t>
  </si>
  <si>
    <t>RUA DUQUE DE CAXIAS 2038 - ADMINISTRATIVO TÉRREO</t>
  </si>
  <si>
    <t>URUGUAIANA</t>
  </si>
  <si>
    <t>RUA LUIZ MICHELON, 1129</t>
  </si>
  <si>
    <t>RUA CARACARAÍ SN - SALA ADM E SALA ALMOX -TÉRREO (EST. BR 392 SN) - URLANDIA</t>
  </si>
  <si>
    <t xml:space="preserve">SANTA MARIA </t>
  </si>
  <si>
    <t>AV. DOS ITALIANOS, 275 - PINHEIRINHO</t>
  </si>
  <si>
    <t>CRICIÚMA</t>
  </si>
  <si>
    <t>RUA GUSTAVO BERNEDIT, 98 - CORDEIROS</t>
  </si>
  <si>
    <t>ITAJAI</t>
  </si>
  <si>
    <t>AV. HUMBERTO DE CAMPOS, 1224 - CORAL</t>
  </si>
  <si>
    <t>LAGES</t>
  </si>
  <si>
    <t>RUA XV DE NOVEMBRO, 142 - CENTRO</t>
  </si>
  <si>
    <t>RIO DO SUL</t>
  </si>
  <si>
    <t>ID OI</t>
  </si>
  <si>
    <t>ID OI 247(LETRA B)</t>
  </si>
  <si>
    <t>ID OI 228 NO BAIRRO NOVA MARABA</t>
  </si>
  <si>
    <t>ID OI 155(GALPAO08)</t>
  </si>
  <si>
    <t>ID OI 288(SL01 TÉRREO), 330(SL02), 361(SL01)</t>
  </si>
  <si>
    <t>RUA PROFESSORA MARIA DE ASSUMPÇÃO, 200</t>
  </si>
  <si>
    <t>ID OI 173 PARTE D</t>
  </si>
  <si>
    <t>ID OI 186 SALA 201</t>
  </si>
  <si>
    <t>ID OI SALA 206</t>
  </si>
  <si>
    <t>ID OI 261 SALA 201</t>
  </si>
  <si>
    <t>ID OI 174 NUM 458 PARTE D</t>
  </si>
  <si>
    <t>ID OI 2017 TERREO PARTE D</t>
  </si>
  <si>
    <t>ID OI 210 PARTE D</t>
  </si>
  <si>
    <t>ID OI 9(FILIAL), 31(RH)</t>
  </si>
  <si>
    <t>ID OI 215 BLOCO B</t>
  </si>
  <si>
    <t>EMPRESA</t>
  </si>
  <si>
    <t>ID OI 26 PARTE</t>
  </si>
  <si>
    <t>SEM BASE, APENAS CNPJ ATIVO</t>
  </si>
  <si>
    <t>SEM BASE, APENAS CNPJ ATIVO. ID OI 100 PAVIMENTO 8 ANEXO A</t>
  </si>
  <si>
    <t>SEM BASE, APENAS CNPJ ATIVO. ID OI NO BAIRRO VILA RICA 6 E 44</t>
  </si>
  <si>
    <t>SEM BASE, APENAS CNPJ ATIVO. ID OI 237 SALA 202</t>
  </si>
  <si>
    <t>SEM BASE, APENAS CNPJ ATIVO. ID OI 191 EM NITEROI</t>
  </si>
  <si>
    <t>SEM BASE, APENAS CNPJ ATIVO. ID OI 171 GALPAO TERREO PARTE D</t>
  </si>
  <si>
    <t>ID OI 16 11O ANDAR SALA A</t>
  </si>
  <si>
    <t>SEM BASE, APENAS CNPJ ATIVO. ID OI 19 TERREO SALA 05</t>
  </si>
  <si>
    <t>SEM BASE, APENAS CNPJ ATIVO. ID OI 212 GALPAO PARTE 6</t>
  </si>
  <si>
    <t>ID OI 371 NA RUA PRESIDENTE NEREU RAMOS, 120 - SL 01 2O SUBSOLO</t>
  </si>
  <si>
    <t>SEM BASE, APENAS CNPJ ATIVO. ID OI 249 ANEXO 1 SALA 11</t>
  </si>
  <si>
    <t>NÃO LOCALIZADO NA OI S/A</t>
  </si>
  <si>
    <t>NUMERAÇÃO DIVERGENTE SEREDE 2250 | OI 2236</t>
  </si>
  <si>
    <t>OI EM PETRÓPOLIS R MOSELA, 1854, SALA 201 E PC DOUTOR SA EARP FILHO, 39, SALA 301</t>
  </si>
  <si>
    <t>ANDAR DIVERGENTE SEREDE 2O. ANDAR | OI 1O. ANDAR</t>
  </si>
  <si>
    <t>OI EM CAXIAS DO SUL R VINTE DE SETEMBRO 2048-SALA 201 - ANDAR 2°</t>
  </si>
  <si>
    <t xml:space="preserve">OI EM SANTA MARIA R VENANCIO AIRES 1788-SALA 301 -  ANDAR 3° </t>
  </si>
  <si>
    <t>ID OI 83</t>
  </si>
  <si>
    <t>ID OI 15</t>
  </si>
  <si>
    <t>ID OI 88</t>
  </si>
  <si>
    <t>ID OI 13</t>
  </si>
  <si>
    <t>ID OI 89</t>
  </si>
  <si>
    <t>ID OI 95</t>
  </si>
  <si>
    <t>ID OI 24</t>
  </si>
  <si>
    <t>ID OI 167</t>
  </si>
  <si>
    <t>ID OI 211</t>
  </si>
  <si>
    <t>ID OI 213</t>
  </si>
  <si>
    <t>ID OI 258</t>
  </si>
  <si>
    <t>ID OI 256</t>
  </si>
  <si>
    <t>ID OI 181</t>
  </si>
  <si>
    <t>ID OI 197</t>
  </si>
  <si>
    <t>ID OI 198</t>
  </si>
  <si>
    <t>ID OI 263</t>
  </si>
  <si>
    <t>ID OI 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</si>
</sst>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/>
    <xf numFmtId="0" fontId="8" fillId="0" borderId="2" xfId="0" applyFont="1" applyBorder="1"/>
    <xf numFmtId="164" fontId="6" fillId="2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3270e39eaaf1d1/A&#769;rea%20de%20Trabalho/BN2/Societa&#769;rio/Empresas%20Grupo%20Oi_CNPJ%20Atualizado_07.02.2025_Oi%20SA.xlsx" TargetMode="External"/><Relationship Id="rId1" Type="http://schemas.openxmlformats.org/officeDocument/2006/relationships/externalLinkPath" Target="Empresas%20Grupo%20Oi_CNPJ%20Atualizado_07.02.2025_Oi%20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PJ Consolidado"/>
      <sheetName val="Todos CNPJs Consolidados"/>
      <sheetName val="Plan1"/>
      <sheetName val="Todos CNPJs Consolidados (2)"/>
    </sheetNames>
    <sheetDataSet>
      <sheetData sheetId="0">
        <row r="1">
          <cell r="A1" t="str">
            <v>ID Oi</v>
          </cell>
          <cell r="B1" t="str">
            <v>UF</v>
          </cell>
          <cell r="C1" t="str">
            <v>CDNJ</v>
          </cell>
          <cell r="D1" t="str">
            <v>CNAE</v>
          </cell>
          <cell r="E1" t="str">
            <v>OPERAÇÃO</v>
          </cell>
          <cell r="F1" t="str">
            <v>RAZÃO SOCIAL CNPJ</v>
          </cell>
          <cell r="G1" t="str">
            <v>NIRE</v>
          </cell>
          <cell r="H1" t="str">
            <v>CNPJ</v>
          </cell>
          <cell r="I1" t="str">
            <v>DATA DO CNPJ</v>
          </cell>
          <cell r="J1" t="str">
            <v>BAIXA CNPJ</v>
          </cell>
          <cell r="K1" t="str">
            <v>STATUS RFB</v>
          </cell>
          <cell r="L1" t="str">
            <v>I.E.</v>
          </cell>
          <cell r="M1" t="str">
            <v>DATA DA I.E</v>
          </cell>
          <cell r="N1" t="str">
            <v>BAIXA DE I.E</v>
          </cell>
          <cell r="O1" t="str">
            <v>STATUS IE</v>
          </cell>
          <cell r="P1" t="str">
            <v>I.M.</v>
          </cell>
          <cell r="Q1" t="str">
            <v>DATA DA I.M</v>
          </cell>
          <cell r="R1" t="str">
            <v>BAIXA DE I.M</v>
          </cell>
          <cell r="S1" t="str">
            <v>STATUS IM</v>
          </cell>
          <cell r="T1" t="str">
            <v>LOGRADOURO</v>
          </cell>
          <cell r="U1" t="str">
            <v>BAIRRO</v>
          </cell>
          <cell r="V1" t="str">
            <v>MUNICÍPIO</v>
          </cell>
          <cell r="W1" t="str">
            <v>CEP</v>
          </cell>
          <cell r="X1" t="str">
            <v>Faturamento</v>
          </cell>
        </row>
        <row r="2">
          <cell r="A2">
            <v>1</v>
          </cell>
          <cell r="B2" t="str">
            <v>SE</v>
          </cell>
          <cell r="C2" t="str">
            <v>204-6</v>
          </cell>
          <cell r="D2" t="str">
            <v>61.10-8-01</v>
          </cell>
          <cell r="E2" t="str">
            <v>FILIAL</v>
          </cell>
          <cell r="F2" t="str">
            <v xml:space="preserve"> OI S/A - EM RECUPERAÇÃO JUDICIAL</v>
          </cell>
          <cell r="G2" t="str">
            <v>2890009331-9</v>
          </cell>
          <cell r="H2" t="str">
            <v>76.535.764/0012-04</v>
          </cell>
          <cell r="I2">
            <v>37944</v>
          </cell>
          <cell r="K2" t="str">
            <v>ATIVA</v>
          </cell>
          <cell r="L2" t="str">
            <v>27.109.040-5</v>
          </cell>
          <cell r="O2" t="str">
            <v>ATIVA</v>
          </cell>
          <cell r="P2" t="str">
            <v>068.496-5</v>
          </cell>
          <cell r="S2" t="str">
            <v>ATIVA</v>
          </cell>
          <cell r="T2" t="str">
            <v xml:space="preserve">RUA LAGARTO, 1176 - SALA 103  </v>
          </cell>
          <cell r="U2" t="str">
            <v>CENTRO</v>
          </cell>
          <cell r="V2" t="str">
            <v>ARACAJU</v>
          </cell>
          <cell r="W2" t="str">
            <v>49.010-390</v>
          </cell>
          <cell r="X2" t="str">
            <v>S</v>
          </cell>
        </row>
        <row r="3">
          <cell r="A3">
            <v>2</v>
          </cell>
          <cell r="B3" t="str">
            <v>PA</v>
          </cell>
          <cell r="C3" t="str">
            <v>204-6</v>
          </cell>
          <cell r="D3" t="str">
            <v>61.10-8-01</v>
          </cell>
          <cell r="E3" t="str">
            <v>FILIAL</v>
          </cell>
          <cell r="F3" t="str">
            <v xml:space="preserve"> OI S/A - EM RECUPERAÇÃO JUDICIAL</v>
          </cell>
          <cell r="G3" t="str">
            <v>1590026521-6</v>
          </cell>
          <cell r="H3" t="str">
            <v>76.535.764/0023-59</v>
          </cell>
          <cell r="I3">
            <v>38092</v>
          </cell>
          <cell r="K3" t="str">
            <v>ATIVA</v>
          </cell>
          <cell r="L3" t="str">
            <v>15.239.671-3</v>
          </cell>
          <cell r="M3">
            <v>38212</v>
          </cell>
          <cell r="O3" t="str">
            <v>ATIVA</v>
          </cell>
          <cell r="P3" t="str">
            <v>164036-4</v>
          </cell>
          <cell r="S3" t="str">
            <v>ATIVA</v>
          </cell>
          <cell r="T3" t="str">
            <v>TV. DOUTOR MORAES, 121</v>
          </cell>
          <cell r="U3" t="str">
            <v>NAZARÉ</v>
          </cell>
          <cell r="V3" t="str">
            <v>BELÉM</v>
          </cell>
          <cell r="W3" t="str">
            <v xml:space="preserve">66.035-080 </v>
          </cell>
          <cell r="X3" t="str">
            <v>S</v>
          </cell>
        </row>
        <row r="4">
          <cell r="A4">
            <v>3</v>
          </cell>
          <cell r="B4" t="str">
            <v>MG</v>
          </cell>
          <cell r="C4" t="str">
            <v>204-6</v>
          </cell>
          <cell r="D4" t="str">
            <v>61.10-8-01</v>
          </cell>
          <cell r="E4" t="str">
            <v>FILIAL</v>
          </cell>
          <cell r="F4" t="str">
            <v xml:space="preserve"> OI S/A - EM RECUPERAÇÃO JUDICIAL</v>
          </cell>
          <cell r="G4" t="str">
            <v>3190153102-8</v>
          </cell>
          <cell r="H4" t="str">
            <v>76.535.764/0007-39</v>
          </cell>
          <cell r="I4">
            <v>37939</v>
          </cell>
          <cell r="K4" t="str">
            <v>ATIVA</v>
          </cell>
          <cell r="L4" t="str">
            <v>06.226.967.900-26</v>
          </cell>
          <cell r="M4">
            <v>38020</v>
          </cell>
          <cell r="O4" t="str">
            <v>ATIVA</v>
          </cell>
          <cell r="P4" t="str">
            <v>184.074/001-06</v>
          </cell>
          <cell r="Q4">
            <v>38020</v>
          </cell>
          <cell r="S4" t="str">
            <v>ATIVA</v>
          </cell>
          <cell r="T4" t="str">
            <v>PC MILTON CAMPOS, 16 - ANDAR 6 - PARTE</v>
          </cell>
          <cell r="U4" t="str">
            <v>SERRA</v>
          </cell>
          <cell r="V4" t="str">
            <v>BELO HORIZONTE</v>
          </cell>
          <cell r="W4" t="str">
            <v>30.130-040</v>
          </cell>
          <cell r="X4" t="str">
            <v>S</v>
          </cell>
        </row>
        <row r="5">
          <cell r="A5">
            <v>4</v>
          </cell>
          <cell r="B5" t="str">
            <v>RR</v>
          </cell>
          <cell r="C5" t="str">
            <v>204-6</v>
          </cell>
          <cell r="D5" t="str">
            <v>61.10-8-01</v>
          </cell>
          <cell r="E5" t="str">
            <v>FILIAL</v>
          </cell>
          <cell r="F5" t="str">
            <v xml:space="preserve"> OI S/A - EM RECUPERAÇÃO JUDICIAL</v>
          </cell>
          <cell r="G5" t="str">
            <v>1490002165-1</v>
          </cell>
          <cell r="H5" t="str">
            <v>76.535.764/0013-87</v>
          </cell>
          <cell r="I5">
            <v>37943</v>
          </cell>
          <cell r="K5" t="str">
            <v>ATIVA</v>
          </cell>
          <cell r="L5" t="str">
            <v>24.011.564-6</v>
          </cell>
          <cell r="O5" t="str">
            <v>ATIVA</v>
          </cell>
          <cell r="P5" t="str">
            <v>027.467-4</v>
          </cell>
          <cell r="S5" t="str">
            <v>ATIVA</v>
          </cell>
          <cell r="T5" t="str">
            <v>AV. CAPITÃO ENE GARCEZ, 130 - ANDAR 1 SALA 1</v>
          </cell>
          <cell r="U5" t="str">
            <v>CENTRO</v>
          </cell>
          <cell r="V5" t="str">
            <v>BOA VISTA</v>
          </cell>
          <cell r="W5" t="str">
            <v>69.301-161</v>
          </cell>
          <cell r="X5" t="str">
            <v>S</v>
          </cell>
        </row>
        <row r="6">
          <cell r="A6">
            <v>5</v>
          </cell>
          <cell r="B6" t="str">
            <v>DF</v>
          </cell>
          <cell r="C6" t="str">
            <v>204-6</v>
          </cell>
          <cell r="D6" t="str">
            <v>61.10-8-01</v>
          </cell>
          <cell r="E6" t="str">
            <v>FILIAL</v>
          </cell>
          <cell r="F6" t="str">
            <v xml:space="preserve"> OI S/A - EM RECUPERAÇÃO JUDICIAL</v>
          </cell>
          <cell r="G6" t="str">
            <v>5390017551-0</v>
          </cell>
          <cell r="H6" t="str">
            <v>76.535.764/0326-90</v>
          </cell>
          <cell r="I6">
            <v>36622</v>
          </cell>
          <cell r="K6" t="str">
            <v>ATIVA</v>
          </cell>
          <cell r="L6" t="str">
            <v>07.408.927/002-23</v>
          </cell>
          <cell r="M6">
            <v>40765</v>
          </cell>
          <cell r="O6" t="str">
            <v>ATIVA</v>
          </cell>
          <cell r="P6" t="str">
            <v>Não Tem</v>
          </cell>
          <cell r="S6" t="str">
            <v>N/A</v>
          </cell>
          <cell r="T6" t="str">
            <v>Q SCS QUADRA, 02, BLOCO E ANDAR 8 9 E 10</v>
          </cell>
          <cell r="U6" t="str">
            <v>ASA SUL</v>
          </cell>
          <cell r="V6" t="str">
            <v>BRASÍLIA</v>
          </cell>
          <cell r="W6" t="str">
            <v xml:space="preserve">70.302-903 </v>
          </cell>
          <cell r="X6" t="str">
            <v>S</v>
          </cell>
        </row>
        <row r="7">
          <cell r="A7">
            <v>6</v>
          </cell>
          <cell r="B7" t="str">
            <v>MS</v>
          </cell>
          <cell r="C7" t="str">
            <v>204-6</v>
          </cell>
          <cell r="D7" t="str">
            <v>61.10-8-01</v>
          </cell>
          <cell r="E7" t="str">
            <v>FILIAL</v>
          </cell>
          <cell r="F7" t="str">
            <v xml:space="preserve"> OI S/A - EM RECUPERAÇÃO JUDICIAL</v>
          </cell>
          <cell r="G7" t="str">
            <v>5490017967-2</v>
          </cell>
          <cell r="H7" t="str">
            <v>76.535.764/0324-28</v>
          </cell>
          <cell r="I7">
            <v>36602</v>
          </cell>
          <cell r="K7" t="str">
            <v>ATIVA</v>
          </cell>
          <cell r="L7" t="str">
            <v>28.313.188-8</v>
          </cell>
          <cell r="M7">
            <v>36602</v>
          </cell>
          <cell r="O7" t="str">
            <v>ATIVA</v>
          </cell>
          <cell r="P7" t="str">
            <v>0010037600-8</v>
          </cell>
          <cell r="S7" t="str">
            <v>ATIVA</v>
          </cell>
          <cell r="T7" t="str">
            <v>R SANTA BARBARA, 605</v>
          </cell>
          <cell r="U7" t="str">
            <v>VILA RICA</v>
          </cell>
          <cell r="V7" t="str">
            <v>CAMPO GRANDE</v>
          </cell>
          <cell r="W7" t="str">
            <v>79.022-060</v>
          </cell>
          <cell r="X7" t="str">
            <v>S</v>
          </cell>
        </row>
        <row r="8">
          <cell r="A8">
            <v>7</v>
          </cell>
          <cell r="B8" t="str">
            <v>MT</v>
          </cell>
          <cell r="C8" t="str">
            <v>204-6</v>
          </cell>
          <cell r="D8" t="str">
            <v>61.10-8-01</v>
          </cell>
          <cell r="E8" t="str">
            <v>FILIAL</v>
          </cell>
          <cell r="F8" t="str">
            <v xml:space="preserve"> OI S/A - EM RECUPERAÇÃO JUDICIAL</v>
          </cell>
          <cell r="G8" t="str">
            <v>5190018038-4</v>
          </cell>
          <cell r="H8" t="str">
            <v>76.535.764/0329-32</v>
          </cell>
          <cell r="I8">
            <v>36609</v>
          </cell>
          <cell r="K8" t="str">
            <v>ATIVA</v>
          </cell>
          <cell r="L8" t="str">
            <v>13.094.807-1</v>
          </cell>
          <cell r="M8">
            <v>26868</v>
          </cell>
          <cell r="O8" t="str">
            <v>ATIVA</v>
          </cell>
          <cell r="P8">
            <v>69541</v>
          </cell>
          <cell r="S8" t="str">
            <v>ATIVA</v>
          </cell>
          <cell r="T8" t="str">
            <v>RUA BARÃO DE MELGAÇO, 3209</v>
          </cell>
          <cell r="U8" t="str">
            <v>CENTRO SUL</v>
          </cell>
          <cell r="V8" t="str">
            <v>CUIABÁ</v>
          </cell>
          <cell r="W8" t="str">
            <v>78.020-902</v>
          </cell>
          <cell r="X8" t="str">
            <v>S</v>
          </cell>
        </row>
        <row r="9">
          <cell r="A9">
            <v>8</v>
          </cell>
          <cell r="B9" t="str">
            <v>PR</v>
          </cell>
          <cell r="C9" t="str">
            <v>204-6</v>
          </cell>
          <cell r="D9" t="str">
            <v>61.10-8-01</v>
          </cell>
          <cell r="E9" t="str">
            <v>FILIAL</v>
          </cell>
          <cell r="F9" t="str">
            <v xml:space="preserve"> OI S/A - EM RECUPERAÇÃO JUDICIAL</v>
          </cell>
          <cell r="G9" t="str">
            <v>4190065204-7</v>
          </cell>
          <cell r="H9" t="str">
            <v>76.535.764/0321-85</v>
          </cell>
          <cell r="I9">
            <v>36594</v>
          </cell>
          <cell r="K9" t="str">
            <v>ATIVA</v>
          </cell>
          <cell r="L9" t="str">
            <v>90206136-34</v>
          </cell>
          <cell r="M9">
            <v>36617</v>
          </cell>
          <cell r="O9" t="str">
            <v>ATIVA</v>
          </cell>
          <cell r="P9" t="str">
            <v>400.164-0</v>
          </cell>
          <cell r="S9" t="str">
            <v>ATIVA</v>
          </cell>
          <cell r="T9" t="str">
            <v>TRAVESSA TEIXEIRA DE FREITAS, 75 CONJ A;ANDAR TR;COND HIRAN ROLIM LAMAS ED;BLOCO HIRAN ROLIM LAMAS BL</v>
          </cell>
          <cell r="U9" t="str">
            <v>SÃO FRANCISCO</v>
          </cell>
          <cell r="V9" t="str">
            <v>CURITIBA</v>
          </cell>
          <cell r="W9" t="str">
            <v>80.410-040</v>
          </cell>
          <cell r="X9" t="str">
            <v>S</v>
          </cell>
        </row>
        <row r="10">
          <cell r="A10">
            <v>9</v>
          </cell>
          <cell r="B10" t="str">
            <v>SC</v>
          </cell>
          <cell r="C10" t="str">
            <v>204-6</v>
          </cell>
          <cell r="D10" t="str">
            <v>61.10-8-01</v>
          </cell>
          <cell r="E10" t="str">
            <v>FILIAL</v>
          </cell>
          <cell r="F10" t="str">
            <v xml:space="preserve"> OI S/A - EM RECUPERAÇÃO JUDICIAL</v>
          </cell>
          <cell r="G10" t="str">
            <v>4290051054-9</v>
          </cell>
          <cell r="H10" t="str">
            <v>76.535.764/0322-66</v>
          </cell>
          <cell r="I10">
            <v>36605</v>
          </cell>
          <cell r="K10" t="str">
            <v>ATIVA</v>
          </cell>
          <cell r="L10">
            <v>250427648</v>
          </cell>
          <cell r="M10">
            <v>25400</v>
          </cell>
          <cell r="O10" t="str">
            <v>ATIVA</v>
          </cell>
          <cell r="P10" t="str">
            <v>407.869-1</v>
          </cell>
          <cell r="Q10">
            <v>36620</v>
          </cell>
          <cell r="S10" t="str">
            <v>ATIVA</v>
          </cell>
          <cell r="T10" t="str">
            <v>R DESEMBARGADOR GIL COSTA,605 SALA 01</v>
          </cell>
          <cell r="U10" t="str">
            <v>CAPOEIRAS</v>
          </cell>
          <cell r="V10" t="str">
            <v>FLORIANÓPOLIS</v>
          </cell>
          <cell r="W10" t="str">
            <v>88.070-450</v>
          </cell>
          <cell r="X10" t="str">
            <v>S</v>
          </cell>
        </row>
        <row r="11">
          <cell r="A11">
            <v>10</v>
          </cell>
          <cell r="B11" t="str">
            <v>CE</v>
          </cell>
          <cell r="C11" t="str">
            <v>204-6</v>
          </cell>
          <cell r="D11" t="str">
            <v>61.10-8-01</v>
          </cell>
          <cell r="E11" t="str">
            <v>FILIAL</v>
          </cell>
          <cell r="F11" t="str">
            <v xml:space="preserve"> OI S/A - EM RECUPERAÇÃO JUDICIAL</v>
          </cell>
          <cell r="G11" t="str">
            <v>2390032747-1</v>
          </cell>
          <cell r="H11" t="str">
            <v>76.535.764/0020-06</v>
          </cell>
          <cell r="I11">
            <v>37953</v>
          </cell>
          <cell r="K11" t="str">
            <v>ATIVA</v>
          </cell>
          <cell r="L11" t="str">
            <v>06.687.010-0</v>
          </cell>
          <cell r="M11">
            <v>37991</v>
          </cell>
          <cell r="O11" t="str">
            <v>ATIVA</v>
          </cell>
          <cell r="P11" t="str">
            <v>185.873-4</v>
          </cell>
          <cell r="Q11">
            <v>37953</v>
          </cell>
          <cell r="S11" t="str">
            <v>ATIVA</v>
          </cell>
          <cell r="T11" t="str">
            <v>AV DOMINGOS OLIMPIO, 2290, SALA DE REUNIAO 02</v>
          </cell>
          <cell r="U11" t="str">
            <v>FARIAS BRITO</v>
          </cell>
          <cell r="V11" t="str">
            <v>FORTALEZA</v>
          </cell>
          <cell r="W11" t="str">
            <v>60.015-108</v>
          </cell>
          <cell r="X11" t="str">
            <v>S</v>
          </cell>
        </row>
        <row r="12">
          <cell r="A12">
            <v>11</v>
          </cell>
          <cell r="B12" t="str">
            <v>GO</v>
          </cell>
          <cell r="C12" t="str">
            <v>204-6</v>
          </cell>
          <cell r="D12" t="str">
            <v>61.10-8-01</v>
          </cell>
          <cell r="E12" t="str">
            <v>FILIAL</v>
          </cell>
          <cell r="F12" t="str">
            <v xml:space="preserve"> OI S/A - EM RECUPERAÇÃO JUDICIAL</v>
          </cell>
          <cell r="G12" t="str">
            <v>5290037423-6</v>
          </cell>
          <cell r="H12" t="str">
            <v>76.535.764/0328-51</v>
          </cell>
          <cell r="I12">
            <v>36622</v>
          </cell>
          <cell r="K12" t="str">
            <v>ATIVA</v>
          </cell>
          <cell r="L12" t="str">
            <v>10.325.318-1</v>
          </cell>
          <cell r="M12">
            <v>36627</v>
          </cell>
          <cell r="O12" t="str">
            <v>ATIVA</v>
          </cell>
          <cell r="P12" t="str">
            <v>160.280-2</v>
          </cell>
          <cell r="S12" t="str">
            <v>ATIVA</v>
          </cell>
          <cell r="T12" t="str">
            <v>ROD. BR 153 - S/N - KM 06 - PARTE</v>
          </cell>
          <cell r="U12" t="str">
            <v>VILA REDENÇÃO</v>
          </cell>
          <cell r="V12" t="str">
            <v>GOIANIA</v>
          </cell>
          <cell r="W12" t="str">
            <v>74.845-060</v>
          </cell>
          <cell r="X12" t="str">
            <v>S</v>
          </cell>
        </row>
        <row r="13">
          <cell r="A13">
            <v>12</v>
          </cell>
          <cell r="B13" t="str">
            <v>PB</v>
          </cell>
          <cell r="C13" t="str">
            <v>204-6</v>
          </cell>
          <cell r="D13" t="str">
            <v>61.10-8-01</v>
          </cell>
          <cell r="E13" t="str">
            <v>FILIAL</v>
          </cell>
          <cell r="F13" t="str">
            <v xml:space="preserve"> OI S/A - EM RECUPERAÇÃO JUDICIAL</v>
          </cell>
          <cell r="G13" t="str">
            <v>2590014205-8</v>
          </cell>
          <cell r="H13" t="str">
            <v>76.535.764/0019-72</v>
          </cell>
          <cell r="I13">
            <v>37959</v>
          </cell>
          <cell r="K13" t="str">
            <v>ATIVA</v>
          </cell>
          <cell r="L13" t="str">
            <v>16.140.610-6</v>
          </cell>
          <cell r="O13" t="str">
            <v>ATIVA</v>
          </cell>
          <cell r="P13">
            <v>916293</v>
          </cell>
          <cell r="S13" t="str">
            <v>ATIVA</v>
          </cell>
          <cell r="T13" t="str">
            <v>AV.INFANTE DOM HENRIQUE ,650 SALA 0003</v>
          </cell>
          <cell r="U13" t="str">
            <v>TAMBAU</v>
          </cell>
          <cell r="V13" t="str">
            <v>JOÃO PESSOA</v>
          </cell>
          <cell r="W13" t="str">
            <v>58.039-151</v>
          </cell>
          <cell r="X13" t="str">
            <v>S</v>
          </cell>
        </row>
        <row r="14">
          <cell r="A14">
            <v>13</v>
          </cell>
          <cell r="B14" t="str">
            <v>AP</v>
          </cell>
          <cell r="C14" t="str">
            <v>204-6</v>
          </cell>
          <cell r="D14" t="str">
            <v>61.10-8-01</v>
          </cell>
          <cell r="E14" t="str">
            <v>FILIAL</v>
          </cell>
          <cell r="F14" t="str">
            <v xml:space="preserve"> OI S/A - EM RECUPERAÇÃO JUDICIAL</v>
          </cell>
          <cell r="G14" t="str">
            <v>1690002929-7</v>
          </cell>
          <cell r="H14" t="str">
            <v>76.535.764/0010-34</v>
          </cell>
          <cell r="I14">
            <v>37952</v>
          </cell>
          <cell r="K14" t="str">
            <v>ATIVA</v>
          </cell>
          <cell r="L14" t="str">
            <v>03.026710-2</v>
          </cell>
          <cell r="O14" t="str">
            <v>ATIVA</v>
          </cell>
          <cell r="P14">
            <v>276558</v>
          </cell>
          <cell r="Q14">
            <v>37952</v>
          </cell>
          <cell r="S14" t="str">
            <v>ATIVA</v>
          </cell>
          <cell r="T14" t="str">
            <v>AV DUQUE DE CAXIAS, 106 - ANDAR 1</v>
          </cell>
          <cell r="U14" t="str">
            <v>CENTRAL</v>
          </cell>
          <cell r="V14" t="str">
            <v>MACAPÁ</v>
          </cell>
          <cell r="W14" t="str">
            <v>68.900-071</v>
          </cell>
          <cell r="X14" t="str">
            <v>S</v>
          </cell>
        </row>
        <row r="15">
          <cell r="A15">
            <v>14</v>
          </cell>
          <cell r="B15" t="str">
            <v>AL</v>
          </cell>
          <cell r="C15" t="str">
            <v>204-6</v>
          </cell>
          <cell r="D15" t="str">
            <v>61.10-8-01</v>
          </cell>
          <cell r="E15" t="str">
            <v>FILIAL</v>
          </cell>
          <cell r="F15" t="str">
            <v xml:space="preserve"> OI S/A - EM RECUPERAÇÃO JUDICIAL</v>
          </cell>
          <cell r="G15" t="str">
            <v>2790010342-9</v>
          </cell>
          <cell r="H15" t="str">
            <v>76.535.764/0006-58</v>
          </cell>
          <cell r="I15">
            <v>37925</v>
          </cell>
          <cell r="K15" t="str">
            <v>ATIVA</v>
          </cell>
          <cell r="L15" t="str">
            <v>24.103.751-4</v>
          </cell>
          <cell r="M15">
            <v>37960</v>
          </cell>
          <cell r="O15" t="str">
            <v>ATIVA</v>
          </cell>
          <cell r="P15" t="str">
            <v>009.006.447.53</v>
          </cell>
          <cell r="S15" t="str">
            <v>ATIVA</v>
          </cell>
          <cell r="T15" t="str">
            <v>RUA DR. ZEFERINO RODRIGUES, 207 - TERREO 1 - SALA 01</v>
          </cell>
          <cell r="U15" t="str">
            <v>PAJUÇARA</v>
          </cell>
          <cell r="V15" t="str">
            <v>MACEIÓ</v>
          </cell>
          <cell r="W15" t="str">
            <v>57.022-195</v>
          </cell>
          <cell r="X15" t="str">
            <v>S</v>
          </cell>
        </row>
        <row r="16">
          <cell r="A16">
            <v>15</v>
          </cell>
          <cell r="B16" t="str">
            <v>AM</v>
          </cell>
          <cell r="C16" t="str">
            <v>204-6</v>
          </cell>
          <cell r="D16" t="str">
            <v>61.10-8-01</v>
          </cell>
          <cell r="E16" t="str">
            <v>FILIAL</v>
          </cell>
          <cell r="F16" t="str">
            <v xml:space="preserve"> OI S/A - EM RECUPERAÇÃO JUDICIAL</v>
          </cell>
          <cell r="G16" t="str">
            <v>1390012259-6</v>
          </cell>
          <cell r="H16" t="str">
            <v>76.535.764/0014-68</v>
          </cell>
          <cell r="I16">
            <v>37937</v>
          </cell>
          <cell r="K16" t="str">
            <v>ATIVA</v>
          </cell>
          <cell r="L16" t="str">
            <v>04.211.317-2</v>
          </cell>
          <cell r="M16">
            <v>38035</v>
          </cell>
          <cell r="O16" t="str">
            <v>ATIVA</v>
          </cell>
          <cell r="P16" t="str">
            <v>107.806.01</v>
          </cell>
          <cell r="S16" t="str">
            <v>ATIVA</v>
          </cell>
          <cell r="T16" t="str">
            <v xml:space="preserve">AV. EPHIGENIO SALLES, 700 - SALA 03 - TÉRREO </v>
          </cell>
          <cell r="U16" t="str">
            <v>ANDRIANOPOLIS</v>
          </cell>
          <cell r="V16" t="str">
            <v>MANAUS</v>
          </cell>
          <cell r="W16" t="str">
            <v>69.057-050</v>
          </cell>
          <cell r="X16" t="str">
            <v>S</v>
          </cell>
        </row>
        <row r="17">
          <cell r="A17">
            <v>16</v>
          </cell>
          <cell r="B17" t="str">
            <v>RN</v>
          </cell>
          <cell r="C17" t="str">
            <v>204-6</v>
          </cell>
          <cell r="D17" t="str">
            <v>61.10-8-01</v>
          </cell>
          <cell r="E17" t="str">
            <v>FILIAL</v>
          </cell>
          <cell r="F17" t="str">
            <v xml:space="preserve"> OI S/A - EM RECUPERAÇÃO JUDICIAL</v>
          </cell>
          <cell r="G17" t="str">
            <v>2490015954-5</v>
          </cell>
          <cell r="H17" t="str">
            <v>76.535.764/0009-09</v>
          </cell>
          <cell r="I17">
            <v>37942</v>
          </cell>
          <cell r="K17" t="str">
            <v>ATIVA</v>
          </cell>
          <cell r="L17" t="str">
            <v>20.095.409-1</v>
          </cell>
          <cell r="M17">
            <v>38002</v>
          </cell>
          <cell r="O17" t="str">
            <v>ATIVA</v>
          </cell>
          <cell r="P17" t="str">
            <v>149.751-0</v>
          </cell>
          <cell r="S17" t="str">
            <v>ATIVA</v>
          </cell>
          <cell r="T17" t="str">
            <v xml:space="preserve">AV. PRUDENTE DE MORAIS, 757 - 11º ANDAR - SALA A </v>
          </cell>
          <cell r="U17" t="str">
            <v>TIROL</v>
          </cell>
          <cell r="V17" t="str">
            <v>NATAL</v>
          </cell>
          <cell r="W17" t="str">
            <v xml:space="preserve">59.020-904 </v>
          </cell>
          <cell r="X17" t="str">
            <v>S</v>
          </cell>
        </row>
        <row r="18">
          <cell r="A18">
            <v>17</v>
          </cell>
          <cell r="B18" t="str">
            <v>TO</v>
          </cell>
          <cell r="C18" t="str">
            <v>204-6</v>
          </cell>
          <cell r="D18" t="str">
            <v>61.10-8-01</v>
          </cell>
          <cell r="E18" t="str">
            <v>FILIAL</v>
          </cell>
          <cell r="F18" t="str">
            <v xml:space="preserve"> OI S/A - EM RECUPERAÇÃO JUDICIAL</v>
          </cell>
          <cell r="G18" t="str">
            <v>1790004417-3</v>
          </cell>
          <cell r="H18" t="str">
            <v>76.535.764/0325-09</v>
          </cell>
          <cell r="I18">
            <v>36607</v>
          </cell>
          <cell r="K18" t="str">
            <v>ATIVA</v>
          </cell>
          <cell r="L18" t="str">
            <v>29.066.151-0</v>
          </cell>
          <cell r="O18" t="str">
            <v>ATIVA</v>
          </cell>
          <cell r="P18">
            <v>81281</v>
          </cell>
          <cell r="S18" t="str">
            <v>ATIVA</v>
          </cell>
          <cell r="T18" t="str">
            <v>Q 201 SUL - AV. NS-A - CONJUNTO 02 - LOTE 06</v>
          </cell>
          <cell r="U18" t="str">
            <v>PLANO DIRETOR SUL</v>
          </cell>
          <cell r="V18" t="str">
            <v>PALMAS</v>
          </cell>
          <cell r="W18" t="str">
            <v>77.015-205</v>
          </cell>
          <cell r="X18" t="str">
            <v>S</v>
          </cell>
        </row>
        <row r="19">
          <cell r="A19">
            <v>18</v>
          </cell>
          <cell r="B19" t="str">
            <v>RS</v>
          </cell>
          <cell r="C19" t="str">
            <v>204-6</v>
          </cell>
          <cell r="D19" t="str">
            <v>61.10-8-01</v>
          </cell>
          <cell r="E19" t="str">
            <v>FILIAL</v>
          </cell>
          <cell r="F19" t="str">
            <v xml:space="preserve"> OI S/A - EM RECUPERAÇÃO JUDICIAL</v>
          </cell>
          <cell r="G19" t="str">
            <v>4390081484-1</v>
          </cell>
          <cell r="H19" t="str">
            <v>76.535.764/0002-24</v>
          </cell>
          <cell r="I19">
            <v>36909</v>
          </cell>
          <cell r="K19" t="str">
            <v>ATIVA</v>
          </cell>
          <cell r="L19" t="str">
            <v>096/2845833 </v>
          </cell>
          <cell r="M19">
            <v>36951</v>
          </cell>
          <cell r="O19" t="str">
            <v>ATIVA</v>
          </cell>
          <cell r="P19">
            <v>18996124</v>
          </cell>
          <cell r="Q19">
            <v>36951</v>
          </cell>
          <cell r="S19" t="str">
            <v>ATIVA</v>
          </cell>
          <cell r="T19" t="str">
            <v xml:space="preserve">AV. BORGES DE MEDEIROS, 512 - PARTE </v>
          </cell>
          <cell r="U19" t="str">
            <v>CENTRO</v>
          </cell>
          <cell r="V19" t="str">
            <v>PORTO ALEGRE</v>
          </cell>
          <cell r="W19" t="str">
            <v>90.020-902</v>
          </cell>
          <cell r="X19" t="str">
            <v>S</v>
          </cell>
        </row>
        <row r="20">
          <cell r="A20">
            <v>19</v>
          </cell>
          <cell r="B20" t="str">
            <v>RO</v>
          </cell>
          <cell r="C20" t="str">
            <v>204-6</v>
          </cell>
          <cell r="D20" t="str">
            <v>61.10-8-01</v>
          </cell>
          <cell r="E20" t="str">
            <v>FILIAL</v>
          </cell>
          <cell r="F20" t="str">
            <v xml:space="preserve"> OI S/A - EM RECUPERAÇÃO JUDICIAL</v>
          </cell>
          <cell r="G20" t="str">
            <v>1190008379-3</v>
          </cell>
          <cell r="H20" t="str">
            <v>76.535.764/0323-47</v>
          </cell>
          <cell r="I20">
            <v>36616</v>
          </cell>
          <cell r="K20" t="str">
            <v>ATIVA</v>
          </cell>
          <cell r="L20" t="str">
            <v xml:space="preserve">0000000096301-1 </v>
          </cell>
          <cell r="M20">
            <v>41155</v>
          </cell>
          <cell r="O20" t="str">
            <v>ATIVA</v>
          </cell>
          <cell r="P20">
            <v>12957</v>
          </cell>
          <cell r="S20" t="str">
            <v>ATIVA</v>
          </cell>
          <cell r="T20" t="str">
            <v>R DOM PEDRO II , 1213 TERREOSALA 05</v>
          </cell>
          <cell r="U20" t="str">
            <v>CENTRO</v>
          </cell>
          <cell r="V20" t="str">
            <v>PORTO VELHO</v>
          </cell>
          <cell r="W20" t="str">
            <v>76.801-103</v>
          </cell>
          <cell r="X20" t="str">
            <v>S</v>
          </cell>
        </row>
        <row r="21">
          <cell r="A21">
            <v>20</v>
          </cell>
          <cell r="B21" t="str">
            <v>PE</v>
          </cell>
          <cell r="C21" t="str">
            <v>204-6</v>
          </cell>
          <cell r="D21" t="str">
            <v>61.10-8-01</v>
          </cell>
          <cell r="E21" t="str">
            <v>FILIAL</v>
          </cell>
          <cell r="F21" t="str">
            <v xml:space="preserve"> OI S/A - EM RECUPERAÇÃO JUDICIAL</v>
          </cell>
          <cell r="G21" t="str">
            <v>2690038955-1</v>
          </cell>
          <cell r="H21" t="str">
            <v>76.535.764/0022-78</v>
          </cell>
          <cell r="I21">
            <v>38056</v>
          </cell>
          <cell r="K21" t="str">
            <v>ATIVA</v>
          </cell>
          <cell r="L21" t="str">
            <v>03.10.827-93</v>
          </cell>
          <cell r="M21">
            <v>38091</v>
          </cell>
          <cell r="O21" t="str">
            <v>ATIVA</v>
          </cell>
          <cell r="P21" t="str">
            <v>350.226-0</v>
          </cell>
          <cell r="S21" t="str">
            <v>ATIVA</v>
          </cell>
          <cell r="T21" t="str">
            <v>RUA JOAQUIM FELIPE, 168 - 3º ANDAR NORTE</v>
          </cell>
          <cell r="U21" t="str">
            <v>BOA VISTA</v>
          </cell>
          <cell r="V21" t="str">
            <v>RECIFE</v>
          </cell>
          <cell r="W21" t="str">
            <v>50.050-365</v>
          </cell>
          <cell r="X21" t="str">
            <v>S</v>
          </cell>
        </row>
        <row r="22">
          <cell r="A22">
            <v>21</v>
          </cell>
          <cell r="B22" t="str">
            <v>AC</v>
          </cell>
          <cell r="C22" t="str">
            <v>204-6</v>
          </cell>
          <cell r="D22" t="str">
            <v>61.10-8-01</v>
          </cell>
          <cell r="E22" t="str">
            <v>FILIAL</v>
          </cell>
          <cell r="F22" t="str">
            <v xml:space="preserve"> OI S/A - EM RECUPERAÇÃO JUDICIAL</v>
          </cell>
          <cell r="G22" t="str">
            <v>1290004093-9</v>
          </cell>
          <cell r="H22" t="str">
            <v>76.535.764/0327-70</v>
          </cell>
          <cell r="I22">
            <v>36622</v>
          </cell>
          <cell r="K22" t="str">
            <v>ATIVA</v>
          </cell>
          <cell r="L22" t="str">
            <v>01.006.885/001-50</v>
          </cell>
          <cell r="M22">
            <v>36633</v>
          </cell>
          <cell r="O22" t="str">
            <v>ATIVA</v>
          </cell>
          <cell r="P22" t="str">
            <v>76535764032770</v>
          </cell>
          <cell r="S22" t="str">
            <v>ATIVA</v>
          </cell>
          <cell r="T22" t="str">
            <v>AV  BRASIL, 381</v>
          </cell>
          <cell r="U22" t="str">
            <v>CENTRO</v>
          </cell>
          <cell r="V22" t="str">
            <v>RIO BRANCO</v>
          </cell>
          <cell r="W22" t="str">
            <v>69.900-076</v>
          </cell>
          <cell r="X22" t="str">
            <v>S</v>
          </cell>
        </row>
        <row r="23">
          <cell r="A23">
            <v>22</v>
          </cell>
          <cell r="B23" t="str">
            <v>RJ</v>
          </cell>
          <cell r="C23" t="str">
            <v>204-6</v>
          </cell>
          <cell r="D23" t="str">
            <v>61.10-8-01</v>
          </cell>
          <cell r="E23" t="str">
            <v>FILIAL</v>
          </cell>
          <cell r="F23" t="str">
            <v xml:space="preserve"> OI S/A - EM RECUPERAÇÃO JUDICIAL</v>
          </cell>
          <cell r="G23" t="str">
            <v>3390061094-5</v>
          </cell>
          <cell r="H23" t="str">
            <v>76.535.764/0331-57</v>
          </cell>
          <cell r="I23">
            <v>36797</v>
          </cell>
          <cell r="K23" t="str">
            <v>ATIVA</v>
          </cell>
          <cell r="L23">
            <v>77685022</v>
          </cell>
          <cell r="M23">
            <v>38049</v>
          </cell>
          <cell r="O23" t="str">
            <v>ATIVA</v>
          </cell>
          <cell r="P23">
            <v>2381710</v>
          </cell>
          <cell r="S23" t="str">
            <v>ATIVA</v>
          </cell>
          <cell r="T23" t="str">
            <v>AVENIDA PRINCESA ISABEL, 320 - 7º ANDAR</v>
          </cell>
          <cell r="U23" t="str">
            <v>COPACABANA</v>
          </cell>
          <cell r="V23" t="str">
            <v>RIO DE JANEIRO</v>
          </cell>
          <cell r="W23" t="str">
            <v>22.011-010</v>
          </cell>
          <cell r="X23" t="str">
            <v>S</v>
          </cell>
        </row>
        <row r="24">
          <cell r="A24">
            <v>23</v>
          </cell>
          <cell r="B24" t="str">
            <v>BA</v>
          </cell>
          <cell r="C24" t="str">
            <v>204-6</v>
          </cell>
          <cell r="D24" t="str">
            <v>61.10-8-01</v>
          </cell>
          <cell r="E24" t="str">
            <v>FILIAL</v>
          </cell>
          <cell r="F24" t="str">
            <v xml:space="preserve"> OI S/A - EM RECUPERAÇÃO JUDICIAL</v>
          </cell>
          <cell r="G24" t="str">
            <v>2990073560-5</v>
          </cell>
          <cell r="H24" t="str">
            <v>76.535.764/0018-91</v>
          </cell>
          <cell r="I24">
            <v>37957</v>
          </cell>
          <cell r="K24" t="str">
            <v>ATIVA</v>
          </cell>
          <cell r="L24">
            <v>62909340</v>
          </cell>
          <cell r="M24">
            <v>37967</v>
          </cell>
          <cell r="O24" t="str">
            <v>ATIVA</v>
          </cell>
          <cell r="P24" t="str">
            <v>238.439/001-52</v>
          </cell>
          <cell r="Q24">
            <v>37999</v>
          </cell>
          <cell r="S24" t="str">
            <v>ATIVA</v>
          </cell>
          <cell r="T24" t="str">
            <v>R PROFESSOR HUGO BALTHAZAR DA SILVEIRA, 37, PAVMTO1 SALA A</v>
          </cell>
          <cell r="U24" t="str">
            <v>NAZARE</v>
          </cell>
          <cell r="V24" t="str">
            <v>SALVADOR</v>
          </cell>
          <cell r="W24" t="str">
            <v>40.050-310</v>
          </cell>
          <cell r="X24" t="str">
            <v>S</v>
          </cell>
        </row>
        <row r="25">
          <cell r="A25">
            <v>24</v>
          </cell>
          <cell r="B25" t="str">
            <v>MA</v>
          </cell>
          <cell r="C25" t="str">
            <v>204-6</v>
          </cell>
          <cell r="D25" t="str">
            <v>61.10-8-01</v>
          </cell>
          <cell r="E25" t="str">
            <v>FILIAL</v>
          </cell>
          <cell r="F25" t="str">
            <v xml:space="preserve"> OI S/A - EM RECUPERAÇÃO JUDICIAL</v>
          </cell>
          <cell r="G25" t="str">
            <v>2190015933-0</v>
          </cell>
          <cell r="H25" t="str">
            <v>76.535.764/0003-05</v>
          </cell>
          <cell r="I25">
            <v>37931</v>
          </cell>
          <cell r="K25" t="str">
            <v>ATIVA</v>
          </cell>
          <cell r="L25" t="str">
            <v>12230766-6</v>
          </cell>
          <cell r="O25" t="str">
            <v>ATIVA</v>
          </cell>
          <cell r="P25" t="str">
            <v>5057200-5</v>
          </cell>
          <cell r="S25" t="str">
            <v>ATIVA</v>
          </cell>
          <cell r="T25" t="str">
            <v>AV DANIEL DE LA TOUCHE, 31, ANEXO AREA 03 LADO 01</v>
          </cell>
          <cell r="U25" t="str">
            <v>COHAMA</v>
          </cell>
          <cell r="V25" t="str">
            <v>SÃO LUÍS</v>
          </cell>
          <cell r="W25" t="str">
            <v>65.074-115</v>
          </cell>
          <cell r="X25" t="str">
            <v>S</v>
          </cell>
        </row>
        <row r="26">
          <cell r="A26">
            <v>25</v>
          </cell>
          <cell r="B26" t="str">
            <v>SP</v>
          </cell>
          <cell r="C26" t="str">
            <v>204-6</v>
          </cell>
          <cell r="D26" t="str">
            <v>61.10-8-01</v>
          </cell>
          <cell r="E26" t="str">
            <v>FILIAL</v>
          </cell>
          <cell r="F26" t="str">
            <v xml:space="preserve"> OI S/A - EM RECUPERAÇÃO JUDICIAL</v>
          </cell>
          <cell r="G26" t="str">
            <v>3590237295-4</v>
          </cell>
          <cell r="H26" t="str">
            <v>76.535.764/0332-38</v>
          </cell>
          <cell r="I26">
            <v>36803</v>
          </cell>
          <cell r="K26" t="str">
            <v>ATIVA</v>
          </cell>
          <cell r="L26">
            <v>116722846112</v>
          </cell>
          <cell r="O26" t="str">
            <v>ATIVA</v>
          </cell>
          <cell r="P26" t="str">
            <v>3.239.859-0</v>
          </cell>
          <cell r="S26" t="str">
            <v>ATIVA</v>
          </cell>
          <cell r="T26" t="str">
            <v>AV ROQUE PETRONI JUNIOR, 999, CONJ 81</v>
          </cell>
          <cell r="U26" t="str">
            <v>VILA GERTRUDES</v>
          </cell>
          <cell r="V26" t="str">
            <v>SÃO PAULO</v>
          </cell>
          <cell r="W26" t="str">
            <v>04.707-910</v>
          </cell>
          <cell r="X26" t="str">
            <v>S</v>
          </cell>
        </row>
        <row r="27">
          <cell r="A27">
            <v>26</v>
          </cell>
          <cell r="B27" t="str">
            <v>PI</v>
          </cell>
          <cell r="C27" t="str">
            <v>204-6</v>
          </cell>
          <cell r="D27" t="str">
            <v>61.10-8-01</v>
          </cell>
          <cell r="E27" t="str">
            <v>FILIAL</v>
          </cell>
          <cell r="F27" t="str">
            <v xml:space="preserve"> OI S/A - EM RECUPERAÇÃO JUDICIAL</v>
          </cell>
          <cell r="G27" t="str">
            <v>2290010037-9</v>
          </cell>
          <cell r="H27" t="str">
            <v>76.535.764/0004-96</v>
          </cell>
          <cell r="I27">
            <v>37931</v>
          </cell>
          <cell r="K27" t="str">
            <v>ATIVA</v>
          </cell>
          <cell r="L27" t="str">
            <v>19.452.807-3</v>
          </cell>
          <cell r="O27" t="str">
            <v>ATIVA</v>
          </cell>
          <cell r="P27" t="str">
            <v>089046-4</v>
          </cell>
          <cell r="S27" t="str">
            <v>ATIVA</v>
          </cell>
          <cell r="T27" t="str">
            <v>AV. FREI SERAFIM, 1782 - PARTE</v>
          </cell>
          <cell r="U27" t="str">
            <v>CENTRO</v>
          </cell>
          <cell r="V27" t="str">
            <v>TERESINA</v>
          </cell>
          <cell r="W27" t="str">
            <v xml:space="preserve">64.001-020 </v>
          </cell>
          <cell r="X27" t="str">
            <v>S</v>
          </cell>
        </row>
        <row r="28">
          <cell r="A28">
            <v>27</v>
          </cell>
          <cell r="B28" t="str">
            <v>ES</v>
          </cell>
          <cell r="C28" t="str">
            <v>204-6</v>
          </cell>
          <cell r="D28" t="str">
            <v>61.10-8-01</v>
          </cell>
          <cell r="E28" t="str">
            <v>FILIAL</v>
          </cell>
          <cell r="F28" t="str">
            <v xml:space="preserve"> OI S/A - EM RECUPERAÇÃO JUDICIAL</v>
          </cell>
          <cell r="G28" t="str">
            <v>3290030736-2</v>
          </cell>
          <cell r="H28" t="str">
            <v>76.535.764/0015-49</v>
          </cell>
          <cell r="I28">
            <v>37946</v>
          </cell>
          <cell r="K28" t="str">
            <v>ATIVA</v>
          </cell>
          <cell r="L28" t="str">
            <v>082.244.10-3</v>
          </cell>
          <cell r="M28">
            <v>37985</v>
          </cell>
          <cell r="O28" t="str">
            <v>ATIVA</v>
          </cell>
          <cell r="P28" t="str">
            <v>26.840-2</v>
          </cell>
          <cell r="S28" t="str">
            <v>ATIVA</v>
          </cell>
          <cell r="T28" t="str">
            <v>RUA MOACIR AVIDOS, 214</v>
          </cell>
          <cell r="U28" t="str">
            <v>PRAIA DO CANTO</v>
          </cell>
          <cell r="V28" t="str">
            <v>VITÓRIA</v>
          </cell>
          <cell r="W28" t="str">
            <v>29.055-350</v>
          </cell>
          <cell r="X28" t="str">
            <v>S</v>
          </cell>
        </row>
        <row r="29">
          <cell r="A29">
            <v>28</v>
          </cell>
          <cell r="B29" t="str">
            <v>DF</v>
          </cell>
          <cell r="C29" t="str">
            <v>204-6</v>
          </cell>
          <cell r="D29" t="str">
            <v>61.10-8-01</v>
          </cell>
          <cell r="E29" t="str">
            <v>CD</v>
          </cell>
          <cell r="F29" t="str">
            <v xml:space="preserve"> OI S/A - EM RECUPERAÇÃO JUDICIAL</v>
          </cell>
          <cell r="G29" t="str">
            <v>5390027359-7</v>
          </cell>
          <cell r="H29" t="str">
            <v>76.535.764/0043-00</v>
          </cell>
          <cell r="I29">
            <v>40248</v>
          </cell>
          <cell r="K29" t="str">
            <v>ATIVA</v>
          </cell>
          <cell r="L29" t="str">
            <v>07.408.927/003-04</v>
          </cell>
          <cell r="O29" t="str">
            <v>ATIVA</v>
          </cell>
          <cell r="P29" t="str">
            <v>07.408.927/003-04</v>
          </cell>
          <cell r="S29" t="str">
            <v>ATIVA</v>
          </cell>
          <cell r="T29" t="str">
            <v>ST SIA SUL ASP LOTE D, BLOCO B, ARMAZEM 02 - AREA A</v>
          </cell>
          <cell r="U29" t="str">
            <v>GUARA</v>
          </cell>
          <cell r="V29" t="str">
            <v>BRASÍLIA</v>
          </cell>
          <cell r="W29" t="str">
            <v>71.215-000</v>
          </cell>
        </row>
        <row r="30">
          <cell r="A30">
            <v>29</v>
          </cell>
          <cell r="B30" t="str">
            <v>DF</v>
          </cell>
          <cell r="C30" t="str">
            <v>204-6</v>
          </cell>
          <cell r="D30" t="str">
            <v>61.10-8-01</v>
          </cell>
          <cell r="E30" t="str">
            <v>RH</v>
          </cell>
          <cell r="F30" t="str">
            <v xml:space="preserve"> OI S/A - EM RECUPERAÇÃO JUDICIAL</v>
          </cell>
          <cell r="H30" t="str">
            <v>76.535.764/0045-64</v>
          </cell>
          <cell r="I30">
            <v>40856</v>
          </cell>
          <cell r="K30" t="str">
            <v>ATIVA</v>
          </cell>
          <cell r="L30" t="str">
            <v>07.408.927.004-95</v>
          </cell>
          <cell r="M30">
            <v>40863</v>
          </cell>
          <cell r="O30" t="str">
            <v>ATIVA</v>
          </cell>
          <cell r="P30" t="str">
            <v>07.408.927.004-95</v>
          </cell>
          <cell r="Q30">
            <v>40863</v>
          </cell>
          <cell r="S30" t="str">
            <v>ATIVA</v>
          </cell>
          <cell r="T30" t="str">
            <v>ST SCN QUADRA 03 - BLOCO A - S/N - ED. ESTACAO TELEFONI TERREO PARTE 3</v>
          </cell>
          <cell r="U30" t="str">
            <v>ASA NORTE</v>
          </cell>
          <cell r="V30" t="str">
            <v>BRASÍLIA</v>
          </cell>
          <cell r="W30" t="str">
            <v>70.713-900</v>
          </cell>
        </row>
        <row r="31">
          <cell r="A31">
            <v>30</v>
          </cell>
          <cell r="B31" t="str">
            <v>MG</v>
          </cell>
          <cell r="C31" t="str">
            <v>204-6</v>
          </cell>
          <cell r="D31" t="str">
            <v>61.10-8-01</v>
          </cell>
          <cell r="F31" t="str">
            <v xml:space="preserve"> OI S/A - EM RECUPERAÇÃO JUDICIAL</v>
          </cell>
          <cell r="G31">
            <v>31902319154</v>
          </cell>
          <cell r="H31" t="str">
            <v>76.535.764/0047-26</v>
          </cell>
          <cell r="I31">
            <v>41558</v>
          </cell>
          <cell r="K31" t="str">
            <v>ATIVA</v>
          </cell>
          <cell r="O31" t="str">
            <v>ATIVA</v>
          </cell>
          <cell r="P31" t="str">
            <v>0.184.074/002-4</v>
          </cell>
          <cell r="Q31" t="str">
            <v>0.184.074/003-2</v>
          </cell>
          <cell r="S31" t="str">
            <v>ATIVA</v>
          </cell>
          <cell r="T31" t="str">
            <v>R DOS TAMOIOS, 311 –  ANDAR 3º PARTE ALA SUL</v>
          </cell>
          <cell r="U31" t="str">
            <v>CENTRO</v>
          </cell>
          <cell r="V31" t="str">
            <v>BELO HORIZONTE</v>
          </cell>
          <cell r="W31" t="str">
            <v>30.120-050</v>
          </cell>
        </row>
        <row r="32">
          <cell r="A32">
            <v>31</v>
          </cell>
          <cell r="B32" t="str">
            <v>SC</v>
          </cell>
          <cell r="C32" t="str">
            <v>204-6</v>
          </cell>
          <cell r="D32" t="str">
            <v>61.10-8-01</v>
          </cell>
          <cell r="E32" t="str">
            <v>RH</v>
          </cell>
          <cell r="F32" t="str">
            <v xml:space="preserve"> OI S/A - EM RECUPERAÇÃO JUDICIAL</v>
          </cell>
          <cell r="G32" t="str">
            <v>4290102711-6</v>
          </cell>
          <cell r="H32" t="str">
            <v>76.535.764/0046-45</v>
          </cell>
          <cell r="I32">
            <v>41551</v>
          </cell>
          <cell r="K32" t="str">
            <v>ATIVA</v>
          </cell>
          <cell r="O32" t="str">
            <v>ATIVA</v>
          </cell>
          <cell r="T32" t="str">
            <v>RUA DESEMBARGADOR GIL COSTA, 605 - PARTE</v>
          </cell>
          <cell r="U32" t="str">
            <v>CAPOEIRAS</v>
          </cell>
          <cell r="V32" t="str">
            <v>FLORIANÓPOLIS</v>
          </cell>
          <cell r="W32" t="str">
            <v>88.070-450</v>
          </cell>
        </row>
        <row r="33">
          <cell r="A33">
            <v>32</v>
          </cell>
          <cell r="B33" t="str">
            <v>RS</v>
          </cell>
          <cell r="C33" t="str">
            <v>204-6</v>
          </cell>
          <cell r="D33" t="str">
            <v>61.10-8-01</v>
          </cell>
          <cell r="F33" t="str">
            <v xml:space="preserve"> OI S/A - EM RECUPERAÇÃO JUDICIAL</v>
          </cell>
          <cell r="G33" t="str">
            <v>4390085570-9</v>
          </cell>
          <cell r="H33" t="str">
            <v>76.535.764/0330-76</v>
          </cell>
          <cell r="I33">
            <v>36594</v>
          </cell>
          <cell r="K33" t="str">
            <v>ATIVA</v>
          </cell>
          <cell r="L33" t="str">
            <v>093/0325672</v>
          </cell>
          <cell r="M33">
            <v>36635</v>
          </cell>
          <cell r="N33">
            <v>42124</v>
          </cell>
          <cell r="O33" t="str">
            <v>ATIVA</v>
          </cell>
          <cell r="P33" t="str">
            <v>582030.8</v>
          </cell>
          <cell r="Q33">
            <v>36635</v>
          </cell>
          <cell r="R33">
            <v>42124</v>
          </cell>
          <cell r="S33" t="str">
            <v>ATIVA</v>
          </cell>
          <cell r="T33" t="str">
            <v>RUA XV DE NOVEMBRO, 653</v>
          </cell>
          <cell r="U33" t="str">
            <v>CENTRO</v>
          </cell>
          <cell r="V33" t="str">
            <v>PELOTAS</v>
          </cell>
          <cell r="W33" t="str">
            <v>96.015-000</v>
          </cell>
        </row>
        <row r="34">
          <cell r="A34">
            <v>33</v>
          </cell>
          <cell r="B34" t="str">
            <v>RJ</v>
          </cell>
          <cell r="C34" t="str">
            <v>204-6</v>
          </cell>
          <cell r="D34" t="str">
            <v>61.10-8-01</v>
          </cell>
          <cell r="E34" t="str">
            <v>MATRIZ</v>
          </cell>
          <cell r="F34" t="str">
            <v xml:space="preserve"> OI S/A - EM RECUPERAÇÃO JUDICIAL</v>
          </cell>
          <cell r="G34" t="str">
            <v>3330029520-8</v>
          </cell>
          <cell r="H34" t="str">
            <v>76.535.764/0001-43</v>
          </cell>
          <cell r="I34">
            <v>24376</v>
          </cell>
          <cell r="K34" t="str">
            <v>ATIVA</v>
          </cell>
          <cell r="L34">
            <v>77685022</v>
          </cell>
          <cell r="O34" t="str">
            <v>N/A</v>
          </cell>
          <cell r="P34" t="str">
            <v>521751-2</v>
          </cell>
          <cell r="Q34">
            <v>40766</v>
          </cell>
          <cell r="S34" t="str">
            <v>ATIVA</v>
          </cell>
          <cell r="T34" t="str">
            <v>RUA DO LAVRADIO, 71 - 2º ANDAR</v>
          </cell>
          <cell r="U34" t="str">
            <v>CENTRO</v>
          </cell>
          <cell r="V34" t="str">
            <v>RIO DE JANEIRO</v>
          </cell>
          <cell r="W34" t="str">
            <v>20.230-070</v>
          </cell>
        </row>
        <row r="35">
          <cell r="A35">
            <v>34</v>
          </cell>
          <cell r="B35" t="str">
            <v>RJ</v>
          </cell>
          <cell r="C35" t="str">
            <v>204-6</v>
          </cell>
          <cell r="D35" t="str">
            <v>61.10-8-01</v>
          </cell>
          <cell r="F35" t="str">
            <v xml:space="preserve"> OI S/A - EM RECUPERAÇÃO JUDICIAL</v>
          </cell>
          <cell r="G35" t="str">
            <v>3390100833-5</v>
          </cell>
          <cell r="H35" t="str">
            <v>76.535.764/0027-82</v>
          </cell>
          <cell r="I35">
            <v>39937</v>
          </cell>
          <cell r="K35" t="str">
            <v>ATIVA</v>
          </cell>
          <cell r="L35" t="str">
            <v>N/A</v>
          </cell>
          <cell r="O35" t="str">
            <v>N/A</v>
          </cell>
          <cell r="P35" t="str">
            <v>0451135-2</v>
          </cell>
          <cell r="S35" t="str">
            <v>ATIVA</v>
          </cell>
          <cell r="T35" t="str">
            <v>RUA DO LAVRADIO, 71 - 4º ANDAR</v>
          </cell>
          <cell r="U35" t="str">
            <v>CENTRO</v>
          </cell>
          <cell r="V35" t="str">
            <v>RIO DE JANEIRO</v>
          </cell>
          <cell r="W35" t="str">
            <v>20.230-070</v>
          </cell>
        </row>
        <row r="36">
          <cell r="A36">
            <v>35</v>
          </cell>
          <cell r="B36" t="str">
            <v>RJ</v>
          </cell>
          <cell r="C36" t="str">
            <v>204-6</v>
          </cell>
          <cell r="D36" t="str">
            <v>61.10-8-01</v>
          </cell>
          <cell r="F36" t="str">
            <v xml:space="preserve"> OI S/A - EM RECUPERAÇÃO JUDICIAL</v>
          </cell>
          <cell r="G36" t="str">
            <v>3390100834-3</v>
          </cell>
          <cell r="H36" t="str">
            <v>76.535.764/0028-63</v>
          </cell>
          <cell r="I36">
            <v>39937</v>
          </cell>
          <cell r="K36" t="str">
            <v>ATIVA</v>
          </cell>
          <cell r="L36" t="str">
            <v>N/A</v>
          </cell>
          <cell r="O36" t="str">
            <v>N/A</v>
          </cell>
          <cell r="P36" t="str">
            <v>0448109-7</v>
          </cell>
          <cell r="S36" t="str">
            <v>ATIVA</v>
          </cell>
          <cell r="T36" t="str">
            <v>RUA JANGADEIROS, 48 - 7º ANDAR</v>
          </cell>
          <cell r="U36" t="str">
            <v>IPANEMA</v>
          </cell>
          <cell r="V36" t="str">
            <v>RIO DE JANEIRO</v>
          </cell>
          <cell r="W36" t="str">
            <v>22.420-010</v>
          </cell>
        </row>
        <row r="37">
          <cell r="A37">
            <v>36</v>
          </cell>
          <cell r="B37" t="str">
            <v>RJ</v>
          </cell>
          <cell r="C37" t="str">
            <v>204-6</v>
          </cell>
          <cell r="D37" t="str">
            <v>61.10-8-01</v>
          </cell>
          <cell r="F37" t="str">
            <v xml:space="preserve"> OI S/A - EM RECUPERAÇÃO JUDICIAL</v>
          </cell>
          <cell r="G37" t="str">
            <v>3390100831-9</v>
          </cell>
          <cell r="H37" t="str">
            <v>76.535.764/0029-44</v>
          </cell>
          <cell r="I37">
            <v>39937</v>
          </cell>
          <cell r="K37" t="str">
            <v>ATIVA</v>
          </cell>
          <cell r="L37" t="str">
            <v>N/A</v>
          </cell>
          <cell r="O37" t="str">
            <v>N/A</v>
          </cell>
          <cell r="P37" t="str">
            <v>0452175-7</v>
          </cell>
          <cell r="S37" t="str">
            <v>ATIVA</v>
          </cell>
          <cell r="T37" t="str">
            <v>RUA BENEDITINOS, 23 - 4º ANDAR - PARTE</v>
          </cell>
          <cell r="U37" t="str">
            <v>CENTRO</v>
          </cell>
          <cell r="V37" t="str">
            <v>RIO DE JANEIRO</v>
          </cell>
          <cell r="W37" t="str">
            <v>20.081-050</v>
          </cell>
        </row>
        <row r="38">
          <cell r="A38">
            <v>37</v>
          </cell>
          <cell r="B38" t="str">
            <v>RJ</v>
          </cell>
          <cell r="C38" t="str">
            <v>204-6</v>
          </cell>
          <cell r="D38" t="str">
            <v>61.10-8-01</v>
          </cell>
          <cell r="F38" t="str">
            <v xml:space="preserve"> OI S/A - EM RECUPERAÇÃO JUDICIAL</v>
          </cell>
          <cell r="G38" t="str">
            <v>3390100832-7</v>
          </cell>
          <cell r="H38" t="str">
            <v>76.535.764/0035-92</v>
          </cell>
          <cell r="I38">
            <v>39937</v>
          </cell>
          <cell r="K38" t="str">
            <v>ATIVA</v>
          </cell>
          <cell r="L38" t="str">
            <v>N/A</v>
          </cell>
          <cell r="O38" t="str">
            <v>N/A</v>
          </cell>
          <cell r="P38" t="str">
            <v>0451826-8</v>
          </cell>
          <cell r="S38" t="str">
            <v>ATIVA</v>
          </cell>
          <cell r="T38" t="str">
            <v>PR. BOTAFOGO, 166 - 6º ANDAR</v>
          </cell>
          <cell r="U38" t="str">
            <v>BOTAFOGO</v>
          </cell>
          <cell r="V38" t="str">
            <v>RIO DE JANEIRO</v>
          </cell>
          <cell r="W38" t="str">
            <v>22.250-040</v>
          </cell>
        </row>
        <row r="39">
          <cell r="A39">
            <v>38</v>
          </cell>
          <cell r="B39" t="str">
            <v>RJ</v>
          </cell>
          <cell r="C39" t="str">
            <v>204-6</v>
          </cell>
          <cell r="D39" t="str">
            <v>61.10-8-01</v>
          </cell>
          <cell r="F39" t="str">
            <v xml:space="preserve"> OI S/A - EM RECUPERAÇÃO JUDICIAL</v>
          </cell>
          <cell r="G39" t="str">
            <v>3390100993-5</v>
          </cell>
          <cell r="H39" t="str">
            <v>76.535.764/0036-73</v>
          </cell>
          <cell r="I39">
            <v>39946</v>
          </cell>
          <cell r="K39" t="str">
            <v>ATIVA</v>
          </cell>
          <cell r="L39" t="str">
            <v>N/A</v>
          </cell>
          <cell r="O39" t="str">
            <v>N/A</v>
          </cell>
          <cell r="P39" t="str">
            <v>0450224-8</v>
          </cell>
          <cell r="S39" t="str">
            <v>ATIVA</v>
          </cell>
          <cell r="T39" t="str">
            <v>ROD PRESIDENTE DUTRA 2550 BLC 2 ARMAZEM1</v>
          </cell>
          <cell r="U39" t="str">
            <v>PAVUNA</v>
          </cell>
          <cell r="V39" t="str">
            <v xml:space="preserve">RIO DE JANEIRO </v>
          </cell>
          <cell r="W39" t="str">
            <v>21.535-904</v>
          </cell>
        </row>
        <row r="40">
          <cell r="A40">
            <v>39</v>
          </cell>
          <cell r="B40" t="str">
            <v>RJ</v>
          </cell>
          <cell r="C40" t="str">
            <v>204-6</v>
          </cell>
          <cell r="D40" t="str">
            <v>61.10-8-01</v>
          </cell>
          <cell r="F40" t="str">
            <v xml:space="preserve"> OI S/A - EM RECUPERAÇÃO JUDICIAL</v>
          </cell>
          <cell r="G40" t="str">
            <v>3390105363-2</v>
          </cell>
          <cell r="H40" t="str">
            <v>76.535.764/0039-16</v>
          </cell>
          <cell r="I40">
            <v>40206</v>
          </cell>
          <cell r="K40" t="str">
            <v>ATIVA</v>
          </cell>
          <cell r="L40" t="str">
            <v>N/A</v>
          </cell>
          <cell r="O40" t="str">
            <v>N/A</v>
          </cell>
          <cell r="T40" t="str">
            <v>PRAÇA TIRADENTES, 41 - PARTE</v>
          </cell>
          <cell r="U40" t="str">
            <v>CENTRO</v>
          </cell>
          <cell r="V40" t="str">
            <v>RIO DE JANEIRO</v>
          </cell>
          <cell r="W40" t="str">
            <v xml:space="preserve"> 21.060-070</v>
          </cell>
        </row>
        <row r="41">
          <cell r="A41">
            <v>40</v>
          </cell>
          <cell r="B41" t="str">
            <v>RJ</v>
          </cell>
          <cell r="C41" t="str">
            <v>204-6</v>
          </cell>
          <cell r="D41" t="str">
            <v>61.10-8-01</v>
          </cell>
          <cell r="F41" t="str">
            <v xml:space="preserve"> OI S/A - EM RECUPERAÇÃO JUDICIAL</v>
          </cell>
          <cell r="G41" t="str">
            <v>3390106219-4</v>
          </cell>
          <cell r="H41" t="str">
            <v>76.535.764/0040-50</v>
          </cell>
          <cell r="I41">
            <v>40267</v>
          </cell>
          <cell r="K41" t="str">
            <v>ATIVA</v>
          </cell>
          <cell r="L41" t="str">
            <v>N/A</v>
          </cell>
          <cell r="O41" t="str">
            <v>N/A</v>
          </cell>
          <cell r="P41" t="str">
            <v>0.656.595-6</v>
          </cell>
          <cell r="Q41">
            <v>42311</v>
          </cell>
          <cell r="S41" t="str">
            <v>ATIVA</v>
          </cell>
          <cell r="T41" t="str">
            <v xml:space="preserve">AV. PRINCESA ISABEL, 320 - ANDAR 3 </v>
          </cell>
          <cell r="U41" t="str">
            <v>COPACABANA</v>
          </cell>
          <cell r="V41" t="str">
            <v>RIO DE JANEIRO</v>
          </cell>
          <cell r="W41" t="str">
            <v>22.011-010</v>
          </cell>
        </row>
        <row r="42">
          <cell r="A42">
            <v>41</v>
          </cell>
          <cell r="B42" t="str">
            <v>RJ</v>
          </cell>
          <cell r="C42" t="str">
            <v>204-6</v>
          </cell>
          <cell r="D42" t="str">
            <v>61.10-8-01</v>
          </cell>
          <cell r="E42" t="str">
            <v>RH</v>
          </cell>
          <cell r="F42" t="str">
            <v xml:space="preserve"> OI S/A - EM RECUPERAÇÃO JUDICIAL</v>
          </cell>
          <cell r="G42" t="str">
            <v>3390130894-1</v>
          </cell>
          <cell r="H42" t="str">
            <v>76.535.764/0051-02</v>
          </cell>
          <cell r="I42">
            <v>41877</v>
          </cell>
          <cell r="K42" t="str">
            <v>ATIVA</v>
          </cell>
          <cell r="L42" t="str">
            <v>N/A</v>
          </cell>
          <cell r="O42" t="str">
            <v>N/A</v>
          </cell>
          <cell r="P42" t="str">
            <v>624.238-3</v>
          </cell>
          <cell r="S42" t="str">
            <v>ATIVA</v>
          </cell>
          <cell r="T42" t="str">
            <v>R. CORREIA VASQUES, 69 - PARTE</v>
          </cell>
          <cell r="U42" t="str">
            <v>CIDADE NOVA</v>
          </cell>
          <cell r="V42" t="str">
            <v>RIO DE JANEIRO</v>
          </cell>
          <cell r="W42" t="str">
            <v>20.211-140</v>
          </cell>
        </row>
        <row r="43">
          <cell r="A43">
            <v>42</v>
          </cell>
          <cell r="B43" t="str">
            <v>SP</v>
          </cell>
          <cell r="C43" t="str">
            <v>204-6</v>
          </cell>
          <cell r="D43" t="str">
            <v xml:space="preserve"> 61.10-8-01</v>
          </cell>
          <cell r="E43" t="str">
            <v>RH</v>
          </cell>
          <cell r="F43" t="str">
            <v xml:space="preserve"> OI S/A - EM RECUPERAÇÃO JUDICIAL</v>
          </cell>
          <cell r="G43" t="str">
            <v>3590502874-0</v>
          </cell>
          <cell r="H43" t="str">
            <v>76.535.764/0052-93</v>
          </cell>
          <cell r="I43">
            <v>42234</v>
          </cell>
          <cell r="K43" t="str">
            <v>ATIVA</v>
          </cell>
          <cell r="O43" t="str">
            <v>ATIVA</v>
          </cell>
          <cell r="P43" t="str">
            <v>Em processo</v>
          </cell>
          <cell r="T43" t="str">
            <v>AV. DOUTOR CARDOSO DE MELO, 878 - CONJ. 32</v>
          </cell>
          <cell r="U43" t="str">
            <v>VILA OLIMPIA</v>
          </cell>
          <cell r="V43" t="str">
            <v>SÃO PAULO</v>
          </cell>
          <cell r="W43" t="str">
            <v>04.548-003</v>
          </cell>
        </row>
        <row r="44">
          <cell r="A44">
            <v>43</v>
          </cell>
          <cell r="B44" t="str">
            <v>GO</v>
          </cell>
          <cell r="C44" t="str">
            <v>205-4</v>
          </cell>
          <cell r="D44" t="str">
            <v>82.20-2-00</v>
          </cell>
          <cell r="E44" t="str">
            <v>Matriz</v>
          </cell>
          <cell r="F44" t="str">
            <v>BRASIL TELECOM CALL CENTER S/A</v>
          </cell>
          <cell r="G44" t="str">
            <v>5230001964-8</v>
          </cell>
          <cell r="H44" t="str">
            <v>04.014.081/0001-30</v>
          </cell>
          <cell r="I44">
            <v>36749</v>
          </cell>
          <cell r="K44" t="str">
            <v>ATIVA</v>
          </cell>
          <cell r="L44" t="str">
            <v>N/A</v>
          </cell>
          <cell r="O44" t="str">
            <v>N/A</v>
          </cell>
          <cell r="P44">
            <v>4477766</v>
          </cell>
          <cell r="Q44">
            <v>42927</v>
          </cell>
          <cell r="S44" t="str">
            <v>ATIVA</v>
          </cell>
          <cell r="T44" t="str">
            <v>ROD BR-153, SN - KM 06 BLOCO 03</v>
          </cell>
          <cell r="U44" t="str">
            <v>VILA REDENÇÃO</v>
          </cell>
          <cell r="V44" t="str">
            <v>GOIÂNIA</v>
          </cell>
          <cell r="W44" t="str">
            <v>74.845-090</v>
          </cell>
        </row>
        <row r="45">
          <cell r="A45">
            <v>44</v>
          </cell>
          <cell r="B45" t="str">
            <v>MS</v>
          </cell>
          <cell r="C45" t="str">
            <v>205-4</v>
          </cell>
          <cell r="D45" t="str">
            <v>82.20-2-00</v>
          </cell>
          <cell r="F45" t="str">
            <v>BRASIL TELECOM CALL CENTER S/A</v>
          </cell>
          <cell r="G45" t="str">
            <v>5490024008-8</v>
          </cell>
          <cell r="H45" t="str">
            <v>04.014.081/0002-10</v>
          </cell>
          <cell r="I45">
            <v>39328</v>
          </cell>
          <cell r="K45" t="str">
            <v>ATIVA</v>
          </cell>
          <cell r="L45" t="str">
            <v>N/A</v>
          </cell>
          <cell r="O45" t="str">
            <v>N/A</v>
          </cell>
          <cell r="P45">
            <v>129243007</v>
          </cell>
          <cell r="S45" t="str">
            <v>ATIVA</v>
          </cell>
          <cell r="T45" t="str">
            <v>RUA SANTA BARBARA, 605</v>
          </cell>
          <cell r="U45" t="str">
            <v>VILA RICA</v>
          </cell>
          <cell r="V45" t="str">
            <v>CAMPO GRANDE</v>
          </cell>
          <cell r="W45" t="str">
            <v>79.022-060</v>
          </cell>
        </row>
        <row r="46">
          <cell r="A46">
            <v>45</v>
          </cell>
          <cell r="B46" t="str">
            <v>MS</v>
          </cell>
          <cell r="C46" t="str">
            <v>205-4</v>
          </cell>
          <cell r="D46" t="str">
            <v>82.20-2-00</v>
          </cell>
          <cell r="F46" t="str">
            <v>BRASIL TELECOM CALL CENTER S/A</v>
          </cell>
          <cell r="G46" t="str">
            <v>5490024009-6</v>
          </cell>
          <cell r="H46" t="str">
            <v>04.014.081/0003-00</v>
          </cell>
          <cell r="I46">
            <v>39328</v>
          </cell>
          <cell r="K46" t="str">
            <v>ATIVA</v>
          </cell>
          <cell r="L46" t="str">
            <v>N/A</v>
          </cell>
          <cell r="O46" t="str">
            <v>N/A</v>
          </cell>
          <cell r="P46">
            <v>129243015</v>
          </cell>
          <cell r="S46" t="str">
            <v>ATIVA</v>
          </cell>
          <cell r="T46" t="str">
            <v>RUA RUI BARBOSA, 3040</v>
          </cell>
          <cell r="U46" t="str">
            <v>CENTRO</v>
          </cell>
          <cell r="V46" t="str">
            <v>CAMPO GRANDE</v>
          </cell>
          <cell r="W46" t="str">
            <v>79.002-362</v>
          </cell>
        </row>
        <row r="47">
          <cell r="A47">
            <v>46</v>
          </cell>
          <cell r="B47" t="str">
            <v>PR</v>
          </cell>
          <cell r="C47" t="str">
            <v>205-4</v>
          </cell>
          <cell r="D47" t="str">
            <v>82.20-2-00</v>
          </cell>
          <cell r="F47" t="str">
            <v>BRASIL TELECOM CALL CENTER S/A</v>
          </cell>
          <cell r="G47" t="str">
            <v>4190100002-1</v>
          </cell>
          <cell r="H47" t="str">
            <v>04.014.081/0005-63</v>
          </cell>
          <cell r="I47">
            <v>39335</v>
          </cell>
          <cell r="K47" t="str">
            <v>ATIVA</v>
          </cell>
          <cell r="L47" t="str">
            <v>N/A</v>
          </cell>
          <cell r="O47" t="str">
            <v>N/A</v>
          </cell>
          <cell r="P47" t="str">
            <v>17.02.530.852-7</v>
          </cell>
          <cell r="S47" t="str">
            <v>ATIVA</v>
          </cell>
          <cell r="T47" t="str">
            <v xml:space="preserve">TRAVESSA TEIXEIRA DE FREITAS, 75 - 3º, 4º E 5º ANDARES </v>
          </cell>
          <cell r="U47" t="str">
            <v>SÃO FRANCISCO</v>
          </cell>
          <cell r="V47" t="str">
            <v>CURITIBA</v>
          </cell>
          <cell r="W47" t="str">
            <v>80.410-040</v>
          </cell>
        </row>
        <row r="48">
          <cell r="A48">
            <v>47</v>
          </cell>
          <cell r="B48" t="str">
            <v>GO</v>
          </cell>
          <cell r="C48" t="str">
            <v>205-4</v>
          </cell>
          <cell r="D48" t="str">
            <v>82.20-2-00</v>
          </cell>
          <cell r="F48" t="str">
            <v>BRASIL TELECOM CALL CENTER S/A</v>
          </cell>
          <cell r="G48" t="str">
            <v>5290051870-0</v>
          </cell>
          <cell r="H48" t="str">
            <v>04.014.081/0008-06</v>
          </cell>
          <cell r="I48">
            <v>39329</v>
          </cell>
          <cell r="K48" t="str">
            <v>ATIVA</v>
          </cell>
          <cell r="L48">
            <v>108982238</v>
          </cell>
          <cell r="M48">
            <v>44609</v>
          </cell>
          <cell r="O48" t="str">
            <v>ATIVA</v>
          </cell>
          <cell r="P48" t="str">
            <v>240.630-6</v>
          </cell>
          <cell r="S48" t="str">
            <v>ATIVA</v>
          </cell>
          <cell r="T48" t="str">
            <v xml:space="preserve">RODOVIA BR 153, KM 06, S/N - BLOCO 10 - PARTE </v>
          </cell>
          <cell r="U48" t="str">
            <v>VILA REDENÇÃO</v>
          </cell>
          <cell r="V48" t="str">
            <v>GOIANIA</v>
          </cell>
          <cell r="W48" t="str">
            <v>74.845-090</v>
          </cell>
        </row>
        <row r="49">
          <cell r="A49">
            <v>48</v>
          </cell>
          <cell r="B49" t="str">
            <v>RJ</v>
          </cell>
          <cell r="C49" t="str">
            <v>205-4</v>
          </cell>
          <cell r="D49" t="str">
            <v>82.20-2-00</v>
          </cell>
          <cell r="F49" t="str">
            <v>BRASIL TELECOM CALL CENTER S/A</v>
          </cell>
          <cell r="G49" t="str">
            <v>3390123203-1</v>
          </cell>
          <cell r="H49" t="str">
            <v>04.014.081/0013-73</v>
          </cell>
          <cell r="I49">
            <v>41332</v>
          </cell>
          <cell r="K49" t="str">
            <v>ATIVA</v>
          </cell>
          <cell r="L49" t="str">
            <v>N/A</v>
          </cell>
          <cell r="O49" t="str">
            <v>N/A</v>
          </cell>
          <cell r="P49" t="str">
            <v>0578738-6</v>
          </cell>
          <cell r="S49" t="str">
            <v>ATIVA</v>
          </cell>
          <cell r="T49" t="str">
            <v>R. HANNIBAL PORTO, 450 - 5º ANDAR</v>
          </cell>
          <cell r="U49" t="str">
            <v>IRAJÁ</v>
          </cell>
          <cell r="V49" t="str">
            <v>RIO DE JANEIRO</v>
          </cell>
          <cell r="W49" t="str">
            <v>21.230-330</v>
          </cell>
        </row>
        <row r="50">
          <cell r="A50">
            <v>49</v>
          </cell>
          <cell r="B50" t="str">
            <v>SP</v>
          </cell>
          <cell r="C50" t="str">
            <v>205-4</v>
          </cell>
          <cell r="D50" t="str">
            <v>61.90-6-99</v>
          </cell>
          <cell r="E50" t="str">
            <v>Matriz</v>
          </cell>
          <cell r="F50" t="str">
            <v>OI SOLUÇÕES S/A</v>
          </cell>
          <cell r="G50" t="str">
            <v>3530035577-6</v>
          </cell>
          <cell r="H50" t="str">
            <v>09.719.875/0001-12</v>
          </cell>
          <cell r="I50">
            <v>39568</v>
          </cell>
          <cell r="K50" t="str">
            <v>ATIVA</v>
          </cell>
          <cell r="L50">
            <v>128836460119</v>
          </cell>
          <cell r="M50">
            <v>40513</v>
          </cell>
          <cell r="O50" t="str">
            <v>ATIVA</v>
          </cell>
          <cell r="P50" t="str">
            <v xml:space="preserve">3.779.730-1 </v>
          </cell>
          <cell r="Q50">
            <v>39640</v>
          </cell>
          <cell r="S50" t="str">
            <v>ATIVA</v>
          </cell>
          <cell r="T50" t="str">
            <v>AV ROQUE PETRONI JUNIOR, 999, CONJ 82</v>
          </cell>
          <cell r="U50" t="str">
            <v>VILA GERTRUDES</v>
          </cell>
          <cell r="V50" t="str">
            <v>SÃO PAULO</v>
          </cell>
          <cell r="W50" t="str">
            <v>04.707-910</v>
          </cell>
          <cell r="X50" t="str">
            <v>S</v>
          </cell>
        </row>
        <row r="51">
          <cell r="A51">
            <v>50</v>
          </cell>
          <cell r="B51" t="str">
            <v>RJ</v>
          </cell>
          <cell r="C51" t="str">
            <v>399-9</v>
          </cell>
          <cell r="D51" t="str">
            <v>94.99-5-00</v>
          </cell>
          <cell r="E51" t="str">
            <v>Matriz</v>
          </cell>
          <cell r="F51" t="str">
            <v xml:space="preserve">INSTITUTO TELEMAR </v>
          </cell>
          <cell r="G51" t="str">
            <v>_</v>
          </cell>
          <cell r="H51" t="str">
            <v>04.256.109/0001-45</v>
          </cell>
          <cell r="I51">
            <v>36917</v>
          </cell>
          <cell r="K51" t="str">
            <v>ATIVA</v>
          </cell>
          <cell r="L51" t="str">
            <v>N/A</v>
          </cell>
          <cell r="O51" t="str">
            <v>N/A</v>
          </cell>
          <cell r="P51">
            <v>2974096</v>
          </cell>
          <cell r="T51" t="str">
            <v>RUA DOIS DE DEZEMBRO, 63 SALA 52</v>
          </cell>
          <cell r="U51" t="str">
            <v>FLAMENGO</v>
          </cell>
          <cell r="V51" t="str">
            <v>RIO DE JANEIRO</v>
          </cell>
          <cell r="W51" t="str">
            <v>22.220-040</v>
          </cell>
        </row>
        <row r="52">
          <cell r="A52">
            <v>51</v>
          </cell>
          <cell r="B52" t="str">
            <v>SC</v>
          </cell>
          <cell r="C52" t="str">
            <v>204-6</v>
          </cell>
          <cell r="D52" t="str">
            <v xml:space="preserve">61.10-8-01 </v>
          </cell>
          <cell r="E52" t="str">
            <v>CD</v>
          </cell>
          <cell r="F52" t="str">
            <v xml:space="preserve"> OI S/A - EM RECUPERAÇÃO JUDICIAL</v>
          </cell>
          <cell r="H52" t="str">
            <v>76.535.764/0054-55</v>
          </cell>
          <cell r="I52">
            <v>42968</v>
          </cell>
          <cell r="K52" t="str">
            <v>ATIVA</v>
          </cell>
          <cell r="T52" t="str">
            <v>RUA MENINO JULIO CESAR, SN - SETOR 1</v>
          </cell>
          <cell r="U52" t="str">
            <v>NOSSA SRA DO ROSARIO</v>
          </cell>
          <cell r="V52" t="str">
            <v xml:space="preserve">SAO JOSE </v>
          </cell>
          <cell r="W52" t="str">
            <v xml:space="preserve">88.110-639   </v>
          </cell>
        </row>
        <row r="53">
          <cell r="A53">
            <v>52</v>
          </cell>
          <cell r="B53" t="str">
            <v>SP</v>
          </cell>
          <cell r="C53" t="str">
            <v>205-4</v>
          </cell>
          <cell r="D53" t="str">
            <v>82.99-7-99</v>
          </cell>
          <cell r="E53" t="str">
            <v>MATRIZ</v>
          </cell>
          <cell r="F53" t="str">
            <v>PAGGO SOLUCOES E MEIOS DE PAGAMENTO S/A</v>
          </cell>
          <cell r="G53">
            <v>35300439112</v>
          </cell>
          <cell r="H53" t="str">
            <v>09.311.289/0001-34</v>
          </cell>
          <cell r="I53">
            <v>39422</v>
          </cell>
          <cell r="K53" t="str">
            <v>ATIVA</v>
          </cell>
          <cell r="L53" t="str">
            <v>-</v>
          </cell>
          <cell r="O53" t="str">
            <v>ATIVA</v>
          </cell>
          <cell r="T53" t="str">
            <v>AL. GRAJAU, 219 - ANDAR 3 - BLOCO C</v>
          </cell>
          <cell r="U53" t="str">
            <v>ALPHAVILLE</v>
          </cell>
          <cell r="V53" t="str">
            <v>BARUERI</v>
          </cell>
          <cell r="W53" t="str">
            <v>06.454-050</v>
          </cell>
        </row>
        <row r="54">
          <cell r="A54">
            <v>53</v>
          </cell>
          <cell r="B54" t="str">
            <v>RJ</v>
          </cell>
          <cell r="C54" t="str">
            <v>205-4</v>
          </cell>
          <cell r="D54" t="str">
            <v>66.30-4-00</v>
          </cell>
          <cell r="E54" t="str">
            <v>MATRIZ</v>
          </cell>
          <cell r="F54" t="str">
            <v>RIO ALTO INVESTIMENTOS E PARTICIPAÇÕES S/A</v>
          </cell>
          <cell r="G54" t="str">
            <v>3330030878-4</v>
          </cell>
          <cell r="H54" t="str">
            <v>11.973.206/0001-14</v>
          </cell>
          <cell r="I54">
            <v>40318</v>
          </cell>
          <cell r="K54" t="str">
            <v>ATIVA</v>
          </cell>
          <cell r="L54" t="str">
            <v>N/A</v>
          </cell>
          <cell r="O54" t="str">
            <v>N/A</v>
          </cell>
          <cell r="P54" t="str">
            <v>621.675-7</v>
          </cell>
          <cell r="T54" t="str">
            <v>RUA BENEDITINOS, 23 - ANDAR 2 - SALA 205</v>
          </cell>
          <cell r="U54" t="str">
            <v>CENTRO</v>
          </cell>
          <cell r="V54" t="str">
            <v>RIO DE JANEIRO</v>
          </cell>
          <cell r="W54" t="str">
            <v>20.081-050</v>
          </cell>
        </row>
        <row r="55">
          <cell r="A55">
            <v>54</v>
          </cell>
          <cell r="B55" t="str">
            <v>RS</v>
          </cell>
          <cell r="C55" t="str">
            <v>204-6</v>
          </cell>
          <cell r="D55" t="str">
            <v>61.10-8-01</v>
          </cell>
          <cell r="E55" t="str">
            <v>CD</v>
          </cell>
          <cell r="F55" t="str">
            <v xml:space="preserve"> OI S/A - EM RECUPERAÇÃO JUDICIAL</v>
          </cell>
          <cell r="G55">
            <v>43901898673</v>
          </cell>
          <cell r="H55" t="str">
            <v>76.535.764/0058-89</v>
          </cell>
          <cell r="I55">
            <v>43018</v>
          </cell>
          <cell r="K55" t="str">
            <v>ATIVA</v>
          </cell>
          <cell r="L55" t="str">
            <v>N/A</v>
          </cell>
          <cell r="O55" t="str">
            <v>N/A</v>
          </cell>
          <cell r="P55" t="str">
            <v>291231.2.7</v>
          </cell>
          <cell r="Q55">
            <v>43042</v>
          </cell>
          <cell r="S55" t="str">
            <v>ATIVA</v>
          </cell>
          <cell r="T55" t="str">
            <v>RUA JOAQUIM OLIVEIRA, 166 – FUNDOS PAVILHÃO 40 - SETOR 1</v>
          </cell>
          <cell r="U55" t="str">
            <v>ANCHIETA</v>
          </cell>
          <cell r="V55" t="str">
            <v>PORTO ALEGRE</v>
          </cell>
          <cell r="W55" t="str">
            <v>90.200-050</v>
          </cell>
        </row>
        <row r="56">
          <cell r="A56">
            <v>55</v>
          </cell>
          <cell r="B56" t="str">
            <v>PR</v>
          </cell>
          <cell r="C56" t="str">
            <v>204-6</v>
          </cell>
          <cell r="D56" t="str">
            <v>61.10-8-01</v>
          </cell>
          <cell r="F56" t="str">
            <v xml:space="preserve"> OI S/A - EM RECUPERAÇÃO JUDICIAL</v>
          </cell>
          <cell r="G56">
            <v>41901737732</v>
          </cell>
          <cell r="H56" t="str">
            <v>76.535.764/0060-01</v>
          </cell>
          <cell r="I56">
            <v>43269</v>
          </cell>
          <cell r="K56" t="str">
            <v>ATIVA</v>
          </cell>
          <cell r="L56" t="str">
            <v>N/A</v>
          </cell>
          <cell r="O56" t="str">
            <v>N/A</v>
          </cell>
          <cell r="P56">
            <v>2453274</v>
          </cell>
          <cell r="Q56">
            <v>43269</v>
          </cell>
          <cell r="S56" t="str">
            <v>ATIVA</v>
          </cell>
          <cell r="T56" t="str">
            <v>AV MADRE LEONIA MILITO, 2100 - TERREO</v>
          </cell>
          <cell r="U56" t="str">
            <v>BELA SUICA</v>
          </cell>
          <cell r="V56" t="str">
            <v>LONDRINA</v>
          </cell>
          <cell r="W56" t="str">
            <v>86.050-270</v>
          </cell>
        </row>
        <row r="57">
          <cell r="A57">
            <v>56</v>
          </cell>
          <cell r="B57" t="str">
            <v>MS</v>
          </cell>
          <cell r="C57" t="str">
            <v>204-6</v>
          </cell>
          <cell r="D57" t="str">
            <v>61.10-8-01</v>
          </cell>
          <cell r="E57" t="str">
            <v>E-Social</v>
          </cell>
          <cell r="F57" t="str">
            <v xml:space="preserve"> OI S/A - EM RECUPERAÇÃO JUDICIAL</v>
          </cell>
          <cell r="G57" t="str">
            <v>5490036816-5</v>
          </cell>
          <cell r="H57" t="str">
            <v>76.535.764/0061-84</v>
          </cell>
          <cell r="I57">
            <v>43306</v>
          </cell>
          <cell r="K57" t="str">
            <v>ATIVA</v>
          </cell>
          <cell r="T57" t="str">
            <v>R DOUTOR MUNIR THOME, 701 - PARTE 1</v>
          </cell>
          <cell r="U57" t="str">
            <v>CENTRO</v>
          </cell>
          <cell r="V57" t="str">
            <v>TRES LAGOAS</v>
          </cell>
          <cell r="W57" t="str">
            <v>79.601-070</v>
          </cell>
        </row>
        <row r="58">
          <cell r="A58">
            <v>57</v>
          </cell>
          <cell r="B58" t="str">
            <v>RS</v>
          </cell>
          <cell r="C58" t="str">
            <v>204-6</v>
          </cell>
          <cell r="D58" t="str">
            <v>61.10-8-01</v>
          </cell>
          <cell r="E58" t="str">
            <v>E-Social</v>
          </cell>
          <cell r="F58" t="str">
            <v xml:space="preserve"> OI S/A - EM RECUPERAÇÃO JUDICIAL</v>
          </cell>
          <cell r="G58" t="str">
            <v>4390194453-5</v>
          </cell>
          <cell r="H58" t="str">
            <v>76.535.764/0062-65</v>
          </cell>
          <cell r="I58">
            <v>43312</v>
          </cell>
          <cell r="K58" t="str">
            <v>ATIVA</v>
          </cell>
          <cell r="L58" t="str">
            <v>N/A</v>
          </cell>
          <cell r="O58" t="str">
            <v>N/A</v>
          </cell>
          <cell r="T58" t="str">
            <v>AV GENERAL OSORIO, 1150 - PARTE 1</v>
          </cell>
          <cell r="U58" t="str">
            <v>CENTRO</v>
          </cell>
          <cell r="V58" t="str">
            <v>BAGE</v>
          </cell>
          <cell r="W58" t="str">
            <v>96.400-100</v>
          </cell>
        </row>
        <row r="59">
          <cell r="A59">
            <v>58</v>
          </cell>
          <cell r="B59" t="str">
            <v>RS</v>
          </cell>
          <cell r="C59" t="str">
            <v>204-6</v>
          </cell>
          <cell r="D59" t="str">
            <v>61.10-8-01</v>
          </cell>
          <cell r="E59" t="str">
            <v>E-Social</v>
          </cell>
          <cell r="F59" t="str">
            <v xml:space="preserve"> OI S/A - EM RECUPERAÇÃO JUDICIAL</v>
          </cell>
          <cell r="G59" t="str">
            <v>4390194455-1</v>
          </cell>
          <cell r="H59" t="str">
            <v>76.535.764/0064-27</v>
          </cell>
          <cell r="I59">
            <v>43312</v>
          </cell>
          <cell r="K59" t="str">
            <v>ATIVA</v>
          </cell>
          <cell r="L59" t="str">
            <v>N/A</v>
          </cell>
          <cell r="O59" t="str">
            <v>N/A</v>
          </cell>
          <cell r="T59" t="str">
            <v>R ENGENHEIRO AFONSO CAVALCANTI, 100 - ANDAR 4</v>
          </cell>
          <cell r="U59" t="str">
            <v>BELA VISTA</v>
          </cell>
          <cell r="V59" t="str">
            <v>PORTO ALEGRE</v>
          </cell>
          <cell r="W59" t="str">
            <v>90.440-110</v>
          </cell>
        </row>
        <row r="60">
          <cell r="A60">
            <v>59</v>
          </cell>
          <cell r="B60" t="str">
            <v>RS</v>
          </cell>
          <cell r="C60" t="str">
            <v>204-6</v>
          </cell>
          <cell r="D60" t="str">
            <v>61.10-8-01</v>
          </cell>
          <cell r="E60" t="str">
            <v>E-Social</v>
          </cell>
          <cell r="F60" t="str">
            <v xml:space="preserve"> OI S/A - EM RECUPERAÇÃO JUDICIAL</v>
          </cell>
          <cell r="G60" t="str">
            <v>4390194456-0</v>
          </cell>
          <cell r="H60" t="str">
            <v>76.535.764/0066-99</v>
          </cell>
          <cell r="I60">
            <v>43312</v>
          </cell>
          <cell r="K60" t="str">
            <v>ATIVA</v>
          </cell>
          <cell r="L60" t="str">
            <v>N/A</v>
          </cell>
          <cell r="O60" t="str">
            <v>N/A</v>
          </cell>
          <cell r="T60" t="str">
            <v>R RIVADAVIA CORREA, 766 - PARTE 1</v>
          </cell>
          <cell r="U60" t="str">
            <v>CENTRO</v>
          </cell>
          <cell r="V60" t="str">
            <v>SANTANA DO LIVRAMENTO</v>
          </cell>
          <cell r="W60" t="str">
            <v>97.573-562</v>
          </cell>
        </row>
        <row r="61">
          <cell r="A61">
            <v>60</v>
          </cell>
          <cell r="B61" t="str">
            <v>RJ</v>
          </cell>
          <cell r="C61" t="str">
            <v>205-4</v>
          </cell>
          <cell r="D61" t="str">
            <v xml:space="preserve">82.20-2-00 </v>
          </cell>
          <cell r="F61" t="str">
            <v>BRASIL TELECOM CALL CENTER S/A</v>
          </cell>
          <cell r="G61" t="str">
            <v>3390152829-1</v>
          </cell>
          <cell r="H61" t="str">
            <v>04.014.081/0015-35</v>
          </cell>
          <cell r="I61">
            <v>43570</v>
          </cell>
          <cell r="K61" t="str">
            <v>ATIVA</v>
          </cell>
          <cell r="L61" t="str">
            <v>N/A</v>
          </cell>
          <cell r="O61" t="str">
            <v>N/A</v>
          </cell>
          <cell r="P61" t="str">
            <v>1169368-7</v>
          </cell>
          <cell r="Q61">
            <v>43589</v>
          </cell>
          <cell r="S61" t="str">
            <v>ATIVA</v>
          </cell>
          <cell r="T61" t="str">
            <v>R BENEDITINOS , 23 - SAL 201/1101</v>
          </cell>
          <cell r="U61" t="str">
            <v>CENTRO</v>
          </cell>
          <cell r="V61" t="str">
            <v>RIO DE JANEIRO</v>
          </cell>
          <cell r="W61" t="str">
            <v xml:space="preserve">20.081-050   </v>
          </cell>
        </row>
        <row r="62">
          <cell r="A62">
            <v>61</v>
          </cell>
          <cell r="B62" t="str">
            <v>RJ</v>
          </cell>
          <cell r="C62" t="str">
            <v>204-6</v>
          </cell>
          <cell r="D62" t="str">
            <v>61.10-8-01</v>
          </cell>
          <cell r="F62" t="str">
            <v>OI S/A - EM RECUPERAÇÃO JUDICIAL</v>
          </cell>
          <cell r="G62">
            <v>33901774950</v>
          </cell>
          <cell r="H62" t="str">
            <v>76.535.764/0073-18</v>
          </cell>
          <cell r="I62">
            <v>43894</v>
          </cell>
          <cell r="K62" t="str">
            <v>ATIVA</v>
          </cell>
          <cell r="L62" t="str">
            <v>N/A</v>
          </cell>
          <cell r="O62" t="str">
            <v>N/A</v>
          </cell>
          <cell r="P62" t="str">
            <v>1.233.847-3</v>
          </cell>
          <cell r="S62" t="str">
            <v>ATIVA</v>
          </cell>
          <cell r="T62" t="str">
            <v>R ALEXANDRE MACKENZIE, 75 SAL 201</v>
          </cell>
          <cell r="U62" t="str">
            <v>CENTRO</v>
          </cell>
          <cell r="V62" t="str">
            <v>RIO DE JANEIRO</v>
          </cell>
          <cell r="W62" t="str">
            <v>20.221-410</v>
          </cell>
        </row>
        <row r="63">
          <cell r="A63">
            <v>62</v>
          </cell>
          <cell r="B63" t="str">
            <v>DF</v>
          </cell>
          <cell r="C63" t="str">
            <v>204-6</v>
          </cell>
          <cell r="D63" t="str">
            <v>61.10-8-01</v>
          </cell>
          <cell r="E63" t="str">
            <v>CD</v>
          </cell>
          <cell r="F63" t="str">
            <v>OI S/A - EM RECUPERAÇÃO JUDICIAL</v>
          </cell>
          <cell r="G63">
            <v>53920009968</v>
          </cell>
          <cell r="H63" t="str">
            <v>76.535.764/0222-01</v>
          </cell>
          <cell r="I63">
            <v>44061</v>
          </cell>
          <cell r="K63" t="str">
            <v>ATIVA</v>
          </cell>
          <cell r="L63" t="str">
            <v>CENTRALIZADA</v>
          </cell>
          <cell r="M63" t="str">
            <v>CENTRALIZADA</v>
          </cell>
          <cell r="O63" t="str">
            <v>ATIVA</v>
          </cell>
          <cell r="P63" t="str">
            <v>07.408.927/006-57</v>
          </cell>
          <cell r="S63" t="str">
            <v>ATIVA</v>
          </cell>
          <cell r="T63" t="str">
            <v xml:space="preserve">NUCR PONTE ALTA NORTE RODOVIA 001/475 ARMAZEM 03, S/N, COND GAMA BUSINESS PARK PARTE D
</v>
          </cell>
          <cell r="U63" t="str">
            <v>PONTE ALTA NORTE (GAMA)</v>
          </cell>
          <cell r="V63" t="str">
            <v>BRASILIA</v>
          </cell>
          <cell r="W63" t="str">
            <v>72.427-010</v>
          </cell>
        </row>
        <row r="64">
          <cell r="A64">
            <v>63</v>
          </cell>
          <cell r="B64" t="str">
            <v>DF</v>
          </cell>
          <cell r="C64" t="str">
            <v>204-6</v>
          </cell>
          <cell r="D64" t="str">
            <v>61.10-8-01</v>
          </cell>
          <cell r="E64" t="str">
            <v>CA</v>
          </cell>
          <cell r="F64" t="str">
            <v>OI S/A - EM RECUPERAÇÃO JUDICIAL</v>
          </cell>
          <cell r="G64">
            <v>53920009950</v>
          </cell>
          <cell r="H64" t="str">
            <v>76.535.764/0221-12</v>
          </cell>
          <cell r="I64">
            <v>44061</v>
          </cell>
          <cell r="K64" t="str">
            <v>ATIVA</v>
          </cell>
          <cell r="L64" t="str">
            <v>CENTRALIZADA</v>
          </cell>
          <cell r="M64" t="str">
            <v>CENTRALIZADA</v>
          </cell>
          <cell r="O64" t="str">
            <v>ATIVA</v>
          </cell>
          <cell r="P64" t="str">
            <v>07.408.927/005-76</v>
          </cell>
          <cell r="S64" t="str">
            <v>ATIVA</v>
          </cell>
          <cell r="T64" t="str">
            <v>TR SIA TRECHO 4, 1930, PARTE D</v>
          </cell>
          <cell r="U64" t="str">
            <v>ZONA INDUSTRIAL (GUARA)</v>
          </cell>
          <cell r="V64" t="str">
            <v>BRASILIA</v>
          </cell>
          <cell r="W64" t="str">
            <v>71.200-040</v>
          </cell>
        </row>
        <row r="65">
          <cell r="A65">
            <v>64</v>
          </cell>
          <cell r="B65" t="str">
            <v>AM</v>
          </cell>
          <cell r="C65" t="str">
            <v>204-6</v>
          </cell>
          <cell r="D65" t="str">
            <v>61.10-8-01</v>
          </cell>
          <cell r="E65" t="str">
            <v>RH</v>
          </cell>
          <cell r="F65" t="str">
            <v>OI S/A - EM RECUPERAÇÃO JUDICIAL</v>
          </cell>
          <cell r="G65">
            <v>13920003436</v>
          </cell>
          <cell r="H65" t="str">
            <v>76.535.764/0100-25</v>
          </cell>
          <cell r="I65">
            <v>44056</v>
          </cell>
          <cell r="K65" t="str">
            <v>ATIVA</v>
          </cell>
          <cell r="L65" t="str">
            <v>CENTRALIZADA</v>
          </cell>
          <cell r="M65" t="str">
            <v>CENTRALIZADA</v>
          </cell>
          <cell r="O65" t="str">
            <v>ATIVA</v>
          </cell>
          <cell r="P65" t="str">
            <v>03094/2020</v>
          </cell>
          <cell r="Q65">
            <v>44167</v>
          </cell>
          <cell r="S65" t="str">
            <v>ATIVA</v>
          </cell>
          <cell r="T65" t="str">
            <v>AV AMIZADE, 933, PARTE A</v>
          </cell>
          <cell r="U65" t="str">
            <v>CENTRO</v>
          </cell>
          <cell r="V65" t="str">
            <v>TABATINGA</v>
          </cell>
          <cell r="W65" t="str">
            <v>69.640-000</v>
          </cell>
        </row>
        <row r="66">
          <cell r="A66">
            <v>65</v>
          </cell>
          <cell r="B66" t="str">
            <v>BA</v>
          </cell>
          <cell r="C66" t="str">
            <v>204-6</v>
          </cell>
          <cell r="D66" t="str">
            <v>61.10-8-01</v>
          </cell>
          <cell r="E66" t="str">
            <v>RH</v>
          </cell>
          <cell r="F66" t="str">
            <v>OI S/A - EM RECUPERAÇÃO JUDICIAL</v>
          </cell>
          <cell r="G66">
            <v>29902011957</v>
          </cell>
          <cell r="H66" t="str">
            <v>76.535.764/0085-51</v>
          </cell>
          <cell r="I66">
            <v>44056</v>
          </cell>
          <cell r="K66" t="str">
            <v>ATIVA</v>
          </cell>
          <cell r="L66">
            <v>170049797</v>
          </cell>
          <cell r="M66">
            <v>44056</v>
          </cell>
          <cell r="N66">
            <v>44103</v>
          </cell>
          <cell r="O66" t="str">
            <v>BAIXADA</v>
          </cell>
          <cell r="P66">
            <v>21208</v>
          </cell>
          <cell r="Q66">
            <v>44581</v>
          </cell>
          <cell r="S66" t="str">
            <v>ATIVA</v>
          </cell>
          <cell r="T66" t="str">
            <v>R DOUTOR ABILIO FARIAS, 491, SALA A</v>
          </cell>
          <cell r="U66" t="str">
            <v>CENTRO</v>
          </cell>
          <cell r="V66" t="str">
            <v>BARREIRAS</v>
          </cell>
          <cell r="W66" t="str">
            <v>47.800-030</v>
          </cell>
        </row>
        <row r="67">
          <cell r="A67">
            <v>66</v>
          </cell>
          <cell r="B67" t="str">
            <v>BA</v>
          </cell>
          <cell r="C67" t="str">
            <v>204-6</v>
          </cell>
          <cell r="D67" t="str">
            <v>61.10-8-01</v>
          </cell>
          <cell r="E67" t="str">
            <v>RH</v>
          </cell>
          <cell r="F67" t="str">
            <v>OI S/A - EM RECUPERAÇÃO JUDICIAL</v>
          </cell>
          <cell r="G67">
            <v>29902011922</v>
          </cell>
          <cell r="H67" t="str">
            <v>76.535.764/0078-22</v>
          </cell>
          <cell r="I67">
            <v>44056</v>
          </cell>
          <cell r="K67" t="str">
            <v>ATIVA</v>
          </cell>
          <cell r="L67">
            <v>170049462</v>
          </cell>
          <cell r="M67">
            <v>44056</v>
          </cell>
          <cell r="N67">
            <v>44103</v>
          </cell>
          <cell r="O67" t="str">
            <v>BAIXADA</v>
          </cell>
          <cell r="P67">
            <v>9674061</v>
          </cell>
          <cell r="Q67">
            <v>44260</v>
          </cell>
          <cell r="S67" t="str">
            <v>ATIVA</v>
          </cell>
          <cell r="T67" t="str">
            <v>AV DOM PEDRO II, 501, SALA A</v>
          </cell>
          <cell r="U67" t="str">
            <v>CENTRO</v>
          </cell>
          <cell r="V67" t="str">
            <v>EUNAPOLIS</v>
          </cell>
          <cell r="W67" t="str">
            <v>45.820-081</v>
          </cell>
        </row>
        <row r="68">
          <cell r="A68">
            <v>67</v>
          </cell>
          <cell r="B68" t="str">
            <v>BA</v>
          </cell>
          <cell r="C68" t="str">
            <v>204-6</v>
          </cell>
          <cell r="D68" t="str">
            <v>61.10-8-01</v>
          </cell>
          <cell r="E68" t="str">
            <v>RH</v>
          </cell>
          <cell r="F68" t="str">
            <v>OI S/A - EM RECUPERAÇÃO JUDICIAL</v>
          </cell>
          <cell r="G68">
            <v>29902011949</v>
          </cell>
          <cell r="H68" t="str">
            <v>76.535.764/0084-70</v>
          </cell>
          <cell r="I68">
            <v>44056</v>
          </cell>
          <cell r="K68" t="str">
            <v>ATIVA</v>
          </cell>
          <cell r="L68">
            <v>170049689</v>
          </cell>
          <cell r="M68">
            <v>44056</v>
          </cell>
          <cell r="N68">
            <v>44103</v>
          </cell>
          <cell r="O68" t="str">
            <v>BAIXADA</v>
          </cell>
          <cell r="P68">
            <v>802400</v>
          </cell>
          <cell r="Q68">
            <v>44232</v>
          </cell>
          <cell r="S68" t="str">
            <v>ATIVA</v>
          </cell>
          <cell r="T68" t="str">
            <v>R CAMERINO NEVES, 365, SALA A</v>
          </cell>
          <cell r="U68" t="str">
            <v>CENTRO</v>
          </cell>
          <cell r="V68" t="str">
            <v>GUANAMBI</v>
          </cell>
          <cell r="W68" t="str">
            <v>46.430-000</v>
          </cell>
        </row>
        <row r="69">
          <cell r="A69">
            <v>68</v>
          </cell>
          <cell r="B69" t="str">
            <v>BA</v>
          </cell>
          <cell r="C69" t="str">
            <v>204-6</v>
          </cell>
          <cell r="D69" t="str">
            <v>61.10-8-01</v>
          </cell>
          <cell r="E69" t="str">
            <v>RH</v>
          </cell>
          <cell r="F69" t="str">
            <v>OI S/A - EM RECUPERAÇÃO JUDICIAL</v>
          </cell>
          <cell r="G69">
            <v>29902011914</v>
          </cell>
          <cell r="H69" t="str">
            <v>76.535.764/0076-60</v>
          </cell>
          <cell r="I69">
            <v>44056</v>
          </cell>
          <cell r="K69" t="str">
            <v>ATIVA</v>
          </cell>
          <cell r="L69">
            <v>170049354</v>
          </cell>
          <cell r="M69">
            <v>44056</v>
          </cell>
          <cell r="N69">
            <v>44103</v>
          </cell>
          <cell r="O69" t="str">
            <v>BAIXADA</v>
          </cell>
          <cell r="P69">
            <v>24930</v>
          </cell>
          <cell r="Q69">
            <v>44056</v>
          </cell>
          <cell r="S69" t="str">
            <v>ATIVA</v>
          </cell>
          <cell r="T69" t="str">
            <v>PC LUIS VIANA, 92 SALA A</v>
          </cell>
          <cell r="U69" t="str">
            <v>CENTRO</v>
          </cell>
          <cell r="V69" t="str">
            <v>JEQUIE</v>
          </cell>
          <cell r="W69" t="str">
            <v>45.200-060</v>
          </cell>
        </row>
        <row r="70">
          <cell r="A70">
            <v>69</v>
          </cell>
          <cell r="B70" t="str">
            <v>BA</v>
          </cell>
          <cell r="C70" t="str">
            <v>204-6</v>
          </cell>
          <cell r="D70" t="str">
            <v>61.10-8-01</v>
          </cell>
          <cell r="E70" t="str">
            <v>RH</v>
          </cell>
          <cell r="F70" t="str">
            <v>OI S/A - EM RECUPERAÇÃO JUDICIAL</v>
          </cell>
          <cell r="G70">
            <v>29902011931</v>
          </cell>
          <cell r="H70" t="str">
            <v>76.535.764/0083-90</v>
          </cell>
          <cell r="I70">
            <v>44056</v>
          </cell>
          <cell r="K70" t="str">
            <v>ATIVA</v>
          </cell>
          <cell r="L70">
            <v>170049570</v>
          </cell>
          <cell r="M70">
            <v>44056</v>
          </cell>
          <cell r="N70">
            <v>44103</v>
          </cell>
          <cell r="O70" t="str">
            <v>BAIXADA</v>
          </cell>
          <cell r="P70" t="str">
            <v>7.865/001-93</v>
          </cell>
          <cell r="Q70">
            <v>44231</v>
          </cell>
          <cell r="S70" t="str">
            <v>ATIVA</v>
          </cell>
          <cell r="T70" t="str">
            <v>R 02 DE JULHO, 333, SALA A</v>
          </cell>
          <cell r="U70" t="str">
            <v>CENTRO</v>
          </cell>
          <cell r="V70" t="str">
            <v>SENHOR DO BONFIM</v>
          </cell>
          <cell r="W70" t="str">
            <v>48.970-000</v>
          </cell>
        </row>
        <row r="71">
          <cell r="A71">
            <v>70</v>
          </cell>
          <cell r="B71" t="str">
            <v>BA</v>
          </cell>
          <cell r="C71" t="str">
            <v>204-6</v>
          </cell>
          <cell r="D71" t="str">
            <v>61.10-8-01</v>
          </cell>
          <cell r="E71" t="str">
            <v>RH</v>
          </cell>
          <cell r="F71" t="str">
            <v>OI S/A - EM RECUPERAÇÃO JUDICIAL</v>
          </cell>
          <cell r="G71">
            <v>29902011965</v>
          </cell>
          <cell r="H71" t="str">
            <v>76.535.764/0088-02</v>
          </cell>
          <cell r="I71">
            <v>44056</v>
          </cell>
          <cell r="K71" t="str">
            <v>ATIVA</v>
          </cell>
          <cell r="L71">
            <v>170049805</v>
          </cell>
          <cell r="M71">
            <v>44056</v>
          </cell>
          <cell r="N71">
            <v>44103</v>
          </cell>
          <cell r="O71" t="str">
            <v>BAIXADA</v>
          </cell>
          <cell r="P71">
            <v>13053</v>
          </cell>
          <cell r="Q71">
            <v>44266</v>
          </cell>
          <cell r="S71" t="str">
            <v>ATIVA</v>
          </cell>
          <cell r="T71" t="str">
            <v>R HERALDO RIBEIRO, 77, SALA A</v>
          </cell>
          <cell r="U71" t="str">
            <v>CENTRO</v>
          </cell>
          <cell r="V71" t="str">
            <v>SERRINHA</v>
          </cell>
          <cell r="W71" t="str">
            <v>48.700-000</v>
          </cell>
        </row>
        <row r="72">
          <cell r="A72">
            <v>71</v>
          </cell>
          <cell r="B72" t="str">
            <v>CE</v>
          </cell>
          <cell r="C72" t="str">
            <v>204-6</v>
          </cell>
          <cell r="D72" t="str">
            <v>61.10-8-01</v>
          </cell>
          <cell r="E72" t="str">
            <v>RH</v>
          </cell>
          <cell r="F72" t="str">
            <v>OI S/A - EM RECUPERAÇÃO JUDICIAL</v>
          </cell>
          <cell r="G72">
            <v>23920005852</v>
          </cell>
          <cell r="H72" t="str">
            <v>76.535.764/0101-06</v>
          </cell>
          <cell r="I72">
            <v>44056</v>
          </cell>
          <cell r="K72" t="str">
            <v>ATIVA</v>
          </cell>
          <cell r="L72" t="str">
            <v>CENTRALIZADA</v>
          </cell>
          <cell r="M72" t="str">
            <v>CENTRALIZADA</v>
          </cell>
          <cell r="O72" t="str">
            <v>ATIVA</v>
          </cell>
          <cell r="P72">
            <v>6549097</v>
          </cell>
          <cell r="S72" t="str">
            <v>ATIVA</v>
          </cell>
          <cell r="T72" t="str">
            <v>R FLORIANO PEIXOTO, 675, PARTE A</v>
          </cell>
          <cell r="U72" t="str">
            <v>CENTRO</v>
          </cell>
          <cell r="V72" t="str">
            <v>IGUATU</v>
          </cell>
          <cell r="W72" t="str">
            <v>63.500-050</v>
          </cell>
        </row>
        <row r="73">
          <cell r="A73">
            <v>72</v>
          </cell>
          <cell r="B73" t="str">
            <v>MG</v>
          </cell>
          <cell r="C73" t="str">
            <v>204-6</v>
          </cell>
          <cell r="D73" t="str">
            <v>61.10-8-01</v>
          </cell>
          <cell r="E73" t="str">
            <v>CA</v>
          </cell>
          <cell r="F73" t="str">
            <v>OI S/A - EM RECUPERAÇÃO JUDICIAL</v>
          </cell>
          <cell r="G73">
            <v>31920016516</v>
          </cell>
          <cell r="H73" t="str">
            <v>76.535.764/0089-85</v>
          </cell>
          <cell r="I73">
            <v>44056</v>
          </cell>
          <cell r="K73" t="str">
            <v>ATIVA</v>
          </cell>
          <cell r="L73" t="str">
            <v>CENTRALIZADA</v>
          </cell>
          <cell r="M73" t="str">
            <v>CENTRALIZADA</v>
          </cell>
          <cell r="P73">
            <v>87983</v>
          </cell>
          <cell r="S73" t="str">
            <v>ATIVA</v>
          </cell>
          <cell r="T73" t="str">
            <v>AV TRES PODERES, 202, ANEXO D</v>
          </cell>
          <cell r="U73" t="str">
            <v>RENASCENCA</v>
          </cell>
          <cell r="V73" t="str">
            <v>MONTES CLAROS</v>
          </cell>
          <cell r="W73" t="str">
            <v>39.400-236</v>
          </cell>
        </row>
        <row r="74">
          <cell r="A74">
            <v>73</v>
          </cell>
          <cell r="B74" t="str">
            <v>MG</v>
          </cell>
          <cell r="C74" t="str">
            <v>204-6</v>
          </cell>
          <cell r="D74" t="str">
            <v>61.10-8-01</v>
          </cell>
          <cell r="E74" t="str">
            <v>RH</v>
          </cell>
          <cell r="F74" t="str">
            <v>OI S/A - EM RECUPERAÇÃO JUDICIAL</v>
          </cell>
          <cell r="G74">
            <v>31920016559</v>
          </cell>
          <cell r="H74" t="str">
            <v>76.535.764/0095-23</v>
          </cell>
          <cell r="I74">
            <v>44056</v>
          </cell>
          <cell r="K74" t="str">
            <v>ATIVA</v>
          </cell>
          <cell r="L74" t="str">
            <v>CENTRALIZADA</v>
          </cell>
          <cell r="M74" t="str">
            <v>CENTRALIZADA</v>
          </cell>
          <cell r="P74">
            <v>3070325684</v>
          </cell>
          <cell r="S74" t="str">
            <v>ATIVA</v>
          </cell>
          <cell r="T74" t="str">
            <v>AV GETULIO VARGAS, 373, PARTE A</v>
          </cell>
          <cell r="U74" t="str">
            <v>CENTRO</v>
          </cell>
          <cell r="V74" t="str">
            <v>ARAXA</v>
          </cell>
          <cell r="W74" t="str">
            <v>38.183-192</v>
          </cell>
        </row>
        <row r="75">
          <cell r="A75">
            <v>74</v>
          </cell>
          <cell r="B75" t="str">
            <v>MG</v>
          </cell>
          <cell r="C75" t="str">
            <v>204-6</v>
          </cell>
          <cell r="D75" t="str">
            <v>61.10-8-01</v>
          </cell>
          <cell r="E75" t="str">
            <v>RH</v>
          </cell>
          <cell r="F75" t="str">
            <v>OI S/A - EM RECUPERAÇÃO JUDICIAL</v>
          </cell>
          <cell r="G75">
            <v>31920016541</v>
          </cell>
          <cell r="H75" t="str">
            <v>76.535.764/0092-80</v>
          </cell>
          <cell r="I75">
            <v>44056</v>
          </cell>
          <cell r="K75" t="str">
            <v>ATIVA</v>
          </cell>
          <cell r="L75" t="str">
            <v>CENTRALIZADA</v>
          </cell>
          <cell r="M75" t="str">
            <v>CENTRALIZADA</v>
          </cell>
          <cell r="P75">
            <v>87982</v>
          </cell>
          <cell r="S75" t="str">
            <v>ATIVA</v>
          </cell>
          <cell r="T75" t="str">
            <v>R PADRE AUGUSTO, 164, PARTE</v>
          </cell>
          <cell r="U75" t="str">
            <v>CENTRO</v>
          </cell>
          <cell r="V75" t="str">
            <v>MONTES CLAROS</v>
          </cell>
          <cell r="W75" t="str">
            <v>39.400-053</v>
          </cell>
        </row>
        <row r="76">
          <cell r="A76">
            <v>75</v>
          </cell>
          <cell r="B76" t="str">
            <v>MG</v>
          </cell>
          <cell r="C76" t="str">
            <v>204-6</v>
          </cell>
          <cell r="D76" t="str">
            <v>61.10-8-01</v>
          </cell>
          <cell r="E76" t="str">
            <v>RH</v>
          </cell>
          <cell r="F76" t="str">
            <v>OI S/A - EM RECUPERAÇÃO JUDICIAL</v>
          </cell>
          <cell r="G76">
            <v>31920016532</v>
          </cell>
          <cell r="H76" t="str">
            <v>76.535.764/0091-08</v>
          </cell>
          <cell r="I76">
            <v>44056</v>
          </cell>
          <cell r="K76" t="str">
            <v>ATIVA</v>
          </cell>
          <cell r="L76" t="str">
            <v>CENTRALIZADA</v>
          </cell>
          <cell r="M76" t="str">
            <v>CENTRALIZADA</v>
          </cell>
          <cell r="P76" t="str">
            <v>1/10198</v>
          </cell>
          <cell r="S76" t="str">
            <v>ATIVA</v>
          </cell>
          <cell r="T76" t="str">
            <v>R PANDIA CALOGERAS, 741</v>
          </cell>
          <cell r="U76" t="str">
            <v>VILA ITACOLOMY</v>
          </cell>
          <cell r="V76" t="str">
            <v>OURO PRETO</v>
          </cell>
          <cell r="W76" t="str">
            <v>35.400-000</v>
          </cell>
        </row>
        <row r="77">
          <cell r="A77">
            <v>76</v>
          </cell>
          <cell r="B77" t="str">
            <v>MG</v>
          </cell>
          <cell r="C77" t="str">
            <v>204-6</v>
          </cell>
          <cell r="D77" t="str">
            <v>61.10-8-01</v>
          </cell>
          <cell r="E77" t="str">
            <v>RH</v>
          </cell>
          <cell r="F77" t="str">
            <v>OI S/A - EM RECUPERAÇÃO JUDICIAL</v>
          </cell>
          <cell r="G77">
            <v>31920016524</v>
          </cell>
          <cell r="H77" t="str">
            <v>76.535.764/0090-19</v>
          </cell>
          <cell r="I77">
            <v>44056</v>
          </cell>
          <cell r="K77" t="str">
            <v>ATIVA</v>
          </cell>
          <cell r="L77" t="str">
            <v>CENTRALIZADA</v>
          </cell>
          <cell r="M77" t="str">
            <v>CENTRALIZADA</v>
          </cell>
          <cell r="P77">
            <v>17090</v>
          </cell>
          <cell r="S77" t="str">
            <v>ATIVA</v>
          </cell>
          <cell r="T77" t="str">
            <v>R TEODORO GONCALVES, 226, PARTE A</v>
          </cell>
          <cell r="U77" t="str">
            <v>CENTRO</v>
          </cell>
          <cell r="V77" t="str">
            <v>PATROCINIO</v>
          </cell>
          <cell r="W77" t="str">
            <v>38.740-006</v>
          </cell>
        </row>
        <row r="78">
          <cell r="A78">
            <v>77</v>
          </cell>
          <cell r="B78" t="str">
            <v>PA</v>
          </cell>
          <cell r="C78" t="str">
            <v>204-6</v>
          </cell>
          <cell r="D78" t="str">
            <v>61.10-8-01</v>
          </cell>
          <cell r="E78" t="str">
            <v>RH</v>
          </cell>
          <cell r="F78" t="str">
            <v>OI S/A - EM RECUPERAÇÃO JUDICIAL</v>
          </cell>
          <cell r="G78">
            <v>15902008661</v>
          </cell>
          <cell r="H78" t="str">
            <v>76.535.764/0096-04</v>
          </cell>
          <cell r="I78">
            <v>44056</v>
          </cell>
          <cell r="K78" t="str">
            <v>ATIVA</v>
          </cell>
          <cell r="L78" t="str">
            <v>CENTRALIZADA</v>
          </cell>
          <cell r="O78" t="str">
            <v>ATIVA</v>
          </cell>
          <cell r="P78">
            <v>341898</v>
          </cell>
          <cell r="S78" t="str">
            <v>ATIVA</v>
          </cell>
          <cell r="T78" t="str">
            <v>R MAGALHAES BARATA, 1693, PARTE A</v>
          </cell>
          <cell r="U78" t="str">
            <v>CENTRO</v>
          </cell>
          <cell r="V78" t="str">
            <v>ALTAMIRA</v>
          </cell>
          <cell r="W78" t="str">
            <v>68.371-057</v>
          </cell>
        </row>
        <row r="79">
          <cell r="A79">
            <v>78</v>
          </cell>
          <cell r="B79" t="str">
            <v>PA</v>
          </cell>
          <cell r="C79" t="str">
            <v>204-6</v>
          </cell>
          <cell r="D79" t="str">
            <v>61.10-8-01</v>
          </cell>
          <cell r="E79" t="str">
            <v>RH</v>
          </cell>
          <cell r="F79" t="str">
            <v>OI S/A - EM RECUPERAÇÃO JUDICIAL</v>
          </cell>
          <cell r="G79">
            <v>15902008679</v>
          </cell>
          <cell r="H79" t="str">
            <v>76.535.764/0097-95</v>
          </cell>
          <cell r="I79">
            <v>44056</v>
          </cell>
          <cell r="K79" t="str">
            <v>ATIVA</v>
          </cell>
          <cell r="L79" t="str">
            <v>CENTRALIZADA</v>
          </cell>
          <cell r="O79" t="str">
            <v>ATIVA</v>
          </cell>
          <cell r="P79">
            <v>410666</v>
          </cell>
          <cell r="Q79">
            <v>44056</v>
          </cell>
          <cell r="S79" t="str">
            <v>ATIVA</v>
          </cell>
          <cell r="T79" t="str">
            <v>AV SANTA TEREZA, 211, PARTE A</v>
          </cell>
          <cell r="U79" t="str">
            <v>NUCLEO URBANO</v>
          </cell>
          <cell r="V79" t="str">
            <v>REDENCAO</v>
          </cell>
          <cell r="W79" t="str">
            <v>68.553-075</v>
          </cell>
        </row>
        <row r="80">
          <cell r="A80">
            <v>79</v>
          </cell>
          <cell r="B80" t="str">
            <v>RJ</v>
          </cell>
          <cell r="C80" t="str">
            <v>204-6</v>
          </cell>
          <cell r="D80" t="str">
            <v>61.10-8-01</v>
          </cell>
          <cell r="E80" t="str">
            <v>RH</v>
          </cell>
          <cell r="F80" t="str">
            <v>OI S/A - EM RECUPERAÇÃO JUDICIAL</v>
          </cell>
          <cell r="G80">
            <v>33901786656</v>
          </cell>
          <cell r="H80" t="str">
            <v>76.535.764/0075-80</v>
          </cell>
          <cell r="I80">
            <v>44056</v>
          </cell>
          <cell r="K80" t="str">
            <v>ATIVA</v>
          </cell>
          <cell r="L80">
            <v>77685022</v>
          </cell>
          <cell r="M80" t="str">
            <v>CENTRALIZADA</v>
          </cell>
          <cell r="P80" t="str">
            <v>1.255.050-2</v>
          </cell>
          <cell r="S80" t="str">
            <v>ATIVA</v>
          </cell>
          <cell r="T80" t="str">
            <v>R HENRIQUE FERREIRA, 101, SALA 101</v>
          </cell>
          <cell r="U80" t="str">
            <v>BENTO RIBEIRO</v>
          </cell>
          <cell r="V80" t="str">
            <v>RIO DE JANEIRO</v>
          </cell>
          <cell r="W80" t="str">
            <v>21.550-290</v>
          </cell>
        </row>
        <row r="81">
          <cell r="A81">
            <v>80</v>
          </cell>
          <cell r="B81" t="str">
            <v>RJ</v>
          </cell>
          <cell r="C81" t="str">
            <v>204-6</v>
          </cell>
          <cell r="D81" t="str">
            <v>61.10-8-01</v>
          </cell>
          <cell r="E81" t="str">
            <v>RH</v>
          </cell>
          <cell r="F81" t="str">
            <v>OI S/A - EM RECUPERAÇÃO JUDICIAL</v>
          </cell>
          <cell r="G81">
            <v>33901786648</v>
          </cell>
          <cell r="H81" t="str">
            <v>76.535.764/0074-07</v>
          </cell>
          <cell r="I81">
            <v>44056</v>
          </cell>
          <cell r="K81" t="str">
            <v>ATIVA</v>
          </cell>
          <cell r="L81">
            <v>77685022</v>
          </cell>
          <cell r="M81" t="str">
            <v>CENTRALIZADA</v>
          </cell>
          <cell r="P81" t="str">
            <v>1.255.055-3</v>
          </cell>
          <cell r="S81" t="str">
            <v>ATIVA</v>
          </cell>
          <cell r="T81" t="str">
            <v>R IPU, 00015</v>
          </cell>
          <cell r="U81" t="str">
            <v>BOTAFOGO</v>
          </cell>
          <cell r="V81" t="str">
            <v>RIO DE JANEIRO</v>
          </cell>
          <cell r="W81" t="str">
            <v>22.281-040</v>
          </cell>
        </row>
        <row r="82">
          <cell r="A82">
            <v>81</v>
          </cell>
          <cell r="B82" t="str">
            <v>RS</v>
          </cell>
          <cell r="C82" t="str">
            <v>204-6</v>
          </cell>
          <cell r="D82" t="str">
            <v>61.10-8-01</v>
          </cell>
          <cell r="E82" t="str">
            <v>CA</v>
          </cell>
          <cell r="F82" t="str">
            <v>OI S/A - EM RECUPERAÇÃO JUDICIAL</v>
          </cell>
          <cell r="G82">
            <v>43920013819</v>
          </cell>
          <cell r="H82" t="str">
            <v>76.535.764/0103-78</v>
          </cell>
          <cell r="I82">
            <v>44056</v>
          </cell>
          <cell r="K82" t="str">
            <v>ATIVA</v>
          </cell>
          <cell r="L82" t="str">
            <v>CENTRALIZADA</v>
          </cell>
          <cell r="O82" t="str">
            <v>ATIVA</v>
          </cell>
          <cell r="P82">
            <v>98524400</v>
          </cell>
          <cell r="Q82">
            <v>44306</v>
          </cell>
          <cell r="S82" t="str">
            <v>ATIVA</v>
          </cell>
          <cell r="T82" t="str">
            <v>ROD BR-392, 2117</v>
          </cell>
          <cell r="U82" t="str">
            <v>URLANDIA</v>
          </cell>
          <cell r="V82" t="str">
            <v>SANTA MARIA</v>
          </cell>
          <cell r="W82" t="str">
            <v>97.070-185</v>
          </cell>
        </row>
        <row r="83">
          <cell r="A83">
            <v>82</v>
          </cell>
          <cell r="B83" t="str">
            <v>AC</v>
          </cell>
          <cell r="C83" t="str">
            <v>204-6</v>
          </cell>
          <cell r="D83" t="str">
            <v>61.10-8-01</v>
          </cell>
          <cell r="E83" t="str">
            <v>CA</v>
          </cell>
          <cell r="F83" t="str">
            <v>OI S/A - EM RECUPERAÇÃO JUDICIAL</v>
          </cell>
          <cell r="G83" t="str">
            <v>1292000099-1</v>
          </cell>
          <cell r="H83" t="str">
            <v>76.535.764/0194-05</v>
          </cell>
          <cell r="I83">
            <v>44061</v>
          </cell>
          <cell r="K83" t="str">
            <v>ATIVA</v>
          </cell>
          <cell r="L83" t="str">
            <v>01.006.885/002-30</v>
          </cell>
          <cell r="M83">
            <v>44077</v>
          </cell>
          <cell r="O83" t="str">
            <v>ATIVA</v>
          </cell>
          <cell r="P83" t="str">
            <v>76535764019405</v>
          </cell>
          <cell r="S83" t="str">
            <v>ATIVA</v>
          </cell>
          <cell r="T83" t="str">
            <v>AV BRASIL, 668</v>
          </cell>
          <cell r="U83" t="str">
            <v>XAVIER MAIA</v>
          </cell>
          <cell r="V83" t="str">
            <v xml:space="preserve">RIO BRANCO
</v>
          </cell>
          <cell r="W83" t="str">
            <v>69.903-018</v>
          </cell>
        </row>
        <row r="84">
          <cell r="A84">
            <v>83</v>
          </cell>
          <cell r="B84" t="str">
            <v>AL</v>
          </cell>
          <cell r="C84" t="str">
            <v>204-6</v>
          </cell>
          <cell r="D84" t="str">
            <v>61.10-8-01</v>
          </cell>
          <cell r="E84" t="str">
            <v>CA</v>
          </cell>
          <cell r="F84" t="str">
            <v>OI S/A - EM RECUPERAÇÃO JUDICIAL</v>
          </cell>
          <cell r="G84">
            <v>27905193680</v>
          </cell>
          <cell r="H84" t="str">
            <v>76.535.764/0195-96</v>
          </cell>
          <cell r="I84">
            <v>44061</v>
          </cell>
          <cell r="K84" t="str">
            <v>ATIVA</v>
          </cell>
          <cell r="L84" t="str">
            <v>243.61901-4</v>
          </cell>
          <cell r="M84">
            <v>44061</v>
          </cell>
          <cell r="O84" t="str">
            <v>CENTRALIZADA E BAIXADA</v>
          </cell>
          <cell r="P84">
            <v>901473200</v>
          </cell>
          <cell r="S84" t="str">
            <v>ATIVA</v>
          </cell>
          <cell r="T84" t="str">
            <v>AV PRESIDENTE GETULIO VARGAS, 66, TERREO PARTE B</v>
          </cell>
          <cell r="U84" t="str">
            <v>SERRARIA</v>
          </cell>
          <cell r="V84" t="str">
            <v>MACEIO</v>
          </cell>
          <cell r="W84" t="str">
            <v>57.046-140</v>
          </cell>
        </row>
        <row r="85">
          <cell r="A85">
            <v>84</v>
          </cell>
          <cell r="B85" t="str">
            <v>AM</v>
          </cell>
          <cell r="C85" t="str">
            <v>204-6</v>
          </cell>
          <cell r="D85" t="str">
            <v>61.10-8-01</v>
          </cell>
          <cell r="E85" t="str">
            <v>CD</v>
          </cell>
          <cell r="F85" t="str">
            <v>OI S/A - EM RECUPERAÇÃO JUDICIAL</v>
          </cell>
          <cell r="G85">
            <v>13920003525</v>
          </cell>
          <cell r="H85" t="str">
            <v>76.535.764/0201-79</v>
          </cell>
          <cell r="I85">
            <v>44061</v>
          </cell>
          <cell r="K85" t="str">
            <v>ATIVA</v>
          </cell>
          <cell r="L85" t="str">
            <v>CENTRALIZADA</v>
          </cell>
          <cell r="M85" t="str">
            <v>CENTRALIZADA</v>
          </cell>
          <cell r="O85" t="str">
            <v>ATIVA</v>
          </cell>
          <cell r="P85">
            <v>10780602</v>
          </cell>
          <cell r="Q85">
            <v>44113</v>
          </cell>
          <cell r="S85" t="str">
            <v>ATIVA</v>
          </cell>
          <cell r="T85" t="str">
            <v>AV PRESIDENTE KENNEDY, 920, SETOR N</v>
          </cell>
          <cell r="U85" t="str">
            <v>COLONIA OLIV MACHADO</v>
          </cell>
          <cell r="V85" t="str">
            <v>MANAUS</v>
          </cell>
          <cell r="W85" t="str">
            <v>69.070-625</v>
          </cell>
        </row>
        <row r="86">
          <cell r="A86">
            <v>85</v>
          </cell>
          <cell r="B86" t="str">
            <v>AM</v>
          </cell>
          <cell r="C86" t="str">
            <v>204-6</v>
          </cell>
          <cell r="D86" t="str">
            <v>61.10-8-01</v>
          </cell>
          <cell r="E86" t="str">
            <v>RH</v>
          </cell>
          <cell r="F86" t="str">
            <v>OI S/A - EM RECUPERAÇÃO JUDICIAL</v>
          </cell>
          <cell r="G86">
            <v>13920003517</v>
          </cell>
          <cell r="H86" t="str">
            <v>76.535.764/0199-10</v>
          </cell>
          <cell r="I86">
            <v>44061</v>
          </cell>
          <cell r="K86" t="str">
            <v>ATIVA</v>
          </cell>
          <cell r="L86" t="str">
            <v>CENTRALIZADA</v>
          </cell>
          <cell r="M86" t="str">
            <v>CENTRALIZADA</v>
          </cell>
          <cell r="O86" t="str">
            <v>ATIVA</v>
          </cell>
          <cell r="P86">
            <v>31676</v>
          </cell>
          <cell r="Q86">
            <v>44141</v>
          </cell>
          <cell r="S86" t="str">
            <v>ATIVA</v>
          </cell>
          <cell r="T86" t="str">
            <v>R 5 DE SETEMBRO, 506, PARTE A</v>
          </cell>
          <cell r="U86" t="str">
            <v>CENTRO</v>
          </cell>
          <cell r="V86" t="str">
            <v>HUMAITA</v>
          </cell>
          <cell r="W86" t="str">
            <v>69.800-000</v>
          </cell>
        </row>
        <row r="87">
          <cell r="A87">
            <v>86</v>
          </cell>
          <cell r="B87" t="str">
            <v>AM</v>
          </cell>
          <cell r="C87" t="str">
            <v>204-6</v>
          </cell>
          <cell r="D87" t="str">
            <v>61.10-8-01</v>
          </cell>
          <cell r="E87" t="str">
            <v>RH</v>
          </cell>
          <cell r="F87" t="str">
            <v>OI S/A - EM RECUPERAÇÃO JUDICIAL</v>
          </cell>
          <cell r="G87">
            <v>13920003495</v>
          </cell>
          <cell r="H87" t="str">
            <v>76.535.764/0197-58</v>
          </cell>
          <cell r="I87">
            <v>44061</v>
          </cell>
          <cell r="K87" t="str">
            <v>ATIVA</v>
          </cell>
          <cell r="L87" t="str">
            <v>CENTRALIZADA</v>
          </cell>
          <cell r="M87" t="str">
            <v>CENTRALIZADA</v>
          </cell>
          <cell r="O87" t="str">
            <v>ATIVA</v>
          </cell>
          <cell r="P87">
            <v>208857</v>
          </cell>
          <cell r="S87" t="str">
            <v>ATIVA</v>
          </cell>
          <cell r="T87" t="str">
            <v>AV AMAZONAS, 1916, PARTE A</v>
          </cell>
          <cell r="U87" t="str">
            <v>CENTRO</v>
          </cell>
          <cell r="V87" t="str">
            <v>PARINTINS</v>
          </cell>
          <cell r="W87" t="str">
            <v>69.151-000</v>
          </cell>
        </row>
        <row r="88">
          <cell r="A88">
            <v>87</v>
          </cell>
          <cell r="B88" t="str">
            <v>AM</v>
          </cell>
          <cell r="C88" t="str">
            <v>204-6</v>
          </cell>
          <cell r="D88" t="str">
            <v>61.10-8-01</v>
          </cell>
          <cell r="E88" t="str">
            <v>RH</v>
          </cell>
          <cell r="F88" t="str">
            <v>OI S/A - EM RECUPERAÇÃO JUDICIAL</v>
          </cell>
          <cell r="G88">
            <v>13920003509</v>
          </cell>
          <cell r="H88" t="str">
            <v>76.535.764/0198-39</v>
          </cell>
          <cell r="I88">
            <v>44061</v>
          </cell>
          <cell r="K88" t="str">
            <v>ATIVA</v>
          </cell>
          <cell r="L88" t="str">
            <v>CENTRALIZADA</v>
          </cell>
          <cell r="M88" t="str">
            <v>CENTRALIZADA</v>
          </cell>
          <cell r="O88" t="str">
            <v>ATIVA</v>
          </cell>
          <cell r="P88">
            <v>1010320055001</v>
          </cell>
          <cell r="Q88">
            <v>44124</v>
          </cell>
          <cell r="S88" t="str">
            <v>ATIVA</v>
          </cell>
          <cell r="T88" t="str">
            <v>R BENJAMIM CONSTANT, 395, PARTE A</v>
          </cell>
          <cell r="U88" t="str">
            <v>CENTRO</v>
          </cell>
          <cell r="V88" t="str">
            <v>TEFE</v>
          </cell>
          <cell r="W88" t="str">
            <v>69.550-077</v>
          </cell>
        </row>
        <row r="89">
          <cell r="A89">
            <v>88</v>
          </cell>
          <cell r="B89" t="str">
            <v>AP</v>
          </cell>
          <cell r="C89" t="str">
            <v>204-6</v>
          </cell>
          <cell r="D89" t="str">
            <v>61.10-8-01</v>
          </cell>
          <cell r="E89" t="str">
            <v>CA</v>
          </cell>
          <cell r="F89" t="str">
            <v>OI S/A - EM RECUPERAÇÃO JUDICIAL</v>
          </cell>
          <cell r="G89">
            <v>16900145921</v>
          </cell>
          <cell r="H89" t="str">
            <v>76.535.764/0215-74</v>
          </cell>
          <cell r="I89">
            <v>44061</v>
          </cell>
          <cell r="K89" t="str">
            <v>ATIVA</v>
          </cell>
          <cell r="L89" t="str">
            <v>03.063848-8</v>
          </cell>
          <cell r="M89">
            <v>44117</v>
          </cell>
          <cell r="O89" t="str">
            <v>ATIVA</v>
          </cell>
          <cell r="P89">
            <v>98402931491</v>
          </cell>
          <cell r="S89" t="str">
            <v>ATIVA</v>
          </cell>
          <cell r="T89" t="str">
            <v>AV STEPHAN HOUAT, S/N, EDIF PARTE D</v>
          </cell>
          <cell r="U89" t="str">
            <v>JARDIM MARCO ZERO</v>
          </cell>
          <cell r="V89" t="str">
            <v>MACAPA</v>
          </cell>
          <cell r="W89" t="str">
            <v>68.903-193</v>
          </cell>
        </row>
        <row r="90">
          <cell r="A90">
            <v>89</v>
          </cell>
          <cell r="B90" t="str">
            <v>BA</v>
          </cell>
          <cell r="C90" t="str">
            <v>204-6</v>
          </cell>
          <cell r="D90" t="str">
            <v>61.10-8-01</v>
          </cell>
          <cell r="E90" t="str">
            <v>CA</v>
          </cell>
          <cell r="F90" t="str">
            <v>OI S/A - EM RECUPERAÇÃO JUDICIAL</v>
          </cell>
          <cell r="G90">
            <v>29902012295</v>
          </cell>
          <cell r="H90" t="str">
            <v>76.535.764/0208-45</v>
          </cell>
          <cell r="I90">
            <v>44061</v>
          </cell>
          <cell r="K90" t="str">
            <v>ATIVA</v>
          </cell>
          <cell r="L90">
            <v>170211514</v>
          </cell>
          <cell r="M90">
            <v>44061</v>
          </cell>
          <cell r="N90">
            <v>44103</v>
          </cell>
          <cell r="O90" t="str">
            <v>BAIXADA</v>
          </cell>
          <cell r="P90" t="str">
            <v>PENDENTE</v>
          </cell>
          <cell r="S90" t="str">
            <v>PENDENTE</v>
          </cell>
          <cell r="T90" t="str">
            <v>AV PRESIDENTE DUTRA, BR 116, KM 820 ANEXO B</v>
          </cell>
          <cell r="U90" t="str">
            <v>NOSSA SENHORA APARECIDA</v>
          </cell>
          <cell r="V90" t="str">
            <v>VITORIA DA CONQUISTA</v>
          </cell>
          <cell r="W90" t="str">
            <v>45.085-110</v>
          </cell>
        </row>
        <row r="91">
          <cell r="A91">
            <v>90</v>
          </cell>
          <cell r="B91" t="str">
            <v>BA</v>
          </cell>
          <cell r="C91" t="str">
            <v>204-6</v>
          </cell>
          <cell r="D91" t="str">
            <v>61.10-8-01</v>
          </cell>
          <cell r="E91" t="str">
            <v>RH</v>
          </cell>
          <cell r="F91" t="str">
            <v>OI S/A - EM RECUPERAÇÃO JUDICIAL</v>
          </cell>
          <cell r="G91">
            <v>29902012244</v>
          </cell>
          <cell r="H91" t="str">
            <v>76.535.764/0202-50</v>
          </cell>
          <cell r="I91">
            <v>44061</v>
          </cell>
          <cell r="K91" t="str">
            <v>ATIVA</v>
          </cell>
          <cell r="L91">
            <v>170211073</v>
          </cell>
          <cell r="M91">
            <v>44061</v>
          </cell>
          <cell r="N91">
            <v>44103</v>
          </cell>
          <cell r="O91" t="str">
            <v>BAIXADA</v>
          </cell>
          <cell r="P91" t="str">
            <v>75.021-2</v>
          </cell>
          <cell r="Q91">
            <v>44061</v>
          </cell>
          <cell r="S91" t="str">
            <v>ATIVA</v>
          </cell>
          <cell r="T91" t="str">
            <v>AV PROFESSOR FERNANDO SAO PAULO, 03, SALA A</v>
          </cell>
          <cell r="U91" t="str">
            <v>PONTO CENTRAL</v>
          </cell>
          <cell r="V91" t="str">
            <v>FEIRA DE SANTANA</v>
          </cell>
          <cell r="W91" t="str">
            <v>44.075-045</v>
          </cell>
        </row>
        <row r="92">
          <cell r="A92">
            <v>91</v>
          </cell>
          <cell r="B92" t="str">
            <v>BA</v>
          </cell>
          <cell r="C92" t="str">
            <v>204-6</v>
          </cell>
          <cell r="D92" t="str">
            <v>61.10-8-01</v>
          </cell>
          <cell r="E92" t="str">
            <v>RH</v>
          </cell>
          <cell r="F92" t="str">
            <v>OI S/A - EM RECUPERAÇÃO JUDICIAL</v>
          </cell>
          <cell r="G92">
            <v>29902012279</v>
          </cell>
          <cell r="H92" t="str">
            <v>76.535.764/0205-00</v>
          </cell>
          <cell r="I92">
            <v>44061</v>
          </cell>
          <cell r="K92" t="str">
            <v>ATIVA</v>
          </cell>
          <cell r="L92">
            <v>170211308</v>
          </cell>
          <cell r="M92">
            <v>44061</v>
          </cell>
          <cell r="N92">
            <v>44103</v>
          </cell>
          <cell r="O92" t="str">
            <v>BAIXADA</v>
          </cell>
          <cell r="P92">
            <v>44506</v>
          </cell>
          <cell r="Q92">
            <v>44229</v>
          </cell>
          <cell r="S92" t="str">
            <v>ATIVA</v>
          </cell>
          <cell r="T92" t="str">
            <v>R MANUEL CERQUEIRA BRANDAO, 320, SALA A</v>
          </cell>
          <cell r="U92" t="str">
            <v>PONTALZINHO</v>
          </cell>
          <cell r="V92" t="str">
            <v>ITABUNA</v>
          </cell>
          <cell r="W92" t="str">
            <v>45.603-004</v>
          </cell>
        </row>
        <row r="93">
          <cell r="A93">
            <v>92</v>
          </cell>
          <cell r="B93" t="str">
            <v>BA</v>
          </cell>
          <cell r="C93" t="str">
            <v>204-6</v>
          </cell>
          <cell r="D93" t="str">
            <v>61.10-8-01</v>
          </cell>
          <cell r="E93" t="str">
            <v>RH</v>
          </cell>
          <cell r="F93" t="str">
            <v>OI S/A - EM RECUPERAÇÃO JUDICIAL</v>
          </cell>
          <cell r="G93">
            <v>29902012287</v>
          </cell>
          <cell r="H93" t="str">
            <v>76.535.764/0206-83</v>
          </cell>
          <cell r="I93">
            <v>44061</v>
          </cell>
          <cell r="K93" t="str">
            <v>ATIVA</v>
          </cell>
          <cell r="L93">
            <v>170211406</v>
          </cell>
          <cell r="M93">
            <v>44061</v>
          </cell>
          <cell r="N93">
            <v>44103</v>
          </cell>
          <cell r="O93" t="str">
            <v>BAIXADA</v>
          </cell>
          <cell r="P93" t="str">
            <v>PENDENTE</v>
          </cell>
          <cell r="S93" t="str">
            <v>PENDENTE</v>
          </cell>
          <cell r="T93" t="str">
            <v>R OSCAR RIBEIRO, 520, SALA A</v>
          </cell>
          <cell r="U93" t="str">
            <v>CENTRO</v>
          </cell>
          <cell r="V93" t="str">
            <v>JUAZEIRO</v>
          </cell>
          <cell r="W93" t="str">
            <v>48.903-425</v>
          </cell>
        </row>
        <row r="94">
          <cell r="A94">
            <v>93</v>
          </cell>
          <cell r="B94" t="str">
            <v>BA</v>
          </cell>
          <cell r="C94" t="str">
            <v>204-6</v>
          </cell>
          <cell r="D94" t="str">
            <v>61.10-8-01</v>
          </cell>
          <cell r="E94" t="str">
            <v>RH</v>
          </cell>
          <cell r="F94" t="str">
            <v>OI S/A - EM RECUPERAÇÃO JUDICIAL</v>
          </cell>
          <cell r="G94">
            <v>29902012252</v>
          </cell>
          <cell r="H94" t="str">
            <v>76.535.764/0203-30</v>
          </cell>
          <cell r="I94">
            <v>44061</v>
          </cell>
          <cell r="K94" t="str">
            <v>ATIVA</v>
          </cell>
          <cell r="L94">
            <v>170211181</v>
          </cell>
          <cell r="M94">
            <v>44061</v>
          </cell>
          <cell r="N94">
            <v>44103</v>
          </cell>
          <cell r="O94" t="str">
            <v>BAIXADA</v>
          </cell>
          <cell r="P94">
            <v>712286</v>
          </cell>
          <cell r="Q94">
            <v>44607</v>
          </cell>
          <cell r="S94" t="str">
            <v>ATIVA</v>
          </cell>
          <cell r="T94" t="str">
            <v>R GODOALDO AMARAL, 20, SALA A</v>
          </cell>
          <cell r="U94" t="str">
            <v>CENTRO</v>
          </cell>
          <cell r="V94" t="str">
            <v>TEIXEIRA DE FREITAS</v>
          </cell>
          <cell r="W94" t="str">
            <v>45.985-138</v>
          </cell>
        </row>
        <row r="95">
          <cell r="A95">
            <v>94</v>
          </cell>
          <cell r="B95" t="str">
            <v>BA</v>
          </cell>
          <cell r="C95" t="str">
            <v>204-6</v>
          </cell>
          <cell r="D95" t="str">
            <v>61.10-8-01</v>
          </cell>
          <cell r="E95" t="str">
            <v>RH</v>
          </cell>
          <cell r="F95" t="str">
            <v>OI S/A - EM RECUPERAÇÃO JUDICIAL</v>
          </cell>
          <cell r="G95">
            <v>29902012261</v>
          </cell>
          <cell r="H95" t="str">
            <v>76.535.764/0204-11</v>
          </cell>
          <cell r="I95">
            <v>44061</v>
          </cell>
          <cell r="K95" t="str">
            <v>ATIVA</v>
          </cell>
          <cell r="L95">
            <v>170211270</v>
          </cell>
          <cell r="M95">
            <v>44061</v>
          </cell>
          <cell r="N95">
            <v>44103</v>
          </cell>
          <cell r="O95" t="str">
            <v>BAIXADA</v>
          </cell>
          <cell r="P95" t="str">
            <v>PENDENTE</v>
          </cell>
          <cell r="S95" t="str">
            <v>PENDENTE</v>
          </cell>
          <cell r="T95" t="str">
            <v>R SIQUEIRA CAMPOS ATE 294/295, 120, SALA A</v>
          </cell>
          <cell r="U95" t="str">
            <v>CENTRO</v>
          </cell>
          <cell r="V95" t="str">
            <v>VITORIA DA CONQUISTA</v>
          </cell>
          <cell r="W95" t="str">
            <v>45.000-455</v>
          </cell>
        </row>
        <row r="96">
          <cell r="A96">
            <v>95</v>
          </cell>
          <cell r="B96" t="str">
            <v>CE</v>
          </cell>
          <cell r="C96" t="str">
            <v>204-6</v>
          </cell>
          <cell r="D96" t="str">
            <v>61.10-8-01</v>
          </cell>
          <cell r="E96" t="str">
            <v>CA</v>
          </cell>
          <cell r="F96" t="str">
            <v>OI S/A - EM RECUPERAÇÃO JUDICIAL</v>
          </cell>
          <cell r="G96">
            <v>23920006000</v>
          </cell>
          <cell r="H96" t="str">
            <v>76.535.764/0216-55</v>
          </cell>
          <cell r="I96">
            <v>44061</v>
          </cell>
          <cell r="K96" t="str">
            <v>ATIVA</v>
          </cell>
          <cell r="L96" t="str">
            <v>CENTRALIZADA</v>
          </cell>
          <cell r="M96" t="str">
            <v>CENTRALIZADA</v>
          </cell>
          <cell r="O96" t="str">
            <v>ATIVA</v>
          </cell>
          <cell r="P96" t="str">
            <v>569818-9</v>
          </cell>
          <cell r="S96" t="str">
            <v>ATIVA</v>
          </cell>
          <cell r="T96" t="str">
            <v>AV WENEFRIDO MELO, 294, PARTE D</v>
          </cell>
          <cell r="U96" t="str">
            <v>MONDUBIM</v>
          </cell>
          <cell r="V96" t="str">
            <v>FORTALEZA</v>
          </cell>
          <cell r="W96" t="str">
            <v>60.762-410</v>
          </cell>
        </row>
        <row r="97">
          <cell r="A97">
            <v>96</v>
          </cell>
          <cell r="B97" t="str">
            <v>CE</v>
          </cell>
          <cell r="C97" t="str">
            <v>204-6</v>
          </cell>
          <cell r="D97" t="str">
            <v>61.10-8-01</v>
          </cell>
          <cell r="E97" t="str">
            <v>RH</v>
          </cell>
          <cell r="F97" t="str">
            <v>OI S/A - EM RECUPERAÇÃO JUDICIAL</v>
          </cell>
          <cell r="G97">
            <v>23920006034</v>
          </cell>
          <cell r="H97" t="str">
            <v>76.535.764/0220-31</v>
          </cell>
          <cell r="I97">
            <v>44061</v>
          </cell>
          <cell r="K97" t="str">
            <v>ATIVA</v>
          </cell>
          <cell r="L97" t="str">
            <v>CENTRALIZADA</v>
          </cell>
          <cell r="M97" t="str">
            <v>CENTRALIZADA</v>
          </cell>
          <cell r="O97" t="str">
            <v>ATIVA</v>
          </cell>
          <cell r="P97">
            <v>12960</v>
          </cell>
          <cell r="Q97">
            <v>44643</v>
          </cell>
          <cell r="S97" t="str">
            <v>ATIVA</v>
          </cell>
          <cell r="T97" t="str">
            <v>R CORONEL LUCIO, 447, PARTE A</v>
          </cell>
          <cell r="U97" t="str">
            <v>CENTRO</v>
          </cell>
          <cell r="V97" t="str">
            <v>CRATEUS</v>
          </cell>
          <cell r="W97" t="str">
            <v>63.700-061</v>
          </cell>
        </row>
        <row r="98">
          <cell r="A98">
            <v>97</v>
          </cell>
          <cell r="B98" t="str">
            <v>CE</v>
          </cell>
          <cell r="C98" t="str">
            <v>204-6</v>
          </cell>
          <cell r="D98" t="str">
            <v>61.10-8-01</v>
          </cell>
          <cell r="E98" t="str">
            <v>RH</v>
          </cell>
          <cell r="F98" t="str">
            <v>OI S/A - EM RECUPERAÇÃO JUDICIAL</v>
          </cell>
          <cell r="G98">
            <v>23920006018</v>
          </cell>
          <cell r="H98" t="str">
            <v>76.535.764/0217-36</v>
          </cell>
          <cell r="I98">
            <v>44061</v>
          </cell>
          <cell r="K98" t="str">
            <v>ATIVA</v>
          </cell>
          <cell r="L98" t="str">
            <v>CENTRALIZADA</v>
          </cell>
          <cell r="M98" t="str">
            <v>CENTRALIZADA</v>
          </cell>
          <cell r="O98" t="str">
            <v>ATIVA</v>
          </cell>
          <cell r="P98">
            <v>1566590</v>
          </cell>
          <cell r="S98" t="str">
            <v>ATIVA</v>
          </cell>
          <cell r="T98" t="str">
            <v>R PADRE CICERO, 641, PARTE A</v>
          </cell>
          <cell r="U98" t="str">
            <v>CENTRO</v>
          </cell>
          <cell r="V98" t="str">
            <v xml:space="preserve">JUAZEIRO DO NORTE
</v>
          </cell>
          <cell r="W98" t="str">
            <v>63.010-020</v>
          </cell>
        </row>
        <row r="99">
          <cell r="A99">
            <v>98</v>
          </cell>
          <cell r="B99" t="str">
            <v>CE</v>
          </cell>
          <cell r="C99" t="str">
            <v>204-6</v>
          </cell>
          <cell r="D99" t="str">
            <v>61.10-8-01</v>
          </cell>
          <cell r="E99" t="str">
            <v>RH</v>
          </cell>
          <cell r="F99" t="str">
            <v>OI S/A - EM RECUPERAÇÃO JUDICIAL</v>
          </cell>
          <cell r="G99">
            <v>23920006026</v>
          </cell>
          <cell r="H99" t="str">
            <v>76.535.764/0218-17</v>
          </cell>
          <cell r="I99">
            <v>44061</v>
          </cell>
          <cell r="K99" t="str">
            <v>ATIVA</v>
          </cell>
          <cell r="L99" t="str">
            <v>CENTRALIZADA</v>
          </cell>
          <cell r="M99" t="str">
            <v>CENTRALIZADA</v>
          </cell>
          <cell r="O99" t="str">
            <v>ATIVA</v>
          </cell>
          <cell r="P99">
            <v>50920</v>
          </cell>
          <cell r="S99" t="str">
            <v>ATIVA</v>
          </cell>
          <cell r="T99" t="str">
            <v>BVD JOAO BARBOSA, 838, PARTE A</v>
          </cell>
          <cell r="U99" t="str">
            <v>CENTRO</v>
          </cell>
          <cell r="V99" t="str">
            <v>SOBRAL</v>
          </cell>
          <cell r="W99" t="str">
            <v>62.010-190</v>
          </cell>
        </row>
        <row r="100">
          <cell r="A100">
            <v>99</v>
          </cell>
          <cell r="B100" t="str">
            <v>ES</v>
          </cell>
          <cell r="C100" t="str">
            <v>204-6</v>
          </cell>
          <cell r="D100" t="str">
            <v>61.10-8-01</v>
          </cell>
          <cell r="E100" t="str">
            <v>CA</v>
          </cell>
          <cell r="F100" t="str">
            <v>OI S/A - EM RECUPERAÇÃO JUDICIAL</v>
          </cell>
          <cell r="G100">
            <v>32900796151</v>
          </cell>
          <cell r="H100" t="str">
            <v>76.535.764/0229-70</v>
          </cell>
          <cell r="I100">
            <v>44061</v>
          </cell>
          <cell r="K100" t="str">
            <v>ATIVA</v>
          </cell>
          <cell r="L100" t="str">
            <v>CENTRALIZADA</v>
          </cell>
          <cell r="M100" t="str">
            <v>CENTRALIZADA</v>
          </cell>
          <cell r="O100" t="str">
            <v>ATIVA</v>
          </cell>
          <cell r="P100">
            <v>4711839</v>
          </cell>
          <cell r="S100" t="str">
            <v>ATIVA</v>
          </cell>
          <cell r="T100" t="str">
            <v>AV DESEMBARGADOR MARIO DA SILVA NUNES, 558, ANEXO D</v>
          </cell>
          <cell r="U100" t="str">
            <v>JARDIM LIMOEIRO</v>
          </cell>
          <cell r="V100" t="str">
            <v>SERRA</v>
          </cell>
          <cell r="W100" t="str">
            <v>29.164-044</v>
          </cell>
        </row>
        <row r="101">
          <cell r="A101">
            <v>100</v>
          </cell>
          <cell r="B101" t="str">
            <v>ES</v>
          </cell>
          <cell r="C101" t="str">
            <v>204-6</v>
          </cell>
          <cell r="D101" t="str">
            <v>61.10-8-01</v>
          </cell>
          <cell r="E101" t="str">
            <v>RH</v>
          </cell>
          <cell r="F101" t="str">
            <v>OI S/A - EM RECUPERAÇÃO JUDICIAL</v>
          </cell>
          <cell r="G101">
            <v>32900796169</v>
          </cell>
          <cell r="H101" t="str">
            <v>76.535.764/0230-03</v>
          </cell>
          <cell r="I101">
            <v>44061</v>
          </cell>
          <cell r="K101" t="str">
            <v>ATIVA</v>
          </cell>
          <cell r="L101" t="str">
            <v>CENTRALIZADA</v>
          </cell>
          <cell r="M101" t="str">
            <v>CENTRALIZADA</v>
          </cell>
          <cell r="O101" t="str">
            <v>ATIVA</v>
          </cell>
          <cell r="P101">
            <v>1276520</v>
          </cell>
          <cell r="S101" t="str">
            <v>ATIVA</v>
          </cell>
          <cell r="T101" t="str">
            <v>R DO ROSARIO, 150, PAVMTO8 ANEXO A</v>
          </cell>
          <cell r="U101" t="str">
            <v>CENTRO</v>
          </cell>
          <cell r="V101" t="str">
            <v>VITORIA</v>
          </cell>
          <cell r="W101" t="str">
            <v>29.010-940</v>
          </cell>
        </row>
        <row r="102">
          <cell r="A102">
            <v>101</v>
          </cell>
          <cell r="B102" t="str">
            <v>ES</v>
          </cell>
          <cell r="C102" t="str">
            <v>204-6</v>
          </cell>
          <cell r="D102" t="str">
            <v>61.10-8-01</v>
          </cell>
          <cell r="E102" t="str">
            <v>RH</v>
          </cell>
          <cell r="F102" t="str">
            <v>OI S/A - EM RECUPERAÇÃO JUDICIAL</v>
          </cell>
          <cell r="G102">
            <v>32900796134</v>
          </cell>
          <cell r="H102" t="str">
            <v>76.535.764/0227-08</v>
          </cell>
          <cell r="I102">
            <v>44061</v>
          </cell>
          <cell r="K102" t="str">
            <v>ATIVA</v>
          </cell>
          <cell r="L102" t="str">
            <v>CENTRALIZADA</v>
          </cell>
          <cell r="M102" t="str">
            <v>CENTRALIZADA</v>
          </cell>
          <cell r="O102" t="str">
            <v>ATIVA</v>
          </cell>
          <cell r="P102" t="str">
            <v>78235-3</v>
          </cell>
          <cell r="S102" t="str">
            <v>ATIVA</v>
          </cell>
          <cell r="T102" t="str">
            <v>R COSTA PEREIRA, 118, ANEXO A</v>
          </cell>
          <cell r="U102" t="str">
            <v>SUMARE</v>
          </cell>
          <cell r="V102" t="str">
            <v>CACHOEIRO DE ITAPEMIRIM</v>
          </cell>
          <cell r="W102" t="str">
            <v>29.304-516</v>
          </cell>
        </row>
        <row r="103">
          <cell r="A103">
            <v>102</v>
          </cell>
          <cell r="B103" t="str">
            <v>ES</v>
          </cell>
          <cell r="C103" t="str">
            <v>204-6</v>
          </cell>
          <cell r="D103" t="str">
            <v>61.10-8-01</v>
          </cell>
          <cell r="E103" t="str">
            <v>RH</v>
          </cell>
          <cell r="F103" t="str">
            <v>OI S/A - EM RECUPERAÇÃO JUDICIAL</v>
          </cell>
          <cell r="G103">
            <v>32900796096</v>
          </cell>
          <cell r="H103" t="str">
            <v>76.535.764/0223-84</v>
          </cell>
          <cell r="I103">
            <v>44061</v>
          </cell>
          <cell r="K103" t="str">
            <v>ATIVA</v>
          </cell>
          <cell r="L103" t="str">
            <v>CENTRALIZADA</v>
          </cell>
          <cell r="M103" t="str">
            <v>CENTRALIZADA</v>
          </cell>
          <cell r="O103" t="str">
            <v>ATIVA</v>
          </cell>
          <cell r="P103">
            <v>54859</v>
          </cell>
          <cell r="Q103">
            <v>44119</v>
          </cell>
          <cell r="S103" t="str">
            <v>ATIVA</v>
          </cell>
          <cell r="T103" t="str">
            <v>R VIRGILIO GOMES BARRETO, 565, BLOCO B ANEXO A</v>
          </cell>
          <cell r="U103" t="str">
            <v>VILA NOVA</v>
          </cell>
          <cell r="V103" t="str">
            <v>COLATINA</v>
          </cell>
          <cell r="W103" t="str">
            <v>29.702-070</v>
          </cell>
        </row>
        <row r="104">
          <cell r="A104">
            <v>103</v>
          </cell>
          <cell r="B104" t="str">
            <v>ES</v>
          </cell>
          <cell r="C104" t="str">
            <v>204-6</v>
          </cell>
          <cell r="D104" t="str">
            <v>61.10-8-01</v>
          </cell>
          <cell r="E104" t="str">
            <v>RH</v>
          </cell>
          <cell r="F104" t="str">
            <v>OI S/A - EM RECUPERAÇÃO JUDICIAL</v>
          </cell>
          <cell r="G104">
            <v>32900796118</v>
          </cell>
          <cell r="H104" t="str">
            <v>76.535.764/0225-46</v>
          </cell>
          <cell r="I104">
            <v>44061</v>
          </cell>
          <cell r="K104" t="str">
            <v>ATIVA</v>
          </cell>
          <cell r="L104" t="str">
            <v>CENTRALIZADA</v>
          </cell>
          <cell r="M104" t="str">
            <v>CENTRALIZADA</v>
          </cell>
          <cell r="O104" t="str">
            <v>ATIVA</v>
          </cell>
          <cell r="P104">
            <v>33903</v>
          </cell>
          <cell r="S104" t="str">
            <v>ATIVA</v>
          </cell>
          <cell r="T104" t="str">
            <v>AV JOAO FELIPE CALMON, 820, QUADRA25 LOTE 2 ANEXO A</v>
          </cell>
          <cell r="U104" t="str">
            <v>CENTRO</v>
          </cell>
          <cell r="V104" t="str">
            <v>LINHARES</v>
          </cell>
          <cell r="W104" t="str">
            <v>29.900-022</v>
          </cell>
        </row>
        <row r="105">
          <cell r="A105">
            <v>104</v>
          </cell>
          <cell r="B105" t="str">
            <v>ES</v>
          </cell>
          <cell r="C105" t="str">
            <v>204-6</v>
          </cell>
          <cell r="D105" t="str">
            <v>61.10-8-01</v>
          </cell>
          <cell r="E105" t="str">
            <v>RH</v>
          </cell>
          <cell r="F105" t="str">
            <v>OI S/A - EM RECUPERAÇÃO JUDICIAL</v>
          </cell>
          <cell r="G105">
            <v>32900796100</v>
          </cell>
          <cell r="H105" t="str">
            <v>76.535.764/0224-65</v>
          </cell>
          <cell r="I105">
            <v>44061</v>
          </cell>
          <cell r="K105" t="str">
            <v>ATIVA</v>
          </cell>
          <cell r="L105" t="str">
            <v>CENTRALIZADA</v>
          </cell>
          <cell r="M105" t="str">
            <v>CENTRALIZADA</v>
          </cell>
          <cell r="O105" t="str">
            <v>ATIVA</v>
          </cell>
          <cell r="P105">
            <v>16702</v>
          </cell>
          <cell r="S105" t="str">
            <v>ATIVA</v>
          </cell>
          <cell r="T105" t="str">
            <v>R ERICSON RIOS PESSANHA, 48, ANEXO A</v>
          </cell>
          <cell r="U105" t="str">
            <v>BOA VISTA</v>
          </cell>
          <cell r="V105" t="str">
            <v>SAO MATEUS</v>
          </cell>
          <cell r="W105" t="str">
            <v>29.931-320</v>
          </cell>
        </row>
        <row r="106">
          <cell r="A106">
            <v>105</v>
          </cell>
          <cell r="B106" t="str">
            <v>ES</v>
          </cell>
          <cell r="C106" t="str">
            <v>204-6</v>
          </cell>
          <cell r="D106" t="str">
            <v>61.10-8-01</v>
          </cell>
          <cell r="E106" t="str">
            <v>RH</v>
          </cell>
          <cell r="F106" t="str">
            <v>OI S/A - EM RECUPERAÇÃO JUDICIAL</v>
          </cell>
          <cell r="G106">
            <v>32900796142</v>
          </cell>
          <cell r="H106" t="str">
            <v>76.535.764/0228-99</v>
          </cell>
          <cell r="I106">
            <v>44061</v>
          </cell>
          <cell r="K106" t="str">
            <v>ATIVA</v>
          </cell>
          <cell r="L106" t="str">
            <v>CENTRALIZADA</v>
          </cell>
          <cell r="M106" t="str">
            <v>CENTRALIZADA</v>
          </cell>
          <cell r="O106" t="str">
            <v>ATIVA</v>
          </cell>
          <cell r="P106">
            <v>129430</v>
          </cell>
          <cell r="S106" t="str">
            <v>ATIVA</v>
          </cell>
          <cell r="T106" t="str">
            <v>R CABO AYLSON SIMOES, 306, ANEXO A</v>
          </cell>
          <cell r="U106" t="str">
            <v>CENTRO DE VILA VELHA</v>
          </cell>
          <cell r="V106" t="str">
            <v>VILA VELHA</v>
          </cell>
          <cell r="W106" t="str">
            <v>29.100-320</v>
          </cell>
        </row>
        <row r="107">
          <cell r="A107">
            <v>106</v>
          </cell>
          <cell r="B107" t="str">
            <v>MA</v>
          </cell>
          <cell r="C107" t="str">
            <v>204-6</v>
          </cell>
          <cell r="D107" t="str">
            <v>61.10-8-01</v>
          </cell>
          <cell r="E107" t="str">
            <v>RH</v>
          </cell>
          <cell r="F107" t="str">
            <v>OI S/A - EM RECUPERAÇÃO JUDICIAL</v>
          </cell>
          <cell r="G107">
            <v>21900585835</v>
          </cell>
          <cell r="H107" t="str">
            <v>76.535.764/0232-75</v>
          </cell>
          <cell r="I107">
            <v>44061</v>
          </cell>
          <cell r="K107" t="str">
            <v>ATIVA</v>
          </cell>
          <cell r="L107" t="str">
            <v>CENTRALIZADA</v>
          </cell>
          <cell r="M107">
            <v>44061</v>
          </cell>
          <cell r="O107" t="str">
            <v>ATIVA</v>
          </cell>
          <cell r="P107">
            <v>902590</v>
          </cell>
          <cell r="S107" t="str">
            <v>ATIVA</v>
          </cell>
          <cell r="T107" t="str">
            <v>R OSWALDO CRUZ, 745, LETRA A</v>
          </cell>
          <cell r="U107" t="str">
            <v>CENTRO</v>
          </cell>
          <cell r="V107" t="str">
            <v>BACABAL</v>
          </cell>
          <cell r="W107" t="str">
            <v>65.700-000</v>
          </cell>
        </row>
        <row r="108">
          <cell r="A108">
            <v>107</v>
          </cell>
          <cell r="B108" t="str">
            <v>MA</v>
          </cell>
          <cell r="C108" t="str">
            <v>204-6</v>
          </cell>
          <cell r="D108" t="str">
            <v>61.10-8-01</v>
          </cell>
          <cell r="E108" t="str">
            <v>RH</v>
          </cell>
          <cell r="F108" t="str">
            <v>OI S/A - EM RECUPERAÇÃO JUDICIAL</v>
          </cell>
          <cell r="G108">
            <v>21900585827</v>
          </cell>
          <cell r="H108" t="str">
            <v>76.535.764/0231-94</v>
          </cell>
          <cell r="I108">
            <v>44061</v>
          </cell>
          <cell r="K108" t="str">
            <v>ATIVA</v>
          </cell>
          <cell r="L108" t="str">
            <v>CENTRALIZADA</v>
          </cell>
          <cell r="M108">
            <v>44061</v>
          </cell>
          <cell r="O108" t="str">
            <v>ATIVA</v>
          </cell>
          <cell r="P108" t="str">
            <v>PENDENTE</v>
          </cell>
          <cell r="S108" t="str">
            <v>PENDENTE</v>
          </cell>
          <cell r="T108" t="str">
            <v xml:space="preserve">R DA RAPOSA, 66, </v>
          </cell>
          <cell r="U108" t="str">
            <v>CENTRO</v>
          </cell>
          <cell r="V108" t="str">
            <v>SANTA INES</v>
          </cell>
          <cell r="W108" t="str">
            <v>65.300-088</v>
          </cell>
        </row>
        <row r="109">
          <cell r="A109">
            <v>108</v>
          </cell>
          <cell r="B109" t="str">
            <v>MG</v>
          </cell>
          <cell r="C109" t="str">
            <v>204-6</v>
          </cell>
          <cell r="D109" t="str">
            <v>61.10-8-01</v>
          </cell>
          <cell r="E109" t="str">
            <v>CA</v>
          </cell>
          <cell r="F109" t="str">
            <v>OI S/A - EM RECUPERAÇÃO JUDICIAL</v>
          </cell>
          <cell r="G109">
            <v>31920019230</v>
          </cell>
          <cell r="H109" t="str">
            <v>76.535.764/0361-72</v>
          </cell>
          <cell r="I109">
            <v>44061</v>
          </cell>
          <cell r="K109" t="str">
            <v>ATIVA</v>
          </cell>
          <cell r="L109" t="str">
            <v>CENTRALIZADA</v>
          </cell>
          <cell r="M109" t="str">
            <v>CENTRALIZADA</v>
          </cell>
          <cell r="P109">
            <v>1840740059</v>
          </cell>
          <cell r="S109" t="str">
            <v>ATIVA</v>
          </cell>
          <cell r="T109" t="str">
            <v>R ESTORIL, 1432</v>
          </cell>
          <cell r="U109" t="str">
            <v>SÃO FRANCISCO</v>
          </cell>
          <cell r="V109" t="str">
            <v>BELO HORIZONTE</v>
          </cell>
          <cell r="W109" t="str">
            <v>31.255-190</v>
          </cell>
        </row>
        <row r="110">
          <cell r="A110">
            <v>109</v>
          </cell>
          <cell r="B110" t="str">
            <v>MG</v>
          </cell>
          <cell r="C110" t="str">
            <v>204-6</v>
          </cell>
          <cell r="D110" t="str">
            <v>61.10-8-01</v>
          </cell>
          <cell r="E110" t="str">
            <v>CA</v>
          </cell>
          <cell r="F110" t="str">
            <v>OI S/A - EM RECUPERAÇÃO JUDICIAL</v>
          </cell>
          <cell r="G110">
            <v>31920017245</v>
          </cell>
          <cell r="H110" t="str">
            <v>76.535.764/0291-25</v>
          </cell>
          <cell r="I110">
            <v>44061</v>
          </cell>
          <cell r="K110" t="str">
            <v>ATIVA</v>
          </cell>
          <cell r="L110" t="str">
            <v>CENTRALIZADA</v>
          </cell>
          <cell r="M110" t="str">
            <v>CENTRALIZADA</v>
          </cell>
          <cell r="P110">
            <v>767004</v>
          </cell>
          <cell r="Q110">
            <v>44266</v>
          </cell>
          <cell r="S110" t="str">
            <v>ATIVA</v>
          </cell>
          <cell r="T110" t="str">
            <v>R TREZE DE MAIO, 420, PARTE B</v>
          </cell>
          <cell r="U110" t="str">
            <v>SAO PAULO</v>
          </cell>
          <cell r="V110" t="str">
            <v>GOVERNADOR VALADARES</v>
          </cell>
          <cell r="W110" t="str">
            <v>35.030-765</v>
          </cell>
        </row>
        <row r="111">
          <cell r="A111">
            <v>110</v>
          </cell>
          <cell r="B111" t="str">
            <v>MG</v>
          </cell>
          <cell r="C111" t="str">
            <v>204-6</v>
          </cell>
          <cell r="D111" t="str">
            <v>61.10-8-01</v>
          </cell>
          <cell r="E111" t="str">
            <v>CA/RH</v>
          </cell>
          <cell r="F111" t="str">
            <v>OI S/A - EM RECUPERAÇÃO JUDICIAL</v>
          </cell>
          <cell r="G111">
            <v>31920017369</v>
          </cell>
          <cell r="H111" t="str">
            <v>76.535.764/0304-84</v>
          </cell>
          <cell r="I111">
            <v>44061</v>
          </cell>
          <cell r="K111" t="str">
            <v>ATIVA</v>
          </cell>
          <cell r="L111" t="str">
            <v>CENTRALIZADA</v>
          </cell>
          <cell r="M111" t="str">
            <v>CENTRALIZADA</v>
          </cell>
          <cell r="P111" t="str">
            <v>0256133 00</v>
          </cell>
          <cell r="Q111">
            <v>44239</v>
          </cell>
          <cell r="S111" t="str">
            <v>ATIVA</v>
          </cell>
          <cell r="T111" t="str">
            <v>R CLAUDIO MOURA, 2100</v>
          </cell>
          <cell r="U111" t="str">
            <v>NOVO CRUZEIRO</v>
          </cell>
          <cell r="V111" t="str">
            <v>IPATINGA</v>
          </cell>
          <cell r="W111" t="str">
            <v>35.164-840</v>
          </cell>
        </row>
        <row r="112">
          <cell r="A112">
            <v>111</v>
          </cell>
          <cell r="B112" t="str">
            <v>MG</v>
          </cell>
          <cell r="C112" t="str">
            <v>204-6</v>
          </cell>
          <cell r="D112" t="str">
            <v>61.10-8-01</v>
          </cell>
          <cell r="E112" t="str">
            <v>CA</v>
          </cell>
          <cell r="F112" t="str">
            <v>OI S/A - EM RECUPERAÇÃO JUDICIAL</v>
          </cell>
          <cell r="G112">
            <v>31920017407</v>
          </cell>
          <cell r="H112" t="str">
            <v>76.535.764/0308-08</v>
          </cell>
          <cell r="I112">
            <v>44061</v>
          </cell>
          <cell r="K112" t="str">
            <v>ATIVA</v>
          </cell>
          <cell r="L112" t="str">
            <v>CENTRALIZADA</v>
          </cell>
          <cell r="M112" t="str">
            <v>CENTRALIZADA</v>
          </cell>
          <cell r="P112">
            <v>77468</v>
          </cell>
          <cell r="S112" t="str">
            <v>ATIVA</v>
          </cell>
          <cell r="T112" t="str">
            <v>R PARA, 348, SALA 2</v>
          </cell>
          <cell r="U112" t="str">
            <v>VILA BELO HORIZONTE</v>
          </cell>
          <cell r="V112" t="str">
            <v>DIVINOPOLIS</v>
          </cell>
          <cell r="W112" t="str">
            <v>35.502-032</v>
          </cell>
        </row>
        <row r="113">
          <cell r="A113">
            <v>112</v>
          </cell>
          <cell r="B113" t="str">
            <v>MG</v>
          </cell>
          <cell r="C113" t="str">
            <v>204-6</v>
          </cell>
          <cell r="D113" t="str">
            <v>61.10-8-01</v>
          </cell>
          <cell r="E113" t="str">
            <v>CA</v>
          </cell>
          <cell r="F113" t="str">
            <v>OI S/A - EM RECUPERAÇÃO JUDICIAL</v>
          </cell>
          <cell r="G113">
            <v>31920019221</v>
          </cell>
          <cell r="H113" t="str">
            <v>76.535.764/0360-91</v>
          </cell>
          <cell r="I113">
            <v>44061</v>
          </cell>
          <cell r="K113" t="str">
            <v>ATIVA</v>
          </cell>
          <cell r="L113" t="str">
            <v>CENTRALIZADA</v>
          </cell>
          <cell r="M113" t="str">
            <v>CENTRALIZADA</v>
          </cell>
          <cell r="P113" t="str">
            <v>1/000034655</v>
          </cell>
          <cell r="S113" t="str">
            <v>ATIVA</v>
          </cell>
          <cell r="T113" t="str">
            <v>R AIMORES, 90, ANEXO D</v>
          </cell>
          <cell r="U113" t="str">
            <v>CARIJOS</v>
          </cell>
          <cell r="V113" t="str">
            <v>CONSELHEIRO LAFAIETE</v>
          </cell>
          <cell r="W113" t="str">
            <v>36.406-094</v>
          </cell>
        </row>
        <row r="114">
          <cell r="A114">
            <v>113</v>
          </cell>
          <cell r="B114" t="str">
            <v>MG</v>
          </cell>
          <cell r="C114" t="str">
            <v>204-6</v>
          </cell>
          <cell r="D114" t="str">
            <v>61.10-8-01</v>
          </cell>
          <cell r="E114" t="str">
            <v>CA</v>
          </cell>
          <cell r="F114" t="str">
            <v>OI S/A - EM RECUPERAÇÃO JUDICIAL</v>
          </cell>
          <cell r="G114">
            <v>31920019213</v>
          </cell>
          <cell r="H114" t="str">
            <v>76.535.764/0359-58</v>
          </cell>
          <cell r="I114">
            <v>44061</v>
          </cell>
          <cell r="K114" t="str">
            <v>ATIVA</v>
          </cell>
          <cell r="L114" t="str">
            <v>CENTRALIZADA</v>
          </cell>
          <cell r="M114" t="str">
            <v>CENTRALIZADA</v>
          </cell>
          <cell r="P114">
            <v>36507</v>
          </cell>
          <cell r="S114" t="str">
            <v>ATIVA</v>
          </cell>
          <cell r="T114" t="str">
            <v>AV PRINCESA DO SUL, 1975</v>
          </cell>
          <cell r="U114" t="str">
            <v>REZENDE</v>
          </cell>
          <cell r="V114" t="str">
            <v>VARGINHA</v>
          </cell>
          <cell r="W114" t="str">
            <v>37.062-447</v>
          </cell>
        </row>
        <row r="115">
          <cell r="A115">
            <v>114</v>
          </cell>
          <cell r="B115" t="str">
            <v>MG</v>
          </cell>
          <cell r="C115" t="str">
            <v>204-6</v>
          </cell>
          <cell r="D115" t="str">
            <v>61.10-8-01</v>
          </cell>
          <cell r="E115" t="str">
            <v>CA</v>
          </cell>
          <cell r="F115" t="str">
            <v>OI S/A - EM RECUPERAÇÃO JUDICIAL</v>
          </cell>
          <cell r="G115">
            <v>31920017253</v>
          </cell>
          <cell r="H115" t="str">
            <v>76.535.764/0292-06</v>
          </cell>
          <cell r="I115">
            <v>44061</v>
          </cell>
          <cell r="K115" t="str">
            <v>ATIVA</v>
          </cell>
          <cell r="L115" t="str">
            <v>CENTRALIZADA</v>
          </cell>
          <cell r="M115" t="str">
            <v>CENTRALIZADA</v>
          </cell>
          <cell r="P115">
            <v>92917</v>
          </cell>
          <cell r="Q115">
            <v>44167</v>
          </cell>
          <cell r="S115" t="str">
            <v>ATIVA</v>
          </cell>
          <cell r="T115" t="str">
            <v>AV PREFEITO OLAVO GOMES DE OLIVEIRA, 2506, PARTE B</v>
          </cell>
          <cell r="U115" t="str">
            <v>JARDIM AURELIANO</v>
          </cell>
          <cell r="V115" t="str">
            <v>POUSO ALEGRE</v>
          </cell>
          <cell r="W115" t="str">
            <v>37.558-658</v>
          </cell>
        </row>
        <row r="116">
          <cell r="A116">
            <v>115</v>
          </cell>
          <cell r="B116" t="str">
            <v>MG</v>
          </cell>
          <cell r="C116" t="str">
            <v>204-6</v>
          </cell>
          <cell r="D116" t="str">
            <v>61.10-8-01</v>
          </cell>
          <cell r="E116" t="str">
            <v>RH</v>
          </cell>
          <cell r="F116" t="str">
            <v>OI S/A - EM RECUPERAÇÃO JUDICIAL</v>
          </cell>
          <cell r="G116">
            <v>31920017270</v>
          </cell>
          <cell r="H116" t="str">
            <v>76.535.764/0295-59</v>
          </cell>
          <cell r="I116">
            <v>44061</v>
          </cell>
          <cell r="K116" t="str">
            <v>ATIVA</v>
          </cell>
          <cell r="L116" t="str">
            <v>CENTRALIZADA</v>
          </cell>
          <cell r="M116" t="str">
            <v>CENTRALIZADA</v>
          </cell>
          <cell r="P116">
            <v>22591</v>
          </cell>
          <cell r="S116" t="str">
            <v>ATIVA</v>
          </cell>
          <cell r="T116" t="str">
            <v>AV SAO JOSE, 1060</v>
          </cell>
          <cell r="U116" t="str">
            <v>CENTRO</v>
          </cell>
          <cell r="V116" t="str">
            <v>ALFENAS</v>
          </cell>
          <cell r="W116" t="str">
            <v>37.130-141</v>
          </cell>
        </row>
        <row r="117">
          <cell r="A117">
            <v>116</v>
          </cell>
          <cell r="B117" t="str">
            <v>MG</v>
          </cell>
          <cell r="C117" t="str">
            <v>204-6</v>
          </cell>
          <cell r="D117" t="str">
            <v>61.10-8-01</v>
          </cell>
          <cell r="E117" t="str">
            <v>RH</v>
          </cell>
          <cell r="F117" t="str">
            <v>OI S/A - EM RECUPERAÇÃO JUDICIAL</v>
          </cell>
          <cell r="G117">
            <v>31920017164</v>
          </cell>
          <cell r="H117" t="str">
            <v>76.535.764/0283-15</v>
          </cell>
          <cell r="I117">
            <v>44061</v>
          </cell>
          <cell r="K117" t="str">
            <v>ATIVA</v>
          </cell>
          <cell r="L117" t="str">
            <v>CENTRALIZADA</v>
          </cell>
          <cell r="M117" t="str">
            <v>CENTRALIZADA</v>
          </cell>
          <cell r="P117">
            <v>5344782</v>
          </cell>
          <cell r="S117" t="str">
            <v>ATIVA</v>
          </cell>
          <cell r="T117" t="str">
            <v>R ARGEMIRO AGUILAR, 533, PARTE A</v>
          </cell>
          <cell r="U117" t="str">
            <v>CENTRO</v>
          </cell>
          <cell r="V117" t="str">
            <v>ALMENARA</v>
          </cell>
          <cell r="W117" t="str">
            <v>39.900-000</v>
          </cell>
        </row>
        <row r="118">
          <cell r="A118">
            <v>117</v>
          </cell>
          <cell r="B118" t="str">
            <v>MG</v>
          </cell>
          <cell r="C118" t="str">
            <v>204-6</v>
          </cell>
          <cell r="D118" t="str">
            <v>61.10-8-01</v>
          </cell>
          <cell r="E118" t="str">
            <v>RH</v>
          </cell>
          <cell r="F118" t="str">
            <v>OI S/A - EM RECUPERAÇÃO JUDICIAL</v>
          </cell>
          <cell r="G118">
            <v>31920017377</v>
          </cell>
          <cell r="H118" t="str">
            <v>76.535.764/0305-65</v>
          </cell>
          <cell r="I118">
            <v>44061</v>
          </cell>
          <cell r="K118" t="str">
            <v>ATIVA</v>
          </cell>
          <cell r="L118" t="str">
            <v>CENTRALIZADA</v>
          </cell>
          <cell r="M118" t="str">
            <v>CENTRALIZADA</v>
          </cell>
          <cell r="P118">
            <v>39703131</v>
          </cell>
          <cell r="S118" t="str">
            <v>ATIVA</v>
          </cell>
          <cell r="T118" t="str">
            <v>PC CONDE DE PRADOS, 125</v>
          </cell>
          <cell r="U118" t="str">
            <v>CENTRO</v>
          </cell>
          <cell r="V118" t="str">
            <v>BARBACENA</v>
          </cell>
          <cell r="W118" t="str">
            <v>36.200-104</v>
          </cell>
        </row>
        <row r="119">
          <cell r="A119">
            <v>118</v>
          </cell>
          <cell r="B119" t="str">
            <v>MG</v>
          </cell>
          <cell r="C119" t="str">
            <v>204-6</v>
          </cell>
          <cell r="D119" t="str">
            <v>61.10-8-01</v>
          </cell>
          <cell r="E119" t="str">
            <v>RH</v>
          </cell>
          <cell r="F119" t="str">
            <v>OI S/A - EM RECUPERAÇÃO JUDICIAL</v>
          </cell>
          <cell r="G119">
            <v>31920017491</v>
          </cell>
          <cell r="H119" t="str">
            <v>76.535.764/0318-80</v>
          </cell>
          <cell r="I119">
            <v>44061</v>
          </cell>
          <cell r="K119" t="str">
            <v>ATIVA</v>
          </cell>
          <cell r="L119" t="str">
            <v>CENTRALIZADA</v>
          </cell>
          <cell r="M119" t="str">
            <v>CENTRALIZADA</v>
          </cell>
          <cell r="P119">
            <v>1840740040</v>
          </cell>
          <cell r="S119" t="str">
            <v>ATIVA</v>
          </cell>
          <cell r="T119" t="str">
            <v>AV DOM PEDRO II, 3110, LOJA PARTE A</v>
          </cell>
          <cell r="U119" t="str">
            <v>CAICARAS</v>
          </cell>
          <cell r="V119" t="str">
            <v>BELO HORIZONTE</v>
          </cell>
          <cell r="W119" t="str">
            <v>30.770-162</v>
          </cell>
        </row>
        <row r="120">
          <cell r="A120">
            <v>119</v>
          </cell>
          <cell r="B120" t="str">
            <v>MG</v>
          </cell>
          <cell r="C120" t="str">
            <v>204-6</v>
          </cell>
          <cell r="D120" t="str">
            <v>61.10-8-01</v>
          </cell>
          <cell r="E120" t="str">
            <v>RH</v>
          </cell>
          <cell r="F120" t="str">
            <v>OI S/A - EM RECUPERAÇÃO JUDICIAL</v>
          </cell>
          <cell r="G120">
            <v>31920017326</v>
          </cell>
          <cell r="H120" t="str">
            <v>76.535.764/0300-50</v>
          </cell>
          <cell r="I120">
            <v>44061</v>
          </cell>
          <cell r="K120" t="str">
            <v>ATIVA</v>
          </cell>
          <cell r="L120" t="str">
            <v>CENTRALIZADA</v>
          </cell>
          <cell r="M120" t="str">
            <v>CENTRALIZADA</v>
          </cell>
          <cell r="P120">
            <v>189044</v>
          </cell>
          <cell r="S120" t="str">
            <v>ATIVA</v>
          </cell>
          <cell r="T120" t="str">
            <v>R FREDERICO OZANAN, 73</v>
          </cell>
          <cell r="U120" t="str">
            <v>CENTRO</v>
          </cell>
          <cell r="V120" t="str">
            <v>BOM DESPACHO</v>
          </cell>
          <cell r="W120" t="str">
            <v>35.600-000</v>
          </cell>
        </row>
        <row r="121">
          <cell r="A121">
            <v>120</v>
          </cell>
          <cell r="B121" t="str">
            <v>MG</v>
          </cell>
          <cell r="C121" t="str">
            <v>204-6</v>
          </cell>
          <cell r="D121" t="str">
            <v>61.10-8-01</v>
          </cell>
          <cell r="E121" t="str">
            <v>RH</v>
          </cell>
          <cell r="F121" t="str">
            <v>OI S/A - EM RECUPERAÇÃO JUDICIAL</v>
          </cell>
          <cell r="G121">
            <v>31920017474</v>
          </cell>
          <cell r="H121" t="str">
            <v>76.535.764/0315-37</v>
          </cell>
          <cell r="I121">
            <v>44061</v>
          </cell>
          <cell r="K121" t="str">
            <v>ATIVA</v>
          </cell>
          <cell r="L121" t="str">
            <v>CENTRALIZADA</v>
          </cell>
          <cell r="M121" t="str">
            <v>CENTRALIZADA</v>
          </cell>
          <cell r="P121">
            <v>2218900</v>
          </cell>
          <cell r="S121" t="str">
            <v>ATIVA</v>
          </cell>
          <cell r="T121" t="str">
            <v>AV MARIA CATARINA CIMINI, 264</v>
          </cell>
          <cell r="U121" t="str">
            <v xml:space="preserve">CENTRO
</v>
          </cell>
          <cell r="V121" t="str">
            <v>CARATINGA</v>
          </cell>
          <cell r="W121" t="str">
            <v>35.300-030</v>
          </cell>
        </row>
        <row r="122">
          <cell r="A122">
            <v>121</v>
          </cell>
          <cell r="B122" t="str">
            <v>MG</v>
          </cell>
          <cell r="C122" t="str">
            <v>204-6</v>
          </cell>
          <cell r="D122" t="str">
            <v>61.10-8-01</v>
          </cell>
          <cell r="E122" t="str">
            <v>RH</v>
          </cell>
          <cell r="F122" t="str">
            <v>OI S/A - EM RECUPERAÇÃO JUDICIAL</v>
          </cell>
          <cell r="G122">
            <v>31920019191</v>
          </cell>
          <cell r="H122" t="str">
            <v>76.535.764/0357-96</v>
          </cell>
          <cell r="I122">
            <v>44061</v>
          </cell>
          <cell r="K122" t="str">
            <v>ATIVA</v>
          </cell>
          <cell r="L122" t="str">
            <v>CENTRALIZADA</v>
          </cell>
          <cell r="M122" t="str">
            <v>CENTRALIZADA</v>
          </cell>
          <cell r="P122" t="str">
            <v>1/000034656</v>
          </cell>
          <cell r="S122" t="str">
            <v>ATIVA</v>
          </cell>
          <cell r="T122" t="str">
            <v>R MELO VIANA, 174, PARTE A</v>
          </cell>
          <cell r="U122" t="str">
            <v>CENTRO</v>
          </cell>
          <cell r="V122" t="str">
            <v>CONSELHEIRO LAFAIETE</v>
          </cell>
          <cell r="W122" t="str">
            <v>36.400-070</v>
          </cell>
        </row>
        <row r="123">
          <cell r="A123">
            <v>122</v>
          </cell>
          <cell r="B123" t="str">
            <v>MG</v>
          </cell>
          <cell r="C123" t="str">
            <v>204-6</v>
          </cell>
          <cell r="D123" t="str">
            <v>61.10-8-01</v>
          </cell>
          <cell r="E123" t="str">
            <v>RH</v>
          </cell>
          <cell r="F123" t="str">
            <v>OI S/A - EM RECUPERAÇÃO JUDICIAL</v>
          </cell>
          <cell r="G123">
            <v>31920017539</v>
          </cell>
          <cell r="H123" t="str">
            <v>76.535.764/0335-80</v>
          </cell>
          <cell r="I123">
            <v>44061</v>
          </cell>
          <cell r="K123" t="str">
            <v>ATIVA</v>
          </cell>
          <cell r="L123" t="str">
            <v>CENTRALIZADA</v>
          </cell>
          <cell r="M123" t="str">
            <v>CENTRALIZADA</v>
          </cell>
          <cell r="P123" t="str">
            <v>1/000034657</v>
          </cell>
          <cell r="Q123">
            <v>44214</v>
          </cell>
          <cell r="S123" t="str">
            <v>ATIVA</v>
          </cell>
          <cell r="T123" t="str">
            <v>R TAVARES DE MELO, 180, PARTE A</v>
          </cell>
          <cell r="U123" t="str">
            <v>CENTRO</v>
          </cell>
          <cell r="V123" t="str">
            <v>CONSELHEIRO LAFAIETE</v>
          </cell>
          <cell r="W123" t="str">
            <v>36.400-059</v>
          </cell>
        </row>
        <row r="124">
          <cell r="A124">
            <v>123</v>
          </cell>
          <cell r="B124" t="str">
            <v>MG</v>
          </cell>
          <cell r="C124" t="str">
            <v>204-6</v>
          </cell>
          <cell r="D124" t="str">
            <v>61.10-8-01</v>
          </cell>
          <cell r="E124" t="str">
            <v>RH</v>
          </cell>
          <cell r="F124" t="str">
            <v>OI S/A - EM RECUPERAÇÃO JUDICIAL</v>
          </cell>
          <cell r="G124">
            <v>31920019248</v>
          </cell>
          <cell r="H124" t="str">
            <v>76.535.764/0362-53</v>
          </cell>
          <cell r="I124">
            <v>44061</v>
          </cell>
          <cell r="K124" t="str">
            <v>ATIVA</v>
          </cell>
          <cell r="L124" t="str">
            <v>CENTRALIZADA</v>
          </cell>
          <cell r="M124" t="str">
            <v>CENTRALIZADA</v>
          </cell>
          <cell r="P124">
            <v>72124829</v>
          </cell>
          <cell r="S124" t="str">
            <v>ATIVA</v>
          </cell>
          <cell r="T124" t="str">
            <v>AV CARDEAL EUGENIO PACELLI, 1052, PARTE A</v>
          </cell>
          <cell r="U124" t="str">
            <v>CIDADE INDUSTRIAL</v>
          </cell>
          <cell r="V124" t="str">
            <v>CONTAGEM</v>
          </cell>
          <cell r="W124" t="str">
            <v>32.210-002</v>
          </cell>
        </row>
        <row r="125">
          <cell r="A125">
            <v>124</v>
          </cell>
          <cell r="B125" t="str">
            <v>MG</v>
          </cell>
          <cell r="C125" t="str">
            <v>204-6</v>
          </cell>
          <cell r="D125" t="str">
            <v>61.10-8-01</v>
          </cell>
          <cell r="E125" t="str">
            <v>RH</v>
          </cell>
          <cell r="F125" t="str">
            <v>OI S/A - EM RECUPERAÇÃO JUDICIAL</v>
          </cell>
          <cell r="G125">
            <v>31920017342</v>
          </cell>
          <cell r="H125" t="str">
            <v>76.535.764/0302-12</v>
          </cell>
          <cell r="I125">
            <v>44061</v>
          </cell>
          <cell r="K125" t="str">
            <v>ATIVA</v>
          </cell>
          <cell r="L125" t="str">
            <v>CENTRALIZADA</v>
          </cell>
          <cell r="M125" t="str">
            <v>CENTRALIZADA</v>
          </cell>
          <cell r="P125">
            <v>225442</v>
          </cell>
          <cell r="S125" t="str">
            <v>ATIVA</v>
          </cell>
          <cell r="T125" t="str">
            <v>R JOAQUIM FELICIO, 154</v>
          </cell>
          <cell r="U125" t="str">
            <v>CENTRO</v>
          </cell>
          <cell r="V125" t="str">
            <v>CURVELO</v>
          </cell>
          <cell r="W125" t="str">
            <v>35.790-171</v>
          </cell>
        </row>
        <row r="126">
          <cell r="A126">
            <v>125</v>
          </cell>
          <cell r="B126" t="str">
            <v>MG</v>
          </cell>
          <cell r="C126" t="str">
            <v>204-6</v>
          </cell>
          <cell r="D126" t="str">
            <v>61.10-8-01</v>
          </cell>
          <cell r="E126" t="str">
            <v>RH</v>
          </cell>
          <cell r="F126" t="str">
            <v>OI S/A - EM RECUPERAÇÃO JUDICIAL</v>
          </cell>
          <cell r="G126">
            <v>31920019183</v>
          </cell>
          <cell r="H126" t="str">
            <v>76.535.764/0356-05</v>
          </cell>
          <cell r="I126">
            <v>44061</v>
          </cell>
          <cell r="K126" t="str">
            <v>ATIVA</v>
          </cell>
          <cell r="L126" t="str">
            <v>CENTRALIZADA</v>
          </cell>
          <cell r="M126" t="str">
            <v>CENTRALIZADA</v>
          </cell>
          <cell r="P126">
            <v>11665</v>
          </cell>
          <cell r="S126" t="str">
            <v>ATIVA</v>
          </cell>
          <cell r="T126" t="str">
            <v>R DO OURO, 95, PARTE A</v>
          </cell>
          <cell r="U126" t="str">
            <v>DE FATIMA</v>
          </cell>
          <cell r="V126" t="str">
            <v>DIAMANTINA</v>
          </cell>
          <cell r="W126" t="str">
            <v>39.100-000</v>
          </cell>
        </row>
        <row r="127">
          <cell r="A127">
            <v>126</v>
          </cell>
          <cell r="B127" t="str">
            <v>MG</v>
          </cell>
          <cell r="C127" t="str">
            <v>204-6</v>
          </cell>
          <cell r="D127" t="str">
            <v>61.10-8-01</v>
          </cell>
          <cell r="E127" t="str">
            <v>RH</v>
          </cell>
          <cell r="F127" t="str">
            <v>OI S/A - EM RECUPERAÇÃO JUDICIAL</v>
          </cell>
          <cell r="G127">
            <v>31920017521</v>
          </cell>
          <cell r="H127" t="str">
            <v>76.535.764/0334-08</v>
          </cell>
          <cell r="I127">
            <v>44061</v>
          </cell>
          <cell r="K127" t="str">
            <v>ATIVA</v>
          </cell>
          <cell r="L127" t="str">
            <v>CENTRALIZADA</v>
          </cell>
          <cell r="M127" t="str">
            <v>CENTRALIZADA</v>
          </cell>
          <cell r="P127">
            <v>77787</v>
          </cell>
          <cell r="S127" t="str">
            <v>ATIVA</v>
          </cell>
          <cell r="T127" t="str">
            <v>R RIO DE JANEIRO, 434, PARTE A</v>
          </cell>
          <cell r="U127" t="str">
            <v>CENTRO</v>
          </cell>
          <cell r="V127" t="str">
            <v>DIVINOPOLIS</v>
          </cell>
          <cell r="W127" t="str">
            <v>35.500-009</v>
          </cell>
        </row>
        <row r="128">
          <cell r="A128">
            <v>127</v>
          </cell>
          <cell r="B128" t="str">
            <v>MG</v>
          </cell>
          <cell r="C128" t="str">
            <v>204-6</v>
          </cell>
          <cell r="D128" t="str">
            <v>61.10-8-01</v>
          </cell>
          <cell r="E128" t="str">
            <v>RH</v>
          </cell>
          <cell r="F128" t="str">
            <v>OI S/A - EM RECUPERAÇÃO JUDICIAL</v>
          </cell>
          <cell r="G128">
            <v>31920017482</v>
          </cell>
          <cell r="H128" t="str">
            <v>76.535.764/0317-07</v>
          </cell>
          <cell r="I128">
            <v>44061</v>
          </cell>
          <cell r="K128" t="str">
            <v>ATIVA</v>
          </cell>
          <cell r="L128" t="str">
            <v>CENTRALIZADA</v>
          </cell>
          <cell r="M128" t="str">
            <v>CENTRALIZADA</v>
          </cell>
          <cell r="P128">
            <v>767002</v>
          </cell>
          <cell r="Q128">
            <v>44266</v>
          </cell>
          <cell r="S128" t="str">
            <v>ATIVA</v>
          </cell>
          <cell r="T128" t="str">
            <v>AV JK, 1157, PARTE A</v>
          </cell>
          <cell r="U128" t="str">
            <v>SAO PAULO</v>
          </cell>
          <cell r="V128" t="str">
            <v>GOVERNADOR VALADARES</v>
          </cell>
          <cell r="W128" t="str">
            <v>35.030-210</v>
          </cell>
        </row>
        <row r="129">
          <cell r="A129">
            <v>128</v>
          </cell>
          <cell r="B129" t="str">
            <v>MG</v>
          </cell>
          <cell r="C129" t="str">
            <v>204-6</v>
          </cell>
          <cell r="D129" t="str">
            <v>61.10-8-01</v>
          </cell>
          <cell r="E129" t="str">
            <v>RH</v>
          </cell>
          <cell r="F129" t="str">
            <v>OI S/A - EM RECUPERAÇÃO JUDICIAL</v>
          </cell>
          <cell r="G129">
            <v>31920017229</v>
          </cell>
          <cell r="H129" t="str">
            <v>76.535.764/0289-00</v>
          </cell>
          <cell r="I129">
            <v>44061</v>
          </cell>
          <cell r="K129" t="str">
            <v>ATIVA</v>
          </cell>
          <cell r="L129" t="str">
            <v>CENTRALIZADA</v>
          </cell>
          <cell r="M129" t="str">
            <v>CENTRALIZADA</v>
          </cell>
          <cell r="P129">
            <v>956005</v>
          </cell>
          <cell r="S129" t="str">
            <v>ATIVA</v>
          </cell>
          <cell r="T129" t="str">
            <v>PC CONEGO CESARIO, 44, PARTE A</v>
          </cell>
          <cell r="U129" t="str">
            <v>CENTRO</v>
          </cell>
          <cell r="V129" t="str">
            <v>GUANHAES</v>
          </cell>
          <cell r="W129" t="str">
            <v>39.740-000</v>
          </cell>
        </row>
        <row r="130">
          <cell r="A130">
            <v>129</v>
          </cell>
          <cell r="B130" t="str">
            <v>MG</v>
          </cell>
          <cell r="C130" t="str">
            <v>204-6</v>
          </cell>
          <cell r="D130" t="str">
            <v>61.10-8-01</v>
          </cell>
          <cell r="E130" t="str">
            <v>RH</v>
          </cell>
          <cell r="F130" t="str">
            <v>OI S/A - EM RECUPERAÇÃO JUDICIAL</v>
          </cell>
          <cell r="G130">
            <v>31920017199</v>
          </cell>
          <cell r="H130" t="str">
            <v>76.535.764/0286-68</v>
          </cell>
          <cell r="I130">
            <v>44061</v>
          </cell>
          <cell r="K130" t="str">
            <v>ATIVA</v>
          </cell>
          <cell r="L130" t="str">
            <v>CENTRALIZADA</v>
          </cell>
          <cell r="M130" t="str">
            <v>CENTRALIZADA</v>
          </cell>
          <cell r="P130">
            <v>35821</v>
          </cell>
          <cell r="S130" t="str">
            <v>ATIVA</v>
          </cell>
          <cell r="T130" t="str">
            <v>R JOAO ALKIMIN, 22, LETRA A</v>
          </cell>
          <cell r="U130" t="str">
            <v>CENTRO</v>
          </cell>
          <cell r="V130" t="str">
            <v>GUAXUPE</v>
          </cell>
          <cell r="W130" t="str">
            <v>37.800-000</v>
          </cell>
        </row>
        <row r="131">
          <cell r="A131">
            <v>130</v>
          </cell>
          <cell r="B131" t="str">
            <v>MG</v>
          </cell>
          <cell r="C131" t="str">
            <v>204-6</v>
          </cell>
          <cell r="D131" t="str">
            <v>61.10-8-01</v>
          </cell>
          <cell r="E131" t="str">
            <v>RH</v>
          </cell>
          <cell r="F131" t="str">
            <v>OI S/A - EM RECUPERAÇÃO JUDICIAL</v>
          </cell>
          <cell r="G131">
            <v>31920017211</v>
          </cell>
          <cell r="H131" t="str">
            <v>76.535.764/0288-20</v>
          </cell>
          <cell r="I131">
            <v>44061</v>
          </cell>
          <cell r="K131" t="str">
            <v>ATIVA</v>
          </cell>
          <cell r="L131" t="str">
            <v>CENTRALIZADA</v>
          </cell>
          <cell r="M131" t="str">
            <v>CENTRALIZADA</v>
          </cell>
          <cell r="P131">
            <v>25672</v>
          </cell>
          <cell r="Q131">
            <v>44251</v>
          </cell>
          <cell r="S131" t="str">
            <v>ATIVA</v>
          </cell>
          <cell r="T131" t="str">
            <v>R DOM PRUDENCIO, 243</v>
          </cell>
          <cell r="U131" t="str">
            <v>PARA</v>
          </cell>
          <cell r="V131" t="str">
            <v>ITABIRA</v>
          </cell>
          <cell r="W131" t="str">
            <v>35.900-048</v>
          </cell>
        </row>
        <row r="132">
          <cell r="A132">
            <v>131</v>
          </cell>
          <cell r="B132" t="str">
            <v>MG</v>
          </cell>
          <cell r="C132" t="str">
            <v>204-6</v>
          </cell>
          <cell r="D132" t="str">
            <v>61.10-8-01</v>
          </cell>
          <cell r="E132" t="str">
            <v>RH</v>
          </cell>
          <cell r="F132" t="str">
            <v>OI S/A - EM RECUPERAÇÃO JUDICIAL</v>
          </cell>
          <cell r="G132">
            <v>31920017415</v>
          </cell>
          <cell r="H132" t="str">
            <v>76.535.764/0309-99</v>
          </cell>
          <cell r="I132">
            <v>44061</v>
          </cell>
          <cell r="K132" t="str">
            <v>ATIVA</v>
          </cell>
          <cell r="L132" t="str">
            <v>CENTRALIZADA</v>
          </cell>
          <cell r="M132" t="str">
            <v>CENTRALIZADA</v>
          </cell>
          <cell r="P132" t="str">
            <v>000.220/2020</v>
          </cell>
          <cell r="S132" t="str">
            <v>ATIVA</v>
          </cell>
          <cell r="T132" t="str">
            <v>AV BIAS FORTES, 400, PARTE A</v>
          </cell>
          <cell r="U132" t="str">
            <v>CENTRO</v>
          </cell>
          <cell r="V132" t="str">
            <v>ITAOBIM</v>
          </cell>
          <cell r="W132" t="str">
            <v>39.625-000</v>
          </cell>
        </row>
        <row r="133">
          <cell r="A133">
            <v>132</v>
          </cell>
          <cell r="B133" t="str">
            <v>MG</v>
          </cell>
          <cell r="C133" t="str">
            <v>204-6</v>
          </cell>
          <cell r="D133" t="str">
            <v>61.10-8-01</v>
          </cell>
          <cell r="E133" t="str">
            <v>RH</v>
          </cell>
          <cell r="F133" t="str">
            <v>OI S/A - EM RECUPERAÇÃO JUDICIAL</v>
          </cell>
          <cell r="G133">
            <v>31920017512</v>
          </cell>
          <cell r="H133" t="str">
            <v>76.535.764/0333-19</v>
          </cell>
          <cell r="I133">
            <v>44061</v>
          </cell>
          <cell r="K133" t="str">
            <v>ATIVA</v>
          </cell>
          <cell r="L133" t="str">
            <v>CENTRALIZADA</v>
          </cell>
          <cell r="M133" t="str">
            <v>CENTRALIZADA</v>
          </cell>
          <cell r="P133">
            <v>82672391</v>
          </cell>
          <cell r="Q133">
            <v>44225</v>
          </cell>
          <cell r="S133" t="str">
            <v>ATIVA</v>
          </cell>
          <cell r="T133" t="str">
            <v>R PIO XII, 50, PARTE A</v>
          </cell>
          <cell r="U133" t="str">
            <v>CENTRO</v>
          </cell>
          <cell r="V133" t="str">
            <v>JANAUBA</v>
          </cell>
          <cell r="W133" t="str">
            <v>39.442-048</v>
          </cell>
        </row>
        <row r="134">
          <cell r="A134">
            <v>133</v>
          </cell>
          <cell r="B134" t="str">
            <v>MG</v>
          </cell>
          <cell r="C134" t="str">
            <v>204-6</v>
          </cell>
          <cell r="D134" t="str">
            <v>61.10-8-01</v>
          </cell>
          <cell r="E134" t="str">
            <v>RH</v>
          </cell>
          <cell r="F134" t="str">
            <v>OI S/A - EM RECUPERAÇÃO JUDICIAL</v>
          </cell>
          <cell r="G134">
            <v>31920017300</v>
          </cell>
          <cell r="H134" t="str">
            <v>76.535.764/0298-00</v>
          </cell>
          <cell r="I134">
            <v>44061</v>
          </cell>
          <cell r="K134" t="str">
            <v>ATIVA</v>
          </cell>
          <cell r="L134" t="str">
            <v>CENTRALIZADA</v>
          </cell>
          <cell r="M134" t="str">
            <v>CENTRALIZADA</v>
          </cell>
          <cell r="P134">
            <v>20340000</v>
          </cell>
          <cell r="S134" t="str">
            <v>ATIVA</v>
          </cell>
          <cell r="T134" t="str">
            <v>PC ARTUR BERNARDES, 358,PARTE A</v>
          </cell>
          <cell r="U134" t="str">
            <v>CENTRO</v>
          </cell>
          <cell r="V134" t="str">
            <v>JANUARIA</v>
          </cell>
          <cell r="W134" t="str">
            <v>39.480-000</v>
          </cell>
        </row>
        <row r="135">
          <cell r="A135">
            <v>134</v>
          </cell>
          <cell r="B135" t="str">
            <v>MG</v>
          </cell>
          <cell r="C135" t="str">
            <v>204-6</v>
          </cell>
          <cell r="D135" t="str">
            <v>61.10-8-01</v>
          </cell>
          <cell r="E135" t="str">
            <v>RH</v>
          </cell>
          <cell r="F135" t="str">
            <v>OI S/A - EM RECUPERAÇÃO JUDICIAL</v>
          </cell>
          <cell r="G135">
            <v>31920017288</v>
          </cell>
          <cell r="H135" t="str">
            <v>76.535.764/0296-30</v>
          </cell>
          <cell r="I135">
            <v>44061</v>
          </cell>
          <cell r="K135" t="str">
            <v>ATIVA</v>
          </cell>
          <cell r="L135" t="str">
            <v>CENTRALIZADA</v>
          </cell>
          <cell r="M135" t="str">
            <v>CENTRALIZADA</v>
          </cell>
          <cell r="P135">
            <v>2259685</v>
          </cell>
          <cell r="Q135">
            <v>44235</v>
          </cell>
          <cell r="S135" t="str">
            <v>ATIVA</v>
          </cell>
          <cell r="T135" t="str">
            <v>AV GETULIO VARGAS, 2089, PARTE A</v>
          </cell>
          <cell r="U135" t="str">
            <v>BAU</v>
          </cell>
          <cell r="V135" t="str">
            <v>JOAO MONLEVADE</v>
          </cell>
          <cell r="W135" t="str">
            <v>35.930-312</v>
          </cell>
        </row>
        <row r="136">
          <cell r="A136">
            <v>135</v>
          </cell>
          <cell r="B136" t="str">
            <v>MG</v>
          </cell>
          <cell r="C136" t="str">
            <v>204-6</v>
          </cell>
          <cell r="D136" t="str">
            <v>61.10-8-01</v>
          </cell>
          <cell r="E136" t="str">
            <v>RH</v>
          </cell>
          <cell r="F136" t="str">
            <v>OI S/A - EM RECUPERAÇÃO JUDICIAL</v>
          </cell>
          <cell r="G136">
            <v>31920017598</v>
          </cell>
          <cell r="H136" t="str">
            <v>76.535.764/0341-29</v>
          </cell>
          <cell r="I136">
            <v>44061</v>
          </cell>
          <cell r="K136" t="str">
            <v>ATIVA</v>
          </cell>
          <cell r="L136" t="str">
            <v>CENTRALIZADA</v>
          </cell>
          <cell r="M136" t="str">
            <v>CENTRALIZADA</v>
          </cell>
          <cell r="P136">
            <v>8599</v>
          </cell>
          <cell r="S136" t="str">
            <v>ATIVA</v>
          </cell>
          <cell r="T136" t="str">
            <v>R GERALDO RIOS, 180, PARTE A</v>
          </cell>
          <cell r="U136" t="str">
            <v>CENTRO</v>
          </cell>
          <cell r="V136" t="str">
            <v>JOAO PINHEIRO</v>
          </cell>
          <cell r="W136" t="str">
            <v>38.770-000</v>
          </cell>
        </row>
        <row r="137">
          <cell r="A137">
            <v>136</v>
          </cell>
          <cell r="B137" t="str">
            <v>MG</v>
          </cell>
          <cell r="C137" t="str">
            <v>204-6</v>
          </cell>
          <cell r="D137" t="str">
            <v>61.10-8-01</v>
          </cell>
          <cell r="E137" t="str">
            <v>RH</v>
          </cell>
          <cell r="F137" t="str">
            <v>OI S/A - EM RECUPERAÇÃO JUDICIAL</v>
          </cell>
          <cell r="G137">
            <v>31920017385</v>
          </cell>
          <cell r="H137" t="str">
            <v>76.535.764/0306-46</v>
          </cell>
          <cell r="I137">
            <v>44061</v>
          </cell>
          <cell r="K137" t="str">
            <v>ATIVA</v>
          </cell>
          <cell r="L137" t="str">
            <v>CENTRALIZADA</v>
          </cell>
          <cell r="M137" t="str">
            <v>CENTRALIZADA</v>
          </cell>
          <cell r="P137" t="str">
            <v>182.100/00-6</v>
          </cell>
          <cell r="Q137">
            <v>44228</v>
          </cell>
          <cell r="S137" t="str">
            <v>ATIVA</v>
          </cell>
          <cell r="T137" t="str">
            <v>AV BARAO DO RIO BRANCO, 1680</v>
          </cell>
          <cell r="U137" t="str">
            <v>CENTRO</v>
          </cell>
          <cell r="V137" t="str">
            <v>JUIZ DE FORA</v>
          </cell>
          <cell r="W137" t="str">
            <v>36.015-510</v>
          </cell>
        </row>
        <row r="138">
          <cell r="A138">
            <v>137</v>
          </cell>
          <cell r="B138" t="str">
            <v>MG</v>
          </cell>
          <cell r="C138" t="str">
            <v>204-6</v>
          </cell>
          <cell r="D138" t="str">
            <v>61.10-8-01</v>
          </cell>
          <cell r="E138" t="str">
            <v>RH</v>
          </cell>
          <cell r="F138" t="str">
            <v>OI S/A - EM RECUPERAÇÃO JUDICIAL</v>
          </cell>
          <cell r="G138">
            <v>31920017580</v>
          </cell>
          <cell r="H138" t="str">
            <v>76.535.764/0340-48</v>
          </cell>
          <cell r="I138">
            <v>44061</v>
          </cell>
          <cell r="K138" t="str">
            <v>ATIVA</v>
          </cell>
          <cell r="L138" t="str">
            <v>CENTRALIZADA</v>
          </cell>
          <cell r="M138" t="str">
            <v>CENTRALIZADA</v>
          </cell>
          <cell r="P138">
            <v>21520</v>
          </cell>
          <cell r="S138" t="str">
            <v>ATIVA</v>
          </cell>
          <cell r="T138" t="str">
            <v>R BARAO DE COTEGIPE, 52, PARTE A</v>
          </cell>
          <cell r="U138" t="str">
            <v>CENTRO</v>
          </cell>
          <cell r="V138" t="str">
            <v>LEOPOLDINA</v>
          </cell>
          <cell r="W138" t="str">
            <v>36.700-084</v>
          </cell>
        </row>
        <row r="139">
          <cell r="A139">
            <v>138</v>
          </cell>
          <cell r="B139" t="str">
            <v>MG</v>
          </cell>
          <cell r="C139" t="str">
            <v>204-6</v>
          </cell>
          <cell r="D139" t="str">
            <v>61.10-8-01</v>
          </cell>
          <cell r="E139" t="str">
            <v>RH</v>
          </cell>
          <cell r="F139" t="str">
            <v>OI S/A - EM RECUPERAÇÃO JUDICIAL</v>
          </cell>
          <cell r="G139">
            <v>31920017571</v>
          </cell>
          <cell r="H139" t="str">
            <v>76.535.764/0339-04</v>
          </cell>
          <cell r="I139">
            <v>44061</v>
          </cell>
          <cell r="K139" t="str">
            <v>ATIVA</v>
          </cell>
          <cell r="L139" t="str">
            <v>CENTRALIZADA</v>
          </cell>
          <cell r="M139" t="str">
            <v>CENTRALIZADA</v>
          </cell>
          <cell r="P139" t="str">
            <v>0054486</v>
          </cell>
          <cell r="Q139">
            <v>44293</v>
          </cell>
          <cell r="S139" t="str">
            <v>ATIVA</v>
          </cell>
          <cell r="T139" t="str">
            <v>R ALCESTE NOGUEIRA DA GAMA, 10</v>
          </cell>
          <cell r="U139" t="str">
            <v>CENTRO</v>
          </cell>
          <cell r="V139" t="str">
            <v>MANHUACU</v>
          </cell>
          <cell r="W139" t="str">
            <v>36.900-082</v>
          </cell>
        </row>
        <row r="140">
          <cell r="A140">
            <v>139</v>
          </cell>
          <cell r="B140" t="str">
            <v>MG</v>
          </cell>
          <cell r="C140" t="str">
            <v>204-6</v>
          </cell>
          <cell r="D140" t="str">
            <v>61.10-8-01</v>
          </cell>
          <cell r="E140" t="str">
            <v>RH</v>
          </cell>
          <cell r="F140" t="str">
            <v>OI S/A - EM RECUPERAÇÃO JUDICIAL</v>
          </cell>
          <cell r="G140">
            <v>31920017563</v>
          </cell>
          <cell r="H140" t="str">
            <v>76.535.764/0338-23</v>
          </cell>
          <cell r="I140">
            <v>44061</v>
          </cell>
          <cell r="K140" t="str">
            <v>ATIVA</v>
          </cell>
          <cell r="L140" t="str">
            <v>CENTRALIZADA</v>
          </cell>
          <cell r="M140" t="str">
            <v>CENTRALIZADA</v>
          </cell>
          <cell r="P140">
            <v>10019793</v>
          </cell>
          <cell r="Q140">
            <v>44209</v>
          </cell>
          <cell r="S140" t="str">
            <v>ATIVA</v>
          </cell>
          <cell r="T140" t="str">
            <v>R CORONEL DOMICIANO, 30, PARTE A</v>
          </cell>
          <cell r="U140" t="str">
            <v>CENTRO</v>
          </cell>
          <cell r="V140" t="str">
            <v>MURIAE</v>
          </cell>
          <cell r="W140" t="str">
            <v>36.880-013</v>
          </cell>
        </row>
        <row r="141">
          <cell r="A141">
            <v>140</v>
          </cell>
          <cell r="B141" t="str">
            <v>MG</v>
          </cell>
          <cell r="C141" t="str">
            <v>204-6</v>
          </cell>
          <cell r="D141" t="str">
            <v>61.10-8-01</v>
          </cell>
          <cell r="E141" t="str">
            <v>RH</v>
          </cell>
          <cell r="F141" t="str">
            <v>OI S/A - EM RECUPERAÇÃO JUDICIAL</v>
          </cell>
          <cell r="G141">
            <v>31920017351</v>
          </cell>
          <cell r="H141" t="str">
            <v>76.535.764/0303-01</v>
          </cell>
          <cell r="I141">
            <v>44061</v>
          </cell>
          <cell r="K141" t="str">
            <v>ATIVA</v>
          </cell>
          <cell r="L141" t="str">
            <v>CENTRALIZADA</v>
          </cell>
          <cell r="M141" t="str">
            <v>CENTRALIZADA</v>
          </cell>
          <cell r="P141">
            <v>18327</v>
          </cell>
          <cell r="S141" t="str">
            <v>ATIVA</v>
          </cell>
          <cell r="T141" t="str">
            <v>R BENJAMIM CARNEIRO, 66, PARTE A</v>
          </cell>
          <cell r="U141" t="str">
            <v>CENTRO</v>
          </cell>
          <cell r="V141" t="str">
            <v>PARACATU</v>
          </cell>
          <cell r="W141" t="str">
            <v>38.600-226</v>
          </cell>
        </row>
        <row r="142">
          <cell r="A142">
            <v>141</v>
          </cell>
          <cell r="B142" t="str">
            <v>MG</v>
          </cell>
          <cell r="C142" t="str">
            <v>204-6</v>
          </cell>
          <cell r="D142" t="str">
            <v>61.10-8-01</v>
          </cell>
          <cell r="E142" t="str">
            <v>RH</v>
          </cell>
          <cell r="F142" t="str">
            <v>OI S/A - EM RECUPERAÇÃO JUDICIAL</v>
          </cell>
          <cell r="G142">
            <v>31920017423</v>
          </cell>
          <cell r="H142" t="str">
            <v>76.535.764/0310-22</v>
          </cell>
          <cell r="I142">
            <v>44061</v>
          </cell>
          <cell r="K142" t="str">
            <v>ATIVA</v>
          </cell>
          <cell r="L142" t="str">
            <v>CENTRALIZADA</v>
          </cell>
          <cell r="M142" t="str">
            <v>CENTRALIZADA</v>
          </cell>
          <cell r="P142">
            <v>26648</v>
          </cell>
          <cell r="S142" t="str">
            <v>ATIVA</v>
          </cell>
          <cell r="T142" t="str">
            <v>R SETE DE SETEMBRO, 940</v>
          </cell>
          <cell r="U142" t="str">
            <v>BELO HORIZONTE</v>
          </cell>
          <cell r="V142" t="str">
            <v>PASSOS</v>
          </cell>
          <cell r="W142" t="str">
            <v>37.900-021</v>
          </cell>
        </row>
        <row r="143">
          <cell r="A143">
            <v>142</v>
          </cell>
          <cell r="B143" t="str">
            <v>MG</v>
          </cell>
          <cell r="C143" t="str">
            <v>204-6</v>
          </cell>
          <cell r="D143" t="str">
            <v>61.10-8-01</v>
          </cell>
          <cell r="E143" t="str">
            <v>RH</v>
          </cell>
          <cell r="F143" t="str">
            <v>OI S/A - EM RECUPERAÇÃO JUDICIAL</v>
          </cell>
          <cell r="G143">
            <v>31920017393</v>
          </cell>
          <cell r="H143" t="str">
            <v>76.535.764/0307-27</v>
          </cell>
          <cell r="I143">
            <v>44061</v>
          </cell>
          <cell r="K143" t="str">
            <v>ATIVA</v>
          </cell>
          <cell r="L143" t="str">
            <v>CENTRALIZADA</v>
          </cell>
          <cell r="M143" t="str">
            <v>CENTRALIZADA</v>
          </cell>
          <cell r="P143">
            <v>12891</v>
          </cell>
          <cell r="S143" t="str">
            <v>ATIVA</v>
          </cell>
          <cell r="T143" t="str">
            <v>AV OTAVIO CARNEIRO, 206</v>
          </cell>
          <cell r="U143" t="str">
            <v>SANTO ANTONIO</v>
          </cell>
          <cell r="V143" t="str">
            <v>PIRAPORA</v>
          </cell>
          <cell r="W143" t="str">
            <v>39.272-150</v>
          </cell>
        </row>
        <row r="144">
          <cell r="A144">
            <v>143</v>
          </cell>
          <cell r="B144" t="str">
            <v>MG</v>
          </cell>
          <cell r="C144" t="str">
            <v>204-6</v>
          </cell>
          <cell r="D144" t="str">
            <v>61.10-8-01</v>
          </cell>
          <cell r="E144" t="str">
            <v>RH</v>
          </cell>
          <cell r="F144" t="str">
            <v>OI S/A - EM RECUPERAÇÃO JUDICIAL</v>
          </cell>
          <cell r="G144">
            <v>31920017237</v>
          </cell>
          <cell r="H144" t="str">
            <v>76.535.764/0290-44</v>
          </cell>
          <cell r="I144">
            <v>44061</v>
          </cell>
          <cell r="K144" t="str">
            <v>ATIVA</v>
          </cell>
          <cell r="L144" t="str">
            <v>CENTRALIZADA</v>
          </cell>
          <cell r="M144" t="str">
            <v>CENTRALIZADA</v>
          </cell>
          <cell r="P144">
            <v>47902</v>
          </cell>
          <cell r="S144" t="str">
            <v>ATIVA</v>
          </cell>
          <cell r="T144" t="str">
            <v>AV FRANCISCO SALLES, 289, PARTE A</v>
          </cell>
          <cell r="U144" t="str">
            <v>CENTRO</v>
          </cell>
          <cell r="V144" t="str">
            <v>POCOS DE CALDAS</v>
          </cell>
          <cell r="W144" t="str">
            <v>37.701-703</v>
          </cell>
        </row>
        <row r="145">
          <cell r="A145">
            <v>144</v>
          </cell>
          <cell r="B145" t="str">
            <v>MG</v>
          </cell>
          <cell r="C145" t="str">
            <v>204-6</v>
          </cell>
          <cell r="D145" t="str">
            <v>61.10-8-01</v>
          </cell>
          <cell r="E145" t="str">
            <v>RH</v>
          </cell>
          <cell r="F145" t="str">
            <v>OI S/A - EM RECUPERAÇÃO JUDICIAL</v>
          </cell>
          <cell r="G145">
            <v>31920017181</v>
          </cell>
          <cell r="H145" t="str">
            <v>76.535.764/0285-87</v>
          </cell>
          <cell r="I145">
            <v>44061</v>
          </cell>
          <cell r="K145" t="str">
            <v>ATIVA</v>
          </cell>
          <cell r="L145" t="str">
            <v>CENTRALIZADA</v>
          </cell>
          <cell r="M145" t="str">
            <v>CENTRALIZADA</v>
          </cell>
          <cell r="P145">
            <v>92910</v>
          </cell>
          <cell r="Q145">
            <v>44161</v>
          </cell>
          <cell r="S145" t="str">
            <v>ATIVA</v>
          </cell>
          <cell r="T145" t="str">
            <v>R JOAO BASILIO, 403, PARTE A</v>
          </cell>
          <cell r="U145" t="str">
            <v>CENTRO</v>
          </cell>
          <cell r="V145" t="str">
            <v>POUSO ALEGRE</v>
          </cell>
          <cell r="W145" t="str">
            <v>37.550-027</v>
          </cell>
        </row>
        <row r="146">
          <cell r="A146">
            <v>145</v>
          </cell>
          <cell r="B146" t="str">
            <v>MG</v>
          </cell>
          <cell r="C146" t="str">
            <v>204-6</v>
          </cell>
          <cell r="D146" t="str">
            <v>61.10-8-01</v>
          </cell>
          <cell r="E146" t="str">
            <v>RH</v>
          </cell>
          <cell r="F146" t="str">
            <v>OI S/A - EM RECUPERAÇÃO JUDICIAL</v>
          </cell>
          <cell r="G146">
            <v>31920017172</v>
          </cell>
          <cell r="H146" t="str">
            <v>76.535.764/0284-04</v>
          </cell>
          <cell r="I146">
            <v>44061</v>
          </cell>
          <cell r="K146" t="str">
            <v>ATIVA</v>
          </cell>
          <cell r="L146" t="str">
            <v>CENTRALIZADA</v>
          </cell>
          <cell r="M146" t="str">
            <v>CENTRALIZADA</v>
          </cell>
          <cell r="P146" t="str">
            <v>D-00.05.01/9238</v>
          </cell>
          <cell r="S146" t="str">
            <v>ATIVA</v>
          </cell>
          <cell r="T146" t="str">
            <v>R CORONEL JOSE JUSTINO, 647, PARTE A</v>
          </cell>
          <cell r="U146" t="str">
            <v>CENTRO</v>
          </cell>
          <cell r="V146" t="str">
            <v>SAO LOURENCO</v>
          </cell>
          <cell r="W146" t="str">
            <v>37.470-000</v>
          </cell>
        </row>
        <row r="147">
          <cell r="A147">
            <v>146</v>
          </cell>
          <cell r="B147" t="str">
            <v>MG</v>
          </cell>
          <cell r="C147" t="str">
            <v>204-6</v>
          </cell>
          <cell r="D147" t="str">
            <v>61.10-8-01</v>
          </cell>
          <cell r="E147" t="str">
            <v>RH</v>
          </cell>
          <cell r="F147" t="str">
            <v>OI S/A - EM RECUPERAÇÃO JUDICIAL</v>
          </cell>
          <cell r="G147">
            <v>31920017555</v>
          </cell>
          <cell r="H147" t="str">
            <v>76.535.764/0337-42</v>
          </cell>
          <cell r="I147">
            <v>44061</v>
          </cell>
          <cell r="K147" t="str">
            <v>ATIVA</v>
          </cell>
          <cell r="L147" t="str">
            <v>CENTRALIZADA</v>
          </cell>
          <cell r="M147" t="str">
            <v>CENTRALIZADA</v>
          </cell>
          <cell r="P147" t="str">
            <v>03.84449-8</v>
          </cell>
          <cell r="S147" t="str">
            <v>ATIVA</v>
          </cell>
          <cell r="T147" t="str">
            <v xml:space="preserve">R ILKA FRANCA, 130, PARTE A </v>
          </cell>
          <cell r="U147" t="str">
            <v>CENTRO</v>
          </cell>
          <cell r="V147" t="str">
            <v>SETE LAGOAS</v>
          </cell>
          <cell r="W147" t="str">
            <v>35.700-036</v>
          </cell>
        </row>
        <row r="148">
          <cell r="A148">
            <v>147</v>
          </cell>
          <cell r="B148" t="str">
            <v>MG</v>
          </cell>
          <cell r="C148" t="str">
            <v>204-6</v>
          </cell>
          <cell r="D148" t="str">
            <v>61.10-8-01</v>
          </cell>
          <cell r="E148" t="str">
            <v>RH</v>
          </cell>
          <cell r="F148" t="str">
            <v>OI S/A - EM RECUPERAÇÃO JUDICIAL</v>
          </cell>
          <cell r="G148">
            <v>31920017334</v>
          </cell>
          <cell r="H148" t="str">
            <v>76.535.764/0301-31</v>
          </cell>
          <cell r="I148">
            <v>44061</v>
          </cell>
          <cell r="K148" t="str">
            <v>ATIVA</v>
          </cell>
          <cell r="L148" t="str">
            <v>CENTRALIZADA</v>
          </cell>
          <cell r="M148" t="str">
            <v>CENTRALIZADA</v>
          </cell>
          <cell r="P148" t="str">
            <v>170720/7078</v>
          </cell>
          <cell r="S148" t="str">
            <v>ATIVA</v>
          </cell>
          <cell r="T148" t="str">
            <v>R GRAO MOGOL, 50, PARTE A</v>
          </cell>
          <cell r="U148" t="str">
            <v>CENTRO</v>
          </cell>
          <cell r="V148" t="str">
            <v>TAIOBEIRAS</v>
          </cell>
          <cell r="W148" t="str">
            <v>39.550-000</v>
          </cell>
        </row>
        <row r="149">
          <cell r="A149">
            <v>148</v>
          </cell>
          <cell r="B149" t="str">
            <v>MG</v>
          </cell>
          <cell r="C149" t="str">
            <v>204-6</v>
          </cell>
          <cell r="D149" t="str">
            <v>61.10-8-01</v>
          </cell>
          <cell r="E149" t="str">
            <v>RH</v>
          </cell>
          <cell r="F149" t="str">
            <v>OI S/A - EM RECUPERAÇÃO JUDICIAL</v>
          </cell>
          <cell r="G149">
            <v>31920017504</v>
          </cell>
          <cell r="H149" t="str">
            <v>76.535.764/0319-60</v>
          </cell>
          <cell r="I149">
            <v>44061</v>
          </cell>
          <cell r="K149" t="str">
            <v>ATIVA</v>
          </cell>
          <cell r="L149" t="str">
            <v>CENTRALIZADA</v>
          </cell>
          <cell r="M149" t="str">
            <v>CENTRALIZADA</v>
          </cell>
          <cell r="P149" t="str">
            <v>03-04-0009959</v>
          </cell>
          <cell r="Q149">
            <v>44214</v>
          </cell>
          <cell r="S149" t="str">
            <v>ATIVA</v>
          </cell>
          <cell r="T149" t="str">
            <v>R DOUTOR ONOFRE, 496, PARTE A</v>
          </cell>
          <cell r="U149" t="str">
            <v>CENTRO</v>
          </cell>
          <cell r="V149" t="str">
            <v>TEOFILO OTONI</v>
          </cell>
          <cell r="W149" t="str">
            <v>39.800-022</v>
          </cell>
        </row>
        <row r="150">
          <cell r="A150">
            <v>149</v>
          </cell>
          <cell r="B150" t="str">
            <v>MG</v>
          </cell>
          <cell r="C150" t="str">
            <v>204-6</v>
          </cell>
          <cell r="D150" t="str">
            <v>61.10-8-01</v>
          </cell>
          <cell r="E150" t="str">
            <v>RH</v>
          </cell>
          <cell r="F150" t="str">
            <v>OI S/A - EM RECUPERAÇÃO JUDICIAL</v>
          </cell>
          <cell r="G150">
            <v>31920017261</v>
          </cell>
          <cell r="H150" t="str">
            <v>76.535.764/0293-97</v>
          </cell>
          <cell r="I150">
            <v>44061</v>
          </cell>
          <cell r="K150" t="str">
            <v>ATIVA</v>
          </cell>
          <cell r="L150" t="str">
            <v>CENTRALIZADA</v>
          </cell>
          <cell r="M150" t="str">
            <v>CENTRALIZADA</v>
          </cell>
          <cell r="P150">
            <v>23586</v>
          </cell>
          <cell r="S150" t="str">
            <v>ATIVA</v>
          </cell>
          <cell r="T150" t="str">
            <v>AV GOVERNADOR VALADARES, 903, PARTE A</v>
          </cell>
          <cell r="U150" t="str">
            <v>CENTRO</v>
          </cell>
          <cell r="V150" t="str">
            <v>UBA</v>
          </cell>
          <cell r="W150" t="str">
            <v>36.500-107</v>
          </cell>
        </row>
        <row r="151">
          <cell r="A151">
            <v>150</v>
          </cell>
          <cell r="B151" t="str">
            <v>MG</v>
          </cell>
          <cell r="C151" t="str">
            <v>204-6</v>
          </cell>
          <cell r="D151" t="str">
            <v>61.10-8-01</v>
          </cell>
          <cell r="E151" t="str">
            <v>RH</v>
          </cell>
          <cell r="F151" t="str">
            <v>OI S/A - EM RECUPERAÇÃO JUDICIAL</v>
          </cell>
          <cell r="G151">
            <v>31920017431</v>
          </cell>
          <cell r="H151" t="str">
            <v>76.535.764/0311-03</v>
          </cell>
          <cell r="I151">
            <v>44061</v>
          </cell>
          <cell r="K151" t="str">
            <v>ATIVA</v>
          </cell>
          <cell r="L151" t="str">
            <v>CENTRALIZADA</v>
          </cell>
          <cell r="M151" t="str">
            <v>CENTRALIZADA</v>
          </cell>
          <cell r="P151" t="str">
            <v>332.195-00</v>
          </cell>
          <cell r="S151" t="str">
            <v>ATIVA</v>
          </cell>
          <cell r="T151" t="str">
            <v>R VIRGILIO CARRIJO, 450</v>
          </cell>
          <cell r="U151" t="str">
            <v>INDUSTRIAL</v>
          </cell>
          <cell r="V151" t="str">
            <v>UBERLANDIA</v>
          </cell>
          <cell r="W151" t="str">
            <v>38.402-248</v>
          </cell>
        </row>
        <row r="152">
          <cell r="A152">
            <v>151</v>
          </cell>
          <cell r="B152" t="str">
            <v>MG</v>
          </cell>
          <cell r="C152" t="str">
            <v>204-6</v>
          </cell>
          <cell r="D152" t="str">
            <v>61.10-8-01</v>
          </cell>
          <cell r="E152" t="str">
            <v>RH</v>
          </cell>
          <cell r="F152" t="str">
            <v>OI S/A - EM RECUPERAÇÃO JUDICIAL</v>
          </cell>
          <cell r="G152">
            <v>31920017202</v>
          </cell>
          <cell r="H152" t="str">
            <v>76.535.764/0287-49</v>
          </cell>
          <cell r="I152">
            <v>44061</v>
          </cell>
          <cell r="K152" t="str">
            <v>ATIVA</v>
          </cell>
          <cell r="L152" t="str">
            <v>CENTRALIZADA</v>
          </cell>
          <cell r="M152" t="str">
            <v>CENTRALIZADA</v>
          </cell>
          <cell r="P152" t="str">
            <v>059399</v>
          </cell>
          <cell r="Q152">
            <v>44609</v>
          </cell>
          <cell r="S152" t="str">
            <v>ATIVA</v>
          </cell>
          <cell r="T152" t="str">
            <v>R SAO JOSE, 91 FUNDOS</v>
          </cell>
          <cell r="U152" t="str">
            <v>CENTRO</v>
          </cell>
          <cell r="V152" t="str">
            <v>UNAI</v>
          </cell>
          <cell r="W152" t="str">
            <v>38.610-026</v>
          </cell>
        </row>
        <row r="153">
          <cell r="A153">
            <v>152</v>
          </cell>
          <cell r="B153" t="str">
            <v>MG</v>
          </cell>
          <cell r="C153" t="str">
            <v>204-6</v>
          </cell>
          <cell r="D153" t="str">
            <v>61.10-8-01</v>
          </cell>
          <cell r="E153" t="str">
            <v>RH</v>
          </cell>
          <cell r="F153" t="str">
            <v>OI S/A - EM RECUPERAÇÃO JUDICIAL</v>
          </cell>
          <cell r="G153">
            <v>31920017318</v>
          </cell>
          <cell r="H153" t="str">
            <v>76.535.764/0299-82</v>
          </cell>
          <cell r="I153">
            <v>44061</v>
          </cell>
          <cell r="K153" t="str">
            <v>ATIVA</v>
          </cell>
          <cell r="L153" t="str">
            <v>CENTRALIZADA</v>
          </cell>
          <cell r="M153" t="str">
            <v>CENTRALIZADA</v>
          </cell>
          <cell r="P153">
            <v>37031</v>
          </cell>
          <cell r="Q153">
            <v>44265</v>
          </cell>
          <cell r="S153" t="str">
            <v>ATIVA</v>
          </cell>
          <cell r="T153" t="str">
            <v>R DELFIM MOREIRA, 407</v>
          </cell>
          <cell r="U153" t="str">
            <v>CENTRO</v>
          </cell>
          <cell r="V153" t="str">
            <v>VARGINHA</v>
          </cell>
          <cell r="W153" t="str">
            <v>37.002-070</v>
          </cell>
        </row>
        <row r="154">
          <cell r="A154">
            <v>153</v>
          </cell>
          <cell r="B154" t="str">
            <v>MG</v>
          </cell>
          <cell r="C154" t="str">
            <v>204-6</v>
          </cell>
          <cell r="D154" t="str">
            <v>61.10-8-01</v>
          </cell>
          <cell r="E154" t="str">
            <v>RH</v>
          </cell>
          <cell r="F154" t="str">
            <v>OI S/A - EM RECUPERAÇÃO JUDICIAL</v>
          </cell>
          <cell r="G154">
            <v>31920017547</v>
          </cell>
          <cell r="H154" t="str">
            <v>76.535.764/0336-61</v>
          </cell>
          <cell r="I154">
            <v>44061</v>
          </cell>
          <cell r="K154" t="str">
            <v>ATIVA</v>
          </cell>
          <cell r="L154" t="str">
            <v>CENTRALIZADA</v>
          </cell>
          <cell r="M154" t="str">
            <v>CENTRALIZADA</v>
          </cell>
          <cell r="P154" t="str">
            <v>81V/13</v>
          </cell>
          <cell r="S154" t="str">
            <v>ATIVA</v>
          </cell>
          <cell r="T154" t="str">
            <v>R ESMERALDAS, 1296, PARTE A</v>
          </cell>
          <cell r="U154" t="str">
            <v>CENTRO</v>
          </cell>
          <cell r="V154" t="str">
            <v>VARZEA DA PALMA</v>
          </cell>
          <cell r="W154" t="str">
            <v>39.260-000</v>
          </cell>
        </row>
        <row r="155">
          <cell r="A155">
            <v>154</v>
          </cell>
          <cell r="B155" t="str">
            <v>MT</v>
          </cell>
          <cell r="C155" t="str">
            <v>204-6</v>
          </cell>
          <cell r="D155" t="str">
            <v>61.10-8-01</v>
          </cell>
          <cell r="E155" t="str">
            <v>CA</v>
          </cell>
          <cell r="F155" t="str">
            <v>OI S/A - EM RECUPERAÇÃO JUDICIAL</v>
          </cell>
          <cell r="G155">
            <v>51920007866</v>
          </cell>
          <cell r="H155" t="str">
            <v>76.535.764/0235-18</v>
          </cell>
          <cell r="I155">
            <v>44061</v>
          </cell>
          <cell r="K155" t="str">
            <v>ATIVA</v>
          </cell>
          <cell r="P155">
            <v>191338</v>
          </cell>
          <cell r="Q155">
            <v>44077</v>
          </cell>
          <cell r="S155" t="str">
            <v>ATIVA</v>
          </cell>
          <cell r="T155" t="str">
            <v>AV JOSE ESTEVAO TORQUATO DA SILVA, 1360, ANEXO D</v>
          </cell>
          <cell r="U155" t="str">
            <v>JARDIM VITORIA</v>
          </cell>
          <cell r="V155" t="str">
            <v>CUIABA</v>
          </cell>
          <cell r="W155" t="str">
            <v>78.055-731</v>
          </cell>
        </row>
        <row r="156">
          <cell r="A156">
            <v>155</v>
          </cell>
          <cell r="B156" t="str">
            <v>PA</v>
          </cell>
          <cell r="C156" t="str">
            <v>204-6</v>
          </cell>
          <cell r="D156" t="str">
            <v>61.10-8-01</v>
          </cell>
          <cell r="E156" t="str">
            <v>CD</v>
          </cell>
          <cell r="F156" t="str">
            <v>OI S/A - EM RECUPERAÇÃO JUDICIAL</v>
          </cell>
          <cell r="G156">
            <v>15902008806</v>
          </cell>
          <cell r="H156" t="str">
            <v>76.535.764/0237-80</v>
          </cell>
          <cell r="I156">
            <v>44061</v>
          </cell>
          <cell r="K156" t="str">
            <v>ATIVA</v>
          </cell>
          <cell r="L156" t="str">
            <v>CENTRALIZADA</v>
          </cell>
          <cell r="O156" t="str">
            <v>ATIVA</v>
          </cell>
          <cell r="P156" t="str">
            <v xml:space="preserve">73405-0 </v>
          </cell>
          <cell r="S156" t="str">
            <v>ATIVA</v>
          </cell>
          <cell r="T156" t="str">
            <v>ROD BR 316, 1906, GALPAO8 SETOR I KM 7</v>
          </cell>
          <cell r="U156" t="str">
            <v>CENTRO</v>
          </cell>
          <cell r="V156" t="str">
            <v>ANANINDEUA</v>
          </cell>
          <cell r="W156" t="str">
            <v>67.030-000</v>
          </cell>
        </row>
        <row r="157">
          <cell r="A157">
            <v>156</v>
          </cell>
          <cell r="B157" t="str">
            <v>PE</v>
          </cell>
          <cell r="C157" t="str">
            <v>204-6</v>
          </cell>
          <cell r="D157" t="str">
            <v>61.10-8-01</v>
          </cell>
          <cell r="E157" t="str">
            <v>CD</v>
          </cell>
          <cell r="F157" t="str">
            <v>OI S/A - EM RECUPERAÇÃO JUDICIAL</v>
          </cell>
          <cell r="G157">
            <v>26902009267</v>
          </cell>
          <cell r="H157" t="str">
            <v>76.535.764/0277-77</v>
          </cell>
          <cell r="I157">
            <v>44061</v>
          </cell>
          <cell r="K157" t="str">
            <v>ATIVA</v>
          </cell>
          <cell r="L157" t="str">
            <v>CENTRALIZADA</v>
          </cell>
          <cell r="P157" t="str">
            <v>032.712-3</v>
          </cell>
          <cell r="S157" t="str">
            <v>ATIVA</v>
          </cell>
          <cell r="T157" t="str">
            <v>ROD BR 101 SUL, KM 96,4, 5225, GP 03 M4</v>
          </cell>
          <cell r="U157" t="str">
            <v>DISTRITO INDUSTRIAL DIPER</v>
          </cell>
          <cell r="V157" t="str">
            <v>CABO DE SANTO AGOSTINHO</v>
          </cell>
          <cell r="W157" t="str">
            <v>54.503-900</v>
          </cell>
        </row>
        <row r="158">
          <cell r="A158">
            <v>157</v>
          </cell>
          <cell r="B158" t="str">
            <v>PE</v>
          </cell>
          <cell r="C158" t="str">
            <v>204-6</v>
          </cell>
          <cell r="D158" t="str">
            <v>61.10-8-01</v>
          </cell>
          <cell r="E158" t="str">
            <v>OP</v>
          </cell>
          <cell r="F158" t="str">
            <v>OI S/A - EM RECUPERAÇÃO JUDICIAL</v>
          </cell>
          <cell r="G158">
            <v>26902009313</v>
          </cell>
          <cell r="H158" t="str">
            <v>76.535.764/0282-34</v>
          </cell>
          <cell r="I158">
            <v>44061</v>
          </cell>
          <cell r="K158" t="str">
            <v>ATIVA</v>
          </cell>
          <cell r="L158" t="str">
            <v>CENTRALIZADA</v>
          </cell>
          <cell r="P158" t="str">
            <v>685.490-7</v>
          </cell>
          <cell r="S158" t="str">
            <v>ATIVA</v>
          </cell>
          <cell r="T158" t="str">
            <v>R MARIA CAROLINA, 474, PARTE A</v>
          </cell>
          <cell r="U158" t="str">
            <v>BOA VIAGEM</v>
          </cell>
          <cell r="V158" t="str">
            <v>RECIFE</v>
          </cell>
          <cell r="W158" t="str">
            <v>51.020-220</v>
          </cell>
        </row>
        <row r="159">
          <cell r="A159">
            <v>158</v>
          </cell>
          <cell r="B159" t="str">
            <v>PE</v>
          </cell>
          <cell r="C159" t="str">
            <v>204-6</v>
          </cell>
          <cell r="D159" t="str">
            <v>61.10-8-01</v>
          </cell>
          <cell r="E159" t="str">
            <v>RH</v>
          </cell>
          <cell r="F159" t="str">
            <v>OI S/A - EM RECUPERAÇÃO JUDICIAL</v>
          </cell>
          <cell r="G159">
            <v>26902009305</v>
          </cell>
          <cell r="H159" t="str">
            <v>76.535.764/0281-53</v>
          </cell>
          <cell r="I159">
            <v>44061</v>
          </cell>
          <cell r="K159" t="str">
            <v>ATIVA</v>
          </cell>
          <cell r="L159" t="str">
            <v>CENTRALIZADA</v>
          </cell>
          <cell r="P159">
            <v>1260723</v>
          </cell>
          <cell r="S159" t="str">
            <v>ATIVA</v>
          </cell>
          <cell r="T159" t="str">
            <v>AV CORONEL ANTONIO JAPIASSU, 701</v>
          </cell>
          <cell r="U159" t="str">
            <v>SÃO MIGUEL</v>
          </cell>
          <cell r="V159" t="str">
            <v>ARCOVERDE</v>
          </cell>
          <cell r="W159" t="str">
            <v>56.506-905</v>
          </cell>
        </row>
        <row r="160">
          <cell r="A160">
            <v>159</v>
          </cell>
          <cell r="B160" t="str">
            <v>PE</v>
          </cell>
          <cell r="C160" t="str">
            <v>204-6</v>
          </cell>
          <cell r="D160" t="str">
            <v>61.10-8-01</v>
          </cell>
          <cell r="E160" t="str">
            <v>RH</v>
          </cell>
          <cell r="F160" t="str">
            <v>OI S/A - EM RECUPERAÇÃO JUDICIAL</v>
          </cell>
          <cell r="G160">
            <v>26902009241</v>
          </cell>
          <cell r="H160" t="str">
            <v>76.535.764/0275-05</v>
          </cell>
          <cell r="I160">
            <v>44061</v>
          </cell>
          <cell r="K160" t="str">
            <v>ATIVA</v>
          </cell>
          <cell r="L160" t="str">
            <v>CENTRALIZADA</v>
          </cell>
          <cell r="P160" t="str">
            <v>PENDENTE</v>
          </cell>
          <cell r="S160" t="str">
            <v>PENDENTE</v>
          </cell>
          <cell r="T160" t="str">
            <v xml:space="preserve">R PADRE ROCHA, 210, PARTE A </v>
          </cell>
          <cell r="U160" t="str">
            <v>SAO JOSE</v>
          </cell>
          <cell r="V160" t="str">
            <v>CARPINA</v>
          </cell>
          <cell r="W160" t="str">
            <v>55.815-140</v>
          </cell>
        </row>
        <row r="161">
          <cell r="A161">
            <v>160</v>
          </cell>
          <cell r="B161" t="str">
            <v>PE</v>
          </cell>
          <cell r="C161" t="str">
            <v>204-6</v>
          </cell>
          <cell r="D161" t="str">
            <v>61.10-8-01</v>
          </cell>
          <cell r="E161" t="str">
            <v>RH</v>
          </cell>
          <cell r="F161" t="str">
            <v>OI S/A - EM RECUPERAÇÃO JUDICIAL</v>
          </cell>
          <cell r="G161">
            <v>26902009291</v>
          </cell>
          <cell r="H161" t="str">
            <v>76.535.764/0280-72</v>
          </cell>
          <cell r="I161">
            <v>44061</v>
          </cell>
          <cell r="K161" t="str">
            <v>ATIVA</v>
          </cell>
          <cell r="L161" t="str">
            <v>CENTRALIZADA</v>
          </cell>
          <cell r="P161" t="str">
            <v>361.368-2</v>
          </cell>
          <cell r="S161" t="str">
            <v>ATIVA</v>
          </cell>
          <cell r="T161" t="str">
            <v>R MANOEL BORBA, 168, PARTE A</v>
          </cell>
          <cell r="U161" t="str">
            <v>SANTO ANTONIO</v>
          </cell>
          <cell r="V161" t="str">
            <v>GARANHUNS</v>
          </cell>
          <cell r="W161" t="str">
            <v>55.295-903</v>
          </cell>
        </row>
        <row r="162">
          <cell r="A162">
            <v>161</v>
          </cell>
          <cell r="B162" t="str">
            <v>PE</v>
          </cell>
          <cell r="C162" t="str">
            <v>204-6</v>
          </cell>
          <cell r="D162" t="str">
            <v>61.10-8-01</v>
          </cell>
          <cell r="E162" t="str">
            <v>RH</v>
          </cell>
          <cell r="F162" t="str">
            <v>OI S/A - EM RECUPERAÇÃO JUDICIAL</v>
          </cell>
          <cell r="G162">
            <v>26902009283</v>
          </cell>
          <cell r="H162" t="str">
            <v>76.535.764/0279-39</v>
          </cell>
          <cell r="I162">
            <v>44061</v>
          </cell>
          <cell r="K162" t="str">
            <v>ATIVA</v>
          </cell>
          <cell r="L162" t="str">
            <v>CENTRALIZADA</v>
          </cell>
          <cell r="P162">
            <v>68221</v>
          </cell>
          <cell r="S162" t="str">
            <v>ATIVA</v>
          </cell>
          <cell r="T162" t="str">
            <v>R PACIFICO DA LUZ, 739, PARTE A</v>
          </cell>
          <cell r="U162" t="str">
            <v>CENTRO</v>
          </cell>
          <cell r="V162" t="str">
            <v>PETROLINA</v>
          </cell>
          <cell r="W162" t="str">
            <v>56.304-010</v>
          </cell>
        </row>
        <row r="163">
          <cell r="A163">
            <v>162</v>
          </cell>
          <cell r="B163" t="str">
            <v>PE</v>
          </cell>
          <cell r="C163" t="str">
            <v>204-6</v>
          </cell>
          <cell r="D163" t="str">
            <v>61.10-8-01</v>
          </cell>
          <cell r="E163" t="str">
            <v>RH</v>
          </cell>
          <cell r="F163" t="str">
            <v>OI S/A - EM RECUPERAÇÃO JUDICIAL</v>
          </cell>
          <cell r="G163">
            <v>26902009259</v>
          </cell>
          <cell r="H163" t="str">
            <v>76.535.764/0276-96</v>
          </cell>
          <cell r="I163">
            <v>44061</v>
          </cell>
          <cell r="K163" t="str">
            <v>ATIVA</v>
          </cell>
          <cell r="L163" t="str">
            <v>CENTRALIZADA</v>
          </cell>
          <cell r="P163">
            <v>13128</v>
          </cell>
          <cell r="S163" t="str">
            <v>ATIVA</v>
          </cell>
          <cell r="T163" t="str">
            <v>R CARLOS SOARES DE BRITO, 80, PARTE A</v>
          </cell>
          <cell r="U163" t="str">
            <v>SANTO ANTONIO</v>
          </cell>
          <cell r="V163" t="str">
            <v>SALGUEIRO</v>
          </cell>
          <cell r="W163" t="str">
            <v>56.000-000</v>
          </cell>
        </row>
        <row r="164">
          <cell r="A164">
            <v>163</v>
          </cell>
          <cell r="B164" t="str">
            <v>PI</v>
          </cell>
          <cell r="C164" t="str">
            <v>204-6</v>
          </cell>
          <cell r="D164" t="str">
            <v>61.10-8-01</v>
          </cell>
          <cell r="E164" t="str">
            <v>RH</v>
          </cell>
          <cell r="F164" t="str">
            <v>OI S/A - EM RECUPERAÇÃO JUDICIAL</v>
          </cell>
          <cell r="G164">
            <v>22900498291</v>
          </cell>
          <cell r="H164" t="str">
            <v>76.535.764/0246-70</v>
          </cell>
          <cell r="I164">
            <v>44061</v>
          </cell>
          <cell r="K164" t="str">
            <v>ATIVA</v>
          </cell>
          <cell r="L164" t="str">
            <v>CENTRALIZADA</v>
          </cell>
          <cell r="N164">
            <v>44664</v>
          </cell>
          <cell r="P164">
            <v>253671</v>
          </cell>
          <cell r="Q164">
            <v>44068</v>
          </cell>
          <cell r="S164" t="str">
            <v>ATIVA</v>
          </cell>
          <cell r="T164" t="str">
            <v>R SAO JOAO, 526, SALA PARTE A</v>
          </cell>
          <cell r="U164" t="str">
            <v>IRAPUA I</v>
          </cell>
          <cell r="V164" t="str">
            <v>FLORIANO</v>
          </cell>
          <cell r="W164" t="str">
            <v>64.800-360</v>
          </cell>
        </row>
        <row r="165">
          <cell r="A165">
            <v>164</v>
          </cell>
          <cell r="B165" t="str">
            <v>PI</v>
          </cell>
          <cell r="C165" t="str">
            <v>204-6</v>
          </cell>
          <cell r="D165" t="str">
            <v>61.10-8-01</v>
          </cell>
          <cell r="E165" t="str">
            <v>RH</v>
          </cell>
          <cell r="F165" t="str">
            <v>OI S/A - EM RECUPERAÇÃO JUDICIAL</v>
          </cell>
          <cell r="G165">
            <v>22900498305</v>
          </cell>
          <cell r="H165" t="str">
            <v>76.535.764/0247-51</v>
          </cell>
          <cell r="I165">
            <v>44061</v>
          </cell>
          <cell r="K165" t="str">
            <v>ATIVA</v>
          </cell>
          <cell r="L165" t="str">
            <v>CENTRALIZADA</v>
          </cell>
          <cell r="M165">
            <v>44070</v>
          </cell>
          <cell r="N165">
            <v>44664</v>
          </cell>
          <cell r="P165">
            <v>54570</v>
          </cell>
          <cell r="S165" t="str">
            <v>ATIVA</v>
          </cell>
          <cell r="T165" t="str">
            <v xml:space="preserve">AV PRESIDENTE GETULIO VARGAS, 390, TERREOPARTE A </v>
          </cell>
          <cell r="U165" t="str">
            <v>NOSSA SENHORA DO CARMO</v>
          </cell>
          <cell r="V165" t="str">
            <v>PARNAIBA</v>
          </cell>
          <cell r="W165" t="str">
            <v>64.200-035</v>
          </cell>
        </row>
        <row r="166">
          <cell r="A166">
            <v>165</v>
          </cell>
          <cell r="B166" t="str">
            <v>PI</v>
          </cell>
          <cell r="C166" t="str">
            <v>204-6</v>
          </cell>
          <cell r="D166" t="str">
            <v>61.10-8-01</v>
          </cell>
          <cell r="E166" t="str">
            <v>RH</v>
          </cell>
          <cell r="F166" t="str">
            <v>OI S/A - EM RECUPERAÇÃO JUDICIAL</v>
          </cell>
          <cell r="G166">
            <v>22900498313</v>
          </cell>
          <cell r="H166" t="str">
            <v>76.535.764/0248-32</v>
          </cell>
          <cell r="I166">
            <v>44061</v>
          </cell>
          <cell r="K166" t="str">
            <v>ATIVA</v>
          </cell>
          <cell r="L166" t="str">
            <v>CENTRALIZADA</v>
          </cell>
          <cell r="N166">
            <v>44664</v>
          </cell>
          <cell r="P166">
            <v>109472</v>
          </cell>
          <cell r="Q166">
            <v>44456</v>
          </cell>
          <cell r="S166" t="str">
            <v>ATIVA</v>
          </cell>
          <cell r="T166" t="str">
            <v>R DO CRUZEIRO, 230, TERREO PARTE A</v>
          </cell>
          <cell r="U166" t="str">
            <v>BOMBA</v>
          </cell>
          <cell r="V166" t="str">
            <v>PICOS</v>
          </cell>
          <cell r="W166" t="str">
            <v>64.601-349</v>
          </cell>
        </row>
        <row r="167">
          <cell r="A167">
            <v>166</v>
          </cell>
          <cell r="B167" t="str">
            <v>PR</v>
          </cell>
          <cell r="C167" t="str">
            <v>204-6</v>
          </cell>
          <cell r="D167" t="str">
            <v>61.10-8-01</v>
          </cell>
          <cell r="E167" t="str">
            <v>CD</v>
          </cell>
          <cell r="F167" t="str">
            <v>OI S/A - EM RECUPERAÇÃO JUDICIAL</v>
          </cell>
          <cell r="G167">
            <v>41901927108</v>
          </cell>
          <cell r="H167" t="str">
            <v>76.535.764/0259-95</v>
          </cell>
          <cell r="I167">
            <v>44061</v>
          </cell>
          <cell r="K167" t="str">
            <v>ATIVA</v>
          </cell>
          <cell r="L167" t="str">
            <v>90906732-43</v>
          </cell>
          <cell r="N167">
            <v>45254</v>
          </cell>
          <cell r="O167" t="str">
            <v>BAIXADA</v>
          </cell>
          <cell r="P167" t="str">
            <v>00 00 883.071-9</v>
          </cell>
          <cell r="S167" t="str">
            <v>ATIVA</v>
          </cell>
          <cell r="T167" t="str">
            <v>R ESTRADA DA GRACIOSA, 870</v>
          </cell>
          <cell r="U167" t="str">
            <v>ATUBA</v>
          </cell>
          <cell r="V167" t="str">
            <v>CURITIBA</v>
          </cell>
          <cell r="W167" t="str">
            <v>82.840-360</v>
          </cell>
        </row>
        <row r="168">
          <cell r="A168">
            <v>167</v>
          </cell>
          <cell r="B168" t="str">
            <v>PR</v>
          </cell>
          <cell r="C168" t="str">
            <v>204-6</v>
          </cell>
          <cell r="D168" t="str">
            <v>61.10-8-01</v>
          </cell>
          <cell r="E168" t="str">
            <v>CA</v>
          </cell>
          <cell r="F168" t="str">
            <v>OI S/A - EM RECUPERAÇÃO JUDICIAL</v>
          </cell>
          <cell r="G168">
            <v>41901927094</v>
          </cell>
          <cell r="H168" t="str">
            <v>76.535.764/0253-08</v>
          </cell>
          <cell r="I168">
            <v>44061</v>
          </cell>
          <cell r="K168" t="str">
            <v>ATIVA</v>
          </cell>
          <cell r="L168" t="str">
            <v>CENTRALIZADA</v>
          </cell>
          <cell r="P168">
            <v>630021341</v>
          </cell>
          <cell r="S168" t="str">
            <v>ATIVA</v>
          </cell>
          <cell r="T168" t="str">
            <v>ROD BR-467, 2302</v>
          </cell>
          <cell r="U168" t="str">
            <v>PERIOLO</v>
          </cell>
          <cell r="V168" t="str">
            <v>CASCAVEL</v>
          </cell>
          <cell r="W168" t="str">
            <v>85.817-012</v>
          </cell>
        </row>
        <row r="169">
          <cell r="A169">
            <v>168</v>
          </cell>
          <cell r="B169" t="str">
            <v>PR</v>
          </cell>
          <cell r="C169" t="str">
            <v>204-6</v>
          </cell>
          <cell r="D169" t="str">
            <v>61.10-8-01</v>
          </cell>
          <cell r="E169" t="str">
            <v>CA</v>
          </cell>
          <cell r="F169" t="str">
            <v>OI S/A - EM RECUPERAÇÃO JUDICIAL</v>
          </cell>
          <cell r="G169">
            <v>41901927086</v>
          </cell>
          <cell r="H169" t="str">
            <v>76.535.764/0251-38</v>
          </cell>
          <cell r="I169">
            <v>44061</v>
          </cell>
          <cell r="K169" t="str">
            <v>ATIVA</v>
          </cell>
          <cell r="L169" t="str">
            <v>CENTRALIZADA</v>
          </cell>
          <cell r="P169">
            <v>227150</v>
          </cell>
          <cell r="S169" t="str">
            <v>ATIVA</v>
          </cell>
          <cell r="T169" t="str">
            <v>ROD PR-317, 3737, LOTE 34/A-2 REM.</v>
          </cell>
          <cell r="U169" t="str">
            <v>GLEBA RIBEIRAO PINGUIM</v>
          </cell>
          <cell r="V169" t="str">
            <v>MARINGA</v>
          </cell>
          <cell r="W169" t="str">
            <v>87.065-011</v>
          </cell>
        </row>
        <row r="170">
          <cell r="A170">
            <v>169</v>
          </cell>
          <cell r="B170" t="str">
            <v>PR</v>
          </cell>
          <cell r="C170" t="str">
            <v>204-6</v>
          </cell>
          <cell r="D170" t="str">
            <v>61.10-8-01</v>
          </cell>
          <cell r="E170" t="str">
            <v>RH</v>
          </cell>
          <cell r="F170" t="str">
            <v>OI S/A - EM RECUPERAÇÃO JUDICIAL</v>
          </cell>
          <cell r="G170">
            <v>41901927078</v>
          </cell>
          <cell r="H170" t="str">
            <v>76.535.764/0249-13</v>
          </cell>
          <cell r="I170">
            <v>44061</v>
          </cell>
          <cell r="K170" t="str">
            <v>ATIVA</v>
          </cell>
          <cell r="L170" t="str">
            <v>CENTRALIZADA</v>
          </cell>
          <cell r="P170" t="str">
            <v>00 00 883.065-9</v>
          </cell>
          <cell r="S170" t="str">
            <v>ATIVA</v>
          </cell>
          <cell r="T170" t="str">
            <v>AV MANOEL RIBAS, 115, CONJ 13 ANDAR 09 COND COSTA E SILVA ED PAL</v>
          </cell>
          <cell r="U170" t="str">
            <v>SAO FRANCISCO</v>
          </cell>
          <cell r="V170" t="str">
            <v>CURITIBA</v>
          </cell>
          <cell r="W170" t="str">
            <v>80.510-020</v>
          </cell>
        </row>
        <row r="171">
          <cell r="A171">
            <v>170</v>
          </cell>
          <cell r="B171" t="str">
            <v>RJ</v>
          </cell>
          <cell r="C171" t="str">
            <v>204-6</v>
          </cell>
          <cell r="D171" t="str">
            <v>61.10-8-01</v>
          </cell>
          <cell r="E171" t="str">
            <v>CA</v>
          </cell>
          <cell r="F171" t="str">
            <v>OI S/A - EM RECUPERAÇÃO JUDICIAL</v>
          </cell>
          <cell r="G171">
            <v>33901787318</v>
          </cell>
          <cell r="H171" t="str">
            <v>76.535.764/0115-01</v>
          </cell>
          <cell r="I171">
            <v>44061</v>
          </cell>
          <cell r="K171" t="str">
            <v>ATIVA</v>
          </cell>
          <cell r="L171">
            <v>77685022</v>
          </cell>
          <cell r="M171" t="str">
            <v>CENTRALIZADA</v>
          </cell>
          <cell r="P171" t="str">
            <v>1.257.065-1</v>
          </cell>
          <cell r="S171" t="str">
            <v>ATIVA</v>
          </cell>
          <cell r="T171" t="str">
            <v>PC TIRADENTES, 00041, SAL 101 PARTE D</v>
          </cell>
          <cell r="U171" t="str">
            <v>CENTRO</v>
          </cell>
          <cell r="V171" t="str">
            <v>RIO DE JANEIRO</v>
          </cell>
          <cell r="W171" t="str">
            <v>20.060-070</v>
          </cell>
        </row>
        <row r="172">
          <cell r="A172">
            <v>171</v>
          </cell>
          <cell r="B172" t="str">
            <v>RJ</v>
          </cell>
          <cell r="C172" t="str">
            <v>204-6</v>
          </cell>
          <cell r="D172" t="str">
            <v>61.10-8-01</v>
          </cell>
          <cell r="E172" t="str">
            <v>CD</v>
          </cell>
          <cell r="F172" t="str">
            <v>OI S/A - EM RECUPERAÇÃO JUDICIAL</v>
          </cell>
          <cell r="G172">
            <v>33901787601</v>
          </cell>
          <cell r="H172" t="str">
            <v>76.535.764/0184-33</v>
          </cell>
          <cell r="I172">
            <v>44061</v>
          </cell>
          <cell r="K172" t="str">
            <v>ATIVA</v>
          </cell>
          <cell r="L172">
            <v>77685022</v>
          </cell>
          <cell r="M172" t="str">
            <v>CENTRALIZADA</v>
          </cell>
          <cell r="P172" t="str">
            <v>1.257.073-2</v>
          </cell>
          <cell r="S172" t="str">
            <v>ATIVA</v>
          </cell>
          <cell r="T172" t="str">
            <v>ROD PRESIDENTE DUTRA, 02480, LOT 15 LTM 19373 GALPAO TERREO PARTE D</v>
          </cell>
          <cell r="U172" t="str">
            <v>PAVUNA</v>
          </cell>
          <cell r="V172" t="str">
            <v>RIO DE JANEIRO</v>
          </cell>
          <cell r="W172" t="str">
            <v>21.535-502</v>
          </cell>
        </row>
        <row r="173">
          <cell r="A173">
            <v>172</v>
          </cell>
          <cell r="B173" t="str">
            <v>RJ</v>
          </cell>
          <cell r="C173" t="str">
            <v>204-6</v>
          </cell>
          <cell r="D173" t="str">
            <v>61.10-8-01</v>
          </cell>
          <cell r="E173" t="str">
            <v>CA/RH</v>
          </cell>
          <cell r="F173" t="str">
            <v>OI S/A - EM RECUPERAÇÃO JUDICIAL</v>
          </cell>
          <cell r="G173">
            <v>33901787261</v>
          </cell>
          <cell r="H173" t="str">
            <v>76.535.764/0108-82</v>
          </cell>
          <cell r="I173">
            <v>44061</v>
          </cell>
          <cell r="K173" t="str">
            <v>ATIVA</v>
          </cell>
          <cell r="L173">
            <v>77685022</v>
          </cell>
          <cell r="M173" t="str">
            <v>CENTRALIZADA</v>
          </cell>
          <cell r="P173" t="str">
            <v>1.257.076-7</v>
          </cell>
          <cell r="S173" t="str">
            <v>ATIVA</v>
          </cell>
          <cell r="T173" t="str">
            <v>EST MARECHAL MIGUEL SALAZAR M MORAES, 01409, SALA 101</v>
          </cell>
          <cell r="U173" t="str">
            <v>CIDADE DE DEUS</v>
          </cell>
          <cell r="V173" t="str">
            <v>RIO DE JANEIRO</v>
          </cell>
          <cell r="W173" t="str">
            <v>22.770-333</v>
          </cell>
        </row>
        <row r="174">
          <cell r="A174">
            <v>173</v>
          </cell>
          <cell r="B174" t="str">
            <v>RJ</v>
          </cell>
          <cell r="C174" t="str">
            <v>204-6</v>
          </cell>
          <cell r="D174" t="str">
            <v>61.10-8-01</v>
          </cell>
          <cell r="E174" t="str">
            <v>CA</v>
          </cell>
          <cell r="F174" t="str">
            <v>OI S/A - EM RECUPERAÇÃO JUDICIAL</v>
          </cell>
          <cell r="G174">
            <v>33901787351</v>
          </cell>
          <cell r="H174" t="str">
            <v>76.535.764/0125-83</v>
          </cell>
          <cell r="I174">
            <v>44061</v>
          </cell>
          <cell r="K174" t="str">
            <v>ATIVA</v>
          </cell>
          <cell r="L174">
            <v>77685022</v>
          </cell>
          <cell r="M174" t="str">
            <v>CENTRALIZADA</v>
          </cell>
          <cell r="P174" t="str">
            <v>1.257.079-1</v>
          </cell>
          <cell r="S174" t="str">
            <v>ATIVA</v>
          </cell>
          <cell r="T174" t="str">
            <v>R DOS LIMOEIROS, 00200, LOT 13 PAL 9827 PARTE D</v>
          </cell>
          <cell r="U174" t="str">
            <v>CAMPO GRANDE</v>
          </cell>
          <cell r="V174" t="str">
            <v>RIO DE JANEIRO</v>
          </cell>
          <cell r="W174" t="str">
            <v>23.045-170</v>
          </cell>
        </row>
        <row r="175">
          <cell r="A175">
            <v>174</v>
          </cell>
          <cell r="B175" t="str">
            <v>RJ</v>
          </cell>
          <cell r="C175" t="str">
            <v>204-6</v>
          </cell>
          <cell r="D175" t="str">
            <v>61.10-8-01</v>
          </cell>
          <cell r="E175" t="str">
            <v>CA</v>
          </cell>
          <cell r="F175" t="str">
            <v>OI S/A - EM RECUPERAÇÃO JUDICIAL</v>
          </cell>
          <cell r="G175">
            <v>33901787270</v>
          </cell>
          <cell r="H175" t="str">
            <v>76.535.764/0110-05</v>
          </cell>
          <cell r="I175">
            <v>44061</v>
          </cell>
          <cell r="K175" t="str">
            <v>ATIVA</v>
          </cell>
          <cell r="L175">
            <v>77685022</v>
          </cell>
          <cell r="M175" t="str">
            <v>CENTRALIZADA</v>
          </cell>
          <cell r="P175">
            <v>145802</v>
          </cell>
          <cell r="S175" t="str">
            <v>ATIVA</v>
          </cell>
          <cell r="T175" t="str">
            <v>EST RAUL VEIGA, 458, PARTE D</v>
          </cell>
          <cell r="U175" t="str">
            <v>RAUL VEIGA</v>
          </cell>
          <cell r="V175" t="str">
            <v>SÃO GONÇALO</v>
          </cell>
          <cell r="W175" t="str">
            <v>24.710-480</v>
          </cell>
        </row>
        <row r="176">
          <cell r="A176">
            <v>175</v>
          </cell>
          <cell r="B176" t="str">
            <v>RJ</v>
          </cell>
          <cell r="C176" t="str">
            <v>204-6</v>
          </cell>
          <cell r="D176" t="str">
            <v>61.10-8-01</v>
          </cell>
          <cell r="E176" t="str">
            <v>CA</v>
          </cell>
          <cell r="F176" t="str">
            <v>OI S/A - EM RECUPERAÇÃO JUDICIAL</v>
          </cell>
          <cell r="G176">
            <v>33901787334</v>
          </cell>
          <cell r="H176" t="str">
            <v>76.535.764/0118-54</v>
          </cell>
          <cell r="I176">
            <v>44061</v>
          </cell>
          <cell r="K176" t="str">
            <v>ATIVA</v>
          </cell>
          <cell r="L176">
            <v>77685022</v>
          </cell>
          <cell r="M176" t="str">
            <v>CENTRALIZADA</v>
          </cell>
          <cell r="P176">
            <v>145801</v>
          </cell>
          <cell r="S176" t="str">
            <v>ATIVA</v>
          </cell>
          <cell r="T176" t="str">
            <v>R CARDEAL ARCO VERDE, 340, PARTE B</v>
          </cell>
          <cell r="U176" t="str">
            <v>PACHECO</v>
          </cell>
          <cell r="V176" t="str">
            <v>SÃO GONÇALO</v>
          </cell>
          <cell r="W176" t="str">
            <v>24.736-810</v>
          </cell>
        </row>
        <row r="177">
          <cell r="A177">
            <v>176</v>
          </cell>
          <cell r="B177" t="str">
            <v>RJ</v>
          </cell>
          <cell r="C177" t="str">
            <v>204-6</v>
          </cell>
          <cell r="D177" t="str">
            <v>61.10-8-01</v>
          </cell>
          <cell r="E177" t="str">
            <v>CA/RH</v>
          </cell>
          <cell r="F177" t="str">
            <v>OI S/A - EM RECUPERAÇÃO JUDICIAL</v>
          </cell>
          <cell r="G177">
            <v>33901787342</v>
          </cell>
          <cell r="H177" t="str">
            <v>76.535.764/0122-30</v>
          </cell>
          <cell r="I177">
            <v>44061</v>
          </cell>
          <cell r="K177" t="str">
            <v>ATIVA</v>
          </cell>
          <cell r="L177">
            <v>77685022</v>
          </cell>
          <cell r="M177" t="str">
            <v>CENTRALIZADA</v>
          </cell>
          <cell r="P177">
            <v>11166323</v>
          </cell>
          <cell r="Q177">
            <v>44113</v>
          </cell>
          <cell r="S177" t="str">
            <v>ATIVA</v>
          </cell>
          <cell r="T177" t="str">
            <v>R MOSELA, 1854, SALA 201</v>
          </cell>
          <cell r="U177" t="str">
            <v>MOSELA</v>
          </cell>
          <cell r="V177" t="str">
            <v>PETROPOLIS</v>
          </cell>
          <cell r="W177" t="str">
            <v>25.670-033</v>
          </cell>
        </row>
        <row r="178">
          <cell r="A178">
            <v>177</v>
          </cell>
          <cell r="B178" t="str">
            <v>RJ</v>
          </cell>
          <cell r="C178" t="str">
            <v>204-6</v>
          </cell>
          <cell r="D178" t="str">
            <v>61.10-8-01</v>
          </cell>
          <cell r="E178" t="str">
            <v>CA</v>
          </cell>
          <cell r="F178" t="str">
            <v>OI S/A - EM RECUPERAÇÃO JUDICIAL</v>
          </cell>
          <cell r="G178">
            <v>33901787504</v>
          </cell>
          <cell r="H178" t="str">
            <v>76.535.764/0172-08</v>
          </cell>
          <cell r="I178">
            <v>44061</v>
          </cell>
          <cell r="K178" t="str">
            <v>ATIVA</v>
          </cell>
          <cell r="L178">
            <v>77685022</v>
          </cell>
          <cell r="M178" t="str">
            <v>CENTRALIZADA</v>
          </cell>
          <cell r="P178">
            <v>633062</v>
          </cell>
          <cell r="S178" t="str">
            <v>ATIVA</v>
          </cell>
          <cell r="T178" t="str">
            <v>R DOM PEDRO II, 74, PARTE D</v>
          </cell>
          <cell r="U178" t="str">
            <v>JARDIM IMPERIO</v>
          </cell>
          <cell r="V178" t="str">
            <v>NOVA IGUACU</v>
          </cell>
          <cell r="W178" t="str">
            <v>26.225-580</v>
          </cell>
        </row>
        <row r="179">
          <cell r="A179">
            <v>178</v>
          </cell>
          <cell r="B179" t="str">
            <v>RJ</v>
          </cell>
          <cell r="C179" t="str">
            <v>204-6</v>
          </cell>
          <cell r="D179" t="str">
            <v>61.10-8-01</v>
          </cell>
          <cell r="E179" t="str">
            <v>CD</v>
          </cell>
          <cell r="F179" t="str">
            <v>OI S/A - EM RECUPERAÇÃO JUDICIAL</v>
          </cell>
          <cell r="G179">
            <v>33901787393</v>
          </cell>
          <cell r="H179" t="str">
            <v>76.535.764/0135-55</v>
          </cell>
          <cell r="I179">
            <v>44061</v>
          </cell>
          <cell r="K179" t="str">
            <v>ATIVA</v>
          </cell>
          <cell r="L179">
            <v>77685022</v>
          </cell>
          <cell r="M179" t="str">
            <v>CENTRALIZADA</v>
          </cell>
          <cell r="P179" t="str">
            <v>76535764013555</v>
          </cell>
          <cell r="Q179">
            <v>45230</v>
          </cell>
          <cell r="S179" t="str">
            <v>ATIVA</v>
          </cell>
          <cell r="T179" t="str">
            <v>ROD PRESIDENTE DUTRA, 25551, BLOCO 1 SETOR A AREA A</v>
          </cell>
          <cell r="U179" t="str">
            <v>DISTRITO INDUSTRIAL</v>
          </cell>
          <cell r="V179" t="str">
            <v>QUEIMADOS</v>
          </cell>
          <cell r="W179" t="str">
            <v>26.373-320</v>
          </cell>
        </row>
        <row r="180">
          <cell r="A180">
            <v>179</v>
          </cell>
          <cell r="B180" t="str">
            <v>RJ</v>
          </cell>
          <cell r="C180" t="str">
            <v>204-6</v>
          </cell>
          <cell r="D180" t="str">
            <v>61.10-8-01</v>
          </cell>
          <cell r="E180" t="str">
            <v>CA/RH</v>
          </cell>
          <cell r="F180" t="str">
            <v>OI S/A - EM RECUPERAÇÃO JUDICIAL</v>
          </cell>
          <cell r="G180">
            <v>33901787326</v>
          </cell>
          <cell r="H180" t="str">
            <v>76.535.764/0117-73</v>
          </cell>
          <cell r="I180">
            <v>44061</v>
          </cell>
          <cell r="K180" t="str">
            <v>ATIVA</v>
          </cell>
          <cell r="L180">
            <v>77685022</v>
          </cell>
          <cell r="M180" t="str">
            <v>CENTRALIZADA</v>
          </cell>
          <cell r="P180" t="str">
            <v>1.257.171-2</v>
          </cell>
          <cell r="S180" t="str">
            <v>ATIVA</v>
          </cell>
          <cell r="T180" t="str">
            <v>R GENERAL BRUCE, 905, PARTE D</v>
          </cell>
          <cell r="U180" t="str">
            <v>SÃO CRISTOVÃO</v>
          </cell>
          <cell r="V180" t="str">
            <v>RIO DE JANEIRO</v>
          </cell>
          <cell r="W180" t="str">
            <v>20.921-030</v>
          </cell>
        </row>
        <row r="181">
          <cell r="A181">
            <v>180</v>
          </cell>
          <cell r="B181" t="str">
            <v>RJ</v>
          </cell>
          <cell r="C181" t="str">
            <v>204-6</v>
          </cell>
          <cell r="D181" t="str">
            <v>61.10-8-01</v>
          </cell>
          <cell r="E181" t="str">
            <v>CA</v>
          </cell>
          <cell r="F181" t="str">
            <v>OI S/A - EM RECUPERAÇÃO JUDICIAL</v>
          </cell>
          <cell r="G181">
            <v>33901787296</v>
          </cell>
          <cell r="H181" t="str">
            <v>76.535.764/0112-69</v>
          </cell>
          <cell r="I181">
            <v>44061</v>
          </cell>
          <cell r="K181" t="str">
            <v>ATIVA</v>
          </cell>
          <cell r="L181">
            <v>77685022</v>
          </cell>
          <cell r="M181" t="str">
            <v>CENTRALIZADA</v>
          </cell>
          <cell r="P181">
            <v>10045520</v>
          </cell>
          <cell r="S181" t="str">
            <v>ATIVA</v>
          </cell>
          <cell r="T181" t="str">
            <v>AV TEIXEIRA E SOUZA, 1761, PARTE D</v>
          </cell>
          <cell r="U181" t="str">
            <v>CENTRO</v>
          </cell>
          <cell r="V181" t="str">
            <v>CABO FRIO</v>
          </cell>
          <cell r="W181" t="str">
            <v>28.909-001</v>
          </cell>
        </row>
        <row r="182">
          <cell r="A182">
            <v>181</v>
          </cell>
          <cell r="B182" t="str">
            <v>RJ</v>
          </cell>
          <cell r="C182" t="str">
            <v>204-6</v>
          </cell>
          <cell r="D182" t="str">
            <v>61.10-8-01</v>
          </cell>
          <cell r="E182" t="str">
            <v>RH</v>
          </cell>
          <cell r="F182" t="str">
            <v>OI S/A - EM RECUPERAÇÃO JUDICIAL</v>
          </cell>
          <cell r="G182">
            <v>33901787407</v>
          </cell>
          <cell r="H182" t="str">
            <v>76.535.764/0145-27</v>
          </cell>
          <cell r="I182">
            <v>44061</v>
          </cell>
          <cell r="K182" t="str">
            <v>ATIVA</v>
          </cell>
          <cell r="L182">
            <v>77685022</v>
          </cell>
          <cell r="M182" t="str">
            <v>CENTRALIZADA</v>
          </cell>
          <cell r="P182">
            <v>38569</v>
          </cell>
          <cell r="Q182">
            <v>44266</v>
          </cell>
          <cell r="S182" t="str">
            <v>ATIVA</v>
          </cell>
          <cell r="T182" t="str">
            <v>AV RAUL POMPEIA, 97, SALA 101</v>
          </cell>
          <cell r="U182" t="str">
            <v>CENTRO</v>
          </cell>
          <cell r="V182" t="str">
            <v>ANGRA DOS REIS</v>
          </cell>
          <cell r="W182" t="str">
            <v>23.900-425</v>
          </cell>
        </row>
        <row r="183">
          <cell r="A183">
            <v>182</v>
          </cell>
          <cell r="B183" t="str">
            <v>RJ</v>
          </cell>
          <cell r="C183" t="str">
            <v>204-6</v>
          </cell>
          <cell r="D183" t="str">
            <v>61.10-8-01</v>
          </cell>
          <cell r="E183" t="str">
            <v>RH</v>
          </cell>
          <cell r="F183" t="str">
            <v>OI S/A - EM RECUPERAÇÃO JUDICIAL</v>
          </cell>
          <cell r="G183">
            <v>33901787491</v>
          </cell>
          <cell r="H183" t="str">
            <v>76.535.764/0171-19</v>
          </cell>
          <cell r="I183">
            <v>44061</v>
          </cell>
          <cell r="K183" t="str">
            <v>ATIVA</v>
          </cell>
          <cell r="L183">
            <v>77685022</v>
          </cell>
          <cell r="M183" t="str">
            <v>CENTRALIZADA</v>
          </cell>
          <cell r="P183">
            <v>8000498</v>
          </cell>
          <cell r="Q183">
            <v>44308</v>
          </cell>
          <cell r="S183" t="str">
            <v>ATIVA</v>
          </cell>
          <cell r="T183" t="str">
            <v>AV GETULIO VARGAS, 111, SALA 201</v>
          </cell>
          <cell r="U183" t="str">
            <v>CENTRO</v>
          </cell>
          <cell r="V183" t="str">
            <v>ARARUAMA</v>
          </cell>
          <cell r="W183" t="str">
            <v>28.970-000</v>
          </cell>
        </row>
        <row r="184">
          <cell r="A184">
            <v>183</v>
          </cell>
          <cell r="B184" t="str">
            <v>RJ</v>
          </cell>
          <cell r="C184" t="str">
            <v>204-6</v>
          </cell>
          <cell r="D184" t="str">
            <v>61.10-8-01</v>
          </cell>
          <cell r="E184" t="str">
            <v>RH</v>
          </cell>
          <cell r="F184" t="str">
            <v>OI S/A - EM RECUPERAÇÃO JUDICIAL</v>
          </cell>
          <cell r="G184">
            <v>33901787512</v>
          </cell>
          <cell r="H184" t="str">
            <v>76.535.764/0173-80</v>
          </cell>
          <cell r="I184">
            <v>44061</v>
          </cell>
          <cell r="K184" t="str">
            <v>ATIVA</v>
          </cell>
          <cell r="L184">
            <v>77685022</v>
          </cell>
          <cell r="M184" t="str">
            <v>CENTRALIZADA</v>
          </cell>
          <cell r="P184">
            <v>9007698</v>
          </cell>
          <cell r="S184" t="str">
            <v>ATIVA</v>
          </cell>
          <cell r="T184" t="str">
            <v>R PAULO DE FRONTIN, 99, SALA 215</v>
          </cell>
          <cell r="U184" t="str">
            <v>CENTRO</v>
          </cell>
          <cell r="V184" t="str">
            <v>BARRA DO PIRAI</v>
          </cell>
          <cell r="W184" t="str">
            <v>27.123-120</v>
          </cell>
        </row>
        <row r="185">
          <cell r="A185">
            <v>184</v>
          </cell>
          <cell r="B185" t="str">
            <v>RJ</v>
          </cell>
          <cell r="C185" t="str">
            <v>204-6</v>
          </cell>
          <cell r="D185" t="str">
            <v>61.10-8-01</v>
          </cell>
          <cell r="E185" t="str">
            <v>RH</v>
          </cell>
          <cell r="F185" t="str">
            <v>OI S/A - EM RECUPERAÇÃO JUDICIAL</v>
          </cell>
          <cell r="G185">
            <v>33901787482</v>
          </cell>
          <cell r="H185" t="str">
            <v>76.535.764/0170-38</v>
          </cell>
          <cell r="I185">
            <v>44061</v>
          </cell>
          <cell r="K185" t="str">
            <v>ATIVA</v>
          </cell>
          <cell r="L185">
            <v>77685022</v>
          </cell>
          <cell r="M185" t="str">
            <v>CENTRALIZADA</v>
          </cell>
          <cell r="P185">
            <v>10045519</v>
          </cell>
          <cell r="S185" t="str">
            <v>ATIVA</v>
          </cell>
          <cell r="T185" t="str">
            <v>R RAUL VEIGA, 378, SALA 203</v>
          </cell>
          <cell r="U185" t="str">
            <v>CENTRO</v>
          </cell>
          <cell r="V185" t="str">
            <v>CABO FRIO</v>
          </cell>
          <cell r="W185" t="str">
            <v>28.907-090</v>
          </cell>
        </row>
        <row r="186">
          <cell r="A186">
            <v>185</v>
          </cell>
          <cell r="B186" t="str">
            <v>RJ</v>
          </cell>
          <cell r="C186" t="str">
            <v>204-6</v>
          </cell>
          <cell r="D186" t="str">
            <v>61.10-8-01</v>
          </cell>
          <cell r="E186" t="str">
            <v>RH</v>
          </cell>
          <cell r="F186" t="str">
            <v>OI S/A - EM RECUPERAÇÃO JUDICIAL</v>
          </cell>
          <cell r="G186">
            <v>33901787369</v>
          </cell>
          <cell r="H186" t="str">
            <v>76.535.764/0128-26</v>
          </cell>
          <cell r="I186">
            <v>44061</v>
          </cell>
          <cell r="K186" t="str">
            <v>ATIVA</v>
          </cell>
          <cell r="L186">
            <v>77685022</v>
          </cell>
          <cell r="M186" t="str">
            <v>CENTRALIZADA</v>
          </cell>
          <cell r="P186">
            <v>143959</v>
          </cell>
          <cell r="Q186">
            <v>44986</v>
          </cell>
          <cell r="S186" t="str">
            <v>ATIVA</v>
          </cell>
          <cell r="T186" t="str">
            <v>AV TREZE DE MAIO, 90, SALA 206</v>
          </cell>
          <cell r="U186" t="str">
            <v>CENTRO</v>
          </cell>
          <cell r="V186" t="str">
            <v>CAMPOS DOS GOYTACAZES</v>
          </cell>
          <cell r="W186" t="str">
            <v>28.010-260</v>
          </cell>
        </row>
        <row r="187">
          <cell r="A187">
            <v>186</v>
          </cell>
          <cell r="B187" t="str">
            <v>RJ</v>
          </cell>
          <cell r="C187" t="str">
            <v>204-6</v>
          </cell>
          <cell r="D187" t="str">
            <v>61.10-8-01</v>
          </cell>
          <cell r="E187" t="str">
            <v>RH</v>
          </cell>
          <cell r="F187" t="str">
            <v>OI S/A - EM RECUPERAÇÃO JUDICIAL</v>
          </cell>
          <cell r="G187">
            <v>33901787377</v>
          </cell>
          <cell r="H187" t="str">
            <v>76.535.764/0130-40</v>
          </cell>
          <cell r="I187">
            <v>44061</v>
          </cell>
          <cell r="K187" t="str">
            <v>ATIVA</v>
          </cell>
          <cell r="L187">
            <v>77685022</v>
          </cell>
          <cell r="M187" t="str">
            <v>CENTRALIZADA</v>
          </cell>
          <cell r="P187">
            <v>99135241</v>
          </cell>
          <cell r="S187" t="str">
            <v>ATIVA</v>
          </cell>
          <cell r="T187" t="str">
            <v>R CONDE DE PORTO ALEGRE, 515, SALA 201</v>
          </cell>
          <cell r="U187" t="str">
            <v>JARDIM 25 DE AGOSTO</v>
          </cell>
          <cell r="V187" t="str">
            <v>DUQUE DE CAXIAS</v>
          </cell>
          <cell r="W187" t="str">
            <v>25.070-350</v>
          </cell>
        </row>
        <row r="188">
          <cell r="A188">
            <v>187</v>
          </cell>
          <cell r="B188" t="str">
            <v>RJ</v>
          </cell>
          <cell r="C188" t="str">
            <v>204-6</v>
          </cell>
          <cell r="D188" t="str">
            <v>61.10-8-01</v>
          </cell>
          <cell r="E188" t="str">
            <v>RH</v>
          </cell>
          <cell r="F188" t="str">
            <v>OI S/A - EM RECUPERAÇÃO JUDICIAL</v>
          </cell>
          <cell r="G188">
            <v>33901787610</v>
          </cell>
          <cell r="H188" t="str">
            <v>76.535.764/0185-14</v>
          </cell>
          <cell r="I188">
            <v>44061</v>
          </cell>
          <cell r="K188" t="str">
            <v>ATIVA</v>
          </cell>
          <cell r="L188">
            <v>77685022</v>
          </cell>
          <cell r="M188" t="str">
            <v>CENTRALIZADA</v>
          </cell>
          <cell r="P188" t="str">
            <v>PENDENTE</v>
          </cell>
          <cell r="S188" t="str">
            <v>PENDENTE - AGUARDANDO AVCB PATRIMONIO - PREVISÃO 31/05/2025</v>
          </cell>
          <cell r="T188" t="str">
            <v>R GAL. QUINTINO BOCAIUVA, 194, SALA 101</v>
          </cell>
          <cell r="U188" t="str">
            <v>CENTRO</v>
          </cell>
          <cell r="V188" t="str">
            <v>ITAGUAI</v>
          </cell>
          <cell r="W188" t="str">
            <v>23.815-310</v>
          </cell>
        </row>
        <row r="189">
          <cell r="A189">
            <v>188</v>
          </cell>
          <cell r="B189" t="str">
            <v>RJ</v>
          </cell>
          <cell r="C189" t="str">
            <v>204-6</v>
          </cell>
          <cell r="D189" t="str">
            <v>61.10-8-01</v>
          </cell>
          <cell r="E189" t="str">
            <v>RH</v>
          </cell>
          <cell r="F189" t="str">
            <v>OI S/A - EM RECUPERAÇÃO JUDICIAL</v>
          </cell>
          <cell r="G189">
            <v>33901787431</v>
          </cell>
          <cell r="H189" t="str">
            <v>76.535.764/0153-37</v>
          </cell>
          <cell r="I189">
            <v>44061</v>
          </cell>
          <cell r="K189" t="str">
            <v>ATIVA</v>
          </cell>
          <cell r="L189">
            <v>77685022</v>
          </cell>
          <cell r="M189" t="str">
            <v>CENTRALIZADA</v>
          </cell>
          <cell r="P189">
            <v>19532350</v>
          </cell>
          <cell r="S189" t="str">
            <v>ATIVA</v>
          </cell>
          <cell r="T189" t="str">
            <v>R DEZ DE MAIO, 512, SALA 201</v>
          </cell>
          <cell r="U189" t="str">
            <v>CENTRO</v>
          </cell>
          <cell r="V189" t="str">
            <v>ITAPERUNA</v>
          </cell>
          <cell r="W189" t="str">
            <v>28.300-000</v>
          </cell>
        </row>
        <row r="190">
          <cell r="A190">
            <v>189</v>
          </cell>
          <cell r="B190" t="str">
            <v>RJ</v>
          </cell>
          <cell r="C190" t="str">
            <v>204-6</v>
          </cell>
          <cell r="D190" t="str">
            <v>61.10-8-01</v>
          </cell>
          <cell r="E190" t="str">
            <v>RH</v>
          </cell>
          <cell r="F190" t="str">
            <v>OI S/A - EM RECUPERAÇÃO JUDICIAL</v>
          </cell>
          <cell r="G190">
            <v>33901787571</v>
          </cell>
          <cell r="H190" t="str">
            <v>76.535.764/0181-90</v>
          </cell>
          <cell r="I190">
            <v>44061</v>
          </cell>
          <cell r="K190" t="str">
            <v>ATIVA</v>
          </cell>
          <cell r="L190">
            <v>77685022</v>
          </cell>
          <cell r="M190" t="str">
            <v>CENTRALIZADA</v>
          </cell>
          <cell r="P190">
            <v>10913</v>
          </cell>
          <cell r="Q190">
            <v>44295</v>
          </cell>
          <cell r="S190" t="str">
            <v>ATIVA</v>
          </cell>
          <cell r="T190" t="str">
            <v>R CESARIO DE MELLO, 60, SALA 101</v>
          </cell>
          <cell r="U190" t="str">
            <v>IBICUI</v>
          </cell>
          <cell r="V190" t="str">
            <v>MANGARATIBA</v>
          </cell>
          <cell r="W190" t="str">
            <v>23.860-000</v>
          </cell>
        </row>
        <row r="191">
          <cell r="A191">
            <v>190</v>
          </cell>
          <cell r="B191" t="str">
            <v>RJ</v>
          </cell>
          <cell r="C191" t="str">
            <v>204-6</v>
          </cell>
          <cell r="D191" t="str">
            <v>61.10-8-01</v>
          </cell>
          <cell r="E191" t="str">
            <v>RH</v>
          </cell>
          <cell r="F191" t="str">
            <v>OI S/A - EM RECUPERAÇÃO JUDICIAL</v>
          </cell>
          <cell r="G191">
            <v>33901787458</v>
          </cell>
          <cell r="H191" t="str">
            <v>76.535.764/0164-90</v>
          </cell>
          <cell r="I191">
            <v>44061</v>
          </cell>
          <cell r="K191" t="str">
            <v>ATIVA</v>
          </cell>
          <cell r="L191">
            <v>77685022</v>
          </cell>
          <cell r="M191" t="str">
            <v>CENTRALIZADA</v>
          </cell>
          <cell r="P191" t="str">
            <v>PENDENTE</v>
          </cell>
          <cell r="S191" t="str">
            <v>PENDENTE - AGUARDANDO AVCB PATRIMONIO - PREVISÃO 31/05/2025</v>
          </cell>
          <cell r="T191" t="str">
            <v>R BARAO DE MESQUITA, 4644</v>
          </cell>
          <cell r="U191" t="str">
            <v>CENTRO</v>
          </cell>
          <cell r="V191" t="str">
            <v>MESQUITA</v>
          </cell>
          <cell r="W191" t="str">
            <v>26.553-150</v>
          </cell>
        </row>
        <row r="192">
          <cell r="A192">
            <v>191</v>
          </cell>
          <cell r="B192" t="str">
            <v>RJ</v>
          </cell>
          <cell r="C192" t="str">
            <v>204-6</v>
          </cell>
          <cell r="D192" t="str">
            <v>61.10-8-01</v>
          </cell>
          <cell r="E192" t="str">
            <v>RH</v>
          </cell>
          <cell r="F192" t="str">
            <v>OI S/A - EM RECUPERAÇÃO JUDICIAL</v>
          </cell>
          <cell r="G192">
            <v>33901787385</v>
          </cell>
          <cell r="H192" t="str">
            <v>76.535.764/0134-74</v>
          </cell>
          <cell r="I192">
            <v>44061</v>
          </cell>
          <cell r="K192" t="str">
            <v>ATIVA</v>
          </cell>
          <cell r="L192">
            <v>77685022</v>
          </cell>
          <cell r="M192" t="str">
            <v>CENTRALIZADA</v>
          </cell>
          <cell r="P192">
            <v>3038050</v>
          </cell>
          <cell r="S192" t="str">
            <v>ATIVA</v>
          </cell>
          <cell r="T192" t="str">
            <v>R SAO PEDRO, 128, SALA 501</v>
          </cell>
          <cell r="U192" t="str">
            <v>CENTRO</v>
          </cell>
          <cell r="V192" t="str">
            <v>NITEROI</v>
          </cell>
          <cell r="W192" t="str">
            <v>24.020-055</v>
          </cell>
        </row>
        <row r="193">
          <cell r="A193">
            <v>192</v>
          </cell>
          <cell r="B193" t="str">
            <v>RJ</v>
          </cell>
          <cell r="C193" t="str">
            <v>204-6</v>
          </cell>
          <cell r="D193" t="str">
            <v>61.10-8-01</v>
          </cell>
          <cell r="E193" t="str">
            <v>RH</v>
          </cell>
          <cell r="F193" t="str">
            <v>OI S/A - EM RECUPERAÇÃO JUDICIAL</v>
          </cell>
          <cell r="G193">
            <v>33901787474</v>
          </cell>
          <cell r="H193" t="str">
            <v>76.535.764/0167-32</v>
          </cell>
          <cell r="I193">
            <v>44061</v>
          </cell>
          <cell r="K193" t="str">
            <v>ATIVA</v>
          </cell>
          <cell r="L193">
            <v>77685022</v>
          </cell>
          <cell r="M193" t="str">
            <v>CENTRALIZADA</v>
          </cell>
          <cell r="P193" t="str">
            <v>1024299011–7</v>
          </cell>
          <cell r="S193" t="str">
            <v>ATIVA</v>
          </cell>
          <cell r="T193" t="str">
            <v>AV ALBERTO BRAUNE, 224, SALA 403</v>
          </cell>
          <cell r="U193" t="str">
            <v>CENTRO</v>
          </cell>
          <cell r="V193" t="str">
            <v>NOVA FRIBURGO</v>
          </cell>
          <cell r="W193" t="str">
            <v>28.613-000</v>
          </cell>
        </row>
        <row r="194">
          <cell r="A194">
            <v>193</v>
          </cell>
          <cell r="B194" t="str">
            <v>RJ</v>
          </cell>
          <cell r="C194" t="str">
            <v>204-6</v>
          </cell>
          <cell r="D194" t="str">
            <v>61.10-8-01</v>
          </cell>
          <cell r="E194" t="str">
            <v>RH</v>
          </cell>
          <cell r="F194" t="str">
            <v>OI S/A - EM RECUPERAÇÃO JUDICIAL</v>
          </cell>
          <cell r="G194">
            <v>33901787547</v>
          </cell>
          <cell r="H194" t="str">
            <v>76.535.764/0177-04</v>
          </cell>
          <cell r="I194">
            <v>44061</v>
          </cell>
          <cell r="K194" t="str">
            <v>ATIVA</v>
          </cell>
          <cell r="L194">
            <v>77685022</v>
          </cell>
          <cell r="M194" t="str">
            <v>CENTRALIZADA</v>
          </cell>
          <cell r="P194">
            <v>11166324</v>
          </cell>
          <cell r="Q194">
            <v>44113</v>
          </cell>
          <cell r="S194" t="str">
            <v>ATIVA</v>
          </cell>
          <cell r="T194" t="str">
            <v>PC DOUTOR SA EARP FILHO, 39, SALA 301</v>
          </cell>
          <cell r="U194" t="str">
            <v>CENTRO</v>
          </cell>
          <cell r="V194" t="str">
            <v>PETROPOLIS</v>
          </cell>
          <cell r="W194" t="str">
            <v>25.620-180</v>
          </cell>
        </row>
        <row r="195">
          <cell r="A195">
            <v>194</v>
          </cell>
          <cell r="B195" t="str">
            <v>RJ</v>
          </cell>
          <cell r="C195" t="str">
            <v>204-6</v>
          </cell>
          <cell r="D195" t="str">
            <v>61.10-8-01</v>
          </cell>
          <cell r="E195" t="str">
            <v>RH</v>
          </cell>
          <cell r="F195" t="str">
            <v>OI S/A - EM RECUPERAÇÃO JUDICIAL</v>
          </cell>
          <cell r="G195">
            <v>33901787580</v>
          </cell>
          <cell r="H195" t="str">
            <v>76.535.764/0182-71</v>
          </cell>
          <cell r="I195">
            <v>44061</v>
          </cell>
          <cell r="K195" t="str">
            <v>ATIVA</v>
          </cell>
          <cell r="L195">
            <v>77685022</v>
          </cell>
          <cell r="M195" t="str">
            <v>CENTRALIZADA</v>
          </cell>
          <cell r="P195" t="str">
            <v>1.257.172-0</v>
          </cell>
          <cell r="S195" t="str">
            <v>ATIVA</v>
          </cell>
          <cell r="T195" t="str">
            <v>EST DO PAU FERRO, 00067, SALA 101</v>
          </cell>
          <cell r="U195" t="str">
            <v>PECHINCHA</v>
          </cell>
          <cell r="V195" t="str">
            <v>RIO DE JANEIRO</v>
          </cell>
          <cell r="W195" t="str">
            <v>22.743-050</v>
          </cell>
        </row>
        <row r="196">
          <cell r="A196">
            <v>195</v>
          </cell>
          <cell r="B196" t="str">
            <v>RJ</v>
          </cell>
          <cell r="C196" t="str">
            <v>204-6</v>
          </cell>
          <cell r="D196" t="str">
            <v>61.10-8-01</v>
          </cell>
          <cell r="E196" t="str">
            <v>RH</v>
          </cell>
          <cell r="F196" t="str">
            <v>OI S/A - EM RECUPERAÇÃO JUDICIAL</v>
          </cell>
          <cell r="G196">
            <v>33901787636</v>
          </cell>
          <cell r="H196" t="str">
            <v>76.535.764/0188-67</v>
          </cell>
          <cell r="I196">
            <v>44061</v>
          </cell>
          <cell r="K196" t="str">
            <v>ATIVA</v>
          </cell>
          <cell r="L196">
            <v>77685022</v>
          </cell>
          <cell r="M196" t="str">
            <v>CENTRALIZADA</v>
          </cell>
          <cell r="P196" t="str">
            <v>1.257.176-3</v>
          </cell>
          <cell r="S196" t="str">
            <v>ATIVA</v>
          </cell>
          <cell r="T196" t="str">
            <v>R DOIS DE MAIO, 00353, SALA 101</v>
          </cell>
          <cell r="U196" t="str">
            <v>ENGENHO NOVO</v>
          </cell>
          <cell r="V196" t="str">
            <v>RIO DE JANEIRO</v>
          </cell>
          <cell r="W196" t="str">
            <v>20.961-160</v>
          </cell>
        </row>
        <row r="197">
          <cell r="A197">
            <v>196</v>
          </cell>
          <cell r="B197" t="str">
            <v>RJ</v>
          </cell>
          <cell r="C197" t="str">
            <v>204-6</v>
          </cell>
          <cell r="D197" t="str">
            <v>61.10-8-01</v>
          </cell>
          <cell r="E197" t="str">
            <v>RH</v>
          </cell>
          <cell r="F197" t="str">
            <v>OI S/A - EM RECUPERAÇÃO JUDICIAL</v>
          </cell>
          <cell r="G197">
            <v>33901787563</v>
          </cell>
          <cell r="H197" t="str">
            <v>76.535.764/0180-00</v>
          </cell>
          <cell r="I197">
            <v>44061</v>
          </cell>
          <cell r="K197" t="str">
            <v>ATIVA</v>
          </cell>
          <cell r="L197">
            <v>77685022</v>
          </cell>
          <cell r="M197" t="str">
            <v>CENTRALIZADA</v>
          </cell>
          <cell r="P197" t="str">
            <v>1.257.185-2</v>
          </cell>
          <cell r="S197" t="str">
            <v>ATIVA</v>
          </cell>
          <cell r="T197" t="str">
            <v>AV CESARIO DE MELO, 03040, SALA 301</v>
          </cell>
          <cell r="U197" t="str">
            <v>CAMPO GRANDE</v>
          </cell>
          <cell r="V197" t="str">
            <v>RIO DE JANEIRO</v>
          </cell>
          <cell r="W197" t="str">
            <v>23.050-102</v>
          </cell>
        </row>
        <row r="198">
          <cell r="A198">
            <v>197</v>
          </cell>
          <cell r="B198" t="str">
            <v>RJ</v>
          </cell>
          <cell r="C198" t="str">
            <v>204-6</v>
          </cell>
          <cell r="D198" t="str">
            <v>61.10-8-01</v>
          </cell>
          <cell r="E198" t="str">
            <v>RH</v>
          </cell>
          <cell r="F198" t="str">
            <v>OI S/A - EM RECUPERAÇÃO JUDICIAL</v>
          </cell>
          <cell r="G198">
            <v>33901787300</v>
          </cell>
          <cell r="H198" t="str">
            <v>76.535.764/0113-40</v>
          </cell>
          <cell r="I198">
            <v>44061</v>
          </cell>
          <cell r="K198" t="str">
            <v>ATIVA</v>
          </cell>
          <cell r="L198">
            <v>77685022</v>
          </cell>
          <cell r="M198" t="str">
            <v>CENTRALIZADA</v>
          </cell>
          <cell r="P198" t="str">
            <v>1.257.186-0</v>
          </cell>
          <cell r="S198" t="str">
            <v>ATIVA</v>
          </cell>
          <cell r="T198" t="str">
            <v>R GENERAL CANABARRO, 00215, SALA 301</v>
          </cell>
          <cell r="U198" t="str">
            <v>MARACANA</v>
          </cell>
          <cell r="V198" t="str">
            <v>RIO DE JANEIRO</v>
          </cell>
          <cell r="W198" t="str">
            <v>20.271-202</v>
          </cell>
        </row>
        <row r="199">
          <cell r="A199">
            <v>198</v>
          </cell>
          <cell r="B199" t="str">
            <v>RJ</v>
          </cell>
          <cell r="C199" t="str">
            <v>204-6</v>
          </cell>
          <cell r="D199" t="str">
            <v>61.10-8-01</v>
          </cell>
          <cell r="E199" t="str">
            <v>RH</v>
          </cell>
          <cell r="F199" t="str">
            <v>OI S/A - EM RECUPERAÇÃO JUDICIAL</v>
          </cell>
          <cell r="G199">
            <v>33901787521</v>
          </cell>
          <cell r="H199" t="str">
            <v>76.535.764/0174-61</v>
          </cell>
          <cell r="I199">
            <v>44061</v>
          </cell>
          <cell r="K199" t="str">
            <v>ATIVA</v>
          </cell>
          <cell r="L199">
            <v>77685022</v>
          </cell>
          <cell r="M199" t="str">
            <v>CENTRALIZADA</v>
          </cell>
          <cell r="P199" t="str">
            <v>1.257.195-0</v>
          </cell>
          <cell r="S199" t="str">
            <v>ATIVA</v>
          </cell>
          <cell r="T199" t="str">
            <v>R ZACARIAS DA SILVA, 00132, SALA 301</v>
          </cell>
          <cell r="U199" t="str">
            <v>BARRA DA TIJUCA</v>
          </cell>
          <cell r="V199" t="str">
            <v>RIO DE JANEIRO</v>
          </cell>
          <cell r="W199" t="str">
            <v>22.793-190</v>
          </cell>
        </row>
        <row r="200">
          <cell r="A200">
            <v>199</v>
          </cell>
          <cell r="B200" t="str">
            <v>RJ</v>
          </cell>
          <cell r="C200" t="str">
            <v>204-6</v>
          </cell>
          <cell r="D200" t="str">
            <v>61.10-8-01</v>
          </cell>
          <cell r="E200" t="str">
            <v>RH</v>
          </cell>
          <cell r="F200" t="str">
            <v>OI S/A - EM RECUPERAÇÃO JUDICIAL</v>
          </cell>
          <cell r="G200">
            <v>33901787423</v>
          </cell>
          <cell r="H200" t="str">
            <v>76.535.764/0151-75</v>
          </cell>
          <cell r="I200">
            <v>44061</v>
          </cell>
          <cell r="K200" t="str">
            <v>ATIVA</v>
          </cell>
          <cell r="L200">
            <v>77685022</v>
          </cell>
          <cell r="M200" t="str">
            <v>CENTRALIZADA</v>
          </cell>
          <cell r="P200">
            <v>145803</v>
          </cell>
          <cell r="S200" t="str">
            <v>ATIVA</v>
          </cell>
          <cell r="T200" t="str">
            <v>R JOAO CAETANO, 56, SALA 201</v>
          </cell>
          <cell r="U200" t="str">
            <v>ALCANTARA</v>
          </cell>
          <cell r="V200" t="str">
            <v>SÃO GONÇALO</v>
          </cell>
          <cell r="W200" t="str">
            <v>24.710-405</v>
          </cell>
        </row>
        <row r="201">
          <cell r="A201">
            <v>200</v>
          </cell>
          <cell r="B201" t="str">
            <v>RJ</v>
          </cell>
          <cell r="C201" t="str">
            <v>204-6</v>
          </cell>
          <cell r="D201" t="str">
            <v>61.10-8-01</v>
          </cell>
          <cell r="E201" t="str">
            <v>RH</v>
          </cell>
          <cell r="F201" t="str">
            <v>OI S/A - EM RECUPERAÇÃO JUDICIAL</v>
          </cell>
          <cell r="G201">
            <v>33901787539</v>
          </cell>
          <cell r="H201" t="str">
            <v>76.535.764/0176-23</v>
          </cell>
          <cell r="I201">
            <v>44061</v>
          </cell>
          <cell r="K201" t="str">
            <v>ATIVA</v>
          </cell>
          <cell r="L201">
            <v>77685022</v>
          </cell>
          <cell r="M201" t="str">
            <v>CENTRALIZADA</v>
          </cell>
          <cell r="P201">
            <v>145804</v>
          </cell>
          <cell r="S201" t="str">
            <v>ATIVA</v>
          </cell>
          <cell r="T201" t="str">
            <v>R DOUTOR FRANCISCO PORTELA, 2603, SALA 301</v>
          </cell>
          <cell r="U201" t="str">
            <v>PATRONATO</v>
          </cell>
          <cell r="V201" t="str">
            <v>SÃO GONÇALO</v>
          </cell>
          <cell r="W201" t="str">
            <v>24.435-001</v>
          </cell>
        </row>
        <row r="202">
          <cell r="A202">
            <v>201</v>
          </cell>
          <cell r="B202" t="str">
            <v>RJ</v>
          </cell>
          <cell r="C202" t="str">
            <v>204-6</v>
          </cell>
          <cell r="D202" t="str">
            <v>61.10-8-01</v>
          </cell>
          <cell r="E202" t="str">
            <v>RH</v>
          </cell>
          <cell r="F202" t="str">
            <v>OI S/A - EM RECUPERAÇÃO JUDICIAL</v>
          </cell>
          <cell r="G202">
            <v>33901787555</v>
          </cell>
          <cell r="H202" t="str">
            <v>76.535.764/0179-76</v>
          </cell>
          <cell r="I202">
            <v>44061</v>
          </cell>
          <cell r="K202" t="str">
            <v>ATIVA</v>
          </cell>
          <cell r="L202">
            <v>77685022</v>
          </cell>
          <cell r="M202" t="str">
            <v>CENTRALIZADA</v>
          </cell>
          <cell r="P202">
            <v>56055</v>
          </cell>
          <cell r="S202" t="str">
            <v>ATIVA</v>
          </cell>
          <cell r="T202" t="str">
            <v>AV AUTOMOVEL CLUBE, 2533, SALA 401</v>
          </cell>
          <cell r="U202" t="str">
            <v>VILAR DOS TELES</v>
          </cell>
          <cell r="V202" t="str">
            <v>SAO JOAO DE MERITI</v>
          </cell>
          <cell r="W202" t="str">
            <v>25.561-170</v>
          </cell>
        </row>
        <row r="203">
          <cell r="A203">
            <v>202</v>
          </cell>
          <cell r="B203" t="str">
            <v>RJ</v>
          </cell>
          <cell r="C203" t="str">
            <v>204-6</v>
          </cell>
          <cell r="D203" t="str">
            <v>61.10-8-01</v>
          </cell>
          <cell r="E203" t="str">
            <v>RH</v>
          </cell>
          <cell r="F203" t="str">
            <v>OI S/A - EM RECUPERAÇÃO JUDICIAL</v>
          </cell>
          <cell r="G203">
            <v>33901787628</v>
          </cell>
          <cell r="H203" t="str">
            <v>76.535.764/0186-03</v>
          </cell>
          <cell r="I203">
            <v>44061</v>
          </cell>
          <cell r="K203" t="str">
            <v>ATIVA</v>
          </cell>
          <cell r="L203">
            <v>77685022</v>
          </cell>
          <cell r="M203" t="str">
            <v>CENTRALIZADA</v>
          </cell>
          <cell r="P203">
            <v>56056</v>
          </cell>
          <cell r="S203" t="str">
            <v>ATIVA</v>
          </cell>
          <cell r="T203" t="str">
            <v>AV GETULIO DE MOURA, 191, SALA 201</v>
          </cell>
          <cell r="U203" t="str">
            <v>CENTRO</v>
          </cell>
          <cell r="V203" t="str">
            <v>SAO JOAO DE MERITI</v>
          </cell>
          <cell r="W203" t="str">
            <v>25.520-661</v>
          </cell>
        </row>
        <row r="204">
          <cell r="A204">
            <v>203</v>
          </cell>
          <cell r="B204" t="str">
            <v>RJ</v>
          </cell>
          <cell r="C204" t="str">
            <v>204-6</v>
          </cell>
          <cell r="D204" t="str">
            <v>61.10-8-01</v>
          </cell>
          <cell r="E204" t="str">
            <v>RH</v>
          </cell>
          <cell r="F204" t="str">
            <v>OI S/A - EM RECUPERAÇÃO JUDICIAL</v>
          </cell>
          <cell r="G204">
            <v>33901787466</v>
          </cell>
          <cell r="H204" t="str">
            <v>76.535.764/0165-70</v>
          </cell>
          <cell r="I204">
            <v>44061</v>
          </cell>
          <cell r="K204" t="str">
            <v>ATIVA</v>
          </cell>
          <cell r="L204">
            <v>77685022</v>
          </cell>
          <cell r="M204" t="str">
            <v>CENTRALIZADA</v>
          </cell>
          <cell r="P204">
            <v>80032545</v>
          </cell>
          <cell r="Q204">
            <v>44061</v>
          </cell>
          <cell r="S204" t="str">
            <v>ATIVA</v>
          </cell>
          <cell r="T204" t="str">
            <v>AV OLIVEIRA BOTELHO, 73, SALA 204</v>
          </cell>
          <cell r="U204" t="str">
            <v>ALTO</v>
          </cell>
          <cell r="V204" t="str">
            <v>TERESOPOLIS</v>
          </cell>
          <cell r="W204" t="str">
            <v>25.961-143</v>
          </cell>
        </row>
        <row r="205">
          <cell r="A205">
            <v>204</v>
          </cell>
          <cell r="B205" t="str">
            <v>RJ</v>
          </cell>
          <cell r="C205" t="str">
            <v>204-6</v>
          </cell>
          <cell r="D205" t="str">
            <v>61.10-8-01</v>
          </cell>
          <cell r="E205" t="str">
            <v>RH</v>
          </cell>
          <cell r="F205" t="str">
            <v>OI S/A - EM RECUPERAÇÃO JUDICIAL</v>
          </cell>
          <cell r="G205">
            <v>33901787440</v>
          </cell>
          <cell r="H205" t="str">
            <v>76.535.764/0159-22</v>
          </cell>
          <cell r="I205">
            <v>44061</v>
          </cell>
          <cell r="K205" t="str">
            <v>ATIVA</v>
          </cell>
          <cell r="L205">
            <v>77685022</v>
          </cell>
          <cell r="M205" t="str">
            <v>CENTRALIZADA</v>
          </cell>
          <cell r="P205">
            <v>80032414</v>
          </cell>
          <cell r="Q205">
            <v>44061</v>
          </cell>
          <cell r="S205" t="str">
            <v>ATIVA</v>
          </cell>
          <cell r="T205" t="str">
            <v>AV ALMIRANTE LUCIO MEIRA, 77, SALA 304</v>
          </cell>
          <cell r="U205" t="str">
            <v>VARZEA</v>
          </cell>
          <cell r="V205" t="str">
            <v>TERESOPOLIS</v>
          </cell>
          <cell r="W205" t="str">
            <v>25.953-000</v>
          </cell>
        </row>
        <row r="206">
          <cell r="A206">
            <v>205</v>
          </cell>
          <cell r="B206" t="str">
            <v>RJ</v>
          </cell>
          <cell r="C206" t="str">
            <v>204-6</v>
          </cell>
          <cell r="D206" t="str">
            <v>61.10-8-01</v>
          </cell>
          <cell r="E206" t="str">
            <v>RH</v>
          </cell>
          <cell r="F206" t="str">
            <v>OI S/A - EM RECUPERAÇÃO JUDICIAL</v>
          </cell>
          <cell r="G206">
            <v>33901787415</v>
          </cell>
          <cell r="H206" t="str">
            <v>76.535.764/0146-08</v>
          </cell>
          <cell r="I206">
            <v>44061</v>
          </cell>
          <cell r="K206" t="str">
            <v>ATIVA</v>
          </cell>
          <cell r="L206">
            <v>77685022</v>
          </cell>
          <cell r="M206" t="str">
            <v>CENTRALIZADA</v>
          </cell>
          <cell r="P206">
            <v>101021541</v>
          </cell>
          <cell r="Q206">
            <v>44252</v>
          </cell>
          <cell r="S206" t="str">
            <v>ATIVA</v>
          </cell>
          <cell r="T206" t="str">
            <v>R BARAO DO RIO BRANCO, 284, SALA 295</v>
          </cell>
          <cell r="U206" t="str">
            <v>CENTRO</v>
          </cell>
          <cell r="V206" t="str">
            <v>TRES RIOS</v>
          </cell>
          <cell r="W206" t="str">
            <v>25.804-010</v>
          </cell>
        </row>
        <row r="207">
          <cell r="A207">
            <v>206</v>
          </cell>
          <cell r="B207" t="str">
            <v>RJ</v>
          </cell>
          <cell r="C207" t="str">
            <v>204-6</v>
          </cell>
          <cell r="D207" t="str">
            <v>61.10-8-01</v>
          </cell>
          <cell r="E207" t="str">
            <v>RH</v>
          </cell>
          <cell r="F207" t="str">
            <v>OI S/A - EM RECUPERAÇÃO JUDICIAL</v>
          </cell>
          <cell r="G207">
            <v>33901787598</v>
          </cell>
          <cell r="H207" t="str">
            <v>76.535.764/0183-52</v>
          </cell>
          <cell r="I207">
            <v>44061</v>
          </cell>
          <cell r="K207" t="str">
            <v>ATIVA</v>
          </cell>
          <cell r="L207">
            <v>77685022</v>
          </cell>
          <cell r="M207" t="str">
            <v>CENTRALIZADA</v>
          </cell>
          <cell r="P207" t="str">
            <v xml:space="preserve">073.794/00–7 </v>
          </cell>
          <cell r="Q207">
            <v>44452</v>
          </cell>
          <cell r="S207" t="str">
            <v>ATIVA</v>
          </cell>
          <cell r="T207" t="str">
            <v>R 33, 36</v>
          </cell>
          <cell r="U207" t="str">
            <v>VILA SANTA CECILIA</v>
          </cell>
          <cell r="V207" t="str">
            <v>VOLTA REDONDA</v>
          </cell>
          <cell r="W207" t="str">
            <v>27.260-010</v>
          </cell>
        </row>
        <row r="208">
          <cell r="A208">
            <v>207</v>
          </cell>
          <cell r="B208" t="str">
            <v>RN</v>
          </cell>
          <cell r="C208" t="str">
            <v>204-6</v>
          </cell>
          <cell r="D208" t="str">
            <v>61.10-8-01</v>
          </cell>
          <cell r="E208" t="str">
            <v>CA</v>
          </cell>
          <cell r="F208" t="str">
            <v>OI S/A - EM RECUPERAÇÃO JUDICIAL</v>
          </cell>
          <cell r="G208">
            <v>24900444169</v>
          </cell>
          <cell r="H208" t="str">
            <v>76.535.764/0263-71</v>
          </cell>
          <cell r="I208">
            <v>44061</v>
          </cell>
          <cell r="K208" t="str">
            <v>ATIVA</v>
          </cell>
          <cell r="L208" t="str">
            <v>20.550.812-0</v>
          </cell>
          <cell r="M208">
            <v>44061</v>
          </cell>
          <cell r="O208" t="str">
            <v>ATIVA</v>
          </cell>
          <cell r="P208" t="str">
            <v>220.996-2</v>
          </cell>
          <cell r="S208" t="str">
            <v>ATIVA</v>
          </cell>
          <cell r="T208" t="str">
            <v>R MORAIS NAVARRO, 2030, TERREO PARTE D</v>
          </cell>
          <cell r="U208" t="str">
            <v>LAGOA NOVA</v>
          </cell>
          <cell r="V208" t="str">
            <v>NATAL</v>
          </cell>
          <cell r="W208" t="str">
            <v>59.075-770</v>
          </cell>
        </row>
        <row r="209">
          <cell r="A209">
            <v>208</v>
          </cell>
          <cell r="B209" t="str">
            <v>RN</v>
          </cell>
          <cell r="C209" t="str">
            <v>204-6</v>
          </cell>
          <cell r="D209" t="str">
            <v>61.10-8-01</v>
          </cell>
          <cell r="E209" t="str">
            <v>RH</v>
          </cell>
          <cell r="F209" t="str">
            <v>OI S/A - EM RECUPERAÇÃO JUDICIAL</v>
          </cell>
          <cell r="G209">
            <v>24900444142</v>
          </cell>
          <cell r="H209" t="str">
            <v>76.535.764/0261-00</v>
          </cell>
          <cell r="I209">
            <v>44061</v>
          </cell>
          <cell r="K209" t="str">
            <v>ATIVA</v>
          </cell>
          <cell r="L209" t="str">
            <v>20.550.810-3</v>
          </cell>
          <cell r="M209">
            <v>44061</v>
          </cell>
          <cell r="O209" t="str">
            <v>ATIVA</v>
          </cell>
          <cell r="P209" t="str">
            <v>007132-3</v>
          </cell>
          <cell r="Q209">
            <v>44090</v>
          </cell>
          <cell r="S209" t="str">
            <v>ATIVA</v>
          </cell>
          <cell r="T209" t="str">
            <v>R RUA PROF GONZAGA GALVAO, 40, EDIF PARTE A</v>
          </cell>
          <cell r="U209" t="str">
            <v>CENTRO</v>
          </cell>
          <cell r="V209" t="str">
            <v>CURRAIS NOVOS</v>
          </cell>
          <cell r="W209" t="str">
            <v>59.380-000</v>
          </cell>
        </row>
        <row r="210">
          <cell r="A210">
            <v>209</v>
          </cell>
          <cell r="B210" t="str">
            <v>RN</v>
          </cell>
          <cell r="C210" t="str">
            <v>204-6</v>
          </cell>
          <cell r="D210" t="str">
            <v>61.10-8-01</v>
          </cell>
          <cell r="E210" t="str">
            <v>RH</v>
          </cell>
          <cell r="F210" t="str">
            <v>OI S/A - EM RECUPERAÇÃO JUDICIAL</v>
          </cell>
          <cell r="G210">
            <v>24900444151</v>
          </cell>
          <cell r="H210" t="str">
            <v>76.535.764/0262-90</v>
          </cell>
          <cell r="I210">
            <v>44061</v>
          </cell>
          <cell r="K210" t="str">
            <v>ATIVA</v>
          </cell>
          <cell r="L210" t="str">
            <v>20.550.811-1</v>
          </cell>
          <cell r="M210">
            <v>44061</v>
          </cell>
          <cell r="O210" t="str">
            <v>ATIVA</v>
          </cell>
          <cell r="P210">
            <v>11158</v>
          </cell>
          <cell r="S210" t="str">
            <v>ATIVA</v>
          </cell>
          <cell r="T210" t="str">
            <v>AV DIX-SEPT ROSADO, 56, ANDAR 3. ANDAR SALA 01</v>
          </cell>
          <cell r="U210" t="str">
            <v>CENTRO</v>
          </cell>
          <cell r="V210" t="str">
            <v>MOSSORO</v>
          </cell>
          <cell r="W210" t="str">
            <v>59.600-050</v>
          </cell>
        </row>
        <row r="211">
          <cell r="A211">
            <v>210</v>
          </cell>
          <cell r="B211" t="str">
            <v>RR</v>
          </cell>
          <cell r="C211" t="str">
            <v>204-6</v>
          </cell>
          <cell r="D211" t="str">
            <v>61.10-8-01</v>
          </cell>
          <cell r="E211" t="str">
            <v>CA</v>
          </cell>
          <cell r="F211" t="str">
            <v>OI S/A - EM RECUPERAÇÃO JUDICIAL</v>
          </cell>
          <cell r="G211">
            <v>14920001051</v>
          </cell>
          <cell r="H211" t="str">
            <v>76.535.764/0264-52</v>
          </cell>
          <cell r="I211">
            <v>44061</v>
          </cell>
          <cell r="K211" t="str">
            <v>ATIVA</v>
          </cell>
          <cell r="L211" t="str">
            <v>24.040079-3</v>
          </cell>
          <cell r="M211">
            <v>44089</v>
          </cell>
          <cell r="O211" t="str">
            <v>ATIVA</v>
          </cell>
          <cell r="P211" t="str">
            <v>973981.5</v>
          </cell>
          <cell r="S211" t="str">
            <v>ATIVA</v>
          </cell>
          <cell r="T211" t="str">
            <v>R LEONCIO BARBOSA, 1451, PARTE D</v>
          </cell>
          <cell r="U211" t="str">
            <v>TANCREDO NEVES</v>
          </cell>
          <cell r="V211" t="str">
            <v>BOA VISTA</v>
          </cell>
          <cell r="W211" t="str">
            <v>69.313-508</v>
          </cell>
        </row>
        <row r="212">
          <cell r="A212">
            <v>211</v>
          </cell>
          <cell r="B212" t="str">
            <v>RS</v>
          </cell>
          <cell r="C212" t="str">
            <v>204-6</v>
          </cell>
          <cell r="D212" t="str">
            <v>61.10-8-01</v>
          </cell>
          <cell r="E212" t="str">
            <v>CA</v>
          </cell>
          <cell r="F212" t="str">
            <v>OI S/A - EM RECUPERAÇÃO JUDICIAL</v>
          </cell>
          <cell r="G212">
            <v>43920014157</v>
          </cell>
          <cell r="H212" t="str">
            <v>76.535.764/0266-14</v>
          </cell>
          <cell r="I212">
            <v>44061</v>
          </cell>
          <cell r="K212" t="str">
            <v>ATIVA</v>
          </cell>
          <cell r="L212" t="str">
            <v>CENTRALIZADA</v>
          </cell>
          <cell r="O212" t="str">
            <v>ATIVA</v>
          </cell>
          <cell r="P212">
            <v>1008913</v>
          </cell>
          <cell r="Q212">
            <v>44288</v>
          </cell>
          <cell r="S212" t="str">
            <v>ATIVA</v>
          </cell>
          <cell r="T212" t="str">
            <v>R JANUARIO COELHO DA COSTA, 110</v>
          </cell>
          <cell r="U212" t="str">
            <v>FRAGATA</v>
          </cell>
          <cell r="V212" t="str">
            <v>PELOTAS</v>
          </cell>
          <cell r="W212" t="str">
            <v>96.040-730</v>
          </cell>
        </row>
        <row r="213">
          <cell r="A213">
            <v>212</v>
          </cell>
          <cell r="B213" t="str">
            <v>RS</v>
          </cell>
          <cell r="C213" t="str">
            <v>204-6</v>
          </cell>
          <cell r="D213" t="str">
            <v>61.10-8-01</v>
          </cell>
          <cell r="E213" t="str">
            <v>CA</v>
          </cell>
          <cell r="F213" t="str">
            <v>OI S/A - EM RECUPERAÇÃO JUDICIAL</v>
          </cell>
          <cell r="G213">
            <v>43920014149</v>
          </cell>
          <cell r="H213" t="str">
            <v>76.535.764/0265-33</v>
          </cell>
          <cell r="I213">
            <v>44061</v>
          </cell>
          <cell r="K213" t="str">
            <v>ATIVA</v>
          </cell>
          <cell r="L213" t="str">
            <v>CENTRALIZADA</v>
          </cell>
          <cell r="O213" t="str">
            <v>ATIVA</v>
          </cell>
          <cell r="P213">
            <v>413657</v>
          </cell>
          <cell r="Q213">
            <v>44112</v>
          </cell>
          <cell r="S213" t="str">
            <v>ATIVA</v>
          </cell>
          <cell r="T213" t="str">
            <v>AV PAUL HARRIS, 943, GALPAOPARTE 6</v>
          </cell>
          <cell r="U213" t="str">
            <v>ANA NERY</v>
          </cell>
          <cell r="V213" t="str">
            <v>SANTA CRUZ DO SUL</v>
          </cell>
          <cell r="W213" t="str">
            <v>96.840-075</v>
          </cell>
        </row>
        <row r="214">
          <cell r="A214">
            <v>213</v>
          </cell>
          <cell r="B214" t="str">
            <v>SC</v>
          </cell>
          <cell r="C214" t="str">
            <v>204-6</v>
          </cell>
          <cell r="D214" t="str">
            <v>61.10-8-01</v>
          </cell>
          <cell r="E214" t="str">
            <v>CA</v>
          </cell>
          <cell r="F214" t="str">
            <v>OI S/A - EM RECUPERAÇÃO JUDICIAL</v>
          </cell>
          <cell r="G214">
            <v>42902034825</v>
          </cell>
          <cell r="H214" t="str">
            <v>76.535.764/0268-86</v>
          </cell>
          <cell r="I214">
            <v>44061</v>
          </cell>
          <cell r="K214" t="str">
            <v>ATIVA</v>
          </cell>
          <cell r="L214" t="str">
            <v>CENTRALIZADA</v>
          </cell>
          <cell r="P214">
            <v>142217</v>
          </cell>
          <cell r="Q214">
            <v>44173</v>
          </cell>
          <cell r="S214" t="str">
            <v>ATIVA</v>
          </cell>
          <cell r="T214" t="str">
            <v>R ALWIN RUTZEN, 130, GALPAO PARTE D</v>
          </cell>
          <cell r="U214" t="str">
            <v>ITOUPAVAZINHA</v>
          </cell>
          <cell r="V214" t="str">
            <v>BLUMENAU</v>
          </cell>
          <cell r="W214" t="str">
            <v>89.066-345</v>
          </cell>
        </row>
        <row r="215">
          <cell r="A215">
            <v>214</v>
          </cell>
          <cell r="B215" t="str">
            <v>SC</v>
          </cell>
          <cell r="C215" t="str">
            <v>204-6</v>
          </cell>
          <cell r="D215" t="str">
            <v>61.10-8-01</v>
          </cell>
          <cell r="E215" t="str">
            <v>CA</v>
          </cell>
          <cell r="F215" t="str">
            <v>OI S/A - EM RECUPERAÇÃO JUDICIAL</v>
          </cell>
          <cell r="G215">
            <v>42902034817</v>
          </cell>
          <cell r="H215" t="str">
            <v>76.535.764/0267-03</v>
          </cell>
          <cell r="I215">
            <v>44061</v>
          </cell>
          <cell r="K215" t="str">
            <v>ATIVA</v>
          </cell>
          <cell r="L215" t="str">
            <v>CENTRALIZADA</v>
          </cell>
          <cell r="P215">
            <v>65017</v>
          </cell>
          <cell r="Q215">
            <v>44061</v>
          </cell>
          <cell r="S215" t="str">
            <v>ATIVA</v>
          </cell>
          <cell r="T215" t="str">
            <v>AV LEOPOLDO SANDER, 3911-E, SALA 01</v>
          </cell>
          <cell r="U215" t="str">
            <v>ENGENHO BRAUN</v>
          </cell>
          <cell r="V215" t="str">
            <v>CHAPECO</v>
          </cell>
          <cell r="W215" t="str">
            <v>89.809-300</v>
          </cell>
        </row>
        <row r="216">
          <cell r="A216">
            <v>215</v>
          </cell>
          <cell r="B216" t="str">
            <v>SE</v>
          </cell>
          <cell r="C216" t="str">
            <v>204-6</v>
          </cell>
          <cell r="D216" t="str">
            <v>61.10-8-01</v>
          </cell>
          <cell r="E216" t="str">
            <v>CA</v>
          </cell>
          <cell r="F216" t="str">
            <v>OI S/A - EM RECUPERAÇÃO JUDICIAL</v>
          </cell>
          <cell r="G216">
            <v>28900292079</v>
          </cell>
          <cell r="H216" t="str">
            <v>76.535.764/0269-67</v>
          </cell>
          <cell r="I216">
            <v>44061</v>
          </cell>
          <cell r="K216" t="str">
            <v>ATIVA</v>
          </cell>
          <cell r="L216" t="str">
            <v>CENTRALIZADA</v>
          </cell>
          <cell r="M216">
            <v>44057</v>
          </cell>
          <cell r="N216">
            <v>44175</v>
          </cell>
          <cell r="O216" t="str">
            <v>ATIVA</v>
          </cell>
          <cell r="P216" t="str">
            <v xml:space="preserve">126153-7 </v>
          </cell>
          <cell r="S216" t="str">
            <v>ATIVA</v>
          </cell>
          <cell r="T216" t="str">
            <v>R DR ARICIO GUIMARAES FORTES, 461, BLOCO B</v>
          </cell>
          <cell r="U216" t="str">
            <v>ATALAIA</v>
          </cell>
          <cell r="V216" t="str">
            <v>ARACAJU</v>
          </cell>
          <cell r="W216" t="str">
            <v>49.037-060</v>
          </cell>
        </row>
        <row r="217">
          <cell r="A217">
            <v>216</v>
          </cell>
          <cell r="B217" t="str">
            <v>SP</v>
          </cell>
          <cell r="C217" t="str">
            <v>204-6</v>
          </cell>
          <cell r="D217" t="str">
            <v>61.10-8-01</v>
          </cell>
          <cell r="E217" t="str">
            <v>CD</v>
          </cell>
          <cell r="F217" t="str">
            <v>OI S/A - EM RECUPERAÇÃO JUDICIAL</v>
          </cell>
          <cell r="G217">
            <v>35920062121</v>
          </cell>
          <cell r="H217" t="str">
            <v>76.535.764/0270-09</v>
          </cell>
          <cell r="I217">
            <v>44061</v>
          </cell>
          <cell r="K217" t="str">
            <v>ATIVA</v>
          </cell>
          <cell r="L217" t="str">
            <v>CENTRALIZADA</v>
          </cell>
          <cell r="P217" t="str">
            <v>6.676.197-2</v>
          </cell>
          <cell r="S217" t="str">
            <v>ATIVA</v>
          </cell>
          <cell r="T217" t="str">
            <v>R RICARDO CAVATTON,166 LOTE C TERREOTERREO PARTE</v>
          </cell>
          <cell r="U217" t="str">
            <v>LAPA DE BAIXO</v>
          </cell>
          <cell r="V217" t="str">
            <v>SÃO PAULO</v>
          </cell>
          <cell r="W217" t="str">
            <v>05.038-110</v>
          </cell>
        </row>
        <row r="218">
          <cell r="A218">
            <v>217</v>
          </cell>
          <cell r="B218" t="str">
            <v>AM</v>
          </cell>
          <cell r="C218" t="str">
            <v>204-6</v>
          </cell>
          <cell r="D218" t="str">
            <v>61.10-8-01</v>
          </cell>
          <cell r="E218" t="str">
            <v>RH</v>
          </cell>
          <cell r="F218" t="str">
            <v>OI S/A - EM RECUPERAÇÃO JUDICIAL</v>
          </cell>
          <cell r="G218">
            <v>13920003487</v>
          </cell>
          <cell r="H218" t="str">
            <v>76.535.764/0196-77</v>
          </cell>
          <cell r="I218">
            <v>44061</v>
          </cell>
          <cell r="K218" t="str">
            <v>ATIVA</v>
          </cell>
          <cell r="L218" t="str">
            <v>CENTRALIZADA</v>
          </cell>
          <cell r="M218" t="str">
            <v>CENTRALIZADA</v>
          </cell>
          <cell r="O218" t="str">
            <v>ATIVA</v>
          </cell>
          <cell r="P218">
            <v>3145</v>
          </cell>
          <cell r="S218" t="str">
            <v>ATIVA</v>
          </cell>
          <cell r="T218" t="str">
            <v>AV AMAZONAS, 2641, PARTE A</v>
          </cell>
          <cell r="U218" t="str">
            <v>CENTRO</v>
          </cell>
          <cell r="V218" t="str">
            <v>BOCA DO ACRE</v>
          </cell>
          <cell r="W218" t="str">
            <v>69.850-000</v>
          </cell>
        </row>
        <row r="219">
          <cell r="A219">
            <v>218</v>
          </cell>
          <cell r="B219" t="str">
            <v>BA</v>
          </cell>
          <cell r="C219" t="str">
            <v>204-6</v>
          </cell>
          <cell r="D219" t="str">
            <v>61.10-8-01</v>
          </cell>
          <cell r="E219" t="str">
            <v>RH</v>
          </cell>
          <cell r="F219" t="str">
            <v>OI S/A - EM RECUPERAÇÃO JUDICIAL</v>
          </cell>
          <cell r="G219">
            <v>29902012309</v>
          </cell>
          <cell r="H219" t="str">
            <v>76.535.764/0209-26</v>
          </cell>
          <cell r="I219">
            <v>44061</v>
          </cell>
          <cell r="K219" t="str">
            <v>ATIVA</v>
          </cell>
          <cell r="L219">
            <v>170211622</v>
          </cell>
          <cell r="M219">
            <v>44061</v>
          </cell>
          <cell r="N219">
            <v>44103</v>
          </cell>
          <cell r="O219" t="str">
            <v>BAIXADA</v>
          </cell>
          <cell r="P219">
            <v>937454</v>
          </cell>
          <cell r="Q219">
            <v>44320</v>
          </cell>
          <cell r="S219" t="str">
            <v>ATIVA</v>
          </cell>
          <cell r="T219" t="str">
            <v>R PEDRO CELESTINO BASTOS, S/N, SALA A</v>
          </cell>
          <cell r="U219" t="str">
            <v>CENTRO</v>
          </cell>
          <cell r="V219" t="str">
            <v>ALAGOINHAS</v>
          </cell>
          <cell r="W219" t="str">
            <v>48.010-970</v>
          </cell>
        </row>
        <row r="220">
          <cell r="A220">
            <v>219</v>
          </cell>
          <cell r="B220" t="str">
            <v>BA</v>
          </cell>
          <cell r="C220" t="str">
            <v>204-6</v>
          </cell>
          <cell r="D220" t="str">
            <v>61.10-8-01</v>
          </cell>
          <cell r="E220" t="str">
            <v>RH</v>
          </cell>
          <cell r="F220" t="str">
            <v>OI S/A - EM RECUPERAÇÃO JUDICIAL</v>
          </cell>
          <cell r="G220">
            <v>29902012333</v>
          </cell>
          <cell r="H220" t="str">
            <v>76.535.764/0214-93</v>
          </cell>
          <cell r="I220">
            <v>44061</v>
          </cell>
          <cell r="K220" t="str">
            <v>ATIVA</v>
          </cell>
          <cell r="L220">
            <v>170211957</v>
          </cell>
          <cell r="M220">
            <v>44061</v>
          </cell>
          <cell r="N220">
            <v>44103</v>
          </cell>
          <cell r="O220" t="str">
            <v>BAIXADA</v>
          </cell>
          <cell r="P220" t="str">
            <v>PENDENTE</v>
          </cell>
          <cell r="S220" t="str">
            <v>PENDENTE</v>
          </cell>
          <cell r="T220" t="str">
            <v>R ARTUR DINIZ VELOSO, 200, SALA A</v>
          </cell>
          <cell r="U220" t="str">
            <v>ESTAÇÃO</v>
          </cell>
          <cell r="V220" t="str">
            <v>JACOBINA</v>
          </cell>
          <cell r="W220" t="str">
            <v>44.700-000</v>
          </cell>
        </row>
        <row r="221">
          <cell r="A221">
            <v>220</v>
          </cell>
          <cell r="B221" t="str">
            <v>BA</v>
          </cell>
          <cell r="C221" t="str">
            <v>204-6</v>
          </cell>
          <cell r="D221" t="str">
            <v>61.10-8-01</v>
          </cell>
          <cell r="E221" t="str">
            <v>RH</v>
          </cell>
          <cell r="F221" t="str">
            <v>OI S/A - EM RECUPERAÇÃO JUDICIAL</v>
          </cell>
          <cell r="G221">
            <v>29902012325</v>
          </cell>
          <cell r="H221" t="str">
            <v>76.535.764/0213-02</v>
          </cell>
          <cell r="I221">
            <v>44061</v>
          </cell>
          <cell r="K221" t="str">
            <v>ATIVA</v>
          </cell>
          <cell r="L221">
            <v>170211849</v>
          </cell>
          <cell r="M221">
            <v>44061</v>
          </cell>
          <cell r="N221">
            <v>44103</v>
          </cell>
          <cell r="O221" t="str">
            <v>BAIXADA</v>
          </cell>
          <cell r="P221" t="str">
            <v>010.208/708-03</v>
          </cell>
          <cell r="Q221">
            <v>44361</v>
          </cell>
          <cell r="S221" t="str">
            <v>ATIVA</v>
          </cell>
          <cell r="T221" t="str">
            <v>TV DEPUTADO ADAO DE SOUZA, S/N, SALA A</v>
          </cell>
          <cell r="U221" t="str">
            <v>CENTRO</v>
          </cell>
          <cell r="V221" t="str">
            <v>SANTA MARIA DA VITORIA</v>
          </cell>
          <cell r="W221" t="str">
            <v>47.640-000</v>
          </cell>
        </row>
        <row r="222">
          <cell r="A222">
            <v>221</v>
          </cell>
          <cell r="B222" t="str">
            <v>MA</v>
          </cell>
          <cell r="C222" t="str">
            <v>204-6</v>
          </cell>
          <cell r="D222" t="str">
            <v>61.10-8-01</v>
          </cell>
          <cell r="E222" t="str">
            <v>RH</v>
          </cell>
          <cell r="F222" t="str">
            <v>OI S/A - EM RECUPERAÇÃO JUDICIAL</v>
          </cell>
          <cell r="G222">
            <v>21900585843</v>
          </cell>
          <cell r="H222" t="str">
            <v>76.535.764/0233-56</v>
          </cell>
          <cell r="I222">
            <v>44061</v>
          </cell>
          <cell r="K222" t="str">
            <v>ATIVA</v>
          </cell>
          <cell r="L222" t="str">
            <v>CENTRALIZADA</v>
          </cell>
          <cell r="M222">
            <v>44061</v>
          </cell>
          <cell r="O222" t="str">
            <v>ATIVA</v>
          </cell>
          <cell r="P222" t="str">
            <v>PENDENTE</v>
          </cell>
          <cell r="S222" t="str">
            <v>PENDENTE</v>
          </cell>
          <cell r="T222" t="str">
            <v>R BENEDITO LEITE, 925</v>
          </cell>
          <cell r="U222" t="str">
            <v>CENTRO</v>
          </cell>
          <cell r="V222" t="str">
            <v>CAXIAS</v>
          </cell>
          <cell r="W222" t="str">
            <v>65.604-020</v>
          </cell>
        </row>
        <row r="223">
          <cell r="A223">
            <v>222</v>
          </cell>
          <cell r="B223" t="str">
            <v>MA</v>
          </cell>
          <cell r="C223" t="str">
            <v>204-6</v>
          </cell>
          <cell r="D223" t="str">
            <v>61.10-8-01</v>
          </cell>
          <cell r="E223" t="str">
            <v>RH</v>
          </cell>
          <cell r="F223" t="str">
            <v>OI S/A - EM RECUPERAÇÃO JUDICIAL</v>
          </cell>
          <cell r="G223">
            <v>21900585851</v>
          </cell>
          <cell r="H223" t="str">
            <v>76.535.764/0234-37</v>
          </cell>
          <cell r="I223">
            <v>44061</v>
          </cell>
          <cell r="K223" t="str">
            <v>ATIVA</v>
          </cell>
          <cell r="L223" t="str">
            <v>CENTRALIZADA</v>
          </cell>
          <cell r="M223">
            <v>44061</v>
          </cell>
          <cell r="O223" t="str">
            <v>ATIVA</v>
          </cell>
          <cell r="P223" t="str">
            <v>3230-0</v>
          </cell>
          <cell r="Q223" t="str">
            <v>-</v>
          </cell>
          <cell r="S223" t="str">
            <v>ATIVA</v>
          </cell>
          <cell r="T223" t="str">
            <v>R CUNHA MACHADO, SN, LOTE 66</v>
          </cell>
          <cell r="U223" t="str">
            <v>CENTRO</v>
          </cell>
          <cell r="V223" t="str">
            <v>CHAPADINHA</v>
          </cell>
          <cell r="W223" t="str">
            <v>65.500-000</v>
          </cell>
        </row>
        <row r="224">
          <cell r="A224">
            <v>223</v>
          </cell>
          <cell r="B224" t="str">
            <v>MG</v>
          </cell>
          <cell r="C224" t="str">
            <v>204-6</v>
          </cell>
          <cell r="D224" t="str">
            <v>61.10-8-01</v>
          </cell>
          <cell r="E224" t="str">
            <v>RH</v>
          </cell>
          <cell r="F224" t="str">
            <v>OI S/A - EM RECUPERAÇÃO JUDICIAL</v>
          </cell>
          <cell r="G224">
            <v>31920017466</v>
          </cell>
          <cell r="H224" t="str">
            <v>76.535.764/0314-56</v>
          </cell>
          <cell r="I224">
            <v>44061</v>
          </cell>
          <cell r="K224" t="str">
            <v>ATIVA</v>
          </cell>
          <cell r="L224" t="str">
            <v>CENTRALIZADA</v>
          </cell>
          <cell r="M224" t="str">
            <v>CENTRALIZADA</v>
          </cell>
          <cell r="P224">
            <v>56568</v>
          </cell>
          <cell r="S224" t="str">
            <v>ATIVA</v>
          </cell>
          <cell r="T224" t="str">
            <v>PC FRANKLIN REZENDE, 417, PARTE A</v>
          </cell>
          <cell r="U224" t="str">
            <v>CENTRO</v>
          </cell>
          <cell r="V224" t="str">
            <v>ARACUAI</v>
          </cell>
          <cell r="W224" t="str">
            <v>39.600-000</v>
          </cell>
        </row>
        <row r="225">
          <cell r="A225">
            <v>224</v>
          </cell>
          <cell r="B225" t="str">
            <v>MG</v>
          </cell>
          <cell r="C225" t="str">
            <v>204-6</v>
          </cell>
          <cell r="D225" t="str">
            <v>61.10-8-01</v>
          </cell>
          <cell r="E225" t="str">
            <v>RH</v>
          </cell>
          <cell r="F225" t="str">
            <v>OI S/A - EM RECUPERAÇÃO JUDICIAL</v>
          </cell>
          <cell r="G225">
            <v>31920017458</v>
          </cell>
          <cell r="H225" t="str">
            <v>76.535.764/0313-75</v>
          </cell>
          <cell r="I225">
            <v>44061</v>
          </cell>
          <cell r="K225" t="str">
            <v>ATIVA</v>
          </cell>
          <cell r="L225" t="str">
            <v>CENTRALIZADA</v>
          </cell>
          <cell r="M225" t="str">
            <v>CENTRALIZADA</v>
          </cell>
          <cell r="P225" t="str">
            <v>13169-0</v>
          </cell>
          <cell r="S225" t="str">
            <v>ATIVA</v>
          </cell>
          <cell r="T225" t="str">
            <v>AV GOVERNADOR VALADARES, 258, SALA A</v>
          </cell>
          <cell r="U225" t="str">
            <v>CENTRO</v>
          </cell>
          <cell r="V225" t="str">
            <v>ARCOS</v>
          </cell>
          <cell r="W225" t="str">
            <v>35.588-000</v>
          </cell>
        </row>
        <row r="226">
          <cell r="A226">
            <v>225</v>
          </cell>
          <cell r="B226" t="str">
            <v>MG</v>
          </cell>
          <cell r="C226" t="str">
            <v>204-6</v>
          </cell>
          <cell r="D226" t="str">
            <v>61.10-8-01</v>
          </cell>
          <cell r="E226" t="str">
            <v>RH</v>
          </cell>
          <cell r="F226" t="str">
            <v>OI S/A - EM RECUPERAÇÃO JUDICIAL</v>
          </cell>
          <cell r="G226">
            <v>31920017440</v>
          </cell>
          <cell r="H226" t="str">
            <v>76.535.764/0312-94</v>
          </cell>
          <cell r="I226">
            <v>44061</v>
          </cell>
          <cell r="K226" t="str">
            <v>ATIVA</v>
          </cell>
          <cell r="L226" t="str">
            <v>CENTRALIZADA</v>
          </cell>
          <cell r="M226" t="str">
            <v>CENTRALIZADA</v>
          </cell>
          <cell r="P226">
            <v>76018393</v>
          </cell>
          <cell r="S226" t="str">
            <v>ATIVA</v>
          </cell>
          <cell r="T226" t="str">
            <v>AV CAETANO MARINHO, 140, PARTE A</v>
          </cell>
          <cell r="U226" t="str">
            <v>CENTRO</v>
          </cell>
          <cell r="V226" t="str">
            <v>PONTE NOVA</v>
          </cell>
          <cell r="W226" t="str">
            <v>35.430-001</v>
          </cell>
        </row>
        <row r="227">
          <cell r="A227">
            <v>226</v>
          </cell>
          <cell r="B227" t="str">
            <v>PA</v>
          </cell>
          <cell r="C227" t="str">
            <v>204-6</v>
          </cell>
          <cell r="D227" t="str">
            <v>61.10-8-01</v>
          </cell>
          <cell r="E227" t="str">
            <v>RH</v>
          </cell>
          <cell r="F227" t="str">
            <v>OI S/A - EM RECUPERAÇÃO JUDICIAL</v>
          </cell>
          <cell r="G227">
            <v>15902008822</v>
          </cell>
          <cell r="H227" t="str">
            <v>76.535.764/0239-41</v>
          </cell>
          <cell r="I227">
            <v>44061</v>
          </cell>
          <cell r="K227" t="str">
            <v>ATIVA</v>
          </cell>
          <cell r="L227" t="str">
            <v>CENTRALIZADA</v>
          </cell>
          <cell r="O227" t="str">
            <v>ATIVA</v>
          </cell>
          <cell r="P227">
            <v>8059399</v>
          </cell>
          <cell r="S227" t="str">
            <v>ATIVA</v>
          </cell>
          <cell r="T227" t="str">
            <v>AV GOVERNADOR FERNANDO GUILHON, 151, PARTE A</v>
          </cell>
          <cell r="U227" t="str">
            <v>BELA VISTA</v>
          </cell>
          <cell r="V227" t="str">
            <v>ITAITUBA</v>
          </cell>
          <cell r="W227" t="str">
            <v>68.180-110</v>
          </cell>
        </row>
        <row r="228">
          <cell r="A228">
            <v>227</v>
          </cell>
          <cell r="B228" t="str">
            <v>PA</v>
          </cell>
          <cell r="C228" t="str">
            <v>204-6</v>
          </cell>
          <cell r="D228" t="str">
            <v>61.10-8-01</v>
          </cell>
          <cell r="E228" t="str">
            <v>RH</v>
          </cell>
          <cell r="F228" t="str">
            <v>OI S/A - EM RECUPERAÇÃO JUDICIAL</v>
          </cell>
          <cell r="G228">
            <v>15902008831</v>
          </cell>
          <cell r="H228" t="str">
            <v>76.535.764/0240-85</v>
          </cell>
          <cell r="I228">
            <v>44061</v>
          </cell>
          <cell r="K228" t="str">
            <v>ATIVA</v>
          </cell>
          <cell r="L228" t="str">
            <v>CENTRALIZADA</v>
          </cell>
          <cell r="O228" t="str">
            <v>ATIVA</v>
          </cell>
          <cell r="P228">
            <v>13599</v>
          </cell>
          <cell r="Q228">
            <v>44420</v>
          </cell>
          <cell r="S228" t="str">
            <v>ATIVA</v>
          </cell>
          <cell r="T228" t="str">
            <v>R MAXIMINO PORPINO DA SILVA, 1518, PARTE A</v>
          </cell>
          <cell r="U228" t="str">
            <v>CENTRO</v>
          </cell>
          <cell r="V228" t="str">
            <v>CASTANHAL</v>
          </cell>
          <cell r="W228" t="str">
            <v>68.745-000</v>
          </cell>
        </row>
        <row r="229">
          <cell r="A229">
            <v>228</v>
          </cell>
          <cell r="B229" t="str">
            <v>PA</v>
          </cell>
          <cell r="C229" t="str">
            <v>204-6</v>
          </cell>
          <cell r="D229" t="str">
            <v>61.10-8-01</v>
          </cell>
          <cell r="E229" t="str">
            <v>RH</v>
          </cell>
          <cell r="F229" t="str">
            <v>OI S/A - EM RECUPERAÇÃO JUDICIAL</v>
          </cell>
          <cell r="G229">
            <v>15902008814</v>
          </cell>
          <cell r="H229" t="str">
            <v>76.535.764/0238-60</v>
          </cell>
          <cell r="I229">
            <v>44061</v>
          </cell>
          <cell r="K229" t="str">
            <v>ATIVA</v>
          </cell>
          <cell r="L229" t="str">
            <v>CENTRALIZADA</v>
          </cell>
          <cell r="O229" t="str">
            <v>ATIVA</v>
          </cell>
          <cell r="P229">
            <v>301018758</v>
          </cell>
          <cell r="S229" t="str">
            <v>ATIVA</v>
          </cell>
          <cell r="T229" t="str">
            <v>Q ESPECIAL, S/N, PARTE A</v>
          </cell>
          <cell r="U229" t="str">
            <v>NOVA MARABA</v>
          </cell>
          <cell r="V229" t="str">
            <v>MARABA</v>
          </cell>
          <cell r="W229" t="str">
            <v>68.508-445</v>
          </cell>
        </row>
        <row r="230">
          <cell r="A230">
            <v>229</v>
          </cell>
          <cell r="B230" t="str">
            <v>PA</v>
          </cell>
          <cell r="C230" t="str">
            <v>204-6</v>
          </cell>
          <cell r="D230" t="str">
            <v>61.10-8-01</v>
          </cell>
          <cell r="E230" t="str">
            <v>RH</v>
          </cell>
          <cell r="F230" t="str">
            <v>OI S/A - EM RECUPERAÇÃO JUDICIAL</v>
          </cell>
          <cell r="G230">
            <v>15902008857</v>
          </cell>
          <cell r="H230" t="str">
            <v>76.535.764/0244-09</v>
          </cell>
          <cell r="I230">
            <v>44061</v>
          </cell>
          <cell r="K230" t="str">
            <v>ATIVA</v>
          </cell>
          <cell r="L230" t="str">
            <v>CENTRALIZADA</v>
          </cell>
          <cell r="P230">
            <v>42994</v>
          </cell>
          <cell r="Q230">
            <v>44062</v>
          </cell>
          <cell r="S230" t="str">
            <v>ATIVA</v>
          </cell>
          <cell r="T230" t="str">
            <v>R MONTE LIBANO, 96, PARTE A</v>
          </cell>
          <cell r="U230" t="str">
            <v>CELIO MIRANDA</v>
          </cell>
          <cell r="V230" t="str">
            <v>PARAGOMINAS</v>
          </cell>
          <cell r="W230" t="str">
            <v>68.625-035</v>
          </cell>
        </row>
        <row r="231">
          <cell r="A231">
            <v>230</v>
          </cell>
          <cell r="B231" t="str">
            <v>PA</v>
          </cell>
          <cell r="C231" t="str">
            <v>204-6</v>
          </cell>
          <cell r="D231" t="str">
            <v>61.10-8-01</v>
          </cell>
          <cell r="E231" t="str">
            <v>RH</v>
          </cell>
          <cell r="F231" t="str">
            <v>OI S/A - EM RECUPERAÇÃO JUDICIAL</v>
          </cell>
          <cell r="G231">
            <v>15902008849</v>
          </cell>
          <cell r="H231" t="str">
            <v>76.535.764/0241-66</v>
          </cell>
          <cell r="I231">
            <v>44061</v>
          </cell>
          <cell r="K231" t="str">
            <v>ATIVA</v>
          </cell>
          <cell r="L231" t="str">
            <v>CENTRALIZADA</v>
          </cell>
          <cell r="O231" t="str">
            <v>ATIVA</v>
          </cell>
          <cell r="P231">
            <v>5460283</v>
          </cell>
          <cell r="S231" t="str">
            <v>ATIVA</v>
          </cell>
          <cell r="T231" t="str">
            <v>AV SAO SEBASTIAO, 913, PARTE A</v>
          </cell>
          <cell r="U231" t="str">
            <v>SANTA CLARA</v>
          </cell>
          <cell r="V231" t="str">
            <v>SANTAREM</v>
          </cell>
          <cell r="W231" t="str">
            <v>68.005-090</v>
          </cell>
        </row>
        <row r="232">
          <cell r="A232">
            <v>231</v>
          </cell>
          <cell r="B232" t="str">
            <v>PB</v>
          </cell>
          <cell r="C232" t="str">
            <v>204-6</v>
          </cell>
          <cell r="D232" t="str">
            <v>61.10-8-01</v>
          </cell>
          <cell r="E232" t="str">
            <v>RH</v>
          </cell>
          <cell r="F232" t="str">
            <v>OI S/A - EM RECUPERAÇÃO JUDICIAL</v>
          </cell>
          <cell r="G232">
            <v>25900442779</v>
          </cell>
          <cell r="H232" t="str">
            <v>76.535.764/0272-62</v>
          </cell>
          <cell r="I232">
            <v>44061</v>
          </cell>
          <cell r="K232" t="str">
            <v>ATIVA</v>
          </cell>
          <cell r="P232">
            <v>680823</v>
          </cell>
          <cell r="S232" t="str">
            <v>ATIVA</v>
          </cell>
          <cell r="T232" t="str">
            <v>AV MARECHAL FLORIANO PEIXOTO, 410, SETOR PARTE A</v>
          </cell>
          <cell r="U232" t="str">
            <v>CENTRO</v>
          </cell>
          <cell r="V232" t="str">
            <v>CAMBINA GRANDE</v>
          </cell>
          <cell r="W232" t="str">
            <v>58.400-180</v>
          </cell>
        </row>
        <row r="233">
          <cell r="A233">
            <v>232</v>
          </cell>
          <cell r="B233" t="str">
            <v>PB</v>
          </cell>
          <cell r="C233" t="str">
            <v>204-6</v>
          </cell>
          <cell r="D233" t="str">
            <v>61.10-8-01</v>
          </cell>
          <cell r="E233" t="str">
            <v>RH</v>
          </cell>
          <cell r="F233" t="str">
            <v>OI S/A - EM RECUPERAÇÃO JUDICIAL</v>
          </cell>
          <cell r="G233">
            <v>25900442761</v>
          </cell>
          <cell r="H233" t="str">
            <v>76.535.764/0271-81</v>
          </cell>
          <cell r="I233">
            <v>44061</v>
          </cell>
          <cell r="K233" t="str">
            <v>ATIVA</v>
          </cell>
          <cell r="P233">
            <v>1581201</v>
          </cell>
          <cell r="S233" t="str">
            <v>ATIVA</v>
          </cell>
          <cell r="T233" t="str">
            <v>R VISCONDE DE PELOTAS, 259, SALA 00001</v>
          </cell>
          <cell r="U233" t="str">
            <v>CENTRO</v>
          </cell>
          <cell r="V233" t="str">
            <v>JOÃO PESSOA</v>
          </cell>
          <cell r="W233" t="str">
            <v>58.013-000</v>
          </cell>
        </row>
        <row r="234">
          <cell r="A234">
            <v>233</v>
          </cell>
          <cell r="B234" t="str">
            <v>PB</v>
          </cell>
          <cell r="C234" t="str">
            <v>204-6</v>
          </cell>
          <cell r="D234" t="str">
            <v>61.10-8-01</v>
          </cell>
          <cell r="E234" t="str">
            <v>RH</v>
          </cell>
          <cell r="F234" t="str">
            <v>OI S/A - EM RECUPERAÇÃO JUDICIAL</v>
          </cell>
          <cell r="G234">
            <v>25900442787</v>
          </cell>
          <cell r="H234" t="str">
            <v>76.535.764/0273-43</v>
          </cell>
          <cell r="I234">
            <v>44061</v>
          </cell>
          <cell r="K234" t="str">
            <v>ATIVA</v>
          </cell>
          <cell r="L234" t="str">
            <v>16.373.191-8</v>
          </cell>
          <cell r="M234">
            <v>44062</v>
          </cell>
          <cell r="O234" t="str">
            <v>ATIVA</v>
          </cell>
          <cell r="P234">
            <v>5043212</v>
          </cell>
          <cell r="Q234">
            <v>44329</v>
          </cell>
          <cell r="S234" t="str">
            <v>ATIVA</v>
          </cell>
          <cell r="T234" t="str">
            <v>R PRESIDENTE EPITACIO PESSOA, 48, SETOR PARTE A</v>
          </cell>
          <cell r="U234" t="str">
            <v>CENTRO</v>
          </cell>
          <cell r="V234" t="str">
            <v>PATOS</v>
          </cell>
          <cell r="W234" t="str">
            <v>58.700-020</v>
          </cell>
        </row>
        <row r="235">
          <cell r="A235">
            <v>234</v>
          </cell>
          <cell r="B235" t="str">
            <v>PE</v>
          </cell>
          <cell r="C235" t="str">
            <v>204-6</v>
          </cell>
          <cell r="D235" t="str">
            <v>61.10-8-01</v>
          </cell>
          <cell r="E235" t="str">
            <v>RH</v>
          </cell>
          <cell r="F235" t="str">
            <v>OI S/A - EM RECUPERAÇÃO JUDICIAL</v>
          </cell>
          <cell r="G235">
            <v>26902009232</v>
          </cell>
          <cell r="H235" t="str">
            <v>76.535.764/0274-24</v>
          </cell>
          <cell r="I235">
            <v>44061</v>
          </cell>
          <cell r="K235" t="str">
            <v>ATIVA</v>
          </cell>
          <cell r="L235" t="str">
            <v>CENTRALIZADA</v>
          </cell>
          <cell r="P235">
            <v>90613742</v>
          </cell>
          <cell r="Q235">
            <v>44061</v>
          </cell>
          <cell r="S235" t="str">
            <v>ATIVA</v>
          </cell>
          <cell r="T235" t="str">
            <v>R OSCAR MARIANO DA SILVA, 82, PARTE A</v>
          </cell>
          <cell r="U235" t="str">
            <v>NOSSA SENHORA DAS DORES</v>
          </cell>
          <cell r="V235" t="str">
            <v>CARUARU</v>
          </cell>
          <cell r="W235" t="str">
            <v>55.002-901</v>
          </cell>
        </row>
        <row r="236">
          <cell r="A236">
            <v>235</v>
          </cell>
          <cell r="B236" t="str">
            <v>RJ</v>
          </cell>
          <cell r="C236" t="str">
            <v>204-6</v>
          </cell>
          <cell r="D236" t="str">
            <v>61.10-8-01</v>
          </cell>
          <cell r="E236" t="str">
            <v>RH</v>
          </cell>
          <cell r="F236" t="str">
            <v>OI S/A - EM RECUPERAÇÃO JUDICIAL</v>
          </cell>
          <cell r="G236">
            <v>33901787679</v>
          </cell>
          <cell r="H236" t="str">
            <v>76.535.764/0192-43</v>
          </cell>
          <cell r="I236">
            <v>44061</v>
          </cell>
          <cell r="K236" t="str">
            <v>ATIVA</v>
          </cell>
          <cell r="L236">
            <v>77685022</v>
          </cell>
          <cell r="M236" t="str">
            <v>CENTRALIZADA</v>
          </cell>
          <cell r="P236" t="str">
            <v>562431–2</v>
          </cell>
          <cell r="S236" t="str">
            <v>ATIVA</v>
          </cell>
          <cell r="T236" t="str">
            <v>AV NILO PECANHA, 460, SALA 201</v>
          </cell>
          <cell r="U236" t="str">
            <v>CENTRO</v>
          </cell>
          <cell r="V236" t="str">
            <v>NOVA IGUACU</v>
          </cell>
          <cell r="W236" t="str">
            <v>26.215-512</v>
          </cell>
        </row>
        <row r="237">
          <cell r="A237">
            <v>236</v>
          </cell>
          <cell r="B237" t="str">
            <v>RJ</v>
          </cell>
          <cell r="C237" t="str">
            <v>204-6</v>
          </cell>
          <cell r="D237" t="str">
            <v>61.10-8-01</v>
          </cell>
          <cell r="E237" t="str">
            <v>RH</v>
          </cell>
          <cell r="F237" t="str">
            <v>OI S/A - EM RECUPERAÇÃO JUDICIAL</v>
          </cell>
          <cell r="G237">
            <v>33901787644</v>
          </cell>
          <cell r="H237" t="str">
            <v>76.535.764/0189-48</v>
          </cell>
          <cell r="I237">
            <v>44061</v>
          </cell>
          <cell r="K237" t="str">
            <v>ATIVA</v>
          </cell>
          <cell r="L237">
            <v>77685022</v>
          </cell>
          <cell r="M237" t="str">
            <v>CENTRALIZADA</v>
          </cell>
          <cell r="P237" t="str">
            <v>1.257.198-4</v>
          </cell>
          <cell r="S237" t="str">
            <v>ATIVA</v>
          </cell>
          <cell r="T237" t="str">
            <v>R ALVARO ALBERTO, 00331, SALA 101</v>
          </cell>
          <cell r="U237" t="str">
            <v>SANTA CRUZ</v>
          </cell>
          <cell r="V237" t="str">
            <v>RIO DE JANEIRO</v>
          </cell>
          <cell r="W237" t="str">
            <v>23.550-000</v>
          </cell>
        </row>
        <row r="238">
          <cell r="A238">
            <v>237</v>
          </cell>
          <cell r="B238" t="str">
            <v>RJ</v>
          </cell>
          <cell r="C238" t="str">
            <v>204-6</v>
          </cell>
          <cell r="D238" t="str">
            <v>61.10-8-01</v>
          </cell>
          <cell r="E238" t="str">
            <v>RH</v>
          </cell>
          <cell r="F238" t="str">
            <v>OI S/A - EM RECUPERAÇÃO JUDICIAL</v>
          </cell>
          <cell r="G238">
            <v>33901787661</v>
          </cell>
          <cell r="H238" t="str">
            <v>76.535.764/0191-62</v>
          </cell>
          <cell r="I238">
            <v>44061</v>
          </cell>
          <cell r="K238" t="str">
            <v>ATIVA</v>
          </cell>
          <cell r="L238">
            <v>77685022</v>
          </cell>
          <cell r="M238" t="str">
            <v>CENTRALIZADA</v>
          </cell>
          <cell r="P238" t="str">
            <v>1.257.210-7</v>
          </cell>
          <cell r="S238" t="str">
            <v>ATIVA</v>
          </cell>
          <cell r="T238" t="str">
            <v>R URANOS, 01119, E 1125 SALA 202</v>
          </cell>
          <cell r="U238" t="str">
            <v>RAMOS</v>
          </cell>
          <cell r="V238" t="str">
            <v>RIO DE JANEIRO</v>
          </cell>
          <cell r="W238" t="str">
            <v>21.060-425</v>
          </cell>
        </row>
        <row r="239">
          <cell r="A239">
            <v>238</v>
          </cell>
          <cell r="B239" t="str">
            <v>RJ</v>
          </cell>
          <cell r="C239" t="str">
            <v>204-6</v>
          </cell>
          <cell r="D239" t="str">
            <v>61.10-8-01</v>
          </cell>
          <cell r="E239" t="str">
            <v>RH</v>
          </cell>
          <cell r="F239" t="str">
            <v>OI S/A - EM RECUPERAÇÃO JUDICIAL</v>
          </cell>
          <cell r="G239">
            <v>33901787652</v>
          </cell>
          <cell r="H239" t="str">
            <v>76.535.764/0190-81</v>
          </cell>
          <cell r="I239">
            <v>44061</v>
          </cell>
          <cell r="K239" t="str">
            <v>ATIVA</v>
          </cell>
          <cell r="L239">
            <v>77685022</v>
          </cell>
          <cell r="M239" t="str">
            <v>CENTRALIZADA</v>
          </cell>
          <cell r="P239" t="str">
            <v>1.257.213-1</v>
          </cell>
          <cell r="S239" t="str">
            <v>ATIVA</v>
          </cell>
          <cell r="T239" t="str">
            <v>R CAJAIBA V TERESINHA, 00245, LOT 1 PAL 33946 SALA 301</v>
          </cell>
          <cell r="U239" t="str">
            <v>PADRE MIGUEL</v>
          </cell>
          <cell r="V239" t="str">
            <v>RIO DE JANEIRO</v>
          </cell>
          <cell r="W239" t="str">
            <v>21.715-390</v>
          </cell>
        </row>
        <row r="240">
          <cell r="A240">
            <v>239</v>
          </cell>
          <cell r="B240" t="str">
            <v>AL</v>
          </cell>
          <cell r="C240" t="str">
            <v>204-6</v>
          </cell>
          <cell r="D240" t="str">
            <v>61.10-8-01</v>
          </cell>
          <cell r="E240" t="str">
            <v>RH</v>
          </cell>
          <cell r="F240" t="str">
            <v>OI S/A - EM RECUPERAÇÃO JUDICIAL</v>
          </cell>
          <cell r="G240">
            <v>27905193876</v>
          </cell>
          <cell r="H240" t="str">
            <v>76.535.764/0348-03</v>
          </cell>
          <cell r="I240">
            <v>44071</v>
          </cell>
          <cell r="K240" t="str">
            <v>ATIVA</v>
          </cell>
          <cell r="L240" t="str">
            <v>243.63491-9</v>
          </cell>
          <cell r="M240">
            <v>44071</v>
          </cell>
          <cell r="O240" t="str">
            <v>IE CENTRALIZADA E BAIXADA</v>
          </cell>
          <cell r="P240">
            <v>156668</v>
          </cell>
          <cell r="S240" t="str">
            <v>ATIVA</v>
          </cell>
          <cell r="T240" t="str">
            <v>R FERNANDES LIMA,  519</v>
          </cell>
          <cell r="U240" t="str">
            <v>CENTRO</v>
          </cell>
          <cell r="V240" t="str">
            <v>ARAPIRACA</v>
          </cell>
          <cell r="W240" t="str">
            <v>57.300-070</v>
          </cell>
        </row>
        <row r="241">
          <cell r="A241">
            <v>240</v>
          </cell>
          <cell r="B241" t="str">
            <v>BA</v>
          </cell>
          <cell r="C241" t="str">
            <v>204-6</v>
          </cell>
          <cell r="D241" t="str">
            <v>61.10-8-01</v>
          </cell>
          <cell r="E241" t="str">
            <v>RH</v>
          </cell>
          <cell r="F241" t="str">
            <v>OI S/A - EM RECUPERAÇÃO JUDICIAL</v>
          </cell>
          <cell r="G241">
            <v>29902012848</v>
          </cell>
          <cell r="H241" t="str">
            <v>76.535.764/0347-14</v>
          </cell>
          <cell r="I241">
            <v>44071</v>
          </cell>
          <cell r="K241" t="str">
            <v>ATIVA</v>
          </cell>
          <cell r="L241">
            <v>170647116</v>
          </cell>
          <cell r="M241">
            <v>44072</v>
          </cell>
          <cell r="N241">
            <v>44103</v>
          </cell>
          <cell r="O241" t="str">
            <v>BAIXADA</v>
          </cell>
          <cell r="P241">
            <v>4126626</v>
          </cell>
          <cell r="Q241">
            <v>44312</v>
          </cell>
          <cell r="S241" t="str">
            <v>ATIVA</v>
          </cell>
          <cell r="T241" t="str">
            <v>R ILUMINATO LOBO, 156, SALA A</v>
          </cell>
          <cell r="U241" t="str">
            <v>CENTRO</v>
          </cell>
          <cell r="V241" t="str">
            <v>BRUMADO</v>
          </cell>
          <cell r="W241" t="str">
            <v>46.100-000</v>
          </cell>
        </row>
        <row r="242">
          <cell r="A242">
            <v>241</v>
          </cell>
          <cell r="B242" t="str">
            <v>BA</v>
          </cell>
          <cell r="C242" t="str">
            <v>204-6</v>
          </cell>
          <cell r="D242" t="str">
            <v>61.10-8-01</v>
          </cell>
          <cell r="E242" t="str">
            <v>RH</v>
          </cell>
          <cell r="F242" t="str">
            <v>OI S/A - EM RECUPERAÇÃO JUDICIAL</v>
          </cell>
          <cell r="G242">
            <v>29902012830</v>
          </cell>
          <cell r="H242" t="str">
            <v>76.535.764/0346-33</v>
          </cell>
          <cell r="I242">
            <v>44071</v>
          </cell>
          <cell r="K242" t="str">
            <v>ATIVA</v>
          </cell>
          <cell r="L242">
            <v>170647008</v>
          </cell>
          <cell r="M242">
            <v>44072</v>
          </cell>
          <cell r="N242">
            <v>44103</v>
          </cell>
          <cell r="O242" t="str">
            <v>BAIXADA</v>
          </cell>
          <cell r="P242" t="str">
            <v>PENDENTE</v>
          </cell>
          <cell r="S242" t="str">
            <v>PENDENTE</v>
          </cell>
          <cell r="T242" t="str">
            <v>R SETE DE SETEMBRO, 181, SALA A</v>
          </cell>
          <cell r="U242" t="str">
            <v>CENTRO</v>
          </cell>
          <cell r="V242" t="str">
            <v>ILHEUS</v>
          </cell>
          <cell r="W242" t="str">
            <v>45.653-555</v>
          </cell>
        </row>
        <row r="243">
          <cell r="A243">
            <v>242</v>
          </cell>
          <cell r="B243" t="str">
            <v>BA</v>
          </cell>
          <cell r="C243" t="str">
            <v>204-6</v>
          </cell>
          <cell r="D243" t="str">
            <v>61.10-8-01</v>
          </cell>
          <cell r="E243" t="str">
            <v>RH</v>
          </cell>
          <cell r="F243" t="str">
            <v>OI S/A - EM RECUPERAÇÃO JUDICIAL</v>
          </cell>
          <cell r="G243">
            <v>29902012805</v>
          </cell>
          <cell r="H243" t="str">
            <v>76.535.764/0343-90</v>
          </cell>
          <cell r="I243">
            <v>44071</v>
          </cell>
          <cell r="K243" t="str">
            <v>ATIVA</v>
          </cell>
          <cell r="L243">
            <v>170646758</v>
          </cell>
          <cell r="M243">
            <v>44072</v>
          </cell>
          <cell r="N243">
            <v>44103</v>
          </cell>
          <cell r="O243" t="str">
            <v>BAIXADA</v>
          </cell>
          <cell r="P243">
            <v>1590002531</v>
          </cell>
          <cell r="Q243">
            <v>44315</v>
          </cell>
          <cell r="S243" t="str">
            <v>ATIVA</v>
          </cell>
          <cell r="T243" t="str">
            <v>PC PADRE MATEUS, 227, SALA A</v>
          </cell>
          <cell r="U243" t="str">
            <v>CENTRO</v>
          </cell>
          <cell r="V243" t="str">
            <v>SANTO ANTONIO DE JESUS</v>
          </cell>
          <cell r="W243" t="str">
            <v>44.430-178</v>
          </cell>
        </row>
        <row r="244">
          <cell r="A244">
            <v>243</v>
          </cell>
          <cell r="B244" t="str">
            <v>BA</v>
          </cell>
          <cell r="C244" t="str">
            <v>204-6</v>
          </cell>
          <cell r="D244" t="str">
            <v>61.10-8-01</v>
          </cell>
          <cell r="E244" t="str">
            <v>RH</v>
          </cell>
          <cell r="F244" t="str">
            <v>OI S/A - EM RECUPERAÇÃO JUDICIAL</v>
          </cell>
          <cell r="G244">
            <v>29902012813</v>
          </cell>
          <cell r="H244" t="str">
            <v xml:space="preserve"> 76.535.764/0344-71</v>
          </cell>
          <cell r="I244">
            <v>44071</v>
          </cell>
          <cell r="K244" t="str">
            <v>ATIVA</v>
          </cell>
          <cell r="L244">
            <v>170646866</v>
          </cell>
          <cell r="M244">
            <v>44072</v>
          </cell>
          <cell r="N244">
            <v>44103</v>
          </cell>
          <cell r="O244" t="str">
            <v>BAIXADA</v>
          </cell>
          <cell r="P244" t="str">
            <v>PENDENTE</v>
          </cell>
          <cell r="S244" t="str">
            <v>PENDENTE</v>
          </cell>
          <cell r="T244" t="str">
            <v>AV CARAIBAS, 525, SALA A</v>
          </cell>
          <cell r="U244" t="str">
            <v>CENTRO</v>
          </cell>
          <cell r="V244" t="str">
            <v>IRECE</v>
          </cell>
          <cell r="W244" t="str">
            <v>44.900-000</v>
          </cell>
        </row>
        <row r="245">
          <cell r="A245">
            <v>244</v>
          </cell>
          <cell r="B245" t="str">
            <v>BA</v>
          </cell>
          <cell r="C245" t="str">
            <v>204-6</v>
          </cell>
          <cell r="D245" t="str">
            <v>61.10-8-01</v>
          </cell>
          <cell r="E245" t="str">
            <v>RH</v>
          </cell>
          <cell r="F245" t="str">
            <v>OI S/A - EM RECUPERAÇÃO JUDICIAL</v>
          </cell>
          <cell r="G245">
            <v>29902012821</v>
          </cell>
          <cell r="H245" t="str">
            <v>76.535.764/0345-52</v>
          </cell>
          <cell r="I245">
            <v>44071</v>
          </cell>
          <cell r="K245" t="str">
            <v>ATIVA</v>
          </cell>
          <cell r="L245">
            <v>170646974</v>
          </cell>
          <cell r="M245">
            <v>44072</v>
          </cell>
          <cell r="N245">
            <v>44103</v>
          </cell>
          <cell r="O245" t="str">
            <v>BAIXADA</v>
          </cell>
          <cell r="P245" t="str">
            <v>PENDENTE</v>
          </cell>
          <cell r="S245" t="str">
            <v>PENDENTE</v>
          </cell>
          <cell r="T245" t="str">
            <v>AV PAULO VI, 53, SALA A</v>
          </cell>
          <cell r="U245" t="str">
            <v>CENTRO</v>
          </cell>
          <cell r="V245" t="str">
            <v>SEABRA</v>
          </cell>
          <cell r="W245" t="str">
            <v>46.900-000</v>
          </cell>
        </row>
        <row r="246">
          <cell r="A246">
            <v>245</v>
          </cell>
          <cell r="B246" t="str">
            <v>MA</v>
          </cell>
          <cell r="C246" t="str">
            <v>204-6</v>
          </cell>
          <cell r="D246" t="str">
            <v>61.10-8-01</v>
          </cell>
          <cell r="E246" t="str">
            <v>RH</v>
          </cell>
          <cell r="F246" t="str">
            <v>OI S/A - EM RECUPERAÇÃO JUDICIAL</v>
          </cell>
          <cell r="G246">
            <v>21900586017</v>
          </cell>
          <cell r="H246" t="str">
            <v>76.535.764/0349-86</v>
          </cell>
          <cell r="I246">
            <v>44071</v>
          </cell>
          <cell r="K246" t="str">
            <v>ATIVA</v>
          </cell>
          <cell r="L246" t="str">
            <v>CENTRALIZADA</v>
          </cell>
          <cell r="M246">
            <v>44074</v>
          </cell>
          <cell r="O246" t="str">
            <v>ATIVA</v>
          </cell>
          <cell r="P246">
            <v>428459024</v>
          </cell>
          <cell r="Q246">
            <v>44071</v>
          </cell>
          <cell r="S246" t="str">
            <v>ATIVA</v>
          </cell>
          <cell r="T246" t="str">
            <v>R RIO GRANDE DO NORTE, 740</v>
          </cell>
          <cell r="U246" t="str">
            <v>JUCARA</v>
          </cell>
          <cell r="V246" t="str">
            <v>IMPERATRIZ</v>
          </cell>
          <cell r="W246" t="str">
            <v>65.900-520</v>
          </cell>
        </row>
        <row r="247">
          <cell r="A247">
            <v>246</v>
          </cell>
          <cell r="B247" t="str">
            <v>MA</v>
          </cell>
          <cell r="C247" t="str">
            <v>204-6</v>
          </cell>
          <cell r="D247" t="str">
            <v>61.10-8-01</v>
          </cell>
          <cell r="E247" t="str">
            <v>RH</v>
          </cell>
          <cell r="F247" t="str">
            <v>OI S/A - EM RECUPERAÇÃO JUDICIAL</v>
          </cell>
          <cell r="G247">
            <v>21900586009</v>
          </cell>
          <cell r="H247" t="str">
            <v>76.535.764/0342-00</v>
          </cell>
          <cell r="I247">
            <v>44071</v>
          </cell>
          <cell r="K247" t="str">
            <v>ATIVA</v>
          </cell>
          <cell r="L247" t="str">
            <v>CENTRALIZADA</v>
          </cell>
          <cell r="M247">
            <v>44074</v>
          </cell>
          <cell r="O247" t="str">
            <v>ATIVA</v>
          </cell>
          <cell r="P247">
            <v>2491</v>
          </cell>
          <cell r="Q247">
            <v>43876</v>
          </cell>
          <cell r="S247" t="str">
            <v>ATIVA</v>
          </cell>
          <cell r="T247" t="str">
            <v>R RAIMUNDO FRANCA, 40, QUADRA21 LOTE 40</v>
          </cell>
          <cell r="U247" t="str">
            <v>CAMPOS DANTAS</v>
          </cell>
          <cell r="V247" t="str">
            <v>PRESIDENTE DUTRA</v>
          </cell>
          <cell r="W247" t="str">
            <v>65.760-000</v>
          </cell>
        </row>
        <row r="248">
          <cell r="A248">
            <v>247</v>
          </cell>
          <cell r="B248" t="str">
            <v>MA</v>
          </cell>
          <cell r="C248" t="str">
            <v>204-6</v>
          </cell>
          <cell r="D248" t="str">
            <v>61.10-8-01</v>
          </cell>
          <cell r="E248" t="str">
            <v>CA</v>
          </cell>
          <cell r="F248" t="str">
            <v>OI S/A - EM RECUPERAÇÃO JUDICIAL</v>
          </cell>
          <cell r="G248">
            <v>21900586041</v>
          </cell>
          <cell r="H248" t="str">
            <v>76.535.764/0354-43</v>
          </cell>
          <cell r="I248">
            <v>44074</v>
          </cell>
          <cell r="K248" t="str">
            <v>ATIVA</v>
          </cell>
          <cell r="L248" t="str">
            <v>CENTRALIZADA</v>
          </cell>
          <cell r="M248">
            <v>44074</v>
          </cell>
          <cell r="O248" t="str">
            <v>ATIVA</v>
          </cell>
          <cell r="P248">
            <v>98270956</v>
          </cell>
          <cell r="Q248" t="str">
            <v>-</v>
          </cell>
          <cell r="S248" t="str">
            <v>ATIVA</v>
          </cell>
          <cell r="T248" t="str">
            <v>EST DE RIBAMAR, 222, LETRA B RODOVIA MA 201</v>
          </cell>
          <cell r="U248" t="str">
            <v>AURORA</v>
          </cell>
          <cell r="V248" t="str">
            <v>SÃO LUIS</v>
          </cell>
          <cell r="W248" t="str">
            <v>65.060-541</v>
          </cell>
        </row>
        <row r="249">
          <cell r="A249">
            <v>248</v>
          </cell>
          <cell r="B249" t="str">
            <v>RJ</v>
          </cell>
          <cell r="C249" t="str">
            <v>204-6</v>
          </cell>
          <cell r="D249" t="str">
            <v>61.10-8-01</v>
          </cell>
          <cell r="E249" t="str">
            <v>CA</v>
          </cell>
          <cell r="F249" t="str">
            <v>OI S/A - EM RECUPERAÇÃO JUDICIAL</v>
          </cell>
          <cell r="G249">
            <v>33901789817</v>
          </cell>
          <cell r="H249" t="str">
            <v>76.535.764/0351-09</v>
          </cell>
          <cell r="I249">
            <v>44074</v>
          </cell>
          <cell r="K249" t="str">
            <v>ATIVA</v>
          </cell>
          <cell r="L249">
            <v>77685022</v>
          </cell>
          <cell r="M249" t="str">
            <v>CENTRALIZADA</v>
          </cell>
          <cell r="P249">
            <v>614962</v>
          </cell>
          <cell r="S249" t="str">
            <v>ATIVA</v>
          </cell>
          <cell r="T249" t="str">
            <v>AV PRES KENNEDY, 3660, GALPAO PARTE B</v>
          </cell>
          <cell r="U249" t="str">
            <v>ANO BOM</v>
          </cell>
          <cell r="V249" t="str">
            <v>BARRA MANSA</v>
          </cell>
          <cell r="W249" t="str">
            <v>27.325-001</v>
          </cell>
        </row>
        <row r="250">
          <cell r="A250">
            <v>249</v>
          </cell>
          <cell r="B250" t="str">
            <v>TO</v>
          </cell>
          <cell r="C250" t="str">
            <v>204-6</v>
          </cell>
          <cell r="D250" t="str">
            <v>61.10-8-01</v>
          </cell>
          <cell r="E250" t="str">
            <v>CA</v>
          </cell>
          <cell r="F250" t="str">
            <v>OI S/A - EM RECUPERAÇÃO JUDICIAL</v>
          </cell>
          <cell r="G250">
            <v>17900388425</v>
          </cell>
          <cell r="H250" t="str">
            <v>76.535.764/0352-81</v>
          </cell>
          <cell r="I250">
            <v>44074</v>
          </cell>
          <cell r="K250" t="str">
            <v>ATIVA</v>
          </cell>
          <cell r="L250" t="str">
            <v>29.508.261-5</v>
          </cell>
          <cell r="M250" t="str">
            <v>CENTRALIZADA</v>
          </cell>
          <cell r="N250">
            <v>44657</v>
          </cell>
          <cell r="O250" t="str">
            <v>BAIXADA</v>
          </cell>
          <cell r="P250">
            <v>2421017</v>
          </cell>
          <cell r="S250" t="str">
            <v>ATIVA</v>
          </cell>
          <cell r="T250" t="str">
            <v>ROD TO-050, S/N, KM 07 LOTE GLEBA TIUBA ANEXO PARTE B</v>
          </cell>
          <cell r="U250" t="str">
            <v>CENTRO (TAQUARALTO)</v>
          </cell>
          <cell r="V250" t="str">
            <v>PALMAS</v>
          </cell>
          <cell r="W250" t="str">
            <v>77.064-596</v>
          </cell>
        </row>
        <row r="251">
          <cell r="A251">
            <v>250</v>
          </cell>
          <cell r="B251" t="str">
            <v>BA</v>
          </cell>
          <cell r="C251" t="str">
            <v>204-6</v>
          </cell>
          <cell r="D251" t="str">
            <v>61.10-8-01</v>
          </cell>
          <cell r="E251" t="str">
            <v>RH</v>
          </cell>
          <cell r="F251" t="str">
            <v>OI S/A - EM RECUPERAÇÃO JUDICIAL</v>
          </cell>
          <cell r="G251">
            <v>29902012899</v>
          </cell>
          <cell r="H251" t="str">
            <v xml:space="preserve">76.535.764/0355-24 </v>
          </cell>
          <cell r="I251">
            <v>44074</v>
          </cell>
          <cell r="K251" t="str">
            <v>ATIVA</v>
          </cell>
          <cell r="L251">
            <v>170723100</v>
          </cell>
          <cell r="M251">
            <v>44075</v>
          </cell>
          <cell r="N251">
            <v>44103</v>
          </cell>
          <cell r="O251" t="str">
            <v>BAIXADA</v>
          </cell>
          <cell r="P251">
            <v>5471830</v>
          </cell>
          <cell r="Q251">
            <v>44265</v>
          </cell>
          <cell r="S251" t="str">
            <v>ATIVA</v>
          </cell>
          <cell r="T251" t="str">
            <v>R MANOEL GOMES DE SOUZA, 35, SALA A</v>
          </cell>
          <cell r="U251" t="str">
            <v>SAO GOTARDO</v>
          </cell>
          <cell r="V251" t="str">
            <v>BOM JESUS DA LAPA</v>
          </cell>
          <cell r="W251" t="str">
            <v>47.600-000</v>
          </cell>
        </row>
        <row r="252">
          <cell r="A252">
            <v>251</v>
          </cell>
          <cell r="B252" t="str">
            <v>BA</v>
          </cell>
          <cell r="C252" t="str">
            <v>204-6</v>
          </cell>
          <cell r="D252" t="str">
            <v>61.10-8-01</v>
          </cell>
          <cell r="E252" t="str">
            <v>RH</v>
          </cell>
          <cell r="F252" t="str">
            <v>OI S/A - EM RECUPERAÇÃO JUDICIAL</v>
          </cell>
          <cell r="G252">
            <v>29902013691</v>
          </cell>
          <cell r="H252" t="str">
            <v>76.535.764/0363-34</v>
          </cell>
          <cell r="I252">
            <v>44091</v>
          </cell>
          <cell r="K252" t="str">
            <v>ATIVA</v>
          </cell>
          <cell r="L252">
            <v>170049354</v>
          </cell>
          <cell r="M252" t="str">
            <v>CENTRALIZADA</v>
          </cell>
          <cell r="N252">
            <v>44103</v>
          </cell>
          <cell r="O252" t="str">
            <v>BAIXADA</v>
          </cell>
          <cell r="P252">
            <v>9432</v>
          </cell>
          <cell r="Q252">
            <v>44091</v>
          </cell>
          <cell r="S252" t="str">
            <v>ATIVA</v>
          </cell>
          <cell r="T252" t="str">
            <v>R DA PALMEIRA, 678, SALA A</v>
          </cell>
          <cell r="U252" t="str">
            <v>CENTRO</v>
          </cell>
          <cell r="V252" t="str">
            <v>ITABERABA</v>
          </cell>
          <cell r="W252" t="str">
            <v>46.880-000</v>
          </cell>
        </row>
        <row r="253">
          <cell r="A253">
            <v>252</v>
          </cell>
          <cell r="B253" t="str">
            <v>BA</v>
          </cell>
          <cell r="C253" t="str">
            <v>204-6</v>
          </cell>
          <cell r="D253" t="str">
            <v>61.10-8-01</v>
          </cell>
          <cell r="E253" t="str">
            <v>RH</v>
          </cell>
          <cell r="F253" t="str">
            <v>OI S/A - EM RECUPERAÇÃO JUDICIAL</v>
          </cell>
          <cell r="G253">
            <v>29902013704</v>
          </cell>
          <cell r="H253" t="str">
            <v>76.535.764/0364-15</v>
          </cell>
          <cell r="I253">
            <v>44091</v>
          </cell>
          <cell r="K253" t="str">
            <v>ATIVA</v>
          </cell>
          <cell r="L253">
            <v>170049354</v>
          </cell>
          <cell r="M253" t="str">
            <v>CENTRALIZADA</v>
          </cell>
          <cell r="N253">
            <v>44103</v>
          </cell>
          <cell r="O253" t="str">
            <v>BAIXADA</v>
          </cell>
          <cell r="P253" t="str">
            <v>PENDENTE</v>
          </cell>
          <cell r="S253" t="str">
            <v>PENDENTE</v>
          </cell>
          <cell r="T253" t="str">
            <v>AV DA MACONARIA, 350, SALA A</v>
          </cell>
          <cell r="U253" t="str">
            <v>PERPETUO SOCORRO</v>
          </cell>
          <cell r="V253" t="str">
            <v>PAULO AFONSO</v>
          </cell>
          <cell r="W253" t="str">
            <v>48.603-241</v>
          </cell>
        </row>
        <row r="254">
          <cell r="A254">
            <v>253</v>
          </cell>
          <cell r="B254" t="str">
            <v>AM</v>
          </cell>
          <cell r="C254" t="str">
            <v>204-6</v>
          </cell>
          <cell r="D254" t="str">
            <v>61.10-8-01</v>
          </cell>
          <cell r="E254" t="str">
            <v>RH</v>
          </cell>
          <cell r="F254" t="str">
            <v>OI S/A - EM RECUPERAÇÃO JUDICIAL</v>
          </cell>
          <cell r="G254">
            <v>13920004009</v>
          </cell>
          <cell r="H254" t="str">
            <v>76.535.764/0365-04</v>
          </cell>
          <cell r="I254">
            <v>44102</v>
          </cell>
          <cell r="K254" t="str">
            <v>ATIVA</v>
          </cell>
          <cell r="L254" t="str">
            <v>CENTRALIZADA</v>
          </cell>
          <cell r="M254" t="str">
            <v>CENTRALIZADA</v>
          </cell>
          <cell r="O254" t="str">
            <v>ATIVA</v>
          </cell>
          <cell r="P254">
            <v>200585</v>
          </cell>
          <cell r="Q254">
            <v>44131</v>
          </cell>
          <cell r="S254" t="str">
            <v>ATIVA</v>
          </cell>
          <cell r="T254" t="str">
            <v>R BELARMINO LINS, 550, PARTE A</v>
          </cell>
          <cell r="U254" t="str">
            <v>CENTRO</v>
          </cell>
          <cell r="V254" t="str">
            <v>FONTE BOA</v>
          </cell>
          <cell r="W254" t="str">
            <v>69.670-000</v>
          </cell>
        </row>
        <row r="255">
          <cell r="A255">
            <v>254</v>
          </cell>
          <cell r="B255" t="str">
            <v>RJ</v>
          </cell>
          <cell r="C255" t="str">
            <v>204-6</v>
          </cell>
          <cell r="D255" t="str">
            <v>61.10-8-01</v>
          </cell>
          <cell r="E255" t="str">
            <v>RH</v>
          </cell>
          <cell r="F255" t="str">
            <v>OI S/A - EM RECUPERAÇÃO JUDICIAL</v>
          </cell>
          <cell r="G255" t="str">
            <v>3390179833-6</v>
          </cell>
          <cell r="H255" t="str">
            <v>76.535.764/0366-87</v>
          </cell>
          <cell r="I255">
            <v>44138</v>
          </cell>
          <cell r="K255" t="str">
            <v>ATIVA</v>
          </cell>
          <cell r="L255">
            <v>77685022</v>
          </cell>
          <cell r="M255" t="str">
            <v>CENTRALIZADA</v>
          </cell>
          <cell r="P255">
            <v>41458</v>
          </cell>
          <cell r="S255" t="str">
            <v>ATIVA</v>
          </cell>
          <cell r="T255" t="str">
            <v>R TEIXEIRA DE GOUVEIA, 480, SALA 101</v>
          </cell>
          <cell r="U255" t="str">
            <v>CENTRO</v>
          </cell>
          <cell r="V255" t="str">
            <v>MACAÉ</v>
          </cell>
          <cell r="W255" t="str">
            <v>27.910-110</v>
          </cell>
        </row>
        <row r="256">
          <cell r="A256">
            <v>255</v>
          </cell>
          <cell r="B256" t="str">
            <v>RO</v>
          </cell>
          <cell r="C256" t="str">
            <v>204-6</v>
          </cell>
          <cell r="D256" t="str">
            <v>61.10-8-01</v>
          </cell>
          <cell r="F256" t="str">
            <v>OI S/A - EM RECUPERAÇÃO JUDICIAL</v>
          </cell>
          <cell r="H256" t="str">
            <v>76.535.764/0068-50</v>
          </cell>
          <cell r="I256">
            <v>43410</v>
          </cell>
          <cell r="K256" t="str">
            <v>ATIVA</v>
          </cell>
          <cell r="T256" t="str">
            <v>R VILAGRAN CABRITA, 1276</v>
          </cell>
          <cell r="U256" t="str">
            <v>CENTRO</v>
          </cell>
          <cell r="V256" t="str">
            <v>JI-PARANA</v>
          </cell>
          <cell r="W256" t="str">
            <v>76.900-044</v>
          </cell>
        </row>
        <row r="257">
          <cell r="A257">
            <v>256</v>
          </cell>
          <cell r="B257" t="str">
            <v>PR</v>
          </cell>
          <cell r="C257" t="str">
            <v>204-6</v>
          </cell>
          <cell r="D257" t="str">
            <v>61.10-8-01</v>
          </cell>
          <cell r="E257" t="str">
            <v>RH</v>
          </cell>
          <cell r="F257" t="str">
            <v>OI S/A - EM RECUPERAÇÃO JUDICIAL</v>
          </cell>
          <cell r="G257" t="str">
            <v>4190194176-3</v>
          </cell>
          <cell r="H257" t="str">
            <v>76.535.764/0371-44</v>
          </cell>
          <cell r="I257">
            <v>44334</v>
          </cell>
          <cell r="K257" t="str">
            <v>ATIVA</v>
          </cell>
          <cell r="P257">
            <v>630025750</v>
          </cell>
          <cell r="Q257">
            <v>44540</v>
          </cell>
          <cell r="S257" t="str">
            <v>ATIVA</v>
          </cell>
          <cell r="T257" t="str">
            <v>R GENERAL OSORIO, 3442-  QUADRA 0008 - LOTE 0021 -TERREO - SALA 1</v>
          </cell>
          <cell r="U257" t="str">
            <v>CENTRO</v>
          </cell>
          <cell r="V257" t="str">
            <v>CASCAVEL</v>
          </cell>
          <cell r="W257" t="str">
            <v>85.801-110</v>
          </cell>
        </row>
        <row r="258">
          <cell r="A258">
            <v>257</v>
          </cell>
          <cell r="B258" t="str">
            <v>PR</v>
          </cell>
          <cell r="C258" t="str">
            <v>204-6</v>
          </cell>
          <cell r="D258" t="str">
            <v>61.10-8-01</v>
          </cell>
          <cell r="E258" t="str">
            <v>RH</v>
          </cell>
          <cell r="F258" t="str">
            <v>OI S/A - EM RECUPERAÇÃO JUDICIAL</v>
          </cell>
          <cell r="G258" t="str">
            <v>4190194172-1</v>
          </cell>
          <cell r="H258" t="str">
            <v>76.535.764/0367-68</v>
          </cell>
          <cell r="I258">
            <v>44334</v>
          </cell>
          <cell r="K258" t="str">
            <v>ATIVA</v>
          </cell>
          <cell r="P258">
            <v>24109</v>
          </cell>
          <cell r="Q258">
            <v>44428</v>
          </cell>
          <cell r="S258" t="str">
            <v>ATIVA</v>
          </cell>
          <cell r="T258" t="str">
            <v>AV IRMAOS PEREIRA, 1031-TÉRREO - SALA 1.</v>
          </cell>
          <cell r="U258" t="str">
            <v>CENTRO</v>
          </cell>
          <cell r="V258" t="str">
            <v>CAMPO MOURAO</v>
          </cell>
          <cell r="W258" t="str">
            <v>87.301-010</v>
          </cell>
        </row>
        <row r="259">
          <cell r="A259">
            <v>258</v>
          </cell>
          <cell r="B259" t="str">
            <v>PR</v>
          </cell>
          <cell r="C259" t="str">
            <v>204-6</v>
          </cell>
          <cell r="D259" t="str">
            <v>61.10-8-01</v>
          </cell>
          <cell r="E259" t="str">
            <v>RH</v>
          </cell>
          <cell r="F259" t="str">
            <v>OI S/A - EM RECUPERAÇÃO JUDICIAL</v>
          </cell>
          <cell r="G259" t="str">
            <v>4190194175-5</v>
          </cell>
          <cell r="H259" t="str">
            <v>76.535.764/0370-63</v>
          </cell>
          <cell r="I259">
            <v>44334</v>
          </cell>
          <cell r="K259" t="str">
            <v>ATIVA</v>
          </cell>
          <cell r="P259">
            <v>2906368</v>
          </cell>
          <cell r="Q259">
            <v>44382</v>
          </cell>
          <cell r="S259" t="str">
            <v>ATIVA</v>
          </cell>
          <cell r="T259" t="str">
            <v>R PROFESSOR JOAO CANDIDO, 556- TÉRREO SALA 1</v>
          </cell>
          <cell r="U259" t="str">
            <v>CENTRO</v>
          </cell>
          <cell r="V259" t="str">
            <v>LONDRINA</v>
          </cell>
          <cell r="W259" t="str">
            <v xml:space="preserve">
86.010-000</v>
          </cell>
        </row>
        <row r="260">
          <cell r="A260">
            <v>259</v>
          </cell>
          <cell r="B260" t="str">
            <v>PR</v>
          </cell>
          <cell r="C260" t="str">
            <v>204-6</v>
          </cell>
          <cell r="D260" t="str">
            <v>61.10-8-01</v>
          </cell>
          <cell r="E260" t="str">
            <v>RH</v>
          </cell>
          <cell r="F260" t="str">
            <v>OI S/A - EM RECUPERAÇÃO JUDICIAL</v>
          </cell>
          <cell r="G260" t="str">
            <v>4190194173-9</v>
          </cell>
          <cell r="H260" t="str">
            <v>76.535.764/0368-49</v>
          </cell>
          <cell r="I260">
            <v>44334</v>
          </cell>
          <cell r="K260" t="str">
            <v>ATIVA</v>
          </cell>
          <cell r="P260">
            <v>242919</v>
          </cell>
          <cell r="S260" t="str">
            <v>ATIVA</v>
          </cell>
          <cell r="T260" t="str">
            <v xml:space="preserve">R NEO ALVES MARTINS, 2236- TERREO DT 5-6 </v>
          </cell>
          <cell r="U260" t="str">
            <v>ZONA 01</v>
          </cell>
          <cell r="V260" t="str">
            <v>MARINGA</v>
          </cell>
          <cell r="W260" t="str">
            <v>87.013-930</v>
          </cell>
        </row>
        <row r="261">
          <cell r="A261">
            <v>260</v>
          </cell>
          <cell r="B261" t="str">
            <v>PR</v>
          </cell>
          <cell r="C261" t="str">
            <v>204-6</v>
          </cell>
          <cell r="D261" t="str">
            <v>61.10-8-01</v>
          </cell>
          <cell r="E261" t="str">
            <v>RH</v>
          </cell>
          <cell r="F261" t="str">
            <v>OI S/A - EM RECUPERAÇÃO JUDICIAL</v>
          </cell>
          <cell r="G261" t="str">
            <v>4190194174-7</v>
          </cell>
          <cell r="H261" t="str">
            <v>76.535.764/0369-20</v>
          </cell>
          <cell r="I261">
            <v>44334</v>
          </cell>
          <cell r="K261" t="str">
            <v>ATIVA</v>
          </cell>
          <cell r="P261">
            <v>162322</v>
          </cell>
          <cell r="S261" t="str">
            <v>ATIVA</v>
          </cell>
          <cell r="T261" t="str">
            <v>R SALDANHA MARINHO, 150-TERREO SALA 1</v>
          </cell>
          <cell r="U261" t="str">
            <v>CENTRO</v>
          </cell>
          <cell r="V261" t="str">
            <v>PONTA GROSSA</v>
          </cell>
          <cell r="W261" t="str">
            <v>84.010-110</v>
          </cell>
        </row>
        <row r="262">
          <cell r="A262">
            <v>261</v>
          </cell>
          <cell r="B262" t="str">
            <v>RJ</v>
          </cell>
          <cell r="C262" t="str">
            <v>204-6</v>
          </cell>
          <cell r="D262" t="str">
            <v>61.10-8-01</v>
          </cell>
          <cell r="E262" t="str">
            <v>RH</v>
          </cell>
          <cell r="F262" t="str">
            <v>OI S/A - EM RECUPERAÇÃO JUDICIAL</v>
          </cell>
          <cell r="G262" t="str">
            <v>3390182416-7</v>
          </cell>
          <cell r="H262" t="str">
            <v>76.535.764/0383-88</v>
          </cell>
          <cell r="I262">
            <v>44334</v>
          </cell>
          <cell r="K262" t="str">
            <v>ATIVA</v>
          </cell>
          <cell r="P262" t="str">
            <v>1310770-0</v>
          </cell>
          <cell r="Q262">
            <v>44334</v>
          </cell>
          <cell r="S262" t="str">
            <v>ATIVA</v>
          </cell>
          <cell r="T262" t="str">
            <v>RUA MONSENHOR JERONIMO, 00146</v>
          </cell>
          <cell r="U262" t="str">
            <v>ENGENHO DE DENTRO</v>
          </cell>
          <cell r="V262" t="str">
            <v>RIO DE JANEIRO</v>
          </cell>
          <cell r="W262" t="str">
            <v>20.730-110</v>
          </cell>
        </row>
        <row r="263">
          <cell r="A263">
            <v>262</v>
          </cell>
          <cell r="B263" t="str">
            <v>RS</v>
          </cell>
          <cell r="C263" t="str">
            <v>204-6</v>
          </cell>
          <cell r="D263" t="str">
            <v>61.10-8-01</v>
          </cell>
          <cell r="E263" t="str">
            <v>RH</v>
          </cell>
          <cell r="F263" t="str">
            <v>OI S/A - EM RECUPERAÇÃO JUDICIAL</v>
          </cell>
          <cell r="G263" t="str">
            <v>4392002492-6</v>
          </cell>
          <cell r="H263" t="str">
            <v>76.535.764/0372-25</v>
          </cell>
          <cell r="I263">
            <v>44334</v>
          </cell>
          <cell r="K263" t="str">
            <v>ATIVA</v>
          </cell>
          <cell r="L263" t="str">
            <v>CENTRALIZADA</v>
          </cell>
          <cell r="M263" t="str">
            <v>CENTRALIZADA</v>
          </cell>
          <cell r="O263" t="str">
            <v>ATIVA</v>
          </cell>
          <cell r="P263">
            <v>42702</v>
          </cell>
          <cell r="S263" t="str">
            <v>ATIVA</v>
          </cell>
          <cell r="T263" t="str">
            <v xml:space="preserve"> R DOS ANDRADAS 688-SALA 102 - ANDAR 1°</v>
          </cell>
          <cell r="U263" t="str">
            <v>CENTRO</v>
          </cell>
          <cell r="V263" t="str">
            <v>SANTO ANGELO</v>
          </cell>
          <cell r="W263" t="str">
            <v>98.803-430</v>
          </cell>
        </row>
        <row r="264">
          <cell r="A264">
            <v>263</v>
          </cell>
          <cell r="B264" t="str">
            <v>RS</v>
          </cell>
          <cell r="C264" t="str">
            <v>204-6</v>
          </cell>
          <cell r="D264" t="str">
            <v>61.10-8-01</v>
          </cell>
          <cell r="E264" t="str">
            <v>RH</v>
          </cell>
          <cell r="F264" t="str">
            <v>OI S/A - EM RECUPERAÇÃO JUDICIAL</v>
          </cell>
          <cell r="G264" t="str">
            <v>4392002493-4</v>
          </cell>
          <cell r="H264" t="str">
            <v>76.535.764/0373-06</v>
          </cell>
          <cell r="I264">
            <v>44334</v>
          </cell>
          <cell r="K264" t="str">
            <v>ATIVA</v>
          </cell>
          <cell r="P264">
            <v>108330</v>
          </cell>
          <cell r="S264" t="str">
            <v>ATIVA</v>
          </cell>
          <cell r="T264" t="str">
            <v>R CAPITAO ELEUTERIO 575 - SALA 102 - ANDAR 1</v>
          </cell>
          <cell r="U264" t="str">
            <v>CENTRO</v>
          </cell>
          <cell r="V264" t="str">
            <v>PASSO FUNDO</v>
          </cell>
          <cell r="W264" t="str">
            <v>99.010-060</v>
          </cell>
        </row>
        <row r="265">
          <cell r="A265">
            <v>264</v>
          </cell>
          <cell r="B265" t="str">
            <v>RS</v>
          </cell>
          <cell r="C265" t="str">
            <v>204-6</v>
          </cell>
          <cell r="D265" t="str">
            <v>61.10-8-01</v>
          </cell>
          <cell r="E265" t="str">
            <v>RH</v>
          </cell>
          <cell r="F265" t="str">
            <v>OI S/A - EM RECUPERAÇÃO JUDICIAL</v>
          </cell>
          <cell r="G265" t="str">
            <v>4392002495-1</v>
          </cell>
          <cell r="H265" t="str">
            <v>76.535.764/0375-78</v>
          </cell>
          <cell r="I265">
            <v>44334</v>
          </cell>
          <cell r="K265" t="str">
            <v>ATIVA</v>
          </cell>
          <cell r="L265" t="str">
            <v>CENTRALIZADA</v>
          </cell>
          <cell r="M265" t="str">
            <v>CENTRALIZADA</v>
          </cell>
          <cell r="O265" t="str">
            <v>ATIVA</v>
          </cell>
          <cell r="P265">
            <v>98627690</v>
          </cell>
          <cell r="S265" t="str">
            <v>ATIVA</v>
          </cell>
          <cell r="T265" t="str">
            <v xml:space="preserve">R VENANCIO AIRES 1788-SALA 301 -  ANDAR 3° </v>
          </cell>
          <cell r="U265" t="str">
            <v>CENTRO</v>
          </cell>
          <cell r="V265" t="str">
            <v xml:space="preserve">SANTA MARIA </v>
          </cell>
          <cell r="W265" t="str">
            <v>97.010-002</v>
          </cell>
        </row>
        <row r="266">
          <cell r="A266">
            <v>265</v>
          </cell>
          <cell r="B266" t="str">
            <v>RS</v>
          </cell>
          <cell r="C266" t="str">
            <v>204-6</v>
          </cell>
          <cell r="D266" t="str">
            <v>61.10-8-01</v>
          </cell>
          <cell r="E266" t="str">
            <v>RH</v>
          </cell>
          <cell r="F266" t="str">
            <v>OI S/A - EM RECUPERAÇÃO JUDICIAL</v>
          </cell>
          <cell r="G266" t="str">
            <v>4392002494-2</v>
          </cell>
          <cell r="H266" t="str">
            <v>76.535.764/0374-97</v>
          </cell>
          <cell r="I266">
            <v>44334</v>
          </cell>
          <cell r="K266" t="str">
            <v>ATIVA</v>
          </cell>
          <cell r="P266">
            <v>210273</v>
          </cell>
          <cell r="S266" t="str">
            <v>ATIVA</v>
          </cell>
          <cell r="T266" t="str">
            <v>R VINTE DE SETEMBRO 2048-SALA 201 - ANDAR 2°</v>
          </cell>
          <cell r="U266" t="str">
            <v>NOSSA SENHORA DE LOURDES</v>
          </cell>
          <cell r="V266" t="str">
            <v>CAXIAS DO SUL</v>
          </cell>
          <cell r="W266" t="str">
            <v>95.020-450</v>
          </cell>
        </row>
        <row r="267">
          <cell r="A267">
            <v>266</v>
          </cell>
          <cell r="B267" t="str">
            <v>SC</v>
          </cell>
          <cell r="C267" t="str">
            <v>204-6</v>
          </cell>
          <cell r="D267" t="str">
            <v>61.10-8-01</v>
          </cell>
          <cell r="E267" t="str">
            <v>RH</v>
          </cell>
          <cell r="F267" t="str">
            <v>OI S/A - EM RECUPERAÇÃO JUDICIAL</v>
          </cell>
          <cell r="G267" t="str">
            <v>4290205533-4</v>
          </cell>
          <cell r="H267" t="str">
            <v>76.535.764/0377-30</v>
          </cell>
          <cell r="I267">
            <v>44334</v>
          </cell>
          <cell r="K267" t="str">
            <v>ATIVA</v>
          </cell>
          <cell r="T267" t="str">
            <v>AV. GETULIO VARGAS, 222-SALA 01 - TÉRREO</v>
          </cell>
          <cell r="U267" t="str">
            <v>CENTRO</v>
          </cell>
          <cell r="V267" t="str">
            <v>CRICIUMA</v>
          </cell>
          <cell r="W267" t="str">
            <v>88.801-500</v>
          </cell>
        </row>
        <row r="268">
          <cell r="A268">
            <v>267</v>
          </cell>
          <cell r="B268" t="str">
            <v>SC</v>
          </cell>
          <cell r="C268" t="str">
            <v>204-6</v>
          </cell>
          <cell r="D268" t="str">
            <v>61.10-8-01</v>
          </cell>
          <cell r="E268" t="str">
            <v>RH</v>
          </cell>
          <cell r="F268" t="str">
            <v>OI S/A - EM RECUPERAÇÃO JUDICIAL</v>
          </cell>
          <cell r="G268" t="str">
            <v>4290205534-2</v>
          </cell>
          <cell r="H268" t="str">
            <v>76.535.764/0378-10</v>
          </cell>
          <cell r="I268">
            <v>44334</v>
          </cell>
          <cell r="K268" t="str">
            <v>ATIVA</v>
          </cell>
          <cell r="L268" t="str">
            <v>CENTRALIZADA</v>
          </cell>
          <cell r="M268" t="str">
            <v>CENTRALIZADA</v>
          </cell>
          <cell r="O268" t="str">
            <v>ATIVA</v>
          </cell>
          <cell r="P268">
            <v>336091</v>
          </cell>
          <cell r="Q268">
            <v>44701</v>
          </cell>
          <cell r="S268" t="str">
            <v>ATIVA</v>
          </cell>
          <cell r="T268" t="str">
            <v>R JOAO BAUER, 46-SALA 01 - TÉRREO</v>
          </cell>
          <cell r="U268" t="str">
            <v>CENTRO</v>
          </cell>
          <cell r="V268" t="str">
            <v>ITAJAI</v>
          </cell>
          <cell r="W268" t="str">
            <v>88.301-500</v>
          </cell>
        </row>
        <row r="269">
          <cell r="A269">
            <v>268</v>
          </cell>
          <cell r="B269" t="str">
            <v>SC</v>
          </cell>
          <cell r="C269" t="str">
            <v>204-6</v>
          </cell>
          <cell r="D269" t="str">
            <v>61.10-8-01</v>
          </cell>
          <cell r="E269" t="str">
            <v>RH</v>
          </cell>
          <cell r="F269" t="str">
            <v>OI S/A - EM RECUPERAÇÃO JUDICIAL</v>
          </cell>
          <cell r="G269" t="str">
            <v>4290205535-1</v>
          </cell>
          <cell r="H269" t="str">
            <v>76.535.764/0379-00</v>
          </cell>
          <cell r="I269">
            <v>44334</v>
          </cell>
          <cell r="K269" t="str">
            <v>ATIVA</v>
          </cell>
          <cell r="T269" t="str">
            <v>R MARECHAL JOSE B. BORMANN, 72-E-SALA 301 –  ANDAR 3°</v>
          </cell>
          <cell r="U269" t="str">
            <v>CENTRO</v>
          </cell>
          <cell r="V269" t="str">
            <v>CHAPECO</v>
          </cell>
          <cell r="W269" t="str">
            <v>89.801-050</v>
          </cell>
        </row>
        <row r="270">
          <cell r="A270">
            <v>269</v>
          </cell>
          <cell r="B270" t="str">
            <v>SC</v>
          </cell>
          <cell r="C270" t="str">
            <v>204-6</v>
          </cell>
          <cell r="D270" t="str">
            <v>61.10-8-01</v>
          </cell>
          <cell r="E270" t="str">
            <v>RH</v>
          </cell>
          <cell r="F270" t="str">
            <v>OI S/A - EM RECUPERAÇÃO JUDICIAL</v>
          </cell>
          <cell r="G270" t="str">
            <v>4290205536-9</v>
          </cell>
          <cell r="H270" t="str">
            <v>76.535.764/0380-35</v>
          </cell>
          <cell r="I270">
            <v>44334</v>
          </cell>
          <cell r="K270" t="str">
            <v>ATIVA</v>
          </cell>
          <cell r="T270" t="str">
            <v xml:space="preserve">R PRINCESA IZABEL, 457-SALA 101 –  ANDAR 1° </v>
          </cell>
          <cell r="U270" t="str">
            <v>CENTRO</v>
          </cell>
          <cell r="V270" t="str">
            <v>JOINVILLE</v>
          </cell>
          <cell r="W270" t="str">
            <v>89.201-270</v>
          </cell>
        </row>
        <row r="271">
          <cell r="A271">
            <v>270</v>
          </cell>
          <cell r="B271" t="str">
            <v>SC</v>
          </cell>
          <cell r="C271" t="str">
            <v>204-6</v>
          </cell>
          <cell r="D271" t="str">
            <v>61.10-8-01</v>
          </cell>
          <cell r="E271" t="str">
            <v>RH</v>
          </cell>
          <cell r="F271" t="str">
            <v>OI S/A - EM RECUPERAÇÃO JUDICIAL</v>
          </cell>
          <cell r="G271" t="str">
            <v>4290205532-6</v>
          </cell>
          <cell r="H271" t="str">
            <v xml:space="preserve">76.535.764/0376-59 </v>
          </cell>
          <cell r="I271">
            <v>44334</v>
          </cell>
          <cell r="K271" t="str">
            <v>ATIVA</v>
          </cell>
          <cell r="T271" t="str">
            <v>R URUGUAY, 271-SALA 101 – ANDAR 1°</v>
          </cell>
          <cell r="U271" t="str">
            <v>PONTA AGUDA</v>
          </cell>
          <cell r="V271" t="str">
            <v>BLUMENAU</v>
          </cell>
          <cell r="W271" t="str">
            <v>89.050-060</v>
          </cell>
        </row>
        <row r="272">
          <cell r="A272">
            <v>271</v>
          </cell>
          <cell r="B272" t="str">
            <v>SC</v>
          </cell>
          <cell r="C272" t="str">
            <v>204-6</v>
          </cell>
          <cell r="D272" t="str">
            <v>61.10-8-01</v>
          </cell>
          <cell r="E272" t="str">
            <v>RH</v>
          </cell>
          <cell r="F272" t="str">
            <v>OI S/A - EM RECUPERAÇÃO JUDICIAL</v>
          </cell>
          <cell r="G272" t="str">
            <v>4290205537-7</v>
          </cell>
          <cell r="H272" t="str">
            <v>76.535.764/0381-16</v>
          </cell>
          <cell r="I272">
            <v>44334</v>
          </cell>
          <cell r="K272" t="str">
            <v>ATIVA</v>
          </cell>
          <cell r="T272" t="str">
            <v>RUA PRESIDENTE NEREU RAMOS, 120-SALA 01 - 2° SUBSOLO</v>
          </cell>
          <cell r="U272" t="str">
            <v>CENTRO</v>
          </cell>
          <cell r="V272" t="str">
            <v>LAGES</v>
          </cell>
          <cell r="W272" t="str">
            <v>88.502-170</v>
          </cell>
        </row>
        <row r="273">
          <cell r="A273">
            <v>272</v>
          </cell>
          <cell r="B273" t="str">
            <v>SC</v>
          </cell>
          <cell r="C273" t="str">
            <v>204-6</v>
          </cell>
          <cell r="D273" t="str">
            <v>61.10-8-01</v>
          </cell>
          <cell r="E273" t="str">
            <v>RH</v>
          </cell>
          <cell r="F273" t="str">
            <v>OI S/A - EM RECUPERAÇÃO JUDICIAL</v>
          </cell>
          <cell r="G273" t="str">
            <v>4290205538-5</v>
          </cell>
          <cell r="H273" t="str">
            <v>76.535.764/0382-05</v>
          </cell>
          <cell r="I273">
            <v>44334</v>
          </cell>
          <cell r="K273" t="str">
            <v>ATIVA</v>
          </cell>
          <cell r="T273" t="str">
            <v>AVENIDA .JOSE ACACIO MOREIRA, 1591-SALA 01 - TÉRREO</v>
          </cell>
          <cell r="U273" t="str">
            <v>TUBARAO</v>
          </cell>
          <cell r="V273" t="str">
            <v>SANTA CATARINA</v>
          </cell>
          <cell r="W273" t="str">
            <v>88.704-557</v>
          </cell>
        </row>
        <row r="274">
          <cell r="A274">
            <v>273</v>
          </cell>
          <cell r="B274" t="str">
            <v>BA</v>
          </cell>
          <cell r="C274" t="str">
            <v>204-6</v>
          </cell>
          <cell r="D274" t="str">
            <v>61.10-8-01</v>
          </cell>
          <cell r="E274" t="str">
            <v>CD</v>
          </cell>
          <cell r="F274" t="str">
            <v>OI S/A - EM RECUPERAÇÃO JUDICIAL</v>
          </cell>
          <cell r="G274" t="str">
            <v>2990203244-0</v>
          </cell>
          <cell r="H274" t="str">
            <v>76.535.764/0398-64</v>
          </cell>
          <cell r="I274">
            <v>44440</v>
          </cell>
          <cell r="K274" t="str">
            <v>ATIVA</v>
          </cell>
          <cell r="P274">
            <v>20498</v>
          </cell>
          <cell r="Q274">
            <v>44440</v>
          </cell>
          <cell r="S274" t="str">
            <v>ATIVA</v>
          </cell>
          <cell r="T274" t="str">
            <v>V ACESSO II BR324 , 178 QUADRA02 LOTE 52 GALPAO04 SALA 01</v>
          </cell>
          <cell r="U274" t="str">
            <v>CIA SUL</v>
          </cell>
          <cell r="V274" t="str">
            <v>SIMOES FILHO</v>
          </cell>
          <cell r="W274" t="str">
            <v>43.700-000</v>
          </cell>
        </row>
        <row r="275">
          <cell r="A275">
            <v>274</v>
          </cell>
          <cell r="B275" t="str">
            <v>SE</v>
          </cell>
          <cell r="C275" t="str">
            <v>205-4</v>
          </cell>
          <cell r="D275" t="str">
            <v>82.20-2-00</v>
          </cell>
          <cell r="F275" t="str">
            <v>BRASIL TELECOM CALL CENTER S/A</v>
          </cell>
          <cell r="G275">
            <v>28900296091</v>
          </cell>
          <cell r="H275" t="str">
            <v>04.014.081/0019-69</v>
          </cell>
          <cell r="I275">
            <v>44439</v>
          </cell>
          <cell r="K275" t="str">
            <v>ATIVA</v>
          </cell>
          <cell r="L275" t="str">
            <v>N/A</v>
          </cell>
          <cell r="O275" t="str">
            <v>N/A</v>
          </cell>
          <cell r="P275" t="str">
            <v>132485-7</v>
          </cell>
          <cell r="Q275">
            <v>44448</v>
          </cell>
          <cell r="S275" t="str">
            <v>ATIVA</v>
          </cell>
          <cell r="T275" t="str">
            <v>R LAGARTO, 1176</v>
          </cell>
          <cell r="U275" t="str">
            <v>CENTRO</v>
          </cell>
          <cell r="V275" t="str">
            <v>ARACAJU</v>
          </cell>
          <cell r="W275" t="str">
            <v>49.010-390</v>
          </cell>
        </row>
        <row r="276">
          <cell r="A276">
            <v>275</v>
          </cell>
          <cell r="B276" t="str">
            <v>AC</v>
          </cell>
          <cell r="C276" t="str">
            <v>205-4</v>
          </cell>
          <cell r="D276" t="str">
            <v>61.90-6-99</v>
          </cell>
          <cell r="E276" t="str">
            <v>FILIAL</v>
          </cell>
          <cell r="F276" t="str">
            <v>OI SOLUÇÕES S/A</v>
          </cell>
          <cell r="G276">
            <v>12920002986</v>
          </cell>
          <cell r="H276" t="str">
            <v>09.719.875/0002-01</v>
          </cell>
          <cell r="I276">
            <v>44579</v>
          </cell>
          <cell r="K276" t="str">
            <v>ATIVA</v>
          </cell>
          <cell r="L276" t="str">
            <v>01.077.733/001-32</v>
          </cell>
          <cell r="M276">
            <v>44603</v>
          </cell>
          <cell r="O276" t="str">
            <v>ATIVA</v>
          </cell>
          <cell r="P276" t="str">
            <v>09719875000201</v>
          </cell>
          <cell r="Q276">
            <v>44614</v>
          </cell>
          <cell r="S276" t="str">
            <v>ATIVA</v>
          </cell>
          <cell r="T276" t="str">
            <v>AVENIDA BRASIL,  381  SALA 07</v>
          </cell>
          <cell r="U276" t="str">
            <v>CENTRO</v>
          </cell>
          <cell r="V276" t="str">
            <v>RIO BRANCO</v>
          </cell>
          <cell r="W276" t="str">
            <v>69.900-076</v>
          </cell>
          <cell r="X276" t="str">
            <v>S</v>
          </cell>
        </row>
        <row r="277">
          <cell r="A277">
            <v>276</v>
          </cell>
          <cell r="B277" t="str">
            <v>AL</v>
          </cell>
          <cell r="C277" t="str">
            <v>205-4</v>
          </cell>
          <cell r="D277" t="str">
            <v>61.90-6-99</v>
          </cell>
          <cell r="E277" t="str">
            <v>FILIAL</v>
          </cell>
          <cell r="F277" t="str">
            <v>OI SOLUÇÕES S/A</v>
          </cell>
          <cell r="G277">
            <v>27905201780</v>
          </cell>
          <cell r="H277" t="str">
            <v>09.719.875/0003-84</v>
          </cell>
          <cell r="I277">
            <v>44579</v>
          </cell>
          <cell r="K277" t="str">
            <v>ATIVA</v>
          </cell>
          <cell r="L277" t="str">
            <v>24026538-6</v>
          </cell>
          <cell r="M277">
            <v>44579</v>
          </cell>
          <cell r="O277" t="str">
            <v>ATIVA</v>
          </cell>
          <cell r="P277">
            <v>901614394</v>
          </cell>
          <cell r="Q277">
            <v>44579</v>
          </cell>
          <cell r="S277" t="str">
            <v>ATIVA</v>
          </cell>
          <cell r="T277" t="str">
            <v>RUA DOUTOR ZEFERINO RODRIGUES, 207  ANEXO SALA E</v>
          </cell>
          <cell r="U277" t="str">
            <v>POÇO</v>
          </cell>
          <cell r="V277" t="str">
            <v>MACEIÓ</v>
          </cell>
          <cell r="W277" t="str">
            <v>57.025-043</v>
          </cell>
          <cell r="X277" t="str">
            <v>S</v>
          </cell>
        </row>
        <row r="278">
          <cell r="A278">
            <v>277</v>
          </cell>
          <cell r="B278" t="str">
            <v>AM</v>
          </cell>
          <cell r="C278" t="str">
            <v>205-4</v>
          </cell>
          <cell r="D278" t="str">
            <v>61.90-6-99</v>
          </cell>
          <cell r="E278" t="str">
            <v>FILIAL</v>
          </cell>
          <cell r="F278" t="str">
            <v>OI SOLUÇÕES S/A</v>
          </cell>
          <cell r="G278">
            <v>13920009906</v>
          </cell>
          <cell r="H278" t="str">
            <v>09.719.875/0004-65</v>
          </cell>
          <cell r="I278">
            <v>44579</v>
          </cell>
          <cell r="K278" t="str">
            <v>ATIVA</v>
          </cell>
          <cell r="L278" t="str">
            <v>05.441.414-8</v>
          </cell>
          <cell r="M278">
            <v>44595</v>
          </cell>
          <cell r="O278" t="str">
            <v>ATIVA</v>
          </cell>
          <cell r="P278">
            <v>52984301</v>
          </cell>
          <cell r="Q278">
            <v>44579</v>
          </cell>
          <cell r="S278" t="str">
            <v>ATIVA</v>
          </cell>
          <cell r="T278" t="str">
            <v>AVENIDA EPHIGÊNIO SALLES, 700  TERREOSALA 08</v>
          </cell>
          <cell r="U278" t="str">
            <v>ADRIANÓPOLIS</v>
          </cell>
          <cell r="V278" t="str">
            <v>MANAUS</v>
          </cell>
          <cell r="W278" t="str">
            <v>69.057-050</v>
          </cell>
          <cell r="X278" t="str">
            <v>S</v>
          </cell>
        </row>
        <row r="279">
          <cell r="A279">
            <v>278</v>
          </cell>
          <cell r="B279" t="str">
            <v>AP</v>
          </cell>
          <cell r="C279" t="str">
            <v>205-4</v>
          </cell>
          <cell r="D279" t="str">
            <v>61.90-6-99</v>
          </cell>
          <cell r="E279" t="str">
            <v>FILIAL</v>
          </cell>
          <cell r="F279" t="str">
            <v>OI SOLUÇÕES S/A</v>
          </cell>
          <cell r="G279">
            <v>16900147567</v>
          </cell>
          <cell r="H279" t="str">
            <v>09.719.875/0005-46</v>
          </cell>
          <cell r="I279">
            <v>44579</v>
          </cell>
          <cell r="K279" t="str">
            <v>ATIVA</v>
          </cell>
          <cell r="L279" t="str">
            <v>03.068324-6</v>
          </cell>
          <cell r="M279">
            <v>44637</v>
          </cell>
          <cell r="O279" t="str">
            <v>ATIVA</v>
          </cell>
          <cell r="P279" t="str">
            <v>98402940838-0</v>
          </cell>
          <cell r="Q279">
            <v>44627</v>
          </cell>
          <cell r="S279" t="str">
            <v>ATIVA</v>
          </cell>
          <cell r="T279" t="str">
            <v>AVENIDA DUQUE DE CAXIAS, 106   SALA 06 ANDAR 1</v>
          </cell>
          <cell r="U279" t="str">
            <v>CENTRAL</v>
          </cell>
          <cell r="V279" t="str">
            <v>MACAPÁ</v>
          </cell>
          <cell r="W279" t="str">
            <v>68.900-071</v>
          </cell>
          <cell r="X279" t="str">
            <v>S</v>
          </cell>
        </row>
        <row r="280">
          <cell r="A280">
            <v>279</v>
          </cell>
          <cell r="B280" t="str">
            <v>BA</v>
          </cell>
          <cell r="C280" t="str">
            <v>205-4</v>
          </cell>
          <cell r="D280" t="str">
            <v>61.90-6-99</v>
          </cell>
          <cell r="E280" t="str">
            <v>FILIAL</v>
          </cell>
          <cell r="F280" t="str">
            <v>OI SOLUÇÕES S/A</v>
          </cell>
          <cell r="G280">
            <v>29902039088</v>
          </cell>
          <cell r="H280" t="str">
            <v>09.719.875/0006-27</v>
          </cell>
          <cell r="I280">
            <v>44579</v>
          </cell>
          <cell r="K280" t="str">
            <v>ATIVA</v>
          </cell>
          <cell r="L280">
            <v>189692500</v>
          </cell>
          <cell r="M280">
            <v>44580</v>
          </cell>
          <cell r="O280" t="str">
            <v>ATIVA</v>
          </cell>
          <cell r="P280" t="str">
            <v>854.468/001-39</v>
          </cell>
          <cell r="Q280">
            <v>44580</v>
          </cell>
          <cell r="S280" t="str">
            <v>ATIVA</v>
          </cell>
          <cell r="T280" t="str">
            <v>R PROFESSOR HUGO BALTHAZAR DA SILVEIRA, 37, PAVMTO1 SALA 3</v>
          </cell>
          <cell r="U280" t="str">
            <v>NAZARE</v>
          </cell>
          <cell r="V280" t="str">
            <v>SALVADOR</v>
          </cell>
          <cell r="W280" t="str">
            <v>40.050-310</v>
          </cell>
          <cell r="X280" t="str">
            <v>S</v>
          </cell>
        </row>
        <row r="281">
          <cell r="A281">
            <v>280</v>
          </cell>
          <cell r="B281" t="str">
            <v>CE</v>
          </cell>
          <cell r="C281" t="str">
            <v>205-4</v>
          </cell>
          <cell r="D281" t="str">
            <v>61.90-6-99</v>
          </cell>
          <cell r="E281" t="str">
            <v>FILIAL</v>
          </cell>
          <cell r="F281" t="str">
            <v>OI SOLUÇÕES S/A</v>
          </cell>
          <cell r="G281">
            <v>23920019870</v>
          </cell>
          <cell r="H281" t="str">
            <v>09.719.875/0007-08</v>
          </cell>
          <cell r="I281">
            <v>44579</v>
          </cell>
          <cell r="K281" t="str">
            <v>ATIVA</v>
          </cell>
          <cell r="L281" t="str">
            <v>07.054589-8</v>
          </cell>
          <cell r="M281">
            <v>44652</v>
          </cell>
          <cell r="O281" t="str">
            <v>ATIVA</v>
          </cell>
          <cell r="P281" t="str">
            <v>722942-9</v>
          </cell>
          <cell r="Q281">
            <v>44579</v>
          </cell>
          <cell r="S281" t="str">
            <v>ATIVA</v>
          </cell>
          <cell r="T281" t="str">
            <v>AVENIDA DOMINGOS OLIMPIO, 2290 SALA 01 - REUNIÃO</v>
          </cell>
          <cell r="U281" t="str">
            <v>FARIAS BRITO</v>
          </cell>
          <cell r="V281" t="str">
            <v>FORTALEZA</v>
          </cell>
          <cell r="W281" t="str">
            <v>60.015-108</v>
          </cell>
          <cell r="X281" t="str">
            <v>S</v>
          </cell>
        </row>
        <row r="282">
          <cell r="A282">
            <v>281</v>
          </cell>
          <cell r="B282" t="str">
            <v>DF</v>
          </cell>
          <cell r="C282" t="str">
            <v>205-4</v>
          </cell>
          <cell r="D282" t="str">
            <v>61.90-6-99</v>
          </cell>
          <cell r="E282" t="str">
            <v>FILIAL</v>
          </cell>
          <cell r="F282" t="str">
            <v>OI SOLUÇÕES S/A</v>
          </cell>
          <cell r="G282">
            <v>53920020937</v>
          </cell>
          <cell r="H282" t="str">
            <v>09.719.875/0008-99</v>
          </cell>
          <cell r="I282">
            <v>44579</v>
          </cell>
          <cell r="K282" t="str">
            <v>ATIVA</v>
          </cell>
          <cell r="L282" t="str">
            <v>0810887800201</v>
          </cell>
          <cell r="M282">
            <v>44579</v>
          </cell>
          <cell r="O282" t="str">
            <v>ATIVA</v>
          </cell>
          <cell r="P282" t="str">
            <v>0810887800201</v>
          </cell>
          <cell r="Q282">
            <v>44579</v>
          </cell>
          <cell r="S282" t="str">
            <v>ATIVA</v>
          </cell>
          <cell r="T282" t="str">
            <v>Q 3 - SCN, S/N BLOCO A TERREOPARTE SALA 05</v>
          </cell>
          <cell r="U282" t="str">
            <v>ASA NORTE</v>
          </cell>
          <cell r="V282" t="str">
            <v>BRASILIA</v>
          </cell>
          <cell r="W282" t="str">
            <v>70.713-900</v>
          </cell>
          <cell r="X282" t="str">
            <v>S</v>
          </cell>
        </row>
        <row r="283">
          <cell r="A283">
            <v>282</v>
          </cell>
          <cell r="B283" t="str">
            <v>ES</v>
          </cell>
          <cell r="C283" t="str">
            <v>205-4</v>
          </cell>
          <cell r="D283" t="str">
            <v>61.90-6-99</v>
          </cell>
          <cell r="E283" t="str">
            <v>FILIAL</v>
          </cell>
          <cell r="F283" t="str">
            <v>OI SOLUÇÕES S/A</v>
          </cell>
          <cell r="G283">
            <v>32900756302</v>
          </cell>
          <cell r="H283" t="str">
            <v>09.719.875/0009-70</v>
          </cell>
          <cell r="I283">
            <v>44579</v>
          </cell>
          <cell r="K283" t="str">
            <v>ATIVA</v>
          </cell>
          <cell r="L283" t="str">
            <v>083.859.84-5</v>
          </cell>
          <cell r="M283">
            <v>44595</v>
          </cell>
          <cell r="O283" t="str">
            <v>ATIVA</v>
          </cell>
          <cell r="P283">
            <v>1296458</v>
          </cell>
          <cell r="Q283">
            <v>44579</v>
          </cell>
          <cell r="S283" t="str">
            <v>ATIVA</v>
          </cell>
          <cell r="T283" t="str">
            <v>RUA DO ROSÁRIO, 150  SALA 08 - 8º ANDAR</v>
          </cell>
          <cell r="U283" t="str">
            <v>CENTRO</v>
          </cell>
          <cell r="V283" t="str">
            <v>VITÓRIA</v>
          </cell>
          <cell r="W283" t="str">
            <v>29.010-940</v>
          </cell>
          <cell r="X283" t="str">
            <v>S</v>
          </cell>
        </row>
        <row r="284">
          <cell r="A284">
            <v>283</v>
          </cell>
          <cell r="B284" t="str">
            <v>GO</v>
          </cell>
          <cell r="C284" t="str">
            <v>205-4</v>
          </cell>
          <cell r="D284" t="str">
            <v>61.90-6-99</v>
          </cell>
          <cell r="E284" t="str">
            <v>FILIAL</v>
          </cell>
          <cell r="F284" t="str">
            <v>OI SOLUÇÕES S/A</v>
          </cell>
          <cell r="G284">
            <v>52901630961</v>
          </cell>
          <cell r="H284" t="str">
            <v>09.719.875/0010-03</v>
          </cell>
          <cell r="I284">
            <v>44579</v>
          </cell>
          <cell r="K284" t="str">
            <v>ATIVA</v>
          </cell>
          <cell r="L284" t="str">
            <v>10.885730-1</v>
          </cell>
          <cell r="M284">
            <v>44579</v>
          </cell>
          <cell r="O284" t="str">
            <v>ATIVA</v>
          </cell>
          <cell r="P284">
            <v>5606837</v>
          </cell>
          <cell r="Q284">
            <v>44606</v>
          </cell>
          <cell r="S284" t="str">
            <v>ATIVA</v>
          </cell>
          <cell r="T284" t="str">
            <v>BR 153  - S/N  SALA 622 – 1º PAVIMENTO BLOCO 3</v>
          </cell>
          <cell r="U284" t="str">
            <v>FAZENDA BOTAFOGO</v>
          </cell>
          <cell r="V284" t="str">
            <v>GOIANIA</v>
          </cell>
          <cell r="W284" t="str">
            <v>74.850-681</v>
          </cell>
          <cell r="X284" t="str">
            <v>S</v>
          </cell>
        </row>
        <row r="285">
          <cell r="A285">
            <v>284</v>
          </cell>
          <cell r="B285" t="str">
            <v>MA</v>
          </cell>
          <cell r="C285" t="str">
            <v>205-4</v>
          </cell>
          <cell r="D285" t="str">
            <v>61.90-6-99</v>
          </cell>
          <cell r="E285" t="str">
            <v>FILIAL</v>
          </cell>
          <cell r="F285" t="str">
            <v>OI SOLUÇÕES S/A</v>
          </cell>
          <cell r="G285">
            <v>21900596632</v>
          </cell>
          <cell r="H285" t="str">
            <v>09.719.875/0011-94</v>
          </cell>
          <cell r="I285">
            <v>44579</v>
          </cell>
          <cell r="K285" t="str">
            <v>ATIVA</v>
          </cell>
          <cell r="L285" t="str">
            <v>12.740237-3</v>
          </cell>
          <cell r="M285">
            <v>44579</v>
          </cell>
          <cell r="O285" t="str">
            <v>ATIVA</v>
          </cell>
          <cell r="P285">
            <v>3682408551</v>
          </cell>
          <cell r="Q285">
            <v>44600</v>
          </cell>
          <cell r="S285" t="str">
            <v>ATIVA</v>
          </cell>
          <cell r="T285" t="str">
            <v>AVENIDA DANIEL DE LA TOUCHE, AREA 03 - LADO I, 31</v>
          </cell>
          <cell r="U285" t="str">
            <v>COHAMA</v>
          </cell>
          <cell r="V285" t="str">
            <v>SÃO LUIS</v>
          </cell>
          <cell r="W285" t="str">
            <v>65.074-115</v>
          </cell>
          <cell r="X285" t="str">
            <v>S</v>
          </cell>
        </row>
        <row r="286">
          <cell r="A286">
            <v>285</v>
          </cell>
          <cell r="B286" t="str">
            <v>MG</v>
          </cell>
          <cell r="C286" t="str">
            <v>205-4</v>
          </cell>
          <cell r="D286" t="str">
            <v>61.90-6-99</v>
          </cell>
          <cell r="E286" t="str">
            <v>FILIAL</v>
          </cell>
          <cell r="F286" t="str">
            <v>OI SOLUÇÕES S/A</v>
          </cell>
          <cell r="G286">
            <v>31920067447</v>
          </cell>
          <cell r="H286" t="str">
            <v>09.719.875/0012-75</v>
          </cell>
          <cell r="I286">
            <v>44579</v>
          </cell>
          <cell r="K286" t="str">
            <v>ATIVA</v>
          </cell>
          <cell r="L286" t="str">
            <v>004244359.00-20</v>
          </cell>
          <cell r="M286">
            <v>44579</v>
          </cell>
          <cell r="O286" t="str">
            <v>ATIVA</v>
          </cell>
          <cell r="P286">
            <v>13615690019</v>
          </cell>
          <cell r="Q286">
            <v>44579</v>
          </cell>
          <cell r="S286" t="str">
            <v>ATIVA</v>
          </cell>
          <cell r="T286" t="str">
            <v>PRAÇA MILTON CAMPOS, 16  SALA 04 - 4º ANDAR</v>
          </cell>
          <cell r="U286" t="str">
            <v>CRUZEIRO</v>
          </cell>
          <cell r="V286" t="str">
            <v>BELO HORIZONTE</v>
          </cell>
          <cell r="W286" t="str">
            <v>30.130-040</v>
          </cell>
          <cell r="X286" t="str">
            <v>S</v>
          </cell>
        </row>
        <row r="287">
          <cell r="A287">
            <v>286</v>
          </cell>
          <cell r="B287" t="str">
            <v>MS</v>
          </cell>
          <cell r="C287" t="str">
            <v>205-4</v>
          </cell>
          <cell r="D287" t="str">
            <v>61.90-6-99</v>
          </cell>
          <cell r="E287" t="str">
            <v>FILIAL</v>
          </cell>
          <cell r="F287" t="str">
            <v>OI SOLUÇÕES S/A</v>
          </cell>
          <cell r="G287">
            <v>54920060042</v>
          </cell>
          <cell r="H287" t="str">
            <v>09.719.875/0013-56</v>
          </cell>
          <cell r="I287">
            <v>44579</v>
          </cell>
          <cell r="K287" t="str">
            <v>ATIVA</v>
          </cell>
          <cell r="L287" t="str">
            <v>28.468.527-5</v>
          </cell>
          <cell r="M287">
            <v>44635</v>
          </cell>
          <cell r="O287" t="str">
            <v>ATIVA</v>
          </cell>
          <cell r="P287" t="str">
            <v>0032321700-9</v>
          </cell>
          <cell r="Q287">
            <v>44580</v>
          </cell>
          <cell r="S287" t="str">
            <v>ATIVA</v>
          </cell>
          <cell r="T287" t="str">
            <v>R SANTA BARBARA, 605</v>
          </cell>
          <cell r="U287" t="str">
            <v>VILA RICA</v>
          </cell>
          <cell r="V287" t="str">
            <v>CAMPO GRANDE</v>
          </cell>
          <cell r="W287" t="str">
            <v>79.022-060</v>
          </cell>
          <cell r="X287" t="str">
            <v>S</v>
          </cell>
        </row>
        <row r="288">
          <cell r="A288">
            <v>287</v>
          </cell>
          <cell r="B288" t="str">
            <v>MT</v>
          </cell>
          <cell r="C288" t="str">
            <v>205-4</v>
          </cell>
          <cell r="D288" t="str">
            <v>61.90-6-99</v>
          </cell>
          <cell r="E288" t="str">
            <v>FILIAL</v>
          </cell>
          <cell r="F288" t="str">
            <v>OI SOLUÇÕES S/A</v>
          </cell>
          <cell r="G288">
            <v>51920023403</v>
          </cell>
          <cell r="H288" t="str">
            <v>09.719.875/0014-37</v>
          </cell>
          <cell r="I288">
            <v>44579</v>
          </cell>
          <cell r="K288" t="str">
            <v>ATIVA</v>
          </cell>
          <cell r="L288" t="str">
            <v>13.916.549-5</v>
          </cell>
          <cell r="M288">
            <v>44579</v>
          </cell>
          <cell r="O288" t="str">
            <v>ATIVA</v>
          </cell>
          <cell r="P288">
            <v>220951</v>
          </cell>
          <cell r="Q288">
            <v>44585</v>
          </cell>
          <cell r="S288" t="str">
            <v>ATIVA</v>
          </cell>
          <cell r="T288" t="str">
            <v>R BARÃO DE MELGAÇO, 3209 BAMO - 2º ANDAR – BLOCO A – SALA 02</v>
          </cell>
          <cell r="U288" t="str">
            <v>CENTRO-SUL</v>
          </cell>
          <cell r="V288" t="str">
            <v>CUIABÁ</v>
          </cell>
          <cell r="W288" t="str">
            <v>78.020-902</v>
          </cell>
          <cell r="X288" t="str">
            <v>S</v>
          </cell>
        </row>
        <row r="289">
          <cell r="A289">
            <v>288</v>
          </cell>
          <cell r="B289" t="str">
            <v>PA</v>
          </cell>
          <cell r="C289" t="str">
            <v>205-4</v>
          </cell>
          <cell r="D289" t="str">
            <v>61.90-6-99</v>
          </cell>
          <cell r="E289" t="str">
            <v>FILIAL</v>
          </cell>
          <cell r="F289" t="str">
            <v>OI SOLUÇÕES S/A</v>
          </cell>
          <cell r="G289">
            <v>15902026171</v>
          </cell>
          <cell r="H289" t="str">
            <v>09.719.875/0015-18</v>
          </cell>
          <cell r="I289">
            <v>44579</v>
          </cell>
          <cell r="K289" t="str">
            <v>ATIVA</v>
          </cell>
          <cell r="L289" t="str">
            <v>15.812.334-4</v>
          </cell>
          <cell r="M289" t="str">
            <v xml:space="preserve">  26/01/2022 </v>
          </cell>
          <cell r="O289" t="str">
            <v>ATIVA</v>
          </cell>
          <cell r="P289" t="str">
            <v>425.277-8</v>
          </cell>
          <cell r="Q289">
            <v>44642</v>
          </cell>
          <cell r="S289" t="str">
            <v>ATIVA</v>
          </cell>
          <cell r="T289" t="str">
            <v>TRAVESSA DOUTOR MORAES, 121 SALA 01 - TÉRREO</v>
          </cell>
          <cell r="U289" t="str">
            <v>NAZARE</v>
          </cell>
          <cell r="V289" t="str">
            <v>BELÉM</v>
          </cell>
          <cell r="W289" t="str">
            <v>66.035-080</v>
          </cell>
          <cell r="X289" t="str">
            <v>S</v>
          </cell>
        </row>
        <row r="290">
          <cell r="A290">
            <v>289</v>
          </cell>
          <cell r="B290" t="str">
            <v>PB</v>
          </cell>
          <cell r="C290" t="str">
            <v>205-4</v>
          </cell>
          <cell r="D290" t="str">
            <v>61.90-6-99</v>
          </cell>
          <cell r="E290" t="str">
            <v>FILIAL</v>
          </cell>
          <cell r="F290" t="str">
            <v>OI SOLUÇÕES S/A</v>
          </cell>
          <cell r="G290">
            <v>25900451247</v>
          </cell>
          <cell r="H290" t="str">
            <v>09.719.875/0016-07</v>
          </cell>
          <cell r="I290">
            <v>44579</v>
          </cell>
          <cell r="K290" t="str">
            <v>ATIVA</v>
          </cell>
          <cell r="L290" t="str">
            <v>16.422.164-6</v>
          </cell>
          <cell r="M290">
            <v>44579</v>
          </cell>
          <cell r="O290" t="str">
            <v>ATIVA</v>
          </cell>
          <cell r="P290" t="str">
            <v>207.198-3</v>
          </cell>
          <cell r="Q290">
            <v>44579</v>
          </cell>
          <cell r="S290" t="str">
            <v>ATIVA</v>
          </cell>
          <cell r="T290" t="str">
            <v>AV.INFANTE DOM HENRIQUE ,650 SALA 0001</v>
          </cell>
          <cell r="U290" t="str">
            <v>TAMBAÚ</v>
          </cell>
          <cell r="V290" t="str">
            <v>JOÃO PESSOA</v>
          </cell>
          <cell r="W290" t="str">
            <v>58.039-151</v>
          </cell>
          <cell r="X290" t="str">
            <v>S</v>
          </cell>
        </row>
        <row r="291">
          <cell r="A291">
            <v>290</v>
          </cell>
          <cell r="B291" t="str">
            <v>PE</v>
          </cell>
          <cell r="C291" t="str">
            <v>205-4</v>
          </cell>
          <cell r="D291" t="str">
            <v>61.90-6-99</v>
          </cell>
          <cell r="E291" t="str">
            <v>FILIAL</v>
          </cell>
          <cell r="F291" t="str">
            <v>OI SOLUÇÕES S/A</v>
          </cell>
          <cell r="G291">
            <v>26902028679</v>
          </cell>
          <cell r="H291" t="str">
            <v>09.719.875/0017-80</v>
          </cell>
          <cell r="I291">
            <v>44579</v>
          </cell>
          <cell r="K291" t="str">
            <v>ATIVA</v>
          </cell>
          <cell r="L291" t="str">
            <v>1016053-15</v>
          </cell>
          <cell r="M291">
            <v>44590</v>
          </cell>
          <cell r="O291" t="str">
            <v>ATIVA</v>
          </cell>
          <cell r="P291" t="str">
            <v>747.082-7</v>
          </cell>
          <cell r="Q291">
            <v>44601</v>
          </cell>
          <cell r="S291" t="str">
            <v>ATIVA</v>
          </cell>
          <cell r="T291" t="str">
            <v>RUA JOAQUIM FELIPE, 168  3º ANDAR, SALA 3.2</v>
          </cell>
          <cell r="U291" t="str">
            <v>BOA VISTA</v>
          </cell>
          <cell r="V291" t="str">
            <v>RECIFE</v>
          </cell>
          <cell r="W291" t="str">
            <v xml:space="preserve">50.050-365   </v>
          </cell>
          <cell r="X291" t="str">
            <v>S</v>
          </cell>
        </row>
        <row r="292">
          <cell r="A292">
            <v>291</v>
          </cell>
          <cell r="B292" t="str">
            <v xml:space="preserve">PI </v>
          </cell>
          <cell r="C292" t="str">
            <v>205-4</v>
          </cell>
          <cell r="D292" t="str">
            <v>61.90-6-99</v>
          </cell>
          <cell r="E292" t="str">
            <v>FILIAL</v>
          </cell>
          <cell r="F292" t="str">
            <v>OI SOLUÇÕES S/A</v>
          </cell>
          <cell r="G292">
            <v>22900444795</v>
          </cell>
          <cell r="H292" t="str">
            <v>09.719.875/0018-60</v>
          </cell>
          <cell r="I292">
            <v>44579</v>
          </cell>
          <cell r="K292" t="str">
            <v>ATIVA</v>
          </cell>
          <cell r="L292">
            <v>197098657</v>
          </cell>
          <cell r="M292">
            <v>44600</v>
          </cell>
          <cell r="O292" t="str">
            <v>ATIVA</v>
          </cell>
          <cell r="P292" t="str">
            <v>651.259-3</v>
          </cell>
          <cell r="Q292">
            <v>44579</v>
          </cell>
          <cell r="S292" t="str">
            <v>ATIVA</v>
          </cell>
          <cell r="T292" t="str">
            <v>AVENIDA FREI SERAFIM, 1782 6º ANDAR - SALA 1</v>
          </cell>
          <cell r="U292" t="str">
            <v>CENTRO</v>
          </cell>
          <cell r="V292" t="str">
            <v>TERESINA</v>
          </cell>
          <cell r="W292" t="str">
            <v>64.001-020</v>
          </cell>
          <cell r="X292" t="str">
            <v>S</v>
          </cell>
        </row>
        <row r="293">
          <cell r="A293">
            <v>292</v>
          </cell>
          <cell r="B293" t="str">
            <v>PR</v>
          </cell>
          <cell r="C293" t="str">
            <v>205-4</v>
          </cell>
          <cell r="D293" t="str">
            <v>61.90-6-99</v>
          </cell>
          <cell r="E293" t="str">
            <v>FILIAL</v>
          </cell>
          <cell r="F293" t="str">
            <v>OI SOLUÇÕES S/A</v>
          </cell>
          <cell r="G293">
            <v>41901971948</v>
          </cell>
          <cell r="H293" t="str">
            <v>09.719.875/0019-41</v>
          </cell>
          <cell r="I293">
            <v>44579</v>
          </cell>
          <cell r="K293" t="str">
            <v>ATIVA</v>
          </cell>
          <cell r="L293" t="str">
            <v xml:space="preserve">90937682-37  </v>
          </cell>
          <cell r="M293">
            <v>44635</v>
          </cell>
          <cell r="O293" t="str">
            <v>ATIVA</v>
          </cell>
          <cell r="P293" t="str">
            <v>993.094-4</v>
          </cell>
          <cell r="Q293">
            <v>44579</v>
          </cell>
          <cell r="S293" t="str">
            <v>ATIVA</v>
          </cell>
          <cell r="T293" t="str">
            <v>AVENIDA MANOEL RIBAS, 115 CONJ 16;ANDAR 12;COND COSTA E SILVA ED PAL</v>
          </cell>
          <cell r="U293" t="str">
            <v>SÃO FRANCISCO</v>
          </cell>
          <cell r="V293" t="str">
            <v>CURITIBA</v>
          </cell>
          <cell r="W293" t="str">
            <v>80.510-020</v>
          </cell>
          <cell r="X293" t="str">
            <v>S</v>
          </cell>
        </row>
        <row r="294">
          <cell r="A294">
            <v>293</v>
          </cell>
          <cell r="B294" t="str">
            <v>RJ</v>
          </cell>
          <cell r="C294" t="str">
            <v>205-4</v>
          </cell>
          <cell r="D294" t="str">
            <v>61.90-6-99</v>
          </cell>
          <cell r="E294" t="str">
            <v>FILIAL</v>
          </cell>
          <cell r="F294" t="str">
            <v>OI SOLUÇÕES S/A</v>
          </cell>
          <cell r="G294">
            <v>33901600081</v>
          </cell>
          <cell r="H294" t="str">
            <v>09.719.875/0020-85</v>
          </cell>
          <cell r="I294">
            <v>44579</v>
          </cell>
          <cell r="K294" t="str">
            <v>ATIVA</v>
          </cell>
          <cell r="L294">
            <v>12355793</v>
          </cell>
          <cell r="M294">
            <v>44588</v>
          </cell>
          <cell r="O294" t="str">
            <v>ATIVA</v>
          </cell>
          <cell r="P294" t="str">
            <v>1367379-9</v>
          </cell>
          <cell r="Q294">
            <v>44585</v>
          </cell>
          <cell r="S294" t="str">
            <v>ATIVA</v>
          </cell>
          <cell r="T294" t="str">
            <v>RUA DO LAVRADIO, 71 SALA 208</v>
          </cell>
          <cell r="U294" t="str">
            <v>CENTRO</v>
          </cell>
          <cell r="V294" t="str">
            <v>RIO DE JANEIRO</v>
          </cell>
          <cell r="W294" t="str">
            <v xml:space="preserve">20.230-070 </v>
          </cell>
          <cell r="X294" t="str">
            <v>S</v>
          </cell>
        </row>
        <row r="295">
          <cell r="A295">
            <v>294</v>
          </cell>
          <cell r="B295" t="str">
            <v>RN</v>
          </cell>
          <cell r="C295" t="str">
            <v>205-4</v>
          </cell>
          <cell r="D295" t="str">
            <v>61.90-6-99</v>
          </cell>
          <cell r="E295" t="str">
            <v>FILIAL</v>
          </cell>
          <cell r="F295" t="str">
            <v>OI SOLUÇÕES S/A</v>
          </cell>
          <cell r="G295">
            <v>24900451866</v>
          </cell>
          <cell r="H295" t="str">
            <v>09.719.875/0021-66</v>
          </cell>
          <cell r="I295">
            <v>44579</v>
          </cell>
          <cell r="K295" t="str">
            <v>ATIVA</v>
          </cell>
          <cell r="L295" t="str">
            <v>20.599.123-8</v>
          </cell>
          <cell r="M295">
            <v>44606</v>
          </cell>
          <cell r="O295" t="str">
            <v>ATIVA</v>
          </cell>
          <cell r="P295">
            <v>2240143</v>
          </cell>
          <cell r="Q295">
            <v>44579</v>
          </cell>
          <cell r="S295" t="str">
            <v>ATIVA</v>
          </cell>
          <cell r="T295" t="str">
            <v xml:space="preserve">AV. PRUDENTE DE MORAIS, 757 </v>
          </cell>
          <cell r="U295" t="str">
            <v>TIROL</v>
          </cell>
          <cell r="V295" t="str">
            <v>NATAL</v>
          </cell>
          <cell r="W295" t="str">
            <v>59.020-904</v>
          </cell>
          <cell r="X295" t="str">
            <v>S</v>
          </cell>
        </row>
        <row r="296">
          <cell r="A296">
            <v>295</v>
          </cell>
          <cell r="B296" t="str">
            <v>RO</v>
          </cell>
          <cell r="C296" t="str">
            <v>205-4</v>
          </cell>
          <cell r="D296" t="str">
            <v>61.90-6-99</v>
          </cell>
          <cell r="E296" t="str">
            <v>FILIAL</v>
          </cell>
          <cell r="F296" t="str">
            <v>OI SOLUÇÕES S/A</v>
          </cell>
          <cell r="G296">
            <v>11900298226</v>
          </cell>
          <cell r="H296" t="str">
            <v>09.719.875/0022-47</v>
          </cell>
          <cell r="I296">
            <v>44579</v>
          </cell>
          <cell r="K296" t="str">
            <v>ATIVA</v>
          </cell>
          <cell r="L296">
            <v>6231691</v>
          </cell>
          <cell r="M296">
            <v>44589</v>
          </cell>
          <cell r="O296" t="str">
            <v>ATIVA</v>
          </cell>
          <cell r="P296">
            <v>14265830</v>
          </cell>
          <cell r="Q296">
            <v>44593</v>
          </cell>
          <cell r="S296" t="str">
            <v>ATIVA</v>
          </cell>
          <cell r="T296" t="str">
            <v>RUA DOM PEDRO II, 1213 SALA 08 - 1º ANDAR</v>
          </cell>
          <cell r="U296" t="str">
            <v>CENTRO</v>
          </cell>
          <cell r="V296" t="str">
            <v>PORTO VELHO</v>
          </cell>
          <cell r="W296" t="str">
            <v>76.801-103</v>
          </cell>
          <cell r="X296" t="str">
            <v>S</v>
          </cell>
        </row>
        <row r="297">
          <cell r="A297">
            <v>296</v>
          </cell>
          <cell r="B297" t="str">
            <v>RR</v>
          </cell>
          <cell r="C297" t="str">
            <v>205-4</v>
          </cell>
          <cell r="D297" t="str">
            <v>61.90-6-99</v>
          </cell>
          <cell r="E297" t="str">
            <v>FILIAL</v>
          </cell>
          <cell r="F297" t="str">
            <v>OI SOLUÇÕES S/A</v>
          </cell>
          <cell r="G297">
            <v>14920003291</v>
          </cell>
          <cell r="H297" t="str">
            <v>09.719.875/0023-28</v>
          </cell>
          <cell r="I297">
            <v>44579</v>
          </cell>
          <cell r="K297" t="str">
            <v>ATIVA</v>
          </cell>
          <cell r="L297" t="str">
            <v>24.046031-4</v>
          </cell>
          <cell r="M297">
            <v>44645</v>
          </cell>
          <cell r="O297" t="str">
            <v>ATIVA</v>
          </cell>
          <cell r="P297" t="str">
            <v>985008.2</v>
          </cell>
          <cell r="Q297">
            <v>44579</v>
          </cell>
          <cell r="S297" t="str">
            <v>ATIVA</v>
          </cell>
          <cell r="T297" t="str">
            <v>AVENIDA  CAPITÃO ENE GARCEZ, 130  SALA 06 - TÉRREO</v>
          </cell>
          <cell r="U297" t="str">
            <v>CENTRO</v>
          </cell>
          <cell r="V297" t="str">
            <v>BOA VISTA</v>
          </cell>
          <cell r="W297" t="str">
            <v>69.301-161</v>
          </cell>
          <cell r="X297" t="str">
            <v>S</v>
          </cell>
        </row>
        <row r="298">
          <cell r="A298">
            <v>297</v>
          </cell>
          <cell r="B298" t="str">
            <v>RS</v>
          </cell>
          <cell r="C298" t="str">
            <v>205-4</v>
          </cell>
          <cell r="D298" t="str">
            <v>61.90-6-99</v>
          </cell>
          <cell r="E298" t="str">
            <v>FILIAL</v>
          </cell>
          <cell r="F298" t="str">
            <v>OI SOLUÇÕES S/A</v>
          </cell>
          <cell r="G298">
            <v>43920038218</v>
          </cell>
          <cell r="H298" t="str">
            <v>09.719.875/0024-09</v>
          </cell>
          <cell r="I298">
            <v>44579</v>
          </cell>
          <cell r="K298" t="str">
            <v>ATIVA</v>
          </cell>
          <cell r="L298" t="str">
            <v>096/3897390</v>
          </cell>
          <cell r="M298">
            <v>44601</v>
          </cell>
          <cell r="O298" t="str">
            <v>ATIVA</v>
          </cell>
          <cell r="P298" t="str">
            <v>323.123.2.6</v>
          </cell>
          <cell r="Q298">
            <v>44603</v>
          </cell>
          <cell r="S298" t="str">
            <v>ATIVA</v>
          </cell>
          <cell r="T298" t="str">
            <v>AV. BORGES DE MEDEIROS, 512 SALA 1201 - 12° ANDAR</v>
          </cell>
          <cell r="U298" t="str">
            <v xml:space="preserve">  CENTRO HISTORICO</v>
          </cell>
          <cell r="V298" t="str">
            <v>PORTO ALEGRE</v>
          </cell>
          <cell r="W298" t="str">
            <v>90.020-022</v>
          </cell>
          <cell r="X298" t="str">
            <v>S</v>
          </cell>
        </row>
        <row r="299">
          <cell r="A299">
            <v>298</v>
          </cell>
          <cell r="B299" t="str">
            <v>SC</v>
          </cell>
          <cell r="C299" t="str">
            <v>205-4</v>
          </cell>
          <cell r="D299" t="str">
            <v>61.90-6-99</v>
          </cell>
          <cell r="E299" t="str">
            <v>FILIAL</v>
          </cell>
          <cell r="F299" t="str">
            <v>OI SOLUÇÕES S/A</v>
          </cell>
          <cell r="G299">
            <v>42902076994</v>
          </cell>
          <cell r="H299" t="str">
            <v>09.719.875/0025-90</v>
          </cell>
          <cell r="I299">
            <v>44579</v>
          </cell>
          <cell r="K299" t="str">
            <v>ATIVA</v>
          </cell>
          <cell r="L299" t="str">
            <v>26.149.739-1</v>
          </cell>
          <cell r="M299">
            <v>44586</v>
          </cell>
          <cell r="O299" t="str">
            <v>ATIVA</v>
          </cell>
          <cell r="P299" t="str">
            <v>601.458-5</v>
          </cell>
          <cell r="Q299">
            <v>44579</v>
          </cell>
          <cell r="S299" t="str">
            <v>ATIVA</v>
          </cell>
          <cell r="T299" t="str">
            <v>RUA DESEMBARGADOR GIL COSTA, 605 SALA 01 - TÉRREO</v>
          </cell>
          <cell r="U299" t="str">
            <v>CAPOEIRAS</v>
          </cell>
          <cell r="V299" t="str">
            <v xml:space="preserve">FLORIANÓPOLIS </v>
          </cell>
          <cell r="W299" t="str">
            <v>88.070-450</v>
          </cell>
          <cell r="X299" t="str">
            <v>S</v>
          </cell>
        </row>
        <row r="300">
          <cell r="A300">
            <v>299</v>
          </cell>
          <cell r="B300" t="str">
            <v>SE</v>
          </cell>
          <cell r="C300" t="str">
            <v>205-4</v>
          </cell>
          <cell r="D300" t="str">
            <v>61.90-6-99</v>
          </cell>
          <cell r="E300" t="str">
            <v>FILIAL</v>
          </cell>
          <cell r="F300" t="str">
            <v>OI SOLUÇÕES S/A</v>
          </cell>
          <cell r="G300">
            <v>28900297186</v>
          </cell>
          <cell r="H300" t="str">
            <v>09.719.875/0026-70</v>
          </cell>
          <cell r="I300">
            <v>44579</v>
          </cell>
          <cell r="K300" t="str">
            <v>ATIVA</v>
          </cell>
          <cell r="L300" t="str">
            <v>27.181.919-7</v>
          </cell>
          <cell r="M300">
            <v>44579</v>
          </cell>
          <cell r="O300" t="str">
            <v>ATIVA</v>
          </cell>
          <cell r="P300" t="str">
            <v>134743-1</v>
          </cell>
          <cell r="Q300">
            <v>44586</v>
          </cell>
          <cell r="S300" t="str">
            <v>ATIVA</v>
          </cell>
          <cell r="T300" t="str">
            <v>RUA DO LAGARTO, 1176 , SALA 19</v>
          </cell>
          <cell r="U300" t="str">
            <v>CENTRO</v>
          </cell>
          <cell r="V300" t="str">
            <v>ARACAJU</v>
          </cell>
          <cell r="W300" t="str">
            <v>49.010-390</v>
          </cell>
          <cell r="X300" t="str">
            <v>S</v>
          </cell>
        </row>
        <row r="301">
          <cell r="A301">
            <v>300</v>
          </cell>
          <cell r="B301" t="str">
            <v>TO</v>
          </cell>
          <cell r="C301" t="str">
            <v>205-4</v>
          </cell>
          <cell r="D301" t="str">
            <v>61.90-6-99</v>
          </cell>
          <cell r="E301" t="str">
            <v>FILIAL</v>
          </cell>
          <cell r="F301" t="str">
            <v>OI SOLUÇÕES S/A</v>
          </cell>
          <cell r="G301">
            <v>17900394956</v>
          </cell>
          <cell r="H301" t="str">
            <v>09.719.875/0027-51</v>
          </cell>
          <cell r="I301">
            <v>44579</v>
          </cell>
          <cell r="K301" t="str">
            <v>ATIVA</v>
          </cell>
          <cell r="L301" t="str">
            <v>29.519.428-6</v>
          </cell>
          <cell r="M301">
            <v>44607</v>
          </cell>
          <cell r="O301" t="str">
            <v>ATIVA</v>
          </cell>
          <cell r="P301">
            <v>2430407</v>
          </cell>
          <cell r="Q301">
            <v>44606</v>
          </cell>
          <cell r="S301" t="str">
            <v>ATIVA</v>
          </cell>
          <cell r="T301" t="str">
            <v>QUADRA 201 SUL (ACSU SO 20), AV. NSA, S/N, CONJ 02, LOTE 06 ANEXO 1 - SALA 11</v>
          </cell>
          <cell r="U301" t="str">
            <v>PLANO DIRETOR SUL</v>
          </cell>
          <cell r="V301" t="str">
            <v xml:space="preserve">PALMAS </v>
          </cell>
          <cell r="W301" t="str">
            <v>77.015-205</v>
          </cell>
          <cell r="X301" t="str">
            <v>S</v>
          </cell>
        </row>
        <row r="302">
          <cell r="A302">
            <v>301</v>
          </cell>
          <cell r="B302" t="str">
            <v>AL</v>
          </cell>
          <cell r="C302" t="str">
            <v>204-6</v>
          </cell>
          <cell r="D302" t="str">
            <v>61.10-8-01</v>
          </cell>
          <cell r="E302" t="str">
            <v>SOBRESSALENTES</v>
          </cell>
          <cell r="F302" t="str">
            <v xml:space="preserve">OI S/A - EM RECUPERAÇÃO JUDICIAL </v>
          </cell>
          <cell r="G302">
            <v>27905202034</v>
          </cell>
          <cell r="H302" t="str">
            <v>76.535.764/0399-45</v>
          </cell>
          <cell r="I302">
            <v>44606</v>
          </cell>
          <cell r="K302" t="str">
            <v>ATIVA</v>
          </cell>
          <cell r="L302" t="str">
            <v>240.28773-8</v>
          </cell>
          <cell r="M302">
            <v>44608</v>
          </cell>
          <cell r="O302" t="str">
            <v>ATIVA</v>
          </cell>
          <cell r="P302" t="str">
            <v>0901616141</v>
          </cell>
          <cell r="Q302">
            <v>44606</v>
          </cell>
          <cell r="S302" t="str">
            <v>ATIVA</v>
          </cell>
          <cell r="T302" t="str">
            <v>R ARSENIO FORTES, 164</v>
          </cell>
          <cell r="U302" t="str">
            <v>PINHEIRO</v>
          </cell>
          <cell r="V302" t="str">
            <v>MACEIÓ</v>
          </cell>
          <cell r="W302" t="str">
            <v xml:space="preserve">57.057-300   </v>
          </cell>
        </row>
        <row r="303">
          <cell r="A303">
            <v>302</v>
          </cell>
          <cell r="B303" t="str">
            <v>AM</v>
          </cell>
          <cell r="C303" t="str">
            <v>204-6</v>
          </cell>
          <cell r="D303" t="str">
            <v>61.10-8-01</v>
          </cell>
          <cell r="E303" t="str">
            <v>SOBRESSALENTES</v>
          </cell>
          <cell r="F303" t="str">
            <v xml:space="preserve">OI S/A - EM RECUPERAÇÃO JUDICIAL </v>
          </cell>
          <cell r="G303">
            <v>13920010149</v>
          </cell>
          <cell r="H303" t="str">
            <v>76.535.764/0400-13</v>
          </cell>
          <cell r="I303">
            <v>44606</v>
          </cell>
          <cell r="K303" t="str">
            <v>ATIVA</v>
          </cell>
          <cell r="L303" t="str">
            <v>PENDENTE</v>
          </cell>
          <cell r="M303" t="str">
            <v>PENDENTE</v>
          </cell>
          <cell r="O303" t="str">
            <v>PENDENTE</v>
          </cell>
          <cell r="P303">
            <v>10780604</v>
          </cell>
          <cell r="Q303">
            <v>44606</v>
          </cell>
          <cell r="S303" t="str">
            <v>ATIVA</v>
          </cell>
          <cell r="T303" t="str">
            <v>AV GETULIO VARGAS, 950</v>
          </cell>
          <cell r="U303" t="str">
            <v>CENTRO</v>
          </cell>
          <cell r="V303" t="str">
            <v>MANAUS</v>
          </cell>
          <cell r="W303" t="str">
            <v xml:space="preserve">69.020-010   </v>
          </cell>
        </row>
        <row r="304">
          <cell r="A304">
            <v>303</v>
          </cell>
          <cell r="B304" t="str">
            <v>MG</v>
          </cell>
          <cell r="C304" t="str">
            <v>204-6</v>
          </cell>
          <cell r="D304" t="str">
            <v>61.10-8-01</v>
          </cell>
          <cell r="E304" t="str">
            <v>CD</v>
          </cell>
          <cell r="F304" t="str">
            <v xml:space="preserve">OI S/A - EM RECUPERAÇÃO JUDICIAL </v>
          </cell>
          <cell r="G304">
            <v>31920072718</v>
          </cell>
          <cell r="H304" t="str">
            <v>76.535.764/0402-85</v>
          </cell>
          <cell r="I304">
            <v>44643</v>
          </cell>
          <cell r="K304" t="str">
            <v>ATIVA</v>
          </cell>
          <cell r="L304" t="str">
            <v>PENDENTE</v>
          </cell>
          <cell r="M304" t="str">
            <v>PENDENTE</v>
          </cell>
          <cell r="O304" t="str">
            <v>PENDENTE</v>
          </cell>
          <cell r="P304" t="str">
            <v>1842800011</v>
          </cell>
          <cell r="Q304">
            <v>44589</v>
          </cell>
          <cell r="S304" t="str">
            <v>ATIVA</v>
          </cell>
          <cell r="T304" t="str">
            <v>ROD BR-381 FERNAO DIAS, S/N, GALPAO3 SETOR A KM 483 3</v>
          </cell>
          <cell r="U304" t="str">
            <v>DISTRITO INDUSTRIAL JARDIM
PIEMONT SUL</v>
          </cell>
          <cell r="V304" t="str">
            <v>BETIM</v>
          </cell>
          <cell r="W304" t="str">
            <v>32.669-895</v>
          </cell>
        </row>
        <row r="305">
          <cell r="A305">
            <v>304</v>
          </cell>
          <cell r="B305" t="str">
            <v>PR</v>
          </cell>
          <cell r="C305" t="str">
            <v>204-6</v>
          </cell>
          <cell r="D305" t="str">
            <v>61.10-8-01</v>
          </cell>
          <cell r="E305" t="str">
            <v>SOBRESSALENTES</v>
          </cell>
          <cell r="F305" t="str">
            <v xml:space="preserve">OI S/A - EM RECUPERAÇÃO JUDICIAL </v>
          </cell>
          <cell r="G305">
            <v>41901974980</v>
          </cell>
          <cell r="H305" t="str">
            <v>76.535.764/0401-02</v>
          </cell>
          <cell r="I305">
            <v>44643</v>
          </cell>
          <cell r="K305" t="str">
            <v>ATIVA</v>
          </cell>
          <cell r="L305" t="str">
            <v>CENTRALIZADA</v>
          </cell>
          <cell r="M305" t="str">
            <v>CENTRALIZADA</v>
          </cell>
          <cell r="O305" t="str">
            <v>ATIVA</v>
          </cell>
          <cell r="P305" t="str">
            <v>1.008.425-3</v>
          </cell>
          <cell r="Q305">
            <v>44643</v>
          </cell>
          <cell r="S305" t="str">
            <v>ATIVA</v>
          </cell>
          <cell r="T305" t="str">
            <v>AV ANITA GARIBALDI, 415</v>
          </cell>
          <cell r="U305" t="str">
            <v>AHU</v>
          </cell>
          <cell r="V305" t="str">
            <v>CURITIBA</v>
          </cell>
          <cell r="W305" t="str">
            <v>80.540-180</v>
          </cell>
        </row>
        <row r="306">
          <cell r="A306">
            <v>305</v>
          </cell>
          <cell r="B306" t="str">
            <v>MG</v>
          </cell>
          <cell r="C306" t="str">
            <v>204-6</v>
          </cell>
          <cell r="D306" t="str">
            <v>61.10-8-01</v>
          </cell>
          <cell r="E306" t="str">
            <v>RH</v>
          </cell>
          <cell r="F306" t="str">
            <v xml:space="preserve">OI S/A - EM RECUPERAÇÃO JUDICIAL </v>
          </cell>
          <cell r="G306">
            <v>31920074851</v>
          </cell>
          <cell r="H306" t="str">
            <v>76.535.764/0403-66</v>
          </cell>
          <cell r="I306">
            <v>44669</v>
          </cell>
          <cell r="K306" t="str">
            <v>ATIVA</v>
          </cell>
          <cell r="L306" t="str">
            <v>PENDENTE</v>
          </cell>
          <cell r="M306" t="str">
            <v>PENDENTE</v>
          </cell>
          <cell r="O306" t="str">
            <v>PENDENTE</v>
          </cell>
          <cell r="P306">
            <v>46330</v>
          </cell>
          <cell r="Q306">
            <v>44669</v>
          </cell>
          <cell r="S306" t="str">
            <v>ATIVA</v>
          </cell>
          <cell r="T306" t="str">
            <v>R SATURNINO DE PADUA, 287</v>
          </cell>
          <cell r="U306" t="str">
            <v>MANOEL ALVES</v>
          </cell>
          <cell r="V306" t="str">
            <v>LAVRAS</v>
          </cell>
          <cell r="W306" t="str">
            <v>37.200-405</v>
          </cell>
        </row>
        <row r="307">
          <cell r="A307">
            <v>306</v>
          </cell>
          <cell r="B307" t="str">
            <v>CE</v>
          </cell>
          <cell r="C307" t="str">
            <v>205-4</v>
          </cell>
          <cell r="D307" t="str">
            <v>82.20-2-00</v>
          </cell>
          <cell r="F307" t="str">
            <v>BRASIL TELECOM CALL CENTER S/A</v>
          </cell>
          <cell r="G307" t="str">
            <v>2392003351-1</v>
          </cell>
          <cell r="H307" t="str">
            <v>04.014.081/0020-00</v>
          </cell>
          <cell r="I307">
            <v>45169</v>
          </cell>
          <cell r="K307" t="str">
            <v>ATIVA</v>
          </cell>
          <cell r="L307" t="str">
            <v>N/A</v>
          </cell>
          <cell r="M307" t="str">
            <v>N/A</v>
          </cell>
          <cell r="O307" t="str">
            <v>N/A</v>
          </cell>
          <cell r="P307" t="str">
            <v>848516-0</v>
          </cell>
          <cell r="Q307">
            <v>45169</v>
          </cell>
          <cell r="S307" t="str">
            <v>ATIVA</v>
          </cell>
          <cell r="T307" t="str">
            <v>AV PONTES VIEIRA 280, TERREO SALA 01</v>
          </cell>
          <cell r="U307" t="str">
            <v>SAO JOAO DO TAUAPE</v>
          </cell>
          <cell r="V307" t="str">
            <v>FORTALEZA</v>
          </cell>
          <cell r="W307" t="str">
            <v>60.130-240</v>
          </cell>
        </row>
        <row r="308">
          <cell r="A308">
            <v>307</v>
          </cell>
          <cell r="B308" t="str">
            <v>DF</v>
          </cell>
          <cell r="C308" t="str">
            <v>205-4</v>
          </cell>
          <cell r="D308" t="str">
            <v>82.20-2-00</v>
          </cell>
          <cell r="F308" t="str">
            <v>BRASIL TELECOM CALL CENTER S/A</v>
          </cell>
          <cell r="G308">
            <v>53920033516</v>
          </cell>
          <cell r="H308" t="str">
            <v>04.014.081/0021-83</v>
          </cell>
          <cell r="I308">
            <v>45181</v>
          </cell>
          <cell r="K308" t="str">
            <v>ATIVA</v>
          </cell>
          <cell r="L308" t="str">
            <v xml:space="preserve"> 07.463.681/003-19</v>
          </cell>
          <cell r="M308">
            <v>45181</v>
          </cell>
          <cell r="O308" t="str">
            <v>ATIVA</v>
          </cell>
          <cell r="P308" t="str">
            <v>N/A</v>
          </cell>
          <cell r="Q308" t="str">
            <v>N/A</v>
          </cell>
          <cell r="S308" t="str">
            <v>N/A</v>
          </cell>
          <cell r="T308" t="str">
            <v>ST SHC/AO/S EA 6/8 AE 2 - S/N</v>
          </cell>
          <cell r="U308" t="str">
            <v>AREA OCTOGONAL</v>
          </cell>
          <cell r="V308" t="str">
            <v>BRASILIA</v>
          </cell>
          <cell r="W308" t="str">
            <v>70.660-685</v>
          </cell>
        </row>
        <row r="309">
          <cell r="A309">
            <v>308</v>
          </cell>
          <cell r="B309" t="str">
            <v>MA</v>
          </cell>
          <cell r="C309" t="str">
            <v>205-4</v>
          </cell>
          <cell r="D309" t="str">
            <v>82.20-2-00</v>
          </cell>
          <cell r="F309" t="str">
            <v>BRASIL TELECOM CALL CENTER S/A</v>
          </cell>
          <cell r="G309">
            <v>21900611411</v>
          </cell>
          <cell r="H309" t="str">
            <v>04.014.081/0022-64</v>
          </cell>
          <cell r="I309">
            <v>45274</v>
          </cell>
          <cell r="K309" t="str">
            <v>ATIVA</v>
          </cell>
          <cell r="L309" t="str">
            <v>N/A</v>
          </cell>
          <cell r="M309" t="str">
            <v>N/A</v>
          </cell>
          <cell r="O309" t="str">
            <v>N/A</v>
          </cell>
          <cell r="P309">
            <v>3682444690</v>
          </cell>
          <cell r="Q309">
            <v>45274</v>
          </cell>
          <cell r="S309" t="str">
            <v>ATIVA</v>
          </cell>
          <cell r="T309" t="str">
            <v>AV DANIEL DE LA TOUCHE, AREA 03 - LADO I, Nº 31</v>
          </cell>
          <cell r="U309" t="str">
            <v>COHAMA</v>
          </cell>
          <cell r="V309" t="str">
            <v>SAO LUIS</v>
          </cell>
          <cell r="W309" t="str">
            <v>65.074-115</v>
          </cell>
        </row>
        <row r="310">
          <cell r="A310">
            <v>309</v>
          </cell>
          <cell r="B310" t="str">
            <v>RN</v>
          </cell>
          <cell r="C310" t="str">
            <v>205-4</v>
          </cell>
          <cell r="D310" t="str">
            <v>82.20-2-00</v>
          </cell>
          <cell r="F310" t="str">
            <v>BRASIL TELECOM CALL CENTER S/A</v>
          </cell>
          <cell r="G310">
            <v>24900463198</v>
          </cell>
          <cell r="H310" t="str">
            <v>04.014.081/0023-45</v>
          </cell>
          <cell r="I310">
            <v>45351</v>
          </cell>
          <cell r="K310" t="str">
            <v>ATIVA</v>
          </cell>
          <cell r="L310" t="str">
            <v>N/A</v>
          </cell>
          <cell r="M310" t="str">
            <v>N/A</v>
          </cell>
          <cell r="O310" t="str">
            <v>N/A</v>
          </cell>
          <cell r="P310">
            <v>2283562</v>
          </cell>
          <cell r="Q310">
            <v>45351</v>
          </cell>
          <cell r="S310" t="str">
            <v>ATIVA</v>
          </cell>
          <cell r="T310" t="str">
            <v>AV PRUDENTE DE MORAIS, 757</v>
          </cell>
          <cell r="U310" t="str">
            <v>TIROL</v>
          </cell>
          <cell r="V310" t="str">
            <v>NATAL</v>
          </cell>
          <cell r="W310" t="str">
            <v>59.020-505</v>
          </cell>
        </row>
        <row r="311">
          <cell r="A311">
            <v>310</v>
          </cell>
          <cell r="B311" t="str">
            <v>RJ</v>
          </cell>
          <cell r="C311" t="str">
            <v>204-6</v>
          </cell>
          <cell r="D311" t="str">
            <v>61.10-8-01</v>
          </cell>
          <cell r="E311" t="str">
            <v>DEPÓSITO</v>
          </cell>
          <cell r="F311" t="str">
            <v>OI S/A - EM RECUPERAÇÃO JUDICIAL</v>
          </cell>
          <cell r="G311">
            <v>33901946416</v>
          </cell>
          <cell r="H311" t="str">
            <v>76.535.764/0404-47</v>
          </cell>
          <cell r="I311">
            <v>45399</v>
          </cell>
          <cell r="K311" t="str">
            <v>ATIVA</v>
          </cell>
          <cell r="L311">
            <v>14601759</v>
          </cell>
          <cell r="M311">
            <v>45399</v>
          </cell>
          <cell r="N311">
            <v>45439</v>
          </cell>
          <cell r="O311" t="str">
            <v>BAIXADA</v>
          </cell>
          <cell r="P311">
            <v>29390</v>
          </cell>
          <cell r="Q311">
            <v>45520</v>
          </cell>
          <cell r="S311" t="str">
            <v>ATIVA</v>
          </cell>
          <cell r="T311" t="str">
            <v>ROD PRESIDENTE DUTRA, S/N, KM 298 GALPAO A SALA OI</v>
          </cell>
          <cell r="U311" t="str">
            <v>POLO INDUSTRIAL I</v>
          </cell>
          <cell r="V311" t="str">
            <v>RESENDE</v>
          </cell>
          <cell r="W311" t="str">
            <v>27.537-000</v>
          </cell>
        </row>
        <row r="312">
          <cell r="A312">
            <v>311</v>
          </cell>
          <cell r="B312" t="str">
            <v>RJ</v>
          </cell>
          <cell r="C312" t="str">
            <v>205-4</v>
          </cell>
          <cell r="D312" t="str">
            <v>61.10-8-03</v>
          </cell>
          <cell r="E312" t="str">
            <v>MATRIZ</v>
          </cell>
          <cell r="F312" t="str">
            <v>CLIENT CO SERVICOS DE REDE CENTRO OESTE S.A.</v>
          </cell>
          <cell r="G312" t="str">
            <v>33.3.0035290-2</v>
          </cell>
          <cell r="H312" t="str">
            <v>54.104.224/0001-72</v>
          </cell>
          <cell r="I312">
            <v>45350</v>
          </cell>
          <cell r="K312" t="str">
            <v>ATIVA</v>
          </cell>
          <cell r="L312">
            <v>14675540</v>
          </cell>
          <cell r="M312">
            <v>45428</v>
          </cell>
          <cell r="O312" t="str">
            <v>ATIVA</v>
          </cell>
          <cell r="P312" t="str">
            <v>1.517.061-1</v>
          </cell>
          <cell r="Q312">
            <v>45350</v>
          </cell>
          <cell r="S312" t="str">
            <v>ATIVA</v>
          </cell>
          <cell r="T312" t="str">
            <v>R CORREIA VASQUES, 69, 3 ANDAR SALA 304</v>
          </cell>
          <cell r="U312" t="str">
            <v>CIDADE NOVA</v>
          </cell>
          <cell r="V312" t="str">
            <v>RIO DE JANEIRO</v>
          </cell>
          <cell r="W312" t="str">
            <v>20.211-140</v>
          </cell>
          <cell r="X312" t="str">
            <v>S</v>
          </cell>
        </row>
        <row r="313">
          <cell r="A313">
            <v>312</v>
          </cell>
          <cell r="B313" t="str">
            <v>RJ</v>
          </cell>
          <cell r="C313" t="str">
            <v>205-4</v>
          </cell>
          <cell r="D313" t="str">
            <v xml:space="preserve">82.11-3-00  </v>
          </cell>
          <cell r="E313" t="str">
            <v>MATRIZ</v>
          </cell>
          <cell r="F313" t="str">
            <v>CLIENT CO SERVICOS DE REDE NORTE S.A.</v>
          </cell>
          <cell r="G313" t="str">
            <v>33.3.0035239-2</v>
          </cell>
          <cell r="H313" t="str">
            <v>53.420.538/0001-11</v>
          </cell>
          <cell r="I313">
            <v>45300</v>
          </cell>
          <cell r="K313" t="str">
            <v>ATIVA</v>
          </cell>
          <cell r="L313">
            <v>14680667</v>
          </cell>
          <cell r="M313">
            <v>45429</v>
          </cell>
          <cell r="O313" t="str">
            <v>ATIVA</v>
          </cell>
          <cell r="P313" t="str">
            <v>1.509.832-5</v>
          </cell>
          <cell r="Q313">
            <v>45300</v>
          </cell>
          <cell r="S313" t="str">
            <v>ATIVA</v>
          </cell>
          <cell r="T313" t="str">
            <v>R CORREIA VASQUES, 69, 3 ANDAR SALA 301</v>
          </cell>
          <cell r="U313" t="str">
            <v>CIDADE NOVA</v>
          </cell>
          <cell r="V313" t="str">
            <v>RIO DE JANEIRO</v>
          </cell>
          <cell r="W313" t="str">
            <v>20.211-140</v>
          </cell>
          <cell r="X313" t="str">
            <v>S</v>
          </cell>
        </row>
        <row r="314">
          <cell r="A314">
            <v>313</v>
          </cell>
          <cell r="B314" t="str">
            <v>RJ</v>
          </cell>
          <cell r="C314" t="str">
            <v>205-4</v>
          </cell>
          <cell r="D314" t="str">
            <v>61.10-8-03</v>
          </cell>
          <cell r="E314" t="str">
            <v>MATRIZ</v>
          </cell>
          <cell r="F314" t="str">
            <v>OI SERVICOS DE TELEVISAO POR ASSINATURA S.A</v>
          </cell>
          <cell r="G314" t="str">
            <v>33.3.0035193-1</v>
          </cell>
          <cell r="H314" t="str">
            <v>53.059.901/0001-15</v>
          </cell>
          <cell r="I314">
            <v>45260</v>
          </cell>
          <cell r="K314" t="str">
            <v>ATIVA</v>
          </cell>
          <cell r="L314">
            <v>14679740</v>
          </cell>
          <cell r="M314">
            <v>45428</v>
          </cell>
          <cell r="O314" t="str">
            <v>ATIVA</v>
          </cell>
          <cell r="P314" t="str">
            <v>1.505.563-4</v>
          </cell>
          <cell r="Q314">
            <v>45261</v>
          </cell>
          <cell r="S314" t="str">
            <v>ATIVA</v>
          </cell>
          <cell r="T314" t="str">
            <v>R CORREIA VASQUES, 69, 3 ANDAR SALA 303</v>
          </cell>
          <cell r="U314" t="str">
            <v>CIDADE NOVA</v>
          </cell>
          <cell r="V314" t="str">
            <v>RIO DE JANEIRO</v>
          </cell>
          <cell r="W314" t="str">
            <v>20.211-140</v>
          </cell>
          <cell r="X314" t="str">
            <v>S</v>
          </cell>
        </row>
        <row r="315">
          <cell r="A315">
            <v>314</v>
          </cell>
          <cell r="B315" t="str">
            <v>RJ</v>
          </cell>
          <cell r="C315" t="str">
            <v>205-4</v>
          </cell>
          <cell r="D315" t="str">
            <v>61.10-8-03</v>
          </cell>
          <cell r="E315" t="str">
            <v>MATRIZ</v>
          </cell>
          <cell r="F315" t="str">
            <v>TOWERCO 3 INFRAESTRUTURA E PARTICIPACOES S.A</v>
          </cell>
          <cell r="G315" t="str">
            <v>33.3.0035243-1</v>
          </cell>
          <cell r="H315" t="str">
            <v>53.420.963/0001-00</v>
          </cell>
          <cell r="I315">
            <v>45300</v>
          </cell>
          <cell r="K315" t="str">
            <v>ATIVA</v>
          </cell>
          <cell r="L315">
            <v>14673377</v>
          </cell>
          <cell r="M315">
            <v>45427</v>
          </cell>
          <cell r="O315" t="str">
            <v>ATIVA</v>
          </cell>
          <cell r="P315" t="str">
            <v>1.509.868-6</v>
          </cell>
          <cell r="Q315">
            <v>45300</v>
          </cell>
          <cell r="S315" t="str">
            <v>ATIVA</v>
          </cell>
          <cell r="T315" t="str">
            <v>R CORREIA VASQUES, 69, 3 ANDAR SALA 305</v>
          </cell>
          <cell r="U315" t="str">
            <v>CIDADE NOVA</v>
          </cell>
          <cell r="V315" t="str">
            <v>RIO DE JANEIRO</v>
          </cell>
          <cell r="W315" t="str">
            <v>20.211-140</v>
          </cell>
          <cell r="X315" t="str">
            <v>S</v>
          </cell>
        </row>
        <row r="316">
          <cell r="A316">
            <v>315</v>
          </cell>
          <cell r="B316" t="str">
            <v>RJ</v>
          </cell>
          <cell r="C316" t="str">
            <v>205-4</v>
          </cell>
          <cell r="D316" t="str">
            <v>61.10-8-03</v>
          </cell>
          <cell r="E316" t="str">
            <v>MATRIZ</v>
          </cell>
          <cell r="F316" t="str">
            <v>CLIENT CO SERVICOS DE REDE NORDESTE S.A.</v>
          </cell>
          <cell r="G316" t="str">
            <v>33.3.0035244-9</v>
          </cell>
          <cell r="H316" t="str">
            <v>53.420.564/0001-40</v>
          </cell>
          <cell r="I316">
            <v>45300</v>
          </cell>
          <cell r="K316" t="str">
            <v>ATIVA</v>
          </cell>
          <cell r="L316">
            <v>14674187</v>
          </cell>
          <cell r="M316">
            <v>45427</v>
          </cell>
          <cell r="O316" t="str">
            <v>ATIVA</v>
          </cell>
          <cell r="P316" t="str">
            <v>1.509.820-1</v>
          </cell>
          <cell r="Q316">
            <v>45300</v>
          </cell>
          <cell r="S316" t="str">
            <v>ATIVA</v>
          </cell>
          <cell r="T316" t="str">
            <v>R CORREIA VASQUES, 69, 3 ANDAR SALA 302</v>
          </cell>
          <cell r="U316" t="str">
            <v>CIDADE NOVA</v>
          </cell>
          <cell r="V316" t="str">
            <v>RIO DE JANEIRO</v>
          </cell>
          <cell r="W316" t="str">
            <v>20.211-140</v>
          </cell>
          <cell r="X316" t="str">
            <v>S</v>
          </cell>
        </row>
        <row r="317">
          <cell r="A317">
            <v>316</v>
          </cell>
          <cell r="B317" t="str">
            <v>AC</v>
          </cell>
          <cell r="C317" t="str">
            <v>205-4</v>
          </cell>
          <cell r="D317" t="str">
            <v>61.10-8-03</v>
          </cell>
          <cell r="E317" t="str">
            <v>FILIAL</v>
          </cell>
          <cell r="F317" t="str">
            <v>CLIENT CO SERVICOS DE REDE NORTE S.A.</v>
          </cell>
          <cell r="G317">
            <v>12920005861</v>
          </cell>
          <cell r="H317" t="str">
            <v>53.420.538/0002-00</v>
          </cell>
          <cell r="I317">
            <v>45468</v>
          </cell>
          <cell r="K317" t="str">
            <v>ATIVA</v>
          </cell>
          <cell r="L317" t="str">
            <v>01.094.912/001-10</v>
          </cell>
          <cell r="M317">
            <v>45468</v>
          </cell>
          <cell r="O317" t="str">
            <v>ATIVA</v>
          </cell>
          <cell r="P317">
            <v>53420538000200</v>
          </cell>
          <cell r="Q317">
            <v>45481</v>
          </cell>
          <cell r="S317" t="str">
            <v>ATIVA</v>
          </cell>
          <cell r="T317" t="str">
            <v>AV BRASIL, 381, ANDAR 1 SALA 02</v>
          </cell>
          <cell r="U317" t="str">
            <v>CENTRO</v>
          </cell>
          <cell r="V317" t="str">
            <v>RIO BRANCO</v>
          </cell>
          <cell r="W317" t="str">
            <v>69.900-076</v>
          </cell>
          <cell r="X317" t="str">
            <v>S</v>
          </cell>
        </row>
        <row r="318">
          <cell r="A318">
            <v>317</v>
          </cell>
          <cell r="B318" t="str">
            <v>RO</v>
          </cell>
          <cell r="C318" t="str">
            <v>205-4</v>
          </cell>
          <cell r="D318" t="str">
            <v>82.11-3-00</v>
          </cell>
          <cell r="E318" t="str">
            <v>FILIAL</v>
          </cell>
          <cell r="F318" t="str">
            <v>CLIENT CO SERVICOS DE REDE NORTE S.A.</v>
          </cell>
          <cell r="G318">
            <v>11900258640</v>
          </cell>
          <cell r="H318" t="str">
            <v>53.420.538/0003-83</v>
          </cell>
          <cell r="I318">
            <v>45468</v>
          </cell>
          <cell r="K318" t="str">
            <v>ATIVA</v>
          </cell>
          <cell r="L318">
            <v>7017642</v>
          </cell>
          <cell r="M318">
            <v>45468</v>
          </cell>
          <cell r="O318" t="str">
            <v>ATIVA</v>
          </cell>
          <cell r="P318">
            <v>42365244</v>
          </cell>
          <cell r="Q318">
            <v>45471</v>
          </cell>
          <cell r="S318" t="str">
            <v>ATIVA</v>
          </cell>
          <cell r="T318" t="str">
            <v>R DOM PEDRO II, 1213, ANDAR 1 MZNINOMEZANINO SALA 10</v>
          </cell>
          <cell r="U318" t="str">
            <v>CENTRO</v>
          </cell>
          <cell r="V318" t="str">
            <v>PORTO VELHO</v>
          </cell>
          <cell r="W318" t="str">
            <v>76.801-102</v>
          </cell>
          <cell r="X318" t="str">
            <v>S</v>
          </cell>
        </row>
        <row r="319">
          <cell r="A319">
            <v>318</v>
          </cell>
          <cell r="B319" t="str">
            <v>ES</v>
          </cell>
          <cell r="C319" t="str">
            <v>205-4</v>
          </cell>
          <cell r="D319" t="str">
            <v>61.10-8-03</v>
          </cell>
          <cell r="E319" t="str">
            <v>FILIAL</v>
          </cell>
          <cell r="F319" t="str">
            <v>TOWERCO 3 INFRAESTRUTURA E PARTICIPACOES S.A</v>
          </cell>
          <cell r="G319">
            <v>32900713999</v>
          </cell>
          <cell r="H319" t="str">
            <v>53.420.963/0002-91</v>
          </cell>
          <cell r="I319">
            <v>45467</v>
          </cell>
          <cell r="K319" t="str">
            <v>ATIVA</v>
          </cell>
          <cell r="L319" t="str">
            <v>084.297.34-4</v>
          </cell>
          <cell r="M319">
            <v>45469</v>
          </cell>
          <cell r="O319" t="str">
            <v>ATIVA</v>
          </cell>
          <cell r="P319" t="str">
            <v>132.817-2</v>
          </cell>
          <cell r="Q319">
            <v>45467</v>
          </cell>
          <cell r="S319" t="str">
            <v>ATIVA</v>
          </cell>
          <cell r="T319" t="str">
            <v>R DO ROSARIO, 150, ANDAR 8 SALA 801</v>
          </cell>
          <cell r="U319" t="str">
            <v>CENTRO</v>
          </cell>
          <cell r="V319" t="str">
            <v>VITÓRIA</v>
          </cell>
          <cell r="W319" t="str">
            <v>29.016-095</v>
          </cell>
          <cell r="X319" t="str">
            <v>S</v>
          </cell>
        </row>
        <row r="320">
          <cell r="A320">
            <v>319</v>
          </cell>
          <cell r="B320" t="str">
            <v>GO</v>
          </cell>
          <cell r="C320" t="str">
            <v>205-4</v>
          </cell>
          <cell r="D320" t="str">
            <v>61.10-8-03</v>
          </cell>
          <cell r="E320" t="str">
            <v>FILIAL</v>
          </cell>
          <cell r="F320" t="str">
            <v>CLIENT CO SERVICOS DE REDE CENTRO OESTE S.A.</v>
          </cell>
          <cell r="G320">
            <v>52901715096</v>
          </cell>
          <cell r="H320" t="str">
            <v>54.104.224/0002-53</v>
          </cell>
          <cell r="I320">
            <v>45468</v>
          </cell>
          <cell r="K320" t="str">
            <v>ATIVA</v>
          </cell>
          <cell r="L320" t="str">
            <v>20.162020-0</v>
          </cell>
          <cell r="M320">
            <v>45474</v>
          </cell>
          <cell r="O320" t="str">
            <v>ATIVA</v>
          </cell>
          <cell r="P320">
            <v>6673643</v>
          </cell>
          <cell r="Q320">
            <v>45511</v>
          </cell>
          <cell r="S320" t="str">
            <v>ATIVA</v>
          </cell>
          <cell r="T320" t="str">
            <v>R 3 C/7, 696, QUADRA08 LOTE 65/41/67 ANDAR 01 SALA 01</v>
          </cell>
          <cell r="U320" t="str">
            <v>SET CENTRAL</v>
          </cell>
          <cell r="V320" t="str">
            <v>GOIANIA</v>
          </cell>
          <cell r="W320" t="str">
            <v>74.030-071</v>
          </cell>
          <cell r="X320" t="str">
            <v>S</v>
          </cell>
        </row>
        <row r="321">
          <cell r="A321">
            <v>320</v>
          </cell>
          <cell r="B321" t="str">
            <v>MG</v>
          </cell>
          <cell r="C321" t="str">
            <v>205-4</v>
          </cell>
          <cell r="D321" t="str">
            <v>61.10-8-03</v>
          </cell>
          <cell r="E321" t="str">
            <v>FILIAL</v>
          </cell>
          <cell r="F321" t="str">
            <v>CLIENT CO SERVICOS DE REDE CENTRO OESTE S.A.</v>
          </cell>
          <cell r="G321">
            <v>31920147335</v>
          </cell>
          <cell r="H321" t="str">
            <v>54.104.224/0003-34</v>
          </cell>
          <cell r="I321">
            <v>45468</v>
          </cell>
          <cell r="K321" t="str">
            <v>ATIVA</v>
          </cell>
          <cell r="L321">
            <v>49256120003</v>
          </cell>
          <cell r="M321">
            <v>45468</v>
          </cell>
          <cell r="O321" t="str">
            <v>ATIVA</v>
          </cell>
          <cell r="P321">
            <v>15707200014</v>
          </cell>
          <cell r="Q321">
            <v>45468</v>
          </cell>
          <cell r="S321" t="str">
            <v>ATIVA</v>
          </cell>
          <cell r="T321" t="str">
            <v>PC MILTON CAMPOS, 16, ANDAR 4 SALA 401</v>
          </cell>
          <cell r="U321" t="str">
            <v>CRUZEIRO</v>
          </cell>
          <cell r="V321" t="str">
            <v>BELO HORIZONTE</v>
          </cell>
          <cell r="W321" t="str">
            <v>30.130-040</v>
          </cell>
          <cell r="X321" t="str">
            <v>S</v>
          </cell>
        </row>
        <row r="322">
          <cell r="A322">
            <v>321</v>
          </cell>
          <cell r="B322" t="str">
            <v>PR</v>
          </cell>
          <cell r="C322" t="str">
            <v>205-4</v>
          </cell>
          <cell r="D322" t="str">
            <v>61.10-8-03</v>
          </cell>
          <cell r="E322" t="str">
            <v>FILIAL</v>
          </cell>
          <cell r="F322" t="str">
            <v>OI SERVICOS DE TELEVISAO POR ASSINATURA S.A</v>
          </cell>
          <cell r="G322">
            <v>41902021226</v>
          </cell>
          <cell r="H322" t="str">
            <v>53.059.901/0002-04</v>
          </cell>
          <cell r="I322">
            <v>45468</v>
          </cell>
          <cell r="K322" t="str">
            <v>ATIVA</v>
          </cell>
          <cell r="L322" t="str">
            <v>91089689-04</v>
          </cell>
          <cell r="M322">
            <v>45505</v>
          </cell>
          <cell r="O322" t="str">
            <v>ATIVA</v>
          </cell>
          <cell r="P322" t="str">
            <v>07 02 1.174.131-0</v>
          </cell>
          <cell r="Q322">
            <v>45474</v>
          </cell>
          <cell r="S322" t="str">
            <v>ATIVA</v>
          </cell>
          <cell r="T322" t="str">
            <v>R VISCONDE DE NACAR, 1421</v>
          </cell>
          <cell r="U322" t="str">
            <v>CENTRO</v>
          </cell>
          <cell r="V322" t="str">
            <v>CURITIBA</v>
          </cell>
          <cell r="W322" t="str">
            <v>80.410-201</v>
          </cell>
          <cell r="X322" t="str">
            <v>S</v>
          </cell>
        </row>
        <row r="323">
          <cell r="A323">
            <v>322</v>
          </cell>
          <cell r="B323" t="str">
            <v>SC</v>
          </cell>
          <cell r="C323" t="str">
            <v>205-4</v>
          </cell>
          <cell r="D323" t="str">
            <v>61.10-8-03</v>
          </cell>
          <cell r="E323" t="str">
            <v>FILIAL</v>
          </cell>
          <cell r="F323" t="str">
            <v>OI SERVICOS DE TELEVISAO POR ASSINATURA S.A</v>
          </cell>
          <cell r="G323">
            <v>42902155053</v>
          </cell>
          <cell r="H323" t="str">
            <v>53.059.901/0003-87</v>
          </cell>
          <cell r="I323">
            <v>45468</v>
          </cell>
          <cell r="K323" t="str">
            <v>ATIVA</v>
          </cell>
          <cell r="L323">
            <v>263003248</v>
          </cell>
          <cell r="M323">
            <v>45468</v>
          </cell>
          <cell r="O323" t="str">
            <v>ATIVA</v>
          </cell>
          <cell r="P323">
            <v>8234795</v>
          </cell>
          <cell r="Q323">
            <v>45468</v>
          </cell>
          <cell r="S323" t="str">
            <v>ATIVA</v>
          </cell>
          <cell r="T323" t="str">
            <v>R LAURO LINHARES, 1729, ANDAR 1 SALA 101</v>
          </cell>
          <cell r="U323" t="str">
            <v>TRINDADE</v>
          </cell>
          <cell r="V323" t="str">
            <v>FLORIANOPOLIS</v>
          </cell>
          <cell r="W323" t="str">
            <v>88.036-002</v>
          </cell>
          <cell r="X323" t="str">
            <v>S</v>
          </cell>
        </row>
        <row r="324">
          <cell r="A324">
            <v>323</v>
          </cell>
          <cell r="B324" t="str">
            <v>BA</v>
          </cell>
          <cell r="C324" t="str">
            <v>205-4</v>
          </cell>
          <cell r="D324" t="str">
            <v>61.10-8-03</v>
          </cell>
          <cell r="E324" t="str">
            <v>FILIAL</v>
          </cell>
          <cell r="F324" t="str">
            <v>CLIENT CO SERVICOS DE REDE NORDESTE S.A.</v>
          </cell>
          <cell r="G324">
            <v>29902083036</v>
          </cell>
          <cell r="H324" t="str">
            <v>53.420.564/0002-20</v>
          </cell>
          <cell r="I324">
            <v>45467</v>
          </cell>
          <cell r="K324" t="str">
            <v>ATIVA</v>
          </cell>
          <cell r="L324">
            <v>219946612</v>
          </cell>
          <cell r="M324">
            <v>45476</v>
          </cell>
          <cell r="O324" t="str">
            <v>ATIVA</v>
          </cell>
          <cell r="P324" t="str">
            <v>068.414/001-50</v>
          </cell>
          <cell r="Q324">
            <v>45467</v>
          </cell>
          <cell r="S324" t="str">
            <v>ATIVA</v>
          </cell>
          <cell r="T324" t="str">
            <v>AV ANTONIO CARLOS MAGALHAES, 881, EDIF TELEMAR NORTE LESTE S/A BLOCO C PAVMTO 01 SALA 01</v>
          </cell>
          <cell r="U324" t="str">
            <v>ITAIGARA</v>
          </cell>
          <cell r="V324" t="str">
            <v>SALVADOR</v>
          </cell>
          <cell r="W324" t="str">
            <v>41.825-000</v>
          </cell>
          <cell r="X324" t="str">
            <v>S</v>
          </cell>
        </row>
        <row r="325">
          <cell r="A325">
            <v>324</v>
          </cell>
          <cell r="B325" t="str">
            <v>CE</v>
          </cell>
          <cell r="C325" t="str">
            <v>205-4</v>
          </cell>
          <cell r="D325" t="str">
            <v>61.10-8-03</v>
          </cell>
          <cell r="E325" t="str">
            <v>FILIAL</v>
          </cell>
          <cell r="F325" t="str">
            <v>CLIENT CO SERVICOS DE REDE NORDESTE S.A.</v>
          </cell>
          <cell r="G325">
            <v>23920040810</v>
          </cell>
          <cell r="H325" t="str">
            <v>53.420.564/0003-01</v>
          </cell>
          <cell r="I325">
            <v>45467</v>
          </cell>
          <cell r="K325" t="str">
            <v>ATIVA</v>
          </cell>
          <cell r="L325" t="str">
            <v>07.198.256-6</v>
          </cell>
          <cell r="M325">
            <v>45469</v>
          </cell>
          <cell r="O325" t="str">
            <v>ATIVA</v>
          </cell>
          <cell r="P325" t="str">
            <v>938623-8</v>
          </cell>
          <cell r="Q325">
            <v>45467</v>
          </cell>
          <cell r="S325" t="str">
            <v>ATIVA</v>
          </cell>
          <cell r="T325" t="str">
            <v>R SENA MADUREIRA, 1020, TERREO SALA 103</v>
          </cell>
          <cell r="U325" t="str">
            <v>CENTRO</v>
          </cell>
          <cell r="V325" t="str">
            <v>FORTALEZA</v>
          </cell>
          <cell r="W325" t="str">
            <v>60.055-080</v>
          </cell>
          <cell r="X325" t="str">
            <v>S</v>
          </cell>
        </row>
        <row r="326">
          <cell r="A326">
            <v>325</v>
          </cell>
          <cell r="B326" t="str">
            <v>MA</v>
          </cell>
          <cell r="C326" t="str">
            <v>205-4</v>
          </cell>
          <cell r="D326" t="str">
            <v>61.10-8-03</v>
          </cell>
          <cell r="E326" t="str">
            <v>FILIAL</v>
          </cell>
          <cell r="F326" t="str">
            <v>CLIENT CO SERVICOS DE REDE NORDESTE S.A.</v>
          </cell>
          <cell r="G326">
            <v>21900615262</v>
          </cell>
          <cell r="H326" t="str">
            <v>53.420.564/0004-92</v>
          </cell>
          <cell r="I326">
            <v>45467</v>
          </cell>
          <cell r="K326" t="str">
            <v>ATIVA</v>
          </cell>
          <cell r="L326">
            <v>128609338</v>
          </cell>
          <cell r="M326">
            <v>45467</v>
          </cell>
          <cell r="O326" t="str">
            <v>ATIVA</v>
          </cell>
          <cell r="P326">
            <v>3682455071</v>
          </cell>
          <cell r="Q326">
            <v>45467</v>
          </cell>
          <cell r="S326" t="str">
            <v>ATIVA</v>
          </cell>
          <cell r="T326" t="str">
            <v>AV DANIEL DE LA TOUCHE, AREA 03 - LADO I, Nº 31</v>
          </cell>
          <cell r="U326" t="str">
            <v>COHAMA</v>
          </cell>
          <cell r="V326" t="str">
            <v>SÃO LUIS</v>
          </cell>
          <cell r="W326" t="str">
            <v>65.074-115</v>
          </cell>
          <cell r="X326" t="str">
            <v>S</v>
          </cell>
        </row>
        <row r="327">
          <cell r="A327">
            <v>326</v>
          </cell>
          <cell r="B327" t="str">
            <v>GO</v>
          </cell>
          <cell r="C327" t="str">
            <v>205-4</v>
          </cell>
          <cell r="D327" t="str">
            <v>61.10-8-03</v>
          </cell>
          <cell r="E327" t="str">
            <v>FILIAL</v>
          </cell>
          <cell r="F327" t="str">
            <v>OI SERVICOS DE TELEVISAO POR ASSINATURA S.A</v>
          </cell>
          <cell r="G327">
            <v>52901715592</v>
          </cell>
          <cell r="H327" t="str">
            <v>53.059.901/0004-68</v>
          </cell>
          <cell r="I327">
            <v>45475</v>
          </cell>
          <cell r="K327" t="str">
            <v>ATIVA</v>
          </cell>
          <cell r="L327" t="str">
            <v>20.164357-0</v>
          </cell>
          <cell r="M327">
            <v>45475</v>
          </cell>
          <cell r="O327" t="str">
            <v>ATIVA</v>
          </cell>
          <cell r="P327">
            <v>6646115</v>
          </cell>
          <cell r="Q327">
            <v>45484</v>
          </cell>
          <cell r="S327" t="str">
            <v>ATIVA</v>
          </cell>
          <cell r="T327" t="str">
            <v>R 3 C/7, 696, QUADRA08 LOTE 65/41/67 ANDAR 4 SALA
401</v>
          </cell>
          <cell r="U327" t="str">
            <v>SET CENTRAL</v>
          </cell>
          <cell r="V327" t="str">
            <v>GOIANIA</v>
          </cell>
          <cell r="W327" t="str">
            <v>74.030-071</v>
          </cell>
          <cell r="X327" t="str">
            <v>S</v>
          </cell>
        </row>
        <row r="328">
          <cell r="A328">
            <v>327</v>
          </cell>
          <cell r="B328" t="str">
            <v>GO</v>
          </cell>
          <cell r="C328" t="str">
            <v>205-4</v>
          </cell>
          <cell r="D328" t="str">
            <v>61.10-8-03</v>
          </cell>
          <cell r="E328" t="str">
            <v>FILIAL</v>
          </cell>
          <cell r="F328" t="str">
            <v>TOWERCO 3 INFRAESTRUTURA E PARTICIPACOES S.A</v>
          </cell>
          <cell r="G328">
            <v>52901715606</v>
          </cell>
          <cell r="H328" t="str">
            <v>53.420.963/0003-72</v>
          </cell>
          <cell r="I328">
            <v>45475</v>
          </cell>
          <cell r="K328" t="str">
            <v>ATIVA</v>
          </cell>
          <cell r="L328" t="str">
            <v>20.164362-6</v>
          </cell>
          <cell r="M328">
            <v>45475</v>
          </cell>
          <cell r="O328" t="str">
            <v>ATIVA</v>
          </cell>
          <cell r="P328">
            <v>6646085</v>
          </cell>
          <cell r="Q328">
            <v>45484</v>
          </cell>
          <cell r="S328" t="str">
            <v>ATIVA</v>
          </cell>
          <cell r="T328" t="str">
            <v>R 3 C/7, 696, QUADRA08 LOTE 65/41/67 ANDAR 4 SALA
402</v>
          </cell>
          <cell r="U328" t="str">
            <v>SET CENTRAL</v>
          </cell>
          <cell r="V328" t="str">
            <v>GOIANIA</v>
          </cell>
          <cell r="W328" t="str">
            <v>74.030-071</v>
          </cell>
          <cell r="X328" t="str">
            <v>S</v>
          </cell>
        </row>
        <row r="329">
          <cell r="A329">
            <v>328</v>
          </cell>
          <cell r="B329" t="str">
            <v xml:space="preserve">PI </v>
          </cell>
          <cell r="C329" t="str">
            <v>205-4</v>
          </cell>
          <cell r="D329" t="str">
            <v>61.10-8-03</v>
          </cell>
          <cell r="E329" t="str">
            <v>FILIAL</v>
          </cell>
          <cell r="F329" t="str">
            <v>CLIENT CO SERVICOS DE REDE NORDESTE S.A.</v>
          </cell>
          <cell r="G329">
            <v>22900456327</v>
          </cell>
          <cell r="H329" t="str">
            <v>53.420.564/0006-54</v>
          </cell>
          <cell r="I329">
            <v>45490</v>
          </cell>
          <cell r="K329" t="str">
            <v>ATIVA</v>
          </cell>
          <cell r="L329">
            <v>197668283</v>
          </cell>
          <cell r="M329">
            <v>45496</v>
          </cell>
          <cell r="O329" t="str">
            <v>ATIVA</v>
          </cell>
          <cell r="P329" t="str">
            <v xml:space="preserve"> 694.247-4</v>
          </cell>
          <cell r="Q329">
            <v>45490</v>
          </cell>
          <cell r="S329" t="str">
            <v>ATIVA</v>
          </cell>
          <cell r="T329" t="str">
            <v>AV FREI SERAFIM, 1782, ANDAR 5 SALA 501</v>
          </cell>
          <cell r="U329" t="str">
            <v>CENTRO</v>
          </cell>
          <cell r="V329" t="str">
            <v>TERESINA</v>
          </cell>
          <cell r="W329" t="str">
            <v>64.001-540</v>
          </cell>
          <cell r="X329" t="str">
            <v>S</v>
          </cell>
        </row>
        <row r="330">
          <cell r="A330">
            <v>329</v>
          </cell>
          <cell r="B330" t="str">
            <v>RS</v>
          </cell>
          <cell r="C330" t="str">
            <v>205-4</v>
          </cell>
          <cell r="D330" t="str">
            <v>61.10-8-03</v>
          </cell>
          <cell r="E330" t="str">
            <v>FILIAL</v>
          </cell>
          <cell r="F330" t="str">
            <v>CLIENT CO SERVICOS DE REDE NORDESTE S.A.</v>
          </cell>
          <cell r="G330">
            <v>43920073960</v>
          </cell>
          <cell r="H330" t="str">
            <v>53.420.564/0007-35</v>
          </cell>
          <cell r="I330">
            <v>45496</v>
          </cell>
          <cell r="K330" t="str">
            <v>ATIVA</v>
          </cell>
          <cell r="L330" t="str">
            <v>096/4021072</v>
          </cell>
          <cell r="M330">
            <v>45499</v>
          </cell>
          <cell r="O330" t="str">
            <v>ATIVA</v>
          </cell>
          <cell r="P330" t="str">
            <v>792.663.2.0</v>
          </cell>
          <cell r="Q330">
            <v>45503</v>
          </cell>
          <cell r="S330" t="str">
            <v>ATIVA</v>
          </cell>
          <cell r="T330" t="str">
            <v>AV PROTASIO ALVES, 4809, ANDAR 1 SALA 102</v>
          </cell>
          <cell r="U330" t="str">
            <v>BOM JESUS</v>
          </cell>
          <cell r="V330" t="str">
            <v>PORTO ALEGRE</v>
          </cell>
          <cell r="W330" t="str">
            <v>91.310-002</v>
          </cell>
          <cell r="X330" t="str">
            <v>S</v>
          </cell>
        </row>
        <row r="331">
          <cell r="A331">
            <v>330</v>
          </cell>
          <cell r="B331" t="str">
            <v>PA</v>
          </cell>
          <cell r="C331" t="str">
            <v>205-4</v>
          </cell>
          <cell r="D331" t="str">
            <v>61.10-8-03</v>
          </cell>
          <cell r="E331" t="str">
            <v>FILIAL</v>
          </cell>
          <cell r="F331" t="str">
            <v>CLIENT CO SERVICOS DE REDE NORDESTE S.A.</v>
          </cell>
          <cell r="G331">
            <v>15902055014</v>
          </cell>
          <cell r="H331" t="str">
            <v>53.420.564/0008-16</v>
          </cell>
          <cell r="I331">
            <v>45496</v>
          </cell>
          <cell r="K331" t="str">
            <v>ATIVA</v>
          </cell>
          <cell r="L331" t="str">
            <v>15.973.629-3</v>
          </cell>
          <cell r="M331">
            <v>45524</v>
          </cell>
          <cell r="O331" t="str">
            <v>ATIVA</v>
          </cell>
          <cell r="P331" t="str">
            <v>481.926-5</v>
          </cell>
          <cell r="Q331">
            <v>45496</v>
          </cell>
          <cell r="S331" t="str">
            <v>ATIVA</v>
          </cell>
          <cell r="T331" t="str">
            <v>TV DOUTOR MORAES, 121, SALA 02</v>
          </cell>
          <cell r="U331" t="str">
            <v>NAZARE</v>
          </cell>
          <cell r="V331" t="str">
            <v>BELEM</v>
          </cell>
          <cell r="W331" t="str">
            <v>66.035-080</v>
          </cell>
          <cell r="X331" t="str">
            <v>S</v>
          </cell>
        </row>
        <row r="332">
          <cell r="A332">
            <v>331</v>
          </cell>
          <cell r="B332" t="str">
            <v>TO</v>
          </cell>
          <cell r="C332" t="str">
            <v>205-4</v>
          </cell>
          <cell r="D332" t="str">
            <v>61.10-8-03</v>
          </cell>
          <cell r="E332" t="str">
            <v>FILIAL</v>
          </cell>
          <cell r="F332" t="str">
            <v>CLIENT CO SERVICOS DE REDE NORDESTE S.A.</v>
          </cell>
          <cell r="G332">
            <v>17900409694</v>
          </cell>
          <cell r="H332" t="str">
            <v>53.420.564/0009-05</v>
          </cell>
          <cell r="I332">
            <v>45498</v>
          </cell>
          <cell r="K332" t="str">
            <v>ATIVA</v>
          </cell>
          <cell r="L332" t="str">
            <v>29.545.419-9</v>
          </cell>
          <cell r="M332">
            <v>45583</v>
          </cell>
          <cell r="O332" t="str">
            <v>ATIVA</v>
          </cell>
          <cell r="P332">
            <v>2464310</v>
          </cell>
          <cell r="Q332">
            <v>45498</v>
          </cell>
          <cell r="S332" t="str">
            <v>ATIVA</v>
          </cell>
          <cell r="T332" t="str">
            <v>Q ACSU SO 20 AVENIDA NS A, SN, CONJ 02 LOTE 06 ANEXO 1 ANDAR TERRO SALA 04</v>
          </cell>
          <cell r="U332" t="str">
            <v>PLANO DIRETOR SUL</v>
          </cell>
          <cell r="V332" t="str">
            <v>PALMAS</v>
          </cell>
          <cell r="W332" t="str">
            <v>77.015-205</v>
          </cell>
          <cell r="X332" t="str">
            <v>S</v>
          </cell>
        </row>
        <row r="333">
          <cell r="A333">
            <v>332</v>
          </cell>
          <cell r="B333" t="str">
            <v>MG</v>
          </cell>
          <cell r="C333" t="str">
            <v>205-4</v>
          </cell>
          <cell r="D333" t="str">
            <v>61.10-8-03</v>
          </cell>
          <cell r="E333" t="str">
            <v>FILIAL</v>
          </cell>
          <cell r="F333" t="str">
            <v>CLIENT CO SERVICOS DE REDE NORDESTE S.A.</v>
          </cell>
          <cell r="G333">
            <v>31920150859</v>
          </cell>
          <cell r="H333" t="str">
            <v>53.420.564/0010-30</v>
          </cell>
          <cell r="I333">
            <v>45498</v>
          </cell>
          <cell r="K333" t="str">
            <v>ATIVA</v>
          </cell>
          <cell r="L333">
            <v>49522090018</v>
          </cell>
          <cell r="M333">
            <v>45498</v>
          </cell>
          <cell r="O333" t="str">
            <v>ATIVA</v>
          </cell>
          <cell r="P333">
            <v>15790810016</v>
          </cell>
          <cell r="Q333">
            <v>45498</v>
          </cell>
          <cell r="S333" t="str">
            <v>ATIVA</v>
          </cell>
          <cell r="T333" t="str">
            <v>PC MILTON CAMPOS, 16, ANDAR 4 SALA 402</v>
          </cell>
          <cell r="U333" t="str">
            <v>CRUZEIRO</v>
          </cell>
          <cell r="V333" t="str">
            <v>BELO HORIZONTE</v>
          </cell>
          <cell r="W333" t="str">
            <v>30.130-040</v>
          </cell>
          <cell r="X333" t="str">
            <v>S</v>
          </cell>
        </row>
        <row r="334">
          <cell r="A334">
            <v>333</v>
          </cell>
          <cell r="B334" t="str">
            <v>SC</v>
          </cell>
          <cell r="C334" t="str">
            <v>205-4</v>
          </cell>
          <cell r="D334" t="str">
            <v>61.10-8-03</v>
          </cell>
          <cell r="E334" t="str">
            <v>FILIAL</v>
          </cell>
          <cell r="F334" t="str">
            <v>CLIENT CO SERVICOS DE REDE NORDESTE S.A.</v>
          </cell>
          <cell r="G334">
            <v>42902158419</v>
          </cell>
          <cell r="H334" t="str">
            <v>53.420.564/0011-11</v>
          </cell>
          <cell r="I334">
            <v>45498</v>
          </cell>
          <cell r="K334" t="str">
            <v>ATIVA</v>
          </cell>
          <cell r="L334">
            <v>263059430</v>
          </cell>
          <cell r="M334">
            <v>45498</v>
          </cell>
          <cell r="O334" t="str">
            <v>ATIVA</v>
          </cell>
          <cell r="P334">
            <v>8238058</v>
          </cell>
          <cell r="Q334">
            <v>45498</v>
          </cell>
          <cell r="S334" t="str">
            <v>ATIVA</v>
          </cell>
          <cell r="T334" t="str">
            <v>R LAURO LINHARES, 1729, ANDAR 1 SALA 102</v>
          </cell>
          <cell r="U334" t="str">
            <v>TRINDADE</v>
          </cell>
          <cell r="V334" t="str">
            <v>FLORIANOPOLIS</v>
          </cell>
          <cell r="W334" t="str">
            <v>88.036-002</v>
          </cell>
          <cell r="X334" t="str">
            <v>S</v>
          </cell>
        </row>
        <row r="335">
          <cell r="A335">
            <v>334</v>
          </cell>
          <cell r="B335" t="str">
            <v>RO</v>
          </cell>
          <cell r="C335" t="str">
            <v>205-4</v>
          </cell>
          <cell r="D335" t="str">
            <v>61.10-8-03</v>
          </cell>
          <cell r="E335" t="str">
            <v>FILIAL</v>
          </cell>
          <cell r="F335" t="str">
            <v>CLIENT CO SERVICOS DE REDE NORDESTE S.A.</v>
          </cell>
          <cell r="G335">
            <v>11900259182</v>
          </cell>
          <cell r="H335" t="str">
            <v>53.420.564/0012-00</v>
          </cell>
          <cell r="I335">
            <v>45498</v>
          </cell>
          <cell r="K335" t="str">
            <v>ATIVA</v>
          </cell>
          <cell r="L335" t="str">
            <v>00000007045263</v>
          </cell>
          <cell r="M335">
            <v>45498</v>
          </cell>
          <cell r="O335" t="str">
            <v>ATIVA</v>
          </cell>
          <cell r="P335">
            <v>42365613</v>
          </cell>
          <cell r="Q335">
            <v>45502</v>
          </cell>
          <cell r="S335" t="str">
            <v>ATIVA</v>
          </cell>
          <cell r="T335" t="str">
            <v>R DOM PEDRO II, 1213, SALA 5</v>
          </cell>
          <cell r="U335" t="str">
            <v>CENTRO</v>
          </cell>
          <cell r="V335" t="str">
            <v>PORTO VELHO</v>
          </cell>
          <cell r="W335" t="str">
            <v>76.801-102</v>
          </cell>
          <cell r="X335" t="str">
            <v>S</v>
          </cell>
        </row>
        <row r="336">
          <cell r="A336">
            <v>335</v>
          </cell>
          <cell r="B336" t="str">
            <v>AC</v>
          </cell>
          <cell r="C336" t="str">
            <v>205-4</v>
          </cell>
          <cell r="D336" t="str">
            <v>61.10-8-03</v>
          </cell>
          <cell r="E336" t="str">
            <v>FILIAL</v>
          </cell>
          <cell r="F336" t="str">
            <v>CLIENT CO SERVICOS DE REDE NORDESTE S.A.</v>
          </cell>
          <cell r="G336">
            <v>12920006078</v>
          </cell>
          <cell r="H336" t="str">
            <v>53.420.564/0013-83</v>
          </cell>
          <cell r="I336">
            <v>45498</v>
          </cell>
          <cell r="K336" t="str">
            <v>ATIVA</v>
          </cell>
          <cell r="L336" t="str">
            <v>01.095.663/001-17</v>
          </cell>
          <cell r="M336">
            <v>45498</v>
          </cell>
          <cell r="O336" t="str">
            <v>ATIVA</v>
          </cell>
          <cell r="P336">
            <v>53420564001383</v>
          </cell>
          <cell r="Q336">
            <v>45503</v>
          </cell>
          <cell r="S336" t="str">
            <v>ATIVA</v>
          </cell>
          <cell r="T336" t="str">
            <v>AV BRASIL, 381, TERREOSALA 01</v>
          </cell>
          <cell r="U336" t="str">
            <v>CENTRO</v>
          </cell>
          <cell r="V336" t="str">
            <v>RIO BRANCO</v>
          </cell>
          <cell r="W336" t="str">
            <v>69.900-076</v>
          </cell>
          <cell r="X336" t="str">
            <v>S</v>
          </cell>
        </row>
        <row r="337">
          <cell r="A337">
            <v>336</v>
          </cell>
          <cell r="B337" t="str">
            <v>PR</v>
          </cell>
          <cell r="C337" t="str">
            <v>205-4</v>
          </cell>
          <cell r="D337" t="str">
            <v>61.10-8-03</v>
          </cell>
          <cell r="E337" t="str">
            <v>FILIAL</v>
          </cell>
          <cell r="F337" t="str">
            <v>CLIENT CO SERVICOS DE REDE NORDESTE S.A.</v>
          </cell>
          <cell r="G337">
            <v>41902023512</v>
          </cell>
          <cell r="H337" t="str">
            <v>53.420.564/0014-64</v>
          </cell>
          <cell r="I337">
            <v>45498</v>
          </cell>
          <cell r="K337" t="str">
            <v>ATIVA</v>
          </cell>
          <cell r="L337" t="str">
            <v>91103887-02</v>
          </cell>
          <cell r="M337">
            <v>45586</v>
          </cell>
          <cell r="O337" t="str">
            <v>ATIVA</v>
          </cell>
          <cell r="P337" t="str">
            <v>07 02 1.180.408-0</v>
          </cell>
          <cell r="Q337">
            <v>45538</v>
          </cell>
          <cell r="S337" t="str">
            <v>ATIVA</v>
          </cell>
          <cell r="T337" t="str">
            <v>R VISCONDE DE NACAR, 1421</v>
          </cell>
          <cell r="U337" t="str">
            <v>CENTRO</v>
          </cell>
          <cell r="V337" t="str">
            <v>CURITIBA</v>
          </cell>
          <cell r="W337" t="str">
            <v>80.410-201</v>
          </cell>
          <cell r="X337" t="str">
            <v>S</v>
          </cell>
        </row>
        <row r="338">
          <cell r="A338">
            <v>337</v>
          </cell>
          <cell r="B338" t="str">
            <v>ES</v>
          </cell>
          <cell r="C338" t="str">
            <v>205-4</v>
          </cell>
          <cell r="D338" t="str">
            <v>61.10-8-03</v>
          </cell>
          <cell r="E338" t="str">
            <v>FILIAL</v>
          </cell>
          <cell r="F338" t="str">
            <v>CLIENT CO SERVICOS DE REDE NORDESTE S.A.</v>
          </cell>
          <cell r="G338" t="str">
            <v>3290071601-7</v>
          </cell>
          <cell r="H338" t="str">
            <v>53.420.564/0015-45</v>
          </cell>
          <cell r="I338">
            <v>45502</v>
          </cell>
          <cell r="K338" t="str">
            <v>ATIVA</v>
          </cell>
          <cell r="L338" t="str">
            <v>084.327.72-3</v>
          </cell>
          <cell r="M338">
            <v>45506</v>
          </cell>
          <cell r="O338" t="str">
            <v>ATIVA</v>
          </cell>
          <cell r="P338" t="str">
            <v>132.967-4</v>
          </cell>
          <cell r="Q338">
            <v>45502</v>
          </cell>
          <cell r="S338" t="str">
            <v>ATIVA</v>
          </cell>
          <cell r="T338" t="str">
            <v>R DO ROSARIO, 150, ANDAR 1 E SALA 101</v>
          </cell>
          <cell r="U338" t="str">
            <v>CENTRO</v>
          </cell>
          <cell r="V338" t="str">
            <v>VITÓRIA</v>
          </cell>
          <cell r="W338" t="str">
            <v>29.016-095</v>
          </cell>
          <cell r="X338" t="str">
            <v>S</v>
          </cell>
        </row>
        <row r="339">
          <cell r="A339">
            <v>338</v>
          </cell>
          <cell r="B339" t="str">
            <v xml:space="preserve">PI </v>
          </cell>
          <cell r="C339" t="str">
            <v>205-4</v>
          </cell>
          <cell r="D339" t="str">
            <v>82.20-2-00</v>
          </cell>
          <cell r="F339" t="str">
            <v>BRASIL TELECOM CALL CENTER S/A</v>
          </cell>
          <cell r="G339">
            <v>22900456386</v>
          </cell>
          <cell r="H339" t="str">
            <v>04.014.081/0024-26</v>
          </cell>
          <cell r="I339">
            <v>45491</v>
          </cell>
          <cell r="K339" t="str">
            <v>ATIVA</v>
          </cell>
          <cell r="L339" t="str">
            <v>N/A</v>
          </cell>
          <cell r="M339" t="str">
            <v>N/A</v>
          </cell>
          <cell r="O339" t="str">
            <v>N/A</v>
          </cell>
          <cell r="P339" t="str">
            <v>694.315-2</v>
          </cell>
          <cell r="Q339">
            <v>45491</v>
          </cell>
          <cell r="S339" t="str">
            <v>ATIVA</v>
          </cell>
          <cell r="T339" t="str">
            <v>AV FREI SERAFIM, 1782, SALA 03</v>
          </cell>
          <cell r="U339" t="str">
            <v>CENTRO</v>
          </cell>
          <cell r="V339" t="str">
            <v>TERESINA</v>
          </cell>
          <cell r="W339" t="str">
            <v>64.001-540</v>
          </cell>
        </row>
        <row r="340">
          <cell r="A340">
            <v>339</v>
          </cell>
          <cell r="B340" t="str">
            <v>MT</v>
          </cell>
          <cell r="C340" t="str">
            <v>205-4</v>
          </cell>
          <cell r="D340" t="str">
            <v>61.10-8-03</v>
          </cell>
          <cell r="E340" t="str">
            <v>FILIAL</v>
          </cell>
          <cell r="F340" t="str">
            <v>CLIENT CO SERVICOS DE REDE NORDESTE S.A.</v>
          </cell>
          <cell r="G340">
            <v>51920057634</v>
          </cell>
          <cell r="H340" t="str">
            <v>53.420.564/0016-26</v>
          </cell>
          <cell r="I340">
            <v>45518</v>
          </cell>
          <cell r="K340" t="str">
            <v>ATIVA</v>
          </cell>
          <cell r="L340" t="str">
            <v>14.075.446-6</v>
          </cell>
          <cell r="M340">
            <v>45518</v>
          </cell>
          <cell r="O340" t="str">
            <v>ATIVA</v>
          </cell>
          <cell r="P340">
            <v>1691689</v>
          </cell>
          <cell r="Q340">
            <v>45518</v>
          </cell>
          <cell r="S340" t="str">
            <v>ATIVA</v>
          </cell>
          <cell r="T340" t="str">
            <v>R VINTE E QUATRO DE OUTUBRO, 520, SALA</v>
          </cell>
          <cell r="U340" t="str">
            <v>CENTRO-NORTE</v>
          </cell>
          <cell r="V340" t="str">
            <v>CUIABÁ</v>
          </cell>
          <cell r="W340" t="str">
            <v>78.005-330</v>
          </cell>
          <cell r="X340" t="str">
            <v>S</v>
          </cell>
        </row>
        <row r="341">
          <cell r="A341">
            <v>340</v>
          </cell>
          <cell r="B341" t="str">
            <v>PE</v>
          </cell>
          <cell r="C341" t="str">
            <v>205-4</v>
          </cell>
          <cell r="D341" t="str">
            <v>61.10-8-03</v>
          </cell>
          <cell r="E341" t="str">
            <v>FILIAL</v>
          </cell>
          <cell r="F341" t="str">
            <v>CLIENT CO SERVICOS DE REDE NORDESTE S.A.</v>
          </cell>
          <cell r="G341">
            <v>26902064462</v>
          </cell>
          <cell r="H341" t="str">
            <v>53.420.564/0017-07</v>
          </cell>
          <cell r="I341">
            <v>45518</v>
          </cell>
          <cell r="K341" t="str">
            <v>ATIVA</v>
          </cell>
          <cell r="L341" t="str">
            <v>1190035-03</v>
          </cell>
          <cell r="M341">
            <v>45518</v>
          </cell>
          <cell r="O341" t="str">
            <v>ATIVA</v>
          </cell>
          <cell r="P341" t="str">
            <v>852.328-2</v>
          </cell>
          <cell r="Q341">
            <v>45540</v>
          </cell>
          <cell r="S341" t="str">
            <v>ATIVA</v>
          </cell>
          <cell r="T341" t="str">
            <v>R ERNESTO DE PAULA SANTOS, 960, SALA 0102 EMP BOA VIAGEM</v>
          </cell>
          <cell r="U341" t="str">
            <v>BOA VIAGEM</v>
          </cell>
          <cell r="V341" t="str">
            <v>RECIFE</v>
          </cell>
          <cell r="W341" t="str">
            <v>51.021-330</v>
          </cell>
          <cell r="X341" t="str">
            <v>S</v>
          </cell>
        </row>
        <row r="342">
          <cell r="A342">
            <v>341</v>
          </cell>
          <cell r="B342" t="str">
            <v>SP</v>
          </cell>
          <cell r="C342" t="str">
            <v>205-4</v>
          </cell>
          <cell r="D342" t="str">
            <v>61.10-8-03</v>
          </cell>
          <cell r="E342" t="str">
            <v>FILIAL</v>
          </cell>
          <cell r="F342" t="str">
            <v>CLIENT CO SERVICOS DE REDE NORDESTE S.A.</v>
          </cell>
          <cell r="G342">
            <v>35920299147</v>
          </cell>
          <cell r="H342" t="str">
            <v>53.420.564/0018-98</v>
          </cell>
          <cell r="I342">
            <v>45518</v>
          </cell>
          <cell r="K342" t="str">
            <v>ATIVA</v>
          </cell>
          <cell r="L342" t="str">
            <v>150.479.090.119</v>
          </cell>
          <cell r="M342">
            <v>45518</v>
          </cell>
          <cell r="O342" t="str">
            <v>ATIVA</v>
          </cell>
          <cell r="P342" t="str">
            <v>1.463.570-4</v>
          </cell>
          <cell r="Q342">
            <v>45584</v>
          </cell>
          <cell r="S342" t="str">
            <v>ATIVA</v>
          </cell>
          <cell r="T342" t="str">
            <v>AV DAS NACOES UNIDAS, 12901, BLOCO A - TORRE NORTE</v>
          </cell>
          <cell r="U342" t="str">
            <v>BROOKLIN PAULISTA</v>
          </cell>
          <cell r="V342" t="str">
            <v>SÃO PAULO</v>
          </cell>
          <cell r="W342" t="str">
            <v>04.578-910</v>
          </cell>
          <cell r="X342" t="str">
            <v>S</v>
          </cell>
        </row>
        <row r="343">
          <cell r="A343">
            <v>342</v>
          </cell>
          <cell r="B343" t="str">
            <v>AL</v>
          </cell>
          <cell r="C343" t="str">
            <v>205-4</v>
          </cell>
          <cell r="D343" t="str">
            <v>61.10-8-03</v>
          </cell>
          <cell r="E343" t="str">
            <v>FILIAL</v>
          </cell>
          <cell r="F343" t="str">
            <v>CLIENT CO SERVICOS DE REDE NORDESTE S.A.</v>
          </cell>
          <cell r="G343">
            <v>27905214521</v>
          </cell>
          <cell r="H343" t="str">
            <v>53.420.564/0019-79</v>
          </cell>
          <cell r="I343">
            <v>45518</v>
          </cell>
          <cell r="K343" t="str">
            <v>ATIVA</v>
          </cell>
          <cell r="L343" t="str">
            <v>24132439-4</v>
          </cell>
          <cell r="M343">
            <v>45518</v>
          </cell>
          <cell r="O343" t="str">
            <v>ATIVA</v>
          </cell>
          <cell r="P343" t="str">
            <v>0901675775</v>
          </cell>
          <cell r="Q343">
            <v>45518</v>
          </cell>
          <cell r="S343" t="str">
            <v>ATIVA</v>
          </cell>
          <cell r="T343" t="str">
            <v>AV FERNANDES LIMA, 8, ANDAR 1 SALA 102</v>
          </cell>
          <cell r="U343" t="str">
            <v>FAROL</v>
          </cell>
          <cell r="V343" t="str">
            <v>MACEIÓ</v>
          </cell>
          <cell r="W343" t="str">
            <v>57.050-000</v>
          </cell>
          <cell r="X343" t="str">
            <v>S</v>
          </cell>
        </row>
        <row r="344">
          <cell r="A344">
            <v>343</v>
          </cell>
          <cell r="B344" t="str">
            <v>RN</v>
          </cell>
          <cell r="C344" t="str">
            <v>205-4</v>
          </cell>
          <cell r="D344" t="str">
            <v>61.10-8-03</v>
          </cell>
          <cell r="E344" t="str">
            <v>FILIAL</v>
          </cell>
          <cell r="F344" t="str">
            <v>CLIENT CO SERVICOS DE REDE NORDESTE S.A.</v>
          </cell>
          <cell r="G344">
            <v>24900465972</v>
          </cell>
          <cell r="H344" t="str">
            <v>53.420.564/0020-02</v>
          </cell>
          <cell r="I344">
            <v>45518</v>
          </cell>
          <cell r="K344" t="str">
            <v>ATIVA</v>
          </cell>
          <cell r="L344" t="str">
            <v>20.667.997-1</v>
          </cell>
          <cell r="M344">
            <v>45518</v>
          </cell>
          <cell r="O344" t="str">
            <v>ATIVA</v>
          </cell>
          <cell r="P344">
            <v>2293519</v>
          </cell>
          <cell r="Q344">
            <v>45518</v>
          </cell>
          <cell r="S344" t="str">
            <v>ATIVA</v>
          </cell>
          <cell r="T344" t="str">
            <v>R DOUTOR POTY NOBREGA, 1946, LOJA 1805 COND EMP INT TRADE CENTER</v>
          </cell>
          <cell r="U344" t="str">
            <v>LAGOA NOVA</v>
          </cell>
          <cell r="V344" t="str">
            <v>NATAL</v>
          </cell>
          <cell r="W344" t="str">
            <v>59.056-180</v>
          </cell>
          <cell r="X344" t="str">
            <v>S</v>
          </cell>
        </row>
        <row r="345">
          <cell r="A345">
            <v>344</v>
          </cell>
          <cell r="B345" t="str">
            <v>AP</v>
          </cell>
          <cell r="C345" t="str">
            <v>205-4</v>
          </cell>
          <cell r="D345" t="str">
            <v>61.10-8-03</v>
          </cell>
          <cell r="E345" t="str">
            <v>FILIAL</v>
          </cell>
          <cell r="F345" t="str">
            <v>CLIENT CO SERVICOS DE REDE NORDESTE S.A.</v>
          </cell>
          <cell r="G345">
            <v>16920000871</v>
          </cell>
          <cell r="H345" t="str">
            <v>53.420.564/0021-93</v>
          </cell>
          <cell r="I345">
            <v>45518</v>
          </cell>
          <cell r="K345" t="str">
            <v>ATIVA</v>
          </cell>
          <cell r="L345" t="str">
            <v>030773423</v>
          </cell>
          <cell r="M345">
            <v>45546</v>
          </cell>
          <cell r="O345" t="str">
            <v>ATIVA</v>
          </cell>
          <cell r="P345">
            <v>143996269</v>
          </cell>
          <cell r="Q345">
            <v>45518</v>
          </cell>
          <cell r="S345" t="str">
            <v>ATIVA</v>
          </cell>
          <cell r="T345" t="str">
            <v>AV CARAMURU, 1293</v>
          </cell>
          <cell r="U345" t="str">
            <v>BURITIZAL</v>
          </cell>
          <cell r="V345" t="str">
            <v>MACAPÁ</v>
          </cell>
          <cell r="W345" t="str">
            <v>68.902-863</v>
          </cell>
          <cell r="X345" t="str">
            <v>S</v>
          </cell>
        </row>
        <row r="346">
          <cell r="A346">
            <v>345</v>
          </cell>
          <cell r="B346" t="str">
            <v>RR</v>
          </cell>
          <cell r="C346" t="str">
            <v>205-4</v>
          </cell>
          <cell r="D346" t="str">
            <v>61.10-8-03</v>
          </cell>
          <cell r="E346" t="str">
            <v>FILIAL</v>
          </cell>
          <cell r="F346" t="str">
            <v>CLIENT CO SERVICOS DE REDE NORDESTE S.A.</v>
          </cell>
          <cell r="G346">
            <v>14920007831</v>
          </cell>
          <cell r="H346" t="str">
            <v>53.420.564/0022-74</v>
          </cell>
          <cell r="I346">
            <v>45519</v>
          </cell>
          <cell r="K346" t="str">
            <v>ATIVA</v>
          </cell>
          <cell r="L346" t="str">
            <v>24.055381-2</v>
          </cell>
          <cell r="M346">
            <v>45618</v>
          </cell>
          <cell r="O346" t="str">
            <v>ATIVA</v>
          </cell>
          <cell r="P346" t="str">
            <v>374533.3</v>
          </cell>
          <cell r="Q346">
            <v>45548</v>
          </cell>
          <cell r="S346" t="str">
            <v>ATIVA</v>
          </cell>
          <cell r="T346" t="str">
            <v>AV GENERAL ATAIDE TEIVE, 832 - 1</v>
          </cell>
          <cell r="U346" t="str">
            <v>MECEJANA</v>
          </cell>
          <cell r="V346" t="str">
            <v>BOA VISTA</v>
          </cell>
          <cell r="W346" t="str">
            <v>69.304-360</v>
          </cell>
          <cell r="X346" t="str">
            <v>S</v>
          </cell>
        </row>
        <row r="347">
          <cell r="A347">
            <v>346</v>
          </cell>
          <cell r="B347" t="str">
            <v>ES</v>
          </cell>
          <cell r="C347" t="str">
            <v>205-4</v>
          </cell>
          <cell r="D347" t="str">
            <v xml:space="preserve">82.11-3-00 </v>
          </cell>
          <cell r="E347" t="str">
            <v>FILIAL</v>
          </cell>
          <cell r="F347" t="str">
            <v>CLIENT CO SERVICOS DE REDE NORTE S.A.</v>
          </cell>
          <cell r="G347">
            <v>32900717480</v>
          </cell>
          <cell r="H347" t="str">
            <v>53.420.538/0005-45</v>
          </cell>
          <cell r="I347">
            <v>45527</v>
          </cell>
          <cell r="K347" t="str">
            <v>ATIVA</v>
          </cell>
          <cell r="L347" t="str">
            <v>084.349.95-6</v>
          </cell>
          <cell r="M347">
            <v>45537</v>
          </cell>
          <cell r="O347" t="str">
            <v>ATIVA</v>
          </cell>
          <cell r="P347" t="str">
            <v>133.074-3</v>
          </cell>
          <cell r="Q347">
            <v>45527</v>
          </cell>
          <cell r="S347" t="str">
            <v>ATIVA</v>
          </cell>
          <cell r="T347" t="str">
            <v>R DO ROSARIO, 150, ANDAR 1 E SALA 102</v>
          </cell>
          <cell r="U347" t="str">
            <v>CENTRO</v>
          </cell>
          <cell r="V347" t="str">
            <v>VITORIA</v>
          </cell>
          <cell r="W347" t="str">
            <v>29.016-095</v>
          </cell>
          <cell r="X347" t="str">
            <v>S</v>
          </cell>
        </row>
        <row r="348">
          <cell r="A348">
            <v>347</v>
          </cell>
          <cell r="B348" t="str">
            <v>MA</v>
          </cell>
          <cell r="C348" t="str">
            <v>205-4</v>
          </cell>
          <cell r="D348" t="str">
            <v xml:space="preserve">82.11-3-00 </v>
          </cell>
          <cell r="E348" t="str">
            <v>FILIAL</v>
          </cell>
          <cell r="F348" t="str">
            <v>CLIENT CO SERVICOS DE REDE NORTE S.A.</v>
          </cell>
          <cell r="G348">
            <v>21900616625</v>
          </cell>
          <cell r="H348" t="str">
            <v xml:space="preserve"> 53.420.538/0006-26</v>
          </cell>
          <cell r="I348">
            <v>45527</v>
          </cell>
          <cell r="K348" t="str">
            <v>ATIVA</v>
          </cell>
          <cell r="L348" t="str">
            <v>12.869.252-9</v>
          </cell>
          <cell r="M348">
            <v>45527</v>
          </cell>
          <cell r="O348" t="str">
            <v>ATIVA</v>
          </cell>
          <cell r="P348">
            <v>3682458383</v>
          </cell>
          <cell r="Q348">
            <v>45527</v>
          </cell>
          <cell r="S348" t="str">
            <v>ATIVA</v>
          </cell>
          <cell r="T348" t="str">
            <v>AV DANIEL DE LA TOUCHE,AREA 03 - LADO I, 31</v>
          </cell>
          <cell r="U348" t="str">
            <v>COHAMA</v>
          </cell>
          <cell r="V348" t="str">
            <v>SÃO LUIS</v>
          </cell>
          <cell r="W348" t="str">
            <v>65.074-115</v>
          </cell>
          <cell r="X348" t="str">
            <v>S</v>
          </cell>
        </row>
        <row r="349">
          <cell r="A349">
            <v>348</v>
          </cell>
          <cell r="B349" t="str">
            <v>MG</v>
          </cell>
          <cell r="C349" t="str">
            <v>205-4</v>
          </cell>
          <cell r="D349" t="str">
            <v xml:space="preserve">82.11-3-00 </v>
          </cell>
          <cell r="E349" t="str">
            <v>FILIAL</v>
          </cell>
          <cell r="F349" t="str">
            <v>CLIENT CO SERVICOS DE REDE NORTE S.A.</v>
          </cell>
          <cell r="G349">
            <v>31920153904</v>
          </cell>
          <cell r="H349" t="str">
            <v>53.420.538/0007-07</v>
          </cell>
          <cell r="I349">
            <v>45527</v>
          </cell>
          <cell r="K349" t="str">
            <v>ATIVA</v>
          </cell>
          <cell r="L349" t="str">
            <v xml:space="preserve">005012004.00-34 </v>
          </cell>
          <cell r="M349">
            <v>45573</v>
          </cell>
          <cell r="O349" t="str">
            <v>ATIVA</v>
          </cell>
          <cell r="P349">
            <v>15868600014</v>
          </cell>
          <cell r="Q349">
            <v>45527</v>
          </cell>
          <cell r="S349" t="str">
            <v>ATIVA</v>
          </cell>
          <cell r="T349" t="str">
            <v>PC MILTON CAMPOS, 16, ANDAR 4 ,SALA 403</v>
          </cell>
          <cell r="U349" t="str">
            <v>CRUZEIRO</v>
          </cell>
          <cell r="V349" t="str">
            <v>BELO HORIZONTE</v>
          </cell>
          <cell r="W349" t="str">
            <v>30.130-040</v>
          </cell>
          <cell r="X349" t="str">
            <v>S</v>
          </cell>
        </row>
        <row r="350">
          <cell r="A350">
            <v>349</v>
          </cell>
          <cell r="B350" t="str">
            <v>PI</v>
          </cell>
          <cell r="C350" t="str">
            <v>205-4</v>
          </cell>
          <cell r="D350" t="str">
            <v xml:space="preserve">82.11-3-00 </v>
          </cell>
          <cell r="E350" t="str">
            <v>FILIAL</v>
          </cell>
          <cell r="F350" t="str">
            <v>CLIENT CO SERVICOS DE REDE NORTE S.A.</v>
          </cell>
          <cell r="G350">
            <v>22900456874</v>
          </cell>
          <cell r="H350" t="str">
            <v>53.420.538/0008-98</v>
          </cell>
          <cell r="I350">
            <v>45527</v>
          </cell>
          <cell r="K350" t="str">
            <v>ATIVA</v>
          </cell>
          <cell r="L350" t="str">
            <v>19.769.923-5</v>
          </cell>
          <cell r="M350">
            <v>45544</v>
          </cell>
          <cell r="O350" t="str">
            <v>ATIVA</v>
          </cell>
          <cell r="P350" t="str">
            <v>695.941-5</v>
          </cell>
          <cell r="Q350">
            <v>45527</v>
          </cell>
          <cell r="S350" t="str">
            <v>ATIVA</v>
          </cell>
          <cell r="T350" t="str">
            <v>AV FREI SERAFIM, 1782, ANDAR 5 SALA 502</v>
          </cell>
          <cell r="U350" t="str">
            <v>CENTRO</v>
          </cell>
          <cell r="V350" t="str">
            <v>TERESINA</v>
          </cell>
          <cell r="W350" t="str">
            <v>64.001-540</v>
          </cell>
          <cell r="X350" t="str">
            <v>S</v>
          </cell>
        </row>
        <row r="351">
          <cell r="A351">
            <v>350</v>
          </cell>
          <cell r="B351" t="str">
            <v>SC</v>
          </cell>
          <cell r="C351" t="str">
            <v>205-4</v>
          </cell>
          <cell r="D351" t="str">
            <v xml:space="preserve">82.11-3-00 </v>
          </cell>
          <cell r="E351" t="str">
            <v>FILIAL</v>
          </cell>
          <cell r="F351" t="str">
            <v>CLIENT CO SERVICOS DE REDE NORTE S.A.</v>
          </cell>
          <cell r="G351">
            <v>42902161479</v>
          </cell>
          <cell r="H351" t="str">
            <v>53.420.538/0009-79</v>
          </cell>
          <cell r="I351">
            <v>45527</v>
          </cell>
          <cell r="K351" t="str">
            <v>ATIVA</v>
          </cell>
          <cell r="L351">
            <v>263114503</v>
          </cell>
          <cell r="M351">
            <v>45527</v>
          </cell>
          <cell r="O351" t="str">
            <v>ATIVA</v>
          </cell>
          <cell r="P351">
            <v>8241134</v>
          </cell>
          <cell r="Q351">
            <v>45527</v>
          </cell>
          <cell r="S351" t="str">
            <v>ATIVA</v>
          </cell>
          <cell r="T351" t="str">
            <v>R LAURO LINHARES, 1729, ANDAR 2 SALA 201</v>
          </cell>
          <cell r="U351" t="str">
            <v>TRINDADE</v>
          </cell>
          <cell r="V351" t="str">
            <v xml:space="preserve">FLORIANÓPOLIS </v>
          </cell>
          <cell r="W351" t="str">
            <v>88.036-002</v>
          </cell>
          <cell r="X351" t="str">
            <v>S</v>
          </cell>
        </row>
        <row r="352">
          <cell r="A352">
            <v>351</v>
          </cell>
          <cell r="B352" t="str">
            <v>TO</v>
          </cell>
          <cell r="C352" t="str">
            <v>205-4</v>
          </cell>
          <cell r="D352" t="str">
            <v xml:space="preserve">82.11-3-00 </v>
          </cell>
          <cell r="E352" t="str">
            <v>FILIAL</v>
          </cell>
          <cell r="F352" t="str">
            <v>CLIENT CO SERVICOS DE REDE NORTE S.A.</v>
          </cell>
          <cell r="G352">
            <v>17900410226</v>
          </cell>
          <cell r="H352" t="str">
            <v>53.420.538/0010-02</v>
          </cell>
          <cell r="I352">
            <v>45527</v>
          </cell>
          <cell r="K352" t="str">
            <v>ATIVA</v>
          </cell>
          <cell r="L352" t="str">
            <v>29.545.508-0</v>
          </cell>
          <cell r="M352">
            <v>45587</v>
          </cell>
          <cell r="O352" t="str">
            <v>ATIVA</v>
          </cell>
          <cell r="P352">
            <v>2465370</v>
          </cell>
          <cell r="Q352">
            <v>45530</v>
          </cell>
          <cell r="S352" t="str">
            <v>ATIVA</v>
          </cell>
          <cell r="T352" t="str">
            <v>Q ACSU SO 20 AVENIDA NS A, SN, CONJ 02 LOTE 06 SALA 01 ANEXO 2 TERREO</v>
          </cell>
          <cell r="U352" t="str">
            <v>PLANO DIRETOR SUL</v>
          </cell>
          <cell r="V352" t="str">
            <v>PALMAS</v>
          </cell>
          <cell r="W352" t="str">
            <v>77.015-205</v>
          </cell>
          <cell r="X352" t="str">
            <v>S</v>
          </cell>
        </row>
        <row r="353">
          <cell r="A353">
            <v>352</v>
          </cell>
          <cell r="B353" t="str">
            <v>MS</v>
          </cell>
          <cell r="C353" t="str">
            <v>205-4</v>
          </cell>
          <cell r="D353" t="str">
            <v>61.10-8-03</v>
          </cell>
          <cell r="E353" t="str">
            <v>FILIAL</v>
          </cell>
          <cell r="F353" t="str">
            <v>CLIENT CO SERVICOS DE REDE NORDESTE S.A.</v>
          </cell>
          <cell r="G353" t="str">
            <v>54920089067</v>
          </cell>
          <cell r="H353" t="str">
            <v>53.420.564/0024-36</v>
          </cell>
          <cell r="I353">
            <v>45530</v>
          </cell>
          <cell r="K353" t="str">
            <v>ATIVA</v>
          </cell>
          <cell r="L353" t="str">
            <v>28.952.873-9</v>
          </cell>
          <cell r="M353">
            <v>45562</v>
          </cell>
          <cell r="O353" t="str">
            <v>ATIVA</v>
          </cell>
          <cell r="P353" t="str">
            <v>0038996700-9</v>
          </cell>
          <cell r="Q353">
            <v>45530</v>
          </cell>
          <cell r="S353" t="str">
            <v>ATIVA</v>
          </cell>
          <cell r="T353" t="str">
            <v>R FAGUNDES VARELA, 477, SALA 4 - DT</v>
          </cell>
          <cell r="U353" t="str">
            <v>JARDIM SÃO BENTO</v>
          </cell>
          <cell r="V353" t="str">
            <v>CAMPO GRANDE</v>
          </cell>
          <cell r="W353" t="str">
            <v>79.004-200</v>
          </cell>
          <cell r="X353" t="str">
            <v>S</v>
          </cell>
        </row>
        <row r="354">
          <cell r="A354">
            <v>353</v>
          </cell>
          <cell r="B354" t="str">
            <v>SE</v>
          </cell>
          <cell r="C354" t="str">
            <v>205-4</v>
          </cell>
          <cell r="D354" t="str">
            <v>61.10-8-03</v>
          </cell>
          <cell r="E354" t="str">
            <v>FILIAL</v>
          </cell>
          <cell r="F354" t="str">
            <v>CLIENT CO SERVICOS DE REDE NORDESTE S.A.</v>
          </cell>
          <cell r="G354" t="str">
            <v>28900306487</v>
          </cell>
          <cell r="H354" t="str">
            <v>53.420.564/0025-17</v>
          </cell>
          <cell r="I354">
            <v>45530</v>
          </cell>
          <cell r="K354" t="str">
            <v>ATIVA</v>
          </cell>
          <cell r="L354" t="str">
            <v>27.218.008-4</v>
          </cell>
          <cell r="M354">
            <v>45530</v>
          </cell>
          <cell r="O354" t="str">
            <v>ATIVA</v>
          </cell>
          <cell r="P354" t="str">
            <v>163540-2</v>
          </cell>
          <cell r="Q354">
            <v>45530</v>
          </cell>
          <cell r="S354" t="str">
            <v>ATIVA</v>
          </cell>
          <cell r="T354" t="str">
            <v>R PADRE NESTOR SAMPAIO, 140</v>
          </cell>
          <cell r="U354" t="str">
            <v>LUZIA</v>
          </cell>
          <cell r="V354" t="str">
            <v>ARACAJU</v>
          </cell>
          <cell r="W354" t="str">
            <v>49.045-015</v>
          </cell>
          <cell r="X354" t="str">
            <v>S</v>
          </cell>
        </row>
        <row r="355">
          <cell r="A355">
            <v>354</v>
          </cell>
          <cell r="B355" t="str">
            <v>RR</v>
          </cell>
          <cell r="C355" t="str">
            <v>205-4</v>
          </cell>
          <cell r="D355" t="str">
            <v xml:space="preserve">82.11-3-00 </v>
          </cell>
          <cell r="E355" t="str">
            <v>FILIAL</v>
          </cell>
          <cell r="F355" t="str">
            <v>CLIENT CO SERVICOS DE REDE NORTE S.A.</v>
          </cell>
          <cell r="G355">
            <v>14920007912</v>
          </cell>
          <cell r="H355" t="str">
            <v>53.420.538/0013-55</v>
          </cell>
          <cell r="I355">
            <v>45537</v>
          </cell>
          <cell r="K355" t="str">
            <v>ATIVA</v>
          </cell>
          <cell r="L355" t="str">
            <v>IE dispensada</v>
          </cell>
          <cell r="M355" t="str">
            <v>N/A</v>
          </cell>
          <cell r="O355" t="str">
            <v>IE dispensada</v>
          </cell>
          <cell r="P355" t="str">
            <v>374692.5</v>
          </cell>
          <cell r="Q355">
            <v>45538</v>
          </cell>
          <cell r="S355" t="str">
            <v>ATIVA</v>
          </cell>
          <cell r="T355" t="str">
            <v>AV GENERAL ATAIDE TEIVE, 832 - 2</v>
          </cell>
          <cell r="U355" t="str">
            <v>MECEJANA</v>
          </cell>
          <cell r="V355" t="str">
            <v>BOA VISTA</v>
          </cell>
          <cell r="W355" t="str">
            <v>69.304-360</v>
          </cell>
          <cell r="X355" t="str">
            <v>S</v>
          </cell>
        </row>
        <row r="356">
          <cell r="A356">
            <v>355</v>
          </cell>
          <cell r="B356" t="str">
            <v>SE</v>
          </cell>
          <cell r="C356" t="str">
            <v>205-4</v>
          </cell>
          <cell r="D356" t="str">
            <v xml:space="preserve">82.11-3-00 </v>
          </cell>
          <cell r="E356" t="str">
            <v>FILIAL</v>
          </cell>
          <cell r="F356" t="str">
            <v>CLIENT CO SERVICOS DE REDE NORTE S.A.</v>
          </cell>
          <cell r="G356">
            <v>28900306541</v>
          </cell>
          <cell r="H356" t="str">
            <v>53.420.538/0017-89</v>
          </cell>
          <cell r="I356">
            <v>45537</v>
          </cell>
          <cell r="K356" t="str">
            <v>ATIVA</v>
          </cell>
          <cell r="L356" t="str">
            <v>27.218.602-3    </v>
          </cell>
          <cell r="M356">
            <v>45539</v>
          </cell>
          <cell r="O356" t="str">
            <v>ATIVA</v>
          </cell>
          <cell r="P356" t="str">
            <v>163832-0     </v>
          </cell>
          <cell r="Q356">
            <v>45537</v>
          </cell>
          <cell r="S356" t="str">
            <v>ATIVA</v>
          </cell>
          <cell r="T356" t="str">
            <v>R PADRE NESTOR SAMPAIO, 140</v>
          </cell>
          <cell r="U356" t="str">
            <v>LUZIA</v>
          </cell>
          <cell r="V356" t="str">
            <v>ARACAJU</v>
          </cell>
          <cell r="W356" t="str">
            <v>49.045-015</v>
          </cell>
          <cell r="X356" t="str">
            <v>S</v>
          </cell>
        </row>
        <row r="357">
          <cell r="A357">
            <v>356</v>
          </cell>
          <cell r="B357" t="str">
            <v>MS</v>
          </cell>
          <cell r="C357" t="str">
            <v>205-4</v>
          </cell>
          <cell r="D357" t="str">
            <v xml:space="preserve">82.11-3-00 </v>
          </cell>
          <cell r="E357" t="str">
            <v>FILIAL</v>
          </cell>
          <cell r="F357" t="str">
            <v>CLIENT CO SERVICOS DE REDE NORTE S.A.</v>
          </cell>
          <cell r="G357">
            <v>54920089253</v>
          </cell>
          <cell r="H357" t="str">
            <v>53.420.538/0016-06</v>
          </cell>
          <cell r="I357">
            <v>45537</v>
          </cell>
          <cell r="K357" t="str">
            <v>ATIVA</v>
          </cell>
          <cell r="L357" t="str">
            <v>28.952.871-2</v>
          </cell>
          <cell r="M357">
            <v>45562</v>
          </cell>
          <cell r="O357" t="str">
            <v>ATIVA</v>
          </cell>
          <cell r="P357" t="str">
            <v>0039008300-9</v>
          </cell>
          <cell r="Q357">
            <v>45541</v>
          </cell>
          <cell r="S357" t="str">
            <v>ATIVA</v>
          </cell>
          <cell r="T357" t="str">
            <v>R FAGUNDES VARELA, 477, SALA 5 - DT</v>
          </cell>
          <cell r="U357" t="str">
            <v>JARDIM SÃO BENTO</v>
          </cell>
          <cell r="V357" t="str">
            <v>CAMPO GRANDE</v>
          </cell>
          <cell r="W357" t="str">
            <v>79.004-200</v>
          </cell>
          <cell r="X357" t="str">
            <v>S</v>
          </cell>
        </row>
        <row r="358">
          <cell r="A358">
            <v>357</v>
          </cell>
          <cell r="B358" t="str">
            <v>RS</v>
          </cell>
          <cell r="C358" t="str">
            <v>205-4</v>
          </cell>
          <cell r="D358" t="str">
            <v xml:space="preserve">82.11-3-00 </v>
          </cell>
          <cell r="E358" t="str">
            <v>FILIAL</v>
          </cell>
          <cell r="F358" t="str">
            <v>CLIENT CO SERVICOS DE REDE NORTE S.A.</v>
          </cell>
          <cell r="G358">
            <v>43920075342</v>
          </cell>
          <cell r="H358" t="str">
            <v>53.420.538/0015-17</v>
          </cell>
          <cell r="I358">
            <v>45537</v>
          </cell>
          <cell r="K358" t="str">
            <v>ATIVA</v>
          </cell>
          <cell r="L358" t="str">
            <v>IE dispensada</v>
          </cell>
          <cell r="M358" t="str">
            <v>N/A</v>
          </cell>
          <cell r="O358" t="str">
            <v>IE dispensada</v>
          </cell>
          <cell r="P358" t="str">
            <v>852.223.2.1</v>
          </cell>
          <cell r="Q358">
            <v>45544</v>
          </cell>
          <cell r="S358" t="str">
            <v>ATIVA</v>
          </cell>
          <cell r="T358" t="str">
            <v>AV PROTASIO ALVES, 4809, ANDAR 1 SALA 103</v>
          </cell>
          <cell r="U358" t="str">
            <v>BOM JESUS</v>
          </cell>
          <cell r="V358" t="str">
            <v>PORTO ALEGRE</v>
          </cell>
          <cell r="W358" t="str">
            <v>91.420-077</v>
          </cell>
          <cell r="X358" t="str">
            <v>S</v>
          </cell>
        </row>
        <row r="359">
          <cell r="A359">
            <v>358</v>
          </cell>
          <cell r="B359" t="str">
            <v>AL</v>
          </cell>
          <cell r="C359" t="str">
            <v>205-4</v>
          </cell>
          <cell r="D359" t="str">
            <v xml:space="preserve">82.11-3-00 </v>
          </cell>
          <cell r="E359" t="str">
            <v>FILIAL</v>
          </cell>
          <cell r="F359" t="str">
            <v>CLIENT CO SERVICOS DE REDE NORTE S.A.</v>
          </cell>
          <cell r="G359">
            <v>27905214806</v>
          </cell>
          <cell r="H359" t="str">
            <v>53.420.538/0011-93</v>
          </cell>
          <cell r="I359">
            <v>45537</v>
          </cell>
          <cell r="K359" t="str">
            <v>ATIVA</v>
          </cell>
          <cell r="L359" t="str">
            <v>IE dispensada</v>
          </cell>
          <cell r="M359" t="str">
            <v>N/A</v>
          </cell>
          <cell r="O359" t="str">
            <v>IE dispensada</v>
          </cell>
          <cell r="P359" t="str">
            <v>0901676898</v>
          </cell>
          <cell r="Q359">
            <v>45537</v>
          </cell>
          <cell r="S359" t="str">
            <v>ATIVA</v>
          </cell>
          <cell r="T359" t="str">
            <v>AV FERNANDES LIMA, 8, ANDAR 1 SALA 102/02</v>
          </cell>
          <cell r="U359" t="str">
            <v>FAROL</v>
          </cell>
          <cell r="V359" t="str">
            <v>MACEIÓ</v>
          </cell>
          <cell r="W359" t="str">
            <v>57.050-000</v>
          </cell>
          <cell r="X359" t="str">
            <v>S</v>
          </cell>
        </row>
        <row r="360">
          <cell r="A360">
            <v>359</v>
          </cell>
          <cell r="B360" t="str">
            <v>AP</v>
          </cell>
          <cell r="C360" t="str">
            <v>205-4</v>
          </cell>
          <cell r="D360" t="str">
            <v xml:space="preserve">82.11-3-00 </v>
          </cell>
          <cell r="E360" t="str">
            <v>FILIAL</v>
          </cell>
          <cell r="F360" t="str">
            <v>CLIENT CO SERVICOS DE REDE NORTE S.A.</v>
          </cell>
          <cell r="G360">
            <v>16920000961</v>
          </cell>
          <cell r="H360" t="str">
            <v>53.420.538/0012-74</v>
          </cell>
          <cell r="I360">
            <v>45537</v>
          </cell>
          <cell r="K360" t="str">
            <v>ATIVA</v>
          </cell>
          <cell r="L360" t="str">
            <v>03.077678-3</v>
          </cell>
          <cell r="M360">
            <v>45575</v>
          </cell>
          <cell r="O360" t="str">
            <v>ATIVA</v>
          </cell>
          <cell r="P360">
            <v>143997925</v>
          </cell>
          <cell r="Q360">
            <v>45537</v>
          </cell>
          <cell r="S360" t="str">
            <v>ATIVA</v>
          </cell>
          <cell r="T360" t="str">
            <v>AV CARAMURU, 1293A, SALA 9</v>
          </cell>
          <cell r="U360" t="str">
            <v>BURITIZAL</v>
          </cell>
          <cell r="V360" t="str">
            <v>MACAPÁ</v>
          </cell>
          <cell r="W360" t="str">
            <v>68.902-863</v>
          </cell>
          <cell r="X360" t="str">
            <v>S</v>
          </cell>
        </row>
        <row r="361">
          <cell r="A361">
            <v>360</v>
          </cell>
          <cell r="B361" t="str">
            <v>CE</v>
          </cell>
          <cell r="C361" t="str">
            <v>205-4</v>
          </cell>
          <cell r="D361" t="str">
            <v xml:space="preserve">82.11-3-00 </v>
          </cell>
          <cell r="E361" t="str">
            <v>FILIAL</v>
          </cell>
          <cell r="F361" t="str">
            <v>CLIENT CO SERVICOS DE REDE NORTE S.A.</v>
          </cell>
          <cell r="G361">
            <v>23920042847</v>
          </cell>
          <cell r="H361" t="str">
            <v>53.420.538/0014-36</v>
          </cell>
          <cell r="I361">
            <v>45537</v>
          </cell>
          <cell r="K361" t="str">
            <v>ATIVA</v>
          </cell>
          <cell r="L361" t="str">
            <v>IE dispensada</v>
          </cell>
          <cell r="M361" t="str">
            <v>N/A</v>
          </cell>
          <cell r="O361" t="str">
            <v>IE dispensada</v>
          </cell>
          <cell r="P361" t="str">
            <v>952281-6</v>
          </cell>
          <cell r="Q361">
            <v>45537</v>
          </cell>
          <cell r="S361" t="str">
            <v>ATIVA</v>
          </cell>
          <cell r="T361" t="str">
            <v>R SENA MADUREIRA, 1020, TERREO SALA 102</v>
          </cell>
          <cell r="U361" t="str">
            <v>CENTRO</v>
          </cell>
          <cell r="V361" t="str">
            <v>FORTALEZA</v>
          </cell>
          <cell r="W361" t="str">
            <v>60.055-080</v>
          </cell>
          <cell r="X361" t="str">
            <v>S</v>
          </cell>
        </row>
        <row r="362">
          <cell r="A362">
            <v>361</v>
          </cell>
          <cell r="B362" t="str">
            <v>PA</v>
          </cell>
          <cell r="C362" t="str">
            <v>205-4</v>
          </cell>
          <cell r="D362" t="str">
            <v xml:space="preserve">82.11-3-00 </v>
          </cell>
          <cell r="E362" t="str">
            <v>FILIAL</v>
          </cell>
          <cell r="F362" t="str">
            <v>CLIENT CO SERVICOS DE REDE NORTE S.A.</v>
          </cell>
          <cell r="G362">
            <v>15902056541</v>
          </cell>
          <cell r="H362" t="str">
            <v>53.420.538/0019-40</v>
          </cell>
          <cell r="I362">
            <v>45540</v>
          </cell>
          <cell r="K362" t="str">
            <v>ATIVA</v>
          </cell>
          <cell r="L362" t="str">
            <v>IE dispensada</v>
          </cell>
          <cell r="M362" t="str">
            <v>N/A</v>
          </cell>
          <cell r="O362" t="str">
            <v>IE dispensada</v>
          </cell>
          <cell r="P362" t="str">
            <v>486.999-7</v>
          </cell>
          <cell r="Q362">
            <v>45540</v>
          </cell>
          <cell r="S362" t="str">
            <v>ATIVA</v>
          </cell>
          <cell r="T362" t="str">
            <v>TV DOUTOR MORAES, 121, SALA 01</v>
          </cell>
          <cell r="U362" t="str">
            <v>NAZARE</v>
          </cell>
          <cell r="V362" t="str">
            <v>BELEM</v>
          </cell>
          <cell r="W362" t="str">
            <v>66.035-080</v>
          </cell>
          <cell r="X362" t="str">
            <v>S</v>
          </cell>
        </row>
        <row r="363">
          <cell r="A363">
            <v>362</v>
          </cell>
          <cell r="B363" t="str">
            <v>PR</v>
          </cell>
          <cell r="C363" t="str">
            <v>205-4</v>
          </cell>
          <cell r="D363" t="str">
            <v xml:space="preserve">82.11-3-00 </v>
          </cell>
          <cell r="E363" t="str">
            <v>FILIAL</v>
          </cell>
          <cell r="F363" t="str">
            <v>CLIENT CO SERVICOS DE REDE NORTE S.A.</v>
          </cell>
          <cell r="G363">
            <v>41902026091</v>
          </cell>
          <cell r="H363" t="str">
            <v>53.420.538/0018-60</v>
          </cell>
          <cell r="I363">
            <v>45540</v>
          </cell>
          <cell r="K363" t="str">
            <v>ATIVA</v>
          </cell>
          <cell r="L363" t="str">
            <v>91095474-14</v>
          </cell>
          <cell r="M363">
            <v>45540</v>
          </cell>
          <cell r="O363" t="str">
            <v>ATIVA</v>
          </cell>
          <cell r="P363" t="str">
            <v>17 12 1.188.946-0</v>
          </cell>
          <cell r="Q363">
            <v>45540</v>
          </cell>
          <cell r="S363" t="str">
            <v>ATIVA</v>
          </cell>
          <cell r="T363" t="str">
            <v>R VISCONDE DE NACAR, 1421</v>
          </cell>
          <cell r="U363" t="str">
            <v>CENTRO</v>
          </cell>
          <cell r="V363" t="str">
            <v>CURITIBA</v>
          </cell>
          <cell r="W363" t="str">
            <v>80.410-201</v>
          </cell>
          <cell r="X363" t="str">
            <v>S</v>
          </cell>
        </row>
        <row r="364">
          <cell r="A364">
            <v>363</v>
          </cell>
          <cell r="B364" t="str">
            <v>AM</v>
          </cell>
          <cell r="C364" t="str">
            <v>205-4</v>
          </cell>
          <cell r="D364" t="str">
            <v>61.10-8-03</v>
          </cell>
          <cell r="E364" t="str">
            <v>FILIAL</v>
          </cell>
          <cell r="F364" t="str">
            <v>CLIENT CO SERVICOS DE REDE NORDESTE S.A.</v>
          </cell>
          <cell r="G364">
            <v>13920021817</v>
          </cell>
          <cell r="H364" t="str">
            <v>53.420.564/0026-06</v>
          </cell>
          <cell r="I364">
            <v>45540</v>
          </cell>
          <cell r="K364" t="str">
            <v>ATIVA</v>
          </cell>
          <cell r="L364" t="str">
            <v>05.470.168-6</v>
          </cell>
          <cell r="M364">
            <v>45546</v>
          </cell>
          <cell r="O364" t="str">
            <v>ATIVA</v>
          </cell>
          <cell r="P364">
            <v>637334001</v>
          </cell>
          <cell r="Q364">
            <v>45540</v>
          </cell>
          <cell r="S364" t="str">
            <v>ATIVA</v>
          </cell>
          <cell r="T364" t="str">
            <v>AV RODRIGO OTAVIO, 4350, ANDAR 1 SALA 03-B CONJ 31 DE MARCO</v>
          </cell>
          <cell r="U364" t="str">
            <v>JAPIIM</v>
          </cell>
          <cell r="V364" t="str">
            <v>MANAUS</v>
          </cell>
          <cell r="W364" t="str">
            <v>69.077-000</v>
          </cell>
          <cell r="X364" t="str">
            <v>S</v>
          </cell>
        </row>
        <row r="365">
          <cell r="A365">
            <v>364</v>
          </cell>
          <cell r="B365" t="str">
            <v>SP</v>
          </cell>
          <cell r="C365" t="str">
            <v>205-4</v>
          </cell>
          <cell r="D365" t="str">
            <v>82.20-2-00</v>
          </cell>
          <cell r="F365" t="str">
            <v>BRASIL TELECOM CALL CENTER S/A</v>
          </cell>
          <cell r="G365">
            <v>53300007586</v>
          </cell>
          <cell r="H365" t="str">
            <v>04.014.081/0025-07</v>
          </cell>
          <cell r="I365">
            <v>45546</v>
          </cell>
          <cell r="K365" t="str">
            <v>ATIVA</v>
          </cell>
          <cell r="L365" t="str">
            <v>PENDENTE</v>
          </cell>
          <cell r="M365" t="str">
            <v>PENDENTE</v>
          </cell>
          <cell r="O365" t="str">
            <v>PENDENTE</v>
          </cell>
          <cell r="P365" t="str">
            <v>1.500.323-0</v>
          </cell>
          <cell r="Q365">
            <v>45547</v>
          </cell>
          <cell r="S365" t="str">
            <v>ATIVA</v>
          </cell>
          <cell r="T365" t="str">
            <v>R JULIO GONZALEZ, 132, ANDAR 13 ANDAR</v>
          </cell>
          <cell r="U365" t="str">
            <v>BARRA FUNDA</v>
          </cell>
          <cell r="V365" t="str">
            <v>SÃO PAULO</v>
          </cell>
          <cell r="W365" t="str">
            <v>01.156-060</v>
          </cell>
        </row>
        <row r="366">
          <cell r="A366">
            <v>365</v>
          </cell>
          <cell r="B366" t="str">
            <v>PB</v>
          </cell>
          <cell r="C366" t="str">
            <v>205-4</v>
          </cell>
          <cell r="D366" t="str">
            <v>61.10-8-03</v>
          </cell>
          <cell r="E366" t="str">
            <v>FILIAL</v>
          </cell>
          <cell r="F366" t="str">
            <v>CLIENT CO SERVICOS DE REDE NORDESTE S.A.</v>
          </cell>
          <cell r="G366">
            <v>25900467844</v>
          </cell>
          <cell r="H366" t="str">
            <v>53.420.564/0027-89</v>
          </cell>
          <cell r="I366">
            <v>45551</v>
          </cell>
          <cell r="K366" t="str">
            <v>ATIVA</v>
          </cell>
          <cell r="L366" t="str">
            <v>16.506.566-4</v>
          </cell>
          <cell r="M366">
            <v>45551</v>
          </cell>
          <cell r="O366" t="str">
            <v>ATIVA</v>
          </cell>
          <cell r="P366">
            <v>11891380</v>
          </cell>
          <cell r="Q366">
            <v>45561</v>
          </cell>
          <cell r="S366" t="str">
            <v>ATIVA</v>
          </cell>
          <cell r="T366" t="str">
            <v>AV MARECHAL FLORIANO PEIXOTO, 410, ANDAR 2 SALA 204</v>
          </cell>
          <cell r="U366" t="str">
            <v>CENTRO</v>
          </cell>
          <cell r="V366" t="str">
            <v>CAMPINA GRANDE</v>
          </cell>
          <cell r="W366" t="str">
            <v>58.400-180</v>
          </cell>
          <cell r="X366" t="str">
            <v>S</v>
          </cell>
        </row>
        <row r="367">
          <cell r="A367">
            <v>366</v>
          </cell>
          <cell r="B367" t="str">
            <v>BA</v>
          </cell>
          <cell r="C367" t="str">
            <v>205-4</v>
          </cell>
          <cell r="D367" t="str">
            <v xml:space="preserve">82.11-3-00 </v>
          </cell>
          <cell r="E367" t="str">
            <v>FILIAL</v>
          </cell>
          <cell r="F367" t="str">
            <v>CLIENT CO SERVICOS DE REDE NORTE S.A.</v>
          </cell>
          <cell r="G367">
            <v>29902087856</v>
          </cell>
          <cell r="H367" t="str">
            <v>53.420.538/0020-84</v>
          </cell>
          <cell r="I367">
            <v>45551</v>
          </cell>
          <cell r="K367" t="str">
            <v>ATIVA</v>
          </cell>
          <cell r="L367">
            <v>222511340</v>
          </cell>
          <cell r="M367">
            <v>45551</v>
          </cell>
          <cell r="O367" t="str">
            <v>ATIVA</v>
          </cell>
          <cell r="P367" t="str">
            <v>025.858/001-84</v>
          </cell>
          <cell r="Q367">
            <v>45551</v>
          </cell>
          <cell r="S367" t="str">
            <v>ATIVA</v>
          </cell>
          <cell r="T367" t="str">
            <v>AV ANTONIO CARLOS MAGALHAES, 881, EDIF TELEMAR NORTE LESTE S/A BLOCO C PAVMTO 01 SALA 02</v>
          </cell>
          <cell r="U367" t="str">
            <v>ITAIGARA</v>
          </cell>
          <cell r="V367" t="str">
            <v>SALVADOR</v>
          </cell>
          <cell r="W367" t="str">
            <v>41.825-000</v>
          </cell>
          <cell r="X367" t="str">
            <v>S</v>
          </cell>
        </row>
        <row r="368">
          <cell r="A368">
            <v>367</v>
          </cell>
          <cell r="B368" t="str">
            <v>PE</v>
          </cell>
          <cell r="C368" t="str">
            <v>205-4</v>
          </cell>
          <cell r="D368" t="str">
            <v xml:space="preserve">82.11-3-00 </v>
          </cell>
          <cell r="E368" t="str">
            <v>FILIAL</v>
          </cell>
          <cell r="F368" t="str">
            <v>CLIENT CO SERVICOS DE REDE NORTE S.A.</v>
          </cell>
          <cell r="G368">
            <v>26902065761</v>
          </cell>
          <cell r="H368" t="str">
            <v>53.420.538/0021-65</v>
          </cell>
          <cell r="I368">
            <v>45551</v>
          </cell>
          <cell r="K368" t="str">
            <v>ATIVA</v>
          </cell>
          <cell r="L368" t="str">
            <v>IE dispensada</v>
          </cell>
          <cell r="M368" t="str">
            <v>N/A</v>
          </cell>
          <cell r="O368" t="str">
            <v>IE dispensada</v>
          </cell>
          <cell r="P368" t="str">
            <v>854.759-9</v>
          </cell>
          <cell r="Q368">
            <v>45560</v>
          </cell>
          <cell r="S368" t="str">
            <v>ATIVA</v>
          </cell>
          <cell r="T368" t="str">
            <v>R ERNESTO DE PAULA SANTOS, 960, SALA 0102 EMP BOA VIAGEM</v>
          </cell>
          <cell r="U368" t="str">
            <v>BOA VIAGEM</v>
          </cell>
          <cell r="V368" t="str">
            <v>RECIFE</v>
          </cell>
          <cell r="W368" t="str">
            <v>51.021-330</v>
          </cell>
          <cell r="X368" t="str">
            <v>S</v>
          </cell>
        </row>
        <row r="369">
          <cell r="A369">
            <v>368</v>
          </cell>
          <cell r="B369" t="str">
            <v>RN</v>
          </cell>
          <cell r="C369" t="str">
            <v>205-4</v>
          </cell>
          <cell r="D369" t="str">
            <v xml:space="preserve">82.11-3-00 </v>
          </cell>
          <cell r="E369" t="str">
            <v>FILIAL</v>
          </cell>
          <cell r="F369" t="str">
            <v>CLIENT CO SERVICOS DE REDE NORTE S.A.</v>
          </cell>
          <cell r="G369">
            <v>24900466618</v>
          </cell>
          <cell r="H369" t="str">
            <v>53.420.538/0022-46</v>
          </cell>
          <cell r="I369">
            <v>45551</v>
          </cell>
          <cell r="K369" t="str">
            <v>ATIVA</v>
          </cell>
          <cell r="L369" t="str">
            <v>20.670.698-7</v>
          </cell>
          <cell r="M369">
            <v>45551</v>
          </cell>
          <cell r="O369" t="str">
            <v>ATIVA</v>
          </cell>
          <cell r="P369">
            <v>2295374</v>
          </cell>
          <cell r="Q369">
            <v>45551</v>
          </cell>
          <cell r="S369" t="str">
            <v>ATIVA</v>
          </cell>
          <cell r="T369" t="str">
            <v>R DOUTOR POTY NOBREGA, 1946, LOJA 1805 COND EMP INT TRADE CENTER</v>
          </cell>
          <cell r="U369" t="str">
            <v>LAGOA NOVA</v>
          </cell>
          <cell r="V369" t="str">
            <v>NATAL</v>
          </cell>
          <cell r="W369" t="str">
            <v>59.056-180</v>
          </cell>
          <cell r="X369" t="str">
            <v>S</v>
          </cell>
        </row>
        <row r="370">
          <cell r="A370">
            <v>369</v>
          </cell>
          <cell r="B370" t="str">
            <v>SP</v>
          </cell>
          <cell r="C370" t="str">
            <v>205-4</v>
          </cell>
          <cell r="D370" t="str">
            <v xml:space="preserve">82.11-3-00 </v>
          </cell>
          <cell r="E370" t="str">
            <v>FILIAL</v>
          </cell>
          <cell r="F370" t="str">
            <v>CLIENT CO SERVICOS DE REDE NORTE S.A.</v>
          </cell>
          <cell r="G370">
            <v>35920304671</v>
          </cell>
          <cell r="H370" t="str">
            <v>53.420.538/0023-27</v>
          </cell>
          <cell r="I370">
            <v>45551</v>
          </cell>
          <cell r="K370" t="str">
            <v>ATIVA</v>
          </cell>
          <cell r="L370">
            <v>151404448113</v>
          </cell>
          <cell r="M370">
            <v>45594</v>
          </cell>
          <cell r="O370" t="str">
            <v>ATIVA</v>
          </cell>
          <cell r="P370" t="str">
            <v>1.507.336-0</v>
          </cell>
          <cell r="Q370">
            <v>45584</v>
          </cell>
          <cell r="S370" t="str">
            <v>ATIVA</v>
          </cell>
          <cell r="T370" t="str">
            <v>AV DAS NACOES UNIDAS, 12901, BLOCO A - TR NORTE 24-147</v>
          </cell>
          <cell r="U370" t="str">
            <v>BROOKLIN PAULISTA</v>
          </cell>
          <cell r="V370" t="str">
            <v>SÃO PAULO</v>
          </cell>
          <cell r="W370" t="str">
            <v>04.578-910</v>
          </cell>
          <cell r="X370" t="str">
            <v>S</v>
          </cell>
        </row>
        <row r="371">
          <cell r="A371">
            <v>370</v>
          </cell>
          <cell r="B371" t="str">
            <v>PB</v>
          </cell>
          <cell r="C371" t="str">
            <v>205-4</v>
          </cell>
          <cell r="D371" t="str">
            <v xml:space="preserve">82.11-3-00 </v>
          </cell>
          <cell r="E371" t="str">
            <v>FILIAL</v>
          </cell>
          <cell r="F371" t="str">
            <v>CLIENT CO SERVICOS DE REDE NORTE S.A.</v>
          </cell>
          <cell r="G371">
            <v>25900467933</v>
          </cell>
          <cell r="H371" t="str">
            <v>53.420.538/0025-99</v>
          </cell>
          <cell r="I371">
            <v>45554</v>
          </cell>
          <cell r="K371" t="str">
            <v>ATIVA</v>
          </cell>
          <cell r="L371" t="str">
            <v>IE dispensada</v>
          </cell>
          <cell r="M371" t="str">
            <v>N/A</v>
          </cell>
          <cell r="O371" t="str">
            <v>IE dispensada</v>
          </cell>
          <cell r="P371">
            <v>11891471</v>
          </cell>
          <cell r="Q371">
            <v>45580</v>
          </cell>
          <cell r="S371" t="str">
            <v>ATIVA</v>
          </cell>
          <cell r="T371" t="str">
            <v>AV MARECHAL FLORIANO PEIXOTO, 410, ANDAR 1 SALA 110</v>
          </cell>
          <cell r="U371" t="str">
            <v>CENTRO</v>
          </cell>
          <cell r="V371" t="str">
            <v>CAMPINA GRANDE</v>
          </cell>
          <cell r="W371" t="str">
            <v>58.400-180</v>
          </cell>
          <cell r="X371" t="str">
            <v>S</v>
          </cell>
        </row>
        <row r="372">
          <cell r="A372">
            <v>371</v>
          </cell>
          <cell r="B372" t="str">
            <v>MT</v>
          </cell>
          <cell r="C372" t="str">
            <v>205-4</v>
          </cell>
          <cell r="D372" t="str">
            <v>82.11-3-00</v>
          </cell>
          <cell r="E372" t="str">
            <v>FILIAL</v>
          </cell>
          <cell r="F372" t="str">
            <v>CLIENT CO SERVICOS DE REDE NORTE S.A.</v>
          </cell>
          <cell r="G372">
            <v>51920059220</v>
          </cell>
          <cell r="H372" t="str">
            <v>53.420.538/0026-70</v>
          </cell>
          <cell r="I372">
            <v>45558</v>
          </cell>
          <cell r="K372" t="str">
            <v>ATIVA</v>
          </cell>
          <cell r="L372" t="str">
            <v>IE dispensada</v>
          </cell>
          <cell r="M372" t="str">
            <v>N/A</v>
          </cell>
          <cell r="O372" t="str">
            <v>IE dispensada</v>
          </cell>
          <cell r="P372">
            <v>293394</v>
          </cell>
          <cell r="Q372">
            <v>45558</v>
          </cell>
          <cell r="S372" t="str">
            <v>ATIVA</v>
          </cell>
          <cell r="T372" t="str">
            <v>R VINTE E QUATRO DE OUTUBRO, 520,SALA 08 PATIO COWORKING</v>
          </cell>
          <cell r="U372" t="str">
            <v>GOIABEIRA</v>
          </cell>
          <cell r="V372" t="str">
            <v>CUIABÁ</v>
          </cell>
          <cell r="W372" t="str">
            <v>78.032-005</v>
          </cell>
          <cell r="X372" t="str">
            <v>S</v>
          </cell>
        </row>
        <row r="373">
          <cell r="A373">
            <v>372</v>
          </cell>
          <cell r="B373" t="str">
            <v>GO</v>
          </cell>
          <cell r="C373" t="str">
            <v>205-4</v>
          </cell>
          <cell r="D373" t="str">
            <v>82.11-3-00</v>
          </cell>
          <cell r="E373" t="str">
            <v>FILIAL</v>
          </cell>
          <cell r="F373" t="str">
            <v>CLIENT CO SERVICOS DE REDE NORTE S.A.</v>
          </cell>
          <cell r="G373">
            <v>52901721568</v>
          </cell>
          <cell r="H373" t="str">
            <v>53.420.538/0027-50</v>
          </cell>
          <cell r="I373">
            <v>45572</v>
          </cell>
          <cell r="K373" t="str">
            <v>ATIVA</v>
          </cell>
          <cell r="L373" t="str">
            <v>IE dispensada</v>
          </cell>
          <cell r="M373" t="str">
            <v>N/A</v>
          </cell>
          <cell r="O373" t="str">
            <v>IE dispensada</v>
          </cell>
          <cell r="P373">
            <v>6770185</v>
          </cell>
          <cell r="Q373">
            <v>45572</v>
          </cell>
          <cell r="S373" t="str">
            <v>ATIVA</v>
          </cell>
          <cell r="T373" t="str">
            <v>R DO PARQUE, 361, QUADRA145 LOTE AREA 3 - MASTER 2</v>
          </cell>
          <cell r="U373" t="str">
            <v>JD ATLANTICO</v>
          </cell>
          <cell r="V373" t="str">
            <v>GOIANIA</v>
          </cell>
          <cell r="W373" t="str">
            <v>74.343-245</v>
          </cell>
          <cell r="X373" t="str">
            <v>S</v>
          </cell>
        </row>
        <row r="374">
          <cell r="A374">
            <v>373</v>
          </cell>
          <cell r="B374" t="str">
            <v>GO</v>
          </cell>
          <cell r="C374" t="str">
            <v>205-4</v>
          </cell>
          <cell r="D374" t="str">
            <v>61.10-8-03</v>
          </cell>
          <cell r="E374" t="str">
            <v>FILIAL</v>
          </cell>
          <cell r="F374" t="str">
            <v>CLIENT CO SERVICOS DE REDE NORDESTE S.A.</v>
          </cell>
          <cell r="G374">
            <v>52901721657</v>
          </cell>
          <cell r="H374" t="str">
            <v>53.420.564/0028-60</v>
          </cell>
          <cell r="I374">
            <v>45573</v>
          </cell>
          <cell r="K374" t="str">
            <v>ATIVA</v>
          </cell>
          <cell r="L374" t="str">
            <v>20.195689-6</v>
          </cell>
          <cell r="M374">
            <v>45573</v>
          </cell>
          <cell r="O374" t="str">
            <v>ATIVA</v>
          </cell>
          <cell r="P374">
            <v>6772595</v>
          </cell>
          <cell r="Q374">
            <v>45573</v>
          </cell>
          <cell r="S374" t="str">
            <v>ATIVA</v>
          </cell>
          <cell r="T374" t="str">
            <v>R DO PARQUE, 361, QUADRA145 LOTE AREA 3 SALA 01 - TERREO</v>
          </cell>
          <cell r="U374" t="str">
            <v>JD ATLANTICO</v>
          </cell>
          <cell r="V374" t="str">
            <v>GOIANIA</v>
          </cell>
          <cell r="W374" t="str">
            <v>74.343-245</v>
          </cell>
          <cell r="X374" t="str">
            <v>S</v>
          </cell>
        </row>
        <row r="375">
          <cell r="A375">
            <v>374</v>
          </cell>
          <cell r="B375" t="str">
            <v>AM</v>
          </cell>
          <cell r="C375" t="str">
            <v>205-4</v>
          </cell>
          <cell r="D375" t="str">
            <v>82.11-3-00</v>
          </cell>
          <cell r="E375" t="str">
            <v>FILIAL</v>
          </cell>
          <cell r="F375" t="str">
            <v>CLIENT CO SERVICOS DE REDE NORTE S.A.</v>
          </cell>
          <cell r="G375">
            <v>13920022490</v>
          </cell>
          <cell r="H375" t="str">
            <v>53.420.538/0028-31</v>
          </cell>
          <cell r="I375">
            <v>45579</v>
          </cell>
          <cell r="K375" t="str">
            <v>ATIVA</v>
          </cell>
          <cell r="L375" t="str">
            <v>IE dispensada</v>
          </cell>
          <cell r="M375" t="str">
            <v>N/A</v>
          </cell>
          <cell r="O375" t="str">
            <v>IE dispensada</v>
          </cell>
          <cell r="P375">
            <v>641613001</v>
          </cell>
          <cell r="Q375">
            <v>45579</v>
          </cell>
          <cell r="S375" t="str">
            <v>ATIVA</v>
          </cell>
          <cell r="T375" t="str">
            <v>R DIAMANTE, 278, CONJ RESID MANAUENSE</v>
          </cell>
          <cell r="U375" t="str">
            <v>NOSSA SENHORA DAS GRACAS</v>
          </cell>
          <cell r="V375" t="str">
            <v>MANAUS</v>
          </cell>
          <cell r="W375" t="str">
            <v>69.053-700</v>
          </cell>
          <cell r="X375" t="str">
            <v>S</v>
          </cell>
        </row>
        <row r="376">
          <cell r="A376">
            <v>375</v>
          </cell>
          <cell r="B376" t="str">
            <v>DF</v>
          </cell>
          <cell r="C376" t="str">
            <v>205-4</v>
          </cell>
          <cell r="D376" t="str">
            <v>61.10-8-03</v>
          </cell>
          <cell r="E376" t="str">
            <v>FILIAL</v>
          </cell>
          <cell r="F376" t="str">
            <v>CLIENT CO SERVICOS DE REDE NORDESTE S.A.</v>
          </cell>
          <cell r="G376">
            <v>53920042710</v>
          </cell>
          <cell r="H376" t="str">
            <v>53.420.564/0029-40</v>
          </cell>
          <cell r="I376">
            <v>45582</v>
          </cell>
          <cell r="K376" t="str">
            <v>ATIVA</v>
          </cell>
          <cell r="L376" t="str">
            <v>0833783300155</v>
          </cell>
          <cell r="M376">
            <v>45582</v>
          </cell>
          <cell r="O376" t="str">
            <v>ATIVA</v>
          </cell>
          <cell r="P376" t="str">
            <v>0833783300155</v>
          </cell>
          <cell r="Q376">
            <v>45582</v>
          </cell>
          <cell r="S376" t="str">
            <v>ATIVA</v>
          </cell>
          <cell r="T376" t="str">
            <v>ST SCN QUADRA 03, S/N, BLOCO A TERREOPARTE SALA B</v>
          </cell>
          <cell r="U376" t="str">
            <v>ASA NORTE</v>
          </cell>
          <cell r="V376" t="str">
            <v>BRASILIA</v>
          </cell>
          <cell r="W376" t="str">
            <v>70.713-900</v>
          </cell>
          <cell r="X376" t="str">
            <v>S</v>
          </cell>
        </row>
        <row r="377">
          <cell r="A377">
            <v>376</v>
          </cell>
          <cell r="B377" t="str">
            <v>DF</v>
          </cell>
          <cell r="C377" t="str">
            <v>205-4</v>
          </cell>
          <cell r="D377" t="str">
            <v>82.11-3-00</v>
          </cell>
          <cell r="E377" t="str">
            <v>FILIAL</v>
          </cell>
          <cell r="F377" t="str">
            <v>CLIENT CO SERVICOS DE REDE NORTE S.A.</v>
          </cell>
          <cell r="G377">
            <v>53920042728</v>
          </cell>
          <cell r="H377" t="str">
            <v>53.420.538/0029-12</v>
          </cell>
          <cell r="I377">
            <v>45582</v>
          </cell>
          <cell r="K377" t="str">
            <v>ATIVA</v>
          </cell>
          <cell r="L377" t="str">
            <v>IE dispensada</v>
          </cell>
          <cell r="M377" t="str">
            <v>N/A</v>
          </cell>
          <cell r="O377" t="str">
            <v>IE dispensada</v>
          </cell>
          <cell r="P377" t="str">
            <v>0833786600150</v>
          </cell>
          <cell r="Q377">
            <v>45582</v>
          </cell>
          <cell r="S377" t="str">
            <v>ATIVA</v>
          </cell>
          <cell r="T377" t="str">
            <v>ST SCN QUADRA 03, S/N, BLOCO A TERREOPARTE SALA A</v>
          </cell>
          <cell r="U377" t="str">
            <v>ASA NORTE</v>
          </cell>
          <cell r="V377" t="str">
            <v>BRASILIA</v>
          </cell>
          <cell r="W377" t="str">
            <v>70.713-900</v>
          </cell>
          <cell r="X377" t="str">
            <v>S</v>
          </cell>
        </row>
        <row r="378">
          <cell r="A378">
            <v>377</v>
          </cell>
          <cell r="B378" t="str">
            <v>RR</v>
          </cell>
          <cell r="C378" t="str">
            <v>205-4</v>
          </cell>
          <cell r="D378" t="str">
            <v>61.10-8-03</v>
          </cell>
          <cell r="E378" t="str">
            <v>FILIAL</v>
          </cell>
          <cell r="F378" t="str">
            <v>CLIENT CO SERVICOS DE REDE NORDESTE S.A.</v>
          </cell>
          <cell r="G378">
            <v>14920008200</v>
          </cell>
          <cell r="H378" t="str">
            <v>53.420.564/0030-84</v>
          </cell>
          <cell r="I378">
            <v>45607</v>
          </cell>
          <cell r="K378" t="str">
            <v>ATIVA</v>
          </cell>
          <cell r="L378" t="str">
            <v>24.055435-5</v>
          </cell>
          <cell r="M378">
            <v>45623</v>
          </cell>
          <cell r="O378" t="str">
            <v>ATIVA</v>
          </cell>
          <cell r="P378" t="str">
            <v>375397.2</v>
          </cell>
          <cell r="Q378">
            <v>45607</v>
          </cell>
          <cell r="S378" t="str">
            <v>ATIVA</v>
          </cell>
          <cell r="T378" t="str">
            <v>R LEONCIO BARBOSA, 1451, BLOCO A PAVMTO1 SALA 2</v>
          </cell>
          <cell r="U378" t="str">
            <v>TANCREDO NEVES</v>
          </cell>
          <cell r="V378" t="str">
            <v>BOA VISTA</v>
          </cell>
          <cell r="W378" t="str">
            <v>69.313-508</v>
          </cell>
          <cell r="X378" t="str">
            <v>S</v>
          </cell>
        </row>
        <row r="379">
          <cell r="A379">
            <v>378</v>
          </cell>
          <cell r="B379" t="str">
            <v>RJ</v>
          </cell>
          <cell r="C379" t="str">
            <v>205-4</v>
          </cell>
          <cell r="D379" t="str">
            <v>68.10-2-01</v>
          </cell>
          <cell r="E379" t="str">
            <v>MATRIZ</v>
          </cell>
          <cell r="F379" t="str">
            <v>TOWERCO 2 INFRAESTRUTURA E PARTICIPACOES S.A.</v>
          </cell>
          <cell r="G379">
            <v>33300355987</v>
          </cell>
          <cell r="H379" t="str">
            <v>54.144.419/0001-46</v>
          </cell>
          <cell r="I379">
            <v>45352</v>
          </cell>
          <cell r="K379" t="str">
            <v>ATIVA</v>
          </cell>
          <cell r="L379" t="str">
            <v>15.209.12-7</v>
          </cell>
          <cell r="M379">
            <v>45652</v>
          </cell>
          <cell r="O379" t="str">
            <v>ATIVA</v>
          </cell>
          <cell r="P379" t="str">
            <v xml:space="preserve">1.517.768-3 </v>
          </cell>
          <cell r="Q379">
            <v>45355</v>
          </cell>
          <cell r="S379" t="str">
            <v>ATIVA</v>
          </cell>
          <cell r="T379" t="str">
            <v>R CORREIA VASQUES, 69, 3 ANDAR SALA 308</v>
          </cell>
          <cell r="U379" t="str">
            <v>CIDADE NOVA</v>
          </cell>
          <cell r="V379" t="str">
            <v>RIO DE JANEIRO</v>
          </cell>
          <cell r="W379" t="str">
            <v>20.211-140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5"/>
  <sheetViews>
    <sheetView tabSelected="1" topLeftCell="H1" zoomScale="120" zoomScaleNormal="120" workbookViewId="0">
      <pane ySplit="1" topLeftCell="A2" activePane="bottomLeft" state="frozen"/>
      <selection pane="bottomLeft" activeCell="N7" sqref="N7"/>
    </sheetView>
  </sheetViews>
  <sheetFormatPr baseColWidth="10" defaultColWidth="8.83203125" defaultRowHeight="14" x14ac:dyDescent="0.2"/>
  <cols>
    <col min="1" max="1" width="8.83203125" style="11"/>
    <col min="2" max="2" width="8.83203125" style="11" hidden="1" customWidth="1"/>
    <col min="3" max="3" width="9.1640625" style="11" bestFit="1" customWidth="1"/>
    <col min="4" max="4" width="33.83203125" style="13" customWidth="1"/>
    <col min="5" max="5" width="19.33203125" style="13" customWidth="1"/>
    <col min="6" max="6" width="54" style="11" customWidth="1"/>
    <col min="7" max="7" width="18.5" style="11" customWidth="1"/>
    <col min="8" max="8" width="23.1640625" style="11" bestFit="1" customWidth="1"/>
    <col min="9" max="9" width="15.1640625" style="11" customWidth="1"/>
    <col min="10" max="11" width="11.1640625" style="11" customWidth="1"/>
    <col min="12" max="12" width="17.1640625" style="11" customWidth="1"/>
    <col min="13" max="13" width="9.83203125" style="11" customWidth="1"/>
    <col min="14" max="14" width="17.1640625" style="11" customWidth="1"/>
    <col min="15" max="15" width="17.1640625" style="30" customWidth="1"/>
    <col min="16" max="16" width="73.1640625" style="27" bestFit="1" customWidth="1"/>
    <col min="17" max="17" width="30.83203125" style="27" customWidth="1"/>
    <col min="18" max="16384" width="8.83203125" style="11"/>
  </cols>
  <sheetData>
    <row r="1" spans="1:18" ht="15" x14ac:dyDescent="0.2">
      <c r="A1" s="17" t="s">
        <v>371</v>
      </c>
      <c r="B1" s="17" t="s">
        <v>0</v>
      </c>
      <c r="C1" s="17" t="s">
        <v>0</v>
      </c>
      <c r="D1" s="18" t="s">
        <v>10</v>
      </c>
      <c r="E1" s="18" t="s">
        <v>12</v>
      </c>
      <c r="F1" s="18" t="s">
        <v>30</v>
      </c>
      <c r="G1" s="19" t="s">
        <v>31</v>
      </c>
      <c r="H1" s="19" t="s">
        <v>32</v>
      </c>
      <c r="I1" s="20" t="s">
        <v>33</v>
      </c>
      <c r="J1" s="21" t="s">
        <v>284</v>
      </c>
      <c r="K1" s="21" t="s">
        <v>285</v>
      </c>
      <c r="L1" s="21" t="s">
        <v>368</v>
      </c>
      <c r="M1" s="21" t="s">
        <v>286</v>
      </c>
      <c r="N1" s="31" t="s">
        <v>378</v>
      </c>
      <c r="O1" s="31" t="s">
        <v>458</v>
      </c>
      <c r="P1" s="21" t="s">
        <v>360</v>
      </c>
      <c r="Q1" s="24" t="s">
        <v>473</v>
      </c>
    </row>
    <row r="2" spans="1:18" x14ac:dyDescent="0.2">
      <c r="A2" s="22" t="s">
        <v>372</v>
      </c>
      <c r="B2" s="23" t="s">
        <v>367</v>
      </c>
      <c r="C2" s="4" t="s">
        <v>214</v>
      </c>
      <c r="D2" s="4" t="s">
        <v>11</v>
      </c>
      <c r="E2" s="4" t="s">
        <v>221</v>
      </c>
      <c r="F2" s="4" t="s">
        <v>228</v>
      </c>
      <c r="G2" s="4" t="s">
        <v>66</v>
      </c>
      <c r="H2" s="4" t="s">
        <v>229</v>
      </c>
      <c r="I2" s="7">
        <v>69900076</v>
      </c>
      <c r="J2" s="10"/>
      <c r="K2" s="10"/>
      <c r="L2" s="10"/>
      <c r="M2" s="10"/>
      <c r="N2" s="10" t="s">
        <v>359</v>
      </c>
      <c r="O2" s="28">
        <v>21</v>
      </c>
      <c r="P2" s="25" t="s">
        <v>475</v>
      </c>
      <c r="Q2" s="11" t="str">
        <f>TRIM(VLOOKUP(O2,'[1]CNPJ Consolidado'!$A$1:$X$379,6,FALSE))</f>
        <v>OI S/A - EM RECUPERAÇÃO JUDICIAL</v>
      </c>
    </row>
    <row r="3" spans="1:18" x14ac:dyDescent="0.2">
      <c r="A3" s="22" t="s">
        <v>372</v>
      </c>
      <c r="B3" s="22" t="s">
        <v>367</v>
      </c>
      <c r="C3" s="4" t="s">
        <v>1</v>
      </c>
      <c r="D3" s="4" t="s">
        <v>11</v>
      </c>
      <c r="E3" s="4" t="s">
        <v>13</v>
      </c>
      <c r="F3" s="4" t="s">
        <v>34</v>
      </c>
      <c r="G3" s="4" t="s">
        <v>35</v>
      </c>
      <c r="H3" s="4" t="s">
        <v>36</v>
      </c>
      <c r="I3" s="4">
        <v>57046140</v>
      </c>
      <c r="J3" s="10" t="s">
        <v>359</v>
      </c>
      <c r="K3" s="10"/>
      <c r="L3" s="10"/>
      <c r="M3" s="10" t="s">
        <v>359</v>
      </c>
      <c r="N3" s="10" t="s">
        <v>359</v>
      </c>
      <c r="O3" s="30">
        <v>83</v>
      </c>
      <c r="P3" s="25" t="s">
        <v>492</v>
      </c>
      <c r="Q3" s="11" t="str">
        <f>TRIM(VLOOKUP(O3,'[1]CNPJ Consolidado'!$A$1:$X$379,6,FALSE))</f>
        <v>OI S/A - EM RECUPERAÇÃO JUDICIAL</v>
      </c>
    </row>
    <row r="4" spans="1:18" x14ac:dyDescent="0.2">
      <c r="A4" s="22" t="s">
        <v>372</v>
      </c>
      <c r="B4" s="22" t="s">
        <v>362</v>
      </c>
      <c r="C4" s="4" t="s">
        <v>2</v>
      </c>
      <c r="D4" s="4" t="s">
        <v>11</v>
      </c>
      <c r="E4" s="4" t="s">
        <v>14</v>
      </c>
      <c r="F4" s="4" t="s">
        <v>37</v>
      </c>
      <c r="G4" s="4" t="s">
        <v>38</v>
      </c>
      <c r="H4" s="4" t="s">
        <v>39</v>
      </c>
      <c r="I4" s="4">
        <v>69070625</v>
      </c>
      <c r="J4" s="10"/>
      <c r="K4" s="10"/>
      <c r="L4" s="10"/>
      <c r="M4" s="10"/>
      <c r="N4" s="10" t="s">
        <v>359</v>
      </c>
      <c r="O4" s="28">
        <v>84</v>
      </c>
      <c r="P4" s="25" t="s">
        <v>291</v>
      </c>
      <c r="Q4" s="11" t="str">
        <f>TRIM(VLOOKUP(O4,'[1]CNPJ Consolidado'!$A$1:$X$379,6,FALSE))</f>
        <v>OI S/A - EM RECUPERAÇÃO JUDICIAL</v>
      </c>
    </row>
    <row r="5" spans="1:18" x14ac:dyDescent="0.2">
      <c r="A5" s="22" t="s">
        <v>372</v>
      </c>
      <c r="B5" s="22" t="s">
        <v>362</v>
      </c>
      <c r="C5" s="9" t="s">
        <v>2</v>
      </c>
      <c r="D5" s="4" t="s">
        <v>11</v>
      </c>
      <c r="E5" s="4" t="s">
        <v>15</v>
      </c>
      <c r="F5" s="9" t="s">
        <v>40</v>
      </c>
      <c r="G5" s="9" t="s">
        <v>41</v>
      </c>
      <c r="H5" s="9" t="s">
        <v>39</v>
      </c>
      <c r="I5" s="4">
        <v>69057050</v>
      </c>
      <c r="J5" s="10" t="s">
        <v>359</v>
      </c>
      <c r="K5" s="10"/>
      <c r="L5" s="10"/>
      <c r="M5" s="10" t="s">
        <v>359</v>
      </c>
      <c r="N5" s="10" t="s">
        <v>359</v>
      </c>
      <c r="O5" s="28">
        <v>15</v>
      </c>
      <c r="P5" s="25" t="s">
        <v>493</v>
      </c>
      <c r="Q5" s="11" t="str">
        <f>TRIM(VLOOKUP(O5,'[1]CNPJ Consolidado'!$A$1:$X$379,6,FALSE))</f>
        <v>OI S/A - EM RECUPERAÇÃO JUDICIAL</v>
      </c>
    </row>
    <row r="6" spans="1:18" x14ac:dyDescent="0.2">
      <c r="A6" s="22" t="s">
        <v>372</v>
      </c>
      <c r="B6" s="22" t="s">
        <v>362</v>
      </c>
      <c r="C6" s="9" t="s">
        <v>3</v>
      </c>
      <c r="D6" s="9" t="s">
        <v>11</v>
      </c>
      <c r="E6" s="4" t="s">
        <v>16</v>
      </c>
      <c r="F6" s="9" t="s">
        <v>42</v>
      </c>
      <c r="G6" s="9" t="s">
        <v>43</v>
      </c>
      <c r="H6" s="9" t="s">
        <v>44</v>
      </c>
      <c r="I6" s="4">
        <v>68903193</v>
      </c>
      <c r="J6" s="10" t="s">
        <v>359</v>
      </c>
      <c r="K6" s="10"/>
      <c r="L6" s="10"/>
      <c r="M6" s="10"/>
      <c r="N6" s="10" t="s">
        <v>359</v>
      </c>
      <c r="O6" s="10">
        <v>88</v>
      </c>
      <c r="P6" s="25" t="s">
        <v>494</v>
      </c>
      <c r="Q6" s="11" t="str">
        <f>TRIM(VLOOKUP(O6,'[1]CNPJ Consolidado'!$A$1:$X$379,6,FALSE))</f>
        <v>OI S/A - EM RECUPERAÇÃO JUDICIAL</v>
      </c>
    </row>
    <row r="7" spans="1:18" x14ac:dyDescent="0.2">
      <c r="A7" s="22" t="s">
        <v>372</v>
      </c>
      <c r="B7" s="22" t="s">
        <v>362</v>
      </c>
      <c r="C7" s="9" t="s">
        <v>3</v>
      </c>
      <c r="D7" s="9" t="s">
        <v>11</v>
      </c>
      <c r="E7" s="4" t="s">
        <v>17</v>
      </c>
      <c r="F7" s="9" t="s">
        <v>249</v>
      </c>
      <c r="G7" s="9" t="s">
        <v>45</v>
      </c>
      <c r="H7" s="9" t="s">
        <v>46</v>
      </c>
      <c r="I7" s="4">
        <v>68950000</v>
      </c>
      <c r="J7" s="10"/>
      <c r="K7" s="10"/>
      <c r="L7" s="10"/>
      <c r="M7" s="10" t="s">
        <v>359</v>
      </c>
      <c r="N7" s="10" t="s">
        <v>359</v>
      </c>
      <c r="O7" s="10">
        <v>13</v>
      </c>
      <c r="P7" s="25" t="s">
        <v>495</v>
      </c>
      <c r="Q7" s="11" t="str">
        <f>TRIM(VLOOKUP(O7,'[1]CNPJ Consolidado'!$A$1:$X$379,6,FALSE))</f>
        <v>OI S/A - EM RECUPERAÇÃO JUDICIAL</v>
      </c>
    </row>
    <row r="8" spans="1:18" hidden="1" x14ac:dyDescent="0.2">
      <c r="A8" s="22" t="s">
        <v>372</v>
      </c>
      <c r="B8" s="22" t="s">
        <v>367</v>
      </c>
      <c r="C8" s="4" t="s">
        <v>4</v>
      </c>
      <c r="D8" s="4" t="s">
        <v>11</v>
      </c>
      <c r="E8" s="4" t="s">
        <v>18</v>
      </c>
      <c r="F8" s="4" t="s">
        <v>279</v>
      </c>
      <c r="G8" s="4" t="s">
        <v>280</v>
      </c>
      <c r="H8" s="4" t="s">
        <v>47</v>
      </c>
      <c r="I8" s="4">
        <v>41233010</v>
      </c>
      <c r="J8" s="10" t="s">
        <v>359</v>
      </c>
      <c r="K8" s="10"/>
      <c r="L8" s="10"/>
      <c r="M8" s="10" t="s">
        <v>359</v>
      </c>
      <c r="N8" s="10" t="s">
        <v>379</v>
      </c>
      <c r="O8" s="10"/>
      <c r="P8" s="26" t="s">
        <v>486</v>
      </c>
      <c r="Q8" s="11"/>
    </row>
    <row r="9" spans="1:18" hidden="1" x14ac:dyDescent="0.2">
      <c r="A9" s="22" t="s">
        <v>372</v>
      </c>
      <c r="B9" s="22" t="s">
        <v>367</v>
      </c>
      <c r="C9" s="9" t="s">
        <v>4</v>
      </c>
      <c r="D9" s="9" t="s">
        <v>11</v>
      </c>
      <c r="E9" s="4" t="s">
        <v>19</v>
      </c>
      <c r="F9" s="4" t="s">
        <v>281</v>
      </c>
      <c r="G9" s="4" t="s">
        <v>280</v>
      </c>
      <c r="H9" s="4" t="s">
        <v>47</v>
      </c>
      <c r="I9" s="4">
        <v>41233010</v>
      </c>
      <c r="J9" s="10" t="s">
        <v>359</v>
      </c>
      <c r="K9" s="10"/>
      <c r="L9" s="10"/>
      <c r="M9" s="10" t="s">
        <v>359</v>
      </c>
      <c r="N9" s="10" t="s">
        <v>379</v>
      </c>
      <c r="O9" s="10"/>
      <c r="P9" s="26" t="s">
        <v>486</v>
      </c>
      <c r="Q9" s="11"/>
    </row>
    <row r="10" spans="1:18" hidden="1" x14ac:dyDescent="0.2">
      <c r="A10" s="22" t="s">
        <v>372</v>
      </c>
      <c r="B10" s="22" t="s">
        <v>367</v>
      </c>
      <c r="C10" s="9" t="s">
        <v>4</v>
      </c>
      <c r="D10" s="9" t="s">
        <v>11</v>
      </c>
      <c r="E10" s="4" t="s">
        <v>20</v>
      </c>
      <c r="F10" s="9" t="s">
        <v>48</v>
      </c>
      <c r="G10" s="9" t="s">
        <v>49</v>
      </c>
      <c r="H10" s="9" t="s">
        <v>50</v>
      </c>
      <c r="I10" s="9">
        <v>44010455</v>
      </c>
      <c r="J10" s="10" t="s">
        <v>359</v>
      </c>
      <c r="K10" s="10"/>
      <c r="L10" s="10"/>
      <c r="M10" s="10" t="s">
        <v>359</v>
      </c>
      <c r="N10" s="10" t="s">
        <v>379</v>
      </c>
      <c r="O10" s="10"/>
      <c r="P10" s="26" t="s">
        <v>486</v>
      </c>
      <c r="Q10" s="11"/>
    </row>
    <row r="11" spans="1:18" hidden="1" x14ac:dyDescent="0.2">
      <c r="A11" s="22" t="s">
        <v>372</v>
      </c>
      <c r="B11" s="22" t="s">
        <v>367</v>
      </c>
      <c r="C11" s="9" t="s">
        <v>4</v>
      </c>
      <c r="D11" s="9" t="s">
        <v>11</v>
      </c>
      <c r="E11" s="4" t="s">
        <v>21</v>
      </c>
      <c r="F11" s="9" t="s">
        <v>51</v>
      </c>
      <c r="G11" s="9" t="s">
        <v>52</v>
      </c>
      <c r="H11" s="9" t="s">
        <v>53</v>
      </c>
      <c r="I11" s="9">
        <v>45604592</v>
      </c>
      <c r="J11" s="10" t="s">
        <v>359</v>
      </c>
      <c r="K11" s="10"/>
      <c r="L11" s="10"/>
      <c r="M11" s="10" t="s">
        <v>359</v>
      </c>
      <c r="N11" s="10" t="s">
        <v>379</v>
      </c>
      <c r="O11" s="10"/>
      <c r="P11" s="26" t="s">
        <v>486</v>
      </c>
      <c r="Q11" s="11"/>
    </row>
    <row r="12" spans="1:18" x14ac:dyDescent="0.2">
      <c r="A12" s="22" t="s">
        <v>372</v>
      </c>
      <c r="B12" s="22" t="s">
        <v>367</v>
      </c>
      <c r="C12" s="4" t="s">
        <v>4</v>
      </c>
      <c r="D12" s="4" t="s">
        <v>11</v>
      </c>
      <c r="E12" s="4" t="s">
        <v>241</v>
      </c>
      <c r="F12" s="4" t="s">
        <v>244</v>
      </c>
      <c r="G12" s="4" t="s">
        <v>245</v>
      </c>
      <c r="H12" s="4" t="s">
        <v>246</v>
      </c>
      <c r="I12" s="7">
        <v>45085110</v>
      </c>
      <c r="J12" s="10" t="s">
        <v>359</v>
      </c>
      <c r="K12" s="10"/>
      <c r="L12" s="10"/>
      <c r="M12" s="10" t="s">
        <v>359</v>
      </c>
      <c r="N12" s="10" t="s">
        <v>359</v>
      </c>
      <c r="O12" s="10">
        <v>89</v>
      </c>
      <c r="P12" s="25" t="s">
        <v>496</v>
      </c>
      <c r="Q12" s="11" t="str">
        <f>TRIM(VLOOKUP(O12,'[1]CNPJ Consolidado'!$A$1:$X$379,6,FALSE))</f>
        <v>OI S/A - EM RECUPERAÇÃO JUDICIAL</v>
      </c>
    </row>
    <row r="13" spans="1:18" hidden="1" x14ac:dyDescent="0.2">
      <c r="A13" s="22" t="s">
        <v>372</v>
      </c>
      <c r="B13" s="23" t="s">
        <v>363</v>
      </c>
      <c r="C13" s="9" t="s">
        <v>5</v>
      </c>
      <c r="D13" s="9" t="s">
        <v>11</v>
      </c>
      <c r="E13" s="4" t="s">
        <v>24</v>
      </c>
      <c r="F13" s="9" t="s">
        <v>251</v>
      </c>
      <c r="G13" s="9" t="s">
        <v>58</v>
      </c>
      <c r="H13" s="9" t="s">
        <v>56</v>
      </c>
      <c r="I13" s="9">
        <v>60125045</v>
      </c>
      <c r="J13" s="10"/>
      <c r="K13" s="10"/>
      <c r="L13" s="10"/>
      <c r="M13" s="10"/>
      <c r="N13" s="10" t="s">
        <v>379</v>
      </c>
      <c r="O13" s="10"/>
      <c r="P13" s="25" t="s">
        <v>475</v>
      </c>
      <c r="Q13" s="11"/>
    </row>
    <row r="14" spans="1:18" s="12" customFormat="1" x14ac:dyDescent="0.2">
      <c r="A14" s="22" t="s">
        <v>372</v>
      </c>
      <c r="B14" s="22" t="s">
        <v>363</v>
      </c>
      <c r="C14" s="4" t="s">
        <v>5</v>
      </c>
      <c r="D14" s="4" t="s">
        <v>11</v>
      </c>
      <c r="E14" s="4" t="s">
        <v>22</v>
      </c>
      <c r="F14" s="4" t="s">
        <v>54</v>
      </c>
      <c r="G14" s="4" t="s">
        <v>55</v>
      </c>
      <c r="H14" s="4" t="s">
        <v>56</v>
      </c>
      <c r="I14" s="5">
        <v>60762410</v>
      </c>
      <c r="J14" s="10" t="s">
        <v>359</v>
      </c>
      <c r="K14" s="10"/>
      <c r="L14" s="10"/>
      <c r="M14" s="10"/>
      <c r="N14" s="10" t="s">
        <v>359</v>
      </c>
      <c r="O14" s="10">
        <v>95</v>
      </c>
      <c r="P14" s="25" t="s">
        <v>497</v>
      </c>
      <c r="Q14" s="11" t="str">
        <f>TRIM(VLOOKUP(O14,'[1]CNPJ Consolidado'!$A$1:$X$379,6,FALSE))</f>
        <v>OI S/A - EM RECUPERAÇÃO JUDICIAL</v>
      </c>
      <c r="R14" s="11"/>
    </row>
    <row r="15" spans="1:18" hidden="1" x14ac:dyDescent="0.2">
      <c r="A15" s="22" t="s">
        <v>372</v>
      </c>
      <c r="B15" s="22" t="s">
        <v>363</v>
      </c>
      <c r="C15" s="9" t="s">
        <v>5</v>
      </c>
      <c r="D15" s="9" t="s">
        <v>11</v>
      </c>
      <c r="E15" s="4" t="s">
        <v>23</v>
      </c>
      <c r="F15" s="9" t="s">
        <v>250</v>
      </c>
      <c r="G15" s="9" t="s">
        <v>57</v>
      </c>
      <c r="H15" s="9" t="s">
        <v>56</v>
      </c>
      <c r="I15" s="9">
        <v>60811695</v>
      </c>
      <c r="J15" s="10"/>
      <c r="K15" s="10"/>
      <c r="L15" s="10"/>
      <c r="M15" s="10" t="s">
        <v>359</v>
      </c>
      <c r="N15" s="10" t="s">
        <v>379</v>
      </c>
      <c r="O15" s="10"/>
      <c r="P15" s="26" t="s">
        <v>486</v>
      </c>
      <c r="Q15" s="11"/>
    </row>
    <row r="16" spans="1:18" s="12" customFormat="1" x14ac:dyDescent="0.2">
      <c r="A16" s="22" t="s">
        <v>372</v>
      </c>
      <c r="B16" s="23" t="s">
        <v>365</v>
      </c>
      <c r="C16" s="4" t="s">
        <v>215</v>
      </c>
      <c r="D16" s="4" t="s">
        <v>11</v>
      </c>
      <c r="E16" s="4" t="s">
        <v>222</v>
      </c>
      <c r="F16" s="4" t="s">
        <v>265</v>
      </c>
      <c r="G16" s="4" t="s">
        <v>230</v>
      </c>
      <c r="H16" s="4" t="s">
        <v>231</v>
      </c>
      <c r="I16" s="7">
        <v>70302903</v>
      </c>
      <c r="J16" s="10"/>
      <c r="K16" s="10"/>
      <c r="L16" s="10"/>
      <c r="M16" s="10"/>
      <c r="N16" s="10" t="s">
        <v>359</v>
      </c>
      <c r="O16" s="10">
        <v>5</v>
      </c>
      <c r="P16" s="25" t="s">
        <v>475</v>
      </c>
      <c r="Q16" s="11" t="str">
        <f>TRIM(VLOOKUP(O16,'[1]CNPJ Consolidado'!$A$1:$X$379,6,FALSE))</f>
        <v>OI S/A - EM RECUPERAÇÃO JUDICIAL</v>
      </c>
      <c r="R16" s="11"/>
    </row>
    <row r="17" spans="1:18" s="12" customFormat="1" x14ac:dyDescent="0.2">
      <c r="A17" s="22" t="s">
        <v>372</v>
      </c>
      <c r="B17" s="23" t="s">
        <v>365</v>
      </c>
      <c r="C17" s="4" t="s">
        <v>216</v>
      </c>
      <c r="D17" s="4" t="s">
        <v>11</v>
      </c>
      <c r="E17" s="4" t="s">
        <v>223</v>
      </c>
      <c r="F17" s="4" t="s">
        <v>266</v>
      </c>
      <c r="G17" s="4" t="s">
        <v>66</v>
      </c>
      <c r="H17" s="4" t="s">
        <v>232</v>
      </c>
      <c r="I17" s="7">
        <v>29016095</v>
      </c>
      <c r="J17" s="10"/>
      <c r="K17" s="10"/>
      <c r="L17" s="10"/>
      <c r="M17" s="10"/>
      <c r="N17" s="10" t="s">
        <v>359</v>
      </c>
      <c r="O17" s="10">
        <v>100</v>
      </c>
      <c r="P17" s="25" t="s">
        <v>476</v>
      </c>
      <c r="Q17" s="11" t="str">
        <f>TRIM(VLOOKUP(O17,'[1]CNPJ Consolidado'!$A$1:$X$379,6,FALSE))</f>
        <v>OI S/A - EM RECUPERAÇÃO JUDICIAL</v>
      </c>
      <c r="R17" s="11"/>
    </row>
    <row r="18" spans="1:18" s="12" customFormat="1" hidden="1" x14ac:dyDescent="0.2">
      <c r="A18" s="22" t="s">
        <v>372</v>
      </c>
      <c r="B18" s="23" t="s">
        <v>365</v>
      </c>
      <c r="C18" s="9" t="s">
        <v>6</v>
      </c>
      <c r="D18" s="9" t="s">
        <v>11</v>
      </c>
      <c r="E18" s="4" t="s">
        <v>25</v>
      </c>
      <c r="F18" s="9" t="s">
        <v>252</v>
      </c>
      <c r="G18" s="9" t="s">
        <v>253</v>
      </c>
      <c r="H18" s="9" t="s">
        <v>59</v>
      </c>
      <c r="I18" s="9">
        <v>74845090</v>
      </c>
      <c r="J18" s="10"/>
      <c r="K18" s="10"/>
      <c r="L18" s="10"/>
      <c r="M18" s="10"/>
      <c r="N18" s="10" t="s">
        <v>379</v>
      </c>
      <c r="O18" s="10"/>
      <c r="P18" s="25" t="s">
        <v>475</v>
      </c>
      <c r="Q18" s="11"/>
      <c r="R18" s="11"/>
    </row>
    <row r="19" spans="1:18" x14ac:dyDescent="0.2">
      <c r="A19" s="22" t="s">
        <v>372</v>
      </c>
      <c r="B19" s="22" t="s">
        <v>363</v>
      </c>
      <c r="C19" s="4" t="s">
        <v>7</v>
      </c>
      <c r="D19" s="4" t="s">
        <v>11</v>
      </c>
      <c r="E19" s="4" t="s">
        <v>26</v>
      </c>
      <c r="F19" s="4" t="s">
        <v>254</v>
      </c>
      <c r="G19" s="4" t="s">
        <v>60</v>
      </c>
      <c r="H19" s="4" t="s">
        <v>61</v>
      </c>
      <c r="I19" s="5">
        <v>65060541</v>
      </c>
      <c r="J19" s="10" t="s">
        <v>359</v>
      </c>
      <c r="K19" s="10"/>
      <c r="L19" s="10"/>
      <c r="M19" s="10"/>
      <c r="N19" s="10" t="s">
        <v>359</v>
      </c>
      <c r="O19" s="10">
        <v>247</v>
      </c>
      <c r="P19" s="32" t="s">
        <v>459</v>
      </c>
      <c r="Q19" s="11" t="str">
        <f>TRIM(VLOOKUP(O19,'[1]CNPJ Consolidado'!$A$1:$X$379,6,FALSE))</f>
        <v>OI S/A - EM RECUPERAÇÃO JUDICIAL</v>
      </c>
    </row>
    <row r="20" spans="1:18" x14ac:dyDescent="0.2">
      <c r="A20" s="22" t="s">
        <v>372</v>
      </c>
      <c r="B20" s="22" t="s">
        <v>363</v>
      </c>
      <c r="C20" s="4" t="s">
        <v>7</v>
      </c>
      <c r="D20" s="4" t="s">
        <v>11</v>
      </c>
      <c r="E20" s="4" t="s">
        <v>242</v>
      </c>
      <c r="F20" s="4" t="s">
        <v>269</v>
      </c>
      <c r="G20" s="4" t="s">
        <v>247</v>
      </c>
      <c r="H20" s="4" t="s">
        <v>61</v>
      </c>
      <c r="I20" s="7">
        <v>65074115</v>
      </c>
      <c r="J20" s="10"/>
      <c r="K20" s="10"/>
      <c r="L20" s="10"/>
      <c r="M20" s="10" t="s">
        <v>359</v>
      </c>
      <c r="N20" s="10" t="s">
        <v>359</v>
      </c>
      <c r="O20" s="10">
        <v>24</v>
      </c>
      <c r="P20" s="25" t="s">
        <v>498</v>
      </c>
      <c r="Q20" s="11" t="str">
        <f>TRIM(VLOOKUP(O20,'[1]CNPJ Consolidado'!$A$1:$X$379,6,FALSE))</f>
        <v>OI S/A - EM RECUPERAÇÃO JUDICIAL</v>
      </c>
    </row>
    <row r="21" spans="1:18" s="12" customFormat="1" hidden="1" x14ac:dyDescent="0.2">
      <c r="A21" s="22" t="s">
        <v>372</v>
      </c>
      <c r="B21" s="23" t="s">
        <v>365</v>
      </c>
      <c r="C21" s="4" t="s">
        <v>8</v>
      </c>
      <c r="D21" s="4" t="s">
        <v>11</v>
      </c>
      <c r="E21" s="4" t="s">
        <v>27</v>
      </c>
      <c r="F21" s="4" t="s">
        <v>62</v>
      </c>
      <c r="G21" s="4" t="s">
        <v>63</v>
      </c>
      <c r="H21" s="4" t="s">
        <v>64</v>
      </c>
      <c r="I21" s="5">
        <v>31015115</v>
      </c>
      <c r="J21" s="10"/>
      <c r="K21" s="10"/>
      <c r="L21" s="10"/>
      <c r="M21" s="10"/>
      <c r="N21" s="10" t="s">
        <v>379</v>
      </c>
      <c r="O21" s="10"/>
      <c r="P21" s="25" t="s">
        <v>475</v>
      </c>
      <c r="Q21" s="11"/>
      <c r="R21" s="11"/>
    </row>
    <row r="22" spans="1:18" s="12" customFormat="1" hidden="1" x14ac:dyDescent="0.2">
      <c r="A22" s="22" t="s">
        <v>372</v>
      </c>
      <c r="B22" s="23" t="s">
        <v>365</v>
      </c>
      <c r="C22" s="4" t="s">
        <v>218</v>
      </c>
      <c r="D22" s="4" t="s">
        <v>11</v>
      </c>
      <c r="E22" s="4" t="s">
        <v>225</v>
      </c>
      <c r="F22" s="4" t="s">
        <v>235</v>
      </c>
      <c r="G22" s="4" t="s">
        <v>236</v>
      </c>
      <c r="H22" s="4" t="s">
        <v>122</v>
      </c>
      <c r="I22" s="7">
        <v>79022210</v>
      </c>
      <c r="J22" s="10"/>
      <c r="K22" s="10"/>
      <c r="L22" s="10"/>
      <c r="M22" s="10"/>
      <c r="N22" s="10" t="s">
        <v>379</v>
      </c>
      <c r="O22" s="10"/>
      <c r="P22" s="25" t="s">
        <v>477</v>
      </c>
      <c r="Q22" s="11"/>
      <c r="R22" s="11"/>
    </row>
    <row r="23" spans="1:18" s="12" customFormat="1" x14ac:dyDescent="0.2">
      <c r="A23" s="22" t="s">
        <v>372</v>
      </c>
      <c r="B23" s="23" t="s">
        <v>365</v>
      </c>
      <c r="C23" s="4" t="s">
        <v>217</v>
      </c>
      <c r="D23" s="4" t="s">
        <v>11</v>
      </c>
      <c r="E23" s="4" t="s">
        <v>224</v>
      </c>
      <c r="F23" s="4" t="s">
        <v>267</v>
      </c>
      <c r="G23" s="4" t="s">
        <v>233</v>
      </c>
      <c r="H23" s="4" t="s">
        <v>234</v>
      </c>
      <c r="I23" s="7">
        <v>78020902</v>
      </c>
      <c r="J23" s="10"/>
      <c r="K23" s="10"/>
      <c r="L23" s="10"/>
      <c r="M23" s="10"/>
      <c r="N23" s="10" t="s">
        <v>359</v>
      </c>
      <c r="O23" s="10">
        <v>7</v>
      </c>
      <c r="P23" s="25" t="s">
        <v>475</v>
      </c>
      <c r="Q23" s="11" t="str">
        <f>TRIM(VLOOKUP(O23,'[1]CNPJ Consolidado'!$A$1:$X$379,6,FALSE))</f>
        <v>OI S/A - EM RECUPERAÇÃO JUDICIAL</v>
      </c>
      <c r="R23" s="11"/>
    </row>
    <row r="24" spans="1:18" hidden="1" x14ac:dyDescent="0.2">
      <c r="A24" s="22" t="s">
        <v>372</v>
      </c>
      <c r="B24" s="23" t="s">
        <v>362</v>
      </c>
      <c r="C24" s="9" t="s">
        <v>9</v>
      </c>
      <c r="D24" s="9" t="s">
        <v>11</v>
      </c>
      <c r="E24" s="4" t="s">
        <v>75</v>
      </c>
      <c r="F24" s="9" t="s">
        <v>257</v>
      </c>
      <c r="G24" s="9" t="s">
        <v>256</v>
      </c>
      <c r="H24" s="9" t="s">
        <v>88</v>
      </c>
      <c r="I24" s="9">
        <v>68505110</v>
      </c>
      <c r="J24" s="10"/>
      <c r="K24" s="10"/>
      <c r="L24" s="10" t="s">
        <v>359</v>
      </c>
      <c r="M24" s="10"/>
      <c r="N24" s="10" t="s">
        <v>379</v>
      </c>
      <c r="O24" s="10"/>
      <c r="P24" s="25" t="s">
        <v>460</v>
      </c>
      <c r="Q24" s="11"/>
    </row>
    <row r="25" spans="1:18" x14ac:dyDescent="0.2">
      <c r="A25" s="22" t="s">
        <v>372</v>
      </c>
      <c r="B25" s="22" t="s">
        <v>362</v>
      </c>
      <c r="C25" s="4" t="s">
        <v>9</v>
      </c>
      <c r="D25" s="4" t="s">
        <v>11</v>
      </c>
      <c r="E25" s="4" t="s">
        <v>28</v>
      </c>
      <c r="F25" s="4" t="s">
        <v>65</v>
      </c>
      <c r="G25" s="4" t="s">
        <v>66</v>
      </c>
      <c r="H25" s="4" t="s">
        <v>67</v>
      </c>
      <c r="I25" s="5">
        <v>67030000</v>
      </c>
      <c r="J25" s="10" t="s">
        <v>359</v>
      </c>
      <c r="K25" s="10"/>
      <c r="L25" s="10"/>
      <c r="M25" s="10"/>
      <c r="N25" s="10" t="s">
        <v>359</v>
      </c>
      <c r="O25" s="10">
        <v>155</v>
      </c>
      <c r="P25" s="32" t="s">
        <v>461</v>
      </c>
      <c r="Q25" s="11" t="str">
        <f>TRIM(VLOOKUP(O25,'[1]CNPJ Consolidado'!$A$1:$X$379,6,FALSE))</f>
        <v>OI S/A - EM RECUPERAÇÃO JUDICIAL</v>
      </c>
    </row>
    <row r="26" spans="1:18" x14ac:dyDescent="0.2">
      <c r="A26" s="22" t="s">
        <v>372</v>
      </c>
      <c r="B26" s="22" t="s">
        <v>362</v>
      </c>
      <c r="C26" s="9" t="s">
        <v>9</v>
      </c>
      <c r="D26" s="9" t="s">
        <v>11</v>
      </c>
      <c r="E26" s="4" t="s">
        <v>29</v>
      </c>
      <c r="F26" s="9" t="s">
        <v>255</v>
      </c>
      <c r="G26" s="9" t="s">
        <v>68</v>
      </c>
      <c r="H26" s="9" t="s">
        <v>69</v>
      </c>
      <c r="I26" s="9">
        <v>66035080</v>
      </c>
      <c r="J26" s="10"/>
      <c r="K26" s="10"/>
      <c r="L26" s="10"/>
      <c r="M26" s="10" t="s">
        <v>359</v>
      </c>
      <c r="N26" s="10" t="s">
        <v>359</v>
      </c>
      <c r="O26" s="10">
        <v>2</v>
      </c>
      <c r="P26" s="32" t="s">
        <v>462</v>
      </c>
      <c r="Q26" s="11" t="str">
        <f>TRIM(VLOOKUP(O26,'[1]CNPJ Consolidado'!$A$1:$X$379,6,FALSE))</f>
        <v>OI S/A - EM RECUPERAÇÃO JUDICIAL</v>
      </c>
    </row>
    <row r="27" spans="1:18" hidden="1" x14ac:dyDescent="0.2">
      <c r="A27" s="22" t="s">
        <v>372</v>
      </c>
      <c r="B27" s="22" t="s">
        <v>363</v>
      </c>
      <c r="C27" s="9" t="s">
        <v>70</v>
      </c>
      <c r="D27" s="9" t="s">
        <v>11</v>
      </c>
      <c r="E27" s="4" t="s">
        <v>76</v>
      </c>
      <c r="F27" s="9" t="s">
        <v>89</v>
      </c>
      <c r="G27" s="9" t="s">
        <v>90</v>
      </c>
      <c r="H27" s="9" t="s">
        <v>91</v>
      </c>
      <c r="I27" s="9">
        <v>58073040</v>
      </c>
      <c r="J27" s="10" t="s">
        <v>359</v>
      </c>
      <c r="K27" s="10"/>
      <c r="L27" s="10"/>
      <c r="M27" s="10" t="s">
        <v>359</v>
      </c>
      <c r="N27" s="10" t="s">
        <v>379</v>
      </c>
      <c r="O27" s="10"/>
      <c r="P27" s="26" t="s">
        <v>486</v>
      </c>
      <c r="Q27" s="11"/>
    </row>
    <row r="28" spans="1:18" x14ac:dyDescent="0.2">
      <c r="A28" s="22" t="s">
        <v>372</v>
      </c>
      <c r="B28" s="22" t="s">
        <v>363</v>
      </c>
      <c r="C28" s="4" t="s">
        <v>71</v>
      </c>
      <c r="D28" s="4" t="s">
        <v>11</v>
      </c>
      <c r="E28" s="4" t="s">
        <v>77</v>
      </c>
      <c r="F28" s="4" t="s">
        <v>92</v>
      </c>
      <c r="G28" s="4" t="s">
        <v>258</v>
      </c>
      <c r="H28" s="4" t="s">
        <v>93</v>
      </c>
      <c r="I28" s="5">
        <v>50900020</v>
      </c>
      <c r="J28" s="10"/>
      <c r="K28" s="10"/>
      <c r="L28" s="10"/>
      <c r="M28" s="10"/>
      <c r="N28" s="10" t="s">
        <v>359</v>
      </c>
      <c r="O28" s="10">
        <v>156</v>
      </c>
      <c r="P28" s="25" t="s">
        <v>291</v>
      </c>
      <c r="Q28" s="11" t="str">
        <f>TRIM(VLOOKUP(O28,'[1]CNPJ Consolidado'!$A$1:$X$379,6,FALSE))</f>
        <v>OI S/A - EM RECUPERAÇÃO JUDICIAL</v>
      </c>
    </row>
    <row r="29" spans="1:18" hidden="1" x14ac:dyDescent="0.2">
      <c r="A29" s="22" t="s">
        <v>372</v>
      </c>
      <c r="B29" s="22" t="s">
        <v>363</v>
      </c>
      <c r="C29" s="9" t="s">
        <v>71</v>
      </c>
      <c r="D29" s="9" t="s">
        <v>11</v>
      </c>
      <c r="E29" s="4" t="s">
        <v>78</v>
      </c>
      <c r="F29" s="9" t="s">
        <v>259</v>
      </c>
      <c r="G29" s="9" t="s">
        <v>260</v>
      </c>
      <c r="H29" s="9" t="s">
        <v>94</v>
      </c>
      <c r="I29" s="9">
        <v>53010580</v>
      </c>
      <c r="J29" s="10" t="s">
        <v>359</v>
      </c>
      <c r="K29" s="10"/>
      <c r="L29" s="10"/>
      <c r="M29" s="10" t="s">
        <v>359</v>
      </c>
      <c r="N29" s="10" t="s">
        <v>379</v>
      </c>
      <c r="O29" s="10"/>
      <c r="P29" s="26" t="s">
        <v>486</v>
      </c>
      <c r="Q29" s="11"/>
    </row>
    <row r="30" spans="1:18" hidden="1" x14ac:dyDescent="0.2">
      <c r="A30" s="22" t="s">
        <v>372</v>
      </c>
      <c r="B30" s="22" t="s">
        <v>363</v>
      </c>
      <c r="C30" s="4" t="s">
        <v>72</v>
      </c>
      <c r="D30" s="4" t="s">
        <v>11</v>
      </c>
      <c r="E30" s="4" t="s">
        <v>79</v>
      </c>
      <c r="F30" s="4" t="s">
        <v>95</v>
      </c>
      <c r="G30" s="4" t="s">
        <v>96</v>
      </c>
      <c r="H30" s="4" t="s">
        <v>97</v>
      </c>
      <c r="I30" s="4">
        <v>64029200</v>
      </c>
      <c r="J30" s="10" t="s">
        <v>359</v>
      </c>
      <c r="K30" s="10"/>
      <c r="L30" s="10"/>
      <c r="M30" s="10"/>
      <c r="N30" s="10" t="s">
        <v>379</v>
      </c>
      <c r="O30" s="10"/>
      <c r="P30" s="26" t="s">
        <v>486</v>
      </c>
      <c r="Q30" s="11"/>
    </row>
    <row r="31" spans="1:18" x14ac:dyDescent="0.2">
      <c r="A31" s="22" t="s">
        <v>372</v>
      </c>
      <c r="B31" s="22" t="s">
        <v>363</v>
      </c>
      <c r="C31" s="4" t="s">
        <v>72</v>
      </c>
      <c r="D31" s="4" t="s">
        <v>11</v>
      </c>
      <c r="E31" s="4" t="s">
        <v>243</v>
      </c>
      <c r="F31" s="4" t="s">
        <v>248</v>
      </c>
      <c r="G31" s="4" t="s">
        <v>66</v>
      </c>
      <c r="H31" s="4" t="s">
        <v>97</v>
      </c>
      <c r="I31" s="7">
        <v>64001020</v>
      </c>
      <c r="J31" s="10"/>
      <c r="K31" s="10"/>
      <c r="L31" s="10"/>
      <c r="M31" s="10" t="s">
        <v>359</v>
      </c>
      <c r="N31" s="10" t="s">
        <v>359</v>
      </c>
      <c r="O31" s="10">
        <v>26</v>
      </c>
      <c r="P31" s="25" t="s">
        <v>474</v>
      </c>
      <c r="Q31" s="11" t="str">
        <f>TRIM(VLOOKUP(O31,'[1]CNPJ Consolidado'!$A$1:$X$379,6,FALSE))</f>
        <v>OI S/A - EM RECUPERAÇÃO JUDICIAL</v>
      </c>
    </row>
    <row r="32" spans="1:18" hidden="1" x14ac:dyDescent="0.2">
      <c r="A32" s="22" t="s">
        <v>372</v>
      </c>
      <c r="B32" s="23" t="s">
        <v>364</v>
      </c>
      <c r="C32" s="4" t="s">
        <v>73</v>
      </c>
      <c r="D32" s="4" t="s">
        <v>11</v>
      </c>
      <c r="E32" s="4" t="s">
        <v>81</v>
      </c>
      <c r="F32" s="4" t="s">
        <v>99</v>
      </c>
      <c r="G32" s="4" t="s">
        <v>100</v>
      </c>
      <c r="H32" s="6" t="s">
        <v>101</v>
      </c>
      <c r="I32" s="4">
        <v>84070470</v>
      </c>
      <c r="J32" s="10"/>
      <c r="K32" s="10"/>
      <c r="L32" s="10" t="s">
        <v>359</v>
      </c>
      <c r="M32" s="10"/>
      <c r="N32" s="10" t="s">
        <v>379</v>
      </c>
      <c r="O32" s="10"/>
      <c r="P32" s="26" t="s">
        <v>486</v>
      </c>
      <c r="Q32" s="11"/>
    </row>
    <row r="33" spans="1:18" hidden="1" x14ac:dyDescent="0.2">
      <c r="A33" s="22" t="s">
        <v>372</v>
      </c>
      <c r="B33" s="23" t="s">
        <v>364</v>
      </c>
      <c r="C33" s="4" t="s">
        <v>73</v>
      </c>
      <c r="D33" s="4" t="s">
        <v>11</v>
      </c>
      <c r="E33" s="4" t="s">
        <v>82</v>
      </c>
      <c r="F33" s="4" t="s">
        <v>102</v>
      </c>
      <c r="G33" s="5" t="s">
        <v>103</v>
      </c>
      <c r="H33" s="4" t="s">
        <v>104</v>
      </c>
      <c r="I33" s="4">
        <v>83321002</v>
      </c>
      <c r="J33" s="10"/>
      <c r="K33" s="10"/>
      <c r="L33" s="10" t="s">
        <v>359</v>
      </c>
      <c r="M33" s="10"/>
      <c r="N33" s="10" t="s">
        <v>379</v>
      </c>
      <c r="O33" s="10"/>
      <c r="P33" s="26" t="s">
        <v>486</v>
      </c>
      <c r="Q33" s="11"/>
    </row>
    <row r="34" spans="1:18" hidden="1" x14ac:dyDescent="0.2">
      <c r="A34" s="22" t="s">
        <v>372</v>
      </c>
      <c r="B34" s="22" t="s">
        <v>364</v>
      </c>
      <c r="C34" s="4" t="s">
        <v>73</v>
      </c>
      <c r="D34" s="4" t="s">
        <v>11</v>
      </c>
      <c r="E34" s="4" t="s">
        <v>80</v>
      </c>
      <c r="F34" s="4" t="s">
        <v>463</v>
      </c>
      <c r="G34" s="4" t="s">
        <v>283</v>
      </c>
      <c r="H34" s="4" t="s">
        <v>98</v>
      </c>
      <c r="I34" s="4">
        <v>81630040</v>
      </c>
      <c r="J34" s="10"/>
      <c r="K34" s="10"/>
      <c r="L34" s="10"/>
      <c r="M34" s="10" t="s">
        <v>359</v>
      </c>
      <c r="N34" s="10" t="s">
        <v>379</v>
      </c>
      <c r="O34" s="10"/>
      <c r="P34" s="26" t="s">
        <v>486</v>
      </c>
      <c r="Q34" s="11"/>
    </row>
    <row r="35" spans="1:18" hidden="1" x14ac:dyDescent="0.2">
      <c r="A35" s="22" t="s">
        <v>372</v>
      </c>
      <c r="B35" s="22" t="s">
        <v>364</v>
      </c>
      <c r="C35" s="4" t="s">
        <v>73</v>
      </c>
      <c r="D35" s="4" t="s">
        <v>11</v>
      </c>
      <c r="E35" s="4" t="s">
        <v>83</v>
      </c>
      <c r="F35" s="4" t="s">
        <v>105</v>
      </c>
      <c r="G35" s="5" t="s">
        <v>106</v>
      </c>
      <c r="H35" s="6" t="s">
        <v>107</v>
      </c>
      <c r="I35" s="4">
        <v>87065440</v>
      </c>
      <c r="J35" s="10" t="s">
        <v>359</v>
      </c>
      <c r="K35" s="10"/>
      <c r="L35" s="10"/>
      <c r="M35" s="10"/>
      <c r="N35" s="10" t="s">
        <v>379</v>
      </c>
      <c r="O35" s="10"/>
      <c r="P35" s="26" t="s">
        <v>486</v>
      </c>
      <c r="Q35" s="11"/>
    </row>
    <row r="36" spans="1:18" x14ac:dyDescent="0.2">
      <c r="A36" s="22" t="s">
        <v>372</v>
      </c>
      <c r="B36" s="22" t="s">
        <v>364</v>
      </c>
      <c r="C36" s="4" t="s">
        <v>73</v>
      </c>
      <c r="D36" s="4" t="s">
        <v>11</v>
      </c>
      <c r="E36" s="4" t="s">
        <v>84</v>
      </c>
      <c r="F36" s="4" t="s">
        <v>108</v>
      </c>
      <c r="G36" s="4" t="s">
        <v>109</v>
      </c>
      <c r="H36" s="6" t="s">
        <v>110</v>
      </c>
      <c r="I36" s="4">
        <v>85817012</v>
      </c>
      <c r="J36" s="10" t="s">
        <v>359</v>
      </c>
      <c r="K36" s="10"/>
      <c r="L36" s="10"/>
      <c r="M36" s="10"/>
      <c r="N36" s="10" t="s">
        <v>359</v>
      </c>
      <c r="O36" s="10">
        <v>167</v>
      </c>
      <c r="P36" s="25" t="s">
        <v>499</v>
      </c>
      <c r="Q36" s="11" t="str">
        <f>TRIM(VLOOKUP(O36,'[1]CNPJ Consolidado'!$A$1:$X$379,6,FALSE))</f>
        <v>OI S/A - EM RECUPERAÇÃO JUDICIAL</v>
      </c>
    </row>
    <row r="37" spans="1:18" hidden="1" x14ac:dyDescent="0.2">
      <c r="A37" s="22" t="s">
        <v>372</v>
      </c>
      <c r="B37" s="22" t="s">
        <v>364</v>
      </c>
      <c r="C37" s="4" t="s">
        <v>73</v>
      </c>
      <c r="D37" s="4" t="s">
        <v>11</v>
      </c>
      <c r="E37" s="4" t="s">
        <v>85</v>
      </c>
      <c r="F37" s="4" t="s">
        <v>282</v>
      </c>
      <c r="G37" s="4" t="s">
        <v>283</v>
      </c>
      <c r="H37" s="4" t="s">
        <v>98</v>
      </c>
      <c r="I37" s="4">
        <v>81630040</v>
      </c>
      <c r="J37" s="10" t="s">
        <v>359</v>
      </c>
      <c r="K37" s="10"/>
      <c r="L37" s="10"/>
      <c r="M37" s="10" t="s">
        <v>359</v>
      </c>
      <c r="N37" s="10" t="s">
        <v>379</v>
      </c>
      <c r="O37" s="10"/>
      <c r="P37" s="26" t="s">
        <v>486</v>
      </c>
      <c r="Q37" s="11"/>
    </row>
    <row r="38" spans="1:18" x14ac:dyDescent="0.2">
      <c r="A38" s="22" t="s">
        <v>372</v>
      </c>
      <c r="B38" s="23" t="s">
        <v>366</v>
      </c>
      <c r="C38" s="4" t="s">
        <v>74</v>
      </c>
      <c r="D38" s="4" t="s">
        <v>11</v>
      </c>
      <c r="E38" s="4" t="s">
        <v>139</v>
      </c>
      <c r="F38" s="4" t="s">
        <v>141</v>
      </c>
      <c r="G38" s="4" t="s">
        <v>66</v>
      </c>
      <c r="H38" s="6" t="s">
        <v>142</v>
      </c>
      <c r="I38" s="4">
        <v>28909001</v>
      </c>
      <c r="J38" s="10"/>
      <c r="K38" s="10"/>
      <c r="L38" s="10"/>
      <c r="M38" s="10"/>
      <c r="N38" s="10" t="s">
        <v>359</v>
      </c>
      <c r="O38" s="10">
        <v>180</v>
      </c>
      <c r="P38" s="25" t="s">
        <v>475</v>
      </c>
      <c r="Q38" s="11" t="str">
        <f>TRIM(VLOOKUP(O38,'[1]CNPJ Consolidado'!$A$1:$X$379,6,FALSE))</f>
        <v>OI S/A - EM RECUPERAÇÃO JUDICIAL</v>
      </c>
    </row>
    <row r="39" spans="1:18" x14ac:dyDescent="0.2">
      <c r="A39" s="22" t="s">
        <v>372</v>
      </c>
      <c r="B39" s="23" t="s">
        <v>366</v>
      </c>
      <c r="C39" s="4" t="s">
        <v>74</v>
      </c>
      <c r="D39" s="4" t="s">
        <v>11</v>
      </c>
      <c r="E39" s="4" t="s">
        <v>118</v>
      </c>
      <c r="F39" s="4" t="s">
        <v>121</v>
      </c>
      <c r="G39" s="4" t="s">
        <v>122</v>
      </c>
      <c r="H39" s="4" t="s">
        <v>113</v>
      </c>
      <c r="I39" s="5">
        <v>23045170</v>
      </c>
      <c r="J39" s="10"/>
      <c r="K39" s="10"/>
      <c r="L39" s="10" t="s">
        <v>359</v>
      </c>
      <c r="M39" s="10"/>
      <c r="N39" s="10" t="s">
        <v>359</v>
      </c>
      <c r="O39" s="10">
        <v>173</v>
      </c>
      <c r="P39" s="25" t="s">
        <v>464</v>
      </c>
      <c r="Q39" s="11" t="str">
        <f>TRIM(VLOOKUP(O39,'[1]CNPJ Consolidado'!$A$1:$X$379,6,FALSE))</f>
        <v>OI S/A - EM RECUPERAÇÃO JUDICIAL</v>
      </c>
    </row>
    <row r="40" spans="1:18" x14ac:dyDescent="0.2">
      <c r="A40" s="22" t="s">
        <v>372</v>
      </c>
      <c r="B40" s="23" t="s">
        <v>366</v>
      </c>
      <c r="C40" s="4" t="s">
        <v>74</v>
      </c>
      <c r="D40" s="4" t="s">
        <v>11</v>
      </c>
      <c r="E40" s="4" t="s">
        <v>128</v>
      </c>
      <c r="F40" s="4" t="s">
        <v>133</v>
      </c>
      <c r="G40" s="4" t="s">
        <v>134</v>
      </c>
      <c r="H40" s="4" t="s">
        <v>135</v>
      </c>
      <c r="I40" s="5">
        <v>25070350</v>
      </c>
      <c r="J40" s="10"/>
      <c r="K40" s="10"/>
      <c r="L40" s="10" t="s">
        <v>359</v>
      </c>
      <c r="M40" s="10"/>
      <c r="N40" s="10" t="s">
        <v>359</v>
      </c>
      <c r="O40" s="10">
        <v>186</v>
      </c>
      <c r="P40" s="25" t="s">
        <v>465</v>
      </c>
      <c r="Q40" s="11" t="str">
        <f>TRIM(VLOOKUP(O40,'[1]CNPJ Consolidado'!$A$1:$X$379,6,FALSE))</f>
        <v>OI S/A - EM RECUPERAÇÃO JUDICIAL</v>
      </c>
    </row>
    <row r="41" spans="1:18" hidden="1" x14ac:dyDescent="0.2">
      <c r="A41" s="22" t="s">
        <v>372</v>
      </c>
      <c r="B41" s="23" t="s">
        <v>366</v>
      </c>
      <c r="C41" s="4" t="s">
        <v>74</v>
      </c>
      <c r="D41" s="4" t="s">
        <v>11</v>
      </c>
      <c r="E41" s="4" t="s">
        <v>129</v>
      </c>
      <c r="F41" s="4" t="s">
        <v>136</v>
      </c>
      <c r="G41" s="4" t="s">
        <v>134</v>
      </c>
      <c r="H41" s="4" t="s">
        <v>135</v>
      </c>
      <c r="I41" s="5">
        <v>25075120</v>
      </c>
      <c r="J41" s="10"/>
      <c r="K41" s="10"/>
      <c r="L41" s="10" t="s">
        <v>359</v>
      </c>
      <c r="M41" s="10"/>
      <c r="N41" s="10" t="s">
        <v>379</v>
      </c>
      <c r="O41" s="10"/>
      <c r="P41" s="26" t="s">
        <v>486</v>
      </c>
      <c r="Q41" s="11"/>
    </row>
    <row r="42" spans="1:18" s="12" customFormat="1" hidden="1" x14ac:dyDescent="0.2">
      <c r="A42" s="22" t="s">
        <v>372</v>
      </c>
      <c r="B42" s="23" t="s">
        <v>366</v>
      </c>
      <c r="C42" s="4" t="s">
        <v>74</v>
      </c>
      <c r="D42" s="4" t="s">
        <v>11</v>
      </c>
      <c r="E42" s="4" t="s">
        <v>130</v>
      </c>
      <c r="F42" s="4" t="s">
        <v>137</v>
      </c>
      <c r="G42" s="4" t="s">
        <v>138</v>
      </c>
      <c r="H42" s="4" t="s">
        <v>113</v>
      </c>
      <c r="I42" s="5">
        <v>21340021</v>
      </c>
      <c r="J42" s="10"/>
      <c r="K42" s="10"/>
      <c r="L42" s="10" t="s">
        <v>359</v>
      </c>
      <c r="M42" s="10"/>
      <c r="N42" s="10" t="s">
        <v>379</v>
      </c>
      <c r="O42" s="10"/>
      <c r="P42" s="26" t="s">
        <v>486</v>
      </c>
      <c r="Q42" s="11"/>
      <c r="R42" s="11"/>
    </row>
    <row r="43" spans="1:18" x14ac:dyDescent="0.2">
      <c r="A43" s="22" t="s">
        <v>372</v>
      </c>
      <c r="B43" s="23" t="s">
        <v>366</v>
      </c>
      <c r="C43" s="4" t="s">
        <v>74</v>
      </c>
      <c r="D43" s="4" t="s">
        <v>11</v>
      </c>
      <c r="E43" s="4" t="s">
        <v>147</v>
      </c>
      <c r="F43" s="4" t="s">
        <v>149</v>
      </c>
      <c r="G43" s="4" t="s">
        <v>66</v>
      </c>
      <c r="H43" s="4" t="s">
        <v>150</v>
      </c>
      <c r="I43" s="5">
        <v>28010260</v>
      </c>
      <c r="J43" s="10"/>
      <c r="K43" s="10"/>
      <c r="L43" s="10" t="s">
        <v>359</v>
      </c>
      <c r="M43" s="10"/>
      <c r="N43" s="10" t="s">
        <v>359</v>
      </c>
      <c r="O43" s="10">
        <v>185</v>
      </c>
      <c r="P43" s="25" t="s">
        <v>466</v>
      </c>
      <c r="Q43" s="11" t="str">
        <f>TRIM(VLOOKUP(O43,'[1]CNPJ Consolidado'!$A$1:$X$379,6,FALSE))</f>
        <v>OI S/A - EM RECUPERAÇÃO JUDICIAL</v>
      </c>
    </row>
    <row r="44" spans="1:18" x14ac:dyDescent="0.2">
      <c r="A44" s="22" t="s">
        <v>372</v>
      </c>
      <c r="B44" s="23" t="s">
        <v>366</v>
      </c>
      <c r="C44" s="4" t="s">
        <v>74</v>
      </c>
      <c r="D44" s="4" t="s">
        <v>11</v>
      </c>
      <c r="E44" s="4" t="s">
        <v>119</v>
      </c>
      <c r="F44" s="4" t="s">
        <v>123</v>
      </c>
      <c r="G44" s="4" t="s">
        <v>124</v>
      </c>
      <c r="H44" s="4" t="s">
        <v>113</v>
      </c>
      <c r="I44" s="5">
        <v>20730110</v>
      </c>
      <c r="J44" s="10"/>
      <c r="K44" s="10"/>
      <c r="L44" s="10"/>
      <c r="M44" s="10"/>
      <c r="N44" s="10" t="s">
        <v>359</v>
      </c>
      <c r="O44" s="10">
        <v>261</v>
      </c>
      <c r="P44" s="25" t="s">
        <v>475</v>
      </c>
      <c r="Q44" s="11" t="str">
        <f>TRIM(VLOOKUP(O44,'[1]CNPJ Consolidado'!$A$1:$X$379,6,FALSE))</f>
        <v>OI S/A - EM RECUPERAÇÃO JUDICIAL</v>
      </c>
    </row>
    <row r="45" spans="1:18" x14ac:dyDescent="0.2">
      <c r="A45" s="22" t="s">
        <v>372</v>
      </c>
      <c r="B45" s="23" t="s">
        <v>366</v>
      </c>
      <c r="C45" s="4" t="s">
        <v>74</v>
      </c>
      <c r="D45" s="4" t="s">
        <v>11</v>
      </c>
      <c r="E45" s="4" t="s">
        <v>120</v>
      </c>
      <c r="F45" s="4" t="s">
        <v>125</v>
      </c>
      <c r="G45" s="4" t="s">
        <v>126</v>
      </c>
      <c r="H45" s="4" t="s">
        <v>113</v>
      </c>
      <c r="I45" s="5">
        <v>22770333</v>
      </c>
      <c r="J45" s="10"/>
      <c r="K45" s="10"/>
      <c r="L45" s="10"/>
      <c r="M45" s="10"/>
      <c r="N45" s="10" t="s">
        <v>359</v>
      </c>
      <c r="O45" s="10">
        <v>172</v>
      </c>
      <c r="P45" s="25" t="s">
        <v>475</v>
      </c>
      <c r="Q45" s="11" t="str">
        <f>TRIM(VLOOKUP(O45,'[1]CNPJ Consolidado'!$A$1:$X$379,6,FALSE))</f>
        <v>OI S/A - EM RECUPERAÇÃO JUDICIAL</v>
      </c>
    </row>
    <row r="46" spans="1:18" x14ac:dyDescent="0.2">
      <c r="A46" s="22" t="s">
        <v>372</v>
      </c>
      <c r="B46" s="23" t="s">
        <v>366</v>
      </c>
      <c r="C46" s="4" t="s">
        <v>74</v>
      </c>
      <c r="D46" s="4" t="s">
        <v>11</v>
      </c>
      <c r="E46" s="4" t="s">
        <v>127</v>
      </c>
      <c r="F46" s="4" t="s">
        <v>131</v>
      </c>
      <c r="G46" s="4" t="s">
        <v>132</v>
      </c>
      <c r="H46" s="4" t="s">
        <v>113</v>
      </c>
      <c r="I46" s="5">
        <v>21060505</v>
      </c>
      <c r="J46" s="10"/>
      <c r="K46" s="10"/>
      <c r="L46" s="10"/>
      <c r="M46" s="10"/>
      <c r="N46" s="10" t="s">
        <v>359</v>
      </c>
      <c r="O46" s="10">
        <v>237</v>
      </c>
      <c r="P46" s="25" t="s">
        <v>478</v>
      </c>
      <c r="Q46" s="11" t="str">
        <f>TRIM(VLOOKUP(O46,'[1]CNPJ Consolidado'!$A$1:$X$379,6,FALSE))</f>
        <v>OI S/A - EM RECUPERAÇÃO JUDICIAL</v>
      </c>
    </row>
    <row r="47" spans="1:18" hidden="1" x14ac:dyDescent="0.2">
      <c r="A47" s="22" t="s">
        <v>372</v>
      </c>
      <c r="B47" s="23" t="s">
        <v>366</v>
      </c>
      <c r="C47" s="4" t="s">
        <v>74</v>
      </c>
      <c r="D47" s="4" t="s">
        <v>11</v>
      </c>
      <c r="E47" s="4" t="s">
        <v>140</v>
      </c>
      <c r="F47" s="4" t="s">
        <v>143</v>
      </c>
      <c r="G47" s="4" t="s">
        <v>144</v>
      </c>
      <c r="H47" s="6" t="s">
        <v>145</v>
      </c>
      <c r="I47" s="4">
        <v>24220110</v>
      </c>
      <c r="J47" s="10"/>
      <c r="K47" s="10"/>
      <c r="L47" s="10"/>
      <c r="M47" s="10"/>
      <c r="N47" s="10" t="s">
        <v>379</v>
      </c>
      <c r="O47" s="10"/>
      <c r="P47" s="25" t="s">
        <v>479</v>
      </c>
      <c r="Q47" s="11"/>
    </row>
    <row r="48" spans="1:18" hidden="1" x14ac:dyDescent="0.2">
      <c r="A48" s="22" t="s">
        <v>372</v>
      </c>
      <c r="B48" s="23" t="s">
        <v>366</v>
      </c>
      <c r="C48" s="4" t="s">
        <v>74</v>
      </c>
      <c r="D48" s="4" t="s">
        <v>11</v>
      </c>
      <c r="E48" s="4" t="s">
        <v>154</v>
      </c>
      <c r="F48" s="4" t="s">
        <v>369</v>
      </c>
      <c r="G48" s="4" t="s">
        <v>155</v>
      </c>
      <c r="H48" s="4" t="s">
        <v>113</v>
      </c>
      <c r="I48" s="4">
        <v>21311050</v>
      </c>
      <c r="J48" s="10"/>
      <c r="K48" s="10"/>
      <c r="L48" s="10"/>
      <c r="M48" s="10"/>
      <c r="N48" s="10" t="s">
        <v>379</v>
      </c>
      <c r="O48" s="10"/>
      <c r="P48" s="25" t="s">
        <v>475</v>
      </c>
      <c r="Q48" s="11"/>
    </row>
    <row r="49" spans="1:17" hidden="1" x14ac:dyDescent="0.2">
      <c r="A49" s="22" t="s">
        <v>372</v>
      </c>
      <c r="B49" s="22" t="s">
        <v>366</v>
      </c>
      <c r="C49" s="4" t="s">
        <v>74</v>
      </c>
      <c r="D49" s="4" t="s">
        <v>11</v>
      </c>
      <c r="E49" s="4" t="s">
        <v>86</v>
      </c>
      <c r="F49" s="4" t="s">
        <v>111</v>
      </c>
      <c r="G49" s="4" t="s">
        <v>112</v>
      </c>
      <c r="H49" s="4" t="s">
        <v>113</v>
      </c>
      <c r="I49" s="4">
        <v>20560060</v>
      </c>
      <c r="J49" s="10"/>
      <c r="K49" s="10"/>
      <c r="L49" s="10"/>
      <c r="M49" s="10" t="s">
        <v>359</v>
      </c>
      <c r="N49" s="10" t="s">
        <v>379</v>
      </c>
      <c r="O49" s="10"/>
      <c r="P49" s="26" t="s">
        <v>486</v>
      </c>
      <c r="Q49" s="11"/>
    </row>
    <row r="50" spans="1:17" hidden="1" x14ac:dyDescent="0.2">
      <c r="A50" s="22" t="s">
        <v>372</v>
      </c>
      <c r="B50" s="22" t="s">
        <v>366</v>
      </c>
      <c r="C50" s="4" t="s">
        <v>74</v>
      </c>
      <c r="D50" s="4" t="s">
        <v>11</v>
      </c>
      <c r="E50" s="4" t="s">
        <v>87</v>
      </c>
      <c r="F50" s="4" t="s">
        <v>114</v>
      </c>
      <c r="G50" s="4" t="s">
        <v>115</v>
      </c>
      <c r="H50" s="4" t="s">
        <v>113</v>
      </c>
      <c r="I50" s="4">
        <v>21235280</v>
      </c>
      <c r="J50" s="10" t="s">
        <v>359</v>
      </c>
      <c r="K50" s="10"/>
      <c r="L50" s="10"/>
      <c r="M50" s="10" t="s">
        <v>359</v>
      </c>
      <c r="N50" s="10" t="s">
        <v>379</v>
      </c>
      <c r="O50" s="10"/>
      <c r="P50" s="26" t="s">
        <v>486</v>
      </c>
      <c r="Q50" s="11"/>
    </row>
    <row r="51" spans="1:17" hidden="1" x14ac:dyDescent="0.2">
      <c r="A51" s="22" t="s">
        <v>372</v>
      </c>
      <c r="B51" s="22" t="s">
        <v>366</v>
      </c>
      <c r="C51" s="4" t="s">
        <v>74</v>
      </c>
      <c r="D51" s="4" t="s">
        <v>11</v>
      </c>
      <c r="E51" s="4" t="s">
        <v>116</v>
      </c>
      <c r="F51" s="4" t="s">
        <v>117</v>
      </c>
      <c r="G51" s="4" t="s">
        <v>112</v>
      </c>
      <c r="H51" s="4" t="s">
        <v>113</v>
      </c>
      <c r="I51" s="5">
        <v>20560060</v>
      </c>
      <c r="J51" s="10"/>
      <c r="K51" s="10"/>
      <c r="L51" s="10"/>
      <c r="M51" s="10" t="s">
        <v>359</v>
      </c>
      <c r="N51" s="10" t="s">
        <v>379</v>
      </c>
      <c r="O51" s="10"/>
      <c r="P51" s="26" t="s">
        <v>486</v>
      </c>
      <c r="Q51" s="11"/>
    </row>
    <row r="52" spans="1:17" hidden="1" x14ac:dyDescent="0.2">
      <c r="A52" s="22" t="s">
        <v>372</v>
      </c>
      <c r="B52" s="22" t="s">
        <v>366</v>
      </c>
      <c r="C52" s="4" t="s">
        <v>74</v>
      </c>
      <c r="D52" s="4" t="s">
        <v>11</v>
      </c>
      <c r="E52" s="4" t="s">
        <v>146</v>
      </c>
      <c r="F52" s="4" t="s">
        <v>261</v>
      </c>
      <c r="G52" s="4" t="s">
        <v>262</v>
      </c>
      <c r="H52" s="4" t="s">
        <v>148</v>
      </c>
      <c r="I52" s="5">
        <v>27350390</v>
      </c>
      <c r="J52" s="10" t="s">
        <v>359</v>
      </c>
      <c r="K52" s="10"/>
      <c r="L52" s="10"/>
      <c r="M52" s="10" t="s">
        <v>359</v>
      </c>
      <c r="N52" s="10" t="s">
        <v>379</v>
      </c>
      <c r="O52" s="10"/>
      <c r="P52" s="26" t="s">
        <v>486</v>
      </c>
      <c r="Q52" s="11"/>
    </row>
    <row r="53" spans="1:17" x14ac:dyDescent="0.2">
      <c r="A53" s="22" t="s">
        <v>372</v>
      </c>
      <c r="B53" s="22" t="s">
        <v>366</v>
      </c>
      <c r="C53" s="4" t="s">
        <v>74</v>
      </c>
      <c r="D53" s="4" t="s">
        <v>11</v>
      </c>
      <c r="E53" s="4" t="s">
        <v>151</v>
      </c>
      <c r="F53" s="4" t="s">
        <v>152</v>
      </c>
      <c r="G53" s="4" t="s">
        <v>66</v>
      </c>
      <c r="H53" s="4" t="s">
        <v>153</v>
      </c>
      <c r="I53" s="5">
        <v>26210012</v>
      </c>
      <c r="J53" s="10"/>
      <c r="K53" s="10"/>
      <c r="L53" s="10"/>
      <c r="M53" s="10" t="s">
        <v>359</v>
      </c>
      <c r="N53" s="10" t="s">
        <v>359</v>
      </c>
      <c r="O53" s="10">
        <v>235</v>
      </c>
      <c r="P53" s="25" t="s">
        <v>467</v>
      </c>
      <c r="Q53" s="11" t="str">
        <f>TRIM(VLOOKUP(O53,'[1]CNPJ Consolidado'!$A$1:$X$379,6,FALSE))</f>
        <v>OI S/A - EM RECUPERAÇÃO JUDICIAL</v>
      </c>
    </row>
    <row r="54" spans="1:17" x14ac:dyDescent="0.2">
      <c r="A54" s="22" t="s">
        <v>372</v>
      </c>
      <c r="B54" s="22" t="s">
        <v>366</v>
      </c>
      <c r="C54" s="4" t="s">
        <v>74</v>
      </c>
      <c r="D54" s="4" t="s">
        <v>11</v>
      </c>
      <c r="E54" s="4" t="s">
        <v>270</v>
      </c>
      <c r="F54" s="4" t="s">
        <v>271</v>
      </c>
      <c r="G54" s="4" t="s">
        <v>272</v>
      </c>
      <c r="H54" s="4" t="s">
        <v>273</v>
      </c>
      <c r="I54" s="7">
        <v>24710480</v>
      </c>
      <c r="J54" s="10" t="s">
        <v>359</v>
      </c>
      <c r="K54" s="10"/>
      <c r="L54" s="10"/>
      <c r="M54" s="10"/>
      <c r="N54" s="10" t="s">
        <v>359</v>
      </c>
      <c r="O54" s="10">
        <v>174</v>
      </c>
      <c r="P54" s="25" t="s">
        <v>468</v>
      </c>
      <c r="Q54" s="11" t="str">
        <f>TRIM(VLOOKUP(O54,'[1]CNPJ Consolidado'!$A$1:$X$379,6,FALSE))</f>
        <v>OI S/A - EM RECUPERAÇÃO JUDICIAL</v>
      </c>
    </row>
    <row r="55" spans="1:17" x14ac:dyDescent="0.2">
      <c r="A55" s="22" t="s">
        <v>372</v>
      </c>
      <c r="B55" s="23" t="s">
        <v>366</v>
      </c>
      <c r="C55" s="4" t="s">
        <v>74</v>
      </c>
      <c r="D55" s="4" t="s">
        <v>11</v>
      </c>
      <c r="E55" s="4" t="s">
        <v>162</v>
      </c>
      <c r="F55" s="4" t="s">
        <v>179</v>
      </c>
      <c r="G55" s="4" t="s">
        <v>180</v>
      </c>
      <c r="H55" s="4" t="s">
        <v>113</v>
      </c>
      <c r="I55" s="5">
        <v>21535502</v>
      </c>
      <c r="J55" s="10"/>
      <c r="K55" s="10"/>
      <c r="L55" s="10"/>
      <c r="M55" s="10"/>
      <c r="N55" s="10" t="s">
        <v>359</v>
      </c>
      <c r="O55" s="10">
        <v>171</v>
      </c>
      <c r="P55" s="25" t="s">
        <v>480</v>
      </c>
      <c r="Q55" s="11" t="str">
        <f>TRIM(VLOOKUP(O55,'[1]CNPJ Consolidado'!$A$1:$X$379,6,FALSE))</f>
        <v>OI S/A - EM RECUPERAÇÃO JUDICIAL</v>
      </c>
    </row>
    <row r="56" spans="1:17" x14ac:dyDescent="0.2">
      <c r="A56" s="22" t="s">
        <v>372</v>
      </c>
      <c r="B56" s="22" t="s">
        <v>363</v>
      </c>
      <c r="C56" s="4" t="s">
        <v>156</v>
      </c>
      <c r="D56" s="4" t="s">
        <v>11</v>
      </c>
      <c r="E56" s="4" t="s">
        <v>163</v>
      </c>
      <c r="F56" s="4" t="s">
        <v>181</v>
      </c>
      <c r="G56" s="4" t="s">
        <v>182</v>
      </c>
      <c r="H56" s="4" t="s">
        <v>183</v>
      </c>
      <c r="I56" s="5">
        <v>59075770</v>
      </c>
      <c r="J56" s="10" t="s">
        <v>359</v>
      </c>
      <c r="K56" s="10"/>
      <c r="L56" s="10"/>
      <c r="M56" s="10"/>
      <c r="N56" s="10" t="s">
        <v>359</v>
      </c>
      <c r="O56" s="10">
        <v>207</v>
      </c>
      <c r="P56" s="25" t="s">
        <v>469</v>
      </c>
      <c r="Q56" s="11" t="str">
        <f>TRIM(VLOOKUP(O56,'[1]CNPJ Consolidado'!$A$1:$X$379,6,FALSE))</f>
        <v>OI S/A - EM RECUPERAÇÃO JUDICIAL</v>
      </c>
    </row>
    <row r="57" spans="1:17" x14ac:dyDescent="0.2">
      <c r="A57" s="22" t="s">
        <v>372</v>
      </c>
      <c r="B57" s="22" t="s">
        <v>363</v>
      </c>
      <c r="C57" s="9" t="s">
        <v>156</v>
      </c>
      <c r="D57" s="9" t="s">
        <v>11</v>
      </c>
      <c r="E57" s="4" t="s">
        <v>164</v>
      </c>
      <c r="F57" s="9" t="s">
        <v>184</v>
      </c>
      <c r="G57" s="9" t="s">
        <v>185</v>
      </c>
      <c r="H57" s="9" t="s">
        <v>183</v>
      </c>
      <c r="I57" s="9">
        <v>59020904</v>
      </c>
      <c r="J57" s="10"/>
      <c r="K57" s="10"/>
      <c r="L57" s="10"/>
      <c r="M57" s="10" t="s">
        <v>359</v>
      </c>
      <c r="N57" s="10" t="s">
        <v>359</v>
      </c>
      <c r="O57" s="10">
        <v>16</v>
      </c>
      <c r="P57" s="25" t="s">
        <v>481</v>
      </c>
      <c r="Q57" s="11" t="str">
        <f>TRIM(VLOOKUP(O57,'[1]CNPJ Consolidado'!$A$1:$X$379,6,FALSE))</f>
        <v>OI S/A - EM RECUPERAÇÃO JUDICIAL</v>
      </c>
    </row>
    <row r="58" spans="1:17" x14ac:dyDescent="0.2">
      <c r="A58" s="22" t="s">
        <v>372</v>
      </c>
      <c r="B58" s="23" t="s">
        <v>365</v>
      </c>
      <c r="C58" s="4" t="s">
        <v>219</v>
      </c>
      <c r="D58" s="4" t="s">
        <v>11</v>
      </c>
      <c r="E58" s="4" t="s">
        <v>226</v>
      </c>
      <c r="F58" s="4" t="s">
        <v>237</v>
      </c>
      <c r="G58" s="7" t="s">
        <v>66</v>
      </c>
      <c r="H58" s="10" t="s">
        <v>238</v>
      </c>
      <c r="I58" s="10">
        <v>76801103</v>
      </c>
      <c r="J58" s="10"/>
      <c r="K58" s="10"/>
      <c r="L58" s="10"/>
      <c r="M58" s="10"/>
      <c r="N58" s="10" t="s">
        <v>359</v>
      </c>
      <c r="O58" s="10">
        <v>19</v>
      </c>
      <c r="P58" s="25" t="s">
        <v>482</v>
      </c>
      <c r="Q58" s="11" t="str">
        <f>TRIM(VLOOKUP(O58,'[1]CNPJ Consolidado'!$A$1:$X$379,6,FALSE))</f>
        <v>OI S/A - EM RECUPERAÇÃO JUDICIAL</v>
      </c>
    </row>
    <row r="59" spans="1:17" x14ac:dyDescent="0.2">
      <c r="A59" s="22" t="s">
        <v>372</v>
      </c>
      <c r="B59" s="22" t="s">
        <v>362</v>
      </c>
      <c r="C59" s="9" t="s">
        <v>157</v>
      </c>
      <c r="D59" s="9" t="s">
        <v>11</v>
      </c>
      <c r="E59" s="4" t="s">
        <v>165</v>
      </c>
      <c r="F59" s="9" t="s">
        <v>186</v>
      </c>
      <c r="G59" s="9" t="s">
        <v>187</v>
      </c>
      <c r="H59" s="9" t="s">
        <v>100</v>
      </c>
      <c r="I59" s="9">
        <v>69313508</v>
      </c>
      <c r="J59" s="10" t="s">
        <v>359</v>
      </c>
      <c r="K59" s="10"/>
      <c r="L59" s="10"/>
      <c r="M59" s="10" t="s">
        <v>359</v>
      </c>
      <c r="N59" s="10" t="s">
        <v>359</v>
      </c>
      <c r="O59" s="10">
        <v>210</v>
      </c>
      <c r="P59" s="25" t="s">
        <v>470</v>
      </c>
      <c r="Q59" s="11" t="str">
        <f>TRIM(VLOOKUP(O59,'[1]CNPJ Consolidado'!$A$1:$X$379,6,FALSE))</f>
        <v>OI S/A - EM RECUPERAÇÃO JUDICIAL</v>
      </c>
    </row>
    <row r="60" spans="1:17" hidden="1" x14ac:dyDescent="0.2">
      <c r="A60" s="22" t="s">
        <v>372</v>
      </c>
      <c r="B60" s="23" t="s">
        <v>364</v>
      </c>
      <c r="C60" s="4" t="s">
        <v>158</v>
      </c>
      <c r="D60" s="4" t="s">
        <v>11</v>
      </c>
      <c r="E60" s="4" t="s">
        <v>167</v>
      </c>
      <c r="F60" s="4" t="s">
        <v>263</v>
      </c>
      <c r="G60" s="4" t="s">
        <v>66</v>
      </c>
      <c r="H60" s="4" t="s">
        <v>189</v>
      </c>
      <c r="I60" s="4">
        <v>95520000</v>
      </c>
      <c r="J60" s="10"/>
      <c r="K60" s="10"/>
      <c r="L60" s="10"/>
      <c r="M60" s="10"/>
      <c r="N60" s="10" t="s">
        <v>379</v>
      </c>
      <c r="O60" s="10"/>
      <c r="P60" s="25" t="s">
        <v>475</v>
      </c>
      <c r="Q60" s="11"/>
    </row>
    <row r="61" spans="1:17" hidden="1" x14ac:dyDescent="0.2">
      <c r="A61" s="22" t="s">
        <v>372</v>
      </c>
      <c r="B61" s="23" t="s">
        <v>364</v>
      </c>
      <c r="C61" s="4" t="s">
        <v>158</v>
      </c>
      <c r="D61" s="4" t="s">
        <v>11</v>
      </c>
      <c r="E61" s="4" t="s">
        <v>168</v>
      </c>
      <c r="F61" s="4" t="s">
        <v>190</v>
      </c>
      <c r="G61" s="4" t="s">
        <v>191</v>
      </c>
      <c r="H61" s="4" t="s">
        <v>192</v>
      </c>
      <c r="I61" s="4">
        <v>95044190</v>
      </c>
      <c r="J61" s="10"/>
      <c r="K61" s="10"/>
      <c r="L61" s="10"/>
      <c r="M61" s="10"/>
      <c r="N61" s="10" t="s">
        <v>379</v>
      </c>
      <c r="O61" s="10"/>
      <c r="P61" s="25" t="s">
        <v>475</v>
      </c>
      <c r="Q61" s="11"/>
    </row>
    <row r="62" spans="1:17" x14ac:dyDescent="0.2">
      <c r="A62" s="22" t="s">
        <v>372</v>
      </c>
      <c r="B62" s="23" t="s">
        <v>364</v>
      </c>
      <c r="C62" s="4" t="s">
        <v>158</v>
      </c>
      <c r="D62" s="4" t="s">
        <v>11</v>
      </c>
      <c r="E62" s="4" t="s">
        <v>170</v>
      </c>
      <c r="F62" s="4" t="s">
        <v>195</v>
      </c>
      <c r="G62" s="4" t="s">
        <v>196</v>
      </c>
      <c r="H62" s="4" t="s">
        <v>197</v>
      </c>
      <c r="I62" s="4">
        <v>96840075</v>
      </c>
      <c r="J62" s="10"/>
      <c r="K62" s="10"/>
      <c r="L62" s="10"/>
      <c r="M62" s="10"/>
      <c r="N62" s="10" t="s">
        <v>359</v>
      </c>
      <c r="O62" s="10">
        <v>212</v>
      </c>
      <c r="P62" s="25" t="s">
        <v>483</v>
      </c>
      <c r="Q62" s="11" t="str">
        <f>TRIM(VLOOKUP(O62,'[1]CNPJ Consolidado'!$A$1:$X$379,6,FALSE))</f>
        <v>OI S/A - EM RECUPERAÇÃO JUDICIAL</v>
      </c>
    </row>
    <row r="63" spans="1:17" hidden="1" x14ac:dyDescent="0.2">
      <c r="A63" s="22" t="s">
        <v>372</v>
      </c>
      <c r="B63" s="23" t="s">
        <v>364</v>
      </c>
      <c r="C63" s="4" t="s">
        <v>158</v>
      </c>
      <c r="D63" s="4" t="s">
        <v>11</v>
      </c>
      <c r="E63" s="4" t="s">
        <v>169</v>
      </c>
      <c r="F63" s="4" t="s">
        <v>193</v>
      </c>
      <c r="G63" s="4" t="s">
        <v>194</v>
      </c>
      <c r="H63" s="4" t="s">
        <v>188</v>
      </c>
      <c r="I63" s="4">
        <v>90245000</v>
      </c>
      <c r="J63" s="10"/>
      <c r="K63" s="10"/>
      <c r="L63" s="10"/>
      <c r="M63" s="10"/>
      <c r="N63" s="10" t="s">
        <v>379</v>
      </c>
      <c r="O63" s="10"/>
      <c r="P63" s="25" t="s">
        <v>475</v>
      </c>
      <c r="Q63" s="11"/>
    </row>
    <row r="64" spans="1:17" hidden="1" x14ac:dyDescent="0.2">
      <c r="A64" s="22" t="s">
        <v>372</v>
      </c>
      <c r="B64" s="22" t="s">
        <v>364</v>
      </c>
      <c r="C64" s="4" t="s">
        <v>158</v>
      </c>
      <c r="D64" s="4" t="s">
        <v>11</v>
      </c>
      <c r="E64" s="4" t="s">
        <v>166</v>
      </c>
      <c r="F64" s="4" t="s">
        <v>276</v>
      </c>
      <c r="G64" s="4" t="s">
        <v>277</v>
      </c>
      <c r="H64" s="4" t="s">
        <v>278</v>
      </c>
      <c r="I64" s="5">
        <v>94185352</v>
      </c>
      <c r="J64" s="10" t="s">
        <v>359</v>
      </c>
      <c r="K64" s="10"/>
      <c r="L64" s="10"/>
      <c r="M64" s="10" t="s">
        <v>359</v>
      </c>
      <c r="N64" s="10" t="s">
        <v>379</v>
      </c>
      <c r="O64" s="10"/>
      <c r="P64" s="26" t="s">
        <v>486</v>
      </c>
      <c r="Q64" s="11"/>
    </row>
    <row r="65" spans="1:17" x14ac:dyDescent="0.2">
      <c r="A65" s="22" t="s">
        <v>372</v>
      </c>
      <c r="B65" s="22" t="s">
        <v>364</v>
      </c>
      <c r="C65" s="4" t="s">
        <v>158</v>
      </c>
      <c r="D65" s="4" t="s">
        <v>11</v>
      </c>
      <c r="E65" s="4" t="s">
        <v>171</v>
      </c>
      <c r="F65" s="4" t="s">
        <v>370</v>
      </c>
      <c r="G65" s="4" t="s">
        <v>198</v>
      </c>
      <c r="H65" s="4" t="s">
        <v>199</v>
      </c>
      <c r="I65" s="4">
        <v>96040730</v>
      </c>
      <c r="J65" s="10"/>
      <c r="K65" s="10"/>
      <c r="L65" s="10"/>
      <c r="M65" s="10" t="s">
        <v>359</v>
      </c>
      <c r="N65" s="10" t="s">
        <v>359</v>
      </c>
      <c r="O65" s="10">
        <v>211</v>
      </c>
      <c r="P65" s="25" t="s">
        <v>500</v>
      </c>
      <c r="Q65" s="11" t="str">
        <f>TRIM(VLOOKUP(O65,'[1]CNPJ Consolidado'!$A$1:$X$379,6,FALSE))</f>
        <v>OI S/A - EM RECUPERAÇÃO JUDICIAL</v>
      </c>
    </row>
    <row r="66" spans="1:17" x14ac:dyDescent="0.2">
      <c r="A66" s="22" t="s">
        <v>372</v>
      </c>
      <c r="B66" s="22" t="s">
        <v>364</v>
      </c>
      <c r="C66" s="4" t="s">
        <v>159</v>
      </c>
      <c r="D66" s="4" t="s">
        <v>11</v>
      </c>
      <c r="E66" s="4" t="s">
        <v>173</v>
      </c>
      <c r="F66" s="4" t="s">
        <v>203</v>
      </c>
      <c r="G66" s="4" t="s">
        <v>204</v>
      </c>
      <c r="H66" s="4" t="s">
        <v>205</v>
      </c>
      <c r="I66" s="5">
        <v>89066345</v>
      </c>
      <c r="J66" s="10" t="s">
        <v>359</v>
      </c>
      <c r="K66" s="10"/>
      <c r="L66" s="10"/>
      <c r="M66" s="10" t="s">
        <v>359</v>
      </c>
      <c r="N66" s="10" t="s">
        <v>359</v>
      </c>
      <c r="O66" s="10">
        <v>213</v>
      </c>
      <c r="P66" s="25" t="s">
        <v>501</v>
      </c>
      <c r="Q66" s="11" t="str">
        <f>TRIM(VLOOKUP(O66,'[1]CNPJ Consolidado'!$A$1:$X$379,6,FALSE))</f>
        <v>OI S/A - EM RECUPERAÇÃO JUDICIAL</v>
      </c>
    </row>
    <row r="67" spans="1:17" hidden="1" x14ac:dyDescent="0.2">
      <c r="A67" s="22" t="s">
        <v>372</v>
      </c>
      <c r="B67" s="23" t="s">
        <v>364</v>
      </c>
      <c r="C67" s="4" t="s">
        <v>159</v>
      </c>
      <c r="D67" s="4" t="s">
        <v>11</v>
      </c>
      <c r="E67" s="4" t="s">
        <v>174</v>
      </c>
      <c r="F67" s="4" t="s">
        <v>264</v>
      </c>
      <c r="G67" s="4" t="s">
        <v>96</v>
      </c>
      <c r="H67" s="4" t="s">
        <v>206</v>
      </c>
      <c r="I67" s="4">
        <v>89218001</v>
      </c>
      <c r="J67" s="10"/>
      <c r="K67" s="10"/>
      <c r="L67" s="10" t="s">
        <v>359</v>
      </c>
      <c r="M67" s="10"/>
      <c r="N67" s="10" t="s">
        <v>379</v>
      </c>
      <c r="O67" s="10"/>
      <c r="P67" s="25" t="s">
        <v>484</v>
      </c>
      <c r="Q67" s="11"/>
    </row>
    <row r="68" spans="1:17" hidden="1" x14ac:dyDescent="0.2">
      <c r="A68" s="22" t="s">
        <v>372</v>
      </c>
      <c r="B68" s="23" t="s">
        <v>364</v>
      </c>
      <c r="C68" s="4" t="s">
        <v>159</v>
      </c>
      <c r="D68" s="4" t="s">
        <v>11</v>
      </c>
      <c r="E68" s="4" t="s">
        <v>176</v>
      </c>
      <c r="F68" s="4" t="s">
        <v>207</v>
      </c>
      <c r="G68" s="4" t="s">
        <v>208</v>
      </c>
      <c r="H68" s="4" t="s">
        <v>209</v>
      </c>
      <c r="I68" s="5">
        <v>89810185</v>
      </c>
      <c r="J68" s="10"/>
      <c r="K68" s="10"/>
      <c r="L68" s="10"/>
      <c r="M68" s="10"/>
      <c r="N68" s="10" t="s">
        <v>379</v>
      </c>
      <c r="O68" s="10"/>
      <c r="P68" s="25" t="s">
        <v>475</v>
      </c>
      <c r="Q68" s="11"/>
    </row>
    <row r="69" spans="1:17" x14ac:dyDescent="0.2">
      <c r="A69" s="22" t="s">
        <v>372</v>
      </c>
      <c r="B69" s="22" t="s">
        <v>364</v>
      </c>
      <c r="C69" s="4" t="s">
        <v>159</v>
      </c>
      <c r="D69" s="4" t="s">
        <v>11</v>
      </c>
      <c r="E69" s="4" t="s">
        <v>172</v>
      </c>
      <c r="F69" s="4" t="s">
        <v>200</v>
      </c>
      <c r="G69" s="4" t="s">
        <v>201</v>
      </c>
      <c r="H69" s="4" t="s">
        <v>202</v>
      </c>
      <c r="I69" s="4">
        <v>88070450</v>
      </c>
      <c r="J69" s="10"/>
      <c r="K69" s="10"/>
      <c r="L69" s="10"/>
      <c r="M69" s="10" t="s">
        <v>359</v>
      </c>
      <c r="N69" s="10" t="s">
        <v>359</v>
      </c>
      <c r="O69" s="10">
        <v>9</v>
      </c>
      <c r="P69" s="25" t="s">
        <v>471</v>
      </c>
      <c r="Q69" s="11" t="str">
        <f>TRIM(VLOOKUP(O69,'[1]CNPJ Consolidado'!$A$1:$X$379,6,FALSE))</f>
        <v>OI S/A - EM RECUPERAÇÃO JUDICIAL</v>
      </c>
    </row>
    <row r="70" spans="1:17" x14ac:dyDescent="0.2">
      <c r="A70" s="22" t="s">
        <v>372</v>
      </c>
      <c r="B70" s="22" t="s">
        <v>364</v>
      </c>
      <c r="C70" s="4" t="s">
        <v>159</v>
      </c>
      <c r="D70" s="4" t="s">
        <v>11</v>
      </c>
      <c r="E70" s="4" t="s">
        <v>175</v>
      </c>
      <c r="F70" s="4" t="s">
        <v>200</v>
      </c>
      <c r="G70" s="4" t="s">
        <v>201</v>
      </c>
      <c r="H70" s="4" t="s">
        <v>202</v>
      </c>
      <c r="I70" s="4">
        <v>88070450</v>
      </c>
      <c r="J70" s="10"/>
      <c r="K70" s="10"/>
      <c r="L70" s="10"/>
      <c r="M70" s="10" t="s">
        <v>359</v>
      </c>
      <c r="N70" s="10" t="s">
        <v>359</v>
      </c>
      <c r="O70" s="10">
        <v>9</v>
      </c>
      <c r="P70" s="25" t="s">
        <v>471</v>
      </c>
      <c r="Q70" s="11" t="str">
        <f>TRIM(VLOOKUP(O70,'[1]CNPJ Consolidado'!$A$1:$X$379,6,FALSE))</f>
        <v>OI S/A - EM RECUPERAÇÃO JUDICIAL</v>
      </c>
    </row>
    <row r="71" spans="1:17" x14ac:dyDescent="0.2">
      <c r="A71" s="22" t="s">
        <v>372</v>
      </c>
      <c r="B71" s="22" t="s">
        <v>367</v>
      </c>
      <c r="C71" s="4" t="s">
        <v>160</v>
      </c>
      <c r="D71" s="4" t="s">
        <v>11</v>
      </c>
      <c r="E71" s="4" t="s">
        <v>177</v>
      </c>
      <c r="F71" s="4" t="s">
        <v>210</v>
      </c>
      <c r="G71" s="4" t="s">
        <v>211</v>
      </c>
      <c r="H71" s="4" t="s">
        <v>212</v>
      </c>
      <c r="I71" s="5">
        <v>49037060</v>
      </c>
      <c r="J71" s="10" t="s">
        <v>359</v>
      </c>
      <c r="K71" s="10"/>
      <c r="L71" s="10"/>
      <c r="M71" s="10" t="s">
        <v>359</v>
      </c>
      <c r="N71" s="10" t="s">
        <v>359</v>
      </c>
      <c r="O71" s="10">
        <v>215</v>
      </c>
      <c r="P71" s="25" t="s">
        <v>472</v>
      </c>
      <c r="Q71" s="11" t="str">
        <f>TRIM(VLOOKUP(O71,'[1]CNPJ Consolidado'!$A$1:$X$379,6,FALSE))</f>
        <v>OI S/A - EM RECUPERAÇÃO JUDICIAL</v>
      </c>
    </row>
    <row r="72" spans="1:17" hidden="1" x14ac:dyDescent="0.2">
      <c r="A72" s="22" t="s">
        <v>372</v>
      </c>
      <c r="B72" s="22" t="s">
        <v>364</v>
      </c>
      <c r="C72" s="4" t="s">
        <v>161</v>
      </c>
      <c r="D72" s="4" t="s">
        <v>11</v>
      </c>
      <c r="E72" s="4" t="s">
        <v>178</v>
      </c>
      <c r="F72" s="4" t="s">
        <v>274</v>
      </c>
      <c r="G72" s="4" t="s">
        <v>275</v>
      </c>
      <c r="H72" s="4" t="s">
        <v>213</v>
      </c>
      <c r="I72" s="7">
        <v>2115001</v>
      </c>
      <c r="J72" s="10"/>
      <c r="K72" s="10"/>
      <c r="L72" s="10"/>
      <c r="M72" s="10" t="s">
        <v>359</v>
      </c>
      <c r="N72" s="10" t="s">
        <v>379</v>
      </c>
      <c r="O72" s="10"/>
      <c r="P72" s="26" t="s">
        <v>486</v>
      </c>
      <c r="Q72" s="11"/>
    </row>
    <row r="73" spans="1:17" x14ac:dyDescent="0.2">
      <c r="A73" s="22" t="s">
        <v>372</v>
      </c>
      <c r="B73" s="23" t="s">
        <v>365</v>
      </c>
      <c r="C73" s="4" t="s">
        <v>220</v>
      </c>
      <c r="D73" s="4" t="s">
        <v>11</v>
      </c>
      <c r="E73" s="7" t="s">
        <v>227</v>
      </c>
      <c r="F73" s="10" t="s">
        <v>268</v>
      </c>
      <c r="G73" s="10" t="s">
        <v>239</v>
      </c>
      <c r="H73" s="10" t="s">
        <v>240</v>
      </c>
      <c r="I73" s="10">
        <v>77015205</v>
      </c>
      <c r="J73" s="10"/>
      <c r="K73" s="10"/>
      <c r="L73" s="10"/>
      <c r="M73" s="10"/>
      <c r="N73" s="10" t="s">
        <v>359</v>
      </c>
      <c r="O73" s="10">
        <v>249</v>
      </c>
      <c r="P73" s="25" t="s">
        <v>485</v>
      </c>
      <c r="Q73" s="11" t="str">
        <f>TRIM(VLOOKUP(O73,'[1]CNPJ Consolidado'!$A$1:$X$379,6,FALSE))</f>
        <v>OI S/A - EM RECUPERAÇÃO JUDICIAL</v>
      </c>
    </row>
    <row r="74" spans="1:17" hidden="1" x14ac:dyDescent="0.2">
      <c r="A74" s="4" t="s">
        <v>292</v>
      </c>
      <c r="B74" s="22"/>
      <c r="C74" s="4" t="s">
        <v>72</v>
      </c>
      <c r="D74" s="1"/>
      <c r="E74" s="1"/>
      <c r="F74" s="4" t="s">
        <v>413</v>
      </c>
      <c r="G74" s="1" t="s">
        <v>361</v>
      </c>
      <c r="H74" s="4" t="s">
        <v>97</v>
      </c>
      <c r="I74" s="1"/>
      <c r="J74" s="22"/>
      <c r="K74" s="22"/>
      <c r="L74" s="1"/>
      <c r="M74" s="1" t="s">
        <v>359</v>
      </c>
      <c r="N74" s="1" t="s">
        <v>379</v>
      </c>
      <c r="O74" s="1"/>
      <c r="P74" s="26" t="s">
        <v>486</v>
      </c>
      <c r="Q74" s="11"/>
    </row>
    <row r="75" spans="1:17" hidden="1" x14ac:dyDescent="0.2">
      <c r="A75" s="4" t="s">
        <v>292</v>
      </c>
      <c r="B75" s="22"/>
      <c r="C75" s="4" t="s">
        <v>73</v>
      </c>
      <c r="D75" s="1"/>
      <c r="E75" s="1"/>
      <c r="F75" s="4" t="s">
        <v>414</v>
      </c>
      <c r="G75" s="1" t="s">
        <v>361</v>
      </c>
      <c r="H75" s="4" t="s">
        <v>415</v>
      </c>
      <c r="I75" s="1"/>
      <c r="J75" s="22"/>
      <c r="K75" s="22"/>
      <c r="L75" s="1" t="s">
        <v>359</v>
      </c>
      <c r="M75" s="1"/>
      <c r="N75" s="1" t="s">
        <v>379</v>
      </c>
      <c r="O75" s="1"/>
      <c r="P75" s="26" t="s">
        <v>486</v>
      </c>
      <c r="Q75" s="11"/>
    </row>
    <row r="76" spans="1:17" hidden="1" x14ac:dyDescent="0.2">
      <c r="A76" s="4" t="s">
        <v>292</v>
      </c>
      <c r="B76" s="22"/>
      <c r="C76" s="4" t="s">
        <v>73</v>
      </c>
      <c r="D76" s="1"/>
      <c r="E76" s="1"/>
      <c r="F76" s="4" t="s">
        <v>416</v>
      </c>
      <c r="G76" s="1" t="s">
        <v>361</v>
      </c>
      <c r="H76" s="4" t="s">
        <v>98</v>
      </c>
      <c r="I76" s="1"/>
      <c r="J76" s="22"/>
      <c r="K76" s="22"/>
      <c r="L76" s="1" t="s">
        <v>359</v>
      </c>
      <c r="M76" s="1"/>
      <c r="N76" s="1" t="s">
        <v>379</v>
      </c>
      <c r="O76" s="1"/>
      <c r="P76" s="26" t="s">
        <v>486</v>
      </c>
      <c r="Q76" s="11"/>
    </row>
    <row r="77" spans="1:17" hidden="1" x14ac:dyDescent="0.2">
      <c r="A77" s="4" t="s">
        <v>292</v>
      </c>
      <c r="B77" s="22"/>
      <c r="C77" s="4" t="s">
        <v>73</v>
      </c>
      <c r="D77" s="1"/>
      <c r="E77" s="1"/>
      <c r="F77" s="4" t="s">
        <v>417</v>
      </c>
      <c r="G77" s="1" t="s">
        <v>361</v>
      </c>
      <c r="H77" s="4" t="s">
        <v>98</v>
      </c>
      <c r="I77" s="1"/>
      <c r="J77" s="22"/>
      <c r="K77" s="22"/>
      <c r="L77" s="1" t="s">
        <v>359</v>
      </c>
      <c r="M77" s="1"/>
      <c r="N77" s="1" t="s">
        <v>379</v>
      </c>
      <c r="O77" s="1"/>
      <c r="P77" s="26" t="s">
        <v>486</v>
      </c>
      <c r="Q77" s="11"/>
    </row>
    <row r="78" spans="1:17" hidden="1" x14ac:dyDescent="0.2">
      <c r="A78" s="4" t="s">
        <v>292</v>
      </c>
      <c r="B78" s="22"/>
      <c r="C78" s="4" t="s">
        <v>73</v>
      </c>
      <c r="D78" s="1"/>
      <c r="E78" s="1"/>
      <c r="F78" s="4" t="s">
        <v>418</v>
      </c>
      <c r="G78" s="1" t="s">
        <v>361</v>
      </c>
      <c r="H78" s="4" t="s">
        <v>98</v>
      </c>
      <c r="I78" s="1"/>
      <c r="J78" s="22"/>
      <c r="K78" s="22"/>
      <c r="L78" s="1" t="s">
        <v>359</v>
      </c>
      <c r="M78" s="1"/>
      <c r="N78" s="1" t="s">
        <v>379</v>
      </c>
      <c r="O78" s="1"/>
      <c r="P78" s="26" t="s">
        <v>486</v>
      </c>
      <c r="Q78" s="11"/>
    </row>
    <row r="79" spans="1:17" hidden="1" x14ac:dyDescent="0.2">
      <c r="A79" s="4" t="s">
        <v>292</v>
      </c>
      <c r="B79" s="22"/>
      <c r="C79" s="4" t="s">
        <v>73</v>
      </c>
      <c r="D79" s="1"/>
      <c r="E79" s="1"/>
      <c r="F79" s="4" t="s">
        <v>419</v>
      </c>
      <c r="G79" s="1" t="s">
        <v>361</v>
      </c>
      <c r="H79" s="4" t="s">
        <v>420</v>
      </c>
      <c r="I79" s="1"/>
      <c r="J79" s="22"/>
      <c r="K79" s="22"/>
      <c r="L79" s="1" t="s">
        <v>359</v>
      </c>
      <c r="M79" s="1"/>
      <c r="N79" s="1" t="s">
        <v>379</v>
      </c>
      <c r="O79" s="1"/>
      <c r="P79" s="26" t="s">
        <v>486</v>
      </c>
      <c r="Q79" s="11"/>
    </row>
    <row r="80" spans="1:17" hidden="1" x14ac:dyDescent="0.2">
      <c r="A80" s="4" t="s">
        <v>292</v>
      </c>
      <c r="B80" s="22"/>
      <c r="C80" s="4" t="s">
        <v>73</v>
      </c>
      <c r="D80" s="1"/>
      <c r="E80" s="1"/>
      <c r="F80" s="4" t="s">
        <v>421</v>
      </c>
      <c r="G80" s="1" t="s">
        <v>361</v>
      </c>
      <c r="H80" s="4" t="s">
        <v>422</v>
      </c>
      <c r="I80" s="1"/>
      <c r="J80" s="22"/>
      <c r="K80" s="22"/>
      <c r="L80" s="1" t="s">
        <v>359</v>
      </c>
      <c r="M80" s="1"/>
      <c r="N80" s="1" t="s">
        <v>379</v>
      </c>
      <c r="O80" s="1"/>
      <c r="P80" s="26" t="s">
        <v>486</v>
      </c>
      <c r="Q80" s="11"/>
    </row>
    <row r="81" spans="1:17" ht="15" x14ac:dyDescent="0.2">
      <c r="A81" s="4" t="s">
        <v>292</v>
      </c>
      <c r="B81" s="22"/>
      <c r="C81" s="4" t="s">
        <v>73</v>
      </c>
      <c r="D81" s="1" t="s">
        <v>373</v>
      </c>
      <c r="E81" s="14" t="s">
        <v>374</v>
      </c>
      <c r="F81" s="14" t="s">
        <v>375</v>
      </c>
      <c r="G81" s="14" t="s">
        <v>66</v>
      </c>
      <c r="H81" s="14" t="s">
        <v>376</v>
      </c>
      <c r="I81" s="15" t="s">
        <v>377</v>
      </c>
      <c r="J81" s="22"/>
      <c r="K81" s="22"/>
      <c r="L81" s="1" t="s">
        <v>359</v>
      </c>
      <c r="M81" s="1"/>
      <c r="N81" s="1" t="s">
        <v>359</v>
      </c>
      <c r="O81" s="29">
        <v>258</v>
      </c>
      <c r="P81" s="26" t="s">
        <v>502</v>
      </c>
      <c r="Q81" s="11" t="str">
        <f>TRIM(VLOOKUP(O81,'[1]CNPJ Consolidado'!$A$1:$X$379,6,FALSE))</f>
        <v>OI S/A - EM RECUPERAÇÃO JUDICIAL</v>
      </c>
    </row>
    <row r="82" spans="1:17" ht="15" x14ac:dyDescent="0.2">
      <c r="A82" s="4" t="s">
        <v>292</v>
      </c>
      <c r="B82" s="22"/>
      <c r="C82" s="4" t="s">
        <v>73</v>
      </c>
      <c r="D82" s="14" t="s">
        <v>373</v>
      </c>
      <c r="E82" s="14" t="s">
        <v>380</v>
      </c>
      <c r="F82" s="14" t="s">
        <v>381</v>
      </c>
      <c r="G82" s="14" t="s">
        <v>382</v>
      </c>
      <c r="H82" s="14" t="s">
        <v>383</v>
      </c>
      <c r="I82" s="15" t="s">
        <v>384</v>
      </c>
      <c r="J82" s="22"/>
      <c r="K82" s="22"/>
      <c r="L82" s="1"/>
      <c r="M82" s="1" t="s">
        <v>359</v>
      </c>
      <c r="N82" s="1" t="s">
        <v>359</v>
      </c>
      <c r="O82" s="29">
        <v>259</v>
      </c>
      <c r="P82" s="32" t="s">
        <v>487</v>
      </c>
      <c r="Q82" s="11" t="str">
        <f>TRIM(VLOOKUP(O82,'[1]CNPJ Consolidado'!$A$1:$X$379,6,FALSE))</f>
        <v>OI S/A - EM RECUPERAÇÃO JUDICIAL</v>
      </c>
    </row>
    <row r="83" spans="1:17" hidden="1" x14ac:dyDescent="0.2">
      <c r="A83" s="4" t="s">
        <v>292</v>
      </c>
      <c r="B83" s="22"/>
      <c r="C83" s="4" t="s">
        <v>73</v>
      </c>
      <c r="D83" s="1"/>
      <c r="E83" s="1"/>
      <c r="F83" s="4" t="s">
        <v>423</v>
      </c>
      <c r="G83" s="1" t="s">
        <v>361</v>
      </c>
      <c r="H83" s="4" t="s">
        <v>424</v>
      </c>
      <c r="I83" s="1"/>
      <c r="J83" s="22"/>
      <c r="K83" s="22"/>
      <c r="L83" s="1" t="s">
        <v>359</v>
      </c>
      <c r="M83" s="1"/>
      <c r="N83" s="1" t="s">
        <v>379</v>
      </c>
      <c r="O83" s="1"/>
      <c r="P83" s="26" t="s">
        <v>486</v>
      </c>
      <c r="Q83" s="11"/>
    </row>
    <row r="84" spans="1:17" hidden="1" x14ac:dyDescent="0.2">
      <c r="A84" s="4" t="s">
        <v>292</v>
      </c>
      <c r="B84" s="22"/>
      <c r="C84" s="4" t="s">
        <v>73</v>
      </c>
      <c r="D84" s="1"/>
      <c r="E84" s="1"/>
      <c r="F84" s="4" t="s">
        <v>425</v>
      </c>
      <c r="G84" s="1" t="s">
        <v>361</v>
      </c>
      <c r="H84" s="4" t="s">
        <v>426</v>
      </c>
      <c r="I84" s="1"/>
      <c r="J84" s="22"/>
      <c r="K84" s="22"/>
      <c r="L84" s="1" t="s">
        <v>359</v>
      </c>
      <c r="M84" s="1"/>
      <c r="N84" s="1" t="s">
        <v>379</v>
      </c>
      <c r="O84" s="1"/>
      <c r="P84" s="26" t="s">
        <v>486</v>
      </c>
      <c r="Q84" s="11"/>
    </row>
    <row r="85" spans="1:17" hidden="1" x14ac:dyDescent="0.2">
      <c r="A85" s="4" t="s">
        <v>292</v>
      </c>
      <c r="B85" s="22"/>
      <c r="C85" s="4" t="s">
        <v>73</v>
      </c>
      <c r="D85" s="1"/>
      <c r="E85" s="1"/>
      <c r="F85" s="4" t="s">
        <v>427</v>
      </c>
      <c r="G85" s="1" t="s">
        <v>361</v>
      </c>
      <c r="H85" s="4" t="s">
        <v>428</v>
      </c>
      <c r="I85" s="1"/>
      <c r="J85" s="22"/>
      <c r="K85" s="22"/>
      <c r="L85" s="1" t="s">
        <v>359</v>
      </c>
      <c r="M85" s="1"/>
      <c r="N85" s="1" t="s">
        <v>379</v>
      </c>
      <c r="O85" s="1"/>
      <c r="P85" s="26" t="s">
        <v>486</v>
      </c>
      <c r="Q85" s="11"/>
    </row>
    <row r="86" spans="1:17" ht="15" x14ac:dyDescent="0.2">
      <c r="A86" s="4" t="s">
        <v>292</v>
      </c>
      <c r="B86" s="22"/>
      <c r="C86" s="4" t="s">
        <v>73</v>
      </c>
      <c r="D86" s="14" t="s">
        <v>373</v>
      </c>
      <c r="E86" s="14" t="s">
        <v>387</v>
      </c>
      <c r="F86" s="14" t="s">
        <v>385</v>
      </c>
      <c r="G86" s="14" t="s">
        <v>66</v>
      </c>
      <c r="H86" s="14" t="s">
        <v>110</v>
      </c>
      <c r="I86" s="15" t="s">
        <v>386</v>
      </c>
      <c r="J86" s="22"/>
      <c r="K86" s="22"/>
      <c r="L86" s="1"/>
      <c r="M86" s="1" t="s">
        <v>359</v>
      </c>
      <c r="N86" s="1" t="s">
        <v>359</v>
      </c>
      <c r="O86" s="29">
        <v>256</v>
      </c>
      <c r="P86" s="26" t="s">
        <v>503</v>
      </c>
      <c r="Q86" s="11" t="str">
        <f>TRIM(VLOOKUP(O86,'[1]CNPJ Consolidado'!$A$1:$X$379,6,FALSE))</f>
        <v>OI S/A - EM RECUPERAÇÃO JUDICIAL</v>
      </c>
    </row>
    <row r="87" spans="1:17" ht="15" x14ac:dyDescent="0.2">
      <c r="A87" s="4" t="s">
        <v>292</v>
      </c>
      <c r="B87" s="22"/>
      <c r="C87" s="4" t="s">
        <v>74</v>
      </c>
      <c r="D87" s="16" t="s">
        <v>373</v>
      </c>
      <c r="E87" s="1" t="s">
        <v>391</v>
      </c>
      <c r="F87" s="14" t="s">
        <v>388</v>
      </c>
      <c r="G87" s="14" t="s">
        <v>66</v>
      </c>
      <c r="H87" s="14" t="s">
        <v>389</v>
      </c>
      <c r="I87" s="15" t="s">
        <v>390</v>
      </c>
      <c r="J87" s="22"/>
      <c r="K87" s="22"/>
      <c r="L87" s="1" t="s">
        <v>359</v>
      </c>
      <c r="M87" s="1"/>
      <c r="N87" s="1" t="s">
        <v>359</v>
      </c>
      <c r="O87" s="29">
        <v>181</v>
      </c>
      <c r="P87" s="26" t="s">
        <v>504</v>
      </c>
      <c r="Q87" s="11" t="str">
        <f>TRIM(VLOOKUP(O87,'[1]CNPJ Consolidado'!$A$1:$X$379,6,FALSE))</f>
        <v>OI S/A - EM RECUPERAÇÃO JUDICIAL</v>
      </c>
    </row>
    <row r="88" spans="1:17" hidden="1" x14ac:dyDescent="0.2">
      <c r="A88" s="4" t="s">
        <v>292</v>
      </c>
      <c r="B88" s="22"/>
      <c r="C88" s="4" t="s">
        <v>74</v>
      </c>
      <c r="D88" s="1"/>
      <c r="E88" s="1"/>
      <c r="F88" s="4" t="s">
        <v>429</v>
      </c>
      <c r="G88" s="22" t="s">
        <v>361</v>
      </c>
      <c r="H88" s="4" t="s">
        <v>430</v>
      </c>
      <c r="I88" s="22"/>
      <c r="J88" s="22"/>
      <c r="K88" s="22"/>
      <c r="L88" s="1" t="s">
        <v>359</v>
      </c>
      <c r="M88" s="1"/>
      <c r="N88" s="1" t="s">
        <v>379</v>
      </c>
      <c r="O88" s="1"/>
      <c r="P88" s="26" t="s">
        <v>488</v>
      </c>
      <c r="Q88" s="11"/>
    </row>
    <row r="89" spans="1:17" ht="15" x14ac:dyDescent="0.2">
      <c r="A89" s="4" t="s">
        <v>292</v>
      </c>
      <c r="B89" s="22"/>
      <c r="C89" s="4" t="s">
        <v>74</v>
      </c>
      <c r="D89" s="1" t="s">
        <v>373</v>
      </c>
      <c r="E89" s="1" t="s">
        <v>395</v>
      </c>
      <c r="F89" s="14" t="s">
        <v>392</v>
      </c>
      <c r="G89" s="14" t="s">
        <v>393</v>
      </c>
      <c r="H89" s="14" t="s">
        <v>113</v>
      </c>
      <c r="I89" s="15" t="s">
        <v>394</v>
      </c>
      <c r="J89" s="22"/>
      <c r="K89" s="22"/>
      <c r="L89" s="1" t="s">
        <v>359</v>
      </c>
      <c r="M89" s="1"/>
      <c r="N89" s="1" t="s">
        <v>359</v>
      </c>
      <c r="O89" s="29">
        <v>197</v>
      </c>
      <c r="P89" s="26" t="s">
        <v>505</v>
      </c>
      <c r="Q89" s="11" t="str">
        <f>TRIM(VLOOKUP(O89,'[1]CNPJ Consolidado'!$A$1:$X$379,6,FALSE))</f>
        <v>OI S/A - EM RECUPERAÇÃO JUDICIAL</v>
      </c>
    </row>
    <row r="90" spans="1:17" hidden="1" x14ac:dyDescent="0.2">
      <c r="A90" s="4" t="s">
        <v>292</v>
      </c>
      <c r="B90" s="22"/>
      <c r="C90" s="4" t="s">
        <v>74</v>
      </c>
      <c r="D90" s="1"/>
      <c r="E90" s="1"/>
      <c r="F90" s="4" t="s">
        <v>431</v>
      </c>
      <c r="G90" s="22" t="s">
        <v>361</v>
      </c>
      <c r="H90" s="4" t="s">
        <v>431</v>
      </c>
      <c r="I90" s="22"/>
      <c r="J90" s="22"/>
      <c r="K90" s="22"/>
      <c r="L90" s="1" t="s">
        <v>359</v>
      </c>
      <c r="M90" s="1"/>
      <c r="N90" s="1" t="s">
        <v>379</v>
      </c>
      <c r="O90" s="1"/>
      <c r="P90" s="26" t="s">
        <v>486</v>
      </c>
      <c r="Q90" s="11"/>
    </row>
    <row r="91" spans="1:17" hidden="1" x14ac:dyDescent="0.2">
      <c r="A91" s="4" t="s">
        <v>292</v>
      </c>
      <c r="B91" s="22"/>
      <c r="C91" s="4" t="s">
        <v>74</v>
      </c>
      <c r="D91" s="1"/>
      <c r="E91" s="1"/>
      <c r="F91" s="4" t="s">
        <v>432</v>
      </c>
      <c r="G91" s="22" t="s">
        <v>361</v>
      </c>
      <c r="H91" s="4" t="s">
        <v>113</v>
      </c>
      <c r="I91" s="22"/>
      <c r="J91" s="22"/>
      <c r="K91" s="22"/>
      <c r="L91" s="1" t="s">
        <v>359</v>
      </c>
      <c r="M91" s="1"/>
      <c r="N91" s="1" t="s">
        <v>379</v>
      </c>
      <c r="O91" s="1"/>
      <c r="P91" s="26" t="s">
        <v>486</v>
      </c>
      <c r="Q91" s="11"/>
    </row>
    <row r="92" spans="1:17" ht="15" x14ac:dyDescent="0.2">
      <c r="A92" s="4" t="s">
        <v>292</v>
      </c>
      <c r="B92" s="22"/>
      <c r="C92" s="4" t="s">
        <v>74</v>
      </c>
      <c r="D92" s="1" t="s">
        <v>373</v>
      </c>
      <c r="E92" s="14" t="s">
        <v>399</v>
      </c>
      <c r="F92" s="14" t="s">
        <v>396</v>
      </c>
      <c r="G92" s="14" t="s">
        <v>397</v>
      </c>
      <c r="H92" s="14" t="s">
        <v>113</v>
      </c>
      <c r="I92" s="15" t="s">
        <v>398</v>
      </c>
      <c r="J92" s="22"/>
      <c r="K92" s="22"/>
      <c r="L92" s="1" t="s">
        <v>359</v>
      </c>
      <c r="M92" s="1"/>
      <c r="N92" s="1" t="s">
        <v>359</v>
      </c>
      <c r="O92" s="29">
        <v>198</v>
      </c>
      <c r="P92" s="26" t="s">
        <v>506</v>
      </c>
      <c r="Q92" s="11" t="str">
        <f>TRIM(VLOOKUP(O92,'[1]CNPJ Consolidado'!$A$1:$X$379,6,FALSE))</f>
        <v>OI S/A - EM RECUPERAÇÃO JUDICIAL</v>
      </c>
    </row>
    <row r="93" spans="1:17" hidden="1" x14ac:dyDescent="0.2">
      <c r="A93" s="4" t="s">
        <v>292</v>
      </c>
      <c r="B93" s="22"/>
      <c r="C93" s="4" t="s">
        <v>158</v>
      </c>
      <c r="D93" s="1"/>
      <c r="E93" s="1"/>
      <c r="F93" s="4" t="s">
        <v>433</v>
      </c>
      <c r="G93" s="22" t="s">
        <v>361</v>
      </c>
      <c r="H93" s="4" t="s">
        <v>434</v>
      </c>
      <c r="I93" s="22"/>
      <c r="J93" s="22"/>
      <c r="K93" s="22"/>
      <c r="L93" s="1" t="s">
        <v>359</v>
      </c>
      <c r="M93" s="1"/>
      <c r="N93" s="1" t="s">
        <v>379</v>
      </c>
      <c r="O93" s="1"/>
      <c r="P93" s="26" t="s">
        <v>486</v>
      </c>
      <c r="Q93" s="11"/>
    </row>
    <row r="94" spans="1:17" hidden="1" x14ac:dyDescent="0.2">
      <c r="A94" s="4" t="s">
        <v>292</v>
      </c>
      <c r="B94" s="22"/>
      <c r="C94" s="4" t="s">
        <v>158</v>
      </c>
      <c r="D94" s="1"/>
      <c r="E94" s="1"/>
      <c r="F94" s="4" t="s">
        <v>435</v>
      </c>
      <c r="G94" s="22" t="s">
        <v>361</v>
      </c>
      <c r="H94" s="4" t="s">
        <v>436</v>
      </c>
      <c r="I94" s="22"/>
      <c r="J94" s="22"/>
      <c r="K94" s="22"/>
      <c r="L94" s="1" t="s">
        <v>359</v>
      </c>
      <c r="M94" s="1"/>
      <c r="N94" s="1" t="s">
        <v>379</v>
      </c>
      <c r="O94" s="1"/>
      <c r="P94" s="26" t="s">
        <v>486</v>
      </c>
      <c r="Q94" s="11"/>
    </row>
    <row r="95" spans="1:17" hidden="1" x14ac:dyDescent="0.2">
      <c r="A95" s="4" t="s">
        <v>292</v>
      </c>
      <c r="B95" s="22"/>
      <c r="C95" s="4" t="s">
        <v>158</v>
      </c>
      <c r="D95" s="1"/>
      <c r="E95" s="1"/>
      <c r="F95" s="4" t="s">
        <v>437</v>
      </c>
      <c r="G95" s="22" t="s">
        <v>361</v>
      </c>
      <c r="H95" s="4" t="s">
        <v>438</v>
      </c>
      <c r="I95" s="22"/>
      <c r="J95" s="22"/>
      <c r="K95" s="22"/>
      <c r="L95" s="1" t="s">
        <v>359</v>
      </c>
      <c r="M95" s="1"/>
      <c r="N95" s="1" t="s">
        <v>379</v>
      </c>
      <c r="O95" s="1"/>
      <c r="P95" s="26" t="s">
        <v>486</v>
      </c>
      <c r="Q95" s="11"/>
    </row>
    <row r="96" spans="1:17" ht="15" x14ac:dyDescent="0.2">
      <c r="A96" s="4" t="s">
        <v>292</v>
      </c>
      <c r="B96" s="22"/>
      <c r="C96" s="4" t="s">
        <v>158</v>
      </c>
      <c r="D96" s="14" t="s">
        <v>373</v>
      </c>
      <c r="E96" s="14" t="s">
        <v>403</v>
      </c>
      <c r="F96" s="14" t="s">
        <v>400</v>
      </c>
      <c r="G96" s="14" t="s">
        <v>66</v>
      </c>
      <c r="H96" s="14" t="s">
        <v>401</v>
      </c>
      <c r="I96" s="15" t="s">
        <v>402</v>
      </c>
      <c r="J96" s="22"/>
      <c r="K96" s="22"/>
      <c r="L96" s="1" t="s">
        <v>359</v>
      </c>
      <c r="M96" s="1"/>
      <c r="N96" s="1" t="s">
        <v>359</v>
      </c>
      <c r="O96" s="29">
        <v>263</v>
      </c>
      <c r="P96" s="26" t="s">
        <v>507</v>
      </c>
      <c r="Q96" s="11" t="str">
        <f>TRIM(VLOOKUP(O96,'[1]CNPJ Consolidado'!$A$1:$X$379,6,FALSE))</f>
        <v>OI S/A - EM RECUPERAÇÃO JUDICIAL</v>
      </c>
    </row>
    <row r="97" spans="1:17" hidden="1" x14ac:dyDescent="0.2">
      <c r="A97" s="4" t="s">
        <v>292</v>
      </c>
      <c r="B97" s="22"/>
      <c r="C97" s="4" t="s">
        <v>158</v>
      </c>
      <c r="D97" s="1"/>
      <c r="E97" s="1"/>
      <c r="F97" s="4" t="s">
        <v>439</v>
      </c>
      <c r="G97" s="22" t="s">
        <v>361</v>
      </c>
      <c r="H97" s="4" t="s">
        <v>188</v>
      </c>
      <c r="I97" s="22"/>
      <c r="J97" s="22"/>
      <c r="K97" s="22"/>
      <c r="L97" s="1" t="s">
        <v>359</v>
      </c>
      <c r="M97" s="1"/>
      <c r="N97" s="1" t="s">
        <v>379</v>
      </c>
      <c r="O97" s="1"/>
      <c r="P97" s="26" t="s">
        <v>486</v>
      </c>
      <c r="Q97" s="11"/>
    </row>
    <row r="98" spans="1:17" hidden="1" x14ac:dyDescent="0.2">
      <c r="A98" s="4" t="s">
        <v>292</v>
      </c>
      <c r="B98" s="22"/>
      <c r="C98" s="4" t="s">
        <v>158</v>
      </c>
      <c r="D98" s="1"/>
      <c r="E98" s="1"/>
      <c r="F98" s="4" t="s">
        <v>440</v>
      </c>
      <c r="G98" s="22" t="s">
        <v>361</v>
      </c>
      <c r="H98" s="4" t="s">
        <v>188</v>
      </c>
      <c r="I98" s="22"/>
      <c r="J98" s="22"/>
      <c r="K98" s="22"/>
      <c r="L98" s="1" t="s">
        <v>359</v>
      </c>
      <c r="M98" s="1"/>
      <c r="N98" s="1" t="s">
        <v>379</v>
      </c>
      <c r="O98" s="1"/>
      <c r="P98" s="26" t="s">
        <v>486</v>
      </c>
      <c r="Q98" s="11"/>
    </row>
    <row r="99" spans="1:17" hidden="1" x14ac:dyDescent="0.2">
      <c r="A99" s="4" t="s">
        <v>292</v>
      </c>
      <c r="B99" s="22"/>
      <c r="C99" s="4" t="s">
        <v>158</v>
      </c>
      <c r="D99" s="1"/>
      <c r="E99" s="1"/>
      <c r="F99" s="4" t="s">
        <v>441</v>
      </c>
      <c r="G99" s="22" t="s">
        <v>361</v>
      </c>
      <c r="H99" s="4" t="s">
        <v>442</v>
      </c>
      <c r="I99" s="22"/>
      <c r="J99" s="22"/>
      <c r="K99" s="22"/>
      <c r="L99" s="1" t="s">
        <v>359</v>
      </c>
      <c r="M99" s="1"/>
      <c r="N99" s="1" t="s">
        <v>379</v>
      </c>
      <c r="O99" s="1"/>
      <c r="P99" s="26" t="s">
        <v>486</v>
      </c>
      <c r="Q99" s="11"/>
    </row>
    <row r="100" spans="1:17" ht="15" x14ac:dyDescent="0.2">
      <c r="A100" s="4" t="s">
        <v>292</v>
      </c>
      <c r="B100" s="22"/>
      <c r="C100" s="4" t="s">
        <v>158</v>
      </c>
      <c r="D100" s="14" t="s">
        <v>373</v>
      </c>
      <c r="E100" s="14" t="s">
        <v>407</v>
      </c>
      <c r="F100" s="14" t="s">
        <v>404</v>
      </c>
      <c r="G100" s="14" t="s">
        <v>66</v>
      </c>
      <c r="H100" s="14" t="s">
        <v>405</v>
      </c>
      <c r="I100" s="15" t="s">
        <v>406</v>
      </c>
      <c r="J100" s="22"/>
      <c r="K100" s="22"/>
      <c r="L100" s="1" t="s">
        <v>359</v>
      </c>
      <c r="M100" s="1"/>
      <c r="N100" s="1" t="s">
        <v>359</v>
      </c>
      <c r="O100" s="29">
        <v>262</v>
      </c>
      <c r="P100" s="32" t="s">
        <v>489</v>
      </c>
      <c r="Q100" s="11" t="str">
        <f>TRIM(VLOOKUP(O100,'[1]CNPJ Consolidado'!$A$1:$X$379,6,FALSE))</f>
        <v>OI S/A - EM RECUPERAÇÃO JUDICIAL</v>
      </c>
    </row>
    <row r="101" spans="1:17" hidden="1" x14ac:dyDescent="0.2">
      <c r="A101" s="4" t="s">
        <v>292</v>
      </c>
      <c r="B101" s="22"/>
      <c r="C101" s="4" t="s">
        <v>158</v>
      </c>
      <c r="D101" s="1"/>
      <c r="E101" s="1"/>
      <c r="F101" s="4" t="s">
        <v>443</v>
      </c>
      <c r="G101" s="22" t="s">
        <v>361</v>
      </c>
      <c r="H101" s="4" t="s">
        <v>444</v>
      </c>
      <c r="I101" s="22"/>
      <c r="J101" s="22"/>
      <c r="K101" s="22"/>
      <c r="L101" s="1" t="s">
        <v>359</v>
      </c>
      <c r="M101" s="1"/>
      <c r="N101" s="1" t="s">
        <v>379</v>
      </c>
      <c r="O101" s="1"/>
      <c r="P101" s="26" t="s">
        <v>486</v>
      </c>
      <c r="Q101" s="11"/>
    </row>
    <row r="102" spans="1:17" hidden="1" x14ac:dyDescent="0.2">
      <c r="A102" s="4" t="s">
        <v>292</v>
      </c>
      <c r="B102" s="22"/>
      <c r="C102" s="4" t="s">
        <v>158</v>
      </c>
      <c r="D102" s="1"/>
      <c r="E102" s="1"/>
      <c r="F102" s="4" t="s">
        <v>445</v>
      </c>
      <c r="G102" s="22" t="s">
        <v>361</v>
      </c>
      <c r="H102" s="4" t="s">
        <v>446</v>
      </c>
      <c r="I102" s="22"/>
      <c r="J102" s="22"/>
      <c r="K102" s="22"/>
      <c r="L102" s="1" t="s">
        <v>359</v>
      </c>
      <c r="M102" s="1"/>
      <c r="N102" s="1" t="s">
        <v>379</v>
      </c>
      <c r="O102" s="1"/>
      <c r="P102" s="26" t="s">
        <v>486</v>
      </c>
      <c r="Q102" s="11"/>
    </row>
    <row r="103" spans="1:17" hidden="1" x14ac:dyDescent="0.2">
      <c r="A103" s="4" t="s">
        <v>292</v>
      </c>
      <c r="B103" s="22"/>
      <c r="C103" s="4" t="s">
        <v>158</v>
      </c>
      <c r="D103" s="1"/>
      <c r="E103" s="1"/>
      <c r="F103" s="4" t="s">
        <v>447</v>
      </c>
      <c r="G103" s="22" t="s">
        <v>361</v>
      </c>
      <c r="H103" s="4" t="s">
        <v>192</v>
      </c>
      <c r="I103" s="22"/>
      <c r="J103" s="22"/>
      <c r="K103" s="22"/>
      <c r="L103" s="1" t="s">
        <v>359</v>
      </c>
      <c r="M103" s="1"/>
      <c r="N103" s="1" t="s">
        <v>379</v>
      </c>
      <c r="O103" s="1"/>
      <c r="P103" s="26" t="s">
        <v>490</v>
      </c>
      <c r="Q103" s="11"/>
    </row>
    <row r="104" spans="1:17" hidden="1" x14ac:dyDescent="0.2">
      <c r="A104" s="4" t="s">
        <v>292</v>
      </c>
      <c r="B104" s="22"/>
      <c r="C104" s="4" t="s">
        <v>158</v>
      </c>
      <c r="D104" s="1"/>
      <c r="E104" s="1"/>
      <c r="F104" s="4" t="s">
        <v>448</v>
      </c>
      <c r="G104" s="22" t="s">
        <v>361</v>
      </c>
      <c r="H104" s="4" t="s">
        <v>449</v>
      </c>
      <c r="I104" s="22"/>
      <c r="J104" s="22"/>
      <c r="K104" s="22"/>
      <c r="L104" s="1"/>
      <c r="M104" s="1" t="s">
        <v>359</v>
      </c>
      <c r="N104" s="1" t="s">
        <v>379</v>
      </c>
      <c r="O104" s="1"/>
      <c r="P104" s="26" t="s">
        <v>491</v>
      </c>
      <c r="Q104" s="11"/>
    </row>
    <row r="105" spans="1:17" hidden="1" x14ac:dyDescent="0.2">
      <c r="A105" s="4" t="s">
        <v>292</v>
      </c>
      <c r="B105" s="22"/>
      <c r="C105" s="4" t="s">
        <v>159</v>
      </c>
      <c r="D105" s="1"/>
      <c r="E105" s="1"/>
      <c r="F105" s="4" t="s">
        <v>450</v>
      </c>
      <c r="G105" s="22" t="s">
        <v>361</v>
      </c>
      <c r="H105" s="4" t="s">
        <v>451</v>
      </c>
      <c r="I105" s="22"/>
      <c r="J105" s="22"/>
      <c r="K105" s="22"/>
      <c r="L105" s="1" t="s">
        <v>359</v>
      </c>
      <c r="M105" s="1"/>
      <c r="N105" s="1" t="s">
        <v>379</v>
      </c>
      <c r="O105" s="1"/>
      <c r="P105" s="26" t="s">
        <v>486</v>
      </c>
      <c r="Q105" s="11"/>
    </row>
    <row r="106" spans="1:17" hidden="1" x14ac:dyDescent="0.2">
      <c r="A106" s="4" t="s">
        <v>292</v>
      </c>
      <c r="B106" s="22"/>
      <c r="C106" s="4" t="s">
        <v>159</v>
      </c>
      <c r="D106" s="1"/>
      <c r="E106" s="1"/>
      <c r="F106" s="4" t="s">
        <v>452</v>
      </c>
      <c r="G106" s="22" t="s">
        <v>361</v>
      </c>
      <c r="H106" s="4" t="s">
        <v>453</v>
      </c>
      <c r="I106" s="22"/>
      <c r="J106" s="22"/>
      <c r="K106" s="22"/>
      <c r="L106" s="1" t="s">
        <v>359</v>
      </c>
      <c r="M106" s="1"/>
      <c r="N106" s="1" t="s">
        <v>379</v>
      </c>
      <c r="O106" s="1"/>
      <c r="P106" s="26" t="s">
        <v>486</v>
      </c>
      <c r="Q106" s="11"/>
    </row>
    <row r="107" spans="1:17" hidden="1" x14ac:dyDescent="0.2">
      <c r="A107" s="4" t="s">
        <v>292</v>
      </c>
      <c r="B107" s="22"/>
      <c r="C107" s="4" t="s">
        <v>159</v>
      </c>
      <c r="D107" s="1"/>
      <c r="E107" s="1"/>
      <c r="F107" s="4" t="s">
        <v>454</v>
      </c>
      <c r="G107" s="22" t="s">
        <v>361</v>
      </c>
      <c r="H107" s="4" t="s">
        <v>455</v>
      </c>
      <c r="I107" s="22"/>
      <c r="J107" s="22"/>
      <c r="K107" s="22"/>
      <c r="L107" s="1" t="s">
        <v>359</v>
      </c>
      <c r="M107" s="1"/>
      <c r="N107" s="1" t="s">
        <v>379</v>
      </c>
      <c r="O107" s="1"/>
      <c r="P107" s="26" t="s">
        <v>486</v>
      </c>
      <c r="Q107" s="11"/>
    </row>
    <row r="108" spans="1:17" hidden="1" x14ac:dyDescent="0.2">
      <c r="A108" s="4" t="s">
        <v>292</v>
      </c>
      <c r="B108" s="22"/>
      <c r="C108" s="4" t="s">
        <v>159</v>
      </c>
      <c r="D108" s="1"/>
      <c r="E108" s="1"/>
      <c r="F108" s="4" t="s">
        <v>456</v>
      </c>
      <c r="G108" s="22" t="s">
        <v>361</v>
      </c>
      <c r="H108" s="4" t="s">
        <v>457</v>
      </c>
      <c r="I108" s="22"/>
      <c r="J108" s="22"/>
      <c r="K108" s="22"/>
      <c r="L108" s="1" t="s">
        <v>359</v>
      </c>
      <c r="M108" s="1"/>
      <c r="N108" s="1" t="s">
        <v>379</v>
      </c>
      <c r="O108" s="1"/>
      <c r="P108" s="26" t="s">
        <v>486</v>
      </c>
      <c r="Q108" s="11"/>
    </row>
    <row r="109" spans="1:17" ht="15" x14ac:dyDescent="0.2">
      <c r="A109" s="4" t="s">
        <v>292</v>
      </c>
      <c r="B109" s="22"/>
      <c r="C109" s="4" t="s">
        <v>159</v>
      </c>
      <c r="D109" s="14" t="s">
        <v>373</v>
      </c>
      <c r="E109" s="14" t="s">
        <v>412</v>
      </c>
      <c r="F109" s="14" t="s">
        <v>408</v>
      </c>
      <c r="G109" s="14" t="s">
        <v>409</v>
      </c>
      <c r="H109" s="14" t="s">
        <v>410</v>
      </c>
      <c r="I109" s="15" t="s">
        <v>411</v>
      </c>
      <c r="J109" s="22"/>
      <c r="K109" s="22"/>
      <c r="L109" s="1" t="s">
        <v>359</v>
      </c>
      <c r="M109" s="1"/>
      <c r="N109" s="1" t="s">
        <v>359</v>
      </c>
      <c r="O109" s="29">
        <v>272</v>
      </c>
      <c r="P109" s="26" t="s">
        <v>508</v>
      </c>
      <c r="Q109" s="11" t="str">
        <f>TRIM(VLOOKUP(O109,'[1]CNPJ Consolidado'!$A$1:$X$379,6,FALSE))</f>
        <v>OI S/A - EM RECUPERAÇÃO JUDICIAL</v>
      </c>
    </row>
    <row r="113" spans="6:6" x14ac:dyDescent="0.2">
      <c r="F113" s="11" t="str">
        <f>UPPER(F110)</f>
        <v/>
      </c>
    </row>
    <row r="114" spans="6:6" x14ac:dyDescent="0.2">
      <c r="F114" s="11" t="str">
        <f>UPPER(F111)</f>
        <v/>
      </c>
    </row>
    <row r="115" spans="6:6" x14ac:dyDescent="0.2">
      <c r="F115" s="11" t="str">
        <f>UPPER(F112)</f>
        <v/>
      </c>
    </row>
  </sheetData>
  <protectedRanges>
    <protectedRange algorithmName="SHA-512" hashValue="UJCRY2m1UNU92ofec5datWNwjh0qFQk9hl55N5tAzuQdZVm+C6R597QuPQtZVtY+kbh0yNlv/tGUH/W3oA9VqQ==" saltValue="46zIEIQp25bR924E6zAfuQ==" spinCount="100000" sqref="A74" name="Intervalo1_3"/>
    <protectedRange algorithmName="SHA-512" hashValue="UJCRY2m1UNU92ofec5datWNwjh0qFQk9hl55N5tAzuQdZVm+C6R597QuPQtZVtY+kbh0yNlv/tGUH/W3oA9VqQ==" saltValue="46zIEIQp25bR924E6zAfuQ==" spinCount="100000" sqref="A75:A86" name="Intervalo1_4"/>
    <protectedRange algorithmName="SHA-512" hashValue="UJCRY2m1UNU92ofec5datWNwjh0qFQk9hl55N5tAzuQdZVm+C6R597QuPQtZVtY+kbh0yNlv/tGUH/W3oA9VqQ==" saltValue="46zIEIQp25bR924E6zAfuQ==" spinCount="100000" sqref="A87:A89" name="Intervalo1_5"/>
    <protectedRange algorithmName="SHA-512" hashValue="UJCRY2m1UNU92ofec5datWNwjh0qFQk9hl55N5tAzuQdZVm+C6R597QuPQtZVtY+kbh0yNlv/tGUH/W3oA9VqQ==" saltValue="46zIEIQp25bR924E6zAfuQ==" spinCount="100000" sqref="A90:A92" name="Intervalo1_6"/>
    <protectedRange algorithmName="SHA-512" hashValue="UJCRY2m1UNU92ofec5datWNwjh0qFQk9hl55N5tAzuQdZVm+C6R597QuPQtZVtY+kbh0yNlv/tGUH/W3oA9VqQ==" saltValue="46zIEIQp25bR924E6zAfuQ==" spinCount="100000" sqref="A93:A103" name="Intervalo1_7"/>
    <protectedRange algorithmName="SHA-512" hashValue="UJCRY2m1UNU92ofec5datWNwjh0qFQk9hl55N5tAzuQdZVm+C6R597QuPQtZVtY+kbh0yNlv/tGUH/W3oA9VqQ==" saltValue="46zIEIQp25bR924E6zAfuQ==" spinCount="100000" sqref="A104" name="Intervalo1_8"/>
    <protectedRange algorithmName="SHA-512" hashValue="UJCRY2m1UNU92ofec5datWNwjh0qFQk9hl55N5tAzuQdZVm+C6R597QuPQtZVtY+kbh0yNlv/tGUH/W3oA9VqQ==" saltValue="46zIEIQp25bR924E6zAfuQ==" spinCount="100000" sqref="A105:A109" name="Intervalo1_9"/>
    <protectedRange algorithmName="SHA-512" hashValue="UJCRY2m1UNU92ofec5datWNwjh0qFQk9hl55N5tAzuQdZVm+C6R597QuPQtZVtY+kbh0yNlv/tGUH/W3oA9VqQ==" saltValue="46zIEIQp25bR924E6zAfuQ==" spinCount="100000" sqref="F74" name="Intervalo1_3_1"/>
    <protectedRange algorithmName="SHA-512" hashValue="UJCRY2m1UNU92ofec5datWNwjh0qFQk9hl55N5tAzuQdZVm+C6R597QuPQtZVtY+kbh0yNlv/tGUH/W3oA9VqQ==" saltValue="46zIEIQp25bR924E6zAfuQ==" spinCount="100000" sqref="F75:F86" name="Intervalo1_4_1"/>
    <protectedRange algorithmName="SHA-512" hashValue="UJCRY2m1UNU92ofec5datWNwjh0qFQk9hl55N5tAzuQdZVm+C6R597QuPQtZVtY+kbh0yNlv/tGUH/W3oA9VqQ==" saltValue="46zIEIQp25bR924E6zAfuQ==" spinCount="100000" sqref="F87:F89" name="Intervalo1_5_1"/>
    <protectedRange algorithmName="SHA-512" hashValue="UJCRY2m1UNU92ofec5datWNwjh0qFQk9hl55N5tAzuQdZVm+C6R597QuPQtZVtY+kbh0yNlv/tGUH/W3oA9VqQ==" saltValue="46zIEIQp25bR924E6zAfuQ==" spinCount="100000" sqref="F90:F92" name="Intervalo1_6_1"/>
    <protectedRange algorithmName="SHA-512" hashValue="UJCRY2m1UNU92ofec5datWNwjh0qFQk9hl55N5tAzuQdZVm+C6R597QuPQtZVtY+kbh0yNlv/tGUH/W3oA9VqQ==" saltValue="46zIEIQp25bR924E6zAfuQ==" spinCount="100000" sqref="F93:F103" name="Intervalo1_7_1"/>
    <protectedRange algorithmName="SHA-512" hashValue="UJCRY2m1UNU92ofec5datWNwjh0qFQk9hl55N5tAzuQdZVm+C6R597QuPQtZVtY+kbh0yNlv/tGUH/W3oA9VqQ==" saltValue="46zIEIQp25bR924E6zAfuQ==" spinCount="100000" sqref="F104" name="Intervalo1_8_1"/>
    <protectedRange algorithmName="SHA-512" hashValue="UJCRY2m1UNU92ofec5datWNwjh0qFQk9hl55N5tAzuQdZVm+C6R597QuPQtZVtY+kbh0yNlv/tGUH/W3oA9VqQ==" saltValue="46zIEIQp25bR924E6zAfuQ==" spinCount="100000" sqref="F105:F109" name="Intervalo1_9_1"/>
    <protectedRange algorithmName="SHA-512" hashValue="UJCRY2m1UNU92ofec5datWNwjh0qFQk9hl55N5tAzuQdZVm+C6R597QuPQtZVtY+kbh0yNlv/tGUH/W3oA9VqQ==" saltValue="46zIEIQp25bR924E6zAfuQ==" spinCount="100000" sqref="H74" name="Intervalo1_3_2"/>
    <protectedRange algorithmName="SHA-512" hashValue="UJCRY2m1UNU92ofec5datWNwjh0qFQk9hl55N5tAzuQdZVm+C6R597QuPQtZVtY+kbh0yNlv/tGUH/W3oA9VqQ==" saltValue="46zIEIQp25bR924E6zAfuQ==" spinCount="100000" sqref="H75:H86" name="Intervalo1_4_2"/>
    <protectedRange algorithmName="SHA-512" hashValue="UJCRY2m1UNU92ofec5datWNwjh0qFQk9hl55N5tAzuQdZVm+C6R597QuPQtZVtY+kbh0yNlv/tGUH/W3oA9VqQ==" saltValue="46zIEIQp25bR924E6zAfuQ==" spinCount="100000" sqref="H87:H89" name="Intervalo1_5_2"/>
    <protectedRange algorithmName="SHA-512" hashValue="UJCRY2m1UNU92ofec5datWNwjh0qFQk9hl55N5tAzuQdZVm+C6R597QuPQtZVtY+kbh0yNlv/tGUH/W3oA9VqQ==" saltValue="46zIEIQp25bR924E6zAfuQ==" spinCount="100000" sqref="H90:H92" name="Intervalo1_6_2"/>
    <protectedRange algorithmName="SHA-512" hashValue="UJCRY2m1UNU92ofec5datWNwjh0qFQk9hl55N5tAzuQdZVm+C6R597QuPQtZVtY+kbh0yNlv/tGUH/W3oA9VqQ==" saltValue="46zIEIQp25bR924E6zAfuQ==" spinCount="100000" sqref="H93:H103" name="Intervalo1_7_2"/>
    <protectedRange algorithmName="SHA-512" hashValue="UJCRY2m1UNU92ofec5datWNwjh0qFQk9hl55N5tAzuQdZVm+C6R597QuPQtZVtY+kbh0yNlv/tGUH/W3oA9VqQ==" saltValue="46zIEIQp25bR924E6zAfuQ==" spinCount="100000" sqref="H104" name="Intervalo1_8_2"/>
    <protectedRange algorithmName="SHA-512" hashValue="UJCRY2m1UNU92ofec5datWNwjh0qFQk9hl55N5tAzuQdZVm+C6R597QuPQtZVtY+kbh0yNlv/tGUH/W3oA9VqQ==" saltValue="46zIEIQp25bR924E6zAfuQ==" spinCount="100000" sqref="H105:H109" name="Intervalo1_9_2"/>
    <protectedRange algorithmName="SHA-512" hashValue="UJCRY2m1UNU92ofec5datWNwjh0qFQk9hl55N5tAzuQdZVm+C6R597QuPQtZVtY+kbh0yNlv/tGUH/W3oA9VqQ==" saltValue="46zIEIQp25bR924E6zAfuQ==" spinCount="100000" sqref="C74" name="Intervalo1_3_3"/>
    <protectedRange algorithmName="SHA-512" hashValue="UJCRY2m1UNU92ofec5datWNwjh0qFQk9hl55N5tAzuQdZVm+C6R597QuPQtZVtY+kbh0yNlv/tGUH/W3oA9VqQ==" saltValue="46zIEIQp25bR924E6zAfuQ==" spinCount="100000" sqref="C75:C86" name="Intervalo1_4_3"/>
    <protectedRange algorithmName="SHA-512" hashValue="UJCRY2m1UNU92ofec5datWNwjh0qFQk9hl55N5tAzuQdZVm+C6R597QuPQtZVtY+kbh0yNlv/tGUH/W3oA9VqQ==" saltValue="46zIEIQp25bR924E6zAfuQ==" spinCount="100000" sqref="C87:C89" name="Intervalo1_5_3"/>
    <protectedRange algorithmName="SHA-512" hashValue="UJCRY2m1UNU92ofec5datWNwjh0qFQk9hl55N5tAzuQdZVm+C6R597QuPQtZVtY+kbh0yNlv/tGUH/W3oA9VqQ==" saltValue="46zIEIQp25bR924E6zAfuQ==" spinCount="100000" sqref="C90:C92" name="Intervalo1_6_3"/>
    <protectedRange algorithmName="SHA-512" hashValue="UJCRY2m1UNU92ofec5datWNwjh0qFQk9hl55N5tAzuQdZVm+C6R597QuPQtZVtY+kbh0yNlv/tGUH/W3oA9VqQ==" saltValue="46zIEIQp25bR924E6zAfuQ==" spinCount="100000" sqref="C93:C103" name="Intervalo1_7_3"/>
    <protectedRange algorithmName="SHA-512" hashValue="UJCRY2m1UNU92ofec5datWNwjh0qFQk9hl55N5tAzuQdZVm+C6R597QuPQtZVtY+kbh0yNlv/tGUH/W3oA9VqQ==" saltValue="46zIEIQp25bR924E6zAfuQ==" spinCount="100000" sqref="C104" name="Intervalo1_8_3"/>
    <protectedRange algorithmName="SHA-512" hashValue="UJCRY2m1UNU92ofec5datWNwjh0qFQk9hl55N5tAzuQdZVm+C6R597QuPQtZVtY+kbh0yNlv/tGUH/W3oA9VqQ==" saltValue="46zIEIQp25bR924E6zAfuQ==" spinCount="100000" sqref="C105:C109" name="Intervalo1_9_3"/>
  </protectedRanges>
  <autoFilter ref="A1:Q109" xr:uid="{00000000-0001-0000-0000-000000000000}">
    <filterColumn colId="13">
      <filters>
        <filter val="SIM"/>
      </filters>
    </filterColumn>
  </autoFilter>
  <dataValidations count="1">
    <dataValidation type="list" allowBlank="1" showInputMessage="1" showErrorMessage="1" sqref="L74:N109 J2:N73" xr:uid="{00000000-0002-0000-0000-00000000000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zoomScale="80" zoomScaleNormal="80" workbookViewId="0">
      <pane ySplit="1" topLeftCell="A2" activePane="bottomLeft" state="frozen"/>
      <selection pane="bottomLeft" activeCell="B2" sqref="B2:B37"/>
    </sheetView>
  </sheetViews>
  <sheetFormatPr baseColWidth="10" defaultColWidth="8.83203125" defaultRowHeight="15" x14ac:dyDescent="0.2"/>
  <cols>
    <col min="1" max="1" width="10.33203125" customWidth="1"/>
    <col min="2" max="2" width="44.83203125" customWidth="1"/>
    <col min="3" max="3" width="18.5" bestFit="1" customWidth="1"/>
    <col min="4" max="4" width="9.5" customWidth="1"/>
    <col min="5" max="8" width="17.1640625" customWidth="1"/>
    <col min="9" max="9" width="22.1640625" bestFit="1" customWidth="1"/>
  </cols>
  <sheetData>
    <row r="1" spans="1:9" ht="34" x14ac:dyDescent="0.2">
      <c r="A1" s="2" t="s">
        <v>287</v>
      </c>
      <c r="B1" s="2" t="s">
        <v>288</v>
      </c>
      <c r="C1" s="2" t="s">
        <v>289</v>
      </c>
      <c r="D1" s="2" t="s">
        <v>290</v>
      </c>
      <c r="E1" s="3" t="s">
        <v>284</v>
      </c>
      <c r="F1" s="3" t="s">
        <v>285</v>
      </c>
      <c r="G1" s="8" t="s">
        <v>368</v>
      </c>
      <c r="H1" s="3" t="s">
        <v>286</v>
      </c>
      <c r="I1" s="3" t="s">
        <v>360</v>
      </c>
    </row>
    <row r="2" spans="1:9" x14ac:dyDescent="0.2">
      <c r="A2" s="4" t="s">
        <v>292</v>
      </c>
      <c r="B2" s="4" t="s">
        <v>293</v>
      </c>
      <c r="C2" s="4" t="s">
        <v>294</v>
      </c>
      <c r="D2" s="4" t="s">
        <v>72</v>
      </c>
      <c r="E2" s="1"/>
      <c r="F2" s="1"/>
      <c r="G2" s="1"/>
      <c r="H2" s="1" t="s">
        <v>359</v>
      </c>
      <c r="I2" s="1"/>
    </row>
    <row r="3" spans="1:9" x14ac:dyDescent="0.2">
      <c r="A3" s="4" t="s">
        <v>292</v>
      </c>
      <c r="B3" s="4" t="s">
        <v>297</v>
      </c>
      <c r="C3" s="4" t="s">
        <v>298</v>
      </c>
      <c r="D3" s="4" t="s">
        <v>73</v>
      </c>
      <c r="E3" s="1"/>
      <c r="F3" s="1"/>
      <c r="G3" s="1" t="s">
        <v>359</v>
      </c>
      <c r="H3" s="1"/>
      <c r="I3" s="1"/>
    </row>
    <row r="4" spans="1:9" x14ac:dyDescent="0.2">
      <c r="A4" s="4" t="s">
        <v>292</v>
      </c>
      <c r="B4" s="4" t="s">
        <v>299</v>
      </c>
      <c r="C4" s="4" t="s">
        <v>300</v>
      </c>
      <c r="D4" s="4" t="s">
        <v>73</v>
      </c>
      <c r="E4" s="1"/>
      <c r="F4" s="1"/>
      <c r="G4" s="1" t="s">
        <v>359</v>
      </c>
      <c r="H4" s="1"/>
      <c r="I4" s="1"/>
    </row>
    <row r="5" spans="1:9" x14ac:dyDescent="0.2">
      <c r="A5" s="4" t="s">
        <v>292</v>
      </c>
      <c r="B5" s="4" t="s">
        <v>301</v>
      </c>
      <c r="C5" s="4" t="s">
        <v>300</v>
      </c>
      <c r="D5" s="4" t="s">
        <v>73</v>
      </c>
      <c r="E5" s="1"/>
      <c r="F5" s="1"/>
      <c r="G5" s="1" t="s">
        <v>359</v>
      </c>
      <c r="H5" s="1"/>
      <c r="I5" s="1"/>
    </row>
    <row r="6" spans="1:9" x14ac:dyDescent="0.2">
      <c r="A6" s="4" t="s">
        <v>292</v>
      </c>
      <c r="B6" s="4" t="s">
        <v>302</v>
      </c>
      <c r="C6" s="4" t="s">
        <v>300</v>
      </c>
      <c r="D6" s="4" t="s">
        <v>73</v>
      </c>
      <c r="E6" s="1"/>
      <c r="F6" s="1"/>
      <c r="G6" s="1" t="s">
        <v>359</v>
      </c>
      <c r="H6" s="1"/>
      <c r="I6" s="1"/>
    </row>
    <row r="7" spans="1:9" x14ac:dyDescent="0.2">
      <c r="A7" s="4" t="s">
        <v>292</v>
      </c>
      <c r="B7" s="4" t="s">
        <v>303</v>
      </c>
      <c r="C7" s="4" t="s">
        <v>304</v>
      </c>
      <c r="D7" s="4" t="s">
        <v>73</v>
      </c>
      <c r="E7" s="1"/>
      <c r="F7" s="1"/>
      <c r="G7" s="1" t="s">
        <v>359</v>
      </c>
      <c r="H7" s="1"/>
      <c r="I7" s="1"/>
    </row>
    <row r="8" spans="1:9" x14ac:dyDescent="0.2">
      <c r="A8" s="4" t="s">
        <v>292</v>
      </c>
      <c r="B8" s="4" t="s">
        <v>305</v>
      </c>
      <c r="C8" s="4" t="s">
        <v>306</v>
      </c>
      <c r="D8" s="4" t="s">
        <v>73</v>
      </c>
      <c r="E8" s="1"/>
      <c r="F8" s="1"/>
      <c r="G8" s="1" t="s">
        <v>359</v>
      </c>
      <c r="H8" s="1"/>
      <c r="I8" s="1"/>
    </row>
    <row r="9" spans="1:9" x14ac:dyDescent="0.2">
      <c r="A9" s="4" t="s">
        <v>292</v>
      </c>
      <c r="B9" s="4" t="s">
        <v>307</v>
      </c>
      <c r="C9" s="4" t="s">
        <v>308</v>
      </c>
      <c r="D9" s="4" t="s">
        <v>73</v>
      </c>
      <c r="E9" s="1"/>
      <c r="F9" s="1"/>
      <c r="G9" s="1" t="s">
        <v>359</v>
      </c>
      <c r="H9" s="1"/>
      <c r="I9" s="1"/>
    </row>
    <row r="10" spans="1:9" x14ac:dyDescent="0.2">
      <c r="A10" s="4" t="s">
        <v>292</v>
      </c>
      <c r="B10" s="4" t="s">
        <v>309</v>
      </c>
      <c r="C10" s="4" t="s">
        <v>310</v>
      </c>
      <c r="D10" s="4" t="s">
        <v>73</v>
      </c>
      <c r="E10" s="1"/>
      <c r="F10" s="1"/>
      <c r="G10" s="1"/>
      <c r="H10" s="1" t="s">
        <v>359</v>
      </c>
      <c r="I10" s="1"/>
    </row>
    <row r="11" spans="1:9" x14ac:dyDescent="0.2">
      <c r="A11" s="4" t="s">
        <v>292</v>
      </c>
      <c r="B11" s="4" t="s">
        <v>311</v>
      </c>
      <c r="C11" s="4" t="s">
        <v>312</v>
      </c>
      <c r="D11" s="4" t="s">
        <v>73</v>
      </c>
      <c r="E11" s="1"/>
      <c r="F11" s="1"/>
      <c r="G11" s="1" t="s">
        <v>359</v>
      </c>
      <c r="H11" s="1"/>
      <c r="I11" s="1"/>
    </row>
    <row r="12" spans="1:9" x14ac:dyDescent="0.2">
      <c r="A12" s="4" t="s">
        <v>292</v>
      </c>
      <c r="B12" s="4" t="s">
        <v>313</v>
      </c>
      <c r="C12" s="4" t="s">
        <v>314</v>
      </c>
      <c r="D12" s="4" t="s">
        <v>73</v>
      </c>
      <c r="E12" s="1"/>
      <c r="F12" s="1"/>
      <c r="G12" s="1" t="s">
        <v>359</v>
      </c>
      <c r="H12" s="1"/>
      <c r="I12" s="1"/>
    </row>
    <row r="13" spans="1:9" x14ac:dyDescent="0.2">
      <c r="A13" s="4" t="s">
        <v>292</v>
      </c>
      <c r="B13" s="4" t="s">
        <v>315</v>
      </c>
      <c r="C13" s="4" t="s">
        <v>316</v>
      </c>
      <c r="D13" s="4" t="s">
        <v>73</v>
      </c>
      <c r="E13" s="1"/>
      <c r="F13" s="1"/>
      <c r="G13" s="1" t="s">
        <v>359</v>
      </c>
      <c r="H13" s="1"/>
      <c r="I13" s="1"/>
    </row>
    <row r="14" spans="1:9" x14ac:dyDescent="0.2">
      <c r="A14" s="4" t="s">
        <v>292</v>
      </c>
      <c r="B14" s="4" t="s">
        <v>295</v>
      </c>
      <c r="C14" s="4" t="s">
        <v>296</v>
      </c>
      <c r="D14" s="4" t="s">
        <v>73</v>
      </c>
      <c r="E14" s="1"/>
      <c r="F14" s="1"/>
      <c r="G14" s="1"/>
      <c r="H14" s="1" t="s">
        <v>359</v>
      </c>
      <c r="I14" s="1"/>
    </row>
    <row r="15" spans="1:9" x14ac:dyDescent="0.2">
      <c r="A15" s="4" t="s">
        <v>292</v>
      </c>
      <c r="B15" s="4" t="s">
        <v>317</v>
      </c>
      <c r="C15" s="4" t="s">
        <v>318</v>
      </c>
      <c r="D15" s="4" t="s">
        <v>74</v>
      </c>
      <c r="E15" s="1"/>
      <c r="F15" s="1"/>
      <c r="G15" s="1" t="s">
        <v>359</v>
      </c>
      <c r="H15" s="1"/>
      <c r="I15" s="1"/>
    </row>
    <row r="16" spans="1:9" x14ac:dyDescent="0.2">
      <c r="A16" s="4" t="s">
        <v>292</v>
      </c>
      <c r="B16" s="4" t="s">
        <v>319</v>
      </c>
      <c r="C16" s="4" t="s">
        <v>320</v>
      </c>
      <c r="D16" s="4" t="s">
        <v>74</v>
      </c>
      <c r="E16" s="1"/>
      <c r="F16" s="1"/>
      <c r="G16" s="1" t="s">
        <v>359</v>
      </c>
      <c r="H16" s="1"/>
      <c r="I16" s="1"/>
    </row>
    <row r="17" spans="1:9" x14ac:dyDescent="0.2">
      <c r="A17" s="4" t="s">
        <v>292</v>
      </c>
      <c r="B17" s="4" t="s">
        <v>321</v>
      </c>
      <c r="C17" s="4" t="s">
        <v>322</v>
      </c>
      <c r="D17" s="4" t="s">
        <v>74</v>
      </c>
      <c r="E17" s="1"/>
      <c r="F17" s="1"/>
      <c r="G17" s="1" t="s">
        <v>359</v>
      </c>
      <c r="H17" s="1"/>
      <c r="I17" s="1"/>
    </row>
    <row r="18" spans="1:9" x14ac:dyDescent="0.2">
      <c r="A18" s="4" t="s">
        <v>292</v>
      </c>
      <c r="B18" s="4" t="s">
        <v>323</v>
      </c>
      <c r="C18" s="4" t="s">
        <v>323</v>
      </c>
      <c r="D18" s="4" t="s">
        <v>74</v>
      </c>
      <c r="E18" s="1"/>
      <c r="F18" s="1"/>
      <c r="G18" s="1" t="s">
        <v>359</v>
      </c>
      <c r="H18" s="1"/>
      <c r="I18" s="1"/>
    </row>
    <row r="19" spans="1:9" x14ac:dyDescent="0.2">
      <c r="A19" s="4" t="s">
        <v>292</v>
      </c>
      <c r="B19" s="4" t="s">
        <v>324</v>
      </c>
      <c r="C19" s="4" t="s">
        <v>322</v>
      </c>
      <c r="D19" s="4" t="s">
        <v>74</v>
      </c>
      <c r="E19" s="1"/>
      <c r="F19" s="1"/>
      <c r="G19" s="1" t="s">
        <v>359</v>
      </c>
      <c r="H19" s="1"/>
      <c r="I19" s="1"/>
    </row>
    <row r="20" spans="1:9" x14ac:dyDescent="0.2">
      <c r="A20" s="4" t="s">
        <v>292</v>
      </c>
      <c r="B20" s="4" t="s">
        <v>325</v>
      </c>
      <c r="C20" s="4" t="s">
        <v>322</v>
      </c>
      <c r="D20" s="4" t="s">
        <v>74</v>
      </c>
      <c r="E20" s="1"/>
      <c r="F20" s="1"/>
      <c r="G20" s="1" t="s">
        <v>359</v>
      </c>
      <c r="H20" s="1"/>
      <c r="I20" s="1"/>
    </row>
    <row r="21" spans="1:9" x14ac:dyDescent="0.2">
      <c r="A21" s="4" t="s">
        <v>292</v>
      </c>
      <c r="B21" s="4" t="s">
        <v>326</v>
      </c>
      <c r="C21" s="4" t="s">
        <v>327</v>
      </c>
      <c r="D21" s="4" t="s">
        <v>158</v>
      </c>
      <c r="E21" s="1"/>
      <c r="F21" s="1"/>
      <c r="G21" s="1" t="s">
        <v>359</v>
      </c>
      <c r="H21" s="1"/>
      <c r="I21" s="1"/>
    </row>
    <row r="22" spans="1:9" x14ac:dyDescent="0.2">
      <c r="A22" s="4" t="s">
        <v>292</v>
      </c>
      <c r="B22" s="4" t="s">
        <v>328</v>
      </c>
      <c r="C22" s="4" t="s">
        <v>329</v>
      </c>
      <c r="D22" s="4" t="s">
        <v>158</v>
      </c>
      <c r="E22" s="1"/>
      <c r="F22" s="1"/>
      <c r="G22" s="1" t="s">
        <v>359</v>
      </c>
      <c r="H22" s="1"/>
      <c r="I22" s="1"/>
    </row>
    <row r="23" spans="1:9" x14ac:dyDescent="0.2">
      <c r="A23" s="4" t="s">
        <v>292</v>
      </c>
      <c r="B23" s="4" t="s">
        <v>330</v>
      </c>
      <c r="C23" s="4" t="s">
        <v>331</v>
      </c>
      <c r="D23" s="4" t="s">
        <v>158</v>
      </c>
      <c r="E23" s="1"/>
      <c r="F23" s="1"/>
      <c r="G23" s="1" t="s">
        <v>359</v>
      </c>
      <c r="H23" s="1"/>
      <c r="I23" s="1"/>
    </row>
    <row r="24" spans="1:9" x14ac:dyDescent="0.2">
      <c r="A24" s="4" t="s">
        <v>292</v>
      </c>
      <c r="B24" s="4" t="s">
        <v>332</v>
      </c>
      <c r="C24" s="4" t="s">
        <v>333</v>
      </c>
      <c r="D24" s="4" t="s">
        <v>158</v>
      </c>
      <c r="E24" s="1"/>
      <c r="F24" s="1"/>
      <c r="G24" s="1" t="s">
        <v>359</v>
      </c>
      <c r="H24" s="1"/>
      <c r="I24" s="1"/>
    </row>
    <row r="25" spans="1:9" x14ac:dyDescent="0.2">
      <c r="A25" s="4" t="s">
        <v>292</v>
      </c>
      <c r="B25" s="4" t="s">
        <v>334</v>
      </c>
      <c r="C25" s="4" t="s">
        <v>335</v>
      </c>
      <c r="D25" s="4" t="s">
        <v>158</v>
      </c>
      <c r="E25" s="1"/>
      <c r="F25" s="1"/>
      <c r="G25" s="1" t="s">
        <v>359</v>
      </c>
      <c r="H25" s="1"/>
      <c r="I25" s="1"/>
    </row>
    <row r="26" spans="1:9" x14ac:dyDescent="0.2">
      <c r="A26" s="4" t="s">
        <v>292</v>
      </c>
      <c r="B26" s="4" t="s">
        <v>336</v>
      </c>
      <c r="C26" s="4" t="s">
        <v>335</v>
      </c>
      <c r="D26" s="4" t="s">
        <v>158</v>
      </c>
      <c r="E26" s="1"/>
      <c r="F26" s="1"/>
      <c r="G26" s="1" t="s">
        <v>359</v>
      </c>
      <c r="H26" s="1"/>
      <c r="I26" s="1"/>
    </row>
    <row r="27" spans="1:9" x14ac:dyDescent="0.2">
      <c r="A27" s="4" t="s">
        <v>292</v>
      </c>
      <c r="B27" s="4" t="s">
        <v>337</v>
      </c>
      <c r="C27" s="4" t="s">
        <v>338</v>
      </c>
      <c r="D27" s="4" t="s">
        <v>158</v>
      </c>
      <c r="E27" s="1"/>
      <c r="F27" s="1"/>
      <c r="G27" s="1" t="s">
        <v>359</v>
      </c>
      <c r="H27" s="1"/>
      <c r="I27" s="1"/>
    </row>
    <row r="28" spans="1:9" x14ac:dyDescent="0.2">
      <c r="A28" s="4" t="s">
        <v>292</v>
      </c>
      <c r="B28" s="4" t="s">
        <v>341</v>
      </c>
      <c r="C28" s="4" t="s">
        <v>342</v>
      </c>
      <c r="D28" s="4" t="s">
        <v>158</v>
      </c>
      <c r="E28" s="1"/>
      <c r="F28" s="1"/>
      <c r="G28" s="1" t="s">
        <v>359</v>
      </c>
      <c r="H28" s="1"/>
      <c r="I28" s="1"/>
    </row>
    <row r="29" spans="1:9" x14ac:dyDescent="0.2">
      <c r="A29" s="4" t="s">
        <v>292</v>
      </c>
      <c r="B29" s="4" t="s">
        <v>343</v>
      </c>
      <c r="C29" s="4" t="s">
        <v>344</v>
      </c>
      <c r="D29" s="4" t="s">
        <v>158</v>
      </c>
      <c r="E29" s="1"/>
      <c r="F29" s="1"/>
      <c r="G29" s="1" t="s">
        <v>359</v>
      </c>
      <c r="H29" s="1"/>
      <c r="I29" s="1"/>
    </row>
    <row r="30" spans="1:9" x14ac:dyDescent="0.2">
      <c r="A30" s="4" t="s">
        <v>292</v>
      </c>
      <c r="B30" s="4" t="s">
        <v>345</v>
      </c>
      <c r="C30" s="4" t="s">
        <v>346</v>
      </c>
      <c r="D30" s="4" t="s">
        <v>158</v>
      </c>
      <c r="E30" s="1"/>
      <c r="F30" s="1"/>
      <c r="G30" s="1" t="s">
        <v>359</v>
      </c>
      <c r="H30" s="1"/>
      <c r="I30" s="1"/>
    </row>
    <row r="31" spans="1:9" x14ac:dyDescent="0.2">
      <c r="A31" s="4" t="s">
        <v>292</v>
      </c>
      <c r="B31" s="4" t="s">
        <v>347</v>
      </c>
      <c r="C31" s="4" t="s">
        <v>348</v>
      </c>
      <c r="D31" s="4" t="s">
        <v>158</v>
      </c>
      <c r="E31" s="1"/>
      <c r="F31" s="1"/>
      <c r="G31" s="1" t="s">
        <v>359</v>
      </c>
      <c r="H31" s="1"/>
      <c r="I31" s="1"/>
    </row>
    <row r="32" spans="1:9" x14ac:dyDescent="0.2">
      <c r="A32" s="4" t="s">
        <v>292</v>
      </c>
      <c r="B32" s="4" t="s">
        <v>339</v>
      </c>
      <c r="C32" s="4" t="s">
        <v>340</v>
      </c>
      <c r="D32" s="4" t="s">
        <v>158</v>
      </c>
      <c r="E32" s="1"/>
      <c r="F32" s="1"/>
      <c r="G32" s="1"/>
      <c r="H32" s="1" t="s">
        <v>359</v>
      </c>
      <c r="I32" s="1"/>
    </row>
    <row r="33" spans="1:9" x14ac:dyDescent="0.2">
      <c r="A33" s="4" t="s">
        <v>292</v>
      </c>
      <c r="B33" s="4" t="s">
        <v>349</v>
      </c>
      <c r="C33" s="4" t="s">
        <v>350</v>
      </c>
      <c r="D33" s="4" t="s">
        <v>159</v>
      </c>
      <c r="E33" s="1"/>
      <c r="F33" s="1"/>
      <c r="G33" s="1" t="s">
        <v>359</v>
      </c>
      <c r="H33" s="1"/>
      <c r="I33" s="1"/>
    </row>
    <row r="34" spans="1:9" x14ac:dyDescent="0.2">
      <c r="A34" s="4" t="s">
        <v>292</v>
      </c>
      <c r="B34" s="4" t="s">
        <v>351</v>
      </c>
      <c r="C34" s="4" t="s">
        <v>352</v>
      </c>
      <c r="D34" s="4" t="s">
        <v>159</v>
      </c>
      <c r="E34" s="1"/>
      <c r="F34" s="1"/>
      <c r="G34" s="1" t="s">
        <v>359</v>
      </c>
      <c r="H34" s="1"/>
      <c r="I34" s="1"/>
    </row>
    <row r="35" spans="1:9" x14ac:dyDescent="0.2">
      <c r="A35" s="4" t="s">
        <v>292</v>
      </c>
      <c r="B35" s="4" t="s">
        <v>353</v>
      </c>
      <c r="C35" s="4" t="s">
        <v>354</v>
      </c>
      <c r="D35" s="4" t="s">
        <v>159</v>
      </c>
      <c r="E35" s="1"/>
      <c r="F35" s="1"/>
      <c r="G35" s="1" t="s">
        <v>359</v>
      </c>
      <c r="H35" s="1"/>
      <c r="I35" s="1"/>
    </row>
    <row r="36" spans="1:9" x14ac:dyDescent="0.2">
      <c r="A36" s="4" t="s">
        <v>292</v>
      </c>
      <c r="B36" s="4" t="s">
        <v>355</v>
      </c>
      <c r="C36" s="4" t="s">
        <v>356</v>
      </c>
      <c r="D36" s="4" t="s">
        <v>159</v>
      </c>
      <c r="E36" s="1"/>
      <c r="F36" s="1"/>
      <c r="G36" s="1" t="s">
        <v>359</v>
      </c>
      <c r="H36" s="1"/>
      <c r="I36" s="1"/>
    </row>
    <row r="37" spans="1:9" x14ac:dyDescent="0.2">
      <c r="A37" s="4" t="s">
        <v>292</v>
      </c>
      <c r="B37" s="4" t="s">
        <v>357</v>
      </c>
      <c r="C37" s="4" t="s">
        <v>358</v>
      </c>
      <c r="D37" s="4" t="s">
        <v>159</v>
      </c>
      <c r="E37" s="1"/>
      <c r="F37" s="1"/>
      <c r="G37" s="1" t="s">
        <v>359</v>
      </c>
      <c r="H37" s="1"/>
      <c r="I37" s="1"/>
    </row>
  </sheetData>
  <protectedRanges>
    <protectedRange algorithmName="SHA-512" hashValue="UJCRY2m1UNU92ofec5datWNwjh0qFQk9hl55N5tAzuQdZVm+C6R597QuPQtZVtY+kbh0yNlv/tGUH/W3oA9VqQ==" saltValue="46zIEIQp25bR924E6zAfuQ==" spinCount="100000" sqref="A1:D1" name="Intervalo1"/>
    <protectedRange algorithmName="SHA-512" hashValue="UJCRY2m1UNU92ofec5datWNwjh0qFQk9hl55N5tAzuQdZVm+C6R597QuPQtZVtY+kbh0yNlv/tGUH/W3oA9VqQ==" saltValue="46zIEIQp25bR924E6zAfuQ==" spinCount="100000" sqref="A2:D2" name="Intervalo1_3"/>
    <protectedRange algorithmName="SHA-512" hashValue="UJCRY2m1UNU92ofec5datWNwjh0qFQk9hl55N5tAzuQdZVm+C6R597QuPQtZVtY+kbh0yNlv/tGUH/W3oA9VqQ==" saltValue="46zIEIQp25bR924E6zAfuQ==" spinCount="100000" sqref="A3:D14" name="Intervalo1_4"/>
    <protectedRange algorithmName="SHA-512" hashValue="UJCRY2m1UNU92ofec5datWNwjh0qFQk9hl55N5tAzuQdZVm+C6R597QuPQtZVtY+kbh0yNlv/tGUH/W3oA9VqQ==" saltValue="46zIEIQp25bR924E6zAfuQ==" spinCount="100000" sqref="A15:D17" name="Intervalo1_5"/>
    <protectedRange algorithmName="SHA-512" hashValue="UJCRY2m1UNU92ofec5datWNwjh0qFQk9hl55N5tAzuQdZVm+C6R597QuPQtZVtY+kbh0yNlv/tGUH/W3oA9VqQ==" saltValue="46zIEIQp25bR924E6zAfuQ==" spinCount="100000" sqref="A18:D20" name="Intervalo1_6"/>
    <protectedRange algorithmName="SHA-512" hashValue="UJCRY2m1UNU92ofec5datWNwjh0qFQk9hl55N5tAzuQdZVm+C6R597QuPQtZVtY+kbh0yNlv/tGUH/W3oA9VqQ==" saltValue="46zIEIQp25bR924E6zAfuQ==" spinCount="100000" sqref="A21:D31" name="Intervalo1_7"/>
    <protectedRange algorithmName="SHA-512" hashValue="UJCRY2m1UNU92ofec5datWNwjh0qFQk9hl55N5tAzuQdZVm+C6R597QuPQtZVtY+kbh0yNlv/tGUH/W3oA9VqQ==" saltValue="46zIEIQp25bR924E6zAfuQ==" spinCount="100000" sqref="A32:D32" name="Intervalo1_8"/>
    <protectedRange algorithmName="SHA-512" hashValue="UJCRY2m1UNU92ofec5datWNwjh0qFQk9hl55N5tAzuQdZVm+C6R597QuPQtZVtY+kbh0yNlv/tGUH/W3oA9VqQ==" saltValue="46zIEIQp25bR924E6zAfuQ==" spinCount="100000" sqref="A33:D37" name="Intervalo1_9"/>
  </protectedRanges>
  <autoFilter ref="A1:I37" xr:uid="{00000000-0009-0000-0000-000001000000}"/>
  <dataValidations count="1">
    <dataValidation type="list" allowBlank="1" showInputMessage="1" showErrorMessage="1" sqref="E2:H37" xr:uid="{00000000-0002-0000-0100-000000000000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CNPJS</vt:lpstr>
      <vt:lpstr>SEM CNPJ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Renato Pinheiro Da Silva</dc:creator>
  <cp:lastModifiedBy>Alessandro Barbosa</cp:lastModifiedBy>
  <dcterms:created xsi:type="dcterms:W3CDTF">2023-10-04T20:40:26Z</dcterms:created>
  <dcterms:modified xsi:type="dcterms:W3CDTF">2025-02-10T17:22:58Z</dcterms:modified>
</cp:coreProperties>
</file>