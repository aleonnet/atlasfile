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ts.accenture.com/sites/Oi-ProgramaTwist/Shared Documents/General/02 Sistemas/BallPark/"/>
    </mc:Choice>
  </mc:AlternateContent>
  <xr:revisionPtr revIDLastSave="260" documentId="8_{77F01FD2-8BCE-4CC5-8B77-24BF2833E5EC}" xr6:coauthVersionLast="47" xr6:coauthVersionMax="47" xr10:uidLastSave="{DD304779-2FD5-4D61-9649-1FD31340ECA6}"/>
  <bookViews>
    <workbookView xWindow="-110" yWindow="-110" windowWidth="19420" windowHeight="10300" xr2:uid="{88A973BB-E4F8-43EF-91D6-42C767D94D05}"/>
  </bookViews>
  <sheets>
    <sheet name="Visão geral_OI" sheetId="2" r:id="rId1"/>
    <sheet name="Visão geral_VTAL" sheetId="1" state="hidden" r:id="rId2"/>
    <sheet name="DetalhamentoACN" sheetId="4" r:id="rId3"/>
    <sheet name="Maneira" sheetId="8" r:id="rId4"/>
    <sheet name="BMA" sheetId="9" r:id="rId5"/>
    <sheet name="DetalhamentoCap" sheetId="5" r:id="rId6"/>
    <sheet name="DetalhamentoIBM" sheetId="6" r:id="rId7"/>
    <sheet name="DetalhamentoTIOutrosForn" sheetId="7" r:id="rId8"/>
    <sheet name="Detalhamento ABR e Cleartech" sheetId="11" r:id="rId9"/>
    <sheet name="DetalhamentoEngenharia" sheetId="12" r:id="rId10"/>
  </sheets>
  <definedNames>
    <definedName name="_xlnm._FilterDatabase" localSheetId="8" hidden="1">'Detalhamento ABR e Cleartech'!$A$1:$F$1</definedName>
    <definedName name="_xlnm._FilterDatabase" localSheetId="2" hidden="1">DetalhamentoACN!$A$1:$F$35</definedName>
    <definedName name="_xlnm._FilterDatabase" localSheetId="5" hidden="1">DetalhamentoCap!$A$1:$E$9</definedName>
    <definedName name="_xlnm._FilterDatabase" localSheetId="9" hidden="1">DetalhamentoEngenharia!$A$1:$E$2</definedName>
    <definedName name="_xlnm._FilterDatabase" localSheetId="6" hidden="1">DetalhamentoIBM!$A$1:$E$21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2" l="1"/>
  <c r="D10" i="2" s="1"/>
  <c r="D20" i="2"/>
  <c r="D15" i="2"/>
  <c r="E11" i="2"/>
  <c r="F11" i="2"/>
  <c r="D11" i="2"/>
  <c r="E10" i="2"/>
  <c r="F10" i="2"/>
  <c r="D16" i="2"/>
  <c r="F15" i="8"/>
  <c r="D12" i="2"/>
  <c r="D13" i="2"/>
  <c r="D14" i="2"/>
  <c r="C10" i="2"/>
  <c r="D21" i="2"/>
  <c r="G20" i="2"/>
  <c r="G21" i="2"/>
  <c r="F47" i="2"/>
  <c r="F48" i="2"/>
  <c r="F8" i="2"/>
  <c r="H18" i="7"/>
  <c r="E20" i="7"/>
  <c r="D20" i="7"/>
  <c r="E17" i="7"/>
  <c r="B21" i="6"/>
  <c r="B7" i="5"/>
  <c r="B9" i="5" s="1"/>
  <c r="E34" i="4"/>
  <c r="C34" i="4"/>
  <c r="C33" i="4"/>
  <c r="F46" i="2"/>
  <c r="D38" i="2"/>
  <c r="D37" i="2"/>
  <c r="E3" i="1"/>
  <c r="E19" i="1"/>
  <c r="D19" i="1"/>
  <c r="E7" i="2"/>
  <c r="F7" i="2" s="1"/>
  <c r="E6" i="2"/>
  <c r="E5" i="2" s="1"/>
  <c r="E9" i="2"/>
  <c r="F9" i="2" s="1"/>
  <c r="F44" i="2"/>
  <c r="E21" i="2"/>
  <c r="E20" i="2" s="1"/>
  <c r="F22" i="2"/>
  <c r="F25" i="2"/>
  <c r="F26" i="2"/>
  <c r="F27" i="2"/>
  <c r="F28" i="2"/>
  <c r="F29" i="2"/>
  <c r="F30" i="2"/>
  <c r="F31" i="2"/>
  <c r="F32" i="2"/>
  <c r="F33" i="2"/>
  <c r="F34" i="2"/>
  <c r="F35" i="2"/>
  <c r="F36" i="2"/>
  <c r="F24" i="2"/>
  <c r="F23" i="2"/>
  <c r="F21" i="2" l="1"/>
  <c r="F20" i="2" s="1"/>
  <c r="E4" i="2"/>
  <c r="F6" i="2"/>
  <c r="F5" i="2" s="1"/>
  <c r="F4" i="2" l="1"/>
  <c r="G43" i="2" l="1"/>
  <c r="D43" i="2"/>
  <c r="C43" i="2"/>
  <c r="C20" i="2"/>
  <c r="G16" i="2"/>
  <c r="G10" i="2" s="1"/>
  <c r="G11" i="2"/>
  <c r="G5" i="2"/>
  <c r="D5" i="2"/>
  <c r="C5" i="2"/>
  <c r="D40" i="1"/>
  <c r="E40" i="1"/>
  <c r="C40" i="1"/>
  <c r="G4" i="2" l="1"/>
  <c r="D4" i="2"/>
  <c r="C4" i="2"/>
  <c r="D20" i="1"/>
  <c r="E20" i="1"/>
  <c r="E15" i="1"/>
  <c r="E10" i="1"/>
  <c r="E4" i="1"/>
  <c r="D15" i="1"/>
  <c r="D10" i="1"/>
  <c r="C19" i="1"/>
  <c r="C9" i="1"/>
  <c r="C4" i="1"/>
  <c r="C3" i="1" s="1"/>
  <c r="D4" i="1"/>
  <c r="E9" i="1" l="1"/>
  <c r="D9" i="1"/>
  <c r="D3" i="1" s="1"/>
</calcChain>
</file>

<file path=xl/sharedStrings.xml><?xml version="1.0" encoding="utf-8"?>
<sst xmlns="http://schemas.openxmlformats.org/spreadsheetml/2006/main" count="866" uniqueCount="421">
  <si>
    <t>SEGREGAÇÃO PARA DROP</t>
  </si>
  <si>
    <t>OG anteiror: 30/09/2024</t>
  </si>
  <si>
    <t>Total</t>
  </si>
  <si>
    <t>R$</t>
  </si>
  <si>
    <t>Status</t>
  </si>
  <si>
    <t>Método de comprovação</t>
  </si>
  <si>
    <t>Detalhe</t>
  </si>
  <si>
    <t>Data de corte dos valores incorridos</t>
  </si>
  <si>
    <t>1. Advisors</t>
  </si>
  <si>
    <t>1.1 EY</t>
  </si>
  <si>
    <t>V.tal Ok - condicionado a apresentação de documentação</t>
  </si>
  <si>
    <t>n/a</t>
  </si>
  <si>
    <t>1.2 Accenture</t>
  </si>
  <si>
    <t>Ok e já foi pago via netting V.tal/Oi</t>
  </si>
  <si>
    <t>1.3 Accenture</t>
  </si>
  <si>
    <t>1.4 Laudos contábeis</t>
  </si>
  <si>
    <t>2. Legal/Regulatório</t>
  </si>
  <si>
    <t>2.1 Jurídico Societário</t>
  </si>
  <si>
    <t>Sim</t>
  </si>
  <si>
    <t>2.1.1 BMA (societário)</t>
  </si>
  <si>
    <t>-</t>
  </si>
  <si>
    <t>2.1.2 Maneira (contratos fornecedores)</t>
  </si>
  <si>
    <t>2.1.3 Maneira (minutas Twist)</t>
  </si>
  <si>
    <t>2.1.4 Taxas</t>
  </si>
  <si>
    <t>2.2 Abertura de Filiais</t>
  </si>
  <si>
    <t>2.2.1 Aquisição CNPJ</t>
  </si>
  <si>
    <t>2.2.2 53 aberturas de filiais</t>
  </si>
  <si>
    <t>2.3 Outorgas</t>
  </si>
  <si>
    <t>3. Sistemas</t>
  </si>
  <si>
    <t>3.1 Desenvolvimento</t>
  </si>
  <si>
    <t>Top 3</t>
  </si>
  <si>
    <t>3.1.1 ACCENTURE - SIEBEL/ARBOR/0360/SALES/RAID COLLEC/BDATA-LAKE/DW/ODS</t>
  </si>
  <si>
    <t>3.1.2 CAPGEMINI - SAP/SRT</t>
  </si>
  <si>
    <t>3.1.3 IBM - BRM/GRANITE/OI LEGAL/SO AMICRO SERVIÇO/INFORMATICA</t>
  </si>
  <si>
    <t>3.1.4 3CON - SISJUR</t>
  </si>
  <si>
    <t>3.1.5 DIVERSOS - TESTES</t>
  </si>
  <si>
    <t>3.1.6 TRIAD - GBIL &amp; GCOB</t>
  </si>
  <si>
    <t>3.1.7 VEOLINK - SAFE-CCURE</t>
  </si>
  <si>
    <t>3.1.8 OPENLABS - API+NETWIN</t>
  </si>
  <si>
    <t>3.1.9 LG - FPW</t>
  </si>
  <si>
    <t>3.1.10 SONDA - COMPLY</t>
  </si>
  <si>
    <t>3.1.11 VIPERZERO - DA</t>
  </si>
  <si>
    <t>3.1.12 SERASA - BR_NOTAS + E-CONTAS</t>
  </si>
  <si>
    <t>3.1.13 NEO GRID - NEO GRID</t>
  </si>
  <si>
    <t>3.1.14 AKROSS - SALESFORCE - ATENDIMENTO</t>
  </si>
  <si>
    <t>3.1.15 COGNYTE - VIGIA</t>
  </si>
  <si>
    <t>3.1.16 ClearTech - SPG</t>
  </si>
  <si>
    <t>Enviado para Vtal em 05/11 - aguardando de acordo</t>
  </si>
  <si>
    <t>3.1.17 Objective - SINN</t>
  </si>
  <si>
    <t>OUTROS REEMBOLSOS</t>
  </si>
  <si>
    <t>3.3 TI OI - Portabilidade</t>
  </si>
  <si>
    <t>3.4 TI Oi - Projetos Críticos</t>
  </si>
  <si>
    <t>Ok e já foi pago via B2B V.tal/Oi</t>
  </si>
  <si>
    <t>3.5 Engenharia - Mudança Transp.</t>
  </si>
  <si>
    <t>3.6.1 Cleartech+ABR (setup)</t>
  </si>
  <si>
    <t>Enviado para Vtal em 06/11 - aguardando de acordo</t>
  </si>
  <si>
    <t>3.6.1 Cleartech+ABR (operação - 4 meses)</t>
  </si>
  <si>
    <t>SEGREGAÇÃO</t>
  </si>
  <si>
    <t>Visão V.tal</t>
  </si>
  <si>
    <t>3.2 Cleartech+ABR</t>
  </si>
  <si>
    <t>Aguardando detalhamento Oi</t>
  </si>
  <si>
    <t>Não</t>
  </si>
  <si>
    <t>Time</t>
  </si>
  <si>
    <t>Valor Total da Proposta</t>
  </si>
  <si>
    <t>Composição</t>
  </si>
  <si>
    <t>total de horas</t>
  </si>
  <si>
    <t>Resumo do Escopo das Contratações</t>
  </si>
  <si>
    <t>Squad Arbor</t>
  </si>
  <si>
    <t>Valores já incorridos</t>
  </si>
  <si>
    <t>Contratação de 17,135 FTEs/dia + 6,45 FTEs/dia para faturamento manual +Contratação de 3,5 FTEs/dia - NFSe +
Contratação por 2 meses de 2 FTEs, em hora extra, para atuar na adequação das USs, durante 4 semanas, sendo 3 horas diárias de segunda a sexta-feira e 8 horas por final de semana, visando atender o novo escopo de Billing Direto.
Contratação por 2 meses de 6 FTEs, em horário comercial, para atuar no desenvolvimento do Billing Direto
Contratação por 2 meses de 3 FTEs, em horário comercial, para atuar na execução dos testes visando atender o escopo do Billing Direto
Contratação por 2 meses de 6 FTEs, em hora extra (8 horas por final de semana), para atuar no suporte dos testes</t>
  </si>
  <si>
    <t>1 - Configurar as novas empresas ClientCo nos billings para os planos existentes, adaptação para Cofaturamento,  configurações contábeis e segregação do LDN/VOIP. Inativação de produtos fora do perímetro
2 - Implementar Cofaturamento com emissão pela OI S.A na esteira da Fibra Legada e Nova Fibra.
3 - Tratar fluxo de Cobilling devido ao uso do CST 31 e 14 no contexto VOIP.
4 - Criação da Empresa ClientCO e suas filiais e adaptação dos processos de cobrança. Criação do processo PDD para ClientCo, contemplar a ClientCO nos relatórios de Cobrança, desenvolver o processo de Limpeza de Base. 
5 - Criação de convênios bancários Código Barras, DACC e PIX, Configurações da ClientCO e filiais
6 - Segregar os processos de Data Analitcys
9 - Realizar desativação dos clientes/produtos que serão descontinuados referentes ao perimetro da ClientCO
10 - Realizar a desativação dos terceiros que serão descontinuados, bem como doações e SVAS
11 - Tratar as ligações de LDN de propriedade da OI S.A
12 - Adequar o processo de Faturamento Manual
13 - Adequar a Minha Oi, HUB, CAR e PCOB para as novas Credenciais dos Convênios Bancários
14 - Adequar o fluxo para emissão de NFe de GO
15 - Retrabalho para as Filiais que estão sendo entregues uma a uma - Testes e Configurações, alterações de CNPJ, IE, IM e Endereço
16 - Adição de recursos e Contratação de HE</t>
  </si>
  <si>
    <t>Squad CRM Fixa</t>
  </si>
  <si>
    <t>Contratação de 8 FTEs/dia</t>
  </si>
  <si>
    <t>Squad CRM Convergente</t>
  </si>
  <si>
    <t>Contratação de 2 FTEs/dia +Capacidade adicional em overtime  Dias úteis – 4hs por dia para 
duas pessoas. Sábados – 8hs por dia para duas pessoas.+
Contratação de 1 FTE em 1 mês, em horário comercial, para atuar no desenvolvimento do escopo relacionado a criação da Base Morna
Contratação de 2 FTEs em 1mês para atuar, 2 horas por dia em hora extra, no desenvolvimento do escopo relacionado a criação da Base Morna</t>
  </si>
  <si>
    <t xml:space="preserve">Squad Raid Collections </t>
  </si>
  <si>
    <t>Contratação de 4,86 FTEs/dia</t>
  </si>
  <si>
    <t>Squad Portal de Cobrança</t>
  </si>
  <si>
    <t>Contratação de 0,72 FTEs/dia ; Alocação adicional de capacidade</t>
  </si>
  <si>
    <t>Squad Minha Oi</t>
  </si>
  <si>
    <t>Contratação de 2 FTEs/dia</t>
  </si>
  <si>
    <t>Squad Hub de Pagamentos</t>
  </si>
  <si>
    <t>Contratação de 4,31 FTEs/dia</t>
  </si>
  <si>
    <t>Squad Data Analiticys</t>
  </si>
  <si>
    <t>Contratação de 2 FTEs para atuar no DA + Contratação de um time com gestão e desenvolvimento de Data Analytics em Horas Extras +Contratação de um time de desenvolvimento de Data Analytics, em horário comercial (09 às 18hs) e duração de 5 semanas</t>
  </si>
  <si>
    <t>OG - Out/24</t>
  </si>
  <si>
    <t>OG para projeção no mês</t>
  </si>
  <si>
    <t>OG - Nov/24</t>
  </si>
  <si>
    <t>Contratação de 7,47 FTE</t>
  </si>
  <si>
    <t>Contratação de 6,45 FTEs - Faturamento Manual</t>
  </si>
  <si>
    <t>Contratação de 6,45 FTEs</t>
  </si>
  <si>
    <t>Capacidade adicional em overtime - Dias úteis – 4hs por dia para 
duas pessoas. Sábados – 8hs por dia para duas pessoas.</t>
  </si>
  <si>
    <t>Contratação de 2 FTEs</t>
  </si>
  <si>
    <t>Contratação de 8 FTEs, em horário comercial, para atuar no desenvolvimento visando atender o escopo do Billing Direto
Contratação de 3 FTEs, em horário comercial, para atuar na execução dos testes visando atender o escopo do Billing Direto
Contratação de 6 FTEs, em hora extra (8 horas por final de semana), para atuar no suporte dos testes, visando atender o novo escopo de Billing Direto.</t>
  </si>
  <si>
    <t>Squad Raid Collections</t>
  </si>
  <si>
    <t>Contratação de 7,12 FTE</t>
  </si>
  <si>
    <t>Contratação de 16,5 FTEs</t>
  </si>
  <si>
    <t>Contratação de 6 FTEs</t>
  </si>
  <si>
    <t>Contratação de 1 FTE, em horário comercial, para atuar no desenvolvimento do escopo relacionado a criação da Base Morna
Contratação de 2 FTEs para atuar, 2 horas por dia em hora extra, no desenvolvimento do escopo relacionado a criação da Base Morna</t>
  </si>
  <si>
    <t>OG Dez/24</t>
  </si>
  <si>
    <t>Contratação de 7,47 FTE - Portal CAR</t>
  </si>
  <si>
    <t>Contratação de 3 FTEs, em horário comercial, para atuar na execução dos testes visando atender o escopo do Billing Direto
Contratação de 6 FTEs, em hora extra (4hrs sábado + 4 hrs domingo), para atuar no suporte visando atender o desenvolvimento e testes do Billing Direto
Contratação de 14,35 FTEs, em horário comercial, para atuar no desenvolvimento</t>
  </si>
  <si>
    <t>Contratação de 1 FTEs, em horário comercial, para atuar no desenvolvimento do escopo relacionado a criação da Base Morna
Contratação de 2 FTEs para atuar, 2 horas por dia em hora extra, no desenvolvimento do escopo relacionado a criação da Base Morna</t>
  </si>
  <si>
    <t>OG Jan/25</t>
  </si>
  <si>
    <t>Contratação de 14,35 FTEs</t>
  </si>
  <si>
    <t xml:space="preserve"> </t>
  </si>
  <si>
    <r>
      <t>Maneira</t>
    </r>
    <r>
      <rPr>
        <sz val="8"/>
        <rFont val="Arial"/>
        <family val="2"/>
      </rPr>
      <t>(contr.fornec.)</t>
    </r>
  </si>
  <si>
    <t> </t>
  </si>
  <si>
    <t>Status de cobrança</t>
  </si>
  <si>
    <t>Ação Final Contrato</t>
  </si>
  <si>
    <t>Qtd. Novos Contratos</t>
  </si>
  <si>
    <t>Qtd. Termos Aditivos</t>
  </si>
  <si>
    <t>Valor Novos Contratos</t>
  </si>
  <si>
    <t>Valor Termos Aditivos</t>
  </si>
  <si>
    <t>Valor Total</t>
  </si>
  <si>
    <t>Segregar entre ClientCo e Oi Services</t>
  </si>
  <si>
    <t xml:space="preserve"> R$                  80.000,00</t>
  </si>
  <si>
    <t xml:space="preserve"> R$               48.000,00</t>
  </si>
  <si>
    <t xml:space="preserve"> R$      128.000,00</t>
  </si>
  <si>
    <t>Em execução, não houve emissão de nota</t>
  </si>
  <si>
    <t>Segregar entre Oi e ClientCo</t>
  </si>
  <si>
    <t xml:space="preserve"> R$                690.000,00</t>
  </si>
  <si>
    <t xml:space="preserve"> R$             414.000,00</t>
  </si>
  <si>
    <t xml:space="preserve"> R$   1.104.000,00</t>
  </si>
  <si>
    <t xml:space="preserve"> R$                  10.000,00</t>
  </si>
  <si>
    <t xml:space="preserve"> R$                 6.000,00</t>
  </si>
  <si>
    <t xml:space="preserve"> R$        16.000,00</t>
  </si>
  <si>
    <t>Segregar entre Oi e Oi Services</t>
  </si>
  <si>
    <t xml:space="preserve"> R$                100.000,00</t>
  </si>
  <si>
    <t xml:space="preserve"> R$               60.000,00</t>
  </si>
  <si>
    <t xml:space="preserve"> R$      160.000,00</t>
  </si>
  <si>
    <t>Segregar entre Oi e Oi Services e Incluir ClientCo</t>
  </si>
  <si>
    <t xml:space="preserve"> R$                  30.000,00</t>
  </si>
  <si>
    <t xml:space="preserve"> R$               18.000,00</t>
  </si>
  <si>
    <t xml:space="preserve"> R$        48.000,00</t>
  </si>
  <si>
    <t>Segregar entre Oi, ClientCo e Oi Services</t>
  </si>
  <si>
    <t xml:space="preserve"> R$                530.000,00</t>
  </si>
  <si>
    <t xml:space="preserve"> R$             636.000,00</t>
  </si>
  <si>
    <t xml:space="preserve"> R$   1.166.000,00</t>
  </si>
  <si>
    <t>Subtotal</t>
  </si>
  <si>
    <t xml:space="preserve"> R$            1.440.000,00</t>
  </si>
  <si>
    <t xml:space="preserve"> R$         1.182.000,00</t>
  </si>
  <si>
    <t xml:space="preserve"> R$  2.622.000,00</t>
  </si>
  <si>
    <t>Maneira</t>
  </si>
  <si>
    <t>Escopo</t>
  </si>
  <si>
    <t>Contratos</t>
  </si>
  <si>
    <t>Valor</t>
  </si>
  <si>
    <t>Análise de minutas de contratos no perímetro Twist</t>
  </si>
  <si>
    <t xml:space="preserve"> R$                       331,43</t>
  </si>
  <si>
    <t xml:space="preserve"> R$             232.000,00</t>
  </si>
  <si>
    <t>100% Realizado</t>
  </si>
  <si>
    <t>Rótulos de Linha</t>
  </si>
  <si>
    <t>Soma de Valor Total</t>
  </si>
  <si>
    <t>Soma de Valor realizado</t>
  </si>
  <si>
    <t>Soma de Valor a realizar</t>
  </si>
  <si>
    <t>ANÁLISE     PRELIMINAR     DE DOCUMENTOS DE QUALIFICAÇÃO DA VERO.</t>
  </si>
  <si>
    <t xml:space="preserve"> R$                          19.416,60</t>
  </si>
  <si>
    <t xml:space="preserve"> R$                              3.959,94</t>
  </si>
  <si>
    <t xml:space="preserve"> R$                          15.456,66</t>
  </si>
  <si>
    <t>ANÁLISE   DE   COMENTÁRIOS   DISVERSOS   ÀS MINUTAS DO SPA E EDITAL;REUNIÃO COM OI E ASSESSORES  PARA  DISCUSSÃO  DOS  AJUSTES ÀS    MINUTAS; ANÁLISE DE AJUSTES DA BIDDER À CARTA SDOBRE CESSÃO  DO CONTRATO FTTH E  ENTENDIMENTOS  COM  OI  SOBRE  O  TEMA; ATENÇÃO A E-MAILS DIVERSOS</t>
  </si>
  <si>
    <t xml:space="preserve"> R$                       140.360,94</t>
  </si>
  <si>
    <t xml:space="preserve"> R$                            28.626,06</t>
  </si>
  <si>
    <t xml:space="preserve"> R$                        111.734,88</t>
  </si>
  <si>
    <t>ANÁLISE   DE   COMENTÁRIOS   E   AJUSTES   ÀS MINUTAS DE SPA, EDITAL ETSA.</t>
  </si>
  <si>
    <t xml:space="preserve"> R$                          70.180,47</t>
  </si>
  <si>
    <t xml:space="preserve"> R$                            14.313,03</t>
  </si>
  <si>
    <t xml:space="preserve"> R$                          55.867,44</t>
  </si>
  <si>
    <t>ANÁLISE  DE  AJUSTES  À  MINUTA  DO  EDITAL  E DE MINUTAS DE NDA E ADITIVO AOS NDAS JÁ FIRMADOS  COM  INTERESSADOS;  REVISÃO  DE CARTA DE ACESSO A TERCEIROS PARA FINS DO PROICESSO COMPETITIVO.</t>
  </si>
  <si>
    <t xml:space="preserve"> R$                          35.090,24</t>
  </si>
  <si>
    <t xml:space="preserve"> R$                              7.156,52</t>
  </si>
  <si>
    <t xml:space="preserve"> R$                          27.933,72</t>
  </si>
  <si>
    <t>ANÁLISE  DE  MINUTAS  DE  ANEXOS  AO  SPA; ENTENDIMENTOS  INTERNOS  SOBRE  O  TEMA  E COORDENAÇÃO   DA   REVISÃO;   REVISÃO   DAS
MINUTAS   DOS  ANEXOS  E  SPA  COM  AJUSTES;</t>
  </si>
  <si>
    <t>ANÁLISE  DOS  COMENTÁRIOS  DO  TIME  OI  NO SPA. REUNIÃO COM TIME OI SOBRE O EDITAL E O SPA.</t>
  </si>
  <si>
    <t xml:space="preserve"> R$                          33.049,53</t>
  </si>
  <si>
    <t xml:space="preserve"> R$                              6.740,32</t>
  </si>
  <si>
    <t xml:space="preserve"> R$                          26.309,21</t>
  </si>
  <si>
    <t>ANÁLISE  DOS  COMENTARIOS  RECEBIDOS  DO TIME OI AO SPA. REVISÃODO SPA.</t>
  </si>
  <si>
    <t xml:space="preserve"> R$                          41.311,91</t>
  </si>
  <si>
    <t xml:space="preserve"> R$                              8.425,40</t>
  </si>
  <si>
    <t xml:space="preserve"> R$                          32.886,51</t>
  </si>
  <si>
    <t>ANÁLISE DE  NOVOS COMENTÁRIOS DA OI NAS DECLARAÇÕES E GARANTIAS</t>
  </si>
  <si>
    <t>ANÁLISE DE MINUTA DA CARTA SOBRE CESSÃO DO CONTRATO DE FTTH COM COMENTÁRIOS DA BIDDER; ATENÇÃO A E-MAILS E ENVIO DE E- MAIL PARA OI SOBRE O TEMA.</t>
  </si>
  <si>
    <t xml:space="preserve"> R$                          17.545,12</t>
  </si>
  <si>
    <t xml:space="preserve"> R$                              3.578,26</t>
  </si>
  <si>
    <t xml:space="preserve"> R$                          13.966,86</t>
  </si>
  <si>
    <t>ANÁLISE DE MINUTAS DE ANEXOS AO SPA COM COMENTÁRIOS DA OI E ATENÇÃO A E-MAILS.</t>
  </si>
  <si>
    <t xml:space="preserve"> R$                          23.393,49</t>
  </si>
  <si>
    <t xml:space="preserve"> R$                              4.771,01</t>
  </si>
  <si>
    <t xml:space="preserve"> R$                          18.622,48</t>
  </si>
  <si>
    <t>ANÁLISE E CONSOLIDAÇÃO DOS COMENTÁRIOS RECEBIDOS DO  TIME  OI  À MINUTA DO  EDITAL DA  UPI  CLIENT  CO.    DRAFTING  SESSION  DO EDITAL DA COM TIME OI.</t>
  </si>
  <si>
    <t xml:space="preserve"> R$                          49.574,29</t>
  </si>
  <si>
    <t xml:space="preserve"> R$                            10.110,48</t>
  </si>
  <si>
    <t xml:space="preserve"> R$                          39.463,81</t>
  </si>
  <si>
    <t>ANÁLISE PRELIMINAR DE MINUTA CONSOLIDADA DO SPA.</t>
  </si>
  <si>
    <t>ANÁLISE PRELIMINAR DE MINUTAS DE ANEXOS AO  SPA;  ANÁLISE  DE   COMENTÁRIOS DA OI  À MINUTA  DO  SPA;  ENTENDIMENTOS  COM  OI; REVISÃO  E  AJUSTES  NA  MINUTA  DO  SPA  E ENVIO DE MINUTA AJUSTADA.</t>
  </si>
  <si>
    <t xml:space="preserve"> R$                          81.877,22</t>
  </si>
  <si>
    <t xml:space="preserve"> R$                            16.698,54</t>
  </si>
  <si>
    <t xml:space="preserve"> R$                          65.178,68</t>
  </si>
  <si>
    <t>ATENÇÃO A E-MAILS E ANÁLISE DE MINUTA DO SPA COM COMENTÁRIOSADICIONAIS DA OI.</t>
  </si>
  <si>
    <t xml:space="preserve"> R$                          31.113,34</t>
  </si>
  <si>
    <t xml:space="preserve"> R$                              6.345,44</t>
  </si>
  <si>
    <t xml:space="preserve"> R$                          24.767,90</t>
  </si>
  <si>
    <t xml:space="preserve">CONTRAPONTO AOS ARGUMENTOS SOBRE   PONTOS JURÍDICOS DA CARTA A SER CELEBRADA ENTRE OI  E  BIDDER,  REVISÃO E AJUSTES NAS MINUTAS </t>
  </si>
  <si>
    <t xml:space="preserve"> R$                          89.597,07</t>
  </si>
  <si>
    <t xml:space="preserve"> R$                            18.272,97</t>
  </si>
  <si>
    <t xml:space="preserve"> R$                          71.324,10</t>
  </si>
  <si>
    <t>DRAFTING  SESSION  DO  EDITAL  E  SPA  .  REVISÃO  ECONSOLIDAÇÃO  DE COMENTÁRIOS   RECEBIDOS   DOS   TIMES   OI. ENTENDIMENTOS     INTERNOS     SOBRE     TAIS DOCUMENTOS.</t>
  </si>
  <si>
    <t>ELABORAÇÃO DA MINUTA INICIAL DOS ANEXOS DE DECLARAÇÕES E GARANTIAS DO SPA.</t>
  </si>
  <si>
    <t xml:space="preserve"> R$                          65.850,19</t>
  </si>
  <si>
    <t xml:space="preserve"> R$                            13.429,89</t>
  </si>
  <si>
    <t xml:space="preserve"> R$                          52.420,30</t>
  </si>
  <si>
    <t>ENTENDIMENTOS  E  PROVIDENCIAS  DIVERSOS; CALL   COM   OI   E   EQUIPE   INTERNA   SOBRE ASPECTOS DO PROJETO.</t>
  </si>
  <si>
    <t xml:space="preserve"> R$                          15.676,39</t>
  </si>
  <si>
    <t xml:space="preserve"> R$                              3.197,14</t>
  </si>
  <si>
    <t xml:space="preserve"> R$                          12.479,25</t>
  </si>
  <si>
    <t>ENTENDIMENTOS  INTERNOS  E  PROVIDÊNCIAS QUANTO  À  MINUTA  DO SPA;  ANÁLISE  DE MINUTA   DE    CARTA   ENVIADA   PELO   BIDDER QUANTO   À   CESSÃO   DE   CONTRATO ; ANÁLISE DE E-MAILS SOBRE O TEMA E   ENVIO DE E-MAIL PARA CLIENTE COM CONSIDERAÇÕES SOBRE O      ASSUNTO</t>
  </si>
  <si>
    <t>ENTENDIMENTOS E PROVIDÊNCIAS DIVERSOS REFERENTE AOS DOCS DE FECHAMENTO.</t>
  </si>
  <si>
    <t xml:space="preserve"> R$                          76.028,84</t>
  </si>
  <si>
    <t xml:space="preserve"> R$                            15.505,78</t>
  </si>
  <si>
    <t xml:space="preserve"> R$                          60.523,06</t>
  </si>
  <si>
    <t>ENTENDIMENTOS INTERNOS SOBRE  PROJETO  E DOCUMENTAÇÃO.   REUNIÃOCOM   A  OI   SOBRE EDITAL E SPA.</t>
  </si>
  <si>
    <t xml:space="preserve"> R$                          58.483,73</t>
  </si>
  <si>
    <t xml:space="preserve"> R$                            11.927,53</t>
  </si>
  <si>
    <t xml:space="preserve"> R$                          46.556,20</t>
  </si>
  <si>
    <t>ENTENDIMENTOS INTERNOS SOBRE DOCUMENTAÇÃO.</t>
  </si>
  <si>
    <t xml:space="preserve"> R$                            5.848,37</t>
  </si>
  <si>
    <t xml:space="preserve"> R$                              1.192,75</t>
  </si>
  <si>
    <t xml:space="preserve"> R$                            4.655,62</t>
  </si>
  <si>
    <t>EXAME  DA  MINUTA  DA  CLÁUSULA  ARBITRAL INSERIDA  NO  CONTRATO  DECOMPRA  E  VENDA DA UPI CLIENTCO E ENTENDIMENTOS INTERNOS SOBRE   OS   EVENTUAIS   AJUSTES   A   SEREM IMPLEMENTADOS NACLÁUSULA.</t>
  </si>
  <si>
    <t xml:space="preserve"> R$                            9.606,26</t>
  </si>
  <si>
    <t xml:space="preserve"> R$                              1.959,16</t>
  </si>
  <si>
    <t xml:space="preserve"> R$                            7.647,10</t>
  </si>
  <si>
    <t>FINALIZAÇÃO DA MINUTA PRELIMINAR DO SPA</t>
  </si>
  <si>
    <t>FINALIZAÇÃO DOS AJUSTES À MINUTA DO SPA E ENVIO DE MINUTA    REVISADA PARA O GRUPO DE TRABALHO.</t>
  </si>
  <si>
    <t xml:space="preserve"> R$                       105.270,71</t>
  </si>
  <si>
    <t xml:space="preserve"> R$                            21.469,55</t>
  </si>
  <si>
    <t xml:space="preserve"> R$                          83.801,16</t>
  </si>
  <si>
    <t>PARTICIPAÇÃO  EM  CALL  COM  OS  TIMES  OI  E BMA  PARA  DISCUSSÃO  DAMINUTA  DO  SPA  DA OPERAÇÃO.</t>
  </si>
  <si>
    <t xml:space="preserve"> R$                          29.266,75</t>
  </si>
  <si>
    <t xml:space="preserve"> R$                              5.968,84</t>
  </si>
  <si>
    <t xml:space="preserve"> R$                          23.297,91</t>
  </si>
  <si>
    <t>PARTICIPAÇÃO EM CALL COM OS TIMES OI, BMA E PNM PARA  DISCUSSÃO DA MINUTA DO SPA. ENTENDIMENTOS INTERNOS.</t>
  </si>
  <si>
    <t xml:space="preserve"> R$                          43.900,12</t>
  </si>
  <si>
    <t xml:space="preserve"> R$                              8.953,26</t>
  </si>
  <si>
    <t xml:space="preserve"> R$                          34.946,87</t>
  </si>
  <si>
    <t>PARTICIPAÇÃO EM CALL COM TIMES OI, BMA E MANEIRA PARA DISCUSSÃO DO EDITAL E DO  SPA.  ANÁLISE  DOS  COMENTÁRIOS  MAIS RECENTES FEITOS AOS DOCUMENTOS.</t>
  </si>
  <si>
    <t xml:space="preserve"> R$                          32.925,09</t>
  </si>
  <si>
    <t xml:space="preserve"> R$                              6.714,94</t>
  </si>
  <si>
    <t xml:space="preserve"> R$                          26.210,15</t>
  </si>
  <si>
    <t>REUNIÃO   COM   OI   SOBRE   O   PROJETO   E PROVIDÊNCIAS  A  SEREM TOMADAS. ENTENDIMENTOS      INTERNOS      SOBRE      O ASSUNTO.</t>
  </si>
  <si>
    <t>REUNIÃO   COM   OI   SOBRE   SPA   E   ANEXOS. ENTENDIMENTOS    INTERNOS  SOBRE    O ASSUNTO.</t>
  </si>
  <si>
    <t xml:space="preserve"> R$                          46.786,98</t>
  </si>
  <si>
    <t xml:space="preserve"> R$                              9.542,02</t>
  </si>
  <si>
    <t xml:space="preserve"> R$                          37.244,96</t>
  </si>
  <si>
    <t>REUNIÃO  EXIGÊNCIA DE CARTA DE   CRÉDITO   PARA    QUALIFICAÇÃO   DE PARTICIPANTES   NOS   PROCESSOS COMPETITIVOS;     REUNIÃO  COM  OI  E  EQUIPE INTERNA  PARA  FINALIZAÇÃO  DA  MINUTA    DO SPA   +   ANEXOS;   ANÁLISE   DE   MINUTAS   DE ANEXOS.</t>
  </si>
  <si>
    <t xml:space="preserve"> R$                          66.203,58</t>
  </si>
  <si>
    <t xml:space="preserve"> R$                            13.501,96</t>
  </si>
  <si>
    <t xml:space="preserve"> R$                          52.701,62</t>
  </si>
  <si>
    <t>REUNIÃO  SOBRE  NDA  A  SER  ASSINADO  POR INTERESSADOS. REVISÃO  DE DOCUMENTOS DE HABILITAÇÃO  DE  INTERESSADO  NO  PROCESSO COMPETITIVO.</t>
  </si>
  <si>
    <t xml:space="preserve"> R$                          40.938,61</t>
  </si>
  <si>
    <t xml:space="preserve"> R$                              8.349,27</t>
  </si>
  <si>
    <t xml:space="preserve"> R$                          32.589,34</t>
  </si>
  <si>
    <t>REUNIÃO COM OI E TIME BMA SOBRE EDITAL DE ALIENAÇÃO DA UPI  CLIENTCO.</t>
  </si>
  <si>
    <t>REVISÃO    DE    COMENTÁRIOS    DE    ARTHUR LAVATORI EM EDITAL DEALIENAÇÃO DA UPI CLIENTCO.</t>
  </si>
  <si>
    <t xml:space="preserve"> R$                          11.696,75</t>
  </si>
  <si>
    <t xml:space="preserve"> R$                              2.385,51</t>
  </si>
  <si>
    <t xml:space="preserve"> R$                            9.311,24</t>
  </si>
  <si>
    <t>REVISÃO    DO    SPA    E    ANEXOS    DO    SPA. ELABORAÇÃO DE PLANILHA DE   CONTROLE DOS ANEXOS. ENTENDIMENTOS INTERNOS SOBRE O ASSUNTO.</t>
  </si>
  <si>
    <t xml:space="preserve"> R$                          57.836,67</t>
  </si>
  <si>
    <t xml:space="preserve"> R$                            11.795,56</t>
  </si>
  <si>
    <t xml:space="preserve"> R$                          46.041,11</t>
  </si>
  <si>
    <t>REVISÃO   DA   MINUTA   DO   EDITAL   DA   UPI CLIENTCO.</t>
  </si>
  <si>
    <t>REVISÃO   DE   COMENTÁRIOS   AO   EDITAL   DE ALIENAÇÃO DA UPI.</t>
  </si>
  <si>
    <t>REVISÃO   DOS   ANEXOS   DO   SPA   CONFORME COMENTÁRIOS RECEBIDOS DA COMPANHIA.</t>
  </si>
  <si>
    <t xml:space="preserve"> R$                          16.524,76</t>
  </si>
  <si>
    <t xml:space="preserve"> R$                              3.370,16</t>
  </si>
  <si>
    <t xml:space="preserve"> R$                          13.154,60</t>
  </si>
  <si>
    <t>REVISÃO   DOS   COMENTÁRIOS   DA   OI   AOS ANEXOS  DO  SPA. ENTENDIMENTOS INTERNOS E COM TIME OI SOBRE O ASSUNTO. REVISÃO DA MINUTA DO SPA.</t>
  </si>
  <si>
    <t>REVISÃO  DA  MINUTA  DO  SPA  DO  PROJETO TWIST. ENTENDIMENTOS     INTERNOS SOBRE A OPERAÇÃO.</t>
  </si>
  <si>
    <t>REVISÃO  DA  MINUTA  DO  SPA.  REVISÃO  DA MINUTA DO TERM SHEET DOTSA.</t>
  </si>
  <si>
    <t xml:space="preserve"> R$                          66.099,05</t>
  </si>
  <si>
    <t xml:space="preserve"> R$                            13.480,64</t>
  </si>
  <si>
    <t xml:space="preserve"> R$                          52.618,41</t>
  </si>
  <si>
    <t>REVISÃO  E  AJUSTES  À  MINIUTA  DO  SPA  COM ALTERAÇÕES   E     CONTRINUIÇÕES CONSOLIDADAS;  ANÁLISE  DE  ALTERAÇÕES  À MINUTA  DO EDITAL; ATENÇÃO A E-MAILS.</t>
  </si>
  <si>
    <t xml:space="preserve"> R$                       101.293,81</t>
  </si>
  <si>
    <t xml:space="preserve"> R$                            20.658,48</t>
  </si>
  <si>
    <t xml:space="preserve"> R$                          80.635,34</t>
  </si>
  <si>
    <t>REVISÃO  E  CONSOLIDAÇÃO  DE  COMENTÁRIOS RECEBIDOS DOS TIMES OIAO SPA.</t>
  </si>
  <si>
    <t>REVISÃO DA MINUTA DO SPA E CONSOLIDAÇÃO DOS COMENTÁRIOS     RECEBIDOS DO TIME OI.</t>
  </si>
  <si>
    <t>REVISÃO DE DECLARAÇÕES E GARANTIAS.</t>
  </si>
  <si>
    <t>REVISÃO DO SPA E  ELABORAÇÃO DE  AJUSTES.</t>
  </si>
  <si>
    <t>REVISÃO E AJUSTES EM EDITAL DE ALIENAÇÃO DA UPI CLIENTCO.</t>
  </si>
  <si>
    <t xml:space="preserve"> R$                       128.664,20</t>
  </si>
  <si>
    <t xml:space="preserve"> R$                            26.240,56</t>
  </si>
  <si>
    <t xml:space="preserve"> R$                        102.423,64</t>
  </si>
  <si>
    <t>REVISÃO E AJUSTES EM EDITAL DO PROCESSO COMPETITIVO.    ELABORAÇÃO  DE  ANEXO COM   FORMULÁRIO   PARA   PARTICIPAÇÃO   EM PROCESSO    COMPETITIVO.    ENTENDIMENTOS DIVERSOS COM OI SOBRE O ASSUNTO.</t>
  </si>
  <si>
    <t>REVISÃO E AJUSTES EM EDITAL DO PROCESSO COMPETITIVO. ENTENDIMENTOS INTERNOS SOBRE O ASSUNTO.</t>
  </si>
  <si>
    <t>REVISÃO E AJUSTES EM EDITAL DO PROCESSO COMPETITIVO. PROVIDÊNCIAS PARA PROTOCOLO.</t>
  </si>
  <si>
    <t xml:space="preserve"> R$                       440.250,56</t>
  </si>
  <si>
    <t xml:space="preserve"> R$                            89.787,37</t>
  </si>
  <si>
    <t xml:space="preserve"> R$                        350.463,19</t>
  </si>
  <si>
    <t>REVISÃO E AJUSTES NA MINUTA DO SPA</t>
  </si>
  <si>
    <t xml:space="preserve"> R$                       206.564,52</t>
  </si>
  <si>
    <t xml:space="preserve"> R$                            42.128,02</t>
  </si>
  <si>
    <t xml:space="preserve"> R$                        164.436,50</t>
  </si>
  <si>
    <t>REVISÃO/ELABORAÇÃO DOS ANEXOS DO SPA E SPA. REUNIÃO COM     TIMES OI SOBRE O SPA E ANEXOS DO SPA.</t>
  </si>
  <si>
    <t>REVISÃODAMINUTADOEDITAL. ENTENDIMENTOS      INTERNOS      SOBRE      O ASSUNTO.</t>
  </si>
  <si>
    <t xml:space="preserve"> R$                            8.262,38</t>
  </si>
  <si>
    <t xml:space="preserve"> R$                              1.685,08</t>
  </si>
  <si>
    <t xml:space="preserve"> R$                            6.577,30</t>
  </si>
  <si>
    <t>TRABALHO NA MINUTA DO SPA</t>
  </si>
  <si>
    <t>VÍDEO     COM     OI     E     EQUIPE     INTERNA; ENTENDIMENTOS     INTERNOS     E PROVIDÊNCIAS SOBRE PROJETO.</t>
  </si>
  <si>
    <t xml:space="preserve"> R$                          29.241,86</t>
  </si>
  <si>
    <t xml:space="preserve"> R$                              5.963,76</t>
  </si>
  <si>
    <t xml:space="preserve"> R$                          23.278,10</t>
  </si>
  <si>
    <t>VÍDEO DE KICK OFF; PROVIDÊNCIAS DIVERSAS PARA ORGANIZAÇÃO E INÍCIO DOS TRABALHOS.</t>
  </si>
  <si>
    <t>ALINHAMENTO COM EQUIPE INTERNA SOBRE FRENTES E PRAZOS DO PROJETO; VÍDEO COM OI E ASSESSORES LEGAIS SOBRE MINUTAS DOS DOCUMENTOS DA OPERAÇÃO.</t>
  </si>
  <si>
    <t xml:space="preserve"> R$                          62.460,62</t>
  </si>
  <si>
    <t xml:space="preserve"> R$                            12.738,60</t>
  </si>
  <si>
    <t xml:space="preserve"> R$                          49.722,02</t>
  </si>
  <si>
    <t>ALTERAÇÃO DA CLÁUSULA COMPROMISSÓRIA.</t>
  </si>
  <si>
    <t xml:space="preserve"> R$                          14.409,39</t>
  </si>
  <si>
    <t xml:space="preserve"> R$                              2.938,74</t>
  </si>
  <si>
    <t xml:space="preserve"> R$                          11.470,66</t>
  </si>
  <si>
    <t>ANÁLISE DE MINUTA DO SPA COM COMENTÁRIOS DA OI E ASSESSORES.</t>
  </si>
  <si>
    <t xml:space="preserve"> R$                          39.067,13</t>
  </si>
  <si>
    <t xml:space="preserve"> R$                              7.967,59</t>
  </si>
  <si>
    <t xml:space="preserve"> R$                          31.099,54</t>
  </si>
  <si>
    <t>PROCESSO COMPETITIVO. REUNIÃO SOBRE O ASSUNTO COM OI E DEMAIS ADVOGADOS DA RJ.2</t>
  </si>
  <si>
    <t>Total Geral</t>
  </si>
  <si>
    <t xml:space="preserve"> R$                    3.373.418,73</t>
  </si>
  <si>
    <t xml:space="preserve"> R$                          687.995,50</t>
  </si>
  <si>
    <t xml:space="preserve"> R$                    2.685.423,23</t>
  </si>
  <si>
    <t>escopo</t>
  </si>
  <si>
    <t>Realizado</t>
  </si>
  <si>
    <t>Scrum Master 1368H;  Consultor MM 4120H;  Consultor FI 2872H;  Consultor AA  1040H;  Consultor SD 1.744H;Consultor ABAP 1392H; Consultor OS/PM 1392H</t>
  </si>
  <si>
    <t>Squads SAP</t>
  </si>
  <si>
    <t>Criar as empresas ClientCo para receber movimentos da Fibra com as 27 filiais.
Configurar novas contas contábeis, centros de custo e centros de lucro, depósitos, etc
Expandir plano de contas, compras, orçamento e controladoria
Tratar movimentações e Drop de ativos
Tratar processos de Pedidos, Requisições, Orçamentos, Pagamentos
Internalizar as Notas Fiscais dos Fornecedores.
Adequação das Alçadas de Aprovação
Criação das empresas no SRT: ClientCo e Oi Services no sistema, adaptação dos processos para atendimento a multiempresas. Refletir acessos fisicos e lógicos p/ terceiros destas empresas cadastradas nos sistemas da cia. Tratamento de Vulnerabilidades, adequação das funcionalidades</t>
  </si>
  <si>
    <t>13,17 FTEs/dia (Arquiteto + Scrum Team + Scrum Master, analista desenvolvedor, funcional testes)</t>
  </si>
  <si>
    <t>Squad SRT / Squad ClientCo e Oi Services</t>
  </si>
  <si>
    <t>15,5 FTEs (2,5 Arquiteto + 8 Analista Desenvolvedor + 4 Funcional/Tester + Scrum Master)</t>
  </si>
  <si>
    <t xml:space="preserve">Squad SRT </t>
  </si>
  <si>
    <t>12 FTEs</t>
  </si>
  <si>
    <t>OG reservada no mês</t>
  </si>
  <si>
    <t>OG - Dez/24</t>
  </si>
  <si>
    <t>OG - jan/25</t>
  </si>
  <si>
    <t>Já realizado</t>
  </si>
  <si>
    <t>6 FTEs/dia</t>
  </si>
  <si>
    <t>Squad BRM</t>
  </si>
  <si>
    <t xml:space="preserve">Criação da Empresa ClientCo, bem como configurações das filiais, criação de convênios bancários, configurações contábeis e fiscais e segregação do LDN/VOIP. Repasse Financeiro e Termo de Quitação
Adequação do processo de quebra de sigilo para segregação das empresas ClientCo e OI S.A
Segregação de equipamentos entre ClientCo/Oi Services - no Granite 
Adequações na Mediação
Testes no BRM
Testes na Cadeia de VOIP - SFA e SISRAF
Adequação dos novos convênios Bancários no SCA
Testes no informatica para integração com SAP, RH, RAID Collections e CRM
</t>
  </si>
  <si>
    <t>Contratação Cascata</t>
  </si>
  <si>
    <t>Oi Legal</t>
  </si>
  <si>
    <t>GRANITE</t>
  </si>
  <si>
    <t>Integração Batch</t>
  </si>
  <si>
    <t>0,65 FTEs/dia</t>
  </si>
  <si>
    <t>SISRAF - testes integrados</t>
  </si>
  <si>
    <t>0,70 FTEs/dia</t>
  </si>
  <si>
    <t>SFA - testes integrados</t>
  </si>
  <si>
    <t>1,04 FTEs/dia</t>
  </si>
  <si>
    <t>SCA</t>
  </si>
  <si>
    <t>Mediação</t>
  </si>
  <si>
    <t>2 FTEs/dia</t>
  </si>
  <si>
    <t>BRM Testes</t>
  </si>
  <si>
    <t>OG Nov/24</t>
  </si>
  <si>
    <t>1,04 FTEs</t>
  </si>
  <si>
    <t>2 FTEs</t>
  </si>
  <si>
    <t>6 FTEs</t>
  </si>
  <si>
    <t>OG dez/24</t>
  </si>
  <si>
    <t>OG jan/25</t>
  </si>
  <si>
    <t>SISTEMA</t>
  </si>
  <si>
    <t>FORNECEDOR</t>
  </si>
  <si>
    <t>VALOR TOTAL</t>
  </si>
  <si>
    <t>OBS</t>
  </si>
  <si>
    <t>BR_NOTAS + E-CONTAS</t>
  </si>
  <si>
    <t>SERASA</t>
  </si>
  <si>
    <t>COMPLY</t>
  </si>
  <si>
    <t>SONDA</t>
  </si>
  <si>
    <t>NEO GRID</t>
  </si>
  <si>
    <t>FPW</t>
  </si>
  <si>
    <t>LG</t>
  </si>
  <si>
    <t>SISJUR</t>
  </si>
  <si>
    <t>3CON</t>
  </si>
  <si>
    <t>TESTES</t>
  </si>
  <si>
    <t>DIVERSOS</t>
  </si>
  <si>
    <t>SIEBEL/ARBOR/0360/SALES/RAID COLLEC/BDATA-LAKE/DW/ODS</t>
  </si>
  <si>
    <t>ACCENTURE</t>
  </si>
  <si>
    <t>Já informado</t>
  </si>
  <si>
    <t>SAP/SRT</t>
  </si>
  <si>
    <t>CAPGEMINI</t>
  </si>
  <si>
    <t>BRM/GRANITE/OI LEGAL/SO AMICRO SERVIÇO/INFORMATICA</t>
  </si>
  <si>
    <t>IBM</t>
  </si>
  <si>
    <t>GBIL &amp; GCOB</t>
  </si>
  <si>
    <t>TRIAD</t>
  </si>
  <si>
    <t>VIGIA</t>
  </si>
  <si>
    <t>COGNYTE</t>
  </si>
  <si>
    <t>SALESFORCE - ATENDIMENTO</t>
  </si>
  <si>
    <t>AKROSS</t>
  </si>
  <si>
    <t>DA</t>
  </si>
  <si>
    <t>VIPERZERO</t>
  </si>
  <si>
    <t>SAFE-CCURE</t>
  </si>
  <si>
    <t>VEOLINK</t>
  </si>
  <si>
    <t>API+NETWIN</t>
  </si>
  <si>
    <t>OPENLABS</t>
  </si>
  <si>
    <t>TOTAL</t>
  </si>
  <si>
    <t>SPG</t>
  </si>
  <si>
    <t>ClearTech</t>
  </si>
  <si>
    <t>OG Nova – Relacionada a Portabilidade, não estava no 4,9MM de Portabilidade e nem nos 37MM de OG de segregação para o Drop</t>
  </si>
  <si>
    <t>SINN</t>
  </si>
  <si>
    <t>Objective</t>
  </si>
  <si>
    <t>OG Nova – relacionada ao desmembramento da TV. Não estava nos 37MM de OG de segregação para o Drop.</t>
  </si>
  <si>
    <t>Total de Horas</t>
  </si>
  <si>
    <t>Contratação Cascata (Escopo Fechado)</t>
  </si>
  <si>
    <t>Setup de novo bilhete de portabilidade massivo, Gestão de Cadastro Centralizado e 4 meses de operação da portabilidade doadora em janelas diárias</t>
  </si>
  <si>
    <t>- Estrutura para recepção de arquivos enviados pela Oi para a migração de clientes para a ClientCo.
- Validação do arquivo recebido conforme padrão esperado pelo sistema responsável pelo processamento NPAC;
- Evoluções no sistema NPAC para criação dos bilhetes de migração e que permitirão a continuidade dos processos de portabilidade, conforme fases do projeto;
- Processo de envio para a Oi do arquivo de resultado de processamento dos bilhetes de migração;
- Adequações no processo de integração para expurgar os dados da migração dos indicadores de portabilidade no sistema PIP;
- Adequação no processo de faturamento do sistema Protheus para não haver cobrança destes bilhetes de portabilidade;
- Processo automatizado para geração de histórico na Gestão de Cadastro Centralizado;
- Envio de broadcast para todas as outras operadoras de mercado atualizarem suas BDOs em janelas de portabilidade diárias durante 4 meses de operação.</t>
  </si>
  <si>
    <t>Execução de 756 SNOAs (756 áreas locais) na frente 1 + 4.368 horas extras (sábado e domingo) para realização da frente 2</t>
  </si>
  <si>
    <t>SNOAs e Horas Extras</t>
  </si>
  <si>
    <t>Custo SNOA + 4.368 Horas Extras</t>
  </si>
  <si>
    <t>Definição das premissas de itx e encaminhamento, elaboração e aprovação dos projetos técnicos, elaboração das diretrizes, planejamento de itx, planejamento SIG, entrega do circuito de transmissão (em caso de rota física), implementação e teste das rotas novas, configuração das DCs</t>
  </si>
  <si>
    <t>Valore incorridos</t>
  </si>
  <si>
    <t>Valores previstos</t>
  </si>
  <si>
    <t>Visão V.tal (enviada em 01/nov)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</si>
</sst>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b/>
      <sz val="7"/>
      <color rgb="FFFFFFFF"/>
      <name val="Simplon BP Regular"/>
    </font>
    <font>
      <sz val="7"/>
      <color rgb="FF080808"/>
      <name val="Simplon BP Regular"/>
    </font>
    <font>
      <sz val="7"/>
      <color rgb="FF080808"/>
      <name val="Helvetica"/>
    </font>
    <font>
      <b/>
      <sz val="7"/>
      <name val="Simplon BP Regular"/>
    </font>
    <font>
      <b/>
      <sz val="7"/>
      <color rgb="FF080808"/>
      <name val="Helvetica"/>
    </font>
    <font>
      <sz val="7"/>
      <color rgb="FF080808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Arial"/>
      <family val="2"/>
    </font>
    <font>
      <sz val="10"/>
      <color rgb="FFFFFFFF"/>
      <name val="Arial"/>
      <family val="2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sz val="11"/>
      <color rgb="FFFFFFFF"/>
      <name val="Calibri"/>
    </font>
    <font>
      <i/>
      <sz val="11"/>
      <name val="Aptos Narrow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9E1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rgb="FFD9E1F2"/>
        <bgColor rgb="FFD9E1F2"/>
      </patternFill>
    </fill>
    <fill>
      <patternFill patternType="solid">
        <fgColor rgb="FF70AD47"/>
        <bgColor rgb="FF000000"/>
      </patternFill>
    </fill>
    <fill>
      <patternFill patternType="solid">
        <fgColor rgb="FFED7D31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rgb="FF9BC2E6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rgb="FFEDEDED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rgb="FF9BC2E6"/>
      </top>
      <bottom style="thin">
        <color indexed="64"/>
      </bottom>
      <diagonal/>
    </border>
    <border>
      <left/>
      <right/>
      <top style="medium">
        <color rgb="FF9BC2E6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8EA9DB"/>
      </bottom>
      <diagonal/>
    </border>
    <border>
      <left/>
      <right/>
      <top style="thin">
        <color rgb="FF8EA9DB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8" borderId="0" applyNumberFormat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3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3" fillId="4" borderId="0" xfId="0" applyFont="1" applyFill="1"/>
    <xf numFmtId="3" fontId="2" fillId="3" borderId="0" xfId="0" applyNumberFormat="1" applyFont="1" applyFill="1"/>
    <xf numFmtId="3" fontId="3" fillId="4" borderId="0" xfId="0" applyNumberFormat="1" applyFont="1" applyFill="1"/>
    <xf numFmtId="3" fontId="0" fillId="0" borderId="0" xfId="0" applyNumberFormat="1"/>
    <xf numFmtId="0" fontId="2" fillId="2" borderId="0" xfId="0" applyFont="1" applyFill="1" applyAlignment="1">
      <alignment horizontal="center"/>
    </xf>
    <xf numFmtId="0" fontId="4" fillId="0" borderId="0" xfId="0" applyFont="1" applyAlignment="1">
      <alignment horizontal="left" indent="1"/>
    </xf>
    <xf numFmtId="3" fontId="4" fillId="0" borderId="0" xfId="0" applyNumberFormat="1" applyFont="1"/>
    <xf numFmtId="3" fontId="4" fillId="0" borderId="0" xfId="0" applyNumberFormat="1" applyFont="1" applyAlignment="1">
      <alignment horizontal="center"/>
    </xf>
    <xf numFmtId="0" fontId="0" fillId="5" borderId="0" xfId="0" applyFill="1"/>
    <xf numFmtId="3" fontId="0" fillId="5" borderId="0" xfId="0" applyNumberFormat="1" applyFill="1"/>
    <xf numFmtId="16" fontId="0" fillId="0" borderId="0" xfId="0" applyNumberFormat="1" applyAlignment="1">
      <alignment horizontal="center"/>
    </xf>
    <xf numFmtId="0" fontId="3" fillId="0" borderId="0" xfId="0" applyFont="1"/>
    <xf numFmtId="3" fontId="0" fillId="6" borderId="0" xfId="0" applyNumberFormat="1" applyFill="1"/>
    <xf numFmtId="3" fontId="0" fillId="7" borderId="0" xfId="0" applyNumberFormat="1" applyFill="1"/>
    <xf numFmtId="3" fontId="0" fillId="0" borderId="0" xfId="0" applyNumberFormat="1" applyAlignment="1">
      <alignment horizontal="center"/>
    </xf>
    <xf numFmtId="165" fontId="0" fillId="0" borderId="0" xfId="3" applyNumberFormat="1" applyFont="1"/>
    <xf numFmtId="16" fontId="0" fillId="0" borderId="0" xfId="0" applyNumberFormat="1"/>
    <xf numFmtId="44" fontId="1" fillId="11" borderId="1" xfId="4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8" borderId="1" xfId="5" applyFont="1" applyBorder="1" applyAlignment="1">
      <alignment horizontal="center" vertical="center"/>
    </xf>
    <xf numFmtId="0" fontId="3" fillId="8" borderId="1" xfId="5" applyFont="1" applyBorder="1" applyAlignment="1">
      <alignment horizontal="left" vertical="center"/>
    </xf>
    <xf numFmtId="0" fontId="3" fillId="8" borderId="1" xfId="5" applyFont="1" applyBorder="1" applyAlignment="1">
      <alignment horizontal="left" vertical="center" wrapText="1"/>
    </xf>
    <xf numFmtId="17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left" vertical="center" wrapText="1"/>
    </xf>
    <xf numFmtId="0" fontId="2" fillId="9" borderId="0" xfId="0" applyFont="1" applyFill="1" applyAlignment="1">
      <alignment horizontal="left" vertical="center"/>
    </xf>
    <xf numFmtId="0" fontId="3" fillId="8" borderId="2" xfId="5" applyFont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 wrapText="1"/>
    </xf>
    <xf numFmtId="0" fontId="3" fillId="8" borderId="3" xfId="5" applyFont="1" applyBorder="1" applyAlignment="1">
      <alignment vertical="center" wrapText="1"/>
    </xf>
    <xf numFmtId="0" fontId="0" fillId="11" borderId="1" xfId="0" applyFill="1" applyBorder="1"/>
    <xf numFmtId="0" fontId="1" fillId="11" borderId="1" xfId="5" applyFill="1" applyBorder="1" applyAlignment="1">
      <alignment horizontal="center" vertical="center"/>
    </xf>
    <xf numFmtId="43" fontId="1" fillId="11" borderId="1" xfId="3" applyFont="1" applyFill="1" applyBorder="1" applyAlignment="1">
      <alignment horizontal="left" vertical="center"/>
    </xf>
    <xf numFmtId="43" fontId="1" fillId="11" borderId="1" xfId="3" applyFont="1" applyFill="1" applyBorder="1" applyAlignment="1">
      <alignment horizontal="center" vertical="center"/>
    </xf>
    <xf numFmtId="44" fontId="0" fillId="10" borderId="1" xfId="4" applyFont="1" applyFill="1" applyBorder="1" applyAlignment="1">
      <alignment horizontal="left" vertical="center"/>
    </xf>
    <xf numFmtId="44" fontId="2" fillId="9" borderId="0" xfId="4" applyFont="1" applyFill="1" applyAlignment="1">
      <alignment horizontal="left" vertical="center"/>
    </xf>
    <xf numFmtId="43" fontId="2" fillId="9" borderId="0" xfId="3" applyFont="1" applyFill="1" applyAlignment="1">
      <alignment horizontal="left" vertical="center"/>
    </xf>
    <xf numFmtId="44" fontId="0" fillId="0" borderId="0" xfId="4" applyFont="1" applyAlignment="1">
      <alignment horizontal="left" vertical="center"/>
    </xf>
    <xf numFmtId="0" fontId="3" fillId="12" borderId="1" xfId="5" applyFont="1" applyFill="1" applyBorder="1" applyAlignment="1">
      <alignment horizontal="center" vertical="center"/>
    </xf>
    <xf numFmtId="44" fontId="1" fillId="11" borderId="1" xfId="4" applyFont="1" applyFill="1" applyBorder="1" applyAlignment="1">
      <alignment horizontal="center" vertical="center"/>
    </xf>
    <xf numFmtId="0" fontId="0" fillId="11" borderId="1" xfId="0" applyFill="1" applyBorder="1" applyAlignment="1">
      <alignment horizontal="left" wrapText="1"/>
    </xf>
    <xf numFmtId="0" fontId="1" fillId="11" borderId="1" xfId="5" applyFill="1" applyBorder="1" applyAlignment="1">
      <alignment horizontal="left" vertical="center" wrapText="1"/>
    </xf>
    <xf numFmtId="44" fontId="6" fillId="10" borderId="1" xfId="4" applyFont="1" applyFill="1" applyBorder="1"/>
    <xf numFmtId="0" fontId="0" fillId="10" borderId="1" xfId="0" applyFill="1" applyBorder="1" applyAlignment="1">
      <alignment wrapText="1"/>
    </xf>
    <xf numFmtId="0" fontId="0" fillId="10" borderId="1" xfId="0" applyFill="1" applyBorder="1"/>
    <xf numFmtId="44" fontId="0" fillId="0" borderId="0" xfId="0" applyNumberFormat="1"/>
    <xf numFmtId="0" fontId="3" fillId="11" borderId="1" xfId="5" applyFont="1" applyFill="1" applyBorder="1" applyAlignment="1">
      <alignment horizontal="center" vertical="center"/>
    </xf>
    <xf numFmtId="44" fontId="3" fillId="11" borderId="1" xfId="4" applyFont="1" applyFill="1" applyBorder="1" applyAlignment="1">
      <alignment horizontal="center" vertical="center"/>
    </xf>
    <xf numFmtId="0" fontId="3" fillId="11" borderId="1" xfId="5" applyFont="1" applyFill="1" applyBorder="1" applyAlignment="1">
      <alignment horizontal="left" vertical="center"/>
    </xf>
    <xf numFmtId="44" fontId="0" fillId="10" borderId="1" xfId="4" applyFont="1" applyFill="1" applyBorder="1"/>
    <xf numFmtId="0" fontId="7" fillId="14" borderId="1" xfId="0" applyFont="1" applyFill="1" applyBorder="1" applyAlignment="1">
      <alignment horizontal="center" vertical="center" wrapText="1" readingOrder="1"/>
    </xf>
    <xf numFmtId="0" fontId="7" fillId="15" borderId="1" xfId="0" applyFont="1" applyFill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left" vertical="center" wrapText="1" readingOrder="1"/>
    </xf>
    <xf numFmtId="8" fontId="9" fillId="0" borderId="1" xfId="0" applyNumberFormat="1" applyFont="1" applyBorder="1" applyAlignment="1">
      <alignment horizontal="right" vertical="center" wrapText="1" readingOrder="1"/>
    </xf>
    <xf numFmtId="0" fontId="8" fillId="11" borderId="1" xfId="0" applyFont="1" applyFill="1" applyBorder="1" applyAlignment="1">
      <alignment horizontal="left" vertical="center" wrapText="1" readingOrder="1"/>
    </xf>
    <xf numFmtId="8" fontId="9" fillId="11" borderId="1" xfId="0" applyNumberFormat="1" applyFont="1" applyFill="1" applyBorder="1" applyAlignment="1">
      <alignment horizontal="right" vertical="center" wrapText="1" readingOrder="1"/>
    </xf>
    <xf numFmtId="8" fontId="8" fillId="0" borderId="1" xfId="0" applyNumberFormat="1" applyFont="1" applyBorder="1" applyAlignment="1">
      <alignment horizontal="right" vertical="center" wrapText="1" readingOrder="1"/>
    </xf>
    <xf numFmtId="8" fontId="10" fillId="16" borderId="1" xfId="0" applyNumberFormat="1" applyFont="1" applyFill="1" applyBorder="1" applyAlignment="1">
      <alignment horizontal="right" vertical="center" wrapText="1" readingOrder="1"/>
    </xf>
    <xf numFmtId="8" fontId="11" fillId="16" borderId="1" xfId="0" applyNumberFormat="1" applyFont="1" applyFill="1" applyBorder="1" applyAlignment="1">
      <alignment horizontal="right" vertical="center" wrapText="1" readingOrder="1"/>
    </xf>
    <xf numFmtId="0" fontId="8" fillId="17" borderId="1" xfId="0" applyFont="1" applyFill="1" applyBorder="1" applyAlignment="1">
      <alignment horizontal="left" vertical="center" wrapText="1" readingOrder="1"/>
    </xf>
    <xf numFmtId="8" fontId="9" fillId="17" borderId="1" xfId="0" applyNumberFormat="1" applyFont="1" applyFill="1" applyBorder="1" applyAlignment="1">
      <alignment horizontal="right" vertical="center" wrapText="1" readingOrder="1"/>
    </xf>
    <xf numFmtId="0" fontId="12" fillId="0" borderId="1" xfId="0" applyFont="1" applyBorder="1" applyAlignment="1">
      <alignment horizontal="right" vertical="center" wrapText="1"/>
    </xf>
    <xf numFmtId="8" fontId="0" fillId="0" borderId="0" xfId="0" applyNumberFormat="1"/>
    <xf numFmtId="8" fontId="10" fillId="17" borderId="1" xfId="0" applyNumberFormat="1" applyFont="1" applyFill="1" applyBorder="1" applyAlignment="1">
      <alignment horizontal="right" vertical="center" wrapText="1" readingOrder="1"/>
    </xf>
    <xf numFmtId="0" fontId="0" fillId="11" borderId="0" xfId="0" applyFill="1"/>
    <xf numFmtId="3" fontId="0" fillId="11" borderId="0" xfId="0" applyNumberFormat="1" applyFill="1"/>
    <xf numFmtId="165" fontId="0" fillId="11" borderId="0" xfId="3" applyNumberFormat="1" applyFont="1" applyFill="1"/>
    <xf numFmtId="165" fontId="0" fillId="0" borderId="0" xfId="0" applyNumberFormat="1"/>
    <xf numFmtId="17" fontId="0" fillId="0" borderId="0" xfId="0" applyNumberFormat="1"/>
    <xf numFmtId="0" fontId="13" fillId="18" borderId="7" xfId="0" applyFont="1" applyFill="1" applyBorder="1" applyAlignment="1">
      <alignment wrapText="1"/>
    </xf>
    <xf numFmtId="0" fontId="13" fillId="18" borderId="8" xfId="0" applyFont="1" applyFill="1" applyBorder="1" applyAlignment="1">
      <alignment wrapText="1"/>
    </xf>
    <xf numFmtId="0" fontId="5" fillId="0" borderId="0" xfId="0" applyFont="1"/>
    <xf numFmtId="0" fontId="5" fillId="19" borderId="5" xfId="0" applyFont="1" applyFill="1" applyBorder="1"/>
    <xf numFmtId="0" fontId="5" fillId="19" borderId="4" xfId="0" applyFont="1" applyFill="1" applyBorder="1"/>
    <xf numFmtId="0" fontId="5" fillId="19" borderId="9" xfId="0" applyFont="1" applyFill="1" applyBorder="1"/>
    <xf numFmtId="0" fontId="5" fillId="19" borderId="10" xfId="0" applyFont="1" applyFill="1" applyBorder="1"/>
    <xf numFmtId="0" fontId="5" fillId="19" borderId="3" xfId="0" applyFont="1" applyFill="1" applyBorder="1"/>
    <xf numFmtId="0" fontId="5" fillId="19" borderId="8" xfId="0" applyFont="1" applyFill="1" applyBorder="1"/>
    <xf numFmtId="0" fontId="5" fillId="19" borderId="11" xfId="0" applyFont="1" applyFill="1" applyBorder="1"/>
    <xf numFmtId="0" fontId="14" fillId="21" borderId="12" xfId="0" applyFont="1" applyFill="1" applyBorder="1" applyAlignment="1">
      <alignment wrapText="1"/>
    </xf>
    <xf numFmtId="0" fontId="14" fillId="21" borderId="5" xfId="0" applyFont="1" applyFill="1" applyBorder="1" applyAlignment="1">
      <alignment wrapText="1"/>
    </xf>
    <xf numFmtId="0" fontId="14" fillId="21" borderId="0" xfId="0" applyFont="1" applyFill="1" applyAlignment="1">
      <alignment wrapText="1"/>
    </xf>
    <xf numFmtId="0" fontId="14" fillId="21" borderId="13" xfId="0" applyFont="1" applyFill="1" applyBorder="1" applyAlignment="1">
      <alignment wrapText="1"/>
    </xf>
    <xf numFmtId="0" fontId="13" fillId="18" borderId="0" xfId="0" applyFont="1" applyFill="1" applyAlignment="1">
      <alignment wrapText="1"/>
    </xf>
    <xf numFmtId="0" fontId="13" fillId="18" borderId="14" xfId="0" applyFont="1" applyFill="1" applyBorder="1" applyAlignment="1">
      <alignment wrapText="1"/>
    </xf>
    <xf numFmtId="0" fontId="13" fillId="18" borderId="15" xfId="0" applyFont="1" applyFill="1" applyBorder="1" applyAlignment="1">
      <alignment wrapText="1"/>
    </xf>
    <xf numFmtId="0" fontId="5" fillId="19" borderId="16" xfId="0" applyFont="1" applyFill="1" applyBorder="1"/>
    <xf numFmtId="0" fontId="5" fillId="21" borderId="0" xfId="0" applyFont="1" applyFill="1"/>
    <xf numFmtId="0" fontId="5" fillId="21" borderId="13" xfId="0" applyFont="1" applyFill="1" applyBorder="1"/>
    <xf numFmtId="0" fontId="5" fillId="0" borderId="0" xfId="0" applyFont="1" applyAlignment="1">
      <alignment wrapText="1"/>
    </xf>
    <xf numFmtId="0" fontId="5" fillId="19" borderId="2" xfId="0" applyFont="1" applyFill="1" applyBorder="1"/>
    <xf numFmtId="0" fontId="5" fillId="19" borderId="17" xfId="0" applyFont="1" applyFill="1" applyBorder="1"/>
    <xf numFmtId="0" fontId="5" fillId="19" borderId="6" xfId="0" applyFont="1" applyFill="1" applyBorder="1"/>
    <xf numFmtId="0" fontId="5" fillId="0" borderId="3" xfId="0" applyFont="1" applyBorder="1" applyAlignment="1">
      <alignment wrapText="1"/>
    </xf>
    <xf numFmtId="0" fontId="13" fillId="18" borderId="3" xfId="0" applyFont="1" applyFill="1" applyBorder="1" applyAlignment="1">
      <alignment wrapText="1"/>
    </xf>
    <xf numFmtId="0" fontId="16" fillId="23" borderId="0" xfId="0" applyFont="1" applyFill="1"/>
    <xf numFmtId="0" fontId="17" fillId="0" borderId="0" xfId="0" applyFont="1"/>
    <xf numFmtId="0" fontId="18" fillId="24" borderId="18" xfId="0" applyFont="1" applyFill="1" applyBorder="1"/>
    <xf numFmtId="0" fontId="19" fillId="25" borderId="18" xfId="0" applyFont="1" applyFill="1" applyBorder="1"/>
    <xf numFmtId="0" fontId="19" fillId="26" borderId="18" xfId="0" applyFont="1" applyFill="1" applyBorder="1"/>
    <xf numFmtId="0" fontId="20" fillId="25" borderId="0" xfId="0" applyFont="1" applyFill="1"/>
    <xf numFmtId="0" fontId="20" fillId="26" borderId="0" xfId="0" applyFont="1" applyFill="1"/>
    <xf numFmtId="0" fontId="17" fillId="0" borderId="0" xfId="0" applyFont="1" applyAlignment="1">
      <alignment wrapText="1"/>
    </xf>
    <xf numFmtId="0" fontId="18" fillId="24" borderId="19" xfId="0" applyFont="1" applyFill="1" applyBorder="1"/>
    <xf numFmtId="0" fontId="19" fillId="25" borderId="19" xfId="0" applyFont="1" applyFill="1" applyBorder="1"/>
    <xf numFmtId="0" fontId="19" fillId="26" borderId="19" xfId="0" applyFont="1" applyFill="1" applyBorder="1"/>
    <xf numFmtId="3" fontId="21" fillId="0" borderId="0" xfId="0" applyNumberFormat="1" applyFont="1"/>
    <xf numFmtId="0" fontId="1" fillId="0" borderId="1" xfId="5" applyFill="1" applyBorder="1" applyAlignment="1">
      <alignment horizontal="center" vertical="center" wrapText="1"/>
    </xf>
    <xf numFmtId="44" fontId="1" fillId="11" borderId="1" xfId="4" applyFont="1" applyFill="1" applyBorder="1" applyAlignment="1">
      <alignment horizontal="center" vertical="center" wrapText="1"/>
    </xf>
    <xf numFmtId="3" fontId="1" fillId="0" borderId="1" xfId="5" applyNumberFormat="1" applyFill="1" applyBorder="1" applyAlignment="1">
      <alignment horizontal="center" vertical="center" wrapText="1"/>
    </xf>
    <xf numFmtId="0" fontId="1" fillId="0" borderId="1" xfId="5" quotePrefix="1" applyFill="1" applyBorder="1" applyAlignment="1">
      <alignment horizontal="left" vertical="center" wrapText="1"/>
    </xf>
    <xf numFmtId="164" fontId="0" fillId="0" borderId="0" xfId="0" applyNumberFormat="1"/>
    <xf numFmtId="0" fontId="3" fillId="12" borderId="1" xfId="5" applyFont="1" applyFill="1" applyBorder="1" applyAlignment="1">
      <alignment horizontal="center" vertical="center" wrapText="1"/>
    </xf>
    <xf numFmtId="0" fontId="3" fillId="8" borderId="1" xfId="5" applyFon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 applyAlignment="1">
      <alignment wrapText="1"/>
    </xf>
    <xf numFmtId="3" fontId="4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0" fontId="1" fillId="11" borderId="1" xfId="5" applyFill="1" applyBorder="1" applyAlignment="1">
      <alignment horizontal="center" vertical="center" wrapText="1"/>
    </xf>
    <xf numFmtId="0" fontId="5" fillId="20" borderId="5" xfId="0" applyFont="1" applyFill="1" applyBorder="1"/>
    <xf numFmtId="0" fontId="5" fillId="22" borderId="5" xfId="0" applyFont="1" applyFill="1" applyBorder="1" applyAlignment="1">
      <alignment wrapText="1"/>
    </xf>
    <xf numFmtId="0" fontId="0" fillId="13" borderId="1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0" fontId="0" fillId="13" borderId="5" xfId="0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 wrapText="1"/>
    </xf>
    <xf numFmtId="0" fontId="10" fillId="16" borderId="2" xfId="0" applyFont="1" applyFill="1" applyBorder="1" applyAlignment="1">
      <alignment horizontal="left" vertical="center" wrapText="1" readingOrder="1"/>
    </xf>
    <xf numFmtId="0" fontId="10" fillId="16" borderId="6" xfId="0" applyFont="1" applyFill="1" applyBorder="1" applyAlignment="1">
      <alignment horizontal="left" vertical="center" wrapText="1" readingOrder="1"/>
    </xf>
    <xf numFmtId="0" fontId="10" fillId="17" borderId="2" xfId="0" applyFont="1" applyFill="1" applyBorder="1" applyAlignment="1">
      <alignment horizontal="left" vertical="center" wrapText="1" readingOrder="1"/>
    </xf>
    <xf numFmtId="0" fontId="10" fillId="17" borderId="6" xfId="0" applyFont="1" applyFill="1" applyBorder="1" applyAlignment="1">
      <alignment horizontal="left" vertical="center" wrapText="1" readingOrder="1"/>
    </xf>
    <xf numFmtId="16" fontId="3" fillId="0" borderId="0" xfId="0" applyNumberFormat="1" applyFont="1" applyAlignment="1">
      <alignment horizontal="center" vertical="center"/>
    </xf>
    <xf numFmtId="1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43" fontId="0" fillId="0" borderId="0" xfId="3" applyFont="1"/>
    <xf numFmtId="43" fontId="4" fillId="0" borderId="0" xfId="3" applyFont="1"/>
    <xf numFmtId="0" fontId="0" fillId="0" borderId="0" xfId="0" applyAlignment="1">
      <alignment horizontal="center"/>
    </xf>
  </cellXfs>
  <cellStyles count="8">
    <cellStyle name="40% - Accent6" xfId="5" builtinId="51"/>
    <cellStyle name="Comma" xfId="3" builtinId="3"/>
    <cellStyle name="Comma 2" xfId="1" xr:uid="{6F60F91C-CB74-43F0-AFC5-8CBD37BDFBC1}"/>
    <cellStyle name="Comma 3" xfId="7" xr:uid="{8BBE02FE-11BC-46DF-8A09-F9243703D418}"/>
    <cellStyle name="Currency" xfId="4" builtinId="4"/>
    <cellStyle name="Currency 2" xfId="6" xr:uid="{696C0F6C-26B6-4524-BDCD-796FE4EE7574}"/>
    <cellStyle name="Normal" xfId="0" builtinId="0"/>
    <cellStyle name="Normal 2" xfId="2" xr:uid="{541C3021-C7E5-426D-BC31-8BC0BD4F1D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37C2D-CC56-4CCB-AB24-E7F03D13A98B}">
  <dimension ref="B2:K48"/>
  <sheetViews>
    <sheetView showGridLines="0" tabSelected="1" zoomScale="70" zoomScaleNormal="70" workbookViewId="0">
      <selection activeCell="F15" sqref="F15"/>
    </sheetView>
  </sheetViews>
  <sheetFormatPr defaultRowHeight="14.5" outlineLevelRow="1"/>
  <cols>
    <col min="2" max="2" width="72.26953125" bestFit="1" customWidth="1"/>
    <col min="3" max="3" width="12.1796875" hidden="1" customWidth="1"/>
    <col min="4" max="4" width="14.7265625" bestFit="1" customWidth="1"/>
    <col min="5" max="5" width="16.26953125" bestFit="1" customWidth="1"/>
    <col min="6" max="6" width="16.453125" bestFit="1" customWidth="1"/>
    <col min="7" max="7" width="19.453125" customWidth="1"/>
    <col min="8" max="8" width="53.54296875" bestFit="1" customWidth="1"/>
    <col min="9" max="9" width="33" bestFit="1" customWidth="1"/>
    <col min="11" max="11" width="31" bestFit="1" customWidth="1"/>
  </cols>
  <sheetData>
    <row r="2" spans="2:11" ht="29">
      <c r="B2" s="139" t="s">
        <v>0</v>
      </c>
      <c r="C2" s="13" t="s">
        <v>1</v>
      </c>
      <c r="D2" s="137" t="s">
        <v>2</v>
      </c>
      <c r="E2" s="137" t="s">
        <v>418</v>
      </c>
      <c r="F2" s="137" t="s">
        <v>419</v>
      </c>
      <c r="G2" s="138" t="s">
        <v>420</v>
      </c>
    </row>
    <row r="3" spans="2:11">
      <c r="B3" s="1"/>
      <c r="C3" s="7" t="s">
        <v>3</v>
      </c>
      <c r="D3" s="7" t="s">
        <v>3</v>
      </c>
      <c r="E3" s="7" t="s">
        <v>3</v>
      </c>
      <c r="F3" s="7" t="s">
        <v>3</v>
      </c>
      <c r="G3" s="7" t="s">
        <v>3</v>
      </c>
      <c r="H3" s="7" t="s">
        <v>4</v>
      </c>
      <c r="I3" s="7" t="s">
        <v>5</v>
      </c>
      <c r="J3" s="7" t="s">
        <v>6</v>
      </c>
      <c r="K3" s="7" t="s">
        <v>7</v>
      </c>
    </row>
    <row r="4" spans="2:11">
      <c r="B4" s="2" t="s">
        <v>2</v>
      </c>
      <c r="C4" s="4">
        <f>SUBTOTAL(9,C5:C46)</f>
        <v>55158866</v>
      </c>
      <c r="D4" s="4">
        <f>SUBTOTAL(9,D5:D46)</f>
        <v>79420359.720000014</v>
      </c>
      <c r="E4" s="4">
        <f>SUBTOTAL(9,E5:E46)</f>
        <v>30620744.039999999</v>
      </c>
      <c r="F4" s="4">
        <f>SUBTOTAL(9,F5:F46)</f>
        <v>47151611.429999992</v>
      </c>
      <c r="G4" s="4">
        <f>SUBTOTAL(9,G5:G46)</f>
        <v>69295789.920000002</v>
      </c>
      <c r="H4" s="4"/>
      <c r="I4" s="4"/>
      <c r="J4" s="4"/>
      <c r="K4" s="4"/>
    </row>
    <row r="5" spans="2:11">
      <c r="B5" s="3" t="s">
        <v>8</v>
      </c>
      <c r="C5" s="5">
        <f t="shared" ref="C5:G5" si="0">SUBTOTAL(9,C6:C9)</f>
        <v>10925410</v>
      </c>
      <c r="D5" s="5">
        <f t="shared" si="0"/>
        <v>10925410</v>
      </c>
      <c r="E5" s="5">
        <f>SUBTOTAL(9,E6:E9)</f>
        <v>7909410</v>
      </c>
      <c r="F5" s="5">
        <f t="shared" si="0"/>
        <v>3016000</v>
      </c>
      <c r="G5" s="5">
        <f t="shared" si="0"/>
        <v>429410</v>
      </c>
      <c r="H5" s="5"/>
      <c r="I5" s="5"/>
      <c r="J5" s="5"/>
      <c r="K5" s="5"/>
    </row>
    <row r="6" spans="2:11">
      <c r="B6" t="s">
        <v>9</v>
      </c>
      <c r="C6" s="6">
        <v>359410</v>
      </c>
      <c r="D6" s="6">
        <v>359410</v>
      </c>
      <c r="E6" s="6">
        <f>D6</f>
        <v>359410</v>
      </c>
      <c r="F6" s="6">
        <f>D6-E6</f>
        <v>0</v>
      </c>
      <c r="G6" s="6">
        <v>359410</v>
      </c>
      <c r="H6" s="15" t="s">
        <v>10</v>
      </c>
      <c r="I6" s="6"/>
      <c r="J6" s="6" t="s">
        <v>11</v>
      </c>
    </row>
    <row r="7" spans="2:11">
      <c r="B7" t="s">
        <v>12</v>
      </c>
      <c r="C7" s="6">
        <v>1496000</v>
      </c>
      <c r="D7" s="6">
        <v>1496000</v>
      </c>
      <c r="E7" s="6">
        <f>D7</f>
        <v>1496000</v>
      </c>
      <c r="F7" s="6">
        <f>D7-E7</f>
        <v>0</v>
      </c>
      <c r="G7" s="6">
        <v>0</v>
      </c>
      <c r="H7" s="16" t="s">
        <v>13</v>
      </c>
      <c r="I7" s="6" t="s">
        <v>11</v>
      </c>
      <c r="J7" s="6" t="s">
        <v>11</v>
      </c>
    </row>
    <row r="8" spans="2:11">
      <c r="B8" t="s">
        <v>14</v>
      </c>
      <c r="C8" s="6">
        <v>9000000</v>
      </c>
      <c r="D8" s="6">
        <v>9000000</v>
      </c>
      <c r="E8" s="6">
        <v>5984000</v>
      </c>
      <c r="F8" s="6">
        <f>D8-E8</f>
        <v>3016000</v>
      </c>
      <c r="G8" s="6">
        <v>0</v>
      </c>
      <c r="H8" s="16" t="s">
        <v>13</v>
      </c>
      <c r="I8" s="6" t="s">
        <v>11</v>
      </c>
      <c r="J8" s="6" t="s">
        <v>11</v>
      </c>
      <c r="K8" s="76">
        <v>45566</v>
      </c>
    </row>
    <row r="9" spans="2:11">
      <c r="B9" t="s">
        <v>15</v>
      </c>
      <c r="C9" s="6">
        <v>70000</v>
      </c>
      <c r="D9" s="6">
        <v>70000</v>
      </c>
      <c r="E9" s="6">
        <f>D9</f>
        <v>70000</v>
      </c>
      <c r="F9" s="6">
        <f>D9-E9</f>
        <v>0</v>
      </c>
      <c r="G9" s="6">
        <v>70000</v>
      </c>
      <c r="H9" s="15" t="s">
        <v>10</v>
      </c>
      <c r="I9" s="6"/>
      <c r="J9" s="6" t="s">
        <v>11</v>
      </c>
    </row>
    <row r="10" spans="2:11">
      <c r="B10" s="3" t="s">
        <v>16</v>
      </c>
      <c r="C10" s="5">
        <f>SUBTOTAL(9,C11:C19)</f>
        <v>7084730</v>
      </c>
      <c r="D10" s="5">
        <f>D11+D16+D19</f>
        <v>6817653.8400000008</v>
      </c>
      <c r="E10" s="5">
        <f t="shared" ref="E10:F10" si="1">E11+E16+E19</f>
        <v>960895.86</v>
      </c>
      <c r="F10" s="5">
        <f t="shared" si="1"/>
        <v>5307423.2300000004</v>
      </c>
      <c r="G10" s="5">
        <f>SUBTOTAL(9,G11:G19)</f>
        <v>6817653.4800000004</v>
      </c>
      <c r="H10" s="5"/>
      <c r="I10" s="5"/>
      <c r="J10" s="5"/>
      <c r="K10" s="5"/>
    </row>
    <row r="11" spans="2:11">
      <c r="B11" t="s">
        <v>17</v>
      </c>
      <c r="C11" s="6">
        <v>6534156</v>
      </c>
      <c r="D11" s="6">
        <f>SUM(D12:D15)</f>
        <v>6267078.7300000004</v>
      </c>
      <c r="E11" s="6">
        <f t="shared" ref="E11:F11" si="2">SUM(E12:E15)</f>
        <v>959655.5</v>
      </c>
      <c r="F11" s="6">
        <f t="shared" si="2"/>
        <v>5307423.2300000004</v>
      </c>
      <c r="G11" s="6">
        <f>SUBTOTAL(9,G12:G15)</f>
        <v>6267078.7300000004</v>
      </c>
      <c r="H11" s="15" t="s">
        <v>10</v>
      </c>
      <c r="I11" s="6"/>
      <c r="J11" s="6" t="s">
        <v>18</v>
      </c>
    </row>
    <row r="12" spans="2:11" outlineLevel="1">
      <c r="B12" s="8" t="s">
        <v>19</v>
      </c>
      <c r="C12" s="10" t="s">
        <v>20</v>
      </c>
      <c r="D12" s="6">
        <f>SUM(E12:F12)</f>
        <v>3373418.73</v>
      </c>
      <c r="E12" s="6">
        <v>687995.5</v>
      </c>
      <c r="F12" s="9">
        <v>2685423.23</v>
      </c>
      <c r="G12" s="9">
        <v>3373418.73</v>
      </c>
      <c r="H12" s="6" t="s">
        <v>10</v>
      </c>
      <c r="I12" s="6"/>
      <c r="J12" s="6" t="s">
        <v>18</v>
      </c>
    </row>
    <row r="13" spans="2:11" outlineLevel="1">
      <c r="B13" s="8" t="s">
        <v>21</v>
      </c>
      <c r="C13" s="10" t="s">
        <v>20</v>
      </c>
      <c r="D13" s="6">
        <f>SUM(E13:F13)</f>
        <v>2622000</v>
      </c>
      <c r="E13">
        <v>0</v>
      </c>
      <c r="F13" s="6">
        <v>2622000</v>
      </c>
      <c r="G13" s="9">
        <v>2622000</v>
      </c>
      <c r="H13" s="6" t="s">
        <v>10</v>
      </c>
      <c r="I13" s="6"/>
      <c r="J13" s="6" t="s">
        <v>18</v>
      </c>
    </row>
    <row r="14" spans="2:11" outlineLevel="1">
      <c r="B14" s="8" t="s">
        <v>22</v>
      </c>
      <c r="C14" s="10" t="s">
        <v>20</v>
      </c>
      <c r="D14" s="6">
        <f>SUM(E14:F14)</f>
        <v>232000</v>
      </c>
      <c r="E14" s="6">
        <v>232000</v>
      </c>
      <c r="F14">
        <v>0</v>
      </c>
      <c r="G14" s="9">
        <v>232000</v>
      </c>
      <c r="H14" s="6" t="s">
        <v>10</v>
      </c>
      <c r="I14" s="6"/>
      <c r="J14" s="6" t="s">
        <v>18</v>
      </c>
    </row>
    <row r="15" spans="2:11" outlineLevel="1">
      <c r="B15" s="8" t="s">
        <v>23</v>
      </c>
      <c r="C15" s="10" t="s">
        <v>20</v>
      </c>
      <c r="D15" s="6">
        <f>SUM(E15:F15)</f>
        <v>39660</v>
      </c>
      <c r="E15" s="9">
        <v>39660</v>
      </c>
      <c r="F15" s="9">
        <v>0</v>
      </c>
      <c r="G15" s="9">
        <v>39660</v>
      </c>
      <c r="H15" s="6" t="s">
        <v>10</v>
      </c>
      <c r="I15" s="6"/>
      <c r="J15" s="6" t="s">
        <v>11</v>
      </c>
    </row>
    <row r="16" spans="2:11">
      <c r="B16" t="s">
        <v>24</v>
      </c>
      <c r="C16" s="6">
        <v>549334</v>
      </c>
      <c r="D16" s="6">
        <f>SUM(D17:D18)</f>
        <v>549334.75</v>
      </c>
      <c r="E16" s="6"/>
      <c r="F16" s="6"/>
      <c r="G16" s="6">
        <f>SUBTOTAL(9,G17:G18)</f>
        <v>549334.75</v>
      </c>
      <c r="H16" s="15" t="s">
        <v>10</v>
      </c>
      <c r="I16" s="6"/>
      <c r="J16" s="6" t="s">
        <v>18</v>
      </c>
    </row>
    <row r="17" spans="2:11" outlineLevel="1">
      <c r="B17" s="8" t="s">
        <v>25</v>
      </c>
      <c r="C17" s="10" t="s">
        <v>20</v>
      </c>
      <c r="D17" s="6">
        <v>228232.75</v>
      </c>
      <c r="E17" s="9"/>
      <c r="F17" s="9"/>
      <c r="G17" s="9">
        <v>228232.75</v>
      </c>
      <c r="H17" s="9"/>
      <c r="I17" s="9"/>
      <c r="J17" s="6" t="s">
        <v>18</v>
      </c>
    </row>
    <row r="18" spans="2:11" outlineLevel="1">
      <c r="B18" s="8" t="s">
        <v>26</v>
      </c>
      <c r="C18" s="10" t="s">
        <v>20</v>
      </c>
      <c r="D18" s="124">
        <v>321102</v>
      </c>
      <c r="E18" s="9"/>
      <c r="F18" s="9"/>
      <c r="G18" s="9">
        <v>321102</v>
      </c>
      <c r="H18" s="9"/>
      <c r="I18" s="9"/>
      <c r="J18" s="6" t="s">
        <v>18</v>
      </c>
    </row>
    <row r="19" spans="2:11">
      <c r="B19" t="s">
        <v>27</v>
      </c>
      <c r="C19" s="6">
        <v>1240</v>
      </c>
      <c r="D19" s="6">
        <f>SUM(E19:F19)</f>
        <v>1240.3599999999999</v>
      </c>
      <c r="E19" s="125">
        <v>1240.3599999999999</v>
      </c>
      <c r="F19" s="6">
        <v>0</v>
      </c>
      <c r="G19" s="6">
        <v>1240</v>
      </c>
      <c r="H19" s="6"/>
      <c r="I19" s="6"/>
      <c r="J19" s="6" t="s">
        <v>11</v>
      </c>
    </row>
    <row r="20" spans="2:11">
      <c r="B20" s="3" t="s">
        <v>28</v>
      </c>
      <c r="C20" s="5">
        <f>SUBTOTAL(9,C21:C46)</f>
        <v>37148726</v>
      </c>
      <c r="D20" s="5">
        <f>SUBTOTAL(9,D21:D46)</f>
        <v>48043228.560000002</v>
      </c>
      <c r="E20" s="5">
        <f>SUBTOTAL(9,E21:E46)</f>
        <v>19829886.82</v>
      </c>
      <c r="F20" s="5">
        <f>SUBTOTAL(9,F21:F46)</f>
        <v>28213341.739999995</v>
      </c>
      <c r="G20" s="5">
        <f>SUBTOTAL(9,G21:G48)</f>
        <v>62048726.440000005</v>
      </c>
      <c r="H20" s="5"/>
      <c r="I20" s="5"/>
      <c r="J20" s="5"/>
      <c r="K20" s="5"/>
    </row>
    <row r="21" spans="2:11">
      <c r="B21" t="s">
        <v>29</v>
      </c>
      <c r="C21" s="6">
        <v>37148726</v>
      </c>
      <c r="D21" s="6">
        <f>SUBTOTAL(9,D22:D36)</f>
        <v>37337854.580000006</v>
      </c>
      <c r="E21" s="140">
        <f t="shared" ref="E21:F21" si="3">SUBTOTAL(9,E22:E36)</f>
        <v>19539223.920000002</v>
      </c>
      <c r="F21" s="140">
        <f t="shared" si="3"/>
        <v>17798630.659999993</v>
      </c>
      <c r="G21" s="6">
        <f>SUBTOTAL(9,G22:G36)</f>
        <v>37148726.440000005</v>
      </c>
      <c r="H21" s="15" t="s">
        <v>10</v>
      </c>
      <c r="I21" s="6"/>
      <c r="J21" s="6" t="s">
        <v>30</v>
      </c>
    </row>
    <row r="22" spans="2:11" outlineLevel="1">
      <c r="B22" s="8" t="s">
        <v>31</v>
      </c>
      <c r="C22" s="10" t="s">
        <v>20</v>
      </c>
      <c r="D22" s="9">
        <v>16742798.26</v>
      </c>
      <c r="E22" s="141">
        <v>8134057.1100000003</v>
      </c>
      <c r="F22" s="141">
        <f>D22-E22</f>
        <v>8608741.1499999985</v>
      </c>
      <c r="G22" s="9">
        <v>16742798.26</v>
      </c>
      <c r="H22" s="6" t="s">
        <v>10</v>
      </c>
      <c r="I22" s="6"/>
      <c r="J22" s="6" t="s">
        <v>18</v>
      </c>
      <c r="K22" s="19">
        <v>45588</v>
      </c>
    </row>
    <row r="23" spans="2:11" outlineLevel="1">
      <c r="B23" s="8" t="s">
        <v>32</v>
      </c>
      <c r="C23" s="10" t="s">
        <v>20</v>
      </c>
      <c r="D23" s="9">
        <v>8011329.9800000004</v>
      </c>
      <c r="E23" s="141">
        <v>5309944.66</v>
      </c>
      <c r="F23" s="141">
        <f>D23-E23</f>
        <v>2701385.3200000003</v>
      </c>
      <c r="G23" s="9">
        <v>8011329.9800000004</v>
      </c>
      <c r="H23" s="6" t="s">
        <v>10</v>
      </c>
      <c r="I23" s="6"/>
      <c r="J23" s="6" t="s">
        <v>18</v>
      </c>
      <c r="K23" s="19">
        <v>45590</v>
      </c>
    </row>
    <row r="24" spans="2:11" outlineLevel="1">
      <c r="B24" s="8" t="s">
        <v>33</v>
      </c>
      <c r="C24" s="10" t="s">
        <v>20</v>
      </c>
      <c r="D24" s="114">
        <v>3283809.8800000008</v>
      </c>
      <c r="E24" s="141">
        <v>2152308.04</v>
      </c>
      <c r="F24" s="141">
        <f>D24-E24</f>
        <v>1131501.8400000008</v>
      </c>
      <c r="G24" s="9">
        <v>3094681.74</v>
      </c>
      <c r="H24" s="6" t="s">
        <v>10</v>
      </c>
      <c r="I24" s="6"/>
      <c r="J24" s="6" t="s">
        <v>18</v>
      </c>
      <c r="K24" s="19">
        <v>45590</v>
      </c>
    </row>
    <row r="25" spans="2:11" outlineLevel="1">
      <c r="B25" s="8" t="s">
        <v>34</v>
      </c>
      <c r="C25" s="10" t="s">
        <v>20</v>
      </c>
      <c r="D25" s="9">
        <v>2400000</v>
      </c>
      <c r="E25" s="141">
        <v>1319080.56</v>
      </c>
      <c r="F25" s="141">
        <f t="shared" ref="F25:F36" si="4">D25-E25</f>
        <v>1080919.44</v>
      </c>
      <c r="G25" s="9">
        <v>2400000</v>
      </c>
      <c r="H25" s="6" t="s">
        <v>10</v>
      </c>
      <c r="I25" s="6"/>
      <c r="J25" s="6" t="s">
        <v>11</v>
      </c>
      <c r="K25" s="19">
        <v>45597</v>
      </c>
    </row>
    <row r="26" spans="2:11" outlineLevel="1">
      <c r="B26" s="8" t="s">
        <v>35</v>
      </c>
      <c r="C26" s="10" t="s">
        <v>20</v>
      </c>
      <c r="D26" s="9">
        <v>2036944.51</v>
      </c>
      <c r="E26" s="141">
        <v>226480.8</v>
      </c>
      <c r="F26" s="141">
        <f t="shared" si="4"/>
        <v>1810463.71</v>
      </c>
      <c r="G26" s="9">
        <v>2036944.51</v>
      </c>
      <c r="H26" s="6" t="s">
        <v>10</v>
      </c>
      <c r="I26" s="6"/>
      <c r="J26" s="6" t="s">
        <v>11</v>
      </c>
      <c r="K26" s="19">
        <v>45597</v>
      </c>
    </row>
    <row r="27" spans="2:11" outlineLevel="1">
      <c r="B27" s="8" t="s">
        <v>36</v>
      </c>
      <c r="C27" s="10" t="s">
        <v>20</v>
      </c>
      <c r="D27" s="9">
        <v>1005971.95</v>
      </c>
      <c r="E27" s="141">
        <v>780420.10000000009</v>
      </c>
      <c r="F27" s="141">
        <f t="shared" si="4"/>
        <v>225551.84999999986</v>
      </c>
      <c r="G27" s="9">
        <v>1005971.95</v>
      </c>
      <c r="H27" s="6" t="s">
        <v>10</v>
      </c>
      <c r="I27" s="6"/>
      <c r="J27" s="6" t="s">
        <v>11</v>
      </c>
      <c r="K27" s="19">
        <v>45597</v>
      </c>
    </row>
    <row r="28" spans="2:11" outlineLevel="1">
      <c r="B28" s="8" t="s">
        <v>37</v>
      </c>
      <c r="C28" s="10" t="s">
        <v>20</v>
      </c>
      <c r="D28" s="9">
        <v>800000</v>
      </c>
      <c r="E28" s="141">
        <v>142078.63999999998</v>
      </c>
      <c r="F28" s="141">
        <f t="shared" si="4"/>
        <v>657921.36</v>
      </c>
      <c r="G28" s="9">
        <v>800000</v>
      </c>
      <c r="H28" s="6" t="s">
        <v>10</v>
      </c>
      <c r="I28" s="6"/>
      <c r="J28" s="6" t="s">
        <v>11</v>
      </c>
      <c r="K28" s="19">
        <v>45597</v>
      </c>
    </row>
    <row r="29" spans="2:11" outlineLevel="1">
      <c r="B29" s="8" t="s">
        <v>38</v>
      </c>
      <c r="C29" s="10" t="s">
        <v>20</v>
      </c>
      <c r="D29" s="9">
        <v>643000</v>
      </c>
      <c r="E29" s="141">
        <v>333613.29000000004</v>
      </c>
      <c r="F29" s="141">
        <f t="shared" si="4"/>
        <v>309386.70999999996</v>
      </c>
      <c r="G29" s="9">
        <v>643000</v>
      </c>
      <c r="H29" s="6" t="s">
        <v>10</v>
      </c>
      <c r="I29" s="6"/>
      <c r="J29" s="6" t="s">
        <v>11</v>
      </c>
      <c r="K29" s="19">
        <v>45597</v>
      </c>
    </row>
    <row r="30" spans="2:11" outlineLevel="1">
      <c r="B30" s="8" t="s">
        <v>39</v>
      </c>
      <c r="C30" s="10" t="s">
        <v>20</v>
      </c>
      <c r="D30" s="9">
        <v>600000</v>
      </c>
      <c r="E30" s="141">
        <v>333742.34000000003</v>
      </c>
      <c r="F30" s="141">
        <f t="shared" si="4"/>
        <v>266257.65999999997</v>
      </c>
      <c r="G30" s="9">
        <v>600000</v>
      </c>
      <c r="H30" s="6" t="s">
        <v>10</v>
      </c>
      <c r="I30" s="6"/>
      <c r="J30" s="6" t="s">
        <v>11</v>
      </c>
      <c r="K30" s="19">
        <v>45597</v>
      </c>
    </row>
    <row r="31" spans="2:11" outlineLevel="1">
      <c r="B31" s="8" t="s">
        <v>40</v>
      </c>
      <c r="C31" s="10" t="s">
        <v>20</v>
      </c>
      <c r="D31" s="9">
        <v>575000</v>
      </c>
      <c r="E31" s="141">
        <v>352264.89</v>
      </c>
      <c r="F31" s="141">
        <f t="shared" si="4"/>
        <v>222735.11</v>
      </c>
      <c r="G31" s="9">
        <v>575000</v>
      </c>
      <c r="H31" s="6" t="s">
        <v>10</v>
      </c>
      <c r="I31" s="6"/>
      <c r="J31" s="6" t="s">
        <v>11</v>
      </c>
      <c r="K31" s="19">
        <v>45597</v>
      </c>
    </row>
    <row r="32" spans="2:11" outlineLevel="1">
      <c r="B32" s="8" t="s">
        <v>41</v>
      </c>
      <c r="C32" s="10" t="s">
        <v>20</v>
      </c>
      <c r="D32" s="9">
        <v>522000</v>
      </c>
      <c r="E32" s="141">
        <v>222478.78</v>
      </c>
      <c r="F32" s="141">
        <f t="shared" si="4"/>
        <v>299521.21999999997</v>
      </c>
      <c r="G32" s="9">
        <v>522000</v>
      </c>
      <c r="H32" s="6" t="s">
        <v>10</v>
      </c>
      <c r="I32" s="6"/>
      <c r="J32" s="6" t="s">
        <v>11</v>
      </c>
      <c r="K32" s="19">
        <v>45597</v>
      </c>
    </row>
    <row r="33" spans="2:11" outlineLevel="1">
      <c r="B33" s="8" t="s">
        <v>42</v>
      </c>
      <c r="C33" s="10" t="s">
        <v>20</v>
      </c>
      <c r="D33" s="9">
        <v>226000</v>
      </c>
      <c r="E33" s="141">
        <v>160512</v>
      </c>
      <c r="F33" s="141">
        <f t="shared" si="4"/>
        <v>65488</v>
      </c>
      <c r="G33" s="9">
        <v>226000</v>
      </c>
      <c r="H33" s="6" t="s">
        <v>10</v>
      </c>
      <c r="I33" s="6"/>
      <c r="J33" s="6" t="s">
        <v>11</v>
      </c>
      <c r="K33" s="19">
        <v>45597</v>
      </c>
    </row>
    <row r="34" spans="2:11" outlineLevel="1">
      <c r="B34" s="8" t="s">
        <v>43</v>
      </c>
      <c r="C34" s="10" t="s">
        <v>20</v>
      </c>
      <c r="D34" s="9">
        <v>200000</v>
      </c>
      <c r="E34" s="141">
        <v>39682.71</v>
      </c>
      <c r="F34" s="141">
        <f t="shared" si="4"/>
        <v>160317.29</v>
      </c>
      <c r="G34" s="9">
        <v>200000</v>
      </c>
      <c r="H34" s="6" t="s">
        <v>10</v>
      </c>
      <c r="I34" s="6"/>
      <c r="J34" s="6" t="s">
        <v>11</v>
      </c>
      <c r="K34" s="19">
        <v>45597</v>
      </c>
    </row>
    <row r="35" spans="2:11" outlineLevel="1">
      <c r="B35" s="8" t="s">
        <v>44</v>
      </c>
      <c r="C35" s="10" t="s">
        <v>20</v>
      </c>
      <c r="D35" s="9">
        <v>169000</v>
      </c>
      <c r="E35" s="141">
        <v>32560</v>
      </c>
      <c r="F35" s="141">
        <f t="shared" si="4"/>
        <v>136440</v>
      </c>
      <c r="G35" s="9">
        <v>169000</v>
      </c>
      <c r="H35" s="6" t="s">
        <v>10</v>
      </c>
      <c r="I35" s="6"/>
      <c r="J35" s="6" t="s">
        <v>11</v>
      </c>
      <c r="K35" s="19">
        <v>45597</v>
      </c>
    </row>
    <row r="36" spans="2:11" outlineLevel="1">
      <c r="B36" s="8" t="s">
        <v>45</v>
      </c>
      <c r="C36" s="10" t="s">
        <v>20</v>
      </c>
      <c r="D36" s="9">
        <v>122000</v>
      </c>
      <c r="E36" s="141">
        <v>0</v>
      </c>
      <c r="F36" s="141">
        <f t="shared" si="4"/>
        <v>122000</v>
      </c>
      <c r="G36" s="9">
        <v>122000</v>
      </c>
      <c r="H36" s="6" t="s">
        <v>10</v>
      </c>
      <c r="I36" s="6"/>
      <c r="J36" s="6" t="s">
        <v>11</v>
      </c>
      <c r="K36" s="19">
        <v>45597</v>
      </c>
    </row>
    <row r="37" spans="2:11" outlineLevel="1">
      <c r="B37" s="8" t="s">
        <v>46</v>
      </c>
      <c r="C37" s="10"/>
      <c r="D37" s="9">
        <f>E37</f>
        <v>286405.5</v>
      </c>
      <c r="E37" s="141">
        <v>286405.5</v>
      </c>
      <c r="F37" s="141">
        <v>0</v>
      </c>
      <c r="G37" s="9"/>
      <c r="H37" s="6" t="s">
        <v>47</v>
      </c>
      <c r="I37" s="6"/>
      <c r="J37" s="6"/>
      <c r="K37" s="19">
        <v>45597</v>
      </c>
    </row>
    <row r="38" spans="2:11" outlineLevel="1">
      <c r="B38" s="8" t="s">
        <v>48</v>
      </c>
      <c r="C38" s="10"/>
      <c r="D38" s="9">
        <f>E38</f>
        <v>4257.3999999999996</v>
      </c>
      <c r="E38" s="141">
        <v>4257.3999999999996</v>
      </c>
      <c r="F38" s="141">
        <v>0</v>
      </c>
      <c r="G38" s="9"/>
      <c r="H38" s="6" t="s">
        <v>47</v>
      </c>
      <c r="I38" s="6"/>
      <c r="J38" s="6"/>
      <c r="K38" s="19">
        <v>45597</v>
      </c>
    </row>
    <row r="41" spans="2:11">
      <c r="B41" s="14" t="s">
        <v>49</v>
      </c>
    </row>
    <row r="42" spans="2:11">
      <c r="B42" s="1"/>
      <c r="C42" s="7" t="s">
        <v>3</v>
      </c>
      <c r="D42" s="7" t="s">
        <v>3</v>
      </c>
      <c r="E42" s="7" t="s">
        <v>3</v>
      </c>
      <c r="F42" s="7" t="s">
        <v>3</v>
      </c>
      <c r="G42" s="7" t="s">
        <v>3</v>
      </c>
      <c r="H42" s="7" t="s">
        <v>4</v>
      </c>
      <c r="I42" s="7" t="s">
        <v>5</v>
      </c>
      <c r="J42" s="7" t="s">
        <v>6</v>
      </c>
      <c r="K42" s="7" t="s">
        <v>7</v>
      </c>
    </row>
    <row r="43" spans="2:11">
      <c r="B43" s="2" t="s">
        <v>2</v>
      </c>
      <c r="C43" s="4">
        <f>SUBTOTAL(9,C44:C44)</f>
        <v>0</v>
      </c>
      <c r="D43" s="4">
        <f>SUBTOTAL(9,D44:D44)</f>
        <v>4900000</v>
      </c>
      <c r="E43" s="4"/>
      <c r="F43" s="4"/>
      <c r="G43" s="4">
        <f>SUBTOTAL(9,G44:G44)</f>
        <v>4900000</v>
      </c>
      <c r="H43" s="4"/>
      <c r="I43" s="4"/>
      <c r="J43" s="4"/>
      <c r="K43" s="4"/>
    </row>
    <row r="44" spans="2:11">
      <c r="B44" t="s">
        <v>50</v>
      </c>
      <c r="C44" s="10" t="s">
        <v>20</v>
      </c>
      <c r="D44" s="6">
        <v>4900000</v>
      </c>
      <c r="E44" s="17">
        <v>0</v>
      </c>
      <c r="F44" s="6">
        <f>D44</f>
        <v>4900000</v>
      </c>
      <c r="G44" s="6">
        <v>4900000</v>
      </c>
      <c r="H44" s="16" t="s">
        <v>13</v>
      </c>
      <c r="J44" s="6" t="s">
        <v>18</v>
      </c>
    </row>
    <row r="45" spans="2:11">
      <c r="B45" t="s">
        <v>51</v>
      </c>
      <c r="C45" s="10" t="s">
        <v>20</v>
      </c>
      <c r="D45" s="10" t="s">
        <v>20</v>
      </c>
      <c r="E45" s="142" t="s">
        <v>20</v>
      </c>
      <c r="F45" t="s">
        <v>20</v>
      </c>
      <c r="G45" s="6">
        <v>20000000</v>
      </c>
      <c r="H45" s="16" t="s">
        <v>52</v>
      </c>
      <c r="I45" s="6" t="s">
        <v>11</v>
      </c>
      <c r="J45" s="6" t="s">
        <v>18</v>
      </c>
    </row>
    <row r="46" spans="2:11">
      <c r="B46" t="s">
        <v>53</v>
      </c>
      <c r="D46" s="18">
        <v>5514711.0800000001</v>
      </c>
      <c r="E46" s="142">
        <v>0</v>
      </c>
      <c r="F46" s="141">
        <f t="shared" ref="F46" si="5">D46-E46</f>
        <v>5514711.0800000001</v>
      </c>
      <c r="G46" s="75"/>
      <c r="H46" s="6" t="s">
        <v>47</v>
      </c>
    </row>
    <row r="47" spans="2:11" s="72" customFormat="1">
      <c r="B47" s="72" t="s">
        <v>54</v>
      </c>
      <c r="D47" s="74">
        <v>3988422</v>
      </c>
      <c r="E47" s="142">
        <v>0</v>
      </c>
      <c r="F47" s="141">
        <f t="shared" ref="F47:F48" si="6">D47-E47</f>
        <v>3988422</v>
      </c>
      <c r="G47" s="75"/>
      <c r="H47" s="73" t="s">
        <v>55</v>
      </c>
    </row>
    <row r="48" spans="2:11" s="72" customFormat="1">
      <c r="B48" s="72" t="s">
        <v>56</v>
      </c>
      <c r="D48" s="74">
        <v>1587464</v>
      </c>
      <c r="E48" s="142">
        <v>0</v>
      </c>
      <c r="F48" s="141">
        <f t="shared" si="6"/>
        <v>1587464</v>
      </c>
      <c r="G48" s="75"/>
      <c r="H48" s="73" t="s">
        <v>55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61843-D7E1-4CD0-B3A4-EF8CBF4C36B7}">
  <dimension ref="B1:H42"/>
  <sheetViews>
    <sheetView zoomScale="70" zoomScaleNormal="70" workbookViewId="0">
      <selection activeCell="C26" sqref="C26"/>
    </sheetView>
  </sheetViews>
  <sheetFormatPr defaultRowHeight="14.5" outlineLevelRow="1"/>
  <cols>
    <col min="2" max="2" width="31.7265625" bestFit="1" customWidth="1"/>
    <col min="3" max="5" width="12.1796875" customWidth="1"/>
    <col min="6" max="6" width="53.54296875" bestFit="1" customWidth="1"/>
    <col min="7" max="7" width="33" bestFit="1" customWidth="1"/>
  </cols>
  <sheetData>
    <row r="1" spans="2:8">
      <c r="B1" s="14" t="s">
        <v>57</v>
      </c>
      <c r="C1" s="13">
        <v>45565</v>
      </c>
      <c r="D1" s="13">
        <v>45579</v>
      </c>
      <c r="E1" s="13" t="s">
        <v>58</v>
      </c>
    </row>
    <row r="2" spans="2:8">
      <c r="B2" s="1"/>
      <c r="C2" s="7" t="s">
        <v>3</v>
      </c>
      <c r="D2" s="7" t="s">
        <v>3</v>
      </c>
      <c r="E2" s="7" t="s">
        <v>3</v>
      </c>
      <c r="F2" s="7" t="s">
        <v>4</v>
      </c>
      <c r="G2" s="7" t="s">
        <v>5</v>
      </c>
      <c r="H2" s="7" t="s">
        <v>6</v>
      </c>
    </row>
    <row r="3" spans="2:8">
      <c r="B3" s="2" t="s">
        <v>2</v>
      </c>
      <c r="C3" s="4">
        <f t="shared" ref="C3" si="0">SUBTOTAL(9,C4:C36)</f>
        <v>71158866</v>
      </c>
      <c r="D3" s="4">
        <f t="shared" ref="D3" si="1">SUBTOTAL(9,D4:D36)</f>
        <v>70891789.920000002</v>
      </c>
      <c r="E3" s="4">
        <f>SUBTOTAL(9,E4:E36)</f>
        <v>44395789.920000002</v>
      </c>
      <c r="F3" s="4"/>
      <c r="G3" s="4"/>
      <c r="H3" s="4"/>
    </row>
    <row r="4" spans="2:8">
      <c r="B4" s="3" t="s">
        <v>8</v>
      </c>
      <c r="C4" s="5">
        <f t="shared" ref="C4:E4" si="2">SUBTOTAL(9,C5:C8)</f>
        <v>10925410</v>
      </c>
      <c r="D4" s="5">
        <f t="shared" si="2"/>
        <v>10925410</v>
      </c>
      <c r="E4" s="5">
        <f t="shared" si="2"/>
        <v>429410</v>
      </c>
      <c r="F4" s="5"/>
      <c r="G4" s="5"/>
      <c r="H4" s="5"/>
    </row>
    <row r="5" spans="2:8">
      <c r="B5" t="s">
        <v>9</v>
      </c>
      <c r="C5" s="6">
        <v>359410</v>
      </c>
      <c r="D5" s="6">
        <v>359410</v>
      </c>
      <c r="E5" s="6">
        <v>359410</v>
      </c>
      <c r="F5" s="15" t="s">
        <v>10</v>
      </c>
      <c r="G5" s="6"/>
      <c r="H5" s="6" t="s">
        <v>11</v>
      </c>
    </row>
    <row r="6" spans="2:8">
      <c r="B6" t="s">
        <v>12</v>
      </c>
      <c r="C6" s="6">
        <v>1496000</v>
      </c>
      <c r="D6" s="6">
        <v>1496000</v>
      </c>
      <c r="E6" s="6">
        <v>0</v>
      </c>
      <c r="F6" s="16" t="s">
        <v>13</v>
      </c>
      <c r="G6" s="6" t="s">
        <v>11</v>
      </c>
      <c r="H6" s="6" t="s">
        <v>11</v>
      </c>
    </row>
    <row r="7" spans="2:8">
      <c r="B7" t="s">
        <v>14</v>
      </c>
      <c r="C7" s="6">
        <v>9000000</v>
      </c>
      <c r="D7" s="6">
        <v>9000000</v>
      </c>
      <c r="E7" s="6">
        <v>0</v>
      </c>
      <c r="F7" s="16" t="s">
        <v>13</v>
      </c>
      <c r="G7" s="6" t="s">
        <v>11</v>
      </c>
      <c r="H7" s="6" t="s">
        <v>11</v>
      </c>
    </row>
    <row r="8" spans="2:8">
      <c r="B8" t="s">
        <v>15</v>
      </c>
      <c r="C8" s="6">
        <v>70000</v>
      </c>
      <c r="D8" s="6">
        <v>70000</v>
      </c>
      <c r="E8" s="6">
        <v>70000</v>
      </c>
      <c r="F8" s="15" t="s">
        <v>10</v>
      </c>
      <c r="G8" s="6"/>
      <c r="H8" s="6" t="s">
        <v>11</v>
      </c>
    </row>
    <row r="9" spans="2:8">
      <c r="B9" s="3" t="s">
        <v>16</v>
      </c>
      <c r="C9" s="5">
        <f>SUBTOTAL(9,C10:C18)</f>
        <v>7084730</v>
      </c>
      <c r="D9" s="5">
        <f>SUBTOTAL(9,D10:D18)</f>
        <v>6817653.4800000004</v>
      </c>
      <c r="E9" s="5">
        <f>SUBTOTAL(9,E10:E18)</f>
        <v>6817653.4800000004</v>
      </c>
      <c r="F9" s="5"/>
      <c r="G9" s="5"/>
      <c r="H9" s="5"/>
    </row>
    <row r="10" spans="2:8">
      <c r="B10" t="s">
        <v>17</v>
      </c>
      <c r="C10" s="6">
        <v>6534156</v>
      </c>
      <c r="D10" s="6">
        <f>SUBTOTAL(9,D11:D14)</f>
        <v>6267078.7300000004</v>
      </c>
      <c r="E10" s="6">
        <f>SUBTOTAL(9,E11:E14)</f>
        <v>6267078.7300000004</v>
      </c>
      <c r="F10" s="15" t="s">
        <v>10</v>
      </c>
      <c r="G10" s="6"/>
      <c r="H10" s="6" t="s">
        <v>18</v>
      </c>
    </row>
    <row r="11" spans="2:8" outlineLevel="1">
      <c r="B11" s="8" t="s">
        <v>19</v>
      </c>
      <c r="C11" s="10" t="s">
        <v>20</v>
      </c>
      <c r="D11" s="9">
        <v>3373418.73</v>
      </c>
      <c r="E11" s="9">
        <v>3373418.73</v>
      </c>
      <c r="F11" s="6" t="s">
        <v>10</v>
      </c>
      <c r="G11" s="6"/>
      <c r="H11" s="6" t="s">
        <v>18</v>
      </c>
    </row>
    <row r="12" spans="2:8" outlineLevel="1">
      <c r="B12" s="8" t="s">
        <v>21</v>
      </c>
      <c r="C12" s="10" t="s">
        <v>20</v>
      </c>
      <c r="D12" s="9">
        <v>2622000</v>
      </c>
      <c r="E12" s="9">
        <v>2622000</v>
      </c>
      <c r="F12" s="6" t="s">
        <v>10</v>
      </c>
      <c r="G12" s="6"/>
      <c r="H12" s="6" t="s">
        <v>18</v>
      </c>
    </row>
    <row r="13" spans="2:8" outlineLevel="1">
      <c r="B13" s="8" t="s">
        <v>22</v>
      </c>
      <c r="C13" s="10" t="s">
        <v>20</v>
      </c>
      <c r="D13" s="9">
        <v>232000</v>
      </c>
      <c r="E13" s="9">
        <v>232000</v>
      </c>
      <c r="F13" s="6" t="s">
        <v>10</v>
      </c>
      <c r="G13" s="6"/>
      <c r="H13" s="6" t="s">
        <v>18</v>
      </c>
    </row>
    <row r="14" spans="2:8" outlineLevel="1">
      <c r="B14" s="8" t="s">
        <v>23</v>
      </c>
      <c r="C14" s="10" t="s">
        <v>20</v>
      </c>
      <c r="D14" s="9">
        <v>39660</v>
      </c>
      <c r="E14" s="9">
        <v>39660</v>
      </c>
      <c r="F14" s="6" t="s">
        <v>10</v>
      </c>
      <c r="G14" s="6"/>
      <c r="H14" s="6" t="s">
        <v>11</v>
      </c>
    </row>
    <row r="15" spans="2:8">
      <c r="B15" t="s">
        <v>24</v>
      </c>
      <c r="C15" s="6">
        <v>549334</v>
      </c>
      <c r="D15" s="6">
        <f>SUBTOTAL(9,D16:D17)</f>
        <v>549334.75</v>
      </c>
      <c r="E15" s="6">
        <f>SUBTOTAL(9,E16:E17)</f>
        <v>549334.75</v>
      </c>
      <c r="F15" s="15" t="s">
        <v>10</v>
      </c>
      <c r="G15" s="6"/>
      <c r="H15" s="6" t="s">
        <v>18</v>
      </c>
    </row>
    <row r="16" spans="2:8" outlineLevel="1">
      <c r="B16" s="8" t="s">
        <v>25</v>
      </c>
      <c r="C16" s="10" t="s">
        <v>20</v>
      </c>
      <c r="D16" s="9">
        <v>228232.75</v>
      </c>
      <c r="E16" s="9">
        <v>228232.75</v>
      </c>
      <c r="F16" s="9"/>
      <c r="G16" s="9"/>
      <c r="H16" s="6" t="s">
        <v>18</v>
      </c>
    </row>
    <row r="17" spans="2:8" outlineLevel="1">
      <c r="B17" s="8" t="s">
        <v>26</v>
      </c>
      <c r="C17" s="10" t="s">
        <v>20</v>
      </c>
      <c r="D17" s="9">
        <v>321102</v>
      </c>
      <c r="E17" s="9">
        <v>321102</v>
      </c>
      <c r="F17" s="9"/>
      <c r="G17" s="9"/>
      <c r="H17" s="6" t="s">
        <v>18</v>
      </c>
    </row>
    <row r="18" spans="2:8">
      <c r="B18" t="s">
        <v>27</v>
      </c>
      <c r="C18" s="6">
        <v>1240</v>
      </c>
      <c r="D18" s="6">
        <v>1240</v>
      </c>
      <c r="E18" s="6">
        <v>1240</v>
      </c>
      <c r="F18" s="6"/>
      <c r="G18" s="6"/>
      <c r="H18" s="6" t="s">
        <v>11</v>
      </c>
    </row>
    <row r="19" spans="2:8">
      <c r="B19" s="3" t="s">
        <v>28</v>
      </c>
      <c r="C19" s="5">
        <f>SUBTOTAL(9,C20:C36)</f>
        <v>53148726</v>
      </c>
      <c r="D19" s="5">
        <f>SUBTOTAL(9,D20:D36)</f>
        <v>53148726.440000005</v>
      </c>
      <c r="E19" s="5">
        <f>SUBTOTAL(9,E20:E36)</f>
        <v>37148726.440000005</v>
      </c>
      <c r="F19" s="5"/>
      <c r="G19" s="5"/>
      <c r="H19" s="5"/>
    </row>
    <row r="20" spans="2:8">
      <c r="B20" t="s">
        <v>29</v>
      </c>
      <c r="C20" s="6">
        <v>37148726</v>
      </c>
      <c r="D20" s="6">
        <f t="shared" ref="D20:E20" si="3">SUBTOTAL(9,D21:D35)</f>
        <v>37148726.440000005</v>
      </c>
      <c r="E20" s="6">
        <f t="shared" si="3"/>
        <v>37148726.440000005</v>
      </c>
      <c r="F20" s="15" t="s">
        <v>10</v>
      </c>
      <c r="G20" s="6"/>
      <c r="H20" s="6" t="s">
        <v>30</v>
      </c>
    </row>
    <row r="21" spans="2:8" outlineLevel="1">
      <c r="B21" s="8" t="s">
        <v>31</v>
      </c>
      <c r="C21" s="10" t="s">
        <v>20</v>
      </c>
      <c r="D21" s="9">
        <v>16742798.26</v>
      </c>
      <c r="E21" s="9">
        <v>16742798.26</v>
      </c>
      <c r="F21" s="6" t="s">
        <v>10</v>
      </c>
      <c r="G21" s="6"/>
      <c r="H21" s="6" t="s">
        <v>18</v>
      </c>
    </row>
    <row r="22" spans="2:8" outlineLevel="1">
      <c r="B22" s="8" t="s">
        <v>32</v>
      </c>
      <c r="C22" s="10" t="s">
        <v>20</v>
      </c>
      <c r="D22" s="9">
        <v>8011329.9800000004</v>
      </c>
      <c r="E22" s="9">
        <v>8011329.9800000004</v>
      </c>
      <c r="F22" s="6" t="s">
        <v>10</v>
      </c>
      <c r="G22" s="6"/>
      <c r="H22" s="6" t="s">
        <v>18</v>
      </c>
    </row>
    <row r="23" spans="2:8" outlineLevel="1">
      <c r="B23" s="8" t="s">
        <v>33</v>
      </c>
      <c r="C23" s="10" t="s">
        <v>20</v>
      </c>
      <c r="D23" s="9">
        <v>3094681.74</v>
      </c>
      <c r="E23" s="9">
        <v>3094681.74</v>
      </c>
      <c r="F23" s="6" t="s">
        <v>10</v>
      </c>
      <c r="G23" s="6"/>
      <c r="H23" s="6" t="s">
        <v>18</v>
      </c>
    </row>
    <row r="24" spans="2:8" outlineLevel="1">
      <c r="B24" s="8" t="s">
        <v>34</v>
      </c>
      <c r="C24" s="10" t="s">
        <v>20</v>
      </c>
      <c r="D24" s="9">
        <v>2400000</v>
      </c>
      <c r="E24" s="9">
        <v>2400000</v>
      </c>
      <c r="F24" s="6" t="s">
        <v>10</v>
      </c>
      <c r="G24" s="6"/>
      <c r="H24" s="6" t="s">
        <v>11</v>
      </c>
    </row>
    <row r="25" spans="2:8" outlineLevel="1">
      <c r="B25" s="8" t="s">
        <v>35</v>
      </c>
      <c r="C25" s="10" t="s">
        <v>20</v>
      </c>
      <c r="D25" s="9">
        <v>2036944.51</v>
      </c>
      <c r="E25" s="9">
        <v>2036944.51</v>
      </c>
      <c r="F25" s="6" t="s">
        <v>10</v>
      </c>
      <c r="G25" s="6"/>
      <c r="H25" s="6" t="s">
        <v>11</v>
      </c>
    </row>
    <row r="26" spans="2:8" outlineLevel="1">
      <c r="B26" s="8" t="s">
        <v>36</v>
      </c>
      <c r="C26" s="10" t="s">
        <v>20</v>
      </c>
      <c r="D26" s="9">
        <v>1005971.95</v>
      </c>
      <c r="E26" s="9">
        <v>1005971.95</v>
      </c>
      <c r="F26" s="6" t="s">
        <v>10</v>
      </c>
      <c r="G26" s="6"/>
      <c r="H26" s="6" t="s">
        <v>11</v>
      </c>
    </row>
    <row r="27" spans="2:8" outlineLevel="1">
      <c r="B27" s="8" t="s">
        <v>37</v>
      </c>
      <c r="C27" s="10" t="s">
        <v>20</v>
      </c>
      <c r="D27" s="9">
        <v>800000</v>
      </c>
      <c r="E27" s="9">
        <v>800000</v>
      </c>
      <c r="F27" s="6" t="s">
        <v>10</v>
      </c>
      <c r="G27" s="6"/>
      <c r="H27" s="6" t="s">
        <v>11</v>
      </c>
    </row>
    <row r="28" spans="2:8" outlineLevel="1">
      <c r="B28" s="8" t="s">
        <v>38</v>
      </c>
      <c r="C28" s="10" t="s">
        <v>20</v>
      </c>
      <c r="D28" s="9">
        <v>643000</v>
      </c>
      <c r="E28" s="9">
        <v>643000</v>
      </c>
      <c r="F28" s="6" t="s">
        <v>10</v>
      </c>
      <c r="G28" s="6"/>
      <c r="H28" s="6" t="s">
        <v>11</v>
      </c>
    </row>
    <row r="29" spans="2:8" outlineLevel="1">
      <c r="B29" s="8" t="s">
        <v>39</v>
      </c>
      <c r="C29" s="10" t="s">
        <v>20</v>
      </c>
      <c r="D29" s="9">
        <v>600000</v>
      </c>
      <c r="E29" s="9">
        <v>600000</v>
      </c>
      <c r="F29" s="6" t="s">
        <v>10</v>
      </c>
      <c r="G29" s="6"/>
      <c r="H29" s="6" t="s">
        <v>11</v>
      </c>
    </row>
    <row r="30" spans="2:8" outlineLevel="1">
      <c r="B30" s="8" t="s">
        <v>40</v>
      </c>
      <c r="C30" s="10" t="s">
        <v>20</v>
      </c>
      <c r="D30" s="9">
        <v>575000</v>
      </c>
      <c r="E30" s="9">
        <v>575000</v>
      </c>
      <c r="F30" s="6" t="s">
        <v>10</v>
      </c>
      <c r="G30" s="6"/>
      <c r="H30" s="6" t="s">
        <v>11</v>
      </c>
    </row>
    <row r="31" spans="2:8" outlineLevel="1">
      <c r="B31" s="8" t="s">
        <v>41</v>
      </c>
      <c r="C31" s="10" t="s">
        <v>20</v>
      </c>
      <c r="D31" s="9">
        <v>522000</v>
      </c>
      <c r="E31" s="9">
        <v>522000</v>
      </c>
      <c r="F31" s="6" t="s">
        <v>10</v>
      </c>
      <c r="G31" s="6"/>
      <c r="H31" s="6" t="s">
        <v>11</v>
      </c>
    </row>
    <row r="32" spans="2:8" outlineLevel="1">
      <c r="B32" s="8" t="s">
        <v>42</v>
      </c>
      <c r="C32" s="10" t="s">
        <v>20</v>
      </c>
      <c r="D32" s="9">
        <v>226000</v>
      </c>
      <c r="E32" s="9">
        <v>226000</v>
      </c>
      <c r="F32" s="6" t="s">
        <v>10</v>
      </c>
      <c r="G32" s="6"/>
      <c r="H32" s="6" t="s">
        <v>11</v>
      </c>
    </row>
    <row r="33" spans="2:8" outlineLevel="1">
      <c r="B33" s="8" t="s">
        <v>43</v>
      </c>
      <c r="C33" s="10" t="s">
        <v>20</v>
      </c>
      <c r="D33" s="9">
        <v>200000</v>
      </c>
      <c r="E33" s="9">
        <v>200000</v>
      </c>
      <c r="F33" s="6" t="s">
        <v>10</v>
      </c>
      <c r="G33" s="6"/>
      <c r="H33" s="6" t="s">
        <v>11</v>
      </c>
    </row>
    <row r="34" spans="2:8" outlineLevel="1">
      <c r="B34" s="8" t="s">
        <v>44</v>
      </c>
      <c r="C34" s="10" t="s">
        <v>20</v>
      </c>
      <c r="D34" s="9">
        <v>169000</v>
      </c>
      <c r="E34" s="9">
        <v>169000</v>
      </c>
      <c r="F34" s="6" t="s">
        <v>10</v>
      </c>
      <c r="G34" s="6"/>
      <c r="H34" s="6" t="s">
        <v>11</v>
      </c>
    </row>
    <row r="35" spans="2:8" outlineLevel="1">
      <c r="B35" s="8" t="s">
        <v>45</v>
      </c>
      <c r="C35" s="10" t="s">
        <v>20</v>
      </c>
      <c r="D35" s="9">
        <v>122000</v>
      </c>
      <c r="E35" s="9">
        <v>122000</v>
      </c>
      <c r="F35" s="6" t="s">
        <v>10</v>
      </c>
      <c r="G35" s="6"/>
      <c r="H35" s="6" t="s">
        <v>11</v>
      </c>
    </row>
    <row r="36" spans="2:8">
      <c r="B36" s="11" t="s">
        <v>59</v>
      </c>
      <c r="C36" s="12">
        <v>16000000</v>
      </c>
      <c r="D36" s="12">
        <v>16000000</v>
      </c>
      <c r="E36" s="12"/>
      <c r="F36" s="12" t="s">
        <v>60</v>
      </c>
      <c r="G36" s="12"/>
      <c r="H36" s="12" t="s">
        <v>61</v>
      </c>
    </row>
    <row r="38" spans="2:8">
      <c r="B38" s="14" t="s">
        <v>49</v>
      </c>
    </row>
    <row r="39" spans="2:8">
      <c r="B39" s="1"/>
      <c r="C39" s="7" t="s">
        <v>3</v>
      </c>
      <c r="D39" s="7" t="s">
        <v>3</v>
      </c>
      <c r="E39" s="7" t="s">
        <v>3</v>
      </c>
      <c r="F39" s="7" t="s">
        <v>4</v>
      </c>
      <c r="G39" s="7" t="s">
        <v>5</v>
      </c>
      <c r="H39" s="7" t="s">
        <v>6</v>
      </c>
    </row>
    <row r="40" spans="2:8">
      <c r="B40" s="2" t="s">
        <v>2</v>
      </c>
      <c r="C40" s="4">
        <f t="shared" ref="C40" si="4">SUBTOTAL(9,C41:C42)</f>
        <v>0</v>
      </c>
      <c r="D40" s="4">
        <f t="shared" ref="D40:E40" si="5">SUBTOTAL(9,D41:D42)</f>
        <v>4900000</v>
      </c>
      <c r="E40" s="4">
        <f t="shared" si="5"/>
        <v>24900000</v>
      </c>
      <c r="F40" s="4"/>
      <c r="G40" s="4"/>
      <c r="H40" s="4"/>
    </row>
    <row r="41" spans="2:8">
      <c r="B41" t="s">
        <v>50</v>
      </c>
      <c r="C41" s="10" t="s">
        <v>20</v>
      </c>
      <c r="D41" s="6">
        <v>4900000</v>
      </c>
      <c r="E41" s="6">
        <v>4900000</v>
      </c>
      <c r="F41" s="16" t="s">
        <v>13</v>
      </c>
      <c r="H41" s="6" t="s">
        <v>18</v>
      </c>
    </row>
    <row r="42" spans="2:8">
      <c r="B42" t="s">
        <v>51</v>
      </c>
      <c r="C42" s="10" t="s">
        <v>20</v>
      </c>
      <c r="D42" s="10" t="s">
        <v>20</v>
      </c>
      <c r="E42" s="6">
        <v>20000000</v>
      </c>
      <c r="F42" s="16" t="s">
        <v>52</v>
      </c>
      <c r="G42" s="6" t="s">
        <v>11</v>
      </c>
      <c r="H42" s="6" t="s">
        <v>18</v>
      </c>
    </row>
  </sheetData>
  <sortState xmlns:xlrd2="http://schemas.microsoft.com/office/spreadsheetml/2017/richdata2" ref="J44:M58">
    <sortCondition descending="1" ref="M44:M58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C155-ED12-41EE-8677-E9935CDF629E}">
  <dimension ref="A1:F35"/>
  <sheetViews>
    <sheetView showGridLines="0" topLeftCell="A9" workbookViewId="0">
      <selection activeCell="A18" sqref="A18"/>
    </sheetView>
  </sheetViews>
  <sheetFormatPr defaultColWidth="8.7265625" defaultRowHeight="14.5"/>
  <cols>
    <col min="1" max="1" width="29.7265625" style="23" customWidth="1"/>
    <col min="2" max="2" width="18.7265625" style="21" customWidth="1"/>
    <col min="3" max="3" width="21.81640625" style="45" bestFit="1" customWidth="1"/>
    <col min="4" max="4" width="55.7265625" style="22" customWidth="1"/>
    <col min="5" max="5" width="13.26953125" style="21" bestFit="1" customWidth="1"/>
    <col min="6" max="6" width="49.81640625" customWidth="1"/>
  </cols>
  <sheetData>
    <row r="1" spans="1:6" s="21" customFormat="1">
      <c r="A1" s="25" t="s">
        <v>62</v>
      </c>
      <c r="B1" s="24" t="s">
        <v>4</v>
      </c>
      <c r="C1" s="25" t="s">
        <v>63</v>
      </c>
      <c r="D1" s="26" t="s">
        <v>64</v>
      </c>
      <c r="E1" s="24" t="s">
        <v>65</v>
      </c>
      <c r="F1" s="34" t="s">
        <v>66</v>
      </c>
    </row>
    <row r="2" spans="1:6" s="21" customFormat="1" ht="188.5">
      <c r="A2" s="35" t="s">
        <v>67</v>
      </c>
      <c r="B2" s="39" t="s">
        <v>68</v>
      </c>
      <c r="C2" s="20">
        <v>5974710.7999999989</v>
      </c>
      <c r="D2" s="36" t="s">
        <v>69</v>
      </c>
      <c r="E2" s="40">
        <v>38527.919999999998</v>
      </c>
      <c r="F2" s="126" t="s">
        <v>70</v>
      </c>
    </row>
    <row r="3" spans="1:6" s="21" customFormat="1">
      <c r="A3" s="35" t="s">
        <v>71</v>
      </c>
      <c r="B3" s="39" t="s">
        <v>68</v>
      </c>
      <c r="C3" s="20">
        <v>201747.84</v>
      </c>
      <c r="D3" s="36" t="s">
        <v>72</v>
      </c>
      <c r="E3" s="41">
        <v>1344</v>
      </c>
      <c r="F3" s="126"/>
    </row>
    <row r="4" spans="1:6" s="21" customFormat="1" ht="130.5">
      <c r="A4" s="35" t="s">
        <v>73</v>
      </c>
      <c r="B4" s="39" t="s">
        <v>68</v>
      </c>
      <c r="C4" s="20">
        <v>334748.01</v>
      </c>
      <c r="D4" s="36" t="s">
        <v>74</v>
      </c>
      <c r="E4" s="40">
        <v>1845.5500000000002</v>
      </c>
      <c r="F4" s="126"/>
    </row>
    <row r="5" spans="1:6" s="21" customFormat="1">
      <c r="A5" s="38" t="s">
        <v>75</v>
      </c>
      <c r="B5" s="39" t="s">
        <v>68</v>
      </c>
      <c r="C5" s="20">
        <v>423242.15</v>
      </c>
      <c r="D5" s="36" t="s">
        <v>76</v>
      </c>
      <c r="E5" s="40">
        <v>2451.7300000000005</v>
      </c>
      <c r="F5" s="126"/>
    </row>
    <row r="6" spans="1:6" s="21" customFormat="1">
      <c r="A6" s="35" t="s">
        <v>77</v>
      </c>
      <c r="B6" s="39" t="s">
        <v>68</v>
      </c>
      <c r="C6" s="20">
        <v>31096.43</v>
      </c>
      <c r="D6" s="36" t="s">
        <v>78</v>
      </c>
      <c r="E6" s="41">
        <v>135.18</v>
      </c>
      <c r="F6" s="126"/>
    </row>
    <row r="7" spans="1:6" s="21" customFormat="1">
      <c r="A7" s="35" t="s">
        <v>79</v>
      </c>
      <c r="B7" s="39" t="s">
        <v>68</v>
      </c>
      <c r="C7" s="20">
        <v>85458.240000000005</v>
      </c>
      <c r="D7" s="36" t="s">
        <v>80</v>
      </c>
      <c r="E7" s="40">
        <v>504</v>
      </c>
      <c r="F7" s="126"/>
    </row>
    <row r="8" spans="1:6" s="21" customFormat="1">
      <c r="A8" s="35" t="s">
        <v>81</v>
      </c>
      <c r="B8" s="39" t="s">
        <v>68</v>
      </c>
      <c r="C8" s="20">
        <v>187104</v>
      </c>
      <c r="D8" s="36" t="s">
        <v>82</v>
      </c>
      <c r="E8" s="41">
        <v>813.36</v>
      </c>
      <c r="F8" s="126"/>
    </row>
    <row r="9" spans="1:6" s="21" customFormat="1" ht="58">
      <c r="A9" s="35" t="s">
        <v>83</v>
      </c>
      <c r="B9" s="39" t="s">
        <v>68</v>
      </c>
      <c r="C9" s="20">
        <v>895949.64</v>
      </c>
      <c r="D9" s="36" t="s">
        <v>84</v>
      </c>
      <c r="E9" s="40">
        <v>5190</v>
      </c>
      <c r="F9" s="126"/>
    </row>
    <row r="10" spans="1:6">
      <c r="A10" s="29" t="s">
        <v>67</v>
      </c>
      <c r="B10" s="27" t="s">
        <v>85</v>
      </c>
      <c r="C10" s="42">
        <v>365587.63000000035</v>
      </c>
      <c r="D10" s="28" t="s">
        <v>86</v>
      </c>
      <c r="E10" s="30">
        <v>1900</v>
      </c>
      <c r="F10" s="126"/>
    </row>
    <row r="11" spans="1:6">
      <c r="A11" s="29" t="s">
        <v>67</v>
      </c>
      <c r="B11" s="27" t="s">
        <v>87</v>
      </c>
      <c r="C11" s="42">
        <v>216666.67</v>
      </c>
      <c r="D11" s="28" t="s">
        <v>88</v>
      </c>
      <c r="E11" s="30">
        <v>1255.0999999999999</v>
      </c>
      <c r="F11" s="126"/>
    </row>
    <row r="12" spans="1:6">
      <c r="A12" s="29" t="s">
        <v>67</v>
      </c>
      <c r="B12" s="27" t="s">
        <v>87</v>
      </c>
      <c r="C12" s="42">
        <v>162500</v>
      </c>
      <c r="D12" s="28" t="s">
        <v>89</v>
      </c>
      <c r="E12" s="30">
        <v>1082.54</v>
      </c>
      <c r="F12" s="126"/>
    </row>
    <row r="13" spans="1:6">
      <c r="A13" s="29" t="s">
        <v>67</v>
      </c>
      <c r="B13" s="27" t="s">
        <v>87</v>
      </c>
      <c r="C13" s="42">
        <v>162500</v>
      </c>
      <c r="D13" s="28" t="s">
        <v>90</v>
      </c>
      <c r="E13" s="30">
        <v>1082.54</v>
      </c>
      <c r="F13" s="126"/>
    </row>
    <row r="14" spans="1:6" ht="29">
      <c r="A14" s="29" t="s">
        <v>73</v>
      </c>
      <c r="B14" s="27" t="s">
        <v>87</v>
      </c>
      <c r="C14" s="42">
        <v>102470.87</v>
      </c>
      <c r="D14" s="28" t="s">
        <v>91</v>
      </c>
      <c r="E14" s="30">
        <v>570.46</v>
      </c>
      <c r="F14" s="126"/>
    </row>
    <row r="15" spans="1:6" ht="15.75" customHeight="1">
      <c r="A15" s="29" t="s">
        <v>79</v>
      </c>
      <c r="B15" s="27" t="s">
        <v>87</v>
      </c>
      <c r="C15" s="42">
        <v>56972.160000000003</v>
      </c>
      <c r="D15" s="28" t="s">
        <v>92</v>
      </c>
      <c r="E15" s="30">
        <v>336</v>
      </c>
      <c r="F15" s="126"/>
    </row>
    <row r="16" spans="1:6" ht="101.5">
      <c r="A16" s="29" t="s">
        <v>67</v>
      </c>
      <c r="B16" s="27" t="s">
        <v>87</v>
      </c>
      <c r="C16" s="42">
        <v>396350.45</v>
      </c>
      <c r="D16" s="28" t="s">
        <v>93</v>
      </c>
      <c r="E16" s="30">
        <v>2295.9499999999998</v>
      </c>
      <c r="F16" s="126"/>
    </row>
    <row r="17" spans="1:6">
      <c r="A17" s="29" t="s">
        <v>94</v>
      </c>
      <c r="B17" s="27" t="s">
        <v>87</v>
      </c>
      <c r="C17" s="42">
        <v>206493.1</v>
      </c>
      <c r="D17" s="28" t="s">
        <v>95</v>
      </c>
      <c r="E17" s="30">
        <v>1196.1600000000001</v>
      </c>
      <c r="F17" s="126"/>
    </row>
    <row r="18" spans="1:6">
      <c r="A18" s="29" t="s">
        <v>67</v>
      </c>
      <c r="B18" s="27" t="s">
        <v>87</v>
      </c>
      <c r="C18" s="42">
        <v>416104.92</v>
      </c>
      <c r="D18" s="28" t="s">
        <v>96</v>
      </c>
      <c r="E18" s="30">
        <v>2772</v>
      </c>
      <c r="F18" s="126"/>
    </row>
    <row r="19" spans="1:6">
      <c r="A19" s="29" t="s">
        <v>67</v>
      </c>
      <c r="B19" s="27" t="s">
        <v>87</v>
      </c>
      <c r="C19" s="42">
        <v>174007.51</v>
      </c>
      <c r="D19" s="28" t="s">
        <v>97</v>
      </c>
      <c r="E19" s="30">
        <v>1007.98</v>
      </c>
      <c r="F19" s="126"/>
    </row>
    <row r="20" spans="1:6">
      <c r="A20" s="29" t="s">
        <v>73</v>
      </c>
      <c r="B20" s="27" t="s">
        <v>87</v>
      </c>
      <c r="C20" s="42">
        <v>60355.68</v>
      </c>
      <c r="D20" s="28" t="s">
        <v>92</v>
      </c>
      <c r="E20" s="30">
        <v>336</v>
      </c>
      <c r="F20" s="126"/>
    </row>
    <row r="21" spans="1:6" ht="58">
      <c r="A21" s="29" t="s">
        <v>73</v>
      </c>
      <c r="B21" s="27" t="s">
        <v>87</v>
      </c>
      <c r="C21" s="42">
        <v>69407.520000000004</v>
      </c>
      <c r="D21" s="28" t="s">
        <v>98</v>
      </c>
      <c r="E21" s="30">
        <v>336</v>
      </c>
      <c r="F21" s="126"/>
    </row>
    <row r="22" spans="1:6">
      <c r="A22" s="29" t="s">
        <v>67</v>
      </c>
      <c r="B22" s="27" t="s">
        <v>87</v>
      </c>
      <c r="C22" s="42">
        <v>983280.13499999954</v>
      </c>
      <c r="D22" s="28" t="s">
        <v>86</v>
      </c>
      <c r="E22" s="30">
        <v>5000</v>
      </c>
      <c r="F22" s="126"/>
    </row>
    <row r="23" spans="1:6">
      <c r="A23" s="29" t="s">
        <v>67</v>
      </c>
      <c r="B23" s="27" t="s">
        <v>99</v>
      </c>
      <c r="C23" s="42">
        <v>216666.67</v>
      </c>
      <c r="D23" s="28" t="s">
        <v>100</v>
      </c>
      <c r="E23" s="30">
        <v>1255.0999999999999</v>
      </c>
      <c r="F23" s="126"/>
    </row>
    <row r="24" spans="1:6">
      <c r="A24" s="29" t="s">
        <v>79</v>
      </c>
      <c r="B24" s="27" t="s">
        <v>99</v>
      </c>
      <c r="C24" s="42">
        <v>56972.160000000003</v>
      </c>
      <c r="D24" s="28" t="s">
        <v>92</v>
      </c>
      <c r="E24" s="30">
        <v>336</v>
      </c>
      <c r="F24" s="126"/>
    </row>
    <row r="25" spans="1:6" ht="17.25" customHeight="1">
      <c r="A25" s="29" t="s">
        <v>67</v>
      </c>
      <c r="B25" s="27" t="s">
        <v>99</v>
      </c>
      <c r="C25" s="42">
        <v>416104.92</v>
      </c>
      <c r="D25" s="28" t="s">
        <v>96</v>
      </c>
      <c r="E25" s="30">
        <v>2772</v>
      </c>
      <c r="F25" s="126"/>
    </row>
    <row r="26" spans="1:6">
      <c r="A26" s="29" t="s">
        <v>94</v>
      </c>
      <c r="B26" s="27" t="s">
        <v>99</v>
      </c>
      <c r="C26" s="42">
        <v>206493.1</v>
      </c>
      <c r="D26" s="28" t="s">
        <v>95</v>
      </c>
      <c r="E26" s="30">
        <v>1196.1600000000001</v>
      </c>
      <c r="F26" s="126"/>
    </row>
    <row r="27" spans="1:6" ht="101.5">
      <c r="A27" s="29" t="s">
        <v>67</v>
      </c>
      <c r="B27" s="27" t="s">
        <v>99</v>
      </c>
      <c r="C27" s="42">
        <v>656401.01</v>
      </c>
      <c r="D27" s="28" t="s">
        <v>101</v>
      </c>
      <c r="E27" s="30">
        <v>3802.35</v>
      </c>
      <c r="F27" s="126"/>
    </row>
    <row r="28" spans="1:6">
      <c r="A28" s="29" t="s">
        <v>73</v>
      </c>
      <c r="B28" s="27" t="s">
        <v>99</v>
      </c>
      <c r="C28" s="42">
        <v>60355.68</v>
      </c>
      <c r="D28" s="28" t="s">
        <v>92</v>
      </c>
      <c r="E28" s="30">
        <v>336</v>
      </c>
      <c r="F28" s="126"/>
    </row>
    <row r="29" spans="1:6" ht="58">
      <c r="A29" s="29" t="s">
        <v>73</v>
      </c>
      <c r="B29" s="27" t="s">
        <v>99</v>
      </c>
      <c r="C29" s="42">
        <v>69407.520000000004</v>
      </c>
      <c r="D29" s="28" t="s">
        <v>102</v>
      </c>
      <c r="E29" s="30">
        <v>336</v>
      </c>
      <c r="F29" s="126"/>
    </row>
    <row r="30" spans="1:6">
      <c r="A30" s="29" t="s">
        <v>67</v>
      </c>
      <c r="B30" s="27" t="s">
        <v>99</v>
      </c>
      <c r="C30" s="42">
        <v>1098624.1300000001</v>
      </c>
      <c r="D30" s="28" t="s">
        <v>86</v>
      </c>
      <c r="E30" s="30">
        <v>5000</v>
      </c>
      <c r="F30" s="126"/>
    </row>
    <row r="31" spans="1:6">
      <c r="A31" s="29" t="s">
        <v>67</v>
      </c>
      <c r="B31" s="27" t="s">
        <v>103</v>
      </c>
      <c r="C31" s="42">
        <v>216666.67</v>
      </c>
      <c r="D31" s="28" t="s">
        <v>100</v>
      </c>
      <c r="E31" s="30">
        <v>1255.0999999999999</v>
      </c>
      <c r="F31" s="126"/>
    </row>
    <row r="32" spans="1:6">
      <c r="A32" s="29" t="s">
        <v>67</v>
      </c>
      <c r="B32" s="27" t="s">
        <v>103</v>
      </c>
      <c r="C32" s="42">
        <v>416104.92</v>
      </c>
      <c r="D32" s="28" t="s">
        <v>104</v>
      </c>
      <c r="E32" s="30">
        <v>2410.39</v>
      </c>
      <c r="F32" s="126"/>
    </row>
    <row r="33" spans="1:6">
      <c r="A33" s="29" t="s">
        <v>67</v>
      </c>
      <c r="B33" s="27" t="s">
        <v>103</v>
      </c>
      <c r="C33" s="42">
        <f>1867228.41-44980.69</f>
        <v>1822247.72</v>
      </c>
      <c r="D33" s="28" t="s">
        <v>86</v>
      </c>
      <c r="E33" s="30">
        <v>10000</v>
      </c>
      <c r="F33" s="126"/>
    </row>
    <row r="34" spans="1:6">
      <c r="A34" s="33"/>
      <c r="B34" s="31" t="s">
        <v>2</v>
      </c>
      <c r="C34" s="43">
        <f>SUM(C2:C33)</f>
        <v>16742798.254999995</v>
      </c>
      <c r="D34" s="32"/>
      <c r="E34" s="44">
        <f>SUM(E2:E33)</f>
        <v>98681.570000000022</v>
      </c>
      <c r="F34" s="37"/>
    </row>
    <row r="35" spans="1:6">
      <c r="F35" t="s">
        <v>105</v>
      </c>
    </row>
  </sheetData>
  <autoFilter ref="A1:F35" xr:uid="{8E565D82-D904-416C-8031-BC8E46622C34}"/>
  <mergeCells count="1">
    <mergeCell ref="F2:F3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AF865-FEC0-48C5-AB96-D8E0593FAD83}">
  <dimension ref="A1:G16"/>
  <sheetViews>
    <sheetView workbookViewId="0"/>
  </sheetViews>
  <sheetFormatPr defaultRowHeight="14.5"/>
  <cols>
    <col min="1" max="1" width="30.453125" customWidth="1"/>
    <col min="2" max="6" width="26.81640625" customWidth="1"/>
  </cols>
  <sheetData>
    <row r="1" spans="1:7">
      <c r="A1" s="79"/>
      <c r="B1" s="79"/>
      <c r="C1" s="79"/>
      <c r="D1" s="79"/>
      <c r="E1" s="79"/>
      <c r="F1" s="79"/>
      <c r="G1" s="79"/>
    </row>
    <row r="2" spans="1:7">
      <c r="A2" s="80" t="s">
        <v>106</v>
      </c>
      <c r="B2" s="81" t="s">
        <v>106</v>
      </c>
      <c r="C2" s="82" t="s">
        <v>107</v>
      </c>
      <c r="D2" s="82" t="s">
        <v>107</v>
      </c>
      <c r="E2" s="82" t="s">
        <v>107</v>
      </c>
      <c r="F2" s="83" t="s">
        <v>107</v>
      </c>
      <c r="G2" s="127" t="s">
        <v>108</v>
      </c>
    </row>
    <row r="3" spans="1:7">
      <c r="A3" s="79" t="s">
        <v>109</v>
      </c>
      <c r="B3" s="84" t="s">
        <v>110</v>
      </c>
      <c r="C3" s="85" t="s">
        <v>111</v>
      </c>
      <c r="D3" s="85" t="s">
        <v>112</v>
      </c>
      <c r="E3" s="85" t="s">
        <v>113</v>
      </c>
      <c r="F3" s="86" t="s">
        <v>114</v>
      </c>
      <c r="G3" s="127"/>
    </row>
    <row r="4" spans="1:7" ht="29.5" thickBot="1">
      <c r="A4" s="87" t="s">
        <v>115</v>
      </c>
      <c r="B4" s="88">
        <v>8</v>
      </c>
      <c r="C4" s="89">
        <v>8</v>
      </c>
      <c r="D4" s="89" t="s">
        <v>116</v>
      </c>
      <c r="E4" s="89" t="s">
        <v>117</v>
      </c>
      <c r="F4" s="90" t="s">
        <v>118</v>
      </c>
      <c r="G4" s="128" t="s">
        <v>119</v>
      </c>
    </row>
    <row r="5" spans="1:7" ht="15" thickBot="1">
      <c r="A5" s="87" t="s">
        <v>120</v>
      </c>
      <c r="B5" s="88">
        <v>69</v>
      </c>
      <c r="C5" s="89">
        <v>69</v>
      </c>
      <c r="D5" s="89" t="s">
        <v>121</v>
      </c>
      <c r="E5" s="89" t="s">
        <v>122</v>
      </c>
      <c r="F5" s="90" t="s">
        <v>123</v>
      </c>
      <c r="G5" s="128"/>
    </row>
    <row r="6" spans="1:7" ht="15" thickBot="1">
      <c r="A6" s="87" t="s">
        <v>120</v>
      </c>
      <c r="B6" s="88">
        <v>1</v>
      </c>
      <c r="C6" s="89">
        <v>1</v>
      </c>
      <c r="D6" s="89" t="s">
        <v>124</v>
      </c>
      <c r="E6" s="89" t="s">
        <v>125</v>
      </c>
      <c r="F6" s="90" t="s">
        <v>126</v>
      </c>
      <c r="G6" s="128"/>
    </row>
    <row r="7" spans="1:7" ht="15" thickBot="1">
      <c r="A7" s="87" t="s">
        <v>127</v>
      </c>
      <c r="B7" s="88">
        <v>10</v>
      </c>
      <c r="C7" s="89">
        <v>10</v>
      </c>
      <c r="D7" s="89" t="s">
        <v>128</v>
      </c>
      <c r="E7" s="89" t="s">
        <v>129</v>
      </c>
      <c r="F7" s="90" t="s">
        <v>130</v>
      </c>
      <c r="G7" s="128"/>
    </row>
    <row r="8" spans="1:7" ht="29.5" thickBot="1">
      <c r="A8" s="87" t="s">
        <v>131</v>
      </c>
      <c r="B8" s="88">
        <v>3</v>
      </c>
      <c r="C8" s="89">
        <v>3</v>
      </c>
      <c r="D8" s="89" t="s">
        <v>132</v>
      </c>
      <c r="E8" s="89" t="s">
        <v>133</v>
      </c>
      <c r="F8" s="90" t="s">
        <v>134</v>
      </c>
      <c r="G8" s="128"/>
    </row>
    <row r="9" spans="1:7" ht="29.5" thickBot="1">
      <c r="A9" s="87" t="s">
        <v>135</v>
      </c>
      <c r="B9" s="88">
        <v>53</v>
      </c>
      <c r="C9" s="89">
        <v>106</v>
      </c>
      <c r="D9" s="89" t="s">
        <v>136</v>
      </c>
      <c r="E9" s="89" t="s">
        <v>137</v>
      </c>
      <c r="F9" s="90" t="s">
        <v>138</v>
      </c>
      <c r="G9" s="128"/>
    </row>
    <row r="10" spans="1:7">
      <c r="A10" s="91" t="s">
        <v>139</v>
      </c>
      <c r="B10" s="92">
        <v>144</v>
      </c>
      <c r="C10" s="93">
        <v>197</v>
      </c>
      <c r="D10" s="93" t="s">
        <v>140</v>
      </c>
      <c r="E10" s="93" t="s">
        <v>141</v>
      </c>
      <c r="F10" s="77" t="s">
        <v>142</v>
      </c>
      <c r="G10" s="79"/>
    </row>
    <row r="11" spans="1:7">
      <c r="A11" s="80" t="s">
        <v>143</v>
      </c>
      <c r="B11" s="94" t="s">
        <v>143</v>
      </c>
      <c r="C11" s="95" t="s">
        <v>107</v>
      </c>
      <c r="D11" s="95" t="s">
        <v>107</v>
      </c>
      <c r="E11" s="96" t="s">
        <v>107</v>
      </c>
      <c r="F11" s="79"/>
      <c r="G11" s="79"/>
    </row>
    <row r="12" spans="1:7">
      <c r="A12" s="97"/>
      <c r="B12" s="98" t="s">
        <v>144</v>
      </c>
      <c r="C12" s="99" t="s">
        <v>145</v>
      </c>
      <c r="D12" s="99" t="s">
        <v>146</v>
      </c>
      <c r="E12" s="100" t="s">
        <v>2</v>
      </c>
      <c r="F12" s="79"/>
      <c r="G12" s="79"/>
    </row>
    <row r="13" spans="1:7" ht="26">
      <c r="A13" s="97"/>
      <c r="B13" s="101" t="s">
        <v>147</v>
      </c>
      <c r="C13" s="102">
        <v>700</v>
      </c>
      <c r="D13" s="78" t="s">
        <v>148</v>
      </c>
      <c r="E13" s="78" t="s">
        <v>149</v>
      </c>
      <c r="F13" s="79"/>
      <c r="G13" s="103" t="s">
        <v>150</v>
      </c>
    </row>
    <row r="14" spans="1:7">
      <c r="A14" s="79"/>
      <c r="B14" s="79"/>
      <c r="C14" s="79"/>
      <c r="D14" s="79"/>
      <c r="E14" s="79"/>
      <c r="F14" s="79"/>
      <c r="G14" s="79"/>
    </row>
    <row r="15" spans="1:7">
      <c r="A15" s="79"/>
      <c r="B15" s="79"/>
      <c r="C15" s="79"/>
      <c r="D15" s="79"/>
      <c r="E15" s="79"/>
      <c r="F15" s="79">
        <f>2622000+232000</f>
        <v>2854000</v>
      </c>
      <c r="G15" s="79"/>
    </row>
    <row r="16" spans="1:7">
      <c r="A16" s="79"/>
      <c r="B16" s="97"/>
      <c r="C16" s="79"/>
      <c r="D16" s="79"/>
      <c r="E16" s="79"/>
      <c r="F16" s="79"/>
      <c r="G16" s="79"/>
    </row>
  </sheetData>
  <mergeCells count="2">
    <mergeCell ref="G2:G3"/>
    <mergeCell ref="G4:G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51D8-CF60-4B63-95DE-D1A1E85ED9B9}">
  <dimension ref="A1:D64"/>
  <sheetViews>
    <sheetView workbookViewId="0"/>
  </sheetViews>
  <sheetFormatPr defaultRowHeight="14.5"/>
  <cols>
    <col min="1" max="1" width="117.81640625" customWidth="1"/>
    <col min="2" max="2" width="23.453125" bestFit="1" customWidth="1"/>
    <col min="3" max="3" width="24.54296875" bestFit="1" customWidth="1"/>
    <col min="4" max="4" width="23.54296875" bestFit="1" customWidth="1"/>
  </cols>
  <sheetData>
    <row r="1" spans="1:4">
      <c r="A1" s="104"/>
      <c r="B1" s="104"/>
      <c r="C1" s="104"/>
      <c r="D1" s="104"/>
    </row>
    <row r="2" spans="1:4">
      <c r="A2" s="104"/>
      <c r="B2" s="104"/>
      <c r="C2" s="104"/>
      <c r="D2" s="104"/>
    </row>
    <row r="3" spans="1:4">
      <c r="A3" s="105" t="s">
        <v>151</v>
      </c>
      <c r="B3" s="105" t="s">
        <v>152</v>
      </c>
      <c r="C3" s="106" t="s">
        <v>153</v>
      </c>
      <c r="D3" s="107" t="s">
        <v>154</v>
      </c>
    </row>
    <row r="4" spans="1:4">
      <c r="A4" s="104" t="s">
        <v>155</v>
      </c>
      <c r="B4" s="104" t="s">
        <v>156</v>
      </c>
      <c r="C4" s="108" t="s">
        <v>157</v>
      </c>
      <c r="D4" s="109" t="s">
        <v>158</v>
      </c>
    </row>
    <row r="5" spans="1:4">
      <c r="A5" s="104" t="s">
        <v>159</v>
      </c>
      <c r="B5" s="104" t="s">
        <v>160</v>
      </c>
      <c r="C5" s="108" t="s">
        <v>161</v>
      </c>
      <c r="D5" s="109" t="s">
        <v>162</v>
      </c>
    </row>
    <row r="6" spans="1:4">
      <c r="A6" s="104" t="s">
        <v>163</v>
      </c>
      <c r="B6" s="104" t="s">
        <v>164</v>
      </c>
      <c r="C6" s="108" t="s">
        <v>165</v>
      </c>
      <c r="D6" s="109" t="s">
        <v>166</v>
      </c>
    </row>
    <row r="7" spans="1:4">
      <c r="A7" s="104" t="s">
        <v>167</v>
      </c>
      <c r="B7" s="104" t="s">
        <v>168</v>
      </c>
      <c r="C7" s="108" t="s">
        <v>169</v>
      </c>
      <c r="D7" s="109" t="s">
        <v>170</v>
      </c>
    </row>
    <row r="8" spans="1:4" ht="208.5" customHeight="1">
      <c r="A8" s="110" t="s">
        <v>171</v>
      </c>
      <c r="B8" s="104" t="s">
        <v>164</v>
      </c>
      <c r="C8" s="108" t="s">
        <v>165</v>
      </c>
      <c r="D8" s="109" t="s">
        <v>166</v>
      </c>
    </row>
    <row r="9" spans="1:4">
      <c r="A9" s="104" t="s">
        <v>172</v>
      </c>
      <c r="B9" s="104" t="s">
        <v>173</v>
      </c>
      <c r="C9" s="108" t="s">
        <v>174</v>
      </c>
      <c r="D9" s="109" t="s">
        <v>175</v>
      </c>
    </row>
    <row r="10" spans="1:4">
      <c r="A10" s="104" t="s">
        <v>176</v>
      </c>
      <c r="B10" s="104" t="s">
        <v>177</v>
      </c>
      <c r="C10" s="108" t="s">
        <v>178</v>
      </c>
      <c r="D10" s="109" t="s">
        <v>179</v>
      </c>
    </row>
    <row r="11" spans="1:4">
      <c r="A11" s="104" t="s">
        <v>180</v>
      </c>
      <c r="B11" s="104" t="s">
        <v>168</v>
      </c>
      <c r="C11" s="108" t="s">
        <v>169</v>
      </c>
      <c r="D11" s="109" t="s">
        <v>170</v>
      </c>
    </row>
    <row r="12" spans="1:4">
      <c r="A12" s="104" t="s">
        <v>181</v>
      </c>
      <c r="B12" s="104" t="s">
        <v>182</v>
      </c>
      <c r="C12" s="108" t="s">
        <v>183</v>
      </c>
      <c r="D12" s="109" t="s">
        <v>184</v>
      </c>
    </row>
    <row r="13" spans="1:4">
      <c r="A13" s="104" t="s">
        <v>185</v>
      </c>
      <c r="B13" s="104" t="s">
        <v>186</v>
      </c>
      <c r="C13" s="108" t="s">
        <v>187</v>
      </c>
      <c r="D13" s="109" t="s">
        <v>188</v>
      </c>
    </row>
    <row r="14" spans="1:4">
      <c r="A14" s="104" t="s">
        <v>189</v>
      </c>
      <c r="B14" s="104" t="s">
        <v>190</v>
      </c>
      <c r="C14" s="108" t="s">
        <v>191</v>
      </c>
      <c r="D14" s="109" t="s">
        <v>192</v>
      </c>
    </row>
    <row r="15" spans="1:4">
      <c r="A15" s="104" t="s">
        <v>193</v>
      </c>
      <c r="B15" s="104" t="s">
        <v>186</v>
      </c>
      <c r="C15" s="108" t="s">
        <v>187</v>
      </c>
      <c r="D15" s="109" t="s">
        <v>188</v>
      </c>
    </row>
    <row r="16" spans="1:4">
      <c r="A16" s="104" t="s">
        <v>194</v>
      </c>
      <c r="B16" s="104" t="s">
        <v>195</v>
      </c>
      <c r="C16" s="108" t="s">
        <v>196</v>
      </c>
      <c r="D16" s="109" t="s">
        <v>197</v>
      </c>
    </row>
    <row r="17" spans="1:4">
      <c r="A17" s="104" t="s">
        <v>198</v>
      </c>
      <c r="B17" s="104" t="s">
        <v>199</v>
      </c>
      <c r="C17" s="108" t="s">
        <v>200</v>
      </c>
      <c r="D17" s="109" t="s">
        <v>201</v>
      </c>
    </row>
    <row r="18" spans="1:4">
      <c r="A18" s="104" t="s">
        <v>202</v>
      </c>
      <c r="B18" s="104" t="s">
        <v>203</v>
      </c>
      <c r="C18" s="108" t="s">
        <v>204</v>
      </c>
      <c r="D18" s="109" t="s">
        <v>205</v>
      </c>
    </row>
    <row r="19" spans="1:4">
      <c r="A19" s="104" t="s">
        <v>206</v>
      </c>
      <c r="B19" s="104" t="s">
        <v>190</v>
      </c>
      <c r="C19" s="108" t="s">
        <v>191</v>
      </c>
      <c r="D19" s="109" t="s">
        <v>192</v>
      </c>
    </row>
    <row r="20" spans="1:4">
      <c r="A20" s="104" t="s">
        <v>207</v>
      </c>
      <c r="B20" s="104" t="s">
        <v>208</v>
      </c>
      <c r="C20" s="108" t="s">
        <v>209</v>
      </c>
      <c r="D20" s="109" t="s">
        <v>210</v>
      </c>
    </row>
    <row r="21" spans="1:4">
      <c r="A21" s="104" t="s">
        <v>211</v>
      </c>
      <c r="B21" s="104" t="s">
        <v>212</v>
      </c>
      <c r="C21" s="108" t="s">
        <v>213</v>
      </c>
      <c r="D21" s="109" t="s">
        <v>214</v>
      </c>
    </row>
    <row r="22" spans="1:4">
      <c r="A22" s="104" t="s">
        <v>215</v>
      </c>
      <c r="B22" s="104" t="s">
        <v>195</v>
      </c>
      <c r="C22" s="108" t="s">
        <v>196</v>
      </c>
      <c r="D22" s="109" t="s">
        <v>197</v>
      </c>
    </row>
    <row r="23" spans="1:4">
      <c r="A23" s="104" t="s">
        <v>216</v>
      </c>
      <c r="B23" s="104" t="s">
        <v>217</v>
      </c>
      <c r="C23" s="108" t="s">
        <v>218</v>
      </c>
      <c r="D23" s="109" t="s">
        <v>219</v>
      </c>
    </row>
    <row r="24" spans="1:4">
      <c r="A24" s="104" t="s">
        <v>220</v>
      </c>
      <c r="B24" s="104" t="s">
        <v>221</v>
      </c>
      <c r="C24" s="108" t="s">
        <v>222</v>
      </c>
      <c r="D24" s="109" t="s">
        <v>223</v>
      </c>
    </row>
    <row r="25" spans="1:4">
      <c r="A25" s="104" t="s">
        <v>224</v>
      </c>
      <c r="B25" s="104" t="s">
        <v>225</v>
      </c>
      <c r="C25" s="108" t="s">
        <v>226</v>
      </c>
      <c r="D25" s="109" t="s">
        <v>227</v>
      </c>
    </row>
    <row r="26" spans="1:4">
      <c r="A26" s="104" t="s">
        <v>228</v>
      </c>
      <c r="B26" s="104" t="s">
        <v>229</v>
      </c>
      <c r="C26" s="108" t="s">
        <v>230</v>
      </c>
      <c r="D26" s="109" t="s">
        <v>231</v>
      </c>
    </row>
    <row r="27" spans="1:4">
      <c r="A27" s="104" t="s">
        <v>232</v>
      </c>
      <c r="B27" s="104" t="s">
        <v>221</v>
      </c>
      <c r="C27" s="108" t="s">
        <v>222</v>
      </c>
      <c r="D27" s="109" t="s">
        <v>223</v>
      </c>
    </row>
    <row r="28" spans="1:4">
      <c r="A28" s="104" t="s">
        <v>233</v>
      </c>
      <c r="B28" s="104" t="s">
        <v>234</v>
      </c>
      <c r="C28" s="108" t="s">
        <v>235</v>
      </c>
      <c r="D28" s="109" t="s">
        <v>236</v>
      </c>
    </row>
    <row r="29" spans="1:4">
      <c r="A29" s="104" t="s">
        <v>237</v>
      </c>
      <c r="B29" s="104" t="s">
        <v>238</v>
      </c>
      <c r="C29" s="108" t="s">
        <v>239</v>
      </c>
      <c r="D29" s="109" t="s">
        <v>240</v>
      </c>
    </row>
    <row r="30" spans="1:4">
      <c r="A30" s="104" t="s">
        <v>241</v>
      </c>
      <c r="B30" s="104" t="s">
        <v>242</v>
      </c>
      <c r="C30" s="108" t="s">
        <v>243</v>
      </c>
      <c r="D30" s="109" t="s">
        <v>244</v>
      </c>
    </row>
    <row r="31" spans="1:4">
      <c r="A31" s="104" t="s">
        <v>245</v>
      </c>
      <c r="B31" s="104" t="s">
        <v>246</v>
      </c>
      <c r="C31" s="108" t="s">
        <v>247</v>
      </c>
      <c r="D31" s="109" t="s">
        <v>248</v>
      </c>
    </row>
    <row r="32" spans="1:4">
      <c r="A32" s="104" t="s">
        <v>249</v>
      </c>
      <c r="B32" s="104" t="s">
        <v>186</v>
      </c>
      <c r="C32" s="108" t="s">
        <v>187</v>
      </c>
      <c r="D32" s="109" t="s">
        <v>188</v>
      </c>
    </row>
    <row r="33" spans="1:4">
      <c r="A33" s="104" t="s">
        <v>250</v>
      </c>
      <c r="B33" s="104" t="s">
        <v>251</v>
      </c>
      <c r="C33" s="108" t="s">
        <v>252</v>
      </c>
      <c r="D33" s="109" t="s">
        <v>253</v>
      </c>
    </row>
    <row r="34" spans="1:4">
      <c r="A34" s="104" t="s">
        <v>254</v>
      </c>
      <c r="B34" s="104" t="s">
        <v>255</v>
      </c>
      <c r="C34" s="108" t="s">
        <v>256</v>
      </c>
      <c r="D34" s="109" t="s">
        <v>257</v>
      </c>
    </row>
    <row r="35" spans="1:4">
      <c r="A35" s="104" t="s">
        <v>258</v>
      </c>
      <c r="B35" s="104" t="s">
        <v>259</v>
      </c>
      <c r="C35" s="108" t="s">
        <v>260</v>
      </c>
      <c r="D35" s="109" t="s">
        <v>261</v>
      </c>
    </row>
    <row r="36" spans="1:4">
      <c r="A36" s="104" t="s">
        <v>262</v>
      </c>
      <c r="B36" s="104" t="s">
        <v>168</v>
      </c>
      <c r="C36" s="108" t="s">
        <v>169</v>
      </c>
      <c r="D36" s="109" t="s">
        <v>170</v>
      </c>
    </row>
    <row r="37" spans="1:4">
      <c r="A37" s="104" t="s">
        <v>263</v>
      </c>
      <c r="B37" s="104" t="s">
        <v>264</v>
      </c>
      <c r="C37" s="108" t="s">
        <v>265</v>
      </c>
      <c r="D37" s="109" t="s">
        <v>266</v>
      </c>
    </row>
    <row r="38" spans="1:4">
      <c r="A38" s="104" t="s">
        <v>267</v>
      </c>
      <c r="B38" s="104" t="s">
        <v>268</v>
      </c>
      <c r="C38" s="108" t="s">
        <v>269</v>
      </c>
      <c r="D38" s="109" t="s">
        <v>270</v>
      </c>
    </row>
    <row r="39" spans="1:4">
      <c r="A39" s="104" t="s">
        <v>271</v>
      </c>
      <c r="B39" s="104" t="s">
        <v>177</v>
      </c>
      <c r="C39" s="108" t="s">
        <v>178</v>
      </c>
      <c r="D39" s="109" t="s">
        <v>179</v>
      </c>
    </row>
    <row r="40" spans="1:4">
      <c r="A40" s="104" t="s">
        <v>272</v>
      </c>
      <c r="B40" s="104" t="s">
        <v>264</v>
      </c>
      <c r="C40" s="108" t="s">
        <v>265</v>
      </c>
      <c r="D40" s="109" t="s">
        <v>266</v>
      </c>
    </row>
    <row r="41" spans="1:4">
      <c r="A41" s="104" t="s">
        <v>273</v>
      </c>
      <c r="B41" s="104" t="s">
        <v>274</v>
      </c>
      <c r="C41" s="108" t="s">
        <v>275</v>
      </c>
      <c r="D41" s="109" t="s">
        <v>276</v>
      </c>
    </row>
    <row r="42" spans="1:4">
      <c r="A42" s="104" t="s">
        <v>277</v>
      </c>
      <c r="B42" s="104" t="s">
        <v>173</v>
      </c>
      <c r="C42" s="108" t="s">
        <v>174</v>
      </c>
      <c r="D42" s="109" t="s">
        <v>175</v>
      </c>
    </row>
    <row r="43" spans="1:4">
      <c r="A43" s="104" t="s">
        <v>278</v>
      </c>
      <c r="B43" s="104" t="s">
        <v>177</v>
      </c>
      <c r="C43" s="108" t="s">
        <v>178</v>
      </c>
      <c r="D43" s="109" t="s">
        <v>179</v>
      </c>
    </row>
    <row r="44" spans="1:4">
      <c r="A44" s="104" t="s">
        <v>279</v>
      </c>
      <c r="B44" s="104" t="s">
        <v>280</v>
      </c>
      <c r="C44" s="108" t="s">
        <v>281</v>
      </c>
      <c r="D44" s="109" t="s">
        <v>282</v>
      </c>
    </row>
    <row r="45" spans="1:4">
      <c r="A45" s="104" t="s">
        <v>283</v>
      </c>
      <c r="B45" s="104" t="s">
        <v>284</v>
      </c>
      <c r="C45" s="108" t="s">
        <v>285</v>
      </c>
      <c r="D45" s="109" t="s">
        <v>286</v>
      </c>
    </row>
    <row r="46" spans="1:4">
      <c r="A46" s="104" t="s">
        <v>287</v>
      </c>
      <c r="B46" s="104" t="s">
        <v>173</v>
      </c>
      <c r="C46" s="108" t="s">
        <v>174</v>
      </c>
      <c r="D46" s="109" t="s">
        <v>175</v>
      </c>
    </row>
    <row r="47" spans="1:4">
      <c r="A47" s="104" t="s">
        <v>288</v>
      </c>
      <c r="B47" s="104" t="s">
        <v>274</v>
      </c>
      <c r="C47" s="108" t="s">
        <v>275</v>
      </c>
      <c r="D47" s="109" t="s">
        <v>276</v>
      </c>
    </row>
    <row r="48" spans="1:4">
      <c r="A48" s="104" t="s">
        <v>289</v>
      </c>
      <c r="B48" s="104" t="s">
        <v>255</v>
      </c>
      <c r="C48" s="108" t="s">
        <v>256</v>
      </c>
      <c r="D48" s="109" t="s">
        <v>257</v>
      </c>
    </row>
    <row r="49" spans="1:4">
      <c r="A49" s="104" t="s">
        <v>290</v>
      </c>
      <c r="B49" s="104" t="s">
        <v>242</v>
      </c>
      <c r="C49" s="108" t="s">
        <v>243</v>
      </c>
      <c r="D49" s="109" t="s">
        <v>244</v>
      </c>
    </row>
    <row r="50" spans="1:4">
      <c r="A50" s="104" t="s">
        <v>291</v>
      </c>
      <c r="B50" s="104" t="s">
        <v>292</v>
      </c>
      <c r="C50" s="108" t="s">
        <v>293</v>
      </c>
      <c r="D50" s="109" t="s">
        <v>294</v>
      </c>
    </row>
    <row r="51" spans="1:4">
      <c r="A51" s="104" t="s">
        <v>295</v>
      </c>
      <c r="B51" s="104" t="s">
        <v>195</v>
      </c>
      <c r="C51" s="108" t="s">
        <v>196</v>
      </c>
      <c r="D51" s="109" t="s">
        <v>197</v>
      </c>
    </row>
    <row r="52" spans="1:4">
      <c r="A52" s="104" t="s">
        <v>296</v>
      </c>
      <c r="B52" s="104" t="s">
        <v>168</v>
      </c>
      <c r="C52" s="108" t="s">
        <v>169</v>
      </c>
      <c r="D52" s="109" t="s">
        <v>170</v>
      </c>
    </row>
    <row r="53" spans="1:4">
      <c r="A53" s="104" t="s">
        <v>297</v>
      </c>
      <c r="B53" s="104" t="s">
        <v>298</v>
      </c>
      <c r="C53" s="108" t="s">
        <v>299</v>
      </c>
      <c r="D53" s="109" t="s">
        <v>300</v>
      </c>
    </row>
    <row r="54" spans="1:4">
      <c r="A54" s="104" t="s">
        <v>301</v>
      </c>
      <c r="B54" s="104" t="s">
        <v>302</v>
      </c>
      <c r="C54" s="108" t="s">
        <v>303</v>
      </c>
      <c r="D54" s="109" t="s">
        <v>304</v>
      </c>
    </row>
    <row r="55" spans="1:4">
      <c r="A55" s="104" t="s">
        <v>305</v>
      </c>
      <c r="B55" s="104" t="s">
        <v>268</v>
      </c>
      <c r="C55" s="108" t="s">
        <v>269</v>
      </c>
      <c r="D55" s="109" t="s">
        <v>270</v>
      </c>
    </row>
    <row r="56" spans="1:4">
      <c r="A56" s="104" t="s">
        <v>306</v>
      </c>
      <c r="B56" s="104" t="s">
        <v>307</v>
      </c>
      <c r="C56" s="108" t="s">
        <v>308</v>
      </c>
      <c r="D56" s="109" t="s">
        <v>309</v>
      </c>
    </row>
    <row r="57" spans="1:4">
      <c r="A57" s="104" t="s">
        <v>310</v>
      </c>
      <c r="B57" s="104" t="s">
        <v>195</v>
      </c>
      <c r="C57" s="108" t="s">
        <v>196</v>
      </c>
      <c r="D57" s="109" t="s">
        <v>197</v>
      </c>
    </row>
    <row r="58" spans="1:4">
      <c r="A58" s="104" t="s">
        <v>311</v>
      </c>
      <c r="B58" s="104" t="s">
        <v>312</v>
      </c>
      <c r="C58" s="108" t="s">
        <v>313</v>
      </c>
      <c r="D58" s="109" t="s">
        <v>314</v>
      </c>
    </row>
    <row r="59" spans="1:4">
      <c r="A59" s="104" t="s">
        <v>315</v>
      </c>
      <c r="B59" s="104" t="s">
        <v>186</v>
      </c>
      <c r="C59" s="108" t="s">
        <v>187</v>
      </c>
      <c r="D59" s="109" t="s">
        <v>188</v>
      </c>
    </row>
    <row r="60" spans="1:4">
      <c r="A60" s="104" t="s">
        <v>316</v>
      </c>
      <c r="B60" s="104" t="s">
        <v>317</v>
      </c>
      <c r="C60" s="108" t="s">
        <v>318</v>
      </c>
      <c r="D60" s="109" t="s">
        <v>319</v>
      </c>
    </row>
    <row r="61" spans="1:4">
      <c r="A61" s="104" t="s">
        <v>320</v>
      </c>
      <c r="B61" s="104" t="s">
        <v>321</v>
      </c>
      <c r="C61" s="108" t="s">
        <v>322</v>
      </c>
      <c r="D61" s="109" t="s">
        <v>323</v>
      </c>
    </row>
    <row r="62" spans="1:4">
      <c r="A62" s="104" t="s">
        <v>324</v>
      </c>
      <c r="B62" s="104" t="s">
        <v>325</v>
      </c>
      <c r="C62" s="108" t="s">
        <v>326</v>
      </c>
      <c r="D62" s="109" t="s">
        <v>327</v>
      </c>
    </row>
    <row r="63" spans="1:4">
      <c r="A63" s="104" t="s">
        <v>328</v>
      </c>
      <c r="B63" s="104" t="s">
        <v>182</v>
      </c>
      <c r="C63" s="108" t="s">
        <v>183</v>
      </c>
      <c r="D63" s="109" t="s">
        <v>184</v>
      </c>
    </row>
    <row r="64" spans="1:4">
      <c r="A64" s="111" t="s">
        <v>329</v>
      </c>
      <c r="B64" s="111" t="s">
        <v>330</v>
      </c>
      <c r="C64" s="112" t="s">
        <v>331</v>
      </c>
      <c r="D64" s="113" t="s">
        <v>332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56B3A-9FB3-4D45-843E-A042038AF071}">
  <dimension ref="A1:F10"/>
  <sheetViews>
    <sheetView showGridLines="0" workbookViewId="0">
      <selection activeCell="C3" sqref="C3:C8"/>
    </sheetView>
  </sheetViews>
  <sheetFormatPr defaultColWidth="8.7265625" defaultRowHeight="14.5"/>
  <cols>
    <col min="1" max="1" width="11.1796875" bestFit="1" customWidth="1"/>
    <col min="2" max="2" width="21.81640625" bestFit="1" customWidth="1"/>
    <col min="3" max="3" width="56.26953125" customWidth="1"/>
    <col min="4" max="4" width="35.1796875" bestFit="1" customWidth="1"/>
    <col min="5" max="5" width="13.26953125" bestFit="1" customWidth="1"/>
    <col min="6" max="6" width="39.26953125" customWidth="1"/>
  </cols>
  <sheetData>
    <row r="1" spans="1:6">
      <c r="A1" s="46" t="s">
        <v>4</v>
      </c>
      <c r="B1" s="46" t="s">
        <v>63</v>
      </c>
      <c r="C1" s="46" t="s">
        <v>64</v>
      </c>
      <c r="D1" s="46" t="s">
        <v>333</v>
      </c>
      <c r="E1" s="46" t="s">
        <v>65</v>
      </c>
      <c r="F1" s="24" t="s">
        <v>66</v>
      </c>
    </row>
    <row r="2" spans="1:6" ht="44.5" customHeight="1">
      <c r="A2" s="39" t="s">
        <v>334</v>
      </c>
      <c r="B2" s="47">
        <v>3875013.0500000003</v>
      </c>
      <c r="C2" s="48" t="s">
        <v>335</v>
      </c>
      <c r="D2" s="38" t="s">
        <v>336</v>
      </c>
      <c r="E2" s="39">
        <v>13928</v>
      </c>
      <c r="F2" s="129" t="s">
        <v>337</v>
      </c>
    </row>
    <row r="3" spans="1:6" ht="44.5" customHeight="1">
      <c r="A3" s="39" t="s">
        <v>334</v>
      </c>
      <c r="B3" s="47">
        <v>1434931.61</v>
      </c>
      <c r="C3" s="49" t="s">
        <v>338</v>
      </c>
      <c r="D3" s="38" t="s">
        <v>339</v>
      </c>
      <c r="E3" s="39">
        <v>6666</v>
      </c>
      <c r="F3" s="129"/>
    </row>
    <row r="4" spans="1:6" ht="44.5" customHeight="1">
      <c r="A4" s="27" t="s">
        <v>87</v>
      </c>
      <c r="B4" s="50">
        <v>599483.81000000006</v>
      </c>
      <c r="C4" s="51" t="s">
        <v>340</v>
      </c>
      <c r="D4" s="52" t="s">
        <v>341</v>
      </c>
      <c r="E4" s="30">
        <v>2864.4</v>
      </c>
      <c r="F4" s="129"/>
    </row>
    <row r="5" spans="1:6" ht="44.5" customHeight="1">
      <c r="A5" s="27" t="s">
        <v>87</v>
      </c>
      <c r="B5" s="50">
        <v>466416.89999999991</v>
      </c>
      <c r="C5" s="51" t="s">
        <v>342</v>
      </c>
      <c r="D5" s="52" t="s">
        <v>343</v>
      </c>
      <c r="E5" s="30">
        <v>2200</v>
      </c>
      <c r="F5" s="129"/>
    </row>
    <row r="6" spans="1:6" ht="44.5" customHeight="1">
      <c r="A6" s="27" t="s">
        <v>344</v>
      </c>
      <c r="B6" s="50">
        <v>599483.81000000006</v>
      </c>
      <c r="C6" s="51" t="s">
        <v>340</v>
      </c>
      <c r="D6" s="52" t="s">
        <v>341</v>
      </c>
      <c r="E6" s="30">
        <v>2864.4</v>
      </c>
      <c r="F6" s="129"/>
    </row>
    <row r="7" spans="1:6" ht="44.5" customHeight="1">
      <c r="A7" s="27" t="s">
        <v>344</v>
      </c>
      <c r="B7" s="50">
        <f>466416.91-29899.92</f>
        <v>436516.99</v>
      </c>
      <c r="C7" s="51" t="s">
        <v>342</v>
      </c>
      <c r="D7" s="52" t="s">
        <v>343</v>
      </c>
      <c r="E7" s="30">
        <v>2200</v>
      </c>
      <c r="F7" s="129"/>
    </row>
    <row r="8" spans="1:6" ht="44.5" customHeight="1">
      <c r="A8" s="27" t="s">
        <v>345</v>
      </c>
      <c r="B8" s="50">
        <v>599483.81000000006</v>
      </c>
      <c r="C8" s="51" t="s">
        <v>340</v>
      </c>
      <c r="D8" s="52" t="s">
        <v>341</v>
      </c>
      <c r="E8" s="30">
        <v>2864.4</v>
      </c>
      <c r="F8" s="129"/>
    </row>
    <row r="9" spans="1:6">
      <c r="B9" s="53">
        <f>SUM(B2:B8)</f>
        <v>8011329.9800000023</v>
      </c>
    </row>
    <row r="10" spans="1:6">
      <c r="B10" s="53"/>
    </row>
  </sheetData>
  <autoFilter ref="A1:E9" xr:uid="{00000000-0009-0000-0000-000000000000}"/>
  <mergeCells count="1">
    <mergeCell ref="F2:F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94F69-FBBE-4E82-B476-411EF3E40CE7}">
  <dimension ref="A1:F21"/>
  <sheetViews>
    <sheetView workbookViewId="0">
      <selection activeCell="D16" sqref="D16"/>
    </sheetView>
  </sheetViews>
  <sheetFormatPr defaultColWidth="8.7265625" defaultRowHeight="14.5"/>
  <cols>
    <col min="1" max="1" width="10.54296875" bestFit="1" customWidth="1"/>
    <col min="2" max="2" width="21.81640625" bestFit="1" customWidth="1"/>
    <col min="3" max="3" width="24.453125" customWidth="1"/>
    <col min="4" max="4" width="45.1796875" customWidth="1"/>
    <col min="5" max="5" width="13.26953125" bestFit="1" customWidth="1"/>
    <col min="6" max="6" width="32" bestFit="1" customWidth="1"/>
  </cols>
  <sheetData>
    <row r="1" spans="1:6">
      <c r="A1" s="46" t="s">
        <v>4</v>
      </c>
      <c r="B1" s="46" t="s">
        <v>63</v>
      </c>
      <c r="C1" s="46" t="s">
        <v>64</v>
      </c>
      <c r="D1" s="46" t="s">
        <v>333</v>
      </c>
      <c r="E1" s="46" t="s">
        <v>65</v>
      </c>
      <c r="F1" s="34" t="s">
        <v>66</v>
      </c>
    </row>
    <row r="2" spans="1:6">
      <c r="A2" s="54" t="s">
        <v>346</v>
      </c>
      <c r="B2" s="55">
        <v>1567104</v>
      </c>
      <c r="C2" s="56" t="s">
        <v>347</v>
      </c>
      <c r="D2" s="35" t="s">
        <v>348</v>
      </c>
      <c r="E2" s="54">
        <v>6336</v>
      </c>
      <c r="F2" s="130" t="s">
        <v>349</v>
      </c>
    </row>
    <row r="3" spans="1:6">
      <c r="A3" s="54" t="s">
        <v>346</v>
      </c>
      <c r="B3" s="55">
        <v>164551.5</v>
      </c>
      <c r="C3" s="38" t="s">
        <v>350</v>
      </c>
      <c r="D3" s="35" t="s">
        <v>351</v>
      </c>
      <c r="E3" s="54">
        <v>1195</v>
      </c>
      <c r="F3" s="131"/>
    </row>
    <row r="4" spans="1:6">
      <c r="A4" s="54" t="s">
        <v>346</v>
      </c>
      <c r="B4" s="55">
        <v>94149.01999999999</v>
      </c>
      <c r="C4" s="38" t="s">
        <v>350</v>
      </c>
      <c r="D4" s="35" t="s">
        <v>352</v>
      </c>
      <c r="E4" s="54">
        <v>501.4</v>
      </c>
      <c r="F4" s="131"/>
    </row>
    <row r="5" spans="1:6">
      <c r="A5" s="54" t="s">
        <v>346</v>
      </c>
      <c r="B5" s="55">
        <v>45227.33</v>
      </c>
      <c r="C5" s="38" t="s">
        <v>350</v>
      </c>
      <c r="D5" s="35" t="s">
        <v>353</v>
      </c>
      <c r="E5" s="54">
        <v>418.79</v>
      </c>
      <c r="F5" s="131"/>
    </row>
    <row r="6" spans="1:6">
      <c r="A6" s="54" t="s">
        <v>346</v>
      </c>
      <c r="B6" s="55">
        <v>28848.62</v>
      </c>
      <c r="C6" s="38" t="s">
        <v>354</v>
      </c>
      <c r="D6" s="35" t="s">
        <v>355</v>
      </c>
      <c r="E6" s="54">
        <v>104</v>
      </c>
      <c r="F6" s="131"/>
    </row>
    <row r="7" spans="1:6">
      <c r="A7" s="54" t="s">
        <v>346</v>
      </c>
      <c r="B7" s="55">
        <v>29946</v>
      </c>
      <c r="C7" s="38" t="s">
        <v>356</v>
      </c>
      <c r="D7" s="35" t="s">
        <v>357</v>
      </c>
      <c r="E7" s="54">
        <v>112</v>
      </c>
      <c r="F7" s="131"/>
    </row>
    <row r="8" spans="1:6">
      <c r="A8" s="54" t="s">
        <v>346</v>
      </c>
      <c r="B8" s="55">
        <v>17834.29</v>
      </c>
      <c r="C8" s="38" t="s">
        <v>358</v>
      </c>
      <c r="D8" s="35" t="s">
        <v>359</v>
      </c>
      <c r="E8" s="54">
        <v>248</v>
      </c>
      <c r="F8" s="131"/>
    </row>
    <row r="9" spans="1:6">
      <c r="A9" s="54" t="s">
        <v>346</v>
      </c>
      <c r="B9" s="55">
        <v>124356.08</v>
      </c>
      <c r="C9" s="38" t="s">
        <v>350</v>
      </c>
      <c r="D9" s="35" t="s">
        <v>360</v>
      </c>
      <c r="E9">
        <v>1081</v>
      </c>
      <c r="F9" s="131"/>
    </row>
    <row r="10" spans="1:6">
      <c r="A10" s="54" t="s">
        <v>346</v>
      </c>
      <c r="B10" s="55">
        <v>80291.199999999997</v>
      </c>
      <c r="C10" s="38" t="s">
        <v>361</v>
      </c>
      <c r="D10" s="35" t="s">
        <v>362</v>
      </c>
      <c r="E10" s="54">
        <v>404.8</v>
      </c>
      <c r="F10" s="131"/>
    </row>
    <row r="11" spans="1:6">
      <c r="A11" s="27" t="s">
        <v>363</v>
      </c>
      <c r="B11" s="57">
        <v>15553.11</v>
      </c>
      <c r="C11" s="52" t="s">
        <v>350</v>
      </c>
      <c r="D11" s="29" t="s">
        <v>353</v>
      </c>
      <c r="E11" s="30">
        <v>310.79000000000002</v>
      </c>
      <c r="F11" s="131"/>
    </row>
    <row r="12" spans="1:6">
      <c r="A12" s="27" t="s">
        <v>363</v>
      </c>
      <c r="B12" s="57">
        <v>42919.38</v>
      </c>
      <c r="C12" s="52" t="s">
        <v>364</v>
      </c>
      <c r="D12" s="29" t="s">
        <v>359</v>
      </c>
      <c r="E12" s="30">
        <v>248</v>
      </c>
      <c r="F12" s="131"/>
    </row>
    <row r="13" spans="1:6">
      <c r="A13" s="27" t="s">
        <v>363</v>
      </c>
      <c r="B13" s="57">
        <v>19623.57</v>
      </c>
      <c r="C13" s="52" t="s">
        <v>350</v>
      </c>
      <c r="D13" s="29" t="s">
        <v>352</v>
      </c>
      <c r="E13" s="30">
        <v>204.7</v>
      </c>
      <c r="F13" s="131"/>
    </row>
    <row r="14" spans="1:6">
      <c r="A14" s="27" t="s">
        <v>363</v>
      </c>
      <c r="B14" s="57">
        <v>165808.1</v>
      </c>
      <c r="C14" s="52" t="s">
        <v>350</v>
      </c>
      <c r="D14" s="29" t="s">
        <v>360</v>
      </c>
      <c r="E14" s="30">
        <v>1081</v>
      </c>
      <c r="F14" s="131"/>
    </row>
    <row r="15" spans="1:6">
      <c r="A15" s="27" t="s">
        <v>363</v>
      </c>
      <c r="B15" s="57">
        <v>80291.199999999997</v>
      </c>
      <c r="C15" s="52" t="s">
        <v>365</v>
      </c>
      <c r="D15" s="29" t="s">
        <v>362</v>
      </c>
      <c r="E15" s="30">
        <v>404.8</v>
      </c>
      <c r="F15" s="131"/>
    </row>
    <row r="16" spans="1:6">
      <c r="A16" s="27" t="s">
        <v>363</v>
      </c>
      <c r="B16" s="57">
        <v>261184</v>
      </c>
      <c r="C16" s="52" t="s">
        <v>366</v>
      </c>
      <c r="D16" s="29" t="s">
        <v>348</v>
      </c>
      <c r="E16" s="30">
        <v>1056</v>
      </c>
      <c r="F16" s="131"/>
    </row>
    <row r="17" spans="1:6">
      <c r="A17" s="27" t="s">
        <v>367</v>
      </c>
      <c r="B17" s="57">
        <v>124356.08</v>
      </c>
      <c r="C17" s="52" t="s">
        <v>350</v>
      </c>
      <c r="D17" s="29" t="s">
        <v>360</v>
      </c>
      <c r="E17" s="30">
        <v>1081</v>
      </c>
      <c r="F17" s="131"/>
    </row>
    <row r="18" spans="1:6">
      <c r="A18" s="27" t="s">
        <v>367</v>
      </c>
      <c r="B18" s="57">
        <v>80291.199999999997</v>
      </c>
      <c r="C18" s="52" t="s">
        <v>365</v>
      </c>
      <c r="D18" s="29" t="s">
        <v>362</v>
      </c>
      <c r="E18" s="30">
        <v>404.8</v>
      </c>
      <c r="F18" s="131"/>
    </row>
    <row r="19" spans="1:6">
      <c r="A19" s="27" t="s">
        <v>367</v>
      </c>
      <c r="B19" s="57">
        <v>261184</v>
      </c>
      <c r="C19" s="52" t="s">
        <v>366</v>
      </c>
      <c r="D19" s="29" t="s">
        <v>348</v>
      </c>
      <c r="E19" s="30">
        <v>1056</v>
      </c>
      <c r="F19" s="131"/>
    </row>
    <row r="20" spans="1:6">
      <c r="A20" s="27" t="s">
        <v>368</v>
      </c>
      <c r="B20" s="57">
        <v>80291.199999999997</v>
      </c>
      <c r="C20" s="52" t="s">
        <v>365</v>
      </c>
      <c r="D20" s="29" t="s">
        <v>362</v>
      </c>
      <c r="E20" s="30">
        <v>404.8</v>
      </c>
      <c r="F20" s="132"/>
    </row>
    <row r="21" spans="1:6">
      <c r="B21" s="53">
        <f>SUM(B2:B20)</f>
        <v>3283809.8800000008</v>
      </c>
    </row>
  </sheetData>
  <autoFilter ref="A1:E21" xr:uid="{00000000-0009-0000-0000-000000000000}"/>
  <mergeCells count="1">
    <mergeCell ref="F2:F2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EE6BF-4681-40BF-A02B-B9465EA2818A}">
  <dimension ref="B1:I20"/>
  <sheetViews>
    <sheetView showGridLines="0" zoomScale="74" zoomScaleNormal="74" workbookViewId="0">
      <selection activeCell="I19" sqref="I19"/>
    </sheetView>
  </sheetViews>
  <sheetFormatPr defaultColWidth="8.7265625" defaultRowHeight="14.5"/>
  <cols>
    <col min="2" max="4" width="29" customWidth="1"/>
    <col min="5" max="5" width="15.26953125" bestFit="1" customWidth="1"/>
    <col min="6" max="6" width="15.26953125" customWidth="1"/>
    <col min="7" max="7" width="1.81640625" customWidth="1"/>
    <col min="8" max="8" width="13.7265625" bestFit="1" customWidth="1"/>
    <col min="9" max="9" width="12.54296875" bestFit="1" customWidth="1"/>
    <col min="10" max="10" width="6.54296875" customWidth="1"/>
  </cols>
  <sheetData>
    <row r="1" spans="2:9">
      <c r="B1" s="58" t="s">
        <v>369</v>
      </c>
      <c r="C1" s="58" t="s">
        <v>370</v>
      </c>
      <c r="D1" s="58" t="s">
        <v>371</v>
      </c>
      <c r="E1" s="59" t="s">
        <v>68</v>
      </c>
      <c r="F1" s="59" t="s">
        <v>372</v>
      </c>
    </row>
    <row r="2" spans="2:9">
      <c r="B2" s="60" t="s">
        <v>373</v>
      </c>
      <c r="C2" s="60" t="s">
        <v>374</v>
      </c>
      <c r="D2" s="61">
        <v>226000</v>
      </c>
      <c r="E2" s="61">
        <v>160512</v>
      </c>
      <c r="F2" s="61"/>
    </row>
    <row r="3" spans="2:9">
      <c r="B3" s="60" t="s">
        <v>375</v>
      </c>
      <c r="C3" s="60" t="s">
        <v>376</v>
      </c>
      <c r="D3" s="61">
        <v>575000</v>
      </c>
      <c r="E3" s="61">
        <v>352264.89</v>
      </c>
      <c r="F3" s="61"/>
    </row>
    <row r="4" spans="2:9">
      <c r="B4" s="60" t="s">
        <v>377</v>
      </c>
      <c r="C4" s="60" t="s">
        <v>377</v>
      </c>
      <c r="D4" s="61">
        <v>200000</v>
      </c>
      <c r="E4" s="61">
        <v>39682.71</v>
      </c>
      <c r="F4" s="61"/>
    </row>
    <row r="5" spans="2:9">
      <c r="B5" s="60" t="s">
        <v>378</v>
      </c>
      <c r="C5" s="60" t="s">
        <v>379</v>
      </c>
      <c r="D5" s="61">
        <v>600000</v>
      </c>
      <c r="E5" s="61">
        <v>333742.34000000003</v>
      </c>
      <c r="F5" s="61"/>
    </row>
    <row r="6" spans="2:9">
      <c r="B6" s="60" t="s">
        <v>380</v>
      </c>
      <c r="C6" s="60" t="s">
        <v>381</v>
      </c>
      <c r="D6" s="61">
        <v>2400000</v>
      </c>
      <c r="E6" s="61">
        <v>1319080.56</v>
      </c>
      <c r="F6" s="61"/>
    </row>
    <row r="7" spans="2:9">
      <c r="B7" s="60" t="s">
        <v>382</v>
      </c>
      <c r="C7" s="60" t="s">
        <v>383</v>
      </c>
      <c r="D7" s="61">
        <v>2036944.51</v>
      </c>
      <c r="E7" s="61">
        <v>226480.8</v>
      </c>
      <c r="F7" s="61"/>
    </row>
    <row r="8" spans="2:9" ht="18">
      <c r="B8" s="60" t="s">
        <v>384</v>
      </c>
      <c r="C8" s="60" t="s">
        <v>385</v>
      </c>
      <c r="D8" s="61">
        <v>16742798.26</v>
      </c>
      <c r="E8" s="61" t="s">
        <v>386</v>
      </c>
      <c r="F8" s="61"/>
    </row>
    <row r="9" spans="2:9">
      <c r="B9" s="60" t="s">
        <v>387</v>
      </c>
      <c r="C9" s="60" t="s">
        <v>388</v>
      </c>
      <c r="D9" s="61">
        <v>8011329.9800000004</v>
      </c>
      <c r="E9" s="61" t="s">
        <v>386</v>
      </c>
      <c r="F9" s="61"/>
    </row>
    <row r="10" spans="2:9" ht="18">
      <c r="B10" s="60" t="s">
        <v>389</v>
      </c>
      <c r="C10" s="60" t="s">
        <v>390</v>
      </c>
      <c r="D10" s="61">
        <v>3094681.74</v>
      </c>
      <c r="E10" s="61" t="s">
        <v>386</v>
      </c>
      <c r="F10" s="61"/>
    </row>
    <row r="11" spans="2:9">
      <c r="B11" s="60" t="s">
        <v>391</v>
      </c>
      <c r="C11" s="60" t="s">
        <v>392</v>
      </c>
      <c r="D11" s="61">
        <v>1005971.95</v>
      </c>
      <c r="E11" s="61">
        <v>780420.10000000009</v>
      </c>
      <c r="F11" s="61"/>
      <c r="H11" s="53"/>
      <c r="I11" s="53"/>
    </row>
    <row r="12" spans="2:9">
      <c r="B12" s="62" t="s">
        <v>393</v>
      </c>
      <c r="C12" s="62" t="s">
        <v>394</v>
      </c>
      <c r="D12" s="63">
        <v>122000</v>
      </c>
      <c r="E12" s="61">
        <v>0</v>
      </c>
      <c r="F12" s="61"/>
    </row>
    <row r="13" spans="2:9">
      <c r="B13" s="60" t="s">
        <v>395</v>
      </c>
      <c r="C13" s="60" t="s">
        <v>396</v>
      </c>
      <c r="D13" s="61">
        <v>169000</v>
      </c>
      <c r="E13" s="61">
        <v>32560</v>
      </c>
      <c r="F13" s="61"/>
    </row>
    <row r="14" spans="2:9">
      <c r="B14" s="60" t="s">
        <v>397</v>
      </c>
      <c r="C14" s="60" t="s">
        <v>398</v>
      </c>
      <c r="D14" s="61">
        <v>522000</v>
      </c>
      <c r="E14" s="61">
        <v>222478.78</v>
      </c>
      <c r="F14" s="61"/>
    </row>
    <row r="15" spans="2:9">
      <c r="B15" s="60" t="s">
        <v>399</v>
      </c>
      <c r="C15" s="60" t="s">
        <v>400</v>
      </c>
      <c r="D15" s="61">
        <v>800000</v>
      </c>
      <c r="E15" s="61">
        <v>142078.63999999998</v>
      </c>
      <c r="F15" s="61"/>
    </row>
    <row r="16" spans="2:9">
      <c r="B16" s="60" t="s">
        <v>401</v>
      </c>
      <c r="C16" s="60" t="s">
        <v>402</v>
      </c>
      <c r="D16" s="64">
        <v>643000</v>
      </c>
      <c r="E16" s="61">
        <v>333613.29000000004</v>
      </c>
      <c r="F16" s="61"/>
      <c r="H16" s="53"/>
    </row>
    <row r="17" spans="2:8">
      <c r="B17" s="133" t="s">
        <v>403</v>
      </c>
      <c r="C17" s="134"/>
      <c r="D17" s="65">
        <v>37148726.439999998</v>
      </c>
      <c r="E17" s="66">
        <f>SUM(E11:E16,E2:E7)</f>
        <v>3942914.11</v>
      </c>
      <c r="F17" s="66"/>
    </row>
    <row r="18" spans="2:8" ht="54">
      <c r="B18" s="67" t="s">
        <v>404</v>
      </c>
      <c r="C18" s="67" t="s">
        <v>405</v>
      </c>
      <c r="D18" s="68">
        <v>286405.5</v>
      </c>
      <c r="E18" s="68">
        <v>286405.5</v>
      </c>
      <c r="F18" s="69" t="s">
        <v>406</v>
      </c>
      <c r="H18" s="70">
        <f>E18+E19</f>
        <v>290662.90000000002</v>
      </c>
    </row>
    <row r="19" spans="2:8" ht="45">
      <c r="B19" s="67" t="s">
        <v>407</v>
      </c>
      <c r="C19" s="67" t="s">
        <v>408</v>
      </c>
      <c r="D19" s="68">
        <v>4257.3999999999996</v>
      </c>
      <c r="E19" s="68">
        <v>4257.3999999999996</v>
      </c>
      <c r="F19" s="69" t="s">
        <v>409</v>
      </c>
    </row>
    <row r="20" spans="2:8">
      <c r="B20" s="135" t="s">
        <v>403</v>
      </c>
      <c r="C20" s="136"/>
      <c r="D20" s="71">
        <f>SUM(D18:D19)</f>
        <v>290662.90000000002</v>
      </c>
      <c r="E20" s="71">
        <f>SUM(E18:E19)</f>
        <v>290662.90000000002</v>
      </c>
      <c r="F20" s="71"/>
    </row>
  </sheetData>
  <mergeCells count="2">
    <mergeCell ref="B17:C17"/>
    <mergeCell ref="B20:C2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CCED4-13B5-40F4-934C-3C349D3A164A}">
  <dimension ref="A1:F5"/>
  <sheetViews>
    <sheetView showGridLines="0" zoomScaleNormal="100" workbookViewId="0">
      <selection activeCell="F2" sqref="F2"/>
    </sheetView>
  </sheetViews>
  <sheetFormatPr defaultColWidth="8.7265625" defaultRowHeight="14.5"/>
  <cols>
    <col min="1" max="1" width="21.1796875" customWidth="1"/>
    <col min="2" max="2" width="21.81640625" bestFit="1" customWidth="1"/>
    <col min="3" max="3" width="47.453125" customWidth="1"/>
    <col min="4" max="4" width="35.1796875" bestFit="1" customWidth="1"/>
    <col min="5" max="5" width="19.1796875" customWidth="1"/>
    <col min="6" max="6" width="59.54296875" customWidth="1"/>
  </cols>
  <sheetData>
    <row r="1" spans="1:6">
      <c r="A1" s="46" t="s">
        <v>4</v>
      </c>
      <c r="B1" s="46" t="s">
        <v>63</v>
      </c>
      <c r="C1" s="46" t="s">
        <v>64</v>
      </c>
      <c r="D1" s="46" t="s">
        <v>144</v>
      </c>
      <c r="E1" s="46" t="s">
        <v>410</v>
      </c>
      <c r="F1" s="24" t="s">
        <v>66</v>
      </c>
    </row>
    <row r="2" spans="1:6" ht="261">
      <c r="A2" s="115" t="s">
        <v>87</v>
      </c>
      <c r="B2" s="116">
        <v>5575886</v>
      </c>
      <c r="C2" s="36" t="s">
        <v>411</v>
      </c>
      <c r="D2" s="115" t="s">
        <v>412</v>
      </c>
      <c r="E2" s="117">
        <v>1092</v>
      </c>
      <c r="F2" s="118" t="s">
        <v>413</v>
      </c>
    </row>
    <row r="5" spans="1:6">
      <c r="B5" s="119"/>
    </row>
  </sheetData>
  <autoFilter ref="A1:F1" xr:uid="{696A0A4B-5DAD-4857-8843-26B590766BB8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C0FC9-5698-41E0-B25C-B164E3FF9CCA}">
  <dimension ref="A1:F3"/>
  <sheetViews>
    <sheetView showGridLines="0" workbookViewId="0">
      <selection activeCell="B9" sqref="B9"/>
    </sheetView>
  </sheetViews>
  <sheetFormatPr defaultColWidth="8.81640625" defaultRowHeight="14.5"/>
  <cols>
    <col min="1" max="1" width="14.453125" style="122" customWidth="1"/>
    <col min="2" max="2" width="21.81640625" style="122" bestFit="1" customWidth="1"/>
    <col min="3" max="3" width="48.1796875" style="122" customWidth="1"/>
    <col min="4" max="4" width="35.1796875" style="122" bestFit="1" customWidth="1"/>
    <col min="5" max="5" width="19.54296875" style="122" customWidth="1"/>
    <col min="6" max="6" width="56.54296875" style="122" customWidth="1"/>
    <col min="7" max="16384" width="8.81640625" style="122"/>
  </cols>
  <sheetData>
    <row r="1" spans="1:6">
      <c r="A1" s="120" t="s">
        <v>4</v>
      </c>
      <c r="B1" s="120" t="s">
        <v>63</v>
      </c>
      <c r="C1" s="120" t="s">
        <v>64</v>
      </c>
      <c r="D1" s="120" t="s">
        <v>333</v>
      </c>
      <c r="E1" s="120" t="s">
        <v>65</v>
      </c>
      <c r="F1" s="121" t="s">
        <v>66</v>
      </c>
    </row>
    <row r="2" spans="1:6" ht="72.5">
      <c r="A2" s="115" t="s">
        <v>87</v>
      </c>
      <c r="B2" s="116">
        <v>5514711.0800000001</v>
      </c>
      <c r="C2" s="36" t="s">
        <v>414</v>
      </c>
      <c r="D2" s="115" t="s">
        <v>415</v>
      </c>
      <c r="E2" s="115" t="s">
        <v>416</v>
      </c>
      <c r="F2" s="115" t="s">
        <v>417</v>
      </c>
    </row>
    <row r="3" spans="1:6">
      <c r="B3" s="123"/>
    </row>
  </sheetData>
  <autoFilter ref="A1:E2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d436c9-717c-46a7-b69e-155cb9fbc821">
      <Terms xmlns="http://schemas.microsoft.com/office/infopath/2007/PartnerControls"/>
    </lcf76f155ced4ddcb4097134ff3c332f>
    <TaxCatchAll xmlns="29987bf6-598b-4bea-b1ba-059a62b4ab7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A1EC493E367844BCC7657148E6863F" ma:contentTypeVersion="14" ma:contentTypeDescription="Create a new document." ma:contentTypeScope="" ma:versionID="862c82ef35b1f0e0616c38a54b4c54c4">
  <xsd:schema xmlns:xsd="http://www.w3.org/2001/XMLSchema" xmlns:xs="http://www.w3.org/2001/XMLSchema" xmlns:p="http://schemas.microsoft.com/office/2006/metadata/properties" xmlns:ns2="46d436c9-717c-46a7-b69e-155cb9fbc821" xmlns:ns3="29987bf6-598b-4bea-b1ba-059a62b4ab71" targetNamespace="http://schemas.microsoft.com/office/2006/metadata/properties" ma:root="true" ma:fieldsID="0bfd6d74c257e7c4d44f473071d451a5" ns2:_="" ns3:_="">
    <xsd:import namespace="46d436c9-717c-46a7-b69e-155cb9fbc821"/>
    <xsd:import namespace="29987bf6-598b-4bea-b1ba-059a62b4ab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d436c9-717c-46a7-b69e-155cb9fbc8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987bf6-598b-4bea-b1ba-059a62b4ab7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1b027c-eb8e-469a-bd5e-f3378a596fac}" ma:internalName="TaxCatchAll" ma:showField="CatchAllData" ma:web="29987bf6-598b-4bea-b1ba-059a62b4ab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6C078F-D6A2-47BB-9A47-59ADF5E611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37FCCA-F407-448E-9325-E8A62B9AA84D}">
  <ds:schemaRefs>
    <ds:schemaRef ds:uri="http://schemas.microsoft.com/office/2006/metadata/properties"/>
    <ds:schemaRef ds:uri="http://schemas.microsoft.com/office/infopath/2007/PartnerControls"/>
    <ds:schemaRef ds:uri="46d436c9-717c-46a7-b69e-155cb9fbc821"/>
    <ds:schemaRef ds:uri="29987bf6-598b-4bea-b1ba-059a62b4ab71"/>
  </ds:schemaRefs>
</ds:datastoreItem>
</file>

<file path=customXml/itemProps3.xml><?xml version="1.0" encoding="utf-8"?>
<ds:datastoreItem xmlns:ds="http://schemas.openxmlformats.org/officeDocument/2006/customXml" ds:itemID="{6456E78D-764E-4AB7-BEBF-8F575D95EA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d436c9-717c-46a7-b69e-155cb9fbc821"/>
    <ds:schemaRef ds:uri="29987bf6-598b-4bea-b1ba-059a62b4ab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Visão geral_OI</vt:lpstr>
      <vt:lpstr>Visão geral_VTAL</vt:lpstr>
      <vt:lpstr>DetalhamentoACN</vt:lpstr>
      <vt:lpstr>Maneira</vt:lpstr>
      <vt:lpstr>BMA</vt:lpstr>
      <vt:lpstr>DetalhamentoCap</vt:lpstr>
      <vt:lpstr>DetalhamentoIBM</vt:lpstr>
      <vt:lpstr>DetalhamentoTIOutrosForn</vt:lpstr>
      <vt:lpstr>Detalhamento ABR e Cleartech</vt:lpstr>
      <vt:lpstr>DetalhamentoEngenharia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Matheus Censon</dc:creator>
  <cp:keywords/>
  <dc:description/>
  <cp:lastModifiedBy>Chaves, Cecilia</cp:lastModifiedBy>
  <cp:revision/>
  <dcterms:created xsi:type="dcterms:W3CDTF">2024-10-28T18:02:49Z</dcterms:created>
  <dcterms:modified xsi:type="dcterms:W3CDTF">2024-11-07T21:10:11Z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0x010100B2A1EC493E367844BCC7657148E6863F</vt:lpwstr>
  </property>
</Properties>
</file>