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i417992\Desktop\Oi TV\"/>
    </mc:Choice>
  </mc:AlternateContent>
  <bookViews>
    <workbookView xWindow="0" yWindow="0" windowWidth="20490" windowHeight="7620" firstSheet="3" activeTab="3"/>
  </bookViews>
  <sheets>
    <sheet name="Dinâmica Conteúdos" sheetId="4" r:id="rId1"/>
    <sheet name="Planilha3" sheetId="8" r:id="rId2"/>
    <sheet name="Planilha5" sheetId="10" r:id="rId3"/>
    <sheet name="Contratos de Conteúdo" sheetId="1" r:id="rId4"/>
    <sheet name="Contratos Diversos" sheetId="3" r:id="rId5"/>
  </sheets>
  <definedNames>
    <definedName name="_xlnm._FilterDatabase" localSheetId="3" hidden="1">'Contratos de Conteúdo'!$A$1:$U$6</definedName>
    <definedName name="_xlnm._FilterDatabase" localSheetId="4" hidden="1">'Contratos Diversos'!$A$2:$U$39</definedName>
  </definedNames>
  <calcPr calcId="162913"/>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8" i="3" l="1"/>
  <c r="O28" i="3"/>
  <c r="Q27" i="3"/>
  <c r="O27" i="3"/>
  <c r="Q26" i="3"/>
  <c r="O26" i="3"/>
  <c r="Q25" i="3"/>
  <c r="Q24" i="3"/>
  <c r="O24" i="3"/>
  <c r="Q23" i="3"/>
  <c r="O23" i="3"/>
  <c r="Q22" i="3"/>
  <c r="O22" i="3"/>
  <c r="Q21" i="3"/>
  <c r="O21" i="3"/>
  <c r="Q20" i="3"/>
  <c r="O20" i="3"/>
  <c r="Q19" i="3"/>
  <c r="Q18" i="3"/>
  <c r="Q16" i="3"/>
  <c r="O16" i="3"/>
  <c r="Q14" i="3"/>
  <c r="O14" i="3"/>
  <c r="Q12" i="3"/>
  <c r="O12" i="3"/>
  <c r="Q11" i="3"/>
  <c r="O11" i="3"/>
  <c r="Q10" i="3"/>
  <c r="O10" i="3"/>
  <c r="Q9" i="3"/>
  <c r="O9" i="3"/>
  <c r="Q8" i="3"/>
  <c r="O8" i="3"/>
  <c r="Q7" i="3"/>
  <c r="O7" i="3"/>
  <c r="Q6" i="3"/>
  <c r="O6" i="3"/>
  <c r="Q5" i="3"/>
  <c r="O5" i="3"/>
  <c r="Q4" i="3"/>
  <c r="O4" i="3"/>
  <c r="Q3" i="3"/>
  <c r="O3" i="3"/>
</calcChain>
</file>

<file path=xl/sharedStrings.xml><?xml version="1.0" encoding="utf-8"?>
<sst xmlns="http://schemas.openxmlformats.org/spreadsheetml/2006/main" count="502" uniqueCount="210">
  <si>
    <t>Parte contratada</t>
  </si>
  <si>
    <t>Contém restrição de confidencialidade? (S/N e nº Cl)</t>
  </si>
  <si>
    <t>Admite Cessão? Com ou sem anuência? (S/N e nº Cl)</t>
  </si>
  <si>
    <t xml:space="preserve">Prazo final de vigência </t>
  </si>
  <si>
    <t>Admite rescisão antecipada? Qual o prazo?</t>
  </si>
  <si>
    <t>Qual o prazo para oposição a renovações de vigência?</t>
  </si>
  <si>
    <t>Contratos Diversos  - Oi TV</t>
  </si>
  <si>
    <t>Pasta Vazia</t>
  </si>
  <si>
    <t>Contax</t>
  </si>
  <si>
    <t>Ecad</t>
  </si>
  <si>
    <t>MK Media Solutions Soluções em Mídia Eireli</t>
  </si>
  <si>
    <t>Multilaser</t>
  </si>
  <si>
    <t>NEC Latin America S.A.</t>
  </si>
  <si>
    <t>NGN Telecom Tecnologia</t>
  </si>
  <si>
    <t>Openlabs</t>
  </si>
  <si>
    <t>Power Diamond Projetos e Serviços</t>
  </si>
  <si>
    <t>Prill Tecnologia Ltda.</t>
  </si>
  <si>
    <t>SDB Multimidia Ltda EPP</t>
  </si>
  <si>
    <t>Synamedia Americas LLC</t>
  </si>
  <si>
    <t>Sim. Cl. 9.1</t>
  </si>
  <si>
    <t>N/A</t>
  </si>
  <si>
    <t>Sim, sem anuência Cl. 12.2</t>
  </si>
  <si>
    <t>Formalizar pretensão de rescisão ou encerramento com 12 meses de antecedência. Cl. 6.1.1</t>
  </si>
  <si>
    <t>Sim, mediante notificação com 30 dias da data pretendida para rescisão.</t>
  </si>
  <si>
    <t>Denúncia com menos de 12 meses de aviso prévio incorre nas multas previstas na cl. 6.3</t>
  </si>
  <si>
    <t>Sim Cls. 7.1 e 7.2</t>
  </si>
  <si>
    <t>60 meses a contar da assinatura (11/05/2020)</t>
  </si>
  <si>
    <t>Sim, sem anuência Cl. 8.5</t>
  </si>
  <si>
    <t>Sim, mediante notificação com 30 dias da data pretendida para rescisão. Cl. 9.2</t>
  </si>
  <si>
    <t>Sim. Cl. 6.1 das Condições Gerais de Contratação</t>
  </si>
  <si>
    <t>Sim, sem anuência. Cl. 1.3 do 16º TA</t>
  </si>
  <si>
    <t>Até 31/07/2024</t>
  </si>
  <si>
    <t>Tahto</t>
  </si>
  <si>
    <t>Sim Cl. 11.1</t>
  </si>
  <si>
    <t>Sim. Conforme Cl. 15.1 do contrato e Cl 1.2 do 11º Aditivo.</t>
  </si>
  <si>
    <t>31 de dezembro de 2024, cf Cl. 1.1 do 18º TA</t>
  </si>
  <si>
    <t>ABR (SEAC)</t>
  </si>
  <si>
    <t>New Skies</t>
  </si>
  <si>
    <t>Nokia</t>
  </si>
  <si>
    <t>Vtal</t>
  </si>
  <si>
    <t>Pasta vazia</t>
  </si>
  <si>
    <t>Sim, Cl 8</t>
  </si>
  <si>
    <t>Fevereiro de 2027</t>
  </si>
  <si>
    <t>Sem previsão contratual</t>
  </si>
  <si>
    <t>Sim, mediante notificação com 30 dias da data pretendida para rescisão. CL 6</t>
  </si>
  <si>
    <t>Sim, Cl 9</t>
  </si>
  <si>
    <t>Sim, mediante notificação com 30 dias da data pretendida para rescisão. CL 10</t>
  </si>
  <si>
    <t>Sim, sem anuência Cl. 12</t>
  </si>
  <si>
    <t>Sim, mediante notificação com 30 dias da data pretendida para rescisão, mas tem multa. CL 10</t>
  </si>
  <si>
    <t>Sim, sem anuência Cl. 12 do 3 Termo Aditivo</t>
  </si>
  <si>
    <t>Sim, sem anuência Cl. 12 do 1 Termo Aditivo</t>
  </si>
  <si>
    <t xml:space="preserve">Pasta atualizada com os Aditivos faltantes foram inseridos na Pasta em 23/05/24 </t>
  </si>
  <si>
    <t>Retorno Governança (Eliane Carmo - 23/05)</t>
  </si>
  <si>
    <t>Solicitado a área responsável em 23/05/24</t>
  </si>
  <si>
    <t xml:space="preserve">Pasta atualizada com os documentos em 23/05/24 </t>
  </si>
  <si>
    <t>Aguardando finalização da Negociação. Previsão final de Mai/24</t>
  </si>
  <si>
    <t>Os Aditivo anterirores estão inseridos nas pastas separados por Ano. 
OBS: Mantido o formado recebido pela área responsável.</t>
  </si>
  <si>
    <t>Aguardando a área enviar o contrato e possíveis aditivos.</t>
  </si>
  <si>
    <t>Retorno Governança (Salete - 23/05)</t>
  </si>
  <si>
    <t>Iremos solicitar a programadora os aditivos</t>
  </si>
  <si>
    <t>Incluído na pasta o 6º aditivo com a vigência do contrato até 30/09/24. Será solicitado a programadora o 5ª aditivo ao contrato.</t>
  </si>
  <si>
    <r>
      <t xml:space="preserve">Sim, mediante notificação com 180 dias da data pretendida para rescisão. Cl. 1.4 do 4º aditivo.
Recisão apenas de uma operação parcial o prazo de rescisão é de </t>
    </r>
    <r>
      <rPr>
        <b/>
        <sz val="11"/>
        <color theme="1"/>
        <rFont val="Calibri"/>
        <family val="2"/>
        <scheme val="minor"/>
      </rPr>
      <t>90 dias</t>
    </r>
  </si>
  <si>
    <r>
      <t>Formalizar pretensão de rescisão ou encerramento com</t>
    </r>
    <r>
      <rPr>
        <b/>
        <sz val="11"/>
        <color theme="1"/>
        <rFont val="Calibri"/>
        <family val="2"/>
        <scheme val="minor"/>
      </rPr>
      <t xml:space="preserve"> 120</t>
    </r>
    <r>
      <rPr>
        <sz val="11"/>
        <color theme="1"/>
        <rFont val="Calibri"/>
        <family val="2"/>
        <scheme val="minor"/>
      </rPr>
      <t xml:space="preserve"> dias de antecedência da data prevista para renovação. Cl. 13.2</t>
    </r>
  </si>
  <si>
    <t>até 13/07/2025</t>
  </si>
  <si>
    <t>Contrato exclusivo ou compartilhado?</t>
  </si>
  <si>
    <t>Renovação por mais 1 mês e rescisão em 31/01/25</t>
  </si>
  <si>
    <t>Objetivo notificação</t>
  </si>
  <si>
    <t>Retorno Governança (Salete - 03/06)</t>
  </si>
  <si>
    <t>STATUS</t>
  </si>
  <si>
    <t>MOTIVO</t>
  </si>
  <si>
    <t>Liberado</t>
  </si>
  <si>
    <t>Pendente</t>
  </si>
  <si>
    <t>Em assinatura</t>
  </si>
  <si>
    <t>Rótulos de Linha</t>
  </si>
  <si>
    <t>(vazio)</t>
  </si>
  <si>
    <t>Total Geral</t>
  </si>
  <si>
    <t>Contagem de STATUS</t>
  </si>
  <si>
    <t>Rótulos de Coluna</t>
  </si>
  <si>
    <t>Retorno Governança (Eliane Carmo - 03/06)</t>
  </si>
  <si>
    <t>Enviado documentação pendente (pasta atualizada em 27/05)</t>
  </si>
  <si>
    <t>Em renovação</t>
  </si>
  <si>
    <t>Documentos enviados em 27/05.  OBS: Realizado a alteração na pasta  Objective (Planner do Teams: Principais Contratos SES &gt; Objective). Criei a pasta OLD onde armazenei a documentação "criticada" e inseri as novas documentações enviadas por Suprimentos.</t>
  </si>
  <si>
    <t>No retorno da 1ª validação do Contrato da América Tecnologia e Informática e Eletro-eletrônicos Ltda não foi mencionado o  contrato, mas verificando o prazo final da Vigência o mesmo corresponde ao produto IPTV, porém há o contrato 4600057542 que é compartilhado com demais produtos. Esse foi avaliado?</t>
  </si>
  <si>
    <t>Concluído</t>
  </si>
  <si>
    <t>Aditivos adicionados a pasta</t>
  </si>
  <si>
    <t>Qual o prazo para oposição a renovações de vigência automática ?</t>
  </si>
  <si>
    <t>31/12/2027 Cl. 3.1 do 3º aditivo</t>
  </si>
  <si>
    <t>Sim,  mediante notificação com 180 dias da data pretendida para rescisão. Cl 6.2 do 3º Aditivo.</t>
  </si>
  <si>
    <t>Sim Cl. 10.1</t>
  </si>
  <si>
    <t>Sim, mas com anuência prévia Cl. 14.2</t>
  </si>
  <si>
    <t>Permanece vigente enquanto houver ordem de capacidade vigente.</t>
  </si>
  <si>
    <t>Sim, para afiliadas, coligadas ou controladoras, desde que autorizadas pela Anatal e mediante aviso prévio de 60 dias. Cl 5.</t>
  </si>
  <si>
    <t>Sim Cl 12 dos Termos e Condições</t>
  </si>
  <si>
    <t xml:space="preserve">Não. Cl 4 (a) </t>
  </si>
  <si>
    <t>24 meses a contar da assinatura. Cl 10.1</t>
  </si>
  <si>
    <t>Sim, mediante notificação com 30 dias da data pretendida para rescisão CL 10.2</t>
  </si>
  <si>
    <t>Sim, mas com anuência prévia Cl. 12.1</t>
  </si>
  <si>
    <t>Sim Cl 9.1</t>
  </si>
  <si>
    <t>Até 31/12/2024</t>
  </si>
  <si>
    <t>Sim, mediante notificação com 30 dias da data pretendida para rescisão CL 11.2</t>
  </si>
  <si>
    <t>Sim, sem anuência. Cl 12.1.1.10 e Cl 13.1</t>
  </si>
  <si>
    <t>Objective (Pasta 4600049340)</t>
  </si>
  <si>
    <t>Objective (Pasta 4600047188)</t>
  </si>
  <si>
    <t>Sim, com anuência. Cl 1.6 do 4º aditivo</t>
  </si>
  <si>
    <t>Sim Cl 9</t>
  </si>
  <si>
    <t>Sim, sem anuência Cl. 12 .1 e 18.1</t>
  </si>
  <si>
    <t>Retorno Governança (Roberto - 20/06)</t>
  </si>
  <si>
    <t>Arquivos carregados</t>
  </si>
  <si>
    <r>
      <t xml:space="preserve">TURNER INTERNATIONAL LATIN AMERICA, INC </t>
    </r>
    <r>
      <rPr>
        <b/>
        <sz val="11"/>
        <color rgb="FFFF0000"/>
        <rFont val="Calibri"/>
        <family val="2"/>
        <scheme val="minor"/>
      </rPr>
      <t>((PASTA WARNER DISCOVERY)</t>
    </r>
  </si>
  <si>
    <t>Retorno Governança (Eliane Carmo - 20/06)</t>
  </si>
  <si>
    <t>Karina Duprat informou que não será mais necessário validar a documentação. A pasta vazia será exluída do Teams.</t>
  </si>
  <si>
    <t>Aguardando a finalização do contrato</t>
  </si>
  <si>
    <t>Sim, sem anuência. Cl 13.1</t>
  </si>
  <si>
    <t>Sim, mediante notificação com 30 dias da data pretendida para rescisão CL 11.1.1</t>
  </si>
  <si>
    <t>EXCLUSIVO (DTH)</t>
  </si>
  <si>
    <t>COMPARTILHADO (DTH/IPTV)</t>
  </si>
  <si>
    <t>EXCLUSIVO (IPTV)</t>
  </si>
  <si>
    <t>COMPARTILHADO (DTH, IPTV E OUTROS PRODUTOS/ SERVIÇOS)</t>
  </si>
  <si>
    <t>Prazo final de vigência  com data</t>
  </si>
  <si>
    <t>Já foi denunciado por e-mail e carta:  janeiro e fevereiro/24</t>
  </si>
  <si>
    <t>Documento da RJ já formaliza a utilização do satélite até  15/02/25</t>
  </si>
  <si>
    <t>Foi questionado para a Tati Lera/ Vivian se o contrato está ativo e solicitado o aditivo que comprove.</t>
  </si>
  <si>
    <t>Possível data de término Tv DTH</t>
  </si>
  <si>
    <t>Possível data de término Tv IPTV</t>
  </si>
  <si>
    <t xml:space="preserve">Empresa Brasileira de Correios e Telégrafos
(Correios) </t>
  </si>
  <si>
    <t>Não</t>
  </si>
  <si>
    <t>Sim, mediante notificação com 30 dias da data pretendida para rescisão. CL 9.1.1</t>
  </si>
  <si>
    <t>Renovação automática a cada 12 meses e por até 120 meses a contar de 16/08/2021. Oposição à renovação com 30 dias da data rpevista para renovação. Cl 7º</t>
  </si>
  <si>
    <t>Fast Print &amp; System Ltda.</t>
  </si>
  <si>
    <t>Pela Oi sim, sem anuência. Cl 12.1 e 12.1.</t>
  </si>
  <si>
    <t>31/01/2026 cl 1.2 do 4º aditivo</t>
  </si>
  <si>
    <t>Sim, mediante notificação com 90 dias da data pretendida para rescisão. CL 10</t>
  </si>
  <si>
    <t>Gracenote Brasil Metainformação Ltd.</t>
  </si>
  <si>
    <t>Sim Cl 8.</t>
  </si>
  <si>
    <t>sim, mas com consentimento prévio e por escrito da outra parte Cl 13.</t>
  </si>
  <si>
    <t>31/12/2025 cl 1 do 5º aditivo</t>
  </si>
  <si>
    <t>Sim, mediante notificação com 90 dias da data pretendida para rescisão. CL  1ª do 4º Aditivo</t>
  </si>
  <si>
    <t>Log &amp; Print Gráfica, dados variáveis</t>
  </si>
  <si>
    <t>31/01/2026 cl1.2 do 5º aditivo</t>
  </si>
  <si>
    <t>Serede Serviços de Rede S.A.</t>
  </si>
  <si>
    <t>Telemont</t>
  </si>
  <si>
    <t xml:space="preserve">Sim, sem anuência Cl. 12 </t>
  </si>
  <si>
    <t>Sim, mediante notificação com 90 dias da data pretendida para rescisão. Cl. 9.2</t>
  </si>
  <si>
    <t>Valid Soluções e Serviços de Segurança</t>
  </si>
  <si>
    <t>Sim, sem anuência Cl. 12.1</t>
  </si>
  <si>
    <t>até 10/08/2025</t>
  </si>
  <si>
    <t>América Tecnologia e Informática e Eletro-eletrônicos Ltda. (sap 4600057542)</t>
  </si>
  <si>
    <t>América Tecnologia e Informática e Eletro-eletrônicos Ltda. (sap 4600053570)</t>
  </si>
  <si>
    <t>Concluído. No entanto, importa notar que alguns aditivos analisados só tinham versão em word, ou seja, não eram versões finais assinadas.</t>
  </si>
  <si>
    <t>Sim, mediante notificação com 60 dias da data pretendida para rescisão. CL 10</t>
  </si>
  <si>
    <t>Existem diversos contratos na pasta, inviabilizando saber qual é o que efetivamente vigora. Exemplo: existe um arquivo chamado DTH_HBO e outro chamado HBO Basic Deal 2015. Bem como o HBO Basic Deal 2017. Pedimos esclarecer.</t>
  </si>
  <si>
    <t>A pasta contém vários contratos e aditivos a contratos já expirados, um MOU e vários aditivos ao MOU (1º ao 6º, mas faltando o 3º e o 5º aditivos ao MOU). Pedimos enviar tais documentos.</t>
  </si>
  <si>
    <t xml:space="preserve">Supostamente, não existe contrato em vigor. Foi celebrado um contrato em 2013 e depois mais 3 aditivos. Em 2018 foi celebrado um MOU que vigoraria entre 2018 e 2019, até que fosse celebrado novo aditivo ao contrato de 2013. Em 2021 foi enviada uma proposta pela Warner sinalizando a assinatura de um novo contrato que vigoraria até 31/12/2023. Esse contrato não está na pasta e não há aditivos a ele. </t>
  </si>
  <si>
    <t>Status Jurídico até 11/07</t>
  </si>
  <si>
    <t>Concluído.Ainda, tendo em vista o comentário de 03/06 foi incluída a linha abaixo.</t>
  </si>
  <si>
    <t>Data Limite notificação rescisão IPTV (Time TSA)</t>
  </si>
  <si>
    <t>Data Limite notificação rescisão DTH (Time TSA)</t>
  </si>
  <si>
    <r>
      <t>SIMBA</t>
    </r>
    <r>
      <rPr>
        <b/>
        <sz val="11"/>
        <color rgb="FFFF0000"/>
        <rFont val="Calibri"/>
        <family val="2"/>
        <scheme val="minor"/>
      </rPr>
      <t xml:space="preserve"> (PASTA: NÃO COMPARTILHAR&gt;SIMBA-NÃO AUTORIZADO&gt;SIMBA)</t>
    </r>
  </si>
  <si>
    <t>OK, em análise.</t>
  </si>
  <si>
    <t>PARCIALMENTE</t>
  </si>
  <si>
    <t>Retorno Governança (Roberto/Salete - 16/07)</t>
  </si>
  <si>
    <t>Contagem de MOTIVO</t>
  </si>
  <si>
    <t>Não liberado</t>
  </si>
  <si>
    <t>TURNER INTERNATIONAL LATIN AMERICA, INC ((PASTA WARNER DISCOVERY)</t>
  </si>
  <si>
    <t>TFCF LATIN AMERICAN CHANNEL, LLC e TFCF LATIN AMERICA CHANNELS DO BRASIL LTDA.
GRUPO DISNEY-TFCF (ESPN, STAR-FOX)</t>
  </si>
  <si>
    <t>HBO BRASIL LTDA (PASTA WARNER DISCOVERY)</t>
  </si>
  <si>
    <r>
      <t xml:space="preserve">SOCIEDADE RADIO EMISSORA PARANAENSE
</t>
    </r>
    <r>
      <rPr>
        <sz val="11"/>
        <color rgb="FFFF0000"/>
        <rFont val="Calibri"/>
        <family val="2"/>
        <scheme val="minor"/>
      </rPr>
      <t>(PASTA: COMPLETOS&gt;ENTREGA 2&gt;GRUPO GLOBO ENTREGA 2)</t>
    </r>
  </si>
  <si>
    <r>
      <t xml:space="preserve">TV VALE DO ACO LTDA
</t>
    </r>
    <r>
      <rPr>
        <sz val="11"/>
        <color rgb="FFFF0000"/>
        <rFont val="Calibri"/>
        <family val="2"/>
        <scheme val="minor"/>
      </rPr>
      <t>(PASTA: COMPLETOS&gt;ENTREGA 1&gt;
GRUPO GLOBO ENTREGA 1)</t>
    </r>
  </si>
  <si>
    <t>ACCENTURE DO BRASIL LTDA (BPO)</t>
  </si>
  <si>
    <t>OPEN LABS (4600052185)</t>
  </si>
  <si>
    <t>COMPARTILHADO (OI TV e OI FIXO)</t>
  </si>
  <si>
    <t>NA</t>
  </si>
  <si>
    <t>Possível data de término TV IPTV</t>
  </si>
  <si>
    <t>Possível data de término TV DTH</t>
  </si>
  <si>
    <t>Status Jurídico até 02/08</t>
  </si>
  <si>
    <t>No mesmo documento do distrato está o 5º termo aditivo a partir da página 3. Peço a gentileza de reavaliar.</t>
  </si>
  <si>
    <t>O documento está na pasta que foi indicada na coluna A: (PASTA: COMPLETOS&gt;ENTREGA 2&gt;GRUPO GLOBO ENTREGA 2)</t>
  </si>
  <si>
    <t>O documento está na pasta que foi indicada na coluna A: (PASTA: COMPLETOS&gt;ENTREGA 1&gt;
GRUPO GLOBO ENTREGA 1))</t>
  </si>
  <si>
    <t>ELO CONTACT CENTER SERVICOS LTDA </t>
  </si>
  <si>
    <t>E-SALES SOLUCOES DE INTEGRACAO LTDA </t>
  </si>
  <si>
    <t>SERASA </t>
  </si>
  <si>
    <t>EASYCOB </t>
  </si>
  <si>
    <t>LIQ</t>
  </si>
  <si>
    <t>ACCENTURE DO BRASIL LTDA (PA VIRTUAL)</t>
  </si>
  <si>
    <t>SAPHETY BRASIL TRANSAÇÕES ELETRÔNICAS LTDA</t>
  </si>
  <si>
    <t>ACCENTURE DO BRASIL LTDA</t>
  </si>
  <si>
    <t>RDS</t>
  </si>
  <si>
    <t>Status Jurídico até 12/09</t>
  </si>
  <si>
    <t>O contrato que atual está na pasta indicada na coluna "A". Ele prorroga a vigência até 30/06/25. Nome do contrato: 995318159_7717_OI S.A._1st AMD_TILA-FE.pdf</t>
  </si>
  <si>
    <t>Retorno Governança (Salete 09/10)</t>
  </si>
  <si>
    <t>Sim, com 30 dias de antecedência. Cl 1.4 do 5º TA</t>
  </si>
  <si>
    <t>31/12/2024 cl 1.1 do 5º TA</t>
  </si>
  <si>
    <t>Sim, cl 10</t>
  </si>
  <si>
    <t xml:space="preserve">A cessão é admita, mas com anuência prévia da outra parte, salvo se para sociedade sob controle comum, controlada, ou controladora direta ou indireta da parte cedente. </t>
  </si>
  <si>
    <t xml:space="preserve">Um contrato foi assinado em 2013 e vigorou, com renovações automáticas, até a assinatura do MOU, em 2018, que estabeleceu que o contrato vigoraria até 31/12/2019. Em 2021, foi firmada uma Carta Acordo dispondo que as regras ali contidas vigorarão até que as partes celebrem um contrato definitivo. No Jurídico, não tivemos registro da existência de tal contrato. </t>
  </si>
  <si>
    <t>30/06/2025. Cl 2 do 1º TA da Carta Acordo.</t>
  </si>
  <si>
    <t xml:space="preserve">Sim.  A partir de 01 de janeiro de 2025, a Carta Acordo poderá ser  resilida por quaisquer das Partes, mediante aviso prévio com 60 (sessenta) dias de antecedência  caso qualquer uma das Partes deixe de atuar no mercado de Serviço de Acesso Condicionado. 
Adicionalmente:  qualquer uma das Partes poderá denunciar esta Proposta no que se relaciona à distribuição dos Canais Turner por meio do SeAC a qualquer momento do restante do prazo, sem 
custos ou multas para quaisquer das Partes, mediante notificação à outra Parte, por escrito, com antecedência mínima de 90 (noventa) dias, período durante o qual as Partes deverão cumprir suas obrigações contratuais até a data do encerramento.
b) Aplicativo: Qualquer uma das Partes poderá denunciar esta Proposta no que se relaciona a oferta do Aplicativo após 31 de dezembro de 2022 a qualquer momento, sem custos ou multas para quaisquer das 
Partes mediante notificação à outra Parte, por escrito, com antecedência mínima de 60 (sessenta) dias, 
período durante o qual as Partes deverão cumprir suas obrigações contratuais até a data do encerramento.
</t>
  </si>
  <si>
    <t>Sim Cl 8.1 da Carta Proposta.</t>
  </si>
  <si>
    <t>A Proposta é vinculativa aos respectivos cessionários e sucessores de cada uma das Partes; desde que a Oi dê à Licenciante notificação prévia de qualquer mudança no controle da Oi, cessão, transferência ou outra oneração de qualquer parte desta Proposta ou quaisquer direitos da Oi obrigações aqui contidas (em cada caso, inclusive por força de lei, fusão ou de outra forma). Caso a Licenciante se oponha a qualquer cessão, transferência, mudança de controle ou outra oneração da Oi desta Proposta, a Licenciante poderá encerrar esta Proposta, sem ônus, mediante aviso prévio por escrito de pelo menos 60 (sessenta) dias.</t>
  </si>
  <si>
    <r>
      <t xml:space="preserve">TURNER INTERNATIONAL LATIN AMERICA, INC </t>
    </r>
    <r>
      <rPr>
        <b/>
        <sz val="11"/>
        <color rgb="FFFF0000"/>
        <rFont val="Calibri"/>
        <family val="2"/>
        <scheme val="minor"/>
      </rPr>
      <t xml:space="preserve">((PASTA WARNER DISCOVERY) - </t>
    </r>
    <r>
      <rPr>
        <sz val="11"/>
        <rFont val="Calibri"/>
        <family val="2"/>
        <scheme val="minor"/>
      </rPr>
      <t>Contrato de Comodato</t>
    </r>
  </si>
  <si>
    <t xml:space="preserve">Vigência é idêntica a do contrato de licenciamento acima. Cl 5 do </t>
  </si>
  <si>
    <t xml:space="preserve"> Mediante comunicação prévia com 30 dias de antecedência da data desejada para rescisão. Cl 5</t>
  </si>
  <si>
    <t>Sim, desde que haja anuência prévia, por escrito, da Turner.</t>
  </si>
  <si>
    <t>Pasta Completa.</t>
  </si>
  <si>
    <t>31/12/2024 Cl 1.1 do 6º TA</t>
  </si>
  <si>
    <t xml:space="preserve"> Mediante comunicação prévia com 60 dias de antecedência da data desejada para rescisão. Cl 1.2 do 6º TA.
Qualquer operação societária que dê eensejo à alteração de controle da Oi dará direito à distribuidora o direito de rescisão antecipada do contrato. Mas o direito de rescisão antecipada não se aplica no caso de reorganização societária entre cias controladas direta ou indiretamente pela Oi. Cl 8.2 
</t>
  </si>
  <si>
    <t>Sim, cl 8.11</t>
  </si>
  <si>
    <t>Sim, desde que a cessionária seja controlada ou controladora da Oi e não possuir ainda contrato de licenciamento com o canal, hipótese em que o mesmo deve ser comunicado previamente por escrito acerca da cessão cl 8.12</t>
  </si>
  <si>
    <t>31/12/2024 Cl 1.1 do 4º TA</t>
  </si>
  <si>
    <t xml:space="preserve"> Mediante comunicação prévia com 60 dias de antecedência da data desejada para rescisão. Cl 1.2 do 4º TA
Qualquer operação societária que dê eensejo à alteração de controle da Oi dará direito à distribuidora o direito de rescisão antecipada do contrato. Mas o direito de rescisão antecipada não se aplica no caso de reorganização societária entre cias controladas direta ou indiretamente pela Oi. Cl 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</si>
</sst>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1"/>
      <color rgb="FFFF0000"/>
      <name val="Calibri"/>
      <family val="2"/>
      <scheme val="minor"/>
    </font>
    <font>
      <b/>
      <sz val="12"/>
      <color theme="1"/>
      <name val="Calibri"/>
      <family val="2"/>
      <scheme val="minor"/>
    </font>
    <font>
      <b/>
      <sz val="22"/>
      <color theme="1"/>
      <name val="Calibri"/>
      <family val="2"/>
      <scheme val="minor"/>
    </font>
    <font>
      <sz val="12"/>
      <color theme="1"/>
      <name val="Calibri"/>
      <family val="2"/>
      <scheme val="minor"/>
    </font>
    <font>
      <b/>
      <sz val="11"/>
      <color rgb="FFFF0000"/>
      <name val="Calibri"/>
      <family val="2"/>
      <scheme val="minor"/>
    </font>
    <font>
      <strike/>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5">
    <xf numFmtId="0" fontId="0" fillId="0" borderId="0" xfId="0"/>
    <xf numFmtId="0" fontId="0" fillId="0" borderId="1" xfId="0"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0" borderId="1" xfId="0" applyFont="1" applyBorder="1"/>
    <xf numFmtId="0" fontId="0" fillId="4"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ont="1"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0" borderId="1" xfId="0" applyBorder="1" applyAlignment="1">
      <alignment vertical="top" wrapText="1"/>
    </xf>
    <xf numFmtId="0" fontId="0" fillId="0" borderId="1"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4" fillId="3" borderId="0"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1" fillId="5"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top" wrapText="1"/>
    </xf>
    <xf numFmtId="0" fontId="1" fillId="6" borderId="1" xfId="0" applyFont="1" applyFill="1" applyBorder="1" applyAlignment="1">
      <alignment horizontal="center" vertical="center" wrapText="1"/>
    </xf>
    <xf numFmtId="0" fontId="0" fillId="0" borderId="3" xfId="0" applyBorder="1" applyAlignment="1">
      <alignment vertical="top" wrapText="1"/>
    </xf>
    <xf numFmtId="0" fontId="0" fillId="0" borderId="3" xfId="0" applyBorder="1"/>
    <xf numFmtId="0" fontId="0" fillId="0" borderId="1" xfId="0" applyBorder="1" applyAlignment="1">
      <alignment wrapText="1"/>
    </xf>
    <xf numFmtId="0" fontId="2" fillId="0" borderId="0" xfId="0" applyFont="1" applyAlignment="1">
      <alignment wrapText="1"/>
    </xf>
    <xf numFmtId="0" fontId="0" fillId="0" borderId="0" xfId="0" applyBorder="1"/>
    <xf numFmtId="0" fontId="0" fillId="0" borderId="4" xfId="0" applyBorder="1" applyAlignment="1">
      <alignment horizontal="center" vertical="center" wrapText="1"/>
    </xf>
    <xf numFmtId="0" fontId="0" fillId="0" borderId="1" xfId="0" applyBorder="1" applyAlignment="1">
      <alignment horizontal="left" vertical="center" wrapText="1"/>
    </xf>
    <xf numFmtId="0" fontId="0" fillId="0" borderId="4" xfId="0" applyBorder="1"/>
    <xf numFmtId="0" fontId="7" fillId="0" borderId="1" xfId="0" applyFont="1"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vertical="top" wrapText="1"/>
    </xf>
    <xf numFmtId="0" fontId="0" fillId="4" borderId="3" xfId="0" applyFill="1" applyBorder="1" applyAlignment="1">
      <alignment vertical="top" wrapText="1"/>
    </xf>
    <xf numFmtId="0" fontId="0" fillId="0" borderId="1" xfId="0" applyBorder="1" applyAlignment="1">
      <alignment horizontal="left" wrapText="1"/>
    </xf>
    <xf numFmtId="14" fontId="0" fillId="0" borderId="1" xfId="0" applyNumberFormat="1" applyBorder="1" applyAlignment="1">
      <alignment wrapText="1"/>
    </xf>
    <xf numFmtId="0" fontId="8" fillId="0" borderId="1" xfId="0" applyFont="1" applyBorder="1" applyAlignment="1">
      <alignment wrapText="1"/>
    </xf>
    <xf numFmtId="0" fontId="8" fillId="0" borderId="1" xfId="0" applyFont="1" applyBorder="1"/>
    <xf numFmtId="0" fontId="8" fillId="0" borderId="1" xfId="0" applyFont="1" applyBorder="1" applyAlignment="1"/>
    <xf numFmtId="0" fontId="0" fillId="0" borderId="1" xfId="0" applyBorder="1" applyAlignment="1">
      <alignment horizontal="center"/>
    </xf>
    <xf numFmtId="14" fontId="0" fillId="0" borderId="4" xfId="0" applyNumberFormat="1" applyBorder="1" applyAlignment="1">
      <alignment horizontal="center" vertical="center" wrapText="1"/>
    </xf>
    <xf numFmtId="0" fontId="2"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0" xfId="0" applyFill="1"/>
    <xf numFmtId="0" fontId="1" fillId="7" borderId="1" xfId="0" applyFont="1" applyFill="1" applyBorder="1" applyAlignment="1">
      <alignment horizontal="center" vertical="center" wrapText="1"/>
    </xf>
    <xf numFmtId="14" fontId="0" fillId="7" borderId="1" xfId="0" applyNumberFormat="1" applyFill="1" applyBorder="1" applyAlignment="1">
      <alignment horizontal="center" vertical="center" wrapText="1"/>
    </xf>
    <xf numFmtId="0" fontId="0" fillId="7" borderId="0" xfId="0" applyFill="1"/>
    <xf numFmtId="14" fontId="0" fillId="0" borderId="1" xfId="0" applyNumberFormat="1" applyFill="1" applyBorder="1" applyAlignment="1">
      <alignment horizontal="center" vertical="center" wrapText="1"/>
    </xf>
    <xf numFmtId="0" fontId="0" fillId="0" borderId="1" xfId="0" applyFill="1" applyBorder="1"/>
    <xf numFmtId="14" fontId="0" fillId="6" borderId="1" xfId="0" applyNumberFormat="1" applyFill="1" applyBorder="1" applyAlignment="1">
      <alignment horizontal="center" vertical="center" wrapText="1"/>
    </xf>
    <xf numFmtId="0" fontId="0" fillId="6" borderId="1" xfId="0" applyFill="1" applyBorder="1"/>
    <xf numFmtId="0" fontId="0" fillId="6" borderId="0" xfId="0" applyFill="1"/>
    <xf numFmtId="14" fontId="0" fillId="8" borderId="4" xfId="0" applyNumberFormat="1" applyFill="1" applyBorder="1" applyAlignment="1">
      <alignment horizontal="center" vertical="center" wrapText="1"/>
    </xf>
    <xf numFmtId="14" fontId="0" fillId="7" borderId="4" xfId="0" applyNumberFormat="1" applyFill="1" applyBorder="1" applyAlignment="1">
      <alignment horizontal="center" vertical="center" wrapText="1"/>
    </xf>
    <xf numFmtId="0" fontId="0" fillId="0" borderId="5" xfId="0" applyBorder="1"/>
    <xf numFmtId="0" fontId="0" fillId="8" borderId="1" xfId="0" applyFill="1" applyBorder="1"/>
    <xf numFmtId="0" fontId="0" fillId="7" borderId="1" xfId="0" applyFill="1" applyBorder="1"/>
    <xf numFmtId="14" fontId="0" fillId="0" borderId="0" xfId="0" applyNumberFormat="1"/>
    <xf numFmtId="0" fontId="0" fillId="0" borderId="0" xfId="0" applyAlignment="1">
      <alignment wrapText="1"/>
    </xf>
    <xf numFmtId="0" fontId="0" fillId="0" borderId="1" xfId="0" applyFont="1" applyFill="1" applyBorder="1" applyAlignment="1">
      <alignment vertical="center" wrapText="1"/>
    </xf>
    <xf numFmtId="0" fontId="4" fillId="3" borderId="2" xfId="0" applyFont="1" applyFill="1" applyBorder="1" applyAlignment="1">
      <alignment horizontal="center" vertical="center" wrapText="1"/>
    </xf>
    <xf numFmtId="0" fontId="4" fillId="3" borderId="0" xfId="0" applyFont="1" applyFill="1" applyBorder="1" applyAlignment="1">
      <alignment horizontal="center" vertical="center" wrapText="1"/>
    </xf>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lete Do Amaral Pereira Da Silva" refreshedDate="45490.671030555553" createdVersion="6" refreshedVersion="6" minRefreshableVersion="3" recordCount="96">
  <cacheSource type="worksheet">
    <worksheetSource ref="A1:T1048576" sheet="Contratos de Conteúdo"/>
  </cacheSource>
  <cacheFields count="19">
    <cacheField name="Parte contratada" numFmtId="0">
      <sharedItems containsBlank="1"/>
    </cacheField>
    <cacheField name="Contém restrição de confidencialidade? (S/N e nº Cl)" numFmtId="0">
      <sharedItems containsBlank="1"/>
    </cacheField>
    <cacheField name="Admite Cessão? Com ou sem anuência? (S/N e nº Cl)" numFmtId="0">
      <sharedItems containsBlank="1"/>
    </cacheField>
    <cacheField name="Prazo final de vigência  com data" numFmtId="0">
      <sharedItems containsBlank="1"/>
    </cacheField>
    <cacheField name="Admite rescisão antecipada? Qual o prazo?" numFmtId="0">
      <sharedItems containsBlank="1"/>
    </cacheField>
    <cacheField name="Qual o prazo para oposição a renovações de vigência automática ?" numFmtId="0">
      <sharedItems containsBlank="1"/>
    </cacheField>
    <cacheField name="Status Jurídico até 11/07" numFmtId="0">
      <sharedItems containsBlank="1" longText="1"/>
    </cacheField>
    <cacheField name="Retorno Governança (Salete - 23/05)" numFmtId="0">
      <sharedItems containsBlank="1"/>
    </cacheField>
    <cacheField name="Retorno Governança (Salete - 03/06)" numFmtId="0">
      <sharedItems containsBlank="1"/>
    </cacheField>
    <cacheField name="Retorno Governança (Roberto - 20/06)" numFmtId="0">
      <sharedItems containsBlank="1"/>
    </cacheField>
    <cacheField name="Retorno Governança (Roberto/Salete - 16/07)" numFmtId="0">
      <sharedItems containsBlank="1"/>
    </cacheField>
    <cacheField name="STATUS" numFmtId="0">
      <sharedItems containsBlank="1" count="6">
        <s v="PARCIALMENTE"/>
        <s v="Pendente"/>
        <s v="Liberado"/>
        <s v="Concluído"/>
        <s v="Não liberado"/>
        <m/>
      </sharedItems>
    </cacheField>
    <cacheField name="MOTIVO" numFmtId="0">
      <sharedItems containsBlank="1" count="8">
        <s v="PARCIALMENTE"/>
        <s v="Em assinatura"/>
        <s v="Liberado"/>
        <s v="Concluído"/>
        <s v="Pendente"/>
        <s v="Não liberado"/>
        <m/>
        <s v="Falta aditivo" u="1"/>
      </sharedItems>
    </cacheField>
    <cacheField name="Contrato exclusivo ou compartilhado?" numFmtId="0">
      <sharedItems containsBlank="1"/>
    </cacheField>
    <cacheField name="Possível data de término Tv IPTV" numFmtId="0">
      <sharedItems containsNonDate="0" containsDate="1" containsString="0" containsBlank="1" minDate="2024-11-30T00:00:00" maxDate="2024-12-01T00:00:00"/>
    </cacheField>
    <cacheField name="Data Limite notificação rescisão IPTV (Time TSA)" numFmtId="0">
      <sharedItems containsNonDate="0" containsDate="1" containsString="0" containsBlank="1" minDate="2024-10-01T00:00:00" maxDate="2024-11-01T00:00:00"/>
    </cacheField>
    <cacheField name="Possível data de término Tv DTH" numFmtId="0">
      <sharedItems containsNonDate="0" containsDate="1" containsString="0" containsBlank="1" minDate="2025-01-31T00:00:00" maxDate="2025-02-01T00:00:00"/>
    </cacheField>
    <cacheField name="Data Limite notificação rescisão DTH (Time TSA)" numFmtId="0">
      <sharedItems containsNonDate="0" containsDate="1" containsString="0" containsBlank="1" minDate="2024-12-02T00:00:00" maxDate="2025-01-02T00:00:00"/>
    </cacheField>
    <cacheField name="Objetivo notific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6">
  <r>
    <s v="Canal Brazil S.A_x000a_(PASTA: COMPLETOS&gt;ENTREGA 1&gt;_x000a_GRUPO GLOBO ENTREGA 1)"/>
    <s v="Sim . Cl. 10.1"/>
    <s v="Sim, mas depende de anuência prévia. Cl. 14.1"/>
    <s v="31/12/2024 Cl.1.1 do 3º Aditivo"/>
    <s v="Não Cl. 9.1"/>
    <s v="N/A"/>
    <s v="Concluído"/>
    <s v="Incluído na pasta o 3º aditivo com a vigência do contrato até 31/12/24. Será solicitado a programadora o 2ª aditivo ao contrato."/>
    <s v="Pasta atualizada"/>
    <s v="ok"/>
    <s v="OK. No 3º aditivo foi incluido a clausula de rescisão antecipada de 60 dias."/>
    <x v="0"/>
    <x v="0"/>
    <s v="COMPARTILHADO (DTH/IPTV)"/>
    <d v="2024-11-30T00:00:00"/>
    <m/>
    <d v="2025-01-31T00:00:00"/>
    <m/>
    <m/>
  </r>
  <r>
    <s v="Companhia Rio Bonito Comunicações"/>
    <m/>
    <m/>
    <m/>
    <m/>
    <m/>
    <s v="Aguardando aditivo que renova prazo de vigência"/>
    <s v="Este contrato está dentro da pasta da Band. Documento está em fase de assinatura do aditivo que renova o contrato."/>
    <s v="Este contrato está dentro da pasta da Band. Documento está em fase de assinatura do aditivo que renova o contrato."/>
    <s v="O contrato está em fase de assinatura."/>
    <s v="Em assinatura"/>
    <x v="1"/>
    <x v="1"/>
    <s v="COMPARTILHADO (DTH/IPTV)"/>
    <d v="2024-11-30T00:00:00"/>
    <m/>
    <d v="2025-01-31T00:00:00"/>
    <m/>
    <m/>
  </r>
  <r>
    <s v="DISCOVERY NETWORKS, S.L. (nova razão social da DISCOVERY LATIN AMERICA, S.L)_x000a_ (Pasta: COMPLETOS&gt;ENTREGA 2&gt;_x000a_WARNER DISCOVERY)"/>
    <s v="Sim Cl 14.2"/>
    <s v="Sim, mas depende de anuência prévia. Cl. 14.7"/>
    <s v="30/06/2025 Cl 6 do 9º aditivo"/>
    <s v="Pode ser rescindido a partir de 01/03/2025, desde que haja notificação prévia com 30 dias da data pretendida para a rescisão Cl 6.1 do 9º aditivo."/>
    <s v="para não ser renovado automaticamente após 30/06/2025, deve haver notificação de oposição à  com no mínimo 30 dias de antecedência da renovação automática (ou seja, até 30/05/2025) "/>
    <m/>
    <s v="A pasta foi limpa para constar soemnte os documentos da Discovery. Data de vencimento do contrato até 30/06/25"/>
    <s v="A pasta foi limpa para constar soemnte os documentos da Discovery. Data de vencimento do contrato até 30/06/25. Falta o 7º e 8º aditivos"/>
    <s v="Arquivos carregados"/>
    <s v="OK. Pode por favor nos identificar qual clausula do aditivo indica que o contrato so pode ser rescindido a partir de 01/03/2025?."/>
    <x v="0"/>
    <x v="0"/>
    <s v="COMPARTILHADO (DTH/IPTV)"/>
    <d v="2024-11-30T00:00:00"/>
    <d v="2024-10-31T00:00:00"/>
    <d v="2025-01-31T00:00:00"/>
    <d v="2025-01-01T00:00:00"/>
    <m/>
  </r>
  <r>
    <s v="ESPN do Brasil Eventos Esportivos LTDA (TFCF LATIN)- _x000a_(PASTA GRUPO DISNEY-TFCF (ESPN, STAR-FOX /ESPN)"/>
    <m/>
    <m/>
    <m/>
    <m/>
    <m/>
    <s v="Foi firmado um contrato de licença de distribuição que vigorou de 2017 até 30/04/2023. Paralelamente, foi celebrado um MOU para disponibilização do ESPN play, mas os aditivos ao MOU não prorrogam o ESPN Play, mas sim a distribuição de canais. No entanto, o documento chamado &quot;ESPN_Oi_Linear_Channels_Segundo aditivo_2020&quot; faz menção a um outro contrato de distribuição de conteúdo supostamente celebrado em 2018. Pedimos verificar."/>
    <s v="Iremos solicitar a programadora"/>
    <s v="Pasta atualizada"/>
    <s v="Incluido na pasta: Nome do arquivo do 4º aditivo - 4º Aditivo ESPN_Oi (vigência até 30-jun-24)"/>
    <s v="Pasta organizada somente com os documentos validos. Documento valido entre as partes para distribuição de conteúdo é o MEMORANDO DE ENTENDIMENTOS PARA LICENÇA DE DISTRIBUIÇÃO DE CANAIS EM TELEVISÃO POR ASSINATURA."/>
    <x v="2"/>
    <x v="2"/>
    <s v="COMPARTILHADO (DTH/IPTV)"/>
    <d v="2024-11-30T00:00:00"/>
    <m/>
    <d v="2025-01-31T00:00:00"/>
    <d v="2024-12-02T00:00:00"/>
    <s v="Estender o contrato até 31/01/25 e cancelar no mês seguinte."/>
  </r>
  <r>
    <s v=" Tuna Entretenimento e Audiovisual - FISH TV"/>
    <s v="Sim cl 7.1"/>
    <s v="Sim , mediante prévia e expressa anuência da outra parte. Cl 9.3.1.3"/>
    <s v="31/12/2024 cl 1.2 do 6º aditivo"/>
    <s v="Sim, mediante notificação com 60  dias de antecedência da data pretendida para a rescisão. Cl 9.1. "/>
    <s v="N/A/"/>
    <s v="Pasta completa"/>
    <m/>
    <m/>
    <m/>
    <s v="OK"/>
    <x v="3"/>
    <x v="3"/>
    <s v="COMPARTILHADO (DTH/IPTV)"/>
    <d v="2024-11-30T00:00:00"/>
    <d v="2024-10-01T00:00:00"/>
    <d v="2025-01-31T00:00:00"/>
    <d v="2024-12-02T00:00:00"/>
    <m/>
  </r>
  <r>
    <s v="Globo Comunicação e Participações AS (TV Globo Recife-PE) _x000a_(Pasta: COMPLETOS&gt;ENTREGA 1&gt;GRUPO GLOBO ENTREGA 1&gt;_x000a_GLOBO COMUNICAÇÃO E PARTICIPAÇÕES SA"/>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Rio de Janeiro)_x000a_(Pasta: COMPLETOS&gt;ENTREGA 1&gt;GRUPO GLOBO ENTREGA 1&gt;_x000a_GLOBO COMUNICAÇÃO E PARTICIPAÇÕES AS)"/>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até 31/12/24.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Belo Horizonte)_x000a_(Pasta: COMPLETOS&gt;ENTREGA 1&gt;GRUPO GLOBO ENTREGA 1&gt;_x000a_GLOBO COMUNICAÇÃO E PARTICIPAÇÕES AS)"/>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Brasília-DF)_x000a_(Pasta: COMPLETOS&gt;ENTREGA 1&gt;GRUPO GLOBO ENTREGA 1&gt;_x000a_GLOBO COMUNICAÇÃO E PARTICIPAÇÕES SA"/>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HBO BRASIL LTDA (PASTA WARNER DISCOVERY)"/>
    <m/>
    <m/>
    <m/>
    <m/>
    <m/>
    <s v="Existem diversos contratos na pasta, inviabilizando saber qual é o que efetivamente vigora. Exemplo: existe um arquivo chamado DTH_HBO e outro chamado HBO Basic Deal 2015. Bem como o HBO Basic Deal 2017. Pedimos esclarecer."/>
    <s v="Iremos solicitar a programadora os aditivos"/>
    <s v="Aditivos adicionados a pasta"/>
    <s v="Arquivos carregados"/>
    <s v="OK, em análise."/>
    <x v="1"/>
    <x v="4"/>
    <s v="COMPARTILHADO (DTH/IPTV)"/>
    <d v="2024-11-30T00:00:00"/>
    <m/>
    <d v="2025-01-31T00:00:00"/>
    <m/>
    <m/>
  </r>
  <r>
    <s v="Mtv Networks Brasil Programação Televisiva e Publicidade LTDA"/>
    <s v="Sim Cl. 4.1"/>
    <s v="Sim, mas depende de prévia anuência da outra parte. Se a cessão derivar de operação societária, o consentimento prévio fica dispensado Cl 9.1 dos Termos e Condições"/>
    <s v="31/12/2024 Cl 2.1 do 3ºAditivo"/>
    <s v="Não."/>
    <s v="N/A"/>
    <s v="Pasta completa"/>
    <s v="Incluído todos os aditivos. Vigência do contrato até 31/12/24"/>
    <s v="Pasta atualizada"/>
    <s v="ok"/>
    <s v="OK"/>
    <x v="3"/>
    <x v="3"/>
    <s v="COMPARTILHADO (DTH/IPTV)"/>
    <d v="2024-11-30T00:00:00"/>
    <m/>
    <d v="2025-01-31T00:00:00"/>
    <m/>
    <m/>
  </r>
  <r>
    <s v="NBCUniversal Networks International Brasil Programadora S.A( atual denominação da USA BRASIL PROGRAMADORA LTDA) _x000a_(Pasta: COMPLETOS&gt;ENTREGA 1&gt;GRUPO GLOBO ENTREGA 1)_x000a_"/>
    <s v="Sim. Cl 10.1"/>
    <s v="Sim, mas depende de anuência prévia. Cl. 13.1"/>
    <s v="Sim Cl. 1.1 do 2º aditivo"/>
    <s v="Sim. Cl 1.2 do 2º aditivo (60 das)"/>
    <s v="N/A"/>
    <s v="Pasta completa. Obs 11jul: não temos como confirmar o prazo para rescisão antecipada visto que a pasta deixou de constar do Teams. "/>
    <s v="Incluído na pasta o 2º aditivo com a vigência do contrato até 31/12/24. Será solicitado a programadora o 1ª aditivo ao contrato."/>
    <s v="Pasta atualizada"/>
    <s v="ok"/>
    <s v="Caminho indicado, em vermelho, na coluna &quot;A&quot;"/>
    <x v="0"/>
    <x v="0"/>
    <s v="COMPARTILHADO (DTH/IPTV)"/>
    <d v="2024-11-30T00:00:00"/>
    <d v="2024-10-01T00:00:00"/>
    <d v="2025-01-31T00:00:00"/>
    <d v="2024-12-02T00:00:00"/>
    <m/>
  </r>
  <r>
    <s v="PLAYTV"/>
    <s v="Sim. Cl 10.1"/>
    <s v="Sim, sem necessidade de anuência prévia. Cl 11.16"/>
    <s v="31/12/2024 Cl 5.1"/>
    <s v="Sim, mediante notificação com 60  dias de antecedência. CL 6.1 "/>
    <s v="N/A"/>
    <s v="Pasta completa"/>
    <m/>
    <m/>
    <m/>
    <s v="OK"/>
    <x v="3"/>
    <x v="3"/>
    <s v="COMPARTILHADO (DTH/IPTV)"/>
    <d v="2024-11-30T00:00:00"/>
    <d v="2024-10-01T00:00:00"/>
    <d v="2025-01-31T00:00:00"/>
    <d v="2024-12-02T00:00:00"/>
    <m/>
  </r>
  <r>
    <s v="SIMBA (PASTA: NÃO COMPARTILHAR&gt;SIMBA-NÃO AUTORIZADO&gt;SIMBA)"/>
    <m/>
    <m/>
    <m/>
    <m/>
    <m/>
    <s v="Pasta Vazia"/>
    <m/>
    <m/>
    <m/>
    <s v="Documentos disponiveis"/>
    <x v="2"/>
    <x v="2"/>
    <s v="COMPARTILHADO (DTH/IPTV)"/>
    <d v="2024-11-30T00:00:00"/>
    <m/>
    <d v="2025-01-31T00:00:00"/>
    <m/>
    <m/>
  </r>
  <r>
    <s v="Telecine Programação de Filmes LTDA (PASTA ENVIADOS PARA A SES&gt;GRUPO GLOBO ENTREGA 1)"/>
    <s v="Sim . Cl. 10.1"/>
    <s v="Sim, mas depende de anuência prévia. Cl. 14.1"/>
    <s v="31/12/2024 Cl.1.1 do 6º Aditivo"/>
    <s v="Sim, mediante notificação com 60  dias de antecedência. CL 1.3 do 6º Termo Aditivo. "/>
    <s v="N/A"/>
    <s v="Pasta completa"/>
    <s v="Incluído na pasta o 6º aditivo com a vigência do contrato até 31/12/24. Será solicitado a programadora o 5ª aditivo ao contrato."/>
    <s v="Pasta atualizada"/>
    <s v="Nome do arquivo do 6º aditivo - OI_TNL x Way TV_Distribuiçao Telecine e Megapix_AD6 (9617)"/>
    <s v="OK"/>
    <x v="3"/>
    <x v="3"/>
    <s v="COMPARTILHADO (DTH/IPTV)"/>
    <d v="2024-11-30T00:00:00"/>
    <d v="2024-10-01T00:00:00"/>
    <d v="2025-01-31T00:00:00"/>
    <d v="2024-12-02T00:00:00"/>
    <s v="Vamoss avisar o que? Que vamos cancelar o contrato como um todo??  Ou vamos canclear somente o Iptv??_x000a_Estender por 1 mês e cancelar no mês seguinte."/>
  </r>
  <r>
    <s v="TFCF LATIN AMERICAN CHANNEL, LLC e TFCF LATIN AMERICA CHANNELS DO BRASIL LTDA._x000a_GRUPO DISNEY-TFCF (ESPN, STAR-FOX)"/>
    <m/>
    <m/>
    <m/>
    <m/>
    <m/>
    <s v="A pasta contém vários contratos e aditivos a contratos já expirados, um MOU e vários aditivos ao MOU (1º ao 6º, mas faltando o 3º e o 5º aditivos ao MOU). Pedimos enviar tais documentos."/>
    <s v="Incluído na pasta o 6º aditivo com a vigência do contrato até 30/09/24. Será solicitado a programadora o 5ª aditivo ao contrato."/>
    <s v="Incluído na pasta o 6º aditivo com a vigência do contrato até 30/09/24. Será solicitado a programadora o 5ª aditivo ao contrato."/>
    <s v="Arquivos carregados"/>
    <s v="OK, em análise."/>
    <x v="1"/>
    <x v="4"/>
    <s v="COMPARTILHADO (DTH/IPTV)"/>
    <d v="2024-11-30T00:00:00"/>
    <m/>
    <d v="2025-01-31T00:00:00"/>
    <m/>
    <m/>
  </r>
  <r>
    <s v="TURNER INTERNATIONAL LATIN AMERICA, INC ((PASTA WARNER DISCOVERY)"/>
    <m/>
    <m/>
    <m/>
    <m/>
    <m/>
    <s v="Supostamente, não existe contrato em vigor. Foi celebrado um contrato em 2013 e depois mais 3 aditivos. Em 2018 foi celebrado um MOU que vigoraria entre 2018 e 2019, até que fosse celebrado novo aditivo ao contrato de 2013. Em 2021 foi enviada uma proposta pela Warner sinalizando a assinatura de um novo contrato que vigoraria até 31/12/2023. Esse contrato não está na pasta e não há aditivos a ele. "/>
    <s v="Iremos solicitar a programadora os aditivos"/>
    <s v="Aditivos adicionados a pasta"/>
    <s v="Arquivos carregados"/>
    <s v="OK, em análise."/>
    <x v="1"/>
    <x v="4"/>
    <s v="COMPARTILHADO (DTH/IPTV)"/>
    <d v="2024-11-30T00:00:00"/>
    <m/>
    <d v="2025-01-31T00:00:00"/>
    <m/>
    <m/>
  </r>
  <r>
    <s v="WOOHOO"/>
    <s v="Sim cl 7.1"/>
    <s v="Sim, sem anuênia cl 1.5 do 2º aditivo"/>
    <s v="08/01/2025 Cl 1.3 do 3º aditivo"/>
    <s v="Sim, mediante notificação com 60  dias de antecedência. CL 9.1"/>
    <s v="N/A"/>
    <s v="Pasta completa"/>
    <m/>
    <m/>
    <m/>
    <s v="OK"/>
    <x v="3"/>
    <x v="3"/>
    <s v="COMPARTILHADO (DTH/IPTV)"/>
    <d v="2024-11-30T00:00:00"/>
    <d v="2024-10-01T00:00:00"/>
    <d v="2025-01-31T00:00:00"/>
    <d v="2024-12-02T00:00:00"/>
    <m/>
  </r>
  <r>
    <s v="ZOOMOO"/>
    <s v="Sim cl 7.1"/>
    <s v="sim, sem anuência cl 9.1.1.3"/>
    <s v="31/12/2024 cl 2.1 do 1º aditivo"/>
    <s v="Sim, mediante notificação com 60  dias de antecedência. CL 8.2"/>
    <s v="N/A"/>
    <m/>
    <m/>
    <m/>
    <m/>
    <s v="OK"/>
    <x v="3"/>
    <x v="3"/>
    <s v="COMPARTILHADO (DTH/IPTV)"/>
    <d v="2024-11-30T00:00:00"/>
    <d v="2024-10-01T00:00:00"/>
    <d v="2025-01-31T00:00:00"/>
    <d v="2024-12-02T00:00:00"/>
    <m/>
  </r>
  <r>
    <s v="BAND -NEWCO PROGRAMADORA _x000a_(PASTA: COMPLETOS&gt;ENTREGA 4&gt;BAND&gt;_x000a_BAND - NEWCO PROGRAMADORA_x000a_"/>
    <m/>
    <m/>
    <m/>
    <m/>
    <m/>
    <m/>
    <m/>
    <m/>
    <m/>
    <m/>
    <x v="4"/>
    <x v="5"/>
    <m/>
    <m/>
    <m/>
    <m/>
    <m/>
    <m/>
  </r>
  <r>
    <s v="PB BRASIL ENTRETENIMENTO S/A_x000a_(PASTA: COMPLETOS&gt;ENTREGA 3)"/>
    <m/>
    <m/>
    <m/>
    <m/>
    <m/>
    <m/>
    <m/>
    <m/>
    <m/>
    <m/>
    <x v="4"/>
    <x v="5"/>
    <m/>
    <m/>
    <m/>
    <m/>
    <m/>
    <m/>
  </r>
  <r>
    <s v="TV5MONDE_x000a_(PASTA: COMPLETOS&gt;ENTREGA 3)_x000a_"/>
    <m/>
    <m/>
    <m/>
    <m/>
    <m/>
    <m/>
    <m/>
    <m/>
    <m/>
    <m/>
    <x v="4"/>
    <x v="5"/>
    <m/>
    <m/>
    <m/>
    <m/>
    <m/>
    <m/>
  </r>
  <r>
    <s v="BOX BRASIL_x000a_(PASTA: COMPLETOS&gt;ENTREGA 3)"/>
    <m/>
    <m/>
    <m/>
    <m/>
    <m/>
    <m/>
    <m/>
    <m/>
    <m/>
    <m/>
    <x v="4"/>
    <x v="5"/>
    <m/>
    <m/>
    <m/>
    <m/>
    <m/>
    <m/>
  </r>
  <r>
    <s v="RA TIM BUM_x000a_(PASTA:COMPLETOS&gt;ENTREGA 4&gt;FUNDAÇÃO PADRE ANCHIETA)"/>
    <m/>
    <m/>
    <m/>
    <m/>
    <m/>
    <m/>
    <m/>
    <m/>
    <m/>
    <s v="O contrato tem apenas um aditivo, que foi nomeado incorretamente como segundo aditivo"/>
    <x v="4"/>
    <x v="5"/>
    <m/>
    <m/>
    <m/>
    <m/>
    <m/>
    <m/>
  </r>
  <r>
    <s v="BLOOMBERG_x000a_(PASTA: COMPLETOS&gt;ENTREGA 3)"/>
    <m/>
    <m/>
    <m/>
    <m/>
    <m/>
    <m/>
    <m/>
    <m/>
    <m/>
    <m/>
    <x v="4"/>
    <x v="5"/>
    <m/>
    <m/>
    <m/>
    <m/>
    <m/>
    <m/>
  </r>
  <r>
    <s v="CINE BRASIL_x000a_(PASTA: COMPLETOS&gt;ENTREGA 2)"/>
    <m/>
    <m/>
    <m/>
    <m/>
    <m/>
    <m/>
    <m/>
    <m/>
    <m/>
    <m/>
    <x v="4"/>
    <x v="5"/>
    <m/>
    <m/>
    <m/>
    <m/>
    <m/>
    <m/>
  </r>
  <r>
    <s v="RTPI_x000a_(PASTA: COMPLETOS&gt;ENTREGA 3)"/>
    <m/>
    <m/>
    <m/>
    <m/>
    <m/>
    <m/>
    <m/>
    <m/>
    <m/>
    <m/>
    <x v="4"/>
    <x v="5"/>
    <m/>
    <m/>
    <m/>
    <m/>
    <m/>
    <m/>
  </r>
  <r>
    <s v="CHEF TV_x000a_(PASTA: COMPLETOS&gt;ENTREGA 2)"/>
    <m/>
    <m/>
    <m/>
    <m/>
    <m/>
    <m/>
    <m/>
    <m/>
    <m/>
    <m/>
    <x v="4"/>
    <x v="5"/>
    <m/>
    <m/>
    <m/>
    <m/>
    <m/>
    <m/>
  </r>
  <r>
    <s v="CURTA_x000a_(PASTA: COMPLETOS&gt;ENTREGA 3)"/>
    <m/>
    <m/>
    <m/>
    <m/>
    <m/>
    <m/>
    <m/>
    <m/>
    <m/>
    <m/>
    <x v="4"/>
    <x v="5"/>
    <m/>
    <m/>
    <m/>
    <m/>
    <m/>
    <m/>
  </r>
  <r>
    <s v="TELEVISAO CABO BRANCO LTDA_x000a_(PASTA: COMPLETOS&gt;ENTREGA 1&gt;_x000a_GRUPO GLOBO ENTREGA 1)"/>
    <m/>
    <m/>
    <m/>
    <m/>
    <m/>
    <m/>
    <m/>
    <m/>
    <m/>
    <m/>
    <x v="4"/>
    <x v="5"/>
    <m/>
    <m/>
    <m/>
    <m/>
    <m/>
    <m/>
  </r>
  <r>
    <s v="RADIO TV DO AMAZONAS LTDA_x000a_(PASTA: COMPLETOS&gt;ENTREGA 1&gt;_x000a_GRUPO GLOBO ENTREGA 1)"/>
    <m/>
    <m/>
    <m/>
    <m/>
    <m/>
    <m/>
    <m/>
    <m/>
    <m/>
    <m/>
    <x v="4"/>
    <x v="5"/>
    <m/>
    <m/>
    <m/>
    <m/>
    <m/>
    <m/>
  </r>
  <r>
    <s v="TELEVISAO MIRANTE LTDA_x000a_(PASTA: COMPLETOS&gt;ENTREGA 1&gt;_x000a_GRUPO GLOBO ENTREGA 1)"/>
    <m/>
    <m/>
    <m/>
    <m/>
    <m/>
    <m/>
    <m/>
    <m/>
    <m/>
    <m/>
    <x v="4"/>
    <x v="5"/>
    <m/>
    <m/>
    <m/>
    <m/>
    <m/>
    <m/>
  </r>
  <r>
    <s v="TV RADIO CLUBE DE TERESINA AS_x000a_(PASTA: COMPLETOS&gt;ENTREGA 1&gt;_x000a_GRUPO GLOBO ENTREGA 1)"/>
    <m/>
    <m/>
    <m/>
    <m/>
    <m/>
    <m/>
    <m/>
    <m/>
    <m/>
    <m/>
    <x v="4"/>
    <x v="5"/>
    <m/>
    <m/>
    <m/>
    <m/>
    <m/>
    <m/>
  </r>
  <r>
    <s v="TELEVISAO CABUGI LTDA_x000a_(PASTA: COMPLETOS&gt;ENTREGA 1&gt;_x000a_GRUPO GLOBO ENTREGA 1)"/>
    <m/>
    <m/>
    <m/>
    <m/>
    <m/>
    <m/>
    <m/>
    <m/>
    <m/>
    <m/>
    <x v="4"/>
    <x v="5"/>
    <m/>
    <m/>
    <m/>
    <m/>
    <m/>
    <m/>
  </r>
  <r>
    <s v="TELEVISAO VERDES MARES LTDA_x000a_(PASTA: COMPLETOS&gt;ENTREGA 1&gt;_x000a_GRUPO GLOBO ENTREGA 1)_x000a_"/>
    <m/>
    <m/>
    <m/>
    <m/>
    <m/>
    <m/>
    <m/>
    <m/>
    <m/>
    <m/>
    <x v="4"/>
    <x v="5"/>
    <m/>
    <m/>
    <m/>
    <m/>
    <m/>
    <m/>
  </r>
  <r>
    <s v="RADIO TELEVISAO DE SERGIPE SA"/>
    <m/>
    <m/>
    <m/>
    <m/>
    <m/>
    <m/>
    <m/>
    <m/>
    <m/>
    <m/>
    <x v="4"/>
    <x v="5"/>
    <m/>
    <m/>
    <m/>
    <m/>
    <m/>
    <m/>
  </r>
  <r>
    <s v="TELEVISÃO SUL DE MINAS LTDA"/>
    <m/>
    <m/>
    <m/>
    <m/>
    <m/>
    <m/>
    <m/>
    <m/>
    <m/>
    <m/>
    <x v="4"/>
    <x v="5"/>
    <m/>
    <m/>
    <m/>
    <m/>
    <m/>
    <m/>
  </r>
  <r>
    <s v="INTERVISAO EMISSORAS DE RADIO E TEL"/>
    <m/>
    <m/>
    <m/>
    <m/>
    <m/>
    <m/>
    <m/>
    <m/>
    <m/>
    <m/>
    <x v="4"/>
    <x v="5"/>
    <m/>
    <m/>
    <m/>
    <m/>
    <m/>
    <m/>
  </r>
  <r>
    <s v="REDE NORDESTE DE COMUNICACAO LTDA"/>
    <m/>
    <m/>
    <m/>
    <m/>
    <m/>
    <m/>
    <m/>
    <m/>
    <m/>
    <m/>
    <x v="4"/>
    <x v="5"/>
    <m/>
    <m/>
    <m/>
    <m/>
    <m/>
    <m/>
  </r>
  <r>
    <s v="RBS PARTICIPACOES S A (PORTO ALEGRE)"/>
    <m/>
    <m/>
    <m/>
    <m/>
    <m/>
    <m/>
    <m/>
    <m/>
    <m/>
    <m/>
    <x v="4"/>
    <x v="5"/>
    <m/>
    <m/>
    <m/>
    <m/>
    <m/>
    <m/>
  </r>
  <r>
    <s v="TELEVISAO BAHIA LTDA"/>
    <m/>
    <m/>
    <m/>
    <m/>
    <m/>
    <m/>
    <m/>
    <m/>
    <m/>
    <m/>
    <x v="4"/>
    <x v="5"/>
    <m/>
    <m/>
    <m/>
    <m/>
    <m/>
    <m/>
  </r>
  <r>
    <s v="SOCIEDADE RADIO EMISSORA PARANAENSE"/>
    <m/>
    <m/>
    <m/>
    <m/>
    <m/>
    <m/>
    <m/>
    <m/>
    <m/>
    <m/>
    <x v="4"/>
    <x v="5"/>
    <m/>
    <m/>
    <m/>
    <m/>
    <m/>
    <m/>
  </r>
  <r>
    <s v="A GAZETA DO ESPIRITO SANTO RADIO E"/>
    <m/>
    <m/>
    <m/>
    <m/>
    <m/>
    <m/>
    <m/>
    <m/>
    <m/>
    <m/>
    <x v="4"/>
    <x v="5"/>
    <m/>
    <m/>
    <m/>
    <m/>
    <m/>
    <m/>
  </r>
  <r>
    <s v="TV RIO SUL LTDA"/>
    <m/>
    <m/>
    <m/>
    <m/>
    <m/>
    <m/>
    <m/>
    <m/>
    <m/>
    <m/>
    <x v="4"/>
    <x v="5"/>
    <m/>
    <m/>
    <m/>
    <m/>
    <m/>
    <m/>
  </r>
  <r>
    <s v="TELEVISAO TUIUTI SA"/>
    <m/>
    <m/>
    <m/>
    <m/>
    <m/>
    <m/>
    <m/>
    <m/>
    <m/>
    <m/>
    <x v="4"/>
    <x v="5"/>
    <m/>
    <m/>
    <m/>
    <m/>
    <m/>
    <m/>
  </r>
  <r>
    <s v="TELEVISÃO IMEMBUI SA"/>
    <m/>
    <m/>
    <m/>
    <m/>
    <m/>
    <m/>
    <m/>
    <m/>
    <m/>
    <m/>
    <x v="4"/>
    <x v="5"/>
    <m/>
    <m/>
    <m/>
    <m/>
    <m/>
    <m/>
  </r>
  <r>
    <s v="TELEVISÃO CENTRO AMÉRICA LTDA"/>
    <m/>
    <m/>
    <m/>
    <m/>
    <m/>
    <m/>
    <m/>
    <m/>
    <m/>
    <m/>
    <x v="4"/>
    <x v="5"/>
    <m/>
    <m/>
    <m/>
    <m/>
    <m/>
    <m/>
  </r>
  <r>
    <s v="TELEVISÃO JOAÇABA LTDA"/>
    <m/>
    <m/>
    <m/>
    <m/>
    <m/>
    <m/>
    <m/>
    <m/>
    <m/>
    <m/>
    <x v="4"/>
    <x v="5"/>
    <m/>
    <m/>
    <m/>
    <m/>
    <m/>
    <m/>
  </r>
  <r>
    <s v="TELEVISAO ANHANGUERA S/A"/>
    <m/>
    <m/>
    <m/>
    <m/>
    <m/>
    <m/>
    <m/>
    <m/>
    <m/>
    <m/>
    <x v="4"/>
    <x v="5"/>
    <m/>
    <m/>
    <m/>
    <m/>
    <m/>
    <m/>
  </r>
  <r>
    <s v="TV CATARATAS LTDA"/>
    <m/>
    <m/>
    <m/>
    <m/>
    <m/>
    <m/>
    <m/>
    <m/>
    <m/>
    <m/>
    <x v="4"/>
    <x v="5"/>
    <m/>
    <m/>
    <m/>
    <m/>
    <m/>
    <m/>
  </r>
  <r>
    <s v="RADIO E TELEVISAO IMAGEM LTDA"/>
    <m/>
    <m/>
    <m/>
    <m/>
    <m/>
    <m/>
    <m/>
    <m/>
    <m/>
    <m/>
    <x v="4"/>
    <x v="5"/>
    <m/>
    <m/>
    <m/>
    <m/>
    <m/>
    <m/>
  </r>
  <r>
    <s v="RBS PARTICIPACOES S A (FLORIANÓPOLIS -  SC)"/>
    <m/>
    <m/>
    <m/>
    <m/>
    <m/>
    <m/>
    <m/>
    <m/>
    <m/>
    <m/>
    <x v="4"/>
    <x v="5"/>
    <m/>
    <m/>
    <m/>
    <m/>
    <m/>
    <m/>
  </r>
  <r>
    <s v="TELEVISAO CACHOEIRO LTDA"/>
    <m/>
    <m/>
    <m/>
    <m/>
    <m/>
    <m/>
    <m/>
    <m/>
    <m/>
    <m/>
    <x v="4"/>
    <x v="5"/>
    <m/>
    <m/>
    <m/>
    <m/>
    <m/>
    <m/>
  </r>
  <r>
    <s v="EMPREENDIMENTOS RADIODIFUSÃO CABO F"/>
    <m/>
    <m/>
    <m/>
    <m/>
    <m/>
    <m/>
    <m/>
    <m/>
    <m/>
    <m/>
    <x v="4"/>
    <x v="5"/>
    <m/>
    <m/>
    <m/>
    <m/>
    <m/>
    <m/>
  </r>
  <r>
    <s v="TELEVISAO CULTURA DE MARINGA LTDA"/>
    <m/>
    <m/>
    <m/>
    <m/>
    <m/>
    <m/>
    <m/>
    <m/>
    <m/>
    <m/>
    <x v="4"/>
    <x v="5"/>
    <m/>
    <m/>
    <m/>
    <m/>
    <m/>
    <m/>
  </r>
  <r>
    <s v="TV ESPLANADA DO PARANA LTDA"/>
    <m/>
    <m/>
    <m/>
    <m/>
    <m/>
    <m/>
    <m/>
    <m/>
    <m/>
    <m/>
    <x v="4"/>
    <x v="5"/>
    <m/>
    <m/>
    <m/>
    <m/>
    <m/>
    <m/>
  </r>
  <r>
    <s v="TV VALE DO ACO LTDA"/>
    <m/>
    <m/>
    <m/>
    <m/>
    <m/>
    <m/>
    <m/>
    <m/>
    <m/>
    <m/>
    <x v="4"/>
    <x v="5"/>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I11" firstHeaderRow="1" firstDataRow="2" firstDataCol="1"/>
  <pivotFields count="19">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axis="axisRow" dataField="1" showAll="0">
      <items count="7">
        <item x="2"/>
        <item x="1"/>
        <item x="5"/>
        <item x="0"/>
        <item x="3"/>
        <item x="4"/>
        <item t="default"/>
      </items>
    </pivotField>
    <pivotField axis="axisCol" showAll="0">
      <items count="9">
        <item x="1"/>
        <item m="1" x="7"/>
        <item x="2"/>
        <item x="6"/>
        <item x="0"/>
        <item x="3"/>
        <item x="4"/>
        <item x="5"/>
        <item t="default"/>
      </items>
    </pivotField>
    <pivotField showAll="0"/>
    <pivotField showAll="0" defaultSubtotal="0"/>
    <pivotField showAll="0" defaultSubtotal="0"/>
    <pivotField showAll="0" defaultSubtotal="0"/>
    <pivotField showAll="0" defaultSubtotal="0"/>
    <pivotField showAll="0"/>
  </pivotFields>
  <rowFields count="1">
    <field x="11"/>
  </rowFields>
  <rowItems count="7">
    <i>
      <x/>
    </i>
    <i>
      <x v="1"/>
    </i>
    <i>
      <x v="2"/>
    </i>
    <i>
      <x v="3"/>
    </i>
    <i>
      <x v="4"/>
    </i>
    <i>
      <x v="5"/>
    </i>
    <i t="grand">
      <x/>
    </i>
  </rowItems>
  <colFields count="1">
    <field x="12"/>
  </colFields>
  <colItems count="8">
    <i>
      <x/>
    </i>
    <i>
      <x v="2"/>
    </i>
    <i>
      <x v="3"/>
    </i>
    <i>
      <x v="4"/>
    </i>
    <i>
      <x v="5"/>
    </i>
    <i>
      <x v="6"/>
    </i>
    <i>
      <x v="7"/>
    </i>
    <i t="grand">
      <x/>
    </i>
  </colItems>
  <dataFields count="1">
    <dataField name="Contagem de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4"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I11" firstHeaderRow="1" firstDataRow="2" firstDataCol="1"/>
  <pivotFields count="19">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axis="axisRow" showAll="0">
      <items count="7">
        <item x="2"/>
        <item x="1"/>
        <item x="5"/>
        <item x="0"/>
        <item x="3"/>
        <item x="4"/>
        <item t="default"/>
      </items>
    </pivotField>
    <pivotField axis="axisCol" dataField="1" showAll="0">
      <items count="9">
        <item x="1"/>
        <item m="1" x="7"/>
        <item x="2"/>
        <item x="6"/>
        <item x="0"/>
        <item x="3"/>
        <item x="4"/>
        <item x="5"/>
        <item t="default"/>
      </items>
    </pivotField>
    <pivotField showAll="0"/>
    <pivotField showAll="0" defaultSubtotal="0"/>
    <pivotField showAll="0" defaultSubtotal="0"/>
    <pivotField showAll="0" defaultSubtotal="0"/>
    <pivotField showAll="0" defaultSubtotal="0"/>
    <pivotField showAll="0"/>
  </pivotFields>
  <rowFields count="1">
    <field x="11"/>
  </rowFields>
  <rowItems count="7">
    <i>
      <x/>
    </i>
    <i>
      <x v="1"/>
    </i>
    <i>
      <x v="2"/>
    </i>
    <i>
      <x v="3"/>
    </i>
    <i>
      <x v="4"/>
    </i>
    <i>
      <x v="5"/>
    </i>
    <i t="grand">
      <x/>
    </i>
  </rowItems>
  <colFields count="1">
    <field x="12"/>
  </colFields>
  <colItems count="8">
    <i>
      <x/>
    </i>
    <i>
      <x v="2"/>
    </i>
    <i>
      <x v="3"/>
    </i>
    <i>
      <x v="4"/>
    </i>
    <i>
      <x v="5"/>
    </i>
    <i>
      <x v="6"/>
    </i>
    <i>
      <x v="7"/>
    </i>
    <i t="grand">
      <x/>
    </i>
  </colItems>
  <dataFields count="1">
    <dataField name="Contagem de MOTIVO"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A1:S4" totalsRowShown="0">
  <autoFilter ref="A1:S4"/>
  <tableColumns count="19">
    <tableColumn id="1" name="Parte contratada"/>
    <tableColumn id="2" name="Contém restrição de confidencialidade? (S/N e nº Cl)"/>
    <tableColumn id="3" name="Admite Cessão? Com ou sem anuência? (S/N e nº Cl)"/>
    <tableColumn id="4" name="Prazo final de vigência  com data"/>
    <tableColumn id="5" name="Admite rescisão antecipada? Qual o prazo?"/>
    <tableColumn id="6" name="Qual o prazo para oposição a renovações de vigência automática ?"/>
    <tableColumn id="7" name="Status Jurídico até 11/07"/>
    <tableColumn id="8" name="Retorno Governança (Salete - 23/05)"/>
    <tableColumn id="9" name="Retorno Governança (Salete - 03/06)"/>
    <tableColumn id="10" name="Retorno Governança (Roberto - 20/06)"/>
    <tableColumn id="11" name="Retorno Governança (Roberto/Salete - 16/07)"/>
    <tableColumn id="12" name="STATUS"/>
    <tableColumn id="13" name="MOTIVO"/>
    <tableColumn id="14" name="Contrato exclusivo ou compartilhado?"/>
    <tableColumn id="15" name="Possível data de término Tv IPTV" dataDxfId="1"/>
    <tableColumn id="16" name="Data Limite notificação rescisão IPTV (Time TSA)"/>
    <tableColumn id="17" name="Possível data de término Tv DTH" dataDxfId="0"/>
    <tableColumn id="18" name="Data Limite notificação rescisão DTH (Time TSA)"/>
    <tableColumn id="19" name="Objetivo notificaçã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1"/>
  <sheetViews>
    <sheetView workbookViewId="0">
      <selection activeCell="A3" sqref="A3:H11"/>
    </sheetView>
  </sheetViews>
  <sheetFormatPr defaultRowHeight="15" x14ac:dyDescent="0.25"/>
  <cols>
    <col min="1" max="1" width="20.140625" bestFit="1" customWidth="1"/>
    <col min="2" max="2" width="19.5703125" customWidth="1"/>
    <col min="3" max="3" width="8.7109375" bestFit="1" customWidth="1"/>
    <col min="4" max="4" width="7" bestFit="1" customWidth="1"/>
    <col min="5" max="5" width="14.85546875" bestFit="1" customWidth="1"/>
    <col min="6" max="6" width="9.85546875" bestFit="1" customWidth="1"/>
    <col min="7" max="7" width="9.7109375" bestFit="1" customWidth="1"/>
    <col min="8" max="8" width="12.42578125" bestFit="1" customWidth="1"/>
    <col min="9" max="9" width="10.7109375" bestFit="1" customWidth="1"/>
  </cols>
  <sheetData>
    <row r="3" spans="1:9" x14ac:dyDescent="0.25">
      <c r="A3" s="19" t="s">
        <v>76</v>
      </c>
      <c r="B3" s="19" t="s">
        <v>77</v>
      </c>
    </row>
    <row r="4" spans="1:9" x14ac:dyDescent="0.25">
      <c r="A4" s="19" t="s">
        <v>73</v>
      </c>
      <c r="B4" t="s">
        <v>72</v>
      </c>
      <c r="C4" t="s">
        <v>70</v>
      </c>
      <c r="D4" t="s">
        <v>74</v>
      </c>
      <c r="E4" t="s">
        <v>159</v>
      </c>
      <c r="F4" t="s">
        <v>83</v>
      </c>
      <c r="G4" t="s">
        <v>71</v>
      </c>
      <c r="H4" t="s">
        <v>162</v>
      </c>
      <c r="I4" t="s">
        <v>75</v>
      </c>
    </row>
    <row r="5" spans="1:9" x14ac:dyDescent="0.25">
      <c r="A5" s="20" t="s">
        <v>70</v>
      </c>
      <c r="B5" s="21"/>
      <c r="C5" s="21">
        <v>2</v>
      </c>
      <c r="D5" s="21"/>
      <c r="E5" s="21"/>
      <c r="F5" s="21"/>
      <c r="G5" s="21"/>
      <c r="H5" s="21"/>
      <c r="I5" s="21">
        <v>2</v>
      </c>
    </row>
    <row r="6" spans="1:9" x14ac:dyDescent="0.25">
      <c r="A6" s="20" t="s">
        <v>71</v>
      </c>
      <c r="B6" s="21">
        <v>1</v>
      </c>
      <c r="C6" s="21"/>
      <c r="D6" s="21"/>
      <c r="E6" s="21"/>
      <c r="F6" s="21"/>
      <c r="G6" s="21">
        <v>3</v>
      </c>
      <c r="H6" s="21"/>
      <c r="I6" s="21">
        <v>4</v>
      </c>
    </row>
    <row r="7" spans="1:9" x14ac:dyDescent="0.25">
      <c r="A7" s="20" t="s">
        <v>74</v>
      </c>
      <c r="B7" s="21"/>
      <c r="C7" s="21"/>
      <c r="D7" s="21"/>
      <c r="E7" s="21"/>
      <c r="F7" s="21"/>
      <c r="G7" s="21"/>
      <c r="H7" s="21"/>
      <c r="I7" s="21"/>
    </row>
    <row r="8" spans="1:9" x14ac:dyDescent="0.25">
      <c r="A8" s="20" t="s">
        <v>159</v>
      </c>
      <c r="B8" s="21"/>
      <c r="C8" s="21"/>
      <c r="D8" s="21"/>
      <c r="E8" s="21">
        <v>7</v>
      </c>
      <c r="F8" s="21"/>
      <c r="G8" s="21"/>
      <c r="H8" s="21"/>
      <c r="I8" s="21">
        <v>7</v>
      </c>
    </row>
    <row r="9" spans="1:9" x14ac:dyDescent="0.25">
      <c r="A9" s="20" t="s">
        <v>83</v>
      </c>
      <c r="B9" s="21"/>
      <c r="C9" s="21"/>
      <c r="D9" s="21"/>
      <c r="E9" s="21"/>
      <c r="F9" s="21">
        <v>6</v>
      </c>
      <c r="G9" s="21"/>
      <c r="H9" s="21"/>
      <c r="I9" s="21">
        <v>6</v>
      </c>
    </row>
    <row r="10" spans="1:9" x14ac:dyDescent="0.25">
      <c r="A10" s="20" t="s">
        <v>162</v>
      </c>
      <c r="B10" s="21"/>
      <c r="C10" s="21"/>
      <c r="D10" s="21"/>
      <c r="E10" s="21"/>
      <c r="F10" s="21"/>
      <c r="G10" s="21"/>
      <c r="H10" s="21">
        <v>38</v>
      </c>
      <c r="I10" s="21">
        <v>38</v>
      </c>
    </row>
    <row r="11" spans="1:9" x14ac:dyDescent="0.25">
      <c r="A11" s="20" t="s">
        <v>75</v>
      </c>
      <c r="B11" s="21">
        <v>1</v>
      </c>
      <c r="C11" s="21">
        <v>2</v>
      </c>
      <c r="D11" s="21"/>
      <c r="E11" s="21">
        <v>7</v>
      </c>
      <c r="F11" s="21">
        <v>6</v>
      </c>
      <c r="G11" s="21">
        <v>3</v>
      </c>
      <c r="H11" s="21">
        <v>38</v>
      </c>
      <c r="I11" s="21">
        <v>57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1"/>
  <sheetViews>
    <sheetView workbookViewId="0">
      <selection activeCell="A3" sqref="A3"/>
    </sheetView>
  </sheetViews>
  <sheetFormatPr defaultRowHeight="15" x14ac:dyDescent="0.25"/>
  <cols>
    <col min="1" max="1" width="21" bestFit="1" customWidth="1"/>
    <col min="2" max="2" width="19.5703125" bestFit="1" customWidth="1"/>
    <col min="3" max="3" width="8.7109375" customWidth="1"/>
    <col min="4" max="4" width="7" customWidth="1"/>
    <col min="5" max="5" width="14.85546875" customWidth="1"/>
    <col min="6" max="6" width="9.85546875" customWidth="1"/>
    <col min="7" max="7" width="9.7109375" bestFit="1" customWidth="1"/>
    <col min="8" max="8" width="12.42578125" bestFit="1" customWidth="1"/>
    <col min="9" max="9" width="10.7109375" bestFit="1" customWidth="1"/>
  </cols>
  <sheetData>
    <row r="3" spans="1:9" x14ac:dyDescent="0.25">
      <c r="A3" s="19" t="s">
        <v>161</v>
      </c>
      <c r="B3" s="19" t="s">
        <v>77</v>
      </c>
    </row>
    <row r="4" spans="1:9" x14ac:dyDescent="0.25">
      <c r="A4" s="19" t="s">
        <v>73</v>
      </c>
      <c r="B4" t="s">
        <v>72</v>
      </c>
      <c r="C4" t="s">
        <v>70</v>
      </c>
      <c r="D4" t="s">
        <v>74</v>
      </c>
      <c r="E4" t="s">
        <v>159</v>
      </c>
      <c r="F4" t="s">
        <v>83</v>
      </c>
      <c r="G4" t="s">
        <v>71</v>
      </c>
      <c r="H4" t="s">
        <v>162</v>
      </c>
      <c r="I4" t="s">
        <v>75</v>
      </c>
    </row>
    <row r="5" spans="1:9" x14ac:dyDescent="0.25">
      <c r="A5" s="20" t="s">
        <v>70</v>
      </c>
      <c r="B5" s="21"/>
      <c r="C5" s="21">
        <v>2</v>
      </c>
      <c r="D5" s="21"/>
      <c r="E5" s="21"/>
      <c r="F5" s="21"/>
      <c r="G5" s="21"/>
      <c r="H5" s="21"/>
      <c r="I5" s="21">
        <v>2</v>
      </c>
    </row>
    <row r="6" spans="1:9" x14ac:dyDescent="0.25">
      <c r="A6" s="20" t="s">
        <v>71</v>
      </c>
      <c r="B6" s="21">
        <v>1</v>
      </c>
      <c r="C6" s="21"/>
      <c r="D6" s="21"/>
      <c r="E6" s="21"/>
      <c r="F6" s="21"/>
      <c r="G6" s="21">
        <v>3</v>
      </c>
      <c r="H6" s="21"/>
      <c r="I6" s="21">
        <v>4</v>
      </c>
    </row>
    <row r="7" spans="1:9" x14ac:dyDescent="0.25">
      <c r="A7" s="20" t="s">
        <v>74</v>
      </c>
      <c r="B7" s="21"/>
      <c r="C7" s="21"/>
      <c r="D7" s="21"/>
      <c r="E7" s="21"/>
      <c r="F7" s="21"/>
      <c r="G7" s="21"/>
      <c r="H7" s="21"/>
      <c r="I7" s="21"/>
    </row>
    <row r="8" spans="1:9" x14ac:dyDescent="0.25">
      <c r="A8" s="20" t="s">
        <v>159</v>
      </c>
      <c r="B8" s="21"/>
      <c r="C8" s="21"/>
      <c r="D8" s="21"/>
      <c r="E8" s="21">
        <v>7</v>
      </c>
      <c r="F8" s="21"/>
      <c r="G8" s="21"/>
      <c r="H8" s="21"/>
      <c r="I8" s="21">
        <v>7</v>
      </c>
    </row>
    <row r="9" spans="1:9" x14ac:dyDescent="0.25">
      <c r="A9" s="20" t="s">
        <v>83</v>
      </c>
      <c r="B9" s="21"/>
      <c r="C9" s="21"/>
      <c r="D9" s="21"/>
      <c r="E9" s="21"/>
      <c r="F9" s="21">
        <v>6</v>
      </c>
      <c r="G9" s="21"/>
      <c r="H9" s="21"/>
      <c r="I9" s="21">
        <v>6</v>
      </c>
    </row>
    <row r="10" spans="1:9" x14ac:dyDescent="0.25">
      <c r="A10" s="20" t="s">
        <v>162</v>
      </c>
      <c r="B10" s="21"/>
      <c r="C10" s="21"/>
      <c r="D10" s="21"/>
      <c r="E10" s="21"/>
      <c r="F10" s="21"/>
      <c r="G10" s="21"/>
      <c r="H10" s="21">
        <v>38</v>
      </c>
      <c r="I10" s="21">
        <v>38</v>
      </c>
    </row>
    <row r="11" spans="1:9" x14ac:dyDescent="0.25">
      <c r="A11" s="20" t="s">
        <v>75</v>
      </c>
      <c r="B11" s="21">
        <v>1</v>
      </c>
      <c r="C11" s="21">
        <v>2</v>
      </c>
      <c r="D11" s="21"/>
      <c r="E11" s="21">
        <v>7</v>
      </c>
      <c r="F11" s="21">
        <v>6</v>
      </c>
      <c r="G11" s="21">
        <v>3</v>
      </c>
      <c r="H11" s="21">
        <v>38</v>
      </c>
      <c r="I11" s="21">
        <v>57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workbookViewId="0">
      <selection activeCell="A2" sqref="A2:A4"/>
    </sheetView>
  </sheetViews>
  <sheetFormatPr defaultRowHeight="15" x14ac:dyDescent="0.25"/>
  <cols>
    <col min="1" max="1" width="17.7109375" customWidth="1"/>
    <col min="2" max="2" width="49.7109375" customWidth="1"/>
    <col min="3" max="3" width="49.42578125" customWidth="1"/>
    <col min="4" max="4" width="31.7109375" customWidth="1"/>
    <col min="5" max="5" width="40.85546875" customWidth="1"/>
    <col min="6" max="6" width="60.85546875" customWidth="1"/>
    <col min="7" max="7" width="24.42578125" customWidth="1"/>
    <col min="8" max="9" width="35.140625" customWidth="1"/>
    <col min="10" max="10" width="36.7109375" customWidth="1"/>
    <col min="11" max="11" width="43.140625" customWidth="1"/>
    <col min="12" max="12" width="9.85546875" customWidth="1"/>
    <col min="13" max="13" width="10.7109375" customWidth="1"/>
    <col min="14" max="14" width="36.5703125" customWidth="1"/>
    <col min="15" max="15" width="31.85546875" customWidth="1"/>
    <col min="16" max="16" width="45.28515625" customWidth="1"/>
    <col min="17" max="17" width="31.42578125" customWidth="1"/>
    <col min="18" max="18" width="44.85546875" customWidth="1"/>
    <col min="19" max="19" width="21" customWidth="1"/>
  </cols>
  <sheetData>
    <row r="1" spans="1:19" x14ac:dyDescent="0.25">
      <c r="A1" t="s">
        <v>0</v>
      </c>
      <c r="B1" t="s">
        <v>1</v>
      </c>
      <c r="C1" t="s">
        <v>2</v>
      </c>
      <c r="D1" t="s">
        <v>118</v>
      </c>
      <c r="E1" t="s">
        <v>4</v>
      </c>
      <c r="F1" t="s">
        <v>85</v>
      </c>
      <c r="G1" t="s">
        <v>153</v>
      </c>
      <c r="H1" t="s">
        <v>58</v>
      </c>
      <c r="I1" t="s">
        <v>67</v>
      </c>
      <c r="J1" t="s">
        <v>106</v>
      </c>
      <c r="K1" t="s">
        <v>160</v>
      </c>
      <c r="L1" t="s">
        <v>68</v>
      </c>
      <c r="M1" t="s">
        <v>69</v>
      </c>
      <c r="N1" t="s">
        <v>64</v>
      </c>
      <c r="O1" t="s">
        <v>123</v>
      </c>
      <c r="P1" t="s">
        <v>155</v>
      </c>
      <c r="Q1" t="s">
        <v>122</v>
      </c>
      <c r="R1" t="s">
        <v>156</v>
      </c>
      <c r="S1" t="s">
        <v>66</v>
      </c>
    </row>
    <row r="2" spans="1:19" x14ac:dyDescent="0.25">
      <c r="A2" t="s">
        <v>163</v>
      </c>
      <c r="G2" t="s">
        <v>152</v>
      </c>
      <c r="H2" t="s">
        <v>59</v>
      </c>
      <c r="I2" t="s">
        <v>84</v>
      </c>
      <c r="J2" t="s">
        <v>107</v>
      </c>
      <c r="K2" t="s">
        <v>158</v>
      </c>
      <c r="L2" t="s">
        <v>71</v>
      </c>
      <c r="M2" t="s">
        <v>71</v>
      </c>
      <c r="N2" t="s">
        <v>115</v>
      </c>
      <c r="O2" s="60">
        <v>45626</v>
      </c>
      <c r="Q2" s="60">
        <v>45688</v>
      </c>
    </row>
    <row r="3" spans="1:19" ht="150" x14ac:dyDescent="0.25">
      <c r="A3" s="61" t="s">
        <v>164</v>
      </c>
      <c r="G3" t="s">
        <v>151</v>
      </c>
      <c r="H3" t="s">
        <v>60</v>
      </c>
      <c r="I3" t="s">
        <v>60</v>
      </c>
      <c r="J3" t="s">
        <v>107</v>
      </c>
      <c r="K3" t="s">
        <v>158</v>
      </c>
      <c r="L3" t="s">
        <v>71</v>
      </c>
      <c r="M3" t="s">
        <v>71</v>
      </c>
      <c r="N3" t="s">
        <v>115</v>
      </c>
      <c r="O3" s="60">
        <v>45626</v>
      </c>
      <c r="Q3" s="60">
        <v>45688</v>
      </c>
    </row>
    <row r="4" spans="1:19" x14ac:dyDescent="0.25">
      <c r="A4" t="s">
        <v>165</v>
      </c>
      <c r="G4" t="s">
        <v>150</v>
      </c>
      <c r="H4" t="s">
        <v>59</v>
      </c>
      <c r="I4" t="s">
        <v>84</v>
      </c>
      <c r="J4" t="s">
        <v>107</v>
      </c>
      <c r="K4" t="s">
        <v>158</v>
      </c>
      <c r="L4" t="s">
        <v>71</v>
      </c>
      <c r="M4" t="s">
        <v>71</v>
      </c>
      <c r="N4" t="s">
        <v>115</v>
      </c>
      <c r="O4" s="60">
        <v>45626</v>
      </c>
      <c r="Q4" s="60">
        <v>45688</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tabSelected="1" topLeftCell="A13" zoomScale="80" zoomScaleNormal="80" workbookViewId="0">
      <pane xSplit="1" topLeftCell="B1" activePane="topRight" state="frozen"/>
      <selection pane="topRight" activeCell="C6" sqref="C6"/>
    </sheetView>
  </sheetViews>
  <sheetFormatPr defaultRowHeight="15" x14ac:dyDescent="0.25"/>
  <cols>
    <col min="1" max="1" width="68.7109375" bestFit="1" customWidth="1"/>
    <col min="2" max="2" width="38.42578125" bestFit="1" customWidth="1"/>
    <col min="3" max="3" width="42.7109375" customWidth="1"/>
    <col min="4" max="4" width="39.140625" bestFit="1" customWidth="1"/>
    <col min="5" max="5" width="42.42578125" bestFit="1" customWidth="1"/>
    <col min="6" max="6" width="43.42578125" bestFit="1" customWidth="1"/>
    <col min="7" max="7" width="43.42578125" customWidth="1"/>
    <col min="8" max="8" width="38.42578125" hidden="1" customWidth="1"/>
    <col min="9" max="9" width="33.7109375" style="14" hidden="1" customWidth="1"/>
    <col min="10" max="10" width="32.28515625" style="14" hidden="1" customWidth="1"/>
    <col min="11" max="11" width="26.28515625" style="14" hidden="1" customWidth="1"/>
    <col min="12" max="12" width="29.28515625" style="14" customWidth="1"/>
    <col min="13" max="14" width="15.28515625" style="14" bestFit="1" customWidth="1"/>
    <col min="15" max="15" width="20.85546875" bestFit="1" customWidth="1"/>
    <col min="16" max="16" width="36.5703125" style="46" bestFit="1" customWidth="1"/>
    <col min="17" max="17" width="40.5703125" bestFit="1" customWidth="1"/>
    <col min="18" max="18" width="36.5703125" style="49" bestFit="1" customWidth="1"/>
    <col min="19" max="19" width="40.5703125" style="15" bestFit="1" customWidth="1"/>
    <col min="20" max="20" width="35.28515625" style="15" bestFit="1" customWidth="1"/>
    <col min="21" max="21" width="3.42578125" bestFit="1" customWidth="1"/>
  </cols>
  <sheetData>
    <row r="1" spans="1:22" ht="58.5" customHeight="1" x14ac:dyDescent="0.25">
      <c r="A1" s="5" t="s">
        <v>0</v>
      </c>
      <c r="B1" s="6" t="s">
        <v>1</v>
      </c>
      <c r="C1" s="6" t="s">
        <v>2</v>
      </c>
      <c r="D1" s="6" t="s">
        <v>118</v>
      </c>
      <c r="E1" s="6" t="s">
        <v>4</v>
      </c>
      <c r="F1" s="6" t="s">
        <v>85</v>
      </c>
      <c r="G1" s="6" t="s">
        <v>187</v>
      </c>
      <c r="H1" s="6" t="s">
        <v>153</v>
      </c>
      <c r="I1" s="23" t="s">
        <v>58</v>
      </c>
      <c r="J1" s="23" t="s">
        <v>67</v>
      </c>
      <c r="K1" s="23" t="s">
        <v>106</v>
      </c>
      <c r="L1" s="23" t="s">
        <v>189</v>
      </c>
      <c r="M1" s="23" t="s">
        <v>68</v>
      </c>
      <c r="N1" s="23" t="s">
        <v>69</v>
      </c>
      <c r="O1" s="18" t="s">
        <v>64</v>
      </c>
      <c r="P1" s="44" t="s">
        <v>172</v>
      </c>
      <c r="Q1" s="18" t="s">
        <v>155</v>
      </c>
      <c r="R1" s="47" t="s">
        <v>173</v>
      </c>
      <c r="S1" s="18" t="s">
        <v>156</v>
      </c>
      <c r="T1" s="18" t="s">
        <v>66</v>
      </c>
    </row>
    <row r="2" spans="1:22" ht="69.75" customHeight="1" x14ac:dyDescent="0.25">
      <c r="A2" s="10" t="s">
        <v>157</v>
      </c>
      <c r="B2" s="10" t="s">
        <v>192</v>
      </c>
      <c r="C2" s="10" t="s">
        <v>193</v>
      </c>
      <c r="D2" s="10" t="s">
        <v>191</v>
      </c>
      <c r="E2" s="10" t="s">
        <v>190</v>
      </c>
      <c r="F2" s="10" t="s">
        <v>20</v>
      </c>
      <c r="G2" s="43" t="s">
        <v>203</v>
      </c>
      <c r="H2" s="43" t="s">
        <v>7</v>
      </c>
      <c r="I2" s="30"/>
      <c r="J2" s="30"/>
      <c r="K2" s="30"/>
      <c r="L2" s="30" t="s">
        <v>175</v>
      </c>
      <c r="M2" s="30" t="s">
        <v>70</v>
      </c>
      <c r="N2" s="30" t="s">
        <v>70</v>
      </c>
      <c r="O2" s="4" t="s">
        <v>115</v>
      </c>
      <c r="P2" s="45">
        <v>45626</v>
      </c>
      <c r="Q2" s="17"/>
      <c r="R2" s="48">
        <v>45688</v>
      </c>
      <c r="S2" s="30"/>
      <c r="T2" s="30"/>
    </row>
    <row r="3" spans="1:22" ht="409.5" customHeight="1" x14ac:dyDescent="0.25">
      <c r="A3" s="10" t="s">
        <v>108</v>
      </c>
      <c r="B3" s="10" t="s">
        <v>197</v>
      </c>
      <c r="C3" s="10" t="s">
        <v>198</v>
      </c>
      <c r="D3" s="10" t="s">
        <v>195</v>
      </c>
      <c r="E3" s="62" t="s">
        <v>196</v>
      </c>
      <c r="F3" s="10" t="s">
        <v>20</v>
      </c>
      <c r="G3" s="43" t="s">
        <v>194</v>
      </c>
      <c r="H3" s="43" t="s">
        <v>152</v>
      </c>
      <c r="I3" s="13" t="s">
        <v>59</v>
      </c>
      <c r="J3" s="10" t="s">
        <v>84</v>
      </c>
      <c r="K3" s="10" t="s">
        <v>107</v>
      </c>
      <c r="L3" s="10" t="s">
        <v>188</v>
      </c>
      <c r="M3" s="1" t="s">
        <v>70</v>
      </c>
      <c r="N3" s="1" t="s">
        <v>70</v>
      </c>
      <c r="O3" s="4" t="s">
        <v>115</v>
      </c>
      <c r="P3" s="45">
        <v>45626</v>
      </c>
      <c r="Q3" s="17"/>
      <c r="R3" s="48">
        <v>45688</v>
      </c>
      <c r="S3" s="4"/>
      <c r="T3" s="4"/>
      <c r="U3" s="1"/>
    </row>
    <row r="4" spans="1:22" ht="113.25" customHeight="1" x14ac:dyDescent="0.25">
      <c r="A4" s="10" t="s">
        <v>199</v>
      </c>
      <c r="B4" s="10" t="s">
        <v>20</v>
      </c>
      <c r="C4" s="10" t="s">
        <v>202</v>
      </c>
      <c r="D4" s="10" t="s">
        <v>200</v>
      </c>
      <c r="E4" s="62" t="s">
        <v>201</v>
      </c>
      <c r="F4" s="10" t="s">
        <v>20</v>
      </c>
      <c r="G4" s="43" t="s">
        <v>203</v>
      </c>
      <c r="H4" s="43"/>
      <c r="I4" s="13"/>
      <c r="J4" s="10"/>
      <c r="K4" s="10"/>
      <c r="L4" s="10"/>
      <c r="M4" s="1"/>
      <c r="N4" s="1"/>
      <c r="O4" s="29"/>
      <c r="P4" s="55"/>
      <c r="Q4" s="17"/>
      <c r="R4" s="56"/>
      <c r="S4" s="4"/>
      <c r="T4" s="4"/>
      <c r="U4" s="1"/>
    </row>
    <row r="5" spans="1:22" ht="195" x14ac:dyDescent="0.25">
      <c r="A5" s="10" t="s">
        <v>166</v>
      </c>
      <c r="B5" s="10" t="s">
        <v>206</v>
      </c>
      <c r="C5" s="10" t="s">
        <v>207</v>
      </c>
      <c r="D5" s="10" t="s">
        <v>204</v>
      </c>
      <c r="E5" s="62" t="s">
        <v>205</v>
      </c>
      <c r="F5" s="10" t="s">
        <v>20</v>
      </c>
      <c r="G5" s="43"/>
      <c r="H5" s="7"/>
      <c r="I5" s="30"/>
      <c r="J5" s="30"/>
      <c r="K5" s="30"/>
      <c r="L5" s="30" t="s">
        <v>176</v>
      </c>
      <c r="M5" s="30" t="s">
        <v>70</v>
      </c>
      <c r="N5" s="30" t="s">
        <v>70</v>
      </c>
      <c r="O5" s="29" t="s">
        <v>115</v>
      </c>
      <c r="P5" s="55">
        <v>45626</v>
      </c>
      <c r="Q5" s="1"/>
      <c r="R5" s="56">
        <v>45688</v>
      </c>
      <c r="S5" s="33"/>
      <c r="T5" s="33"/>
      <c r="U5" s="1"/>
      <c r="V5" s="1"/>
    </row>
    <row r="6" spans="1:22" ht="195" x14ac:dyDescent="0.25">
      <c r="A6" s="10" t="s">
        <v>167</v>
      </c>
      <c r="B6" s="10" t="s">
        <v>206</v>
      </c>
      <c r="C6" s="10" t="s">
        <v>207</v>
      </c>
      <c r="D6" s="10" t="s">
        <v>208</v>
      </c>
      <c r="E6" s="62" t="s">
        <v>209</v>
      </c>
      <c r="F6" s="10"/>
      <c r="G6" s="43"/>
      <c r="H6" s="7"/>
      <c r="I6" s="30"/>
      <c r="J6" s="30"/>
      <c r="K6" s="30"/>
      <c r="L6" s="30" t="s">
        <v>177</v>
      </c>
      <c r="M6" s="30" t="s">
        <v>70</v>
      </c>
      <c r="N6" s="30" t="s">
        <v>70</v>
      </c>
      <c r="O6" s="29" t="s">
        <v>115</v>
      </c>
      <c r="P6" s="55">
        <v>45626</v>
      </c>
      <c r="Q6" s="1"/>
      <c r="R6" s="56">
        <v>45688</v>
      </c>
      <c r="S6" s="33"/>
      <c r="T6" s="33"/>
      <c r="U6" s="1"/>
      <c r="V6" s="1"/>
    </row>
    <row r="7" spans="1:22" x14ac:dyDescent="0.25">
      <c r="A7" s="1"/>
      <c r="B7" s="1"/>
      <c r="C7" s="1"/>
      <c r="D7" s="1"/>
      <c r="E7" s="1"/>
      <c r="F7" s="1"/>
      <c r="G7" s="1"/>
      <c r="H7" s="1"/>
      <c r="I7" s="30"/>
      <c r="J7" s="30"/>
      <c r="K7" s="30"/>
      <c r="L7" s="30"/>
      <c r="M7" s="30"/>
      <c r="N7" s="30"/>
      <c r="O7" s="1"/>
      <c r="P7" s="58"/>
      <c r="Q7" s="1"/>
      <c r="R7" s="59"/>
      <c r="S7" s="33"/>
      <c r="T7" s="33"/>
      <c r="U7" s="1"/>
      <c r="V7" s="1"/>
    </row>
    <row r="8" spans="1:22" x14ac:dyDescent="0.25">
      <c r="A8" s="1"/>
      <c r="B8" s="1"/>
      <c r="C8" s="1"/>
      <c r="D8" s="1"/>
      <c r="E8" s="1"/>
      <c r="F8" s="1"/>
      <c r="G8" s="1"/>
      <c r="H8" s="1"/>
      <c r="I8" s="30"/>
      <c r="J8" s="30"/>
      <c r="K8" s="30"/>
      <c r="L8" s="30"/>
      <c r="M8" s="30"/>
      <c r="N8" s="30"/>
      <c r="O8" s="1"/>
      <c r="P8" s="58"/>
      <c r="Q8" s="1"/>
      <c r="R8" s="59"/>
      <c r="S8" s="33"/>
      <c r="T8" s="33"/>
      <c r="U8" s="1"/>
      <c r="V8" s="1"/>
    </row>
    <row r="9" spans="1:22" x14ac:dyDescent="0.25">
      <c r="A9" s="1"/>
      <c r="B9" s="1"/>
      <c r="C9" s="1"/>
      <c r="D9" s="1"/>
      <c r="E9" s="1"/>
      <c r="F9" s="1"/>
      <c r="G9" s="1"/>
      <c r="H9" s="1"/>
      <c r="I9" s="30"/>
      <c r="J9" s="30"/>
      <c r="K9" s="30"/>
      <c r="L9" s="30"/>
      <c r="M9" s="30"/>
      <c r="N9" s="30"/>
      <c r="O9" s="1"/>
      <c r="P9" s="58"/>
      <c r="Q9" s="1"/>
      <c r="R9" s="59"/>
      <c r="S9" s="33"/>
      <c r="T9" s="33"/>
      <c r="U9" s="1"/>
      <c r="V9" s="1"/>
    </row>
    <row r="10" spans="1:22" x14ac:dyDescent="0.25">
      <c r="A10" s="1"/>
      <c r="B10" s="1"/>
      <c r="C10" s="1"/>
      <c r="D10" s="1"/>
      <c r="E10" s="1"/>
      <c r="F10" s="1"/>
      <c r="G10" s="1"/>
      <c r="H10" s="1"/>
      <c r="I10" s="30"/>
      <c r="J10" s="30"/>
      <c r="K10" s="30"/>
      <c r="L10" s="30"/>
      <c r="M10" s="30"/>
      <c r="N10" s="30"/>
      <c r="O10" s="1"/>
      <c r="P10" s="58"/>
      <c r="Q10" s="1"/>
      <c r="R10" s="59"/>
      <c r="S10" s="33"/>
      <c r="T10" s="33"/>
      <c r="U10" s="1"/>
      <c r="V10" s="1"/>
    </row>
    <row r="11" spans="1:22" x14ac:dyDescent="0.25">
      <c r="A11" s="1"/>
      <c r="B11" s="1"/>
      <c r="C11" s="1"/>
      <c r="D11" s="1"/>
      <c r="E11" s="1"/>
      <c r="F11" s="1"/>
      <c r="G11" s="1"/>
      <c r="H11" s="1"/>
      <c r="I11" s="30"/>
      <c r="J11" s="30"/>
      <c r="K11" s="30"/>
      <c r="L11" s="30"/>
      <c r="M11" s="30"/>
      <c r="N11" s="30"/>
      <c r="O11" s="1"/>
      <c r="P11" s="58"/>
      <c r="Q11" s="1"/>
      <c r="R11" s="59"/>
      <c r="S11" s="33"/>
      <c r="T11" s="33"/>
      <c r="U11" s="1"/>
      <c r="V11" s="1"/>
    </row>
    <row r="12" spans="1:22" x14ac:dyDescent="0.25">
      <c r="A12" s="1"/>
      <c r="B12" s="1"/>
      <c r="C12" s="1"/>
      <c r="D12" s="1"/>
      <c r="E12" s="1"/>
      <c r="F12" s="1"/>
      <c r="G12" s="1"/>
      <c r="H12" s="1"/>
      <c r="I12" s="30"/>
      <c r="J12" s="30"/>
      <c r="K12" s="30"/>
      <c r="L12" s="30"/>
      <c r="M12" s="30"/>
      <c r="N12" s="30"/>
      <c r="O12" s="1"/>
      <c r="P12" s="58"/>
      <c r="Q12" s="1"/>
      <c r="R12" s="59"/>
      <c r="S12" s="33"/>
      <c r="T12" s="33"/>
      <c r="U12" s="1"/>
      <c r="V12" s="1"/>
    </row>
    <row r="13" spans="1:22" x14ac:dyDescent="0.25">
      <c r="A13" s="57"/>
      <c r="B13" s="57"/>
      <c r="C13" s="57"/>
      <c r="D13" s="57"/>
      <c r="E13" s="57"/>
      <c r="F13" s="57"/>
      <c r="G13" s="28"/>
      <c r="H13" s="28"/>
    </row>
    <row r="14" spans="1:22" x14ac:dyDescent="0.25">
      <c r="A14" s="1"/>
      <c r="B14" s="1"/>
      <c r="C14" s="1"/>
      <c r="D14" s="1"/>
      <c r="E14" s="1"/>
      <c r="F14" s="1"/>
      <c r="G14" s="28"/>
      <c r="H14" s="28"/>
    </row>
    <row r="15" spans="1:22" x14ac:dyDescent="0.25">
      <c r="A15" s="1"/>
      <c r="B15" s="1"/>
      <c r="C15" s="1"/>
      <c r="D15" s="1"/>
      <c r="E15" s="1"/>
      <c r="F15" s="1"/>
      <c r="G15" s="28"/>
      <c r="H15" s="28"/>
    </row>
    <row r="16" spans="1:22" x14ac:dyDescent="0.25">
      <c r="A16" s="1"/>
      <c r="B16" s="1"/>
      <c r="C16" s="1"/>
      <c r="D16" s="1"/>
      <c r="E16" s="1"/>
      <c r="F16" s="1"/>
      <c r="G16" s="28"/>
      <c r="H16" s="28"/>
    </row>
    <row r="17" spans="1:8" x14ac:dyDescent="0.25">
      <c r="A17" s="1"/>
      <c r="B17" s="1"/>
      <c r="C17" s="1"/>
      <c r="D17" s="1"/>
      <c r="E17" s="1"/>
      <c r="F17" s="1"/>
      <c r="G17" s="28"/>
      <c r="H17" s="28"/>
    </row>
    <row r="18" spans="1:8" x14ac:dyDescent="0.25">
      <c r="A18" s="1"/>
      <c r="B18" s="1"/>
      <c r="C18" s="1"/>
      <c r="D18" s="1"/>
      <c r="E18" s="1"/>
      <c r="F18" s="1"/>
      <c r="G18" s="28"/>
      <c r="H18" s="28"/>
    </row>
    <row r="19" spans="1:8" x14ac:dyDescent="0.25">
      <c r="A19" s="1"/>
      <c r="B19" s="1"/>
      <c r="C19" s="1"/>
      <c r="D19" s="1"/>
      <c r="E19" s="1"/>
      <c r="F19" s="1"/>
      <c r="G19" s="28"/>
      <c r="H19" s="28"/>
    </row>
    <row r="20" spans="1:8" x14ac:dyDescent="0.25">
      <c r="A20" s="1"/>
      <c r="B20" s="1"/>
      <c r="C20" s="1"/>
      <c r="D20" s="1"/>
      <c r="E20" s="1"/>
      <c r="F20" s="1"/>
      <c r="G20" s="28"/>
      <c r="H20" s="28"/>
    </row>
    <row r="21" spans="1:8" x14ac:dyDescent="0.25">
      <c r="A21" s="1"/>
      <c r="B21" s="1"/>
      <c r="C21" s="1"/>
      <c r="D21" s="1"/>
      <c r="E21" s="1"/>
      <c r="F21" s="1"/>
      <c r="G21" s="28"/>
      <c r="H21" s="28"/>
    </row>
    <row r="22" spans="1:8" x14ac:dyDescent="0.25">
      <c r="A22" s="1"/>
      <c r="B22" s="1"/>
      <c r="C22" s="1"/>
      <c r="D22" s="1"/>
      <c r="E22" s="1"/>
      <c r="F22" s="1"/>
      <c r="G22" s="28"/>
      <c r="H22" s="28"/>
    </row>
    <row r="23" spans="1:8" x14ac:dyDescent="0.25">
      <c r="A23" s="1"/>
      <c r="B23" s="1"/>
      <c r="C23" s="1"/>
      <c r="D23" s="1"/>
      <c r="E23" s="1"/>
      <c r="F23" s="1"/>
      <c r="G23" s="28"/>
      <c r="H23" s="28"/>
    </row>
    <row r="24" spans="1:8" x14ac:dyDescent="0.25">
      <c r="A24" s="1"/>
      <c r="B24" s="1"/>
      <c r="C24" s="1"/>
      <c r="D24" s="1"/>
      <c r="E24" s="1"/>
      <c r="F24" s="1"/>
      <c r="G24" s="28"/>
      <c r="H24" s="28"/>
    </row>
    <row r="25" spans="1:8" x14ac:dyDescent="0.25">
      <c r="A25" s="1"/>
      <c r="B25" s="1"/>
      <c r="C25" s="1"/>
      <c r="D25" s="1"/>
      <c r="E25" s="1"/>
      <c r="F25" s="1"/>
      <c r="G25" s="28"/>
      <c r="H25" s="28"/>
    </row>
    <row r="26" spans="1:8" x14ac:dyDescent="0.25">
      <c r="A26" s="1"/>
      <c r="B26" s="1"/>
      <c r="C26" s="1"/>
      <c r="D26" s="1"/>
      <c r="E26" s="1"/>
      <c r="F26" s="1"/>
      <c r="G26" s="28"/>
      <c r="H26" s="28"/>
    </row>
    <row r="27" spans="1:8" x14ac:dyDescent="0.25">
      <c r="A27" s="1"/>
      <c r="B27" s="1"/>
      <c r="C27" s="1"/>
      <c r="D27" s="1"/>
      <c r="E27" s="1"/>
      <c r="F27" s="1"/>
      <c r="G27" s="28"/>
      <c r="H27" s="28"/>
    </row>
    <row r="28" spans="1:8" x14ac:dyDescent="0.25">
      <c r="A28" s="1"/>
      <c r="B28" s="1"/>
      <c r="C28" s="1"/>
      <c r="D28" s="1"/>
      <c r="E28" s="1"/>
      <c r="F28" s="1"/>
      <c r="G28" s="28"/>
      <c r="H28" s="28"/>
    </row>
    <row r="29" spans="1:8" x14ac:dyDescent="0.25">
      <c r="A29" s="1"/>
      <c r="B29" s="1"/>
      <c r="C29" s="1"/>
      <c r="D29" s="1"/>
      <c r="E29" s="1"/>
      <c r="F29" s="1"/>
      <c r="G29" s="28"/>
      <c r="H29" s="28"/>
    </row>
    <row r="30" spans="1:8" x14ac:dyDescent="0.25">
      <c r="A30" s="1"/>
      <c r="B30" s="1"/>
      <c r="C30" s="1"/>
      <c r="D30" s="1"/>
      <c r="E30" s="1"/>
      <c r="F30" s="1"/>
      <c r="G30" s="28"/>
      <c r="H30" s="28"/>
    </row>
    <row r="31" spans="1:8" x14ac:dyDescent="0.25">
      <c r="A31" s="1"/>
      <c r="B31" s="1"/>
      <c r="C31" s="1"/>
      <c r="D31" s="1"/>
      <c r="E31" s="1"/>
      <c r="F31" s="1"/>
      <c r="G31" s="28"/>
      <c r="H31" s="28"/>
    </row>
    <row r="32" spans="1:8" x14ac:dyDescent="0.25">
      <c r="A32" s="1"/>
      <c r="B32" s="1"/>
      <c r="C32" s="1"/>
      <c r="D32" s="1"/>
      <c r="E32" s="1"/>
      <c r="F32" s="1"/>
      <c r="G32" s="28"/>
      <c r="H32" s="28"/>
    </row>
    <row r="33" spans="1:8" x14ac:dyDescent="0.25">
      <c r="A33" s="1"/>
      <c r="B33" s="1"/>
      <c r="C33" s="1"/>
      <c r="D33" s="1"/>
      <c r="E33" s="1"/>
      <c r="F33" s="1"/>
      <c r="G33" s="28"/>
      <c r="H33" s="28"/>
    </row>
  </sheetData>
  <autoFilter ref="A1:U6"/>
  <sortState ref="A2:R96">
    <sortCondition ref="A13"/>
  </sortState>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18"/>
  <sheetViews>
    <sheetView topLeftCell="A28" zoomScale="80" zoomScaleNormal="80" workbookViewId="0">
      <pane xSplit="1" topLeftCell="B1" activePane="topRight" state="frozen"/>
      <selection activeCell="A2" sqref="A2"/>
      <selection pane="topRight" activeCell="A40" sqref="A30:A40"/>
    </sheetView>
  </sheetViews>
  <sheetFormatPr defaultRowHeight="15" x14ac:dyDescent="0.25"/>
  <cols>
    <col min="1" max="1" width="53" bestFit="1" customWidth="1"/>
    <col min="2" max="2" width="22.140625" customWidth="1"/>
    <col min="3" max="3" width="26.28515625" customWidth="1"/>
    <col min="4" max="4" width="23.42578125" customWidth="1"/>
    <col min="5" max="5" width="32.42578125" customWidth="1"/>
    <col min="6" max="6" width="23.7109375" customWidth="1"/>
    <col min="7" max="7" width="20.42578125" customWidth="1"/>
    <col min="8" max="8" width="22.85546875" hidden="1" customWidth="1"/>
    <col min="9" max="9" width="28.140625" hidden="1" customWidth="1"/>
    <col min="10" max="15" width="28.140625" customWidth="1"/>
    <col min="16" max="16" width="28.140625" style="54" customWidth="1"/>
    <col min="17" max="18" width="28.7109375" style="15" customWidth="1"/>
    <col min="19" max="19" width="9.140625" customWidth="1"/>
  </cols>
  <sheetData>
    <row r="1" spans="1:19" ht="54.95" hidden="1" customHeight="1" x14ac:dyDescent="0.25">
      <c r="A1" s="63" t="s">
        <v>6</v>
      </c>
      <c r="B1" s="64"/>
      <c r="C1" s="64"/>
      <c r="D1" s="64"/>
      <c r="E1" s="64"/>
      <c r="F1" s="64"/>
      <c r="G1" s="64"/>
      <c r="H1" s="64"/>
      <c r="I1" s="64"/>
      <c r="J1" s="64"/>
      <c r="K1" s="64"/>
      <c r="L1" s="64"/>
      <c r="M1" s="64"/>
      <c r="N1" s="64"/>
      <c r="O1" s="64"/>
      <c r="P1" s="64"/>
      <c r="Q1" s="64"/>
      <c r="R1" s="16"/>
    </row>
    <row r="2" spans="1:19" ht="68.25" customHeight="1" x14ac:dyDescent="0.25">
      <c r="A2" s="2" t="s">
        <v>0</v>
      </c>
      <c r="B2" s="3" t="s">
        <v>1</v>
      </c>
      <c r="C2" s="3" t="s">
        <v>2</v>
      </c>
      <c r="D2" s="3" t="s">
        <v>3</v>
      </c>
      <c r="E2" s="3" t="s">
        <v>4</v>
      </c>
      <c r="F2" s="3" t="s">
        <v>5</v>
      </c>
      <c r="G2" s="3" t="s">
        <v>174</v>
      </c>
      <c r="H2" s="23" t="s">
        <v>52</v>
      </c>
      <c r="I2" s="23" t="s">
        <v>78</v>
      </c>
      <c r="J2" s="23" t="s">
        <v>109</v>
      </c>
      <c r="K2" s="23" t="s">
        <v>68</v>
      </c>
      <c r="L2" s="23" t="s">
        <v>69</v>
      </c>
      <c r="M2" s="18" t="s">
        <v>64</v>
      </c>
      <c r="N2" s="44" t="s">
        <v>123</v>
      </c>
      <c r="O2" s="18" t="s">
        <v>155</v>
      </c>
      <c r="P2" s="23" t="s">
        <v>122</v>
      </c>
      <c r="Q2" s="18" t="s">
        <v>156</v>
      </c>
      <c r="R2" s="18" t="s">
        <v>66</v>
      </c>
    </row>
    <row r="3" spans="1:19" ht="68.25" customHeight="1" x14ac:dyDescent="0.25">
      <c r="A3" s="8" t="s">
        <v>36</v>
      </c>
      <c r="B3" s="4" t="s">
        <v>88</v>
      </c>
      <c r="C3" s="4" t="s">
        <v>89</v>
      </c>
      <c r="D3" s="4" t="s">
        <v>86</v>
      </c>
      <c r="E3" s="4" t="s">
        <v>87</v>
      </c>
      <c r="F3" s="4" t="s">
        <v>20</v>
      </c>
      <c r="G3" s="43" t="s">
        <v>83</v>
      </c>
      <c r="H3" s="12" t="s">
        <v>51</v>
      </c>
      <c r="I3" s="24" t="s">
        <v>51</v>
      </c>
      <c r="J3" s="1" t="s">
        <v>83</v>
      </c>
      <c r="K3" s="1" t="s">
        <v>83</v>
      </c>
      <c r="L3" s="1" t="s">
        <v>83</v>
      </c>
      <c r="M3" s="12" t="s">
        <v>115</v>
      </c>
      <c r="N3" s="45">
        <v>45626</v>
      </c>
      <c r="O3" s="50">
        <f>N3-S3</f>
        <v>45446</v>
      </c>
      <c r="P3" s="52">
        <v>45688</v>
      </c>
      <c r="Q3" s="17">
        <f t="shared" ref="Q3:Q12" si="0">P3-S3</f>
        <v>45508</v>
      </c>
      <c r="R3" s="4"/>
      <c r="S3">
        <v>180</v>
      </c>
    </row>
    <row r="4" spans="1:19" ht="138" customHeight="1" x14ac:dyDescent="0.25">
      <c r="A4" s="4" t="s">
        <v>147</v>
      </c>
      <c r="B4" s="4" t="s">
        <v>19</v>
      </c>
      <c r="C4" s="4" t="s">
        <v>21</v>
      </c>
      <c r="D4" s="4" t="s">
        <v>63</v>
      </c>
      <c r="E4" s="4" t="s">
        <v>23</v>
      </c>
      <c r="F4" s="4" t="s">
        <v>20</v>
      </c>
      <c r="G4" s="43" t="s">
        <v>154</v>
      </c>
      <c r="H4" s="1"/>
      <c r="I4" s="27" t="s">
        <v>82</v>
      </c>
      <c r="J4" s="1" t="s">
        <v>83</v>
      </c>
      <c r="K4" s="1" t="s">
        <v>83</v>
      </c>
      <c r="L4" s="1" t="s">
        <v>83</v>
      </c>
      <c r="M4" s="1" t="s">
        <v>116</v>
      </c>
      <c r="N4" s="45">
        <v>45626</v>
      </c>
      <c r="O4" s="50">
        <f t="shared" ref="O4:O10" si="1">N4-S4</f>
        <v>45596</v>
      </c>
      <c r="P4" s="52">
        <v>45688</v>
      </c>
      <c r="Q4" s="17">
        <f t="shared" si="0"/>
        <v>45658</v>
      </c>
      <c r="R4" s="17"/>
      <c r="S4">
        <v>30</v>
      </c>
    </row>
    <row r="5" spans="1:19" ht="138" customHeight="1" x14ac:dyDescent="0.25">
      <c r="A5" s="4" t="s">
        <v>146</v>
      </c>
      <c r="B5" s="4" t="s">
        <v>19</v>
      </c>
      <c r="C5" s="4" t="s">
        <v>144</v>
      </c>
      <c r="D5" s="4" t="s">
        <v>145</v>
      </c>
      <c r="E5" s="4" t="s">
        <v>23</v>
      </c>
      <c r="F5" s="4" t="s">
        <v>20</v>
      </c>
      <c r="G5" s="43" t="s">
        <v>83</v>
      </c>
      <c r="H5" s="1"/>
      <c r="I5" s="27"/>
      <c r="J5" s="1" t="s">
        <v>83</v>
      </c>
      <c r="K5" s="1" t="s">
        <v>83</v>
      </c>
      <c r="L5" s="1" t="s">
        <v>83</v>
      </c>
      <c r="M5" s="26" t="s">
        <v>117</v>
      </c>
      <c r="N5" s="45">
        <v>45626</v>
      </c>
      <c r="O5" s="50">
        <f t="shared" si="1"/>
        <v>45596</v>
      </c>
      <c r="P5" s="52">
        <v>45688</v>
      </c>
      <c r="Q5" s="17">
        <f t="shared" si="0"/>
        <v>45658</v>
      </c>
      <c r="R5" s="17"/>
      <c r="S5">
        <v>30</v>
      </c>
    </row>
    <row r="6" spans="1:19" ht="90.75" customHeight="1" x14ac:dyDescent="0.25">
      <c r="A6" s="4" t="s">
        <v>8</v>
      </c>
      <c r="B6" s="4" t="s">
        <v>33</v>
      </c>
      <c r="C6" s="4" t="s">
        <v>34</v>
      </c>
      <c r="D6" s="9" t="s">
        <v>35</v>
      </c>
      <c r="E6" s="4" t="s">
        <v>61</v>
      </c>
      <c r="F6" s="4" t="s">
        <v>62</v>
      </c>
      <c r="G6" s="43" t="s">
        <v>83</v>
      </c>
      <c r="H6" s="1" t="s">
        <v>83</v>
      </c>
      <c r="I6" s="1" t="s">
        <v>83</v>
      </c>
      <c r="J6" s="1"/>
      <c r="K6" s="1" t="s">
        <v>83</v>
      </c>
      <c r="L6" s="1" t="s">
        <v>83</v>
      </c>
      <c r="M6" s="26" t="s">
        <v>117</v>
      </c>
      <c r="N6" s="45">
        <v>45626</v>
      </c>
      <c r="O6" s="50">
        <f t="shared" si="1"/>
        <v>45536</v>
      </c>
      <c r="P6" s="52">
        <v>45688</v>
      </c>
      <c r="Q6" s="17">
        <f t="shared" si="0"/>
        <v>45598</v>
      </c>
      <c r="R6" s="17" t="s">
        <v>65</v>
      </c>
      <c r="S6">
        <v>90</v>
      </c>
    </row>
    <row r="7" spans="1:19" ht="68.25" customHeight="1" x14ac:dyDescent="0.25">
      <c r="A7" s="8" t="s">
        <v>9</v>
      </c>
      <c r="B7" s="8" t="s">
        <v>41</v>
      </c>
      <c r="C7" s="8" t="s">
        <v>43</v>
      </c>
      <c r="D7" s="8" t="s">
        <v>42</v>
      </c>
      <c r="E7" s="8" t="s">
        <v>44</v>
      </c>
      <c r="F7" s="8" t="s">
        <v>20</v>
      </c>
      <c r="G7" s="43" t="s">
        <v>83</v>
      </c>
      <c r="H7" s="1" t="s">
        <v>83</v>
      </c>
      <c r="I7" s="1" t="s">
        <v>83</v>
      </c>
      <c r="J7" s="1" t="s">
        <v>83</v>
      </c>
      <c r="K7" s="1" t="s">
        <v>83</v>
      </c>
      <c r="L7" s="1" t="s">
        <v>83</v>
      </c>
      <c r="M7" s="37" t="s">
        <v>115</v>
      </c>
      <c r="N7" s="45">
        <v>45626</v>
      </c>
      <c r="O7" s="50">
        <f t="shared" si="1"/>
        <v>45596</v>
      </c>
      <c r="P7" s="52">
        <v>45688</v>
      </c>
      <c r="Q7" s="17">
        <f t="shared" si="0"/>
        <v>45658</v>
      </c>
      <c r="R7" s="4"/>
      <c r="S7">
        <v>30</v>
      </c>
    </row>
    <row r="8" spans="1:19" ht="137.25" customHeight="1" x14ac:dyDescent="0.25">
      <c r="A8" s="8" t="s">
        <v>124</v>
      </c>
      <c r="B8" s="8" t="s">
        <v>125</v>
      </c>
      <c r="C8" s="8" t="s">
        <v>20</v>
      </c>
      <c r="D8" s="11">
        <v>48075</v>
      </c>
      <c r="E8" s="8" t="s">
        <v>126</v>
      </c>
      <c r="F8" s="8" t="s">
        <v>127</v>
      </c>
      <c r="G8" s="43" t="s">
        <v>83</v>
      </c>
      <c r="H8" s="1"/>
      <c r="I8" s="28"/>
      <c r="J8" s="1" t="s">
        <v>83</v>
      </c>
      <c r="K8" s="1" t="s">
        <v>83</v>
      </c>
      <c r="L8" s="1" t="s">
        <v>83</v>
      </c>
      <c r="M8" s="37" t="s">
        <v>117</v>
      </c>
      <c r="N8" s="45">
        <v>45626</v>
      </c>
      <c r="O8" s="50">
        <f t="shared" si="1"/>
        <v>45596</v>
      </c>
      <c r="P8" s="52">
        <v>45688</v>
      </c>
      <c r="Q8" s="17">
        <f t="shared" si="0"/>
        <v>45658</v>
      </c>
      <c r="R8" s="4"/>
      <c r="S8">
        <v>30</v>
      </c>
    </row>
    <row r="9" spans="1:19" ht="68.25" customHeight="1" x14ac:dyDescent="0.25">
      <c r="A9" s="8" t="s">
        <v>128</v>
      </c>
      <c r="B9" s="8" t="s">
        <v>104</v>
      </c>
      <c r="C9" s="8" t="s">
        <v>129</v>
      </c>
      <c r="D9" s="11" t="s">
        <v>130</v>
      </c>
      <c r="E9" s="8" t="s">
        <v>131</v>
      </c>
      <c r="F9" s="8" t="s">
        <v>20</v>
      </c>
      <c r="G9" s="43" t="s">
        <v>83</v>
      </c>
      <c r="H9" s="1"/>
      <c r="I9" s="28"/>
      <c r="J9" s="1" t="s">
        <v>83</v>
      </c>
      <c r="K9" s="1" t="s">
        <v>83</v>
      </c>
      <c r="L9" s="1" t="s">
        <v>83</v>
      </c>
      <c r="M9" s="37" t="s">
        <v>117</v>
      </c>
      <c r="N9" s="45">
        <v>45626</v>
      </c>
      <c r="O9" s="50">
        <f t="shared" si="1"/>
        <v>45536</v>
      </c>
      <c r="P9" s="52">
        <v>45688</v>
      </c>
      <c r="Q9" s="17">
        <f t="shared" si="0"/>
        <v>45598</v>
      </c>
      <c r="R9" s="4"/>
      <c r="S9">
        <v>90</v>
      </c>
    </row>
    <row r="10" spans="1:19" ht="68.25" customHeight="1" x14ac:dyDescent="0.25">
      <c r="A10" s="8" t="s">
        <v>132</v>
      </c>
      <c r="B10" s="8" t="s">
        <v>133</v>
      </c>
      <c r="C10" s="8" t="s">
        <v>134</v>
      </c>
      <c r="D10" s="11" t="s">
        <v>135</v>
      </c>
      <c r="E10" s="8" t="s">
        <v>136</v>
      </c>
      <c r="F10" s="8" t="s">
        <v>20</v>
      </c>
      <c r="G10" s="43" t="s">
        <v>83</v>
      </c>
      <c r="H10" s="1"/>
      <c r="I10" s="28"/>
      <c r="J10" s="1" t="s">
        <v>83</v>
      </c>
      <c r="K10" s="1" t="s">
        <v>83</v>
      </c>
      <c r="L10" s="1" t="s">
        <v>83</v>
      </c>
      <c r="M10" s="37" t="s">
        <v>114</v>
      </c>
      <c r="N10" s="45">
        <v>45626</v>
      </c>
      <c r="O10" s="50">
        <f t="shared" si="1"/>
        <v>45536</v>
      </c>
      <c r="P10" s="52">
        <v>45688</v>
      </c>
      <c r="Q10" s="17">
        <f t="shared" si="0"/>
        <v>45598</v>
      </c>
      <c r="R10" s="4"/>
      <c r="S10">
        <v>90</v>
      </c>
    </row>
    <row r="11" spans="1:19" ht="68.25" customHeight="1" x14ac:dyDescent="0.25">
      <c r="A11" s="8" t="s">
        <v>137</v>
      </c>
      <c r="B11" s="8" t="s">
        <v>45</v>
      </c>
      <c r="C11" s="8" t="s">
        <v>47</v>
      </c>
      <c r="D11" s="11" t="s">
        <v>138</v>
      </c>
      <c r="E11" s="8" t="s">
        <v>46</v>
      </c>
      <c r="F11" s="8" t="s">
        <v>20</v>
      </c>
      <c r="G11" s="43" t="s">
        <v>83</v>
      </c>
      <c r="H11" s="1"/>
      <c r="I11" s="28"/>
      <c r="J11" s="1" t="s">
        <v>83</v>
      </c>
      <c r="K11" s="1" t="s">
        <v>83</v>
      </c>
      <c r="L11" s="1" t="s">
        <v>83</v>
      </c>
      <c r="M11" s="37" t="s">
        <v>117</v>
      </c>
      <c r="N11" s="45">
        <v>45626</v>
      </c>
      <c r="O11" s="50">
        <f>N11-S11</f>
        <v>45596</v>
      </c>
      <c r="P11" s="52">
        <v>45688</v>
      </c>
      <c r="Q11" s="17">
        <f t="shared" si="0"/>
        <v>45658</v>
      </c>
      <c r="R11" s="4"/>
      <c r="S11">
        <v>30</v>
      </c>
    </row>
    <row r="12" spans="1:19" ht="68.25" customHeight="1" x14ac:dyDescent="0.25">
      <c r="A12" s="8" t="s">
        <v>10</v>
      </c>
      <c r="B12" s="8" t="s">
        <v>45</v>
      </c>
      <c r="C12" s="8" t="s">
        <v>47</v>
      </c>
      <c r="D12" s="11">
        <v>45657</v>
      </c>
      <c r="E12" s="8" t="s">
        <v>46</v>
      </c>
      <c r="F12" s="8" t="s">
        <v>20</v>
      </c>
      <c r="G12" s="43" t="s">
        <v>83</v>
      </c>
      <c r="H12" s="12" t="s">
        <v>53</v>
      </c>
      <c r="I12" s="22" t="s">
        <v>79</v>
      </c>
      <c r="J12" s="1" t="s">
        <v>83</v>
      </c>
      <c r="K12" s="1" t="s">
        <v>83</v>
      </c>
      <c r="L12" s="1" t="s">
        <v>83</v>
      </c>
      <c r="M12" s="38" t="s">
        <v>115</v>
      </c>
      <c r="N12" s="45">
        <v>45626</v>
      </c>
      <c r="O12" s="50">
        <f>N12-S12</f>
        <v>45596</v>
      </c>
      <c r="P12" s="52">
        <v>45688</v>
      </c>
      <c r="Q12" s="17">
        <f t="shared" si="0"/>
        <v>45658</v>
      </c>
      <c r="R12" s="4"/>
      <c r="S12">
        <v>30</v>
      </c>
    </row>
    <row r="13" spans="1:19" ht="78.75" customHeight="1" x14ac:dyDescent="0.25">
      <c r="A13" s="4" t="s">
        <v>11</v>
      </c>
      <c r="B13" s="4" t="s">
        <v>25</v>
      </c>
      <c r="C13" s="4" t="s">
        <v>27</v>
      </c>
      <c r="D13" s="4" t="s">
        <v>26</v>
      </c>
      <c r="E13" s="4" t="s">
        <v>24</v>
      </c>
      <c r="F13" s="4" t="s">
        <v>22</v>
      </c>
      <c r="G13" s="43" t="s">
        <v>83</v>
      </c>
      <c r="H13" s="1" t="s">
        <v>83</v>
      </c>
      <c r="I13" s="1" t="s">
        <v>83</v>
      </c>
      <c r="J13" s="1" t="s">
        <v>83</v>
      </c>
      <c r="K13" s="1" t="s">
        <v>83</v>
      </c>
      <c r="L13" s="1" t="s">
        <v>83</v>
      </c>
      <c r="M13" s="1" t="s">
        <v>114</v>
      </c>
      <c r="N13" s="45">
        <v>45626</v>
      </c>
      <c r="O13" s="50" t="s">
        <v>171</v>
      </c>
      <c r="P13" s="52">
        <v>45688</v>
      </c>
      <c r="Q13" s="17"/>
      <c r="R13" s="4" t="s">
        <v>119</v>
      </c>
    </row>
    <row r="14" spans="1:19" ht="68.25" customHeight="1" x14ac:dyDescent="0.25">
      <c r="A14" s="8" t="s">
        <v>12</v>
      </c>
      <c r="B14" s="8" t="s">
        <v>45</v>
      </c>
      <c r="C14" s="8" t="s">
        <v>47</v>
      </c>
      <c r="D14" s="11">
        <v>45657</v>
      </c>
      <c r="E14" s="8" t="s">
        <v>48</v>
      </c>
      <c r="F14" s="8" t="s">
        <v>20</v>
      </c>
      <c r="G14" s="43" t="s">
        <v>83</v>
      </c>
      <c r="H14" s="1" t="s">
        <v>83</v>
      </c>
      <c r="I14" s="1" t="s">
        <v>83</v>
      </c>
      <c r="J14" s="1" t="s">
        <v>83</v>
      </c>
      <c r="K14" s="1" t="s">
        <v>83</v>
      </c>
      <c r="L14" s="1" t="s">
        <v>83</v>
      </c>
      <c r="M14" s="26" t="s">
        <v>115</v>
      </c>
      <c r="N14" s="45">
        <v>45626</v>
      </c>
      <c r="O14" s="50">
        <f>N14-S14</f>
        <v>45596</v>
      </c>
      <c r="P14" s="52">
        <v>45688</v>
      </c>
      <c r="Q14" s="17">
        <f>P14-S14</f>
        <v>45658</v>
      </c>
      <c r="R14" s="4"/>
      <c r="S14">
        <v>30</v>
      </c>
    </row>
    <row r="15" spans="1:19" ht="76.5" hidden="1" customHeight="1" x14ac:dyDescent="0.25">
      <c r="A15" s="8" t="s">
        <v>37</v>
      </c>
      <c r="B15" s="4" t="s">
        <v>92</v>
      </c>
      <c r="C15" s="4" t="s">
        <v>91</v>
      </c>
      <c r="D15" s="4" t="s">
        <v>90</v>
      </c>
      <c r="E15" s="4" t="s">
        <v>93</v>
      </c>
      <c r="F15" s="4" t="s">
        <v>20</v>
      </c>
      <c r="G15" s="43"/>
      <c r="H15" s="12" t="s">
        <v>54</v>
      </c>
      <c r="I15" s="24" t="s">
        <v>54</v>
      </c>
      <c r="J15" s="1" t="s">
        <v>83</v>
      </c>
      <c r="K15" s="1" t="s">
        <v>70</v>
      </c>
      <c r="L15" s="1" t="s">
        <v>70</v>
      </c>
      <c r="M15" s="39" t="s">
        <v>114</v>
      </c>
      <c r="N15" s="45">
        <v>45627</v>
      </c>
      <c r="O15" s="50" t="s">
        <v>171</v>
      </c>
      <c r="P15" s="17">
        <v>45688</v>
      </c>
      <c r="Q15" s="17"/>
      <c r="R15" s="4" t="s">
        <v>120</v>
      </c>
    </row>
    <row r="16" spans="1:19" ht="68.25" customHeight="1" x14ac:dyDescent="0.25">
      <c r="A16" s="4" t="s">
        <v>13</v>
      </c>
      <c r="B16" s="4" t="s">
        <v>97</v>
      </c>
      <c r="C16" s="4" t="s">
        <v>96</v>
      </c>
      <c r="D16" s="8" t="s">
        <v>94</v>
      </c>
      <c r="E16" s="8" t="s">
        <v>95</v>
      </c>
      <c r="F16" s="4" t="s">
        <v>20</v>
      </c>
      <c r="G16" s="43" t="s">
        <v>83</v>
      </c>
      <c r="H16" s="12" t="s">
        <v>51</v>
      </c>
      <c r="I16" s="24" t="s">
        <v>51</v>
      </c>
      <c r="J16" s="1" t="s">
        <v>83</v>
      </c>
      <c r="K16" s="1" t="s">
        <v>83</v>
      </c>
      <c r="L16" s="1" t="s">
        <v>83</v>
      </c>
      <c r="M16" s="38" t="s">
        <v>115</v>
      </c>
      <c r="N16" s="45">
        <v>45626</v>
      </c>
      <c r="O16" s="50">
        <f>N16-S16</f>
        <v>45596</v>
      </c>
      <c r="P16" s="52">
        <v>45688</v>
      </c>
      <c r="Q16" s="17">
        <f>P16-S16</f>
        <v>45658</v>
      </c>
      <c r="R16" s="4"/>
      <c r="S16">
        <v>30</v>
      </c>
    </row>
    <row r="17" spans="1:21" ht="68.25" customHeight="1" x14ac:dyDescent="0.25">
      <c r="A17" s="4" t="s">
        <v>38</v>
      </c>
      <c r="B17" s="4"/>
      <c r="C17" s="4"/>
      <c r="D17" s="4"/>
      <c r="E17" s="4"/>
      <c r="F17" s="4"/>
      <c r="G17" s="43" t="s">
        <v>40</v>
      </c>
      <c r="H17" s="12" t="s">
        <v>55</v>
      </c>
      <c r="I17" s="24" t="s">
        <v>55</v>
      </c>
      <c r="J17" s="24" t="s">
        <v>111</v>
      </c>
      <c r="K17" s="1" t="s">
        <v>80</v>
      </c>
      <c r="L17" s="1" t="s">
        <v>80</v>
      </c>
      <c r="M17" s="12"/>
      <c r="N17" s="45">
        <v>45626</v>
      </c>
      <c r="O17" s="50"/>
      <c r="P17" s="52">
        <v>45688</v>
      </c>
      <c r="Q17" s="17"/>
      <c r="R17" s="4"/>
    </row>
    <row r="18" spans="1:21" ht="68.25" customHeight="1" x14ac:dyDescent="0.25">
      <c r="A18" s="8" t="s">
        <v>101</v>
      </c>
      <c r="B18" s="8" t="s">
        <v>88</v>
      </c>
      <c r="C18" s="8" t="s">
        <v>100</v>
      </c>
      <c r="D18" s="8" t="s">
        <v>98</v>
      </c>
      <c r="E18" s="8" t="s">
        <v>99</v>
      </c>
      <c r="F18" s="4" t="s">
        <v>20</v>
      </c>
      <c r="G18" s="43" t="s">
        <v>83</v>
      </c>
      <c r="H18" s="12"/>
      <c r="I18" s="24"/>
      <c r="J18" s="1" t="s">
        <v>83</v>
      </c>
      <c r="K18" s="1" t="s">
        <v>83</v>
      </c>
      <c r="L18" s="1" t="s">
        <v>83</v>
      </c>
      <c r="M18" s="40" t="s">
        <v>114</v>
      </c>
      <c r="N18" s="45">
        <v>45626</v>
      </c>
      <c r="O18" s="50" t="s">
        <v>171</v>
      </c>
      <c r="P18" s="52">
        <v>45688</v>
      </c>
      <c r="Q18" s="17">
        <f t="shared" ref="Q18:Q24" si="2">P18-S18</f>
        <v>45658</v>
      </c>
      <c r="R18" s="4"/>
      <c r="S18">
        <v>30</v>
      </c>
    </row>
    <row r="19" spans="1:21" ht="150" x14ac:dyDescent="0.25">
      <c r="A19" s="8" t="s">
        <v>102</v>
      </c>
      <c r="B19" s="8" t="s">
        <v>88</v>
      </c>
      <c r="C19" s="8" t="s">
        <v>112</v>
      </c>
      <c r="D19" s="8" t="s">
        <v>98</v>
      </c>
      <c r="E19" s="8" t="s">
        <v>113</v>
      </c>
      <c r="F19" s="8" t="s">
        <v>20</v>
      </c>
      <c r="G19" s="43" t="s">
        <v>148</v>
      </c>
      <c r="H19" s="34" t="s">
        <v>56</v>
      </c>
      <c r="I19" s="35" t="s">
        <v>81</v>
      </c>
      <c r="J19" s="35" t="s">
        <v>121</v>
      </c>
      <c r="K19" s="1" t="s">
        <v>83</v>
      </c>
      <c r="L19" s="1" t="s">
        <v>83</v>
      </c>
      <c r="M19" s="36" t="s">
        <v>114</v>
      </c>
      <c r="N19" s="45">
        <v>45626</v>
      </c>
      <c r="O19" s="50" t="s">
        <v>171</v>
      </c>
      <c r="P19" s="52">
        <v>45688</v>
      </c>
      <c r="Q19" s="17">
        <f t="shared" si="2"/>
        <v>45658</v>
      </c>
      <c r="R19" s="4"/>
      <c r="S19">
        <v>30</v>
      </c>
    </row>
    <row r="20" spans="1:21" ht="68.25" customHeight="1" x14ac:dyDescent="0.25">
      <c r="A20" s="4" t="s">
        <v>14</v>
      </c>
      <c r="B20" s="4" t="s">
        <v>97</v>
      </c>
      <c r="C20" s="8" t="s">
        <v>103</v>
      </c>
      <c r="D20" s="11">
        <v>45657</v>
      </c>
      <c r="E20" s="8" t="s">
        <v>99</v>
      </c>
      <c r="F20" s="4" t="s">
        <v>20</v>
      </c>
      <c r="G20" s="43" t="s">
        <v>83</v>
      </c>
      <c r="H20" s="12" t="s">
        <v>51</v>
      </c>
      <c r="I20" s="24" t="s">
        <v>51</v>
      </c>
      <c r="J20" s="1" t="s">
        <v>83</v>
      </c>
      <c r="K20" s="1" t="s">
        <v>83</v>
      </c>
      <c r="L20" s="1" t="s">
        <v>83</v>
      </c>
      <c r="M20" s="12" t="s">
        <v>117</v>
      </c>
      <c r="N20" s="45">
        <v>45626</v>
      </c>
      <c r="O20" s="50">
        <f>N20-S20</f>
        <v>45596</v>
      </c>
      <c r="P20" s="52">
        <v>45688</v>
      </c>
      <c r="Q20" s="17">
        <f t="shared" si="2"/>
        <v>45658</v>
      </c>
      <c r="R20" s="4"/>
      <c r="S20">
        <v>30</v>
      </c>
    </row>
    <row r="21" spans="1:21" ht="68.25" customHeight="1" x14ac:dyDescent="0.25">
      <c r="A21" s="8" t="s">
        <v>15</v>
      </c>
      <c r="B21" s="8" t="s">
        <v>45</v>
      </c>
      <c r="C21" s="8" t="s">
        <v>49</v>
      </c>
      <c r="D21" s="11">
        <v>45657</v>
      </c>
      <c r="E21" s="8" t="s">
        <v>95</v>
      </c>
      <c r="F21" s="8" t="s">
        <v>20</v>
      </c>
      <c r="G21" s="43" t="s">
        <v>83</v>
      </c>
      <c r="H21" s="1" t="s">
        <v>83</v>
      </c>
      <c r="I21" s="25" t="s">
        <v>83</v>
      </c>
      <c r="J21" s="1" t="s">
        <v>83</v>
      </c>
      <c r="K21" s="1" t="s">
        <v>83</v>
      </c>
      <c r="L21" s="1" t="s">
        <v>83</v>
      </c>
      <c r="M21" s="26" t="s">
        <v>115</v>
      </c>
      <c r="N21" s="45">
        <v>45626</v>
      </c>
      <c r="O21" s="50">
        <f>N21-S21</f>
        <v>45596</v>
      </c>
      <c r="P21" s="52">
        <v>45688</v>
      </c>
      <c r="Q21" s="17">
        <f t="shared" si="2"/>
        <v>45658</v>
      </c>
      <c r="R21" s="4"/>
      <c r="S21">
        <v>30</v>
      </c>
    </row>
    <row r="22" spans="1:21" ht="68.25" customHeight="1" x14ac:dyDescent="0.25">
      <c r="A22" s="4" t="s">
        <v>16</v>
      </c>
      <c r="B22" s="4" t="s">
        <v>104</v>
      </c>
      <c r="C22" s="8" t="s">
        <v>105</v>
      </c>
      <c r="D22" s="17">
        <v>45736</v>
      </c>
      <c r="E22" s="8" t="s">
        <v>95</v>
      </c>
      <c r="F22" s="8" t="s">
        <v>20</v>
      </c>
      <c r="G22" s="43" t="s">
        <v>83</v>
      </c>
      <c r="H22" s="12" t="s">
        <v>51</v>
      </c>
      <c r="I22" s="24" t="s">
        <v>51</v>
      </c>
      <c r="J22" s="1" t="s">
        <v>83</v>
      </c>
      <c r="K22" s="1" t="s">
        <v>83</v>
      </c>
      <c r="L22" s="1" t="s">
        <v>83</v>
      </c>
      <c r="M22" s="38" t="s">
        <v>115</v>
      </c>
      <c r="N22" s="45">
        <v>45626</v>
      </c>
      <c r="O22" s="50">
        <f>N22-S22</f>
        <v>45596</v>
      </c>
      <c r="P22" s="52">
        <v>45688</v>
      </c>
      <c r="Q22" s="17">
        <f t="shared" si="2"/>
        <v>45658</v>
      </c>
      <c r="R22" s="4"/>
      <c r="S22">
        <v>30</v>
      </c>
    </row>
    <row r="23" spans="1:21" ht="68.25" customHeight="1" x14ac:dyDescent="0.25">
      <c r="A23" s="8" t="s">
        <v>17</v>
      </c>
      <c r="B23" s="8" t="s">
        <v>45</v>
      </c>
      <c r="C23" s="8" t="s">
        <v>49</v>
      </c>
      <c r="D23" s="11">
        <v>45657</v>
      </c>
      <c r="E23" s="8" t="s">
        <v>95</v>
      </c>
      <c r="F23" s="8" t="s">
        <v>20</v>
      </c>
      <c r="G23" s="43" t="s">
        <v>83</v>
      </c>
      <c r="H23" s="1" t="s">
        <v>83</v>
      </c>
      <c r="I23" s="1" t="s">
        <v>83</v>
      </c>
      <c r="J23" s="1" t="s">
        <v>83</v>
      </c>
      <c r="K23" s="1" t="s">
        <v>83</v>
      </c>
      <c r="L23" s="1" t="s">
        <v>83</v>
      </c>
      <c r="M23" s="26" t="s">
        <v>115</v>
      </c>
      <c r="N23" s="45">
        <v>45626</v>
      </c>
      <c r="O23" s="50">
        <f>N23-S23</f>
        <v>45596</v>
      </c>
      <c r="P23" s="52">
        <v>45688</v>
      </c>
      <c r="Q23" s="17">
        <f t="shared" si="2"/>
        <v>45658</v>
      </c>
      <c r="R23" s="4"/>
      <c r="S23">
        <v>30</v>
      </c>
    </row>
    <row r="24" spans="1:21" ht="68.25" customHeight="1" x14ac:dyDescent="0.25">
      <c r="A24" s="8" t="s">
        <v>139</v>
      </c>
      <c r="B24" s="8" t="s">
        <v>45</v>
      </c>
      <c r="C24" s="8" t="s">
        <v>141</v>
      </c>
      <c r="D24" s="11">
        <v>45930</v>
      </c>
      <c r="E24" s="4" t="s">
        <v>142</v>
      </c>
      <c r="F24" s="8" t="s">
        <v>20</v>
      </c>
      <c r="G24" s="43" t="s">
        <v>83</v>
      </c>
      <c r="H24" s="1"/>
      <c r="I24" s="1"/>
      <c r="J24" s="1" t="s">
        <v>83</v>
      </c>
      <c r="K24" s="1" t="s">
        <v>83</v>
      </c>
      <c r="L24" s="1" t="s">
        <v>83</v>
      </c>
      <c r="M24" s="26" t="s">
        <v>117</v>
      </c>
      <c r="N24" s="45">
        <v>45626</v>
      </c>
      <c r="O24" s="50">
        <f>N24-S24</f>
        <v>45536</v>
      </c>
      <c r="P24" s="52">
        <v>45689</v>
      </c>
      <c r="Q24" s="17">
        <f t="shared" si="2"/>
        <v>45599</v>
      </c>
      <c r="R24" s="4"/>
      <c r="S24">
        <v>90</v>
      </c>
    </row>
    <row r="25" spans="1:21" ht="68.25" customHeight="1" x14ac:dyDescent="0.25">
      <c r="A25" s="8" t="s">
        <v>18</v>
      </c>
      <c r="B25" s="8" t="s">
        <v>45</v>
      </c>
      <c r="C25" s="8" t="s">
        <v>50</v>
      </c>
      <c r="D25" s="11">
        <v>46022</v>
      </c>
      <c r="E25" s="9" t="s">
        <v>149</v>
      </c>
      <c r="F25" s="8" t="s">
        <v>20</v>
      </c>
      <c r="G25" s="43" t="s">
        <v>83</v>
      </c>
      <c r="H25" s="1" t="s">
        <v>83</v>
      </c>
      <c r="I25" s="1" t="s">
        <v>83</v>
      </c>
      <c r="J25" s="1" t="s">
        <v>83</v>
      </c>
      <c r="K25" s="1" t="s">
        <v>83</v>
      </c>
      <c r="L25" s="1" t="s">
        <v>83</v>
      </c>
      <c r="M25" s="39" t="s">
        <v>114</v>
      </c>
      <c r="N25" s="45">
        <v>45626</v>
      </c>
      <c r="O25" s="50" t="s">
        <v>171</v>
      </c>
      <c r="P25" s="52">
        <v>45688</v>
      </c>
      <c r="Q25" s="17">
        <f>P25-S25</f>
        <v>45628</v>
      </c>
      <c r="R25" s="4"/>
      <c r="S25">
        <v>60</v>
      </c>
    </row>
    <row r="26" spans="1:21" ht="68.25" customHeight="1" x14ac:dyDescent="0.25">
      <c r="A26" s="29" t="s">
        <v>32</v>
      </c>
      <c r="B26" s="29" t="s">
        <v>29</v>
      </c>
      <c r="C26" s="29" t="s">
        <v>30</v>
      </c>
      <c r="D26" s="29" t="s">
        <v>31</v>
      </c>
      <c r="E26" s="29" t="s">
        <v>28</v>
      </c>
      <c r="F26" s="29" t="s">
        <v>20</v>
      </c>
      <c r="G26" s="43" t="s">
        <v>83</v>
      </c>
      <c r="H26" s="31" t="s">
        <v>83</v>
      </c>
      <c r="I26" s="31" t="s">
        <v>83</v>
      </c>
      <c r="J26" s="1" t="s">
        <v>83</v>
      </c>
      <c r="K26" s="1" t="s">
        <v>83</v>
      </c>
      <c r="L26" s="1" t="s">
        <v>83</v>
      </c>
      <c r="M26" s="26" t="s">
        <v>117</v>
      </c>
      <c r="N26" s="45">
        <v>45626</v>
      </c>
      <c r="O26" s="50">
        <f>N26-S26</f>
        <v>45596</v>
      </c>
      <c r="P26" s="52">
        <v>45688</v>
      </c>
      <c r="Q26" s="17">
        <f>P26-S26</f>
        <v>45658</v>
      </c>
      <c r="R26" s="4"/>
      <c r="S26">
        <v>30</v>
      </c>
    </row>
    <row r="27" spans="1:21" ht="68.25" customHeight="1" x14ac:dyDescent="0.25">
      <c r="A27" s="29" t="s">
        <v>140</v>
      </c>
      <c r="B27" s="8" t="s">
        <v>45</v>
      </c>
      <c r="C27" s="8" t="s">
        <v>141</v>
      </c>
      <c r="D27" s="42">
        <v>45930</v>
      </c>
      <c r="E27" s="4" t="s">
        <v>142</v>
      </c>
      <c r="F27" s="4" t="s">
        <v>20</v>
      </c>
      <c r="G27" s="43" t="s">
        <v>83</v>
      </c>
      <c r="H27" s="31"/>
      <c r="I27" s="31"/>
      <c r="J27" s="1" t="s">
        <v>83</v>
      </c>
      <c r="K27" s="1" t="s">
        <v>83</v>
      </c>
      <c r="L27" s="1" t="s">
        <v>83</v>
      </c>
      <c r="M27" s="1" t="s">
        <v>117</v>
      </c>
      <c r="N27" s="45">
        <v>45626</v>
      </c>
      <c r="O27" s="50">
        <f>N27-S27</f>
        <v>45536</v>
      </c>
      <c r="P27" s="52">
        <v>45688</v>
      </c>
      <c r="Q27" s="17">
        <f>P27-S27</f>
        <v>45598</v>
      </c>
      <c r="R27" s="4"/>
      <c r="S27">
        <v>90</v>
      </c>
    </row>
    <row r="28" spans="1:21" ht="68.25" customHeight="1" x14ac:dyDescent="0.25">
      <c r="A28" s="29" t="s">
        <v>143</v>
      </c>
      <c r="B28" s="8" t="s">
        <v>45</v>
      </c>
      <c r="C28" s="8" t="s">
        <v>141</v>
      </c>
      <c r="D28" s="42">
        <v>45982</v>
      </c>
      <c r="E28" s="29" t="s">
        <v>28</v>
      </c>
      <c r="F28" s="4" t="s">
        <v>20</v>
      </c>
      <c r="G28" s="43" t="s">
        <v>83</v>
      </c>
      <c r="H28" s="31"/>
      <c r="I28" s="31"/>
      <c r="J28" s="1" t="s">
        <v>83</v>
      </c>
      <c r="K28" s="1" t="s">
        <v>83</v>
      </c>
      <c r="L28" s="1" t="s">
        <v>83</v>
      </c>
      <c r="M28" s="26" t="s">
        <v>117</v>
      </c>
      <c r="N28" s="45">
        <v>45626</v>
      </c>
      <c r="O28" s="50">
        <f>N28-S28</f>
        <v>45596</v>
      </c>
      <c r="P28" s="52">
        <v>45808</v>
      </c>
      <c r="Q28" s="17">
        <f>P28-S28</f>
        <v>45778</v>
      </c>
      <c r="R28" s="4"/>
      <c r="S28">
        <v>30</v>
      </c>
    </row>
    <row r="29" spans="1:21" ht="68.25" customHeight="1" x14ac:dyDescent="0.25">
      <c r="A29" s="32" t="s">
        <v>39</v>
      </c>
      <c r="B29" s="4"/>
      <c r="C29" s="4"/>
      <c r="D29" s="4"/>
      <c r="E29" s="4"/>
      <c r="F29" s="4"/>
      <c r="G29" s="43" t="s">
        <v>40</v>
      </c>
      <c r="H29" s="12" t="s">
        <v>57</v>
      </c>
      <c r="I29" s="12" t="s">
        <v>57</v>
      </c>
      <c r="J29" s="12" t="s">
        <v>110</v>
      </c>
      <c r="K29" s="1" t="s">
        <v>20</v>
      </c>
      <c r="L29" s="1" t="s">
        <v>20</v>
      </c>
      <c r="M29" s="12"/>
      <c r="N29" s="45">
        <v>45626</v>
      </c>
      <c r="O29" s="50"/>
      <c r="P29" s="52">
        <v>45688</v>
      </c>
      <c r="Q29" s="4"/>
      <c r="R29" s="4"/>
      <c r="S29" s="1"/>
      <c r="T29" s="1"/>
      <c r="U29" s="1"/>
    </row>
    <row r="30" spans="1:21" ht="68.25" customHeight="1" x14ac:dyDescent="0.25">
      <c r="A30" s="41" t="s">
        <v>168</v>
      </c>
      <c r="B30" s="30"/>
      <c r="C30" s="30"/>
      <c r="D30" s="30"/>
      <c r="E30" s="30"/>
      <c r="F30" s="30"/>
      <c r="G30" s="30"/>
      <c r="H30" s="1"/>
      <c r="I30" s="1"/>
      <c r="J30" s="1"/>
      <c r="K30" s="1"/>
      <c r="L30" s="1"/>
      <c r="M30" s="26" t="s">
        <v>117</v>
      </c>
      <c r="N30" s="45">
        <v>45626</v>
      </c>
      <c r="O30" s="51"/>
      <c r="P30" s="52">
        <v>45688</v>
      </c>
      <c r="Q30" s="33"/>
      <c r="R30" s="33"/>
      <c r="S30" s="1"/>
      <c r="T30" s="1"/>
      <c r="U30" s="1"/>
    </row>
    <row r="31" spans="1:21" ht="68.25" customHeight="1" x14ac:dyDescent="0.25">
      <c r="A31" s="41" t="s">
        <v>169</v>
      </c>
      <c r="B31" s="30"/>
      <c r="C31" s="30"/>
      <c r="D31" s="30"/>
      <c r="E31" s="30"/>
      <c r="F31" s="30"/>
      <c r="G31" s="30"/>
      <c r="H31" s="1"/>
      <c r="I31" s="1"/>
      <c r="J31" s="1"/>
      <c r="K31" s="1"/>
      <c r="L31" s="1"/>
      <c r="M31" s="36" t="s">
        <v>170</v>
      </c>
      <c r="N31" s="45">
        <v>45626</v>
      </c>
      <c r="O31" s="51"/>
      <c r="P31" s="52">
        <v>45688</v>
      </c>
      <c r="Q31" s="33"/>
      <c r="R31" s="33"/>
      <c r="S31" s="1"/>
      <c r="T31" s="1"/>
      <c r="U31" s="1"/>
    </row>
    <row r="32" spans="1:21" ht="68.25" customHeight="1" x14ac:dyDescent="0.25">
      <c r="A32" s="41" t="s">
        <v>178</v>
      </c>
      <c r="B32" s="30"/>
      <c r="C32" s="30"/>
      <c r="D32" s="30"/>
      <c r="E32" s="30"/>
      <c r="F32" s="30"/>
      <c r="G32" s="30"/>
      <c r="H32" s="1"/>
      <c r="I32" s="1"/>
      <c r="J32" s="1"/>
      <c r="K32" s="1"/>
      <c r="L32" s="1"/>
      <c r="M32" s="1"/>
      <c r="N32" s="1"/>
      <c r="O32" s="1"/>
      <c r="P32" s="52"/>
      <c r="Q32" s="33"/>
      <c r="R32" s="33"/>
      <c r="S32" s="1"/>
      <c r="T32" s="1"/>
      <c r="U32" s="1"/>
    </row>
    <row r="33" spans="1:21" ht="68.25" customHeight="1" x14ac:dyDescent="0.25">
      <c r="A33" s="41" t="s">
        <v>179</v>
      </c>
      <c r="B33" s="30"/>
      <c r="C33" s="30"/>
      <c r="D33" s="30"/>
      <c r="E33" s="30"/>
      <c r="F33" s="30"/>
      <c r="G33" s="30"/>
      <c r="H33" s="1"/>
      <c r="I33" s="1"/>
      <c r="J33" s="1"/>
      <c r="K33" s="1"/>
      <c r="L33" s="1"/>
      <c r="M33" s="1"/>
      <c r="N33" s="1"/>
      <c r="O33" s="1"/>
      <c r="P33" s="52"/>
      <c r="Q33" s="33"/>
      <c r="R33" s="33"/>
      <c r="S33" s="1"/>
      <c r="T33" s="1"/>
      <c r="U33" s="1"/>
    </row>
    <row r="34" spans="1:21" ht="68.25" customHeight="1" x14ac:dyDescent="0.25">
      <c r="A34" s="41" t="s">
        <v>180</v>
      </c>
      <c r="B34" s="30"/>
      <c r="C34" s="30"/>
      <c r="D34" s="30"/>
      <c r="E34" s="30"/>
      <c r="F34" s="30"/>
      <c r="G34" s="30"/>
      <c r="H34" s="1"/>
      <c r="I34" s="1"/>
      <c r="J34" s="1"/>
      <c r="K34" s="1"/>
      <c r="L34" s="1"/>
      <c r="M34" s="1"/>
      <c r="N34" s="1"/>
      <c r="O34" s="1"/>
      <c r="P34" s="53"/>
      <c r="Q34" s="33"/>
      <c r="R34" s="33"/>
      <c r="S34" s="1"/>
      <c r="T34" s="1"/>
      <c r="U34" s="1"/>
    </row>
    <row r="35" spans="1:21" ht="68.25" customHeight="1" x14ac:dyDescent="0.25">
      <c r="A35" s="41" t="s">
        <v>181</v>
      </c>
      <c r="B35" s="30"/>
      <c r="C35" s="30"/>
      <c r="D35" s="30"/>
      <c r="E35" s="30"/>
      <c r="F35" s="30"/>
      <c r="G35" s="30"/>
      <c r="H35" s="1"/>
      <c r="I35" s="1"/>
      <c r="J35" s="1"/>
      <c r="K35" s="1"/>
      <c r="L35" s="1"/>
      <c r="M35" s="1"/>
      <c r="N35" s="1"/>
      <c r="O35" s="1"/>
      <c r="P35" s="53"/>
      <c r="Q35" s="33"/>
      <c r="R35" s="33"/>
      <c r="S35" s="1"/>
      <c r="T35" s="1"/>
      <c r="U35" s="1"/>
    </row>
    <row r="36" spans="1:21" ht="68.25" customHeight="1" x14ac:dyDescent="0.25">
      <c r="A36" s="41" t="s">
        <v>182</v>
      </c>
      <c r="B36" s="30"/>
      <c r="C36" s="30"/>
      <c r="D36" s="30"/>
      <c r="E36" s="30"/>
      <c r="F36" s="30"/>
      <c r="G36" s="30"/>
      <c r="H36" s="1"/>
      <c r="I36" s="1"/>
      <c r="J36" s="1"/>
      <c r="K36" s="1"/>
      <c r="L36" s="1"/>
      <c r="M36" s="1"/>
      <c r="N36" s="1"/>
      <c r="O36" s="1"/>
      <c r="P36" s="53"/>
      <c r="Q36" s="33"/>
      <c r="R36" s="33"/>
      <c r="S36" s="1"/>
      <c r="T36" s="1"/>
      <c r="U36" s="1"/>
    </row>
    <row r="37" spans="1:21" ht="68.25" customHeight="1" x14ac:dyDescent="0.25">
      <c r="A37" s="41" t="s">
        <v>183</v>
      </c>
      <c r="B37" s="30"/>
      <c r="C37" s="30"/>
      <c r="D37" s="30"/>
      <c r="E37" s="30"/>
      <c r="F37" s="30"/>
      <c r="G37" s="30"/>
      <c r="H37" s="1"/>
      <c r="I37" s="1"/>
      <c r="J37" s="1"/>
      <c r="K37" s="1"/>
      <c r="L37" s="1"/>
      <c r="M37" s="1"/>
      <c r="N37" s="1"/>
      <c r="O37" s="1"/>
      <c r="P37" s="53"/>
      <c r="Q37" s="33"/>
      <c r="R37" s="33"/>
      <c r="S37" s="1"/>
      <c r="T37" s="1"/>
      <c r="U37" s="1"/>
    </row>
    <row r="38" spans="1:21" ht="68.25" customHeight="1" x14ac:dyDescent="0.25">
      <c r="A38" s="41" t="s">
        <v>184</v>
      </c>
      <c r="B38" s="1"/>
      <c r="C38" s="1"/>
      <c r="D38" s="1"/>
      <c r="E38" s="1"/>
      <c r="F38" s="1"/>
      <c r="G38" s="1"/>
      <c r="H38" s="1"/>
      <c r="I38" s="1"/>
      <c r="J38" s="1"/>
      <c r="K38" s="1"/>
      <c r="L38" s="1"/>
      <c r="M38" s="1"/>
      <c r="N38" s="1"/>
      <c r="O38" s="1"/>
      <c r="P38" s="52">
        <v>45688</v>
      </c>
      <c r="Q38" s="33"/>
      <c r="R38" s="33"/>
      <c r="S38" s="1"/>
      <c r="T38" s="1"/>
      <c r="U38" s="1"/>
    </row>
    <row r="39" spans="1:21" ht="68.25" customHeight="1" x14ac:dyDescent="0.25">
      <c r="A39" s="41" t="s">
        <v>185</v>
      </c>
      <c r="B39" s="1"/>
      <c r="C39" s="1"/>
      <c r="D39" s="1"/>
      <c r="E39" s="1"/>
      <c r="F39" s="1"/>
      <c r="G39" s="1"/>
      <c r="H39" s="1"/>
      <c r="I39" s="1"/>
      <c r="J39" s="1"/>
      <c r="K39" s="1"/>
      <c r="L39" s="1"/>
      <c r="M39" s="1"/>
      <c r="N39" s="1"/>
      <c r="O39" s="1"/>
      <c r="P39" s="52">
        <v>45688</v>
      </c>
      <c r="Q39" s="33"/>
      <c r="R39" s="33"/>
      <c r="S39" s="1"/>
      <c r="T39" s="1"/>
      <c r="U39" s="1"/>
    </row>
    <row r="40" spans="1:21" ht="68.25" customHeight="1" x14ac:dyDescent="0.25">
      <c r="A40" s="41" t="s">
        <v>186</v>
      </c>
      <c r="B40" s="28"/>
      <c r="C40" s="28"/>
      <c r="D40" s="28"/>
      <c r="E40" s="28"/>
      <c r="F40" s="28"/>
      <c r="G40" s="28"/>
    </row>
    <row r="41" spans="1:21" ht="68.25" customHeight="1" x14ac:dyDescent="0.25">
      <c r="A41" s="28"/>
      <c r="B41" s="28"/>
      <c r="C41" s="28"/>
      <c r="D41" s="28"/>
      <c r="E41" s="28"/>
      <c r="F41" s="28"/>
      <c r="G41" s="28"/>
    </row>
    <row r="42" spans="1:21" ht="68.25" customHeight="1" x14ac:dyDescent="0.25">
      <c r="A42" s="28"/>
      <c r="B42" s="28"/>
      <c r="C42" s="28"/>
      <c r="D42" s="28"/>
      <c r="E42" s="28"/>
      <c r="F42" s="28"/>
      <c r="G42" s="28"/>
    </row>
    <row r="43" spans="1:21" ht="68.25" customHeight="1" x14ac:dyDescent="0.25">
      <c r="A43" s="28"/>
      <c r="B43" s="28"/>
      <c r="C43" s="28"/>
      <c r="D43" s="28"/>
      <c r="E43" s="28"/>
      <c r="F43" s="28"/>
      <c r="G43" s="28"/>
    </row>
    <row r="44" spans="1:21" ht="68.25" customHeight="1" x14ac:dyDescent="0.25">
      <c r="A44" s="28"/>
      <c r="B44" s="28"/>
      <c r="C44" s="28"/>
      <c r="D44" s="28"/>
      <c r="E44" s="28"/>
      <c r="F44" s="28"/>
      <c r="G44" s="28"/>
    </row>
    <row r="45" spans="1:21" ht="68.25" customHeight="1" x14ac:dyDescent="0.25">
      <c r="A45" s="28"/>
      <c r="B45" s="28"/>
      <c r="C45" s="28"/>
      <c r="D45" s="28"/>
      <c r="E45" s="28"/>
      <c r="F45" s="28"/>
      <c r="G45" s="28"/>
    </row>
    <row r="46" spans="1:21" ht="68.25" customHeight="1" x14ac:dyDescent="0.25">
      <c r="A46" s="28"/>
      <c r="B46" s="28"/>
      <c r="C46" s="28"/>
      <c r="D46" s="28"/>
      <c r="E46" s="28"/>
      <c r="F46" s="28"/>
      <c r="G46" s="28"/>
    </row>
    <row r="47" spans="1:21" ht="68.25" customHeight="1" x14ac:dyDescent="0.25">
      <c r="A47" s="28"/>
      <c r="B47" s="28"/>
      <c r="C47" s="28"/>
      <c r="D47" s="28"/>
      <c r="E47" s="28"/>
      <c r="F47" s="28"/>
      <c r="G47" s="28"/>
    </row>
    <row r="48" spans="1:21" ht="68.25" customHeight="1" x14ac:dyDescent="0.25">
      <c r="A48" s="28"/>
      <c r="B48" s="28"/>
      <c r="C48" s="28"/>
      <c r="D48" s="28"/>
      <c r="E48" s="28"/>
      <c r="F48" s="28"/>
      <c r="G48" s="28"/>
    </row>
    <row r="49" spans="1:7" ht="68.25" customHeight="1" x14ac:dyDescent="0.25">
      <c r="A49" s="28"/>
      <c r="B49" s="28"/>
      <c r="C49" s="28"/>
      <c r="D49" s="28"/>
      <c r="E49" s="28"/>
      <c r="F49" s="28"/>
      <c r="G49" s="28"/>
    </row>
    <row r="50" spans="1:7" ht="68.25" customHeight="1" x14ac:dyDescent="0.25">
      <c r="A50" s="28"/>
      <c r="B50" s="28"/>
      <c r="C50" s="28"/>
      <c r="D50" s="28"/>
      <c r="E50" s="28"/>
      <c r="F50" s="28"/>
      <c r="G50" s="28"/>
    </row>
    <row r="51" spans="1:7" ht="68.25" customHeight="1" x14ac:dyDescent="0.25">
      <c r="A51" s="28"/>
      <c r="B51" s="28"/>
      <c r="C51" s="28"/>
      <c r="D51" s="28"/>
      <c r="E51" s="28"/>
      <c r="F51" s="28"/>
      <c r="G51" s="28"/>
    </row>
    <row r="52" spans="1:7" ht="68.25" customHeight="1" x14ac:dyDescent="0.25">
      <c r="A52" s="28"/>
      <c r="B52" s="28"/>
      <c r="C52" s="28"/>
      <c r="D52" s="28"/>
      <c r="E52" s="28"/>
      <c r="F52" s="28"/>
      <c r="G52" s="28"/>
    </row>
    <row r="53" spans="1:7" ht="68.25" customHeight="1" x14ac:dyDescent="0.25">
      <c r="A53" s="28"/>
      <c r="B53" s="28"/>
      <c r="C53" s="28"/>
      <c r="D53" s="28"/>
      <c r="E53" s="28"/>
      <c r="F53" s="28"/>
      <c r="G53" s="28"/>
    </row>
    <row r="54" spans="1:7" ht="68.25" customHeight="1" x14ac:dyDescent="0.25">
      <c r="A54" s="28"/>
      <c r="B54" s="28"/>
      <c r="C54" s="28"/>
      <c r="D54" s="28"/>
      <c r="E54" s="28"/>
      <c r="F54" s="28"/>
      <c r="G54" s="28"/>
    </row>
    <row r="55" spans="1:7" ht="68.25" customHeight="1" x14ac:dyDescent="0.25">
      <c r="A55" s="28"/>
      <c r="B55" s="28"/>
      <c r="C55" s="28"/>
      <c r="D55" s="28"/>
      <c r="E55" s="28"/>
      <c r="F55" s="28"/>
      <c r="G55" s="28"/>
    </row>
    <row r="56" spans="1:7" ht="68.25" customHeight="1" x14ac:dyDescent="0.25">
      <c r="A56" s="28"/>
      <c r="B56" s="28"/>
      <c r="C56" s="28"/>
      <c r="D56" s="28"/>
      <c r="E56" s="28"/>
      <c r="F56" s="28"/>
      <c r="G56" s="28"/>
    </row>
    <row r="57" spans="1:7" ht="68.25" customHeight="1" x14ac:dyDescent="0.25">
      <c r="A57" s="28"/>
      <c r="B57" s="28"/>
      <c r="C57" s="28"/>
      <c r="D57" s="28"/>
      <c r="E57" s="28"/>
      <c r="F57" s="28"/>
      <c r="G57" s="28"/>
    </row>
    <row r="58" spans="1:7" ht="68.25" customHeight="1" x14ac:dyDescent="0.25">
      <c r="A58" s="28"/>
      <c r="B58" s="28"/>
      <c r="C58" s="28"/>
      <c r="D58" s="28"/>
      <c r="E58" s="28"/>
      <c r="F58" s="28"/>
      <c r="G58" s="28"/>
    </row>
    <row r="59" spans="1:7" ht="68.25" customHeight="1" x14ac:dyDescent="0.25">
      <c r="A59" s="28"/>
      <c r="B59" s="28"/>
      <c r="C59" s="28"/>
      <c r="D59" s="28"/>
      <c r="E59" s="28"/>
      <c r="F59" s="28"/>
      <c r="G59" s="28"/>
    </row>
    <row r="60" spans="1:7" ht="68.25" customHeight="1" x14ac:dyDescent="0.25">
      <c r="A60" s="28"/>
      <c r="B60" s="28"/>
      <c r="C60" s="28"/>
      <c r="D60" s="28"/>
      <c r="E60" s="28"/>
      <c r="F60" s="28"/>
      <c r="G60" s="28"/>
    </row>
    <row r="61" spans="1:7" ht="68.25" customHeight="1" x14ac:dyDescent="0.25">
      <c r="A61" s="28"/>
      <c r="B61" s="28"/>
      <c r="C61" s="28"/>
      <c r="D61" s="28"/>
      <c r="E61" s="28"/>
      <c r="F61" s="28"/>
      <c r="G61" s="28"/>
    </row>
    <row r="62" spans="1:7" ht="68.25" customHeight="1" x14ac:dyDescent="0.25">
      <c r="A62" s="28"/>
      <c r="B62" s="28"/>
      <c r="C62" s="28"/>
      <c r="D62" s="28"/>
      <c r="E62" s="28"/>
      <c r="F62" s="28"/>
      <c r="G62" s="28"/>
    </row>
    <row r="63" spans="1:7" ht="68.25" customHeight="1" x14ac:dyDescent="0.25">
      <c r="A63" s="28"/>
      <c r="B63" s="28"/>
      <c r="C63" s="28"/>
      <c r="D63" s="28"/>
      <c r="E63" s="28"/>
      <c r="F63" s="28"/>
      <c r="G63" s="28"/>
    </row>
    <row r="64" spans="1:7" ht="68.25" customHeight="1" x14ac:dyDescent="0.25">
      <c r="A64" s="28"/>
      <c r="B64" s="28"/>
      <c r="C64" s="28"/>
      <c r="D64" s="28"/>
      <c r="E64" s="28"/>
      <c r="F64" s="28"/>
      <c r="G64" s="28"/>
    </row>
    <row r="65" spans="1:7" ht="68.25" customHeight="1" x14ac:dyDescent="0.25">
      <c r="A65" s="28"/>
      <c r="B65" s="28"/>
      <c r="C65" s="28"/>
      <c r="D65" s="28"/>
      <c r="E65" s="28"/>
      <c r="F65" s="28"/>
      <c r="G65" s="28"/>
    </row>
    <row r="66" spans="1:7" ht="68.25" customHeight="1" x14ac:dyDescent="0.25">
      <c r="A66" s="28"/>
      <c r="B66" s="28"/>
      <c r="C66" s="28"/>
      <c r="D66" s="28"/>
      <c r="E66" s="28"/>
      <c r="F66" s="28"/>
      <c r="G66" s="28"/>
    </row>
    <row r="67" spans="1:7" ht="68.25" customHeight="1" x14ac:dyDescent="0.25">
      <c r="A67" s="28"/>
      <c r="B67" s="28"/>
      <c r="C67" s="28"/>
      <c r="D67" s="28"/>
      <c r="E67" s="28"/>
      <c r="F67" s="28"/>
      <c r="G67" s="28"/>
    </row>
    <row r="68" spans="1:7" ht="68.25" customHeight="1" x14ac:dyDescent="0.25">
      <c r="A68" s="28"/>
      <c r="B68" s="28"/>
      <c r="C68" s="28"/>
      <c r="D68" s="28"/>
      <c r="E68" s="28"/>
      <c r="F68" s="28"/>
      <c r="G68" s="28"/>
    </row>
    <row r="69" spans="1:7" ht="68.25" customHeight="1" x14ac:dyDescent="0.25">
      <c r="A69" s="28"/>
      <c r="B69" s="28"/>
      <c r="C69" s="28"/>
      <c r="D69" s="28"/>
      <c r="E69" s="28"/>
      <c r="F69" s="28"/>
      <c r="G69" s="28"/>
    </row>
    <row r="70" spans="1:7" ht="68.25" customHeight="1" x14ac:dyDescent="0.25">
      <c r="A70" s="28"/>
      <c r="B70" s="28"/>
      <c r="C70" s="28"/>
      <c r="D70" s="28"/>
      <c r="E70" s="28"/>
      <c r="F70" s="28"/>
      <c r="G70" s="28"/>
    </row>
    <row r="71" spans="1:7" ht="68.25" customHeight="1" x14ac:dyDescent="0.25">
      <c r="A71" s="28"/>
      <c r="B71" s="28"/>
      <c r="C71" s="28"/>
      <c r="D71" s="28"/>
      <c r="E71" s="28"/>
      <c r="F71" s="28"/>
      <c r="G71" s="28"/>
    </row>
    <row r="72" spans="1:7" ht="68.25" customHeight="1" x14ac:dyDescent="0.25">
      <c r="A72" s="28"/>
      <c r="B72" s="28"/>
      <c r="C72" s="28"/>
      <c r="D72" s="28"/>
      <c r="E72" s="28"/>
      <c r="F72" s="28"/>
      <c r="G72" s="28"/>
    </row>
    <row r="73" spans="1:7" ht="68.25" customHeight="1" x14ac:dyDescent="0.25">
      <c r="A73" s="28"/>
      <c r="B73" s="28"/>
      <c r="C73" s="28"/>
      <c r="D73" s="28"/>
      <c r="E73" s="28"/>
      <c r="F73" s="28"/>
      <c r="G73" s="28"/>
    </row>
    <row r="74" spans="1:7" ht="68.25" customHeight="1" x14ac:dyDescent="0.25">
      <c r="A74" s="28"/>
      <c r="B74" s="28"/>
      <c r="C74" s="28"/>
      <c r="D74" s="28"/>
      <c r="E74" s="28"/>
      <c r="F74" s="28"/>
      <c r="G74" s="28"/>
    </row>
    <row r="75" spans="1:7" ht="68.25" customHeight="1" x14ac:dyDescent="0.25">
      <c r="A75" s="28"/>
      <c r="B75" s="28"/>
      <c r="C75" s="28"/>
      <c r="D75" s="28"/>
      <c r="E75" s="28"/>
      <c r="F75" s="28"/>
      <c r="G75" s="28"/>
    </row>
    <row r="76" spans="1:7" ht="68.25" customHeight="1" x14ac:dyDescent="0.25">
      <c r="A76" s="28"/>
      <c r="B76" s="28"/>
      <c r="C76" s="28"/>
      <c r="D76" s="28"/>
      <c r="E76" s="28"/>
      <c r="F76" s="28"/>
      <c r="G76" s="28"/>
    </row>
    <row r="77" spans="1:7" ht="68.25" customHeight="1" x14ac:dyDescent="0.25">
      <c r="A77" s="28"/>
      <c r="B77" s="28"/>
      <c r="C77" s="28"/>
      <c r="D77" s="28"/>
      <c r="E77" s="28"/>
      <c r="F77" s="28"/>
      <c r="G77" s="28"/>
    </row>
    <row r="78" spans="1:7" ht="68.25" customHeight="1" x14ac:dyDescent="0.25">
      <c r="A78" s="28"/>
      <c r="B78" s="28"/>
      <c r="C78" s="28"/>
      <c r="D78" s="28"/>
      <c r="E78" s="28"/>
      <c r="F78" s="28"/>
      <c r="G78" s="28"/>
    </row>
    <row r="79" spans="1:7" ht="68.25" customHeight="1" x14ac:dyDescent="0.25">
      <c r="A79" s="28"/>
      <c r="B79" s="28"/>
      <c r="C79" s="28"/>
      <c r="D79" s="28"/>
      <c r="E79" s="28"/>
      <c r="F79" s="28"/>
      <c r="G79" s="28"/>
    </row>
    <row r="80" spans="1:7" ht="68.25" customHeight="1" x14ac:dyDescent="0.25">
      <c r="A80" s="28"/>
      <c r="B80" s="28"/>
      <c r="C80" s="28"/>
      <c r="D80" s="28"/>
      <c r="E80" s="28"/>
      <c r="F80" s="28"/>
      <c r="G80" s="28"/>
    </row>
    <row r="81" spans="1:7" ht="68.25" customHeight="1" x14ac:dyDescent="0.25">
      <c r="A81" s="28"/>
      <c r="B81" s="28"/>
      <c r="C81" s="28"/>
      <c r="D81" s="28"/>
      <c r="E81" s="28"/>
      <c r="F81" s="28"/>
      <c r="G81" s="28"/>
    </row>
    <row r="82" spans="1:7" ht="68.25" customHeight="1" x14ac:dyDescent="0.25">
      <c r="A82" s="28"/>
      <c r="B82" s="28"/>
      <c r="C82" s="28"/>
      <c r="D82" s="28"/>
      <c r="E82" s="28"/>
      <c r="F82" s="28"/>
      <c r="G82" s="28"/>
    </row>
    <row r="83" spans="1:7" ht="68.25" customHeight="1" x14ac:dyDescent="0.25">
      <c r="A83" s="28"/>
      <c r="B83" s="28"/>
      <c r="C83" s="28"/>
      <c r="D83" s="28"/>
      <c r="E83" s="28"/>
      <c r="F83" s="28"/>
      <c r="G83" s="28"/>
    </row>
    <row r="84" spans="1:7" ht="68.25" customHeight="1" x14ac:dyDescent="0.25">
      <c r="A84" s="28"/>
      <c r="B84" s="28"/>
      <c r="C84" s="28"/>
      <c r="D84" s="28"/>
      <c r="E84" s="28"/>
      <c r="F84" s="28"/>
      <c r="G84" s="28"/>
    </row>
    <row r="85" spans="1:7" ht="68.25" customHeight="1" x14ac:dyDescent="0.25">
      <c r="A85" s="28"/>
      <c r="B85" s="28"/>
      <c r="C85" s="28"/>
      <c r="D85" s="28"/>
      <c r="E85" s="28"/>
      <c r="F85" s="28"/>
      <c r="G85" s="28"/>
    </row>
    <row r="86" spans="1:7" ht="68.25" customHeight="1" x14ac:dyDescent="0.25">
      <c r="A86" s="28"/>
      <c r="B86" s="28"/>
      <c r="C86" s="28"/>
      <c r="D86" s="28"/>
      <c r="E86" s="28"/>
      <c r="F86" s="28"/>
      <c r="G86" s="28"/>
    </row>
    <row r="87" spans="1:7" ht="68.25" customHeight="1" x14ac:dyDescent="0.25">
      <c r="A87" s="28"/>
      <c r="B87" s="28"/>
      <c r="C87" s="28"/>
      <c r="D87" s="28"/>
      <c r="E87" s="28"/>
      <c r="F87" s="28"/>
      <c r="G87" s="28"/>
    </row>
    <row r="88" spans="1:7" ht="68.25" customHeight="1" x14ac:dyDescent="0.25">
      <c r="A88" s="28"/>
      <c r="B88" s="28"/>
      <c r="C88" s="28"/>
      <c r="D88" s="28"/>
      <c r="E88" s="28"/>
      <c r="F88" s="28"/>
      <c r="G88" s="28"/>
    </row>
    <row r="89" spans="1:7" ht="68.25" customHeight="1" x14ac:dyDescent="0.25">
      <c r="A89" s="28"/>
      <c r="B89" s="28"/>
      <c r="C89" s="28"/>
      <c r="D89" s="28"/>
      <c r="E89" s="28"/>
      <c r="F89" s="28"/>
      <c r="G89" s="28"/>
    </row>
    <row r="90" spans="1:7" ht="68.25" customHeight="1" x14ac:dyDescent="0.25">
      <c r="A90" s="28"/>
      <c r="B90" s="28"/>
      <c r="C90" s="28"/>
      <c r="D90" s="28"/>
      <c r="E90" s="28"/>
      <c r="F90" s="28"/>
      <c r="G90" s="28"/>
    </row>
    <row r="91" spans="1:7" ht="68.25" customHeight="1" x14ac:dyDescent="0.25">
      <c r="A91" s="28"/>
      <c r="B91" s="28"/>
      <c r="C91" s="28"/>
      <c r="D91" s="28"/>
      <c r="E91" s="28"/>
      <c r="F91" s="28"/>
      <c r="G91" s="28"/>
    </row>
    <row r="92" spans="1:7" ht="68.25" customHeight="1" x14ac:dyDescent="0.25">
      <c r="A92" s="28"/>
      <c r="B92" s="28"/>
      <c r="C92" s="28"/>
      <c r="D92" s="28"/>
      <c r="E92" s="28"/>
      <c r="F92" s="28"/>
      <c r="G92" s="28"/>
    </row>
    <row r="93" spans="1:7" ht="68.25" customHeight="1" x14ac:dyDescent="0.25">
      <c r="A93" s="28"/>
      <c r="B93" s="28"/>
      <c r="C93" s="28"/>
      <c r="D93" s="28"/>
      <c r="E93" s="28"/>
      <c r="F93" s="28"/>
      <c r="G93" s="28"/>
    </row>
    <row r="94" spans="1:7" ht="68.25" customHeight="1" x14ac:dyDescent="0.25">
      <c r="A94" s="28"/>
      <c r="B94" s="28"/>
      <c r="C94" s="28"/>
      <c r="D94" s="28"/>
      <c r="E94" s="28"/>
      <c r="F94" s="28"/>
      <c r="G94" s="28"/>
    </row>
    <row r="95" spans="1:7" ht="68.25" customHeight="1" x14ac:dyDescent="0.25">
      <c r="A95" s="28"/>
      <c r="B95" s="28"/>
      <c r="C95" s="28"/>
      <c r="D95" s="28"/>
      <c r="E95" s="28"/>
      <c r="F95" s="28"/>
      <c r="G95" s="28"/>
    </row>
    <row r="96" spans="1:7" ht="68.25" customHeight="1" x14ac:dyDescent="0.25">
      <c r="A96" s="28"/>
      <c r="B96" s="28"/>
      <c r="C96" s="28"/>
      <c r="D96" s="28"/>
      <c r="E96" s="28"/>
      <c r="F96" s="28"/>
      <c r="G96" s="28"/>
    </row>
    <row r="97" spans="1:7" ht="68.25" customHeight="1" x14ac:dyDescent="0.25">
      <c r="A97" s="28"/>
      <c r="B97" s="28"/>
      <c r="C97" s="28"/>
      <c r="D97" s="28"/>
      <c r="E97" s="28"/>
      <c r="F97" s="28"/>
      <c r="G97" s="28"/>
    </row>
    <row r="98" spans="1:7" ht="68.25" customHeight="1" x14ac:dyDescent="0.25">
      <c r="A98" s="28"/>
      <c r="B98" s="28"/>
      <c r="C98" s="28"/>
      <c r="D98" s="28"/>
      <c r="E98" s="28"/>
      <c r="F98" s="28"/>
      <c r="G98" s="28"/>
    </row>
    <row r="99" spans="1:7" ht="68.25" customHeight="1" x14ac:dyDescent="0.25">
      <c r="A99" s="28"/>
      <c r="B99" s="28"/>
      <c r="C99" s="28"/>
      <c r="D99" s="28"/>
      <c r="E99" s="28"/>
      <c r="F99" s="28"/>
      <c r="G99" s="28"/>
    </row>
    <row r="100" spans="1:7" ht="68.25" customHeight="1" x14ac:dyDescent="0.25">
      <c r="A100" s="28"/>
      <c r="B100" s="28"/>
      <c r="C100" s="28"/>
      <c r="D100" s="28"/>
      <c r="E100" s="28"/>
      <c r="F100" s="28"/>
      <c r="G100" s="28"/>
    </row>
    <row r="101" spans="1:7" ht="68.25" customHeight="1" x14ac:dyDescent="0.25">
      <c r="A101" s="28"/>
      <c r="B101" s="28"/>
      <c r="C101" s="28"/>
      <c r="D101" s="28"/>
      <c r="E101" s="28"/>
      <c r="F101" s="28"/>
      <c r="G101" s="28"/>
    </row>
    <row r="102" spans="1:7" ht="68.25" customHeight="1" x14ac:dyDescent="0.25">
      <c r="A102" s="28"/>
      <c r="B102" s="28"/>
      <c r="C102" s="28"/>
      <c r="D102" s="28"/>
      <c r="E102" s="28"/>
      <c r="F102" s="28"/>
      <c r="G102" s="28"/>
    </row>
    <row r="103" spans="1:7" ht="68.25" customHeight="1" x14ac:dyDescent="0.25">
      <c r="A103" s="28"/>
      <c r="B103" s="28"/>
      <c r="C103" s="28"/>
      <c r="D103" s="28"/>
      <c r="E103" s="28"/>
      <c r="F103" s="28"/>
      <c r="G103" s="28"/>
    </row>
    <row r="104" spans="1:7" ht="68.25" customHeight="1" x14ac:dyDescent="0.25">
      <c r="A104" s="28"/>
      <c r="B104" s="28"/>
      <c r="C104" s="28"/>
      <c r="D104" s="28"/>
      <c r="E104" s="28"/>
      <c r="F104" s="28"/>
      <c r="G104" s="28"/>
    </row>
    <row r="105" spans="1:7" ht="68.25" customHeight="1" x14ac:dyDescent="0.25">
      <c r="A105" s="28"/>
      <c r="B105" s="28"/>
      <c r="C105" s="28"/>
      <c r="D105" s="28"/>
      <c r="E105" s="28"/>
      <c r="F105" s="28"/>
      <c r="G105" s="28"/>
    </row>
    <row r="106" spans="1:7" ht="68.25" customHeight="1" x14ac:dyDescent="0.25">
      <c r="A106" s="28"/>
      <c r="B106" s="28"/>
      <c r="C106" s="28"/>
      <c r="D106" s="28"/>
      <c r="E106" s="28"/>
      <c r="F106" s="28"/>
      <c r="G106" s="28"/>
    </row>
    <row r="107" spans="1:7" ht="68.25" customHeight="1" x14ac:dyDescent="0.25">
      <c r="A107" s="28"/>
      <c r="B107" s="28"/>
      <c r="C107" s="28"/>
      <c r="D107" s="28"/>
      <c r="E107" s="28"/>
      <c r="F107" s="28"/>
      <c r="G107" s="28"/>
    </row>
    <row r="108" spans="1:7" ht="68.25" customHeight="1" x14ac:dyDescent="0.25">
      <c r="A108" s="28"/>
      <c r="B108" s="28"/>
      <c r="C108" s="28"/>
      <c r="D108" s="28"/>
      <c r="E108" s="28"/>
      <c r="F108" s="28"/>
      <c r="G108" s="28"/>
    </row>
    <row r="109" spans="1:7" ht="18.75" customHeight="1" x14ac:dyDescent="0.25">
      <c r="A109" s="28"/>
      <c r="B109" s="28"/>
      <c r="C109" s="28"/>
      <c r="D109" s="28"/>
      <c r="E109" s="28"/>
      <c r="F109" s="28"/>
      <c r="G109" s="28"/>
    </row>
    <row r="110" spans="1:7" x14ac:dyDescent="0.25">
      <c r="A110" s="28"/>
      <c r="B110" s="28"/>
      <c r="C110" s="28"/>
      <c r="D110" s="28"/>
      <c r="E110" s="28"/>
      <c r="F110" s="28"/>
      <c r="G110" s="28"/>
    </row>
    <row r="111" spans="1:7" x14ac:dyDescent="0.25">
      <c r="A111" s="28"/>
      <c r="B111" s="28"/>
      <c r="C111" s="28"/>
      <c r="D111" s="28"/>
      <c r="E111" s="28"/>
      <c r="F111" s="28"/>
      <c r="G111" s="28"/>
    </row>
    <row r="112" spans="1:7" x14ac:dyDescent="0.25">
      <c r="A112" s="28"/>
      <c r="B112" s="28"/>
      <c r="C112" s="28"/>
      <c r="D112" s="28"/>
      <c r="E112" s="28"/>
      <c r="F112" s="28"/>
      <c r="G112" s="28"/>
    </row>
    <row r="113" spans="1:7" x14ac:dyDescent="0.25">
      <c r="A113" s="28"/>
      <c r="B113" s="28"/>
      <c r="C113" s="28"/>
      <c r="D113" s="28"/>
      <c r="E113" s="28"/>
      <c r="F113" s="28"/>
      <c r="G113" s="28"/>
    </row>
    <row r="114" spans="1:7" x14ac:dyDescent="0.25">
      <c r="A114" s="28"/>
      <c r="B114" s="28"/>
      <c r="C114" s="28"/>
      <c r="D114" s="28"/>
      <c r="E114" s="28"/>
      <c r="F114" s="28"/>
      <c r="G114" s="28"/>
    </row>
    <row r="115" spans="1:7" x14ac:dyDescent="0.25">
      <c r="A115" s="28"/>
      <c r="B115" s="28"/>
      <c r="C115" s="28"/>
      <c r="D115" s="28"/>
      <c r="E115" s="28"/>
      <c r="F115" s="28"/>
      <c r="G115" s="28"/>
    </row>
    <row r="116" spans="1:7" x14ac:dyDescent="0.25">
      <c r="A116" s="28"/>
      <c r="B116" s="28"/>
      <c r="C116" s="28"/>
      <c r="D116" s="28"/>
      <c r="E116" s="28"/>
      <c r="F116" s="28"/>
      <c r="G116" s="28"/>
    </row>
    <row r="117" spans="1:7" x14ac:dyDescent="0.25">
      <c r="A117" s="28"/>
      <c r="B117" s="28"/>
      <c r="C117" s="28"/>
      <c r="D117" s="28"/>
      <c r="E117" s="28"/>
      <c r="F117" s="28"/>
      <c r="G117" s="28"/>
    </row>
    <row r="118" spans="1:7" x14ac:dyDescent="0.25">
      <c r="A118" s="28"/>
      <c r="B118" s="28"/>
      <c r="C118" s="28"/>
      <c r="D118" s="28"/>
      <c r="E118" s="28"/>
      <c r="F118" s="28"/>
      <c r="G118" s="28"/>
    </row>
  </sheetData>
  <autoFilter ref="A2:U39">
    <filterColumn colId="4">
      <filters blank="1">
        <filter val="Denúncia com menos de 12 meses de aviso prévio incorre nas multas previstas na cl. 6.3"/>
        <filter val="Sim,  mediante notificação com 180 dias da data pretendida para rescisão. Cl 6.2 do 3º Aditivo."/>
        <filter val="Sim, mediante notificação com 180 dias da data pretendida para rescisão. Cl. 1.4 do 4º aditivo._x000a_Recisão apenas de uma operação parcial o prazo de rescisão é de 90 dias"/>
        <filter val="Sim, mediante notificação com 30 dias da data pretendida para rescisão CL 10.2"/>
        <filter val="Sim, mediante notificação com 30 dias da data pretendida para rescisão CL 11.1.1"/>
        <filter val="Sim, mediante notificação com 30 dias da data pretendida para rescisão CL 11.2"/>
        <filter val="Sim, mediante notificação com 30 dias da data pretendida para rescisão, mas tem multa. CL 10"/>
        <filter val="Sim, mediante notificação com 30 dias da data pretendida para rescisão."/>
        <filter val="Sim, mediante notificação com 30 dias da data pretendida para rescisão. CL 10"/>
        <filter val="Sim, mediante notificação com 30 dias da data pretendida para rescisão. CL 6"/>
        <filter val="Sim, mediante notificação com 30 dias da data pretendida para rescisão. Cl. 9.2"/>
        <filter val="Sim, mediante notificação com 60 dias da data pretendida para rescisão, mas tem multa. CL 10"/>
      </filters>
    </filterColumn>
  </autoFilter>
  <mergeCells count="1">
    <mergeCell ref="A1:Q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Dinâmica Conteúdos</vt:lpstr>
      <vt:lpstr>Planilha3</vt:lpstr>
      <vt:lpstr>Planilha5</vt:lpstr>
      <vt:lpstr>Contratos de Conteúdo</vt:lpstr>
      <vt:lpstr>Contratos Diversos</vt:lpstr>
    </vt:vector>
  </TitlesOfParts>
  <Company>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De Mello Tavares Lopes</dc:creator>
  <cp:lastModifiedBy>Fernanda De Mello Tavares Lopes</cp:lastModifiedBy>
  <dcterms:created xsi:type="dcterms:W3CDTF">2024-05-15T20:50:42Z</dcterms:created>
  <dcterms:modified xsi:type="dcterms:W3CDTF">2024-10-30T10:25:08Z</dcterms:modified>
</cp:coreProperties>
</file>