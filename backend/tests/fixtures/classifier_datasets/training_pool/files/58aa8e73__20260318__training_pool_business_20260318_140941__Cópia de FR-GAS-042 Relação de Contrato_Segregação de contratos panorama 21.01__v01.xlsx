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10 - Controle de contratos\"/>
    </mc:Choice>
  </mc:AlternateContent>
  <bookViews>
    <workbookView xWindow="0" yWindow="0" windowWidth="17895" windowHeight="8670" tabRatio="841" firstSheet="9" activeTab="13"/>
  </bookViews>
  <sheets>
    <sheet name="Base" sheetId="1" state="hidden" r:id="rId1"/>
    <sheet name="Analise contratos" sheetId="27" state="hidden" r:id="rId2"/>
    <sheet name="Planilha5" sheetId="26" state="hidden" r:id="rId3"/>
    <sheet name="Planilha2" sheetId="24" state="hidden" r:id="rId4"/>
    <sheet name="Planilha1" sheetId="23" state="hidden" r:id="rId5"/>
    <sheet name="Segregado" sheetId="15" state="hidden" r:id="rId6"/>
    <sheet name="Base - (152" sheetId="33" r:id="rId7"/>
    <sheet name="Comodato" sheetId="43" state="hidden" r:id="rId8"/>
    <sheet name="Somente TAHTO (109)" sheetId="39" r:id="rId9"/>
    <sheet name="Gestão TAHTO  OI preamb (15)" sheetId="37" r:id="rId10"/>
    <sheet name="Gestão Oi -TAHTO no preamb(22)" sheetId="34" r:id="rId11"/>
    <sheet name="Somente OI - (4)" sheetId="38" r:id="rId12"/>
    <sheet name="excluídos 24.11.25" sheetId="35" r:id="rId13"/>
    <sheet name="Resumo - em andamento" sheetId="42" r:id="rId14"/>
    <sheet name="Controle Passivo Fornecedores" sheetId="18" state="hidden" r:id="rId15"/>
    <sheet name="Rel. SAP SALDO março.25" sheetId="25" state="hidden" r:id="rId16"/>
    <sheet name="REVER" sheetId="14" state="hidden" r:id="rId17"/>
    <sheet name="legenda" sheetId="7" state="hidden" r:id="rId18"/>
    <sheet name="Material" sheetId="6" state="hidden" r:id="rId19"/>
    <sheet name="VENCIDOS ATÉ 06.24" sheetId="12" state="hidden" r:id="rId20"/>
    <sheet name="A5" sheetId="13" state="hidden" r:id="rId21"/>
    <sheet name="Planilha4" sheetId="5" state="hidden" r:id="rId22"/>
    <sheet name="Planilha3" sheetId="4" state="hidden" r:id="rId23"/>
  </sheets>
  <externalReferences>
    <externalReference r:id="rId24"/>
  </externalReferences>
  <definedNames>
    <definedName name="_xlnm._FilterDatabase" localSheetId="0" hidden="1">Base!$A$2:$X$161</definedName>
    <definedName name="_xlnm._FilterDatabase" localSheetId="6" hidden="1">'Base - (152'!$A$2:$X$154</definedName>
    <definedName name="_xlnm._FilterDatabase" localSheetId="14" hidden="1">'Controle Passivo Fornecedores'!$A$1:$W$1</definedName>
    <definedName name="_xlnm._FilterDatabase" localSheetId="12" hidden="1">'excluídos 24.11.25'!$A$1:$X$68</definedName>
    <definedName name="_xlnm._FilterDatabase" localSheetId="10" hidden="1">'Gestão Oi -TAHTO no preamb(22)'!$A$2:$Y$24</definedName>
    <definedName name="_xlnm._FilterDatabase" localSheetId="9" hidden="1">'Gestão TAHTO  OI preamb (15)'!$A$1:$X$17</definedName>
    <definedName name="_xlnm._FilterDatabase" localSheetId="15" hidden="1">'Rel. SAP SALDO março.25'!$A$1:$I$189</definedName>
    <definedName name="_xlnm._FilterDatabase" localSheetId="5" hidden="1">Segregado!$A$1:$V$42</definedName>
    <definedName name="_xlnm._FilterDatabase" localSheetId="8" hidden="1">'Somente TAHTO (109)'!$A$2:$X$111</definedName>
    <definedName name="_xlnm._FilterDatabase" localSheetId="19" hidden="1">'VENCIDOS ATÉ 06.24'!$A$5:$AA$36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0" i="35" l="1"/>
  <c r="S80" i="35"/>
  <c r="Q79" i="35"/>
  <c r="S79" i="35"/>
  <c r="Q17" i="37" l="1"/>
  <c r="R17" i="37" s="1"/>
  <c r="Q111" i="39"/>
  <c r="Q110" i="39"/>
  <c r="Q109" i="39"/>
  <c r="Q108" i="39"/>
  <c r="R107" i="39" l="1"/>
  <c r="R153" i="33"/>
  <c r="S106" i="39" l="1"/>
  <c r="Q106" i="39"/>
  <c r="Q154" i="33"/>
  <c r="Q151" i="33" l="1"/>
  <c r="Q150" i="33"/>
  <c r="Q149" i="33"/>
  <c r="Q148" i="33"/>
  <c r="S147" i="33" l="1"/>
  <c r="Q147" i="33"/>
  <c r="Q78" i="35"/>
  <c r="R78" i="35" s="1"/>
  <c r="Q77" i="35"/>
  <c r="R77" i="35" s="1"/>
  <c r="Q76" i="35"/>
  <c r="R76" i="35" s="1"/>
  <c r="Q75" i="35"/>
  <c r="R75" i="35" s="1"/>
  <c r="Q74" i="35"/>
  <c r="R74" i="35" s="1"/>
  <c r="Q73" i="35"/>
  <c r="R73" i="35" s="1"/>
  <c r="Q72" i="35"/>
  <c r="R72" i="35" s="1"/>
  <c r="Q71" i="35"/>
  <c r="R71" i="35" s="1"/>
  <c r="Q70" i="35" l="1"/>
  <c r="R70" i="35" s="1"/>
  <c r="Q69" i="35"/>
  <c r="R69" i="35" s="1"/>
  <c r="Q68" i="35"/>
  <c r="R68" i="35" s="1"/>
  <c r="Q67" i="35"/>
  <c r="R67" i="35" s="1"/>
  <c r="Q145" i="33"/>
  <c r="R145" i="33" s="1"/>
  <c r="Q66" i="35"/>
  <c r="R66" i="35" s="1"/>
  <c r="Q65" i="35"/>
  <c r="R65" i="35" s="1"/>
  <c r="Q64" i="35"/>
  <c r="R64" i="35" s="1"/>
  <c r="Q63" i="35"/>
  <c r="R63" i="35" s="1"/>
  <c r="Q62" i="35"/>
  <c r="R62" i="35" s="1"/>
  <c r="Q61" i="35"/>
  <c r="R61" i="35" s="1"/>
  <c r="Q60" i="35"/>
  <c r="R60" i="35" s="1"/>
  <c r="Q59" i="35"/>
  <c r="R59" i="35" s="1"/>
  <c r="Q58" i="35"/>
  <c r="R58" i="35" s="1"/>
  <c r="Q57" i="35"/>
  <c r="R57" i="35" s="1"/>
  <c r="Q56" i="35"/>
  <c r="R56" i="35" s="1"/>
  <c r="Q55" i="35"/>
  <c r="R55" i="35" s="1"/>
  <c r="Q54" i="35"/>
  <c r="R54" i="35" s="1"/>
  <c r="Q53" i="35"/>
  <c r="R53" i="35" s="1"/>
  <c r="Q52" i="35" l="1"/>
  <c r="R52" i="35" s="1"/>
  <c r="Q51" i="35"/>
  <c r="R51" i="35" s="1"/>
  <c r="Q50" i="35"/>
  <c r="R50" i="35" s="1"/>
  <c r="Q49" i="35"/>
  <c r="R49" i="35" s="1"/>
  <c r="Q48" i="35"/>
  <c r="R48" i="35" s="1"/>
  <c r="Q47" i="35"/>
  <c r="R47" i="35" s="1"/>
  <c r="S6" i="33"/>
  <c r="Q6" i="33"/>
  <c r="Q23" i="34"/>
  <c r="R23" i="34" s="1"/>
  <c r="Q104" i="39"/>
  <c r="R104" i="39" s="1"/>
  <c r="Q103" i="39"/>
  <c r="Q143" i="33"/>
  <c r="Q45" i="35" l="1"/>
  <c r="S45" i="35"/>
  <c r="Q22" i="34" l="1"/>
  <c r="S22" i="34"/>
  <c r="Q102" i="39" l="1"/>
  <c r="R102" i="39" s="1"/>
  <c r="Q44" i="35" l="1"/>
  <c r="S44" i="35"/>
  <c r="Q141" i="33"/>
  <c r="R141" i="33" s="1"/>
  <c r="S140" i="33"/>
  <c r="Q140" i="33"/>
  <c r="S139" i="33"/>
  <c r="Q139" i="33"/>
  <c r="S138" i="33"/>
  <c r="Q138" i="33"/>
  <c r="S137" i="33"/>
  <c r="Q137" i="33"/>
  <c r="Q136" i="33"/>
  <c r="R136" i="33" s="1"/>
  <c r="Q135" i="33"/>
  <c r="R135" i="33" s="1"/>
  <c r="Q134" i="33"/>
  <c r="R134" i="33" s="1"/>
  <c r="Q133" i="33"/>
  <c r="R133" i="33" s="1"/>
  <c r="Q132" i="33"/>
  <c r="R132" i="33" s="1"/>
  <c r="Q131" i="33"/>
  <c r="R131" i="33" s="1"/>
  <c r="Q130" i="33"/>
  <c r="R130" i="33" s="1"/>
  <c r="Q129" i="33"/>
  <c r="R129" i="33" s="1"/>
  <c r="Q128" i="33"/>
  <c r="R128" i="33" s="1"/>
  <c r="Q127" i="33"/>
  <c r="R127" i="33" s="1"/>
  <c r="Q126" i="33"/>
  <c r="R126" i="33" s="1"/>
  <c r="Q125" i="33"/>
  <c r="R125" i="33" s="1"/>
  <c r="Q124" i="33"/>
  <c r="R124" i="33" s="1"/>
  <c r="Q123" i="33"/>
  <c r="R123" i="33" s="1"/>
  <c r="Q122" i="33"/>
  <c r="R122" i="33" s="1"/>
  <c r="Q121" i="33"/>
  <c r="R121" i="33" s="1"/>
  <c r="Q120" i="33"/>
  <c r="R120" i="33" s="1"/>
  <c r="Q119" i="33"/>
  <c r="R119" i="33" s="1"/>
  <c r="Q118" i="33"/>
  <c r="R118" i="33" s="1"/>
  <c r="Q117" i="33"/>
  <c r="R117" i="33" s="1"/>
  <c r="Q116" i="33"/>
  <c r="R116" i="33" s="1"/>
  <c r="Q115" i="33"/>
  <c r="R115" i="33" s="1"/>
  <c r="Q114" i="33"/>
  <c r="R114" i="33" s="1"/>
  <c r="Q113" i="33"/>
  <c r="R113" i="33" s="1"/>
  <c r="Q112" i="33"/>
  <c r="R112" i="33" s="1"/>
  <c r="Q111" i="33"/>
  <c r="R111" i="33" s="1"/>
  <c r="Q110" i="33"/>
  <c r="R110" i="33" s="1"/>
  <c r="Q109" i="33"/>
  <c r="R109" i="33" s="1"/>
  <c r="Q108" i="33"/>
  <c r="R108" i="33" s="1"/>
  <c r="Q107" i="33"/>
  <c r="R107" i="33" s="1"/>
  <c r="Q106" i="33"/>
  <c r="R106" i="33" s="1"/>
  <c r="Q105" i="33"/>
  <c r="R105" i="33" s="1"/>
  <c r="Q104" i="33"/>
  <c r="R104" i="33" s="1"/>
  <c r="Q103" i="33"/>
  <c r="R103" i="33" s="1"/>
  <c r="Q102" i="33"/>
  <c r="R102" i="33" s="1"/>
  <c r="Q101" i="33"/>
  <c r="R101" i="33" s="1"/>
  <c r="Q100" i="33"/>
  <c r="R100" i="33" s="1"/>
  <c r="Q99" i="33"/>
  <c r="R99" i="33" s="1"/>
  <c r="Q98" i="33"/>
  <c r="R98" i="33" s="1"/>
  <c r="Q97" i="33"/>
  <c r="R97" i="33" s="1"/>
  <c r="Q96" i="33"/>
  <c r="R96" i="33" s="1"/>
  <c r="Q95" i="33"/>
  <c r="R95" i="33" s="1"/>
  <c r="Q94" i="33"/>
  <c r="R94" i="33" s="1"/>
  <c r="K94" i="33"/>
  <c r="Q93" i="33"/>
  <c r="R93" i="33" s="1"/>
  <c r="Q92" i="33"/>
  <c r="R92" i="33" s="1"/>
  <c r="K92" i="33"/>
  <c r="Q91" i="33"/>
  <c r="R91" i="33" s="1"/>
  <c r="Q90" i="33"/>
  <c r="R90" i="33" s="1"/>
  <c r="Q89" i="33"/>
  <c r="R89" i="33" s="1"/>
  <c r="Q88" i="33"/>
  <c r="R88" i="33" s="1"/>
  <c r="Q87" i="33"/>
  <c r="R87" i="33" s="1"/>
  <c r="Q86" i="33"/>
  <c r="R86" i="33" s="1"/>
  <c r="Q85" i="33"/>
  <c r="R85" i="33" s="1"/>
  <c r="Q84" i="33"/>
  <c r="R84" i="33" s="1"/>
  <c r="Q83" i="33"/>
  <c r="R83" i="33" s="1"/>
  <c r="Q82" i="33"/>
  <c r="R82" i="33" s="1"/>
  <c r="Q81" i="33"/>
  <c r="R81" i="33" s="1"/>
  <c r="Q80" i="33"/>
  <c r="R80" i="33" s="1"/>
  <c r="Q79" i="33"/>
  <c r="R79" i="33" s="1"/>
  <c r="Q78" i="33"/>
  <c r="R78" i="33" s="1"/>
  <c r="Q77" i="33"/>
  <c r="R77" i="33" s="1"/>
  <c r="Q76" i="33"/>
  <c r="R76" i="33" s="1"/>
  <c r="Q75" i="33"/>
  <c r="R75" i="33" s="1"/>
  <c r="Q74" i="33"/>
  <c r="R74" i="33" s="1"/>
  <c r="Q73" i="33"/>
  <c r="R73" i="33" s="1"/>
  <c r="Q72" i="33"/>
  <c r="R72" i="33" s="1"/>
  <c r="Q71" i="33"/>
  <c r="R71" i="33" s="1"/>
  <c r="Q70" i="33"/>
  <c r="R70" i="33" s="1"/>
  <c r="Q69" i="33"/>
  <c r="R69" i="33" s="1"/>
  <c r="Q68" i="33"/>
  <c r="R68" i="33" s="1"/>
  <c r="Q67" i="33"/>
  <c r="R67" i="33" s="1"/>
  <c r="Q66" i="33"/>
  <c r="R66" i="33" s="1"/>
  <c r="Q65" i="33"/>
  <c r="R65" i="33" s="1"/>
  <c r="Q64" i="33"/>
  <c r="R64" i="33" s="1"/>
  <c r="Q63" i="33"/>
  <c r="R63" i="33" s="1"/>
  <c r="Q62" i="33"/>
  <c r="R62" i="33" s="1"/>
  <c r="Q61" i="33"/>
  <c r="R61" i="33" s="1"/>
  <c r="Q60" i="33"/>
  <c r="R60" i="33" s="1"/>
  <c r="Q59" i="33"/>
  <c r="R59" i="33" s="1"/>
  <c r="Q58" i="33"/>
  <c r="R58" i="33" s="1"/>
  <c r="Q57" i="33"/>
  <c r="R57" i="33" s="1"/>
  <c r="Q56" i="33"/>
  <c r="R56" i="33" s="1"/>
  <c r="Q55" i="33"/>
  <c r="R55" i="33" s="1"/>
  <c r="Q54" i="33"/>
  <c r="R54" i="33" s="1"/>
  <c r="Q53" i="33"/>
  <c r="R53" i="33" s="1"/>
  <c r="Q52" i="33"/>
  <c r="R52" i="33" s="1"/>
  <c r="Q51" i="33"/>
  <c r="R51" i="33" s="1"/>
  <c r="Q50" i="33"/>
  <c r="R50" i="33" s="1"/>
  <c r="Q49" i="33"/>
  <c r="R49" i="33" s="1"/>
  <c r="Q48" i="33"/>
  <c r="R48" i="33" s="1"/>
  <c r="Q47" i="33"/>
  <c r="R47" i="33" s="1"/>
  <c r="Q46" i="33"/>
  <c r="R46" i="33" s="1"/>
  <c r="Q45" i="33"/>
  <c r="R45" i="33" s="1"/>
  <c r="Q44" i="33"/>
  <c r="R44" i="33" s="1"/>
  <c r="Q43" i="33"/>
  <c r="R43" i="33" s="1"/>
  <c r="Q42" i="33"/>
  <c r="R42" i="33" s="1"/>
  <c r="Q41" i="33"/>
  <c r="R41" i="33" s="1"/>
  <c r="Q40" i="33"/>
  <c r="R40" i="33" s="1"/>
  <c r="Q39" i="33"/>
  <c r="R39" i="33" s="1"/>
  <c r="Q38" i="33"/>
  <c r="R38" i="33" s="1"/>
  <c r="Q37" i="33"/>
  <c r="R37" i="33" s="1"/>
  <c r="Q36" i="33"/>
  <c r="R36" i="33" s="1"/>
  <c r="Q35" i="33"/>
  <c r="R35" i="33" s="1"/>
  <c r="Q34" i="33"/>
  <c r="R34" i="33" s="1"/>
  <c r="Q33" i="33"/>
  <c r="R33" i="33" s="1"/>
  <c r="K33" i="33"/>
  <c r="Q32" i="33"/>
  <c r="R32" i="33" s="1"/>
  <c r="Q31" i="33"/>
  <c r="R31" i="33" s="1"/>
  <c r="Q30" i="33"/>
  <c r="R30" i="33" s="1"/>
  <c r="Q29" i="33"/>
  <c r="R29" i="33" s="1"/>
  <c r="Q28" i="33"/>
  <c r="R28" i="33" s="1"/>
  <c r="Q27" i="33"/>
  <c r="R27" i="33" s="1"/>
  <c r="Q26" i="33"/>
  <c r="R26" i="33" s="1"/>
  <c r="Q25" i="33"/>
  <c r="R25" i="33" s="1"/>
  <c r="Q24" i="33"/>
  <c r="R24" i="33" s="1"/>
  <c r="Q23" i="33"/>
  <c r="R23" i="33" s="1"/>
  <c r="Q101" i="39"/>
  <c r="R101" i="39" s="1"/>
  <c r="Q100" i="39"/>
  <c r="R100" i="39" s="1"/>
  <c r="Q99" i="39"/>
  <c r="R99" i="39" s="1"/>
  <c r="Q98" i="39"/>
  <c r="R98" i="39" s="1"/>
  <c r="Q97" i="39"/>
  <c r="R97" i="39" s="1"/>
  <c r="Q96" i="39"/>
  <c r="R96" i="39" s="1"/>
  <c r="Q95" i="39"/>
  <c r="R95" i="39" s="1"/>
  <c r="Q94" i="39"/>
  <c r="R94" i="39" s="1"/>
  <c r="Q93" i="39"/>
  <c r="R93" i="39" s="1"/>
  <c r="Q92" i="39"/>
  <c r="R92" i="39" s="1"/>
  <c r="Q91" i="39"/>
  <c r="R91" i="39" s="1"/>
  <c r="Q90" i="39"/>
  <c r="R90" i="39" s="1"/>
  <c r="Q89" i="39"/>
  <c r="R89" i="39" s="1"/>
  <c r="Q88" i="39"/>
  <c r="R88" i="39" s="1"/>
  <c r="Q87" i="39"/>
  <c r="R87" i="39" s="1"/>
  <c r="Q86" i="39"/>
  <c r="R86" i="39" s="1"/>
  <c r="Q85" i="39"/>
  <c r="R85" i="39" s="1"/>
  <c r="Q84" i="39"/>
  <c r="R84" i="39" s="1"/>
  <c r="Q83" i="39"/>
  <c r="R83" i="39" s="1"/>
  <c r="Q82" i="39"/>
  <c r="R82" i="39" s="1"/>
  <c r="Q81" i="39"/>
  <c r="R81" i="39" s="1"/>
  <c r="Q80" i="39"/>
  <c r="R80" i="39" s="1"/>
  <c r="Q79" i="39"/>
  <c r="R79" i="39" s="1"/>
  <c r="Q78" i="39"/>
  <c r="R78" i="39" s="1"/>
  <c r="Q77" i="39"/>
  <c r="R77" i="39" s="1"/>
  <c r="K77" i="39"/>
  <c r="Q76" i="39"/>
  <c r="R76" i="39" s="1"/>
  <c r="Q75" i="39"/>
  <c r="R75" i="39" s="1"/>
  <c r="K75" i="39"/>
  <c r="Q74" i="39"/>
  <c r="R74" i="39" s="1"/>
  <c r="Q73" i="39"/>
  <c r="R73" i="39" s="1"/>
  <c r="Q72" i="39"/>
  <c r="R72" i="39" s="1"/>
  <c r="Q71" i="39"/>
  <c r="R71" i="39" s="1"/>
  <c r="Q70" i="39"/>
  <c r="R70" i="39" s="1"/>
  <c r="Q69" i="39"/>
  <c r="R69" i="39" s="1"/>
  <c r="Q68" i="39"/>
  <c r="R68" i="39" s="1"/>
  <c r="Q67" i="39"/>
  <c r="R67" i="39" s="1"/>
  <c r="Q66" i="39"/>
  <c r="R66" i="39" s="1"/>
  <c r="Q65" i="39"/>
  <c r="R65" i="39" s="1"/>
  <c r="Q64" i="39"/>
  <c r="R64" i="39" s="1"/>
  <c r="Q63" i="39"/>
  <c r="R63" i="39" s="1"/>
  <c r="Q62" i="39"/>
  <c r="R62" i="39" s="1"/>
  <c r="Q61" i="39"/>
  <c r="R61" i="39" s="1"/>
  <c r="Q60" i="39"/>
  <c r="R60" i="39" s="1"/>
  <c r="Q59" i="39"/>
  <c r="R59" i="39" s="1"/>
  <c r="Q58" i="39"/>
  <c r="R58" i="39" s="1"/>
  <c r="Q57" i="39"/>
  <c r="R57" i="39" s="1"/>
  <c r="Q56" i="39"/>
  <c r="R56" i="39" s="1"/>
  <c r="Q55" i="39"/>
  <c r="R55" i="39" s="1"/>
  <c r="Q54" i="39"/>
  <c r="R54" i="39" s="1"/>
  <c r="Q53" i="39"/>
  <c r="R53" i="39" s="1"/>
  <c r="Q52" i="39"/>
  <c r="R52" i="39" s="1"/>
  <c r="Q51" i="39"/>
  <c r="R51" i="39" s="1"/>
  <c r="Q50" i="39"/>
  <c r="R50" i="39" s="1"/>
  <c r="Q49" i="39"/>
  <c r="R49" i="39" s="1"/>
  <c r="Q48" i="39"/>
  <c r="R48" i="39" s="1"/>
  <c r="Q47" i="39"/>
  <c r="R47" i="39" s="1"/>
  <c r="Q46" i="39"/>
  <c r="R46" i="39" s="1"/>
  <c r="Q45" i="39"/>
  <c r="R45" i="39" s="1"/>
  <c r="Q44" i="39"/>
  <c r="R44" i="39" s="1"/>
  <c r="Q43" i="39"/>
  <c r="R43" i="39" s="1"/>
  <c r="Q42" i="39"/>
  <c r="R42" i="39" s="1"/>
  <c r="Q41" i="39"/>
  <c r="R41" i="39" s="1"/>
  <c r="Q40" i="39"/>
  <c r="R40" i="39" s="1"/>
  <c r="Q39" i="39"/>
  <c r="R39" i="39" s="1"/>
  <c r="Q38" i="39"/>
  <c r="R38" i="39" s="1"/>
  <c r="Q37" i="39"/>
  <c r="R37" i="39" s="1"/>
  <c r="Q36" i="39"/>
  <c r="R36" i="39" s="1"/>
  <c r="Q35" i="39"/>
  <c r="R35" i="39" s="1"/>
  <c r="Q34" i="39"/>
  <c r="R34" i="39" s="1"/>
  <c r="Q33" i="39"/>
  <c r="R33" i="39" s="1"/>
  <c r="Q32" i="39"/>
  <c r="R32" i="39" s="1"/>
  <c r="Q31" i="39"/>
  <c r="R31" i="39" s="1"/>
  <c r="Q30" i="39"/>
  <c r="R30" i="39" s="1"/>
  <c r="Q29" i="39"/>
  <c r="R29" i="39" s="1"/>
  <c r="Q28" i="39"/>
  <c r="R28" i="39" s="1"/>
  <c r="Q27" i="39"/>
  <c r="R27" i="39" s="1"/>
  <c r="Q26" i="39"/>
  <c r="R26" i="39" s="1"/>
  <c r="Q25" i="39"/>
  <c r="R25" i="39" s="1"/>
  <c r="Q24" i="39"/>
  <c r="R24" i="39" s="1"/>
  <c r="Q23" i="39"/>
  <c r="R23" i="39" s="1"/>
  <c r="Q22" i="39"/>
  <c r="R22" i="39" s="1"/>
  <c r="Q21" i="39"/>
  <c r="R21" i="39" s="1"/>
  <c r="Q20" i="39"/>
  <c r="R20" i="39" s="1"/>
  <c r="Q19" i="39"/>
  <c r="R19" i="39" s="1"/>
  <c r="Q18" i="39"/>
  <c r="R18" i="39" s="1"/>
  <c r="Q17" i="39"/>
  <c r="R17" i="39" s="1"/>
  <c r="Q16" i="39"/>
  <c r="R16" i="39" s="1"/>
  <c r="Q15" i="39"/>
  <c r="R15" i="39" s="1"/>
  <c r="Q14" i="39"/>
  <c r="R14" i="39" s="1"/>
  <c r="Q13" i="39"/>
  <c r="R13" i="39" s="1"/>
  <c r="K13" i="39"/>
  <c r="Q12" i="39"/>
  <c r="Q11" i="39"/>
  <c r="R11" i="39" s="1"/>
  <c r="Q10" i="39"/>
  <c r="R10" i="39" s="1"/>
  <c r="Q9" i="39"/>
  <c r="R9" i="39" s="1"/>
  <c r="Q8" i="39"/>
  <c r="R8" i="39" s="1"/>
  <c r="Q7" i="39"/>
  <c r="R7" i="39" s="1"/>
  <c r="Q6" i="39"/>
  <c r="R6" i="39" s="1"/>
  <c r="Q5" i="39"/>
  <c r="R5" i="39" s="1"/>
  <c r="Q4" i="39"/>
  <c r="R4" i="39" s="1"/>
  <c r="Q3" i="39"/>
  <c r="R3" i="39" s="1"/>
  <c r="S3" i="38"/>
  <c r="Q3" i="38"/>
  <c r="S2" i="38" l="1"/>
  <c r="Q2" i="38"/>
  <c r="Q16" i="37"/>
  <c r="R16" i="37" s="1"/>
  <c r="Q15" i="37"/>
  <c r="R15" i="37" s="1"/>
  <c r="Q14" i="37"/>
  <c r="R14" i="37" s="1"/>
  <c r="Q13" i="37"/>
  <c r="R13" i="37" s="1"/>
  <c r="Q12" i="37"/>
  <c r="R12" i="37" s="1"/>
  <c r="Q11" i="37"/>
  <c r="R11" i="37" s="1"/>
  <c r="Q10" i="37"/>
  <c r="R10" i="37" s="1"/>
  <c r="Q9" i="37"/>
  <c r="R9" i="37" s="1"/>
  <c r="Q8" i="37"/>
  <c r="R8" i="37" s="1"/>
  <c r="Q7" i="37"/>
  <c r="R7" i="37" s="1"/>
  <c r="Q6" i="37"/>
  <c r="R6" i="37" s="1"/>
  <c r="Q5" i="37"/>
  <c r="R5" i="37" s="1"/>
  <c r="Q4" i="37"/>
  <c r="R4" i="37" s="1"/>
  <c r="Q43" i="35"/>
  <c r="R43" i="35" s="1"/>
  <c r="Q42" i="35"/>
  <c r="R42" i="35" s="1"/>
  <c r="Q41" i="35"/>
  <c r="R41" i="35" s="1"/>
  <c r="Q40" i="35"/>
  <c r="R40" i="35" s="1"/>
  <c r="Q39" i="35"/>
  <c r="R39" i="35" s="1"/>
  <c r="Q3" i="37"/>
  <c r="R3" i="37" s="1"/>
  <c r="Q2" i="37"/>
  <c r="R2" i="37" s="1"/>
  <c r="Q38" i="35" l="1"/>
  <c r="R38" i="35" s="1"/>
  <c r="Q21" i="34"/>
  <c r="R21" i="34" s="1"/>
  <c r="Q56" i="1" l="1"/>
  <c r="S56" i="1"/>
  <c r="Q111" i="1"/>
  <c r="S111" i="1"/>
  <c r="Q46" i="1"/>
  <c r="S46" i="1"/>
  <c r="S76" i="1"/>
  <c r="Q76" i="1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4"/>
  <c r="S6" i="34"/>
  <c r="S5" i="34"/>
  <c r="S4" i="34"/>
  <c r="S3" i="34"/>
  <c r="Q20" i="34"/>
  <c r="Q19" i="34"/>
  <c r="Q18" i="34"/>
  <c r="Q17" i="34"/>
  <c r="Q16" i="34"/>
  <c r="Q15" i="34"/>
  <c r="Q14" i="34"/>
  <c r="Q13" i="34"/>
  <c r="Q12" i="34"/>
  <c r="Q11" i="34"/>
  <c r="Q10" i="34"/>
  <c r="Q9" i="34"/>
  <c r="Q8" i="34"/>
  <c r="Q7" i="34"/>
  <c r="Q6" i="34"/>
  <c r="Q5" i="34"/>
  <c r="Q4" i="34"/>
  <c r="Q3" i="34"/>
  <c r="Q22" i="33"/>
  <c r="R22" i="33" s="1"/>
  <c r="Q21" i="33"/>
  <c r="R21" i="33" s="1"/>
  <c r="Q20" i="33"/>
  <c r="R20" i="33" s="1"/>
  <c r="Q18" i="33"/>
  <c r="R18" i="33" s="1"/>
  <c r="Q17" i="33"/>
  <c r="R17" i="33" s="1"/>
  <c r="Q16" i="33"/>
  <c r="R16" i="33" s="1"/>
  <c r="Q15" i="33"/>
  <c r="R15" i="33" s="1"/>
  <c r="Q14" i="33"/>
  <c r="R14" i="33" s="1"/>
  <c r="Q13" i="33"/>
  <c r="R13" i="33" s="1"/>
  <c r="Q12" i="33"/>
  <c r="R12" i="33" s="1"/>
  <c r="Q11" i="33"/>
  <c r="R11" i="33" s="1"/>
  <c r="Q10" i="33"/>
  <c r="R10" i="33" s="1"/>
  <c r="Q9" i="33"/>
  <c r="R9" i="33" s="1"/>
  <c r="Q8" i="33"/>
  <c r="R8" i="33" s="1"/>
  <c r="Q7" i="33"/>
  <c r="R7" i="33" s="1"/>
  <c r="Q5" i="33"/>
  <c r="R5" i="33" s="1"/>
  <c r="Q4" i="33"/>
  <c r="R4" i="33" s="1"/>
  <c r="Q3" i="33"/>
  <c r="R3" i="33" s="1"/>
  <c r="K20" i="35" l="1"/>
  <c r="B6" i="27" l="1"/>
  <c r="K22" i="1"/>
  <c r="K31" i="1"/>
  <c r="K123" i="1"/>
  <c r="K125" i="1"/>
  <c r="E7" i="26" l="1"/>
  <c r="Q36" i="12" l="1"/>
  <c r="N36" i="12"/>
  <c r="Q35" i="12"/>
  <c r="N35" i="12"/>
  <c r="N34" i="12"/>
  <c r="Q33" i="12"/>
  <c r="O33" i="12"/>
  <c r="N33" i="12"/>
  <c r="N32" i="12"/>
  <c r="Q31" i="12"/>
  <c r="N31" i="12"/>
  <c r="Q30" i="12"/>
  <c r="O30" i="12"/>
  <c r="N30" i="12"/>
  <c r="Q29" i="12"/>
  <c r="O29" i="12"/>
  <c r="N29" i="12"/>
  <c r="Q28" i="12"/>
  <c r="O28" i="12"/>
  <c r="N28" i="12"/>
  <c r="Q27" i="12"/>
  <c r="Q26" i="12"/>
  <c r="O26" i="12"/>
  <c r="N26" i="12"/>
  <c r="Q25" i="12"/>
  <c r="O25" i="12"/>
  <c r="N25" i="12"/>
  <c r="Q24" i="12"/>
  <c r="O24" i="12"/>
  <c r="N24" i="12"/>
  <c r="Q23" i="12"/>
  <c r="O23" i="12"/>
  <c r="N23" i="12"/>
  <c r="O22" i="12"/>
  <c r="N22" i="12"/>
  <c r="Q21" i="12"/>
  <c r="O21" i="12"/>
  <c r="N21" i="12"/>
  <c r="O20" i="12"/>
  <c r="N20" i="12"/>
  <c r="Q19" i="12"/>
  <c r="O19" i="12"/>
  <c r="N19" i="12"/>
  <c r="Q18" i="12"/>
  <c r="O18" i="12"/>
  <c r="N18" i="12"/>
  <c r="Q17" i="12"/>
  <c r="O17" i="12"/>
  <c r="N17" i="12"/>
  <c r="Q16" i="12"/>
  <c r="O16" i="12"/>
  <c r="N16" i="12"/>
  <c r="O15" i="12"/>
  <c r="N15" i="12"/>
  <c r="Q14" i="12"/>
  <c r="O14" i="12"/>
  <c r="N14" i="12"/>
  <c r="P13" i="12"/>
  <c r="Q13" i="12" s="1"/>
  <c r="N13" i="12"/>
  <c r="Q12" i="12"/>
  <c r="O12" i="12"/>
  <c r="N12" i="12"/>
  <c r="Q11" i="12"/>
  <c r="O11" i="12"/>
  <c r="N11" i="12"/>
  <c r="Q10" i="12"/>
  <c r="O10" i="12"/>
  <c r="N10" i="12"/>
  <c r="Q9" i="12"/>
  <c r="O9" i="12"/>
  <c r="N9" i="12"/>
  <c r="O8" i="12"/>
  <c r="N8" i="12"/>
  <c r="O7" i="12"/>
  <c r="N7" i="12"/>
  <c r="Q6" i="12"/>
  <c r="O6" i="12"/>
  <c r="N6" i="12"/>
</calcChain>
</file>

<file path=xl/comments1.xml><?xml version="1.0" encoding="utf-8"?>
<comments xmlns="http://schemas.openxmlformats.org/spreadsheetml/2006/main">
  <authors>
    <author>JACQUELINE PRADO CATHARINO</author>
    <author>Marcos Hipolito Ribeiro De Araujo</author>
    <author>Jacqueline Prado Catharino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4600055725 / 4600055726 / 4600056498</t>
        </r>
      </text>
    </comment>
    <comment ref="A13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4600058220 -CAPEX - NUNCA USADO</t>
        </r>
      </text>
    </comment>
    <comment ref="A16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4600058224 - OPEX</t>
        </r>
      </text>
    </comment>
    <comment ref="A17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1º ano - capex - 4600057517</t>
        </r>
      </text>
    </comment>
    <comment ref="A28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4600058078 - BRPE</t>
        </r>
      </text>
    </comment>
    <comment ref="M37" authorId="1" shapeId="0">
      <text>
        <r>
          <rPr>
            <b/>
            <sz val="9"/>
            <color indexed="81"/>
            <rFont val="Segoe UI"/>
            <family val="2"/>
          </rPr>
          <t>Marcos Hipolito Ribeiro De Araujo:</t>
        </r>
        <r>
          <rPr>
            <sz val="9"/>
            <color indexed="81"/>
            <rFont val="Segoe UI"/>
            <family val="2"/>
          </rPr>
          <t xml:space="preserve">
08/02/2019
</t>
        </r>
      </text>
    </comment>
    <comment ref="F58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NÃO TEM A TAHTO NO PREAMBULO</t>
        </r>
      </text>
    </comment>
    <comment ref="J119" authorId="2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Esta plataforma será responsável por ações de vendas, atendimento e suporte inteligente através dos principais canais de comunicação atuais, como WhatsApp, Instagram, Facebook, Google chat, TikTok, Messenger, Telegram e site, contendo informações pessoais cadastradas pelos clientes.
</t>
        </r>
      </text>
    </comment>
  </commentList>
</comments>
</file>

<file path=xl/comments2.xml><?xml version="1.0" encoding="utf-8"?>
<comments xmlns="http://schemas.openxmlformats.org/spreadsheetml/2006/main">
  <authors>
    <author>JACQUELINE PRADO CATHARINO</author>
    <author>Marcos Hipolito Ribeiro De Araujo</author>
    <author>Jacqueline Prado Catharino</author>
  </authors>
  <commentList>
    <comment ref="A30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1º ano - capex - 4600057517</t>
        </r>
      </text>
    </comment>
    <comment ref="A39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4600058078 - BRPE</t>
        </r>
      </text>
    </comment>
    <comment ref="M42" authorId="1" shapeId="0">
      <text>
        <r>
          <rPr>
            <b/>
            <sz val="9"/>
            <color indexed="81"/>
            <rFont val="Segoe UI"/>
            <family val="2"/>
          </rPr>
          <t>Marcos Hipolito Ribeiro De Araujo:</t>
        </r>
        <r>
          <rPr>
            <sz val="9"/>
            <color indexed="81"/>
            <rFont val="Segoe UI"/>
            <family val="2"/>
          </rPr>
          <t xml:space="preserve">
08/02/2019
</t>
        </r>
      </text>
    </comment>
    <comment ref="A120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4600058220 -CAPEX - NUNCA USADO</t>
        </r>
      </text>
    </comment>
    <comment ref="A122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4600058224 - OPEX</t>
        </r>
      </text>
    </comment>
    <comment ref="A138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4600055725 / 4600055726 / 4600056498</t>
        </r>
      </text>
    </comment>
    <comment ref="J141" authorId="2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Esta plataforma será responsável por ações de vendas, atendimento e suporte inteligente através dos principais canais de comunicação atuais, como WhatsApp, Instagram, Facebook, Google chat, TikTok, Messenger, Telegram e site, contendo informações pessoais cadastradas pelos clientes.
</t>
        </r>
      </text>
    </comment>
  </commentList>
</comments>
</file>

<file path=xl/comments3.xml><?xml version="1.0" encoding="utf-8"?>
<comments xmlns="http://schemas.openxmlformats.org/spreadsheetml/2006/main">
  <authors>
    <author>JACQUELINE PRADO CATHARINO</author>
    <author>Marcos Hipolito Ribeiro De Araujo</author>
  </authors>
  <commentList>
    <comment ref="A10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1º ano - capex - 4600057517</t>
        </r>
      </text>
    </comment>
    <comment ref="A19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4600058078 - BRPE</t>
        </r>
      </text>
    </comment>
    <comment ref="M22" authorId="1" shapeId="0">
      <text>
        <r>
          <rPr>
            <b/>
            <sz val="9"/>
            <color indexed="81"/>
            <rFont val="Segoe UI"/>
            <family val="2"/>
          </rPr>
          <t>Marcos Hipolito Ribeiro De Araujo:</t>
        </r>
        <r>
          <rPr>
            <sz val="9"/>
            <color indexed="81"/>
            <rFont val="Segoe UI"/>
            <family val="2"/>
          </rPr>
          <t xml:space="preserve">
08/02/2019
</t>
        </r>
      </text>
    </comment>
    <comment ref="A102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4600058220 -CAPEX - NUNCA USADO</t>
        </r>
      </text>
    </comment>
  </commentList>
</comments>
</file>

<file path=xl/comments4.xml><?xml version="1.0" encoding="utf-8"?>
<comments xmlns="http://schemas.openxmlformats.org/spreadsheetml/2006/main">
  <authors>
    <author>JACQUELINE PRADO CATHARINO</author>
  </authors>
  <commentList>
    <comment ref="A3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4600058224 - OPEX</t>
        </r>
      </text>
    </comment>
  </commentList>
</comments>
</file>

<file path=xl/comments5.xml><?xml version="1.0" encoding="utf-8"?>
<comments xmlns="http://schemas.openxmlformats.org/spreadsheetml/2006/main">
  <authors>
    <author>Jacqueline Prado Catharino</author>
  </authors>
  <commentList>
    <comment ref="J17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Esta plataforma será responsável por ações de vendas, atendimento e suporte inteligente através dos principais canais de comunicação atuais, como WhatsApp, Instagram, Facebook, Google chat, TikTok, Messenger, Telegram e site, contendo informações pessoais cadastradas pelos clientes.
</t>
        </r>
      </text>
    </comment>
  </commentList>
</comments>
</file>

<file path=xl/comments6.xml><?xml version="1.0" encoding="utf-8"?>
<comments xmlns="http://schemas.openxmlformats.org/spreadsheetml/2006/main">
  <authors>
    <author>JACQUELINE PRADO CATHARINO</author>
  </authors>
  <commentList>
    <comment ref="G15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E-MAIL ADRIANO ANDREY SOBRE A SEGREGAÇÃODO CONTRATO Tahto - ANEXO AO SAP</t>
        </r>
      </text>
    </comment>
    <comment ref="F45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NÃO TEM A TAHTO NO PREAMBULO</t>
        </r>
      </text>
    </comment>
    <comment ref="F70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TELEMAR/ FUNDAÇÃO ATLANTICO - </t>
        </r>
        <r>
          <rPr>
            <b/>
            <sz val="9"/>
            <color indexed="81"/>
            <rFont val="Segoe UI"/>
            <family val="2"/>
          </rPr>
          <t>NÃO TEM A TAHTO NO PREAMBULO</t>
        </r>
      </text>
    </comment>
    <comment ref="A79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4600055725 / 4600055726 / 4600056498</t>
        </r>
      </text>
    </comment>
  </commentList>
</comments>
</file>

<file path=xl/comments7.xml><?xml version="1.0" encoding="utf-8"?>
<comments xmlns="http://schemas.openxmlformats.org/spreadsheetml/2006/main">
  <authors>
    <author>JACQUELINE PRADO CATHARINO</author>
  </authors>
  <commentList>
    <comment ref="C6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KPMG INCLUSO/ em andamento com ICTS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DOCUSIGN e SERASA</t>
        </r>
      </text>
    </comment>
    <comment ref="B12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ONNI e Curupira ( 12/01/2026)</t>
        </r>
      </text>
    </comment>
    <comment ref="B13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 2 LG;
Avipam;
Sul America;
Metlife;
Movida/
TPV;
ICTS;
(12/01/2026)</t>
        </r>
      </text>
    </comment>
  </commentList>
</comments>
</file>

<file path=xl/comments8.xml><?xml version="1.0" encoding="utf-8"?>
<comments xmlns="http://schemas.openxmlformats.org/spreadsheetml/2006/main">
  <authors>
    <author>Jacqueline Prado Catharino</author>
  </authors>
  <commentList>
    <comment ref="M28" authorId="0" shapeId="0">
      <text>
        <r>
          <rPr>
            <b/>
            <sz val="9"/>
            <color indexed="81"/>
            <rFont val="Segoe UI"/>
            <family val="2"/>
          </rPr>
          <t>Jacqueline Prado Catharino:</t>
        </r>
        <r>
          <rPr>
            <sz val="9"/>
            <color indexed="81"/>
            <rFont val="Segoe UI"/>
            <family val="2"/>
          </rPr>
          <t xml:space="preserve">
NÃO SERA RENOVADO - INF. THIAGO VIEIRA 26/09/2023</t>
        </r>
      </text>
    </comment>
  </commentList>
</comments>
</file>

<file path=xl/sharedStrings.xml><?xml version="1.0" encoding="utf-8"?>
<sst xmlns="http://schemas.openxmlformats.org/spreadsheetml/2006/main" count="11793" uniqueCount="2140">
  <si>
    <t>CONTRATO</t>
  </si>
  <si>
    <t>FORNECEDOR + RAZÃO  SOCIAL</t>
  </si>
  <si>
    <t>FORNECEDOR</t>
  </si>
  <si>
    <t>RAZÃO SOCIAL</t>
  </si>
  <si>
    <t>CONDIÇÃO PGTO</t>
  </si>
  <si>
    <t>RESPONSÁVEL (GESTÃO DO CONTRATO)</t>
  </si>
  <si>
    <t>ORÇAMENTO</t>
  </si>
  <si>
    <t>PRODUTO / SERVIÇO PRESTADO</t>
  </si>
  <si>
    <t>VALOR CONTRATADO</t>
  </si>
  <si>
    <t>MOEDA</t>
  </si>
  <si>
    <t>INÍCIO VIGÊNCIA</t>
  </si>
  <si>
    <t>FIM VIGÊNCIA</t>
  </si>
  <si>
    <t>ALARME</t>
  </si>
  <si>
    <t>ENTRADA DO PROCESSO</t>
  </si>
  <si>
    <t>VIGÊNCIA
(MESES)</t>
  </si>
  <si>
    <t>VALOR MÉDIO MENSAL</t>
  </si>
  <si>
    <t>Área</t>
  </si>
  <si>
    <t>OBSERVAÇÃO</t>
  </si>
  <si>
    <t>OPEX</t>
  </si>
  <si>
    <t>BRL</t>
  </si>
  <si>
    <t>RENATA CRISTINA DE SOUZA</t>
  </si>
  <si>
    <t>OI/TAHTO</t>
  </si>
  <si>
    <t>TECNOLOGIA DA INFORMAÇÃO</t>
  </si>
  <si>
    <t>SONDA PROCWORK INFORMATICA LTDA</t>
  </si>
  <si>
    <t>OI/TAHTO/SEREDE</t>
  </si>
  <si>
    <t>Serviços de Infra de TI para Microinformática / Operação e Suporte DC / Videoconferência / UAC / ITOC / Cabeamento</t>
  </si>
  <si>
    <t>4600049735/4600037429</t>
  </si>
  <si>
    <t>RADIBRA TECNICA EM RADIO E TELEVISA</t>
  </si>
  <si>
    <t>Serviço de Manutenção de Tv´s e Projetores no site de GO - Tahto</t>
  </si>
  <si>
    <t>ADMINISTRACAO DE GENTE</t>
  </si>
  <si>
    <t>MANFREDO SAHB CARCUTE</t>
  </si>
  <si>
    <t>OI</t>
  </si>
  <si>
    <t>4600044324 (4600031236/4600044325)</t>
  </si>
  <si>
    <t>SEAL LACRES INDUSTRIA E COMERC</t>
  </si>
  <si>
    <t>TAHTO</t>
  </si>
  <si>
    <t>Fornecimento de lacres metálicos para periféricos de informática</t>
  </si>
  <si>
    <t xml:space="preserve">Contratação da BETTA para configurar o WFM nas plataformas Nice/Avaya. </t>
  </si>
  <si>
    <t xml:space="preserve">BRL </t>
  </si>
  <si>
    <t>CAPEX</t>
  </si>
  <si>
    <t>CARDOSO TRANSPORTES LTDA</t>
  </si>
  <si>
    <t>TRANSPORTE NOTURNO DE FUNCIONÁRIOS GO</t>
  </si>
  <si>
    <t>PANIFICADORA E LANCHONERTE MAK</t>
  </si>
  <si>
    <t>PRESTAÇÃO DE SERVIÇOS DE COFFEE BREAK GO</t>
  </si>
  <si>
    <t>AVIPAM TURISMO E TECNOLOGIA LTDA</t>
  </si>
  <si>
    <t>CENTRO DE INTEGRACAO EMPRESA E</t>
  </si>
  <si>
    <t>ADMINISTRAÇÃO DOS CONTRATOS DE ESTÁGIO</t>
  </si>
  <si>
    <t>4600047874 /4600052324</t>
  </si>
  <si>
    <t>CENTRO TECNOLOGICO DELTA LTDA</t>
  </si>
  <si>
    <t>Cursos de qualificação destinados à comunidade local de Goiânia com o objetivo de reduzir o ISS</t>
  </si>
  <si>
    <t>VIDA GOIAS UTI MOVEL LTDA - ME</t>
  </si>
  <si>
    <t>FÊNIX SERVIÇOS MÉDICOS LTDA</t>
  </si>
  <si>
    <t>UTI MÓVEL MS - BTCC</t>
  </si>
  <si>
    <t>OPERACOES DE TI</t>
  </si>
  <si>
    <t>LEANDRO TEDESCO PESSOA</t>
  </si>
  <si>
    <t>JOVEM APRENDIZ TAHTO - MS/GO</t>
  </si>
  <si>
    <t>99 TECNOLOGIA LTDA</t>
  </si>
  <si>
    <t>OI/TAHTO/SEREDE/V.TAL</t>
  </si>
  <si>
    <t>SERVIÇO DE TRANSPORTE CORPORATIVO PARA COLABORADORES (TÁXI)</t>
  </si>
  <si>
    <t>SITEWARE SOLUCOES S/A</t>
  </si>
  <si>
    <t>FERRAMENTA GESTÃO DE METAS</t>
  </si>
  <si>
    <t>CADEADOS</t>
  </si>
  <si>
    <t>A5 SOLUTIONS SERVIÇOS E COMÉRCIO EM</t>
  </si>
  <si>
    <t>CONTROLE DE JORNADA (ACPRO) E BLOQUEIO INTELIGENTE.</t>
  </si>
  <si>
    <t>AQUISIÇÃO, SUPORTE E MANUTENÇÃO DE LICENÇAS LG TAHTO</t>
  </si>
  <si>
    <t>ERICA CARLA RODRIGUES</t>
  </si>
  <si>
    <t>FORNECIMENTO E A PRESTAÇÃO DE SERVIÇOS DE KIT LANCHE MS</t>
  </si>
  <si>
    <t>MOACYR KRUGER FILHO - ME (PHONE SERVICE)</t>
  </si>
  <si>
    <t>MANUT REPARO DE HEADSETS</t>
  </si>
  <si>
    <t>AOVS SISTEMA DE INFORMÁTICA</t>
  </si>
  <si>
    <t>PRESTAÇÃO DE SERVIÇOS DE TREINAMENTO ONLINE (ALURA)</t>
  </si>
  <si>
    <t>CHURRASCARIA ALTO DA GLORIA UM</t>
  </si>
  <si>
    <t>FORNECIMENTO E A PRESTAÇÃO DE SERVIÇOS DE KIT LANCHE GO</t>
  </si>
  <si>
    <t>ROBBYSON SYSTEMS DESENVOLVIMENTO DE</t>
  </si>
  <si>
    <t>FERRAMENTA DE PRODUTIVIDADE OPERACIONAL</t>
  </si>
  <si>
    <t>CINTIA SOARES ANCHIETA</t>
  </si>
  <si>
    <t>CAMILLA PINTO BRASILEIRO</t>
  </si>
  <si>
    <t>GUPY TECNOLOGIA EM RECRUTAMENTO LTDA</t>
  </si>
  <si>
    <t>LINKEDIN IRELAND LIMITED</t>
  </si>
  <si>
    <t>PRESTAÇÂO DE SERVIÇOS DE ACESSO À CANDIDATOS PARA PROCESSO SELETIVO</t>
  </si>
  <si>
    <t>USD</t>
  </si>
  <si>
    <t>RECOL AMBIENTAL COLETA E TRATA</t>
  </si>
  <si>
    <t>SERVIÇOS DE COLETA, TRATAMENTO E DISPOSIÇÃO FINAL DE RESÍDUOS DE SERVIÇOS DE SAÚDE GO</t>
  </si>
  <si>
    <t>SIMPRESS COMERCIO DE EQUIPAMEN</t>
  </si>
  <si>
    <t>4600053044/ 4600053045</t>
  </si>
  <si>
    <t>Speech Analytics</t>
  </si>
  <si>
    <t>CX E QUALIDADE</t>
  </si>
  <si>
    <t>SHEILA SAITO SIMONE</t>
  </si>
  <si>
    <t>STYLUS PROPAGANDA E CONSULTORI</t>
  </si>
  <si>
    <t>AGÊNCIA DE MKT PARA TAHTO</t>
  </si>
  <si>
    <t>INTERAXA AMERICAS SOFTWARES LTDA</t>
  </si>
  <si>
    <t>FORNECIMENTO COFFEE BREAK PREMIAÇÃO MS</t>
  </si>
  <si>
    <t>TOM PROMOCIONAL COM. REPR. DE</t>
  </si>
  <si>
    <t>CAMPANHA DE INCENTIVO TAHTO - BRINDES</t>
  </si>
  <si>
    <t>MARKETING COMERCIAL E PARCERIAS</t>
  </si>
  <si>
    <t>GRAZIELA DE CASSIA CAPRARA</t>
  </si>
  <si>
    <t>CAPEX / OPEX</t>
  </si>
  <si>
    <t>EXPERIENCIA DO CLIENTE</t>
  </si>
  <si>
    <t>CURUPIRA S.A (TAKE)</t>
  </si>
  <si>
    <t>SOFTWARES DIVERSOS - WHATSAPP BUSINESS</t>
  </si>
  <si>
    <t>CLEITON GARCEZ BUENO</t>
  </si>
  <si>
    <t>MASTERVIG EXPRESS CENTRAL DE SERVIÇ</t>
  </si>
  <si>
    <t>VALE TRANSPORTE</t>
  </si>
  <si>
    <t>INFINITY DO BRASIL PRODUTOS ELETRON</t>
  </si>
  <si>
    <t>OI/TAHTO/TELEMAR</t>
  </si>
  <si>
    <t>FORNECIMENTO DE HEADSET</t>
  </si>
  <si>
    <t>SULAMERICA-170647</t>
  </si>
  <si>
    <t>PLANO DE SAÚDE - DIRETORIA</t>
  </si>
  <si>
    <t>N/A</t>
  </si>
  <si>
    <t>ASSIM - GRUPO HOSPITALAR DO RIO DE JANEIRO</t>
  </si>
  <si>
    <t>PLANO DE ASSISTÊNCIA À SAÚDE CONTRATADO</t>
  </si>
  <si>
    <t xml:space="preserve">GP TREINAMENTOS </t>
  </si>
  <si>
    <t>Criação de materiais de desenvolvimento e capacitação de colaboradores</t>
  </si>
  <si>
    <t>27/10/2023 - Não será renovado de acordo com Manfredo</t>
  </si>
  <si>
    <t>LUZ PUBLICIDADE LTDA</t>
  </si>
  <si>
    <t xml:space="preserve">Publicação de Comunicados Legais. </t>
  </si>
  <si>
    <t>CONTABILIDADE</t>
  </si>
  <si>
    <t>ROGER ALLAN MAIA MALHEIROS</t>
  </si>
  <si>
    <t>TRANSTUR LOCADORA DE VEÍCULOS LTDA</t>
  </si>
  <si>
    <t>TRANSPORTE NOTURNO DE FUNCIONÁRIOS SE</t>
  </si>
  <si>
    <t>METLIFE (METROPOLITAN LIFE SEGUROS E PR)</t>
  </si>
  <si>
    <t>SEGURO DE VIDA</t>
  </si>
  <si>
    <t xml:space="preserve">30/04/2022
</t>
  </si>
  <si>
    <t>COLUMBIA STORAGE INTEGRAÇÃO DE SISTEMAS LTDA</t>
  </si>
  <si>
    <t>SUPORTE E MANUTENÇÃO DAS LICENÇAS VERITAS - FIBRA - 1104970001</t>
  </si>
  <si>
    <t>PRICEWATERHOUSECOOPERS AUDITORES INDEPENDENTES LTDA</t>
  </si>
  <si>
    <t>AUDITORIA INTERNA PROCESSOS E CONTROLES ADMINISTRATIVOS</t>
  </si>
  <si>
    <t>REILLA MARIA DE SOUZA</t>
  </si>
  <si>
    <t>TICKET SERVICOS S/A</t>
  </si>
  <si>
    <t>BENEFÍCIO PAT – CONVÊNIO ALIMENTAÇÃO, REFEIÇÃO E OUTRAS TRILHAS</t>
  </si>
  <si>
    <t>MYPUBLI DIGITAL</t>
  </si>
  <si>
    <t>EMPRESA ESPECIALIZADA EM MARKETING DIGITAL INSTITUCIONAL/COMERCIAL E OUTROS AFINS PARA CUMPRIR AS NECESSIDADES DA EQUIPE COMERCIAL E DA TAHTO.</t>
  </si>
  <si>
    <t>2CLIX TECNOLOGIA EIRELI</t>
  </si>
  <si>
    <t>PLANTECH TECNOLOGIA</t>
  </si>
  <si>
    <t>A cessão de direito de uso de sistema para gestão de frota de veículos, denominado NEXTfleet</t>
  </si>
  <si>
    <t xml:space="preserve"> 08/08/2022 </t>
  </si>
  <si>
    <t>INTELIGENCIA DO NEGOCIO</t>
  </si>
  <si>
    <t>CARLOS EDUARDO FUHR</t>
  </si>
  <si>
    <t>MARKET LIST – PROCESSAMENTO DE DADOS LTDA</t>
  </si>
  <si>
    <t>PRESTAÇÃO DE SERVIÇOS DE ENRIQUECIMENTO, COLETA DE DADOS DO CLIENTE</t>
  </si>
  <si>
    <t xml:space="preserve"> 31/03/2024</t>
  </si>
  <si>
    <t>MAUÉS E ADVOGADOS ASSOCIADOS</t>
  </si>
  <si>
    <t>PRESTAÇÃO DOS SERVIÇOS DE ADVOCACIA</t>
  </si>
  <si>
    <t>JURIDICO</t>
  </si>
  <si>
    <t>LUCIANA DE OLIVEIRA CARMO</t>
  </si>
  <si>
    <t>SERASA SA</t>
  </si>
  <si>
    <t>Certificados Digitais - Tahto</t>
  </si>
  <si>
    <t>FOCARE CONSULTORIA E SISTEMAS LTDA</t>
  </si>
  <si>
    <t>INSTITUTO DE NEUROLINGUÍSTICA EMPRESARIAL LTDA</t>
  </si>
  <si>
    <t>PRESTAÇÃO DE SERVIÇOS MENTORING E COACHING, PARA A FORMAÇÃO DE GESTORES</t>
  </si>
  <si>
    <t>NÃO SERA RENOVADO - INF. THIAGO VIEIRA 26/09/2023</t>
  </si>
  <si>
    <t>BGC BRASIL ASSESSORIA LTDA</t>
  </si>
  <si>
    <t>PRESTAÇÃO DE SERVIÇOS DE PESQUISA E CHECAGEM DE INFORMAÇÕES, EM FONTES LOCAIS/REGIONAIS E NACIONAIS</t>
  </si>
  <si>
    <t>DESENVOLVIMENTO ORGANIZACIONAL E CONTEUDO</t>
  </si>
  <si>
    <t>DANIELA KUNZ SEBBA VASCONCELOS PITALUGA</t>
  </si>
  <si>
    <t>OI S.A</t>
  </si>
  <si>
    <t>ACESSO DIGITAL TECNOLOGIA DA INFORM</t>
  </si>
  <si>
    <t>Plataforma de Onboarding Digital para novos colaboradores Oi e Serede</t>
  </si>
  <si>
    <t xml:space="preserve">LAÇOS PARA SEMPRE COMÉRCIO DE FLORES LTDA </t>
  </si>
  <si>
    <t>FORNECIMENTO DE COROA DE FLORES NA ESPECIFICAÇÃO P6</t>
  </si>
  <si>
    <t>PROJETO CIOSP - SERVICE DESK (ARACAJU)</t>
  </si>
  <si>
    <t>AIWIN CONSULTORIA EMPRESARIAL LTDA.</t>
  </si>
  <si>
    <t>Prestação de Treinamento Webinar Líderes, de forma online</t>
  </si>
  <si>
    <t>BEEDOO LICENCIAMENTO DE SOFTWARE LT</t>
  </si>
  <si>
    <t>A licença de uso do software BEEDOO (10.000 licenças) e Prestação de serviços de manutenção da Licença (Serviços).</t>
  </si>
  <si>
    <t>ATIVA ELETRO COMERCIAL LTDA</t>
  </si>
  <si>
    <t>Material de ambulatório Tahto</t>
  </si>
  <si>
    <t>OI S.A (OI SOLUÇÕES )</t>
  </si>
  <si>
    <t>PRESTAÇÃO DE SERVIÇOS PARA O PROJETO LINK SKY</t>
  </si>
  <si>
    <t>EQS ENGENHARIA S.A.</t>
  </si>
  <si>
    <t xml:space="preserve">CONTRATO DE PRESTAÇÃO DE SERVIÇO QUE ENTRE SI CELEBRAM OI S.A. </t>
  </si>
  <si>
    <t>WEDO CONSULTORIA LTDA</t>
  </si>
  <si>
    <t>PLANEJAMENTO</t>
  </si>
  <si>
    <t>GLAUBER LIMA DE MEDEIROS</t>
  </si>
  <si>
    <t>Prestação de Serviços Fornecimento e a Prestação de Serviços de Contratação de Serviços de Plataforma Contact Center em Nuvem</t>
  </si>
  <si>
    <t>LINQ TELECOMUNICACOES LTDA</t>
  </si>
  <si>
    <t>Fornecimento e a Prestação de Serviço de Internet Empresarial Ultra Banda Larga com a Tecnologia GPON com rede ( FTTH - Fiber To The Home)</t>
  </si>
  <si>
    <t>STT DIGITAL DO BRASIL E PARTICIPAÇÕES LTDA</t>
  </si>
  <si>
    <t>SERVIÇOS DE DESENVOLVIMENTO DE PROGRAMA(S) DE COMPUTADOR (SISTEMA(S))</t>
  </si>
  <si>
    <t>EQUINIX DO BRASIL SOLUÇÕES DE TECNO</t>
  </si>
  <si>
    <t>Locação e cessão de direito de uso, e o oferecimento de infraestrutura, para fins diversos, do INTERNET BUSINESS EXCHANGE (IBX)</t>
  </si>
  <si>
    <t>IRON MOUNTAIN DO BRASIL AS</t>
  </si>
  <si>
    <t>Arquivamento digital, guarda de arquivo físico e sistema de visualização dos arquivos baixados</t>
  </si>
  <si>
    <t>OI S.A.</t>
  </si>
  <si>
    <t>Contratação de link de internet</t>
  </si>
  <si>
    <t>SYSAID BRASIL TECNOLOGIA EIRELI</t>
  </si>
  <si>
    <t>Contratação de fornecimento de solução de ITSM.</t>
  </si>
  <si>
    <t>UNIPIX SERVICOS DE TECNOLOGIA E INF</t>
  </si>
  <si>
    <t>Prestação de Serviços de envio e recebimento de SMS corporativo</t>
  </si>
  <si>
    <t>TICKET SOLUCOES HDFGT S/A</t>
  </si>
  <si>
    <t>Pré-pago</t>
  </si>
  <si>
    <t>BETTA SOLUCOES DE ATENDIMENTO LTDA</t>
  </si>
  <si>
    <t>Manutenção do WFM e Gravador NIM 4.1 existente da BTCC e aquisição de licenças</t>
  </si>
  <si>
    <t>Assessment - Aprofundamento para possíveis automações</t>
  </si>
  <si>
    <t>MOVIDA PARTICIPACOES SA</t>
  </si>
  <si>
    <t>LOCAÇÃO VEICULO PAP - FROTA TAHTO</t>
  </si>
  <si>
    <t>LIDER SERVICOS GERAIS LTDA</t>
  </si>
  <si>
    <t>Bombeiro Civil - Emergencial</t>
  </si>
  <si>
    <t>18/10/23 - TAHTO passará a fazer pgtos a partir de janeiro</t>
  </si>
  <si>
    <t>Ferramenta de CLOUD PARTNER SOLUTIONS</t>
  </si>
  <si>
    <t>Fornecimento de Wifi 6.0</t>
  </si>
  <si>
    <t>Fornecimento da Plataforma de Contact Center em Nuvem</t>
  </si>
  <si>
    <t>Responsável pelo contrato</t>
  </si>
  <si>
    <t>GERENTE DO CONTRATO</t>
  </si>
  <si>
    <t>CRISTIANO MUNDIM DE SOUZA</t>
  </si>
  <si>
    <t>PEDRO ANTONIO PERIASSU</t>
  </si>
  <si>
    <t>GUILHERME AUGUSTO PUPO BREMM</t>
  </si>
  <si>
    <t>RODRIGO CORREIA FURUKAWA</t>
  </si>
  <si>
    <t>PRISCILLA ANDREIA DE QUADROS</t>
  </si>
  <si>
    <t>ADMINISTRATIVO E SUPRIMENTOS</t>
  </si>
  <si>
    <t>AUDITORIA EXTERNA ( OI)</t>
  </si>
  <si>
    <t>PEDRO ANTONIO PERIASSU/ RICARDO BORDIM</t>
  </si>
  <si>
    <t>WALDEMAR JUNIOR</t>
  </si>
  <si>
    <t>FELIPE DE ANDRADE MOURA</t>
  </si>
  <si>
    <t>ALLINY PEIXOTO / DANIELA KUNZ SEBBA VASCONCELOS PITALUGA</t>
  </si>
  <si>
    <t>RESOLUTTE DESENVOLVIMENTO E LICENCIAMENTO DE PROGRAMAS</t>
  </si>
  <si>
    <t>TECH SOLUCOES EM TELECOMUNICACAO E</t>
  </si>
  <si>
    <t>Serviço de Telefonia Pública Comutada</t>
  </si>
  <si>
    <t>GUILHERME AUGUSTO PUPO BREMM / MANFREDO SAHB CARCUTE</t>
  </si>
  <si>
    <t>RENATA CRISTINA DE SOUZA/ CRISTIANO MUNDIM DE SOUZA</t>
  </si>
  <si>
    <t>FLASH TECNOLOGIA E INSTITUIÇÃO DE P</t>
  </si>
  <si>
    <t>SMARTWAY SOLUCOES EM COBRANCA LTDA</t>
  </si>
  <si>
    <t>Licenciamento de ferramenta de CRM</t>
  </si>
  <si>
    <t>OLOS TECNOLOGIA E SISTEMAS LTDA.</t>
  </si>
  <si>
    <t>Fornecimento de Plataforma Contact Center em Nuvem</t>
  </si>
  <si>
    <t>ERNANI</t>
  </si>
  <si>
    <t>Canal de Denúncia</t>
  </si>
  <si>
    <t>Hapvida Assistencia Medica Ltda</t>
  </si>
  <si>
    <t>Plano Odontológico - Tahto</t>
  </si>
  <si>
    <t>EQS ENGENHARIA LTDA</t>
  </si>
  <si>
    <t>IPI - Operação e Manutenção Cyber Data Center</t>
  </si>
  <si>
    <t>ABILITY TECNOLOGIA E SERVICOS S.A</t>
  </si>
  <si>
    <t xml:space="preserve">Prestação de Serviços de manutenção da rede física de fibras ópticas </t>
  </si>
  <si>
    <t>PEDRO ANTONIO PERIASSU/ GUILHERME AUGUSTO PUPO BREMM</t>
  </si>
  <si>
    <t>LEANDRO TEDESCO PESSOA/ RENATA CRISTINA DE SOUZA</t>
  </si>
  <si>
    <t>AUDITORIA PROCESSOS E COMPLIANCE</t>
  </si>
  <si>
    <t>NUCLEO SERVICOS DE MARKETING LTDA</t>
  </si>
  <si>
    <t>ASSESSORIA DE IMPRENSA</t>
  </si>
  <si>
    <t>NUBE – NÚCLEO BRASILEIRO DE ESTÁGIOS LTDA</t>
  </si>
  <si>
    <t>PR Clínicas - 3027941</t>
  </si>
  <si>
    <t>Manutenção de Sistemas de Segurança Eletrônica (CFTV e Alarmes),</t>
  </si>
  <si>
    <t>4600057689  (OI)</t>
  </si>
  <si>
    <t>FAST ONE SISTEMAS TECNOLÓGICOS S.A.</t>
  </si>
  <si>
    <t xml:space="preserve">Controle de Acessos </t>
  </si>
  <si>
    <t>4600048945 (OI)</t>
  </si>
  <si>
    <t>TOP SERVICE SERVIÇOS E SISTEMAS S/A</t>
  </si>
  <si>
    <t>Portaria e vigilância DF, BA, SE, MS, MT, RO, AC, GO, TO</t>
  </si>
  <si>
    <t>4600053214 (OI)</t>
  </si>
  <si>
    <t>SENAC - SERVICO NACIONAL DE APRENDIZAGEM CO</t>
  </si>
  <si>
    <t>Prestação de Serviços de cursos de qualificação destinados à comunidade local de Goiânia com o objetivo de reduzir o ISS</t>
  </si>
  <si>
    <t>Gestão de Estagiários</t>
  </si>
  <si>
    <t>Plano de Saúde (PR) - Tahto</t>
  </si>
  <si>
    <t>Jovem Aprendiz</t>
  </si>
  <si>
    <t>CNPJ</t>
  </si>
  <si>
    <t>MAGAZINE LUIZA S/A</t>
  </si>
  <si>
    <t>Produtos para premiação Robbyson -  Alimentícios e Equipamentos Eletrônicos</t>
  </si>
  <si>
    <t>RENATA BARREIRA DE OLIM GUISELLI</t>
  </si>
  <si>
    <t>Serviços de desenvolvimento de programa(s) de computador (Sistema(s)</t>
  </si>
  <si>
    <t>DIRETOR DO CONTRATO</t>
  </si>
  <si>
    <t>Desenvolvimento da Ferramenta Corporativa de Perfornance, e manutenção da respectiva ferramenta</t>
  </si>
  <si>
    <t>ENGAJAMENTO E PERFORMANCE</t>
  </si>
  <si>
    <t>Marca Guilda</t>
  </si>
  <si>
    <t>ROSEMIRO DE MELO</t>
  </si>
  <si>
    <t>ALEXANDRE PALUAN</t>
  </si>
  <si>
    <t>BRUNO FANTAGUZZI LINCES</t>
  </si>
  <si>
    <t>LUIZ ANTONIO BARBOSA GOMES ANGEIRAS</t>
  </si>
  <si>
    <t>ULIANA MARIA NICKERSON DO PRADO PERES</t>
  </si>
  <si>
    <t xml:space="preserve"> ALBERT EINSTEIN - SOCIEDADE BENEFICENTE ISRAELITA BRASILEIRA </t>
  </si>
  <si>
    <t>GI GROUP BRASIL RECURSOS HUMANOS LTDA</t>
  </si>
  <si>
    <t>DIRECT SHOPPING COML LTDA</t>
  </si>
  <si>
    <t>Contrato de Voucher Tahto</t>
  </si>
  <si>
    <t>ferramenta/metodologia Erlang X para melhoria de eficiência no prognóstico de Nível de Serviço e otimiza a definição do capacity planning</t>
  </si>
  <si>
    <t>TRIAD SOFT CONSUL ASSESSORIA E COM</t>
  </si>
  <si>
    <t>KAKAU TECHNOLOGIES LTDA</t>
  </si>
  <si>
    <t>H2R COMUNICAÇÃO VISUAL E MATÉRIAS G</t>
  </si>
  <si>
    <t>103605 - LUZ PUBLICIDADE LTDA</t>
  </si>
  <si>
    <t>SIM</t>
  </si>
  <si>
    <t>103474 - PRICEWATERHOUSECOOPERS AUDITORES INDEPENDENTES LTDA</t>
  </si>
  <si>
    <t>NÃO</t>
  </si>
  <si>
    <t>Inclusão</t>
  </si>
  <si>
    <t>DOWER MARTIN CEREZINI</t>
  </si>
  <si>
    <t>PABLO BORGINHO</t>
  </si>
  <si>
    <t>TATIANA MARILDA DA SILVA DE LYRA</t>
  </si>
  <si>
    <t>02/02/2024 ( segregado 4600057879)</t>
  </si>
  <si>
    <t>BRUNO FANTAGUZZI LINCE</t>
  </si>
  <si>
    <t>ATRELADO AO CONTRATO 4600057919</t>
  </si>
  <si>
    <t>QMS DO BRASIL SERVICOS DE CERTIFICA</t>
  </si>
  <si>
    <t>CERTIFICAÇÃO ISO9001</t>
  </si>
  <si>
    <t xml:space="preserve">renovado </t>
  </si>
  <si>
    <t>Prestação de Serviços para manutenção de headeset</t>
  </si>
  <si>
    <t>ATUALIZADO EM 27/03/24</t>
  </si>
  <si>
    <t>atualizado 29/03/24</t>
  </si>
  <si>
    <t>atualizado em 18/03/2024</t>
  </si>
  <si>
    <t>Digitronco</t>
  </si>
  <si>
    <t>ATUALLIZADO EM 20/03/2024</t>
  </si>
  <si>
    <t>MARIA LUCIA DOS SANTOS INFORMA</t>
  </si>
  <si>
    <t>segregado 29/04/2024</t>
  </si>
  <si>
    <t>segregação contrato</t>
  </si>
  <si>
    <t>Contrato substituido pelo 4600058067</t>
  </si>
  <si>
    <t>E-MAIL</t>
  </si>
  <si>
    <t xml:space="preserve">TELEFONE 1 </t>
  </si>
  <si>
    <t>TELEFONE 2</t>
  </si>
  <si>
    <t>NOME DE CONTATO</t>
  </si>
  <si>
    <t>(62)3221 8200</t>
  </si>
  <si>
    <t>seallacres.saopaulo@terra.com.br</t>
  </si>
  <si>
    <t>(11)6381-8766</t>
  </si>
  <si>
    <t>(12)3648-6119</t>
  </si>
  <si>
    <t>contasnomeadas@bettagroup.com.br</t>
  </si>
  <si>
    <t>(11)5060-3888</t>
  </si>
  <si>
    <t>xxxxxx</t>
  </si>
  <si>
    <t>cartransportes@hotmail.com</t>
  </si>
  <si>
    <t>(62)3579-9442</t>
  </si>
  <si>
    <t>(62)98236-1911</t>
  </si>
  <si>
    <t>make@pop.com.br</t>
  </si>
  <si>
    <t>(62)3202-6431</t>
  </si>
  <si>
    <t>(62)3202-6469</t>
  </si>
  <si>
    <t>vitorh@cieerj.org.br</t>
  </si>
  <si>
    <t>(21)2221-3731</t>
  </si>
  <si>
    <t>leomar@faculdadedelta.edu.br</t>
  </si>
  <si>
    <t>Vitor</t>
  </si>
  <si>
    <t>Leomar</t>
  </si>
  <si>
    <t>(62)3287-1572</t>
  </si>
  <si>
    <t>(62)98593-5050</t>
  </si>
  <si>
    <t>sistemas@vidagoias.com.br</t>
  </si>
  <si>
    <t>(62)3240-0300</t>
  </si>
  <si>
    <t>(62)9239-1952</t>
  </si>
  <si>
    <t>financeiro@qualisalva.com.br</t>
  </si>
  <si>
    <t>(67)2106-1545</t>
  </si>
  <si>
    <t>marcia_lima@cieesp.org.br</t>
  </si>
  <si>
    <t>(11)3040-9800</t>
  </si>
  <si>
    <t>Marcia</t>
  </si>
  <si>
    <t>joao.poppe@99taxis.com</t>
  </si>
  <si>
    <t>(21)99472-3948</t>
  </si>
  <si>
    <t>João</t>
  </si>
  <si>
    <t>financeirosw@siteware.com.br</t>
  </si>
  <si>
    <t>(31)3555-0200</t>
  </si>
  <si>
    <t>(31)98557-4868</t>
  </si>
  <si>
    <t>tiago@zaipo.com.br</t>
  </si>
  <si>
    <t>(41)3075-6689</t>
  </si>
  <si>
    <t>(41)3075-6600</t>
  </si>
  <si>
    <t>Tiago</t>
  </si>
  <si>
    <t>juridico@a5solutions.com</t>
  </si>
  <si>
    <t>(11)3074-2851</t>
  </si>
  <si>
    <t>(11)5785-4577</t>
  </si>
  <si>
    <t>souzaemer@hotmail.com</t>
  </si>
  <si>
    <t>(67)99332-5413</t>
  </si>
  <si>
    <t>Emerson</t>
  </si>
  <si>
    <t>phoneserve@onda.com.br</t>
  </si>
  <si>
    <t>(41)3045-5573</t>
  </si>
  <si>
    <t>(41)999772-010</t>
  </si>
  <si>
    <t>Moacyr Kruger</t>
  </si>
  <si>
    <t>Herbert</t>
  </si>
  <si>
    <t>sp@contato.caelum.com.br</t>
  </si>
  <si>
    <t>restaurantealtodagloria@hotmail.com</t>
  </si>
  <si>
    <t>(62)3546-7649</t>
  </si>
  <si>
    <t>(62)98596-5330</t>
  </si>
  <si>
    <t>lawrence@robbyson.com</t>
  </si>
  <si>
    <t>(31)3515-7000</t>
  </si>
  <si>
    <t>(31)98471-8820</t>
  </si>
  <si>
    <t>paulo.pires@gupy.com.br</t>
  </si>
  <si>
    <t>(11)97667-8724</t>
  </si>
  <si>
    <t>Paulo</t>
  </si>
  <si>
    <t>lcshelp@linkedin.com</t>
  </si>
  <si>
    <t>353 1 2423414</t>
  </si>
  <si>
    <t>353 8 60288975</t>
  </si>
  <si>
    <t>contato@recol.eco.br</t>
  </si>
  <si>
    <t>(62)4141-5010</t>
  </si>
  <si>
    <t>(62)99226-6303</t>
  </si>
  <si>
    <t>(21)2109-6900</t>
  </si>
  <si>
    <t>stylus@styluspropaganda.com.br</t>
  </si>
  <si>
    <t>(62)3255-6500</t>
  </si>
  <si>
    <t>leandro@tompromocional.com.br</t>
  </si>
  <si>
    <t>(11)3274-1230</t>
  </si>
  <si>
    <t>(11)99899-1832</t>
  </si>
  <si>
    <t>Leandro</t>
  </si>
  <si>
    <t>luiz.celidonio@giftty.com</t>
  </si>
  <si>
    <t>(11)2135-5603</t>
  </si>
  <si>
    <t>(11)98147-4464</t>
  </si>
  <si>
    <t>Luiz</t>
  </si>
  <si>
    <t>contabil@take.net</t>
  </si>
  <si>
    <t>(31)3349-6270</t>
  </si>
  <si>
    <t>comercial@mexbrasil.com.br</t>
  </si>
  <si>
    <t>(21)2280-6935</t>
  </si>
  <si>
    <t>(21)97014-5767</t>
  </si>
  <si>
    <t>jane@topuse.com.br</t>
  </si>
  <si>
    <t>(11)4702-2729</t>
  </si>
  <si>
    <t>(11)98016-1721</t>
  </si>
  <si>
    <t>Jane</t>
  </si>
  <si>
    <t>gabriel.freitas@sulamerica.com.br</t>
  </si>
  <si>
    <t>(11)3779-7553</t>
  </si>
  <si>
    <t>(11)97132-5408</t>
  </si>
  <si>
    <t>Gabriel</t>
  </si>
  <si>
    <t>kdantas@gpstrategies.com</t>
  </si>
  <si>
    <t>xxxxxxxxx</t>
  </si>
  <si>
    <t>(11)3077-3556</t>
  </si>
  <si>
    <t>(11)98338-3999</t>
  </si>
  <si>
    <t>yuskkacabral@hotmail.com</t>
  </si>
  <si>
    <t>(79)99977-2700</t>
  </si>
  <si>
    <t>(79)99640-6218</t>
  </si>
  <si>
    <t>rferraz@metlife.com</t>
  </si>
  <si>
    <t>(11)5505-5800</t>
  </si>
  <si>
    <t>(21)2232-6262</t>
  </si>
  <si>
    <t>dlacerda@ticket.cim.br</t>
  </si>
  <si>
    <t>(11) 2145-5126</t>
  </si>
  <si>
    <t>(61)8173-4935</t>
  </si>
  <si>
    <t>marcelocarvalho@mypubli.digital</t>
  </si>
  <si>
    <t>(11)99117-3931</t>
  </si>
  <si>
    <t>Marcelo</t>
  </si>
  <si>
    <t>(11)3090-7499</t>
  </si>
  <si>
    <t>administrativo@plantech.com.br</t>
  </si>
  <si>
    <t>(51)3072-1428</t>
  </si>
  <si>
    <t>(51)98119-5640</t>
  </si>
  <si>
    <t>danielle@marketlist.com.br</t>
  </si>
  <si>
    <t>(31)3567-7277</t>
  </si>
  <si>
    <t>(31)98478-5259</t>
  </si>
  <si>
    <t>beth@mauesadvogados.com.br</t>
  </si>
  <si>
    <t>(31)21220-0000</t>
  </si>
  <si>
    <t>Danielle</t>
  </si>
  <si>
    <t>Elizabethe</t>
  </si>
  <si>
    <t>isabella.martins@br.experian.com</t>
  </si>
  <si>
    <t>(21)9882-4082</t>
  </si>
  <si>
    <t>(21 )3289-2221</t>
  </si>
  <si>
    <t>Isabelle</t>
  </si>
  <si>
    <t>ana@focare.net.br</t>
  </si>
  <si>
    <t>Ana</t>
  </si>
  <si>
    <t>(11)2348-5110</t>
  </si>
  <si>
    <t>(11)97153-4105</t>
  </si>
  <si>
    <t>grcomercial@inemp.com.br</t>
  </si>
  <si>
    <t>(31)99977-9910</t>
  </si>
  <si>
    <t>augusto@bgcbrasil.com.br</t>
  </si>
  <si>
    <t>(21)2528-1001</t>
  </si>
  <si>
    <t>(21)97396-4343</t>
  </si>
  <si>
    <t>Augusto</t>
  </si>
  <si>
    <t>(21)3131-3100</t>
  </si>
  <si>
    <t>renato.fraccari@acessodigital.com.br</t>
  </si>
  <si>
    <t>(11)97484-5447</t>
  </si>
  <si>
    <t>Renato</t>
  </si>
  <si>
    <t>coroas@lacoscorporativos.com.br</t>
  </si>
  <si>
    <t>(11)4097-9445</t>
  </si>
  <si>
    <t>edossantos@kenwin.net</t>
  </si>
  <si>
    <t>(11)3195-7587</t>
  </si>
  <si>
    <t>(11)98819-5366</t>
  </si>
  <si>
    <t>administrativo@beedoo.com.br</t>
  </si>
  <si>
    <t>(11 )2626-3938</t>
  </si>
  <si>
    <t>(12)99156-8587</t>
  </si>
  <si>
    <t>comercial@ativamg.net.br</t>
  </si>
  <si>
    <t>(31)3225-2960</t>
  </si>
  <si>
    <t>(31)99794-9606</t>
  </si>
  <si>
    <t>(48)3281-8333</t>
  </si>
  <si>
    <t>comercial@wedocenter.com.br</t>
  </si>
  <si>
    <t>controladoria@linq.net.br</t>
  </si>
  <si>
    <t>(62)98337-1918</t>
  </si>
  <si>
    <t>carolina.lopes@stt.com.br</t>
  </si>
  <si>
    <t>(11)4195-2595</t>
  </si>
  <si>
    <t>(11)94798-4896</t>
  </si>
  <si>
    <t>avieirapriosta@equinix.com</t>
  </si>
  <si>
    <t>Carolina</t>
  </si>
  <si>
    <t>(11)3767-0900</t>
  </si>
  <si>
    <t>marcelo.rosin@sysaid.com.br</t>
  </si>
  <si>
    <t>rfp@unipix.com.br</t>
  </si>
  <si>
    <t>0800 886 1234</t>
  </si>
  <si>
    <t>(11) 97764-5750</t>
  </si>
  <si>
    <t>roselysp@goodcard.com.br</t>
  </si>
  <si>
    <t>(11)3218-8910</t>
  </si>
  <si>
    <t>(11)9239-1739</t>
  </si>
  <si>
    <t>Rosely</t>
  </si>
  <si>
    <t>val.guimaraes@gruposeleto.com</t>
  </si>
  <si>
    <t>(21)3298-9002</t>
  </si>
  <si>
    <t>financeiro@resolutte.com.br</t>
  </si>
  <si>
    <t>(19)99224-0084</t>
  </si>
  <si>
    <t>ligia.miggiorin@oktor.com.br</t>
  </si>
  <si>
    <t>(11)2364-2826</t>
  </si>
  <si>
    <t>(11)93358-1334</t>
  </si>
  <si>
    <t>Ligia</t>
  </si>
  <si>
    <t>contato@jbpinturas.com</t>
  </si>
  <si>
    <t>(62)98618-5875</t>
  </si>
  <si>
    <t>matilze.araujo@flashapp.com.br</t>
  </si>
  <si>
    <t>Matilze</t>
  </si>
  <si>
    <t>financeiro@tasken.com</t>
  </si>
  <si>
    <t>(21)406-34643</t>
  </si>
  <si>
    <t>(11)4673-4339</t>
  </si>
  <si>
    <t>(21)98374-9995</t>
  </si>
  <si>
    <t>alessandra.bonini@olos.com.br</t>
  </si>
  <si>
    <t>(11)99300-3002</t>
  </si>
  <si>
    <t>Alessandra</t>
  </si>
  <si>
    <t>marcelo.centeio@br.ictsglobal.com</t>
  </si>
  <si>
    <t>(11)2198-4226</t>
  </si>
  <si>
    <t>(21) 9227-9213</t>
  </si>
  <si>
    <t>figueiredo@hapvida.com.br</t>
  </si>
  <si>
    <t>(85)3255-9189</t>
  </si>
  <si>
    <t>Figueiredo</t>
  </si>
  <si>
    <t>katia.andrade@columbiaintegracao.com.br</t>
  </si>
  <si>
    <t>(21 3078-1166</t>
  </si>
  <si>
    <t>(21)9699-9084</t>
  </si>
  <si>
    <t>Katia</t>
  </si>
  <si>
    <t>comercial@abilitytecnologia.com.br</t>
  </si>
  <si>
    <t>(11)3039-6441</t>
  </si>
  <si>
    <t>(11 )3039-6400</t>
  </si>
  <si>
    <t>nilosccjunior@gmail.com</t>
  </si>
  <si>
    <t>(21)96482-6656</t>
  </si>
  <si>
    <t>peterson.castro@gigroup.com</t>
  </si>
  <si>
    <t>(62)99607-5193</t>
  </si>
  <si>
    <t>(62) 99681-9672</t>
  </si>
  <si>
    <t>corporativo@go.senac.br</t>
  </si>
  <si>
    <t>(62)3219-5080</t>
  </si>
  <si>
    <t>juliana.silva@nube.com.br</t>
  </si>
  <si>
    <t>(11)3154-7678</t>
  </si>
  <si>
    <t>(11)3120-2977</t>
  </si>
  <si>
    <t>Juliana</t>
  </si>
  <si>
    <t>douglas.tobias@paranaclinicas.com.br</t>
  </si>
  <si>
    <t>(41)3340-2890</t>
  </si>
  <si>
    <t>(41)98818-5109</t>
  </si>
  <si>
    <t>Douglas</t>
  </si>
  <si>
    <t>marcelo.queiroz@sulamerica.com.br</t>
  </si>
  <si>
    <t>(11)3131-9335</t>
  </si>
  <si>
    <t>amaral@mexbeneficios.com.br</t>
  </si>
  <si>
    <t>(21)2560-0537</t>
  </si>
  <si>
    <t>Amaral</t>
  </si>
  <si>
    <t>faturamento.regsp@gpssa.com.br</t>
  </si>
  <si>
    <t>(11)2197-8888</t>
  </si>
  <si>
    <t>(11)96300-4512</t>
  </si>
  <si>
    <t>(16)3724-1406</t>
  </si>
  <si>
    <t>(16)3711-2255</t>
  </si>
  <si>
    <t>comercial.go@einstein.br</t>
  </si>
  <si>
    <t>(62)3878-5488</t>
  </si>
  <si>
    <t>(62)99508-0892</t>
  </si>
  <si>
    <t>(62)99194-3212</t>
  </si>
  <si>
    <t>comercial@triadsystems.com.br</t>
  </si>
  <si>
    <t>(11)2344-1830</t>
  </si>
  <si>
    <t>(11)97543-6068</t>
  </si>
  <si>
    <t>financeiro@kakautech.com</t>
  </si>
  <si>
    <t>(11)99797-1916</t>
  </si>
  <si>
    <t>tarcisio@luzpublicidade.com.br</t>
  </si>
  <si>
    <t>(21)2223-1130</t>
  </si>
  <si>
    <t>(21)2233-0248</t>
  </si>
  <si>
    <t>(11)2628-6095</t>
  </si>
  <si>
    <t>(11)96318-6180</t>
  </si>
  <si>
    <t>matheus.melo@qmsbrasil.com.br</t>
  </si>
  <si>
    <t>marialucia@unimicros.com.br</t>
  </si>
  <si>
    <t>(67)3324-9460</t>
  </si>
  <si>
    <t>(67)98411-7383</t>
  </si>
  <si>
    <t>Maria Lucia</t>
  </si>
  <si>
    <t>(11)98016 1721</t>
  </si>
  <si>
    <t>ingrid.almeida@proa.ai</t>
  </si>
  <si>
    <t>(11)98647-6011</t>
  </si>
  <si>
    <t>Ingrid</t>
  </si>
  <si>
    <t>sandro.manzano@onni.ai</t>
  </si>
  <si>
    <t>(11)98588-4170</t>
  </si>
  <si>
    <t>xxxxx</t>
  </si>
  <si>
    <t>Sandro</t>
  </si>
  <si>
    <t>Contrato</t>
  </si>
  <si>
    <t>Material</t>
  </si>
  <si>
    <t>xxx</t>
  </si>
  <si>
    <t>WFM (Workforce Manager) para gerenciamento de força de trabalho TAHTO</t>
  </si>
  <si>
    <t>Luiz Paulo Araujo</t>
  </si>
  <si>
    <t>(21) 98105--5714</t>
  </si>
  <si>
    <t>Ricardo Barboza/ Marcus</t>
  </si>
  <si>
    <t>(21) 96419-5530</t>
  </si>
  <si>
    <t>ricardo.barboza@neosyx.com</t>
  </si>
  <si>
    <t>CAPGEMINI BRASIL S/A</t>
  </si>
  <si>
    <t>LUIZ PAULO</t>
  </si>
  <si>
    <t>TAHTO/OI</t>
  </si>
  <si>
    <t>Serviços de Infra de TI para Microinformática / Operação e Suporte DC / Videoconferência / UAC / ITOC / Cabeamento - Serviço de fábrica de software dos sistemas fiscais - TAHTO PROJETO FILIAIS</t>
  </si>
  <si>
    <t>CONTRATO ESPELHO PARA PROJETO SAP - FILIAIS ( 4600054243)</t>
  </si>
  <si>
    <t>CONTRATO ESPELHO PARA PROJETO SAP - FILIAIS ( 4600045990)</t>
  </si>
  <si>
    <t>SÓ TAHTO USA - OI PARA CAPEX</t>
  </si>
  <si>
    <t>4600058132 - SEGREGADO</t>
  </si>
  <si>
    <t>Tipo de Contratação</t>
  </si>
  <si>
    <t>Muito Crítico</t>
  </si>
  <si>
    <t>Não Crítico</t>
  </si>
  <si>
    <t>Crítico</t>
  </si>
  <si>
    <t>Não Critico = Não afeta a continuidade do negócio;</t>
  </si>
  <si>
    <t>Crítico= Afeta parcialmente a continuidade do negócio;</t>
  </si>
  <si>
    <t>Muito crítico = Paralização da Atividade.</t>
  </si>
  <si>
    <t>Critico</t>
  </si>
  <si>
    <t>PROA TECNOLOGIA CRIATIVA LTDA</t>
  </si>
  <si>
    <t>Desenvolvimento de softwares, manutenção de sistema, consultorias e sustentações de soluções de INTELIGENCIA ARTIFICIAL TAHTO</t>
  </si>
  <si>
    <t>Desenvolvimento de programa de computador - Gerenciador de Mailing</t>
  </si>
  <si>
    <t>Contração de uma solução de arquivamento digital, guarda de arquivo físico e sistema de visualização dos arquivos baixados</t>
  </si>
  <si>
    <t>Flavio Dias</t>
  </si>
  <si>
    <t>(11) 99246-8871</t>
  </si>
  <si>
    <t>flavio.dias@ironmountain.com.br</t>
  </si>
  <si>
    <t>thiago.bello@br.experian.com</t>
  </si>
  <si>
    <t>Thiago Bello</t>
  </si>
  <si>
    <t>(11)98968-1551</t>
  </si>
  <si>
    <t>SONDA PROCWORK INFORMATICA LTD</t>
  </si>
  <si>
    <t>(11) 96929-9557</t>
  </si>
  <si>
    <t>storelli@interaxa.com</t>
  </si>
  <si>
    <t>Simone Torelli</t>
  </si>
  <si>
    <t>Aprovador: Renata Cristina de Souza</t>
  </si>
  <si>
    <t>Data Aprovação: 29/05/2024</t>
  </si>
  <si>
    <t>Versão: 001</t>
  </si>
  <si>
    <t>Cód.: FR-GAS-042</t>
  </si>
  <si>
    <t>Nome: Relação de Contratos</t>
  </si>
  <si>
    <t>segregado contrato 4600052321</t>
  </si>
  <si>
    <t>HENRIQUE FERRARI</t>
  </si>
  <si>
    <t>21-2558-4181</t>
  </si>
  <si>
    <t>21 997677389</t>
  </si>
  <si>
    <t>financeiro@thinc.com.br</t>
  </si>
  <si>
    <t>ACORP DO BRASIL IMPORTAÇÃO E EXPORT</t>
  </si>
  <si>
    <t>Suporte e Manutenção de Licenças Novell Microfocus</t>
  </si>
  <si>
    <t xml:space="preserve">OI/TAHTO/V.TAL </t>
  </si>
  <si>
    <t>Jacqueline</t>
  </si>
  <si>
    <t>ULIANA MARIA NICKERSON DO PRADO PERES/PALUAN</t>
  </si>
  <si>
    <t>CINTIA SOARES ANCHIETA/CAMILLA PINTO BRASILEIRO</t>
  </si>
  <si>
    <t>FELIPE DE ANDRADE MOURA/MANFREDO</t>
  </si>
  <si>
    <t>Jackeline, Ana e Pedro</t>
  </si>
  <si>
    <t>CARLOS EDUARDO FUHR/PEDRO ANTONIO</t>
  </si>
  <si>
    <t>CARLOS EDUARDO FUHR/LUIZ PAULO</t>
  </si>
  <si>
    <t>Plataforma de monitoria, com interactions analytics (voz e texto) e extrator de chamadas</t>
  </si>
  <si>
    <t>Transformação através da automação da operação para oferta de PA Virtual</t>
  </si>
  <si>
    <t>Clickup</t>
  </si>
  <si>
    <t>Ultima Atualização</t>
  </si>
  <si>
    <t>Lilian Moura Da Silva</t>
  </si>
  <si>
    <t xml:space="preserve"> RODRIGO DE AVILA OLIVEIRA</t>
  </si>
  <si>
    <t xml:space="preserve">DOWER MARTIN CEREZINI/ </t>
  </si>
  <si>
    <t>( LOGICALLIS) PTLS SERVIÇOS DE TECNOLOGIA E ASSESSORIA TÉCNICA LTDA</t>
  </si>
  <si>
    <t xml:space="preserve">SUPORTE E MANUTENÇÃO LICENÇAS EA - ( LOGICALLIS) </t>
  </si>
  <si>
    <t>ADMINISTRACAO DE GENTE/ TI</t>
  </si>
  <si>
    <t>MANFREDO SAHB CARCUTE/ PEDRO PERIASSU</t>
  </si>
  <si>
    <t>CRISTIANO MUNDIM DE SOUZA/ LUIZ PAULO ARAUJO</t>
  </si>
  <si>
    <t>ULIANA MARIA NICKERSON DO PRADO PERES/ROSEMIRO DE MELO</t>
  </si>
  <si>
    <t>MOVE TO CLOUD - Prestação de Serviços, de Migração do Ambiente Físico para Cloud_ TAHTO</t>
  </si>
  <si>
    <t>MOISES MONTENEGRO/ PAMELLA DUARTE</t>
  </si>
  <si>
    <t>31 9 7138-5571</t>
  </si>
  <si>
    <t>31 9 9792-6266</t>
  </si>
  <si>
    <t>Renan</t>
  </si>
  <si>
    <t>11  99935-0247</t>
  </si>
  <si>
    <t>CAROLINE OU Renan</t>
  </si>
  <si>
    <t>POPULOS TECNOLOGIA LTDA</t>
  </si>
  <si>
    <t>OI/ TAHTO</t>
  </si>
  <si>
    <t xml:space="preserve">Ricardo Bordin Junior </t>
  </si>
  <si>
    <t xml:space="preserve">Leandro Tedesco Pessoa </t>
  </si>
  <si>
    <t>Contrato de Licenciamento e Suporte CITRIX</t>
  </si>
  <si>
    <t>EMPRESAS NO PREAMBULO DO CONTRATO</t>
  </si>
  <si>
    <t>Projeto SKY Fortinet Oi soluções e Tahto</t>
  </si>
  <si>
    <t>OCCO PARA PAGAMENTO CAPEX</t>
  </si>
  <si>
    <t>CAPEX/opex</t>
  </si>
  <si>
    <t>muito Crítico</t>
  </si>
  <si>
    <t>CARLA</t>
  </si>
  <si>
    <t>carla.silva@nube.com.br</t>
  </si>
  <si>
    <t>UBER DO BRASIL TECNOLOGIA LTDA.</t>
  </si>
  <si>
    <t>PREVISÃO VALOR MÉDIO MENSAL</t>
  </si>
  <si>
    <t>NÃO RENOVADO</t>
  </si>
  <si>
    <t>SAP</t>
  </si>
  <si>
    <t>Portaria Centro Oeste p/ Tahto</t>
  </si>
  <si>
    <t>EM RENOVAÇÃO</t>
  </si>
  <si>
    <t>18 LICENÇAS SUPERVISOR CMS AVAYA PARA ATENDER AS OPERAÇÕES DA SKY ( 4600058153)</t>
  </si>
  <si>
    <t>STATUS</t>
  </si>
  <si>
    <t>MOVE TO CLOUD - Prestação de Serviços, de Migração do Ambiente Físico para Cloud_ TAHTO (CONTRATO OPEX BRPE)</t>
  </si>
  <si>
    <t>Segregado</t>
  </si>
  <si>
    <t>Razão social</t>
  </si>
  <si>
    <t>Objeto</t>
  </si>
  <si>
    <t>Início vigência</t>
  </si>
  <si>
    <t>Fim vigência</t>
  </si>
  <si>
    <t>Valor líquido contratado</t>
  </si>
  <si>
    <t>Total líquido pedidos</t>
  </si>
  <si>
    <t>Saldo líquido contrato</t>
  </si>
  <si>
    <t>Condição pagto</t>
  </si>
  <si>
    <t>23.04.2024</t>
  </si>
  <si>
    <t>02.07.2024</t>
  </si>
  <si>
    <t>18.05.2022</t>
  </si>
  <si>
    <t>16.05.2024</t>
  </si>
  <si>
    <t>07.07.2024</t>
  </si>
  <si>
    <t>09.09.2022</t>
  </si>
  <si>
    <t>20.09.2024</t>
  </si>
  <si>
    <t>29.07.2020</t>
  </si>
  <si>
    <t>28.07.2024</t>
  </si>
  <si>
    <t>24.06.2022</t>
  </si>
  <si>
    <t>31.12.2024</t>
  </si>
  <si>
    <t>04.03.2021</t>
  </si>
  <si>
    <r>
      <t xml:space="preserve">18 LICENÇAS SUPERVISOR CMS AVAYA PARA ATENDER AS OPERAÇÕES DA SKY + </t>
    </r>
    <r>
      <rPr>
        <sz val="9"/>
        <color rgb="FFFF0000"/>
        <rFont val="Calibri"/>
        <family val="2"/>
        <scheme val="minor"/>
      </rPr>
      <t>Gravador e Extrator ( inf. Pedro 28/06)</t>
    </r>
  </si>
  <si>
    <t>03.06.2024</t>
  </si>
  <si>
    <t>01.07.2025</t>
  </si>
  <si>
    <t>18 LICENÇAS SUPERVISOR CMS AVAYA PARA ATENDER AS OPERAÇÕES DA SKY</t>
  </si>
  <si>
    <t>30.06.2022</t>
  </si>
  <si>
    <t>13.03.2023</t>
  </si>
  <si>
    <t>04.03.2025</t>
  </si>
  <si>
    <t>16.05.2022</t>
  </si>
  <si>
    <t>14.05.2025</t>
  </si>
  <si>
    <t>15.10.2021</t>
  </si>
  <si>
    <t>14.10.2025</t>
  </si>
  <si>
    <t>09.09.2016</t>
  </si>
  <si>
    <t>30.04.2025</t>
  </si>
  <si>
    <t>01.04.2021</t>
  </si>
  <si>
    <t>31.03.2025</t>
  </si>
  <si>
    <t>01.09.2019</t>
  </si>
  <si>
    <t>31.07.2025</t>
  </si>
  <si>
    <t>01.11.2021</t>
  </si>
  <si>
    <t>31.10.2025</t>
  </si>
  <si>
    <t>04.03.2024</t>
  </si>
  <si>
    <t>03.03.2026</t>
  </si>
  <si>
    <t>10.06.2024</t>
  </si>
  <si>
    <t>09.06.2026</t>
  </si>
  <si>
    <t>21.11.2023</t>
  </si>
  <si>
    <t>22.11.2026</t>
  </si>
  <si>
    <t>licenciamento e manutenção da Plataforma de Atendimento Digital em NUVEM - Canais Digitais ( live person)</t>
  </si>
  <si>
    <t>18 LICENÇAS SUPERVISOR CMS AVAYA PARA ATENDER AS OPERAÇÕES DA SKY + Gravador e Extrator ( inf. Pedro 28/06)</t>
  </si>
  <si>
    <t>Se sim, quando será consolidado?</t>
  </si>
  <si>
    <t>É um contrato que será consolidado?</t>
  </si>
  <si>
    <t>Gestor Responsável</t>
  </si>
  <si>
    <t>Área Responsável</t>
  </si>
  <si>
    <t>É contrato de Gain-sharing?</t>
  </si>
  <si>
    <t>Valor do Contrato (R$)</t>
  </si>
  <si>
    <t>Fim da Vigência</t>
  </si>
  <si>
    <t>Início da Vigência</t>
  </si>
  <si>
    <t>Objeto do Contrato</t>
  </si>
  <si>
    <t>CONTRATO SEGREGADO</t>
  </si>
  <si>
    <t>Nº Contrato</t>
  </si>
  <si>
    <t xml:space="preserve">Contratos A5 </t>
  </si>
  <si>
    <t>BRPE</t>
  </si>
  <si>
    <t>OCCO</t>
  </si>
  <si>
    <t>PROJETO CANCELADO</t>
  </si>
  <si>
    <t>NDA</t>
  </si>
  <si>
    <t>ORGANIZAÇÃO DE COMPRAS</t>
  </si>
  <si>
    <t>02.07.2025</t>
  </si>
  <si>
    <t>Transformação através da automação da operação para oferta de PA Virtual - TAHTO - SEGREGADO 4600054298</t>
  </si>
  <si>
    <t>ADISTEC BRASIL INFORMÁTICA LTDA</t>
  </si>
  <si>
    <t>ARKDEAL EQUIPAMENTOS E SOLUÇÕES DE</t>
  </si>
  <si>
    <t>ARAUJO ABREU ENGENHARIA S/A</t>
  </si>
  <si>
    <t>EMPRESA BRASILEIRA DE CORREIOS E TE</t>
  </si>
  <si>
    <t>PADRAO EDITORIAL EIRELI</t>
  </si>
  <si>
    <t>PRICEWATERHOUSECOOPERS AUDITORES IN</t>
  </si>
  <si>
    <t>TK ELEVADORES BRASIL LTDA</t>
  </si>
  <si>
    <t>WEBDOX DO BRASIL LTDA</t>
  </si>
  <si>
    <t>Licenciamento e Suporte Veritas ( Licenças Netbackup - licenciamento e aquisição do HW Appliance)</t>
  </si>
  <si>
    <t>MÔNICA LÚCI DE SOUZA SANTANA</t>
  </si>
  <si>
    <t>monicaluci@araujoabreu.com.br</t>
  </si>
  <si>
    <t>Locação dos equipamentos de informática</t>
  </si>
  <si>
    <t>Serviço de Limpeza e Manutenção Predial (Imóveis administrativos, operacionais, CD e sites) ( OI/ TAHTO)</t>
  </si>
  <si>
    <t>PATROCÍNIO PROJETO CONTENT DESIGN 2023 ( contrato SAP?)</t>
  </si>
  <si>
    <t>Alexandre PALUAN</t>
  </si>
  <si>
    <t>Tahto - Manutenção de Elevadores nos prédios da Oi ( 4600056775 - CONTRATO SAP?)</t>
  </si>
  <si>
    <t>Serviço de Nuvem – COM I.A -Juridico</t>
  </si>
  <si>
    <t>AC MILIONI PRODUTOS PROMOCIONAIS LT</t>
  </si>
  <si>
    <t>Fornecimento de Brindes promocionais</t>
  </si>
  <si>
    <t>-</t>
  </si>
  <si>
    <t>Aline Milione</t>
  </si>
  <si>
    <t>11 9 4448-0220</t>
  </si>
  <si>
    <t>alinem@brindes2go.com.br</t>
  </si>
  <si>
    <t>ROSENIRA</t>
  </si>
  <si>
    <t xml:space="preserve"> 21 99228-5813</t>
  </si>
  <si>
    <t>21 98596-2943</t>
  </si>
  <si>
    <t>rgomes@a5solutions.com /juridico@a5solutions.com</t>
  </si>
  <si>
    <t>TIM S A</t>
  </si>
  <si>
    <t>Plano Móvel Colaborador</t>
  </si>
  <si>
    <t>4600056634 OCCO</t>
  </si>
  <si>
    <t>Emerson/ Erica</t>
  </si>
  <si>
    <t>SUPER PRO COMERCIO DE EQUIPAMENTOS ( ZAIPO)</t>
  </si>
  <si>
    <t>Serviços de Licenciamento e manutenção da Plataforma de Atendimento Digital em NUVEM, bem como a prestação de serviços de construção, gestão e evolução de ChatBots para interações em aplicativos de mensagens WPP - live Person ( Canais digitais)</t>
  </si>
  <si>
    <t>brl</t>
  </si>
  <si>
    <t xml:space="preserve">Rafaela Malafaia Demetrio de Oliveira </t>
  </si>
  <si>
    <t>(31) 99622-0212</t>
  </si>
  <si>
    <t>rafaela.demetrio@santodigital.com.br</t>
  </si>
  <si>
    <t>CONTRATO PARA CONTROLE DE LICENÇAS - EMITIDO COMO SPOT - PEDIDO DE COMPRAS 4509303073</t>
  </si>
  <si>
    <t>INSTITUTO TREINARE LTDA</t>
  </si>
  <si>
    <t>Treinamento - capacitação para a aplicação da ferramenta Eneagrama</t>
  </si>
  <si>
    <t>(62) 98161-4374</t>
  </si>
  <si>
    <t>makerleystefanini@gmail.com</t>
  </si>
  <si>
    <t>Makerley Stefanini</t>
  </si>
  <si>
    <t>TAHTO ( OI FIADORA)</t>
  </si>
  <si>
    <t>5º aditivo - transferencia 37 veiculos para TAHTO</t>
  </si>
  <si>
    <t>radibra@netgo.com.br</t>
  </si>
  <si>
    <t>ultima atualização - 12/08/24</t>
  </si>
  <si>
    <t>ultima atualização 12/08/2025 - conf. SAP</t>
  </si>
  <si>
    <t>CONTROLE DE JORNADA (ACPRO) E BLOQUEIO INTELIGENTE. - TAHTO ( 4600051835)</t>
  </si>
  <si>
    <t>Lucio Mauro</t>
  </si>
  <si>
    <t>11  98527-0510</t>
  </si>
  <si>
    <t>(11)4081-1000</t>
  </si>
  <si>
    <t>barrafunda@vipoffice.com.br</t>
  </si>
  <si>
    <t>VIP ADM  LOCACAO DE ESCRITORIOS E S ( 3045876)</t>
  </si>
  <si>
    <t>Projeto SAP - Criação de Filiais Tahto</t>
  </si>
  <si>
    <t>Rayane Flores</t>
  </si>
  <si>
    <t>ALESSANDRO</t>
  </si>
  <si>
    <t>62 98242-0009</t>
  </si>
  <si>
    <t>62 99910-4565</t>
  </si>
  <si>
    <t>ZURAYDA@ALESSANDROEXPRESS.COM.BR/ ALESSANDROEXPRESS@HOTMAIL.COM</t>
  </si>
  <si>
    <t>segregado para 4600058504</t>
  </si>
  <si>
    <t>AGL CONSULTORIA EM INFORMATICA</t>
  </si>
  <si>
    <t xml:space="preserve">Desenvolvimento de programa(s) de computador (Sistema(s)), fabrica TAHTO          </t>
  </si>
  <si>
    <t>SMARTWAY SOLUCOES EM COBRANCA LTDA ( TASKEN)</t>
  </si>
  <si>
    <t>Licenciamento de ferramenta de CRM - TASKEN</t>
  </si>
  <si>
    <t>ANDRÉ REBITE</t>
  </si>
  <si>
    <t>4600057923</t>
  </si>
  <si>
    <t>1 2 3 MARKETING DE EVENTOS LTDA</t>
  </si>
  <si>
    <t>GLAUBER HENRIQUE</t>
  </si>
  <si>
    <t>ABEMD ASSOCIACAO BRASILEIRA DE MARK DIRETO</t>
  </si>
  <si>
    <t>AMERICA NET LTDA</t>
  </si>
  <si>
    <t>B2B MATCH CONSULTORIA COMUNICACAO E ICIPACOES LTDA</t>
  </si>
  <si>
    <t>CALL ZONE BAY RENTALS LTDA</t>
  </si>
  <si>
    <t>CENTRO DE INTEGRACAO EMPRESA ESCOLA</t>
  </si>
  <si>
    <t>D&amp;S APOIO EMPRESARIAL LTDA</t>
  </si>
  <si>
    <t>DPRINT EDITORIAL GRAFICA LTDA</t>
  </si>
  <si>
    <t>FERNANDA DA COSTA VIEIRA ARAÚJO - M</t>
  </si>
  <si>
    <t>FONTBEL ALUGUEL DE BOXES LTDA</t>
  </si>
  <si>
    <t>GRUPO HOSPITALAR DO RIO DE JANEIRO</t>
  </si>
  <si>
    <t>INFOBASE CONSULTORIA E INFORMATICA</t>
  </si>
  <si>
    <t>MALKA GESTAO DE PESSOAS LTDA</t>
  </si>
  <si>
    <t>MB EVENTOS E LOCACOES LTDA ME</t>
  </si>
  <si>
    <t>NEOBETEL EPI EQUIPAMENTOS DE PROTECAO INDIVIDUAL LTDA</t>
  </si>
  <si>
    <t>NOVA VIDA TECNOLOGIA DA INFORMACAO LTDA</t>
  </si>
  <si>
    <t>PACER LOGISTICA S/A.</t>
  </si>
  <si>
    <t>PLANTECH TECNOLOGIA LTDA</t>
  </si>
  <si>
    <t>PLUGAAE AGENCIAMENTO DE MAO DE OBRA LTDA</t>
  </si>
  <si>
    <t>PRAENDEX BRASIL SISTEMAS DE APOIO GERENCIAL LTDA</t>
  </si>
  <si>
    <t>SANTODIGITAL DISTRIBUICAO E CONSULT EM INFORMATICA LTDA</t>
  </si>
  <si>
    <t>UFLY TECHNOLOGY LTDA</t>
  </si>
  <si>
    <t>VILLA AROMA INDUSTRIA E COMERCIO LT</t>
  </si>
  <si>
    <t>4600057975</t>
  </si>
  <si>
    <t>0001</t>
  </si>
  <si>
    <t>0060</t>
  </si>
  <si>
    <t>4600058493</t>
  </si>
  <si>
    <t>4600058222</t>
  </si>
  <si>
    <t>4600058560</t>
  </si>
  <si>
    <t>4600058160</t>
  </si>
  <si>
    <t>4600058431</t>
  </si>
  <si>
    <t>4600058221</t>
  </si>
  <si>
    <t>4600058323</t>
  </si>
  <si>
    <t>4600058125</t>
  </si>
  <si>
    <t>10DL</t>
  </si>
  <si>
    <t>4600058198</t>
  </si>
  <si>
    <t>4600058408</t>
  </si>
  <si>
    <t>4600058437</t>
  </si>
  <si>
    <t>4600058343</t>
  </si>
  <si>
    <t>4600058180</t>
  </si>
  <si>
    <t>4600058340</t>
  </si>
  <si>
    <r>
      <rPr>
        <b/>
        <sz val="10"/>
        <rFont val="Calibri"/>
        <family val="2"/>
        <scheme val="minor"/>
      </rPr>
      <t xml:space="preserve"> 4600047212</t>
    </r>
    <r>
      <rPr>
        <sz val="10"/>
        <rFont val="Calibri"/>
        <family val="2"/>
        <scheme val="minor"/>
      </rPr>
      <t xml:space="preserve"> /4600043122 / 4600043123 / 4600045799 / 4600045859 / 4600046759 /4600046794 / 4600047213 / 4600050955 /</t>
    </r>
    <r>
      <rPr>
        <b/>
        <sz val="10"/>
        <rFont val="Calibri"/>
        <family val="2"/>
        <scheme val="minor"/>
      </rPr>
      <t xml:space="preserve"> 4600051952</t>
    </r>
    <r>
      <rPr>
        <sz val="10"/>
        <rFont val="Calibri"/>
        <family val="2"/>
        <scheme val="minor"/>
      </rPr>
      <t xml:space="preserve"> / 4600055291</t>
    </r>
  </si>
  <si>
    <r>
      <t>99 TECNOLOGIA LTDA (</t>
    </r>
    <r>
      <rPr>
        <sz val="10"/>
        <color rgb="FFFF0000"/>
        <rFont val="Calibri"/>
        <family val="2"/>
        <scheme val="minor"/>
      </rPr>
      <t xml:space="preserve"> EM TRAMITAÇÃO</t>
    </r>
    <r>
      <rPr>
        <sz val="10"/>
        <color theme="1"/>
        <rFont val="Calibri"/>
        <family val="2"/>
        <scheme val="minor"/>
      </rPr>
      <t>)</t>
    </r>
  </si>
  <si>
    <t>EM TRAMITAÇÃO 4600058385</t>
  </si>
  <si>
    <t>08/01/2024 - REVER</t>
  </si>
  <si>
    <t>ANTERIOR 4600056561</t>
  </si>
  <si>
    <t>Prestação de serviços gerenciados FW Fortinet SP e GO</t>
  </si>
  <si>
    <t>Serviços de Segrança da Informação</t>
  </si>
  <si>
    <t>anterior - 4600056681</t>
  </si>
  <si>
    <t>ANTERIOR - 4600057550</t>
  </si>
  <si>
    <t>Gestão de meios de pagamento de Combustível para Frota Corporativa TAHTO</t>
  </si>
  <si>
    <t>4600049898 ( EM RENOVAÇÃO)</t>
  </si>
  <si>
    <t>REVER POIS HÁ ATIVO MAIS 3 CONTRATOS</t>
  </si>
  <si>
    <t xml:space="preserve">REVER POIS HÁ ATIVO MAIS 3 CONTRATOS </t>
  </si>
  <si>
    <t>SUBSTITUIDO POR 4600058239</t>
  </si>
  <si>
    <t>anterior 4600054530</t>
  </si>
  <si>
    <t>40 para 30</t>
  </si>
  <si>
    <t>4600058125 ( EM RENOVAÇÃO)</t>
  </si>
  <si>
    <t>Jovem Aprendiz BTCC - MS/GO</t>
  </si>
  <si>
    <t>4600055243 ( EM RENOVAÇÃO)</t>
  </si>
  <si>
    <t>REVER POIS HÁ ATIVO MAIS 1 CONTRATOS 4600051153</t>
  </si>
  <si>
    <t>ERNANI 4600051153 - REVER</t>
  </si>
  <si>
    <t>Patrocínio, pela PATROCINADORA, do Projeto " EXPERIENCE CLUB 2024"</t>
  </si>
  <si>
    <t>Patrocínio B2B 2024</t>
  </si>
  <si>
    <t>07</t>
  </si>
  <si>
    <t>Tradução de documentos Tahto</t>
  </si>
  <si>
    <t>Prestação de serviço de audiovisual</t>
  </si>
  <si>
    <t>Contratação de Serviços e Posições de Callcenter.</t>
  </si>
  <si>
    <t>Crowdstrike Oi Soluções - Pagamento por boleto</t>
  </si>
  <si>
    <t>110 PARA 60</t>
  </si>
  <si>
    <t>60</t>
  </si>
  <si>
    <t>30</t>
  </si>
  <si>
    <t>45</t>
  </si>
  <si>
    <t>1</t>
  </si>
  <si>
    <t>90</t>
  </si>
  <si>
    <t xml:space="preserve">Licenças Google Workspace </t>
  </si>
  <si>
    <t>CAPEX/ OPEX</t>
  </si>
  <si>
    <t>Suporte Técnico SBC's - TAHTO</t>
  </si>
  <si>
    <t>01/10/20024</t>
  </si>
  <si>
    <t>TIAGO GONZALEZ</t>
  </si>
  <si>
    <t>LPU - Locação dos equipamentos de informática</t>
  </si>
  <si>
    <t>segregado - 4600057906</t>
  </si>
  <si>
    <t>PSR em São Paulo</t>
  </si>
  <si>
    <t>Enriquecimento de mailing - TAHTO</t>
  </si>
  <si>
    <t>Fornecimento de links IP dedicado, L2L e FTTH</t>
  </si>
  <si>
    <t>PEDRO PERIASSU</t>
  </si>
  <si>
    <t>Fornecimento de materiais gráficos</t>
  </si>
  <si>
    <t>Locação de Storage</t>
  </si>
  <si>
    <t>Fornecimento de Protetor Solar FPS 60 UVA</t>
  </si>
  <si>
    <t>Serviços de desenvolvimento de programa(s) de computador Sistema(s)</t>
  </si>
  <si>
    <t>Fornecimento de essência personalizada e produtos aromáticos</t>
  </si>
  <si>
    <t>LUIZ PAULO ARAUJO</t>
  </si>
  <si>
    <t xml:space="preserve">GLAUBER HENRIQUE DOS SANTOS </t>
  </si>
  <si>
    <t>MEIRE TOMAZINI DE OLIVEIRA</t>
  </si>
  <si>
    <t>FELIPE DE ANDRADE MOURA/ GRAZIELA DE CASSIA CAPRARA</t>
  </si>
  <si>
    <t>ANTERIOR 4600053869</t>
  </si>
  <si>
    <t>Renovação da manutenção da solução de relatório para as chamadas receptivas de toda a BTCC (genesys, softphone e WhatsApp)</t>
  </si>
  <si>
    <t>ROSEMIRO DE MELO/ SHEILA SAITO SIMONE</t>
  </si>
  <si>
    <t>LEANDRO TEDESCO PESSOA/CAMILA PEREIRA MARCELLINO</t>
  </si>
  <si>
    <t>PEDRO ANTONIO PERIASSU/ CAMILA PEREIRA MARCELLINO</t>
  </si>
  <si>
    <t>segregado 4600057700</t>
  </si>
  <si>
    <t>Serviço de Limpeza e Manutenção Predial (Imóveis administrativos, operacionais, CD e sites) - EQS - TAHTO</t>
  </si>
  <si>
    <t>segregado para 4600057879</t>
  </si>
  <si>
    <t>Segregado para 4600057172</t>
  </si>
  <si>
    <t>Segregado para 4600057874</t>
  </si>
  <si>
    <t>Segregado para 4600055067</t>
  </si>
  <si>
    <t>Segregado para 4600057891</t>
  </si>
  <si>
    <t>Segregado para 4600057902</t>
  </si>
  <si>
    <t>Segregado para - 4600058154</t>
  </si>
  <si>
    <t>Segregado para 4600057919</t>
  </si>
  <si>
    <t>Segregado para - 4600058160</t>
  </si>
  <si>
    <t xml:space="preserve">Segregado para 4600058132 </t>
  </si>
  <si>
    <t>Segregado para- 4600057927</t>
  </si>
  <si>
    <t>Segregado para 4600057964</t>
  </si>
  <si>
    <t>Segregado para- 4600058239</t>
  </si>
  <si>
    <t xml:space="preserve">Segregado para4600058303 </t>
  </si>
  <si>
    <t>Segregado para 4600058180</t>
  </si>
  <si>
    <t>Segregado para - 4600058560</t>
  </si>
  <si>
    <t>Segregado para 4600058163</t>
  </si>
  <si>
    <t>Segregado para- 4600058428</t>
  </si>
  <si>
    <t>Segregado para- 4600058198</t>
  </si>
  <si>
    <t>Segregado para - 4600058310</t>
  </si>
  <si>
    <t>Segregado para 4600058299</t>
  </si>
  <si>
    <r>
      <t xml:space="preserve">LG INFORMÁTICA S.A. </t>
    </r>
    <r>
      <rPr>
        <sz val="10"/>
        <color rgb="FFFF0000"/>
        <rFont val="Calibri"/>
        <family val="2"/>
        <scheme val="minor"/>
      </rPr>
      <t>(EM ANDAMENTO)</t>
    </r>
  </si>
  <si>
    <t>Renovação do contrato Guarda Chuva para atendimento às demandas do Sistema FPW - FAP online</t>
  </si>
  <si>
    <t>SmartOffices, API Fibra, Landing Page e Command Center SDK.  (ATUALIZADO EM 14.01)</t>
  </si>
  <si>
    <t>GROWTH COMUNICACOES  -EIRELI</t>
  </si>
  <si>
    <t>Prestação de Serviços de planejamento e criação publicitárias</t>
  </si>
  <si>
    <t>INSTITUTO DE PROMOCAO HUMANA APRENDIZAGEM E CULTURA</t>
  </si>
  <si>
    <t>GÁVEA FACILITIES SERVIÇOS GERAIS LT ( 3043270)</t>
  </si>
  <si>
    <t>Prestação de Serviço de Limpeza e Conservação Prédios Administrativos e Call Center - Tahto</t>
  </si>
  <si>
    <t xml:space="preserve">SPA consultoria e Projetos </t>
  </si>
  <si>
    <t>COND ED BRASIL TELECOMEMBRATEL</t>
  </si>
  <si>
    <t>aluguel de MS</t>
  </si>
  <si>
    <t xml:space="preserve">Prestação de Serviço de desenvolvimento, manutenção e hospedagem de Website </t>
  </si>
  <si>
    <t>+55 11 97631 0459</t>
  </si>
  <si>
    <t>Fabio.Miranda@la.logicalis.com</t>
  </si>
  <si>
    <t>+55 11 3573 7091</t>
  </si>
  <si>
    <t>Fabio Miranda/ Amanda Stross</t>
  </si>
  <si>
    <t>Kênia Drumond</t>
  </si>
  <si>
    <t>11 98694-0674</t>
  </si>
  <si>
    <t>kenia.drumond@blip.ai</t>
  </si>
  <si>
    <t>(11) 99783-0754</t>
  </si>
  <si>
    <t>ligia.bueno@mutant.com.br</t>
  </si>
  <si>
    <t>LIGIA MARIA BUENO ROCHA</t>
  </si>
  <si>
    <t>LIGIA RESPONSAVEL POR WHATSAPP</t>
  </si>
  <si>
    <t>SIMONE TORELLI</t>
  </si>
  <si>
    <t>(21) 98896-2755</t>
  </si>
  <si>
    <t>Sylmar Pimenta Terra/ Cristiano Ramos</t>
  </si>
  <si>
    <t>(11) 94752-7231</t>
  </si>
  <si>
    <t>sylmar.terra@sonda.com/ cristiano.ramos@sonda.com</t>
  </si>
  <si>
    <t xml:space="preserve">Marcelo Rosin </t>
  </si>
  <si>
    <t>(011) 4637-6701</t>
  </si>
  <si>
    <t>Marcelo Rosin</t>
  </si>
  <si>
    <t>DOUGLAS BEVEVINO</t>
  </si>
  <si>
    <t>douglas@eqsengenharia.com.br</t>
  </si>
  <si>
    <t>(21) 97901-0292</t>
  </si>
  <si>
    <t>Valclenice Henrique Guimarães</t>
  </si>
  <si>
    <t xml:space="preserve">Leomar Alves de Souza </t>
  </si>
  <si>
    <t>Sergio Sanches</t>
  </si>
  <si>
    <t>sergio@growthcomunicacoes.com.br</t>
  </si>
  <si>
    <t>(11)99991-3157</t>
  </si>
  <si>
    <t>(11) 2626-0567</t>
  </si>
  <si>
    <t>iphac@iphac.org.br,</t>
  </si>
  <si>
    <t>Melquiades</t>
  </si>
  <si>
    <t>(62) 98258-0252</t>
  </si>
  <si>
    <t>melquiades.oliveira@iphac.org.br</t>
  </si>
  <si>
    <t>Cristiane de Oliverira Brito</t>
  </si>
  <si>
    <t>21) 98169-7793</t>
  </si>
  <si>
    <t>cristiane.brito@lg.com.br</t>
  </si>
  <si>
    <t>Hernane Soares</t>
  </si>
  <si>
    <t>hernane.soares@veolink.com.br</t>
  </si>
  <si>
    <t xml:space="preserve">21 99204-1521
 </t>
  </si>
  <si>
    <t>21 96745-3947</t>
  </si>
  <si>
    <t>André Coutinho </t>
  </si>
  <si>
    <t>andrecoutinho@movida.com.br</t>
  </si>
  <si>
    <t>3046314</t>
  </si>
  <si>
    <t>thiago.bettio@gaveafacilities.com.br</t>
  </si>
  <si>
    <t>THIAGO BETTIO</t>
  </si>
  <si>
    <t>21 96409-6696</t>
  </si>
  <si>
    <t>21 2168-8103</t>
  </si>
  <si>
    <t>ROSENIRA GOMES</t>
  </si>
  <si>
    <t>4600057900 ( NÃO RENOVADO)</t>
  </si>
  <si>
    <t>Matheus Melo</t>
  </si>
  <si>
    <t>FABIANA ALVES</t>
  </si>
  <si>
    <t>fabiana.alves@acorp.com.br</t>
  </si>
  <si>
    <t>(11) 97310-3889</t>
  </si>
  <si>
    <t>190044</t>
  </si>
  <si>
    <t>3041565</t>
  </si>
  <si>
    <t>3005355</t>
  </si>
  <si>
    <t>3046228</t>
  </si>
  <si>
    <t>3046070</t>
  </si>
  <si>
    <t>3045673</t>
  </si>
  <si>
    <t>3043657</t>
  </si>
  <si>
    <t>Sueli Silva Ribeiro</t>
  </si>
  <si>
    <t>3045502</t>
  </si>
  <si>
    <t>INSTITUTO DE PROMOCAO HUMANA APRENDIZAGEM E CULTURA (IPHAC)</t>
  </si>
  <si>
    <t xml:space="preserve">LEGALMIND PROJETOS E CONSULTOR </t>
  </si>
  <si>
    <t>3046259</t>
  </si>
  <si>
    <t>NEOSYX DESENVOLVIMENTO LTDA ( OCCO)</t>
  </si>
  <si>
    <t>MEX BENEFICIOS  LTDA</t>
  </si>
  <si>
    <t>169949</t>
  </si>
  <si>
    <t>3042399</t>
  </si>
  <si>
    <t>3045693</t>
  </si>
  <si>
    <t>3046134</t>
  </si>
  <si>
    <t>ONNI.AI INTELIGENCIA E TECNOLOGIA ( BRPE)</t>
  </si>
  <si>
    <t>ONNI.AI INTELIGENCIA E TECNOLOGIA (OCCO)</t>
  </si>
  <si>
    <t>193555</t>
  </si>
  <si>
    <t>PRAENDEX BRASIL SISTEMAS</t>
  </si>
  <si>
    <t>3025528</t>
  </si>
  <si>
    <t>3045034</t>
  </si>
  <si>
    <t>3000711</t>
  </si>
  <si>
    <t>SECUREWAY TECNOLOGIA DA INFORM</t>
  </si>
  <si>
    <t>TRIPLA SERVICES LTDA - ME ( BRPE)</t>
  </si>
  <si>
    <t>TRIPLA SERVICES LTDA - ME ( OCCO)</t>
  </si>
  <si>
    <t>3045790</t>
  </si>
  <si>
    <t>3044034</t>
  </si>
  <si>
    <t>3045851</t>
  </si>
  <si>
    <t>RODRIGO NASCIMENTO</t>
  </si>
  <si>
    <t>(41) 99127-5742</t>
  </si>
  <si>
    <t>rdnascimento@simpress.com.br</t>
  </si>
  <si>
    <t>Adriana Luiza dos Santos Araujo</t>
  </si>
  <si>
    <t>adriana.araujo@oi.net.br</t>
  </si>
  <si>
    <t>21) 98088-4477</t>
  </si>
  <si>
    <t xml:space="preserve">Sandra Antunes </t>
  </si>
  <si>
    <t>(11)96318 1950</t>
  </si>
  <si>
    <t>sandra.antunes@2clix.cx</t>
  </si>
  <si>
    <t>Ricardo Dipsie</t>
  </si>
  <si>
    <t>ricardo.dipsie@abilitytecnologia.com.br</t>
  </si>
  <si>
    <t>(21) 96498-6933/ (21) 96497-0723</t>
  </si>
  <si>
    <t>lfeques@avipam.com.br</t>
  </si>
  <si>
    <t>BETH/ LETICIA FEQUES</t>
  </si>
  <si>
    <t>Luiza Buccini</t>
  </si>
  <si>
    <t>11 99666-3683</t>
  </si>
  <si>
    <t>11 3750 7090</t>
  </si>
  <si>
    <t>Luiza.buccini@praendexbrasil.com.br</t>
  </si>
  <si>
    <t>hugodosrr208@gmail.com</t>
  </si>
  <si>
    <t>HUGO REIS</t>
  </si>
  <si>
    <t>62 9 9194-3212</t>
  </si>
  <si>
    <t>Condominio Curitiba</t>
  </si>
  <si>
    <t>Maielly Ferraz</t>
  </si>
  <si>
    <t>(41) 98501-2206</t>
  </si>
  <si>
    <t>(41) 99634-4805</t>
  </si>
  <si>
    <t>etcuritiba@markbuilding.com.br</t>
  </si>
  <si>
    <t xml:space="preserve">OI S.A. </t>
  </si>
  <si>
    <t>Suporte Técnico Cisco CGR</t>
  </si>
  <si>
    <t>( LOGICALLIS) PTLS SERVIÇOS DE TECNOLOGIA E ASSESSORIA TÉCNICA LTDA ( CISCO)</t>
  </si>
  <si>
    <t>Suporte e Manutenção Licenças EA</t>
  </si>
  <si>
    <t>Solução Endpoint Symantec/ Shield</t>
  </si>
  <si>
    <t>BWSEC TECNOLOGIA LTDA  (Symantec/ Shield)</t>
  </si>
  <si>
    <t>A licença de uso do software BEEDOO (10.000 licenças) e Prestação de serviços de manutenção da Licença (Serviços). -  LUHMUS</t>
  </si>
  <si>
    <t xml:space="preserve">ASSIM - GRUPO HOSPITALAR DO RIO DE JANEIRO </t>
  </si>
  <si>
    <t>Ronaldo</t>
  </si>
  <si>
    <t>21 98835-1225</t>
  </si>
  <si>
    <t>ronaldoferreira@assim.com.br</t>
  </si>
  <si>
    <t>BEEDOO LICENCIAMENTO DE SOFTWARE LT . LUHMUS</t>
  </si>
  <si>
    <t>LUMIS EIP TENOLOGIA DA INFORMAÇÃO LTDA</t>
  </si>
  <si>
    <t>Erico Ângelo</t>
  </si>
  <si>
    <t>(11) 94384-0840</t>
  </si>
  <si>
    <t>Erico.angelo@lumis.com.br</t>
  </si>
  <si>
    <t>Sergio Assis</t>
  </si>
  <si>
    <t>67 9985-2580</t>
  </si>
  <si>
    <t>Manutenção e suporte(8x5) das licenças Lumis Portal Java e Microsoft.7 licenças JAVA e 10 licenças Microsoft</t>
  </si>
  <si>
    <t>ZAME GESTÃO EM SAÚDE CORPORATIVA LTDA</t>
  </si>
  <si>
    <t>CONTRATOS SEGREGADOS SAP - 4600042743(Oi)/ 460005119 (OI LOGISTICA)/ 4600051107 (OI PATRIMONIO)/ 4600051060 ( OI COMUNICAÇÃO) /4600051130 TAHTO/4600053912 TAHTO/</t>
  </si>
  <si>
    <t xml:space="preserve">LPU LOCAÇÃO DE COMPUTADORES - TAHTO </t>
  </si>
  <si>
    <t>Prestação de Serviços de envio e recebimento de SMS corporativo (VONEX)</t>
  </si>
  <si>
    <t>UNIPIX SERVICOS DE TECNOLOGIA E INFORMATICA LTDA ( Vonex)</t>
  </si>
  <si>
    <t>mensal 5.180,00 ( recarga) -pgto pré editado.</t>
  </si>
  <si>
    <t>DIALETO DIGITAL COMUNICACAO LTDA</t>
  </si>
  <si>
    <t>Fornecimento de Headsets para a Tahto</t>
  </si>
  <si>
    <t>Solução Kubernetes e PostgreSQL.  TAHTO</t>
  </si>
  <si>
    <t>rdagama@interaxa.com</t>
  </si>
  <si>
    <t>Rodrigo M. Gama</t>
  </si>
  <si>
    <t>(11) 98780.0667</t>
  </si>
  <si>
    <t>OI S.A. – EM RECUPERAÇÃO JUDICIAL</t>
  </si>
  <si>
    <t>aracaju@vipoffice.com.br</t>
  </si>
  <si>
    <t>TERMOS:122925/123009/124056/125462/126101</t>
  </si>
  <si>
    <t>TERMO: 122664</t>
  </si>
  <si>
    <t>TERMO: 124835</t>
  </si>
  <si>
    <t>Erica Cintra</t>
  </si>
  <si>
    <t>erica.cintra@magazineluiza.com.br</t>
  </si>
  <si>
    <t>corporativo@magazineluiza.com.br</t>
  </si>
  <si>
    <t>CLISTYEN DAYER PRADO RODRIGUES</t>
  </si>
  <si>
    <t>CECILIA DAYANE DA SILVA MARTINS</t>
  </si>
  <si>
    <t>corporativo@magazineluiza.zendesk.com</t>
  </si>
  <si>
    <t xml:space="preserve">LG INFORMÁTICA S.A. </t>
  </si>
  <si>
    <t xml:space="preserve">Paulo Vergani </t>
  </si>
  <si>
    <t>pvergani@verointernet.com.br</t>
  </si>
  <si>
    <t>INFOBASE CONSULTORIA E INFORMA</t>
  </si>
  <si>
    <t xml:space="preserve">TPV INOVA SOLUCOES EM INFORMATICA S </t>
  </si>
  <si>
    <t>ULIANA MARIA NICKERSON DO PRADO PERES/ MEIRE TOMASINI DE OLIVEIRA</t>
  </si>
  <si>
    <t>ALEXANDRE PALUAN/ MEIRE TOMASINI DE OLIVEIRA</t>
  </si>
  <si>
    <t>Alexandre PALUAN/ MEIRE TOMASINI DE OLIVEIRA</t>
  </si>
  <si>
    <t>ADMINISTRACAO DE GENTE/MARKETING COMERCIAL E PARCERIAS</t>
  </si>
  <si>
    <t>MANFREDO SAHB CARCUTE/FELIPE DE ANDRADE MOURA/ GRAZIELA DE CASSIA CAPRARA</t>
  </si>
  <si>
    <t>CAMILLA PINTO BRASILEIRO/GRAZIELA DE CASSIA CAPRARA</t>
  </si>
  <si>
    <t>ULIANA MARIA NICKERSON DO PRADO PERES/MEIRE TOMAZINI DE OLIVEIRA</t>
  </si>
  <si>
    <t>Daniela Monteiro</t>
  </si>
  <si>
    <t>(11)98574-4132</t>
  </si>
  <si>
    <t>renata CRISTINA DE SOUZA</t>
  </si>
  <si>
    <t xml:space="preserve">BRUNO FANTAGUZZI LINCES </t>
  </si>
  <si>
    <t>TIAGO</t>
  </si>
  <si>
    <t>GÁVEA FACILITIES SERVIÇOS GERAIS LTDA</t>
  </si>
  <si>
    <t>Não Consta SAP</t>
  </si>
  <si>
    <t>SEM VALOR</t>
  </si>
  <si>
    <t>INDETERMINADO</t>
  </si>
  <si>
    <t>SAP BRASIL LTDA</t>
  </si>
  <si>
    <t>EMPRÉSTIMO - Convênio para Concessão de Operações de Empréstimo com Consignação em Folha de Pagamento</t>
  </si>
  <si>
    <t>4600037429</t>
  </si>
  <si>
    <t>189660</t>
  </si>
  <si>
    <t>0030</t>
  </si>
  <si>
    <t>4600053335</t>
  </si>
  <si>
    <t>188451</t>
  </si>
  <si>
    <t>4600056498</t>
  </si>
  <si>
    <t>102179</t>
  </si>
  <si>
    <t>PRAZO DE PGTO</t>
  </si>
  <si>
    <t>FIM DA VIGÊNCIA</t>
  </si>
  <si>
    <t>0045</t>
  </si>
  <si>
    <t>4600057534</t>
  </si>
  <si>
    <t>102369</t>
  </si>
  <si>
    <t>OI S.A. OI</t>
  </si>
  <si>
    <t>4600057638</t>
  </si>
  <si>
    <t>4600057680</t>
  </si>
  <si>
    <t>4600044324</t>
  </si>
  <si>
    <t>101471</t>
  </si>
  <si>
    <t>LG INFORMATICA SA</t>
  </si>
  <si>
    <t>4600046786</t>
  </si>
  <si>
    <t>155157</t>
  </si>
  <si>
    <t>LUMIS EIP TECNOLOGIA DA INFORMAÇÃO LTDA.</t>
  </si>
  <si>
    <t>4600049735</t>
  </si>
  <si>
    <t>4600050465</t>
  </si>
  <si>
    <t>3026577</t>
  </si>
  <si>
    <t>4600050894</t>
  </si>
  <si>
    <t>102145</t>
  </si>
  <si>
    <t>4600051835</t>
  </si>
  <si>
    <t>4600051952</t>
  </si>
  <si>
    <t>4600052225</t>
  </si>
  <si>
    <t>191036</t>
  </si>
  <si>
    <t>0090</t>
  </si>
  <si>
    <t>4600052414</t>
  </si>
  <si>
    <t>3036329</t>
  </si>
  <si>
    <t>GUPY TECNOLOGIA EM RECRUTAMENTO LTD</t>
  </si>
  <si>
    <t>4600052517</t>
  </si>
  <si>
    <t>3036348</t>
  </si>
  <si>
    <t>4600052818</t>
  </si>
  <si>
    <t>189992</t>
  </si>
  <si>
    <t>4600053625</t>
  </si>
  <si>
    <t>185065</t>
  </si>
  <si>
    <t>PTLS SERVICOS DE TECNOLOGIA E ASSES TECNICA LTDA</t>
  </si>
  <si>
    <t>4600054977</t>
  </si>
  <si>
    <t>3040507</t>
  </si>
  <si>
    <t>BWSEC TECNOLOGIA LTDA</t>
  </si>
  <si>
    <t>4600055442</t>
  </si>
  <si>
    <t>0120</t>
  </si>
  <si>
    <t>4600056444</t>
  </si>
  <si>
    <t>3041894</t>
  </si>
  <si>
    <t>4600056630</t>
  </si>
  <si>
    <t>4600056633</t>
  </si>
  <si>
    <t>4600056881</t>
  </si>
  <si>
    <t>4600057025</t>
  </si>
  <si>
    <t>3038407</t>
  </si>
  <si>
    <t>4600057264</t>
  </si>
  <si>
    <t>3037146</t>
  </si>
  <si>
    <t>4600057283</t>
  </si>
  <si>
    <t>3043549</t>
  </si>
  <si>
    <t>4600057284</t>
  </si>
  <si>
    <t>181937</t>
  </si>
  <si>
    <t>TRIAD SOFT CONSUL ASSESSORIA E COM FORMATICA LTDA</t>
  </si>
  <si>
    <t>4600057330</t>
  </si>
  <si>
    <t>3043664</t>
  </si>
  <si>
    <t>4600057373</t>
  </si>
  <si>
    <t>3043452</t>
  </si>
  <si>
    <t>STT DIGITAL DO BRASIL E PARTICIPACO</t>
  </si>
  <si>
    <t>4600057411</t>
  </si>
  <si>
    <t>3026972</t>
  </si>
  <si>
    <t>4600057445</t>
  </si>
  <si>
    <t>3043840</t>
  </si>
  <si>
    <t>4600057540</t>
  </si>
  <si>
    <t>3044008</t>
  </si>
  <si>
    <t>4600057577</t>
  </si>
  <si>
    <t>3008204</t>
  </si>
  <si>
    <t>4600057700</t>
  </si>
  <si>
    <t>4600057701</t>
  </si>
  <si>
    <t>3044363</t>
  </si>
  <si>
    <t>RESOLUTTE DESENVOLVIMENTO E LICENCI</t>
  </si>
  <si>
    <t>4600057702</t>
  </si>
  <si>
    <t>3044408</t>
  </si>
  <si>
    <t>4600057761</t>
  </si>
  <si>
    <t>3044243</t>
  </si>
  <si>
    <t>4600057804</t>
  </si>
  <si>
    <t>3000082</t>
  </si>
  <si>
    <t>4600057879</t>
  </si>
  <si>
    <t>3002173</t>
  </si>
  <si>
    <t>MARKET LIST PROCESSAMENTO DE DADOS</t>
  </si>
  <si>
    <t>4600057891</t>
  </si>
  <si>
    <t>143950</t>
  </si>
  <si>
    <t>CURUPIRA S.A ********</t>
  </si>
  <si>
    <t>4600057906</t>
  </si>
  <si>
    <t>3041254</t>
  </si>
  <si>
    <t>4600057908</t>
  </si>
  <si>
    <t>3045179</t>
  </si>
  <si>
    <t>4600057921</t>
  </si>
  <si>
    <t>4600058048</t>
  </si>
  <si>
    <t>3045038</t>
  </si>
  <si>
    <t>4600058050</t>
  </si>
  <si>
    <t>3045405</t>
  </si>
  <si>
    <t>ONNI.AI INTELIGENCIA E TECNOLOGIA E</t>
  </si>
  <si>
    <t>4600058062</t>
  </si>
  <si>
    <t>3045388</t>
  </si>
  <si>
    <t>TRIPLA SERVICES LTDA - ME</t>
  </si>
  <si>
    <t>3045476</t>
  </si>
  <si>
    <t>NEOSYX DESENVOLVIMENTO LTDA - EPP</t>
  </si>
  <si>
    <t>4600058107</t>
  </si>
  <si>
    <t>3045524</t>
  </si>
  <si>
    <t>WTM DO BRASIL SERVICOS SA</t>
  </si>
  <si>
    <t>4600058130</t>
  </si>
  <si>
    <t>3040172</t>
  </si>
  <si>
    <t>4600058131</t>
  </si>
  <si>
    <t>4600058139</t>
  </si>
  <si>
    <t>3008003</t>
  </si>
  <si>
    <t>4600058153</t>
  </si>
  <si>
    <t>4600058167</t>
  </si>
  <si>
    <t>129169</t>
  </si>
  <si>
    <t>ACORP DO BRASIL IMPORTAÇÃO E EXPORT LTDA</t>
  </si>
  <si>
    <t>UNIPIX SERVICOS DE TECNOLOGIA E INFORMATICA LTDA</t>
  </si>
  <si>
    <t>3045655</t>
  </si>
  <si>
    <t>4600058250</t>
  </si>
  <si>
    <t>4600058255</t>
  </si>
  <si>
    <t>4600058275</t>
  </si>
  <si>
    <t>4600058303</t>
  </si>
  <si>
    <t>3043914</t>
  </si>
  <si>
    <t>4600058337</t>
  </si>
  <si>
    <t>4600058342</t>
  </si>
  <si>
    <t>109878</t>
  </si>
  <si>
    <t>4600058491</t>
  </si>
  <si>
    <t>3045807</t>
  </si>
  <si>
    <t>SECUREWAY TECNOLOGIA DA INFORMACAO,</t>
  </si>
  <si>
    <t>4600058509</t>
  </si>
  <si>
    <t>3046344</t>
  </si>
  <si>
    <t>AGL CONSULTORIA EM INFORMATICA LTDA</t>
  </si>
  <si>
    <t>4600058523</t>
  </si>
  <si>
    <t>BEEDOO LICENCIAMENTO DE SOFTWARE LT .</t>
  </si>
  <si>
    <t>4600058563</t>
  </si>
  <si>
    <t>4600058589</t>
  </si>
  <si>
    <t>4600058988</t>
  </si>
  <si>
    <t>UNIMED NACIONAL - COOPERATIVA CENTRAL</t>
  </si>
  <si>
    <t xml:space="preserve">ICTS GLOBAL DO BRASIL LTDA </t>
  </si>
  <si>
    <t>4600029255/4600052467/4600052476/4600059304</t>
  </si>
  <si>
    <t>JG COMUNICACAO LTDA</t>
  </si>
  <si>
    <t>(21) 3958-0324</t>
  </si>
  <si>
    <t xml:space="preserve"> jmafra@equinix.com</t>
  </si>
  <si>
    <t>Juliana Mafra/Georgia Almeida</t>
  </si>
  <si>
    <t>(21) 99678-4693/ (21) 99535-4732</t>
  </si>
  <si>
    <t>TEAMVIEWER GERMANY GMBH</t>
  </si>
  <si>
    <t>30 ( invoice)</t>
  </si>
  <si>
    <t xml:space="preserve"> THIAGO NEPOMOCENO ALVES</t>
  </si>
  <si>
    <t>Luis Valencia ( México)</t>
  </si>
  <si>
    <t>luis.valencia@teamviewer.com</t>
  </si>
  <si>
    <t>1 (727)902-9750</t>
  </si>
  <si>
    <t>0800 889 0154</t>
  </si>
  <si>
    <t>CUIDADO COM O E-MAIL ( PROVEDOR BLOQUEADO) - O TELEFONE 0800 É SUPORTE NOS EUA</t>
  </si>
  <si>
    <t>ACESSO DIGITAL TECNOLOGIA DA INFORM ( Único)</t>
  </si>
  <si>
    <t xml:space="preserve">PESQUISA DE CLIMA GPTW - TAHTO </t>
  </si>
  <si>
    <t>Daniela Kunz Sebba Vasconcelos Pitaluga</t>
  </si>
  <si>
    <t>41 99677-6762</t>
  </si>
  <si>
    <t>SUELEN AGUIRRE</t>
  </si>
  <si>
    <t>suelen.aguirre@greatplacetowork.com</t>
  </si>
  <si>
    <t>GUILHERME</t>
  </si>
  <si>
    <t>glamynjain@uber.com</t>
  </si>
  <si>
    <t>Suporte e Manutenção de Infra</t>
  </si>
  <si>
    <t>INICIO DA VIGÊNCIA</t>
  </si>
  <si>
    <t>VALOR LIQUIDO CONTRATADO</t>
  </si>
  <si>
    <t>TOTAL LIQUIDO DOS PEDIDOS</t>
  </si>
  <si>
    <t>SALDO LIQUIDO DO CONTRATO</t>
  </si>
  <si>
    <t>EQUINIX DO BRASIL SOLUCOES DE TECNO EM INFORMATICA LTDA</t>
  </si>
  <si>
    <t>4600057536</t>
  </si>
  <si>
    <t>3044005</t>
  </si>
  <si>
    <t>SHIELD SECURITY TECNOLOGIA LTDA</t>
  </si>
  <si>
    <t>4600058344</t>
  </si>
  <si>
    <t>NOVA VIDA TECNOLOGIA DA INFORMACAO INFORMACAO LTDA</t>
  </si>
  <si>
    <t>4600058517</t>
  </si>
  <si>
    <t>169912</t>
  </si>
  <si>
    <t>PTLS SERVIÇOS DE TECNOLOGIA E ASSES TECNICA LTDA</t>
  </si>
  <si>
    <t>4600058545</t>
  </si>
  <si>
    <t>3046380</t>
  </si>
  <si>
    <t>CROWDSTRIKE, INC.</t>
  </si>
  <si>
    <t>4600058724</t>
  </si>
  <si>
    <t>4600059336</t>
  </si>
  <si>
    <t>4600057135</t>
  </si>
  <si>
    <t>Contract id</t>
  </si>
  <si>
    <t>Supplier</t>
  </si>
  <si>
    <t>Object</t>
  </si>
  <si>
    <t>Amount in $</t>
  </si>
  <si>
    <t>Realizado</t>
  </si>
  <si>
    <t>Classificação</t>
  </si>
  <si>
    <t>Domaine</t>
  </si>
  <si>
    <t>Expense category</t>
  </si>
  <si>
    <t>Signature date</t>
  </si>
  <si>
    <t>Termination date</t>
  </si>
  <si>
    <t>Observations</t>
  </si>
  <si>
    <t>ANO</t>
  </si>
  <si>
    <t>Apps</t>
  </si>
  <si>
    <t>7/27/2023</t>
  </si>
  <si>
    <t>Apps - Telco</t>
  </si>
  <si>
    <t>IT infrastractures</t>
  </si>
  <si>
    <t>8/23/2023</t>
  </si>
  <si>
    <t>8/24/2026</t>
  </si>
  <si>
    <t>Fornecimento da Plataforma de Contact Center em Nuvem (4600057138)</t>
  </si>
  <si>
    <t>11/21/2023</t>
  </si>
  <si>
    <t>11/22/2026</t>
  </si>
  <si>
    <t>2/20/2024</t>
  </si>
  <si>
    <t>2/20/2025</t>
  </si>
  <si>
    <t>4/30/2024</t>
  </si>
  <si>
    <t>4/30/2027</t>
  </si>
  <si>
    <t>PROA TECNOLOGIA CRIATIVA LTDA - OCCO</t>
  </si>
  <si>
    <t>6/17/2024</t>
  </si>
  <si>
    <t>6/16/2027</t>
  </si>
  <si>
    <t>4/23/2024</t>
  </si>
  <si>
    <t>3/27/2023</t>
  </si>
  <si>
    <t>NEOSYX DESENVOLVIMENTO LTDA ( BRPE)</t>
  </si>
  <si>
    <t>5/23/2024</t>
  </si>
  <si>
    <t>5/22/2026</t>
  </si>
  <si>
    <t>5/31/2026</t>
  </si>
  <si>
    <t>Data &amp; analytics</t>
  </si>
  <si>
    <t>3/13/2023</t>
  </si>
  <si>
    <t>10/31/2025</t>
  </si>
  <si>
    <t>2/27/2023</t>
  </si>
  <si>
    <t xml:space="preserve">-   </t>
  </si>
  <si>
    <t>4/30/2026</t>
  </si>
  <si>
    <t>5/18/2022</t>
  </si>
  <si>
    <t>5/31/2024</t>
  </si>
  <si>
    <t>5/31/2027</t>
  </si>
  <si>
    <t>PROA TECNOLOGIA CRIATIVA LTDA  - BRPE</t>
  </si>
  <si>
    <t>WhatsApp</t>
  </si>
  <si>
    <t>5/31/2025</t>
  </si>
  <si>
    <t>LG INFORMÁTICA S.A. (EM ANDAMENTO)</t>
  </si>
  <si>
    <t>6/20/2025</t>
  </si>
  <si>
    <t>4/20/2020</t>
  </si>
  <si>
    <t>2/28/2025</t>
  </si>
  <si>
    <t>5/27/2022</t>
  </si>
  <si>
    <t>5/26/2025</t>
  </si>
  <si>
    <t>Software denominado “Portal de Qualidade"</t>
  </si>
  <si>
    <t>7/30/2023</t>
  </si>
  <si>
    <t>7/29/2025</t>
  </si>
  <si>
    <t>Cybersecurity</t>
  </si>
  <si>
    <t>12/19/2022</t>
  </si>
  <si>
    <t>12/19/2025</t>
  </si>
  <si>
    <t>12/16/2022</t>
  </si>
  <si>
    <t>12/16/2025</t>
  </si>
  <si>
    <t>6/19/2023</t>
  </si>
  <si>
    <t>6/19/2025</t>
  </si>
  <si>
    <t>6/28/2023</t>
  </si>
  <si>
    <t>6/27/2026</t>
  </si>
  <si>
    <t>6/27/2025</t>
  </si>
  <si>
    <t>11/27/2023</t>
  </si>
  <si>
    <t>11/26/2026</t>
  </si>
  <si>
    <t>9/30/2025</t>
  </si>
  <si>
    <t>7/28/2020</t>
  </si>
  <si>
    <t>7/31/2026</t>
  </si>
  <si>
    <t>5/17/2023</t>
  </si>
  <si>
    <t>5/16/2025</t>
  </si>
  <si>
    <t>5/30/2023</t>
  </si>
  <si>
    <t>4/24/2024</t>
  </si>
  <si>
    <t>4/23/2025</t>
  </si>
  <si>
    <t>4/18/2024</t>
  </si>
  <si>
    <t>4/18/2025</t>
  </si>
  <si>
    <t>1/31/2025</t>
  </si>
  <si>
    <t>Clickup - WTM DO BRASIL SERVICOS AS</t>
  </si>
  <si>
    <t>9/17/2024</t>
  </si>
  <si>
    <t>3/30/2025</t>
  </si>
  <si>
    <t>6/19/2018</t>
  </si>
  <si>
    <t>12/31/2024</t>
  </si>
  <si>
    <t>Sistema de Recrutamento e Seleção. Oi e TAHTO ( recrutamento e seleção de talentos para TAHTO e  Renovação do sistema Gupy Admissão para Tahto )</t>
  </si>
  <si>
    <t>6/25/2020</t>
  </si>
  <si>
    <t>6/24/2025</t>
  </si>
  <si>
    <t>3/23/2023</t>
  </si>
  <si>
    <t>12/14/2023</t>
  </si>
  <si>
    <t>2/28/2027</t>
  </si>
  <si>
    <t>9/30/2026</t>
  </si>
  <si>
    <t>7/30/2024</t>
  </si>
  <si>
    <t>7/30/2025</t>
  </si>
  <si>
    <t>10/16/2024</t>
  </si>
  <si>
    <t>10/15/2026</t>
  </si>
  <si>
    <t>7/14/2024</t>
  </si>
  <si>
    <t>7/13/2025</t>
  </si>
  <si>
    <t>11/14/2024</t>
  </si>
  <si>
    <t>PARCEIRO DE DESENVOLVIMENTO</t>
  </si>
  <si>
    <t>11/18/2024</t>
  </si>
  <si>
    <t>11/20/2026</t>
  </si>
  <si>
    <t>11/22/2024</t>
  </si>
  <si>
    <t>11/21/2025</t>
  </si>
  <si>
    <t>9/30/2027</t>
  </si>
  <si>
    <t>4/25/2022</t>
  </si>
  <si>
    <t>3/31/2025</t>
  </si>
  <si>
    <t>9/29/2015</t>
  </si>
  <si>
    <t>1/21/2021</t>
  </si>
  <si>
    <t>4/20/2026</t>
  </si>
  <si>
    <t>4/29/2025</t>
  </si>
  <si>
    <t>12/31/2025</t>
  </si>
  <si>
    <t>CIOSP 190 SUPORTE</t>
  </si>
  <si>
    <t>MIGRAÇÃO SMART CLOUD</t>
  </si>
  <si>
    <t>Gravador Extrator SFTP SKY</t>
  </si>
  <si>
    <t>LICENÇAS AVAYA SKY</t>
  </si>
  <si>
    <t>PLATAFORMA AVAYA SKY</t>
  </si>
  <si>
    <t>PLATAFORMA SAMS</t>
  </si>
  <si>
    <t>PLAYBACK PORTAL</t>
  </si>
  <si>
    <t>Solução NTG Costumização CEC</t>
  </si>
  <si>
    <t>SPOT</t>
  </si>
  <si>
    <t>L3 SOFTWARE LTDA</t>
  </si>
  <si>
    <t>LICENÇAS</t>
  </si>
  <si>
    <t>NEGOCIAÇÃO</t>
  </si>
  <si>
    <t>TI - SUP INFRA DE TI - SERVIÇOS</t>
  </si>
  <si>
    <t>PTLS SERVICOS DE TECNOLOGIA E</t>
  </si>
  <si>
    <t>Creditos Azzure - ESCOB</t>
  </si>
  <si>
    <t>Licenças Windows</t>
  </si>
  <si>
    <t>RIGHLY COMPUTADORES</t>
  </si>
  <si>
    <t>SUPORTE MICROINFORMATICA - MPD</t>
  </si>
  <si>
    <t>LICENÇAS SAP</t>
  </si>
  <si>
    <t>VDS Tecnologia Em Informatica Ltda</t>
  </si>
  <si>
    <t>Suporte SBC</t>
  </si>
  <si>
    <t>Power BI Premiun P1</t>
  </si>
  <si>
    <t>Power BI PRO</t>
  </si>
  <si>
    <t>GAIN SHARE HC</t>
  </si>
  <si>
    <t>ICATU</t>
  </si>
  <si>
    <t>FIBRA SERGIPE</t>
  </si>
  <si>
    <t>PAV  SDK ACC</t>
  </si>
  <si>
    <t>MTC</t>
  </si>
  <si>
    <t>AMPLINET TELECOMUNICAÇÕES LTDA-ME</t>
  </si>
  <si>
    <t>SUPORTE MICROINFORMATICA</t>
  </si>
  <si>
    <t>TI - LICENÇAS NHIBERNATE PROFILE</t>
  </si>
  <si>
    <t>LINK MULTISETOR</t>
  </si>
  <si>
    <t>MATERIAIS MICRO</t>
  </si>
  <si>
    <t>NORMAS ABNT</t>
  </si>
  <si>
    <t>PERIFERICOS FRESHWORKS</t>
  </si>
  <si>
    <t>TARGETWARE INFORMATICA</t>
  </si>
  <si>
    <t>LICENÇAS THINKCELL</t>
  </si>
  <si>
    <t xml:space="preserve">TECNOLOGGICA </t>
  </si>
  <si>
    <t>SUPORTE INFRA</t>
  </si>
  <si>
    <t>CONTROLE DE FROTAS VTAL</t>
  </si>
  <si>
    <t>SALESFORCE</t>
  </si>
  <si>
    <t>REPASSE SMS</t>
  </si>
  <si>
    <t>ASSERTIVA SOLUCOES EM MARKETING E C</t>
  </si>
  <si>
    <t>ENRIQUECIMENTO DE MAILING PAP</t>
  </si>
  <si>
    <t>ADOBE / ARTICULATE</t>
  </si>
  <si>
    <t>LICENÇA FIGMA</t>
  </si>
  <si>
    <t>PARS PRODUTOS DE PROCESSAMENTO</t>
  </si>
  <si>
    <t xml:space="preserve">TIM </t>
  </si>
  <si>
    <t>PLANO CORPORATIVO</t>
  </si>
  <si>
    <t>ACERTO</t>
  </si>
  <si>
    <t>Certificado HTTPS</t>
  </si>
  <si>
    <t>Controle de Jornada</t>
  </si>
  <si>
    <t>Gain Share</t>
  </si>
  <si>
    <t>Gestão de Metas - VALORAE</t>
  </si>
  <si>
    <t>Hospedagem CLOUD</t>
  </si>
  <si>
    <t>Hospedagem Cloud Aplicação Status</t>
  </si>
  <si>
    <t>IMPLANTAÇÃO ICATU</t>
  </si>
  <si>
    <t>Projeto CIOSP TI (Suporte e Manutenção N2 e N3 - SE)</t>
  </si>
  <si>
    <t>ABILITY TECNOLOGIA</t>
  </si>
  <si>
    <t>TI - MANUT. FIBRA OPTICA BACKBONE TAHTO</t>
  </si>
  <si>
    <t>BEEDOO LICENCIAMENTO</t>
  </si>
  <si>
    <t>PLATAFORMA LXP</t>
  </si>
  <si>
    <t>Betta</t>
  </si>
  <si>
    <t>Plataforma Nice</t>
  </si>
  <si>
    <t>COLUMBIA</t>
  </si>
  <si>
    <t>Columbia</t>
  </si>
  <si>
    <t>END-TO-END TECHNOLOGY</t>
  </si>
  <si>
    <t>FOCARE</t>
  </si>
  <si>
    <t>IBM</t>
  </si>
  <si>
    <t>Licenças - Plataforma Genesys e Softphone</t>
  </si>
  <si>
    <t>ARTICULATE 360</t>
  </si>
  <si>
    <t>Licenças</t>
  </si>
  <si>
    <t>LGINFORMÁTICA LTDA</t>
  </si>
  <si>
    <t>FPW</t>
  </si>
  <si>
    <t>EQUINIX</t>
  </si>
  <si>
    <t>TI - SERVIÇO DE HUB MULTICLOUD (EQUINIX)</t>
  </si>
  <si>
    <t>NTT BRASIL COMERCIO</t>
  </si>
  <si>
    <t>LICENÇAS CITRIX</t>
  </si>
  <si>
    <t>OI SOLUÇÕES</t>
  </si>
  <si>
    <t>LAB DIGITRONCO</t>
  </si>
  <si>
    <t>SKY - DATACENTER / FORTINET</t>
  </si>
  <si>
    <t>ADOBE</t>
  </si>
  <si>
    <t>SANTO DIGITAL</t>
  </si>
  <si>
    <t>LICENÇAS GOOGLE WORKSPACE</t>
  </si>
  <si>
    <t>WEDO</t>
  </si>
  <si>
    <t>ENRIQUECIMENTO DE MAILING</t>
  </si>
  <si>
    <t>Monitoria multisetor</t>
  </si>
  <si>
    <t>SPEECH ANALYTICS</t>
  </si>
  <si>
    <t>CURUPIRA S.A</t>
  </si>
  <si>
    <t>WHATSAPP</t>
  </si>
  <si>
    <t>Manutenção Novo Command SDK</t>
  </si>
  <si>
    <t>WTM DO BRASIL</t>
  </si>
  <si>
    <t>CLICKUP</t>
  </si>
  <si>
    <t>TPV INOVA SOLUCOES EM INFORMATICA</t>
  </si>
  <si>
    <t>RASTREIO FROTA</t>
  </si>
  <si>
    <t>ARKDEAL EQUIPAMENTO</t>
  </si>
  <si>
    <t>NOTEBOOKS PAP</t>
  </si>
  <si>
    <t>STAFF - LICENÇAS THINK CELL</t>
  </si>
  <si>
    <t>TIM</t>
  </si>
  <si>
    <t>Cloud sustentação IA Soluções</t>
  </si>
  <si>
    <t>DIAGNÓSTICO</t>
  </si>
  <si>
    <t>NEXIDIA</t>
  </si>
  <si>
    <t>Licenças Powtoon 2024</t>
  </si>
  <si>
    <t>PERF - SUPORTE SDK - COMMAND CENTER</t>
  </si>
  <si>
    <t>TI - INFRA - GUILDA</t>
  </si>
  <si>
    <t>UNIPIX SERVICOS</t>
  </si>
  <si>
    <t>TI - ESCOB - FERRAMENTA SMS (COBRANÇA)</t>
  </si>
  <si>
    <t>STAFF - LICENÇAS CANVA PRO</t>
  </si>
  <si>
    <t>LICENÇAS FIGMA</t>
  </si>
  <si>
    <t>ACESSO DIGITAL TECNOLOGIA DA I</t>
  </si>
  <si>
    <t>ACESSO DIGITAL</t>
  </si>
  <si>
    <t>LICENÇAS ALLURA</t>
  </si>
  <si>
    <t>IRON MOUNTAIN DO BRASIL</t>
  </si>
  <si>
    <t>ARQUIVAMENTO DIGITAL</t>
  </si>
  <si>
    <t>CERTIFICADO DIGITAL</t>
  </si>
  <si>
    <t>LICENÇAS FAP ON LINE</t>
  </si>
  <si>
    <t>TREINAMENTO FERRAMENTAS</t>
  </si>
  <si>
    <t>TI - SUPORTE SEGURANÇA DE INFORMAÇÕES - OI SOLUÇÕES ESCOPO ELEA</t>
  </si>
  <si>
    <t>TRIPLA SERVICES</t>
  </si>
  <si>
    <t>EQUINIX DO BRASIL</t>
  </si>
  <si>
    <t>TI - SERVIÇO - SUPORTE INFRA DE TI - IBM + AZURE</t>
  </si>
  <si>
    <t>TI - SEGREGAÇÃO FASE 2 - WIFI 6 CORPORATIVO TAHTO</t>
  </si>
  <si>
    <t>TI - LICENÇAS GITHUB</t>
  </si>
  <si>
    <t>TI - LICENÇAS - SIEM QRADAR</t>
  </si>
  <si>
    <t>TI - LICENÇAS - ISE CISCO</t>
  </si>
  <si>
    <t>TI - LICENÇAS - FIREWALL CISCO 4115</t>
  </si>
  <si>
    <t>BRICON CONSULTORIA</t>
  </si>
  <si>
    <t>TI - LICENÇAS - EDR CROWD STRIKE</t>
  </si>
  <si>
    <t>BWSEC TECNOLOGIA</t>
  </si>
  <si>
    <t>TI - LICENÇAS - Antivirus SEP ENDPOINT</t>
  </si>
  <si>
    <t>TI - LICENÇAS - Antivirus NAS SEP NAS</t>
  </si>
  <si>
    <t>TI - LICENÇAS - ANTIVIRUS E-MAIL SEP E-MAIL</t>
  </si>
  <si>
    <t>TI - INFRA RJ</t>
  </si>
  <si>
    <t>TI - INFRA CTA</t>
  </si>
  <si>
    <t>TI - INFRA CPE / SE / SP</t>
  </si>
  <si>
    <t>TI - INFRA - ESCOB INFRA CLOUD (AZURE)</t>
  </si>
  <si>
    <t>TI - INFRA - CLOUD TAHTO TRIPLA</t>
  </si>
  <si>
    <t>TI - ESCOB - TELEFONIA MINUTAGEM + LINK</t>
  </si>
  <si>
    <t>SMARTWAY SOLUCOES</t>
  </si>
  <si>
    <t>TI - ESCOB - CRM TASKEN – CAR</t>
  </si>
  <si>
    <t>TI - CONECTIVIDADE - LINKS RJ</t>
  </si>
  <si>
    <t>TI - CONECTIVIDADE - LINKS DADOS CURITIBA</t>
  </si>
  <si>
    <t>TI - CONECTIVIDADE - LINKS DADOS CAMPO GRANDE</t>
  </si>
  <si>
    <t>TI - CONECTIVIDADE - LINKS ARACAJU</t>
  </si>
  <si>
    <t>TI - CONECTIVIDADE - LINK L2L SITE SP X EQUINIX SP4</t>
  </si>
  <si>
    <t>TI - CONECTIVIDADE - IP CONNECT + MPLS</t>
  </si>
  <si>
    <t>SUPORTE SBC</t>
  </si>
  <si>
    <t>SERVIÇO - SUPORTE INFRA DE TI - OI SOLUÇÕES ESCOPO ELEA</t>
  </si>
  <si>
    <t>SECUREWAY TECNOLOGIA</t>
  </si>
  <si>
    <t>SERVIÇO - SUPORTE INFRA DE TI - SECUREWAY - GESTÃO DA REDE E FIREWALL</t>
  </si>
  <si>
    <t>INFRA - D0 - FILE SERVER</t>
  </si>
  <si>
    <t>NEOSYX DESENVOLVIMENTO</t>
  </si>
  <si>
    <t>Plataforma WFM</t>
  </si>
  <si>
    <t>LICENÇAS SOFTPHONE</t>
  </si>
  <si>
    <t>PLATAFORMA GENESYS - FULLSWAP</t>
  </si>
  <si>
    <t>Plataforma Genesys</t>
  </si>
  <si>
    <t>PAV SDK ACC</t>
  </si>
  <si>
    <t>AMERICA NET</t>
  </si>
  <si>
    <t>LINKS CONECTIVIDADE</t>
  </si>
  <si>
    <t>LINKS CONECTIVIDADE INTERNET 300 MULTISETOR</t>
  </si>
  <si>
    <t>LINKS CONECTIVIDADE ENEL</t>
  </si>
  <si>
    <t>LINKS CONECTIVIDADE ELEA X EQUINIX</t>
  </si>
  <si>
    <t>LINKS CONECTIVIDADE MTC</t>
  </si>
  <si>
    <t>Licenciamento NDS</t>
  </si>
  <si>
    <t>LICENÇAS WINDOWS</t>
  </si>
  <si>
    <t>LICENÇAS SI CHOICE UMBRELLA / WEB / CISCO</t>
  </si>
  <si>
    <t>ADISTEC BRASIL</t>
  </si>
  <si>
    <t>LICENÇAS NETBACKUP</t>
  </si>
  <si>
    <t>LINQ TELECOMUNICACOES LT</t>
  </si>
  <si>
    <t>INTERNET DEDICADA 300Mbps</t>
  </si>
  <si>
    <t>SYSAID BRASIL TECNOLOGIA</t>
  </si>
  <si>
    <t>GESTÃO DE ITSM</t>
  </si>
  <si>
    <t>OLOS</t>
  </si>
  <si>
    <t>ESCOB / SAMS SAAS - OMNICHANNEL</t>
  </si>
  <si>
    <t>DOMÍNIO SITE TAHTO</t>
  </si>
  <si>
    <t>DATA CENTER ELEA - CUSTOS TAHTO</t>
  </si>
  <si>
    <t>TD SYNNEX</t>
  </si>
  <si>
    <t>CONECTIVIDADE - FTTH site SE</t>
  </si>
  <si>
    <t>CONECTIVIDADE - FTTH site SP</t>
  </si>
  <si>
    <t>TI - LICENÇAS - CERTIFICADO DIG. TAHTO.COM.BR ALPHA WILDCARD</t>
  </si>
  <si>
    <t>TI - LICENÇAS - CERTIFICADO DIG. TAHTO.NET.BR ALPHA WILDCARD</t>
  </si>
  <si>
    <t>4600057379/ 4600059572</t>
  </si>
  <si>
    <t>VALOR CONTRATADO JUR.</t>
  </si>
  <si>
    <t>OI S.A. - EM RECUPERAÇÃO JUDICIAL / BRASIL TELECOM CALL CENTER S.A.SEREDE – SERVIÇOS DE REDE S.A.,</t>
  </si>
  <si>
    <t>4600037429/ 4600049735 / 4600045990 / 4600058131</t>
  </si>
  <si>
    <t>BRASIL TELECOM CALL CENTER S.A.,</t>
  </si>
  <si>
    <t>OI S.A. – EM RECUPERAÇÃO JUDICIAL / BRASIL TELECOM CALL CENTER S.A/SEREDE – SERVIÇOS DE REDE S.A.,</t>
  </si>
  <si>
    <t xml:space="preserve">OI S.A. – EM RECUPERAÇÃO JUDICIAL </t>
  </si>
  <si>
    <t>4600053044/4600053045</t>
  </si>
  <si>
    <t>OI S/A – EM RECUPERAÇÃO JUDICIAL/BRASIL TELECOM CALL CENTER S.A.</t>
  </si>
  <si>
    <t>OI S.A. – EM RECUPERAÇÃO JUDICIAL/BRASIL TELECOM CALL CENTER S.A</t>
  </si>
  <si>
    <t>BRASIL TELECOM CALL CENTER S.A</t>
  </si>
  <si>
    <t xml:space="preserve">ONNI.AI INTELIGENCIA E TECNOLOGIA </t>
  </si>
  <si>
    <t xml:space="preserve">TRIPLA SERVICES LTDA - ME </t>
  </si>
  <si>
    <t>ONNI.AI INTELIGENCIA E TECNOLOGIA</t>
  </si>
  <si>
    <t>NEOSYX DESENVOLVIMENTO LTDA</t>
  </si>
  <si>
    <t xml:space="preserve"> OCCO</t>
  </si>
  <si>
    <t>CLIENT CO SERVIÇOS DE REDE NORTE S.A.,</t>
  </si>
  <si>
    <t>OI S.A. – EM RECUPERAÇÃO JUDICIAL/BRASIL TELECOM CALL CENTER S.A/CLIENT CO SERVIÇOS DE REDE NORTE S.A.,</t>
  </si>
  <si>
    <t>OI S.A. – EM RECUPERAÇÃO JUDICIAL/BRASIL TELECOM CALL CENTER S.A/SEREDE – SERVIÇOS DE REDE S.A</t>
  </si>
  <si>
    <t xml:space="preserve">4600058174/ 4600058639|4600058724 </t>
  </si>
  <si>
    <t>OI S.A. - EM RECUPERAÇÃO JUDICIAL/ FUNDAÇÃO ATLÂNTICO DE SEGURIDADE SOCIAL/BRASIL TELECOM CALL CENTER S.A.,/CLIENT CO SERVIÇOS DE REDE NORTE S.A./CLIENT CO SERVIÇOS DE REDE NORDESTE S.A.</t>
  </si>
  <si>
    <t>OI S.A. – EM RECUPERAÇÃO JUDICIAL/BRASIL TELECOM CALL CENTER S.A/CLIENT CO SERVIÇOS DE REDE NORTE S.A.</t>
  </si>
  <si>
    <t>OI S.A. – EM RECUPERAÇÃO JUDICIAL/TELEMAR/ FUNDAÇÃO ATLANTICO</t>
  </si>
  <si>
    <t>4600059173/4600059155</t>
  </si>
  <si>
    <t>BRASIL TELECOM CALL CENTER S.A/CLIENT CO SERVIÇOS DE REDE NORTE S.A.,</t>
  </si>
  <si>
    <t>OI S.A. – EM RECUPERAÇÃO JUDICIAL/BRASIL TELECOM CALL CENTER S.A/CLIENT CO SERVIÇOS DE REDE NORTE S.A.,/SEREDE</t>
  </si>
  <si>
    <t>CAPEX/OPEX</t>
  </si>
  <si>
    <t>OI S.A. - EM RECUPERAÇÃO JUDICIAL/BRASIL TELECOM CALL CENTER S.A.,/CLIENT CO SERVIÇOS DE REDE NORTE S.A./CLIENT CO SERVIÇOS DE REDE NORDESTE S.A.</t>
  </si>
  <si>
    <t>TAHTO E EMPRESAS DO GRUPO</t>
  </si>
  <si>
    <t>TOTAL 184 CONTRATOS ANALISADOS</t>
  </si>
  <si>
    <t>4600048578 ( ATUALIZAR CONTRARO SÓ TAHTO)</t>
  </si>
  <si>
    <t>CONSIGA MAIS COBRANCA E SERVICOS S  (Neon)</t>
  </si>
  <si>
    <t>OI MÓVEL S.A. - EM RECUPERAÇÃO JUDICIAL/OI S.A./PAGGO ADMINISTRADORA LTDA/BRASIL TELECOM COMUNICAÇÃO MULTIMÍDIA S.A.,BRASIL TELECOM CALL CENTER S.A/SEREDE – SERVIÇOS DE REDE S.A./CLIENT CO SERVIÇOS DE REDE NORTE S.A.,</t>
  </si>
  <si>
    <t>4600052517/ 4600056633</t>
  </si>
  <si>
    <t>WAPS SOLUTIONS EIRELLI</t>
  </si>
  <si>
    <t>WELINGTON</t>
  </si>
  <si>
    <t>(11) 99446-9707</t>
  </si>
  <si>
    <t>4600051052 / 4600059295</t>
  </si>
  <si>
    <t>Prestação de Serviços de Manutenção Preventiva e Corretiva nos Equipamentos e Sistemas de Energia e ar condicionado</t>
  </si>
  <si>
    <t>4600057158/ 4600059671</t>
  </si>
  <si>
    <t>TD SYNNEX BRASIL LTDA</t>
  </si>
  <si>
    <t>OI S.A. – EM RECUPERAÇÃO JUDICIAL/OI SOLUÇÕES S.A.,/ BRASIL TELECOM CALL CENTER S.A</t>
  </si>
  <si>
    <t>4600058270/ 4600058365</t>
  </si>
  <si>
    <t>GOMES &amp; CALLEGARI LTDA</t>
  </si>
  <si>
    <r>
      <rPr>
        <strike/>
        <sz val="10"/>
        <color theme="1"/>
        <rFont val="Calibri"/>
        <family val="2"/>
        <scheme val="minor"/>
      </rPr>
      <t>4600057071</t>
    </r>
    <r>
      <rPr>
        <sz val="10"/>
        <color theme="1"/>
        <rFont val="Calibri"/>
        <family val="2"/>
        <scheme val="minor"/>
      </rPr>
      <t>/4600059336</t>
    </r>
  </si>
  <si>
    <t>PATROCÍNIO PROJETO CONTENT DESIGN 2025</t>
  </si>
  <si>
    <r>
      <rPr>
        <b/>
        <sz val="10"/>
        <color theme="1"/>
        <rFont val="Calibri"/>
        <family val="2"/>
        <scheme val="minor"/>
      </rPr>
      <t xml:space="preserve"> 4600055725/</t>
    </r>
    <r>
      <rPr>
        <sz val="10"/>
        <color theme="1"/>
        <rFont val="Calibri"/>
        <family val="2"/>
        <scheme val="minor"/>
      </rPr>
      <t xml:space="preserve"> 4600056498/  4600055726 </t>
    </r>
  </si>
  <si>
    <r>
      <rPr>
        <b/>
        <sz val="10"/>
        <color theme="1"/>
        <rFont val="Calibri"/>
        <family val="2"/>
        <scheme val="minor"/>
      </rPr>
      <t xml:space="preserve"> 4600047212</t>
    </r>
    <r>
      <rPr>
        <sz val="10"/>
        <color theme="1"/>
        <rFont val="Calibri"/>
        <family val="2"/>
        <scheme val="minor"/>
      </rPr>
      <t xml:space="preserve"> /4600043122 / 4600043123 / 4600045799 / 4600045859 / 4600046759 /4600046794 / 4600047213 / 4600050955 /</t>
    </r>
    <r>
      <rPr>
        <b/>
        <sz val="10"/>
        <color theme="1"/>
        <rFont val="Calibri"/>
        <family val="2"/>
        <scheme val="minor"/>
      </rPr>
      <t xml:space="preserve"> 4600051952</t>
    </r>
    <r>
      <rPr>
        <sz val="10"/>
        <color theme="1"/>
        <rFont val="Calibri"/>
        <family val="2"/>
        <scheme val="minor"/>
      </rPr>
      <t xml:space="preserve"> / 4600055291</t>
    </r>
  </si>
  <si>
    <t>Licenças Google Workspace - ESSE CONTRATO SAP É APENAS PARA CONTROLE - NÃO HÁ INSTRUMENTO JURIDICO</t>
  </si>
  <si>
    <t>BUNKER COWORKING SERVICOS DE E</t>
  </si>
  <si>
    <t>Organização de compras</t>
  </si>
  <si>
    <t xml:space="preserve">4600059821 / 4600059825
</t>
  </si>
  <si>
    <t>INTERAXA BRASIL TECNOLOGIA E INFORM</t>
  </si>
  <si>
    <t>OCCO/BRPE</t>
  </si>
  <si>
    <t>Marcelo Alberto Pinto</t>
  </si>
  <si>
    <t>DESENVOLVIMENTODE SISTEMAS</t>
  </si>
  <si>
    <t>Cód.: FR-GAS-042
Versão: 002
Aprovador: Renata Cristina de Souza
Data Aprovação:01/08/2025</t>
  </si>
  <si>
    <t>Descontinuado permanece da base devido TAHTO no preambulo ( 2 anos sem uso de acordo com Ricardo Bordim)</t>
  </si>
  <si>
    <t>ZALLPY SOFTWARE LTDA</t>
  </si>
  <si>
    <t>Mikael Noremberg</t>
  </si>
  <si>
    <t xml:space="preserve">
mikael.noremberg@zallpy.com
</t>
  </si>
  <si>
    <t>CENOFISCO EDITORA DE PUBLICACO</t>
  </si>
  <si>
    <t>PRIME AZ META SERVICOS EM TECN</t>
  </si>
  <si>
    <t>Capex</t>
  </si>
  <si>
    <t>GB - GENERAL BUSINESS AGENCIA DE VI</t>
  </si>
  <si>
    <t>BBRPE</t>
  </si>
  <si>
    <t>Graziella Dourado Xavier</t>
  </si>
  <si>
    <t>PEDRO PERIASSU/ Tiago Gonzales</t>
  </si>
  <si>
    <t>NEOFASE - A2F REESTRUTURAÇÃO EMPRESARIAL</t>
  </si>
  <si>
    <t>CONTABILIDADE/ JURIDICO</t>
  </si>
  <si>
    <t xml:space="preserve">ROGER ALLAN MAIA MALHEIROS/ LUCIANA </t>
  </si>
  <si>
    <t>BRUNO FANTAGUZZI LINCES/ LUCIANA</t>
  </si>
  <si>
    <t>BRAVO SOLUTIONS LTDA</t>
  </si>
  <si>
    <t>4600057517/ 4600058067</t>
  </si>
  <si>
    <t>SHEILA</t>
  </si>
  <si>
    <t>11 96395-6002</t>
  </si>
  <si>
    <t>4600059417/4600060030</t>
  </si>
  <si>
    <t>4600057330/4600060036</t>
  </si>
  <si>
    <t>EVOLUTRON COMÉRCIO DE PRODUTOS PARA</t>
  </si>
  <si>
    <t>4600059973/4600059949</t>
  </si>
  <si>
    <t>RANDSTAD BRASIL RECURSOS HUMANOS LT</t>
  </si>
  <si>
    <t>AVELLAR MEDIA CONSULTORIA PUBLICIDA</t>
  </si>
  <si>
    <t>SCALZILLI ALTHAUS &amp; SPOHR ADVO</t>
  </si>
  <si>
    <t>4600057411/4600060023</t>
  </si>
  <si>
    <t>4600057729/4600059749</t>
  </si>
  <si>
    <t>VANVALU TECNOLOGIA LTDA</t>
  </si>
  <si>
    <t>Desenvolvimento RPA com robô IA</t>
  </si>
  <si>
    <t>BRFIBRA TELECOMUNICAÇÕES LTDA</t>
  </si>
  <si>
    <t>RODRIGO CORREIA FURUKAWA/ SHEILA SAITO SIMONE</t>
  </si>
  <si>
    <t>Carlos Eduardo Fuhr/ RODRIGO CORREIA FURUKAWA</t>
  </si>
  <si>
    <t>Luiz Paulo Araujo/ RODRIGO CORREIA FURUKAWA</t>
  </si>
  <si>
    <t>4600058491/4600059811</t>
  </si>
  <si>
    <t>Tiago Gonzales</t>
  </si>
  <si>
    <t>INFOJOBS BRASIL ATIVIDADES DE  (PANDAPE)</t>
  </si>
  <si>
    <t xml:space="preserve">Daniella Pereira De Araujo </t>
  </si>
  <si>
    <t>Paula</t>
  </si>
  <si>
    <t xml:space="preserve"> (11) 94210-5329</t>
  </si>
  <si>
    <t>(11) 5112-0419</t>
  </si>
  <si>
    <t>paula.mendes@infojobs.com.br</t>
  </si>
  <si>
    <t>Dulce</t>
  </si>
  <si>
    <t>51 98262-1890</t>
  </si>
  <si>
    <t>dulce@centraldediligencias.com.br</t>
  </si>
  <si>
    <t>Obnservações</t>
  </si>
  <si>
    <t>Manutenção de Sistemas de Segurança Eletrônica (CFTV e Alarmes), / controle de acessos</t>
  </si>
  <si>
    <t>4600053625 / 4600058148</t>
  </si>
  <si>
    <t>4600055725/4600055726/4600056384/4600056498</t>
  </si>
  <si>
    <t>contrato original (OI, TAHTO) / 1º ADITIVO (OI, TAHTO)/ 2º ADITIVO (OI, CLIENTCO)/ 3º ADITIVO (OI) - RETIRADA DA TAHTO INDEVIDAMENTE DO CONTRATO NO 2º ADITIVO</t>
  </si>
  <si>
    <t>4600057690 /4600057689/ 4600057826</t>
  </si>
  <si>
    <t>Renovação em andamento com OI (MONICA)</t>
  </si>
  <si>
    <t>OI S.A. - EM RECUPERAÇÃO JUDICIAL/ FUNDAÇÃO ATLÂNTICO DE SEGURIDADE SOCIAL/BRASIL TELECOM CALL CENTER S.A.,/CLIENT CO SERVIÇOS DE REDE NORTE S.A./CLIENT CO SERVIÇOS DE REDE NORDESTE S.A./Instituto Telemar/Serede - Serviços de Rede S/A</t>
  </si>
  <si>
    <t>OI S.A- EM RECUPERAÇÃO JUDICIAL/CLIENT CO SERVIÇOS DE REDE NORTE S.A./BRASIL TELECOM CALL CENTER S.A/SEREDE – SERVIÇOS DE REDE S.A./</t>
  </si>
  <si>
    <t>Substituido pela flash</t>
  </si>
  <si>
    <t>OI S.A. – EM RECUPERAÇÃO JUDICIAL/CLIENT CO SERVIÇOS DE REDE NORTE S.A.</t>
  </si>
  <si>
    <t>Tahto excluida no 12º aditivo</t>
  </si>
  <si>
    <t>carta de Rescisão 24/09/2025</t>
  </si>
  <si>
    <t>4600054243/ 4600058130</t>
  </si>
  <si>
    <t>Tahto inclusa no 8º aditivo( 4600058130) - vencido , porem não consta no 9º e 10 aditivo</t>
  </si>
  <si>
    <t>OI S.A. - EM RECUPERAÇÃO JUDICIAL / BRASIL TELECOM CALL CENTER S.A</t>
  </si>
  <si>
    <t>Rescisão Contratual em 15/04/2025</t>
  </si>
  <si>
    <t>CLIENT CO SERVIÇOS DE REDE NORTE S.A./BRASIL TELECOM CALL CENTER S.A.,</t>
  </si>
  <si>
    <t xml:space="preserve">Contrato de Licenciamento e Suporte CITRIX </t>
  </si>
  <si>
    <t>vencido sem nenhuma observação nos anexos</t>
  </si>
  <si>
    <t>17º aditivo</t>
  </si>
  <si>
    <t>4600043122 / 4600043123 / 4600045799 / 4600045859 / 4600046759 / 4600046794 /
4600047212 / 4600047213 / 4600050955 / 4600051952</t>
  </si>
  <si>
    <t>21º aditivo</t>
  </si>
  <si>
    <t>Oi realizou a retirada da Tahto do preâmbulo do contrato SAP 4600052414 e seguimos com as negociações apenas para Tahto</t>
  </si>
  <si>
    <t>OI S.A - EM RECUPERAÇÃO JUDICIAL/BRASIL TELECOM CALL CENTER S.A.,/SEREDE - SERVIÇOS DE REDE S.A./OI SOLUÇÕES S.A.,/CLIENT CO SERVIÇOS DE REDE NORDESTE S.A.,/</t>
  </si>
  <si>
    <t>3 aditivos em nenhum há inclusão da TAHTO</t>
  </si>
  <si>
    <t>BRASIL TELECOM CALL CENTER S.A/CLIENT CO SERVIÇOS DE REDE NORTE S.A./ ACORP DO BRASIL IMPORTAÇÃO E EXPORTAÇÃO LTDA</t>
  </si>
  <si>
    <t>VENCIDO SEM OBSERVAÇÃO</t>
  </si>
  <si>
    <t>Client Co. Serviços de Rede Nordeste S.A.</t>
  </si>
  <si>
    <t>4600055115 / 4600057672/ 4600058517</t>
  </si>
  <si>
    <t>DISTRATO ACONTECEU EM 28/10  - Tahto inclusa no 1º aditivo - 4600057690</t>
  </si>
  <si>
    <t>Tahto não faz parte do Prêambulo - porem usa o CONTRATO - EM ANDAMENTO RENOVAÇÃO.</t>
  </si>
  <si>
    <t>Não tem Tahto no Preambulo - porem  utilizamos licenças SAP</t>
  </si>
  <si>
    <t>Renovação em andamento</t>
  </si>
  <si>
    <t>Renovação em  andamento</t>
  </si>
  <si>
    <t>4600058148/ 4600053625</t>
  </si>
  <si>
    <t>CLIENT CO SERVIÇOS DE REDE NORTE S.A./ BRASIL TELECOM CALL CENTER S.A</t>
  </si>
  <si>
    <t>CLIENT CO SERVIÇOS DE REDE NORTE S.A</t>
  </si>
  <si>
    <t>em andamento de distrato - retirada TAHTO</t>
  </si>
  <si>
    <t>Tahto inclusa no contrato no 4º aditivo</t>
  </si>
  <si>
    <t>em andamento para distrato ( 24/11/25)</t>
  </si>
  <si>
    <t>em renovação ( 24/11/25)</t>
  </si>
  <si>
    <t>4600059516/4600057267</t>
  </si>
  <si>
    <t>em renovação ( 21/11/2025)</t>
  </si>
  <si>
    <t>FONTBEL ALUGUEL DE BOXES LTDA ( SPOT)</t>
  </si>
  <si>
    <t>4600057955/4600057964</t>
  </si>
  <si>
    <t>4600058316/4600057514</t>
  </si>
  <si>
    <t>renovação em andamento ( 24/11/25)</t>
  </si>
  <si>
    <t>4600058487/4600058342</t>
  </si>
  <si>
    <t>renovação em andamento</t>
  </si>
  <si>
    <t>renovação em andamento - 24/11/25</t>
  </si>
  <si>
    <t xml:space="preserve"> segregado para 4600058139 - (4600053869/ 4600051015(2019) / 4600045981 (2019)/ 4600046667(2022)</t>
  </si>
  <si>
    <t>ICTS GLOBAL DO BRASIL LTDA ( EM ANDAMENTO)</t>
  </si>
  <si>
    <t>ACESSO DIGITAL TECNOLOGIA DA INFORM ( ÚNICO)</t>
  </si>
  <si>
    <t>SUL AMÉRICA ODONTO - 104143 - ODONTO</t>
  </si>
  <si>
    <t xml:space="preserve"> CLICKUP - WTM DO BRASIL SERVICOS AS</t>
  </si>
  <si>
    <t>NEWE SEGUROS S.A. - SEGURO GARANTIA</t>
  </si>
  <si>
    <t xml:space="preserve">HAPVIDA ASSISTENCIA MEDICA LTDA </t>
  </si>
  <si>
    <t/>
  </si>
  <si>
    <t>BWSEC TECNOLOGIA LTDA  (SYMANTEC/ SHIELD)</t>
  </si>
  <si>
    <t>VIP ADM  LOCACAO DE ESCRITORIOS E S ( 3045876) EM ASSINATURA</t>
  </si>
  <si>
    <t>CONSIGA MAIS COBRANCA E SERVICOS S  (NEON)</t>
  </si>
  <si>
    <t>SAD CONSULTORIA LTDA GPTW</t>
  </si>
  <si>
    <t>CONTELESIS SOLUÇÕES TECNOLÓGICAS LTDA</t>
  </si>
  <si>
    <t>cursos de qualificação destinados à comunidade local de goiânia com o objetivo de reduzir o iss</t>
  </si>
  <si>
    <t>aluguel de impressoras multifuncionais ( outsourcing impressão - fornecimentos (tahto)) -contrato sap segregado</t>
  </si>
  <si>
    <t>speech analytics</t>
  </si>
  <si>
    <t>certificados digitais - tahto</t>
  </si>
  <si>
    <t>contratação de link de internet</t>
  </si>
  <si>
    <t xml:space="preserve">ferramenta de cloud partner solutions - ferramentas e soluções ibm
</t>
  </si>
  <si>
    <t>fornecimento de wifi 6.0</t>
  </si>
  <si>
    <t>fornecimento da plataforma de contact center em nuvem ( 4600057138)</t>
  </si>
  <si>
    <t>fornecimento de camisetas personalizadas</t>
  </si>
  <si>
    <t>fornecimento e a prestação de serviços de kit lanche ms</t>
  </si>
  <si>
    <t>move to cloud - prestação de serviços, de migração do ambiente físico para cloud_ tahto (contrato opex brpe)</t>
  </si>
  <si>
    <t>manutenção e conserto de micro-ondas, fax, scanner do call center ms</t>
  </si>
  <si>
    <t>desenvolvimento de softwares, manutenção de sistema, consultorias e sustentações de soluções de inteligencia artificial tahto</t>
  </si>
  <si>
    <t>contração de uma solução de arquivamento digital, guarda de arquivo físico e sistema de visualização dos arquivos baixados</t>
  </si>
  <si>
    <t xml:space="preserve">suporte e manutenção licenças ea - ( logicallis) </t>
  </si>
  <si>
    <t>fornecimento de coroa de flores na especificação p6</t>
  </si>
  <si>
    <t>plataforma de monitoria, com interactions analytics (voz e texto) e extrator de chamadas ( nexidia - icatu)</t>
  </si>
  <si>
    <t>move to cloud - prestação de serviços, de migração do ambiente físico para cloud_ tahto</t>
  </si>
  <si>
    <t>gestão de mailing para a btcc/ contratação de serviços de customização e manutenção acpro/desenvolvimento do novo comand center sdk./contratação de ambiente aws para hospedagem de land page tahto/ serviço de adaptação de api/ solução smart offices com os módulos channel lock (controle de jornada) - 4600058049 brpe</t>
  </si>
  <si>
    <t>fornecimento coffee break premiação ms</t>
  </si>
  <si>
    <t>portaria centro oeste p/ tahto</t>
  </si>
  <si>
    <t>bombeiro para tahto</t>
  </si>
  <si>
    <t>serviços de licenciamento e manutenção da plataforma de atendimento digital em nuvem, bem como a prestação de serviços de construção, gestão e evolução de chatbots para interações em aplicativos de mensagens wpp - live person ( canais digitais)</t>
  </si>
  <si>
    <t>wfm (workforce manager) para gerenciamento de força de trabalho tahto</t>
  </si>
  <si>
    <t>renovação da manutenção da solução de relatório para as chamadas receptivas de toda a btcc (genesys, softphone e whatsapp)</t>
  </si>
  <si>
    <t>gestão de mailing para a btcc/ contratação de serviços de customização e manutenção acpro/desenvolvimento do novo comand center sdk./contratação de ambiente aws para hospedagem de land page tahto/ serviço de adaptação de api/ solução smart offices com os módulos channel lock (controle de jornada)/</t>
  </si>
  <si>
    <t>renovação do contrato guarda chuva para atendimento às demandas do sistema fpw - fap online</t>
  </si>
  <si>
    <t>prestação de serviço de intermediação e gerenciamento de viagens colaboradores e executivos</t>
  </si>
  <si>
    <t>prest. serv.ferramenta de avaliação comportamental - pi (oi e tahto)</t>
  </si>
  <si>
    <t>serviço de atendimento de emergência e urgência - uti móvel – go - tahto</t>
  </si>
  <si>
    <t>cadeados</t>
  </si>
  <si>
    <t>prestação de serviços de treinamento online (alura)</t>
  </si>
  <si>
    <t>prestaçâo de serviços de acesso à candidatos para processo seletivo</t>
  </si>
  <si>
    <t>campanha de incentivo tahto - brindes</t>
  </si>
  <si>
    <t>plano de saúde - diretoria</t>
  </si>
  <si>
    <t>seguro de vida</t>
  </si>
  <si>
    <t>benefício pat – convênio alimentação, refeição e outras trilhas</t>
  </si>
  <si>
    <t>prestação de serviços de pesquisa e checagem de informações, em fontes locais/regionais e nacionais</t>
  </si>
  <si>
    <t>projeto sky fortinet oi soluções e tahto</t>
  </si>
  <si>
    <t>prestação de serviços para o projeto link sky</t>
  </si>
  <si>
    <t>ferramenta/metodologia erlang x para melhoria de eficiência no prognóstico de nível de serviço e otimiza a definição do capacity planning</t>
  </si>
  <si>
    <t>fornecimento e a prestação de serviço de internet empresarial ultra banda larga com a tecnologia gpon com rede ( ftth - fiber to the home)</t>
  </si>
  <si>
    <t>locação e cessão de direito de uso, e o oferecimento de infraestrutura, para fins diversos, do internet business exchange (ibx)/ serviços de data center equinix (sp4).</t>
  </si>
  <si>
    <t>locação veiculo pap - frota tahto</t>
  </si>
  <si>
    <t>serviço de telefonia pública comutada</t>
  </si>
  <si>
    <t>prestação de serviços de manutenção corretiva e preventiva de mobiliário</t>
  </si>
  <si>
    <t>cartões premiação</t>
  </si>
  <si>
    <t>fornecimento de plataforma contact center em nuvem</t>
  </si>
  <si>
    <t>serviços de r&amp;s para vagas administrativas, operacionais e de gestão/executivos - tahto</t>
  </si>
  <si>
    <t>plano odontológico grupo oi</t>
  </si>
  <si>
    <t>serviço de gestão integrada do benefício vale transporte - tahto</t>
  </si>
  <si>
    <t>check up executivo tahto</t>
  </si>
  <si>
    <t>contrato de voucher tahto</t>
  </si>
  <si>
    <t>serviços de desenvolvimento de programa(s) de computador (sistema(s)</t>
  </si>
  <si>
    <t xml:space="preserve">publicação de comunicados legais. </t>
  </si>
  <si>
    <t>prestação de serviços para manutenção de headeset</t>
  </si>
  <si>
    <t>agência de mkt para tahto</t>
  </si>
  <si>
    <t>ged - tahto - filiais ( projeto sap)</t>
  </si>
  <si>
    <t>fornecimento e a prestação de serviços de kit lanche go</t>
  </si>
  <si>
    <t>prestação de serviço de rastreamento de veículos e telemetria, com opção de comodato/aluguel</t>
  </si>
  <si>
    <t>suporte e manutenção de licenças novell microfocus</t>
  </si>
  <si>
    <t>prest. serv.ferramenta de avaliação comportamental - pi (tahto)</t>
  </si>
  <si>
    <t>clickup</t>
  </si>
  <si>
    <t>seguro garantia</t>
  </si>
  <si>
    <t>assessoria de imprensa</t>
  </si>
  <si>
    <t>aquisição, suporte e manutenção de licenças lg tahto</t>
  </si>
  <si>
    <t>fornecimento da plataforma de contact center em nuvem</t>
  </si>
  <si>
    <t>uti móvel ms - btcc</t>
  </si>
  <si>
    <t>softwares diversos - whatsapp business</t>
  </si>
  <si>
    <t>plano de assistência à saúde contratado</t>
  </si>
  <si>
    <t>criação de materiais de desenvolvimento e capacitação de colaboradores</t>
  </si>
  <si>
    <t>produtos para premiação robbyson -  alimentícios e equipamentos eletrônicos</t>
  </si>
  <si>
    <t>licenciamento e suporte veritas ( licenças netbackup - licenciamento e aquisição do hw appliance)</t>
  </si>
  <si>
    <t>locação dos equipamentos de informática</t>
  </si>
  <si>
    <t>serviços de postagens correios - tahto</t>
  </si>
  <si>
    <t>auditoria externa 22, 23 e 24</t>
  </si>
  <si>
    <t>serviço de nuvem – com i.a -juridico</t>
  </si>
  <si>
    <t>fornecimento de brindes promocionais</t>
  </si>
  <si>
    <t>plano odontológico - tahto</t>
  </si>
  <si>
    <t>plano móvel colaborador</t>
  </si>
  <si>
    <t>consultoria para recuperação encargos folha pagto</t>
  </si>
  <si>
    <t xml:space="preserve">locação mensal para call center  tahto barra funda (julio gonzalez, 132 - 13º andar - barra funda/ sp) </t>
  </si>
  <si>
    <t>contratação de serviços e posições de callcenter.</t>
  </si>
  <si>
    <t xml:space="preserve">desenvolvimento de programa(s) de computador (sistema(s)), fabrica tahto          </t>
  </si>
  <si>
    <t>licenciamento de ferramenta de crm - tasken</t>
  </si>
  <si>
    <t>fornecimento de links ip dedicado, l2l e ftth</t>
  </si>
  <si>
    <t>a licença de uso do software beedoo (10.000 licenças) e prestação de serviços de manutenção da licença (serviços). -  luhmus</t>
  </si>
  <si>
    <t>recrutamento e seleção - tahto</t>
  </si>
  <si>
    <t>tradução de documentos tahto</t>
  </si>
  <si>
    <t>locação de storage</t>
  </si>
  <si>
    <t>prestação dos serviços de advocacia</t>
  </si>
  <si>
    <t>enriquecimento de mailing - tahto</t>
  </si>
  <si>
    <t>prestação de serviço de transporte de carga para transportar equipamentos, materiais e mobiliários entre as nossas filiais.</t>
  </si>
  <si>
    <t>a cessão de direito de uso de sistema para gestão de frota de veículos, denominado nextfleet</t>
  </si>
  <si>
    <t>serviços de desenvolvimento de programa(s) de computador sistema(s)</t>
  </si>
  <si>
    <t>fornecimento de essência personalizada e produtos aromáticos</t>
  </si>
  <si>
    <t>serviço de manutenção de tv´s e projetores no site de go - tahto</t>
  </si>
  <si>
    <t>prestação de serviços gerenciados fw fortinet sp e go</t>
  </si>
  <si>
    <t>suporte técnico sbc's - tahto</t>
  </si>
  <si>
    <t>plano de saúde (go) - tahto</t>
  </si>
  <si>
    <t>plano de saúde (ms) - tahto</t>
  </si>
  <si>
    <t>prestação de serviços de planejamento e criação publicitárias</t>
  </si>
  <si>
    <t>jovem aprendiz</t>
  </si>
  <si>
    <t xml:space="preserve">prestação de serviço de desenvolvimento, manutenção e hospedagem de website </t>
  </si>
  <si>
    <t>solução endpoint symantec/ shield - antivirus, antispyware</t>
  </si>
  <si>
    <t>prestação de serviços de realização de exames ocupacionais, em todo o território nacional, agendamentos e acompanhamento online</t>
  </si>
  <si>
    <t>fornecimento de headsets para a tahto</t>
  </si>
  <si>
    <t>solução kubernetes e postgresql.  tahto</t>
  </si>
  <si>
    <t>locação mensal para call center  tahto aracaju ( praça da bandeira, 48, bairro são josé, aracaju/se - cep 49010-510)</t>
  </si>
  <si>
    <t>locação mensal para call center  tahto rio de janeiro ( r. da assembleia, 100 - centro, rio de janeiro - rj, cep 20040-007)</t>
  </si>
  <si>
    <t>locação mensal para call center  tahto campo grande ( av. afonso pena, 2440, centro, campo grande, ms)</t>
  </si>
  <si>
    <t>canal de denúncia</t>
  </si>
  <si>
    <t>serviços de desenvolvimento de programa(s) de computador de sistema(s)</t>
  </si>
  <si>
    <t>link l2l para site aracaju ii</t>
  </si>
  <si>
    <t>licenciamento de uso do software denominado “portal de qualidade"/ 4600056444</t>
  </si>
  <si>
    <t>empréstimo - convênio para concessão de operações de empréstimo com consignação em folha de pagamento</t>
  </si>
  <si>
    <t>serviços de desenvolvimento de programa(s) de computador de sistema(s) - fabrica</t>
  </si>
  <si>
    <t>suporte e manutenção licenças sap + b1</t>
  </si>
  <si>
    <t>transporte de colaboradores tahto</t>
  </si>
  <si>
    <t>prestação de serviço de administração de plano de saúde médico hospitalar,</t>
  </si>
  <si>
    <t>livro - historia da tahto - prestação de serviço ghostwriting</t>
  </si>
  <si>
    <t>licenças de acesso remoto - teamviewer</t>
  </si>
  <si>
    <t>treinamento erlang x</t>
  </si>
  <si>
    <t>patrocínio projeto content design 2025</t>
  </si>
  <si>
    <t xml:space="preserve">pesquisa de clima gptw - tahto </t>
  </si>
  <si>
    <t xml:space="preserve">prestação de serviço de desenvolvimento website </t>
  </si>
  <si>
    <t>security ea 2.0 choice cisco secure email gateway adv 10pk (cisco)</t>
  </si>
  <si>
    <t>parceria crowdstrike</t>
  </si>
  <si>
    <t>aquisição de tokens físicos</t>
  </si>
  <si>
    <t>licenciamento watson</t>
  </si>
  <si>
    <t>contrato de comodato de vending machine de snacks e bebidas quente e fria para curitiba</t>
  </si>
  <si>
    <t>aluguel de sala de estoque para o cliente getnet em recife.</t>
  </si>
  <si>
    <t>plataforma de contact center - fullswap capex</t>
  </si>
  <si>
    <t xml:space="preserve">plataforma para consultoria tributária </t>
  </si>
  <si>
    <t>aquisição de ssd's e memórias</t>
  </si>
  <si>
    <t>prestação de serviços de suporte às campanhas de relacionamentos com cliente</t>
  </si>
  <si>
    <t>prestação de serviço de negociação do termo aditivo ao plano rj</t>
  </si>
  <si>
    <t>licença de uso de programas de computador e prestação de serviços de manutenção - itsm</t>
  </si>
  <si>
    <t>licença de uso de software para gestão de visitas externas - contele</t>
  </si>
  <si>
    <t>fornecimento de headsets e eui</t>
  </si>
  <si>
    <t>prestação de serviço de limpeza e conservação prédios administrativos e call center - tahto</t>
  </si>
  <si>
    <t>lpu - recrutmento e seleção - tahto</t>
  </si>
  <si>
    <t>plataforma de recrutamento e seleção com captação de pessoas através do infojobs.</t>
  </si>
  <si>
    <t>serviço de estratégia de branding para produtos, soluções e ferramentas tahto, através de agência de branding ou freelancer</t>
  </si>
  <si>
    <t>serviço de preposição para audiência com foco em demanda trabalhista</t>
  </si>
  <si>
    <t>licenciamento de plataforma para transporte de colaboradores _ tahto - prazo indeterminado/ renovação automática</t>
  </si>
  <si>
    <t>serviços gerenciados fw fortinet sp e go</t>
  </si>
  <si>
    <t>UNIPIX SERVICOS DE TECNOLOGIA E INFORMATICA LTDA ( VONEX)</t>
  </si>
  <si>
    <t>CRÍTICO</t>
  </si>
  <si>
    <t>NÃO CRÍTICO</t>
  </si>
  <si>
    <t>MUITO CRÍTICO</t>
  </si>
  <si>
    <t>CURSOS DE QUALIFICAÇÃO DESTINADOS À COMUNIDADE LOCAL DE GOIÂNIA COM O OBJETIVO DE REDUZIR O ISS</t>
  </si>
  <si>
    <t>ALUGUEL DE IMPRESSORAS MULTIFUNCIONAIS ( OUTSOURCING IMPRESSÃO - FORNECIMENTOS (TAHTO))</t>
  </si>
  <si>
    <t>CERTIFICADOS DIGITAIS - TAHTO</t>
  </si>
  <si>
    <t>CONTRATAÇÃO DE LINK DE INTERNET</t>
  </si>
  <si>
    <t xml:space="preserve">FERRAMENTA DE CLOUD PARTNER SOLUTIONS - FERRAMENTAS E SOLUÇÕES IBM
</t>
  </si>
  <si>
    <t>FORNECIMENTO DE WIFI 6.0</t>
  </si>
  <si>
    <t>FORNECIMENTO DA PLATAFORMA DE CONTACT CENTER EM NUVEM ( 4600057138)</t>
  </si>
  <si>
    <t>FORNECIMENTO DE CAMISETAS PERSONALIZADAS</t>
  </si>
  <si>
    <t>DIGITRONCO</t>
  </si>
  <si>
    <t>MOVE TO CLOUD - PRESTAÇÃO DE SERVIÇOS, DE MIGRAÇÃO DO AMBIENTE FÍSICO PARA CLOUD_ TAHTO (CONTRATO OPEX BRPE)</t>
  </si>
  <si>
    <t>MANUTENÇÃO E CONSERTO DE MICRO-ONDAS, FAX, SCANNER DO CALL CENTER MS</t>
  </si>
  <si>
    <t>DESENVOLVIMENTO DE SOFTWARES, MANUTENÇÃO DE SISTEMA, CONSULTORIAS E SUSTENTAÇÕES DE SOLUÇÕES DE INTELIGENCIA ARTIFICIAL TAHTO</t>
  </si>
  <si>
    <t>CONTRAÇÃO DE UMA SOLUÇÃO DE ARQUIVAMENTO DIGITAL, GUARDA DE ARQUIVO FÍSICO E SISTEMA DE VISUALIZAÇÃO DOS ARQUIVOS BAIXADOS</t>
  </si>
  <si>
    <t>PLATAFORMA DE MONITORIA, COM INTERACTIONS ANALYTICS (VOZ E TEXTO) E EXTRATOR DE CHAMADAS ( NEXIDIA - ICATU)</t>
  </si>
  <si>
    <t>GESTÃO DE MAILING PARA A BTCC/ CONTRATAÇÃO DE SERVIÇOS DE CUSTOMIZAÇÃO E MANUTENÇÃO ACPRO/DESENVOLVIMENTO DO NOVO COMAND CENTER SDK./CONTRATAÇÃO DE AMBIENTE AWS PARA HOSPEDAGEM DE LAND PAGE TAHTO/ SERVIÇO DE ADAPTAÇÃO DE API/ SOLUÇÃO SMART OFFICES COM OS MÓDULOS CHANNEL LOCK (CONTROLE DE JORNADA) - 4600058049 BRPE</t>
  </si>
  <si>
    <t>PORTARIA CENTRO OESTE P/ TAHTO</t>
  </si>
  <si>
    <t>BOMBEIRO PARA TAHTO</t>
  </si>
  <si>
    <t>TRANSFORMAÇÃO ATRAVÉS DA AUTOMAÇÃO DA OPERAÇÃO PARA OFERTA DE PA VIRTUAL - TAHTO - SEGREGADO 4600054298</t>
  </si>
  <si>
    <t>SERVIÇOS DE LICENCIAMENTO E MANUTENÇÃO DA PLATAFORMA DE ATENDIMENTO DIGITAL EM NUVEM, BEM COMO A PRESTAÇÃO DE SERVIÇOS DE CONSTRUÇÃO, GESTÃO E EVOLUÇÃO DE CHATBOTS PARA INTERAÇÕES EM APLICATIVOS DE MENSAGENS WPP - LIVE PERSON ( CANAIS DIGITAIS)</t>
  </si>
  <si>
    <t>WFM (WORKFORCE MANAGER) PARA GERENCIAMENTO DE FORÇA DE TRABALHO TAHTO</t>
  </si>
  <si>
    <t>RENOVAÇÃO DA MANUTENÇÃO DA SOLUÇÃO DE RELATÓRIO PARA AS CHAMADAS RECEPTIVAS DE TODA A BTCC (GENESYS, SOFTPHONE E WHATSAPP)</t>
  </si>
  <si>
    <t>RENOVAÇÃO DO CONTRATO GUARDA CHUVA PARA ATENDIMENTO ÀS DEMANDAS DO SISTEMA FPW - FAP ONLINE</t>
  </si>
  <si>
    <t>PRESTAÇÃO DE SERVIÇO DE INTERMEDIAÇÃO E GERENCIAMENTO DE VIAGENS COLABORADORES E EXECUTIVOS</t>
  </si>
  <si>
    <t>PREST. SERV.FERRAMENTA DE AVALIAÇÃO COMPORTAMENTAL - PI (OI E TAHTO)</t>
  </si>
  <si>
    <t>SERVIÇO DE ATENDIMENTO DE EMERGÊNCIA E URGÊNCIA - UTI MÓVEL – GO - TAHTO</t>
  </si>
  <si>
    <t>PROJETO SKY FORTINET OI SOLUÇÕES E TAHTO</t>
  </si>
  <si>
    <t>PLATAFORMA DE ONBOARDING DIGITAL PARA NOVOS COLABORADORES OI E SEREDE</t>
  </si>
  <si>
    <t>FERRAMENTA/METODOLOGIA ERLANG X PARA MELHORIA DE EFICIÊNCIA NO PROGNÓSTICO DE NÍVEL DE SERVIÇO E OTIMIZA A DEFINIÇÃO DO CAPACITY PLANNING</t>
  </si>
  <si>
    <t>FORNECIMENTO E A PRESTAÇÃO DE SERVIÇO DE INTERNET EMPRESARIAL ULTRA BANDA LARGA COM A TECNOLOGIA GPON COM REDE ( FTTH - FIBER TO THE HOME)</t>
  </si>
  <si>
    <t>LOCAÇÃO E CESSÃO DE DIREITO DE USO, E O OFERECIMENTO DE INFRAESTRUTURA, PARA FINS DIVERSOS, DO INTERNET BUSINESS EXCHANGE (IBX)/ SERVIÇOS DE DATA CENTER EQUINIX (SP4).</t>
  </si>
  <si>
    <t>CONTRATAÇÃO DE FORNECIMENTO DE SOLUÇÃO DE ITSM.</t>
  </si>
  <si>
    <t>GESTÃO DE MEIOS DE PAGAMENTO DE COMBUSTÍVEL PARA FROTA CORPORATIVA TAHTO</t>
  </si>
  <si>
    <t>MANUTENÇÃO DO WFM E GRAVADOR NIM 4.1 EXISTENTE DA BTCC E AQUISIÇÃO DE LICENÇAS</t>
  </si>
  <si>
    <t>SERVIÇO DE TELEFONIA PÚBLICA COMUTADA</t>
  </si>
  <si>
    <t>PRESTAÇÃO DE SERVIÇOS DE MANUTENÇÃO CORRETIVA E PREVENTIVA DE MOBILIÁRIO</t>
  </si>
  <si>
    <t>CARTÕES PREMIAÇÃO</t>
  </si>
  <si>
    <t>FORNECIMENTO DE PLATAFORMA CONTACT CENTER EM NUVEM</t>
  </si>
  <si>
    <t xml:space="preserve">PRESTAÇÃO DE SERVIÇOS DE MANUTENÇÃO DA REDE FÍSICA DE FIBRAS ÓPTICAS </t>
  </si>
  <si>
    <t>SERVIÇOS DE R&amp;S PARA VAGAS ADMINISTRATIVAS, OPERACIONAIS E DE GESTÃO/EXECUTIVOS - TAHTO</t>
  </si>
  <si>
    <t>PRESTAÇÃO DE SERVIÇOS DE CURSOS DE QUALIFICAÇÃO DESTINADOS À COMUNIDADE LOCAL DE GOIÂNIA COM O OBJETIVO DE REDUZIR O ISS</t>
  </si>
  <si>
    <t>PLANO ODONTOLÓGICO GRUPO OI</t>
  </si>
  <si>
    <t>SERVIÇO DE GESTÃO INTEGRADA DO BENEFÍCIO VALE TRANSPORTE - TAHTO</t>
  </si>
  <si>
    <t>CHECK UP EXECUTIVO TAHTO</t>
  </si>
  <si>
    <t>CONTRATO DE VOUCHER TAHTO</t>
  </si>
  <si>
    <t>SERVIÇOS DE DESENVOLVIMENTO DE PROGRAMA(S) DE COMPUTADOR (SISTEMA(S)</t>
  </si>
  <si>
    <t xml:space="preserve">PUBLICAÇÃO DE COMUNICADOS LEGAIS. </t>
  </si>
  <si>
    <t>PRESTAÇÃO DE SERVIÇOS PARA MANUTENÇÃO DE HEADESET</t>
  </si>
  <si>
    <t>PRESTAÇÃO DE SERVIÇO DE RASTREAMENTO DE VEÍCULOS E TELEMETRIA, COM OPÇÃO DE COMODATO/ALUGUEL</t>
  </si>
  <si>
    <t>SUPORTE E MANUTENÇÃO DE LICENÇAS NOVELL MICROFOCUS</t>
  </si>
  <si>
    <t>SEGURO GARANTIA</t>
  </si>
  <si>
    <t>SISTEMA DE RECRUTAMENTO E SELEÇÃO. OI E TAHTO ( RECRUTAMENTO E SELEÇÃO DE TALENTOSPARA OI E TAHTO E  RENOVAÇÃO DO SISTEMA GUPY ADMISSÃO PARA TAHTO E RETIRADA DO SERVIÇO DE SUPPORT PARTNER PARA OI.</t>
  </si>
  <si>
    <t>FORNECIMENTO DA PLATAFORMA DE CONTACT CENTER EM NUVEM</t>
  </si>
  <si>
    <t>CRIAÇÃO DE MATERIAIS DE DESENVOLVIMENTO E CAPACITAÇÃO DE COLABORADORES</t>
  </si>
  <si>
    <t>PRODUTOS PARA PREMIAÇÃO ROBBYSON -  ALIMENTÍCIOS E EQUIPAMENTOS ELETRÔNICOS</t>
  </si>
  <si>
    <t>DESENVOLVIMENTO DA FERRAMENTA CORPORATIVA DE PERFORNANCE, E MANUTENÇÃO DA RESPECTIVA FERRAMENTA</t>
  </si>
  <si>
    <t>LICENCIAMENTO E SUPORTE VERITAS ( LICENÇAS NETBACKUP - LICENCIAMENTO E AQUISIÇÃO DO HW APPLIANCE)</t>
  </si>
  <si>
    <t>LOCAÇÃO DOS EQUIPAMENTOS DE INFORMÁTICA</t>
  </si>
  <si>
    <t>SERVIÇOS DE POSTAGENS CORREIOS - TAHTO</t>
  </si>
  <si>
    <t>AUDITORIA EXTERNA 22, 23 E 24</t>
  </si>
  <si>
    <t>TAHTO - MANUTENÇÃO DE ELEVADORES NOS PRÉDIOS DA OI ( 4600056775 - CONTRATO SAP?)</t>
  </si>
  <si>
    <t>SERVIÇO DE NUVEM – COM I.A -JURIDICO</t>
  </si>
  <si>
    <t>FORNECIMENTO DE BRINDES PROMOCIONAIS</t>
  </si>
  <si>
    <t>PLANO ODONTOLÓGICO - TAHTO</t>
  </si>
  <si>
    <t>PLANO MÓVEL COLABORADOR</t>
  </si>
  <si>
    <t>LICENÇAS GOOGLE WORKSPACE - ESSE CONTRATO SAP É APENAS PARA CONTROLE - NÃO HÁ INSTRUMENTO JURIDICO</t>
  </si>
  <si>
    <t>TREINAMENTO - CAPACITAÇÃO PARA A APLICAÇÃO DA FERRAMENTA ENEAGRAMA</t>
  </si>
  <si>
    <t>CONSULTORIA PARA RECUPERAÇÃO ENCARGOS FOLHA PAGTO</t>
  </si>
  <si>
    <t xml:space="preserve">LOCAÇÃO MENSAL PARA CALL CENTER  TAHTO BARRA FUNDA (JULIO GONZALEZ, 132 - 13º ANDAR - BARRA FUNDA/ SP) </t>
  </si>
  <si>
    <t>CONTRATAÇÃO DE SERVIÇOS E POSIÇÕES DE CALLCENTER.</t>
  </si>
  <si>
    <t xml:space="preserve">DESENVOLVIMENTO DE PROGRAMA(S) DE COMPUTADOR (SISTEMA(S)), FABRICA TAHTO          </t>
  </si>
  <si>
    <t>LICENCIAMENTO DE FERRAMENTA DE CRM - TASKEN</t>
  </si>
  <si>
    <t>FORNECIMENTO DE LINKS IP DEDICADO, L2L E FTTH</t>
  </si>
  <si>
    <t>A LICENÇA DE USO DO SOFTWARE BEEDOO (10.000 LICENÇAS) E PRESTAÇÃO DE SERVIÇOS DE MANUTENÇÃO DA LICENÇA (SERVIÇOS). -  LUHMUS</t>
  </si>
  <si>
    <t>RECRUTAMENTO E SELEÇÃO - TAHTO</t>
  </si>
  <si>
    <t>FORNECIMENTO DE MATERIAIS GRÁFICOS</t>
  </si>
  <si>
    <t>TRADUÇÃO DE DOCUMENTOS TAHTO</t>
  </si>
  <si>
    <t>LOCAÇÃO DE STORAGE</t>
  </si>
  <si>
    <t>PRESTAÇÃO DE SERVIÇO DE AUDIOVISUAL</t>
  </si>
  <si>
    <t>FORNECIMENTO DE PROTETOR SOLAR FPS 60 UVA</t>
  </si>
  <si>
    <t>ENRIQUECIMENTO DE MAILING - TAHTO</t>
  </si>
  <si>
    <t>PRESTAÇÃO DE SERVIÇO DE TRANSPORTE DE CARGA PARA TRANSPORTAR EQUIPAMENTOS, MATERIAIS E MOBILIÁRIOS ENTRE AS NOSSAS FILIAIS.</t>
  </si>
  <si>
    <t>A CESSÃO DE DIREITO DE USO DE SISTEMA PARA GESTÃO DE FROTA DE VEÍCULOS, DENOMINADO NEXTFLEET</t>
  </si>
  <si>
    <t>SERVIÇOS DE DESENVOLVIMENTO DE PROGRAMA(S) DE COMPUTADOR SISTEMA(S)</t>
  </si>
  <si>
    <t>PRESTAÇÃO DE SERVIÇOS DE ENVIO E RECEBIMENTO DE SMS CORPORATIVO (VONEX)</t>
  </si>
  <si>
    <t>FORNECIMENTO DE ESSÊNCIA PERSONALIZADA E PRODUTOS AROMÁTICOS</t>
  </si>
  <si>
    <t>SERVIÇO DE MANUTENÇÃO DE TV´S E PROJETORES NO SITE DE GO - TAHTO</t>
  </si>
  <si>
    <t>PRESTAÇÃO DE SERVIÇOS GERENCIADOS FW FORTINET SP E GO</t>
  </si>
  <si>
    <t>CROWDSTRIKE OI SOLUÇÕES - PAGAMENTO POR BOLETO</t>
  </si>
  <si>
    <t>SUPORTE TÉCNICO SBC'S - TAHTO</t>
  </si>
  <si>
    <t>LPU - LOCAÇÃO DOS EQUIPAMENTOS DE INFORMÁTICA</t>
  </si>
  <si>
    <t>PLANO DE SAÚDE (GO) - TAHTO</t>
  </si>
  <si>
    <t>PLANO DE SAÚDE (MS) - TAHTO</t>
  </si>
  <si>
    <t>PRESTAÇÃO DE SERVIÇOS DE PLANEJAMENTO E CRIAÇÃO PUBLICITÁRIAS</t>
  </si>
  <si>
    <t>JOVEM APRENDIZ</t>
  </si>
  <si>
    <t xml:space="preserve">PRESTAÇÃO DE SERVIÇO DE DESENVOLVIMENTO, MANUTENÇÃO E HOSPEDAGEM DE WEBSITE </t>
  </si>
  <si>
    <t>SOLUÇÃO ENDPOINT SYMANTEC/ SHIELD - ANTIVIRUS, ANTISPYWARE</t>
  </si>
  <si>
    <t>PRESTAÇÃO DE SERVIÇOS DE REALIZAÇÃO DE EXAMES OCUPACIONAIS, EM TODO O TERRITÓRIO NACIONAL, AGENDAMENTOS E ACOMPANHAMENTO ONLINE</t>
  </si>
  <si>
    <t>SOLUÇÃO KUBERNETES E POSTGRESQL.  TAHTO</t>
  </si>
  <si>
    <t>LOCAÇÃO MENSAL PARA CALL CENTER  TAHTO ARACAJU ( PRAÇA DA BANDEIRA, 48, BAIRRO SÃO JOSÉ, ARACAJU/SE - CEP 49010-510)</t>
  </si>
  <si>
    <t>LOCAÇÃO MENSAL PARA CALL CENTER  TAHTO RIO DE JANEIRO ( R. DA ASSEMBLEIA, 100 - CENTRO, RIO DE JANEIRO - RJ, CEP 20040-007)</t>
  </si>
  <si>
    <t>LOCAÇÃO MENSAL PARA CALL CENTER  TAHTO CAMPO GRANDE ( AV. AFONSO PENA, 2440, CENTRO, CAMPO GRANDE, MS)</t>
  </si>
  <si>
    <t>CANAL DE DENÚNCIA</t>
  </si>
  <si>
    <t>SERVIÇOS DE DESENVOLVIMENTO DE PROGRAMA(S) DE COMPUTADOR DE SISTEMA(S)</t>
  </si>
  <si>
    <t>LINK L2L PARA SITE ARACAJU II</t>
  </si>
  <si>
    <t>LICENCIAMENTO DE USO DO SOFTWARE DENOMINADO “PORTAL DE QUALIDADE"/ 4600056444</t>
  </si>
  <si>
    <t>EMPRÉSTIMO - CONVÊNIO PARA CONCESSÃO DE OPERAÇÕES DE EMPRÉSTIMO COM CONSIGNAÇÃO EM FOLHA DE PAGAMENTO</t>
  </si>
  <si>
    <t>SERVIÇOS DE DESENVOLVIMENTO DE PROGRAMA(S) DE COMPUTADOR DE SISTEMA(S) - FABRICA</t>
  </si>
  <si>
    <t>SUPORTE E MANUTENÇÃO LICENÇAS SAP + B1</t>
  </si>
  <si>
    <t>TRANSPORTE DE COLABORADORES TAHTO</t>
  </si>
  <si>
    <t>PRESTAÇÃO DE SERVIÇO DE ADMINISTRAÇÃO DE PLANO DE SAÚDE MÉDICO HOSPITALAR,</t>
  </si>
  <si>
    <t>LIVRO - HISTORIA DA TAHTO - PRESTAÇÃO DE SERVIÇO GHOSTWRITING</t>
  </si>
  <si>
    <t>LICENÇAS DE ACESSO REMOTO - TEAMVIEWER</t>
  </si>
  <si>
    <t>TREINAMENTO ERLANG X</t>
  </si>
  <si>
    <t>DESENVOLVIMENTO RPA COM ROBÔ IA</t>
  </si>
  <si>
    <t xml:space="preserve">PRESTAÇÃO DE SERVIÇO DE DESENVOLVIMENTO WEBSITE </t>
  </si>
  <si>
    <t>SECURITY EA 2.0 CHOICE CISCO SECURE EMAIL GATEWAY ADV 10PK (CISCO)</t>
  </si>
  <si>
    <t>PARCERIA CROWDSTRIKE</t>
  </si>
  <si>
    <t>AQUISIÇÃO DE TOKENS FÍSICOS</t>
  </si>
  <si>
    <t>CONTRATO DE COMODATO DE VENDING MACHINE DE SNACKS E BEBIDAS QUENTE E FRIA PARA CURITIBA</t>
  </si>
  <si>
    <t>ALUGUEL DE SALA DE ESTOQUE PARA O CLIENTE GETNET EM RECIFE.</t>
  </si>
  <si>
    <t>PLATAFORMA DE CONTACT CENTER - FULLSWAP CAPEX</t>
  </si>
  <si>
    <t xml:space="preserve">PLATAFORMA PARA CONSULTORIA TRIBUTÁRIA </t>
  </si>
  <si>
    <t>AQUISIÇÃO DE SSD'S E MEMÓRIAS</t>
  </si>
  <si>
    <t>PRESTAÇÃO DE SERVIÇOS DE SUPORTE ÀS CAMPANHAS DE RELACIONAMENTOS COM CLIENTE</t>
  </si>
  <si>
    <t>SUPORTE E MANUTENÇÃO DE INFRA</t>
  </si>
  <si>
    <t>PRESTAÇÃO DE SERVIÇO DE NEGOCIAÇÃO DO TERMO ADITIVO AO PLANO RJ</t>
  </si>
  <si>
    <t>LICENÇA DE USO DE PROGRAMAS DE COMPUTADOR E PRESTAÇÃO DE SERVIÇOS DE MANUTENÇÃO - ITSM</t>
  </si>
  <si>
    <t>LICENÇA DE USO DE SOFTWARE PARA GESTÃO DE VISITAS EXTERNAS - CONTELE</t>
  </si>
  <si>
    <t>FORNECIMENTO DE HEADSETS E EUI</t>
  </si>
  <si>
    <t>PRESTAÇÃO DE SERVIÇO DE LIMPEZA E CONSERVAÇÃO PRÉDIOS ADMINISTRATIVOS E CALL CENTER - TAHTO</t>
  </si>
  <si>
    <t>LPU - RECRUTMENTO E SELEÇÃO - TAHTO</t>
  </si>
  <si>
    <t>PLATAFORMA DE RECRUTAMENTO E SELEÇÃO COM CAPTAÇÃO DE PESSOAS ATRAVÉS DO INFOJOBS.</t>
  </si>
  <si>
    <t>SERVIÇO DE ESTRATÉGIA DE BRANDING PARA PRODUTOS, SOLUÇÕES E FERRAMENTAS TAHTO, ATRAVÉS DE AGÊNCIA DE BRANDING OU FREELANCER</t>
  </si>
  <si>
    <t>SERVIÇO DE PREPOSIÇÃO PARA AUDIÊNCIA COM FOCO EM DEMANDA TRABALHISTA</t>
  </si>
  <si>
    <t>LICENCIAMENTO DE PLATAFORMA PARA TRANSPORTE DE COLABORADORES _ TAHTO - PRAZO INDETERMINADO/ RENOVAÇÃO AUTOMÁTICA</t>
  </si>
  <si>
    <t>LILIAN MOURA DA SILVA</t>
  </si>
  <si>
    <t>MARCELO ALBERTO PINTO</t>
  </si>
  <si>
    <t>PEDRO PERIASSU/ TIAGO GONZALES</t>
  </si>
  <si>
    <t>TIAGO GONZALES</t>
  </si>
  <si>
    <t>GRAZIELLA DOURADO XAVIER</t>
  </si>
  <si>
    <t xml:space="preserve">DANIELLA PEREIRA DE ARAUJO </t>
  </si>
  <si>
    <t>RENOVAÇÃO FÁBRICA DE SOFTWARE GED -  ( PROJETO SAP)</t>
  </si>
  <si>
    <t xml:space="preserve"> FAP ONLINE -/ SISTEMA FPW</t>
  </si>
  <si>
    <t>PLATAFORMA DE ASSINATURA DIGITAL (ÚNICO SIGN) TAHTO</t>
  </si>
  <si>
    <t xml:space="preserve">SISTEMA DE RECRUTAMENTO E SELEÇÃO TAHTO </t>
  </si>
  <si>
    <t>CROWDSTRIKE OI SOLUÇÕES</t>
  </si>
  <si>
    <t>PRESTAÇÃO DE SERVIÇOS DE MANUTENÇÃO DA REDE FÍSICA DE FIBRAS ÓPTICAS (</t>
  </si>
  <si>
    <t>TK ELEVADORES BRASIL LTDA (em andamento)</t>
  </si>
  <si>
    <t>GÁVEA FACILITIES SERVIÇOS GERAIS LTDA ( renunciou o contrato)</t>
  </si>
  <si>
    <t>4600058062/4600058220</t>
  </si>
  <si>
    <t>4600058048/4600058223</t>
  </si>
  <si>
    <t>4600051835/4600058049</t>
  </si>
  <si>
    <t>4600058491/4600059811/4600058492</t>
  </si>
  <si>
    <t>4600058148/4600053625</t>
  </si>
  <si>
    <t>ADITIVO em andamento para a retirada da OI</t>
  </si>
  <si>
    <r>
      <t>OI S.A. – EM RECUPERAÇÃO JUDICIAL/BRASIL TELECOM CALL CENTER S.A</t>
    </r>
    <r>
      <rPr>
        <sz val="10"/>
        <color rgb="FFFF0000"/>
        <rFont val="Calibri"/>
        <family val="2"/>
        <scheme val="minor"/>
      </rPr>
      <t xml:space="preserve"> ( em andamento retirada da OI)</t>
    </r>
  </si>
  <si>
    <t>4600058224/4600058249</t>
  </si>
  <si>
    <r>
      <t>OI S.A. – EM RECUPERAÇÃO JUDICIAL/BRASIL TELECOM CALL CENTER S.A</t>
    </r>
    <r>
      <rPr>
        <sz val="10"/>
        <color rgb="FFFF0000"/>
        <rFont val="Calibri"/>
        <family val="2"/>
        <scheme val="minor"/>
      </rPr>
      <t xml:space="preserve">  (em andamento retirada da OI)</t>
    </r>
  </si>
  <si>
    <t>4600057445/4600059869</t>
  </si>
  <si>
    <t>4600058343/4600058344</t>
  </si>
  <si>
    <t>CLIENT CO SERVIÇOS DE REDE NORTE S.A.</t>
  </si>
  <si>
    <t>OI S.A. - EM RECUPERAÇÃO JUDICIAL/FUNDAÇÃO ATLÂNTICO DE SEGURIDADE SOCIAL,/INSTITUTO TELEMAR (OI FUTURO),/CLIENT CO SERVIÇOS DE REDE NORTE S.A./CLIENT CO SERVIÇOS DE REDE NORDESTE S.A.</t>
  </si>
  <si>
    <t>OI S.A. – EM RECUPERAÇÃO JUDICIAL/OI SOLUÇÕES S.A./ BRASIL TELECOM CALL CENTER S.A</t>
  </si>
  <si>
    <t xml:space="preserve">OI S.A. – EM RECUPERAÇÃO JUDICIAL/BRASIL TELECOM CALL CENTER S.A/CLIENT CO SERVIÇOS DE REDE NORTE S.A., </t>
  </si>
  <si>
    <r>
      <rPr>
        <strike/>
        <sz val="10"/>
        <color theme="1"/>
        <rFont val="Calibri"/>
        <family val="2"/>
        <scheme val="minor"/>
      </rPr>
      <t>4600057025</t>
    </r>
    <r>
      <rPr>
        <sz val="10"/>
        <color theme="1"/>
        <rFont val="Calibri"/>
        <family val="2"/>
        <scheme val="minor"/>
      </rPr>
      <t>/4600060067</t>
    </r>
  </si>
  <si>
    <t>SHEILA SAITO</t>
  </si>
  <si>
    <t>4600058394 (SAP TAHTO) / 4600058746 (OI SERVICES)</t>
  </si>
  <si>
    <t>CAPGEMINI BRASIL LTDA</t>
  </si>
  <si>
    <t>BRASIL TELECOM, (i) CLIENT CO SERVIÇOS DE REDE NORTE S.A</t>
  </si>
  <si>
    <t xml:space="preserve"> (em andamento retirada da OI)</t>
  </si>
  <si>
    <r>
      <t>SECUREWAY TECNOLOGIA DA INFORM</t>
    </r>
    <r>
      <rPr>
        <sz val="10"/>
        <color rgb="FFFF0000"/>
        <rFont val="Calibri"/>
        <family val="2"/>
        <scheme val="minor"/>
      </rPr>
      <t xml:space="preserve"> (antes de segregar alinhar com TI)</t>
    </r>
  </si>
  <si>
    <r>
      <t>SIMPRESS COMERCIO DE EQUIPAMEN</t>
    </r>
    <r>
      <rPr>
        <sz val="10"/>
        <color rgb="FFFF0000"/>
        <rFont val="Calibri"/>
        <family val="2"/>
        <scheme val="minor"/>
      </rPr>
      <t xml:space="preserve">  (Denuncia)</t>
    </r>
  </si>
  <si>
    <r>
      <t xml:space="preserve">LG INFORMÁTICA S.A. </t>
    </r>
    <r>
      <rPr>
        <sz val="10"/>
        <color rgb="FFFF0000"/>
        <rFont val="Calibri"/>
        <family val="2"/>
        <scheme val="minor"/>
      </rPr>
      <t xml:space="preserve"> (em andamento)</t>
    </r>
  </si>
  <si>
    <r>
      <t xml:space="preserve">LG INFORMÁTICA S.A.  </t>
    </r>
    <r>
      <rPr>
        <sz val="10"/>
        <color rgb="FFFF0000"/>
        <rFont val="Calibri"/>
        <family val="2"/>
        <scheme val="minor"/>
      </rPr>
      <t>(em andamento)</t>
    </r>
  </si>
  <si>
    <r>
      <t>OI S.A. – EM RECUPERAÇÃO JUDICIAL/BRASIL TELECOM CALL CENTER S.A/SEREDE – SERVIÇOS DE REDE S.A/ CLIENT CO SERVIÇOS DE REDE NORTE S.A</t>
    </r>
    <r>
      <rPr>
        <sz val="10"/>
        <color rgb="FFFF0000"/>
        <rFont val="Calibri"/>
        <family val="2"/>
        <scheme val="minor"/>
      </rPr>
      <t xml:space="preserve"> (em andamento RFP TAHTO)</t>
    </r>
  </si>
  <si>
    <r>
      <t xml:space="preserve">AVIPAM TURISMO E TECNOLOGIA LTDA </t>
    </r>
    <r>
      <rPr>
        <sz val="10"/>
        <color rgb="FFFF0000"/>
        <rFont val="Calibri"/>
        <family val="2"/>
        <scheme val="minor"/>
      </rPr>
      <t xml:space="preserve"> (em andamento RFP TAHTO)</t>
    </r>
  </si>
  <si>
    <r>
      <t xml:space="preserve">SULAMERICA-170647 </t>
    </r>
    <r>
      <rPr>
        <sz val="10"/>
        <color rgb="FFFF0000"/>
        <rFont val="Calibri"/>
        <family val="2"/>
        <scheme val="minor"/>
      </rPr>
      <t xml:space="preserve"> (em andamento)</t>
    </r>
  </si>
  <si>
    <r>
      <t xml:space="preserve">METLIFE (METROPOLITAN LIFE SEGUROS E PR) </t>
    </r>
    <r>
      <rPr>
        <sz val="10"/>
        <color rgb="FFFF0000"/>
        <rFont val="Calibri"/>
        <family val="2"/>
        <scheme val="minor"/>
      </rPr>
      <t>(em andamento)</t>
    </r>
  </si>
  <si>
    <r>
      <t>MOVIDA PARTICIPACOES AS  (</t>
    </r>
    <r>
      <rPr>
        <sz val="10"/>
        <color rgb="FFFF0000"/>
        <rFont val="Calibri"/>
        <family val="2"/>
        <scheme val="minor"/>
      </rPr>
      <t>em andamento)</t>
    </r>
  </si>
  <si>
    <t>SUL AMERICA ODONTO - 104143 (vencido)</t>
  </si>
  <si>
    <t>CLIENT CO SERVIÇOS DE REDE NORTE S.A./OI S.A. - EM RECUPERAÇÃO JUDICIAL</t>
  </si>
  <si>
    <r>
      <t xml:space="preserve">LUZ PUBLICIDADE LTDA </t>
    </r>
    <r>
      <rPr>
        <sz val="10"/>
        <color rgb="FFFF0000"/>
        <rFont val="Calibri"/>
        <family val="2"/>
        <scheme val="minor"/>
      </rPr>
      <t>(questionar OI) + (fazer contrat osó TAHTO)</t>
    </r>
  </si>
  <si>
    <r>
      <t xml:space="preserve">TPV INOVA SOLUCOES EM INFORMATICA S  </t>
    </r>
    <r>
      <rPr>
        <sz val="10"/>
        <color rgb="FFFF0000"/>
        <rFont val="Calibri"/>
        <family val="2"/>
        <scheme val="minor"/>
      </rPr>
      <t>(em andamento)</t>
    </r>
  </si>
  <si>
    <t>ACORP DO BRASIL IMPORTAÇÃO E EXPORT  (Waldemar)</t>
  </si>
  <si>
    <r>
      <t xml:space="preserve">UNIMED NACIONAL - COOPERATIVA CENTRAL </t>
    </r>
    <r>
      <rPr>
        <sz val="10"/>
        <color rgb="FFFF0000"/>
        <rFont val="Calibri"/>
        <family val="2"/>
        <scheme val="minor"/>
      </rPr>
      <t>(questionar RH)</t>
    </r>
  </si>
  <si>
    <t>OLIMPIA SERVICOS E PARTICIPACO</t>
  </si>
  <si>
    <t>Prestação de Serviço gestão operacional e movimentação dos recursos - CONTA CORRENTE NÃO CADASTRADA</t>
  </si>
  <si>
    <t>veiculação de publicidade legal para divulgação de resultado financeiros</t>
  </si>
  <si>
    <t>4600058774/4600059502/4600057804</t>
  </si>
  <si>
    <t>LPU de Consumo - Fortinet e Cisco</t>
  </si>
  <si>
    <t>31.12.2026</t>
  </si>
  <si>
    <t>OI S.A. – EM RECUPERAÇÃO JUDICIAL, Oi Soluções, BRASIL TELECOM CALL CENTER S.A.,</t>
  </si>
  <si>
    <t>FILIPE</t>
  </si>
  <si>
    <t>RODRIGO FURUKAWA</t>
  </si>
  <si>
    <r>
      <t>PRAENDEX BRASIL SISTEMAS</t>
    </r>
    <r>
      <rPr>
        <sz val="10"/>
        <color rgb="FFFF0000"/>
        <rFont val="Calibri"/>
        <family val="2"/>
        <scheme val="minor"/>
      </rPr>
      <t xml:space="preserve"> ( em andamento)</t>
    </r>
  </si>
  <si>
    <r>
      <t>VILLA AROMA INDUSTRIA E COMERCIO LT</t>
    </r>
    <r>
      <rPr>
        <sz val="10"/>
        <color rgb="FFFF0000"/>
        <rFont val="Calibri"/>
        <family val="2"/>
        <scheme val="minor"/>
      </rPr>
      <t>( em andamento)</t>
    </r>
  </si>
  <si>
    <r>
      <t xml:space="preserve">VANVALU TECNOLOGIA LTDA </t>
    </r>
    <r>
      <rPr>
        <sz val="10"/>
        <color rgb="FFFF0000"/>
        <rFont val="Calibri"/>
        <family val="2"/>
        <scheme val="minor"/>
      </rPr>
      <t>- DE ACORDO COM ti SERÁ RENOVADO - WALDEMAR ( 09/01)</t>
    </r>
  </si>
  <si>
    <t xml:space="preserve">WAPS SOLUTIONS EIRELLI </t>
  </si>
  <si>
    <r>
      <t>PRAENDEX BRASIL SISTEMAS DE APOIO GERENCIAL LTDA (e</t>
    </r>
    <r>
      <rPr>
        <sz val="10"/>
        <color rgb="FFFF0000"/>
        <rFont val="Calibri"/>
        <family val="2"/>
        <scheme val="minor"/>
      </rPr>
      <t>m andamento)</t>
    </r>
  </si>
  <si>
    <t>AUDITORIA EXTERNA 22, 23 E 24  (Deixa do jeito que está)</t>
  </si>
  <si>
    <r>
      <t xml:space="preserve">ICTS GLOBAL DO BRASIL LTDA </t>
    </r>
    <r>
      <rPr>
        <sz val="10"/>
        <color rgb="FFFF0000"/>
        <rFont val="Calibri"/>
        <family val="2"/>
        <scheme val="minor"/>
      </rPr>
      <t>(RFP-Em andamento)</t>
    </r>
  </si>
  <si>
    <t>LPU de Consumo - Fortinet e Cisco (LICENCIAMENTO WATSON)</t>
  </si>
  <si>
    <t>ADISTEC BRASIL INFORMÁTICA LTDA (ver detalhe- entender como separar)</t>
  </si>
  <si>
    <t>SERASA AS  (sub.por solutti)</t>
  </si>
  <si>
    <t>EMPRESA BRASILEIRA DE CORREIOS E TE  (BCLOG)</t>
  </si>
  <si>
    <r>
      <t xml:space="preserve">BRASIL TELECOM, (i) CLIENT CO SERVIÇOS DE REDE NORTE S.A </t>
    </r>
    <r>
      <rPr>
        <sz val="10"/>
        <color rgb="FFFF0000"/>
        <rFont val="Calibri"/>
        <family val="2"/>
        <scheme val="minor"/>
      </rPr>
      <t>(OI SERVICE)</t>
    </r>
  </si>
  <si>
    <t>4600057025/ 4600060067</t>
  </si>
  <si>
    <t>SEGREGAÇÃO DOS CONTRATOS</t>
  </si>
  <si>
    <t>QTDE TOTAL</t>
  </si>
  <si>
    <t>EM ANDAMENTO</t>
  </si>
  <si>
    <t>Gestão TAHTO com Oi no preâmbulo</t>
  </si>
  <si>
    <t>Qd de Contratos TOTAL</t>
  </si>
  <si>
    <t>Gestão OI com TAHTO no preâmbulo</t>
  </si>
  <si>
    <t>*2</t>
  </si>
  <si>
    <t>*8</t>
  </si>
  <si>
    <t>ANÁLISE JUR.  Webdox</t>
  </si>
  <si>
    <t>DESMOBILIZADO</t>
  </si>
  <si>
    <t>Cidade</t>
  </si>
  <si>
    <t>TIPO DE  CONTRATO</t>
  </si>
  <si>
    <t>Aracaju (SE)</t>
  </si>
  <si>
    <t>COMODATO</t>
  </si>
  <si>
    <t>Belém (PA)</t>
  </si>
  <si>
    <t>Belo Horizonte (MG)</t>
  </si>
  <si>
    <t xml:space="preserve">COMODATO  </t>
  </si>
  <si>
    <t>Porto Alegre (RS)</t>
  </si>
  <si>
    <t xml:space="preserve">Salvador (BA) </t>
  </si>
  <si>
    <t>São Luís (MA)</t>
  </si>
  <si>
    <t>Brasília (DF)</t>
  </si>
  <si>
    <t xml:space="preserve">COMODATO </t>
  </si>
  <si>
    <t>Curitiba (PR)</t>
  </si>
  <si>
    <t>INTER MIDIA COMUNICAÇÃO VISUAL</t>
  </si>
  <si>
    <t>Serviços de ACM para obra de revitalização do bloco 10 de Goiânia</t>
  </si>
  <si>
    <t>AGMAR MARCEL DE VITO ALMEIDA</t>
  </si>
  <si>
    <t>Serviços de Marcenaria para obra de revitalização do bloco 10 de Goiânia</t>
  </si>
  <si>
    <t>Serviços de Obra Civil para projeto de revitalização do bloco 10 de Goiânia</t>
  </si>
  <si>
    <t>SANTOS LIMA CONSCTRUCTION</t>
  </si>
  <si>
    <t>SARAIVA SOCIEDADE INDIVIDUAL DE ADV</t>
  </si>
  <si>
    <t>ESCRITÓRIO DE CONTADOR JUDICIAL</t>
  </si>
  <si>
    <t>DOCUSIGN BRASIL SOLUCOES EM TECNOLO</t>
  </si>
  <si>
    <t>CRITICO</t>
  </si>
  <si>
    <t>CLIENT CO SERVICOS DE REDE NORTE S.A.</t>
  </si>
  <si>
    <t>CCOX</t>
  </si>
  <si>
    <t>PLATAFORMA DE ASSINATURA ELETRONICA</t>
  </si>
  <si>
    <t>[21] 98643 1300</t>
  </si>
  <si>
    <t>Marcia Nascimento das Neves
marcia.neves@oi.net.br</t>
  </si>
  <si>
    <t>INCLUIMOS EM 15/01 - DOCUSIGNE.</t>
  </si>
  <si>
    <t>SND</t>
  </si>
  <si>
    <t>BENUP</t>
  </si>
  <si>
    <t>INCLUIMOS EM 16/01 - BENUP E SND</t>
  </si>
  <si>
    <t>não temos pgto</t>
  </si>
  <si>
    <t xml:space="preserve">PLATAFORMA DE CONSOLIDAÇÃO DE BENEFICIOS </t>
  </si>
  <si>
    <t>FORNECIMENTO DE NOETEBOOKS</t>
  </si>
  <si>
    <t>Jefferson</t>
  </si>
  <si>
    <t>21 99762-1476</t>
  </si>
  <si>
    <t>Atualizado em 16/01/2026</t>
  </si>
  <si>
    <t>KPMG</t>
  </si>
  <si>
    <r>
      <t>TD SYNNEX BRASIL LTDA (</t>
    </r>
    <r>
      <rPr>
        <sz val="10"/>
        <color rgb="FFFF0000"/>
        <rFont val="Calibri"/>
        <family val="2"/>
        <scheme val="minor"/>
      </rPr>
      <t>Pensar em como sair)</t>
    </r>
  </si>
  <si>
    <t>A TRABALHAR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</si>
</sst>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0"/>
      <name val="Arial"/>
      <family val="2"/>
    </font>
    <font>
      <sz val="1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indexed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</font>
    <font>
      <u/>
      <sz val="10"/>
      <color theme="10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Calibri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rgb="FFAEABAB"/>
      </left>
      <right style="dotted">
        <color rgb="FFAEABAB"/>
      </right>
      <top style="dotted">
        <color rgb="FFAEABAB"/>
      </top>
      <bottom style="dotted">
        <color rgb="FFAEABAB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/>
      <right style="dotted">
        <color theme="0"/>
      </right>
      <top/>
      <bottom/>
      <diagonal/>
    </border>
    <border>
      <left/>
      <right/>
      <top/>
      <bottom style="dotted">
        <color theme="0"/>
      </bottom>
      <diagonal/>
    </border>
    <border>
      <left/>
      <right style="dotted">
        <color theme="0"/>
      </right>
      <top/>
      <bottom style="dotted">
        <color theme="0"/>
      </bottom>
      <diagonal/>
    </border>
    <border>
      <left/>
      <right style="dotted">
        <color theme="0"/>
      </right>
      <top style="dotted">
        <color theme="0"/>
      </top>
      <bottom style="dotted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/>
      </bottom>
      <diagonal/>
    </border>
    <border>
      <left style="thin">
        <color indexed="64"/>
      </left>
      <right style="thin">
        <color indexed="64"/>
      </right>
      <top style="dotted">
        <color theme="0"/>
      </top>
      <bottom style="dotted">
        <color theme="0"/>
      </bottom>
      <diagonal/>
    </border>
    <border>
      <left style="thin">
        <color indexed="64"/>
      </left>
      <right style="thin">
        <color indexed="64"/>
      </right>
      <top style="dotted">
        <color theme="0"/>
      </top>
      <bottom style="thin">
        <color indexed="64"/>
      </bottom>
      <diagonal/>
    </border>
    <border>
      <left style="dotted">
        <color theme="0"/>
      </left>
      <right style="dotted">
        <color theme="0"/>
      </right>
      <top/>
      <bottom style="dotted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thin">
        <color theme="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theme="0"/>
      </right>
      <top style="dotted">
        <color theme="0"/>
      </top>
      <bottom style="thin">
        <color theme="0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2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" fillId="7" borderId="0" applyNumberFormat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4">
    <xf numFmtId="0" fontId="0" fillId="0" borderId="0" xfId="0"/>
    <xf numFmtId="0" fontId="7" fillId="4" borderId="0" xfId="0" applyFont="1" applyFill="1"/>
    <xf numFmtId="0" fontId="7" fillId="4" borderId="0" xfId="3" applyFont="1" applyFill="1" applyAlignment="1">
      <alignment horizontal="center" vertical="top"/>
    </xf>
    <xf numFmtId="14" fontId="7" fillId="4" borderId="0" xfId="0" applyNumberFormat="1" applyFont="1" applyFill="1" applyAlignment="1">
      <alignment horizontal="center"/>
    </xf>
    <xf numFmtId="0" fontId="7" fillId="4" borderId="1" xfId="3" applyFont="1" applyFill="1" applyBorder="1" applyAlignment="1">
      <alignment horizontal="center" vertical="center"/>
    </xf>
    <xf numFmtId="0" fontId="7" fillId="4" borderId="1" xfId="3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 vertical="center" wrapText="1"/>
    </xf>
    <xf numFmtId="1" fontId="3" fillId="2" borderId="1" xfId="3" applyNumberFormat="1" applyFont="1" applyFill="1" applyBorder="1" applyAlignment="1">
      <alignment horizontal="center" vertical="center" wrapText="1"/>
    </xf>
    <xf numFmtId="0" fontId="3" fillId="3" borderId="1" xfId="3" applyFont="1" applyFill="1" applyBorder="1" applyAlignment="1">
      <alignment horizontal="center" vertical="center" wrapText="1"/>
    </xf>
    <xf numFmtId="44" fontId="3" fillId="3" borderId="1" xfId="4" applyFont="1" applyFill="1" applyBorder="1" applyAlignment="1">
      <alignment horizontal="left" vertical="center" wrapText="1"/>
    </xf>
    <xf numFmtId="0" fontId="3" fillId="5" borderId="1" xfId="3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4" borderId="0" xfId="3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4" fillId="4" borderId="0" xfId="3" applyFont="1" applyFill="1" applyAlignment="1">
      <alignment horizontal="left" vertical="center"/>
    </xf>
    <xf numFmtId="0" fontId="4" fillId="4" borderId="0" xfId="3" applyFont="1" applyFill="1" applyAlignment="1">
      <alignment horizontal="center" vertical="top"/>
    </xf>
    <xf numFmtId="0" fontId="7" fillId="4" borderId="0" xfId="0" applyFont="1" applyFill="1" applyAlignment="1">
      <alignment horizontal="left" vertical="center" readingOrder="1"/>
    </xf>
    <xf numFmtId="44" fontId="7" fillId="4" borderId="0" xfId="1" applyFont="1" applyFill="1" applyAlignment="1">
      <alignment horizontal="left"/>
    </xf>
    <xf numFmtId="14" fontId="7" fillId="4" borderId="0" xfId="3" applyNumberFormat="1" applyFont="1" applyFill="1" applyAlignment="1">
      <alignment horizontal="center" vertical="center"/>
    </xf>
    <xf numFmtId="44" fontId="4" fillId="4" borderId="0" xfId="3" applyNumberFormat="1" applyFont="1" applyFill="1" applyAlignment="1">
      <alignment vertical="top"/>
    </xf>
    <xf numFmtId="0" fontId="8" fillId="4" borderId="0" xfId="0" applyFont="1" applyFill="1"/>
    <xf numFmtId="44" fontId="4" fillId="4" borderId="0" xfId="3" applyNumberFormat="1" applyFont="1" applyFill="1" applyAlignment="1">
      <alignment horizontal="center" vertical="top"/>
    </xf>
    <xf numFmtId="9" fontId="4" fillId="4" borderId="0" xfId="2" applyFont="1" applyFill="1" applyBorder="1" applyAlignment="1">
      <alignment horizontal="left" vertical="top"/>
    </xf>
    <xf numFmtId="0" fontId="0" fillId="4" borderId="0" xfId="0" applyFill="1"/>
    <xf numFmtId="0" fontId="9" fillId="6" borderId="1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1" fillId="4" borderId="1" xfId="3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/>
    </xf>
    <xf numFmtId="0" fontId="12" fillId="4" borderId="0" xfId="0" applyFont="1" applyFill="1" applyAlignment="1">
      <alignment horizontal="right" vertical="center"/>
    </xf>
    <xf numFmtId="0" fontId="12" fillId="4" borderId="0" xfId="0" applyFont="1" applyFill="1" applyAlignment="1">
      <alignment horizontal="right"/>
    </xf>
    <xf numFmtId="0" fontId="0" fillId="0" borderId="8" xfId="0" applyBorder="1" applyAlignment="1">
      <alignment horizontal="right"/>
    </xf>
    <xf numFmtId="14" fontId="0" fillId="0" borderId="9" xfId="0" applyNumberFormat="1" applyBorder="1"/>
    <xf numFmtId="0" fontId="0" fillId="0" borderId="10" xfId="0" applyBorder="1" applyAlignment="1">
      <alignment horizontal="right"/>
    </xf>
    <xf numFmtId="0" fontId="13" fillId="4" borderId="1" xfId="0" applyFont="1" applyFill="1" applyBorder="1" applyAlignment="1">
      <alignment vertical="center"/>
    </xf>
    <xf numFmtId="0" fontId="13" fillId="4" borderId="1" xfId="0" applyFont="1" applyFill="1" applyBorder="1"/>
    <xf numFmtId="20" fontId="0" fillId="0" borderId="1" xfId="0" applyNumberFormat="1" applyBorder="1" applyAlignment="1">
      <alignment horizontal="left"/>
    </xf>
    <xf numFmtId="0" fontId="13" fillId="4" borderId="1" xfId="0" applyFont="1" applyFill="1" applyBorder="1" applyAlignment="1"/>
    <xf numFmtId="1" fontId="0" fillId="0" borderId="1" xfId="0" applyNumberFormat="1" applyBorder="1" applyAlignment="1">
      <alignment horizontal="center" vertical="center"/>
    </xf>
    <xf numFmtId="0" fontId="13" fillId="8" borderId="1" xfId="9" applyFont="1" applyFill="1" applyBorder="1" applyAlignment="1">
      <alignment horizontal="left"/>
    </xf>
    <xf numFmtId="0" fontId="13" fillId="8" borderId="1" xfId="9" applyFont="1" applyFill="1" applyBorder="1" applyAlignment="1">
      <alignment horizontal="center"/>
    </xf>
    <xf numFmtId="0" fontId="13" fillId="8" borderId="1" xfId="9" applyFont="1" applyFill="1" applyBorder="1" applyAlignment="1">
      <alignment horizontal="center" vertical="center"/>
    </xf>
    <xf numFmtId="0" fontId="13" fillId="8" borderId="1" xfId="9" applyFont="1" applyFill="1" applyBorder="1" applyAlignment="1">
      <alignment horizontal="left" vertical="center" wrapText="1"/>
    </xf>
    <xf numFmtId="44" fontId="13" fillId="8" borderId="1" xfId="9" applyNumberFormat="1" applyFont="1" applyFill="1" applyBorder="1" applyAlignment="1"/>
    <xf numFmtId="14" fontId="13" fillId="8" borderId="1" xfId="9" applyNumberFormat="1" applyFont="1" applyFill="1" applyBorder="1" applyAlignment="1">
      <alignment horizontal="center"/>
    </xf>
    <xf numFmtId="1" fontId="13" fillId="8" borderId="1" xfId="9" applyNumberFormat="1" applyFont="1" applyFill="1" applyBorder="1" applyAlignment="1">
      <alignment horizontal="center"/>
    </xf>
    <xf numFmtId="44" fontId="13" fillId="8" borderId="1" xfId="9" applyNumberFormat="1" applyFont="1" applyFill="1" applyBorder="1" applyAlignment="1">
      <alignment horizontal="center"/>
    </xf>
    <xf numFmtId="0" fontId="13" fillId="8" borderId="1" xfId="9" applyFont="1" applyFill="1" applyBorder="1" applyAlignment="1">
      <alignment vertical="center"/>
    </xf>
    <xf numFmtId="0" fontId="13" fillId="8" borderId="1" xfId="9" applyNumberFormat="1" applyFont="1" applyFill="1" applyBorder="1" applyAlignment="1">
      <alignment vertical="center"/>
    </xf>
    <xf numFmtId="0" fontId="13" fillId="8" borderId="1" xfId="9" applyFont="1" applyFill="1" applyBorder="1" applyAlignment="1">
      <alignment horizontal="left" vertical="center"/>
    </xf>
    <xf numFmtId="14" fontId="13" fillId="8" borderId="1" xfId="9" applyNumberFormat="1" applyFont="1" applyFill="1" applyBorder="1" applyAlignment="1">
      <alignment horizontal="center" vertical="center"/>
    </xf>
    <xf numFmtId="1" fontId="13" fillId="8" borderId="1" xfId="9" applyNumberFormat="1" applyFont="1" applyFill="1" applyBorder="1" applyAlignment="1">
      <alignment horizontal="center" vertical="center"/>
    </xf>
    <xf numFmtId="44" fontId="13" fillId="8" borderId="1" xfId="9" applyNumberFormat="1" applyFont="1" applyFill="1" applyBorder="1" applyAlignment="1">
      <alignment horizontal="center" vertical="center"/>
    </xf>
    <xf numFmtId="0" fontId="16" fillId="8" borderId="1" xfId="9" applyFont="1" applyFill="1" applyBorder="1" applyAlignment="1">
      <alignment horizontal="center" vertical="center"/>
    </xf>
    <xf numFmtId="14" fontId="13" fillId="8" borderId="1" xfId="9" applyNumberFormat="1" applyFont="1" applyFill="1" applyBorder="1" applyAlignment="1">
      <alignment horizontal="left" vertical="center"/>
    </xf>
    <xf numFmtId="0" fontId="16" fillId="8" borderId="1" xfId="9" applyFont="1" applyFill="1" applyBorder="1" applyAlignment="1">
      <alignment horizontal="center"/>
    </xf>
    <xf numFmtId="0" fontId="13" fillId="8" borderId="2" xfId="9" applyFont="1" applyFill="1" applyBorder="1" applyAlignment="1">
      <alignment horizontal="center" vertical="center" wrapText="1"/>
    </xf>
    <xf numFmtId="14" fontId="13" fillId="8" borderId="1" xfId="9" applyNumberFormat="1" applyFont="1" applyFill="1" applyBorder="1" applyAlignment="1">
      <alignment horizontal="center" vertical="top"/>
    </xf>
    <xf numFmtId="0" fontId="13" fillId="8" borderId="1" xfId="9" applyFont="1" applyFill="1" applyBorder="1" applyAlignment="1">
      <alignment horizontal="left" vertical="top"/>
    </xf>
    <xf numFmtId="0" fontId="13" fillId="8" borderId="1" xfId="9" applyFont="1" applyFill="1" applyBorder="1" applyAlignment="1">
      <alignment horizontal="center" vertical="top"/>
    </xf>
    <xf numFmtId="1" fontId="13" fillId="8" borderId="1" xfId="9" applyNumberFormat="1" applyFont="1" applyFill="1" applyBorder="1" applyAlignment="1">
      <alignment horizontal="center" vertical="top"/>
    </xf>
    <xf numFmtId="44" fontId="13" fillId="8" borderId="1" xfId="9" applyNumberFormat="1" applyFont="1" applyFill="1" applyBorder="1" applyAlignment="1">
      <alignment horizontal="center" vertical="top"/>
    </xf>
    <xf numFmtId="9" fontId="13" fillId="8" borderId="1" xfId="9" applyNumberFormat="1" applyFont="1" applyFill="1" applyBorder="1" applyAlignment="1">
      <alignment horizontal="left" vertical="center"/>
    </xf>
    <xf numFmtId="0" fontId="13" fillId="8" borderId="1" xfId="9" applyFont="1" applyFill="1" applyBorder="1"/>
    <xf numFmtId="0" fontId="17" fillId="9" borderId="12" xfId="0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left" vertical="center"/>
    </xf>
    <xf numFmtId="0" fontId="18" fillId="8" borderId="12" xfId="0" applyFont="1" applyFill="1" applyBorder="1" applyAlignment="1">
      <alignment horizontal="left"/>
    </xf>
    <xf numFmtId="0" fontId="15" fillId="8" borderId="12" xfId="0" applyFont="1" applyFill="1" applyBorder="1" applyAlignment="1">
      <alignment horizontal="center"/>
    </xf>
    <xf numFmtId="0" fontId="13" fillId="8" borderId="12" xfId="0" applyFont="1" applyFill="1" applyBorder="1" applyAlignment="1">
      <alignment horizontal="left" vertical="center"/>
    </xf>
    <xf numFmtId="0" fontId="13" fillId="8" borderId="12" xfId="0" applyFont="1" applyFill="1" applyBorder="1" applyAlignment="1"/>
    <xf numFmtId="14" fontId="13" fillId="8" borderId="12" xfId="0" applyNumberFormat="1" applyFont="1" applyFill="1" applyBorder="1" applyAlignment="1">
      <alignment horizontal="left"/>
    </xf>
    <xf numFmtId="4" fontId="13" fillId="8" borderId="12" xfId="0" applyNumberFormat="1" applyFont="1" applyFill="1" applyBorder="1" applyAlignment="1">
      <alignment horizontal="left"/>
    </xf>
    <xf numFmtId="0" fontId="13" fillId="8" borderId="12" xfId="0" applyFont="1" applyFill="1" applyBorder="1" applyAlignment="1">
      <alignment horizontal="left"/>
    </xf>
    <xf numFmtId="0" fontId="13" fillId="8" borderId="12" xfId="0" applyFont="1" applyFill="1" applyBorder="1" applyAlignment="1">
      <alignment horizontal="center"/>
    </xf>
    <xf numFmtId="0" fontId="13" fillId="0" borderId="0" xfId="0" applyFont="1"/>
    <xf numFmtId="0" fontId="13" fillId="8" borderId="12" xfId="3" applyFont="1" applyFill="1" applyBorder="1" applyAlignment="1">
      <alignment vertical="center" wrapText="1"/>
    </xf>
    <xf numFmtId="0" fontId="13" fillId="8" borderId="12" xfId="0" applyFont="1" applyFill="1" applyBorder="1" applyAlignment="1">
      <alignment vertical="center"/>
    </xf>
    <xf numFmtId="14" fontId="13" fillId="8" borderId="12" xfId="0" applyNumberFormat="1" applyFont="1" applyFill="1" applyBorder="1" applyAlignment="1">
      <alignment horizontal="left" vertical="center"/>
    </xf>
    <xf numFmtId="4" fontId="13" fillId="8" borderId="12" xfId="0" applyNumberFormat="1" applyFont="1" applyFill="1" applyBorder="1" applyAlignment="1">
      <alignment horizontal="left" vertical="center"/>
    </xf>
    <xf numFmtId="0" fontId="13" fillId="8" borderId="12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left"/>
    </xf>
    <xf numFmtId="0" fontId="14" fillId="8" borderId="12" xfId="3" applyFont="1" applyFill="1" applyBorder="1" applyAlignment="1">
      <alignment vertical="center" wrapText="1"/>
    </xf>
    <xf numFmtId="0" fontId="14" fillId="8" borderId="12" xfId="0" applyFont="1" applyFill="1" applyBorder="1" applyAlignment="1">
      <alignment vertical="center"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8" borderId="12" xfId="0" applyFont="1" applyFill="1" applyBorder="1" applyAlignment="1">
      <alignment horizontal="left" vertical="center"/>
    </xf>
    <xf numFmtId="44" fontId="13" fillId="8" borderId="12" xfId="1" applyFont="1" applyFill="1" applyBorder="1" applyAlignment="1">
      <alignment horizontal="left" vertical="center"/>
    </xf>
    <xf numFmtId="0" fontId="19" fillId="8" borderId="12" xfId="0" applyFont="1" applyFill="1" applyBorder="1" applyAlignment="1">
      <alignment horizontal="center" vertical="center"/>
    </xf>
    <xf numFmtId="0" fontId="14" fillId="8" borderId="12" xfId="0" applyNumberFormat="1" applyFont="1" applyFill="1" applyBorder="1" applyAlignment="1">
      <alignment horizontal="left" vertical="center"/>
    </xf>
    <xf numFmtId="0" fontId="20" fillId="8" borderId="12" xfId="0" applyFont="1" applyFill="1" applyBorder="1" applyAlignment="1">
      <alignment horizontal="center" vertical="center"/>
    </xf>
    <xf numFmtId="0" fontId="21" fillId="10" borderId="13" xfId="0" applyFont="1" applyFill="1" applyBorder="1" applyAlignment="1">
      <alignment horizontal="center" vertical="center" wrapText="1"/>
    </xf>
    <xf numFmtId="0" fontId="13" fillId="8" borderId="12" xfId="3" applyFont="1" applyFill="1" applyBorder="1" applyAlignment="1">
      <alignment horizontal="left" vertical="center" wrapText="1"/>
    </xf>
    <xf numFmtId="0" fontId="13" fillId="8" borderId="12" xfId="3" applyFont="1" applyFill="1" applyBorder="1" applyAlignment="1">
      <alignment horizontal="left" vertical="center"/>
    </xf>
    <xf numFmtId="0" fontId="14" fillId="8" borderId="12" xfId="3" applyFont="1" applyFill="1" applyBorder="1" applyAlignment="1">
      <alignment horizontal="left" vertical="center" wrapText="1"/>
    </xf>
    <xf numFmtId="0" fontId="14" fillId="8" borderId="12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/>
    </xf>
    <xf numFmtId="0" fontId="16" fillId="8" borderId="12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vertical="center"/>
    </xf>
    <xf numFmtId="0" fontId="14" fillId="11" borderId="1" xfId="0" applyFont="1" applyFill="1" applyBorder="1" applyAlignment="1">
      <alignment vertical="center"/>
    </xf>
    <xf numFmtId="0" fontId="13" fillId="11" borderId="1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3" fillId="4" borderId="7" xfId="0" applyFont="1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3" fillId="2" borderId="3" xfId="3" applyFont="1" applyFill="1" applyBorder="1" applyAlignment="1">
      <alignment horizontal="center" vertical="center" wrapText="1"/>
    </xf>
    <xf numFmtId="0" fontId="3" fillId="3" borderId="3" xfId="3" applyFont="1" applyFill="1" applyBorder="1" applyAlignment="1">
      <alignment horizontal="center" vertical="center" wrapText="1"/>
    </xf>
    <xf numFmtId="44" fontId="3" fillId="3" borderId="3" xfId="4" applyFont="1" applyFill="1" applyBorder="1" applyAlignment="1">
      <alignment horizontal="left" vertical="center" wrapText="1"/>
    </xf>
    <xf numFmtId="0" fontId="3" fillId="5" borderId="3" xfId="3" applyFont="1" applyFill="1" applyBorder="1" applyAlignment="1">
      <alignment horizontal="center" vertical="center" wrapText="1"/>
    </xf>
    <xf numFmtId="0" fontId="9" fillId="6" borderId="3" xfId="3" applyFont="1" applyFill="1" applyBorder="1" applyAlignment="1">
      <alignment horizontal="center" vertical="center" wrapText="1"/>
    </xf>
    <xf numFmtId="0" fontId="7" fillId="4" borderId="16" xfId="3" applyFont="1" applyFill="1" applyBorder="1" applyAlignment="1">
      <alignment horizontal="left" vertical="center"/>
    </xf>
    <xf numFmtId="0" fontId="7" fillId="4" borderId="16" xfId="3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vertical="center"/>
    </xf>
    <xf numFmtId="0" fontId="7" fillId="4" borderId="16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left" vertical="center"/>
    </xf>
    <xf numFmtId="0" fontId="7" fillId="4" borderId="16" xfId="3" applyNumberFormat="1" applyFont="1" applyFill="1" applyBorder="1" applyAlignment="1">
      <alignment vertical="center"/>
    </xf>
    <xf numFmtId="0" fontId="7" fillId="4" borderId="16" xfId="0" applyNumberFormat="1" applyFont="1" applyFill="1" applyBorder="1" applyAlignment="1">
      <alignment vertical="center"/>
    </xf>
    <xf numFmtId="0" fontId="4" fillId="4" borderId="16" xfId="3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left" vertical="center" wrapText="1"/>
    </xf>
    <xf numFmtId="14" fontId="7" fillId="4" borderId="16" xfId="0" applyNumberFormat="1" applyFont="1" applyFill="1" applyBorder="1" applyAlignment="1">
      <alignment horizontal="center" vertical="center"/>
    </xf>
    <xf numFmtId="0" fontId="7" fillId="4" borderId="16" xfId="0" applyNumberFormat="1" applyFont="1" applyFill="1" applyBorder="1" applyAlignment="1">
      <alignment horizontal="left" vertical="center"/>
    </xf>
    <xf numFmtId="14" fontId="7" fillId="4" borderId="16" xfId="0" applyNumberFormat="1" applyFont="1" applyFill="1" applyBorder="1" applyAlignment="1">
      <alignment horizontal="left" vertical="center"/>
    </xf>
    <xf numFmtId="0" fontId="26" fillId="4" borderId="16" xfId="0" applyFont="1" applyFill="1" applyBorder="1" applyAlignment="1">
      <alignment horizontal="left" vertical="center"/>
    </xf>
    <xf numFmtId="0" fontId="7" fillId="4" borderId="16" xfId="9" applyFont="1" applyFill="1" applyBorder="1" applyAlignment="1">
      <alignment horizontal="left" vertical="center"/>
    </xf>
    <xf numFmtId="0" fontId="27" fillId="4" borderId="16" xfId="0" applyFont="1" applyFill="1" applyBorder="1" applyAlignment="1">
      <alignment horizontal="left" vertical="center"/>
    </xf>
    <xf numFmtId="0" fontId="7" fillId="4" borderId="16" xfId="9" applyFont="1" applyFill="1" applyBorder="1" applyAlignment="1">
      <alignment horizontal="left" vertical="center" wrapText="1"/>
    </xf>
    <xf numFmtId="0" fontId="7" fillId="4" borderId="16" xfId="9" applyFont="1" applyFill="1" applyBorder="1" applyAlignment="1">
      <alignment vertical="center"/>
    </xf>
    <xf numFmtId="0" fontId="7" fillId="4" borderId="16" xfId="9" applyNumberFormat="1" applyFont="1" applyFill="1" applyBorder="1" applyAlignment="1">
      <alignment vertical="center"/>
    </xf>
    <xf numFmtId="0" fontId="7" fillId="4" borderId="16" xfId="9" applyFont="1" applyFill="1" applyBorder="1" applyAlignment="1">
      <alignment horizontal="center" vertical="center"/>
    </xf>
    <xf numFmtId="14" fontId="7" fillId="4" borderId="16" xfId="9" applyNumberFormat="1" applyFont="1" applyFill="1" applyBorder="1" applyAlignment="1">
      <alignment horizontal="center" vertical="center"/>
    </xf>
    <xf numFmtId="0" fontId="28" fillId="4" borderId="16" xfId="9" applyFont="1" applyFill="1" applyBorder="1" applyAlignment="1">
      <alignment horizontal="center" vertical="center"/>
    </xf>
    <xf numFmtId="44" fontId="7" fillId="4" borderId="16" xfId="9" applyNumberFormat="1" applyFont="1" applyFill="1" applyBorder="1" applyAlignment="1">
      <alignment vertical="center"/>
    </xf>
    <xf numFmtId="9" fontId="7" fillId="4" borderId="16" xfId="9" applyNumberFormat="1" applyFont="1" applyFill="1" applyBorder="1" applyAlignment="1">
      <alignment horizontal="left" vertical="center"/>
    </xf>
    <xf numFmtId="0" fontId="27" fillId="4" borderId="16" xfId="3" applyFont="1" applyFill="1" applyBorder="1" applyAlignment="1">
      <alignment horizontal="left" vertical="center"/>
    </xf>
    <xf numFmtId="44" fontId="7" fillId="4" borderId="16" xfId="1" applyFont="1" applyFill="1" applyBorder="1" applyAlignment="1">
      <alignment vertical="center"/>
    </xf>
    <xf numFmtId="49" fontId="23" fillId="4" borderId="16" xfId="3" applyNumberFormat="1" applyFont="1" applyFill="1" applyBorder="1" applyAlignment="1">
      <alignment vertical="center"/>
    </xf>
    <xf numFmtId="49" fontId="23" fillId="4" borderId="16" xfId="3" applyNumberFormat="1" applyFont="1" applyFill="1" applyBorder="1" applyAlignment="1">
      <alignment horizontal="center" vertical="center"/>
    </xf>
    <xf numFmtId="44" fontId="23" fillId="4" borderId="16" xfId="1" applyFont="1" applyFill="1" applyBorder="1" applyAlignment="1">
      <alignment horizontal="left" vertical="center"/>
    </xf>
    <xf numFmtId="14" fontId="23" fillId="4" borderId="16" xfId="3" applyNumberFormat="1" applyFont="1" applyFill="1" applyBorder="1" applyAlignment="1">
      <alignment horizontal="center" vertical="center"/>
    </xf>
    <xf numFmtId="0" fontId="24" fillId="4" borderId="0" xfId="0" applyFont="1" applyFill="1" applyAlignment="1">
      <alignment vertical="center"/>
    </xf>
    <xf numFmtId="0" fontId="27" fillId="4" borderId="16" xfId="0" applyFont="1" applyFill="1" applyBorder="1" applyAlignment="1">
      <alignment vertical="center"/>
    </xf>
    <xf numFmtId="0" fontId="22" fillId="0" borderId="0" xfId="0" applyFont="1"/>
    <xf numFmtId="44" fontId="27" fillId="4" borderId="16" xfId="1" applyFont="1" applyFill="1" applyBorder="1" applyAlignment="1">
      <alignment vertical="center"/>
    </xf>
    <xf numFmtId="0" fontId="29" fillId="4" borderId="16" xfId="0" applyFont="1" applyFill="1" applyBorder="1" applyAlignment="1">
      <alignment vertical="center"/>
    </xf>
    <xf numFmtId="0" fontId="29" fillId="4" borderId="16" xfId="0" applyFont="1" applyFill="1" applyBorder="1" applyAlignment="1">
      <alignment horizontal="left" vertical="center"/>
    </xf>
    <xf numFmtId="0" fontId="27" fillId="4" borderId="16" xfId="0" applyFont="1" applyFill="1" applyBorder="1" applyAlignment="1">
      <alignment horizontal="center" vertical="center"/>
    </xf>
    <xf numFmtId="0" fontId="7" fillId="13" borderId="16" xfId="9" applyFont="1" applyFill="1" applyBorder="1" applyAlignment="1">
      <alignment horizontal="left" vertical="center"/>
    </xf>
    <xf numFmtId="0" fontId="7" fillId="13" borderId="16" xfId="9" applyFont="1" applyFill="1" applyBorder="1" applyAlignment="1">
      <alignment horizontal="center" vertical="center"/>
    </xf>
    <xf numFmtId="44" fontId="7" fillId="13" borderId="16" xfId="9" applyNumberFormat="1" applyFont="1" applyFill="1" applyBorder="1" applyAlignment="1">
      <alignment vertical="center"/>
    </xf>
    <xf numFmtId="14" fontId="7" fillId="13" borderId="16" xfId="9" applyNumberFormat="1" applyFont="1" applyFill="1" applyBorder="1" applyAlignment="1">
      <alignment horizontal="center" vertical="center"/>
    </xf>
    <xf numFmtId="0" fontId="7" fillId="13" borderId="16" xfId="9" applyFont="1" applyFill="1" applyBorder="1" applyAlignment="1">
      <alignment vertical="center"/>
    </xf>
    <xf numFmtId="14" fontId="7" fillId="13" borderId="16" xfId="9" applyNumberFormat="1" applyFont="1" applyFill="1" applyBorder="1" applyAlignment="1">
      <alignment horizontal="left" vertical="center"/>
    </xf>
    <xf numFmtId="0" fontId="7" fillId="13" borderId="16" xfId="3" applyFont="1" applyFill="1" applyBorder="1" applyAlignment="1">
      <alignment horizontal="left" vertical="center"/>
    </xf>
    <xf numFmtId="0" fontId="4" fillId="13" borderId="16" xfId="3" applyFont="1" applyFill="1" applyBorder="1" applyAlignment="1">
      <alignment horizontal="left" vertical="center"/>
    </xf>
    <xf numFmtId="0" fontId="4" fillId="13" borderId="16" xfId="3" applyFont="1" applyFill="1" applyBorder="1" applyAlignment="1">
      <alignment horizontal="center" vertical="center"/>
    </xf>
    <xf numFmtId="0" fontId="4" fillId="13" borderId="16" xfId="3" applyFont="1" applyFill="1" applyBorder="1" applyAlignment="1">
      <alignment horizontal="left" vertical="center" wrapText="1"/>
    </xf>
    <xf numFmtId="44" fontId="4" fillId="13" borderId="16" xfId="4" applyFont="1" applyFill="1" applyBorder="1" applyAlignment="1">
      <alignment vertical="center"/>
    </xf>
    <xf numFmtId="14" fontId="4" fillId="13" borderId="16" xfId="3" applyNumberFormat="1" applyFont="1" applyFill="1" applyBorder="1" applyAlignment="1">
      <alignment horizontal="center" vertical="center"/>
    </xf>
    <xf numFmtId="0" fontId="4" fillId="13" borderId="16" xfId="0" applyFont="1" applyFill="1" applyBorder="1" applyAlignment="1">
      <alignment vertical="center"/>
    </xf>
    <xf numFmtId="0" fontId="4" fillId="13" borderId="16" xfId="0" applyNumberFormat="1" applyFont="1" applyFill="1" applyBorder="1" applyAlignment="1">
      <alignment vertical="center"/>
    </xf>
    <xf numFmtId="0" fontId="7" fillId="13" borderId="16" xfId="0" applyFont="1" applyFill="1" applyBorder="1" applyAlignment="1">
      <alignment horizontal="left" vertical="center"/>
    </xf>
    <xf numFmtId="0" fontId="4" fillId="13" borderId="16" xfId="0" applyFont="1" applyFill="1" applyBorder="1" applyAlignment="1">
      <alignment horizontal="left" vertical="center"/>
    </xf>
    <xf numFmtId="0" fontId="4" fillId="13" borderId="18" xfId="0" applyFont="1" applyFill="1" applyBorder="1" applyAlignment="1">
      <alignment horizontal="left" vertical="center"/>
    </xf>
    <xf numFmtId="14" fontId="27" fillId="4" borderId="16" xfId="0" applyNumberFormat="1" applyFont="1" applyFill="1" applyBorder="1" applyAlignment="1">
      <alignment horizontal="center" vertical="center"/>
    </xf>
    <xf numFmtId="0" fontId="31" fillId="4" borderId="16" xfId="0" applyFont="1" applyFill="1" applyBorder="1" applyAlignment="1">
      <alignment horizontal="left" vertical="center"/>
    </xf>
    <xf numFmtId="0" fontId="7" fillId="13" borderId="16" xfId="0" applyFont="1" applyFill="1" applyBorder="1" applyAlignment="1">
      <alignment horizontal="center" vertical="center"/>
    </xf>
    <xf numFmtId="44" fontId="7" fillId="13" borderId="16" xfId="1" applyFont="1" applyFill="1" applyBorder="1" applyAlignment="1">
      <alignment vertical="center"/>
    </xf>
    <xf numFmtId="14" fontId="7" fillId="13" borderId="16" xfId="0" applyNumberFormat="1" applyFont="1" applyFill="1" applyBorder="1" applyAlignment="1">
      <alignment horizontal="center" vertical="center"/>
    </xf>
    <xf numFmtId="0" fontId="7" fillId="13" borderId="16" xfId="0" applyFont="1" applyFill="1" applyBorder="1" applyAlignment="1">
      <alignment vertical="center"/>
    </xf>
    <xf numFmtId="0" fontId="4" fillId="13" borderId="16" xfId="3" applyNumberFormat="1" applyFont="1" applyFill="1" applyBorder="1" applyAlignment="1">
      <alignment vertical="center"/>
    </xf>
    <xf numFmtId="14" fontId="29" fillId="4" borderId="16" xfId="0" applyNumberFormat="1" applyFont="1" applyFill="1" applyBorder="1" applyAlignment="1">
      <alignment horizontal="left" vertical="center"/>
    </xf>
    <xf numFmtId="0" fontId="7" fillId="14" borderId="16" xfId="0" applyFont="1" applyFill="1" applyBorder="1" applyAlignment="1">
      <alignment horizontal="center" vertical="center"/>
    </xf>
    <xf numFmtId="0" fontId="29" fillId="4" borderId="16" xfId="9" applyFont="1" applyFill="1" applyBorder="1" applyAlignment="1">
      <alignment horizontal="left" vertical="center"/>
    </xf>
    <xf numFmtId="0" fontId="33" fillId="4" borderId="16" xfId="9" applyFont="1" applyFill="1" applyBorder="1" applyAlignment="1">
      <alignment horizontal="left" vertical="center"/>
    </xf>
    <xf numFmtId="0" fontId="27" fillId="4" borderId="16" xfId="3" applyNumberFormat="1" applyFont="1" applyFill="1" applyBorder="1" applyAlignment="1">
      <alignment horizontal="left" vertical="center"/>
    </xf>
    <xf numFmtId="0" fontId="28" fillId="4" borderId="16" xfId="0" applyFont="1" applyFill="1" applyBorder="1" applyAlignment="1">
      <alignment horizontal="center" vertical="center"/>
    </xf>
    <xf numFmtId="49" fontId="35" fillId="4" borderId="16" xfId="3" applyNumberFormat="1" applyFont="1" applyFill="1" applyBorder="1" applyAlignment="1">
      <alignment horizontal="center" vertical="center"/>
    </xf>
    <xf numFmtId="14" fontId="29" fillId="4" borderId="16" xfId="9" applyNumberFormat="1" applyFont="1" applyFill="1" applyBorder="1" applyAlignment="1">
      <alignment horizontal="left" vertical="center"/>
    </xf>
    <xf numFmtId="0" fontId="7" fillId="11" borderId="16" xfId="0" applyFont="1" applyFill="1" applyBorder="1" applyAlignment="1">
      <alignment horizontal="left" vertical="center"/>
    </xf>
    <xf numFmtId="0" fontId="7" fillId="11" borderId="16" xfId="0" applyFont="1" applyFill="1" applyBorder="1" applyAlignment="1">
      <alignment vertical="center"/>
    </xf>
    <xf numFmtId="0" fontId="7" fillId="11" borderId="16" xfId="3" applyFont="1" applyFill="1" applyBorder="1" applyAlignment="1">
      <alignment horizontal="center" vertical="center"/>
    </xf>
    <xf numFmtId="0" fontId="7" fillId="11" borderId="16" xfId="0" applyFont="1" applyFill="1" applyBorder="1" applyAlignment="1">
      <alignment horizontal="center" vertical="center"/>
    </xf>
    <xf numFmtId="44" fontId="7" fillId="11" borderId="16" xfId="1" applyFont="1" applyFill="1" applyBorder="1" applyAlignment="1">
      <alignment vertical="center"/>
    </xf>
    <xf numFmtId="14" fontId="7" fillId="11" borderId="16" xfId="0" applyNumberFormat="1" applyFont="1" applyFill="1" applyBorder="1" applyAlignment="1">
      <alignment horizontal="center" vertical="center"/>
    </xf>
    <xf numFmtId="0" fontId="7" fillId="11" borderId="16" xfId="9" applyFont="1" applyFill="1" applyBorder="1" applyAlignment="1">
      <alignment horizontal="left" vertical="center"/>
    </xf>
    <xf numFmtId="0" fontId="0" fillId="11" borderId="0" xfId="0" applyFill="1"/>
    <xf numFmtId="0" fontId="7" fillId="11" borderId="16" xfId="9" applyFont="1" applyFill="1" applyBorder="1" applyAlignment="1">
      <alignment horizontal="center" vertical="center"/>
    </xf>
    <xf numFmtId="44" fontId="7" fillId="11" borderId="16" xfId="9" applyNumberFormat="1" applyFont="1" applyFill="1" applyBorder="1" applyAlignment="1">
      <alignment vertical="center"/>
    </xf>
    <xf numFmtId="14" fontId="7" fillId="11" borderId="16" xfId="9" applyNumberFormat="1" applyFont="1" applyFill="1" applyBorder="1" applyAlignment="1">
      <alignment horizontal="center" vertical="center"/>
    </xf>
    <xf numFmtId="0" fontId="7" fillId="11" borderId="16" xfId="9" applyFont="1" applyFill="1" applyBorder="1" applyAlignment="1">
      <alignment vertical="center"/>
    </xf>
    <xf numFmtId="14" fontId="7" fillId="11" borderId="16" xfId="9" applyNumberFormat="1" applyFont="1" applyFill="1" applyBorder="1" applyAlignment="1">
      <alignment horizontal="left" vertical="center"/>
    </xf>
    <xf numFmtId="0" fontId="13" fillId="11" borderId="7" xfId="0" applyFont="1" applyFill="1" applyBorder="1" applyAlignment="1">
      <alignment vertical="center"/>
    </xf>
    <xf numFmtId="0" fontId="0" fillId="11" borderId="1" xfId="0" applyFill="1" applyBorder="1"/>
    <xf numFmtId="0" fontId="7" fillId="11" borderId="16" xfId="3" applyFont="1" applyFill="1" applyBorder="1" applyAlignment="1">
      <alignment horizontal="left" vertical="center"/>
    </xf>
    <xf numFmtId="0" fontId="7" fillId="11" borderId="16" xfId="3" applyFont="1" applyFill="1" applyBorder="1" applyAlignment="1">
      <alignment horizontal="left" vertical="center" wrapText="1"/>
    </xf>
    <xf numFmtId="44" fontId="7" fillId="11" borderId="16" xfId="4" applyFont="1" applyFill="1" applyBorder="1" applyAlignment="1">
      <alignment vertical="center"/>
    </xf>
    <xf numFmtId="14" fontId="7" fillId="11" borderId="16" xfId="3" applyNumberFormat="1" applyFont="1" applyFill="1" applyBorder="1" applyAlignment="1">
      <alignment horizontal="center" vertical="center"/>
    </xf>
    <xf numFmtId="0" fontId="4" fillId="11" borderId="16" xfId="0" applyFont="1" applyFill="1" applyBorder="1" applyAlignment="1">
      <alignment horizontal="left" vertical="center"/>
    </xf>
    <xf numFmtId="0" fontId="14" fillId="11" borderId="7" xfId="0" applyFont="1" applyFill="1" applyBorder="1" applyAlignment="1">
      <alignment vertical="center"/>
    </xf>
    <xf numFmtId="0" fontId="4" fillId="11" borderId="16" xfId="3" applyFont="1" applyFill="1" applyBorder="1" applyAlignment="1">
      <alignment horizontal="left" vertical="center"/>
    </xf>
    <xf numFmtId="0" fontId="4" fillId="11" borderId="16" xfId="3" applyFont="1" applyFill="1" applyBorder="1" applyAlignment="1">
      <alignment horizontal="center" vertical="center"/>
    </xf>
    <xf numFmtId="0" fontId="4" fillId="11" borderId="16" xfId="3" applyFont="1" applyFill="1" applyBorder="1" applyAlignment="1">
      <alignment horizontal="left" vertical="center" wrapText="1"/>
    </xf>
    <xf numFmtId="0" fontId="7" fillId="11" borderId="16" xfId="0" applyNumberFormat="1" applyFont="1" applyFill="1" applyBorder="1" applyAlignment="1">
      <alignment vertical="center"/>
    </xf>
    <xf numFmtId="14" fontId="4" fillId="11" borderId="16" xfId="0" applyNumberFormat="1" applyFont="1" applyFill="1" applyBorder="1" applyAlignment="1">
      <alignment horizontal="left" vertical="center"/>
    </xf>
    <xf numFmtId="0" fontId="7" fillId="11" borderId="16" xfId="8" applyFont="1" applyFill="1" applyBorder="1" applyAlignment="1">
      <alignment horizontal="left" vertical="center"/>
    </xf>
    <xf numFmtId="0" fontId="4" fillId="11" borderId="16" xfId="0" applyFont="1" applyFill="1" applyBorder="1" applyAlignment="1">
      <alignment horizontal="center" vertical="center"/>
    </xf>
    <xf numFmtId="0" fontId="4" fillId="11" borderId="16" xfId="0" applyFont="1" applyFill="1" applyBorder="1" applyAlignment="1">
      <alignment horizontal="left" vertical="center" wrapText="1"/>
    </xf>
    <xf numFmtId="0" fontId="7" fillId="11" borderId="16" xfId="0" applyNumberFormat="1" applyFont="1" applyFill="1" applyBorder="1" applyAlignment="1">
      <alignment horizontal="left" vertical="center"/>
    </xf>
    <xf numFmtId="0" fontId="13" fillId="11" borderId="6" xfId="0" applyFont="1" applyFill="1" applyBorder="1" applyAlignment="1">
      <alignment vertical="center"/>
    </xf>
    <xf numFmtId="0" fontId="27" fillId="11" borderId="16" xfId="0" applyFont="1" applyFill="1" applyBorder="1" applyAlignment="1">
      <alignment horizontal="left" vertical="center"/>
    </xf>
    <xf numFmtId="14" fontId="7" fillId="11" borderId="16" xfId="0" applyNumberFormat="1" applyFont="1" applyFill="1" applyBorder="1" applyAlignment="1">
      <alignment horizontal="left" vertical="center"/>
    </xf>
    <xf numFmtId="4" fontId="7" fillId="11" borderId="16" xfId="0" applyNumberFormat="1" applyFont="1" applyFill="1" applyBorder="1" applyAlignment="1">
      <alignment horizontal="left" vertical="center"/>
    </xf>
    <xf numFmtId="0" fontId="26" fillId="11" borderId="16" xfId="0" applyFont="1" applyFill="1" applyBorder="1" applyAlignment="1">
      <alignment horizontal="left" vertical="center"/>
    </xf>
    <xf numFmtId="0" fontId="13" fillId="11" borderId="7" xfId="0" applyFont="1" applyFill="1" applyBorder="1" applyAlignment="1">
      <alignment horizontal="left" vertical="center"/>
    </xf>
    <xf numFmtId="0" fontId="7" fillId="11" borderId="16" xfId="3" applyFont="1" applyFill="1" applyBorder="1" applyAlignment="1">
      <alignment vertical="center"/>
    </xf>
    <xf numFmtId="0" fontId="7" fillId="11" borderId="16" xfId="9" applyFont="1" applyFill="1" applyBorder="1" applyAlignment="1">
      <alignment horizontal="left" vertical="center" wrapText="1"/>
    </xf>
    <xf numFmtId="0" fontId="7" fillId="11" borderId="16" xfId="9" applyNumberFormat="1" applyFont="1" applyFill="1" applyBorder="1" applyAlignment="1">
      <alignment vertical="center"/>
    </xf>
    <xf numFmtId="0" fontId="7" fillId="11" borderId="16" xfId="3" applyNumberFormat="1" applyFont="1" applyFill="1" applyBorder="1" applyAlignment="1">
      <alignment horizontal="left" vertical="center"/>
    </xf>
    <xf numFmtId="0" fontId="27" fillId="11" borderId="16" xfId="3" applyFont="1" applyFill="1" applyBorder="1" applyAlignment="1">
      <alignment horizontal="left" vertical="center"/>
    </xf>
    <xf numFmtId="49" fontId="23" fillId="11" borderId="16" xfId="3" applyNumberFormat="1" applyFont="1" applyFill="1" applyBorder="1" applyAlignment="1">
      <alignment horizontal="center" vertical="center"/>
    </xf>
    <xf numFmtId="44" fontId="23" fillId="11" borderId="16" xfId="1" applyFont="1" applyFill="1" applyBorder="1" applyAlignment="1">
      <alignment horizontal="left" vertical="center"/>
    </xf>
    <xf numFmtId="44" fontId="23" fillId="11" borderId="16" xfId="1" applyFont="1" applyFill="1" applyBorder="1" applyAlignment="1">
      <alignment horizontal="center" vertical="center"/>
    </xf>
    <xf numFmtId="0" fontId="4" fillId="11" borderId="16" xfId="0" applyNumberFormat="1" applyFont="1" applyFill="1" applyBorder="1" applyAlignment="1">
      <alignment horizontal="left" vertical="center"/>
    </xf>
    <xf numFmtId="0" fontId="3" fillId="15" borderId="3" xfId="3" applyFont="1" applyFill="1" applyBorder="1" applyAlignment="1">
      <alignment horizontal="center" vertical="center" wrapText="1"/>
    </xf>
    <xf numFmtId="44" fontId="3" fillId="15" borderId="3" xfId="4" applyFont="1" applyFill="1" applyBorder="1" applyAlignment="1">
      <alignment horizontal="left" vertical="center" wrapText="1"/>
    </xf>
    <xf numFmtId="0" fontId="9" fillId="12" borderId="3" xfId="3" applyFont="1" applyFill="1" applyBorder="1" applyAlignment="1">
      <alignment horizontal="center" vertical="center" wrapText="1"/>
    </xf>
    <xf numFmtId="0" fontId="30" fillId="4" borderId="0" xfId="0" applyFont="1" applyFill="1"/>
    <xf numFmtId="0" fontId="32" fillId="4" borderId="0" xfId="0" applyFont="1" applyFill="1"/>
    <xf numFmtId="0" fontId="34" fillId="4" borderId="0" xfId="0" applyFont="1" applyFill="1"/>
    <xf numFmtId="49" fontId="23" fillId="11" borderId="16" xfId="3" applyNumberFormat="1" applyFont="1" applyFill="1" applyBorder="1" applyAlignment="1">
      <alignment horizontal="left" vertical="center"/>
    </xf>
    <xf numFmtId="44" fontId="7" fillId="11" borderId="16" xfId="4" applyFont="1" applyFill="1" applyBorder="1" applyAlignment="1">
      <alignment horizontal="left" vertical="center"/>
    </xf>
    <xf numFmtId="14" fontId="7" fillId="11" borderId="16" xfId="3" applyNumberFormat="1" applyFont="1" applyFill="1" applyBorder="1" applyAlignment="1">
      <alignment horizontal="left" vertical="center"/>
    </xf>
    <xf numFmtId="0" fontId="14" fillId="11" borderId="7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44" fontId="4" fillId="11" borderId="16" xfId="4" applyFont="1" applyFill="1" applyBorder="1" applyAlignment="1">
      <alignment horizontal="left" vertical="center"/>
    </xf>
    <xf numFmtId="14" fontId="4" fillId="11" borderId="16" xfId="3" applyNumberFormat="1" applyFont="1" applyFill="1" applyBorder="1" applyAlignment="1">
      <alignment horizontal="left" vertical="center"/>
    </xf>
    <xf numFmtId="44" fontId="4" fillId="11" borderId="16" xfId="1" applyFont="1" applyFill="1" applyBorder="1" applyAlignment="1">
      <alignment horizontal="left" vertical="center"/>
    </xf>
    <xf numFmtId="0" fontId="4" fillId="11" borderId="16" xfId="3" applyNumberFormat="1" applyFont="1" applyFill="1" applyBorder="1" applyAlignment="1">
      <alignment horizontal="left" vertical="center"/>
    </xf>
    <xf numFmtId="44" fontId="7" fillId="11" borderId="16" xfId="1" applyFont="1" applyFill="1" applyBorder="1" applyAlignment="1">
      <alignment horizontal="left" vertical="center"/>
    </xf>
    <xf numFmtId="14" fontId="23" fillId="11" borderId="16" xfId="3" applyNumberFormat="1" applyFont="1" applyFill="1" applyBorder="1" applyAlignment="1">
      <alignment horizontal="left" vertical="center"/>
    </xf>
    <xf numFmtId="44" fontId="7" fillId="11" borderId="16" xfId="9" applyNumberFormat="1" applyFont="1" applyFill="1" applyBorder="1" applyAlignment="1">
      <alignment horizontal="left" vertical="center"/>
    </xf>
    <xf numFmtId="0" fontId="7" fillId="11" borderId="16" xfId="9" applyNumberFormat="1" applyFont="1" applyFill="1" applyBorder="1" applyAlignment="1">
      <alignment horizontal="left" vertical="center"/>
    </xf>
    <xf numFmtId="0" fontId="24" fillId="11" borderId="0" xfId="0" applyFont="1" applyFill="1" applyAlignment="1">
      <alignment horizontal="left" vertical="center"/>
    </xf>
    <xf numFmtId="14" fontId="4" fillId="11" borderId="16" xfId="4" applyNumberFormat="1" applyFont="1" applyFill="1" applyBorder="1" applyAlignment="1">
      <alignment horizontal="left" vertical="center"/>
    </xf>
    <xf numFmtId="0" fontId="7" fillId="11" borderId="16" xfId="3" applyNumberFormat="1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13" fillId="4" borderId="17" xfId="0" applyFont="1" applyFill="1" applyBorder="1" applyAlignment="1">
      <alignment horizontal="left" vertical="center"/>
    </xf>
    <xf numFmtId="0" fontId="13" fillId="4" borderId="15" xfId="0" applyFont="1" applyFill="1" applyBorder="1" applyAlignment="1">
      <alignment horizontal="left" vertical="center"/>
    </xf>
    <xf numFmtId="0" fontId="0" fillId="4" borderId="1" xfId="0" applyFill="1" applyBorder="1"/>
    <xf numFmtId="0" fontId="7" fillId="11" borderId="0" xfId="0" applyFont="1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6" xfId="0" applyFill="1" applyBorder="1" applyAlignment="1">
      <alignment vertical="center"/>
    </xf>
    <xf numFmtId="0" fontId="14" fillId="11" borderId="16" xfId="0" applyFont="1" applyFill="1" applyBorder="1" applyAlignment="1">
      <alignment horizontal="center" vertical="center"/>
    </xf>
    <xf numFmtId="0" fontId="0" fillId="11" borderId="7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7" fillId="4" borderId="7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0" fillId="11" borderId="16" xfId="8" applyFont="1" applyFill="1" applyBorder="1" applyAlignment="1">
      <alignment horizontal="left" vertical="center"/>
    </xf>
    <xf numFmtId="0" fontId="7" fillId="11" borderId="16" xfId="0" applyFont="1" applyFill="1" applyBorder="1"/>
    <xf numFmtId="0" fontId="7" fillId="11" borderId="16" xfId="0" applyFont="1" applyFill="1" applyBorder="1" applyAlignment="1">
      <alignment horizontal="center"/>
    </xf>
    <xf numFmtId="44" fontId="7" fillId="11" borderId="16" xfId="1" applyFont="1" applyFill="1" applyBorder="1"/>
    <xf numFmtId="14" fontId="7" fillId="11" borderId="16" xfId="0" applyNumberFormat="1" applyFont="1" applyFill="1" applyBorder="1" applyAlignment="1">
      <alignment horizontal="center"/>
    </xf>
    <xf numFmtId="0" fontId="7" fillId="11" borderId="16" xfId="0" applyFont="1" applyFill="1" applyBorder="1" applyAlignment="1">
      <alignment horizontal="left"/>
    </xf>
    <xf numFmtId="0" fontId="36" fillId="11" borderId="16" xfId="0" applyFont="1" applyFill="1" applyBorder="1" applyAlignment="1">
      <alignment vertical="center"/>
    </xf>
    <xf numFmtId="14" fontId="4" fillId="11" borderId="16" xfId="3" applyNumberFormat="1" applyFont="1" applyFill="1" applyBorder="1" applyAlignment="1">
      <alignment horizontal="center" vertical="center"/>
    </xf>
    <xf numFmtId="14" fontId="23" fillId="11" borderId="16" xfId="3" applyNumberFormat="1" applyFont="1" applyFill="1" applyBorder="1" applyAlignment="1">
      <alignment horizontal="center" vertical="center"/>
    </xf>
    <xf numFmtId="14" fontId="4" fillId="11" borderId="16" xfId="4" applyNumberFormat="1" applyFont="1" applyFill="1" applyBorder="1" applyAlignment="1">
      <alignment horizontal="center" vertical="center"/>
    </xf>
    <xf numFmtId="0" fontId="7" fillId="11" borderId="7" xfId="0" applyFont="1" applyFill="1" applyBorder="1"/>
    <xf numFmtId="0" fontId="7" fillId="11" borderId="1" xfId="0" applyFont="1" applyFill="1" applyBorder="1"/>
    <xf numFmtId="0" fontId="7" fillId="11" borderId="19" xfId="0" applyFont="1" applyFill="1" applyBorder="1" applyAlignment="1">
      <alignment horizontal="center" vertical="center"/>
    </xf>
    <xf numFmtId="0" fontId="17" fillId="15" borderId="0" xfId="0" applyFont="1" applyFill="1" applyAlignment="1">
      <alignment horizontal="center" vertical="center" wrapText="1"/>
    </xf>
    <xf numFmtId="0" fontId="39" fillId="19" borderId="0" xfId="0" applyFont="1" applyFill="1" applyAlignment="1">
      <alignment horizontal="center"/>
    </xf>
    <xf numFmtId="0" fontId="39" fillId="19" borderId="0" xfId="0" applyFont="1" applyFill="1" applyAlignment="1">
      <alignment horizontal="left"/>
    </xf>
    <xf numFmtId="0" fontId="39" fillId="19" borderId="0" xfId="0" applyFont="1" applyFill="1" applyAlignment="1">
      <alignment horizontal="left" vertical="center"/>
    </xf>
    <xf numFmtId="0" fontId="39" fillId="19" borderId="0" xfId="0" applyFont="1" applyFill="1" applyAlignment="1">
      <alignment horizontal="right" vertical="center" indent="1"/>
    </xf>
    <xf numFmtId="0" fontId="16" fillId="12" borderId="0" xfId="0" applyFont="1" applyFill="1" applyAlignment="1">
      <alignment horizontal="left"/>
    </xf>
    <xf numFmtId="0" fontId="16" fillId="12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3" fillId="17" borderId="0" xfId="0" applyFont="1" applyFill="1" applyAlignment="1">
      <alignment horizontal="center"/>
    </xf>
    <xf numFmtId="0" fontId="13" fillId="0" borderId="0" xfId="0" applyFont="1" applyFill="1" applyAlignment="1">
      <alignment horizontal="left"/>
    </xf>
    <xf numFmtId="0" fontId="13" fillId="0" borderId="0" xfId="0" applyFont="1" applyFill="1" applyAlignment="1">
      <alignment horizontal="left" vertical="center"/>
    </xf>
    <xf numFmtId="8" fontId="13" fillId="0" borderId="0" xfId="0" applyNumberFormat="1" applyFont="1" applyFill="1" applyAlignment="1">
      <alignment horizontal="right" indent="1"/>
    </xf>
    <xf numFmtId="0" fontId="13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13" fillId="0" borderId="0" xfId="0" applyFont="1" applyFill="1"/>
    <xf numFmtId="0" fontId="13" fillId="0" borderId="0" xfId="0" applyFont="1" applyFill="1" applyAlignment="1">
      <alignment horizontal="right" indent="1"/>
    </xf>
    <xf numFmtId="8" fontId="13" fillId="0" borderId="0" xfId="0" applyNumberFormat="1" applyFont="1" applyFill="1" applyAlignment="1">
      <alignment horizontal="left"/>
    </xf>
    <xf numFmtId="0" fontId="16" fillId="0" borderId="0" xfId="0" applyFont="1" applyFill="1" applyAlignment="1">
      <alignment horizontal="left"/>
    </xf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right" indent="1"/>
    </xf>
    <xf numFmtId="14" fontId="13" fillId="0" borderId="0" xfId="0" applyNumberFormat="1" applyFont="1" applyAlignment="1">
      <alignment horizontal="center"/>
    </xf>
    <xf numFmtId="49" fontId="23" fillId="18" borderId="21" xfId="0" applyNumberFormat="1" applyFont="1" applyFill="1" applyBorder="1"/>
    <xf numFmtId="49" fontId="23" fillId="18" borderId="21" xfId="0" applyNumberFormat="1" applyFont="1" applyFill="1" applyBorder="1" applyAlignment="1">
      <alignment horizontal="center"/>
    </xf>
    <xf numFmtId="14" fontId="23" fillId="18" borderId="21" xfId="0" applyNumberFormat="1" applyFont="1" applyFill="1" applyBorder="1" applyAlignment="1">
      <alignment horizontal="center"/>
    </xf>
    <xf numFmtId="4" fontId="23" fillId="18" borderId="21" xfId="0" applyNumberFormat="1" applyFont="1" applyFill="1" applyBorder="1"/>
    <xf numFmtId="49" fontId="23" fillId="18" borderId="22" xfId="0" applyNumberFormat="1" applyFont="1" applyFill="1" applyBorder="1"/>
    <xf numFmtId="49" fontId="23" fillId="18" borderId="22" xfId="0" applyNumberFormat="1" applyFont="1" applyFill="1" applyBorder="1" applyAlignment="1">
      <alignment horizontal="center"/>
    </xf>
    <xf numFmtId="14" fontId="23" fillId="18" borderId="22" xfId="0" applyNumberFormat="1" applyFont="1" applyFill="1" applyBorder="1" applyAlignment="1">
      <alignment horizontal="center"/>
    </xf>
    <xf numFmtId="4" fontId="23" fillId="18" borderId="22" xfId="0" applyNumberFormat="1" applyFont="1" applyFill="1" applyBorder="1"/>
    <xf numFmtId="0" fontId="23" fillId="18" borderId="22" xfId="0" applyFont="1" applyFill="1" applyBorder="1"/>
    <xf numFmtId="49" fontId="23" fillId="18" borderId="23" xfId="0" applyNumberFormat="1" applyFont="1" applyFill="1" applyBorder="1"/>
    <xf numFmtId="49" fontId="23" fillId="18" borderId="23" xfId="0" applyNumberFormat="1" applyFont="1" applyFill="1" applyBorder="1" applyAlignment="1">
      <alignment horizontal="center"/>
    </xf>
    <xf numFmtId="14" fontId="23" fillId="18" borderId="23" xfId="0" applyNumberFormat="1" applyFont="1" applyFill="1" applyBorder="1" applyAlignment="1">
      <alignment horizontal="center"/>
    </xf>
    <xf numFmtId="4" fontId="23" fillId="18" borderId="23" xfId="0" applyNumberFormat="1" applyFont="1" applyFill="1" applyBorder="1"/>
    <xf numFmtId="0" fontId="0" fillId="0" borderId="0" xfId="0" applyBorder="1" applyAlignment="1">
      <alignment horizontal="center"/>
    </xf>
    <xf numFmtId="0" fontId="0" fillId="16" borderId="0" xfId="0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7" fillId="21" borderId="0" xfId="0" applyFont="1" applyFill="1" applyBorder="1" applyAlignment="1">
      <alignment horizontal="center" vertical="center"/>
    </xf>
    <xf numFmtId="0" fontId="17" fillId="20" borderId="0" xfId="0" applyFont="1" applyFill="1" applyBorder="1" applyAlignment="1">
      <alignment horizontal="center" vertical="center"/>
    </xf>
    <xf numFmtId="0" fontId="17" fillId="20" borderId="0" xfId="0" applyFont="1" applyFill="1" applyBorder="1" applyAlignment="1">
      <alignment vertical="center"/>
    </xf>
    <xf numFmtId="0" fontId="0" fillId="0" borderId="0" xfId="0" applyBorder="1"/>
    <xf numFmtId="0" fontId="37" fillId="0" borderId="0" xfId="0" applyFont="1" applyBorder="1" applyAlignment="1">
      <alignment horizont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/>
    </xf>
    <xf numFmtId="0" fontId="7" fillId="4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vertical="center"/>
    </xf>
    <xf numFmtId="0" fontId="7" fillId="4" borderId="20" xfId="3" applyFont="1" applyFill="1" applyBorder="1" applyAlignment="1">
      <alignment horizontal="left" vertical="center"/>
    </xf>
    <xf numFmtId="0" fontId="7" fillId="4" borderId="20" xfId="3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left" vertical="center"/>
    </xf>
    <xf numFmtId="0" fontId="7" fillId="4" borderId="20" xfId="0" applyFont="1" applyFill="1" applyBorder="1" applyAlignment="1">
      <alignment horizontal="center" vertical="center"/>
    </xf>
    <xf numFmtId="14" fontId="7" fillId="4" borderId="20" xfId="0" applyNumberFormat="1" applyFont="1" applyFill="1" applyBorder="1" applyAlignment="1">
      <alignment horizontal="left" vertical="center"/>
    </xf>
    <xf numFmtId="0" fontId="7" fillId="4" borderId="20" xfId="9" applyFont="1" applyFill="1" applyBorder="1" applyAlignment="1">
      <alignment horizontal="left" vertical="center"/>
    </xf>
    <xf numFmtId="16" fontId="7" fillId="4" borderId="20" xfId="0" applyNumberFormat="1" applyFont="1" applyFill="1" applyBorder="1" applyAlignment="1">
      <alignment horizontal="left" vertical="center"/>
    </xf>
    <xf numFmtId="0" fontId="7" fillId="4" borderId="20" xfId="9" applyFont="1" applyFill="1" applyBorder="1" applyAlignment="1">
      <alignment horizontal="center" vertical="center"/>
    </xf>
    <xf numFmtId="14" fontId="7" fillId="4" borderId="20" xfId="9" applyNumberFormat="1" applyFont="1" applyFill="1" applyBorder="1" applyAlignment="1">
      <alignment horizontal="left" vertical="center"/>
    </xf>
    <xf numFmtId="0" fontId="42" fillId="4" borderId="20" xfId="8" applyFont="1" applyFill="1" applyBorder="1" applyAlignment="1">
      <alignment horizontal="left" vertical="center"/>
    </xf>
    <xf numFmtId="0" fontId="38" fillId="4" borderId="20" xfId="0" applyFont="1" applyFill="1" applyBorder="1" applyAlignment="1">
      <alignment horizontal="left" vertical="center"/>
    </xf>
    <xf numFmtId="0" fontId="38" fillId="4" borderId="20" xfId="0" applyFont="1" applyFill="1" applyBorder="1" applyAlignment="1">
      <alignment horizontal="center" vertical="center"/>
    </xf>
    <xf numFmtId="44" fontId="7" fillId="4" borderId="20" xfId="1" applyFont="1" applyFill="1" applyBorder="1" applyAlignment="1">
      <alignment horizontal="center" vertical="center"/>
    </xf>
    <xf numFmtId="0" fontId="7" fillId="4" borderId="20" xfId="0" applyFont="1" applyFill="1" applyBorder="1"/>
    <xf numFmtId="0" fontId="7" fillId="4" borderId="20" xfId="0" applyFont="1" applyFill="1" applyBorder="1" applyAlignment="1">
      <alignment horizontal="center"/>
    </xf>
    <xf numFmtId="44" fontId="7" fillId="4" borderId="20" xfId="1" applyFont="1" applyFill="1" applyBorder="1" applyAlignment="1">
      <alignment vertical="center"/>
    </xf>
    <xf numFmtId="14" fontId="7" fillId="4" borderId="20" xfId="0" applyNumberFormat="1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14" fontId="4" fillId="4" borderId="20" xfId="0" applyNumberFormat="1" applyFont="1" applyFill="1" applyBorder="1" applyAlignment="1">
      <alignment horizontal="center" vertical="center"/>
    </xf>
    <xf numFmtId="0" fontId="4" fillId="4" borderId="20" xfId="0" applyFont="1" applyFill="1" applyBorder="1"/>
    <xf numFmtId="0" fontId="4" fillId="4" borderId="20" xfId="0" applyFont="1" applyFill="1" applyBorder="1" applyAlignment="1">
      <alignment horizontal="center"/>
    </xf>
    <xf numFmtId="0" fontId="7" fillId="4" borderId="0" xfId="0" applyFont="1" applyFill="1" applyBorder="1"/>
    <xf numFmtId="0" fontId="11" fillId="4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center"/>
    </xf>
    <xf numFmtId="0" fontId="43" fillId="4" borderId="0" xfId="0" applyFont="1" applyFill="1" applyBorder="1"/>
    <xf numFmtId="0" fontId="7" fillId="4" borderId="0" xfId="0" applyFont="1" applyFill="1" applyBorder="1" applyAlignment="1">
      <alignment horizontal="left"/>
    </xf>
    <xf numFmtId="0" fontId="40" fillId="15" borderId="0" xfId="3" applyFont="1" applyFill="1" applyBorder="1" applyAlignment="1">
      <alignment horizontal="center" vertical="center" wrapText="1"/>
    </xf>
    <xf numFmtId="44" fontId="40" fillId="15" borderId="0" xfId="4" applyFont="1" applyFill="1" applyBorder="1" applyAlignment="1">
      <alignment horizontal="left" vertical="center" wrapText="1"/>
    </xf>
    <xf numFmtId="0" fontId="7" fillId="4" borderId="20" xfId="1" applyNumberFormat="1" applyFont="1" applyFill="1" applyBorder="1" applyAlignment="1">
      <alignment horizontal="center" vertical="center"/>
    </xf>
    <xf numFmtId="0" fontId="7" fillId="4" borderId="0" xfId="0" applyNumberFormat="1" applyFont="1" applyFill="1" applyBorder="1" applyAlignment="1">
      <alignment horizontal="center"/>
    </xf>
    <xf numFmtId="0" fontId="7" fillId="4" borderId="20" xfId="3" applyFont="1" applyFill="1" applyBorder="1" applyAlignment="1">
      <alignment horizontal="center" vertical="center" wrapText="1"/>
    </xf>
    <xf numFmtId="44" fontId="7" fillId="4" borderId="20" xfId="4" applyFont="1" applyFill="1" applyBorder="1" applyAlignment="1">
      <alignment horizontal="center" vertical="center"/>
    </xf>
    <xf numFmtId="14" fontId="7" fillId="4" borderId="20" xfId="3" applyNumberFormat="1" applyFont="1" applyFill="1" applyBorder="1" applyAlignment="1">
      <alignment horizontal="center" vertical="center"/>
    </xf>
    <xf numFmtId="0" fontId="7" fillId="4" borderId="20" xfId="3" applyNumberFormat="1" applyFont="1" applyFill="1" applyBorder="1" applyAlignment="1">
      <alignment horizontal="center" vertical="center"/>
    </xf>
    <xf numFmtId="0" fontId="7" fillId="4" borderId="20" xfId="0" applyNumberFormat="1" applyFont="1" applyFill="1" applyBorder="1" applyAlignment="1">
      <alignment horizontal="center" vertical="center"/>
    </xf>
    <xf numFmtId="0" fontId="28" fillId="4" borderId="20" xfId="0" applyFont="1" applyFill="1" applyBorder="1" applyAlignment="1">
      <alignment horizontal="center" vertical="center"/>
    </xf>
    <xf numFmtId="4" fontId="7" fillId="4" borderId="20" xfId="3" applyNumberFormat="1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4" fontId="7" fillId="4" borderId="20" xfId="0" applyNumberFormat="1" applyFont="1" applyFill="1" applyBorder="1" applyAlignment="1">
      <alignment horizontal="center" vertical="center"/>
    </xf>
    <xf numFmtId="0" fontId="7" fillId="4" borderId="20" xfId="8" applyFont="1" applyFill="1" applyBorder="1" applyAlignment="1">
      <alignment horizontal="center" vertical="center"/>
    </xf>
    <xf numFmtId="0" fontId="7" fillId="4" borderId="20" xfId="9" applyFont="1" applyFill="1" applyBorder="1" applyAlignment="1">
      <alignment horizontal="center" vertical="center" wrapText="1"/>
    </xf>
    <xf numFmtId="44" fontId="7" fillId="4" borderId="20" xfId="9" applyNumberFormat="1" applyFont="1" applyFill="1" applyBorder="1" applyAlignment="1">
      <alignment horizontal="center" vertical="center"/>
    </xf>
    <xf numFmtId="14" fontId="7" fillId="4" borderId="20" xfId="9" applyNumberFormat="1" applyFont="1" applyFill="1" applyBorder="1" applyAlignment="1">
      <alignment horizontal="center" vertical="center"/>
    </xf>
    <xf numFmtId="0" fontId="7" fillId="4" borderId="20" xfId="9" applyNumberFormat="1" applyFont="1" applyFill="1" applyBorder="1" applyAlignment="1">
      <alignment horizontal="center" vertical="center"/>
    </xf>
    <xf numFmtId="44" fontId="28" fillId="4" borderId="20" xfId="4" applyFont="1" applyFill="1" applyBorder="1" applyAlignment="1">
      <alignment horizontal="center" vertical="center"/>
    </xf>
    <xf numFmtId="14" fontId="7" fillId="4" borderId="20" xfId="4" applyNumberFormat="1" applyFont="1" applyFill="1" applyBorder="1" applyAlignment="1">
      <alignment horizontal="center" vertical="center"/>
    </xf>
    <xf numFmtId="14" fontId="7" fillId="4" borderId="20" xfId="3" applyNumberFormat="1" applyFont="1" applyFill="1" applyBorder="1" applyAlignment="1">
      <alignment horizontal="center" vertical="center" wrapText="1"/>
    </xf>
    <xf numFmtId="0" fontId="42" fillId="4" borderId="20" xfId="8" applyFont="1" applyFill="1" applyBorder="1" applyAlignment="1">
      <alignment horizontal="center" vertical="center"/>
    </xf>
    <xf numFmtId="0" fontId="38" fillId="4" borderId="20" xfId="3" applyFont="1" applyFill="1" applyBorder="1" applyAlignment="1">
      <alignment horizontal="center" vertical="center"/>
    </xf>
    <xf numFmtId="44" fontId="38" fillId="4" borderId="20" xfId="1" applyFont="1" applyFill="1" applyBorder="1" applyAlignment="1">
      <alignment horizontal="center" vertical="center"/>
    </xf>
    <xf numFmtId="14" fontId="38" fillId="4" borderId="20" xfId="0" applyNumberFormat="1" applyFont="1" applyFill="1" applyBorder="1" applyAlignment="1">
      <alignment horizontal="center" vertical="center"/>
    </xf>
    <xf numFmtId="14" fontId="38" fillId="4" borderId="20" xfId="3" applyNumberFormat="1" applyFont="1" applyFill="1" applyBorder="1" applyAlignment="1">
      <alignment horizontal="center" vertical="center"/>
    </xf>
    <xf numFmtId="0" fontId="27" fillId="4" borderId="20" xfId="3" applyFont="1" applyFill="1" applyBorder="1" applyAlignment="1">
      <alignment horizontal="center" vertical="center"/>
    </xf>
    <xf numFmtId="49" fontId="7" fillId="4" borderId="20" xfId="3" applyNumberFormat="1" applyFont="1" applyFill="1" applyBorder="1" applyAlignment="1">
      <alignment horizontal="center" vertical="center"/>
    </xf>
    <xf numFmtId="0" fontId="4" fillId="4" borderId="20" xfId="3" applyFont="1" applyFill="1" applyBorder="1" applyAlignment="1">
      <alignment horizontal="center" vertical="center"/>
    </xf>
    <xf numFmtId="44" fontId="4" fillId="4" borderId="20" xfId="1" applyFont="1" applyFill="1" applyBorder="1" applyAlignment="1">
      <alignment horizontal="center" vertical="center"/>
    </xf>
    <xf numFmtId="14" fontId="27" fillId="4" borderId="20" xfId="3" applyNumberFormat="1" applyFont="1" applyFill="1" applyBorder="1" applyAlignment="1">
      <alignment horizontal="center" vertical="center"/>
    </xf>
    <xf numFmtId="14" fontId="27" fillId="4" borderId="20" xfId="0" applyNumberFormat="1" applyFont="1" applyFill="1" applyBorder="1" applyAlignment="1">
      <alignment horizontal="center" vertical="center"/>
    </xf>
    <xf numFmtId="44" fontId="7" fillId="4" borderId="0" xfId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 vertical="center"/>
    </xf>
    <xf numFmtId="0" fontId="27" fillId="4" borderId="20" xfId="3" applyFont="1" applyFill="1" applyBorder="1" applyAlignment="1">
      <alignment horizontal="center" vertical="center" wrapText="1"/>
    </xf>
    <xf numFmtId="0" fontId="27" fillId="4" borderId="20" xfId="0" applyFont="1" applyFill="1" applyBorder="1" applyAlignment="1">
      <alignment horizontal="center" vertical="center"/>
    </xf>
    <xf numFmtId="0" fontId="27" fillId="4" borderId="20" xfId="0" applyFont="1" applyFill="1" applyBorder="1" applyAlignment="1">
      <alignment horizontal="left" vertical="center"/>
    </xf>
    <xf numFmtId="0" fontId="27" fillId="4" borderId="0" xfId="0" applyFont="1" applyFill="1" applyBorder="1" applyAlignment="1">
      <alignment horizontal="left" vertical="center"/>
    </xf>
    <xf numFmtId="0" fontId="27" fillId="4" borderId="20" xfId="0" applyFont="1" applyFill="1" applyBorder="1" applyAlignment="1">
      <alignment horizontal="center" vertical="center" wrapText="1"/>
    </xf>
    <xf numFmtId="44" fontId="27" fillId="4" borderId="20" xfId="1" applyFont="1" applyFill="1" applyBorder="1" applyAlignment="1">
      <alignment horizontal="center" vertical="center"/>
    </xf>
    <xf numFmtId="0" fontId="27" fillId="4" borderId="20" xfId="0" applyNumberFormat="1" applyFont="1" applyFill="1" applyBorder="1" applyAlignment="1">
      <alignment horizontal="center" vertical="center"/>
    </xf>
    <xf numFmtId="14" fontId="27" fillId="4" borderId="20" xfId="0" applyNumberFormat="1" applyFont="1" applyFill="1" applyBorder="1" applyAlignment="1">
      <alignment horizontal="left" vertical="center"/>
    </xf>
    <xf numFmtId="0" fontId="28" fillId="4" borderId="20" xfId="3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0" xfId="0" applyFont="1" applyBorder="1"/>
    <xf numFmtId="0" fontId="36" fillId="0" borderId="20" xfId="8" applyFont="1" applyBorder="1"/>
    <xf numFmtId="0" fontId="44" fillId="4" borderId="20" xfId="1" applyNumberFormat="1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left"/>
    </xf>
    <xf numFmtId="0" fontId="7" fillId="4" borderId="16" xfId="3" applyFont="1" applyFill="1" applyBorder="1" applyAlignment="1">
      <alignment horizontal="left" vertical="center" wrapText="1"/>
    </xf>
    <xf numFmtId="44" fontId="7" fillId="4" borderId="16" xfId="4" applyFont="1" applyFill="1" applyBorder="1" applyAlignment="1">
      <alignment vertical="center"/>
    </xf>
    <xf numFmtId="14" fontId="7" fillId="4" borderId="16" xfId="3" applyNumberFormat="1" applyFont="1" applyFill="1" applyBorder="1" applyAlignment="1">
      <alignment horizontal="center" vertical="center"/>
    </xf>
    <xf numFmtId="0" fontId="42" fillId="4" borderId="16" xfId="8" applyFont="1" applyFill="1" applyBorder="1" applyAlignment="1">
      <alignment horizontal="left" vertical="center"/>
    </xf>
    <xf numFmtId="0" fontId="7" fillId="4" borderId="16" xfId="0" applyNumberFormat="1" applyFont="1" applyFill="1" applyBorder="1" applyAlignment="1">
      <alignment vertical="center" wrapText="1"/>
    </xf>
    <xf numFmtId="49" fontId="7" fillId="4" borderId="16" xfId="3" applyNumberFormat="1" applyFont="1" applyFill="1" applyBorder="1" applyAlignment="1">
      <alignment vertical="center"/>
    </xf>
    <xf numFmtId="49" fontId="7" fillId="4" borderId="16" xfId="3" applyNumberFormat="1" applyFont="1" applyFill="1" applyBorder="1" applyAlignment="1">
      <alignment horizontal="center" vertical="center"/>
    </xf>
    <xf numFmtId="44" fontId="7" fillId="4" borderId="16" xfId="1" applyFont="1" applyFill="1" applyBorder="1" applyAlignment="1">
      <alignment horizontal="left" vertical="center"/>
    </xf>
    <xf numFmtId="44" fontId="7" fillId="4" borderId="16" xfId="1" applyFont="1" applyFill="1" applyBorder="1" applyAlignment="1">
      <alignment horizontal="center" vertical="center"/>
    </xf>
    <xf numFmtId="0" fontId="42" fillId="11" borderId="16" xfId="8" applyFont="1" applyFill="1" applyBorder="1" applyAlignment="1">
      <alignment horizontal="left" vertical="center"/>
    </xf>
    <xf numFmtId="0" fontId="7" fillId="11" borderId="16" xfId="3" applyNumberFormat="1" applyFont="1" applyFill="1" applyBorder="1" applyAlignment="1">
      <alignment vertical="center"/>
    </xf>
    <xf numFmtId="0" fontId="7" fillId="4" borderId="20" xfId="0" applyFont="1" applyFill="1" applyBorder="1" applyAlignment="1">
      <alignment vertical="center"/>
    </xf>
    <xf numFmtId="0" fontId="7" fillId="22" borderId="20" xfId="0" applyFont="1" applyFill="1" applyBorder="1" applyAlignment="1">
      <alignment horizontal="center" vertical="center"/>
    </xf>
    <xf numFmtId="0" fontId="26" fillId="4" borderId="20" xfId="1" applyNumberFormat="1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/>
    </xf>
    <xf numFmtId="0" fontId="7" fillId="0" borderId="20" xfId="0" applyFont="1" applyBorder="1"/>
    <xf numFmtId="0" fontId="45" fillId="0" borderId="20" xfId="8" applyFont="1" applyBorder="1"/>
    <xf numFmtId="0" fontId="7" fillId="4" borderId="24" xfId="3" applyFont="1" applyFill="1" applyBorder="1" applyAlignment="1">
      <alignment horizontal="center" vertical="center"/>
    </xf>
    <xf numFmtId="0" fontId="7" fillId="4" borderId="24" xfId="3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 wrapText="1"/>
    </xf>
    <xf numFmtId="44" fontId="7" fillId="4" borderId="24" xfId="1" applyFont="1" applyFill="1" applyBorder="1" applyAlignment="1">
      <alignment horizontal="center" vertical="center"/>
    </xf>
    <xf numFmtId="14" fontId="7" fillId="4" borderId="24" xfId="0" applyNumberFormat="1" applyFont="1" applyFill="1" applyBorder="1" applyAlignment="1">
      <alignment horizontal="center" vertical="center"/>
    </xf>
    <xf numFmtId="14" fontId="7" fillId="4" borderId="24" xfId="3" applyNumberFormat="1" applyFont="1" applyFill="1" applyBorder="1" applyAlignment="1">
      <alignment horizontal="center" vertical="center"/>
    </xf>
    <xf numFmtId="0" fontId="7" fillId="4" borderId="24" xfId="0" applyNumberFormat="1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left" vertical="center"/>
    </xf>
    <xf numFmtId="8" fontId="7" fillId="4" borderId="20" xfId="0" applyNumberFormat="1" applyFont="1" applyFill="1" applyBorder="1" applyAlignment="1">
      <alignment vertical="center"/>
    </xf>
    <xf numFmtId="14" fontId="47" fillId="0" borderId="20" xfId="0" applyNumberFormat="1" applyFont="1" applyBorder="1" applyAlignment="1">
      <alignment horizontal="center" vertical="center"/>
    </xf>
    <xf numFmtId="0" fontId="40" fillId="13" borderId="0" xfId="3" applyFont="1" applyFill="1" applyBorder="1" applyAlignment="1">
      <alignment horizontal="center" vertical="center" wrapText="1"/>
    </xf>
    <xf numFmtId="0" fontId="7" fillId="23" borderId="20" xfId="3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vertical="center"/>
    </xf>
    <xf numFmtId="0" fontId="7" fillId="4" borderId="20" xfId="3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left" vertical="center"/>
    </xf>
    <xf numFmtId="0" fontId="7" fillId="4" borderId="20" xfId="0" applyFont="1" applyFill="1" applyBorder="1" applyAlignment="1">
      <alignment horizontal="center" vertical="center"/>
    </xf>
    <xf numFmtId="14" fontId="7" fillId="4" borderId="20" xfId="0" applyNumberFormat="1" applyFont="1" applyFill="1" applyBorder="1" applyAlignment="1">
      <alignment horizontal="left" vertical="center"/>
    </xf>
    <xf numFmtId="0" fontId="7" fillId="4" borderId="20" xfId="0" applyFont="1" applyFill="1" applyBorder="1"/>
    <xf numFmtId="0" fontId="7" fillId="4" borderId="20" xfId="0" applyFont="1" applyFill="1" applyBorder="1" applyAlignment="1">
      <alignment horizontal="center"/>
    </xf>
    <xf numFmtId="14" fontId="7" fillId="4" borderId="20" xfId="0" applyNumberFormat="1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7" fillId="4" borderId="20" xfId="3" applyFont="1" applyFill="1" applyBorder="1" applyAlignment="1">
      <alignment horizontal="center" vertical="center" wrapText="1"/>
    </xf>
    <xf numFmtId="14" fontId="7" fillId="4" borderId="20" xfId="3" applyNumberFormat="1" applyFont="1" applyFill="1" applyBorder="1" applyAlignment="1">
      <alignment horizontal="center" vertical="center"/>
    </xf>
    <xf numFmtId="0" fontId="7" fillId="4" borderId="20" xfId="3" applyNumberFormat="1" applyFont="1" applyFill="1" applyBorder="1" applyAlignment="1">
      <alignment horizontal="center" vertical="center"/>
    </xf>
    <xf numFmtId="0" fontId="7" fillId="4" borderId="20" xfId="0" applyNumberFormat="1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 wrapText="1"/>
    </xf>
    <xf numFmtId="0" fontId="27" fillId="4" borderId="20" xfId="3" applyFont="1" applyFill="1" applyBorder="1" applyAlignment="1">
      <alignment horizontal="center" vertical="center"/>
    </xf>
    <xf numFmtId="14" fontId="27" fillId="4" borderId="20" xfId="3" applyNumberFormat="1" applyFont="1" applyFill="1" applyBorder="1" applyAlignment="1">
      <alignment horizontal="center" vertical="center"/>
    </xf>
    <xf numFmtId="14" fontId="27" fillId="4" borderId="20" xfId="0" applyNumberFormat="1" applyFont="1" applyFill="1" applyBorder="1" applyAlignment="1">
      <alignment horizontal="center" vertical="center"/>
    </xf>
    <xf numFmtId="0" fontId="27" fillId="4" borderId="20" xfId="3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vertical="center"/>
    </xf>
    <xf numFmtId="0" fontId="0" fillId="0" borderId="20" xfId="0" applyBorder="1"/>
    <xf numFmtId="44" fontId="7" fillId="4" borderId="20" xfId="1" applyFont="1" applyFill="1" applyBorder="1"/>
    <xf numFmtId="14" fontId="7" fillId="4" borderId="20" xfId="0" applyNumberFormat="1" applyFont="1" applyFill="1" applyBorder="1" applyAlignment="1">
      <alignment horizontal="center"/>
    </xf>
    <xf numFmtId="0" fontId="46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7" fillId="23" borderId="20" xfId="0" applyFont="1" applyFill="1" applyBorder="1" applyAlignment="1">
      <alignment horizontal="center" vertical="center"/>
    </xf>
    <xf numFmtId="0" fontId="4" fillId="23" borderId="20" xfId="0" applyFont="1" applyFill="1" applyBorder="1" applyAlignment="1">
      <alignment horizontal="center" vertical="center"/>
    </xf>
    <xf numFmtId="0" fontId="27" fillId="23" borderId="20" xfId="3" applyFont="1" applyFill="1" applyBorder="1" applyAlignment="1">
      <alignment horizontal="center" vertical="center" wrapText="1"/>
    </xf>
    <xf numFmtId="14" fontId="46" fillId="0" borderId="20" xfId="0" applyNumberFormat="1" applyFont="1" applyBorder="1" applyAlignment="1">
      <alignment horizontal="center" vertical="center"/>
    </xf>
    <xf numFmtId="0" fontId="0" fillId="0" borderId="0" xfId="0" applyAlignment="1"/>
    <xf numFmtId="0" fontId="17" fillId="15" borderId="14" xfId="0" applyFont="1" applyFill="1" applyBorder="1" applyAlignment="1">
      <alignment horizontal="center"/>
    </xf>
    <xf numFmtId="0" fontId="37" fillId="0" borderId="14" xfId="0" applyFont="1" applyBorder="1"/>
    <xf numFmtId="0" fontId="37" fillId="0" borderId="14" xfId="0" applyFont="1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49" fillId="0" borderId="0" xfId="0" applyFont="1"/>
    <xf numFmtId="14" fontId="50" fillId="0" borderId="14" xfId="0" applyNumberFormat="1" applyFont="1" applyBorder="1" applyAlignment="1">
      <alignment horizontal="center" vertical="center"/>
    </xf>
    <xf numFmtId="0" fontId="50" fillId="26" borderId="14" xfId="0" applyFont="1" applyFill="1" applyBorder="1" applyAlignment="1">
      <alignment vertical="center"/>
    </xf>
    <xf numFmtId="0" fontId="21" fillId="24" borderId="25" xfId="0" applyFont="1" applyFill="1" applyBorder="1" applyAlignment="1">
      <alignment horizontal="center" vertical="center" wrapText="1"/>
    </xf>
    <xf numFmtId="0" fontId="21" fillId="25" borderId="26" xfId="0" applyFont="1" applyFill="1" applyBorder="1" applyAlignment="1">
      <alignment horizontal="center" vertical="center" wrapText="1"/>
    </xf>
    <xf numFmtId="0" fontId="21" fillId="24" borderId="26" xfId="0" applyFont="1" applyFill="1" applyBorder="1" applyAlignment="1">
      <alignment horizontal="center" vertical="center" wrapText="1"/>
    </xf>
    <xf numFmtId="0" fontId="21" fillId="25" borderId="27" xfId="0" applyFont="1" applyFill="1" applyBorder="1" applyAlignment="1">
      <alignment horizontal="center" vertical="center" wrapText="1"/>
    </xf>
    <xf numFmtId="0" fontId="50" fillId="26" borderId="28" xfId="0" applyFont="1" applyFill="1" applyBorder="1" applyAlignment="1">
      <alignment horizontal="center" vertical="center"/>
    </xf>
    <xf numFmtId="0" fontId="50" fillId="26" borderId="29" xfId="0" applyFont="1" applyFill="1" applyBorder="1" applyAlignment="1">
      <alignment horizontal="center" vertical="center"/>
    </xf>
    <xf numFmtId="0" fontId="50" fillId="26" borderId="30" xfId="0" applyFont="1" applyFill="1" applyBorder="1" applyAlignment="1">
      <alignment horizontal="center" vertical="center"/>
    </xf>
    <xf numFmtId="14" fontId="50" fillId="0" borderId="31" xfId="0" applyNumberFormat="1" applyFont="1" applyBorder="1" applyAlignment="1">
      <alignment horizontal="center" vertical="center"/>
    </xf>
    <xf numFmtId="0" fontId="50" fillId="26" borderId="31" xfId="0" applyFont="1" applyFill="1" applyBorder="1" applyAlignment="1">
      <alignment vertical="center"/>
    </xf>
    <xf numFmtId="0" fontId="50" fillId="26" borderId="32" xfId="0" applyFont="1" applyFill="1" applyBorder="1" applyAlignment="1">
      <alignment horizontal="center" vertical="center"/>
    </xf>
    <xf numFmtId="0" fontId="7" fillId="4" borderId="24" xfId="3" applyNumberFormat="1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13" xfId="3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/>
    </xf>
    <xf numFmtId="0" fontId="7" fillId="4" borderId="34" xfId="0" applyFont="1" applyFill="1" applyBorder="1"/>
    <xf numFmtId="0" fontId="7" fillId="4" borderId="34" xfId="0" applyFont="1" applyFill="1" applyBorder="1" applyAlignment="1">
      <alignment horizontal="left" vertical="center"/>
    </xf>
    <xf numFmtId="14" fontId="7" fillId="4" borderId="34" xfId="0" applyNumberFormat="1" applyFont="1" applyFill="1" applyBorder="1" applyAlignment="1">
      <alignment horizontal="center" vertical="center"/>
    </xf>
    <xf numFmtId="44" fontId="7" fillId="4" borderId="34" xfId="1" applyFont="1" applyFill="1" applyBorder="1" applyAlignment="1">
      <alignment horizontal="center" vertical="center"/>
    </xf>
    <xf numFmtId="0" fontId="0" fillId="0" borderId="34" xfId="0" applyFont="1" applyBorder="1" applyAlignment="1">
      <alignment wrapText="1"/>
    </xf>
    <xf numFmtId="0" fontId="0" fillId="0" borderId="34" xfId="0" applyFont="1" applyBorder="1"/>
    <xf numFmtId="0" fontId="7" fillId="4" borderId="35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vertical="center"/>
    </xf>
    <xf numFmtId="44" fontId="7" fillId="4" borderId="35" xfId="1" applyFont="1" applyFill="1" applyBorder="1" applyAlignment="1">
      <alignment horizontal="center" vertical="center"/>
    </xf>
    <xf numFmtId="14" fontId="7" fillId="4" borderId="35" xfId="0" applyNumberFormat="1" applyFont="1" applyFill="1" applyBorder="1" applyAlignment="1">
      <alignment horizontal="center" vertical="center"/>
    </xf>
    <xf numFmtId="0" fontId="0" fillId="0" borderId="35" xfId="0" applyFont="1" applyBorder="1" applyAlignment="1">
      <alignment horizontal="center" vertical="center" wrapText="1"/>
    </xf>
    <xf numFmtId="0" fontId="0" fillId="0" borderId="35" xfId="0" applyFont="1" applyBorder="1" applyAlignment="1">
      <alignment wrapText="1"/>
    </xf>
    <xf numFmtId="0" fontId="0" fillId="0" borderId="35" xfId="0" applyFont="1" applyBorder="1"/>
    <xf numFmtId="0" fontId="7" fillId="4" borderId="35" xfId="0" applyFont="1" applyFill="1" applyBorder="1" applyAlignment="1">
      <alignment horizontal="left" vertical="center"/>
    </xf>
    <xf numFmtId="0" fontId="7" fillId="4" borderId="35" xfId="0" applyFont="1" applyFill="1" applyBorder="1"/>
    <xf numFmtId="0" fontId="0" fillId="0" borderId="14" xfId="0" applyBorder="1" applyAlignment="1">
      <alignment horizontal="center"/>
    </xf>
    <xf numFmtId="0" fontId="12" fillId="4" borderId="0" xfId="0" applyFont="1" applyFill="1" applyBorder="1" applyAlignment="1">
      <alignment horizontal="left" vertical="center" wrapText="1"/>
    </xf>
    <xf numFmtId="0" fontId="17" fillId="4" borderId="0" xfId="0" applyFont="1" applyFill="1" applyBorder="1" applyAlignment="1">
      <alignment horizontal="center"/>
    </xf>
    <xf numFmtId="0" fontId="37" fillId="0" borderId="0" xfId="0" applyFont="1" applyBorder="1" applyAlignment="1">
      <alignment horizontal="center" vertical="center"/>
    </xf>
    <xf numFmtId="0" fontId="48" fillId="4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1" fillId="4" borderId="0" xfId="0" applyFont="1" applyFill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21" fillId="10" borderId="14" xfId="0" applyFont="1" applyFill="1" applyBorder="1" applyAlignment="1">
      <alignment horizontal="center" vertical="center"/>
    </xf>
  </cellXfs>
  <cellStyles count="25">
    <cellStyle name="20% - Ênfase6" xfId="9" builtinId="50"/>
    <cellStyle name="Hiperlink" xfId="8" builtinId="8"/>
    <cellStyle name="Moeda" xfId="1" builtinId="4"/>
    <cellStyle name="Moeda 2" xfId="4"/>
    <cellStyle name="Moeda 2 2" xfId="6"/>
    <cellStyle name="Moeda 2 2 2" xfId="13"/>
    <cellStyle name="Moeda 2 2 2 2" xfId="23"/>
    <cellStyle name="Moeda 2 2 3" xfId="18"/>
    <cellStyle name="Moeda 2 3" xfId="11"/>
    <cellStyle name="Moeda 2 3 2" xfId="21"/>
    <cellStyle name="Moeda 2 4" xfId="16"/>
    <cellStyle name="Moeda 3" xfId="7"/>
    <cellStyle name="Moeda 3 2" xfId="14"/>
    <cellStyle name="Moeda 3 2 2" xfId="24"/>
    <cellStyle name="Moeda 3 3" xfId="19"/>
    <cellStyle name="Moeda 4" xfId="10"/>
    <cellStyle name="Moeda 4 2" xfId="20"/>
    <cellStyle name="Moeda 5" xfId="15"/>
    <cellStyle name="Normal" xfId="0" builtinId="0"/>
    <cellStyle name="Normal 3" xfId="3"/>
    <cellStyle name="Porcentagem" xfId="2" builtinId="5"/>
    <cellStyle name="Vírgula 2" xfId="5"/>
    <cellStyle name="Vírgula 2 2" xfId="12"/>
    <cellStyle name="Vírgula 2 2 2" xfId="22"/>
    <cellStyle name="Vírgula 2 3" xfId="17"/>
  </cellStyles>
  <dxfs count="3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101377" name="AutoShape 1" descr="data:image/jpeg;base64,/9j/4AAQSkZJRgABAQEAYABgAAD/2wBDAAgGBgcGBQgHBwcJCQgKDBQNDAsLDBkSEw8UHRofHh0aHBwgJC4nICIsIxwcKDcpLDAxNDQ0Hyc5PTgyPC4zNDL/2wBDAQkJCQwLDBgNDRgyIRwhMjIyMjIyMjIyMjIyMjIyMjIyMjIyMjIyMjIyMjIyMjIyMjIyMjIyMjIyMjIyMjIyMjL/wAARCACwAg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iigAooooAKKKKACiiigAooooAKKKKACiiigAooooAKKKKACiiigAooooAKKKKACiiigAooooAKKKKACiiigAooooAKKKKACiiigAooooAKKKKACiiigAooooAKKKKACiiigAooooAKKKKACiiigAooooAKKKKACiiigAooooAK8e+Ien2V/wDEOT7ZZ29xs0q22edEr7cy3GcZHHQV7DXk/jj/AJKHP/2CrX/0bc10YRJ1kn/Whz4ptUnb+tTlP+Ee0X/oD6f/AOAyf4Uf8I9ov/QH0/8A8Bk/wr0vVLWLTLG3Nnolre6c0IMk+3MmT33Dkeua5rT9ButQtWuvNt7a3DbRLcybFY+gr04TpyXM1ZHnShOLSvdnM/8ACPaL/wBAfT//AAGT/Cj/AIR7Rf8AoD6f/wCAyf4V1H/CN6j/AGt/Zvlr523fu3fJs/vZ9KmufC9xbWQuzf6fJEzBFMUxO4k4wOOf/rGq5qWm2pPLV130OR/4R7Rf+gPp/wD4DJ/hR/wj2i/9AfT/APwGT/Cur1Dw1eaYjG4mtd4YBIlky8meMquMkZqVvCOoiNgJLVrhU3tarNmUD6dP1o56Nr6ByVb21OP/AOEe0X/oD6f/AOAyf4Uf8I9ov/QH0/8A8Bk/wrqdP8O3d/arc+dbW0Lvsja4k2729Bwc1JL4Yu4r57VrqyzGgeWQzYSPJ4DEjIP4d6HKknbQFGq1fU5L/hHtF/6A+n/+Ayf4Uf8ACPaL/wBAfT//AAGT/Cul1HQrvTkgkLw3EM5xHLbvvVj6VPdeGbyztnklntPNjTzHtxN+9C+uP/r0+al5By1b21OT/wCEe0X/AKA+n/8AgMn+FH/CPaL/ANAfT/8AwGT/AAr0yysEeCGB9K0d5kjV0gNzidiBnLYByD1weK5my0W81Sa5ZFigjhY+bJK2yOM+lRGdN3urW9CnCokrO9/U5n/hHtF/6A+n/wDgMn+FH/CPaL/0B9P/APAZP8K6XUtDutMhind4ZreXhJoH3IT6ZqLS9JudXuGit9gCLueSRsKg9Sa0Xs3Hm0sQ/aJ8utzn/wDhHtF/6A+n/wDgMn+FH/CPaL/0B9P/APAZP8K9DnsH0/wJdRvLDKHuVZZIH3Kw4HB+oNZcHhPUJoYmMtrFNKu+O3llxI49his41KTTbtvYuUKislfVXOQ/4R7Rf+gPp/8A4DJ/hR/wj2i/9AfT/wDwGT/CtWWN4ZXikUrIjFWU9iK6vUBZ+F7W1tl0+2u72WMSSyXKb1HsB9c/lVzcI2SV2yYqbvd2sef/APCPaL/0B9P/APAZP8KP+Ee0X/oD6f8A+Ayf4V1EdnL4h1J/sFnFbrtDSANiNPU+w9qL7w9dWVl9sWa2urYNtaS2k3hT78UXpppOyYWqNXV2jl/+Ee0X/oD6f/4DJ/hR/wAI9ov/AEB9P/8AAZP8K7JfCF+WhDXFlH56BojJLjeT/CBjJP4VZ8O+HYp9Su4NSEJMClTCZSH3cfMMdV9/eplUopN9hxp1W0u5wn/CPaL/ANAfT/8AwGT/AAo/4R7Rf+gPp/8A4DJ/hXVQeHLq7vLi1tbi0uHhjDlopMq2ewOOv1xSDw9O148C3diyxoHknE48tMnGCfXNVzUvIXLV8zlv+Ee0X/oD6f8A+Ayf4Uf8I9ov/QH0/wD8Bk/wrqrnw7c2slr5lzZmC5OEuVlzFn3OKv8AinQbfT7iNrJ4EVlVfs4lLSsxz8wBzxU89K6S6j5Ktm30OG/4R7Rf+gPp/wD4DJ/hR/wj2i/9AfT/APwGT/CuyXwfqB2xmeyW5Zdwtmm/eEfTH9aqWXh+7vI55HkgtYoX8t5Ll9ihvT60+aj5C5aq7nMf8I9ov/QH0/8A8Bk/wqho+haRLZSNJpVi7C6uVBa3QnAmcAdOgAA/CupvbOSwu3tpShdMco2VIIyCD9Kp+C7AanPHZklVkvrrcR1AE8hP6Cm1C/NbSwk52tfW5R/4R7Rf+gPp/wD4DJ/hR/wj2i/9AfT/APwGT/Cu8u9W03T9Vawi0ayezhfy3eRN0jY4JDVeh0GzsvG8VsIUltZYWlSOQbgOCMc9eRWftIJXcel0aezleyls7M81/wCEe0X/AKA+n/8AgMn+FH/CPaL/ANAfT/8AwGT/AAr0CyvLDVtXbSrzSbKJHdkjlto/LZSM4z69K5u5gbTdUkhYJIbeUjDDKtg9x6Grg4ydnGz3JmpRV1K/Qw/+Ee0X/oD6f/4DJ/hR/wAI9ov/AEB9P/8AAZP8K9Is763uPDN9qT6PpQmt3CoothtOcde/f1rBg0+68QXNxdQw2lpCgBkYfu4k4/GpjKLvzRtYbjKy5ZXucr/wj2i/9AfT/wDwGT/Cj/hHtF/6A+n/APgMn+FdVc+HLq1e2L3Fobe4bal0suYgfdscVoeJ/D9vY3URsXt0V1RRb+cTIWJPzYPb3zT56V0l1FyVbNvocL/wj2i/9AfT/wDwGT/Cj/hHtF/6A+n/APgMn+FdefCl75UrR3NlNNEu6S3in3SLjrkYx+tWbr/kn1j/ANfTf+zUOdPTlSetgUKnVtHD/wDCPaL/ANAfT/8AwGT/AAqho+haRLZSNJpVi7C6uVBa3QnAmcAdOgAA/CuhpPAsUc99bxyorxtqNwGVhkH9/J1FVKMU726MlSk1uZ3/AAj2i/8AQH0//wABk/wo/wCEe0X/AKA+n/8AgMn+Fd/4gluLWW9gj8P2cdoCUW5FkQQDxkN0z71nQeFb2a1trk3FnFDcLlXll24PZTx1PtmojOm480klcuUJqXKm2cj/AMI9ov8A0B9P/wDAZP8ACj/hHtF/6A+n/wDgMn+FdmPBup+c0LyWiTDJSNpvmlA7qMdPrisB0aORkcEMpIIPY1cXSl8NiJKpH4rmX/wj2i/9AfT/APwGT/Cj/hHtF/6A+n/+Ayf4V6L4bs9Pt9NtpdQtoZn1C4MUfmIDtUAjIz05/mKwxoNxN4gn0qFkWRGbaZCQCByO3cYqVOm5NNbf0ynCpyqV9/6Ry3/CPaL/ANAfT/8AwGT/AAo/4R7Rf+gPp/8A4DJ/hXWXHhm+t7GW6MltJ5H+uiil3PF/vDp+tFl4avbm0huzLbQrK2IUml2tL/uinzUbX0Fy1dtTk/8AhHtF/wCgPp//AIDJ/hR/wj2i/wDQH0//AMBk/wAK9A8VWE2oeKRbw7Awt1ZmdgqqBnJJrHv/AA/c2NkLwT2t1b7thktpd4U+/FKE6ckm0lcqcKkW0m3Y5f8A4R7Rf+gPp/8A4DJ/hR/wj2i/9AfT/wDwGT/CuzHg6/3xI1zZRmVQ0e+UjfnsBjJIph8JakIpiWthNEpdrfzQZNvrgdvxo56PkLkreZx//CPaL/0B9P8A/AZP8KP+Ee0X/oD6f/4DJ/hXTafoN1qFq115tvbW4baJbmTYrH0FSL4b1A6x/ZjCJJyhdWZvlZfUECqbpJtaaEpVGr6nK/8ACPaL/wBAfT//AAGT/Cj/AIR7Rf8AoD6f/wCAyf4V1lx4ZvrexlujJbSeR/roopdzxf7w6frWjc+HLVPC9tcpc2S3O4s8xnO2Qc/Kvbd04x2qXUoq33FKnVZwX/CPaL/0B9P/APAZP8KP+Ee0X/oD6f8A+Ayf4V1Vn4bu7qzS7kntbSGQ4ja5l2b/AKcVS1HTbnSrtra6QLIBkEHIYeoq06TfKrXJaqKPM72O2+F8aQ+AbWKJFSNLq9VVUYCgXUuAB6V2Fcj8M/8AkRrf/r8vf/SqWuurwp/Ez2ofCgryfxvg/ESYE4H9lWuT6fvbmvWK8s8ZWGqXvxDuf7N0q4v9mlWnmeTJEmzMtzjPmOuc4PTPStcNJRqpy2MsTFypNI2NEaPQnkml1+1n07YSIEk3OxPT5P4T/k0um6pZ3egJap/Zcc8UzN5WoL+72kkjb784rkv7B8U/9CpqH/gTaf8Ax6j+wfFP/Qqah/4E2n/x6u1+xlq56nGvbR0UdDtrC8a88RtvntJVgsWRjboVhHP3SxJ49xVLVoZF0u2+xR2K6ZBcBpDbXJmwxPUsQPX9axdLg8ZaTNJJb+E7xlkXZJHJPaMrD0P76p75/Gd7ZfY18HTWtsW3NHbS2iBj7/v6jmhGaakraF8s5QaknfX+v8yXX9Qtx4yjvY5EnhjaJsxsGBAxnFdBPqkAvm1C1u9BWJlz5roTcdOQQCCf0rhP7B8U/wDQqah/4E2n/wAeo/sHxT/0Kmof+BNp/wDHqt+wcUubbQhe2Um+Xc7TTlt5PDVg92to3755EF3OYAp3Z+XAO4VXWKNde1B9bSxW/kQPbee37gjBH49B154rNtrjxnb2cNrJ4Ke6jh/1X2h7Rin0/fiqOo2fjLVbs3N14Xv2cjAAuLQBR6AedUKUOZ3lZO/9f5mjU+Ve7qrf1/kdFqupWcOm6XiWwd7a8V5YrLhABknaPT39apeIdLguZ59aTUrc2k43RLk73YADaB/nHpXPf2D4p/6FTUP/AAJtP/j1aV9H4vvrGKzPgyaCGNt+2CW0Xc2MZP7/AK1alTg04yIcak01KP8ASOpsp9GtLu1ltJdGis9n33ObkMQe56D61lQXVnfWGs6U15BbyTXbTRSyNhHG4fxfh+tcz/YPin/oVNQ/8CbT/wCPUf2D4p/6FTUP/Am0/wDj1C9jvz/1uH77bk/q1ja1Sa1sfDMGkR3cV1cecZZHhbci9eAf896Twvd2qW+pWFzcJbm7h2JK5woOD1PbrWN/YPin/oVNQ/8AAm0/+PUf2D4p/wChU1D/AMCbT/49V89HkcXLcjkrcyko7HQz/ZLDwfcWC6ha3Nx9oV2WJ8jqOn97gda2Z9Wt7yW3vrSfQ12oNxvVPnRkdhzXC/2D4p/6FTUP/Am0/wDj1H9g+Kf+hU1D/wACbT/49UP2L3nqUlWWijoGpXH2rU7mfcr75GO5VKg89QDkiul1P7H4ot7S6i1G1tbuKPy5orp9g/A9+c/nXNf2D4p/6FTUP/Am0/8Aj1H9g+Kf+hU1D/wJtP8A49WkqlF2tK1iFTqpu8b3Oh0Z7Cxk1PSpNRhK3UIRbkcIGwcjPpz19qY7WujeGbyxN9b3d1duuFt33qoGOSfX/wCtWD/YPin/AKFTUP8AwJtP/j1H9g+Kf+hU1D/wJtP/AI9UudJu7n2/ApRqpWUNr2+Z0WrXltJrOgvHcQukUcQkZXBCYYZz6VattRso/Hd9M91EIJotiS7wUzhe/Tsa5P8AsHxT/wBCpqH/AIE2n/x6j+wfFP8A0Kmof+BNp/8AHqV6Frc3Rr7wtWvfl6p/cdBoQg0q51aGW/tGzaEJJHKNrE9gTjJqr4YGml7r7Z9l+0hAbf7WcRZ5znt6Vk/2D4p/6FTUP/Am0/8Aj1H9g+Kf+hU1D/wJtP8A49VOpSd/f3sJQqq3ubHTeJLu1k8OWlvFPYNNHcEvHZcIvDdB1xz1pNeubWTVNP1qC8tpoo/KBgD/AL3gkn5e341zX9g+Kf8AoVNQ/wDAm0/+PUf2D4p/6FTUP/Am0/8Aj1TGVGNvf7/iOSrSv7p10qae/iZdd/ti0+ygiQpv/e5C4xt69qg03UPtNxfTJe6cltcXJaS0v+AV7MPU+3tXMf2D4p/6FTUP/Am0/wDj1H9g+Kf+hU1D/wACbT/49Reja3P5DarXvyeZY177B/bE403H2bIxtPy5xzj2zWX4Jv10y5ju3BKR311uA64M0gP86uf2D4p/6FTUP/Am0/8Aj1Zug6L4kk06VofDV9KovbtSy3FqAGFxIGHMo5BBHpxxkYNX7WjZRcr6WM3SqtuSjbU7O70jTr7WHvk1qxWzmk8xlaTEgzyRtrZuJ2h8cQXV2Ft7IQGOGZ2ARuCevTvXC/2D4p/6FTUP/Am0/wDj1StpPi94Uhbw1qbRIcqhu7Uqp9h53FZt03Zc+lrGqVTV8mraf3G/ZWlhpOrNqt5q1nKiOzxxW0nmMxOcZ9Otcze3LXt9PdMMGWQvj0yad/YPin/oVNQ/8CbT/wCPUf2D4p/6FTUP/Am0/wDj1aQq0ou7ldmc6dWSso26mzp11bp4K1S3eeNZnlUpGXAZuV6DrT9Fntbrw3faPLdw2s0kgkjeY7VbpwT+H61h/wBg+Kf+hU1D/wACbT/49R/YPin/AKFTUP8AwJtP/j1Jzou/vbu41Csre7t+pt6pPa2Phm30iO7iurjzvNkeFtyKOeAf896s+Ijp9/qFjqX223ktCsccsKv+9AySflHTiub/ALB8U/8AQqah/wCBNp/8eo/sHxT/ANCpqH/gTaf/AB6hTopp8+uv4g41Wrcmh39pdaXZ3kvlT6JDatEVhMJHnHgffbtXL3NzA3gaztxNGZ1uSzRhxuA+bnHWsj+wfFP/AEKmof8AgTaf/HqP7B8U/wDQqah/4E2n/wAeqI+xi78/b8C5e2krcnf8SrSeBZY4L63kldUjXUbgszHAH7+Tqat/2D4p/wChU1D/AMCbT/49WboOi+JJNOlaHw1fSqL27UstxagBhcSBhzKOQQR6ccZGDW0q9Jv4ujMVQqpfCdr4giuLqW9nj8QWcloSXW2F6SSBzgL0z7VW1e5t5NC0GOOeJ3iU+YquCU6dR2rF/sHxT/0Kmof+BNp/8eo/sHxT/wBCpqH/AIE2n/x6ojOlG3vbf5WLnCrJt8u5113f2bfEG0uVu4DbrHgyiQbR8rd+lclqBWbWLoo6lXuH2tuG0gsec+lJ/YPin/oVNQ/8CbT/AOPUf2D4p/6FTUP/AAJtP/j1FOdGFrS6WCpCtO/u7u51Gq6zpFpNZ2a2K362UaiOaO6KgHjONvB6DmrwvdOfxTYaqt5bIs9sfNUyr+7bHG70POPwrif7B8U/9CpqH/gTaf8Ax6j+wfFP/Qqah/4E2n/x6o/cW+Pv+JX76/w9vwNvRrq3i07xCsk8SNLFiMM4Bc/N09as3X2HW9H0ojU7a1NmnlzRynDduVX+LpXN/wBg+Kf+hU1D/wACbT/49R/YPin/AKFTUP8AwJtP/j1U50ebmU9f+BYXLVtZx0/pnXXdxo174wWS6mgltzbL5bM/7vf2DEf1pNVu7UeFLu18/ShcGRG8qw4UjI/M8c4rkv7B8U/9CpqH/gTaf/HqP7B8U/8AQqah/wCBNp/8eqf3Onv7W/Ar99r7m/8AlY6bU721k8T6HKlzC0cccQdxICFwxzk9qmsb60Txvqdw11AsLwsFkMg2sfl6Hoa5P+wfFP8A0Kmof+BNp/8AHqP7B8U/9CpqH/gTaf8Ax6neja3N0a+8SVZO/L1T+46rSNRtZ/DUNkH0wXMEhJTUV+QgknIPrz/OpLbVYm8W2j3N5Y7IbdkMkGUiU8/KCx5rkf7B8U/9CpqH/gTaf/HqP7B8U/8AQqah/wCBNp/8eofsG2+be/4glWSS5drfgbejXVvFp3iFZJ4kaWLEYZwC5+bp604NbX/gq3tVvbaGe1leR45n2lh8x+UdzyKwv7B8U/8AQqah/wCBNp/8eo/sHxT/ANCpqH/gTaf/AB6qc6Ld+bt+GglGr/L3/E6O5W01/RdLWPUrS1ltI/LkjuJNnYDI9en61n+KdQtr2/gS0fzYreFYvNx98isz+wfFP/Qqah/4E2n/AMeo/sHxT/0Kmof+BNp/8eojOjGV+ba/4ilCq425e34Hc/DP/kRrf/r8vf8A0qlrrq5L4axyxeCYY54mhmS9vlkjYglGF3NkEgkZB9CRXW15U3eTPTirRQVz9n/yUPWf+wVYf+jbuugrnrYkeP8AWyBkjSbHA9f3t5UN2VyiHxB8RPCXha7FprGtQ29yRkwqjyuv+8EBK/jitLSPEmja9pbanpeowXVmgO+SNvuYGSGHVTjnBGa80+AcUN7pGu67OFk1W71KRZ5iMvjCtjPplif/ANVUdChXTPjP4+0/TlWPT30wzSxRjCLJtQ9Pq7/maHdKz3tf8Ljtd/O342Oyg+M/w+uJ0hTxEgZzgGS2mRfxZkAH4mu4t7iG6t47i3lSaGRQySRsGVgehBHUV5h8FbG01L4O29nfW8dxbTSzrJFIoZWG89qT4CzTN4Lv7QyGS0tNSmhtWP8Acwrce2ST+NXbVryv/X3kJ3V/O35/5HqlYPhzxbYeJ7rVreyiuUfS7o2k5mVQGcZ5XBORx3xXG6pr/inxF8T73wr4d1iHRrbS7VZ7i4e0W4aZ22nbhug+YdMHg9eK5Pwb4kvfB/hb4i61dxW8+pW2qEMsefKaZm25HfbuOexxUJ6Xe1v1SLtrZb3X5NnvlFfP2h/FrVYte0ES+LLXXk1KdIbzT10xrc2ZcgDZJtG/BOOT26HOR6d8Wb250/4Xa9PaMVlMAj3DqFd1Vv8Ax0mnO8Y8wRXNLlC5+LHgW11M6dL4jtvtAbaSqO0YPvIFKfrXZBgyhlIKkZBHeuN+G+i6Vb/DHRreG0t3gu7KOW4VkDCV3UFi3rycc+mO1Ymqa/4l8Q/Ee88H+GtTg0S30y2Wa4vGtVuHckLhVRuAPmA/A05K0uTdkp3XN0PTqK8ftvHPia28OeOtN1G7gk1rw7HmHUIYVUShgdrFCNuePTHOO2TQu/F3jzRfDvhnxffa3Y3FlqM0EM2mR2SqNrqSG8z724gZIGACeMihK708vx2G9E/K/wCG57K+p2EepR6a99bLfyJ5iWrSqJWXn5gmckcHnHarVeG+JdJ8Qz/tA6fDaeJ/stzPp7y2tx9gjf7NFmT91tJw/Q/Mefm9q39Z1rxjefFaTwjo2tQWVu2mpcNcS2iSmEg/MyLxuYnAwTgAmktUn3v+F/8AIHo2u1v0/wAz1Oq97fWmm2kl3f3UFrbR43zTyBEXJwMseByQK8u8c+Kr/Q9SSxuPiNpuhmOBMLFpZu55pNvzNIuCIwTyMdjXMa94j1zxv+z7caxc6hHA9tP5N7HHbqVvAJEC8nlMEg8dcdAKTeja6f52Gl7yT6nvsUsc8KTQyLJFIoZHQ5DA8gg9xT68ivPEWv8Aw/8AhPp11Lqcer6hftbwWBltVhS2V4wQpCn59oU8nkkipL7V/G/gXX/D39ueILbXNP1e7W0mjFkkDW7tjBQr94DPf06c5q2ve5fO3z7f1oQpe6n5XPWaK8U1Pxv4mj8e6hp194ltvDQhuAmn2V5pu+3vo88M1x1XPqOOcda9d1a3vbzSLiDT7/7BeSJiK6EIl8s+uxuD+NQ37nMX9rlJNP1Ow1a3Nxp19bXkAYoZbaVZF3DqMqSM1arwr4NSanongHVfEM2rmbSLM3LnSxaoC0iqrb/N+9zjGMY5qyuv/Ea58Av8QI/ENhFbhWuF0f7ApjMQYggyn584BOP1pysvuT+8Wt7ebX3HsV1qdhZXNtbXd9bW890xS3illVGmYY4QE5Y8jp61arwPxzLrHiPxN8OtXtdZ+xLqpWSzi+yJJ9hkKxlmyf8AWZJHB4+X3rsPG+val4btdMs7zx/p2jt9nHn3jab59zcSA43CEZVUPPPY8UbLXu19wb7drnb+I9etfDHh+81q9jmktrVQzrCoLkEgcAkDv61b02/i1XSrTUIFdYbqFJkVwAwVgCM4zzzXhbeNNQ8W/BvxtDqF5FqDadIkUV9HB5P2iMuNrFOMHjpgdRXsfg7/AJEjQf8AsHwf+i1ppb38vxuK+1vP8LG3RRRSGFc/4N/5Adz/ANhXUv8A0tmroK5/wb/yA7n/ALCupf8ApbNQB0FFFFABWB4i8a+G/Cap/bmrQWjv92Ll5CPXYoLY464xW/Xlnx4sbRPhzf3q2sC3ck0CPOIwJGUPwC3UgelTJ2Vyoq56hFKk0KSxncjqGU46g9KwdJ8ceG9c1+60PTNTW51G0DGaJYnAUKwVvmK7TgkDgmue8e+Km8M/D6xitZ4odR1NIrO1klfYkRZQGkZjwoUHOT3xXEeBP+Eb0H4zvYaXqthLYroiW8VwlyhWeYshbDA4Lk7jgf0q2vfa6ar8G/8AL7yE/cUv63t/XoekX3xU8Eabq76Xd+ILdLtH2OBG7IrehcKVGO+Tx3rr45EljWSN1dHAZWU5BB6EGvl2SfU7Lwd4m0rSbM33gqbUcya39lzKg3LuIUsN+MAbu3PIyMfRvhYaePCekLpU7T6etnEtvKwwXQKACffHWlHWN/T8V/XqOWkrLz/r+tjXooooAK5/wb/yA7n/ALCupf8ApbNXQVz/AIN/5Adz/wBhXUv/AEtmoA6CiiigAooooAKKKKACqGr61pmg2DX2rX0FnbL/AMtJnC5PXA9T7Dmr9ZevWNpd6VcS3NrBNJbwyPC0kYYxtsIypPQ47ipm+WLZUVd2F0HxBpfibSk1TR7r7TZuzKsnlsmSDg8MAf0rFg+J3gu510aND4gtnvmk8pVCvsZvQSY2E544PNefeBbiS1/Zo1SaFisiW17tYdR96s7xDYWkX7L+kyRRxrJGYJ0YLg+Y0mGI9/mPNVL3X5afiTH3l9/4Hv8ARVXTXkk0qzeYEStAhcHrnaM1apyVnYUXdXCiiikMKKKKACiiigDn/Bv/ACA7n/sK6l/6WzV0Fc/4N/5Adz/2FdS/9LZq6CgArn7P/koes/8AYKsP/Rt3XQVx8+nXV/8AEPVPs2s32m7NKsd32RIG8zMt3jPmxv0x2x1Oc8YAMp/hjf6ZrF/f+EPFdxoKX7+ZcWptEuYi3OSoYjb1/wAjis7w34G8ReEPE2oxgQa3p2u5F3qkknl3Vudp5ZScMuT0XnnnGK7b/hHtU/6HPXP+/Nl/8j0f8I9qn/Q565/35sv/AJHpJLb5fLsNt7nEaR8JvEmkaGNCt/iFcRaQS2+C30yONyGOWxJuLDNeg+G/DmneFNCt9H0qJktYckF23M7E5LMe5J/ziqv/AAj2qf8AQ565/wB+bL/5Ho/4R7VP+hz1z/vzZf8AyPVXZNjE1z4eXN34wbxRoPiO40TUJ4RBdlbZJ1mQY6BuFOAOeeg49YdI+FFhYaD4i0W91K5v7XWpRK8kgxMjAfeL5O5tw3ZwOe1dD/wj2qf9Dnrn/fmy/wDkej/hHtU/6HPXP+/Nl/8AI9TZWsVd3uYmh+BvEelz2MN547vrvSrIr5NmlnHCzKv3VeUEsy9AR3rsdR0+11bTbnT76ITWtzG0UsZ/iUjB+n1rJ/4R7VP+hz1z/vzZf/I9H/CPap/0Oeuf9+bL/wCR6b1VmJaO6OV0/wCGfiDRrUaVpHxA1C10ME7bU2cTyopPIWY8r+AGPSr+ufDu6uvFA8S+HvElxomqvALe4k+zJcJMoAALKxAzwOeegrb/AOEe1T/oc9c/782X/wAj0f8ACPap/wBDnrn/AH5sv/kegDBtPhhb2vhXxBph1SafU9dDG91KaMFmY5wQgIAAyeM9+vSna18Nv7Y8CaF4Z/tbyf7Kkgk+0fZt3m+WpXG3cNuc+pxW5/wj2qf9Dnrn/fmy/wDkej/hHtU/6HPXP+/Nl/8AI9F/0/DYVtLev47mV4q8B3Wt+KNO8SaRr8mj6pZwtb+aLVbhXjOeNrEAH5m556+1W4vBpj+I7+LzqO4tYCyNsYcdwd+/d7dNtWv+Ee1T/oc9c/782X/yPR/wj2qf9Dnrn/fmy/8Akehabf1f/hxvUwdW+HV9N4xu/EWheJ59Hmv4livUWzjnMiqAPkZvucAdjzz7UzS/hXa2Pw41LwbPqctxBeSvKLkRbGQkqV4yc4KjPTPtXQ/8I9qn/Q565/35sv8A5Ho/4R7VP+hz1z/vzZf/ACPSsrWHfW5gyfDabVPAf/CMeIPEE2omJ0a0u47VIGtgigIABndjnJJycmmWPw2v59b0zUvFXiq417+ym32UJtEt0R+MM20kuRgHJ9K6H/hHtU/6HPXP+/Nl/wDI9H/CPap/0Oeuf9+bL/5Hqru9ybK1jmPEHwy1XxLNNZ6h4zu5NAluftDae9nG0i852rMfmAHQccDivRI40ihWJBhEUKo9AKwv+Ee1T/oc9c/782X/AMj0f8I9qn/Q565/35sv/kektFYb1dzC8K/DeXwx/aen/wBuyXfh29EuNLktUGwyYBJlyWb5RjHA5zWRH8H9QTSD4dPja+PhcvuOnfZI/M27t23zuuM+2Pau0/4R7VP+hz1z/vzZf/I9H/CPap/0Oeuf9+bL/wCR6AMrxV8PItctNBXSdSfRrrQnBsZkhEyooAGCjEZ+6vU9u+aq618O9S1HWNL16x8UyWWv2dp9llvWsI5VnHOW8s4VCST09a3/APhHtU/6HPXP+/Nl/wDI9H/CPap/0Oeuf9+bL/5Ho/4cP+GOUtvhI0Hh3xTpT+IZbiTX5Ele5mtgXjYHcSQGAbJJ/u4rvtG0/wDsnRLDTfN837JbxweZt279qgZxk4zjpmsz/hHtU/6HPXP+/Nl/8j0f8I9qn/Q565/35sv/AJHo/wCB+GwW/X8dzoKK5/8A4R7VP+hz1z/vzZf/ACPR/wAI9qn/AEOeuf8Afmy/+R6AOgrn/Bv/ACA7n/sK6l/6WzUf8I9qn/Q565/35sv/AJHrD8J6FqMuj3DJ4s1mEDU79dqRWZBIu5gW+aAnJIye2ScADAAB3lFc/wD8I9qn/Q565/35sv8A5Ho/4R7VP+hz1z/vzZf/ACPQB0FcD4/8Aaz44V7NfFn2HSHCFrH+zkl+dTnd5m4N6ce1b3/CPap/0Oeuf9+bL/5Ho/4R7VP+hz1z/vzZf/I9JpPcaditpPg9v7GSw8W3Vl4neGTdbyXWmRIIk2gBQvI7HnrzWbZ/CzRbHx9N4kht7BLZrUQxafHYoqQyAj96rA4DcHooPPWtv/hHtU/6HPXP+/Nl/wDI9H/CPap/0Oeuf9+bL/5HpvV3f9dBLRWOKX4PajbaZc6DYeNby38N3LlpNPNlG77SclRKTkZ9h+FekaTpdtomkWel2SsttaRLDGGOTgDHJ9azP+Ee1T/oc9c/782X/wAj0f8ACPap/wBDnrn/AH5sv/kejpYDoKK5/wD4R7VP+hz1z/vzZf8AyPR/wj2qf9Dnrn/fmy/+R6AOgrn/AAb/AMgO5/7Cupf+ls1H/CPap/0Oeuf9+bL/AOR6w/CehajLo9wyeLNZhA1O/XakVmQSLuYFvmgJySMntknAAwAAd5RXP/8ACPap/wBDnrn/AH5sv/kej/hHtU/6HPXP+/Nl/wDI9AHQUVz/APwj2qf9Dnrn/fmy/wDkej/hHtU/6HPXP+/Nl/8AI9AHQUVz/wDwj2qf9Dnrn/fmy/8Akej/AIR7VP8Aoc9c/wC/Nl/8j0AdBWD4q0fWdb05LXRvEH9jMSRNJ9jS481CMbcMRj6im/8ACPap/wBDnrn/AH5sv/kej/hHtU/6HPXP+/Nl/wDI9JpNWY07ao53wX8N9Q8LaZcaLe+Jf7U0KaCWI2H2BYcGQ/M3mBix43DGe/tWdb/Byb7PaaPf+LLy88MWk/nw6U1siE4JIVpQcsuSeMDrxiuz/wCEe1T/AKHPXP8AvzZf/I9H/CPap/0Oeuf9+bL/AOR6q7vcXSx0AGBgdKK5/wD4R7VP+hz1z/vzZf8AyPR/wj2qf9Dnrn/fmy/+R6QHQUVz/wDwj2qf9Dnrn/fmy/8Akej/AIR7VP8Aoc9c/wC/Nl/8j0AdBRXP/wDCPap/0Oeuf9+bL/5Ho/4R7VP+hz1z/vzZf/I9AHQUVz//AAj2qf8AQ565/wB+bL/5Ho/4R7VP+hz1z/vzZf8AyPQAeDf+QHc/9hXUv/S2augrm/A0bQ+G5InmkndNT1BWlkChnIvJvmO0AZPXgAegFdJQAVz9n/yUPWf+wVYf+jbuugrn7Tn4ha0P+oTYf+jbuhgYUPibxV4ou71/CdrpMGl2k72wvNU8xzcyLwxRUIwoORkk59K0vDPiq91OfVdJ1iyis9c0vaZ44XLxSowJWSMkA7Tg8HkVz3wy1vTNB0C58Natf29jqel3k6SxXcqxu6mQusg3EblIYcirHhm4h8QePPFHiSwbzdLFrFp8Fyv3J3TczlD3AJAyODUvSOna/wCG/wB+lvMfV+v6/wCWp0ngfXbrxL4M03WLyOGO4ukZnWEEIMMRwCSe3rWjea5pGnGYX2qWVqYVV5RPcImxWJClsngEggE9cVzfwm/5JdoX/XJ//RjVmto+m6r8btQbULGC7+z6LA0QnQOqkyOCQDxnHf6+taTXv8q8/wBWSn7t35fmjv7W7tr61jurS4iuLeQbo5YnDo49QRwRVOz8Q6JqF69lZaxp9zdx53wQ3SPIuOuVByMV5SyT2Pw0+I1ppKNDFbavcJHFAMeVD+7MgUDoNpf6VN4uHhAeHvDyeEf7LOsC+tv7M+w7TLww3Z2/Nt253bu/XmpWrXnb8f6/Mb0T8r/h/mewswVSzEBQMkk8CsweJNCNxbW41rTjPdKGt4xdJumB6FBnLA+1Xb7/AJB9z/1yb+RrwOyPgmT4BYT+zW1swYXbtN39r3YQD+POcYxxt9qV9/K36jtt5nu97q+m6acX+o2lqfLaXE86p8i4DNyegyMn3FMm1zSbbTI9Tn1SyisJACl09wixNnphycHP1rgtZ0uDVfiP4Hg1q1ju3j025kdJl3DzQI+SOh5z1qDxbbSQ/EzQbSOfSdPsV06T+zxf2nmQCcON4RQ6APt24PpnHWqtsu9/wv8A5CTTu+1vxt/melWmoWV/ZLe2d5b3FqwJE8MquhA6/MDiq+na/o2sSyRaZq9heyRDMiW1ykhT6hScV57HHYeFPD3jLVby50rXYZGje60zT4BFAkmApDKXcLuypYn0yQazbe6vT8VPBouIfDVqWS4VItHuDJIIjCSFk+VRtyBjHGQcUlrK39bA9Ff1/A9Su/Eeh6f5n23WtOtvKkEUnnXSJscjcFOTwcc464qSTW9Jivrexk1SyS7uVDQQNcIJJQehVc5YfSuD0Dw9o+seOvHsuo6dbXUhuYoA00YfahgXIGemfb0HpXIr4f0m2/ZzOqRafANRCLOLspmUOs21SHPIwAAB0xRHVJvy/H+v63Ha8rLu0el634guNM+IOh2L3sdvpc9ldTXIkChcps2sWIyAMnuBXR2Oq6dqlobvT7+1u7YEgzW8yyICOvzAkV5143Ght8TPBzeIhamzFrdEG7A8oSfJt3Z469M8Zx3xT/DSac3xB8X/APCOCE6W1jCswtAPJN1h87dvy7tuM47nnmle0L+v4N/8N9wlq/u/FL+vvPQW1bTU0sao2oWg08qHF2Zl8raeh35xj3zWDqesX0HxH0DSobjFjd2d1LNFsU72TZtOcZGMnoa82v8AxFo//DOMGnnUbb7cbOO3+y+YDKJFcbgUHIxgk5HAruNV/wCSteE8f9A28/8AadU1aX3/AJMm/uX7/wCaOpuvEWiWN+lheaxp9vePjbbzXSJI2emFJyc1pV4x4cbwYfh3q7+KDph1hpbr+1Pte37R529gMbvmBxt24/DmvQPh0L8fDvQRqYcXYtE3CT72P4c577cUlqvu/Ep6O3r+B09FFFABRRRQAUUUUAFFFFABXP8Ag3/kB3P/AGFdS/8AS2augrn/AAb/AMgO5/7Cupf+ls1AHQUUUUAFFFFAHnniXxN448OWN1r9xpuif2LbSjzLPzZGujFu27t4+QNyDtwcDuTXR6z/AMJXNLBJ4cn0VLZowXGoQyu5Y+mxgMYxXn3j2+0LUNAuvEFr43+1C1kFxBpM88TW8kqYIiaEBZDyOjE4POK7bxJ4qn0b4fNrbWzRajPbxrb2rLlhcSABUx3wx5+hpfZv/X9f12Hb3rf1/S/rYr+Btf8AEOt6jr0Gsf2W9vp1wtrFPYRuqySAZkHzs3C5Uduc12dYXg7w+vhjwpYaXu3zRx77iTOd8zfM7Z92J/DFbtU9NCVrqFFFFIYVz/g3/kB3P/YV1L/0tmroK5/wb/yA7n/sK6l/6WzUAdBRRRQAUUUUAFFFFABWXrup3emWSNYaXPqV5NJ5UUMZCqDgndI54RBjk89gASa1Kgu721sYfNu7mG3jJ2h5pAgz6ZNJ7DRzXhLxZNqvw/HiTWEgheNbh51twdirE7jjcSei/wD6q55vGvjK18Pw+L73S9JXw9Jsme0RpPtkVuxADlj8hIBDFcDjvVTwaYtY+CF9pNlcQy30tvfqsCSAvlpJNvHXnI/Oo9a8V6PqHwOhsrO9guNQvbCGwhso5A0xmYKmzZ1yDnP0pu9215WXrcLK9ul3+B62rB1DKcqwyCO9LUFnCbext4GOWjiVCR7DFT03ZPQmLbV2FFFFIYUUUUAFFFFAHP8Ag3/kB3P/AGFdS/8AS2augrn/AAb/AMgO5/7Cupf+ls1dBQAVx8+u6PonxD1T+1tVsbDztKsfL+13CRb8S3ecbiM4yOnqK7Cufs/+Sh6z/wBgqw/9G3dAGdqOt/DXWHV9U1PwnfOgwrXVxbSkfTcTV2Lxp4KhgWCLxN4fjhVdqxpfwhQPQDd0rpKKPIDmbTxf4GsLWO1s/EXh22t4xhIob2BEXvwA2BSL4u8Crever4i8Oi7dBG84vYPMZAchS27JAJPHvXT0UAcxb+LvAtmZjbeIfDkBnkMsxivYF8xz1ZsNyTgcn0qpZaz8NNNu3u7DUvCVrcvnfNBPbI7Z65YHJrsqb5iByhddwG4jPOPWgDnLnxv4RmtZol8V6EGdCozqMWOR/vVzHg+XwHoegaNFqOt+EJ9Y0+ARfbUuoGYEZ+67YbHPtXpasrqGUhlIyCDwRS0LT+v67h/X9fccw/i7wLJeRXkniLw691CrLFM17AXRW6gNuyAcDOPSmX/inwDqtqbXUde8NXluSGMVxeQSJkd8MSK6qigDlLbxP8P7KwNhaa54ZgsyCDbxXcCx4PUbQcc1XstX+GWmtG1jqHhG1aJzJGYJrZCjEbSwweCRxn04rs6ge9tY7yKzkuYUuplZooWkAd1XqQvUgZGcetAHPw+LvAtvPcTQeIfDkUtwwaeRL2BWlIGAWIbk445qE+I/h4dL/ss614XOn4x9k+1W/lYznGzOOvPSutooA5S68TfD++ObzXPDNwfLaHM13A/yNjcvJ+6cDI6HAp1h4p8A6Vai107XvDVnbgkiK3vII0BPU4UgV1NFAHFNqnwwaa5la/8ACBkuxi4czW2ZhnOHOfm59avN4t8Cvdw3b+IfDjXMKskUxvYC6KcZCtnIBwMgeldPRQBxtzrPw0vNQXULrUvCU96uNtzLPbNIMdMMTnitL/hO/B//AENeh/8Agxh/+KroKKAOf/4Tvwf/ANDXof8A4MYf/iqP+E78H/8AQ16H/wCDGH/4qugooA5//hO/B/8A0Neh/wDgxh/+Ko/4Tvwf/wBDXof/AIMYf/iq6CigDn/+E78H/wDQ16H/AODGH/4qj/hO/B//AENeh/8Agxh/+KroKKAOf/4Tvwf/ANDXof8A4MYf/iqP+E78H/8AQ16H/wCDGH/4qugooA5//hO/B/8A0Neh/wDgxh/+KrD8J+NPCtto9wk/iXRonOp37hXv4lJVruZlPLdCpBB7gg13lc/4N/5Adz/2FdS/9LZqAD/hO/B//Q16H/4MYf8A4qj/AITvwf8A9DXof/gxh/8Aiq6CigDn/wDhO/B//Q16H/4MYf8A4qj/AITvwf8A9DXof/gxh/8Aiq6CigDjTrPw0Op/2mdS8JG/zu+1efbebn135z+tW7nxb4EvTCbvxD4cnMEgliMt7A3luOjLk8Eeo5rp6KAOf/4Tvwf/ANDXof8A4MYf/iqP+E78H/8AQ16H/wCDGH/4qugooA5//hO/B/8A0Neh/wDgxh/+Ko/4Tvwf/wBDXof/AIMYf/iq6CigDn/+E78H/wDQ16H/AODGH/4qsPwn408K22j3CT+JdGic6nfuFe/iUlWu5mU8t0KkEHuCDXeVz/g3/kB3P/YV1L/0tmoAP+E78H/9DXof/gxh/wDiqP8AhO/B/wD0Neh/+DGH/wCKroKKAOf/AOE78H/9DXof/gxh/wDiqP8AhO/B/wD0Neh/+DGH/wCKroKKAOf/AOE78H/9DXof/gxh/wDiqP8AhO/B/wD0Neh/+DGH/wCKroKKAOf/AOE78H/9DXof/gxh/wDiqqaj4l+H2sW4t9T1vwxfQK28RXN3byqG6ZwxIzyefeurooA4vTtW+GOj3DXGl6h4RsZ2XYZLWa2iYrwcZUg44HHtT4db+G1vqbanDqnhOPUGyWukuLYSnPXLg5/WuxooA5//AITvwf8A9DXof/gxh/8AiqP+E78H/wDQ16H/AODGH/4qugooA5//AITvwf8A9DXof/gxh/8AiqP+E78H/wDQ16H/AODGH/4qugooA5//AITvwf8A9DXof/gxh/8AiqP+E78H/wDQ16H/AODGH/4qugooA5//AITvwf8A9DXof/gxh/8AiqP+E78H/wDQ16H/AODGH/4qugooA5vwNPDdeG5Li3ljmgl1PUHjkjYMrqbyYggjggjvXSVz/g3/AJAdz/2FdS/9LZq6CgArn7Tj4hayf+oVYf8Ao27roK5+0/5KFrP/AGCrD/0bd0MDgdMtNE8WeHbrxx42knvbKW5kFpafvXitIlkMagRR/eYkZLYPUdMV0XhrW/BWh+FNW1Hw/cXP9k2MhaeFhMTE+B8iJLgjORgDjJqvp1h4q8ByXOm6RocWu6DJO89osd2kE1rvO4xkPhWXcTgg59ap2/gXWdZ8JeMLfVYbfT73X7r7VDb+d5ywlQpUOwGCNyDOAePypXdnbt/l9/Ubtza9/wANfuNu38b6lDf6bHrfh0afa6lKIIJo75Z2jkbJRZUCjbnHUFgDwantvF+p6prl9aaToCXVjYXgs7q4kvljkDDG4rHtOQAc8sCewrH0Dw+E1CwaT4ZaTpk8LBpr7zICqEfxRBAXJz03BcetReItC1nWdcE+n+F20rVo7pAmvQ6hGqtCrAkuqkO+VBGxlIGetV1X9dv+D2/Alt2f9d/66j7rWPFEfxiksbWximtRpQZLd9TZIyvnEedt8sgP2xjp/F2qh4w0S4S/1rWofDl+3lt50uqRanFBcmIRhXSFQjbo9qk7XIySSOcGug1yw16w+Ilp4i0nSBqlvLpxsJ4xdJC0J8zeH+bqOT0yf68v4h8G67quo6+l/ol3rMl1I5028/tkwW1tEV+VDEGByD1+Uhj1IGTUP4V8/wA/67Fq3M/l+R2Fz4qsdD8NaCui2E1/JqMUcWlWMbBWkXyww3MeFVVxljnFP0XxfeXXiH+wNd0N9I1J4Dc24W5W4injBw21wB8wPUEdOaxJfDOv2Wg+CdRsLOKfVvD9sIp9PlnCearwhHVZOVDAgYPT39bmmaZr+veObTxJrelJo9vpttJBa2puVmlkeTG52KfKBgYAyTWjtzv5/wDAM1pBei/PX8Do9e8LaH4njhj1rTor1YCWjEmflJ69D7CuB+Ffgrw5/Zh1f+yYP7QttTulhnydyBZWVQOccDivVq5XwBo9/onh64tdQg8iZ7+5mVd6t8jysynKkjkEVK0lfy/VFPVW8/0ZV1jxprOhRS6lf+Fnh0SGYRy3JvkM6oWC+Z5QBG3JHG/OOcVl+MdQutP+KHhWax0ybUrh7G8SOCJ1TJOzlmY4VR3P6GuS1vwB4l1XQtQtLzQLvUdeaR2XVptbxA678qI4d+BxwFZQB69K9Jv9Gv5/iJ4e1WODdZWllcxTy71+Rn2bRjOTnB6CiK+G/n+T/rYJdUv61Qmi+LdR1iLWLJ9CFnr2mFRJYy3gMbhxlGEqqeCAf4eMYrnvh/4s1Kz+Ga614kj3afbQSS/bmvGnnmIkYbShUYPYfMeg6duk0bR7+1+IPijVJ4NllfQ2i28u9TvKKwbgHIwSOoFcppvhLxFc/DvUfAt7psdmkKv9j1M3KvHOwm8yP5F+ZR0ySPwPSlff0X/B/wCGHpe3mbQ8fatYyWNxr/hKfS9KvZkhju/tiStEzn5PNjABQHvycHg13deaatZ+MfG1nZ6HqfhyHSLMXEUt9eNfJMHWNg22JV5yxA5bGB616XVdP620/wCCSr/13CiiikMKKKKACiiigAooooAKKKKACiiigArn/Bv/ACA7n/sK6l/6WzV0Fc/4N/5Adz/2FdS/9LZqAOgooooAKKKKAPMtY0i4svit4RvrvVLm9murq82o3yRQRiFtqIg4yAeWOSx/IT/EHS9Pv/FegS6zod7qmlxW90JFtrOW42SEx7ciMEjo1ReJW8XXnjXRdRs/Bk81ro89wQ/9oW6/aFdCgIBbK+vNdRqWt+I7WK0ksvCMl950IeaNdQhjeB+6Hd8px6qx/rS6Ib+L5fqyLwMfCg0i4TwlFHDarcMLiFUdHjmwAQ6v8ynAHUdq6iuO8FaFqtnqWu6/rUEFpfazNHIbOCTzBAiJtUF8Dc3XJHFdjVMlBRRRSGFc/wCDf+QHc/8AYV1L/wBLZq6Cuf8ABv8AyA7n/sK6l/6WzUAdBRRRQAUUUUAFFFFABRRRQB5x8QvB/hhNB1zxHq/2h75IWkgupbp91u4H7tYgDhfmxgAck85rrvCX9oDwfo/9rM7ah9ji+0GQfNv2jO739feuJ1yLxbqPjX7VeeD59S0bTZQ2m28d/bxo8g/5byBmyW/uggBfrXoel3N3eabDPfWD2Fy4O+2eVZDHyf4lJB4549aI/D/X9f0gl8RcooooAKKKKACiiigAooooA5/wb/yA7n/sK6l/6WzV0Fc/4N/5Adz/ANhXUv8A0tmroKACuPnm1iL4h6p/ZNjY3WdKsfM+13r2+397d4xtifd364xgdc8dhXP2f/JQ9Z/7BVh/6Nu6AD7Z4w/6AWh/+Dmb/wCRaPtnjD/oBaH/AODmb/5Fqpqfj7TrLVZtLsbDVNZvrcgXEWl23m+RnoHYlVB9s59q1dA1+LX7WSZLHUbGSJ9klvf2xhkU9eh4I9wSKFrqGxV+2eMP+gFof/g5m/8AkWj7Z4w/6AWh/wDg5m/+Ra6CigDn/tnjD/oBaH/4OZv/AJFo+2eMP+gFof8A4OZv/kWtL+2LD+3f7F8//iYfZvtXk7G/1W7bu3Yx14xnNYGp/EHTdI1K8gu7S9WztH8mW/CBoRNsDiM4O4EhlwSMZOM0XHYu/bPGH/QC0P8A8HM3/wAi0fbPGH/QC0P/AMHM3/yLWxY3JvdPtrowyQGeJZDFIMMmQDtPuKsU2rOwk7q5z/2zxh/0AtD/APBzN/8AItH2zxh/0AtD/wDBzN/8i1ralqNnpGnT6hqFwlvaW6F5ZXPCj/PbvXIH4o6bEiXV3ofiGz0tzxqVxp5WDaejHBLBT2JUUr62A2ftnjD/AKAWh/8Ag5m/+RaPtnjD/oBaH/4OZv8A5FqzqviOy0k6T5olmXVLpLW3eEBl3OCQxJI+XA6jNa9AHP8A2zxh/wBALQ//AAczf/ItH2zxh/0AtD/8HM3/AMi10FFAHP8A2zxh/wBALQ//AAczf/ItH2zxh/0AtD/8HM3/AMi10FFAHP8A2zxh/wBALQ//AAczf/ItH2zxh/0AtD/8HM3/AMi10FFAHP8A2zxh/wBALQ//AAczf/ItH2zxh/0AtD/8HM3/AMi10FFAHP8A2zxh/wBALQ//AAczf/ItH2zxh/0AtD/8HM3/AMi10FFAHP8A2zxh/wBALQ//AAczf/ItH2zxh/0AtD/8HM3/AMi10FFAHP8A2zxh/wBALQ//AAczf/ItH2zxh/0AtD/8HM3/AMi10FFAHP8A2zxh/wBALQ//AAczf/ItH2zxh/0AtD/8HM3/AMi10FFAHP8A2zxh/wBALQ//AAczf/ItYfhO68VLo9wING0Z0/tO/JL6tKp3fa5twwLY8BsgHPIAOBnA7yuf8G/8gO5/7Cupf+ls1AB9s8Yf9ALQ/wDwczf/ACLR9s8Yf9ALQ/8Awczf/ItdBRQBz/2zxh/0AtD/APBzN/8AItH2zxh/0AtD/wDBzN/8i10FFAHP/bPGH/QC0P8A8HM3/wAi0fbPGH/QC0P/AMHM3/yLWTe/FDSLCZnuNM1tdMWbyX1U2JFqrZxksSG2543BcZrY13xVb6HJbwJp+pandXCl0g06381tg6sSSFUcjqee2aOlwG/bPGH/AEAtD/8ABzN/8i0fbPGH/QC0P/wczf8AyLU/hnxNYeKtMa+sBPH5crQTwXMZjlgkXG5HXsRkVs0NWA5/7Z4w/wCgFof/AIOZv/kWj7Z4w/6AWh/+Dmb/AORa6CigDn/tnjD/AKAWh/8Ag5m/+Raw/Cd14qXR7gQaNozp/ad+SX1aVTu+1zbhgWx4DZAOeQAcDOB3lc/4N/5Adz/2FdS/9LZqAD7Z4w/6AWh/+Dmb/wCRaPtnjD/oBaH/AODmb/5FroKKAOf+2eMP+gFof/g5m/8AkWj7Z4w/6AWh/wDg5m/+Ra6CigDn/tnjD/oBaH/4OZv/AJFo+2eMP+gFof8A4OZv/kWugooA5/7Z4w/6AWh/+Dmb/wCRaPtnjD/oBaH/AODmb/5FroKKAOf+2eMP+gFof/g5m/8AkWj7Z4w/6AWh/wDg5m/+Rarah46tLTU7yxtNI1jVZLHH2t7C3V0hJAbaSzLubBB2rk1uaRq1nrmk22p6fL5tpcoHjfBBI9wehB4oWquD0Mz7Z4w/6AWh/wDg5m/+RaPtnjD/AKAWh/8Ag5m/+Ra6CigDn/tnjD/oBaH/AODmb/5Fo+2eMP8AoBaH/wCDmb/5FroKKAOf+2eMP+gFof8A4OZv/kWj7Z4w/wCgFof/AIOZv/kWugooA5/7Z4w/6AWh/wDg5m/+RaPtnjD/AKAWh/8Ag5m/+Ra6CigDm/Axmbw3I1xHHHOdT1AyJG5dVb7ZNkBiASM98DPoK6Suf8G/8gO5/wCwrqX/AKWzV0FABXP2mf8AhYWtY/6BNh/6Nu66Cufs/wDkoes/9gqw/wDRt3QwOU+Go1F/hrO2ltYx6+1/cG7a8RmXz/OO7zApDE7Md/SoJfHviK28GeMbm+jsP7U0W6FpFJZxMIyW2APtdj0L55OOK6XUvh9p17rE+rWOo6to17c4NzJplz5QnIGAXUhlJ98ZqzpfgfRtM0TUNKZbm9h1Is17JeztJJcFhglm9cAdMfnSd2vl/lt2Q7+9fzv+Zx+mWvim01jR5rG08VnM6rqLatqEE0EsLfeYIJTsYHBGwD05qS+mudK8W3N14rvvEFpayXyf2deWdy32FYsgJHKi8KSeCXUg5611Ol+C49MntmOv67d29qcwWtxdjy0xwM7VVnAHQOWFMu/AttqF07X2ta1dWL3AuG06W5UwFg24D7u/aCAQu7HHSq6p/wBdP6RLvZ/13/r/AIY5q68PW938cJVe91SPfoouT5OoSoQfPI2jDcJ/sdM9qp+M9XsvtGuSWOseMLrUbNWA/spJfstjIq7gr7FCMP727dxnpXc654OtNb1m01b+0NS0++tozD5thOIzLGSGKPkHIyO2D71Su/h3p91c6i0eq6xaWmpO0t3ZWtyEhkdhhm+7uGepAYA9xjios+VJdL/np+Bd1zN+n5GJfa5q2vab4F0yO/l09/EMHnXl3bYWQKkIdkQ/wlieo6Y4qfT1vvCnxI07QU1jUdS03VLOaXy9QnM8kEkZHzBzztIOMHvW7eeBtKvfDmmaM8l5GNLRFsryGby7iEou0MHAxkjrxg+nSnaD4LsND1ObVGvNQ1PU5Y/JN5qM/myLHnOxcABRnngVo2udtba/8Aiz5Uuun56/gYvxax/wj2kLPj7C2tWYvA3Qxb+c+2dvWuq8SG1XwvqpvNn2UWcvm7x8u3Yc5qxqulWOuaXcaZqVulxZ3CbJI26Ef0IPII5BFcmPhfpsiR219rfiDUdNQgjTru/LQHByAQAGYDAwCxFZtXi49/8AJL9C07SUu3+dzloUnj8DfCtbnd5g1K0+91C+W+39MV7DWTq3h2z1h9KaZpYhpl2l3AsJCgsoIAIIPy4PQYrWrRu933bf4IzStbySX4sKKKKkoKKKKACiiigAooooAKKKKACiiigAooooAKKKKACuf8G/8gO5/wCwrqX/AKWzV0Fc/wCDf+QHc/8AYV1L/wBLZqAOgooooAKKKKAOB+IEz+J/+KE0vEl1ebH1CYcrZW4YMWb/AG2xhV78ngc11OqjWbaxhj8P22nSyr8pF9O8aqoHGNiMT9OPrXMWvwugsJruWy8WeJ7ZruZp5zFdRDe56knysn8a19U8GQam9pOuta1ZXtvAsBu7O72STIP+egwUY5JOdvU0l8Nvv/r+urG9/wCv6/r5mL8MH8oeIbG+Vl8QR6i02qAY8sySAFTHgn5NoGM88HNd/WL4c8Lad4Xtp47Lz5ZrmTzbm6upTLNO+MZdj147cD8zW1VPp6L8iV1+YUUUUhhXP+Df+QHc/wDYV1L/ANLZq6Cuf8G/8gO5/wCwrqX/AKWzUAdBRRRQAUUUUAFFFFABRRRQB5DNF4k1HXvFM/w/ljisXnaG/F4wHm3agBzb8HaduBuf5c9B3ruPh9caXceB9NGjwT29nCjQiG4OZEdWKuGI4J3A8jrUVx4DtTf3t3p2s6zpP26Qy3UNhcKscshxl8MrFWOOSpFbuj6RZaDpUGmadF5VrACEUsWJJJJJJ5JJJJPvRHSNvT+vTsEtZX/r/hy9RRRQAUUUUAFFFFABRRRQBz/g3/kB3P8A2FdS/wDS2augrn/Bv/IDuf8AsK6l/wCls1dBQAVj6h4Y03U9RN/Ob6O6aJYWe01C4ttyKWKgiN1BwXbr6mtiigDn/wDhDdL/AOfrXP8AwfXv/wAeo/4Q3S/+frXP/B9e/wDx6ugooA5//hDdL/5+tc/8H17/APHqP+EN0v8A5+tc/wDB9e//AB6ugooA5/8A4Q3S/wDn61z/AMH17/8AHqP+EN0v/n61z/wfXv8A8eroKKAOf/4Q3S/+frXP/B9e/wDx6j/hDdL/AOfrXP8AwfXv/wAeroKKAOf/AOEN0v8A5+tc/wDB9e//AB6j/hDdL/5+tc/8H17/APHq6CigDn/+EN0v/n61z/wfXv8A8eo/4Q3S/wDn61z/AMH17/8AHq6CigDn/wDhDdL/AOfrXP8AwfXv/wAeo/4Q3S/+frXP/B9e/wDx6ugooA5//hDdL/5+tc/8H17/APHqP+EN0v8A5+tc/wDB9e//AB6ugooA5/8A4Q3S/wDn61z/AMH17/8AHqP+EN0v/n61z/wfXv8A8eroKKAOf/4Q3S/+frXP/B9e/wDx6j/hDdL/AOfrXP8AwfXv/wAeroKKAOf/AOEN0v8A5+tc/wDB9e//AB6j/hDdL/5+tc/8H17/APHq6CigDn/+EN0v/n61z/wfXv8A8eo/4Q3S/wDn61z/AMH17/8AHq6CigDn/wDhDdL/AOfrXP8AwfXv/wAeo/4Q3S/+frXP/B9e/wDx6ugooA5//hDdL/5+tc/8H17/APHqP+EN0v8A5+tc/wDB9e//AB6ugooA5/8A4Q3S/wDn61z/AMH17/8AHqjh8DaLbIUgl1mJC7OVTW71QWZizHiXqWJJPckmukooA5//AIQ3S/8An61z/wAH17/8eo/4Q3S/+frXP/B9e/8Ax6ugooA5/wD4Q3S/+frXP/B9e/8Ax6j/AIQ3S/8An61z/wAH17/8eroKKAOf/wCEN0v/AJ+tc/8AB9e//HqP+EN0v/n61z/wfXv/AMeroKKAOf8A+EN0v/n61z/wfXv/AMeo/wCEN0v/AJ+tc/8AB9e//Hq6CigDn/8AhDdL/wCfrXP/AAfXv/x6j/hDdL/5+tc/8H17/wDHq6CigDn/APhDdL/5+tc/8H17/wDHqjh8DaLbIUgl1mJC7OVTW71QWZizHiXqWJJPckmukooA5/8A4Q3S/wDn61z/AMH17/8AHqP+EN0v/n61z/wfXv8A8eroKKAOf/4Q3S/+frXP/B9e/wDx6j/hDdL/AOfrXP8AwfXv/wAeroKKAOf/AOEN0v8A5+tc/wDB9e//AB6j/hDdL/5+tc/8H17/APHq6CigDn/+EN0v/n61z/wfXv8A8eo/4Q3S/wDn61z/AMH17/8AHq6CigDn/wDhDdL/AOfrXP8AwfXv/wAeo/4Q3S/+frXP/B9e/wDx6ugooA5//hDdL/5+tc/8H17/APHqP+EN0v8A5+tc/wDB9e//AB6ugooA5/8A4Q3S/wDn61z/AMH17/8AHqP+EN0v/n61z/wfXv8A8eroKKAOf/4Q3S/+frXP/B9e/wDx6j/hDdL/AOfrXP8AwfXv/wAeroKKAOf/AOEN0v8A5+tc/wDB9e//AB6j/hDdL/5+tc/8H17/APHq6CigCnpel2mjWC2VkkiwK7v+8leVizuXYlnJYksxOST1q5RRQB//2Q=="/>
        <xdr:cNvSpPr>
          <a:spLocks noChangeAspect="1" noChangeArrowheads="1"/>
        </xdr:cNvSpPr>
      </xdr:nvSpPr>
      <xdr:spPr bwMode="auto">
        <a:xfrm>
          <a:off x="2257425" y="25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32</xdr:row>
      <xdr:rowOff>76200</xdr:rowOff>
    </xdr:from>
    <xdr:to>
      <xdr:col>3</xdr:col>
      <xdr:colOff>389927</xdr:colOff>
      <xdr:row>53</xdr:row>
      <xdr:rowOff>151890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343025"/>
          <a:ext cx="4780952" cy="4076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-%20Compras/Jacqueline%20Prado/Diversos/C&#243;pia%20de%20Tahto%20-%20IT%20request%20-%20Atualizado%20-%20270202025%20Envio%20TI%20-%20Vis&#227;o_Essen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Azul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naldoferreira@assim.com.br" TargetMode="External"/><Relationship Id="rId13" Type="http://schemas.openxmlformats.org/officeDocument/2006/relationships/hyperlink" Target="mailto:storelli@interaxa.com" TargetMode="External"/><Relationship Id="rId18" Type="http://schemas.openxmlformats.org/officeDocument/2006/relationships/hyperlink" Target="mailto:flavio.dias@ironmountain.com.br" TargetMode="External"/><Relationship Id="rId3" Type="http://schemas.openxmlformats.org/officeDocument/2006/relationships/hyperlink" Target="mailto:comercial@wedocenter.com.br" TargetMode="External"/><Relationship Id="rId21" Type="http://schemas.openxmlformats.org/officeDocument/2006/relationships/hyperlink" Target="mailto:paula.mendes@infojobs.com.br" TargetMode="External"/><Relationship Id="rId7" Type="http://schemas.openxmlformats.org/officeDocument/2006/relationships/hyperlink" Target="mailto:aracaju@vipoffice.com.br" TargetMode="External"/><Relationship Id="rId12" Type="http://schemas.openxmlformats.org/officeDocument/2006/relationships/hyperlink" Target="mailto:cristiane.brito@lg.com.br" TargetMode="External"/><Relationship Id="rId17" Type="http://schemas.openxmlformats.org/officeDocument/2006/relationships/hyperlink" Target="mailto:carla.silva@nube.com.br" TargetMode="External"/><Relationship Id="rId25" Type="http://schemas.openxmlformats.org/officeDocument/2006/relationships/comments" Target="../comments1.xml"/><Relationship Id="rId2" Type="http://schemas.openxmlformats.org/officeDocument/2006/relationships/hyperlink" Target="mailto:sandra.antunes@2clix.cx" TargetMode="External"/><Relationship Id="rId16" Type="http://schemas.openxmlformats.org/officeDocument/2006/relationships/hyperlink" Target="mailto:alinem@brindes2go.com.br" TargetMode="External"/><Relationship Id="rId20" Type="http://schemas.openxmlformats.org/officeDocument/2006/relationships/hyperlink" Target="mailto:dlacerda@ticket.cim.br" TargetMode="External"/><Relationship Id="rId1" Type="http://schemas.openxmlformats.org/officeDocument/2006/relationships/hyperlink" Target="mailto:glamynjain@uber.com" TargetMode="External"/><Relationship Id="rId6" Type="http://schemas.openxmlformats.org/officeDocument/2006/relationships/hyperlink" Target="mailto:erica.cintra@magazineluiza.com.br" TargetMode="External"/><Relationship Id="rId11" Type="http://schemas.openxmlformats.org/officeDocument/2006/relationships/hyperlink" Target="mailto:cristiane.brito@lg.com.br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mailto:corporativo@magazineluiza.com.br" TargetMode="External"/><Relationship Id="rId15" Type="http://schemas.openxmlformats.org/officeDocument/2006/relationships/hyperlink" Target="mailto:ricardo.barboza@neosyx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andrecoutinho@movida.com.br" TargetMode="External"/><Relationship Id="rId19" Type="http://schemas.openxmlformats.org/officeDocument/2006/relationships/hyperlink" Target="mailto:controladoria@linq.net.br" TargetMode="External"/><Relationship Id="rId4" Type="http://schemas.openxmlformats.org/officeDocument/2006/relationships/hyperlink" Target="mailto:pvergani@verointernet.com.br" TargetMode="External"/><Relationship Id="rId9" Type="http://schemas.openxmlformats.org/officeDocument/2006/relationships/hyperlink" Target="mailto:hugodosrr208@gmail.com" TargetMode="External"/><Relationship Id="rId14" Type="http://schemas.openxmlformats.org/officeDocument/2006/relationships/hyperlink" Target="mailto:radibra@netgo.com.br" TargetMode="External"/><Relationship Id="rId22" Type="http://schemas.openxmlformats.org/officeDocument/2006/relationships/hyperlink" Target="mailto:dulce@centraldediligencias.com.b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linem@brindes2go.com.b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torelli@interaxa.com" TargetMode="External"/><Relationship Id="rId1" Type="http://schemas.openxmlformats.org/officeDocument/2006/relationships/hyperlink" Target="mailto:radibra@netgo.com.br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erica.cintra@magazineluiza.com.br" TargetMode="External"/><Relationship Id="rId13" Type="http://schemas.openxmlformats.org/officeDocument/2006/relationships/hyperlink" Target="mailto:alinem@brindes2go.com.br" TargetMode="External"/><Relationship Id="rId18" Type="http://schemas.openxmlformats.org/officeDocument/2006/relationships/hyperlink" Target="mailto:dulce@centraldediligencias.com.br" TargetMode="External"/><Relationship Id="rId3" Type="http://schemas.openxmlformats.org/officeDocument/2006/relationships/hyperlink" Target="mailto:cristiane.brito@lg.com.br" TargetMode="External"/><Relationship Id="rId21" Type="http://schemas.openxmlformats.org/officeDocument/2006/relationships/vmlDrawing" Target="../drawings/vmlDrawing2.vml"/><Relationship Id="rId7" Type="http://schemas.openxmlformats.org/officeDocument/2006/relationships/hyperlink" Target="mailto:corporativo@magazineluiza.com.br" TargetMode="External"/><Relationship Id="rId12" Type="http://schemas.openxmlformats.org/officeDocument/2006/relationships/hyperlink" Target="mailto:ricardo.barboza@neosyx.com" TargetMode="External"/><Relationship Id="rId17" Type="http://schemas.openxmlformats.org/officeDocument/2006/relationships/hyperlink" Target="mailto:paula.mendes@infojobs.com.br" TargetMode="External"/><Relationship Id="rId2" Type="http://schemas.openxmlformats.org/officeDocument/2006/relationships/hyperlink" Target="mailto:cristiane.brito@lg.com.br" TargetMode="External"/><Relationship Id="rId16" Type="http://schemas.openxmlformats.org/officeDocument/2006/relationships/hyperlink" Target="mailto:controladoria@linq.net.br" TargetMode="External"/><Relationship Id="rId20" Type="http://schemas.openxmlformats.org/officeDocument/2006/relationships/printerSettings" Target="../printerSettings/printerSettings3.bin"/><Relationship Id="rId1" Type="http://schemas.openxmlformats.org/officeDocument/2006/relationships/hyperlink" Target="mailto:andrecoutinho@movida.com.br" TargetMode="External"/><Relationship Id="rId6" Type="http://schemas.openxmlformats.org/officeDocument/2006/relationships/hyperlink" Target="mailto:pvergani@verointernet.com.br" TargetMode="External"/><Relationship Id="rId11" Type="http://schemas.openxmlformats.org/officeDocument/2006/relationships/hyperlink" Target="mailto:radibra@netgo.com.br" TargetMode="External"/><Relationship Id="rId5" Type="http://schemas.openxmlformats.org/officeDocument/2006/relationships/hyperlink" Target="mailto:sandra.antunes@2clix.cx" TargetMode="External"/><Relationship Id="rId15" Type="http://schemas.openxmlformats.org/officeDocument/2006/relationships/hyperlink" Target="mailto:flavio.dias@ironmountain.com.br" TargetMode="External"/><Relationship Id="rId10" Type="http://schemas.openxmlformats.org/officeDocument/2006/relationships/hyperlink" Target="mailto:ronaldoferreira@assim.com.br" TargetMode="External"/><Relationship Id="rId19" Type="http://schemas.openxmlformats.org/officeDocument/2006/relationships/hyperlink" Target="mailto:storelli@interaxa.com" TargetMode="External"/><Relationship Id="rId4" Type="http://schemas.openxmlformats.org/officeDocument/2006/relationships/hyperlink" Target="mailto:glamynjain@uber.com" TargetMode="External"/><Relationship Id="rId9" Type="http://schemas.openxmlformats.org/officeDocument/2006/relationships/hyperlink" Target="mailto:aracaju@vipoffice.com.br" TargetMode="External"/><Relationship Id="rId14" Type="http://schemas.openxmlformats.org/officeDocument/2006/relationships/hyperlink" Target="mailto:carla.silva@nube.com.br" TargetMode="External"/><Relationship Id="rId22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ronaldoferreira@assim.com.br" TargetMode="External"/><Relationship Id="rId13" Type="http://schemas.openxmlformats.org/officeDocument/2006/relationships/hyperlink" Target="mailto:flavio.dias@ironmountain.com.br" TargetMode="External"/><Relationship Id="rId18" Type="http://schemas.openxmlformats.org/officeDocument/2006/relationships/vmlDrawing" Target="../drawings/vmlDrawing3.vml"/><Relationship Id="rId3" Type="http://schemas.openxmlformats.org/officeDocument/2006/relationships/hyperlink" Target="mailto:comercial@wedocenter.com.br" TargetMode="External"/><Relationship Id="rId7" Type="http://schemas.openxmlformats.org/officeDocument/2006/relationships/hyperlink" Target="mailto:aracaju@vipoffice.com.br" TargetMode="External"/><Relationship Id="rId12" Type="http://schemas.openxmlformats.org/officeDocument/2006/relationships/hyperlink" Target="mailto:carla.silva@nube.com.br" TargetMode="External"/><Relationship Id="rId17" Type="http://schemas.openxmlformats.org/officeDocument/2006/relationships/printerSettings" Target="../printerSettings/printerSettings5.bin"/><Relationship Id="rId2" Type="http://schemas.openxmlformats.org/officeDocument/2006/relationships/hyperlink" Target="mailto:sandra.antunes@2clix.cx" TargetMode="External"/><Relationship Id="rId16" Type="http://schemas.openxmlformats.org/officeDocument/2006/relationships/hyperlink" Target="mailto:dulce@centraldediligencias.com.br" TargetMode="External"/><Relationship Id="rId1" Type="http://schemas.openxmlformats.org/officeDocument/2006/relationships/hyperlink" Target="mailto:glamynjain@uber.com" TargetMode="External"/><Relationship Id="rId6" Type="http://schemas.openxmlformats.org/officeDocument/2006/relationships/hyperlink" Target="mailto:erica.cintra@magazineluiza.com.br" TargetMode="External"/><Relationship Id="rId11" Type="http://schemas.openxmlformats.org/officeDocument/2006/relationships/hyperlink" Target="mailto:alinem@brindes2go.com.br" TargetMode="External"/><Relationship Id="rId5" Type="http://schemas.openxmlformats.org/officeDocument/2006/relationships/hyperlink" Target="mailto:corporativo@magazineluiza.com.br" TargetMode="External"/><Relationship Id="rId15" Type="http://schemas.openxmlformats.org/officeDocument/2006/relationships/hyperlink" Target="mailto:paula.mendes@infojobs.com.br" TargetMode="External"/><Relationship Id="rId10" Type="http://schemas.openxmlformats.org/officeDocument/2006/relationships/hyperlink" Target="mailto:ricardo.barboza@neosyx.com" TargetMode="External"/><Relationship Id="rId19" Type="http://schemas.openxmlformats.org/officeDocument/2006/relationships/comments" Target="../comments3.xml"/><Relationship Id="rId4" Type="http://schemas.openxmlformats.org/officeDocument/2006/relationships/hyperlink" Target="mailto:pvergani@verointernet.com.br" TargetMode="External"/><Relationship Id="rId9" Type="http://schemas.openxmlformats.org/officeDocument/2006/relationships/hyperlink" Target="mailto:radibra@netgo.com.br" TargetMode="External"/><Relationship Id="rId14" Type="http://schemas.openxmlformats.org/officeDocument/2006/relationships/hyperlink" Target="mailto:controladoria@linq.net.br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torelli@interaxa.com" TargetMode="External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cristiane.brito@lg.com.br" TargetMode="External"/><Relationship Id="rId7" Type="http://schemas.openxmlformats.org/officeDocument/2006/relationships/comments" Target="../comments5.xml"/><Relationship Id="rId2" Type="http://schemas.openxmlformats.org/officeDocument/2006/relationships/hyperlink" Target="mailto:cristiane.brito@lg.com.br" TargetMode="External"/><Relationship Id="rId1" Type="http://schemas.openxmlformats.org/officeDocument/2006/relationships/hyperlink" Target="mailto:andrecoutinho@movida.com.br" TargetMode="External"/><Relationship Id="rId6" Type="http://schemas.openxmlformats.org/officeDocument/2006/relationships/vmlDrawing" Target="../drawings/vmlDrawing5.vm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mailto:dlacerda@ticket.cim.br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comercial@wedocenter.com.br" TargetMode="External"/><Relationship Id="rId2" Type="http://schemas.openxmlformats.org/officeDocument/2006/relationships/hyperlink" Target="mailto:hugodosrr208@gmail.com" TargetMode="External"/><Relationship Id="rId1" Type="http://schemas.openxmlformats.org/officeDocument/2006/relationships/hyperlink" Target="mailto:hugodosrr208@gmail.com" TargetMode="External"/><Relationship Id="rId6" Type="http://schemas.openxmlformats.org/officeDocument/2006/relationships/comments" Target="../comments6.xml"/><Relationship Id="rId5" Type="http://schemas.openxmlformats.org/officeDocument/2006/relationships/vmlDrawing" Target="../drawings/vmlDrawing6.vml"/><Relationship Id="rId4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7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.bin"/><Relationship Id="rId3" Type="http://schemas.openxmlformats.org/officeDocument/2006/relationships/hyperlink" Target="mailto:douglas@eqsengenharia.com.br" TargetMode="External"/><Relationship Id="rId7" Type="http://schemas.openxmlformats.org/officeDocument/2006/relationships/hyperlink" Target="mailto:etcuritiba@markbuilding.com.br" TargetMode="External"/><Relationship Id="rId2" Type="http://schemas.openxmlformats.org/officeDocument/2006/relationships/hyperlink" Target="mailto:douglas@eqsengenharia.com.br" TargetMode="External"/><Relationship Id="rId1" Type="http://schemas.openxmlformats.org/officeDocument/2006/relationships/hyperlink" Target="mailto:storelli@interaxa.com" TargetMode="External"/><Relationship Id="rId6" Type="http://schemas.openxmlformats.org/officeDocument/2006/relationships/hyperlink" Target="mailto:matheus.melo@qmsbrasil.com.br" TargetMode="External"/><Relationship Id="rId5" Type="http://schemas.openxmlformats.org/officeDocument/2006/relationships/hyperlink" Target="mailto:andrecoutinho@movida.com.br" TargetMode="External"/><Relationship Id="rId4" Type="http://schemas.openxmlformats.org/officeDocument/2006/relationships/hyperlink" Target="mailto:cristiane.brito@lg.com.br" TargetMode="External"/><Relationship Id="rId9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theme="7" tint="-0.249977111117893"/>
  </sheetPr>
  <dimension ref="A1:Y173"/>
  <sheetViews>
    <sheetView showGridLines="0" zoomScale="80" zoomScaleNormal="80" workbookViewId="0">
      <pane ySplit="2" topLeftCell="A3" activePane="bottomLeft" state="frozen"/>
      <selection activeCell="F1" sqref="F1"/>
      <selection pane="bottomLeft" activeCell="A56" sqref="A56:XFD56"/>
    </sheetView>
  </sheetViews>
  <sheetFormatPr defaultColWidth="9.140625" defaultRowHeight="12.75" x14ac:dyDescent="0.2"/>
  <cols>
    <col min="1" max="1" width="19.5703125" style="353" customWidth="1"/>
    <col min="2" max="2" width="49.42578125" style="349" customWidth="1"/>
    <col min="3" max="5" width="14.5703125" style="351" customWidth="1"/>
    <col min="6" max="7" width="28.85546875" style="325" customWidth="1"/>
    <col min="8" max="8" width="21" style="351" customWidth="1"/>
    <col min="9" max="9" width="28.85546875" style="351" customWidth="1"/>
    <col min="10" max="10" width="43.5703125" style="349" customWidth="1"/>
    <col min="11" max="11" width="20.28515625" style="349" bestFit="1" customWidth="1"/>
    <col min="12" max="12" width="10.7109375" style="325" customWidth="1"/>
    <col min="13" max="13" width="11.28515625" style="351" customWidth="1"/>
    <col min="14" max="14" width="16.28515625" style="351" bestFit="1" customWidth="1"/>
    <col min="15" max="15" width="44.28515625" style="349" customWidth="1"/>
    <col min="16" max="16" width="29.7109375" style="349" customWidth="1"/>
    <col min="17" max="17" width="24.42578125" style="349" customWidth="1"/>
    <col min="18" max="18" width="32.85546875" style="349" customWidth="1"/>
    <col min="19" max="19" width="19.7109375" style="349" customWidth="1"/>
    <col min="20" max="20" width="16.140625" style="349" customWidth="1"/>
    <col min="21" max="21" width="29" style="349" bestFit="1" customWidth="1"/>
    <col min="22" max="22" width="46.5703125" style="349" customWidth="1"/>
    <col min="23" max="23" width="36.140625" style="349" customWidth="1"/>
    <col min="24" max="24" width="30.28515625" style="351" customWidth="1"/>
    <col min="25" max="16384" width="9.140625" style="349"/>
  </cols>
  <sheetData>
    <row r="1" spans="1:24" ht="79.5" customHeight="1" x14ac:dyDescent="0.2">
      <c r="A1" s="350" t="s">
        <v>592</v>
      </c>
      <c r="D1" s="504" t="s">
        <v>1621</v>
      </c>
      <c r="E1" s="504"/>
      <c r="F1" s="504"/>
    </row>
    <row r="2" spans="1:24" s="352" customFormat="1" ht="58.5" customHeight="1" x14ac:dyDescent="0.2">
      <c r="A2" s="354" t="s">
        <v>0</v>
      </c>
      <c r="B2" s="354" t="s">
        <v>1</v>
      </c>
      <c r="C2" s="354" t="s">
        <v>2</v>
      </c>
      <c r="D2" s="354" t="s">
        <v>566</v>
      </c>
      <c r="E2" s="354" t="s">
        <v>4</v>
      </c>
      <c r="F2" s="354" t="s">
        <v>633</v>
      </c>
      <c r="G2" s="354" t="s">
        <v>5</v>
      </c>
      <c r="H2" s="354" t="s">
        <v>1615</v>
      </c>
      <c r="I2" s="354" t="s">
        <v>6</v>
      </c>
      <c r="J2" s="354" t="s">
        <v>7</v>
      </c>
      <c r="K2" s="355" t="s">
        <v>1566</v>
      </c>
      <c r="L2" s="354" t="s">
        <v>9</v>
      </c>
      <c r="M2" s="354" t="s">
        <v>10</v>
      </c>
      <c r="N2" s="354" t="s">
        <v>11</v>
      </c>
      <c r="O2" s="354" t="s">
        <v>16</v>
      </c>
      <c r="P2" s="354" t="s">
        <v>201</v>
      </c>
      <c r="Q2" s="354" t="s">
        <v>202</v>
      </c>
      <c r="R2" s="354" t="s">
        <v>257</v>
      </c>
      <c r="S2" s="354" t="s">
        <v>301</v>
      </c>
      <c r="T2" s="354" t="s">
        <v>299</v>
      </c>
      <c r="U2" s="354" t="s">
        <v>300</v>
      </c>
      <c r="V2" s="354" t="s">
        <v>298</v>
      </c>
      <c r="W2" s="354" t="s">
        <v>17</v>
      </c>
      <c r="X2" s="354" t="s">
        <v>278</v>
      </c>
    </row>
    <row r="3" spans="1:24" s="326" customFormat="1" ht="50.1" hidden="1" customHeight="1" x14ac:dyDescent="0.25">
      <c r="A3" s="329">
        <v>4600048432</v>
      </c>
      <c r="B3" s="329" t="s">
        <v>47</v>
      </c>
      <c r="C3" s="329">
        <v>192963</v>
      </c>
      <c r="D3" s="329" t="s">
        <v>569</v>
      </c>
      <c r="E3" s="329">
        <v>30</v>
      </c>
      <c r="F3" s="331" t="s">
        <v>1575</v>
      </c>
      <c r="G3" s="329" t="s">
        <v>1569</v>
      </c>
      <c r="H3" s="329" t="s">
        <v>710</v>
      </c>
      <c r="I3" s="329" t="s">
        <v>18</v>
      </c>
      <c r="J3" s="358" t="s">
        <v>1731</v>
      </c>
      <c r="K3" s="359">
        <v>0</v>
      </c>
      <c r="L3" s="329" t="s">
        <v>19</v>
      </c>
      <c r="M3" s="360">
        <v>44927</v>
      </c>
      <c r="N3" s="360">
        <v>46022</v>
      </c>
      <c r="O3" s="331" t="s">
        <v>29</v>
      </c>
      <c r="P3" s="362" t="s">
        <v>30</v>
      </c>
      <c r="Q3" s="362" t="s">
        <v>203</v>
      </c>
      <c r="R3" s="331" t="s">
        <v>265</v>
      </c>
      <c r="S3" s="331" t="s">
        <v>319</v>
      </c>
      <c r="T3" s="331" t="s">
        <v>320</v>
      </c>
      <c r="U3" s="331" t="s">
        <v>321</v>
      </c>
      <c r="V3" s="330" t="s">
        <v>317</v>
      </c>
      <c r="W3" s="363" t="s">
        <v>776</v>
      </c>
      <c r="X3" s="330"/>
    </row>
    <row r="4" spans="1:24" s="326" customFormat="1" ht="50.1" hidden="1" customHeight="1" x14ac:dyDescent="0.25">
      <c r="A4" s="329" t="s">
        <v>1572</v>
      </c>
      <c r="B4" s="329" t="s">
        <v>82</v>
      </c>
      <c r="C4" s="329">
        <v>3037081</v>
      </c>
      <c r="D4" s="329" t="s">
        <v>569</v>
      </c>
      <c r="E4" s="329">
        <v>60</v>
      </c>
      <c r="F4" s="358" t="s">
        <v>1570</v>
      </c>
      <c r="G4" s="329" t="s">
        <v>1571</v>
      </c>
      <c r="H4" s="329" t="s">
        <v>710</v>
      </c>
      <c r="I4" s="329" t="s">
        <v>18</v>
      </c>
      <c r="J4" s="358" t="s">
        <v>1732</v>
      </c>
      <c r="K4" s="359">
        <v>922828.52</v>
      </c>
      <c r="L4" s="329" t="s">
        <v>19</v>
      </c>
      <c r="M4" s="360">
        <v>44217</v>
      </c>
      <c r="N4" s="360">
        <v>46132</v>
      </c>
      <c r="O4" s="331" t="s">
        <v>208</v>
      </c>
      <c r="P4" s="331" t="s">
        <v>876</v>
      </c>
      <c r="Q4" s="361" t="s">
        <v>20</v>
      </c>
      <c r="R4" s="331" t="s">
        <v>263</v>
      </c>
      <c r="S4" s="331" t="s">
        <v>1002</v>
      </c>
      <c r="T4" s="331" t="s">
        <v>367</v>
      </c>
      <c r="U4" s="331" t="s">
        <v>1003</v>
      </c>
      <c r="V4" s="330" t="s">
        <v>1004</v>
      </c>
      <c r="W4" s="331" t="s">
        <v>83</v>
      </c>
      <c r="X4" s="330"/>
    </row>
    <row r="5" spans="1:24" s="326" customFormat="1" ht="50.1" hidden="1" customHeight="1" x14ac:dyDescent="0.25">
      <c r="A5" s="329">
        <v>4600053335</v>
      </c>
      <c r="B5" s="329" t="s">
        <v>61</v>
      </c>
      <c r="C5" s="329">
        <v>188451</v>
      </c>
      <c r="D5" s="329" t="s">
        <v>568</v>
      </c>
      <c r="E5" s="329">
        <v>60</v>
      </c>
      <c r="F5" s="331" t="s">
        <v>1575</v>
      </c>
      <c r="G5" s="329" t="s">
        <v>1569</v>
      </c>
      <c r="H5" s="329" t="s">
        <v>710</v>
      </c>
      <c r="I5" s="329" t="s">
        <v>18</v>
      </c>
      <c r="J5" s="358" t="s">
        <v>1733</v>
      </c>
      <c r="K5" s="359">
        <v>1991529</v>
      </c>
      <c r="L5" s="329" t="s">
        <v>19</v>
      </c>
      <c r="M5" s="360">
        <v>44287</v>
      </c>
      <c r="N5" s="360">
        <v>46022</v>
      </c>
      <c r="O5" s="331" t="s">
        <v>85</v>
      </c>
      <c r="P5" s="362" t="s">
        <v>612</v>
      </c>
      <c r="Q5" s="362" t="s">
        <v>86</v>
      </c>
      <c r="R5" s="331" t="s">
        <v>86</v>
      </c>
      <c r="S5" s="331" t="s">
        <v>965</v>
      </c>
      <c r="T5" s="331" t="s">
        <v>741</v>
      </c>
      <c r="U5" s="331" t="s">
        <v>740</v>
      </c>
      <c r="V5" s="330" t="s">
        <v>742</v>
      </c>
      <c r="W5" s="331"/>
      <c r="X5" s="330"/>
    </row>
    <row r="6" spans="1:24" s="326" customFormat="1" ht="50.1" hidden="1" customHeight="1" x14ac:dyDescent="0.25">
      <c r="A6" s="329">
        <v>4600056498</v>
      </c>
      <c r="B6" s="329" t="s">
        <v>144</v>
      </c>
      <c r="C6" s="329">
        <v>102179</v>
      </c>
      <c r="D6" s="329" t="s">
        <v>568</v>
      </c>
      <c r="E6" s="329">
        <v>60</v>
      </c>
      <c r="F6" s="358" t="s">
        <v>1574</v>
      </c>
      <c r="G6" s="329" t="s">
        <v>1571</v>
      </c>
      <c r="H6" s="329" t="s">
        <v>710</v>
      </c>
      <c r="I6" s="329" t="s">
        <v>18</v>
      </c>
      <c r="J6" s="364" t="s">
        <v>1734</v>
      </c>
      <c r="K6" s="359">
        <v>55025645</v>
      </c>
      <c r="L6" s="329" t="s">
        <v>19</v>
      </c>
      <c r="M6" s="360">
        <v>45047</v>
      </c>
      <c r="N6" s="360">
        <v>46022</v>
      </c>
      <c r="O6" s="331" t="s">
        <v>29</v>
      </c>
      <c r="P6" s="331" t="s">
        <v>30</v>
      </c>
      <c r="Q6" s="361" t="s">
        <v>203</v>
      </c>
      <c r="R6" s="331" t="s">
        <v>265</v>
      </c>
      <c r="S6" s="331" t="s">
        <v>421</v>
      </c>
      <c r="T6" s="331" t="s">
        <v>420</v>
      </c>
      <c r="U6" s="331" t="s">
        <v>419</v>
      </c>
      <c r="V6" s="330" t="s">
        <v>418</v>
      </c>
      <c r="W6" s="331" t="s">
        <v>1611</v>
      </c>
      <c r="X6" s="330"/>
    </row>
    <row r="7" spans="1:24" s="326" customFormat="1" ht="50.1" hidden="1" customHeight="1" x14ac:dyDescent="0.25">
      <c r="A7" s="331">
        <v>4600057534</v>
      </c>
      <c r="B7" s="331" t="s">
        <v>182</v>
      </c>
      <c r="C7" s="331">
        <v>102369</v>
      </c>
      <c r="D7" s="329" t="s">
        <v>568</v>
      </c>
      <c r="E7" s="331">
        <v>60</v>
      </c>
      <c r="F7" s="331" t="s">
        <v>1575</v>
      </c>
      <c r="G7" s="329" t="s">
        <v>1569</v>
      </c>
      <c r="H7" s="329" t="s">
        <v>710</v>
      </c>
      <c r="I7" s="331" t="s">
        <v>18</v>
      </c>
      <c r="J7" s="365" t="s">
        <v>1735</v>
      </c>
      <c r="K7" s="340">
        <v>1155397.68</v>
      </c>
      <c r="L7" s="331" t="s">
        <v>19</v>
      </c>
      <c r="M7" s="344">
        <v>45141</v>
      </c>
      <c r="N7" s="360">
        <v>46236</v>
      </c>
      <c r="O7" s="331" t="s">
        <v>22</v>
      </c>
      <c r="P7" s="331" t="s">
        <v>211</v>
      </c>
      <c r="Q7" s="361" t="s">
        <v>553</v>
      </c>
      <c r="R7" s="331" t="s">
        <v>206</v>
      </c>
      <c r="S7" s="331" t="s">
        <v>1005</v>
      </c>
      <c r="T7" s="331" t="s">
        <v>1007</v>
      </c>
      <c r="U7" s="331" t="s">
        <v>432</v>
      </c>
      <c r="V7" s="330" t="s">
        <v>1006</v>
      </c>
      <c r="W7" s="331"/>
      <c r="X7" s="330"/>
    </row>
    <row r="8" spans="1:24" s="326" customFormat="1" ht="50.1" hidden="1" customHeight="1" x14ac:dyDescent="0.25">
      <c r="A8" s="331">
        <v>4600057638</v>
      </c>
      <c r="B8" s="331" t="s">
        <v>182</v>
      </c>
      <c r="C8" s="331">
        <v>102369</v>
      </c>
      <c r="D8" s="331" t="s">
        <v>567</v>
      </c>
      <c r="E8" s="331">
        <v>60</v>
      </c>
      <c r="F8" s="331" t="s">
        <v>1575</v>
      </c>
      <c r="G8" s="329" t="s">
        <v>1569</v>
      </c>
      <c r="H8" s="329" t="s">
        <v>710</v>
      </c>
      <c r="I8" s="331" t="s">
        <v>18</v>
      </c>
      <c r="J8" s="365" t="s">
        <v>1736</v>
      </c>
      <c r="K8" s="340">
        <v>250000</v>
      </c>
      <c r="L8" s="331" t="s">
        <v>19</v>
      </c>
      <c r="M8" s="344">
        <v>45204</v>
      </c>
      <c r="N8" s="360">
        <v>46301</v>
      </c>
      <c r="O8" s="331" t="s">
        <v>22</v>
      </c>
      <c r="P8" s="331" t="s">
        <v>211</v>
      </c>
      <c r="Q8" s="361" t="s">
        <v>875</v>
      </c>
      <c r="R8" s="331" t="s">
        <v>206</v>
      </c>
      <c r="S8" s="331" t="s">
        <v>1005</v>
      </c>
      <c r="T8" s="331" t="s">
        <v>1007</v>
      </c>
      <c r="U8" s="331" t="s">
        <v>432</v>
      </c>
      <c r="V8" s="330" t="s">
        <v>1006</v>
      </c>
      <c r="W8" s="331"/>
      <c r="X8" s="330"/>
    </row>
    <row r="9" spans="1:24" s="326" customFormat="1" ht="50.1" hidden="1" customHeight="1" x14ac:dyDescent="0.25">
      <c r="A9" s="331">
        <v>4600057680</v>
      </c>
      <c r="B9" s="331" t="s">
        <v>182</v>
      </c>
      <c r="C9" s="331">
        <v>102369</v>
      </c>
      <c r="D9" s="331" t="s">
        <v>567</v>
      </c>
      <c r="E9" s="331">
        <v>60</v>
      </c>
      <c r="F9" s="331" t="s">
        <v>1575</v>
      </c>
      <c r="G9" s="329" t="s">
        <v>1569</v>
      </c>
      <c r="H9" s="329" t="s">
        <v>710</v>
      </c>
      <c r="I9" s="331" t="s">
        <v>18</v>
      </c>
      <c r="J9" s="365" t="s">
        <v>1737</v>
      </c>
      <c r="K9" s="340">
        <v>316958.76</v>
      </c>
      <c r="L9" s="331" t="s">
        <v>19</v>
      </c>
      <c r="M9" s="344">
        <v>45161</v>
      </c>
      <c r="N9" s="360">
        <v>46258</v>
      </c>
      <c r="O9" s="331" t="s">
        <v>22</v>
      </c>
      <c r="P9" s="331" t="s">
        <v>211</v>
      </c>
      <c r="Q9" s="361" t="s">
        <v>553</v>
      </c>
      <c r="R9" s="331" t="s">
        <v>206</v>
      </c>
      <c r="S9" s="331" t="s">
        <v>1005</v>
      </c>
      <c r="T9" s="331" t="s">
        <v>1007</v>
      </c>
      <c r="U9" s="331" t="s">
        <v>432</v>
      </c>
      <c r="V9" s="330" t="s">
        <v>1006</v>
      </c>
      <c r="W9" s="331"/>
      <c r="X9" s="330"/>
    </row>
    <row r="10" spans="1:24" s="326" customFormat="1" ht="50.1" hidden="1" customHeight="1" x14ac:dyDescent="0.25">
      <c r="A10" s="331">
        <v>4600057700</v>
      </c>
      <c r="B10" s="331" t="s">
        <v>61</v>
      </c>
      <c r="C10" s="329">
        <v>188451</v>
      </c>
      <c r="D10" s="329" t="s">
        <v>637</v>
      </c>
      <c r="E10" s="331">
        <v>45</v>
      </c>
      <c r="F10" s="331" t="s">
        <v>1575</v>
      </c>
      <c r="G10" s="329" t="s">
        <v>1569</v>
      </c>
      <c r="H10" s="331" t="s">
        <v>710</v>
      </c>
      <c r="I10" s="331" t="s">
        <v>18</v>
      </c>
      <c r="J10" s="365" t="s">
        <v>1738</v>
      </c>
      <c r="K10" s="340">
        <v>700000</v>
      </c>
      <c r="L10" s="331" t="s">
        <v>19</v>
      </c>
      <c r="M10" s="344">
        <v>45251</v>
      </c>
      <c r="N10" s="360">
        <v>46348</v>
      </c>
      <c r="O10" s="331" t="s">
        <v>22</v>
      </c>
      <c r="P10" s="331" t="s">
        <v>204</v>
      </c>
      <c r="Q10" s="361" t="s">
        <v>553</v>
      </c>
      <c r="R10" s="331" t="s">
        <v>206</v>
      </c>
      <c r="S10" s="331" t="s">
        <v>965</v>
      </c>
      <c r="T10" s="331" t="s">
        <v>741</v>
      </c>
      <c r="U10" s="331" t="s">
        <v>740</v>
      </c>
      <c r="V10" s="330" t="s">
        <v>742</v>
      </c>
      <c r="W10" s="331"/>
      <c r="X10" s="330"/>
    </row>
    <row r="11" spans="1:24" s="326" customFormat="1" ht="50.1" hidden="1" customHeight="1" x14ac:dyDescent="0.25">
      <c r="A11" s="329" t="s">
        <v>1713</v>
      </c>
      <c r="B11" s="329" t="s">
        <v>273</v>
      </c>
      <c r="C11" s="331">
        <v>3042510</v>
      </c>
      <c r="D11" s="331" t="s">
        <v>567</v>
      </c>
      <c r="E11" s="331">
        <v>45</v>
      </c>
      <c r="F11" s="331" t="s">
        <v>1575</v>
      </c>
      <c r="G11" s="329" t="s">
        <v>1569</v>
      </c>
      <c r="H11" s="329" t="s">
        <v>709</v>
      </c>
      <c r="I11" s="331" t="s">
        <v>18</v>
      </c>
      <c r="J11" s="331" t="s">
        <v>1739</v>
      </c>
      <c r="K11" s="340">
        <v>187935</v>
      </c>
      <c r="L11" s="331" t="s">
        <v>19</v>
      </c>
      <c r="M11" s="344">
        <v>45133</v>
      </c>
      <c r="N11" s="360">
        <v>46228</v>
      </c>
      <c r="O11" s="331" t="s">
        <v>259</v>
      </c>
      <c r="P11" s="331" t="s">
        <v>74</v>
      </c>
      <c r="Q11" s="331" t="s">
        <v>74</v>
      </c>
      <c r="R11" s="331" t="s">
        <v>262</v>
      </c>
      <c r="S11" s="331" t="s">
        <v>1021</v>
      </c>
      <c r="T11" s="331" t="s">
        <v>1022</v>
      </c>
      <c r="U11" s="331"/>
      <c r="V11" s="330" t="s">
        <v>1020</v>
      </c>
      <c r="W11" s="331"/>
      <c r="X11" s="332">
        <v>45299</v>
      </c>
    </row>
    <row r="12" spans="1:24" s="326" customFormat="1" ht="50.1" hidden="1" customHeight="1" x14ac:dyDescent="0.25">
      <c r="A12" s="329">
        <v>4600057919</v>
      </c>
      <c r="B12" s="329" t="s">
        <v>64</v>
      </c>
      <c r="C12" s="329">
        <v>3029701</v>
      </c>
      <c r="D12" s="335" t="s">
        <v>567</v>
      </c>
      <c r="E12" s="329">
        <v>45</v>
      </c>
      <c r="F12" s="331" t="s">
        <v>1575</v>
      </c>
      <c r="G12" s="329" t="s">
        <v>1569</v>
      </c>
      <c r="H12" s="329" t="s">
        <v>709</v>
      </c>
      <c r="I12" s="329" t="s">
        <v>18</v>
      </c>
      <c r="J12" s="358" t="s">
        <v>1740</v>
      </c>
      <c r="K12" s="359">
        <v>677772</v>
      </c>
      <c r="L12" s="329" t="s">
        <v>19</v>
      </c>
      <c r="M12" s="360">
        <v>45337</v>
      </c>
      <c r="N12" s="360">
        <v>46072</v>
      </c>
      <c r="O12" s="331" t="s">
        <v>208</v>
      </c>
      <c r="P12" s="331" t="s">
        <v>876</v>
      </c>
      <c r="Q12" s="361" t="s">
        <v>20</v>
      </c>
      <c r="R12" s="331" t="s">
        <v>283</v>
      </c>
      <c r="S12" s="335" t="s">
        <v>746</v>
      </c>
      <c r="T12" s="331" t="s">
        <v>344</v>
      </c>
      <c r="U12" s="331" t="s">
        <v>308</v>
      </c>
      <c r="V12" s="330" t="s">
        <v>343</v>
      </c>
      <c r="W12" s="331"/>
      <c r="X12" s="332">
        <v>45342</v>
      </c>
    </row>
    <row r="13" spans="1:24" s="326" customFormat="1" ht="50.1" hidden="1" customHeight="1" x14ac:dyDescent="0.25">
      <c r="A13" s="331">
        <v>4600058062</v>
      </c>
      <c r="B13" s="329" t="s">
        <v>997</v>
      </c>
      <c r="C13" s="331">
        <v>3045388</v>
      </c>
      <c r="D13" s="329" t="s">
        <v>569</v>
      </c>
      <c r="E13" s="331">
        <v>90</v>
      </c>
      <c r="F13" s="365" t="s">
        <v>1574</v>
      </c>
      <c r="G13" s="329" t="s">
        <v>1569</v>
      </c>
      <c r="H13" s="331" t="s">
        <v>709</v>
      </c>
      <c r="I13" s="329" t="s">
        <v>18</v>
      </c>
      <c r="J13" s="331" t="s">
        <v>1741</v>
      </c>
      <c r="K13" s="340">
        <v>13163356.359999999</v>
      </c>
      <c r="L13" s="331" t="s">
        <v>19</v>
      </c>
      <c r="M13" s="344">
        <v>45412</v>
      </c>
      <c r="N13" s="360">
        <v>46507</v>
      </c>
      <c r="O13" s="331" t="s">
        <v>22</v>
      </c>
      <c r="P13" s="331" t="s">
        <v>204</v>
      </c>
      <c r="Q13" s="361" t="s">
        <v>53</v>
      </c>
      <c r="R13" s="331" t="s">
        <v>206</v>
      </c>
      <c r="S13" s="331" t="s">
        <v>622</v>
      </c>
      <c r="T13" s="331" t="s">
        <v>623</v>
      </c>
      <c r="U13" s="331" t="s">
        <v>624</v>
      </c>
      <c r="V13" s="331"/>
      <c r="W13" s="331"/>
      <c r="X13" s="330"/>
    </row>
    <row r="14" spans="1:24" s="326" customFormat="1" ht="50.1" hidden="1" customHeight="1" x14ac:dyDescent="0.25">
      <c r="A14" s="331">
        <v>4600058064</v>
      </c>
      <c r="B14" s="329" t="s">
        <v>294</v>
      </c>
      <c r="C14" s="331">
        <v>193614</v>
      </c>
      <c r="D14" s="329" t="s">
        <v>568</v>
      </c>
      <c r="E14" s="331">
        <v>60</v>
      </c>
      <c r="F14" s="331" t="s">
        <v>1575</v>
      </c>
      <c r="G14" s="329" t="s">
        <v>1569</v>
      </c>
      <c r="H14" s="331" t="s">
        <v>709</v>
      </c>
      <c r="I14" s="331" t="s">
        <v>18</v>
      </c>
      <c r="J14" s="331" t="s">
        <v>1742</v>
      </c>
      <c r="K14" s="340">
        <v>237325.01</v>
      </c>
      <c r="L14" s="331" t="s">
        <v>19</v>
      </c>
      <c r="M14" s="344">
        <v>42142</v>
      </c>
      <c r="N14" s="360">
        <v>46009</v>
      </c>
      <c r="O14" s="331" t="s">
        <v>208</v>
      </c>
      <c r="P14" s="331" t="s">
        <v>876</v>
      </c>
      <c r="Q14" s="362" t="s">
        <v>20</v>
      </c>
      <c r="R14" s="331" t="s">
        <v>263</v>
      </c>
      <c r="S14" s="331" t="s">
        <v>540</v>
      </c>
      <c r="T14" s="331" t="s">
        <v>538</v>
      </c>
      <c r="U14" s="331" t="s">
        <v>539</v>
      </c>
      <c r="V14" s="331" t="s">
        <v>537</v>
      </c>
      <c r="W14" s="331" t="s">
        <v>295</v>
      </c>
      <c r="X14" s="332">
        <v>45411</v>
      </c>
    </row>
    <row r="15" spans="1:24" s="326" customFormat="1" ht="50.1" hidden="1" customHeight="1" x14ac:dyDescent="0.25">
      <c r="A15" s="331">
        <v>4600058048</v>
      </c>
      <c r="B15" s="329" t="s">
        <v>574</v>
      </c>
      <c r="C15" s="331">
        <v>3045038</v>
      </c>
      <c r="D15" s="329" t="s">
        <v>569</v>
      </c>
      <c r="E15" s="331">
        <v>60</v>
      </c>
      <c r="F15" s="365" t="s">
        <v>1574</v>
      </c>
      <c r="G15" s="329" t="s">
        <v>1569</v>
      </c>
      <c r="H15" s="331" t="s">
        <v>709</v>
      </c>
      <c r="I15" s="331" t="s">
        <v>18</v>
      </c>
      <c r="J15" s="331" t="s">
        <v>1743</v>
      </c>
      <c r="K15" s="340">
        <v>1800000</v>
      </c>
      <c r="L15" s="331" t="s">
        <v>19</v>
      </c>
      <c r="M15" s="344">
        <v>45460</v>
      </c>
      <c r="N15" s="360">
        <v>46554</v>
      </c>
      <c r="O15" s="331" t="s">
        <v>1620</v>
      </c>
      <c r="P15" s="331" t="s">
        <v>1619</v>
      </c>
      <c r="Q15" s="331" t="s">
        <v>1619</v>
      </c>
      <c r="R15" s="331" t="s">
        <v>261</v>
      </c>
      <c r="S15" s="331" t="s">
        <v>544</v>
      </c>
      <c r="T15" s="331" t="s">
        <v>543</v>
      </c>
      <c r="U15" s="331" t="s">
        <v>547</v>
      </c>
      <c r="V15" s="331" t="s">
        <v>542</v>
      </c>
      <c r="W15" s="331"/>
      <c r="X15" s="330"/>
    </row>
    <row r="16" spans="1:24" s="326" customFormat="1" ht="50.1" hidden="1" customHeight="1" x14ac:dyDescent="0.25">
      <c r="A16" s="331">
        <v>4600058224</v>
      </c>
      <c r="B16" s="329" t="s">
        <v>1576</v>
      </c>
      <c r="C16" s="329">
        <v>3045405</v>
      </c>
      <c r="D16" s="329" t="s">
        <v>569</v>
      </c>
      <c r="E16" s="331">
        <v>60</v>
      </c>
      <c r="F16" s="365" t="s">
        <v>1574</v>
      </c>
      <c r="G16" s="329" t="s">
        <v>1569</v>
      </c>
      <c r="H16" s="331" t="s">
        <v>710</v>
      </c>
      <c r="I16" s="331" t="s">
        <v>38</v>
      </c>
      <c r="J16" s="331" t="s">
        <v>1743</v>
      </c>
      <c r="K16" s="340">
        <v>1800000</v>
      </c>
      <c r="L16" s="331" t="s">
        <v>19</v>
      </c>
      <c r="M16" s="360">
        <v>45405</v>
      </c>
      <c r="N16" s="360">
        <v>46507</v>
      </c>
      <c r="O16" s="331" t="s">
        <v>1620</v>
      </c>
      <c r="P16" s="331" t="s">
        <v>1619</v>
      </c>
      <c r="Q16" s="331" t="s">
        <v>1619</v>
      </c>
      <c r="R16" s="331" t="s">
        <v>261</v>
      </c>
      <c r="S16" s="331" t="s">
        <v>548</v>
      </c>
      <c r="T16" s="331" t="s">
        <v>546</v>
      </c>
      <c r="U16" s="331" t="s">
        <v>547</v>
      </c>
      <c r="V16" s="331" t="s">
        <v>545</v>
      </c>
      <c r="W16" s="331"/>
      <c r="X16" s="330"/>
    </row>
    <row r="17" spans="1:24" s="326" customFormat="1" ht="50.1" hidden="1" customHeight="1" x14ac:dyDescent="0.25">
      <c r="A17" s="331">
        <v>4600058110</v>
      </c>
      <c r="B17" s="329" t="s">
        <v>180</v>
      </c>
      <c r="C17" s="329">
        <v>190612</v>
      </c>
      <c r="D17" s="329" t="s">
        <v>567</v>
      </c>
      <c r="E17" s="331">
        <v>45</v>
      </c>
      <c r="F17" s="358" t="s">
        <v>1574</v>
      </c>
      <c r="G17" s="329" t="s">
        <v>1569</v>
      </c>
      <c r="H17" s="331" t="s">
        <v>709</v>
      </c>
      <c r="I17" s="331" t="s">
        <v>18</v>
      </c>
      <c r="J17" s="331" t="s">
        <v>1744</v>
      </c>
      <c r="K17" s="340">
        <v>96000</v>
      </c>
      <c r="L17" s="331" t="s">
        <v>19</v>
      </c>
      <c r="M17" s="344">
        <v>45012</v>
      </c>
      <c r="N17" s="360">
        <v>46213</v>
      </c>
      <c r="O17" s="331" t="s">
        <v>29</v>
      </c>
      <c r="P17" s="331" t="s">
        <v>30</v>
      </c>
      <c r="Q17" s="331" t="s">
        <v>203</v>
      </c>
      <c r="R17" s="331" t="s">
        <v>265</v>
      </c>
      <c r="S17" s="331" t="s">
        <v>578</v>
      </c>
      <c r="T17" s="331" t="s">
        <v>456</v>
      </c>
      <c r="U17" s="331" t="s">
        <v>579</v>
      </c>
      <c r="V17" s="367" t="s">
        <v>580</v>
      </c>
      <c r="W17" s="331"/>
      <c r="X17" s="330"/>
    </row>
    <row r="18" spans="1:24" s="326" customFormat="1" ht="50.1" hidden="1" customHeight="1" x14ac:dyDescent="0.25">
      <c r="A18" s="329" t="s">
        <v>1702</v>
      </c>
      <c r="B18" s="329" t="s">
        <v>615</v>
      </c>
      <c r="C18" s="329">
        <v>185065</v>
      </c>
      <c r="D18" s="329" t="s">
        <v>567</v>
      </c>
      <c r="E18" s="331">
        <v>90</v>
      </c>
      <c r="F18" s="365" t="s">
        <v>1582</v>
      </c>
      <c r="G18" s="329" t="s">
        <v>1571</v>
      </c>
      <c r="H18" s="329" t="s">
        <v>709</v>
      </c>
      <c r="I18" s="329" t="s">
        <v>18</v>
      </c>
      <c r="J18" s="358" t="s">
        <v>1745</v>
      </c>
      <c r="K18" s="359">
        <v>4959153.83</v>
      </c>
      <c r="L18" s="329" t="s">
        <v>19</v>
      </c>
      <c r="M18" s="360">
        <v>45444</v>
      </c>
      <c r="N18" s="360">
        <v>46173</v>
      </c>
      <c r="O18" s="331" t="s">
        <v>22</v>
      </c>
      <c r="P18" s="331" t="s">
        <v>204</v>
      </c>
      <c r="Q18" s="361" t="s">
        <v>553</v>
      </c>
      <c r="R18" s="331" t="s">
        <v>206</v>
      </c>
      <c r="S18" s="331" t="s">
        <v>922</v>
      </c>
      <c r="T18" s="331" t="s">
        <v>919</v>
      </c>
      <c r="U18" s="331" t="s">
        <v>921</v>
      </c>
      <c r="V18" s="331" t="s">
        <v>920</v>
      </c>
      <c r="W18" s="331"/>
      <c r="X18" s="330"/>
    </row>
    <row r="19" spans="1:24" s="326" customFormat="1" ht="50.1" hidden="1" customHeight="1" x14ac:dyDescent="0.25">
      <c r="A19" s="331">
        <v>4600058163</v>
      </c>
      <c r="B19" s="329" t="s">
        <v>157</v>
      </c>
      <c r="C19" s="329">
        <v>3042135</v>
      </c>
      <c r="D19" s="331" t="s">
        <v>568</v>
      </c>
      <c r="E19" s="329">
        <v>45</v>
      </c>
      <c r="F19" s="331" t="s">
        <v>1575</v>
      </c>
      <c r="G19" s="329" t="s">
        <v>1569</v>
      </c>
      <c r="H19" s="331" t="s">
        <v>709</v>
      </c>
      <c r="I19" s="331" t="s">
        <v>18</v>
      </c>
      <c r="J19" s="331" t="s">
        <v>1746</v>
      </c>
      <c r="K19" s="366">
        <v>14070</v>
      </c>
      <c r="L19" s="331" t="s">
        <v>19</v>
      </c>
      <c r="M19" s="344">
        <v>45545</v>
      </c>
      <c r="N19" s="360">
        <v>46274</v>
      </c>
      <c r="O19" s="331" t="s">
        <v>29</v>
      </c>
      <c r="P19" s="362" t="s">
        <v>30</v>
      </c>
      <c r="Q19" s="362" t="s">
        <v>203</v>
      </c>
      <c r="R19" s="331" t="s">
        <v>265</v>
      </c>
      <c r="S19" s="331" t="s">
        <v>627</v>
      </c>
      <c r="T19" s="331" t="s">
        <v>437</v>
      </c>
      <c r="U19" s="331" t="s">
        <v>626</v>
      </c>
      <c r="V19" s="331" t="s">
        <v>436</v>
      </c>
      <c r="W19" s="331" t="s">
        <v>745</v>
      </c>
      <c r="X19" s="330"/>
    </row>
    <row r="20" spans="1:24" s="326" customFormat="1" ht="50.1" hidden="1" customHeight="1" x14ac:dyDescent="0.25">
      <c r="A20" s="331">
        <v>4600057025</v>
      </c>
      <c r="B20" s="329" t="s">
        <v>61</v>
      </c>
      <c r="C20" s="329">
        <v>188451</v>
      </c>
      <c r="D20" s="329" t="s">
        <v>569</v>
      </c>
      <c r="E20" s="331">
        <v>45</v>
      </c>
      <c r="F20" s="331" t="s">
        <v>1575</v>
      </c>
      <c r="G20" s="329" t="s">
        <v>1569</v>
      </c>
      <c r="H20" s="331" t="s">
        <v>710</v>
      </c>
      <c r="I20" s="331" t="s">
        <v>18</v>
      </c>
      <c r="J20" s="331" t="s">
        <v>1747</v>
      </c>
      <c r="K20" s="340">
        <v>956547.8</v>
      </c>
      <c r="L20" s="331" t="s">
        <v>19</v>
      </c>
      <c r="M20" s="344">
        <v>44998</v>
      </c>
      <c r="N20" s="360">
        <v>46022</v>
      </c>
      <c r="O20" s="331" t="s">
        <v>85</v>
      </c>
      <c r="P20" s="362" t="s">
        <v>612</v>
      </c>
      <c r="Q20" s="362" t="s">
        <v>86</v>
      </c>
      <c r="R20" s="331" t="s">
        <v>86</v>
      </c>
      <c r="S20" s="331" t="s">
        <v>965</v>
      </c>
      <c r="T20" s="331" t="s">
        <v>741</v>
      </c>
      <c r="U20" s="331" t="s">
        <v>740</v>
      </c>
      <c r="V20" s="331" t="s">
        <v>742</v>
      </c>
      <c r="W20" s="331"/>
      <c r="X20" s="330" t="s">
        <v>1708</v>
      </c>
    </row>
    <row r="21" spans="1:24" s="326" customFormat="1" ht="50.1" hidden="1" customHeight="1" x14ac:dyDescent="0.25">
      <c r="A21" s="331">
        <v>4600058220</v>
      </c>
      <c r="B21" s="329" t="s">
        <v>1577</v>
      </c>
      <c r="C21" s="331">
        <v>3045388</v>
      </c>
      <c r="D21" s="329" t="s">
        <v>569</v>
      </c>
      <c r="E21" s="331">
        <v>90</v>
      </c>
      <c r="F21" s="365" t="s">
        <v>1574</v>
      </c>
      <c r="G21" s="329" t="s">
        <v>1569</v>
      </c>
      <c r="H21" s="331" t="s">
        <v>710</v>
      </c>
      <c r="I21" s="329" t="s">
        <v>38</v>
      </c>
      <c r="J21" s="331" t="s">
        <v>1748</v>
      </c>
      <c r="K21" s="340">
        <v>13163356.359999999</v>
      </c>
      <c r="L21" s="331" t="s">
        <v>19</v>
      </c>
      <c r="M21" s="344">
        <v>45412</v>
      </c>
      <c r="N21" s="360">
        <v>46507</v>
      </c>
      <c r="O21" s="331" t="s">
        <v>22</v>
      </c>
      <c r="P21" s="331" t="s">
        <v>204</v>
      </c>
      <c r="Q21" s="361" t="s">
        <v>53</v>
      </c>
      <c r="R21" s="331" t="s">
        <v>206</v>
      </c>
      <c r="S21" s="331" t="s">
        <v>622</v>
      </c>
      <c r="T21" s="331" t="s">
        <v>623</v>
      </c>
      <c r="U21" s="331" t="s">
        <v>624</v>
      </c>
      <c r="V21" s="331"/>
      <c r="W21" s="331" t="s">
        <v>635</v>
      </c>
      <c r="X21" s="334">
        <v>45470</v>
      </c>
    </row>
    <row r="22" spans="1:24" s="326" customFormat="1" ht="50.1" hidden="1" customHeight="1" x14ac:dyDescent="0.25">
      <c r="A22" s="335">
        <v>4600051835</v>
      </c>
      <c r="B22" s="329" t="s">
        <v>61</v>
      </c>
      <c r="C22" s="329">
        <v>188451</v>
      </c>
      <c r="D22" s="335" t="s">
        <v>567</v>
      </c>
      <c r="E22" s="335">
        <v>45</v>
      </c>
      <c r="F22" s="368" t="s">
        <v>1573</v>
      </c>
      <c r="G22" s="329" t="s">
        <v>1569</v>
      </c>
      <c r="H22" s="335" t="s">
        <v>710</v>
      </c>
      <c r="I22" s="335" t="s">
        <v>18</v>
      </c>
      <c r="J22" s="368" t="s">
        <v>1749</v>
      </c>
      <c r="K22" s="369">
        <f>1689802.36+47656+17600.76+180000+79402.31</f>
        <v>2014461.4300000002</v>
      </c>
      <c r="L22" s="335" t="s">
        <v>19</v>
      </c>
      <c r="M22" s="370">
        <v>44699</v>
      </c>
      <c r="N22" s="360">
        <v>46205</v>
      </c>
      <c r="O22" s="335" t="s">
        <v>29</v>
      </c>
      <c r="P22" s="335" t="s">
        <v>30</v>
      </c>
      <c r="Q22" s="371" t="s">
        <v>203</v>
      </c>
      <c r="R22" s="335" t="s">
        <v>265</v>
      </c>
      <c r="S22" s="331" t="s">
        <v>965</v>
      </c>
      <c r="T22" s="331" t="s">
        <v>741</v>
      </c>
      <c r="U22" s="331" t="s">
        <v>740</v>
      </c>
      <c r="V22" s="331" t="s">
        <v>742</v>
      </c>
      <c r="W22" s="335"/>
      <c r="X22" s="333"/>
    </row>
    <row r="23" spans="1:24" s="326" customFormat="1" ht="50.1" hidden="1" customHeight="1" x14ac:dyDescent="0.25">
      <c r="A23" s="335">
        <v>4600057902</v>
      </c>
      <c r="B23" s="329" t="s">
        <v>64</v>
      </c>
      <c r="C23" s="335">
        <v>3029701</v>
      </c>
      <c r="D23" s="335" t="s">
        <v>568</v>
      </c>
      <c r="E23" s="335">
        <v>30</v>
      </c>
      <c r="F23" s="331" t="s">
        <v>1575</v>
      </c>
      <c r="G23" s="329" t="s">
        <v>1569</v>
      </c>
      <c r="H23" s="335" t="s">
        <v>709</v>
      </c>
      <c r="I23" s="335" t="s">
        <v>18</v>
      </c>
      <c r="J23" s="368" t="s">
        <v>1750</v>
      </c>
      <c r="K23" s="369">
        <v>46650</v>
      </c>
      <c r="L23" s="335" t="s">
        <v>19</v>
      </c>
      <c r="M23" s="370">
        <v>44419</v>
      </c>
      <c r="N23" s="360">
        <v>46032</v>
      </c>
      <c r="O23" s="335" t="s">
        <v>29</v>
      </c>
      <c r="P23" s="371" t="s">
        <v>30</v>
      </c>
      <c r="Q23" s="371" t="s">
        <v>75</v>
      </c>
      <c r="R23" s="335" t="s">
        <v>265</v>
      </c>
      <c r="S23" s="335" t="s">
        <v>746</v>
      </c>
      <c r="T23" s="335" t="s">
        <v>344</v>
      </c>
      <c r="U23" s="335" t="s">
        <v>308</v>
      </c>
      <c r="V23" s="335" t="s">
        <v>343</v>
      </c>
      <c r="W23" s="335">
        <v>4600053874</v>
      </c>
      <c r="X23" s="333"/>
    </row>
    <row r="24" spans="1:24" s="326" customFormat="1" ht="50.1" hidden="1" customHeight="1" x14ac:dyDescent="0.25">
      <c r="A24" s="335">
        <v>4600058232</v>
      </c>
      <c r="B24" s="329" t="s">
        <v>195</v>
      </c>
      <c r="C24" s="335">
        <v>3043839</v>
      </c>
      <c r="D24" s="335" t="s">
        <v>567</v>
      </c>
      <c r="E24" s="335">
        <v>10</v>
      </c>
      <c r="F24" s="331" t="s">
        <v>1575</v>
      </c>
      <c r="G24" s="329" t="s">
        <v>1569</v>
      </c>
      <c r="H24" s="335" t="s">
        <v>710</v>
      </c>
      <c r="I24" s="335" t="s">
        <v>18</v>
      </c>
      <c r="J24" s="368" t="s">
        <v>1751</v>
      </c>
      <c r="K24" s="369">
        <v>2374148.7000000002</v>
      </c>
      <c r="L24" s="335" t="s">
        <v>19</v>
      </c>
      <c r="M24" s="370">
        <v>45536</v>
      </c>
      <c r="N24" s="360">
        <v>46446</v>
      </c>
      <c r="O24" s="335" t="s">
        <v>208</v>
      </c>
      <c r="P24" s="331" t="s">
        <v>876</v>
      </c>
      <c r="Q24" s="371" t="s">
        <v>20</v>
      </c>
      <c r="R24" s="335" t="s">
        <v>263</v>
      </c>
      <c r="S24" s="335" t="s">
        <v>941</v>
      </c>
      <c r="T24" s="335" t="s">
        <v>466</v>
      </c>
      <c r="U24" s="335" t="s">
        <v>308</v>
      </c>
      <c r="V24" s="335" t="s">
        <v>465</v>
      </c>
      <c r="W24" s="335" t="s">
        <v>197</v>
      </c>
      <c r="X24" s="333"/>
    </row>
    <row r="25" spans="1:24" s="326" customFormat="1" ht="50.1" hidden="1" customHeight="1" x14ac:dyDescent="0.25">
      <c r="A25" s="335">
        <v>4600057824</v>
      </c>
      <c r="B25" s="329" t="s">
        <v>195</v>
      </c>
      <c r="C25" s="335">
        <v>3043839</v>
      </c>
      <c r="D25" s="335" t="s">
        <v>567</v>
      </c>
      <c r="E25" s="335">
        <v>10</v>
      </c>
      <c r="F25" s="331" t="s">
        <v>1575</v>
      </c>
      <c r="G25" s="329" t="s">
        <v>1569</v>
      </c>
      <c r="H25" s="335" t="s">
        <v>710</v>
      </c>
      <c r="I25" s="335" t="s">
        <v>18</v>
      </c>
      <c r="J25" s="368" t="s">
        <v>1752</v>
      </c>
      <c r="K25" s="369">
        <v>1848617.82</v>
      </c>
      <c r="L25" s="335" t="s">
        <v>19</v>
      </c>
      <c r="M25" s="370">
        <v>45536</v>
      </c>
      <c r="N25" s="360">
        <v>46022</v>
      </c>
      <c r="O25" s="335" t="s">
        <v>208</v>
      </c>
      <c r="P25" s="331" t="s">
        <v>876</v>
      </c>
      <c r="Q25" s="371" t="s">
        <v>20</v>
      </c>
      <c r="R25" s="335" t="s">
        <v>263</v>
      </c>
      <c r="S25" s="335" t="s">
        <v>941</v>
      </c>
      <c r="T25" s="335" t="s">
        <v>466</v>
      </c>
      <c r="U25" s="335" t="s">
        <v>308</v>
      </c>
      <c r="V25" s="335" t="s">
        <v>465</v>
      </c>
      <c r="W25" s="335" t="s">
        <v>197</v>
      </c>
      <c r="X25" s="333"/>
    </row>
    <row r="26" spans="1:24" s="326" customFormat="1" ht="50.1" hidden="1" customHeight="1" x14ac:dyDescent="0.25">
      <c r="A26" s="331">
        <v>4600058249</v>
      </c>
      <c r="B26" s="329" t="s">
        <v>1578</v>
      </c>
      <c r="C26" s="329">
        <v>3045405</v>
      </c>
      <c r="D26" s="329" t="s">
        <v>569</v>
      </c>
      <c r="E26" s="331">
        <v>60</v>
      </c>
      <c r="F26" s="365" t="s">
        <v>1574</v>
      </c>
      <c r="G26" s="329" t="s">
        <v>1569</v>
      </c>
      <c r="H26" s="331" t="s">
        <v>709</v>
      </c>
      <c r="I26" s="331" t="s">
        <v>18</v>
      </c>
      <c r="J26" s="331" t="s">
        <v>1743</v>
      </c>
      <c r="K26" s="340">
        <v>1800000</v>
      </c>
      <c r="L26" s="331" t="s">
        <v>19</v>
      </c>
      <c r="M26" s="344">
        <v>45443</v>
      </c>
      <c r="N26" s="360">
        <v>46538</v>
      </c>
      <c r="O26" s="331" t="s">
        <v>1620</v>
      </c>
      <c r="P26" s="331" t="s">
        <v>1619</v>
      </c>
      <c r="Q26" s="331" t="s">
        <v>1619</v>
      </c>
      <c r="R26" s="331" t="s">
        <v>261</v>
      </c>
      <c r="S26" s="331" t="s">
        <v>548</v>
      </c>
      <c r="T26" s="331" t="s">
        <v>546</v>
      </c>
      <c r="U26" s="331" t="s">
        <v>547</v>
      </c>
      <c r="V26" s="331" t="s">
        <v>545</v>
      </c>
      <c r="W26" s="331"/>
      <c r="X26" s="330"/>
    </row>
    <row r="27" spans="1:24" s="326" customFormat="1" ht="50.1" hidden="1" customHeight="1" x14ac:dyDescent="0.25">
      <c r="A27" s="331">
        <v>4600058167</v>
      </c>
      <c r="B27" s="329" t="s">
        <v>61</v>
      </c>
      <c r="C27" s="329">
        <v>188451</v>
      </c>
      <c r="D27" s="329" t="s">
        <v>569</v>
      </c>
      <c r="E27" s="331">
        <v>60</v>
      </c>
      <c r="F27" s="331" t="s">
        <v>1575</v>
      </c>
      <c r="G27" s="329" t="s">
        <v>1569</v>
      </c>
      <c r="H27" s="331" t="s">
        <v>709</v>
      </c>
      <c r="I27" s="331" t="s">
        <v>18</v>
      </c>
      <c r="J27" s="365" t="s">
        <v>1753</v>
      </c>
      <c r="K27" s="340">
        <v>1659840</v>
      </c>
      <c r="L27" s="331" t="s">
        <v>19</v>
      </c>
      <c r="M27" s="344">
        <v>45453</v>
      </c>
      <c r="N27" s="360">
        <v>46182</v>
      </c>
      <c r="O27" s="335" t="s">
        <v>22</v>
      </c>
      <c r="P27" s="335" t="s">
        <v>204</v>
      </c>
      <c r="Q27" s="362" t="s">
        <v>53</v>
      </c>
      <c r="R27" s="331" t="s">
        <v>206</v>
      </c>
      <c r="S27" s="331" t="s">
        <v>965</v>
      </c>
      <c r="T27" s="331" t="s">
        <v>741</v>
      </c>
      <c r="U27" s="331" t="s">
        <v>740</v>
      </c>
      <c r="V27" s="331" t="s">
        <v>742</v>
      </c>
      <c r="W27" s="331"/>
      <c r="X27" s="330"/>
    </row>
    <row r="28" spans="1:24" s="326" customFormat="1" ht="50.1" hidden="1" customHeight="1" x14ac:dyDescent="0.25">
      <c r="A28" s="331">
        <v>4600058255</v>
      </c>
      <c r="B28" s="329" t="s">
        <v>1579</v>
      </c>
      <c r="C28" s="329">
        <v>3045476</v>
      </c>
      <c r="D28" s="329" t="s">
        <v>569</v>
      </c>
      <c r="E28" s="331">
        <v>120</v>
      </c>
      <c r="F28" s="365" t="s">
        <v>1574</v>
      </c>
      <c r="G28" s="329" t="s">
        <v>1569</v>
      </c>
      <c r="H28" s="331" t="s">
        <v>1580</v>
      </c>
      <c r="I28" s="331" t="s">
        <v>38</v>
      </c>
      <c r="J28" s="331" t="s">
        <v>1754</v>
      </c>
      <c r="K28" s="340">
        <v>1542823.2</v>
      </c>
      <c r="L28" s="331" t="s">
        <v>19</v>
      </c>
      <c r="M28" s="344">
        <v>45435</v>
      </c>
      <c r="N28" s="360">
        <v>46164</v>
      </c>
      <c r="O28" s="331" t="s">
        <v>22</v>
      </c>
      <c r="P28" s="331" t="s">
        <v>204</v>
      </c>
      <c r="Q28" s="361" t="s">
        <v>553</v>
      </c>
      <c r="R28" s="331" t="s">
        <v>206</v>
      </c>
      <c r="S28" s="331" t="s">
        <v>555</v>
      </c>
      <c r="T28" s="331" t="s">
        <v>554</v>
      </c>
      <c r="U28" s="331" t="s">
        <v>556</v>
      </c>
      <c r="V28" s="367" t="s">
        <v>557</v>
      </c>
      <c r="W28" s="331" t="s">
        <v>564</v>
      </c>
      <c r="X28" s="330"/>
    </row>
    <row r="29" spans="1:24" s="326" customFormat="1" ht="50.1" hidden="1" customHeight="1" x14ac:dyDescent="0.25">
      <c r="A29" s="331">
        <v>4600058223</v>
      </c>
      <c r="B29" s="329" t="s">
        <v>574</v>
      </c>
      <c r="C29" s="331">
        <v>3045038</v>
      </c>
      <c r="D29" s="329" t="s">
        <v>569</v>
      </c>
      <c r="E29" s="331">
        <v>60</v>
      </c>
      <c r="F29" s="365" t="s">
        <v>1574</v>
      </c>
      <c r="G29" s="329" t="s">
        <v>1569</v>
      </c>
      <c r="H29" s="331" t="s">
        <v>710</v>
      </c>
      <c r="I29" s="331" t="s">
        <v>38</v>
      </c>
      <c r="J29" s="331" t="s">
        <v>1743</v>
      </c>
      <c r="K29" s="340">
        <v>1800000</v>
      </c>
      <c r="L29" s="331" t="s">
        <v>19</v>
      </c>
      <c r="M29" s="344">
        <v>45460</v>
      </c>
      <c r="N29" s="360">
        <v>46554</v>
      </c>
      <c r="O29" s="331" t="s">
        <v>1620</v>
      </c>
      <c r="P29" s="331" t="s">
        <v>1619</v>
      </c>
      <c r="Q29" s="331" t="s">
        <v>1619</v>
      </c>
      <c r="R29" s="331" t="s">
        <v>261</v>
      </c>
      <c r="S29" s="331" t="s">
        <v>544</v>
      </c>
      <c r="T29" s="331" t="s">
        <v>543</v>
      </c>
      <c r="U29" s="331" t="s">
        <v>547</v>
      </c>
      <c r="V29" s="331" t="s">
        <v>542</v>
      </c>
      <c r="W29" s="331"/>
      <c r="X29" s="330"/>
    </row>
    <row r="30" spans="1:24" s="326" customFormat="1" ht="50.1" hidden="1" customHeight="1" x14ac:dyDescent="0.25">
      <c r="A30" s="329">
        <v>4600058139</v>
      </c>
      <c r="B30" s="329" t="s">
        <v>89</v>
      </c>
      <c r="C30" s="329">
        <v>3008003</v>
      </c>
      <c r="D30" s="329" t="s">
        <v>567</v>
      </c>
      <c r="E30" s="331">
        <v>60</v>
      </c>
      <c r="F30" s="365" t="s">
        <v>1574</v>
      </c>
      <c r="G30" s="329" t="s">
        <v>1569</v>
      </c>
      <c r="H30" s="329" t="s">
        <v>709</v>
      </c>
      <c r="I30" s="329" t="s">
        <v>18</v>
      </c>
      <c r="J30" s="358" t="s">
        <v>1755</v>
      </c>
      <c r="K30" s="359">
        <v>20484927.629999999</v>
      </c>
      <c r="L30" s="329" t="s">
        <v>19</v>
      </c>
      <c r="M30" s="360">
        <v>45444</v>
      </c>
      <c r="N30" s="360">
        <v>46173</v>
      </c>
      <c r="O30" s="331" t="s">
        <v>22</v>
      </c>
      <c r="P30" s="331" t="s">
        <v>883</v>
      </c>
      <c r="Q30" s="362" t="s">
        <v>882</v>
      </c>
      <c r="R30" s="331" t="s">
        <v>1653</v>
      </c>
      <c r="S30" s="331" t="s">
        <v>928</v>
      </c>
      <c r="T30" s="331" t="s">
        <v>926</v>
      </c>
      <c r="U30" s="331"/>
      <c r="V30" s="367" t="s">
        <v>927</v>
      </c>
      <c r="W30" s="331" t="s">
        <v>929</v>
      </c>
      <c r="X30" s="330" t="s">
        <v>879</v>
      </c>
    </row>
    <row r="31" spans="1:24" s="326" customFormat="1" ht="50.1" hidden="1" customHeight="1" x14ac:dyDescent="0.25">
      <c r="A31" s="335">
        <v>4600058049</v>
      </c>
      <c r="B31" s="329" t="s">
        <v>61</v>
      </c>
      <c r="C31" s="329">
        <v>188451</v>
      </c>
      <c r="D31" s="335" t="s">
        <v>567</v>
      </c>
      <c r="E31" s="335">
        <v>45</v>
      </c>
      <c r="F31" s="368" t="s">
        <v>1573</v>
      </c>
      <c r="G31" s="329" t="s">
        <v>1569</v>
      </c>
      <c r="H31" s="335" t="s">
        <v>709</v>
      </c>
      <c r="I31" s="335" t="s">
        <v>18</v>
      </c>
      <c r="J31" s="368" t="s">
        <v>1756</v>
      </c>
      <c r="K31" s="369">
        <f>1689802.36+47656+17600.76+180000+79402.31</f>
        <v>2014461.4300000002</v>
      </c>
      <c r="L31" s="335" t="s">
        <v>19</v>
      </c>
      <c r="M31" s="370">
        <v>44699</v>
      </c>
      <c r="N31" s="360">
        <v>46205</v>
      </c>
      <c r="O31" s="335" t="s">
        <v>29</v>
      </c>
      <c r="P31" s="335" t="s">
        <v>30</v>
      </c>
      <c r="Q31" s="371" t="s">
        <v>203</v>
      </c>
      <c r="R31" s="335" t="s">
        <v>265</v>
      </c>
      <c r="S31" s="331" t="s">
        <v>965</v>
      </c>
      <c r="T31" s="331" t="s">
        <v>741</v>
      </c>
      <c r="U31" s="331" t="s">
        <v>740</v>
      </c>
      <c r="V31" s="331" t="s">
        <v>742</v>
      </c>
      <c r="W31" s="335"/>
      <c r="X31" s="333"/>
    </row>
    <row r="32" spans="1:24" s="326" customFormat="1" ht="50.1" hidden="1" customHeight="1" x14ac:dyDescent="0.25">
      <c r="A32" s="329">
        <v>4600058504</v>
      </c>
      <c r="B32" s="329" t="s">
        <v>47</v>
      </c>
      <c r="C32" s="329">
        <v>192963</v>
      </c>
      <c r="D32" s="329" t="s">
        <v>569</v>
      </c>
      <c r="E32" s="329">
        <v>30</v>
      </c>
      <c r="F32" s="331" t="s">
        <v>1575</v>
      </c>
      <c r="G32" s="329" t="s">
        <v>1569</v>
      </c>
      <c r="H32" s="329" t="s">
        <v>709</v>
      </c>
      <c r="I32" s="329" t="s">
        <v>18</v>
      </c>
      <c r="J32" s="358" t="s">
        <v>1731</v>
      </c>
      <c r="K32" s="359">
        <v>23686598.609999999</v>
      </c>
      <c r="L32" s="329" t="s">
        <v>19</v>
      </c>
      <c r="M32" s="360">
        <v>44927</v>
      </c>
      <c r="N32" s="360">
        <v>46022</v>
      </c>
      <c r="O32" s="331" t="s">
        <v>29</v>
      </c>
      <c r="P32" s="362" t="s">
        <v>30</v>
      </c>
      <c r="Q32" s="362" t="s">
        <v>203</v>
      </c>
      <c r="R32" s="331" t="s">
        <v>265</v>
      </c>
      <c r="S32" s="331" t="s">
        <v>319</v>
      </c>
      <c r="T32" s="331" t="s">
        <v>320</v>
      </c>
      <c r="U32" s="331" t="s">
        <v>321</v>
      </c>
      <c r="V32" s="331" t="s">
        <v>317</v>
      </c>
      <c r="W32" s="331"/>
      <c r="X32" s="330"/>
    </row>
    <row r="33" spans="1:25" s="326" customFormat="1" ht="50.1" hidden="1" customHeight="1" x14ac:dyDescent="0.25">
      <c r="A33" s="329">
        <v>4600044324</v>
      </c>
      <c r="B33" s="329" t="s">
        <v>1070</v>
      </c>
      <c r="C33" s="329">
        <v>101471</v>
      </c>
      <c r="D33" s="329" t="s">
        <v>567</v>
      </c>
      <c r="E33" s="329">
        <v>60</v>
      </c>
      <c r="F33" s="365" t="s">
        <v>1582</v>
      </c>
      <c r="G33" s="329" t="s">
        <v>1571</v>
      </c>
      <c r="H33" s="329" t="s">
        <v>710</v>
      </c>
      <c r="I33" s="329" t="s">
        <v>18</v>
      </c>
      <c r="J33" s="358" t="s">
        <v>1757</v>
      </c>
      <c r="K33" s="359">
        <v>18528828.879999999</v>
      </c>
      <c r="L33" s="329" t="s">
        <v>19</v>
      </c>
      <c r="M33" s="360">
        <v>45117</v>
      </c>
      <c r="N33" s="360">
        <v>46022</v>
      </c>
      <c r="O33" s="331" t="s">
        <v>29</v>
      </c>
      <c r="P33" s="331" t="s">
        <v>30</v>
      </c>
      <c r="Q33" s="331" t="s">
        <v>203</v>
      </c>
      <c r="R33" s="331" t="s">
        <v>265</v>
      </c>
      <c r="S33" s="331" t="s">
        <v>951</v>
      </c>
      <c r="T33" s="331" t="s">
        <v>952</v>
      </c>
      <c r="U33" s="331"/>
      <c r="V33" s="367" t="s">
        <v>953</v>
      </c>
      <c r="W33" s="331" t="s">
        <v>32</v>
      </c>
      <c r="X33" s="330"/>
    </row>
    <row r="34" spans="1:25" s="326" customFormat="1" ht="50.1" hidden="1" customHeight="1" x14ac:dyDescent="0.25">
      <c r="A34" s="329">
        <v>4600047794</v>
      </c>
      <c r="B34" s="329" t="s">
        <v>43</v>
      </c>
      <c r="C34" s="329">
        <v>3001565</v>
      </c>
      <c r="D34" s="329" t="s">
        <v>567</v>
      </c>
      <c r="E34" s="329">
        <v>30</v>
      </c>
      <c r="F34" s="365" t="s">
        <v>1583</v>
      </c>
      <c r="G34" s="329" t="s">
        <v>1571</v>
      </c>
      <c r="H34" s="329" t="s">
        <v>710</v>
      </c>
      <c r="I34" s="329" t="s">
        <v>18</v>
      </c>
      <c r="J34" s="358" t="s">
        <v>1758</v>
      </c>
      <c r="K34" s="359">
        <v>24272001.300000001</v>
      </c>
      <c r="L34" s="329" t="s">
        <v>19</v>
      </c>
      <c r="M34" s="360">
        <v>42522</v>
      </c>
      <c r="N34" s="360">
        <v>45959</v>
      </c>
      <c r="O34" s="331" t="s">
        <v>29</v>
      </c>
      <c r="P34" s="331" t="s">
        <v>30</v>
      </c>
      <c r="Q34" s="362" t="s">
        <v>75</v>
      </c>
      <c r="R34" s="331" t="s">
        <v>265</v>
      </c>
      <c r="S34" s="331" t="s">
        <v>1015</v>
      </c>
      <c r="T34" s="331" t="s">
        <v>1013</v>
      </c>
      <c r="U34" s="331" t="s">
        <v>525</v>
      </c>
      <c r="V34" s="331" t="s">
        <v>1014</v>
      </c>
      <c r="W34" s="331" t="s">
        <v>1714</v>
      </c>
      <c r="X34" s="330"/>
    </row>
    <row r="35" spans="1:25" s="326" customFormat="1" ht="50.1" hidden="1" customHeight="1" x14ac:dyDescent="0.25">
      <c r="A35" s="329" t="s">
        <v>1595</v>
      </c>
      <c r="B35" s="329" t="s">
        <v>992</v>
      </c>
      <c r="C35" s="329">
        <v>3006454</v>
      </c>
      <c r="D35" s="329" t="s">
        <v>568</v>
      </c>
      <c r="E35" s="329">
        <v>45</v>
      </c>
      <c r="F35" s="365" t="s">
        <v>1574</v>
      </c>
      <c r="G35" s="329" t="s">
        <v>1569</v>
      </c>
      <c r="H35" s="329" t="s">
        <v>710</v>
      </c>
      <c r="I35" s="329" t="s">
        <v>18</v>
      </c>
      <c r="J35" s="358" t="s">
        <v>1759</v>
      </c>
      <c r="K35" s="359">
        <v>1036105.98</v>
      </c>
      <c r="L35" s="329" t="s">
        <v>19</v>
      </c>
      <c r="M35" s="360">
        <v>42736</v>
      </c>
      <c r="N35" s="360">
        <v>46022</v>
      </c>
      <c r="O35" s="331" t="s">
        <v>152</v>
      </c>
      <c r="P35" s="331" t="s">
        <v>30</v>
      </c>
      <c r="Q35" s="362" t="s">
        <v>153</v>
      </c>
      <c r="R35" s="331" t="s">
        <v>265</v>
      </c>
      <c r="S35" s="331" t="s">
        <v>1016</v>
      </c>
      <c r="T35" s="331" t="s">
        <v>1017</v>
      </c>
      <c r="U35" s="331" t="s">
        <v>1018</v>
      </c>
      <c r="V35" s="331" t="s">
        <v>1019</v>
      </c>
      <c r="W35" s="331"/>
      <c r="X35" s="330"/>
    </row>
    <row r="36" spans="1:25" s="326" customFormat="1" ht="50.1" hidden="1" customHeight="1" x14ac:dyDescent="0.25">
      <c r="A36" s="329">
        <v>4600049327</v>
      </c>
      <c r="B36" s="329" t="s">
        <v>49</v>
      </c>
      <c r="C36" s="329">
        <v>3007020</v>
      </c>
      <c r="D36" s="329" t="s">
        <v>569</v>
      </c>
      <c r="E36" s="329">
        <v>60</v>
      </c>
      <c r="F36" s="331" t="s">
        <v>1575</v>
      </c>
      <c r="G36" s="329" t="s">
        <v>1569</v>
      </c>
      <c r="H36" s="329" t="s">
        <v>710</v>
      </c>
      <c r="I36" s="329" t="s">
        <v>18</v>
      </c>
      <c r="J36" s="358" t="s">
        <v>1760</v>
      </c>
      <c r="K36" s="359">
        <v>146877.96</v>
      </c>
      <c r="L36" s="329" t="s">
        <v>19</v>
      </c>
      <c r="M36" s="360">
        <v>45140</v>
      </c>
      <c r="N36" s="360">
        <v>46235</v>
      </c>
      <c r="O36" s="331" t="s">
        <v>29</v>
      </c>
      <c r="P36" s="362" t="s">
        <v>30</v>
      </c>
      <c r="Q36" s="362" t="s">
        <v>203</v>
      </c>
      <c r="R36" s="331" t="s">
        <v>265</v>
      </c>
      <c r="S36" s="331"/>
      <c r="T36" s="331" t="s">
        <v>323</v>
      </c>
      <c r="U36" s="331" t="s">
        <v>324</v>
      </c>
      <c r="V36" s="331" t="s">
        <v>322</v>
      </c>
      <c r="W36" s="331"/>
      <c r="X36" s="330"/>
    </row>
    <row r="37" spans="1:25" s="326" customFormat="1" ht="50.1" hidden="1" customHeight="1" x14ac:dyDescent="0.25">
      <c r="A37" s="329" t="s">
        <v>1602</v>
      </c>
      <c r="B37" s="329" t="s">
        <v>747</v>
      </c>
      <c r="C37" s="329">
        <v>3000854</v>
      </c>
      <c r="D37" s="329" t="s">
        <v>568</v>
      </c>
      <c r="E37" s="329">
        <v>30</v>
      </c>
      <c r="F37" s="331" t="s">
        <v>1575</v>
      </c>
      <c r="G37" s="329" t="s">
        <v>1569</v>
      </c>
      <c r="H37" s="329" t="s">
        <v>710</v>
      </c>
      <c r="I37" s="329" t="s">
        <v>18</v>
      </c>
      <c r="J37" s="358" t="s">
        <v>1761</v>
      </c>
      <c r="K37" s="359">
        <v>550729.28</v>
      </c>
      <c r="L37" s="329" t="s">
        <v>19</v>
      </c>
      <c r="M37" s="360">
        <v>43504</v>
      </c>
      <c r="N37" s="360">
        <v>46061</v>
      </c>
      <c r="O37" s="331" t="s">
        <v>208</v>
      </c>
      <c r="P37" s="331" t="s">
        <v>876</v>
      </c>
      <c r="Q37" s="361" t="s">
        <v>20</v>
      </c>
      <c r="R37" s="331" t="s">
        <v>263</v>
      </c>
      <c r="S37" s="331" t="s">
        <v>339</v>
      </c>
      <c r="T37" s="331" t="s">
        <v>337</v>
      </c>
      <c r="U37" s="331" t="s">
        <v>338</v>
      </c>
      <c r="V37" s="331" t="s">
        <v>336</v>
      </c>
      <c r="W37" s="331"/>
      <c r="X37" s="330"/>
    </row>
    <row r="38" spans="1:25" s="326" customFormat="1" ht="50.1" hidden="1" customHeight="1" x14ac:dyDescent="0.25">
      <c r="A38" s="329">
        <v>4600058082</v>
      </c>
      <c r="B38" s="329" t="s">
        <v>68</v>
      </c>
      <c r="C38" s="329">
        <v>191036</v>
      </c>
      <c r="D38" s="329" t="s">
        <v>568</v>
      </c>
      <c r="E38" s="329">
        <v>30</v>
      </c>
      <c r="F38" s="365" t="s">
        <v>1574</v>
      </c>
      <c r="G38" s="329" t="s">
        <v>1569</v>
      </c>
      <c r="H38" s="329" t="s">
        <v>710</v>
      </c>
      <c r="I38" s="329" t="s">
        <v>18</v>
      </c>
      <c r="J38" s="358" t="s">
        <v>1762</v>
      </c>
      <c r="K38" s="340">
        <v>970912</v>
      </c>
      <c r="L38" s="329" t="s">
        <v>37</v>
      </c>
      <c r="M38" s="360">
        <v>43941</v>
      </c>
      <c r="N38" s="360">
        <v>46126</v>
      </c>
      <c r="O38" s="331" t="s">
        <v>29</v>
      </c>
      <c r="P38" s="331" t="s">
        <v>30</v>
      </c>
      <c r="Q38" s="361" t="s">
        <v>153</v>
      </c>
      <c r="R38" s="331" t="s">
        <v>265</v>
      </c>
      <c r="S38" s="331"/>
      <c r="T38" s="331" t="s">
        <v>308</v>
      </c>
      <c r="U38" s="331" t="s">
        <v>308</v>
      </c>
      <c r="V38" s="331" t="s">
        <v>351</v>
      </c>
      <c r="W38" s="331" t="s">
        <v>287</v>
      </c>
      <c r="X38" s="332">
        <v>45393</v>
      </c>
    </row>
    <row r="39" spans="1:25" s="326" customFormat="1" ht="50.1" hidden="1" customHeight="1" x14ac:dyDescent="0.25">
      <c r="A39" s="329">
        <v>4600052818</v>
      </c>
      <c r="B39" s="329" t="s">
        <v>77</v>
      </c>
      <c r="C39" s="329">
        <v>189992</v>
      </c>
      <c r="D39" s="329" t="s">
        <v>569</v>
      </c>
      <c r="E39" s="329">
        <v>1</v>
      </c>
      <c r="F39" s="331" t="s">
        <v>1575</v>
      </c>
      <c r="G39" s="329" t="s">
        <v>1569</v>
      </c>
      <c r="H39" s="329" t="s">
        <v>710</v>
      </c>
      <c r="I39" s="329" t="s">
        <v>18</v>
      </c>
      <c r="J39" s="358" t="s">
        <v>1763</v>
      </c>
      <c r="K39" s="359">
        <v>11999</v>
      </c>
      <c r="L39" s="372" t="s">
        <v>79</v>
      </c>
      <c r="M39" s="360">
        <v>44869</v>
      </c>
      <c r="N39" s="360">
        <v>46258</v>
      </c>
      <c r="O39" s="331" t="s">
        <v>29</v>
      </c>
      <c r="P39" s="331" t="s">
        <v>30</v>
      </c>
      <c r="Q39" s="362" t="s">
        <v>153</v>
      </c>
      <c r="R39" s="331" t="s">
        <v>265</v>
      </c>
      <c r="S39" s="331"/>
      <c r="T39" s="331" t="s">
        <v>362</v>
      </c>
      <c r="U39" s="331" t="s">
        <v>363</v>
      </c>
      <c r="V39" s="331" t="s">
        <v>361</v>
      </c>
      <c r="W39" s="331"/>
      <c r="X39" s="330"/>
    </row>
    <row r="40" spans="1:25" s="326" customFormat="1" ht="50.1" hidden="1" customHeight="1" x14ac:dyDescent="0.25">
      <c r="A40" s="329">
        <v>4600059697</v>
      </c>
      <c r="B40" s="329" t="s">
        <v>91</v>
      </c>
      <c r="C40" s="329">
        <v>179234</v>
      </c>
      <c r="D40" s="329" t="s">
        <v>569</v>
      </c>
      <c r="E40" s="329">
        <v>45</v>
      </c>
      <c r="F40" s="331" t="s">
        <v>1575</v>
      </c>
      <c r="G40" s="329" t="s">
        <v>1569</v>
      </c>
      <c r="H40" s="329" t="s">
        <v>710</v>
      </c>
      <c r="I40" s="329" t="s">
        <v>18</v>
      </c>
      <c r="J40" s="358" t="s">
        <v>1764</v>
      </c>
      <c r="K40" s="359">
        <v>4780016.6399999997</v>
      </c>
      <c r="L40" s="329" t="s">
        <v>19</v>
      </c>
      <c r="M40" s="360">
        <v>45017</v>
      </c>
      <c r="N40" s="360">
        <v>46111</v>
      </c>
      <c r="O40" s="331" t="s">
        <v>93</v>
      </c>
      <c r="P40" s="362" t="s">
        <v>30</v>
      </c>
      <c r="Q40" s="362" t="s">
        <v>75</v>
      </c>
      <c r="R40" s="331" t="s">
        <v>265</v>
      </c>
      <c r="S40" s="331" t="s">
        <v>373</v>
      </c>
      <c r="T40" s="331" t="s">
        <v>371</v>
      </c>
      <c r="U40" s="331" t="s">
        <v>372</v>
      </c>
      <c r="V40" s="331" t="s">
        <v>370</v>
      </c>
      <c r="W40" s="331"/>
      <c r="X40" s="330"/>
    </row>
    <row r="41" spans="1:25" s="326" customFormat="1" ht="69.75" hidden="1" customHeight="1" x14ac:dyDescent="0.25">
      <c r="A41" s="329">
        <v>4600055284</v>
      </c>
      <c r="B41" s="329" t="s">
        <v>105</v>
      </c>
      <c r="C41" s="329">
        <v>170647</v>
      </c>
      <c r="D41" s="329" t="s">
        <v>569</v>
      </c>
      <c r="E41" s="329">
        <v>5</v>
      </c>
      <c r="F41" s="358" t="s">
        <v>1585</v>
      </c>
      <c r="G41" s="329" t="s">
        <v>1571</v>
      </c>
      <c r="H41" s="329" t="s">
        <v>710</v>
      </c>
      <c r="I41" s="329" t="s">
        <v>18</v>
      </c>
      <c r="J41" s="358" t="s">
        <v>1765</v>
      </c>
      <c r="K41" s="359">
        <v>934923922.88</v>
      </c>
      <c r="L41" s="329" t="s">
        <v>19</v>
      </c>
      <c r="M41" s="373">
        <v>41760</v>
      </c>
      <c r="N41" s="360">
        <v>46053</v>
      </c>
      <c r="O41" s="331" t="s">
        <v>29</v>
      </c>
      <c r="P41" s="331" t="s">
        <v>30</v>
      </c>
      <c r="Q41" s="331" t="s">
        <v>203</v>
      </c>
      <c r="R41" s="331" t="s">
        <v>265</v>
      </c>
      <c r="S41" s="331" t="s">
        <v>390</v>
      </c>
      <c r="T41" s="331" t="s">
        <v>388</v>
      </c>
      <c r="U41" s="331" t="s">
        <v>389</v>
      </c>
      <c r="V41" s="331" t="s">
        <v>387</v>
      </c>
      <c r="W41" s="331"/>
      <c r="X41" s="330"/>
    </row>
    <row r="42" spans="1:25" s="326" customFormat="1" ht="50.1" hidden="1" customHeight="1" x14ac:dyDescent="0.25">
      <c r="A42" s="329">
        <v>4600055494</v>
      </c>
      <c r="B42" s="329" t="s">
        <v>119</v>
      </c>
      <c r="C42" s="329">
        <v>148663</v>
      </c>
      <c r="D42" s="329" t="s">
        <v>568</v>
      </c>
      <c r="E42" s="329">
        <v>15</v>
      </c>
      <c r="F42" s="358" t="s">
        <v>1585</v>
      </c>
      <c r="G42" s="329" t="s">
        <v>1571</v>
      </c>
      <c r="H42" s="329" t="s">
        <v>710</v>
      </c>
      <c r="I42" s="329" t="s">
        <v>18</v>
      </c>
      <c r="J42" s="358" t="s">
        <v>1766</v>
      </c>
      <c r="K42" s="359">
        <v>58865904.490000002</v>
      </c>
      <c r="L42" s="329" t="s">
        <v>19</v>
      </c>
      <c r="M42" s="374" t="s">
        <v>121</v>
      </c>
      <c r="N42" s="360">
        <v>46142</v>
      </c>
      <c r="O42" s="331" t="s">
        <v>29</v>
      </c>
      <c r="P42" s="331" t="s">
        <v>30</v>
      </c>
      <c r="Q42" s="331" t="s">
        <v>203</v>
      </c>
      <c r="R42" s="331" t="s">
        <v>265</v>
      </c>
      <c r="S42" s="331"/>
      <c r="T42" s="331" t="s">
        <v>399</v>
      </c>
      <c r="U42" s="331" t="s">
        <v>400</v>
      </c>
      <c r="V42" s="331" t="s">
        <v>398</v>
      </c>
      <c r="W42" s="331"/>
      <c r="X42" s="330"/>
    </row>
    <row r="43" spans="1:25" s="326" customFormat="1" ht="50.1" hidden="1" customHeight="1" x14ac:dyDescent="0.25">
      <c r="A43" s="329">
        <v>4600055938</v>
      </c>
      <c r="B43" s="329" t="s">
        <v>127</v>
      </c>
      <c r="C43" s="329">
        <v>102440</v>
      </c>
      <c r="D43" s="329" t="s">
        <v>567</v>
      </c>
      <c r="E43" s="329" t="s">
        <v>189</v>
      </c>
      <c r="F43" s="358" t="s">
        <v>1585</v>
      </c>
      <c r="G43" s="329" t="s">
        <v>1571</v>
      </c>
      <c r="H43" s="329" t="s">
        <v>710</v>
      </c>
      <c r="I43" s="329" t="s">
        <v>18</v>
      </c>
      <c r="J43" s="358" t="s">
        <v>1767</v>
      </c>
      <c r="K43" s="359">
        <v>2255256949.7199998</v>
      </c>
      <c r="L43" s="329" t="s">
        <v>19</v>
      </c>
      <c r="M43" s="360">
        <v>44805</v>
      </c>
      <c r="N43" s="360">
        <v>46417</v>
      </c>
      <c r="O43" s="331" t="s">
        <v>29</v>
      </c>
      <c r="P43" s="331" t="s">
        <v>30</v>
      </c>
      <c r="Q43" s="331" t="s">
        <v>203</v>
      </c>
      <c r="R43" s="331" t="s">
        <v>265</v>
      </c>
      <c r="S43" s="331"/>
      <c r="T43" s="331" t="s">
        <v>402</v>
      </c>
      <c r="U43" s="331" t="s">
        <v>403</v>
      </c>
      <c r="V43" s="367" t="s">
        <v>401</v>
      </c>
      <c r="W43" s="331"/>
      <c r="X43" s="330"/>
    </row>
    <row r="44" spans="1:25" s="326" customFormat="1" ht="50.1" hidden="1" customHeight="1" x14ac:dyDescent="0.25">
      <c r="A44" s="329">
        <v>4600058428</v>
      </c>
      <c r="B44" s="329" t="s">
        <v>150</v>
      </c>
      <c r="C44" s="329">
        <v>3042063</v>
      </c>
      <c r="D44" s="329" t="s">
        <v>569</v>
      </c>
      <c r="E44" s="329">
        <v>45</v>
      </c>
      <c r="F44" s="331" t="s">
        <v>1575</v>
      </c>
      <c r="G44" s="329" t="s">
        <v>1569</v>
      </c>
      <c r="H44" s="329" t="s">
        <v>709</v>
      </c>
      <c r="I44" s="329" t="s">
        <v>18</v>
      </c>
      <c r="J44" s="358" t="s">
        <v>1768</v>
      </c>
      <c r="K44" s="359">
        <v>33141.5</v>
      </c>
      <c r="L44" s="329" t="s">
        <v>19</v>
      </c>
      <c r="M44" s="360">
        <v>44804</v>
      </c>
      <c r="N44" s="360">
        <v>46264</v>
      </c>
      <c r="O44" s="331" t="s">
        <v>152</v>
      </c>
      <c r="P44" s="331" t="s">
        <v>30</v>
      </c>
      <c r="Q44" s="361" t="s">
        <v>213</v>
      </c>
      <c r="R44" s="331" t="s">
        <v>265</v>
      </c>
      <c r="S44" s="331" t="s">
        <v>431</v>
      </c>
      <c r="T44" s="331" t="s">
        <v>429</v>
      </c>
      <c r="U44" s="331" t="s">
        <v>430</v>
      </c>
      <c r="V44" s="331" t="s">
        <v>428</v>
      </c>
      <c r="W44" s="331"/>
      <c r="X44" s="330" t="s">
        <v>829</v>
      </c>
    </row>
    <row r="45" spans="1:25" s="326" customFormat="1" ht="50.1" hidden="1" customHeight="1" x14ac:dyDescent="0.25">
      <c r="A45" s="329">
        <v>4600056630</v>
      </c>
      <c r="B45" s="329" t="s">
        <v>154</v>
      </c>
      <c r="C45" s="331">
        <v>102369</v>
      </c>
      <c r="D45" s="329" t="s">
        <v>567</v>
      </c>
      <c r="E45" s="329">
        <v>90</v>
      </c>
      <c r="F45" s="331" t="s">
        <v>1575</v>
      </c>
      <c r="G45" s="329" t="s">
        <v>1569</v>
      </c>
      <c r="H45" s="329" t="s">
        <v>710</v>
      </c>
      <c r="I45" s="329" t="s">
        <v>18</v>
      </c>
      <c r="J45" s="358" t="s">
        <v>1769</v>
      </c>
      <c r="K45" s="359">
        <v>2645878.3199999998</v>
      </c>
      <c r="L45" s="329" t="s">
        <v>19</v>
      </c>
      <c r="M45" s="360">
        <v>44914</v>
      </c>
      <c r="N45" s="360">
        <v>46010</v>
      </c>
      <c r="O45" s="331" t="s">
        <v>22</v>
      </c>
      <c r="P45" s="331" t="s">
        <v>211</v>
      </c>
      <c r="Q45" s="361" t="s">
        <v>875</v>
      </c>
      <c r="R45" s="331" t="s">
        <v>206</v>
      </c>
      <c r="S45" s="331" t="s">
        <v>1005</v>
      </c>
      <c r="T45" s="331" t="s">
        <v>1007</v>
      </c>
      <c r="U45" s="331" t="s">
        <v>432</v>
      </c>
      <c r="V45" s="331" t="s">
        <v>1006</v>
      </c>
      <c r="W45" s="331"/>
      <c r="X45" s="330"/>
    </row>
    <row r="46" spans="1:25" s="326" customFormat="1" ht="50.1" hidden="1" customHeight="1" x14ac:dyDescent="0.25">
      <c r="A46" s="329" t="s">
        <v>1598</v>
      </c>
      <c r="B46" s="358" t="s">
        <v>1246</v>
      </c>
      <c r="C46" s="329">
        <v>3036348</v>
      </c>
      <c r="D46" s="329" t="s">
        <v>569</v>
      </c>
      <c r="E46" s="329">
        <v>60</v>
      </c>
      <c r="F46" s="358" t="s">
        <v>1675</v>
      </c>
      <c r="G46" s="331" t="s">
        <v>1575</v>
      </c>
      <c r="H46" s="329" t="s">
        <v>710</v>
      </c>
      <c r="I46" s="329" t="s">
        <v>18</v>
      </c>
      <c r="J46" s="358" t="s">
        <v>2025</v>
      </c>
      <c r="K46" s="359">
        <v>1377719.88</v>
      </c>
      <c r="L46" s="329" t="s">
        <v>19</v>
      </c>
      <c r="M46" s="360">
        <v>44812</v>
      </c>
      <c r="N46" s="360">
        <v>46234</v>
      </c>
      <c r="O46" s="331" t="s">
        <v>29</v>
      </c>
      <c r="P46" s="331" t="s">
        <v>30</v>
      </c>
      <c r="Q46" s="361" t="str">
        <f>UPPER(P46:P46)</f>
        <v>MANFREDO SAHB CARCUTE</v>
      </c>
      <c r="R46" s="331" t="s">
        <v>265</v>
      </c>
      <c r="S46" s="331" t="str">
        <f>UPPER(R46:R46)</f>
        <v>ULIANA MARIA NICKERSON DO PRADO PERES</v>
      </c>
      <c r="T46" s="331" t="s">
        <v>434</v>
      </c>
      <c r="U46" s="331" t="s">
        <v>308</v>
      </c>
      <c r="V46" s="331" t="s">
        <v>433</v>
      </c>
      <c r="W46" s="331"/>
      <c r="X46" s="330"/>
      <c r="Y46" s="358"/>
    </row>
    <row r="47" spans="1:25" s="326" customFormat="1" ht="50.1" hidden="1" customHeight="1" x14ac:dyDescent="0.25">
      <c r="A47" s="329">
        <v>4600056881</v>
      </c>
      <c r="B47" s="329" t="s">
        <v>166</v>
      </c>
      <c r="C47" s="331">
        <v>102369</v>
      </c>
      <c r="D47" s="329" t="s">
        <v>568</v>
      </c>
      <c r="E47" s="329">
        <v>90</v>
      </c>
      <c r="F47" s="331" t="s">
        <v>1575</v>
      </c>
      <c r="G47" s="329" t="s">
        <v>1569</v>
      </c>
      <c r="H47" s="329" t="s">
        <v>710</v>
      </c>
      <c r="I47" s="329" t="s">
        <v>18</v>
      </c>
      <c r="J47" s="358" t="s">
        <v>1770</v>
      </c>
      <c r="K47" s="359">
        <v>416648</v>
      </c>
      <c r="L47" s="329" t="s">
        <v>19</v>
      </c>
      <c r="M47" s="360">
        <v>44911</v>
      </c>
      <c r="N47" s="360">
        <v>46007</v>
      </c>
      <c r="O47" s="331" t="s">
        <v>22</v>
      </c>
      <c r="P47" s="331" t="s">
        <v>211</v>
      </c>
      <c r="Q47" s="361" t="s">
        <v>875</v>
      </c>
      <c r="R47" s="331" t="s">
        <v>206</v>
      </c>
      <c r="S47" s="331" t="s">
        <v>1005</v>
      </c>
      <c r="T47" s="331" t="s">
        <v>1007</v>
      </c>
      <c r="U47" s="331" t="s">
        <v>432</v>
      </c>
      <c r="V47" s="331" t="s">
        <v>1006</v>
      </c>
      <c r="W47" s="331"/>
      <c r="X47" s="330"/>
    </row>
    <row r="48" spans="1:25" s="326" customFormat="1" ht="50.1" hidden="1" customHeight="1" x14ac:dyDescent="0.25">
      <c r="A48" s="329">
        <v>4600059336</v>
      </c>
      <c r="B48" s="329" t="s">
        <v>170</v>
      </c>
      <c r="C48" s="329">
        <v>3038407</v>
      </c>
      <c r="D48" s="329" t="s">
        <v>568</v>
      </c>
      <c r="E48" s="329">
        <v>30</v>
      </c>
      <c r="F48" s="331" t="s">
        <v>1575</v>
      </c>
      <c r="G48" s="329" t="s">
        <v>1569</v>
      </c>
      <c r="H48" s="329" t="s">
        <v>709</v>
      </c>
      <c r="I48" s="329" t="s">
        <v>18</v>
      </c>
      <c r="J48" s="331" t="s">
        <v>1771</v>
      </c>
      <c r="K48" s="359">
        <v>374459</v>
      </c>
      <c r="L48" s="329" t="s">
        <v>19</v>
      </c>
      <c r="M48" s="360">
        <v>45017</v>
      </c>
      <c r="N48" s="360">
        <v>46479</v>
      </c>
      <c r="O48" s="331" t="s">
        <v>171</v>
      </c>
      <c r="P48" s="362" t="s">
        <v>172</v>
      </c>
      <c r="Q48" s="362" t="s">
        <v>172</v>
      </c>
      <c r="R48" s="331" t="s">
        <v>262</v>
      </c>
      <c r="S48" s="331" t="s">
        <v>1082</v>
      </c>
      <c r="T48" s="331" t="s">
        <v>443</v>
      </c>
      <c r="U48" s="331" t="s">
        <v>1083</v>
      </c>
      <c r="V48" s="375" t="s">
        <v>448</v>
      </c>
      <c r="W48" s="331"/>
      <c r="X48" s="330"/>
    </row>
    <row r="49" spans="1:25" s="326" customFormat="1" ht="50.1" hidden="1" customHeight="1" x14ac:dyDescent="0.25">
      <c r="A49" s="329" t="s">
        <v>1642</v>
      </c>
      <c r="B49" s="329" t="s">
        <v>174</v>
      </c>
      <c r="C49" s="329">
        <v>3043664</v>
      </c>
      <c r="D49" s="329" t="s">
        <v>568</v>
      </c>
      <c r="E49" s="329">
        <v>45</v>
      </c>
      <c r="F49" s="331" t="s">
        <v>1575</v>
      </c>
      <c r="G49" s="329" t="s">
        <v>1569</v>
      </c>
      <c r="H49" s="329" t="s">
        <v>710</v>
      </c>
      <c r="I49" s="329" t="s">
        <v>18</v>
      </c>
      <c r="J49" s="358" t="s">
        <v>1772</v>
      </c>
      <c r="K49" s="359">
        <v>9867.6</v>
      </c>
      <c r="L49" s="329" t="s">
        <v>19</v>
      </c>
      <c r="M49" s="360">
        <v>45089</v>
      </c>
      <c r="N49" s="360">
        <v>46665</v>
      </c>
      <c r="O49" s="331" t="s">
        <v>22</v>
      </c>
      <c r="P49" s="331" t="s">
        <v>204</v>
      </c>
      <c r="Q49" s="361" t="s">
        <v>875</v>
      </c>
      <c r="R49" s="331" t="s">
        <v>206</v>
      </c>
      <c r="S49" s="331"/>
      <c r="T49" s="331" t="s">
        <v>450</v>
      </c>
      <c r="U49" s="331" t="s">
        <v>308</v>
      </c>
      <c r="V49" s="367" t="s">
        <v>449</v>
      </c>
      <c r="W49" s="331"/>
      <c r="X49" s="330"/>
    </row>
    <row r="50" spans="1:25" s="326" customFormat="1" ht="50.1" hidden="1" customHeight="1" x14ac:dyDescent="0.25">
      <c r="A50" s="331" t="s">
        <v>1648</v>
      </c>
      <c r="B50" s="329" t="s">
        <v>178</v>
      </c>
      <c r="C50" s="331">
        <v>3026972</v>
      </c>
      <c r="D50" s="331" t="s">
        <v>567</v>
      </c>
      <c r="E50" s="331">
        <v>30</v>
      </c>
      <c r="F50" s="331" t="s">
        <v>1575</v>
      </c>
      <c r="G50" s="329" t="s">
        <v>1569</v>
      </c>
      <c r="H50" s="329" t="s">
        <v>710</v>
      </c>
      <c r="I50" s="331" t="s">
        <v>18</v>
      </c>
      <c r="J50" s="365" t="s">
        <v>1773</v>
      </c>
      <c r="K50" s="340">
        <v>839437.92</v>
      </c>
      <c r="L50" s="331" t="s">
        <v>19</v>
      </c>
      <c r="M50" s="344">
        <v>45105</v>
      </c>
      <c r="N50" s="360">
        <v>46453</v>
      </c>
      <c r="O50" s="331" t="s">
        <v>22</v>
      </c>
      <c r="P50" s="362" t="s">
        <v>204</v>
      </c>
      <c r="Q50" s="361" t="s">
        <v>553</v>
      </c>
      <c r="R50" s="331" t="s">
        <v>206</v>
      </c>
      <c r="S50" s="331" t="s">
        <v>1236</v>
      </c>
      <c r="T50" s="331" t="s">
        <v>1234</v>
      </c>
      <c r="U50" s="331" t="s">
        <v>1237</v>
      </c>
      <c r="V50" s="375" t="s">
        <v>1235</v>
      </c>
      <c r="W50" s="331" t="s">
        <v>454</v>
      </c>
      <c r="X50" s="330"/>
    </row>
    <row r="51" spans="1:25" s="326" customFormat="1" ht="50.1" hidden="1" customHeight="1" x14ac:dyDescent="0.25">
      <c r="A51" s="329">
        <v>4600057549</v>
      </c>
      <c r="B51" s="329" t="s">
        <v>193</v>
      </c>
      <c r="C51" s="331">
        <v>3026695</v>
      </c>
      <c r="D51" s="331" t="s">
        <v>567</v>
      </c>
      <c r="E51" s="329">
        <v>60</v>
      </c>
      <c r="F51" s="358" t="s">
        <v>1583</v>
      </c>
      <c r="G51" s="329" t="s">
        <v>1571</v>
      </c>
      <c r="H51" s="329" t="s">
        <v>710</v>
      </c>
      <c r="I51" s="331" t="s">
        <v>18</v>
      </c>
      <c r="J51" s="358" t="s">
        <v>1774</v>
      </c>
      <c r="K51" s="340">
        <v>2946500.37</v>
      </c>
      <c r="L51" s="329" t="s">
        <v>19</v>
      </c>
      <c r="M51" s="344">
        <v>45231</v>
      </c>
      <c r="N51" s="360">
        <v>45962</v>
      </c>
      <c r="O51" s="331" t="s">
        <v>208</v>
      </c>
      <c r="P51" s="331" t="s">
        <v>876</v>
      </c>
      <c r="Q51" s="361" t="s">
        <v>20</v>
      </c>
      <c r="R51" s="331" t="s">
        <v>263</v>
      </c>
      <c r="S51" s="331" t="s">
        <v>958</v>
      </c>
      <c r="T51" s="331" t="s">
        <v>957</v>
      </c>
      <c r="U51" s="331" t="s">
        <v>308</v>
      </c>
      <c r="V51" s="331" t="s">
        <v>959</v>
      </c>
      <c r="W51" s="331" t="s">
        <v>1717</v>
      </c>
      <c r="X51" s="330" t="s">
        <v>760</v>
      </c>
    </row>
    <row r="52" spans="1:25" s="326" customFormat="1" ht="50.1" hidden="1" customHeight="1" x14ac:dyDescent="0.25">
      <c r="A52" s="331">
        <v>4600057761</v>
      </c>
      <c r="B52" s="329" t="s">
        <v>215</v>
      </c>
      <c r="C52" s="331">
        <v>3044243</v>
      </c>
      <c r="D52" s="329" t="s">
        <v>568</v>
      </c>
      <c r="E52" s="331">
        <v>60</v>
      </c>
      <c r="F52" s="331" t="s">
        <v>1575</v>
      </c>
      <c r="G52" s="329" t="s">
        <v>1569</v>
      </c>
      <c r="H52" s="331" t="s">
        <v>710</v>
      </c>
      <c r="I52" s="331" t="s">
        <v>18</v>
      </c>
      <c r="J52" s="331" t="s">
        <v>1775</v>
      </c>
      <c r="K52" s="340">
        <v>226620</v>
      </c>
      <c r="L52" s="331" t="s">
        <v>19</v>
      </c>
      <c r="M52" s="344">
        <v>45257</v>
      </c>
      <c r="N52" s="360">
        <v>46352</v>
      </c>
      <c r="O52" s="331" t="s">
        <v>22</v>
      </c>
      <c r="P52" s="331" t="s">
        <v>204</v>
      </c>
      <c r="Q52" s="361" t="s">
        <v>553</v>
      </c>
      <c r="R52" s="331" t="s">
        <v>206</v>
      </c>
      <c r="S52" s="331" t="s">
        <v>472</v>
      </c>
      <c r="T52" s="331" t="s">
        <v>470</v>
      </c>
      <c r="U52" s="331" t="s">
        <v>471</v>
      </c>
      <c r="V52" s="331" t="s">
        <v>469</v>
      </c>
      <c r="W52" s="331"/>
      <c r="X52" s="330"/>
    </row>
    <row r="53" spans="1:25" s="326" customFormat="1" ht="50.1" hidden="1" customHeight="1" x14ac:dyDescent="0.25">
      <c r="A53" s="331" t="s">
        <v>1649</v>
      </c>
      <c r="B53" s="329" t="s">
        <v>99</v>
      </c>
      <c r="C53" s="331">
        <v>3040241</v>
      </c>
      <c r="D53" s="329" t="s">
        <v>568</v>
      </c>
      <c r="E53" s="331">
        <v>60</v>
      </c>
      <c r="F53" s="365" t="s">
        <v>1574</v>
      </c>
      <c r="G53" s="329" t="s">
        <v>1569</v>
      </c>
      <c r="H53" s="331" t="s">
        <v>710</v>
      </c>
      <c r="I53" s="329" t="s">
        <v>95</v>
      </c>
      <c r="J53" s="331" t="s">
        <v>1776</v>
      </c>
      <c r="K53" s="340">
        <v>870819.6</v>
      </c>
      <c r="L53" s="331" t="s">
        <v>19</v>
      </c>
      <c r="M53" s="344">
        <v>45260</v>
      </c>
      <c r="N53" s="360">
        <v>46171</v>
      </c>
      <c r="O53" s="331" t="s">
        <v>208</v>
      </c>
      <c r="P53" s="331" t="s">
        <v>876</v>
      </c>
      <c r="Q53" s="331" t="s">
        <v>20</v>
      </c>
      <c r="R53" s="331" t="s">
        <v>263</v>
      </c>
      <c r="S53" s="331"/>
      <c r="T53" s="331" t="s">
        <v>474</v>
      </c>
      <c r="U53" s="331" t="s">
        <v>308</v>
      </c>
      <c r="V53" s="331" t="s">
        <v>473</v>
      </c>
      <c r="W53" s="331"/>
      <c r="X53" s="330"/>
    </row>
    <row r="54" spans="1:25" s="326" customFormat="1" ht="50.1" hidden="1" customHeight="1" x14ac:dyDescent="0.25">
      <c r="A54" s="331">
        <v>4600057791</v>
      </c>
      <c r="B54" s="329" t="s">
        <v>219</v>
      </c>
      <c r="C54" s="331">
        <v>3044684</v>
      </c>
      <c r="D54" s="329" t="s">
        <v>569</v>
      </c>
      <c r="E54" s="331">
        <v>1</v>
      </c>
      <c r="F54" s="331" t="s">
        <v>1575</v>
      </c>
      <c r="G54" s="329" t="s">
        <v>1569</v>
      </c>
      <c r="H54" s="331" t="s">
        <v>710</v>
      </c>
      <c r="I54" s="331" t="s">
        <v>18</v>
      </c>
      <c r="J54" s="331" t="s">
        <v>1777</v>
      </c>
      <c r="K54" s="340">
        <v>0.01</v>
      </c>
      <c r="L54" s="331" t="s">
        <v>19</v>
      </c>
      <c r="M54" s="344">
        <v>45250</v>
      </c>
      <c r="N54" s="360">
        <v>45980</v>
      </c>
      <c r="O54" s="331" t="s">
        <v>152</v>
      </c>
      <c r="P54" s="331" t="s">
        <v>30</v>
      </c>
      <c r="Q54" s="331" t="s">
        <v>203</v>
      </c>
      <c r="R54" s="331" t="s">
        <v>265</v>
      </c>
      <c r="S54" s="331" t="s">
        <v>476</v>
      </c>
      <c r="T54" s="331" t="s">
        <v>479</v>
      </c>
      <c r="U54" s="331" t="s">
        <v>308</v>
      </c>
      <c r="V54" s="331" t="s">
        <v>475</v>
      </c>
      <c r="W54" s="331" t="s">
        <v>1717</v>
      </c>
      <c r="X54" s="330"/>
    </row>
    <row r="55" spans="1:25" s="326" customFormat="1" ht="50.1" hidden="1" customHeight="1" x14ac:dyDescent="0.25">
      <c r="A55" s="331">
        <v>4600057445</v>
      </c>
      <c r="B55" s="329" t="s">
        <v>222</v>
      </c>
      <c r="C55" s="331">
        <v>3043840</v>
      </c>
      <c r="D55" s="331" t="s">
        <v>567</v>
      </c>
      <c r="E55" s="331">
        <v>45</v>
      </c>
      <c r="F55" s="365" t="s">
        <v>1574</v>
      </c>
      <c r="G55" s="329" t="s">
        <v>1569</v>
      </c>
      <c r="H55" s="331" t="s">
        <v>710</v>
      </c>
      <c r="I55" s="331" t="s">
        <v>38</v>
      </c>
      <c r="J55" s="331" t="s">
        <v>1778</v>
      </c>
      <c r="K55" s="340">
        <v>700000</v>
      </c>
      <c r="L55" s="331" t="s">
        <v>19</v>
      </c>
      <c r="M55" s="344">
        <v>45117</v>
      </c>
      <c r="N55" s="360">
        <v>46214</v>
      </c>
      <c r="O55" s="331" t="s">
        <v>22</v>
      </c>
      <c r="P55" s="331" t="s">
        <v>204</v>
      </c>
      <c r="Q55" s="361" t="s">
        <v>553</v>
      </c>
      <c r="R55" s="331" t="s">
        <v>206</v>
      </c>
      <c r="S55" s="331" t="s">
        <v>483</v>
      </c>
      <c r="T55" s="331" t="s">
        <v>482</v>
      </c>
      <c r="U55" s="331" t="s">
        <v>308</v>
      </c>
      <c r="V55" s="331" t="s">
        <v>481</v>
      </c>
      <c r="W55" s="331"/>
      <c r="X55" s="330"/>
    </row>
    <row r="56" spans="1:25" s="326" customFormat="1" ht="50.1" customHeight="1" x14ac:dyDescent="0.25">
      <c r="A56" s="329">
        <v>4600057906</v>
      </c>
      <c r="B56" s="329" t="s">
        <v>230</v>
      </c>
      <c r="C56" s="329">
        <v>3041254</v>
      </c>
      <c r="D56" s="329" t="s">
        <v>567</v>
      </c>
      <c r="E56" s="329">
        <v>45</v>
      </c>
      <c r="F56" s="365" t="s">
        <v>1575</v>
      </c>
      <c r="G56" s="365" t="s">
        <v>1575</v>
      </c>
      <c r="H56" s="331" t="s">
        <v>710</v>
      </c>
      <c r="I56" s="331" t="s">
        <v>38</v>
      </c>
      <c r="J56" s="331" t="s">
        <v>2028</v>
      </c>
      <c r="K56" s="340">
        <v>1794188.97</v>
      </c>
      <c r="L56" s="331" t="s">
        <v>19</v>
      </c>
      <c r="M56" s="344">
        <v>44676</v>
      </c>
      <c r="N56" s="360">
        <v>46295</v>
      </c>
      <c r="O56" s="331" t="s">
        <v>52</v>
      </c>
      <c r="P56" s="331" t="s">
        <v>204</v>
      </c>
      <c r="Q56" s="361" t="str">
        <f>UPPER(P56:P56)</f>
        <v>PEDRO ANTONIO PERIASSU</v>
      </c>
      <c r="R56" s="331" t="s">
        <v>206</v>
      </c>
      <c r="S56" s="331" t="str">
        <f>UPPER(R56:R56)</f>
        <v>RODRIGO CORREIA FURUKAWA</v>
      </c>
      <c r="T56" s="331" t="s">
        <v>495</v>
      </c>
      <c r="U56" s="331" t="s">
        <v>496</v>
      </c>
      <c r="V56" s="331" t="s">
        <v>1012</v>
      </c>
      <c r="W56" s="331"/>
      <c r="X56" s="330"/>
      <c r="Y56" s="358"/>
    </row>
    <row r="57" spans="1:25" s="326" customFormat="1" ht="50.1" hidden="1" customHeight="1" x14ac:dyDescent="0.25">
      <c r="A57" s="331" t="s">
        <v>1709</v>
      </c>
      <c r="B57" s="329" t="s">
        <v>267</v>
      </c>
      <c r="C57" s="331">
        <v>186055</v>
      </c>
      <c r="D57" s="329" t="s">
        <v>568</v>
      </c>
      <c r="E57" s="331">
        <v>30</v>
      </c>
      <c r="F57" s="331" t="s">
        <v>1575</v>
      </c>
      <c r="G57" s="329" t="s">
        <v>1569</v>
      </c>
      <c r="H57" s="331" t="s">
        <v>710</v>
      </c>
      <c r="I57" s="331" t="s">
        <v>18</v>
      </c>
      <c r="J57" s="331" t="s">
        <v>1779</v>
      </c>
      <c r="K57" s="340">
        <v>96770</v>
      </c>
      <c r="L57" s="331" t="s">
        <v>19</v>
      </c>
      <c r="M57" s="344">
        <v>45065</v>
      </c>
      <c r="N57" s="360">
        <v>46526</v>
      </c>
      <c r="O57" s="331" t="s">
        <v>152</v>
      </c>
      <c r="P57" s="331" t="s">
        <v>30</v>
      </c>
      <c r="Q57" s="331" t="s">
        <v>203</v>
      </c>
      <c r="R57" s="331" t="s">
        <v>265</v>
      </c>
      <c r="S57" s="331"/>
      <c r="T57" s="331" t="s">
        <v>500</v>
      </c>
      <c r="U57" s="331" t="s">
        <v>501</v>
      </c>
      <c r="V57" s="331" t="s">
        <v>499</v>
      </c>
      <c r="W57" s="331"/>
      <c r="X57" s="332">
        <v>45299</v>
      </c>
    </row>
    <row r="58" spans="1:25" s="326" customFormat="1" ht="50.1" hidden="1" customHeight="1" x14ac:dyDescent="0.25">
      <c r="A58" s="331">
        <v>4600055645</v>
      </c>
      <c r="B58" s="329" t="s">
        <v>1721</v>
      </c>
      <c r="C58" s="331">
        <v>104143</v>
      </c>
      <c r="D58" s="331" t="s">
        <v>567</v>
      </c>
      <c r="E58" s="331">
        <v>7</v>
      </c>
      <c r="F58" s="365" t="s">
        <v>1587</v>
      </c>
      <c r="G58" s="329" t="s">
        <v>1571</v>
      </c>
      <c r="H58" s="329" t="s">
        <v>710</v>
      </c>
      <c r="I58" s="331" t="s">
        <v>18</v>
      </c>
      <c r="J58" s="331" t="s">
        <v>1780</v>
      </c>
      <c r="K58" s="340">
        <v>0.01</v>
      </c>
      <c r="L58" s="331" t="s">
        <v>19</v>
      </c>
      <c r="M58" s="344">
        <v>40299</v>
      </c>
      <c r="N58" s="360">
        <v>45777</v>
      </c>
      <c r="O58" s="331" t="s">
        <v>152</v>
      </c>
      <c r="P58" s="331" t="s">
        <v>30</v>
      </c>
      <c r="Q58" s="331" t="s">
        <v>203</v>
      </c>
      <c r="R58" s="331" t="s">
        <v>265</v>
      </c>
      <c r="S58" s="331" t="s">
        <v>406</v>
      </c>
      <c r="T58" s="331" t="s">
        <v>513</v>
      </c>
      <c r="U58" s="331" t="s">
        <v>308</v>
      </c>
      <c r="V58" s="331" t="s">
        <v>512</v>
      </c>
      <c r="W58" s="331" t="s">
        <v>1710</v>
      </c>
      <c r="X58" s="332">
        <v>45299</v>
      </c>
    </row>
    <row r="59" spans="1:25" s="326" customFormat="1" ht="50.1" hidden="1" customHeight="1" x14ac:dyDescent="0.25">
      <c r="A59" s="331">
        <v>4600057500</v>
      </c>
      <c r="B59" s="329" t="s">
        <v>984</v>
      </c>
      <c r="C59" s="331">
        <v>3035927</v>
      </c>
      <c r="D59" s="329" t="s">
        <v>569</v>
      </c>
      <c r="E59" s="331">
        <v>75</v>
      </c>
      <c r="F59" s="331" t="s">
        <v>1575</v>
      </c>
      <c r="G59" s="329" t="s">
        <v>1569</v>
      </c>
      <c r="H59" s="329" t="s">
        <v>710</v>
      </c>
      <c r="I59" s="331" t="s">
        <v>18</v>
      </c>
      <c r="J59" s="331" t="s">
        <v>1781</v>
      </c>
      <c r="K59" s="340">
        <v>0.01</v>
      </c>
      <c r="L59" s="331" t="s">
        <v>19</v>
      </c>
      <c r="M59" s="344">
        <v>45170</v>
      </c>
      <c r="N59" s="360">
        <v>46265</v>
      </c>
      <c r="O59" s="331" t="s">
        <v>152</v>
      </c>
      <c r="P59" s="331" t="s">
        <v>30</v>
      </c>
      <c r="Q59" s="331" t="s">
        <v>203</v>
      </c>
      <c r="R59" s="331" t="s">
        <v>265</v>
      </c>
      <c r="S59" s="331" t="s">
        <v>516</v>
      </c>
      <c r="T59" s="331" t="s">
        <v>515</v>
      </c>
      <c r="U59" s="331" t="s">
        <v>308</v>
      </c>
      <c r="V59" s="331" t="s">
        <v>514</v>
      </c>
      <c r="W59" s="331"/>
      <c r="X59" s="332">
        <v>45299</v>
      </c>
    </row>
    <row r="60" spans="1:25" s="326" customFormat="1" ht="50.1" hidden="1" customHeight="1" x14ac:dyDescent="0.25">
      <c r="A60" s="331">
        <v>4600057836</v>
      </c>
      <c r="B60" s="329" t="s">
        <v>266</v>
      </c>
      <c r="C60" s="331">
        <v>3045044</v>
      </c>
      <c r="D60" s="329" t="s">
        <v>569</v>
      </c>
      <c r="E60" s="331">
        <v>30</v>
      </c>
      <c r="F60" s="331" t="s">
        <v>1575</v>
      </c>
      <c r="G60" s="329" t="s">
        <v>1569</v>
      </c>
      <c r="H60" s="329" t="s">
        <v>710</v>
      </c>
      <c r="I60" s="331" t="s">
        <v>18</v>
      </c>
      <c r="J60" s="331" t="s">
        <v>1782</v>
      </c>
      <c r="K60" s="340">
        <v>284911.11</v>
      </c>
      <c r="L60" s="331" t="s">
        <v>19</v>
      </c>
      <c r="M60" s="344">
        <v>45288</v>
      </c>
      <c r="N60" s="360">
        <v>45991</v>
      </c>
      <c r="O60" s="331" t="s">
        <v>152</v>
      </c>
      <c r="P60" s="331" t="s">
        <v>30</v>
      </c>
      <c r="Q60" s="331" t="s">
        <v>203</v>
      </c>
      <c r="R60" s="331" t="s">
        <v>265</v>
      </c>
      <c r="S60" s="331"/>
      <c r="T60" s="331" t="s">
        <v>523</v>
      </c>
      <c r="U60" s="331" t="s">
        <v>524</v>
      </c>
      <c r="V60" s="331" t="s">
        <v>522</v>
      </c>
      <c r="W60" s="331"/>
      <c r="X60" s="332">
        <v>45327</v>
      </c>
    </row>
    <row r="61" spans="1:25" s="326" customFormat="1" ht="50.1" hidden="1" customHeight="1" x14ac:dyDescent="0.25">
      <c r="A61" s="339">
        <v>4600058510</v>
      </c>
      <c r="B61" s="329" t="s">
        <v>268</v>
      </c>
      <c r="C61" s="339">
        <v>185651</v>
      </c>
      <c r="D61" s="376" t="s">
        <v>568</v>
      </c>
      <c r="E61" s="339">
        <v>15</v>
      </c>
      <c r="F61" s="331" t="s">
        <v>1575</v>
      </c>
      <c r="G61" s="329" t="s">
        <v>1569</v>
      </c>
      <c r="H61" s="329" t="s">
        <v>709</v>
      </c>
      <c r="I61" s="339" t="s">
        <v>18</v>
      </c>
      <c r="J61" s="339" t="s">
        <v>1783</v>
      </c>
      <c r="K61" s="377">
        <v>3669327.16</v>
      </c>
      <c r="L61" s="339" t="s">
        <v>19</v>
      </c>
      <c r="M61" s="378">
        <v>44512</v>
      </c>
      <c r="N61" s="379">
        <v>46336</v>
      </c>
      <c r="O61" s="331" t="s">
        <v>93</v>
      </c>
      <c r="P61" s="331" t="s">
        <v>30</v>
      </c>
      <c r="Q61" s="331" t="s">
        <v>74</v>
      </c>
      <c r="R61" s="331" t="s">
        <v>262</v>
      </c>
      <c r="S61" s="339" t="s">
        <v>377</v>
      </c>
      <c r="T61" s="339" t="s">
        <v>375</v>
      </c>
      <c r="U61" s="339" t="s">
        <v>376</v>
      </c>
      <c r="V61" s="339" t="s">
        <v>374</v>
      </c>
      <c r="W61" s="339" t="s">
        <v>839</v>
      </c>
      <c r="X61" s="338"/>
    </row>
    <row r="62" spans="1:25" s="326" customFormat="1" ht="50.1" hidden="1" customHeight="1" x14ac:dyDescent="0.25">
      <c r="A62" s="331">
        <v>4600057284</v>
      </c>
      <c r="B62" s="329" t="s">
        <v>271</v>
      </c>
      <c r="C62" s="331">
        <v>181937</v>
      </c>
      <c r="D62" s="329" t="s">
        <v>568</v>
      </c>
      <c r="E62" s="331">
        <v>45</v>
      </c>
      <c r="F62" s="365" t="s">
        <v>1582</v>
      </c>
      <c r="G62" s="329" t="s">
        <v>1569</v>
      </c>
      <c r="H62" s="329" t="s">
        <v>710</v>
      </c>
      <c r="I62" s="331" t="s">
        <v>38</v>
      </c>
      <c r="J62" s="331" t="s">
        <v>1784</v>
      </c>
      <c r="K62" s="340">
        <v>2100000</v>
      </c>
      <c r="L62" s="331" t="s">
        <v>19</v>
      </c>
      <c r="M62" s="344">
        <v>45063</v>
      </c>
      <c r="N62" s="360">
        <v>45793</v>
      </c>
      <c r="O62" s="331" t="s">
        <v>1620</v>
      </c>
      <c r="P62" s="331" t="s">
        <v>1619</v>
      </c>
      <c r="Q62" s="331" t="s">
        <v>1619</v>
      </c>
      <c r="R62" s="331" t="s">
        <v>261</v>
      </c>
      <c r="S62" s="331"/>
      <c r="T62" s="331" t="s">
        <v>527</v>
      </c>
      <c r="U62" s="331" t="s">
        <v>528</v>
      </c>
      <c r="V62" s="331" t="s">
        <v>526</v>
      </c>
      <c r="W62" s="331" t="s">
        <v>1710</v>
      </c>
      <c r="X62" s="332">
        <v>45299</v>
      </c>
    </row>
    <row r="63" spans="1:25" s="326" customFormat="1" ht="50.1" hidden="1" customHeight="1" x14ac:dyDescent="0.25">
      <c r="A63" s="331">
        <v>4600057283</v>
      </c>
      <c r="B63" s="329" t="s">
        <v>272</v>
      </c>
      <c r="C63" s="331">
        <v>3043549</v>
      </c>
      <c r="D63" s="329" t="s">
        <v>568</v>
      </c>
      <c r="E63" s="331">
        <v>45</v>
      </c>
      <c r="F63" s="365" t="s">
        <v>1582</v>
      </c>
      <c r="G63" s="329" t="s">
        <v>1569</v>
      </c>
      <c r="H63" s="329" t="s">
        <v>710</v>
      </c>
      <c r="I63" s="331" t="s">
        <v>38</v>
      </c>
      <c r="J63" s="331" t="s">
        <v>1784</v>
      </c>
      <c r="K63" s="340">
        <v>2100000</v>
      </c>
      <c r="L63" s="331" t="s">
        <v>19</v>
      </c>
      <c r="M63" s="344">
        <v>45076</v>
      </c>
      <c r="N63" s="360">
        <v>46538</v>
      </c>
      <c r="O63" s="331" t="s">
        <v>1620</v>
      </c>
      <c r="P63" s="331" t="s">
        <v>1619</v>
      </c>
      <c r="Q63" s="331" t="s">
        <v>1619</v>
      </c>
      <c r="R63" s="331" t="s">
        <v>261</v>
      </c>
      <c r="S63" s="331"/>
      <c r="T63" s="331" t="s">
        <v>530</v>
      </c>
      <c r="U63" s="331" t="s">
        <v>530</v>
      </c>
      <c r="V63" s="331" t="s">
        <v>529</v>
      </c>
      <c r="W63" s="331"/>
      <c r="X63" s="332">
        <v>45299</v>
      </c>
    </row>
    <row r="64" spans="1:25" s="326" customFormat="1" ht="50.1" hidden="1" customHeight="1" x14ac:dyDescent="0.25">
      <c r="A64" s="331">
        <v>4600055381</v>
      </c>
      <c r="B64" s="329" t="s">
        <v>113</v>
      </c>
      <c r="C64" s="331">
        <v>103605</v>
      </c>
      <c r="D64" s="329" t="s">
        <v>568</v>
      </c>
      <c r="E64" s="331">
        <v>30</v>
      </c>
      <c r="F64" s="365" t="s">
        <v>1582</v>
      </c>
      <c r="G64" s="329" t="s">
        <v>1571</v>
      </c>
      <c r="H64" s="329" t="s">
        <v>710</v>
      </c>
      <c r="I64" s="331" t="s">
        <v>18</v>
      </c>
      <c r="J64" s="331" t="s">
        <v>1785</v>
      </c>
      <c r="K64" s="340">
        <v>2848324</v>
      </c>
      <c r="L64" s="331" t="s">
        <v>19</v>
      </c>
      <c r="M64" s="344">
        <v>44635</v>
      </c>
      <c r="N64" s="360">
        <v>46022</v>
      </c>
      <c r="O64" s="331" t="s">
        <v>115</v>
      </c>
      <c r="P64" s="331" t="s">
        <v>116</v>
      </c>
      <c r="Q64" s="331" t="s">
        <v>116</v>
      </c>
      <c r="R64" s="331" t="s">
        <v>116</v>
      </c>
      <c r="S64" s="331"/>
      <c r="T64" s="331" t="s">
        <v>532</v>
      </c>
      <c r="U64" s="331" t="s">
        <v>533</v>
      </c>
      <c r="V64" s="331" t="s">
        <v>531</v>
      </c>
      <c r="W64" s="331"/>
      <c r="X64" s="332">
        <v>45327</v>
      </c>
    </row>
    <row r="65" spans="1:25" s="326" customFormat="1" ht="50.1" hidden="1" customHeight="1" x14ac:dyDescent="0.25">
      <c r="A65" s="331">
        <v>4600057964</v>
      </c>
      <c r="B65" s="329" t="s">
        <v>102</v>
      </c>
      <c r="C65" s="331">
        <v>189602</v>
      </c>
      <c r="D65" s="329" t="s">
        <v>568</v>
      </c>
      <c r="E65" s="331">
        <v>30</v>
      </c>
      <c r="F65" s="331" t="s">
        <v>1575</v>
      </c>
      <c r="G65" s="329" t="s">
        <v>1569</v>
      </c>
      <c r="H65" s="329" t="s">
        <v>709</v>
      </c>
      <c r="I65" s="331" t="s">
        <v>18</v>
      </c>
      <c r="J65" s="331" t="s">
        <v>1786</v>
      </c>
      <c r="K65" s="340">
        <v>285695.12</v>
      </c>
      <c r="L65" s="331" t="s">
        <v>19</v>
      </c>
      <c r="M65" s="344">
        <v>43902</v>
      </c>
      <c r="N65" s="360">
        <v>46092</v>
      </c>
      <c r="O65" s="331" t="s">
        <v>208</v>
      </c>
      <c r="P65" s="331" t="s">
        <v>876</v>
      </c>
      <c r="Q65" s="331" t="s">
        <v>20</v>
      </c>
      <c r="R65" s="331" t="s">
        <v>263</v>
      </c>
      <c r="S65" s="331" t="s">
        <v>386</v>
      </c>
      <c r="T65" s="331" t="s">
        <v>384</v>
      </c>
      <c r="U65" s="331" t="s">
        <v>541</v>
      </c>
      <c r="V65" s="331" t="s">
        <v>383</v>
      </c>
      <c r="W65" s="331" t="s">
        <v>289</v>
      </c>
      <c r="X65" s="332">
        <v>45378</v>
      </c>
    </row>
    <row r="66" spans="1:25" s="326" customFormat="1" ht="50.1" hidden="1" customHeight="1" x14ac:dyDescent="0.25">
      <c r="A66" s="329" t="s">
        <v>1638</v>
      </c>
      <c r="B66" s="329" t="s">
        <v>87</v>
      </c>
      <c r="C66" s="329">
        <v>3037927</v>
      </c>
      <c r="D66" s="329" t="s">
        <v>568</v>
      </c>
      <c r="E66" s="329">
        <v>30</v>
      </c>
      <c r="F66" s="331" t="s">
        <v>1575</v>
      </c>
      <c r="G66" s="329" t="s">
        <v>1569</v>
      </c>
      <c r="H66" s="329" t="s">
        <v>709</v>
      </c>
      <c r="I66" s="329" t="s">
        <v>18</v>
      </c>
      <c r="J66" s="358" t="s">
        <v>1787</v>
      </c>
      <c r="K66" s="359">
        <v>765211</v>
      </c>
      <c r="L66" s="331" t="s">
        <v>19</v>
      </c>
      <c r="M66" s="360">
        <v>45292</v>
      </c>
      <c r="N66" s="360">
        <v>46387</v>
      </c>
      <c r="O66" s="331" t="s">
        <v>1078</v>
      </c>
      <c r="P66" s="331" t="s">
        <v>1079</v>
      </c>
      <c r="Q66" s="331" t="s">
        <v>1080</v>
      </c>
      <c r="R66" s="331" t="s">
        <v>1081</v>
      </c>
      <c r="S66" s="331" t="s">
        <v>296</v>
      </c>
      <c r="T66" s="344">
        <v>45656</v>
      </c>
      <c r="U66" s="331" t="s">
        <v>308</v>
      </c>
      <c r="V66" s="331" t="s">
        <v>368</v>
      </c>
      <c r="W66" s="331" t="s">
        <v>296</v>
      </c>
      <c r="X66" s="332">
        <v>45656</v>
      </c>
    </row>
    <row r="67" spans="1:25" s="326" customFormat="1" ht="50.1" hidden="1" customHeight="1" x14ac:dyDescent="0.25">
      <c r="A67" s="329">
        <v>4600058130</v>
      </c>
      <c r="B67" s="329" t="s">
        <v>144</v>
      </c>
      <c r="C67" s="329">
        <v>102179</v>
      </c>
      <c r="D67" s="329" t="s">
        <v>569</v>
      </c>
      <c r="E67" s="329">
        <v>60</v>
      </c>
      <c r="F67" s="358" t="s">
        <v>1574</v>
      </c>
      <c r="G67" s="329" t="s">
        <v>1571</v>
      </c>
      <c r="H67" s="331" t="s">
        <v>709</v>
      </c>
      <c r="I67" s="331" t="s">
        <v>18</v>
      </c>
      <c r="J67" s="331" t="s">
        <v>1788</v>
      </c>
      <c r="K67" s="340">
        <v>11968</v>
      </c>
      <c r="L67" s="331" t="s">
        <v>19</v>
      </c>
      <c r="M67" s="344">
        <v>45796</v>
      </c>
      <c r="N67" s="360">
        <v>46022</v>
      </c>
      <c r="O67" s="331" t="s">
        <v>22</v>
      </c>
      <c r="P67" s="331" t="s">
        <v>204</v>
      </c>
      <c r="Q67" s="331" t="s">
        <v>53</v>
      </c>
      <c r="R67" s="331" t="s">
        <v>559</v>
      </c>
      <c r="S67" s="331" t="s">
        <v>582</v>
      </c>
      <c r="T67" s="331" t="s">
        <v>583</v>
      </c>
      <c r="U67" s="331"/>
      <c r="V67" s="331" t="s">
        <v>581</v>
      </c>
      <c r="W67" s="331" t="s">
        <v>562</v>
      </c>
      <c r="X67" s="330"/>
    </row>
    <row r="68" spans="1:25" s="326" customFormat="1" ht="50.1" hidden="1" customHeight="1" x14ac:dyDescent="0.25">
      <c r="A68" s="329">
        <v>4600058154</v>
      </c>
      <c r="B68" s="329" t="s">
        <v>70</v>
      </c>
      <c r="C68" s="329">
        <v>3035932</v>
      </c>
      <c r="D68" s="329" t="s">
        <v>568</v>
      </c>
      <c r="E68" s="329">
        <v>30</v>
      </c>
      <c r="F68" s="331" t="s">
        <v>1575</v>
      </c>
      <c r="G68" s="329" t="s">
        <v>1569</v>
      </c>
      <c r="H68" s="329" t="s">
        <v>709</v>
      </c>
      <c r="I68" s="329" t="s">
        <v>18</v>
      </c>
      <c r="J68" s="358" t="s">
        <v>1789</v>
      </c>
      <c r="K68" s="340">
        <v>2456474.79</v>
      </c>
      <c r="L68" s="329" t="s">
        <v>19</v>
      </c>
      <c r="M68" s="360">
        <v>45443</v>
      </c>
      <c r="N68" s="360">
        <v>46172</v>
      </c>
      <c r="O68" s="331" t="s">
        <v>208</v>
      </c>
      <c r="P68" s="331" t="s">
        <v>876</v>
      </c>
      <c r="Q68" s="331" t="s">
        <v>20</v>
      </c>
      <c r="R68" s="331" t="s">
        <v>263</v>
      </c>
      <c r="S68" s="331"/>
      <c r="T68" s="331" t="s">
        <v>353</v>
      </c>
      <c r="U68" s="331" t="s">
        <v>354</v>
      </c>
      <c r="V68" s="331" t="s">
        <v>352</v>
      </c>
      <c r="W68" s="331" t="s">
        <v>593</v>
      </c>
      <c r="X68" s="330"/>
    </row>
    <row r="69" spans="1:25" s="326" customFormat="1" ht="50.1" hidden="1" customHeight="1" x14ac:dyDescent="0.25">
      <c r="A69" s="329">
        <v>4600050030</v>
      </c>
      <c r="B69" s="329" t="s">
        <v>1074</v>
      </c>
      <c r="C69" s="329">
        <v>1749801</v>
      </c>
      <c r="D69" s="329" t="s">
        <v>569</v>
      </c>
      <c r="E69" s="329">
        <v>60</v>
      </c>
      <c r="F69" s="365" t="s">
        <v>1583</v>
      </c>
      <c r="G69" s="329" t="s">
        <v>1571</v>
      </c>
      <c r="H69" s="329" t="s">
        <v>710</v>
      </c>
      <c r="I69" s="331" t="s">
        <v>18</v>
      </c>
      <c r="J69" s="331" t="s">
        <v>1790</v>
      </c>
      <c r="K69" s="340">
        <v>34176</v>
      </c>
      <c r="L69" s="331" t="s">
        <v>19</v>
      </c>
      <c r="M69" s="344">
        <v>45328</v>
      </c>
      <c r="N69" s="360">
        <v>46058</v>
      </c>
      <c r="O69" s="331" t="s">
        <v>208</v>
      </c>
      <c r="P69" s="331" t="s">
        <v>281</v>
      </c>
      <c r="Q69" s="331" t="s">
        <v>614</v>
      </c>
      <c r="R69" s="331" t="s">
        <v>613</v>
      </c>
      <c r="S69" s="331" t="s">
        <v>594</v>
      </c>
      <c r="T69" s="331" t="s">
        <v>595</v>
      </c>
      <c r="U69" s="331" t="s">
        <v>596</v>
      </c>
      <c r="V69" s="331" t="s">
        <v>597</v>
      </c>
      <c r="W69" s="331"/>
      <c r="X69" s="330"/>
    </row>
    <row r="70" spans="1:25" s="326" customFormat="1" ht="50.1" hidden="1" customHeight="1" x14ac:dyDescent="0.25">
      <c r="A70" s="329" t="s">
        <v>1584</v>
      </c>
      <c r="B70" s="329" t="s">
        <v>598</v>
      </c>
      <c r="C70" s="329">
        <v>129169</v>
      </c>
      <c r="D70" s="329" t="s">
        <v>569</v>
      </c>
      <c r="E70" s="329">
        <v>60</v>
      </c>
      <c r="F70" s="358" t="s">
        <v>1574</v>
      </c>
      <c r="G70" s="329" t="s">
        <v>1571</v>
      </c>
      <c r="H70" s="329" t="s">
        <v>709</v>
      </c>
      <c r="I70" s="331" t="s">
        <v>18</v>
      </c>
      <c r="J70" s="331" t="s">
        <v>1791</v>
      </c>
      <c r="K70" s="340">
        <v>171925.4</v>
      </c>
      <c r="L70" s="331" t="s">
        <v>19</v>
      </c>
      <c r="M70" s="360">
        <v>45448</v>
      </c>
      <c r="N70" s="360">
        <v>46053</v>
      </c>
      <c r="O70" s="331" t="s">
        <v>22</v>
      </c>
      <c r="P70" s="331" t="s">
        <v>204</v>
      </c>
      <c r="Q70" s="331" t="s">
        <v>53</v>
      </c>
      <c r="R70" s="331" t="s">
        <v>206</v>
      </c>
      <c r="S70" s="331" t="s">
        <v>968</v>
      </c>
      <c r="T70" s="331" t="s">
        <v>970</v>
      </c>
      <c r="U70" s="331"/>
      <c r="V70" s="331" t="s">
        <v>969</v>
      </c>
      <c r="W70" s="331"/>
      <c r="X70" s="330"/>
    </row>
    <row r="71" spans="1:25" s="326" customFormat="1" ht="50.1" hidden="1" customHeight="1" x14ac:dyDescent="0.25">
      <c r="A71" s="329">
        <v>4600058179</v>
      </c>
      <c r="B71" s="329" t="s">
        <v>803</v>
      </c>
      <c r="C71" s="329">
        <v>3006454</v>
      </c>
      <c r="D71" s="329" t="s">
        <v>569</v>
      </c>
      <c r="E71" s="329">
        <v>45</v>
      </c>
      <c r="F71" s="365" t="s">
        <v>1574</v>
      </c>
      <c r="G71" s="329" t="s">
        <v>1569</v>
      </c>
      <c r="H71" s="331" t="s">
        <v>709</v>
      </c>
      <c r="I71" s="331" t="s">
        <v>18</v>
      </c>
      <c r="J71" s="331" t="s">
        <v>1792</v>
      </c>
      <c r="K71" s="366">
        <v>1036105.98</v>
      </c>
      <c r="L71" s="331" t="s">
        <v>19</v>
      </c>
      <c r="M71" s="360">
        <v>45449</v>
      </c>
      <c r="N71" s="360">
        <v>46022</v>
      </c>
      <c r="O71" s="331" t="s">
        <v>29</v>
      </c>
      <c r="P71" s="331" t="s">
        <v>30</v>
      </c>
      <c r="Q71" s="331" t="s">
        <v>203</v>
      </c>
      <c r="R71" s="331" t="s">
        <v>265</v>
      </c>
      <c r="S71" s="331"/>
      <c r="T71" s="331"/>
      <c r="U71" s="331"/>
      <c r="V71" s="331"/>
      <c r="W71" s="331"/>
      <c r="X71" s="330" t="s">
        <v>763</v>
      </c>
    </row>
    <row r="72" spans="1:25" s="326" customFormat="1" ht="50.1" hidden="1" customHeight="1" x14ac:dyDescent="0.25">
      <c r="A72" s="329">
        <v>4600058107</v>
      </c>
      <c r="B72" s="329" t="s">
        <v>1722</v>
      </c>
      <c r="C72" s="329">
        <v>3045524</v>
      </c>
      <c r="D72" s="329" t="s">
        <v>569</v>
      </c>
      <c r="E72" s="329">
        <v>1</v>
      </c>
      <c r="F72" s="331" t="s">
        <v>1575</v>
      </c>
      <c r="G72" s="329" t="s">
        <v>1569</v>
      </c>
      <c r="H72" s="331" t="s">
        <v>709</v>
      </c>
      <c r="I72" s="331" t="s">
        <v>18</v>
      </c>
      <c r="J72" s="331" t="s">
        <v>1793</v>
      </c>
      <c r="K72" s="340">
        <v>336634.5</v>
      </c>
      <c r="L72" s="331" t="s">
        <v>19</v>
      </c>
      <c r="M72" s="360">
        <v>45552</v>
      </c>
      <c r="N72" s="360">
        <v>46111</v>
      </c>
      <c r="O72" s="331" t="s">
        <v>22</v>
      </c>
      <c r="P72" s="331" t="s">
        <v>206</v>
      </c>
      <c r="Q72" s="331" t="s">
        <v>206</v>
      </c>
      <c r="R72" s="331" t="s">
        <v>206</v>
      </c>
      <c r="S72" s="331"/>
      <c r="T72" s="331"/>
      <c r="U72" s="331"/>
      <c r="V72" s="331"/>
      <c r="W72" s="331"/>
      <c r="X72" s="330"/>
    </row>
    <row r="73" spans="1:25" s="326" customFormat="1" ht="50.1" hidden="1" customHeight="1" x14ac:dyDescent="0.25">
      <c r="A73" s="329">
        <v>4600058252</v>
      </c>
      <c r="B73" s="329" t="s">
        <v>1723</v>
      </c>
      <c r="C73" s="329">
        <v>3045223</v>
      </c>
      <c r="D73" s="329" t="s">
        <v>569</v>
      </c>
      <c r="E73" s="329">
        <v>1</v>
      </c>
      <c r="F73" s="331" t="s">
        <v>1575</v>
      </c>
      <c r="G73" s="329" t="s">
        <v>1569</v>
      </c>
      <c r="H73" s="331" t="s">
        <v>709</v>
      </c>
      <c r="I73" s="331" t="s">
        <v>18</v>
      </c>
      <c r="J73" s="331" t="s">
        <v>1794</v>
      </c>
      <c r="K73" s="340">
        <v>0.01</v>
      </c>
      <c r="L73" s="331" t="s">
        <v>19</v>
      </c>
      <c r="M73" s="360">
        <v>45386</v>
      </c>
      <c r="N73" s="360">
        <v>46115</v>
      </c>
      <c r="O73" s="331" t="s">
        <v>142</v>
      </c>
      <c r="P73" s="331" t="s">
        <v>143</v>
      </c>
      <c r="Q73" s="331" t="s">
        <v>143</v>
      </c>
      <c r="R73" s="331" t="s">
        <v>283</v>
      </c>
      <c r="S73" s="331"/>
      <c r="T73" s="331"/>
      <c r="U73" s="331"/>
      <c r="V73" s="331"/>
      <c r="W73" s="331"/>
      <c r="X73" s="330"/>
    </row>
    <row r="74" spans="1:25" s="326" customFormat="1" ht="50.1" hidden="1" customHeight="1" x14ac:dyDescent="0.25">
      <c r="A74" s="329">
        <v>4600058239</v>
      </c>
      <c r="B74" s="329" t="s">
        <v>237</v>
      </c>
      <c r="C74" s="329">
        <v>146625</v>
      </c>
      <c r="D74" s="329" t="s">
        <v>568</v>
      </c>
      <c r="E74" s="329">
        <v>1</v>
      </c>
      <c r="F74" s="331" t="s">
        <v>1575</v>
      </c>
      <c r="G74" s="329" t="s">
        <v>1569</v>
      </c>
      <c r="H74" s="329" t="s">
        <v>709</v>
      </c>
      <c r="I74" s="331" t="s">
        <v>18</v>
      </c>
      <c r="J74" s="331" t="s">
        <v>1795</v>
      </c>
      <c r="K74" s="340">
        <v>35650</v>
      </c>
      <c r="L74" s="331" t="s">
        <v>19</v>
      </c>
      <c r="M74" s="344">
        <v>45149</v>
      </c>
      <c r="N74" s="360">
        <v>46244</v>
      </c>
      <c r="O74" s="331" t="s">
        <v>152</v>
      </c>
      <c r="P74" s="331" t="s">
        <v>30</v>
      </c>
      <c r="Q74" s="331" t="s">
        <v>203</v>
      </c>
      <c r="R74" s="331" t="s">
        <v>265</v>
      </c>
      <c r="S74" s="331" t="s">
        <v>638</v>
      </c>
      <c r="T74" s="331" t="s">
        <v>505</v>
      </c>
      <c r="U74" s="331" t="s">
        <v>506</v>
      </c>
      <c r="V74" s="367" t="s">
        <v>639</v>
      </c>
      <c r="W74" s="331"/>
      <c r="X74" s="332">
        <v>45299</v>
      </c>
    </row>
    <row r="75" spans="1:25" s="326" customFormat="1" ht="50.1" hidden="1" customHeight="1" x14ac:dyDescent="0.25">
      <c r="A75" s="329">
        <v>4600051952</v>
      </c>
      <c r="B75" s="329" t="s">
        <v>1070</v>
      </c>
      <c r="C75" s="329">
        <v>101471</v>
      </c>
      <c r="D75" s="329" t="s">
        <v>569</v>
      </c>
      <c r="E75" s="329">
        <v>60</v>
      </c>
      <c r="F75" s="358" t="s">
        <v>1582</v>
      </c>
      <c r="G75" s="329" t="s">
        <v>1571</v>
      </c>
      <c r="H75" s="329" t="s">
        <v>710</v>
      </c>
      <c r="I75" s="329" t="s">
        <v>18</v>
      </c>
      <c r="J75" s="358" t="s">
        <v>1796</v>
      </c>
      <c r="K75" s="359">
        <v>23691151.949999999</v>
      </c>
      <c r="L75" s="329" t="s">
        <v>19</v>
      </c>
      <c r="M75" s="360">
        <v>44927</v>
      </c>
      <c r="N75" s="360">
        <v>46022</v>
      </c>
      <c r="O75" s="331" t="s">
        <v>29</v>
      </c>
      <c r="P75" s="331" t="s">
        <v>30</v>
      </c>
      <c r="Q75" s="331" t="s">
        <v>203</v>
      </c>
      <c r="R75" s="331" t="s">
        <v>265</v>
      </c>
      <c r="S75" s="331" t="s">
        <v>951</v>
      </c>
      <c r="T75" s="331" t="s">
        <v>952</v>
      </c>
      <c r="U75" s="331"/>
      <c r="V75" s="367" t="s">
        <v>953</v>
      </c>
      <c r="W75" s="331" t="s">
        <v>1612</v>
      </c>
      <c r="X75" s="330"/>
    </row>
    <row r="76" spans="1:25" s="326" customFormat="1" ht="50.1" hidden="1" customHeight="1" x14ac:dyDescent="0.25">
      <c r="A76" s="329">
        <v>4600059872</v>
      </c>
      <c r="B76" s="358" t="s">
        <v>76</v>
      </c>
      <c r="C76" s="329">
        <v>3036329</v>
      </c>
      <c r="D76" s="329" t="s">
        <v>567</v>
      </c>
      <c r="E76" s="329">
        <v>60</v>
      </c>
      <c r="F76" s="365" t="s">
        <v>1575</v>
      </c>
      <c r="G76" s="365" t="s">
        <v>1575</v>
      </c>
      <c r="H76" s="329" t="s">
        <v>710</v>
      </c>
      <c r="I76" s="329" t="s">
        <v>18</v>
      </c>
      <c r="J76" s="365" t="s">
        <v>2026</v>
      </c>
      <c r="K76" s="359">
        <v>4429203.4800000004</v>
      </c>
      <c r="L76" s="329" t="s">
        <v>19</v>
      </c>
      <c r="M76" s="360">
        <v>44007</v>
      </c>
      <c r="N76" s="360">
        <v>46211</v>
      </c>
      <c r="O76" s="331" t="s">
        <v>29</v>
      </c>
      <c r="P76" s="331" t="s">
        <v>30</v>
      </c>
      <c r="Q76" s="361" t="str">
        <f t="shared" ref="Q76" si="0">UPPER(P76:P105)</f>
        <v>MANFREDO SAHB CARCUTE</v>
      </c>
      <c r="R76" s="331" t="s">
        <v>265</v>
      </c>
      <c r="S76" s="331" t="str">
        <f t="shared" ref="S76" si="1">UPPER(R76:R104)</f>
        <v>ULIANA MARIA NICKERSON DO PRADO PERES</v>
      </c>
      <c r="T76" s="331" t="s">
        <v>359</v>
      </c>
      <c r="U76" s="331" t="s">
        <v>308</v>
      </c>
      <c r="V76" s="331" t="s">
        <v>358</v>
      </c>
      <c r="W76" s="331"/>
      <c r="X76" s="330"/>
      <c r="Y76" s="358" t="s">
        <v>1690</v>
      </c>
    </row>
    <row r="77" spans="1:25" s="326" customFormat="1" ht="50.1" hidden="1" customHeight="1" x14ac:dyDescent="0.25">
      <c r="A77" s="329">
        <v>4600057701</v>
      </c>
      <c r="B77" s="329" t="s">
        <v>214</v>
      </c>
      <c r="C77" s="329">
        <v>3044363</v>
      </c>
      <c r="D77" s="329" t="s">
        <v>568</v>
      </c>
      <c r="E77" s="329">
        <v>45</v>
      </c>
      <c r="F77" s="331" t="s">
        <v>1575</v>
      </c>
      <c r="G77" s="329" t="s">
        <v>1569</v>
      </c>
      <c r="H77" s="329" t="s">
        <v>710</v>
      </c>
      <c r="I77" s="329" t="s">
        <v>18</v>
      </c>
      <c r="J77" s="331" t="s">
        <v>1797</v>
      </c>
      <c r="K77" s="340">
        <v>700000</v>
      </c>
      <c r="L77" s="331" t="s">
        <v>19</v>
      </c>
      <c r="M77" s="344">
        <v>45237</v>
      </c>
      <c r="N77" s="360">
        <v>46334</v>
      </c>
      <c r="O77" s="331" t="s">
        <v>22</v>
      </c>
      <c r="P77" s="331" t="s">
        <v>204</v>
      </c>
      <c r="Q77" s="331" t="s">
        <v>553</v>
      </c>
      <c r="R77" s="331" t="s">
        <v>206</v>
      </c>
      <c r="S77" s="331"/>
      <c r="T77" s="331" t="s">
        <v>468</v>
      </c>
      <c r="U77" s="331" t="s">
        <v>468</v>
      </c>
      <c r="V77" s="331" t="s">
        <v>467</v>
      </c>
      <c r="W77" s="331"/>
      <c r="X77" s="330"/>
    </row>
    <row r="78" spans="1:25" s="326" customFormat="1" ht="50.1" hidden="1" customHeight="1" x14ac:dyDescent="0.25">
      <c r="A78" s="329">
        <v>4600058132</v>
      </c>
      <c r="B78" s="329" t="s">
        <v>50</v>
      </c>
      <c r="C78" s="329">
        <v>1018338</v>
      </c>
      <c r="D78" s="329" t="s">
        <v>569</v>
      </c>
      <c r="E78" s="329">
        <v>45</v>
      </c>
      <c r="F78" s="331" t="s">
        <v>1575</v>
      </c>
      <c r="G78" s="329" t="s">
        <v>1569</v>
      </c>
      <c r="H78" s="335" t="s">
        <v>709</v>
      </c>
      <c r="I78" s="335" t="s">
        <v>18</v>
      </c>
      <c r="J78" s="368" t="s">
        <v>1798</v>
      </c>
      <c r="K78" s="369">
        <v>542464</v>
      </c>
      <c r="L78" s="335" t="s">
        <v>19</v>
      </c>
      <c r="M78" s="370">
        <v>42979</v>
      </c>
      <c r="N78" s="360">
        <v>46053</v>
      </c>
      <c r="O78" s="335" t="s">
        <v>29</v>
      </c>
      <c r="P78" s="331" t="s">
        <v>30</v>
      </c>
      <c r="Q78" s="331" t="s">
        <v>203</v>
      </c>
      <c r="R78" s="331" t="s">
        <v>265</v>
      </c>
      <c r="S78" s="335" t="s">
        <v>350</v>
      </c>
      <c r="T78" s="335" t="s">
        <v>326</v>
      </c>
      <c r="U78" s="335" t="s">
        <v>308</v>
      </c>
      <c r="V78" s="335" t="s">
        <v>325</v>
      </c>
      <c r="W78" s="335" t="s">
        <v>565</v>
      </c>
      <c r="X78" s="333"/>
    </row>
    <row r="79" spans="1:25" s="326" customFormat="1" ht="50.1" hidden="1" customHeight="1" x14ac:dyDescent="0.25">
      <c r="A79" s="329">
        <v>4600057891</v>
      </c>
      <c r="B79" s="329" t="s">
        <v>97</v>
      </c>
      <c r="C79" s="329">
        <v>143950</v>
      </c>
      <c r="D79" s="329" t="s">
        <v>569</v>
      </c>
      <c r="E79" s="329">
        <v>45</v>
      </c>
      <c r="F79" s="365" t="s">
        <v>1574</v>
      </c>
      <c r="G79" s="329" t="s">
        <v>1569</v>
      </c>
      <c r="H79" s="331" t="s">
        <v>710</v>
      </c>
      <c r="I79" s="329" t="s">
        <v>95</v>
      </c>
      <c r="J79" s="368" t="s">
        <v>1799</v>
      </c>
      <c r="K79" s="369">
        <v>2559718</v>
      </c>
      <c r="L79" s="335" t="s">
        <v>19</v>
      </c>
      <c r="M79" s="370">
        <v>44876</v>
      </c>
      <c r="N79" s="360">
        <v>46569</v>
      </c>
      <c r="O79" s="335" t="s">
        <v>96</v>
      </c>
      <c r="P79" s="331" t="s">
        <v>86</v>
      </c>
      <c r="Q79" s="331" t="s">
        <v>86</v>
      </c>
      <c r="R79" s="331" t="s">
        <v>86</v>
      </c>
      <c r="S79" s="335"/>
      <c r="T79" s="335" t="s">
        <v>379</v>
      </c>
      <c r="U79" s="335" t="s">
        <v>308</v>
      </c>
      <c r="V79" s="335" t="s">
        <v>378</v>
      </c>
      <c r="W79" s="335"/>
      <c r="X79" s="333"/>
    </row>
    <row r="80" spans="1:25" s="326" customFormat="1" ht="50.1" hidden="1" customHeight="1" x14ac:dyDescent="0.25">
      <c r="A80" s="329">
        <v>4600058125</v>
      </c>
      <c r="B80" s="329" t="s">
        <v>1035</v>
      </c>
      <c r="C80" s="329">
        <v>168322</v>
      </c>
      <c r="D80" s="329" t="s">
        <v>567</v>
      </c>
      <c r="E80" s="329">
        <v>10</v>
      </c>
      <c r="F80" s="331" t="s">
        <v>1575</v>
      </c>
      <c r="G80" s="329" t="s">
        <v>1569</v>
      </c>
      <c r="H80" s="335" t="s">
        <v>709</v>
      </c>
      <c r="I80" s="335" t="s">
        <v>18</v>
      </c>
      <c r="J80" s="368" t="s">
        <v>1800</v>
      </c>
      <c r="K80" s="369">
        <v>1821000.69</v>
      </c>
      <c r="L80" s="335" t="s">
        <v>19</v>
      </c>
      <c r="M80" s="370">
        <v>44708</v>
      </c>
      <c r="N80" s="360">
        <v>46387</v>
      </c>
      <c r="O80" s="335" t="s">
        <v>29</v>
      </c>
      <c r="P80" s="331" t="s">
        <v>30</v>
      </c>
      <c r="Q80" s="331" t="s">
        <v>203</v>
      </c>
      <c r="R80" s="331" t="s">
        <v>265</v>
      </c>
      <c r="S80" s="335" t="s">
        <v>1036</v>
      </c>
      <c r="T80" s="335" t="s">
        <v>1037</v>
      </c>
      <c r="U80" s="335" t="s">
        <v>308</v>
      </c>
      <c r="V80" s="375" t="s">
        <v>1038</v>
      </c>
      <c r="W80" s="335"/>
      <c r="X80" s="336">
        <v>45674</v>
      </c>
    </row>
    <row r="81" spans="1:24" s="326" customFormat="1" ht="50.1" hidden="1" customHeight="1" x14ac:dyDescent="0.25">
      <c r="A81" s="329">
        <v>4600055067</v>
      </c>
      <c r="B81" s="329" t="s">
        <v>110</v>
      </c>
      <c r="C81" s="329">
        <v>3040840</v>
      </c>
      <c r="D81" s="329" t="s">
        <v>567</v>
      </c>
      <c r="E81" s="329">
        <v>60</v>
      </c>
      <c r="F81" s="331" t="s">
        <v>1575</v>
      </c>
      <c r="G81" s="329" t="s">
        <v>1569</v>
      </c>
      <c r="H81" s="335" t="s">
        <v>710</v>
      </c>
      <c r="I81" s="335" t="s">
        <v>18</v>
      </c>
      <c r="J81" s="368" t="s">
        <v>1801</v>
      </c>
      <c r="K81" s="369">
        <v>536809</v>
      </c>
      <c r="L81" s="335" t="s">
        <v>19</v>
      </c>
      <c r="M81" s="370">
        <v>44617</v>
      </c>
      <c r="N81" s="360">
        <v>46022</v>
      </c>
      <c r="O81" s="335" t="s">
        <v>29</v>
      </c>
      <c r="P81" s="331" t="s">
        <v>30</v>
      </c>
      <c r="Q81" s="331" t="s">
        <v>153</v>
      </c>
      <c r="R81" s="331" t="s">
        <v>265</v>
      </c>
      <c r="S81" s="335"/>
      <c r="T81" s="335" t="s">
        <v>393</v>
      </c>
      <c r="U81" s="335" t="s">
        <v>394</v>
      </c>
      <c r="V81" s="335" t="s">
        <v>391</v>
      </c>
      <c r="W81" s="335" t="s">
        <v>112</v>
      </c>
      <c r="X81" s="333"/>
    </row>
    <row r="82" spans="1:24" s="326" customFormat="1" ht="50.1" hidden="1" customHeight="1" x14ac:dyDescent="0.25">
      <c r="A82" s="329">
        <v>4600057874</v>
      </c>
      <c r="B82" s="329" t="s">
        <v>253</v>
      </c>
      <c r="C82" s="329">
        <v>141965</v>
      </c>
      <c r="D82" s="329" t="s">
        <v>567</v>
      </c>
      <c r="E82" s="329">
        <v>30</v>
      </c>
      <c r="F82" s="331" t="s">
        <v>1575</v>
      </c>
      <c r="G82" s="329" t="s">
        <v>1569</v>
      </c>
      <c r="H82" s="335" t="s">
        <v>709</v>
      </c>
      <c r="I82" s="335" t="s">
        <v>18</v>
      </c>
      <c r="J82" s="335" t="s">
        <v>1802</v>
      </c>
      <c r="K82" s="369">
        <v>400000</v>
      </c>
      <c r="L82" s="335" t="s">
        <v>19</v>
      </c>
      <c r="M82" s="370">
        <v>44970</v>
      </c>
      <c r="N82" s="360">
        <v>46066</v>
      </c>
      <c r="O82" s="335" t="s">
        <v>259</v>
      </c>
      <c r="P82" s="331" t="s">
        <v>255</v>
      </c>
      <c r="Q82" s="331" t="s">
        <v>74</v>
      </c>
      <c r="R82" s="331" t="s">
        <v>262</v>
      </c>
      <c r="S82" s="335" t="s">
        <v>1064</v>
      </c>
      <c r="T82" s="335" t="s">
        <v>520</v>
      </c>
      <c r="U82" s="335" t="s">
        <v>521</v>
      </c>
      <c r="V82" s="375" t="s">
        <v>1065</v>
      </c>
      <c r="W82" s="375" t="s">
        <v>1066</v>
      </c>
      <c r="X82" s="337" t="s">
        <v>1069</v>
      </c>
    </row>
    <row r="83" spans="1:24" s="326" customFormat="1" ht="50.1" hidden="1" customHeight="1" x14ac:dyDescent="0.25">
      <c r="A83" s="329">
        <v>4600057804</v>
      </c>
      <c r="B83" s="329" t="s">
        <v>716</v>
      </c>
      <c r="C83" s="329">
        <v>3000082</v>
      </c>
      <c r="D83" s="329" t="s">
        <v>569</v>
      </c>
      <c r="E83" s="329">
        <v>60</v>
      </c>
      <c r="F83" s="365" t="s">
        <v>1703</v>
      </c>
      <c r="G83" s="329" t="s">
        <v>1704</v>
      </c>
      <c r="H83" s="329" t="s">
        <v>710</v>
      </c>
      <c r="I83" s="331" t="s">
        <v>18</v>
      </c>
      <c r="J83" s="331" t="s">
        <v>1803</v>
      </c>
      <c r="K83" s="340">
        <v>11640000</v>
      </c>
      <c r="L83" s="331" t="s">
        <v>19</v>
      </c>
      <c r="M83" s="360">
        <v>45274</v>
      </c>
      <c r="N83" s="360">
        <v>46446</v>
      </c>
      <c r="O83" s="331" t="s">
        <v>22</v>
      </c>
      <c r="P83" s="331" t="s">
        <v>204</v>
      </c>
      <c r="Q83" s="331" t="s">
        <v>553</v>
      </c>
      <c r="R83" s="331" t="s">
        <v>206</v>
      </c>
      <c r="S83" s="331"/>
      <c r="T83" s="331"/>
      <c r="U83" s="331"/>
      <c r="V83" s="331"/>
      <c r="W83" s="331"/>
      <c r="X83" s="330"/>
    </row>
    <row r="84" spans="1:24" s="326" customFormat="1" ht="50.1" hidden="1" customHeight="1" x14ac:dyDescent="0.25">
      <c r="A84" s="329">
        <v>4600057908</v>
      </c>
      <c r="B84" s="329" t="s">
        <v>717</v>
      </c>
      <c r="C84" s="329">
        <v>3045179</v>
      </c>
      <c r="D84" s="329" t="s">
        <v>569</v>
      </c>
      <c r="E84" s="329">
        <v>60</v>
      </c>
      <c r="F84" s="331" t="s">
        <v>1575</v>
      </c>
      <c r="G84" s="329" t="s">
        <v>1569</v>
      </c>
      <c r="H84" s="329" t="s">
        <v>710</v>
      </c>
      <c r="I84" s="331" t="s">
        <v>18</v>
      </c>
      <c r="J84" s="331" t="s">
        <v>1804</v>
      </c>
      <c r="K84" s="340">
        <v>160854</v>
      </c>
      <c r="L84" s="331" t="s">
        <v>19</v>
      </c>
      <c r="M84" s="344">
        <v>45331</v>
      </c>
      <c r="N84" s="360">
        <v>46061</v>
      </c>
      <c r="O84" s="331" t="s">
        <v>22</v>
      </c>
      <c r="P84" s="331" t="s">
        <v>204</v>
      </c>
      <c r="Q84" s="331" t="s">
        <v>875</v>
      </c>
      <c r="R84" s="331" t="s">
        <v>206</v>
      </c>
      <c r="S84" s="331"/>
      <c r="T84" s="331"/>
      <c r="U84" s="331"/>
      <c r="V84" s="331"/>
      <c r="W84" s="331"/>
      <c r="X84" s="330"/>
    </row>
    <row r="85" spans="1:24" s="326" customFormat="1" ht="50.1" hidden="1" customHeight="1" x14ac:dyDescent="0.25">
      <c r="A85" s="329">
        <v>4600053912</v>
      </c>
      <c r="B85" s="329" t="s">
        <v>719</v>
      </c>
      <c r="C85" s="329">
        <v>104922</v>
      </c>
      <c r="D85" s="329" t="s">
        <v>568</v>
      </c>
      <c r="E85" s="329">
        <v>1</v>
      </c>
      <c r="F85" s="331" t="s">
        <v>1059</v>
      </c>
      <c r="G85" s="329" t="s">
        <v>1571</v>
      </c>
      <c r="H85" s="329" t="s">
        <v>710</v>
      </c>
      <c r="I85" s="331" t="s">
        <v>38</v>
      </c>
      <c r="J85" s="331" t="s">
        <v>1805</v>
      </c>
      <c r="K85" s="340">
        <v>559408.13</v>
      </c>
      <c r="L85" s="331" t="s">
        <v>19</v>
      </c>
      <c r="M85" s="344">
        <v>41634</v>
      </c>
      <c r="N85" s="360">
        <v>48073</v>
      </c>
      <c r="O85" s="335" t="s">
        <v>208</v>
      </c>
      <c r="P85" s="331" t="s">
        <v>876</v>
      </c>
      <c r="Q85" s="331" t="s">
        <v>20</v>
      </c>
      <c r="R85" s="331" t="s">
        <v>263</v>
      </c>
      <c r="S85" s="331"/>
      <c r="T85" s="331"/>
      <c r="U85" s="331"/>
      <c r="V85" s="331"/>
      <c r="W85" s="331" t="s">
        <v>1048</v>
      </c>
      <c r="X85" s="330"/>
    </row>
    <row r="86" spans="1:24" s="326" customFormat="1" ht="50.1" hidden="1" customHeight="1" x14ac:dyDescent="0.25">
      <c r="A86" s="329">
        <v>4600055563</v>
      </c>
      <c r="B86" s="329" t="s">
        <v>721</v>
      </c>
      <c r="C86" s="329">
        <v>103474</v>
      </c>
      <c r="D86" s="329" t="s">
        <v>569</v>
      </c>
      <c r="E86" s="329">
        <v>30</v>
      </c>
      <c r="F86" s="365" t="s">
        <v>1583</v>
      </c>
      <c r="G86" s="329" t="s">
        <v>1571</v>
      </c>
      <c r="H86" s="329" t="s">
        <v>710</v>
      </c>
      <c r="I86" s="331" t="s">
        <v>18</v>
      </c>
      <c r="J86" s="331" t="s">
        <v>1806</v>
      </c>
      <c r="K86" s="340">
        <v>12005852.529999999</v>
      </c>
      <c r="L86" s="331" t="s">
        <v>19</v>
      </c>
      <c r="M86" s="344">
        <v>44712</v>
      </c>
      <c r="N86" s="360">
        <v>46537</v>
      </c>
      <c r="O86" s="331" t="s">
        <v>234</v>
      </c>
      <c r="P86" s="331" t="s">
        <v>126</v>
      </c>
      <c r="Q86" s="331" t="s">
        <v>207</v>
      </c>
      <c r="R86" s="331" t="s">
        <v>207</v>
      </c>
      <c r="S86" s="331"/>
      <c r="T86" s="331"/>
      <c r="U86" s="331"/>
      <c r="V86" s="331"/>
      <c r="W86" s="331"/>
      <c r="X86" s="330"/>
    </row>
    <row r="87" spans="1:24" s="326" customFormat="1" ht="50.1" hidden="1" customHeight="1" x14ac:dyDescent="0.25">
      <c r="A87" s="329">
        <v>4600058183</v>
      </c>
      <c r="B87" s="329" t="s">
        <v>723</v>
      </c>
      <c r="C87" s="329">
        <v>3045317</v>
      </c>
      <c r="D87" s="329" t="s">
        <v>569</v>
      </c>
      <c r="E87" s="329">
        <v>120</v>
      </c>
      <c r="F87" s="331" t="s">
        <v>1575</v>
      </c>
      <c r="G87" s="329" t="s">
        <v>1569</v>
      </c>
      <c r="H87" s="331" t="s">
        <v>709</v>
      </c>
      <c r="I87" s="331" t="s">
        <v>18</v>
      </c>
      <c r="J87" s="366" t="s">
        <v>1807</v>
      </c>
      <c r="K87" s="340">
        <v>99360</v>
      </c>
      <c r="L87" s="331" t="s">
        <v>19</v>
      </c>
      <c r="M87" s="344">
        <v>45443</v>
      </c>
      <c r="N87" s="360">
        <v>46172</v>
      </c>
      <c r="O87" s="331" t="s">
        <v>142</v>
      </c>
      <c r="P87" s="331" t="s">
        <v>143</v>
      </c>
      <c r="Q87" s="331" t="s">
        <v>143</v>
      </c>
      <c r="R87" s="331" t="s">
        <v>283</v>
      </c>
      <c r="S87" s="331"/>
      <c r="T87" s="331"/>
      <c r="U87" s="331"/>
      <c r="V87" s="331"/>
      <c r="W87" s="331"/>
      <c r="X87" s="330"/>
    </row>
    <row r="88" spans="1:24" s="326" customFormat="1" ht="50.1" hidden="1" customHeight="1" x14ac:dyDescent="0.25">
      <c r="A88" s="329">
        <v>4600058183</v>
      </c>
      <c r="B88" s="329" t="s">
        <v>733</v>
      </c>
      <c r="C88" s="329">
        <v>3044102</v>
      </c>
      <c r="D88" s="329" t="s">
        <v>568</v>
      </c>
      <c r="E88" s="329">
        <v>90</v>
      </c>
      <c r="F88" s="331" t="s">
        <v>1575</v>
      </c>
      <c r="G88" s="329" t="s">
        <v>1569</v>
      </c>
      <c r="H88" s="331" t="s">
        <v>709</v>
      </c>
      <c r="I88" s="331" t="s">
        <v>18</v>
      </c>
      <c r="J88" s="331" t="s">
        <v>1808</v>
      </c>
      <c r="K88" s="340">
        <v>81800</v>
      </c>
      <c r="L88" s="331" t="s">
        <v>19</v>
      </c>
      <c r="M88" s="344">
        <v>45483</v>
      </c>
      <c r="N88" s="360">
        <v>46172</v>
      </c>
      <c r="O88" s="331" t="s">
        <v>93</v>
      </c>
      <c r="P88" s="331" t="s">
        <v>212</v>
      </c>
      <c r="Q88" s="331" t="s">
        <v>74</v>
      </c>
      <c r="R88" s="331" t="s">
        <v>730</v>
      </c>
      <c r="S88" s="331" t="s">
        <v>736</v>
      </c>
      <c r="T88" s="331" t="s">
        <v>737</v>
      </c>
      <c r="U88" s="331" t="s">
        <v>735</v>
      </c>
      <c r="V88" s="331" t="s">
        <v>738</v>
      </c>
      <c r="W88" s="331"/>
      <c r="X88" s="330"/>
    </row>
    <row r="89" spans="1:24" s="326" customFormat="1" ht="50.1" hidden="1" customHeight="1" x14ac:dyDescent="0.25">
      <c r="A89" s="329">
        <v>4600055244</v>
      </c>
      <c r="B89" s="329" t="s">
        <v>1724</v>
      </c>
      <c r="C89" s="329">
        <v>115644</v>
      </c>
      <c r="D89" s="329" t="s">
        <v>567</v>
      </c>
      <c r="E89" s="329">
        <v>20</v>
      </c>
      <c r="F89" s="331" t="s">
        <v>1575</v>
      </c>
      <c r="G89" s="329" t="s">
        <v>1569</v>
      </c>
      <c r="H89" s="335" t="s">
        <v>710</v>
      </c>
      <c r="I89" s="335" t="s">
        <v>18</v>
      </c>
      <c r="J89" s="335" t="s">
        <v>1809</v>
      </c>
      <c r="K89" s="369">
        <v>0.01</v>
      </c>
      <c r="L89" s="335" t="s">
        <v>19</v>
      </c>
      <c r="M89" s="370">
        <v>44621</v>
      </c>
      <c r="N89" s="360">
        <v>46022</v>
      </c>
      <c r="O89" s="335" t="s">
        <v>152</v>
      </c>
      <c r="P89" s="331" t="s">
        <v>30</v>
      </c>
      <c r="Q89" s="331" t="s">
        <v>203</v>
      </c>
      <c r="R89" s="331" t="s">
        <v>265</v>
      </c>
      <c r="S89" s="335" t="s">
        <v>489</v>
      </c>
      <c r="T89" s="335" t="s">
        <v>488</v>
      </c>
      <c r="U89" s="335" t="s">
        <v>308</v>
      </c>
      <c r="V89" s="335" t="s">
        <v>487</v>
      </c>
      <c r="W89" s="335"/>
      <c r="X89" s="333"/>
    </row>
    <row r="90" spans="1:24" s="326" customFormat="1" ht="50.1" hidden="1" customHeight="1" x14ac:dyDescent="0.25">
      <c r="A90" s="329">
        <v>4600057978</v>
      </c>
      <c r="B90" s="329" t="s">
        <v>743</v>
      </c>
      <c r="C90" s="329">
        <v>127179</v>
      </c>
      <c r="D90" s="329" t="s">
        <v>567</v>
      </c>
      <c r="E90" s="329">
        <v>1</v>
      </c>
      <c r="F90" s="331" t="s">
        <v>1575</v>
      </c>
      <c r="G90" s="329" t="s">
        <v>1569</v>
      </c>
      <c r="H90" s="331" t="s">
        <v>710</v>
      </c>
      <c r="I90" s="331" t="s">
        <v>18</v>
      </c>
      <c r="J90" s="331" t="s">
        <v>1810</v>
      </c>
      <c r="K90" s="340">
        <v>897888</v>
      </c>
      <c r="L90" s="331" t="s">
        <v>19</v>
      </c>
      <c r="M90" s="344">
        <v>45383</v>
      </c>
      <c r="N90" s="360">
        <v>46295</v>
      </c>
      <c r="O90" s="335" t="s">
        <v>152</v>
      </c>
      <c r="P90" s="331" t="s">
        <v>30</v>
      </c>
      <c r="Q90" s="331" t="s">
        <v>203</v>
      </c>
      <c r="R90" s="331" t="s">
        <v>265</v>
      </c>
      <c r="S90" s="331"/>
      <c r="T90" s="331"/>
      <c r="U90" s="331"/>
      <c r="V90" s="331"/>
      <c r="W90" s="335"/>
      <c r="X90" s="333"/>
    </row>
    <row r="91" spans="1:24" s="326" customFormat="1" ht="50.1" hidden="1" customHeight="1" x14ac:dyDescent="0.25">
      <c r="A91" s="329" t="s">
        <v>1607</v>
      </c>
      <c r="B91" s="329" t="s">
        <v>981</v>
      </c>
      <c r="C91" s="329">
        <v>3045756</v>
      </c>
      <c r="D91" s="329" t="s">
        <v>567</v>
      </c>
      <c r="E91" s="329">
        <v>30</v>
      </c>
      <c r="F91" s="365" t="s">
        <v>1583</v>
      </c>
      <c r="G91" s="329" t="s">
        <v>1571</v>
      </c>
      <c r="H91" s="331" t="s">
        <v>709</v>
      </c>
      <c r="I91" s="329" t="s">
        <v>18</v>
      </c>
      <c r="J91" s="331" t="s">
        <v>1811</v>
      </c>
      <c r="K91" s="340">
        <v>1000000</v>
      </c>
      <c r="L91" s="331" t="s">
        <v>19</v>
      </c>
      <c r="M91" s="360">
        <v>45526</v>
      </c>
      <c r="N91" s="360">
        <v>46075</v>
      </c>
      <c r="O91" s="331" t="s">
        <v>115</v>
      </c>
      <c r="P91" s="331" t="s">
        <v>116</v>
      </c>
      <c r="Q91" s="331" t="s">
        <v>116</v>
      </c>
      <c r="R91" s="331" t="s">
        <v>263</v>
      </c>
      <c r="S91" s="331"/>
      <c r="T91" s="331"/>
      <c r="U91" s="331"/>
      <c r="V91" s="331"/>
      <c r="W91" s="331"/>
      <c r="X91" s="330"/>
    </row>
    <row r="92" spans="1:24" s="326" customFormat="1" ht="50.1" hidden="1" customHeight="1" x14ac:dyDescent="0.25">
      <c r="A92" s="329">
        <v>4600058366</v>
      </c>
      <c r="B92" s="329" t="s">
        <v>769</v>
      </c>
      <c r="C92" s="329">
        <v>3045876</v>
      </c>
      <c r="D92" s="329" t="s">
        <v>567</v>
      </c>
      <c r="E92" s="329">
        <v>1</v>
      </c>
      <c r="F92" s="331" t="s">
        <v>1575</v>
      </c>
      <c r="G92" s="329" t="s">
        <v>1569</v>
      </c>
      <c r="H92" s="331" t="s">
        <v>709</v>
      </c>
      <c r="I92" s="331" t="s">
        <v>18</v>
      </c>
      <c r="J92" s="331" t="s">
        <v>1812</v>
      </c>
      <c r="K92" s="340">
        <v>2203800</v>
      </c>
      <c r="L92" s="331" t="s">
        <v>19</v>
      </c>
      <c r="M92" s="344">
        <v>45505</v>
      </c>
      <c r="N92" s="360">
        <v>46234</v>
      </c>
      <c r="O92" s="335" t="s">
        <v>208</v>
      </c>
      <c r="P92" s="331" t="s">
        <v>876</v>
      </c>
      <c r="Q92" s="331" t="s">
        <v>20</v>
      </c>
      <c r="R92" s="331" t="s">
        <v>263</v>
      </c>
      <c r="S92" s="331" t="s">
        <v>765</v>
      </c>
      <c r="T92" s="331" t="s">
        <v>766</v>
      </c>
      <c r="U92" s="331" t="s">
        <v>767</v>
      </c>
      <c r="V92" s="331" t="s">
        <v>768</v>
      </c>
      <c r="W92" s="331" t="s">
        <v>1061</v>
      </c>
      <c r="X92" s="330"/>
    </row>
    <row r="93" spans="1:24" s="326" customFormat="1" ht="50.1" hidden="1" customHeight="1" x14ac:dyDescent="0.25">
      <c r="A93" s="329">
        <v>4600058490</v>
      </c>
      <c r="B93" s="329" t="s">
        <v>788</v>
      </c>
      <c r="C93" s="329" t="s">
        <v>960</v>
      </c>
      <c r="D93" s="329" t="s">
        <v>567</v>
      </c>
      <c r="E93" s="329">
        <v>1</v>
      </c>
      <c r="F93" s="331" t="s">
        <v>1575</v>
      </c>
      <c r="G93" s="329" t="s">
        <v>1569</v>
      </c>
      <c r="H93" s="331" t="s">
        <v>709</v>
      </c>
      <c r="I93" s="331" t="s">
        <v>18</v>
      </c>
      <c r="J93" s="331" t="s">
        <v>1813</v>
      </c>
      <c r="K93" s="340">
        <v>27000000</v>
      </c>
      <c r="L93" s="331" t="s">
        <v>19</v>
      </c>
      <c r="M93" s="344">
        <v>45597</v>
      </c>
      <c r="N93" s="360">
        <v>46691</v>
      </c>
      <c r="O93" s="335" t="s">
        <v>208</v>
      </c>
      <c r="P93" s="331" t="s">
        <v>876</v>
      </c>
      <c r="Q93" s="331" t="s">
        <v>20</v>
      </c>
      <c r="R93" s="331" t="s">
        <v>263</v>
      </c>
      <c r="S93" s="331" t="s">
        <v>772</v>
      </c>
      <c r="T93" s="331" t="s">
        <v>773</v>
      </c>
      <c r="U93" s="331" t="s">
        <v>774</v>
      </c>
      <c r="V93" s="331" t="s">
        <v>775</v>
      </c>
      <c r="W93" s="331"/>
      <c r="X93" s="330"/>
    </row>
    <row r="94" spans="1:24" s="326" customFormat="1" ht="50.1" hidden="1" customHeight="1" x14ac:dyDescent="0.25">
      <c r="A94" s="329">
        <v>4600058509</v>
      </c>
      <c r="B94" s="329" t="s">
        <v>777</v>
      </c>
      <c r="C94" s="329">
        <v>3046344</v>
      </c>
      <c r="D94" s="329" t="s">
        <v>568</v>
      </c>
      <c r="E94" s="329">
        <v>30</v>
      </c>
      <c r="F94" s="365" t="s">
        <v>1574</v>
      </c>
      <c r="G94" s="329" t="s">
        <v>1569</v>
      </c>
      <c r="H94" s="331" t="s">
        <v>710</v>
      </c>
      <c r="I94" s="331" t="s">
        <v>38</v>
      </c>
      <c r="J94" s="331" t="s">
        <v>1814</v>
      </c>
      <c r="K94" s="340">
        <v>600000</v>
      </c>
      <c r="L94" s="331" t="s">
        <v>19</v>
      </c>
      <c r="M94" s="344">
        <v>45581</v>
      </c>
      <c r="N94" s="360">
        <v>46310</v>
      </c>
      <c r="O94" s="331" t="s">
        <v>1620</v>
      </c>
      <c r="P94" s="331" t="s">
        <v>1619</v>
      </c>
      <c r="Q94" s="331" t="s">
        <v>1619</v>
      </c>
      <c r="R94" s="331" t="s">
        <v>261</v>
      </c>
      <c r="S94" s="331"/>
      <c r="T94" s="331"/>
      <c r="U94" s="331"/>
      <c r="V94" s="331"/>
      <c r="W94" s="331"/>
      <c r="X94" s="330"/>
    </row>
    <row r="95" spans="1:24" s="326" customFormat="1" ht="50.1" hidden="1" customHeight="1" x14ac:dyDescent="0.25">
      <c r="A95" s="329">
        <v>4600058303</v>
      </c>
      <c r="B95" s="329" t="s">
        <v>779</v>
      </c>
      <c r="C95" s="329">
        <v>3043914</v>
      </c>
      <c r="D95" s="329" t="s">
        <v>567</v>
      </c>
      <c r="E95" s="329">
        <v>45</v>
      </c>
      <c r="F95" s="331" t="s">
        <v>1575</v>
      </c>
      <c r="G95" s="329" t="s">
        <v>1569</v>
      </c>
      <c r="H95" s="331" t="s">
        <v>709</v>
      </c>
      <c r="I95" s="331" t="s">
        <v>18</v>
      </c>
      <c r="J95" s="331" t="s">
        <v>1815</v>
      </c>
      <c r="K95" s="340">
        <v>370680</v>
      </c>
      <c r="L95" s="331" t="s">
        <v>19</v>
      </c>
      <c r="M95" s="344">
        <v>45487</v>
      </c>
      <c r="N95" s="360">
        <v>46219</v>
      </c>
      <c r="O95" s="331" t="s">
        <v>52</v>
      </c>
      <c r="P95" s="331" t="s">
        <v>204</v>
      </c>
      <c r="Q95" s="331" t="s">
        <v>875</v>
      </c>
      <c r="R95" s="331" t="s">
        <v>206</v>
      </c>
      <c r="S95" s="331" t="s">
        <v>781</v>
      </c>
      <c r="T95" s="331" t="s">
        <v>478</v>
      </c>
      <c r="U95" s="331" t="s">
        <v>480</v>
      </c>
      <c r="V95" s="331" t="s">
        <v>477</v>
      </c>
      <c r="W95" s="331"/>
      <c r="X95" s="330"/>
    </row>
    <row r="96" spans="1:24" s="326" customFormat="1" ht="50.1" hidden="1" customHeight="1" x14ac:dyDescent="0.25">
      <c r="A96" s="329">
        <v>4600058493</v>
      </c>
      <c r="B96" s="329" t="s">
        <v>786</v>
      </c>
      <c r="C96" s="329">
        <v>190044</v>
      </c>
      <c r="D96" s="329" t="s">
        <v>569</v>
      </c>
      <c r="E96" s="329" t="s">
        <v>855</v>
      </c>
      <c r="F96" s="331" t="s">
        <v>1575</v>
      </c>
      <c r="G96" s="329" t="s">
        <v>1569</v>
      </c>
      <c r="H96" s="329" t="s">
        <v>709</v>
      </c>
      <c r="I96" s="340" t="s">
        <v>18</v>
      </c>
      <c r="J96" s="331" t="s">
        <v>1816</v>
      </c>
      <c r="K96" s="340">
        <v>1736908</v>
      </c>
      <c r="L96" s="331" t="s">
        <v>19</v>
      </c>
      <c r="M96" s="360">
        <v>45574</v>
      </c>
      <c r="N96" s="360">
        <v>46940</v>
      </c>
      <c r="O96" s="331" t="s">
        <v>22</v>
      </c>
      <c r="P96" s="331" t="s">
        <v>1632</v>
      </c>
      <c r="Q96" s="331" t="s">
        <v>553</v>
      </c>
      <c r="R96" s="331" t="s">
        <v>206</v>
      </c>
      <c r="S96" s="331" t="s">
        <v>1071</v>
      </c>
      <c r="T96" s="331"/>
      <c r="U96" s="331"/>
      <c r="V96" s="375" t="s">
        <v>1072</v>
      </c>
      <c r="W96" s="331"/>
      <c r="X96" s="330"/>
    </row>
    <row r="97" spans="1:25" s="326" customFormat="1" ht="50.1" hidden="1" customHeight="1" x14ac:dyDescent="0.25">
      <c r="A97" s="329">
        <v>4600058560</v>
      </c>
      <c r="B97" s="329" t="s">
        <v>1039</v>
      </c>
      <c r="C97" s="329" t="s">
        <v>973</v>
      </c>
      <c r="D97" s="329" t="s">
        <v>567</v>
      </c>
      <c r="E97" s="329" t="s">
        <v>856</v>
      </c>
      <c r="F97" s="331" t="s">
        <v>1575</v>
      </c>
      <c r="G97" s="329" t="s">
        <v>1569</v>
      </c>
      <c r="H97" s="329" t="s">
        <v>709</v>
      </c>
      <c r="I97" s="329" t="s">
        <v>18</v>
      </c>
      <c r="J97" s="358" t="s">
        <v>1817</v>
      </c>
      <c r="K97" s="340">
        <v>505469.7</v>
      </c>
      <c r="L97" s="331" t="s">
        <v>19</v>
      </c>
      <c r="M97" s="360">
        <v>45610</v>
      </c>
      <c r="N97" s="360">
        <v>46304</v>
      </c>
      <c r="O97" s="331" t="s">
        <v>617</v>
      </c>
      <c r="P97" s="331" t="s">
        <v>618</v>
      </c>
      <c r="Q97" s="331" t="s">
        <v>619</v>
      </c>
      <c r="R97" s="331" t="s">
        <v>620</v>
      </c>
      <c r="S97" s="331"/>
      <c r="T97" s="331" t="s">
        <v>442</v>
      </c>
      <c r="U97" s="331" t="s">
        <v>443</v>
      </c>
      <c r="V97" s="331" t="s">
        <v>441</v>
      </c>
      <c r="W97" s="331">
        <v>4600056681</v>
      </c>
      <c r="X97" s="330" t="s">
        <v>832</v>
      </c>
    </row>
    <row r="98" spans="1:25" s="326" customFormat="1" ht="50.1" hidden="1" customHeight="1" x14ac:dyDescent="0.25">
      <c r="A98" s="329">
        <v>4600058466</v>
      </c>
      <c r="B98" s="329" t="s">
        <v>790</v>
      </c>
      <c r="C98" s="329" t="s">
        <v>974</v>
      </c>
      <c r="D98" s="329" t="s">
        <v>568</v>
      </c>
      <c r="E98" s="329" t="s">
        <v>855</v>
      </c>
      <c r="F98" s="331" t="s">
        <v>1575</v>
      </c>
      <c r="G98" s="329" t="s">
        <v>1569</v>
      </c>
      <c r="H98" s="329" t="s">
        <v>709</v>
      </c>
      <c r="I98" s="329" t="s">
        <v>18</v>
      </c>
      <c r="J98" s="331" t="s">
        <v>1818</v>
      </c>
      <c r="K98" s="340">
        <v>1200000</v>
      </c>
      <c r="L98" s="331" t="s">
        <v>19</v>
      </c>
      <c r="M98" s="360">
        <v>45561</v>
      </c>
      <c r="N98" s="360">
        <v>46295</v>
      </c>
      <c r="O98" s="331" t="s">
        <v>29</v>
      </c>
      <c r="P98" s="331" t="s">
        <v>30</v>
      </c>
      <c r="Q98" s="331" t="s">
        <v>203</v>
      </c>
      <c r="R98" s="331" t="s">
        <v>265</v>
      </c>
      <c r="S98" s="331"/>
      <c r="T98" s="331"/>
      <c r="U98" s="331"/>
      <c r="V98" s="331"/>
      <c r="W98" s="331"/>
      <c r="X98" s="330"/>
    </row>
    <row r="99" spans="1:25" s="326" customFormat="1" ht="50.1" hidden="1" customHeight="1" x14ac:dyDescent="0.25">
      <c r="A99" s="329">
        <v>4600058221</v>
      </c>
      <c r="B99" s="329" t="s">
        <v>792</v>
      </c>
      <c r="C99" s="329" t="s">
        <v>976</v>
      </c>
      <c r="D99" s="329" t="s">
        <v>568</v>
      </c>
      <c r="E99" s="329" t="s">
        <v>858</v>
      </c>
      <c r="F99" s="331" t="s">
        <v>1575</v>
      </c>
      <c r="G99" s="329" t="s">
        <v>1569</v>
      </c>
      <c r="H99" s="329" t="s">
        <v>709</v>
      </c>
      <c r="I99" s="340" t="s">
        <v>18</v>
      </c>
      <c r="J99" s="331" t="s">
        <v>1819</v>
      </c>
      <c r="K99" s="340">
        <v>100000</v>
      </c>
      <c r="L99" s="331" t="s">
        <v>19</v>
      </c>
      <c r="M99" s="360">
        <v>45503</v>
      </c>
      <c r="N99" s="360">
        <v>46232</v>
      </c>
      <c r="O99" s="331" t="s">
        <v>93</v>
      </c>
      <c r="P99" s="331" t="s">
        <v>878</v>
      </c>
      <c r="Q99" s="331" t="s">
        <v>878</v>
      </c>
      <c r="R99" s="331" t="s">
        <v>877</v>
      </c>
      <c r="S99" s="331"/>
      <c r="T99" s="331"/>
      <c r="U99" s="331"/>
      <c r="V99" s="331"/>
      <c r="W99" s="331"/>
      <c r="X99" s="330"/>
    </row>
    <row r="100" spans="1:25" s="326" customFormat="1" ht="50.1" hidden="1" customHeight="1" x14ac:dyDescent="0.25">
      <c r="A100" s="329">
        <v>4600058323</v>
      </c>
      <c r="B100" s="329" t="s">
        <v>1711</v>
      </c>
      <c r="C100" s="329" t="s">
        <v>977</v>
      </c>
      <c r="D100" s="329" t="s">
        <v>568</v>
      </c>
      <c r="E100" s="329" t="s">
        <v>857</v>
      </c>
      <c r="F100" s="331" t="s">
        <v>1575</v>
      </c>
      <c r="G100" s="329" t="s">
        <v>1569</v>
      </c>
      <c r="H100" s="329" t="s">
        <v>709</v>
      </c>
      <c r="I100" s="340" t="s">
        <v>18</v>
      </c>
      <c r="J100" s="331" t="s">
        <v>1820</v>
      </c>
      <c r="K100" s="340">
        <v>2654.16</v>
      </c>
      <c r="L100" s="331" t="s">
        <v>19</v>
      </c>
      <c r="M100" s="360">
        <v>45518</v>
      </c>
      <c r="N100" s="360">
        <v>46199</v>
      </c>
      <c r="O100" s="331" t="s">
        <v>93</v>
      </c>
      <c r="P100" s="331" t="s">
        <v>878</v>
      </c>
      <c r="Q100" s="331" t="s">
        <v>878</v>
      </c>
      <c r="R100" s="331" t="s">
        <v>877</v>
      </c>
      <c r="S100" s="331" t="s">
        <v>978</v>
      </c>
      <c r="T100" s="331"/>
      <c r="U100" s="331"/>
      <c r="V100" s="331"/>
      <c r="W100" s="331"/>
      <c r="X100" s="330"/>
    </row>
    <row r="101" spans="1:25" s="326" customFormat="1" ht="50.1" hidden="1" customHeight="1" x14ac:dyDescent="0.25">
      <c r="A101" s="329">
        <v>4600058477</v>
      </c>
      <c r="B101" s="329" t="s">
        <v>796</v>
      </c>
      <c r="C101" s="329" t="s">
        <v>982</v>
      </c>
      <c r="D101" s="329" t="s">
        <v>568</v>
      </c>
      <c r="E101" s="329" t="s">
        <v>855</v>
      </c>
      <c r="F101" s="331" t="s">
        <v>1575</v>
      </c>
      <c r="G101" s="329" t="s">
        <v>1569</v>
      </c>
      <c r="H101" s="329" t="s">
        <v>709</v>
      </c>
      <c r="I101" s="340" t="s">
        <v>18</v>
      </c>
      <c r="J101" s="331" t="s">
        <v>1818</v>
      </c>
      <c r="K101" s="340">
        <v>1200000</v>
      </c>
      <c r="L101" s="331" t="s">
        <v>19</v>
      </c>
      <c r="M101" s="360">
        <v>45568</v>
      </c>
      <c r="N101" s="360">
        <v>46297</v>
      </c>
      <c r="O101" s="331" t="s">
        <v>29</v>
      </c>
      <c r="P101" s="331" t="s">
        <v>30</v>
      </c>
      <c r="Q101" s="331" t="s">
        <v>203</v>
      </c>
      <c r="R101" s="331" t="s">
        <v>265</v>
      </c>
      <c r="S101" s="331"/>
      <c r="T101" s="331"/>
      <c r="U101" s="331"/>
      <c r="V101" s="331"/>
      <c r="W101" s="331"/>
      <c r="X101" s="330"/>
    </row>
    <row r="102" spans="1:25" s="326" customFormat="1" ht="50.1" hidden="1" customHeight="1" x14ac:dyDescent="0.25">
      <c r="A102" s="329" t="s">
        <v>819</v>
      </c>
      <c r="B102" s="329" t="s">
        <v>140</v>
      </c>
      <c r="C102" s="329" t="s">
        <v>985</v>
      </c>
      <c r="D102" s="329" t="s">
        <v>568</v>
      </c>
      <c r="E102" s="329" t="s">
        <v>855</v>
      </c>
      <c r="F102" s="331" t="s">
        <v>1575</v>
      </c>
      <c r="G102" s="329" t="s">
        <v>1569</v>
      </c>
      <c r="H102" s="329" t="s">
        <v>709</v>
      </c>
      <c r="I102" s="340" t="s">
        <v>18</v>
      </c>
      <c r="J102" s="358" t="s">
        <v>1821</v>
      </c>
      <c r="K102" s="340">
        <v>120000</v>
      </c>
      <c r="L102" s="331" t="s">
        <v>19</v>
      </c>
      <c r="M102" s="360">
        <v>45515</v>
      </c>
      <c r="N102" s="360">
        <v>46244</v>
      </c>
      <c r="O102" s="331" t="s">
        <v>142</v>
      </c>
      <c r="P102" s="331" t="s">
        <v>143</v>
      </c>
      <c r="Q102" s="331" t="s">
        <v>143</v>
      </c>
      <c r="R102" s="331" t="s">
        <v>143</v>
      </c>
      <c r="S102" s="331" t="s">
        <v>417</v>
      </c>
      <c r="T102" s="331" t="s">
        <v>415</v>
      </c>
      <c r="U102" s="331" t="s">
        <v>308</v>
      </c>
      <c r="V102" s="331" t="s">
        <v>414</v>
      </c>
      <c r="W102" s="331"/>
      <c r="X102" s="330"/>
    </row>
    <row r="103" spans="1:25" s="326" customFormat="1" ht="50.1" hidden="1" customHeight="1" x14ac:dyDescent="0.25">
      <c r="A103" s="329">
        <v>4600058408</v>
      </c>
      <c r="B103" s="329" t="s">
        <v>799</v>
      </c>
      <c r="C103" s="329">
        <v>3046134</v>
      </c>
      <c r="D103" s="329" t="s">
        <v>568</v>
      </c>
      <c r="E103" s="329" t="s">
        <v>854</v>
      </c>
      <c r="F103" s="331" t="s">
        <v>1575</v>
      </c>
      <c r="G103" s="329" t="s">
        <v>1569</v>
      </c>
      <c r="H103" s="329" t="s">
        <v>709</v>
      </c>
      <c r="I103" s="340" t="s">
        <v>18</v>
      </c>
      <c r="J103" s="331" t="s">
        <v>1822</v>
      </c>
      <c r="K103" s="340">
        <v>960000</v>
      </c>
      <c r="L103" s="331" t="s">
        <v>19</v>
      </c>
      <c r="M103" s="360">
        <v>45547</v>
      </c>
      <c r="N103" s="360">
        <v>46290</v>
      </c>
      <c r="O103" s="331" t="s">
        <v>135</v>
      </c>
      <c r="P103" s="331" t="s">
        <v>136</v>
      </c>
      <c r="Q103" s="331" t="s">
        <v>136</v>
      </c>
      <c r="R103" s="331" t="s">
        <v>263</v>
      </c>
      <c r="S103" s="331"/>
      <c r="T103" s="331"/>
      <c r="U103" s="331"/>
      <c r="V103" s="331"/>
      <c r="W103" s="331"/>
      <c r="X103" s="330"/>
    </row>
    <row r="104" spans="1:25" s="326" customFormat="1" ht="50.1" hidden="1" customHeight="1" x14ac:dyDescent="0.25">
      <c r="A104" s="329">
        <v>4600058465</v>
      </c>
      <c r="B104" s="329" t="s">
        <v>800</v>
      </c>
      <c r="C104" s="329" t="s">
        <v>991</v>
      </c>
      <c r="D104" s="329" t="s">
        <v>568</v>
      </c>
      <c r="E104" s="329" t="s">
        <v>855</v>
      </c>
      <c r="F104" s="331" t="s">
        <v>1575</v>
      </c>
      <c r="G104" s="329" t="s">
        <v>1569</v>
      </c>
      <c r="H104" s="329" t="s">
        <v>709</v>
      </c>
      <c r="I104" s="340" t="s">
        <v>18</v>
      </c>
      <c r="J104" s="331" t="s">
        <v>1823</v>
      </c>
      <c r="K104" s="340">
        <v>130000</v>
      </c>
      <c r="L104" s="331" t="s">
        <v>19</v>
      </c>
      <c r="M104" s="360">
        <v>45593</v>
      </c>
      <c r="N104" s="360">
        <v>46322</v>
      </c>
      <c r="O104" s="331" t="s">
        <v>208</v>
      </c>
      <c r="P104" s="331" t="s">
        <v>876</v>
      </c>
      <c r="Q104" s="331" t="s">
        <v>20</v>
      </c>
      <c r="R104" s="331" t="s">
        <v>263</v>
      </c>
      <c r="S104" s="331"/>
      <c r="T104" s="331"/>
      <c r="U104" s="331"/>
      <c r="V104" s="331"/>
      <c r="W104" s="331"/>
      <c r="X104" s="330"/>
    </row>
    <row r="105" spans="1:25" s="326" customFormat="1" ht="50.1" hidden="1" customHeight="1" x14ac:dyDescent="0.25">
      <c r="A105" s="329">
        <v>4600058310</v>
      </c>
      <c r="B105" s="329" t="s">
        <v>801</v>
      </c>
      <c r="C105" s="329" t="s">
        <v>993</v>
      </c>
      <c r="D105" s="329" t="s">
        <v>568</v>
      </c>
      <c r="E105" s="329" t="s">
        <v>856</v>
      </c>
      <c r="F105" s="331" t="s">
        <v>1575</v>
      </c>
      <c r="G105" s="329" t="s">
        <v>1569</v>
      </c>
      <c r="H105" s="329" t="s">
        <v>709</v>
      </c>
      <c r="I105" s="340" t="s">
        <v>18</v>
      </c>
      <c r="J105" s="358" t="s">
        <v>1824</v>
      </c>
      <c r="K105" s="340">
        <v>15170.4</v>
      </c>
      <c r="L105" s="331" t="s">
        <v>19</v>
      </c>
      <c r="M105" s="360">
        <v>45527</v>
      </c>
      <c r="N105" s="360">
        <v>46241</v>
      </c>
      <c r="O105" s="331" t="s">
        <v>135</v>
      </c>
      <c r="P105" s="331" t="s">
        <v>281</v>
      </c>
      <c r="Q105" s="331" t="s">
        <v>279</v>
      </c>
      <c r="R105" s="331" t="s">
        <v>280</v>
      </c>
      <c r="S105" s="331"/>
      <c r="T105" s="331" t="s">
        <v>409</v>
      </c>
      <c r="U105" s="331" t="s">
        <v>410</v>
      </c>
      <c r="V105" s="331" t="s">
        <v>408</v>
      </c>
      <c r="W105" s="331"/>
      <c r="X105" s="330"/>
    </row>
    <row r="106" spans="1:25" s="326" customFormat="1" ht="50.1" hidden="1" customHeight="1" x14ac:dyDescent="0.25">
      <c r="A106" s="329" t="s">
        <v>821</v>
      </c>
      <c r="B106" s="329" t="s">
        <v>802</v>
      </c>
      <c r="C106" s="329" t="s">
        <v>994</v>
      </c>
      <c r="D106" s="329" t="s">
        <v>568</v>
      </c>
      <c r="E106" s="329" t="s">
        <v>855</v>
      </c>
      <c r="F106" s="331" t="s">
        <v>1575</v>
      </c>
      <c r="G106" s="329" t="s">
        <v>1569</v>
      </c>
      <c r="H106" s="329" t="s">
        <v>709</v>
      </c>
      <c r="I106" s="340" t="s">
        <v>18</v>
      </c>
      <c r="J106" s="331" t="s">
        <v>1818</v>
      </c>
      <c r="K106" s="340">
        <v>1200000</v>
      </c>
      <c r="L106" s="331" t="s">
        <v>19</v>
      </c>
      <c r="M106" s="360">
        <v>45572</v>
      </c>
      <c r="N106" s="360">
        <v>46301</v>
      </c>
      <c r="O106" s="331" t="s">
        <v>152</v>
      </c>
      <c r="P106" s="331" t="s">
        <v>30</v>
      </c>
      <c r="Q106" s="331" t="s">
        <v>203</v>
      </c>
      <c r="R106" s="331" t="s">
        <v>265</v>
      </c>
      <c r="S106" s="331"/>
      <c r="T106" s="331"/>
      <c r="U106" s="331"/>
      <c r="V106" s="331"/>
      <c r="W106" s="331"/>
      <c r="X106" s="330"/>
    </row>
    <row r="107" spans="1:25" s="326" customFormat="1" ht="50.1" hidden="1" customHeight="1" x14ac:dyDescent="0.25">
      <c r="A107" s="329" t="s">
        <v>822</v>
      </c>
      <c r="B107" s="329" t="s">
        <v>805</v>
      </c>
      <c r="C107" s="329" t="s">
        <v>999</v>
      </c>
      <c r="D107" s="329" t="s">
        <v>568</v>
      </c>
      <c r="E107" s="329" t="s">
        <v>854</v>
      </c>
      <c r="F107" s="365" t="s">
        <v>1574</v>
      </c>
      <c r="G107" s="329" t="s">
        <v>1569</v>
      </c>
      <c r="H107" s="329" t="s">
        <v>710</v>
      </c>
      <c r="I107" s="340" t="s">
        <v>38</v>
      </c>
      <c r="J107" s="331" t="s">
        <v>1825</v>
      </c>
      <c r="K107" s="340">
        <v>600000</v>
      </c>
      <c r="L107" s="331" t="s">
        <v>19</v>
      </c>
      <c r="M107" s="360">
        <v>45526</v>
      </c>
      <c r="N107" s="360">
        <v>46266</v>
      </c>
      <c r="O107" s="331" t="s">
        <v>1620</v>
      </c>
      <c r="P107" s="331" t="s">
        <v>1619</v>
      </c>
      <c r="Q107" s="331" t="s">
        <v>1619</v>
      </c>
      <c r="R107" s="331" t="s">
        <v>261</v>
      </c>
      <c r="S107" s="331"/>
      <c r="T107" s="331"/>
      <c r="U107" s="331"/>
      <c r="V107" s="331"/>
      <c r="W107" s="331"/>
      <c r="X107" s="330"/>
    </row>
    <row r="108" spans="1:25" s="326" customFormat="1" ht="50.1" hidden="1" customHeight="1" x14ac:dyDescent="0.25">
      <c r="A108" s="329">
        <v>4600058340</v>
      </c>
      <c r="B108" s="329" t="s">
        <v>806</v>
      </c>
      <c r="C108" s="329" t="s">
        <v>1001</v>
      </c>
      <c r="D108" s="329" t="s">
        <v>568</v>
      </c>
      <c r="E108" s="329" t="s">
        <v>855</v>
      </c>
      <c r="F108" s="331" t="s">
        <v>1575</v>
      </c>
      <c r="G108" s="329" t="s">
        <v>1569</v>
      </c>
      <c r="H108" s="329" t="s">
        <v>709</v>
      </c>
      <c r="I108" s="340" t="s">
        <v>18</v>
      </c>
      <c r="J108" s="331" t="s">
        <v>1826</v>
      </c>
      <c r="K108" s="340">
        <v>200000</v>
      </c>
      <c r="L108" s="331" t="s">
        <v>19</v>
      </c>
      <c r="M108" s="360">
        <v>45532</v>
      </c>
      <c r="N108" s="360">
        <v>45896</v>
      </c>
      <c r="O108" s="331" t="s">
        <v>93</v>
      </c>
      <c r="P108" s="331" t="s">
        <v>878</v>
      </c>
      <c r="Q108" s="331" t="s">
        <v>878</v>
      </c>
      <c r="R108" s="331" t="s">
        <v>877</v>
      </c>
      <c r="S108" s="331"/>
      <c r="T108" s="331"/>
      <c r="U108" s="331"/>
      <c r="V108" s="331"/>
      <c r="W108" s="331" t="s">
        <v>1714</v>
      </c>
      <c r="X108" s="330"/>
    </row>
    <row r="109" spans="1:25" s="326" customFormat="1" ht="50.1" hidden="1" customHeight="1" x14ac:dyDescent="0.25">
      <c r="A109" s="329">
        <v>4600058299</v>
      </c>
      <c r="B109" s="329" t="s">
        <v>27</v>
      </c>
      <c r="C109" s="329">
        <v>193600</v>
      </c>
      <c r="D109" s="329" t="s">
        <v>568</v>
      </c>
      <c r="E109" s="329">
        <v>45</v>
      </c>
      <c r="F109" s="365" t="s">
        <v>1574</v>
      </c>
      <c r="G109" s="329" t="s">
        <v>1569</v>
      </c>
      <c r="H109" s="329" t="s">
        <v>709</v>
      </c>
      <c r="I109" s="329" t="s">
        <v>18</v>
      </c>
      <c r="J109" s="358" t="s">
        <v>1827</v>
      </c>
      <c r="K109" s="359">
        <v>43104</v>
      </c>
      <c r="L109" s="329" t="s">
        <v>19</v>
      </c>
      <c r="M109" s="360">
        <v>41437</v>
      </c>
      <c r="N109" s="360">
        <v>46374</v>
      </c>
      <c r="O109" s="331" t="s">
        <v>208</v>
      </c>
      <c r="P109" s="331" t="s">
        <v>876</v>
      </c>
      <c r="Q109" s="331" t="s">
        <v>20</v>
      </c>
      <c r="R109" s="331" t="s">
        <v>263</v>
      </c>
      <c r="S109" s="331"/>
      <c r="T109" s="331" t="s">
        <v>302</v>
      </c>
      <c r="U109" s="331" t="s">
        <v>308</v>
      </c>
      <c r="V109" s="367" t="s">
        <v>761</v>
      </c>
      <c r="W109" s="331"/>
      <c r="X109" s="330" t="s">
        <v>762</v>
      </c>
    </row>
    <row r="110" spans="1:25" s="326" customFormat="1" ht="50.1" hidden="1" customHeight="1" x14ac:dyDescent="0.25">
      <c r="A110" s="329" t="s">
        <v>1656</v>
      </c>
      <c r="B110" s="329" t="s">
        <v>996</v>
      </c>
      <c r="C110" s="329">
        <v>3045807</v>
      </c>
      <c r="D110" s="329" t="s">
        <v>568</v>
      </c>
      <c r="E110" s="329">
        <v>30</v>
      </c>
      <c r="F110" s="365" t="s">
        <v>1574</v>
      </c>
      <c r="G110" s="329" t="s">
        <v>1569</v>
      </c>
      <c r="H110" s="329" t="s">
        <v>709</v>
      </c>
      <c r="I110" s="329" t="s">
        <v>18</v>
      </c>
      <c r="J110" s="331" t="s">
        <v>1828</v>
      </c>
      <c r="K110" s="340">
        <v>1105928.67</v>
      </c>
      <c r="L110" s="331" t="s">
        <v>19</v>
      </c>
      <c r="M110" s="344">
        <v>45573</v>
      </c>
      <c r="N110" s="360">
        <v>46388</v>
      </c>
      <c r="O110" s="381" t="s">
        <v>22</v>
      </c>
      <c r="P110" s="331" t="s">
        <v>1657</v>
      </c>
      <c r="Q110" s="331" t="s">
        <v>553</v>
      </c>
      <c r="R110" s="331" t="s">
        <v>206</v>
      </c>
      <c r="S110" s="331"/>
      <c r="T110" s="331"/>
      <c r="U110" s="331"/>
      <c r="V110" s="331"/>
      <c r="W110" s="331"/>
      <c r="X110" s="330"/>
    </row>
    <row r="111" spans="1:25" s="326" customFormat="1" ht="50.1" hidden="1" customHeight="1" x14ac:dyDescent="0.25">
      <c r="A111" s="329">
        <v>4600058589</v>
      </c>
      <c r="B111" s="329" t="s">
        <v>1028</v>
      </c>
      <c r="C111" s="329">
        <v>102369</v>
      </c>
      <c r="D111" s="329" t="s">
        <v>569</v>
      </c>
      <c r="E111" s="329">
        <v>1</v>
      </c>
      <c r="F111" s="365" t="s">
        <v>1575</v>
      </c>
      <c r="G111" s="365" t="s">
        <v>1575</v>
      </c>
      <c r="H111" s="331" t="s">
        <v>709</v>
      </c>
      <c r="I111" s="331" t="s">
        <v>18</v>
      </c>
      <c r="J111" s="331" t="s">
        <v>2027</v>
      </c>
      <c r="K111" s="366">
        <v>609683.84</v>
      </c>
      <c r="L111" s="331" t="s">
        <v>19</v>
      </c>
      <c r="M111" s="344">
        <v>45618</v>
      </c>
      <c r="N111" s="360">
        <v>45982</v>
      </c>
      <c r="O111" s="331" t="s">
        <v>22</v>
      </c>
      <c r="P111" s="331" t="s">
        <v>204</v>
      </c>
      <c r="Q111" s="361" t="str">
        <f>UPPER(P111:P111)</f>
        <v>PEDRO ANTONIO PERIASSU</v>
      </c>
      <c r="R111" s="331" t="s">
        <v>206</v>
      </c>
      <c r="S111" s="331" t="str">
        <f>UPPER(R111:R111)</f>
        <v>RODRIGO CORREIA FURUKAWA</v>
      </c>
      <c r="T111" s="331" t="s">
        <v>1007</v>
      </c>
      <c r="U111" s="331" t="s">
        <v>432</v>
      </c>
      <c r="V111" s="331" t="s">
        <v>1006</v>
      </c>
      <c r="W111" s="331"/>
      <c r="X111" s="330"/>
      <c r="Y111" s="358" t="s">
        <v>1700</v>
      </c>
    </row>
    <row r="112" spans="1:25" s="326" customFormat="1" ht="50.1" hidden="1" customHeight="1" x14ac:dyDescent="0.25">
      <c r="A112" s="329">
        <v>4600058337</v>
      </c>
      <c r="B112" s="329" t="s">
        <v>89</v>
      </c>
      <c r="C112" s="329">
        <v>3008003</v>
      </c>
      <c r="D112" s="329" t="s">
        <v>567</v>
      </c>
      <c r="E112" s="329">
        <v>30</v>
      </c>
      <c r="F112" s="365" t="s">
        <v>1574</v>
      </c>
      <c r="G112" s="329" t="s">
        <v>1569</v>
      </c>
      <c r="H112" s="331" t="s">
        <v>710</v>
      </c>
      <c r="I112" s="331" t="s">
        <v>38</v>
      </c>
      <c r="J112" s="362" t="s">
        <v>1829</v>
      </c>
      <c r="K112" s="340">
        <v>2432400</v>
      </c>
      <c r="L112" s="331" t="s">
        <v>19</v>
      </c>
      <c r="M112" s="331" t="s">
        <v>862</v>
      </c>
      <c r="N112" s="360">
        <v>46660</v>
      </c>
      <c r="O112" s="331" t="s">
        <v>22</v>
      </c>
      <c r="P112" s="331" t="s">
        <v>204</v>
      </c>
      <c r="Q112" s="331" t="s">
        <v>863</v>
      </c>
      <c r="R112" s="331" t="s">
        <v>1655</v>
      </c>
      <c r="S112" s="331" t="s">
        <v>930</v>
      </c>
      <c r="T112" s="331" t="s">
        <v>585</v>
      </c>
      <c r="U112" s="331"/>
      <c r="V112" s="367" t="s">
        <v>586</v>
      </c>
      <c r="W112" s="331"/>
      <c r="X112" s="330"/>
    </row>
    <row r="113" spans="1:24" hidden="1" x14ac:dyDescent="0.2">
      <c r="A113" s="402"/>
      <c r="B113" s="341" t="s">
        <v>1725</v>
      </c>
      <c r="C113" s="342"/>
      <c r="D113" s="342"/>
      <c r="E113" s="342"/>
      <c r="F113" s="331"/>
      <c r="G113" s="331"/>
      <c r="H113" s="342"/>
      <c r="I113" s="342"/>
      <c r="J113" s="341" t="s">
        <v>1725</v>
      </c>
      <c r="K113" s="341"/>
      <c r="L113" s="331"/>
      <c r="M113" s="342"/>
      <c r="N113" s="342"/>
      <c r="O113" s="341"/>
      <c r="P113" s="341"/>
      <c r="Q113" s="341"/>
      <c r="R113" s="341"/>
      <c r="S113" s="341"/>
      <c r="T113" s="341"/>
      <c r="U113" s="341"/>
      <c r="V113" s="341"/>
      <c r="W113" s="341"/>
      <c r="X113" s="342"/>
    </row>
    <row r="114" spans="1:24" s="326" customFormat="1" ht="50.1" hidden="1" customHeight="1" x14ac:dyDescent="0.25">
      <c r="A114" s="329">
        <v>4600055242</v>
      </c>
      <c r="B114" s="329" t="s">
        <v>1724</v>
      </c>
      <c r="C114" s="329">
        <v>115644</v>
      </c>
      <c r="D114" s="329" t="s">
        <v>567</v>
      </c>
      <c r="E114" s="329">
        <v>15</v>
      </c>
      <c r="F114" s="331" t="s">
        <v>1575</v>
      </c>
      <c r="G114" s="329" t="s">
        <v>1569</v>
      </c>
      <c r="H114" s="335" t="s">
        <v>710</v>
      </c>
      <c r="I114" s="335" t="s">
        <v>18</v>
      </c>
      <c r="J114" s="331" t="s">
        <v>1830</v>
      </c>
      <c r="K114" s="369">
        <v>34976204.100000001</v>
      </c>
      <c r="L114" s="331" t="s">
        <v>19</v>
      </c>
      <c r="M114" s="344">
        <v>44075</v>
      </c>
      <c r="N114" s="360">
        <v>46022</v>
      </c>
      <c r="O114" s="335" t="s">
        <v>152</v>
      </c>
      <c r="P114" s="331" t="s">
        <v>30</v>
      </c>
      <c r="Q114" s="331" t="s">
        <v>203</v>
      </c>
      <c r="R114" s="331" t="s">
        <v>265</v>
      </c>
      <c r="S114" s="335"/>
      <c r="T114" s="335"/>
      <c r="U114" s="335" t="s">
        <v>308</v>
      </c>
      <c r="V114" s="335"/>
      <c r="W114" s="331"/>
      <c r="X114" s="330"/>
    </row>
    <row r="115" spans="1:24" s="326" customFormat="1" ht="50.1" hidden="1" customHeight="1" x14ac:dyDescent="0.25">
      <c r="A115" s="329">
        <v>4600055244</v>
      </c>
      <c r="B115" s="329" t="s">
        <v>1724</v>
      </c>
      <c r="C115" s="329">
        <v>115644</v>
      </c>
      <c r="D115" s="329" t="s">
        <v>567</v>
      </c>
      <c r="E115" s="329">
        <v>15</v>
      </c>
      <c r="F115" s="331" t="s">
        <v>1575</v>
      </c>
      <c r="G115" s="329" t="s">
        <v>1569</v>
      </c>
      <c r="H115" s="335" t="s">
        <v>710</v>
      </c>
      <c r="I115" s="335" t="s">
        <v>18</v>
      </c>
      <c r="J115" s="331" t="s">
        <v>1831</v>
      </c>
      <c r="K115" s="340">
        <v>35539237.600000001</v>
      </c>
      <c r="L115" s="331" t="s">
        <v>19</v>
      </c>
      <c r="M115" s="344">
        <v>44075</v>
      </c>
      <c r="N115" s="360">
        <v>46022</v>
      </c>
      <c r="O115" s="335" t="s">
        <v>152</v>
      </c>
      <c r="P115" s="331" t="s">
        <v>30</v>
      </c>
      <c r="Q115" s="331" t="s">
        <v>203</v>
      </c>
      <c r="R115" s="331" t="s">
        <v>265</v>
      </c>
      <c r="S115" s="335"/>
      <c r="T115" s="335"/>
      <c r="U115" s="335" t="s">
        <v>308</v>
      </c>
      <c r="V115" s="335"/>
      <c r="W115" s="331"/>
      <c r="X115" s="330"/>
    </row>
    <row r="116" spans="1:24" s="327" customFormat="1" ht="50.1" hidden="1" customHeight="1" x14ac:dyDescent="0.25">
      <c r="A116" s="329">
        <v>4600058207</v>
      </c>
      <c r="B116" s="329" t="s">
        <v>910</v>
      </c>
      <c r="C116" s="329">
        <v>3045655</v>
      </c>
      <c r="D116" s="329" t="s">
        <v>568</v>
      </c>
      <c r="E116" s="329">
        <v>60</v>
      </c>
      <c r="F116" s="331" t="s">
        <v>1575</v>
      </c>
      <c r="G116" s="329" t="s">
        <v>1569</v>
      </c>
      <c r="H116" s="329" t="s">
        <v>709</v>
      </c>
      <c r="I116" s="329" t="s">
        <v>18</v>
      </c>
      <c r="J116" s="358" t="s">
        <v>1832</v>
      </c>
      <c r="K116" s="359">
        <v>294646.03999999998</v>
      </c>
      <c r="L116" s="329" t="s">
        <v>19</v>
      </c>
      <c r="M116" s="360">
        <v>45467</v>
      </c>
      <c r="N116" s="373">
        <v>46196</v>
      </c>
      <c r="O116" s="331" t="s">
        <v>93</v>
      </c>
      <c r="P116" s="331" t="s">
        <v>878</v>
      </c>
      <c r="Q116" s="331" t="s">
        <v>878</v>
      </c>
      <c r="R116" s="331" t="s">
        <v>877</v>
      </c>
      <c r="S116" s="331" t="s">
        <v>943</v>
      </c>
      <c r="T116" s="331" t="s">
        <v>945</v>
      </c>
      <c r="U116" s="331" t="s">
        <v>946</v>
      </c>
      <c r="V116" s="331" t="s">
        <v>944</v>
      </c>
      <c r="W116" s="331"/>
      <c r="X116" s="330"/>
    </row>
    <row r="117" spans="1:24" s="327" customFormat="1" ht="50.1" hidden="1" customHeight="1" x14ac:dyDescent="0.25">
      <c r="A117" s="329" t="s">
        <v>1565</v>
      </c>
      <c r="B117" s="329" t="s">
        <v>980</v>
      </c>
      <c r="C117" s="329">
        <v>3043749</v>
      </c>
      <c r="D117" s="329" t="s">
        <v>569</v>
      </c>
      <c r="E117" s="329">
        <v>1</v>
      </c>
      <c r="F117" s="331" t="s">
        <v>1575</v>
      </c>
      <c r="G117" s="329" t="s">
        <v>1569</v>
      </c>
      <c r="H117" s="331" t="s">
        <v>709</v>
      </c>
      <c r="I117" s="329" t="s">
        <v>18</v>
      </c>
      <c r="J117" s="329" t="s">
        <v>1833</v>
      </c>
      <c r="K117" s="359">
        <v>1290630</v>
      </c>
      <c r="L117" s="361" t="s">
        <v>19</v>
      </c>
      <c r="M117" s="360">
        <v>45098</v>
      </c>
      <c r="N117" s="373">
        <v>46558</v>
      </c>
      <c r="O117" s="331" t="s">
        <v>29</v>
      </c>
      <c r="P117" s="331" t="s">
        <v>30</v>
      </c>
      <c r="Q117" s="331" t="s">
        <v>203</v>
      </c>
      <c r="R117" s="331" t="s">
        <v>265</v>
      </c>
      <c r="S117" s="329" t="s">
        <v>948</v>
      </c>
      <c r="T117" s="331" t="s">
        <v>949</v>
      </c>
      <c r="U117" s="329"/>
      <c r="V117" s="329" t="s">
        <v>947</v>
      </c>
      <c r="W117" s="331"/>
      <c r="X117" s="328"/>
    </row>
    <row r="118" spans="1:24" s="327" customFormat="1" ht="50.1" hidden="1" customHeight="1" x14ac:dyDescent="0.25">
      <c r="A118" s="329">
        <v>4600058342</v>
      </c>
      <c r="B118" s="329" t="s">
        <v>910</v>
      </c>
      <c r="C118" s="329">
        <v>3045655</v>
      </c>
      <c r="D118" s="329" t="s">
        <v>568</v>
      </c>
      <c r="E118" s="329">
        <v>60</v>
      </c>
      <c r="F118" s="331" t="s">
        <v>1575</v>
      </c>
      <c r="G118" s="329" t="s">
        <v>1569</v>
      </c>
      <c r="H118" s="329" t="s">
        <v>709</v>
      </c>
      <c r="I118" s="329" t="s">
        <v>18</v>
      </c>
      <c r="J118" s="358" t="s">
        <v>1834</v>
      </c>
      <c r="K118" s="359">
        <v>134880</v>
      </c>
      <c r="L118" s="329" t="s">
        <v>19</v>
      </c>
      <c r="M118" s="360">
        <v>45559</v>
      </c>
      <c r="N118" s="373">
        <v>46288</v>
      </c>
      <c r="O118" s="331" t="s">
        <v>93</v>
      </c>
      <c r="P118" s="331" t="s">
        <v>878</v>
      </c>
      <c r="Q118" s="331" t="s">
        <v>878</v>
      </c>
      <c r="R118" s="331" t="s">
        <v>877</v>
      </c>
      <c r="S118" s="331" t="s">
        <v>943</v>
      </c>
      <c r="T118" s="331" t="s">
        <v>945</v>
      </c>
      <c r="U118" s="331" t="s">
        <v>946</v>
      </c>
      <c r="V118" s="331" t="s">
        <v>944</v>
      </c>
      <c r="W118" s="331"/>
      <c r="X118" s="330"/>
    </row>
    <row r="119" spans="1:24" s="326" customFormat="1" ht="50.1" hidden="1" customHeight="1" x14ac:dyDescent="0.25">
      <c r="A119" s="329">
        <v>4600058053</v>
      </c>
      <c r="B119" s="329" t="s">
        <v>1726</v>
      </c>
      <c r="C119" s="329">
        <v>3040507</v>
      </c>
      <c r="D119" s="329" t="s">
        <v>569</v>
      </c>
      <c r="E119" s="329">
        <v>60</v>
      </c>
      <c r="F119" s="358" t="s">
        <v>1589</v>
      </c>
      <c r="G119" s="329" t="s">
        <v>1704</v>
      </c>
      <c r="H119" s="329" t="s">
        <v>710</v>
      </c>
      <c r="I119" s="331" t="s">
        <v>38</v>
      </c>
      <c r="J119" s="331" t="s">
        <v>1835</v>
      </c>
      <c r="K119" s="340">
        <v>184322.52</v>
      </c>
      <c r="L119" s="331" t="s">
        <v>19</v>
      </c>
      <c r="M119" s="344">
        <v>44660</v>
      </c>
      <c r="N119" s="360">
        <v>46120</v>
      </c>
      <c r="O119" s="331" t="s">
        <v>22</v>
      </c>
      <c r="P119" s="331" t="s">
        <v>204</v>
      </c>
      <c r="Q119" s="331" t="s">
        <v>53</v>
      </c>
      <c r="R119" s="331" t="s">
        <v>206</v>
      </c>
      <c r="S119" s="331"/>
      <c r="T119" s="331"/>
      <c r="U119" s="331"/>
      <c r="V119" s="331"/>
      <c r="W119" s="331"/>
      <c r="X119" s="330"/>
    </row>
    <row r="120" spans="1:24" s="327" customFormat="1" ht="50.1" hidden="1" customHeight="1" x14ac:dyDescent="0.25">
      <c r="A120" s="329">
        <v>4600059158</v>
      </c>
      <c r="B120" s="329" t="s">
        <v>1047</v>
      </c>
      <c r="C120" s="329">
        <v>3046773</v>
      </c>
      <c r="D120" s="329" t="s">
        <v>569</v>
      </c>
      <c r="E120" s="329">
        <v>30</v>
      </c>
      <c r="F120" s="331" t="s">
        <v>1575</v>
      </c>
      <c r="G120" s="329" t="s">
        <v>1569</v>
      </c>
      <c r="H120" s="331" t="s">
        <v>709</v>
      </c>
      <c r="I120" s="331" t="s">
        <v>18</v>
      </c>
      <c r="J120" s="331" t="s">
        <v>1836</v>
      </c>
      <c r="K120" s="340">
        <v>923923.2</v>
      </c>
      <c r="L120" s="331" t="s">
        <v>19</v>
      </c>
      <c r="M120" s="344">
        <v>45673</v>
      </c>
      <c r="N120" s="344">
        <v>46410</v>
      </c>
      <c r="O120" s="331" t="s">
        <v>29</v>
      </c>
      <c r="P120" s="331" t="s">
        <v>30</v>
      </c>
      <c r="Q120" s="331" t="s">
        <v>203</v>
      </c>
      <c r="R120" s="331" t="s">
        <v>265</v>
      </c>
      <c r="S120" s="331"/>
      <c r="T120" s="331"/>
      <c r="U120" s="331"/>
      <c r="V120" s="331"/>
      <c r="W120" s="331"/>
      <c r="X120" s="330"/>
    </row>
    <row r="121" spans="1:24" s="327" customFormat="1" ht="50.1" hidden="1" customHeight="1" x14ac:dyDescent="0.25">
      <c r="A121" s="329" t="s">
        <v>1712</v>
      </c>
      <c r="B121" s="329" t="s">
        <v>102</v>
      </c>
      <c r="C121" s="329">
        <v>189602</v>
      </c>
      <c r="D121" s="329" t="s">
        <v>568</v>
      </c>
      <c r="E121" s="329">
        <v>40</v>
      </c>
      <c r="F121" s="329" t="s">
        <v>1573</v>
      </c>
      <c r="G121" s="329" t="s">
        <v>1569</v>
      </c>
      <c r="H121" s="329" t="s">
        <v>709</v>
      </c>
      <c r="I121" s="329" t="s">
        <v>18</v>
      </c>
      <c r="J121" s="331" t="s">
        <v>1837</v>
      </c>
      <c r="K121" s="340">
        <v>208755.69</v>
      </c>
      <c r="L121" s="329" t="s">
        <v>19</v>
      </c>
      <c r="M121" s="344">
        <v>42124</v>
      </c>
      <c r="N121" s="344">
        <v>46234</v>
      </c>
      <c r="O121" s="331" t="s">
        <v>208</v>
      </c>
      <c r="P121" s="331" t="s">
        <v>876</v>
      </c>
      <c r="Q121" s="331" t="s">
        <v>20</v>
      </c>
      <c r="R121" s="331" t="s">
        <v>263</v>
      </c>
      <c r="S121" s="331"/>
      <c r="T121" s="331"/>
      <c r="U121" s="331"/>
      <c r="V121" s="331"/>
      <c r="W121" s="331"/>
      <c r="X121" s="330"/>
    </row>
    <row r="122" spans="1:24" s="326" customFormat="1" ht="50.1" hidden="1" customHeight="1" x14ac:dyDescent="0.25">
      <c r="A122" s="329">
        <v>4600059192</v>
      </c>
      <c r="B122" s="329" t="s">
        <v>89</v>
      </c>
      <c r="C122" s="329">
        <v>3008003</v>
      </c>
      <c r="D122" s="329" t="s">
        <v>569</v>
      </c>
      <c r="E122" s="329">
        <v>30</v>
      </c>
      <c r="F122" s="365" t="s">
        <v>1574</v>
      </c>
      <c r="G122" s="329" t="s">
        <v>1569</v>
      </c>
      <c r="H122" s="329" t="s">
        <v>709</v>
      </c>
      <c r="I122" s="331" t="s">
        <v>18</v>
      </c>
      <c r="J122" s="362" t="s">
        <v>1838</v>
      </c>
      <c r="K122" s="340">
        <v>240000</v>
      </c>
      <c r="L122" s="331" t="s">
        <v>19</v>
      </c>
      <c r="M122" s="344">
        <v>45658</v>
      </c>
      <c r="N122" s="360">
        <v>46022</v>
      </c>
      <c r="O122" s="331" t="s">
        <v>22</v>
      </c>
      <c r="P122" s="331" t="s">
        <v>204</v>
      </c>
      <c r="Q122" s="331" t="s">
        <v>863</v>
      </c>
      <c r="R122" s="331" t="s">
        <v>1655</v>
      </c>
      <c r="S122" s="331" t="s">
        <v>1057</v>
      </c>
      <c r="T122" s="331" t="s">
        <v>1058</v>
      </c>
      <c r="U122" s="331"/>
      <c r="V122" s="367" t="s">
        <v>1056</v>
      </c>
      <c r="W122" s="331"/>
      <c r="X122" s="330"/>
    </row>
    <row r="123" spans="1:24" s="326" customFormat="1" ht="50.1" hidden="1" customHeight="1" x14ac:dyDescent="0.25">
      <c r="A123" s="329">
        <v>4600059281</v>
      </c>
      <c r="B123" s="329" t="s">
        <v>769</v>
      </c>
      <c r="C123" s="329">
        <v>3045876</v>
      </c>
      <c r="D123" s="329" t="s">
        <v>567</v>
      </c>
      <c r="E123" s="329">
        <v>1</v>
      </c>
      <c r="F123" s="331" t="s">
        <v>1575</v>
      </c>
      <c r="G123" s="329" t="s">
        <v>1569</v>
      </c>
      <c r="H123" s="331" t="s">
        <v>709</v>
      </c>
      <c r="I123" s="331" t="s">
        <v>18</v>
      </c>
      <c r="J123" s="331" t="s">
        <v>1839</v>
      </c>
      <c r="K123" s="340">
        <f>(251640*60)</f>
        <v>15098400</v>
      </c>
      <c r="L123" s="331" t="s">
        <v>19</v>
      </c>
      <c r="M123" s="344">
        <v>45716</v>
      </c>
      <c r="N123" s="360">
        <v>47541</v>
      </c>
      <c r="O123" s="335" t="s">
        <v>208</v>
      </c>
      <c r="P123" s="331" t="s">
        <v>876</v>
      </c>
      <c r="Q123" s="331" t="s">
        <v>20</v>
      </c>
      <c r="R123" s="331" t="s">
        <v>263</v>
      </c>
      <c r="S123" s="331" t="s">
        <v>765</v>
      </c>
      <c r="T123" s="331" t="s">
        <v>766</v>
      </c>
      <c r="U123" s="331" t="s">
        <v>767</v>
      </c>
      <c r="V123" s="375" t="s">
        <v>1060</v>
      </c>
      <c r="W123" s="331"/>
      <c r="X123" s="330"/>
    </row>
    <row r="124" spans="1:24" s="326" customFormat="1" ht="50.1" hidden="1" customHeight="1" x14ac:dyDescent="0.25">
      <c r="A124" s="329">
        <v>4600059293</v>
      </c>
      <c r="B124" s="329" t="s">
        <v>769</v>
      </c>
      <c r="C124" s="329">
        <v>3045876</v>
      </c>
      <c r="D124" s="329" t="s">
        <v>567</v>
      </c>
      <c r="E124" s="329">
        <v>1</v>
      </c>
      <c r="F124" s="331" t="s">
        <v>1575</v>
      </c>
      <c r="G124" s="329" t="s">
        <v>1569</v>
      </c>
      <c r="H124" s="331" t="s">
        <v>709</v>
      </c>
      <c r="I124" s="331" t="s">
        <v>18</v>
      </c>
      <c r="J124" s="331" t="s">
        <v>1840</v>
      </c>
      <c r="K124" s="340">
        <v>4185000</v>
      </c>
      <c r="L124" s="331" t="s">
        <v>19</v>
      </c>
      <c r="M124" s="344">
        <v>45658</v>
      </c>
      <c r="N124" s="360">
        <v>46752</v>
      </c>
      <c r="O124" s="335" t="s">
        <v>208</v>
      </c>
      <c r="P124" s="331" t="s">
        <v>876</v>
      </c>
      <c r="Q124" s="331" t="s">
        <v>20</v>
      </c>
      <c r="R124" s="331" t="s">
        <v>263</v>
      </c>
      <c r="S124" s="331" t="s">
        <v>765</v>
      </c>
      <c r="T124" s="331" t="s">
        <v>766</v>
      </c>
      <c r="U124" s="331" t="s">
        <v>767</v>
      </c>
      <c r="V124" s="375" t="s">
        <v>768</v>
      </c>
      <c r="W124" s="331" t="s">
        <v>1062</v>
      </c>
      <c r="X124" s="330"/>
    </row>
    <row r="125" spans="1:24" s="326" customFormat="1" ht="50.1" hidden="1" customHeight="1" x14ac:dyDescent="0.25">
      <c r="A125" s="329">
        <v>4600059292</v>
      </c>
      <c r="B125" s="329" t="s">
        <v>1727</v>
      </c>
      <c r="C125" s="329">
        <v>3045876</v>
      </c>
      <c r="D125" s="329" t="s">
        <v>567</v>
      </c>
      <c r="E125" s="329">
        <v>1</v>
      </c>
      <c r="F125" s="331" t="s">
        <v>1575</v>
      </c>
      <c r="G125" s="329" t="s">
        <v>1569</v>
      </c>
      <c r="H125" s="331" t="s">
        <v>709</v>
      </c>
      <c r="I125" s="331" t="s">
        <v>18</v>
      </c>
      <c r="J125" s="331" t="s">
        <v>1841</v>
      </c>
      <c r="K125" s="340">
        <f>(312360*60)</f>
        <v>18741600</v>
      </c>
      <c r="L125" s="331" t="s">
        <v>19</v>
      </c>
      <c r="M125" s="344">
        <v>45579</v>
      </c>
      <c r="N125" s="360">
        <v>47769</v>
      </c>
      <c r="O125" s="335" t="s">
        <v>208</v>
      </c>
      <c r="P125" s="331" t="s">
        <v>876</v>
      </c>
      <c r="Q125" s="331" t="s">
        <v>20</v>
      </c>
      <c r="R125" s="331" t="s">
        <v>263</v>
      </c>
      <c r="S125" s="331" t="s">
        <v>765</v>
      </c>
      <c r="T125" s="331" t="s">
        <v>766</v>
      </c>
      <c r="U125" s="331" t="s">
        <v>767</v>
      </c>
      <c r="V125" s="375" t="s">
        <v>768</v>
      </c>
      <c r="W125" s="331" t="s">
        <v>1063</v>
      </c>
      <c r="X125" s="330"/>
    </row>
    <row r="126" spans="1:24" s="327" customFormat="1" ht="50.1" hidden="1" customHeight="1" x14ac:dyDescent="0.25">
      <c r="A126" s="329">
        <v>4600059304</v>
      </c>
      <c r="B126" s="329" t="s">
        <v>1231</v>
      </c>
      <c r="C126" s="329">
        <v>164650</v>
      </c>
      <c r="D126" s="329" t="s">
        <v>568</v>
      </c>
      <c r="E126" s="329">
        <v>30</v>
      </c>
      <c r="F126" s="358" t="s">
        <v>1590</v>
      </c>
      <c r="G126" s="329" t="s">
        <v>1571</v>
      </c>
      <c r="H126" s="329" t="s">
        <v>709</v>
      </c>
      <c r="I126" s="331" t="s">
        <v>18</v>
      </c>
      <c r="J126" s="331" t="s">
        <v>1842</v>
      </c>
      <c r="K126" s="340">
        <v>2010520.07</v>
      </c>
      <c r="L126" s="331" t="s">
        <v>19</v>
      </c>
      <c r="M126" s="344">
        <v>44013</v>
      </c>
      <c r="N126" s="360">
        <v>46022</v>
      </c>
      <c r="O126" s="331" t="s">
        <v>234</v>
      </c>
      <c r="P126" s="331" t="s">
        <v>1067</v>
      </c>
      <c r="Q126" s="331" t="s">
        <v>1068</v>
      </c>
      <c r="R126" s="331" t="s">
        <v>143</v>
      </c>
      <c r="S126" s="331" t="s">
        <v>406</v>
      </c>
      <c r="T126" s="331" t="s">
        <v>485</v>
      </c>
      <c r="U126" s="331" t="s">
        <v>486</v>
      </c>
      <c r="V126" s="331" t="s">
        <v>484</v>
      </c>
      <c r="W126" s="331"/>
      <c r="X126" s="330" t="s">
        <v>1232</v>
      </c>
    </row>
    <row r="127" spans="1:24" s="327" customFormat="1" ht="50.1" hidden="1" customHeight="1" x14ac:dyDescent="0.25">
      <c r="A127" s="329">
        <v>4600058563</v>
      </c>
      <c r="B127" s="329" t="s">
        <v>1073</v>
      </c>
      <c r="C127" s="329">
        <v>3045502</v>
      </c>
      <c r="D127" s="329" t="s">
        <v>568</v>
      </c>
      <c r="E127" s="329">
        <v>60</v>
      </c>
      <c r="F127" s="365" t="s">
        <v>1574</v>
      </c>
      <c r="G127" s="329" t="s">
        <v>1569</v>
      </c>
      <c r="H127" s="331" t="s">
        <v>710</v>
      </c>
      <c r="I127" s="331" t="s">
        <v>38</v>
      </c>
      <c r="J127" s="331" t="s">
        <v>1843</v>
      </c>
      <c r="K127" s="340">
        <v>928592</v>
      </c>
      <c r="L127" s="331" t="s">
        <v>19</v>
      </c>
      <c r="M127" s="344">
        <v>45628</v>
      </c>
      <c r="N127" s="344">
        <v>46352</v>
      </c>
      <c r="O127" s="331" t="s">
        <v>22</v>
      </c>
      <c r="P127" s="331" t="s">
        <v>869</v>
      </c>
      <c r="Q127" s="331" t="s">
        <v>553</v>
      </c>
      <c r="R127" s="331" t="s">
        <v>206</v>
      </c>
      <c r="S127" s="331"/>
      <c r="T127" s="331"/>
      <c r="U127" s="331"/>
      <c r="V127" s="331"/>
      <c r="W127" s="331"/>
      <c r="X127" s="330"/>
    </row>
    <row r="128" spans="1:24" s="327" customFormat="1" ht="50.1" hidden="1" customHeight="1" x14ac:dyDescent="0.25">
      <c r="A128" s="329">
        <v>4600059809</v>
      </c>
      <c r="B128" s="329" t="s">
        <v>1652</v>
      </c>
      <c r="C128" s="329">
        <v>163222</v>
      </c>
      <c r="D128" s="329" t="s">
        <v>569</v>
      </c>
      <c r="E128" s="329">
        <v>30</v>
      </c>
      <c r="F128" s="331" t="s">
        <v>1575</v>
      </c>
      <c r="G128" s="329" t="s">
        <v>1569</v>
      </c>
      <c r="H128" s="329" t="s">
        <v>709</v>
      </c>
      <c r="I128" s="331" t="s">
        <v>18</v>
      </c>
      <c r="J128" s="331" t="s">
        <v>1844</v>
      </c>
      <c r="K128" s="340">
        <v>30472</v>
      </c>
      <c r="L128" s="331" t="s">
        <v>19</v>
      </c>
      <c r="M128" s="344">
        <v>45840</v>
      </c>
      <c r="N128" s="344">
        <v>46204</v>
      </c>
      <c r="O128" s="331" t="s">
        <v>22</v>
      </c>
      <c r="P128" s="331" t="s">
        <v>869</v>
      </c>
      <c r="Q128" s="331" t="s">
        <v>553</v>
      </c>
      <c r="R128" s="331" t="s">
        <v>206</v>
      </c>
      <c r="S128" s="331"/>
      <c r="T128" s="331"/>
      <c r="U128" s="331"/>
      <c r="V128" s="331"/>
      <c r="W128" s="331"/>
      <c r="X128" s="330"/>
    </row>
    <row r="129" spans="1:24" s="327" customFormat="1" ht="50.1" hidden="1" customHeight="1" x14ac:dyDescent="0.25">
      <c r="A129" s="329">
        <v>4600059856</v>
      </c>
      <c r="B129" s="329" t="s">
        <v>131</v>
      </c>
      <c r="C129" s="329">
        <v>3041894</v>
      </c>
      <c r="D129" s="329" t="s">
        <v>569</v>
      </c>
      <c r="E129" s="329">
        <v>60</v>
      </c>
      <c r="F129" s="365" t="s">
        <v>1574</v>
      </c>
      <c r="G129" s="329" t="s">
        <v>1569</v>
      </c>
      <c r="H129" s="331" t="s">
        <v>1630</v>
      </c>
      <c r="I129" s="331" t="s">
        <v>18</v>
      </c>
      <c r="J129" s="331" t="s">
        <v>1845</v>
      </c>
      <c r="K129" s="340">
        <v>410670</v>
      </c>
      <c r="L129" s="331" t="s">
        <v>19</v>
      </c>
      <c r="M129" s="344">
        <v>45137</v>
      </c>
      <c r="N129" s="344">
        <v>46597</v>
      </c>
      <c r="O129" s="335" t="s">
        <v>96</v>
      </c>
      <c r="P129" s="331" t="s">
        <v>1631</v>
      </c>
      <c r="Q129" s="331" t="s">
        <v>86</v>
      </c>
      <c r="R129" s="331" t="s">
        <v>86</v>
      </c>
      <c r="S129" s="331" t="s">
        <v>1008</v>
      </c>
      <c r="T129" s="331" t="s">
        <v>407</v>
      </c>
      <c r="U129" s="331" t="s">
        <v>1009</v>
      </c>
      <c r="V129" s="331" t="s">
        <v>1010</v>
      </c>
      <c r="W129" s="331"/>
      <c r="X129" s="330"/>
    </row>
    <row r="130" spans="1:24" s="327" customFormat="1" ht="50.1" hidden="1" customHeight="1" x14ac:dyDescent="0.25">
      <c r="A130" s="329" t="s">
        <v>1088</v>
      </c>
      <c r="B130" s="329" t="s">
        <v>1728</v>
      </c>
      <c r="C130" s="329">
        <v>3038493</v>
      </c>
      <c r="D130" s="329" t="s">
        <v>568</v>
      </c>
      <c r="E130" s="329">
        <v>1</v>
      </c>
      <c r="F130" s="365" t="s">
        <v>1574</v>
      </c>
      <c r="G130" s="329" t="s">
        <v>1571</v>
      </c>
      <c r="H130" s="331" t="s">
        <v>710</v>
      </c>
      <c r="I130" s="331" t="s">
        <v>18</v>
      </c>
      <c r="J130" s="365" t="s">
        <v>1846</v>
      </c>
      <c r="K130" s="331" t="s">
        <v>1089</v>
      </c>
      <c r="L130" s="331" t="s">
        <v>19</v>
      </c>
      <c r="M130" s="344">
        <v>44327</v>
      </c>
      <c r="N130" s="331" t="s">
        <v>1090</v>
      </c>
      <c r="O130" s="331" t="s">
        <v>29</v>
      </c>
      <c r="P130" s="331" t="s">
        <v>30</v>
      </c>
      <c r="Q130" s="331" t="s">
        <v>203</v>
      </c>
      <c r="R130" s="331" t="s">
        <v>265</v>
      </c>
      <c r="S130" s="331"/>
      <c r="T130" s="331"/>
      <c r="U130" s="331"/>
      <c r="V130" s="331"/>
      <c r="W130" s="331" t="s">
        <v>1707</v>
      </c>
      <c r="X130" s="330"/>
    </row>
    <row r="131" spans="1:24" s="327" customFormat="1" ht="50.1" hidden="1" customHeight="1" x14ac:dyDescent="0.25">
      <c r="A131" s="329">
        <v>4600058564</v>
      </c>
      <c r="B131" s="329" t="s">
        <v>1623</v>
      </c>
      <c r="C131" s="329">
        <v>3046500</v>
      </c>
      <c r="D131" s="329" t="s">
        <v>568</v>
      </c>
      <c r="E131" s="329">
        <v>60</v>
      </c>
      <c r="F131" s="331" t="s">
        <v>1575</v>
      </c>
      <c r="G131" s="329" t="s">
        <v>1569</v>
      </c>
      <c r="H131" s="331" t="s">
        <v>710</v>
      </c>
      <c r="I131" s="331" t="s">
        <v>18</v>
      </c>
      <c r="J131" s="365" t="s">
        <v>1847</v>
      </c>
      <c r="K131" s="340">
        <v>800000</v>
      </c>
      <c r="L131" s="331" t="s">
        <v>19</v>
      </c>
      <c r="M131" s="344">
        <v>45628</v>
      </c>
      <c r="N131" s="344">
        <v>46357</v>
      </c>
      <c r="O131" s="331" t="s">
        <v>1620</v>
      </c>
      <c r="P131" s="331" t="s">
        <v>1619</v>
      </c>
      <c r="Q131" s="331" t="s">
        <v>1619</v>
      </c>
      <c r="R131" s="331" t="s">
        <v>261</v>
      </c>
      <c r="S131" s="331" t="s">
        <v>1624</v>
      </c>
      <c r="T131" s="331"/>
      <c r="U131" s="331"/>
      <c r="V131" s="365" t="s">
        <v>1625</v>
      </c>
      <c r="W131" s="331"/>
      <c r="X131" s="330"/>
    </row>
    <row r="132" spans="1:24" ht="50.1" hidden="1" customHeight="1" x14ac:dyDescent="0.2">
      <c r="A132" s="329">
        <v>4600050894</v>
      </c>
      <c r="B132" s="329" t="s">
        <v>1091</v>
      </c>
      <c r="C132" s="329">
        <v>102145</v>
      </c>
      <c r="D132" s="329" t="s">
        <v>569</v>
      </c>
      <c r="E132" s="329">
        <v>60</v>
      </c>
      <c r="F132" s="329" t="s">
        <v>1059</v>
      </c>
      <c r="G132" s="329" t="s">
        <v>1571</v>
      </c>
      <c r="H132" s="331" t="s">
        <v>710</v>
      </c>
      <c r="I132" s="331" t="s">
        <v>38</v>
      </c>
      <c r="J132" s="331" t="s">
        <v>1848</v>
      </c>
      <c r="K132" s="340">
        <v>51135933.450000003</v>
      </c>
      <c r="L132" s="331" t="s">
        <v>19</v>
      </c>
      <c r="M132" s="344">
        <v>43409</v>
      </c>
      <c r="N132" s="344">
        <v>46022</v>
      </c>
      <c r="O132" s="331" t="s">
        <v>22</v>
      </c>
      <c r="P132" s="329" t="s">
        <v>204</v>
      </c>
      <c r="Q132" s="331" t="s">
        <v>53</v>
      </c>
      <c r="R132" s="331" t="s">
        <v>559</v>
      </c>
      <c r="S132" s="331"/>
      <c r="T132" s="331"/>
      <c r="U132" s="331"/>
      <c r="V132" s="331"/>
      <c r="W132" s="331"/>
      <c r="X132" s="330"/>
    </row>
    <row r="133" spans="1:24" s="326" customFormat="1" ht="50.1" hidden="1" customHeight="1" x14ac:dyDescent="0.25">
      <c r="A133" s="329">
        <v>4600059378</v>
      </c>
      <c r="B133" s="329" t="s">
        <v>640</v>
      </c>
      <c r="C133" s="329">
        <v>3022801</v>
      </c>
      <c r="D133" s="329" t="s">
        <v>569</v>
      </c>
      <c r="E133" s="329">
        <v>1</v>
      </c>
      <c r="F133" s="365" t="s">
        <v>1574</v>
      </c>
      <c r="G133" s="329" t="s">
        <v>1569</v>
      </c>
      <c r="H133" s="331" t="s">
        <v>709</v>
      </c>
      <c r="I133" s="331" t="s">
        <v>18</v>
      </c>
      <c r="J133" s="331" t="s">
        <v>1849</v>
      </c>
      <c r="K133" s="340">
        <v>1675070.46</v>
      </c>
      <c r="L133" s="331" t="s">
        <v>19</v>
      </c>
      <c r="M133" s="344">
        <v>45077</v>
      </c>
      <c r="N133" s="344">
        <v>46903</v>
      </c>
      <c r="O133" s="331" t="s">
        <v>208</v>
      </c>
      <c r="P133" s="329" t="s">
        <v>876</v>
      </c>
      <c r="Q133" s="331" t="s">
        <v>20</v>
      </c>
      <c r="R133" s="331" t="s">
        <v>263</v>
      </c>
      <c r="S133" s="331" t="s">
        <v>1252</v>
      </c>
      <c r="T133" s="331"/>
      <c r="U133" s="331"/>
      <c r="V133" s="331" t="s">
        <v>1253</v>
      </c>
      <c r="W133" s="331"/>
      <c r="X133" s="330"/>
    </row>
    <row r="134" spans="1:24" ht="50.1" hidden="1" customHeight="1" x14ac:dyDescent="0.2">
      <c r="A134" s="329">
        <v>4600055166</v>
      </c>
      <c r="B134" s="329" t="s">
        <v>1230</v>
      </c>
      <c r="C134" s="329">
        <v>181242</v>
      </c>
      <c r="D134" s="329" t="s">
        <v>567</v>
      </c>
      <c r="E134" s="329">
        <v>25</v>
      </c>
      <c r="F134" s="358" t="s">
        <v>1592</v>
      </c>
      <c r="G134" s="329" t="s">
        <v>1571</v>
      </c>
      <c r="H134" s="331" t="s">
        <v>710</v>
      </c>
      <c r="I134" s="329" t="s">
        <v>18</v>
      </c>
      <c r="J134" s="329" t="s">
        <v>1850</v>
      </c>
      <c r="K134" s="340">
        <v>387682253.54000002</v>
      </c>
      <c r="L134" s="329" t="s">
        <v>19</v>
      </c>
      <c r="M134" s="360">
        <v>41253</v>
      </c>
      <c r="N134" s="360">
        <v>45961</v>
      </c>
      <c r="O134" s="329" t="s">
        <v>29</v>
      </c>
      <c r="P134" s="329" t="s">
        <v>30</v>
      </c>
      <c r="Q134" s="329" t="s">
        <v>203</v>
      </c>
      <c r="R134" s="329" t="s">
        <v>265</v>
      </c>
      <c r="S134" s="329"/>
      <c r="T134" s="329"/>
      <c r="U134" s="329"/>
      <c r="V134" s="329"/>
      <c r="W134" s="329" t="s">
        <v>1716</v>
      </c>
      <c r="X134" s="328"/>
    </row>
    <row r="135" spans="1:24" ht="50.1" hidden="1" customHeight="1" x14ac:dyDescent="0.2">
      <c r="A135" s="329" t="s">
        <v>1641</v>
      </c>
      <c r="B135" s="329" t="s">
        <v>1233</v>
      </c>
      <c r="C135" s="329">
        <v>3047098</v>
      </c>
      <c r="D135" s="329" t="s">
        <v>568</v>
      </c>
      <c r="E135" s="329">
        <v>30</v>
      </c>
      <c r="F135" s="331" t="s">
        <v>1575</v>
      </c>
      <c r="G135" s="329" t="s">
        <v>1569</v>
      </c>
      <c r="H135" s="329" t="s">
        <v>709</v>
      </c>
      <c r="I135" s="329" t="s">
        <v>18</v>
      </c>
      <c r="J135" s="329" t="s">
        <v>1851</v>
      </c>
      <c r="K135" s="340">
        <v>38000</v>
      </c>
      <c r="L135" s="329" t="s">
        <v>19</v>
      </c>
      <c r="M135" s="360">
        <v>45658</v>
      </c>
      <c r="N135" s="360">
        <v>46320</v>
      </c>
      <c r="O135" s="329" t="s">
        <v>1078</v>
      </c>
      <c r="P135" s="329" t="s">
        <v>1079</v>
      </c>
      <c r="Q135" s="329" t="s">
        <v>1080</v>
      </c>
      <c r="R135" s="329" t="s">
        <v>1081</v>
      </c>
      <c r="S135" s="329"/>
      <c r="T135" s="329"/>
      <c r="U135" s="329"/>
      <c r="V135" s="329"/>
      <c r="W135" s="329"/>
      <c r="X135" s="328"/>
    </row>
    <row r="136" spans="1:24" ht="50.1" hidden="1" customHeight="1" x14ac:dyDescent="0.2">
      <c r="A136" s="329" t="s">
        <v>107</v>
      </c>
      <c r="B136" s="329" t="s">
        <v>1238</v>
      </c>
      <c r="C136" s="329">
        <v>3047148</v>
      </c>
      <c r="D136" s="329" t="s">
        <v>569</v>
      </c>
      <c r="E136" s="329" t="s">
        <v>1239</v>
      </c>
      <c r="F136" s="365" t="s">
        <v>1574</v>
      </c>
      <c r="G136" s="329" t="s">
        <v>1569</v>
      </c>
      <c r="H136" s="331" t="s">
        <v>710</v>
      </c>
      <c r="I136" s="329" t="s">
        <v>38</v>
      </c>
      <c r="J136" s="329" t="s">
        <v>1852</v>
      </c>
      <c r="K136" s="340">
        <v>21050.400000000001</v>
      </c>
      <c r="L136" s="329" t="s">
        <v>19</v>
      </c>
      <c r="M136" s="360">
        <v>45715</v>
      </c>
      <c r="N136" s="360">
        <v>46079</v>
      </c>
      <c r="O136" s="329" t="s">
        <v>22</v>
      </c>
      <c r="P136" s="329" t="s">
        <v>1240</v>
      </c>
      <c r="Q136" s="329" t="s">
        <v>53</v>
      </c>
      <c r="R136" s="329" t="s">
        <v>206</v>
      </c>
      <c r="S136" s="329" t="s">
        <v>1241</v>
      </c>
      <c r="T136" s="329" t="s">
        <v>1243</v>
      </c>
      <c r="U136" s="329" t="s">
        <v>1244</v>
      </c>
      <c r="V136" s="329" t="s">
        <v>1242</v>
      </c>
      <c r="W136" s="329" t="s">
        <v>1245</v>
      </c>
      <c r="X136" s="328"/>
    </row>
    <row r="137" spans="1:24" ht="50.1" hidden="1" customHeight="1" x14ac:dyDescent="0.2">
      <c r="A137" s="329" t="s">
        <v>1609</v>
      </c>
      <c r="B137" s="329" t="s">
        <v>170</v>
      </c>
      <c r="C137" s="329">
        <v>3038407</v>
      </c>
      <c r="D137" s="329" t="s">
        <v>569</v>
      </c>
      <c r="E137" s="329">
        <v>30</v>
      </c>
      <c r="F137" s="331" t="s">
        <v>1575</v>
      </c>
      <c r="G137" s="329" t="s">
        <v>1569</v>
      </c>
      <c r="H137" s="329" t="s">
        <v>710</v>
      </c>
      <c r="I137" s="329" t="s">
        <v>18</v>
      </c>
      <c r="J137" s="329" t="s">
        <v>1853</v>
      </c>
      <c r="K137" s="340">
        <v>374459</v>
      </c>
      <c r="L137" s="329" t="s">
        <v>19</v>
      </c>
      <c r="M137" s="360">
        <v>45019</v>
      </c>
      <c r="N137" s="360">
        <v>46479</v>
      </c>
      <c r="O137" s="331" t="s">
        <v>171</v>
      </c>
      <c r="P137" s="362" t="s">
        <v>172</v>
      </c>
      <c r="Q137" s="362" t="s">
        <v>172</v>
      </c>
      <c r="R137" s="331" t="s">
        <v>262</v>
      </c>
      <c r="S137" s="329"/>
      <c r="T137" s="329"/>
      <c r="U137" s="329"/>
      <c r="V137" s="329"/>
      <c r="W137" s="329"/>
      <c r="X137" s="328"/>
    </row>
    <row r="138" spans="1:24" ht="50.1" hidden="1" customHeight="1" x14ac:dyDescent="0.2">
      <c r="A138" s="329">
        <v>4600059432</v>
      </c>
      <c r="B138" s="329" t="s">
        <v>720</v>
      </c>
      <c r="C138" s="329">
        <v>155439</v>
      </c>
      <c r="D138" s="329" t="s">
        <v>568</v>
      </c>
      <c r="E138" s="329">
        <v>1</v>
      </c>
      <c r="F138" s="331" t="s">
        <v>1575</v>
      </c>
      <c r="G138" s="329" t="s">
        <v>1569</v>
      </c>
      <c r="H138" s="329" t="s">
        <v>709</v>
      </c>
      <c r="I138" s="329" t="s">
        <v>18</v>
      </c>
      <c r="J138" s="329" t="s">
        <v>1854</v>
      </c>
      <c r="K138" s="340">
        <v>1060000</v>
      </c>
      <c r="L138" s="329" t="s">
        <v>19</v>
      </c>
      <c r="M138" s="360">
        <v>45717</v>
      </c>
      <c r="N138" s="360">
        <v>46022</v>
      </c>
      <c r="O138" s="331" t="s">
        <v>93</v>
      </c>
      <c r="P138" s="331" t="s">
        <v>94</v>
      </c>
      <c r="Q138" s="331" t="s">
        <v>94</v>
      </c>
      <c r="R138" s="331" t="s">
        <v>877</v>
      </c>
      <c r="S138" s="329"/>
      <c r="T138" s="329"/>
      <c r="U138" s="329"/>
      <c r="V138" s="329"/>
      <c r="W138" s="329"/>
      <c r="X138" s="328"/>
    </row>
    <row r="139" spans="1:24" ht="50.1" hidden="1" customHeight="1" x14ac:dyDescent="0.2">
      <c r="A139" s="329">
        <v>4600059476</v>
      </c>
      <c r="B139" s="329" t="s">
        <v>1729</v>
      </c>
      <c r="C139" s="329">
        <v>147115</v>
      </c>
      <c r="D139" s="329" t="s">
        <v>568</v>
      </c>
      <c r="E139" s="329">
        <v>30</v>
      </c>
      <c r="F139" s="331" t="s">
        <v>1575</v>
      </c>
      <c r="G139" s="329" t="s">
        <v>1569</v>
      </c>
      <c r="H139" s="329" t="s">
        <v>709</v>
      </c>
      <c r="I139" s="329" t="s">
        <v>18</v>
      </c>
      <c r="J139" s="329" t="s">
        <v>1855</v>
      </c>
      <c r="K139" s="340">
        <v>59990</v>
      </c>
      <c r="L139" s="329" t="s">
        <v>19</v>
      </c>
      <c r="M139" s="360">
        <v>45733</v>
      </c>
      <c r="N139" s="360">
        <v>46097</v>
      </c>
      <c r="O139" s="331" t="s">
        <v>29</v>
      </c>
      <c r="P139" s="329" t="s">
        <v>30</v>
      </c>
      <c r="Q139" s="331" t="s">
        <v>1248</v>
      </c>
      <c r="R139" s="331" t="s">
        <v>265</v>
      </c>
      <c r="S139" s="329" t="s">
        <v>1250</v>
      </c>
      <c r="T139" s="329" t="s">
        <v>1249</v>
      </c>
      <c r="U139" s="329"/>
      <c r="V139" s="329" t="s">
        <v>1251</v>
      </c>
      <c r="W139" s="329"/>
      <c r="X139" s="328"/>
    </row>
    <row r="140" spans="1:24" ht="50.1" hidden="1" customHeight="1" x14ac:dyDescent="0.2">
      <c r="A140" s="331" t="s">
        <v>1715</v>
      </c>
      <c r="B140" s="329" t="s">
        <v>910</v>
      </c>
      <c r="C140" s="329">
        <v>3045655</v>
      </c>
      <c r="D140" s="329" t="s">
        <v>568</v>
      </c>
      <c r="E140" s="329">
        <v>1</v>
      </c>
      <c r="F140" s="331" t="s">
        <v>1575</v>
      </c>
      <c r="G140" s="329" t="s">
        <v>1569</v>
      </c>
      <c r="H140" s="329" t="s">
        <v>709</v>
      </c>
      <c r="I140" s="329" t="s">
        <v>18</v>
      </c>
      <c r="J140" s="358" t="s">
        <v>1856</v>
      </c>
      <c r="K140" s="340">
        <v>171580</v>
      </c>
      <c r="L140" s="329" t="s">
        <v>19</v>
      </c>
      <c r="M140" s="344">
        <v>45569</v>
      </c>
      <c r="N140" s="344">
        <v>46288</v>
      </c>
      <c r="O140" s="331" t="s">
        <v>93</v>
      </c>
      <c r="P140" s="331" t="s">
        <v>878</v>
      </c>
      <c r="Q140" s="331" t="s">
        <v>878</v>
      </c>
      <c r="R140" s="331" t="s">
        <v>877</v>
      </c>
      <c r="S140" s="331"/>
      <c r="T140" s="331"/>
      <c r="U140" s="331"/>
      <c r="V140" s="331"/>
      <c r="W140" s="331"/>
      <c r="X140" s="330"/>
    </row>
    <row r="141" spans="1:24" s="326" customFormat="1" ht="50.1" hidden="1" customHeight="1" x14ac:dyDescent="0.25">
      <c r="A141" s="329">
        <v>4600058517</v>
      </c>
      <c r="B141" s="329" t="s">
        <v>1030</v>
      </c>
      <c r="C141" s="329">
        <v>185065</v>
      </c>
      <c r="D141" s="329" t="s">
        <v>567</v>
      </c>
      <c r="E141" s="329">
        <v>90</v>
      </c>
      <c r="F141" s="365" t="s">
        <v>1582</v>
      </c>
      <c r="G141" s="329" t="s">
        <v>1571</v>
      </c>
      <c r="H141" s="329" t="s">
        <v>710</v>
      </c>
      <c r="I141" s="329" t="s">
        <v>38</v>
      </c>
      <c r="J141" s="358" t="s">
        <v>1857</v>
      </c>
      <c r="K141" s="359">
        <v>9983994.75</v>
      </c>
      <c r="L141" s="329" t="s">
        <v>19</v>
      </c>
      <c r="M141" s="360">
        <v>45582</v>
      </c>
      <c r="N141" s="360">
        <v>46292</v>
      </c>
      <c r="O141" s="331" t="s">
        <v>22</v>
      </c>
      <c r="P141" s="331" t="s">
        <v>204</v>
      </c>
      <c r="Q141" s="331" t="s">
        <v>553</v>
      </c>
      <c r="R141" s="331" t="s">
        <v>206</v>
      </c>
      <c r="S141" s="331" t="s">
        <v>922</v>
      </c>
      <c r="T141" s="331" t="s">
        <v>919</v>
      </c>
      <c r="U141" s="331" t="s">
        <v>921</v>
      </c>
      <c r="V141" s="331" t="s">
        <v>920</v>
      </c>
      <c r="W141" s="331"/>
      <c r="X141" s="330"/>
    </row>
    <row r="142" spans="1:24" ht="50.1" hidden="1" customHeight="1" x14ac:dyDescent="0.2">
      <c r="A142" s="331">
        <v>4600058545</v>
      </c>
      <c r="B142" s="329" t="s">
        <v>1270</v>
      </c>
      <c r="C142" s="331" t="s">
        <v>1269</v>
      </c>
      <c r="D142" s="329" t="s">
        <v>569</v>
      </c>
      <c r="E142" s="331" t="s">
        <v>808</v>
      </c>
      <c r="F142" s="331" t="s">
        <v>1059</v>
      </c>
      <c r="G142" s="329" t="s">
        <v>1571</v>
      </c>
      <c r="H142" s="331" t="s">
        <v>710</v>
      </c>
      <c r="I142" s="331" t="s">
        <v>38</v>
      </c>
      <c r="J142" s="331" t="s">
        <v>1858</v>
      </c>
      <c r="K142" s="340">
        <v>563502.68999999994</v>
      </c>
      <c r="L142" s="329" t="s">
        <v>19</v>
      </c>
      <c r="M142" s="344">
        <v>45601</v>
      </c>
      <c r="N142" s="344">
        <v>46695</v>
      </c>
      <c r="O142" s="331" t="s">
        <v>22</v>
      </c>
      <c r="P142" s="331" t="s">
        <v>204</v>
      </c>
      <c r="Q142" s="331" t="s">
        <v>553</v>
      </c>
      <c r="R142" s="331" t="s">
        <v>206</v>
      </c>
      <c r="S142" s="331"/>
      <c r="T142" s="331"/>
      <c r="U142" s="331"/>
      <c r="V142" s="331"/>
      <c r="W142" s="331"/>
      <c r="X142" s="330"/>
    </row>
    <row r="143" spans="1:24" ht="50.1" hidden="1" customHeight="1" x14ac:dyDescent="0.2">
      <c r="A143" s="331">
        <v>4600059651</v>
      </c>
      <c r="B143" s="329" t="s">
        <v>1599</v>
      </c>
      <c r="C143" s="331">
        <v>3046023</v>
      </c>
      <c r="D143" s="329" t="s">
        <v>569</v>
      </c>
      <c r="E143" s="331">
        <v>30</v>
      </c>
      <c r="F143" s="365" t="s">
        <v>1574</v>
      </c>
      <c r="G143" s="329" t="s">
        <v>1569</v>
      </c>
      <c r="H143" s="331" t="s">
        <v>710</v>
      </c>
      <c r="I143" s="331" t="s">
        <v>38</v>
      </c>
      <c r="J143" s="331" t="s">
        <v>1859</v>
      </c>
      <c r="K143" s="340">
        <v>725662</v>
      </c>
      <c r="L143" s="331" t="s">
        <v>19</v>
      </c>
      <c r="M143" s="344">
        <v>45786</v>
      </c>
      <c r="N143" s="344">
        <v>46150</v>
      </c>
      <c r="O143" s="331" t="s">
        <v>22</v>
      </c>
      <c r="P143" s="331" t="s">
        <v>204</v>
      </c>
      <c r="Q143" s="331" t="s">
        <v>553</v>
      </c>
      <c r="R143" s="331" t="s">
        <v>206</v>
      </c>
      <c r="S143" s="331" t="s">
        <v>1600</v>
      </c>
      <c r="T143" s="331" t="s">
        <v>1601</v>
      </c>
      <c r="U143" s="331"/>
      <c r="V143" s="331"/>
      <c r="W143" s="331"/>
      <c r="X143" s="330"/>
    </row>
    <row r="144" spans="1:24" ht="50.1" hidden="1" customHeight="1" x14ac:dyDescent="0.2">
      <c r="A144" s="331">
        <v>4600059420</v>
      </c>
      <c r="B144" s="329" t="s">
        <v>1605</v>
      </c>
      <c r="C144" s="331">
        <v>183214</v>
      </c>
      <c r="D144" s="329" t="s">
        <v>569</v>
      </c>
      <c r="E144" s="331">
        <v>60</v>
      </c>
      <c r="F144" s="331" t="s">
        <v>1606</v>
      </c>
      <c r="G144" s="329" t="s">
        <v>1569</v>
      </c>
      <c r="H144" s="331" t="s">
        <v>710</v>
      </c>
      <c r="I144" s="331" t="s">
        <v>18</v>
      </c>
      <c r="J144" s="331" t="s">
        <v>1860</v>
      </c>
      <c r="K144" s="340">
        <v>283819226.39999998</v>
      </c>
      <c r="L144" s="331" t="s">
        <v>19</v>
      </c>
      <c r="M144" s="344">
        <v>45713</v>
      </c>
      <c r="N144" s="344">
        <v>46387</v>
      </c>
      <c r="O144" s="331" t="s">
        <v>22</v>
      </c>
      <c r="P144" s="331" t="s">
        <v>204</v>
      </c>
      <c r="Q144" s="331" t="s">
        <v>553</v>
      </c>
      <c r="R144" s="331" t="s">
        <v>206</v>
      </c>
      <c r="S144" s="331"/>
      <c r="T144" s="331"/>
      <c r="U144" s="331"/>
      <c r="V144" s="331"/>
      <c r="W144" s="331"/>
      <c r="X144" s="342"/>
    </row>
    <row r="145" spans="1:24" ht="50.1" hidden="1" customHeight="1" x14ac:dyDescent="0.2">
      <c r="A145" s="331">
        <v>4600059783</v>
      </c>
      <c r="B145" s="329" t="s">
        <v>1608</v>
      </c>
      <c r="C145" s="331">
        <v>3047594</v>
      </c>
      <c r="D145" s="329" t="s">
        <v>569</v>
      </c>
      <c r="E145" s="331">
        <v>30</v>
      </c>
      <c r="F145" s="331" t="s">
        <v>1575</v>
      </c>
      <c r="G145" s="329" t="s">
        <v>1569</v>
      </c>
      <c r="H145" s="331" t="s">
        <v>709</v>
      </c>
      <c r="I145" s="331" t="s">
        <v>18</v>
      </c>
      <c r="J145" s="331" t="s">
        <v>1861</v>
      </c>
      <c r="K145" s="340">
        <v>86400</v>
      </c>
      <c r="L145" s="331" t="s">
        <v>19</v>
      </c>
      <c r="M145" s="344">
        <v>45792</v>
      </c>
      <c r="N145" s="344">
        <v>46156</v>
      </c>
      <c r="O145" s="331" t="s">
        <v>208</v>
      </c>
      <c r="P145" s="331" t="s">
        <v>876</v>
      </c>
      <c r="Q145" s="331" t="s">
        <v>20</v>
      </c>
      <c r="R145" s="331" t="s">
        <v>263</v>
      </c>
      <c r="S145" s="331"/>
      <c r="T145" s="331"/>
      <c r="U145" s="331"/>
      <c r="V145" s="331"/>
      <c r="W145" s="331"/>
      <c r="X145" s="342"/>
    </row>
    <row r="146" spans="1:24" s="327" customFormat="1" ht="50.1" hidden="1" customHeight="1" x14ac:dyDescent="0.25">
      <c r="A146" s="331">
        <v>4600059923</v>
      </c>
      <c r="B146" s="329" t="s">
        <v>1614</v>
      </c>
      <c r="C146" s="331">
        <v>3047788</v>
      </c>
      <c r="D146" s="329" t="s">
        <v>569</v>
      </c>
      <c r="E146" s="331">
        <v>1</v>
      </c>
      <c r="F146" s="331" t="s">
        <v>1575</v>
      </c>
      <c r="G146" s="329" t="s">
        <v>1569</v>
      </c>
      <c r="H146" s="331" t="s">
        <v>709</v>
      </c>
      <c r="I146" s="331" t="s">
        <v>18</v>
      </c>
      <c r="J146" s="331" t="s">
        <v>1862</v>
      </c>
      <c r="K146" s="340">
        <v>22200</v>
      </c>
      <c r="L146" s="331" t="s">
        <v>19</v>
      </c>
      <c r="M146" s="344">
        <v>45866</v>
      </c>
      <c r="N146" s="344">
        <v>46230</v>
      </c>
      <c r="O146" s="331" t="s">
        <v>208</v>
      </c>
      <c r="P146" s="331" t="s">
        <v>876</v>
      </c>
      <c r="Q146" s="331" t="s">
        <v>20</v>
      </c>
      <c r="R146" s="331" t="s">
        <v>263</v>
      </c>
      <c r="S146" s="331"/>
      <c r="T146" s="331"/>
      <c r="U146" s="331"/>
      <c r="V146" s="331"/>
      <c r="W146" s="331"/>
      <c r="X146" s="331"/>
    </row>
    <row r="147" spans="1:24" ht="50.1" hidden="1" customHeight="1" x14ac:dyDescent="0.2">
      <c r="A147" s="331" t="s">
        <v>1616</v>
      </c>
      <c r="B147" s="331" t="s">
        <v>1617</v>
      </c>
      <c r="C147" s="331">
        <v>3000975</v>
      </c>
      <c r="D147" s="329" t="s">
        <v>567</v>
      </c>
      <c r="E147" s="331">
        <v>60</v>
      </c>
      <c r="F147" s="331" t="s">
        <v>1574</v>
      </c>
      <c r="G147" s="329" t="s">
        <v>1569</v>
      </c>
      <c r="H147" s="331" t="s">
        <v>1618</v>
      </c>
      <c r="I147" s="331" t="s">
        <v>860</v>
      </c>
      <c r="J147" s="331" t="s">
        <v>1863</v>
      </c>
      <c r="K147" s="340">
        <v>8533230</v>
      </c>
      <c r="L147" s="331" t="s">
        <v>19</v>
      </c>
      <c r="M147" s="344">
        <v>45809</v>
      </c>
      <c r="N147" s="344">
        <v>46538</v>
      </c>
      <c r="O147" s="331" t="s">
        <v>22</v>
      </c>
      <c r="P147" s="331" t="s">
        <v>204</v>
      </c>
      <c r="Q147" s="331" t="s">
        <v>53</v>
      </c>
      <c r="R147" s="331" t="s">
        <v>206</v>
      </c>
      <c r="S147" s="331"/>
      <c r="T147" s="331"/>
      <c r="U147" s="331"/>
      <c r="V147" s="331"/>
      <c r="W147" s="331"/>
      <c r="X147" s="342"/>
    </row>
    <row r="148" spans="1:24" ht="50.1" hidden="1" customHeight="1" x14ac:dyDescent="0.2">
      <c r="A148" s="331">
        <v>4600059909</v>
      </c>
      <c r="B148" s="331" t="s">
        <v>1626</v>
      </c>
      <c r="C148" s="331">
        <v>1736685</v>
      </c>
      <c r="D148" s="331" t="s">
        <v>569</v>
      </c>
      <c r="E148" s="331">
        <v>1</v>
      </c>
      <c r="F148" s="331" t="s">
        <v>1575</v>
      </c>
      <c r="G148" s="329" t="s">
        <v>1569</v>
      </c>
      <c r="H148" s="331" t="s">
        <v>709</v>
      </c>
      <c r="I148" s="331" t="s">
        <v>18</v>
      </c>
      <c r="J148" s="331" t="s">
        <v>1864</v>
      </c>
      <c r="K148" s="340">
        <v>4595</v>
      </c>
      <c r="L148" s="331" t="s">
        <v>19</v>
      </c>
      <c r="M148" s="344">
        <v>45874</v>
      </c>
      <c r="N148" s="344">
        <v>46238</v>
      </c>
      <c r="O148" s="331" t="s">
        <v>115</v>
      </c>
      <c r="P148" s="331" t="s">
        <v>116</v>
      </c>
      <c r="Q148" s="331" t="s">
        <v>116</v>
      </c>
      <c r="R148" s="331" t="s">
        <v>263</v>
      </c>
      <c r="S148" s="331"/>
      <c r="T148" s="331"/>
      <c r="U148" s="331"/>
      <c r="V148" s="331"/>
      <c r="W148" s="331"/>
      <c r="X148" s="341"/>
    </row>
    <row r="149" spans="1:24" ht="50.1" hidden="1" customHeight="1" x14ac:dyDescent="0.2">
      <c r="A149" s="331">
        <v>4600059762</v>
      </c>
      <c r="B149" s="331" t="s">
        <v>1627</v>
      </c>
      <c r="C149" s="331">
        <v>3047490</v>
      </c>
      <c r="D149" s="331" t="s">
        <v>569</v>
      </c>
      <c r="E149" s="331">
        <v>30</v>
      </c>
      <c r="F149" s="331" t="s">
        <v>1574</v>
      </c>
      <c r="G149" s="329" t="s">
        <v>1569</v>
      </c>
      <c r="H149" s="331" t="s">
        <v>710</v>
      </c>
      <c r="I149" s="331" t="s">
        <v>1628</v>
      </c>
      <c r="J149" s="331" t="s">
        <v>1865</v>
      </c>
      <c r="K149" s="340">
        <v>296336</v>
      </c>
      <c r="L149" s="331" t="s">
        <v>19</v>
      </c>
      <c r="M149" s="344">
        <v>45820</v>
      </c>
      <c r="N149" s="344">
        <v>46184</v>
      </c>
      <c r="O149" s="331" t="s">
        <v>22</v>
      </c>
      <c r="P149" s="331" t="s">
        <v>204</v>
      </c>
      <c r="Q149" s="331" t="s">
        <v>53</v>
      </c>
      <c r="R149" s="331" t="s">
        <v>206</v>
      </c>
      <c r="S149" s="331"/>
      <c r="T149" s="331"/>
      <c r="U149" s="331"/>
      <c r="V149" s="331"/>
      <c r="W149" s="331"/>
      <c r="X149" s="341"/>
    </row>
    <row r="150" spans="1:24" ht="50.1" hidden="1" customHeight="1" x14ac:dyDescent="0.2">
      <c r="A150" s="331">
        <v>4600059956</v>
      </c>
      <c r="B150" s="331" t="s">
        <v>1629</v>
      </c>
      <c r="C150" s="331">
        <v>3047701</v>
      </c>
      <c r="D150" s="331" t="s">
        <v>568</v>
      </c>
      <c r="E150" s="331">
        <v>14</v>
      </c>
      <c r="F150" s="331" t="s">
        <v>1575</v>
      </c>
      <c r="G150" s="329" t="s">
        <v>1569</v>
      </c>
      <c r="H150" s="331" t="s">
        <v>709</v>
      </c>
      <c r="I150" s="331" t="s">
        <v>18</v>
      </c>
      <c r="J150" s="331" t="s">
        <v>1866</v>
      </c>
      <c r="K150" s="340">
        <v>1800000</v>
      </c>
      <c r="L150" s="331" t="s">
        <v>19</v>
      </c>
      <c r="M150" s="344">
        <v>45877</v>
      </c>
      <c r="N150" s="344">
        <v>46606</v>
      </c>
      <c r="O150" s="331" t="s">
        <v>93</v>
      </c>
      <c r="P150" s="331" t="s">
        <v>94</v>
      </c>
      <c r="Q150" s="331" t="s">
        <v>94</v>
      </c>
      <c r="R150" s="331" t="s">
        <v>261</v>
      </c>
      <c r="S150" s="331"/>
      <c r="T150" s="331"/>
      <c r="U150" s="331"/>
      <c r="V150" s="331"/>
      <c r="W150" s="331"/>
      <c r="X150" s="341"/>
    </row>
    <row r="151" spans="1:24" s="326" customFormat="1" ht="50.1" hidden="1" customHeight="1" x14ac:dyDescent="0.25">
      <c r="A151" s="331">
        <v>4600059952</v>
      </c>
      <c r="B151" s="331" t="s">
        <v>1633</v>
      </c>
      <c r="C151" s="331">
        <v>3047747</v>
      </c>
      <c r="D151" s="331" t="s">
        <v>569</v>
      </c>
      <c r="E151" s="331">
        <v>1</v>
      </c>
      <c r="F151" s="331" t="s">
        <v>1575</v>
      </c>
      <c r="G151" s="329" t="s">
        <v>1569</v>
      </c>
      <c r="H151" s="331" t="s">
        <v>709</v>
      </c>
      <c r="I151" s="331" t="s">
        <v>18</v>
      </c>
      <c r="J151" s="331" t="s">
        <v>1867</v>
      </c>
      <c r="K151" s="340">
        <v>324224.06</v>
      </c>
      <c r="L151" s="331" t="s">
        <v>19</v>
      </c>
      <c r="M151" s="344">
        <v>45905</v>
      </c>
      <c r="N151" s="360">
        <v>46269</v>
      </c>
      <c r="O151" s="331" t="s">
        <v>1634</v>
      </c>
      <c r="P151" s="331" t="s">
        <v>1635</v>
      </c>
      <c r="Q151" s="331" t="s">
        <v>1635</v>
      </c>
      <c r="R151" s="331" t="s">
        <v>1636</v>
      </c>
      <c r="S151" s="331"/>
      <c r="T151" s="331"/>
      <c r="U151" s="331"/>
      <c r="V151" s="331"/>
      <c r="W151" s="331"/>
      <c r="X151" s="330"/>
    </row>
    <row r="152" spans="1:24" s="326" customFormat="1" ht="50.1" hidden="1" customHeight="1" x14ac:dyDescent="0.25">
      <c r="A152" s="331">
        <v>4600059817</v>
      </c>
      <c r="B152" s="331" t="s">
        <v>1637</v>
      </c>
      <c r="C152" s="331">
        <v>3047716</v>
      </c>
      <c r="D152" s="331" t="s">
        <v>567</v>
      </c>
      <c r="E152" s="331">
        <v>30</v>
      </c>
      <c r="F152" s="331" t="s">
        <v>1575</v>
      </c>
      <c r="G152" s="329" t="s">
        <v>1569</v>
      </c>
      <c r="H152" s="331" t="s">
        <v>709</v>
      </c>
      <c r="I152" s="331" t="s">
        <v>18</v>
      </c>
      <c r="J152" s="331" t="s">
        <v>1868</v>
      </c>
      <c r="K152" s="340">
        <v>450000</v>
      </c>
      <c r="L152" s="331" t="s">
        <v>19</v>
      </c>
      <c r="M152" s="344">
        <v>45838</v>
      </c>
      <c r="N152" s="360">
        <v>46232</v>
      </c>
      <c r="O152" s="331" t="s">
        <v>22</v>
      </c>
      <c r="P152" s="331" t="s">
        <v>210</v>
      </c>
      <c r="Q152" s="331" t="s">
        <v>53</v>
      </c>
      <c r="R152" s="331" t="s">
        <v>206</v>
      </c>
      <c r="S152" s="331"/>
      <c r="T152" s="331"/>
      <c r="U152" s="331"/>
      <c r="V152" s="331"/>
      <c r="W152" s="331"/>
      <c r="X152" s="330"/>
    </row>
    <row r="153" spans="1:24" ht="50.1" hidden="1" customHeight="1" x14ac:dyDescent="0.2">
      <c r="A153" s="331">
        <v>4600059938</v>
      </c>
      <c r="B153" s="397" t="s">
        <v>1730</v>
      </c>
      <c r="C153" s="331">
        <v>3047785</v>
      </c>
      <c r="D153" s="331" t="s">
        <v>569</v>
      </c>
      <c r="E153" s="331">
        <v>1</v>
      </c>
      <c r="F153" s="331" t="s">
        <v>1575</v>
      </c>
      <c r="G153" s="329" t="s">
        <v>1569</v>
      </c>
      <c r="H153" s="331" t="s">
        <v>709</v>
      </c>
      <c r="I153" s="331" t="s">
        <v>18</v>
      </c>
      <c r="J153" s="331" t="s">
        <v>1869</v>
      </c>
      <c r="K153" s="340">
        <v>22090.799999999999</v>
      </c>
      <c r="L153" s="331" t="s">
        <v>19</v>
      </c>
      <c r="M153" s="344">
        <v>45866</v>
      </c>
      <c r="N153" s="344">
        <v>46230</v>
      </c>
      <c r="O153" s="331" t="s">
        <v>22</v>
      </c>
      <c r="P153" s="331" t="s">
        <v>875</v>
      </c>
      <c r="Q153" s="331" t="s">
        <v>875</v>
      </c>
      <c r="R153" s="331" t="s">
        <v>206</v>
      </c>
      <c r="S153" s="331" t="s">
        <v>1639</v>
      </c>
      <c r="T153" s="331" t="s">
        <v>1640</v>
      </c>
      <c r="U153" s="331"/>
      <c r="V153" s="331"/>
      <c r="W153" s="331"/>
      <c r="X153" s="342"/>
    </row>
    <row r="154" spans="1:24" ht="50.1" hidden="1" customHeight="1" x14ac:dyDescent="0.2">
      <c r="A154" s="331" t="s">
        <v>1644</v>
      </c>
      <c r="B154" s="331" t="s">
        <v>1643</v>
      </c>
      <c r="C154" s="331">
        <v>3047310</v>
      </c>
      <c r="D154" s="331" t="s">
        <v>569</v>
      </c>
      <c r="E154" s="331">
        <v>60</v>
      </c>
      <c r="F154" s="331" t="s">
        <v>1575</v>
      </c>
      <c r="G154" s="329" t="s">
        <v>1569</v>
      </c>
      <c r="H154" s="331" t="s">
        <v>709</v>
      </c>
      <c r="I154" s="331" t="s">
        <v>18</v>
      </c>
      <c r="J154" s="331" t="s">
        <v>1870</v>
      </c>
      <c r="K154" s="340">
        <v>215100</v>
      </c>
      <c r="L154" s="331" t="s">
        <v>19</v>
      </c>
      <c r="M154" s="344">
        <v>45889</v>
      </c>
      <c r="N154" s="344">
        <v>46253</v>
      </c>
      <c r="O154" s="331" t="s">
        <v>208</v>
      </c>
      <c r="P154" s="331" t="s">
        <v>876</v>
      </c>
      <c r="Q154" s="331" t="s">
        <v>20</v>
      </c>
      <c r="R154" s="331" t="s">
        <v>1636</v>
      </c>
      <c r="S154" s="331"/>
      <c r="T154" s="331"/>
      <c r="U154" s="331"/>
      <c r="V154" s="331"/>
      <c r="W154" s="331"/>
      <c r="X154" s="342"/>
    </row>
    <row r="155" spans="1:24" s="327" customFormat="1" ht="50.1" hidden="1" customHeight="1" x14ac:dyDescent="0.25">
      <c r="A155" s="358" t="s">
        <v>1604</v>
      </c>
      <c r="B155" s="329" t="s">
        <v>1087</v>
      </c>
      <c r="C155" s="329">
        <v>3043270</v>
      </c>
      <c r="D155" s="329" t="s">
        <v>568</v>
      </c>
      <c r="E155" s="329">
        <v>60</v>
      </c>
      <c r="F155" s="365" t="s">
        <v>1574</v>
      </c>
      <c r="G155" s="329" t="s">
        <v>1569</v>
      </c>
      <c r="H155" s="329" t="s">
        <v>710</v>
      </c>
      <c r="I155" s="329" t="s">
        <v>95</v>
      </c>
      <c r="J155" s="331" t="s">
        <v>1871</v>
      </c>
      <c r="K155" s="340">
        <v>8109405.2400000002</v>
      </c>
      <c r="L155" s="329" t="s">
        <v>19</v>
      </c>
      <c r="M155" s="344">
        <v>45047</v>
      </c>
      <c r="N155" s="344">
        <v>46142</v>
      </c>
      <c r="O155" s="331" t="s">
        <v>208</v>
      </c>
      <c r="P155" s="331" t="s">
        <v>876</v>
      </c>
      <c r="Q155" s="331" t="s">
        <v>1084</v>
      </c>
      <c r="R155" s="331" t="s">
        <v>1085</v>
      </c>
      <c r="S155" s="331" t="s">
        <v>1086</v>
      </c>
      <c r="T155" s="331"/>
      <c r="U155" s="331"/>
      <c r="V155" s="331"/>
      <c r="W155" s="331"/>
      <c r="X155" s="330"/>
    </row>
    <row r="156" spans="1:24" s="326" customFormat="1" ht="50.1" hidden="1" customHeight="1" x14ac:dyDescent="0.25">
      <c r="A156" s="331">
        <v>4600059934</v>
      </c>
      <c r="B156" s="331" t="s">
        <v>1645</v>
      </c>
      <c r="C156" s="331">
        <v>157367</v>
      </c>
      <c r="D156" s="329" t="s">
        <v>568</v>
      </c>
      <c r="E156" s="356">
        <v>75</v>
      </c>
      <c r="F156" s="331" t="s">
        <v>1575</v>
      </c>
      <c r="G156" s="329" t="s">
        <v>1569</v>
      </c>
      <c r="H156" s="331" t="s">
        <v>709</v>
      </c>
      <c r="I156" s="331" t="s">
        <v>18</v>
      </c>
      <c r="J156" s="331" t="s">
        <v>1872</v>
      </c>
      <c r="K156" s="340">
        <v>1200000</v>
      </c>
      <c r="L156" s="329" t="s">
        <v>19</v>
      </c>
      <c r="M156" s="344">
        <v>45870</v>
      </c>
      <c r="N156" s="344">
        <v>46598</v>
      </c>
      <c r="O156" s="331" t="s">
        <v>29</v>
      </c>
      <c r="P156" s="329" t="s">
        <v>30</v>
      </c>
      <c r="Q156" s="331" t="s">
        <v>1248</v>
      </c>
      <c r="R156" s="331" t="s">
        <v>265</v>
      </c>
      <c r="S156" s="331"/>
      <c r="T156" s="331"/>
      <c r="U156" s="331"/>
      <c r="V156" s="331"/>
      <c r="W156" s="331"/>
      <c r="X156" s="330"/>
    </row>
    <row r="157" spans="1:24" ht="50.1" hidden="1" customHeight="1" x14ac:dyDescent="0.25">
      <c r="A157" s="331">
        <v>4600059934</v>
      </c>
      <c r="B157" s="331" t="s">
        <v>1658</v>
      </c>
      <c r="C157" s="331">
        <v>180909</v>
      </c>
      <c r="D157" s="329" t="s">
        <v>568</v>
      </c>
      <c r="E157" s="356">
        <v>30</v>
      </c>
      <c r="F157" s="331" t="s">
        <v>1575</v>
      </c>
      <c r="G157" s="329" t="s">
        <v>1569</v>
      </c>
      <c r="H157" s="331" t="s">
        <v>709</v>
      </c>
      <c r="I157" s="331" t="s">
        <v>18</v>
      </c>
      <c r="J157" s="331" t="s">
        <v>1873</v>
      </c>
      <c r="K157" s="340">
        <v>93685.2</v>
      </c>
      <c r="L157" s="331" t="s">
        <v>19</v>
      </c>
      <c r="M157" s="344">
        <v>45945</v>
      </c>
      <c r="N157" s="344">
        <v>46309</v>
      </c>
      <c r="O157" s="331" t="s">
        <v>29</v>
      </c>
      <c r="P157" s="329" t="s">
        <v>1659</v>
      </c>
      <c r="Q157" s="331" t="s">
        <v>1248</v>
      </c>
      <c r="R157" s="331" t="s">
        <v>265</v>
      </c>
      <c r="S157" s="398" t="s">
        <v>1660</v>
      </c>
      <c r="T157" s="399" t="s">
        <v>1661</v>
      </c>
      <c r="U157" s="399" t="s">
        <v>1662</v>
      </c>
      <c r="V157" s="400" t="s">
        <v>1663</v>
      </c>
      <c r="W157" s="331"/>
      <c r="X157" s="342"/>
    </row>
    <row r="158" spans="1:24" ht="50.1" hidden="1" customHeight="1" x14ac:dyDescent="0.2">
      <c r="A158" s="331">
        <v>4600059936</v>
      </c>
      <c r="B158" s="331" t="s">
        <v>1646</v>
      </c>
      <c r="C158" s="331">
        <v>3037416</v>
      </c>
      <c r="D158" s="329" t="s">
        <v>568</v>
      </c>
      <c r="E158" s="401">
        <v>60</v>
      </c>
      <c r="F158" s="331" t="s">
        <v>1575</v>
      </c>
      <c r="G158" s="329" t="s">
        <v>1569</v>
      </c>
      <c r="H158" s="331" t="s">
        <v>709</v>
      </c>
      <c r="I158" s="331" t="s">
        <v>18</v>
      </c>
      <c r="J158" s="331" t="s">
        <v>1874</v>
      </c>
      <c r="K158" s="343">
        <v>50000</v>
      </c>
      <c r="L158" s="331" t="s">
        <v>19</v>
      </c>
      <c r="M158" s="344">
        <v>45866</v>
      </c>
      <c r="N158" s="344">
        <v>46230</v>
      </c>
      <c r="O158" s="341"/>
      <c r="P158" s="341"/>
      <c r="Q158" s="341"/>
      <c r="R158" s="341"/>
      <c r="S158" s="341"/>
      <c r="T158" s="341"/>
      <c r="U158" s="341"/>
      <c r="V158" s="341"/>
      <c r="W158" s="341"/>
      <c r="X158" s="342"/>
    </row>
    <row r="159" spans="1:24" ht="50.1" hidden="1" customHeight="1" x14ac:dyDescent="0.25">
      <c r="A159" s="331">
        <v>4600059939</v>
      </c>
      <c r="B159" s="331" t="s">
        <v>1647</v>
      </c>
      <c r="C159" s="331">
        <v>3047807</v>
      </c>
      <c r="D159" s="331" t="s">
        <v>569</v>
      </c>
      <c r="E159" s="356">
        <v>30</v>
      </c>
      <c r="F159" s="331" t="s">
        <v>1575</v>
      </c>
      <c r="G159" s="329" t="s">
        <v>1569</v>
      </c>
      <c r="H159" s="331" t="s">
        <v>709</v>
      </c>
      <c r="I159" s="331" t="s">
        <v>18</v>
      </c>
      <c r="J159" s="331" t="s">
        <v>1875</v>
      </c>
      <c r="K159" s="340">
        <v>25200</v>
      </c>
      <c r="L159" s="331" t="s">
        <v>19</v>
      </c>
      <c r="M159" s="344">
        <v>45944</v>
      </c>
      <c r="N159" s="344">
        <v>46308</v>
      </c>
      <c r="O159" s="331" t="s">
        <v>142</v>
      </c>
      <c r="P159" s="331" t="s">
        <v>143</v>
      </c>
      <c r="Q159" s="331" t="s">
        <v>143</v>
      </c>
      <c r="R159" s="331" t="s">
        <v>143</v>
      </c>
      <c r="S159" s="398" t="s">
        <v>1664</v>
      </c>
      <c r="T159" s="398" t="s">
        <v>1665</v>
      </c>
      <c r="U159" s="399"/>
      <c r="V159" s="400" t="s">
        <v>1666</v>
      </c>
      <c r="W159" s="341"/>
      <c r="X159" s="342"/>
    </row>
    <row r="160" spans="1:24" ht="50.1" hidden="1" customHeight="1" x14ac:dyDescent="0.2">
      <c r="A160" s="331">
        <v>4600058385</v>
      </c>
      <c r="B160" s="331" t="s">
        <v>55</v>
      </c>
      <c r="C160" s="331">
        <v>3024898</v>
      </c>
      <c r="D160" s="329" t="s">
        <v>568</v>
      </c>
      <c r="E160" s="362">
        <v>1</v>
      </c>
      <c r="F160" s="331" t="s">
        <v>1575</v>
      </c>
      <c r="G160" s="329" t="s">
        <v>1569</v>
      </c>
      <c r="H160" s="331" t="s">
        <v>709</v>
      </c>
      <c r="I160" s="331" t="s">
        <v>18</v>
      </c>
      <c r="J160" s="331" t="s">
        <v>1876</v>
      </c>
      <c r="K160" s="343">
        <v>738504.18</v>
      </c>
      <c r="L160" s="331" t="s">
        <v>19</v>
      </c>
      <c r="M160" s="344">
        <v>45960</v>
      </c>
      <c r="N160" s="344">
        <v>47785</v>
      </c>
      <c r="O160" s="331" t="s">
        <v>208</v>
      </c>
      <c r="P160" s="331" t="s">
        <v>876</v>
      </c>
      <c r="Q160" s="331" t="s">
        <v>20</v>
      </c>
      <c r="R160" s="331" t="s">
        <v>263</v>
      </c>
      <c r="S160" s="341"/>
      <c r="T160" s="341"/>
      <c r="U160" s="341"/>
      <c r="V160" s="341"/>
      <c r="W160" s="341"/>
      <c r="X160" s="342"/>
    </row>
    <row r="161" spans="1:24" s="326" customFormat="1" ht="50.1" hidden="1" customHeight="1" x14ac:dyDescent="0.25">
      <c r="A161" s="329">
        <v>4600058491</v>
      </c>
      <c r="B161" s="329" t="s">
        <v>996</v>
      </c>
      <c r="C161" s="329">
        <v>3045807</v>
      </c>
      <c r="D161" s="329" t="s">
        <v>568</v>
      </c>
      <c r="E161" s="329">
        <v>30</v>
      </c>
      <c r="F161" s="365" t="s">
        <v>1574</v>
      </c>
      <c r="G161" s="329" t="s">
        <v>1569</v>
      </c>
      <c r="H161" s="329" t="s">
        <v>710</v>
      </c>
      <c r="I161" s="329" t="s">
        <v>38</v>
      </c>
      <c r="J161" s="331" t="s">
        <v>1877</v>
      </c>
      <c r="K161" s="340">
        <v>173424.43</v>
      </c>
      <c r="L161" s="331" t="s">
        <v>19</v>
      </c>
      <c r="M161" s="344">
        <v>45573</v>
      </c>
      <c r="N161" s="360">
        <v>46388</v>
      </c>
      <c r="O161" s="381" t="s">
        <v>22</v>
      </c>
      <c r="P161" s="331" t="s">
        <v>1657</v>
      </c>
      <c r="Q161" s="331" t="s">
        <v>553</v>
      </c>
      <c r="R161" s="331" t="s">
        <v>206</v>
      </c>
      <c r="S161" s="331"/>
      <c r="T161" s="331"/>
      <c r="U161" s="331"/>
      <c r="V161" s="331"/>
      <c r="W161" s="331"/>
      <c r="X161" s="330"/>
    </row>
    <row r="162" spans="1:24" x14ac:dyDescent="0.2">
      <c r="E162" s="357"/>
    </row>
    <row r="163" spans="1:24" x14ac:dyDescent="0.2">
      <c r="E163" s="357"/>
    </row>
    <row r="164" spans="1:24" x14ac:dyDescent="0.2">
      <c r="E164" s="357"/>
    </row>
    <row r="165" spans="1:24" x14ac:dyDescent="0.2">
      <c r="E165" s="357"/>
    </row>
    <row r="166" spans="1:24" x14ac:dyDescent="0.2">
      <c r="E166" s="357"/>
    </row>
    <row r="170" spans="1:24" x14ac:dyDescent="0.2">
      <c r="N170" s="386"/>
    </row>
    <row r="171" spans="1:24" x14ac:dyDescent="0.2">
      <c r="N171" s="386"/>
    </row>
    <row r="172" spans="1:24" x14ac:dyDescent="0.2">
      <c r="N172" s="386"/>
    </row>
    <row r="173" spans="1:24" x14ac:dyDescent="0.2">
      <c r="N173" s="386"/>
    </row>
  </sheetData>
  <autoFilter ref="A2:X161">
    <filterColumn colId="1">
      <filters>
        <filter val="ABILITY TECNOLOGIA E SERVICOS S.A"/>
      </filters>
    </filterColumn>
  </autoFilter>
  <mergeCells count="1">
    <mergeCell ref="D1:F1"/>
  </mergeCells>
  <hyperlinks>
    <hyperlink ref="V133" r:id="rId1" display="mailto:glamynjain@uber.com"/>
    <hyperlink ref="V129" r:id="rId2" display="mailto:sandra.antunes@2clix.cx"/>
    <hyperlink ref="V48" r:id="rId3"/>
    <hyperlink ref="V96" r:id="rId4"/>
    <hyperlink ref="W82" r:id="rId5"/>
    <hyperlink ref="V82" r:id="rId6"/>
    <hyperlink ref="V123" r:id="rId7"/>
    <hyperlink ref="V80" r:id="rId8"/>
    <hyperlink ref="V11" r:id="rId9" display="mailto:hugodosrr208@gmail.com"/>
    <hyperlink ref="V51" r:id="rId10"/>
    <hyperlink ref="V75" r:id="rId11"/>
    <hyperlink ref="V33" r:id="rId12"/>
    <hyperlink ref="V112" r:id="rId13"/>
    <hyperlink ref="V109" r:id="rId14"/>
    <hyperlink ref="V28" r:id="rId15"/>
    <hyperlink ref="V88" r:id="rId16"/>
    <hyperlink ref="V74" r:id="rId17"/>
    <hyperlink ref="V17" r:id="rId18"/>
    <hyperlink ref="V49" r:id="rId19"/>
    <hyperlink ref="V43" r:id="rId20"/>
    <hyperlink ref="V157" r:id="rId21"/>
    <hyperlink ref="V159" r:id="rId22"/>
  </hyperlinks>
  <pageMargins left="0.511811024" right="0.511811024" top="0.78740157499999996" bottom="0.78740157499999996" header="0.31496062000000002" footer="0.31496062000000002"/>
  <pageSetup paperSize="9" orientation="portrait" r:id="rId23"/>
  <legacy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showGridLines="0" workbookViewId="0">
      <selection activeCell="C24" sqref="C24"/>
    </sheetView>
  </sheetViews>
  <sheetFormatPr defaultColWidth="9.140625" defaultRowHeight="15" x14ac:dyDescent="0.25"/>
  <cols>
    <col min="1" max="1" width="28.5703125" style="321" bestFit="1" customWidth="1"/>
    <col min="2" max="2" width="14.28515625" style="321" customWidth="1"/>
    <col min="3" max="3" width="12.85546875" style="321" customWidth="1"/>
    <col min="4" max="4" width="9.140625" style="321"/>
    <col min="5" max="5" width="0.42578125" style="505" customWidth="1"/>
    <col min="6" max="6" width="9.140625" style="321"/>
    <col min="7" max="7" width="14.28515625" style="321" customWidth="1"/>
    <col min="8" max="8" width="12.28515625" style="321" bestFit="1" customWidth="1"/>
    <col min="9" max="16384" width="9.140625" style="321"/>
  </cols>
  <sheetData>
    <row r="1" spans="1:8" ht="23.25" customHeight="1" x14ac:dyDescent="0.25">
      <c r="A1" s="506" t="s">
        <v>1594</v>
      </c>
      <c r="B1" s="506"/>
      <c r="C1" s="318" t="s">
        <v>709</v>
      </c>
      <c r="D1" s="318" t="s">
        <v>710</v>
      </c>
      <c r="F1" s="319" t="s">
        <v>38</v>
      </c>
      <c r="G1" s="319" t="s">
        <v>18</v>
      </c>
      <c r="H1" s="320" t="s">
        <v>1591</v>
      </c>
    </row>
    <row r="2" spans="1:8" ht="6.75" customHeight="1" x14ac:dyDescent="0.25">
      <c r="B2" s="322"/>
      <c r="C2" s="317"/>
      <c r="D2" s="315"/>
      <c r="G2" s="317"/>
    </row>
    <row r="3" spans="1:8" x14ac:dyDescent="0.25">
      <c r="A3" s="323" t="s">
        <v>34</v>
      </c>
      <c r="B3" s="316">
        <v>99</v>
      </c>
      <c r="C3" s="316">
        <v>63</v>
      </c>
      <c r="D3" s="316">
        <v>36</v>
      </c>
      <c r="F3" s="316">
        <v>0</v>
      </c>
      <c r="G3" s="316">
        <v>99</v>
      </c>
      <c r="H3" s="316">
        <v>0</v>
      </c>
    </row>
    <row r="4" spans="1:8" x14ac:dyDescent="0.25">
      <c r="A4" s="323" t="s">
        <v>31</v>
      </c>
      <c r="B4" s="316">
        <v>5</v>
      </c>
      <c r="C4" s="315">
        <v>0</v>
      </c>
      <c r="D4" s="315">
        <v>5</v>
      </c>
      <c r="F4" s="315">
        <v>5</v>
      </c>
      <c r="G4" s="315">
        <v>0</v>
      </c>
      <c r="H4" s="315">
        <v>0</v>
      </c>
    </row>
    <row r="5" spans="1:8" x14ac:dyDescent="0.25">
      <c r="A5" s="323" t="s">
        <v>1593</v>
      </c>
      <c r="B5" s="316">
        <v>80</v>
      </c>
      <c r="C5" s="315">
        <v>21</v>
      </c>
      <c r="D5" s="315">
        <v>59</v>
      </c>
      <c r="F5" s="315">
        <v>20</v>
      </c>
      <c r="G5" s="315">
        <v>57</v>
      </c>
      <c r="H5" s="315">
        <v>3</v>
      </c>
    </row>
    <row r="6" spans="1:8" x14ac:dyDescent="0.25">
      <c r="B6" s="324">
        <f>SUM(B3:B5)</f>
        <v>184</v>
      </c>
      <c r="G6" s="315"/>
    </row>
  </sheetData>
  <mergeCells count="2">
    <mergeCell ref="E1:E1048576"/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8"/>
  <sheetViews>
    <sheetView topLeftCell="A196" workbookViewId="0">
      <selection activeCell="B1" sqref="B1"/>
    </sheetView>
  </sheetViews>
  <sheetFormatPr defaultColWidth="10.85546875" defaultRowHeight="12" x14ac:dyDescent="0.2"/>
  <cols>
    <col min="1" max="1" width="12.85546875" style="89" bestFit="1" customWidth="1"/>
    <col min="2" max="2" width="58.140625" style="90" bestFit="1" customWidth="1"/>
    <col min="3" max="3" width="139.7109375" style="299" customWidth="1"/>
    <col min="4" max="5" width="17.28515625" style="300" customWidth="1"/>
    <col min="6" max="6" width="14" style="90" bestFit="1" customWidth="1"/>
    <col min="7" max="7" width="12.140625" style="90" bestFit="1" customWidth="1"/>
    <col min="8" max="8" width="17.42578125" style="89" bestFit="1" customWidth="1"/>
    <col min="9" max="9" width="15.42578125" style="89" bestFit="1" customWidth="1"/>
    <col min="10" max="10" width="17.140625" style="89" bestFit="1" customWidth="1"/>
    <col min="11" max="11" width="59.42578125" style="90" bestFit="1" customWidth="1"/>
    <col min="12" max="12" width="8.5703125" style="89" bestFit="1" customWidth="1"/>
    <col min="13" max="16384" width="10.85546875" style="293"/>
  </cols>
  <sheetData>
    <row r="1" spans="1:12" s="286" customFormat="1" x14ac:dyDescent="0.2">
      <c r="A1" s="280" t="s">
        <v>1274</v>
      </c>
      <c r="B1" s="281" t="s">
        <v>1275</v>
      </c>
      <c r="C1" s="282" t="s">
        <v>1276</v>
      </c>
      <c r="D1" s="283" t="s">
        <v>1277</v>
      </c>
      <c r="E1" s="283" t="s">
        <v>1278</v>
      </c>
      <c r="F1" s="282" t="s">
        <v>1279</v>
      </c>
      <c r="G1" s="284" t="s">
        <v>1280</v>
      </c>
      <c r="H1" s="285" t="s">
        <v>1281</v>
      </c>
      <c r="I1" s="285" t="s">
        <v>1282</v>
      </c>
      <c r="J1" s="285" t="s">
        <v>1283</v>
      </c>
      <c r="K1" s="284" t="s">
        <v>1284</v>
      </c>
      <c r="L1" s="285" t="s">
        <v>1285</v>
      </c>
    </row>
    <row r="2" spans="1:12" x14ac:dyDescent="0.2">
      <c r="A2" s="287">
        <v>4600057517</v>
      </c>
      <c r="B2" s="288" t="s">
        <v>180</v>
      </c>
      <c r="C2" s="289" t="s">
        <v>181</v>
      </c>
      <c r="D2" s="290">
        <v>2809.28</v>
      </c>
      <c r="E2" s="290">
        <v>1458.19</v>
      </c>
      <c r="F2" s="288" t="s">
        <v>1286</v>
      </c>
      <c r="G2" s="288" t="s">
        <v>1286</v>
      </c>
      <c r="H2" s="291" t="s">
        <v>18</v>
      </c>
      <c r="I2" s="291" t="s">
        <v>1287</v>
      </c>
      <c r="J2" s="292">
        <v>45937</v>
      </c>
      <c r="K2" s="288"/>
      <c r="L2" s="291">
        <v>2024</v>
      </c>
    </row>
    <row r="3" spans="1:12" x14ac:dyDescent="0.2">
      <c r="A3" s="287">
        <v>4600057534</v>
      </c>
      <c r="B3" s="288" t="s">
        <v>182</v>
      </c>
      <c r="C3" s="289" t="s">
        <v>183</v>
      </c>
      <c r="D3" s="290">
        <v>60822.94</v>
      </c>
      <c r="E3" s="290">
        <v>30411.47</v>
      </c>
      <c r="F3" s="288" t="s">
        <v>1288</v>
      </c>
      <c r="G3" s="288" t="s">
        <v>1289</v>
      </c>
      <c r="H3" s="291" t="s">
        <v>18</v>
      </c>
      <c r="I3" s="292">
        <v>44993</v>
      </c>
      <c r="J3" s="292">
        <v>46061</v>
      </c>
      <c r="K3" s="288"/>
      <c r="L3" s="291">
        <v>2024</v>
      </c>
    </row>
    <row r="4" spans="1:12" x14ac:dyDescent="0.2">
      <c r="A4" s="287">
        <v>4600057638</v>
      </c>
      <c r="B4" s="288" t="s">
        <v>182</v>
      </c>
      <c r="C4" s="289" t="s">
        <v>198</v>
      </c>
      <c r="D4" s="290">
        <v>902339.41</v>
      </c>
      <c r="E4" s="290">
        <v>869190.32</v>
      </c>
      <c r="F4" s="288" t="s">
        <v>1289</v>
      </c>
      <c r="G4" s="288" t="s">
        <v>1289</v>
      </c>
      <c r="H4" s="291" t="s">
        <v>18</v>
      </c>
      <c r="I4" s="292">
        <v>45056</v>
      </c>
      <c r="J4" s="292">
        <v>45818</v>
      </c>
      <c r="K4" s="288"/>
      <c r="L4" s="291">
        <v>2024</v>
      </c>
    </row>
    <row r="5" spans="1:12" x14ac:dyDescent="0.2">
      <c r="A5" s="287">
        <v>4600057680</v>
      </c>
      <c r="B5" s="288" t="s">
        <v>182</v>
      </c>
      <c r="C5" s="289" t="s">
        <v>199</v>
      </c>
      <c r="D5" s="290">
        <v>54136.62</v>
      </c>
      <c r="E5" s="290">
        <v>54136.62000000001</v>
      </c>
      <c r="F5" s="288" t="s">
        <v>1289</v>
      </c>
      <c r="G5" s="288" t="s">
        <v>1289</v>
      </c>
      <c r="H5" s="291" t="s">
        <v>18</v>
      </c>
      <c r="I5" s="291" t="s">
        <v>1290</v>
      </c>
      <c r="J5" s="291" t="s">
        <v>1291</v>
      </c>
      <c r="K5" s="288"/>
      <c r="L5" s="291">
        <v>2024</v>
      </c>
    </row>
    <row r="6" spans="1:12" x14ac:dyDescent="0.2">
      <c r="A6" s="287">
        <v>4600057700</v>
      </c>
      <c r="B6" s="288" t="s">
        <v>61</v>
      </c>
      <c r="C6" s="289" t="s">
        <v>1292</v>
      </c>
      <c r="D6" s="290">
        <v>37621.589999999997</v>
      </c>
      <c r="E6" s="290">
        <v>37865.370000000003</v>
      </c>
      <c r="F6" s="288" t="s">
        <v>1289</v>
      </c>
      <c r="G6" s="288" t="s">
        <v>1286</v>
      </c>
      <c r="H6" s="291" t="s">
        <v>18</v>
      </c>
      <c r="I6" s="291" t="s">
        <v>1293</v>
      </c>
      <c r="J6" s="291" t="s">
        <v>1294</v>
      </c>
      <c r="K6" s="288"/>
      <c r="L6" s="291">
        <v>2024</v>
      </c>
    </row>
    <row r="7" spans="1:12" x14ac:dyDescent="0.2">
      <c r="A7" s="287">
        <v>4600057921</v>
      </c>
      <c r="B7" s="288" t="s">
        <v>182</v>
      </c>
      <c r="C7" s="289" t="s">
        <v>292</v>
      </c>
      <c r="D7" s="290">
        <v>58888.17</v>
      </c>
      <c r="E7" s="290">
        <f>55733.93+219</f>
        <v>55952.93</v>
      </c>
      <c r="F7" s="288" t="s">
        <v>1288</v>
      </c>
      <c r="G7" s="288" t="s">
        <v>1289</v>
      </c>
      <c r="H7" s="291" t="s">
        <v>18</v>
      </c>
      <c r="I7" s="291" t="s">
        <v>1295</v>
      </c>
      <c r="J7" s="291" t="s">
        <v>1296</v>
      </c>
      <c r="K7" s="288"/>
      <c r="L7" s="291">
        <v>2024</v>
      </c>
    </row>
    <row r="8" spans="1:12" x14ac:dyDescent="0.2">
      <c r="A8" s="287">
        <v>4600058062</v>
      </c>
      <c r="B8" s="288" t="s">
        <v>997</v>
      </c>
      <c r="C8" s="289" t="s">
        <v>648</v>
      </c>
      <c r="D8" s="290">
        <v>1790105.05</v>
      </c>
      <c r="E8" s="290">
        <v>0</v>
      </c>
      <c r="F8" s="288" t="s">
        <v>1289</v>
      </c>
      <c r="G8" s="288" t="s">
        <v>1289</v>
      </c>
      <c r="H8" s="291" t="s">
        <v>18</v>
      </c>
      <c r="I8" s="291" t="s">
        <v>1297</v>
      </c>
      <c r="J8" s="291" t="s">
        <v>1298</v>
      </c>
      <c r="K8" s="288"/>
      <c r="L8" s="291">
        <v>2024</v>
      </c>
    </row>
    <row r="9" spans="1:12" x14ac:dyDescent="0.2">
      <c r="A9" s="287">
        <v>4600058048</v>
      </c>
      <c r="B9" s="288" t="s">
        <v>1299</v>
      </c>
      <c r="C9" s="289" t="s">
        <v>575</v>
      </c>
      <c r="D9" s="290">
        <v>445606.45</v>
      </c>
      <c r="E9" s="290">
        <v>0</v>
      </c>
      <c r="F9" s="288" t="s">
        <v>1286</v>
      </c>
      <c r="G9" s="288" t="s">
        <v>1286</v>
      </c>
      <c r="H9" s="291" t="s">
        <v>18</v>
      </c>
      <c r="I9" s="291" t="s">
        <v>1300</v>
      </c>
      <c r="J9" s="291" t="s">
        <v>1301</v>
      </c>
      <c r="K9" s="288"/>
      <c r="L9" s="291">
        <v>2024</v>
      </c>
    </row>
    <row r="10" spans="1:12" x14ac:dyDescent="0.2">
      <c r="A10" s="287">
        <v>4600058050</v>
      </c>
      <c r="B10" s="288" t="s">
        <v>989</v>
      </c>
      <c r="C10" s="289" t="s">
        <v>575</v>
      </c>
      <c r="D10" s="290">
        <v>0</v>
      </c>
      <c r="E10" s="290">
        <v>0</v>
      </c>
      <c r="F10" s="288" t="s">
        <v>1286</v>
      </c>
      <c r="G10" s="288" t="s">
        <v>1286</v>
      </c>
      <c r="H10" s="291" t="s">
        <v>18</v>
      </c>
      <c r="I10" s="291" t="s">
        <v>1302</v>
      </c>
      <c r="J10" s="291" t="s">
        <v>1298</v>
      </c>
      <c r="K10" s="288"/>
      <c r="L10" s="291">
        <v>2024</v>
      </c>
    </row>
    <row r="11" spans="1:12" x14ac:dyDescent="0.2">
      <c r="A11" s="291">
        <v>4600058110</v>
      </c>
      <c r="B11" s="288" t="s">
        <v>180</v>
      </c>
      <c r="C11" s="289" t="s">
        <v>577</v>
      </c>
      <c r="D11" s="290">
        <v>3757.74</v>
      </c>
      <c r="E11" s="290">
        <v>0</v>
      </c>
      <c r="F11" s="288" t="s">
        <v>1286</v>
      </c>
      <c r="G11" s="288" t="s">
        <v>1286</v>
      </c>
      <c r="H11" s="291" t="s">
        <v>38</v>
      </c>
      <c r="I11" s="291" t="s">
        <v>1303</v>
      </c>
      <c r="J11" s="292">
        <v>45937</v>
      </c>
      <c r="K11" s="288"/>
      <c r="L11" s="291">
        <v>2024</v>
      </c>
    </row>
    <row r="12" spans="1:12" x14ac:dyDescent="0.2">
      <c r="A12" s="287">
        <v>4600058078</v>
      </c>
      <c r="B12" s="288" t="s">
        <v>1304</v>
      </c>
      <c r="C12" s="289" t="s">
        <v>552</v>
      </c>
      <c r="D12" s="290">
        <v>69859.600000000006</v>
      </c>
      <c r="E12" s="290">
        <v>53585.7</v>
      </c>
      <c r="F12" s="288" t="s">
        <v>1286</v>
      </c>
      <c r="G12" s="288" t="s">
        <v>1286</v>
      </c>
      <c r="H12" s="291" t="s">
        <v>18</v>
      </c>
      <c r="I12" s="291" t="s">
        <v>1305</v>
      </c>
      <c r="J12" s="291" t="s">
        <v>1306</v>
      </c>
      <c r="K12" s="288"/>
      <c r="L12" s="291">
        <v>2024</v>
      </c>
    </row>
    <row r="13" spans="1:12" x14ac:dyDescent="0.2">
      <c r="A13" s="291">
        <v>4600058148</v>
      </c>
      <c r="B13" s="288" t="s">
        <v>615</v>
      </c>
      <c r="C13" s="289" t="s">
        <v>616</v>
      </c>
      <c r="D13" s="290">
        <v>3316107.04</v>
      </c>
      <c r="E13" s="290">
        <v>0</v>
      </c>
      <c r="F13" s="288" t="s">
        <v>1289</v>
      </c>
      <c r="G13" s="288" t="s">
        <v>1286</v>
      </c>
      <c r="H13" s="291" t="s">
        <v>18</v>
      </c>
      <c r="I13" s="292">
        <v>45297</v>
      </c>
      <c r="J13" s="291" t="s">
        <v>1307</v>
      </c>
      <c r="K13" s="288"/>
      <c r="L13" s="291">
        <v>2024</v>
      </c>
    </row>
    <row r="14" spans="1:12" x14ac:dyDescent="0.2">
      <c r="A14" s="287">
        <v>4600057025</v>
      </c>
      <c r="B14" s="288" t="s">
        <v>61</v>
      </c>
      <c r="C14" s="289" t="s">
        <v>608</v>
      </c>
      <c r="D14" s="290">
        <v>105328.44</v>
      </c>
      <c r="E14" s="290">
        <v>149340.28999999998</v>
      </c>
      <c r="F14" s="288" t="s">
        <v>1308</v>
      </c>
      <c r="G14" s="288" t="s">
        <v>1286</v>
      </c>
      <c r="H14" s="291" t="s">
        <v>18</v>
      </c>
      <c r="I14" s="291" t="s">
        <v>1309</v>
      </c>
      <c r="J14" s="292">
        <v>45750</v>
      </c>
      <c r="K14" s="288"/>
      <c r="L14" s="291">
        <v>2024</v>
      </c>
    </row>
    <row r="15" spans="1:12" x14ac:dyDescent="0.2">
      <c r="A15" s="287">
        <v>4600054298</v>
      </c>
      <c r="B15" s="288" t="s">
        <v>61</v>
      </c>
      <c r="C15" s="289" t="s">
        <v>715</v>
      </c>
      <c r="D15" s="290">
        <v>383595.38</v>
      </c>
      <c r="E15" s="290">
        <v>68723.799999999988</v>
      </c>
      <c r="F15" s="288" t="s">
        <v>1286</v>
      </c>
      <c r="G15" s="288" t="s">
        <v>1286</v>
      </c>
      <c r="H15" s="291" t="s">
        <v>18</v>
      </c>
      <c r="I15" s="292">
        <v>44207</v>
      </c>
      <c r="J15" s="291" t="s">
        <v>1310</v>
      </c>
      <c r="K15" s="288"/>
      <c r="L15" s="291">
        <v>2024</v>
      </c>
    </row>
    <row r="16" spans="1:12" x14ac:dyDescent="0.2">
      <c r="A16" s="287">
        <v>4600058153</v>
      </c>
      <c r="B16" s="288" t="s">
        <v>61</v>
      </c>
      <c r="C16" s="289" t="s">
        <v>909</v>
      </c>
      <c r="D16" s="290">
        <v>169673.5</v>
      </c>
      <c r="E16" s="290">
        <v>18291.760000000009</v>
      </c>
      <c r="F16" s="288" t="s">
        <v>1286</v>
      </c>
      <c r="G16" s="288" t="s">
        <v>1286</v>
      </c>
      <c r="H16" s="291" t="s">
        <v>18</v>
      </c>
      <c r="I16" s="291" t="s">
        <v>1311</v>
      </c>
      <c r="J16" s="292">
        <v>45664</v>
      </c>
      <c r="K16" s="288"/>
      <c r="L16" s="291">
        <v>2024</v>
      </c>
    </row>
    <row r="17" spans="1:12" x14ac:dyDescent="0.2">
      <c r="A17" s="287">
        <v>4600058220</v>
      </c>
      <c r="B17" s="288" t="s">
        <v>998</v>
      </c>
      <c r="C17" s="289" t="s">
        <v>621</v>
      </c>
      <c r="D17" s="290">
        <v>2422626.06</v>
      </c>
      <c r="E17" s="290">
        <v>0</v>
      </c>
      <c r="F17" s="288" t="s">
        <v>1289</v>
      </c>
      <c r="G17" s="288" t="s">
        <v>1289</v>
      </c>
      <c r="H17" s="291" t="s">
        <v>38</v>
      </c>
      <c r="I17" s="291" t="s">
        <v>1297</v>
      </c>
      <c r="J17" s="291" t="s">
        <v>1298</v>
      </c>
      <c r="K17" s="288"/>
      <c r="L17" s="291">
        <v>2024</v>
      </c>
    </row>
    <row r="18" spans="1:12" x14ac:dyDescent="0.2">
      <c r="A18" s="287">
        <v>4600053625</v>
      </c>
      <c r="B18" s="288" t="s">
        <v>615</v>
      </c>
      <c r="C18" s="289" t="s">
        <v>1031</v>
      </c>
      <c r="D18" s="294" t="s">
        <v>1312</v>
      </c>
      <c r="E18" s="290">
        <v>25645.68</v>
      </c>
      <c r="F18" s="288" t="s">
        <v>1289</v>
      </c>
      <c r="G18" s="288" t="s">
        <v>1286</v>
      </c>
      <c r="H18" s="291" t="s">
        <v>18</v>
      </c>
      <c r="I18" s="292">
        <v>44932</v>
      </c>
      <c r="J18" s="291" t="s">
        <v>1307</v>
      </c>
      <c r="K18" s="288"/>
      <c r="L18" s="291">
        <v>2024</v>
      </c>
    </row>
    <row r="19" spans="1:12" x14ac:dyDescent="0.2">
      <c r="A19" s="291">
        <v>4600049735</v>
      </c>
      <c r="B19" s="288" t="s">
        <v>23</v>
      </c>
      <c r="C19" s="289" t="s">
        <v>25</v>
      </c>
      <c r="D19" s="290">
        <v>847220.51</v>
      </c>
      <c r="E19" s="290">
        <v>3599603.7499999995</v>
      </c>
      <c r="F19" s="288" t="s">
        <v>1289</v>
      </c>
      <c r="G19" s="288" t="s">
        <v>1289</v>
      </c>
      <c r="H19" s="291" t="s">
        <v>18</v>
      </c>
      <c r="I19" s="292">
        <v>42746</v>
      </c>
      <c r="J19" s="291" t="s">
        <v>1313</v>
      </c>
      <c r="K19" s="288"/>
      <c r="L19" s="291">
        <v>2024</v>
      </c>
    </row>
    <row r="20" spans="1:12" x14ac:dyDescent="0.2">
      <c r="A20" s="291">
        <v>4600051835</v>
      </c>
      <c r="B20" s="288" t="s">
        <v>61</v>
      </c>
      <c r="C20" s="289" t="s">
        <v>62</v>
      </c>
      <c r="D20" s="290">
        <v>0</v>
      </c>
      <c r="E20" s="290">
        <v>0</v>
      </c>
      <c r="F20" s="288" t="s">
        <v>1286</v>
      </c>
      <c r="G20" s="288" t="s">
        <v>1286</v>
      </c>
      <c r="H20" s="291" t="s">
        <v>18</v>
      </c>
      <c r="I20" s="291" t="s">
        <v>1314</v>
      </c>
      <c r="J20" s="292">
        <v>45695</v>
      </c>
      <c r="K20" s="288"/>
      <c r="L20" s="291">
        <v>2024</v>
      </c>
    </row>
    <row r="21" spans="1:12" x14ac:dyDescent="0.2">
      <c r="A21" s="287">
        <v>4600058249</v>
      </c>
      <c r="B21" s="288" t="s">
        <v>990</v>
      </c>
      <c r="C21" s="289" t="s">
        <v>575</v>
      </c>
      <c r="D21" s="290">
        <v>852880</v>
      </c>
      <c r="E21" s="290">
        <v>0</v>
      </c>
      <c r="F21" s="288" t="s">
        <v>1286</v>
      </c>
      <c r="G21" s="288" t="s">
        <v>1286</v>
      </c>
      <c r="H21" s="291" t="s">
        <v>38</v>
      </c>
      <c r="I21" s="291" t="s">
        <v>1315</v>
      </c>
      <c r="J21" s="291" t="s">
        <v>1316</v>
      </c>
      <c r="K21" s="288"/>
      <c r="L21" s="291">
        <v>2024</v>
      </c>
    </row>
    <row r="22" spans="1:12" x14ac:dyDescent="0.2">
      <c r="A22" s="291">
        <v>4600058250</v>
      </c>
      <c r="B22" s="288" t="s">
        <v>61</v>
      </c>
      <c r="C22" s="289" t="s">
        <v>715</v>
      </c>
      <c r="D22" s="290">
        <v>86453</v>
      </c>
      <c r="E22" s="290">
        <v>0</v>
      </c>
      <c r="F22" s="288" t="s">
        <v>1286</v>
      </c>
      <c r="G22" s="288" t="s">
        <v>1286</v>
      </c>
      <c r="H22" s="291" t="s">
        <v>18</v>
      </c>
      <c r="I22" s="292">
        <v>44207</v>
      </c>
      <c r="J22" s="291" t="s">
        <v>1310</v>
      </c>
      <c r="K22" s="288"/>
      <c r="L22" s="291">
        <v>2024</v>
      </c>
    </row>
    <row r="23" spans="1:12" x14ac:dyDescent="0.2">
      <c r="A23" s="291">
        <v>4600058167</v>
      </c>
      <c r="B23" s="288" t="s">
        <v>61</v>
      </c>
      <c r="C23" s="289" t="s">
        <v>748</v>
      </c>
      <c r="D23" s="290">
        <v>37250.15</v>
      </c>
      <c r="E23" s="290">
        <v>37250.15</v>
      </c>
      <c r="F23" s="288" t="s">
        <v>1286</v>
      </c>
      <c r="G23" s="288" t="s">
        <v>1286</v>
      </c>
      <c r="H23" s="291" t="s">
        <v>18</v>
      </c>
      <c r="I23" s="292">
        <v>45571</v>
      </c>
      <c r="J23" s="292">
        <v>46271</v>
      </c>
      <c r="K23" s="288"/>
      <c r="L23" s="291">
        <v>2024</v>
      </c>
    </row>
    <row r="24" spans="1:12" x14ac:dyDescent="0.2">
      <c r="A24" s="287">
        <v>4600058255</v>
      </c>
      <c r="B24" s="288" t="s">
        <v>983</v>
      </c>
      <c r="C24" s="289" t="s">
        <v>552</v>
      </c>
      <c r="D24" s="290">
        <v>290000</v>
      </c>
      <c r="E24" s="290">
        <v>0</v>
      </c>
      <c r="F24" s="288" t="s">
        <v>1286</v>
      </c>
      <c r="G24" s="288" t="s">
        <v>1286</v>
      </c>
      <c r="H24" s="291" t="s">
        <v>18</v>
      </c>
      <c r="I24" s="291" t="s">
        <v>1305</v>
      </c>
      <c r="J24" s="291" t="s">
        <v>1306</v>
      </c>
      <c r="K24" s="288"/>
      <c r="L24" s="291">
        <v>2024</v>
      </c>
    </row>
    <row r="25" spans="1:12" x14ac:dyDescent="0.2">
      <c r="A25" s="287">
        <v>4600058223</v>
      </c>
      <c r="B25" s="288" t="s">
        <v>1317</v>
      </c>
      <c r="C25" s="289" t="s">
        <v>575</v>
      </c>
      <c r="D25" s="290">
        <v>1800000</v>
      </c>
      <c r="E25" s="290">
        <v>0</v>
      </c>
      <c r="F25" s="288" t="s">
        <v>1286</v>
      </c>
      <c r="G25" s="288" t="s">
        <v>1286</v>
      </c>
      <c r="H25" s="291" t="s">
        <v>38</v>
      </c>
      <c r="I25" s="291" t="s">
        <v>1300</v>
      </c>
      <c r="J25" s="291" t="s">
        <v>1301</v>
      </c>
      <c r="K25" s="288"/>
      <c r="L25" s="291">
        <v>2024</v>
      </c>
    </row>
    <row r="26" spans="1:12" x14ac:dyDescent="0.2">
      <c r="A26" s="287">
        <v>4600058139</v>
      </c>
      <c r="B26" s="288" t="s">
        <v>89</v>
      </c>
      <c r="C26" s="289" t="s">
        <v>1318</v>
      </c>
      <c r="D26" s="290">
        <v>0</v>
      </c>
      <c r="E26" s="290">
        <v>371171.22000000015</v>
      </c>
      <c r="F26" s="288" t="s">
        <v>1286</v>
      </c>
      <c r="G26" s="288" t="s">
        <v>1286</v>
      </c>
      <c r="H26" s="291" t="s">
        <v>18</v>
      </c>
      <c r="I26" s="292">
        <v>45297</v>
      </c>
      <c r="J26" s="291" t="s">
        <v>1319</v>
      </c>
      <c r="K26" s="288"/>
      <c r="L26" s="291">
        <v>2024</v>
      </c>
    </row>
    <row r="27" spans="1:12" x14ac:dyDescent="0.2">
      <c r="A27" s="287">
        <v>4600058139</v>
      </c>
      <c r="B27" s="288" t="s">
        <v>89</v>
      </c>
      <c r="C27" s="289" t="s">
        <v>880</v>
      </c>
      <c r="D27" s="290">
        <v>2447798.7599999998</v>
      </c>
      <c r="E27" s="290">
        <v>2089707.21</v>
      </c>
      <c r="F27" s="288" t="s">
        <v>1286</v>
      </c>
      <c r="G27" s="288" t="s">
        <v>1286</v>
      </c>
      <c r="H27" s="291" t="s">
        <v>18</v>
      </c>
      <c r="I27" s="292">
        <v>45297</v>
      </c>
      <c r="J27" s="291" t="s">
        <v>1319</v>
      </c>
      <c r="K27" s="288"/>
      <c r="L27" s="291">
        <v>2024</v>
      </c>
    </row>
    <row r="28" spans="1:12" x14ac:dyDescent="0.2">
      <c r="A28" s="287">
        <v>4600058049</v>
      </c>
      <c r="B28" s="288" t="s">
        <v>61</v>
      </c>
      <c r="C28" s="289" t="s">
        <v>764</v>
      </c>
      <c r="D28" s="290">
        <v>314490.13</v>
      </c>
      <c r="E28" s="290">
        <v>316460.17000000004</v>
      </c>
      <c r="F28" s="288" t="s">
        <v>1286</v>
      </c>
      <c r="G28" s="288" t="s">
        <v>1286</v>
      </c>
      <c r="H28" s="291" t="s">
        <v>18</v>
      </c>
      <c r="I28" s="291" t="s">
        <v>1314</v>
      </c>
      <c r="J28" s="292">
        <v>45695</v>
      </c>
      <c r="K28" s="288"/>
      <c r="L28" s="291">
        <v>2024</v>
      </c>
    </row>
    <row r="29" spans="1:12" x14ac:dyDescent="0.2">
      <c r="A29" s="287">
        <v>4600044324</v>
      </c>
      <c r="B29" s="288" t="s">
        <v>1320</v>
      </c>
      <c r="C29" s="289" t="s">
        <v>908</v>
      </c>
      <c r="D29" s="290">
        <v>1013627.2</v>
      </c>
      <c r="E29" s="290">
        <v>175233.36000000002</v>
      </c>
      <c r="F29" s="288" t="s">
        <v>1286</v>
      </c>
      <c r="G29" s="288" t="s">
        <v>1286</v>
      </c>
      <c r="H29" s="291" t="s">
        <v>18</v>
      </c>
      <c r="I29" s="292">
        <v>45206</v>
      </c>
      <c r="J29" s="291" t="s">
        <v>1321</v>
      </c>
      <c r="K29" s="288"/>
      <c r="L29" s="291">
        <v>2024</v>
      </c>
    </row>
    <row r="30" spans="1:12" x14ac:dyDescent="0.2">
      <c r="A30" s="291">
        <v>4600052225</v>
      </c>
      <c r="B30" s="288" t="s">
        <v>68</v>
      </c>
      <c r="C30" s="289" t="s">
        <v>69</v>
      </c>
      <c r="D30" s="290">
        <v>6000</v>
      </c>
      <c r="E30" s="290">
        <v>28991.699999999997</v>
      </c>
      <c r="F30" s="288" t="s">
        <v>1286</v>
      </c>
      <c r="G30" s="288" t="s">
        <v>1286</v>
      </c>
      <c r="H30" s="291" t="s">
        <v>18</v>
      </c>
      <c r="I30" s="291" t="s">
        <v>1322</v>
      </c>
      <c r="J30" s="291" t="s">
        <v>1323</v>
      </c>
      <c r="K30" s="288"/>
      <c r="L30" s="291">
        <v>2024</v>
      </c>
    </row>
    <row r="31" spans="1:12" x14ac:dyDescent="0.2">
      <c r="A31" s="291">
        <v>4600052345</v>
      </c>
      <c r="B31" s="288" t="s">
        <v>72</v>
      </c>
      <c r="C31" s="289" t="s">
        <v>73</v>
      </c>
      <c r="D31" s="290">
        <v>991737.24</v>
      </c>
      <c r="E31" s="290">
        <v>991737.23999999976</v>
      </c>
      <c r="F31" s="288" t="s">
        <v>1286</v>
      </c>
      <c r="G31" s="288" t="s">
        <v>1286</v>
      </c>
      <c r="H31" s="291" t="s">
        <v>18</v>
      </c>
      <c r="I31" s="291" t="s">
        <v>1324</v>
      </c>
      <c r="J31" s="291" t="s">
        <v>1325</v>
      </c>
      <c r="K31" s="288"/>
      <c r="L31" s="291">
        <v>2024</v>
      </c>
    </row>
    <row r="32" spans="1:12" x14ac:dyDescent="0.2">
      <c r="A32" s="287">
        <v>4600056444</v>
      </c>
      <c r="B32" s="288" t="s">
        <v>131</v>
      </c>
      <c r="C32" s="289" t="s">
        <v>1326</v>
      </c>
      <c r="D32" s="290">
        <v>105131.9</v>
      </c>
      <c r="E32" s="290">
        <v>101967.03999999999</v>
      </c>
      <c r="F32" s="288" t="s">
        <v>1308</v>
      </c>
      <c r="G32" s="288" t="s">
        <v>1286</v>
      </c>
      <c r="H32" s="291" t="s">
        <v>18</v>
      </c>
      <c r="I32" s="291" t="s">
        <v>1327</v>
      </c>
      <c r="J32" s="291" t="s">
        <v>1328</v>
      </c>
      <c r="K32" s="288"/>
      <c r="L32" s="291">
        <v>2024</v>
      </c>
    </row>
    <row r="33" spans="1:12" x14ac:dyDescent="0.2">
      <c r="A33" s="287">
        <v>4600056630</v>
      </c>
      <c r="B33" s="288" t="s">
        <v>154</v>
      </c>
      <c r="C33" s="289" t="s">
        <v>634</v>
      </c>
      <c r="D33" s="290">
        <v>856082.99</v>
      </c>
      <c r="E33" s="290">
        <v>803494.09000000008</v>
      </c>
      <c r="F33" s="288" t="s">
        <v>1288</v>
      </c>
      <c r="G33" s="288" t="s">
        <v>1329</v>
      </c>
      <c r="H33" s="291" t="s">
        <v>18</v>
      </c>
      <c r="I33" s="291" t="s">
        <v>1330</v>
      </c>
      <c r="J33" s="291" t="s">
        <v>1331</v>
      </c>
      <c r="K33" s="288"/>
      <c r="L33" s="291">
        <v>2024</v>
      </c>
    </row>
    <row r="34" spans="1:12" x14ac:dyDescent="0.2">
      <c r="A34" s="287">
        <v>4600056633</v>
      </c>
      <c r="B34" s="288" t="s">
        <v>155</v>
      </c>
      <c r="C34" s="289" t="s">
        <v>156</v>
      </c>
      <c r="D34" s="290">
        <v>96000</v>
      </c>
      <c r="E34" s="290">
        <v>96000</v>
      </c>
      <c r="F34" s="288" t="s">
        <v>1286</v>
      </c>
      <c r="G34" s="288" t="s">
        <v>1286</v>
      </c>
      <c r="H34" s="291" t="s">
        <v>18</v>
      </c>
      <c r="I34" s="292">
        <v>44782</v>
      </c>
      <c r="J34" s="292">
        <v>45662</v>
      </c>
      <c r="K34" s="288"/>
      <c r="L34" s="291">
        <v>2024</v>
      </c>
    </row>
    <row r="35" spans="1:12" x14ac:dyDescent="0.2">
      <c r="A35" s="287">
        <v>4600056881</v>
      </c>
      <c r="B35" s="288" t="s">
        <v>166</v>
      </c>
      <c r="C35" s="289" t="s">
        <v>167</v>
      </c>
      <c r="D35" s="290">
        <v>138243.15</v>
      </c>
      <c r="E35" s="290">
        <v>132484.15000000002</v>
      </c>
      <c r="F35" s="288" t="s">
        <v>1288</v>
      </c>
      <c r="G35" s="288" t="s">
        <v>1289</v>
      </c>
      <c r="H35" s="291" t="s">
        <v>18</v>
      </c>
      <c r="I35" s="291" t="s">
        <v>1332</v>
      </c>
      <c r="J35" s="291" t="s">
        <v>1333</v>
      </c>
      <c r="K35" s="288"/>
      <c r="L35" s="291">
        <v>2024</v>
      </c>
    </row>
    <row r="36" spans="1:12" x14ac:dyDescent="0.2">
      <c r="A36" s="287">
        <v>4600057071</v>
      </c>
      <c r="B36" s="288" t="s">
        <v>170</v>
      </c>
      <c r="C36" s="289" t="s">
        <v>270</v>
      </c>
      <c r="D36" s="290">
        <v>294999.98</v>
      </c>
      <c r="E36" s="290">
        <v>0</v>
      </c>
      <c r="F36" s="288" t="s">
        <v>1308</v>
      </c>
      <c r="G36" s="288" t="s">
        <v>1286</v>
      </c>
      <c r="H36" s="291" t="s">
        <v>18</v>
      </c>
      <c r="I36" s="292">
        <v>44930</v>
      </c>
      <c r="J36" s="292">
        <v>45692</v>
      </c>
      <c r="K36" s="288"/>
      <c r="L36" s="291">
        <v>2024</v>
      </c>
    </row>
    <row r="37" spans="1:12" x14ac:dyDescent="0.2">
      <c r="A37" s="287">
        <v>4600057330</v>
      </c>
      <c r="B37" s="288" t="s">
        <v>174</v>
      </c>
      <c r="C37" s="289" t="s">
        <v>175</v>
      </c>
      <c r="D37" s="290">
        <v>8637.51</v>
      </c>
      <c r="E37" s="290">
        <v>8637.51</v>
      </c>
      <c r="F37" s="288" t="s">
        <v>1288</v>
      </c>
      <c r="G37" s="288" t="s">
        <v>1289</v>
      </c>
      <c r="H37" s="291" t="s">
        <v>18</v>
      </c>
      <c r="I37" s="292">
        <v>45266</v>
      </c>
      <c r="J37" s="292">
        <v>45997</v>
      </c>
      <c r="K37" s="288"/>
      <c r="L37" s="291">
        <v>2024</v>
      </c>
    </row>
    <row r="38" spans="1:12" x14ac:dyDescent="0.2">
      <c r="A38" s="287">
        <v>4600057373</v>
      </c>
      <c r="B38" s="288" t="s">
        <v>176</v>
      </c>
      <c r="C38" s="289" t="s">
        <v>177</v>
      </c>
      <c r="D38" s="290">
        <v>2100000</v>
      </c>
      <c r="E38" s="290">
        <v>0</v>
      </c>
      <c r="F38" s="288" t="s">
        <v>1286</v>
      </c>
      <c r="G38" s="288" t="s">
        <v>1286</v>
      </c>
      <c r="H38" s="291" t="s">
        <v>38</v>
      </c>
      <c r="I38" s="291" t="s">
        <v>1334</v>
      </c>
      <c r="J38" s="291" t="s">
        <v>1335</v>
      </c>
      <c r="K38" s="288"/>
      <c r="L38" s="291">
        <v>2024</v>
      </c>
    </row>
    <row r="39" spans="1:12" x14ac:dyDescent="0.2">
      <c r="A39" s="291">
        <v>4600057411</v>
      </c>
      <c r="B39" s="288" t="s">
        <v>178</v>
      </c>
      <c r="C39" s="289" t="s">
        <v>179</v>
      </c>
      <c r="D39" s="290">
        <v>235020.4</v>
      </c>
      <c r="E39" s="290">
        <v>186127.02999999997</v>
      </c>
      <c r="F39" s="288" t="s">
        <v>1289</v>
      </c>
      <c r="G39" s="288" t="s">
        <v>1289</v>
      </c>
      <c r="H39" s="291" t="s">
        <v>18</v>
      </c>
      <c r="I39" s="291" t="s">
        <v>1336</v>
      </c>
      <c r="J39" s="291" t="s">
        <v>1337</v>
      </c>
      <c r="K39" s="288"/>
      <c r="L39" s="291">
        <v>2024</v>
      </c>
    </row>
    <row r="40" spans="1:12" x14ac:dyDescent="0.2">
      <c r="A40" s="291">
        <v>4600057540</v>
      </c>
      <c r="B40" s="288" t="s">
        <v>184</v>
      </c>
      <c r="C40" s="289" t="s">
        <v>185</v>
      </c>
      <c r="D40" s="290">
        <v>358153.55</v>
      </c>
      <c r="E40" s="290">
        <v>87016.650000000009</v>
      </c>
      <c r="F40" s="288" t="s">
        <v>1286</v>
      </c>
      <c r="G40" s="288" t="s">
        <v>1286</v>
      </c>
      <c r="H40" s="291" t="s">
        <v>18</v>
      </c>
      <c r="I40" s="292">
        <v>45207</v>
      </c>
      <c r="J40" s="292">
        <v>45908</v>
      </c>
      <c r="K40" s="288"/>
      <c r="L40" s="291">
        <v>2024</v>
      </c>
    </row>
    <row r="41" spans="1:12" x14ac:dyDescent="0.2">
      <c r="A41" s="287">
        <v>4600057577</v>
      </c>
      <c r="B41" s="288" t="s">
        <v>190</v>
      </c>
      <c r="C41" s="289" t="s">
        <v>191</v>
      </c>
      <c r="D41" s="290">
        <v>672000</v>
      </c>
      <c r="E41" s="290">
        <v>672000</v>
      </c>
      <c r="F41" s="288" t="s">
        <v>1286</v>
      </c>
      <c r="G41" s="288" t="s">
        <v>1286</v>
      </c>
      <c r="H41" s="291" t="s">
        <v>18</v>
      </c>
      <c r="I41" s="291" t="s">
        <v>1336</v>
      </c>
      <c r="J41" s="291" t="s">
        <v>1338</v>
      </c>
      <c r="K41" s="288"/>
      <c r="L41" s="291">
        <v>2024</v>
      </c>
    </row>
    <row r="42" spans="1:12" x14ac:dyDescent="0.2">
      <c r="A42" s="291">
        <v>4600057761</v>
      </c>
      <c r="B42" s="288" t="s">
        <v>215</v>
      </c>
      <c r="C42" s="289" t="s">
        <v>216</v>
      </c>
      <c r="D42" s="290">
        <v>693</v>
      </c>
      <c r="E42" s="290">
        <v>693</v>
      </c>
      <c r="F42" s="288" t="s">
        <v>1288</v>
      </c>
      <c r="G42" s="288" t="s">
        <v>1289</v>
      </c>
      <c r="H42" s="291" t="s">
        <v>18</v>
      </c>
      <c r="I42" s="291" t="s">
        <v>1339</v>
      </c>
      <c r="J42" s="291" t="s">
        <v>1340</v>
      </c>
      <c r="K42" s="288"/>
      <c r="L42" s="291">
        <v>2024</v>
      </c>
    </row>
    <row r="43" spans="1:12" x14ac:dyDescent="0.2">
      <c r="A43" s="287">
        <v>4600057445</v>
      </c>
      <c r="B43" s="288" t="s">
        <v>222</v>
      </c>
      <c r="C43" s="289" t="s">
        <v>223</v>
      </c>
      <c r="D43" s="290">
        <v>393441</v>
      </c>
      <c r="E43" s="290">
        <v>31184.86</v>
      </c>
      <c r="F43" s="288" t="s">
        <v>1286</v>
      </c>
      <c r="G43" s="288" t="s">
        <v>1286</v>
      </c>
      <c r="H43" s="291" t="s">
        <v>18</v>
      </c>
      <c r="I43" s="292">
        <v>45206</v>
      </c>
      <c r="J43" s="292">
        <v>46333</v>
      </c>
      <c r="K43" s="288"/>
      <c r="L43" s="291">
        <v>2024</v>
      </c>
    </row>
    <row r="44" spans="1:12" x14ac:dyDescent="0.2">
      <c r="A44" s="287">
        <v>4600057906</v>
      </c>
      <c r="B44" s="288" t="s">
        <v>230</v>
      </c>
      <c r="C44" s="289" t="s">
        <v>231</v>
      </c>
      <c r="D44" s="290">
        <v>58336.58</v>
      </c>
      <c r="E44" s="290">
        <v>56268.18</v>
      </c>
      <c r="F44" s="288" t="s">
        <v>1288</v>
      </c>
      <c r="G44" s="288" t="s">
        <v>1289</v>
      </c>
      <c r="H44" s="291" t="s">
        <v>18</v>
      </c>
      <c r="I44" s="292">
        <v>44935</v>
      </c>
      <c r="J44" s="291" t="s">
        <v>1341</v>
      </c>
      <c r="K44" s="288"/>
      <c r="L44" s="291">
        <v>2024</v>
      </c>
    </row>
    <row r="45" spans="1:12" x14ac:dyDescent="0.2">
      <c r="A45" s="287">
        <v>4600052517</v>
      </c>
      <c r="B45" s="288" t="s">
        <v>155</v>
      </c>
      <c r="C45" s="289" t="s">
        <v>156</v>
      </c>
      <c r="D45" s="294" t="s">
        <v>1312</v>
      </c>
      <c r="E45" s="290">
        <v>0</v>
      </c>
      <c r="F45" s="288" t="s">
        <v>1286</v>
      </c>
      <c r="G45" s="288" t="s">
        <v>1286</v>
      </c>
      <c r="H45" s="291" t="s">
        <v>38</v>
      </c>
      <c r="I45" s="291" t="s">
        <v>1342</v>
      </c>
      <c r="J45" s="291" t="s">
        <v>1343</v>
      </c>
      <c r="K45" s="288"/>
      <c r="L45" s="291">
        <v>2024</v>
      </c>
    </row>
    <row r="46" spans="1:12" x14ac:dyDescent="0.2">
      <c r="A46" s="287">
        <v>4600057284</v>
      </c>
      <c r="B46" s="288" t="s">
        <v>271</v>
      </c>
      <c r="C46" s="289" t="s">
        <v>256</v>
      </c>
      <c r="D46" s="290">
        <v>578809.80000000005</v>
      </c>
      <c r="E46" s="290">
        <v>4501</v>
      </c>
      <c r="F46" s="288" t="s">
        <v>1286</v>
      </c>
      <c r="G46" s="288" t="s">
        <v>1286</v>
      </c>
      <c r="H46" s="291" t="s">
        <v>18</v>
      </c>
      <c r="I46" s="291" t="s">
        <v>1344</v>
      </c>
      <c r="J46" s="291" t="s">
        <v>1345</v>
      </c>
      <c r="K46" s="288"/>
      <c r="L46" s="291">
        <v>2024</v>
      </c>
    </row>
    <row r="47" spans="1:12" x14ac:dyDescent="0.2">
      <c r="A47" s="287">
        <v>4600057283</v>
      </c>
      <c r="B47" s="288" t="s">
        <v>272</v>
      </c>
      <c r="C47" s="289" t="s">
        <v>256</v>
      </c>
      <c r="D47" s="290">
        <v>1251976.1299999999</v>
      </c>
      <c r="E47" s="290">
        <v>0</v>
      </c>
      <c r="F47" s="288" t="s">
        <v>1286</v>
      </c>
      <c r="G47" s="288" t="s">
        <v>1286</v>
      </c>
      <c r="H47" s="291" t="s">
        <v>18</v>
      </c>
      <c r="I47" s="291" t="s">
        <v>1346</v>
      </c>
      <c r="J47" s="291" t="s">
        <v>1319</v>
      </c>
      <c r="K47" s="288"/>
      <c r="L47" s="291">
        <v>2024</v>
      </c>
    </row>
    <row r="48" spans="1:12" x14ac:dyDescent="0.2">
      <c r="A48" s="291">
        <v>4600057964</v>
      </c>
      <c r="B48" s="288" t="s">
        <v>102</v>
      </c>
      <c r="C48" s="289" t="s">
        <v>288</v>
      </c>
      <c r="D48" s="290">
        <v>89944</v>
      </c>
      <c r="E48" s="290">
        <v>0</v>
      </c>
      <c r="F48" s="288" t="s">
        <v>1289</v>
      </c>
      <c r="G48" s="288" t="s">
        <v>1289</v>
      </c>
      <c r="H48" s="291" t="s">
        <v>18</v>
      </c>
      <c r="I48" s="292">
        <v>45599</v>
      </c>
      <c r="J48" s="292">
        <v>46329</v>
      </c>
      <c r="K48" s="288"/>
      <c r="L48" s="291">
        <v>2024</v>
      </c>
    </row>
    <row r="49" spans="1:12" x14ac:dyDescent="0.2">
      <c r="A49" s="287">
        <v>4600058131</v>
      </c>
      <c r="B49" s="288" t="s">
        <v>584</v>
      </c>
      <c r="C49" s="289" t="s">
        <v>561</v>
      </c>
      <c r="D49" s="290">
        <v>39100</v>
      </c>
      <c r="E49" s="290">
        <v>0</v>
      </c>
      <c r="F49" s="288" t="s">
        <v>1289</v>
      </c>
      <c r="G49" s="288" t="s">
        <v>1289</v>
      </c>
      <c r="H49" s="291" t="s">
        <v>38</v>
      </c>
      <c r="I49" s="291" t="s">
        <v>1347</v>
      </c>
      <c r="J49" s="291" t="s">
        <v>1348</v>
      </c>
      <c r="K49" s="288"/>
      <c r="L49" s="291">
        <v>2024</v>
      </c>
    </row>
    <row r="50" spans="1:12" x14ac:dyDescent="0.2">
      <c r="A50" s="287">
        <v>4600054977</v>
      </c>
      <c r="B50" s="288" t="s">
        <v>1033</v>
      </c>
      <c r="C50" s="289" t="s">
        <v>1032</v>
      </c>
      <c r="D50" s="290">
        <v>218216.52</v>
      </c>
      <c r="E50" s="290">
        <v>19200.25</v>
      </c>
      <c r="F50" s="288" t="s">
        <v>1329</v>
      </c>
      <c r="G50" s="288" t="s">
        <v>1329</v>
      </c>
      <c r="H50" s="291" t="s">
        <v>18</v>
      </c>
      <c r="I50" s="291" t="s">
        <v>1349</v>
      </c>
      <c r="J50" s="291" t="s">
        <v>1350</v>
      </c>
      <c r="K50" s="288"/>
      <c r="L50" s="291">
        <v>2024</v>
      </c>
    </row>
    <row r="51" spans="1:12" x14ac:dyDescent="0.2">
      <c r="A51" s="287">
        <v>4600058174</v>
      </c>
      <c r="B51" s="288" t="s">
        <v>598</v>
      </c>
      <c r="C51" s="289" t="s">
        <v>599</v>
      </c>
      <c r="D51" s="290">
        <v>220792.04</v>
      </c>
      <c r="E51" s="290">
        <v>241783.22000000003</v>
      </c>
      <c r="F51" s="288" t="s">
        <v>1329</v>
      </c>
      <c r="G51" s="288" t="s">
        <v>1329</v>
      </c>
      <c r="H51" s="291" t="s">
        <v>18</v>
      </c>
      <c r="I51" s="292">
        <v>45418</v>
      </c>
      <c r="J51" s="291" t="s">
        <v>1351</v>
      </c>
      <c r="K51" s="288"/>
      <c r="L51" s="291">
        <v>2024</v>
      </c>
    </row>
    <row r="52" spans="1:12" x14ac:dyDescent="0.2">
      <c r="A52" s="287">
        <v>4600058107</v>
      </c>
      <c r="B52" s="288" t="s">
        <v>1352</v>
      </c>
      <c r="C52" s="289" t="s">
        <v>610</v>
      </c>
      <c r="D52" s="290">
        <v>133333.35999999999</v>
      </c>
      <c r="E52" s="290">
        <v>133333.35999999999</v>
      </c>
      <c r="F52" s="288" t="s">
        <v>1286</v>
      </c>
      <c r="G52" s="288" t="s">
        <v>1286</v>
      </c>
      <c r="H52" s="291" t="s">
        <v>18</v>
      </c>
      <c r="I52" s="291" t="s">
        <v>1353</v>
      </c>
      <c r="J52" s="291" t="s">
        <v>1354</v>
      </c>
      <c r="K52" s="288"/>
      <c r="L52" s="291">
        <v>2024</v>
      </c>
    </row>
    <row r="53" spans="1:12" x14ac:dyDescent="0.2">
      <c r="A53" s="287">
        <v>4600057702</v>
      </c>
      <c r="B53" s="288" t="s">
        <v>628</v>
      </c>
      <c r="C53" s="289" t="s">
        <v>632</v>
      </c>
      <c r="D53" s="290">
        <v>1428902.79</v>
      </c>
      <c r="E53" s="290">
        <v>1428902.79</v>
      </c>
      <c r="F53" s="288" t="s">
        <v>1289</v>
      </c>
      <c r="G53" s="288" t="s">
        <v>1289</v>
      </c>
      <c r="H53" s="291" t="s">
        <v>18</v>
      </c>
      <c r="I53" s="292">
        <v>44937</v>
      </c>
      <c r="J53" s="291" t="s">
        <v>1310</v>
      </c>
      <c r="K53" s="288"/>
      <c r="L53" s="291">
        <v>2024</v>
      </c>
    </row>
    <row r="54" spans="1:12" x14ac:dyDescent="0.2">
      <c r="A54" s="287">
        <v>4600050465</v>
      </c>
      <c r="B54" s="288" t="s">
        <v>58</v>
      </c>
      <c r="C54" s="289" t="s">
        <v>59</v>
      </c>
      <c r="D54" s="290">
        <v>24588.28</v>
      </c>
      <c r="E54" s="290">
        <v>24584.9</v>
      </c>
      <c r="F54" s="288" t="s">
        <v>1286</v>
      </c>
      <c r="G54" s="288" t="s">
        <v>1286</v>
      </c>
      <c r="H54" s="291" t="s">
        <v>18</v>
      </c>
      <c r="I54" s="291" t="s">
        <v>1355</v>
      </c>
      <c r="J54" s="291" t="s">
        <v>1323</v>
      </c>
      <c r="K54" s="288"/>
      <c r="L54" s="291">
        <v>2024</v>
      </c>
    </row>
    <row r="55" spans="1:12" x14ac:dyDescent="0.2">
      <c r="A55" s="287">
        <v>4600051952</v>
      </c>
      <c r="B55" s="288" t="s">
        <v>1320</v>
      </c>
      <c r="C55" s="289" t="s">
        <v>63</v>
      </c>
      <c r="D55" s="290">
        <v>867599.4</v>
      </c>
      <c r="E55" s="290">
        <v>867599.4</v>
      </c>
      <c r="F55" s="288" t="s">
        <v>1286</v>
      </c>
      <c r="G55" s="288" t="s">
        <v>1286</v>
      </c>
      <c r="H55" s="291" t="s">
        <v>18</v>
      </c>
      <c r="I55" s="292">
        <v>44927</v>
      </c>
      <c r="J55" s="291" t="s">
        <v>1356</v>
      </c>
      <c r="K55" s="288"/>
      <c r="L55" s="291">
        <v>2024</v>
      </c>
    </row>
    <row r="56" spans="1:12" x14ac:dyDescent="0.2">
      <c r="A56" s="287">
        <v>4600052414</v>
      </c>
      <c r="B56" s="288" t="s">
        <v>76</v>
      </c>
      <c r="C56" s="289" t="s">
        <v>1357</v>
      </c>
      <c r="D56" s="290">
        <v>1028631.32</v>
      </c>
      <c r="E56" s="290">
        <v>0</v>
      </c>
      <c r="F56" s="288" t="s">
        <v>1286</v>
      </c>
      <c r="G56" s="288" t="s">
        <v>1286</v>
      </c>
      <c r="H56" s="291" t="s">
        <v>18</v>
      </c>
      <c r="I56" s="291" t="s">
        <v>1358</v>
      </c>
      <c r="J56" s="291" t="s">
        <v>1359</v>
      </c>
      <c r="K56" s="288"/>
      <c r="L56" s="291">
        <v>2024</v>
      </c>
    </row>
    <row r="57" spans="1:12" x14ac:dyDescent="0.2">
      <c r="A57" s="287">
        <v>4600057891</v>
      </c>
      <c r="B57" s="288" t="s">
        <v>97</v>
      </c>
      <c r="C57" s="289" t="s">
        <v>98</v>
      </c>
      <c r="D57" s="290">
        <v>6263599.8499999996</v>
      </c>
      <c r="E57" s="290">
        <v>6305309.3000000007</v>
      </c>
      <c r="F57" s="288" t="s">
        <v>1286</v>
      </c>
      <c r="G57" s="288" t="s">
        <v>1286</v>
      </c>
      <c r="H57" s="291" t="s">
        <v>860</v>
      </c>
      <c r="I57" s="292">
        <v>44876</v>
      </c>
      <c r="J57" s="292">
        <v>46394</v>
      </c>
      <c r="K57" s="288"/>
      <c r="L57" s="291">
        <v>2024</v>
      </c>
    </row>
    <row r="58" spans="1:12" x14ac:dyDescent="0.2">
      <c r="A58" s="287">
        <v>4600057264</v>
      </c>
      <c r="B58" s="288" t="s">
        <v>146</v>
      </c>
      <c r="C58" s="289" t="s">
        <v>258</v>
      </c>
      <c r="D58" s="290">
        <v>126560</v>
      </c>
      <c r="E58" s="290">
        <v>0</v>
      </c>
      <c r="F58" s="288" t="s">
        <v>1286</v>
      </c>
      <c r="G58" s="288" t="s">
        <v>1286</v>
      </c>
      <c r="H58" s="291" t="s">
        <v>18</v>
      </c>
      <c r="I58" s="291" t="s">
        <v>1360</v>
      </c>
      <c r="J58" s="291" t="s">
        <v>1345</v>
      </c>
      <c r="K58" s="288"/>
      <c r="L58" s="291">
        <v>2024</v>
      </c>
    </row>
    <row r="59" spans="1:12" x14ac:dyDescent="0.2">
      <c r="A59" s="287">
        <v>4600057804</v>
      </c>
      <c r="B59" s="288" t="s">
        <v>716</v>
      </c>
      <c r="C59" s="289" t="s">
        <v>724</v>
      </c>
      <c r="D59" s="290">
        <v>211244.44</v>
      </c>
      <c r="E59" s="290">
        <v>284650.41000000003</v>
      </c>
      <c r="F59" s="288" t="s">
        <v>1289</v>
      </c>
      <c r="G59" s="288" t="s">
        <v>1289</v>
      </c>
      <c r="H59" s="291" t="s">
        <v>18</v>
      </c>
      <c r="I59" s="291" t="s">
        <v>1361</v>
      </c>
      <c r="J59" s="291" t="s">
        <v>1362</v>
      </c>
      <c r="K59" s="288"/>
      <c r="L59" s="291">
        <v>2024</v>
      </c>
    </row>
    <row r="60" spans="1:12" x14ac:dyDescent="0.2">
      <c r="A60" s="287">
        <v>4600057908</v>
      </c>
      <c r="B60" s="288" t="s">
        <v>717</v>
      </c>
      <c r="C60" s="289" t="s">
        <v>727</v>
      </c>
      <c r="D60" s="290">
        <v>134425</v>
      </c>
      <c r="E60" s="290">
        <v>134425</v>
      </c>
      <c r="F60" s="288" t="s">
        <v>1289</v>
      </c>
      <c r="G60" s="288" t="s">
        <v>1289</v>
      </c>
      <c r="H60" s="291" t="s">
        <v>18</v>
      </c>
      <c r="I60" s="292">
        <v>45537</v>
      </c>
      <c r="J60" s="292">
        <v>46236</v>
      </c>
      <c r="K60" s="288"/>
      <c r="L60" s="291">
        <v>2024</v>
      </c>
    </row>
    <row r="61" spans="1:12" x14ac:dyDescent="0.2">
      <c r="A61" s="291">
        <v>4600057978</v>
      </c>
      <c r="B61" s="288" t="s">
        <v>743</v>
      </c>
      <c r="C61" s="289" t="s">
        <v>744</v>
      </c>
      <c r="D61" s="290">
        <v>435636.88</v>
      </c>
      <c r="E61" s="290">
        <v>425735.12</v>
      </c>
      <c r="F61" s="288" t="s">
        <v>1288</v>
      </c>
      <c r="G61" s="288" t="s">
        <v>1289</v>
      </c>
      <c r="H61" s="291" t="s">
        <v>18</v>
      </c>
      <c r="I61" s="292">
        <v>45295</v>
      </c>
      <c r="J61" s="291" t="s">
        <v>1363</v>
      </c>
      <c r="K61" s="288"/>
      <c r="L61" s="291">
        <v>2024</v>
      </c>
    </row>
    <row r="62" spans="1:12" x14ac:dyDescent="0.2">
      <c r="A62" s="287">
        <v>4600058275</v>
      </c>
      <c r="B62" s="288" t="s">
        <v>804</v>
      </c>
      <c r="C62" s="289" t="s">
        <v>859</v>
      </c>
      <c r="D62" s="290">
        <v>28350</v>
      </c>
      <c r="E62" s="290">
        <v>31325</v>
      </c>
      <c r="F62" s="288" t="s">
        <v>1286</v>
      </c>
      <c r="G62" s="288" t="s">
        <v>1286</v>
      </c>
      <c r="H62" s="291" t="s">
        <v>18</v>
      </c>
      <c r="I62" s="291" t="s">
        <v>1364</v>
      </c>
      <c r="J62" s="291" t="s">
        <v>1365</v>
      </c>
      <c r="K62" s="288"/>
      <c r="L62" s="291">
        <v>2024</v>
      </c>
    </row>
    <row r="63" spans="1:12" x14ac:dyDescent="0.2">
      <c r="A63" s="287">
        <v>4600058509</v>
      </c>
      <c r="B63" s="288" t="s">
        <v>777</v>
      </c>
      <c r="C63" s="289" t="s">
        <v>778</v>
      </c>
      <c r="D63" s="290">
        <v>600000</v>
      </c>
      <c r="E63" s="290">
        <v>0</v>
      </c>
      <c r="F63" s="288" t="s">
        <v>1286</v>
      </c>
      <c r="G63" s="288" t="s">
        <v>1286</v>
      </c>
      <c r="H63" s="291" t="s">
        <v>38</v>
      </c>
      <c r="I63" s="291" t="s">
        <v>1366</v>
      </c>
      <c r="J63" s="291" t="s">
        <v>1367</v>
      </c>
      <c r="K63" s="288"/>
      <c r="L63" s="291">
        <v>2024</v>
      </c>
    </row>
    <row r="64" spans="1:12" x14ac:dyDescent="0.2">
      <c r="A64" s="287">
        <v>4600058303</v>
      </c>
      <c r="B64" s="288" t="s">
        <v>779</v>
      </c>
      <c r="C64" s="289" t="s">
        <v>780</v>
      </c>
      <c r="D64" s="290">
        <v>47680</v>
      </c>
      <c r="E64" s="290">
        <v>41100</v>
      </c>
      <c r="F64" s="288" t="s">
        <v>1286</v>
      </c>
      <c r="G64" s="288" t="s">
        <v>1286</v>
      </c>
      <c r="H64" s="291" t="s">
        <v>18</v>
      </c>
      <c r="I64" s="291" t="s">
        <v>1368</v>
      </c>
      <c r="J64" s="291" t="s">
        <v>1369</v>
      </c>
      <c r="K64" s="288"/>
      <c r="L64" s="291">
        <v>2024</v>
      </c>
    </row>
    <row r="65" spans="1:12" x14ac:dyDescent="0.2">
      <c r="A65" s="287">
        <v>4600058493</v>
      </c>
      <c r="B65" s="288" t="s">
        <v>786</v>
      </c>
      <c r="C65" s="289" t="s">
        <v>868</v>
      </c>
      <c r="D65" s="290">
        <v>190348.01</v>
      </c>
      <c r="E65" s="290">
        <v>149964.93</v>
      </c>
      <c r="F65" s="288" t="s">
        <v>1288</v>
      </c>
      <c r="G65" s="288" t="s">
        <v>1289</v>
      </c>
      <c r="H65" s="291" t="s">
        <v>18</v>
      </c>
      <c r="I65" s="292">
        <v>45545</v>
      </c>
      <c r="J65" s="292">
        <v>46609</v>
      </c>
      <c r="K65" s="288"/>
      <c r="L65" s="291">
        <v>2024</v>
      </c>
    </row>
    <row r="66" spans="1:12" x14ac:dyDescent="0.2">
      <c r="A66" s="287">
        <v>4600058560</v>
      </c>
      <c r="B66" s="288" t="s">
        <v>1039</v>
      </c>
      <c r="C66" s="289" t="s">
        <v>1034</v>
      </c>
      <c r="D66" s="290">
        <v>307590.2</v>
      </c>
      <c r="E66" s="290">
        <v>306680.2</v>
      </c>
      <c r="F66" s="288" t="s">
        <v>1286</v>
      </c>
      <c r="G66" s="288" t="s">
        <v>1286</v>
      </c>
      <c r="H66" s="291" t="s">
        <v>18</v>
      </c>
      <c r="I66" s="291" t="s">
        <v>1370</v>
      </c>
      <c r="J66" s="292">
        <v>45910</v>
      </c>
      <c r="K66" s="288"/>
      <c r="L66" s="291">
        <v>2024</v>
      </c>
    </row>
    <row r="67" spans="1:12" x14ac:dyDescent="0.2">
      <c r="A67" s="287">
        <v>4600058561</v>
      </c>
      <c r="B67" s="288" t="s">
        <v>795</v>
      </c>
      <c r="C67" s="289" t="s">
        <v>1371</v>
      </c>
      <c r="D67" s="290">
        <v>800000</v>
      </c>
      <c r="E67" s="290">
        <v>0</v>
      </c>
      <c r="F67" s="288" t="s">
        <v>1286</v>
      </c>
      <c r="G67" s="288" t="s">
        <v>1286</v>
      </c>
      <c r="H67" s="291" t="s">
        <v>38</v>
      </c>
      <c r="I67" s="291" t="s">
        <v>1372</v>
      </c>
      <c r="J67" s="291" t="s">
        <v>1373</v>
      </c>
      <c r="K67" s="288"/>
      <c r="L67" s="291">
        <v>2024</v>
      </c>
    </row>
    <row r="68" spans="1:12" x14ac:dyDescent="0.2">
      <c r="A68" s="287">
        <v>4600058491</v>
      </c>
      <c r="B68" s="288" t="s">
        <v>996</v>
      </c>
      <c r="C68" s="289" t="s">
        <v>830</v>
      </c>
      <c r="D68" s="290">
        <v>248149.71</v>
      </c>
      <c r="E68" s="290">
        <v>68994.649999999994</v>
      </c>
      <c r="F68" s="288" t="s">
        <v>1329</v>
      </c>
      <c r="G68" s="288" t="s">
        <v>1329</v>
      </c>
      <c r="H68" s="291" t="s">
        <v>18</v>
      </c>
      <c r="I68" s="292">
        <v>45514</v>
      </c>
      <c r="J68" s="292">
        <v>46023</v>
      </c>
      <c r="K68" s="288"/>
      <c r="L68" s="291">
        <v>2024</v>
      </c>
    </row>
    <row r="69" spans="1:12" x14ac:dyDescent="0.2">
      <c r="A69" s="287">
        <v>4600058590</v>
      </c>
      <c r="B69" s="288" t="s">
        <v>182</v>
      </c>
      <c r="C69" s="289" t="s">
        <v>831</v>
      </c>
      <c r="D69" s="290">
        <v>1799043.41</v>
      </c>
      <c r="E69" s="290">
        <v>1836218.9899999998</v>
      </c>
      <c r="F69" s="288" t="s">
        <v>1329</v>
      </c>
      <c r="G69" s="288" t="s">
        <v>1329</v>
      </c>
      <c r="H69" s="291" t="s">
        <v>18</v>
      </c>
      <c r="I69" s="292">
        <v>45261</v>
      </c>
      <c r="J69" s="291" t="s">
        <v>1323</v>
      </c>
      <c r="K69" s="288"/>
      <c r="L69" s="291">
        <v>2024</v>
      </c>
    </row>
    <row r="70" spans="1:12" x14ac:dyDescent="0.2">
      <c r="A70" s="287">
        <v>4600058589</v>
      </c>
      <c r="B70" s="288" t="s">
        <v>1028</v>
      </c>
      <c r="C70" s="289" t="s">
        <v>852</v>
      </c>
      <c r="D70" s="290">
        <v>34822</v>
      </c>
      <c r="E70" s="290">
        <v>0</v>
      </c>
      <c r="F70" s="288" t="s">
        <v>1329</v>
      </c>
      <c r="G70" s="288" t="s">
        <v>1329</v>
      </c>
      <c r="H70" s="291" t="s">
        <v>18</v>
      </c>
      <c r="I70" s="291" t="s">
        <v>1374</v>
      </c>
      <c r="J70" s="291" t="s">
        <v>1375</v>
      </c>
      <c r="K70" s="288"/>
      <c r="L70" s="291">
        <v>2024</v>
      </c>
    </row>
    <row r="71" spans="1:12" x14ac:dyDescent="0.2">
      <c r="A71" s="287">
        <v>4600058337</v>
      </c>
      <c r="B71" s="288" t="s">
        <v>89</v>
      </c>
      <c r="C71" s="289" t="s">
        <v>861</v>
      </c>
      <c r="D71" s="290">
        <v>740400</v>
      </c>
      <c r="E71" s="290">
        <v>0</v>
      </c>
      <c r="F71" s="288" t="s">
        <v>1289</v>
      </c>
      <c r="G71" s="288" t="s">
        <v>1289</v>
      </c>
      <c r="H71" s="291" t="s">
        <v>860</v>
      </c>
      <c r="I71" s="291" t="s">
        <v>862</v>
      </c>
      <c r="J71" s="291" t="s">
        <v>1376</v>
      </c>
      <c r="K71" s="288"/>
      <c r="L71" s="291">
        <v>2024</v>
      </c>
    </row>
    <row r="72" spans="1:12" x14ac:dyDescent="0.2">
      <c r="A72" s="287">
        <v>4600058523</v>
      </c>
      <c r="B72" s="288" t="s">
        <v>717</v>
      </c>
      <c r="C72" s="289" t="s">
        <v>864</v>
      </c>
      <c r="D72" s="290">
        <v>750000</v>
      </c>
      <c r="E72" s="290">
        <v>0</v>
      </c>
      <c r="F72" s="288" t="s">
        <v>1289</v>
      </c>
      <c r="G72" s="288" t="s">
        <v>1289</v>
      </c>
      <c r="H72" s="291" t="s">
        <v>18</v>
      </c>
      <c r="I72" s="292">
        <v>45637</v>
      </c>
      <c r="J72" s="292">
        <v>45972</v>
      </c>
      <c r="K72" s="288"/>
      <c r="L72" s="291">
        <v>2024</v>
      </c>
    </row>
    <row r="73" spans="1:12" x14ac:dyDescent="0.2">
      <c r="A73" s="287">
        <v>4600058988</v>
      </c>
      <c r="B73" s="288" t="s">
        <v>230</v>
      </c>
      <c r="C73" s="289" t="s">
        <v>866</v>
      </c>
      <c r="D73" s="290">
        <v>1794188.97</v>
      </c>
      <c r="E73" s="290">
        <v>0</v>
      </c>
      <c r="F73" s="288" t="s">
        <v>1289</v>
      </c>
      <c r="G73" s="288" t="s">
        <v>1289</v>
      </c>
      <c r="H73" s="291" t="s">
        <v>18</v>
      </c>
      <c r="I73" s="291" t="s">
        <v>1377</v>
      </c>
      <c r="J73" s="291" t="s">
        <v>1341</v>
      </c>
      <c r="K73" s="288"/>
      <c r="L73" s="291">
        <v>2024</v>
      </c>
    </row>
    <row r="74" spans="1:12" x14ac:dyDescent="0.2">
      <c r="A74" s="287">
        <v>4600055442</v>
      </c>
      <c r="B74" s="288" t="s">
        <v>1030</v>
      </c>
      <c r="C74" s="289" t="s">
        <v>1029</v>
      </c>
      <c r="D74" s="290" t="s">
        <v>735</v>
      </c>
      <c r="E74" s="290">
        <v>107720.80000000002</v>
      </c>
      <c r="F74" s="288" t="s">
        <v>1289</v>
      </c>
      <c r="G74" s="288" t="s">
        <v>1289</v>
      </c>
      <c r="H74" s="291" t="s">
        <v>18</v>
      </c>
      <c r="I74" s="292">
        <v>44899</v>
      </c>
      <c r="J74" s="291" t="s">
        <v>1378</v>
      </c>
      <c r="K74" s="288"/>
      <c r="L74" s="291">
        <v>2024</v>
      </c>
    </row>
    <row r="75" spans="1:12" x14ac:dyDescent="0.2">
      <c r="A75" s="287">
        <v>4600058053</v>
      </c>
      <c r="B75" s="288" t="s">
        <v>1033</v>
      </c>
      <c r="C75" s="289" t="s">
        <v>1032</v>
      </c>
      <c r="D75" s="290">
        <v>184320.24</v>
      </c>
      <c r="E75" s="290">
        <v>0</v>
      </c>
      <c r="F75" s="288" t="s">
        <v>1329</v>
      </c>
      <c r="G75" s="288" t="s">
        <v>1329</v>
      </c>
      <c r="H75" s="291" t="s">
        <v>38</v>
      </c>
      <c r="I75" s="292">
        <v>44808</v>
      </c>
      <c r="J75" s="292">
        <v>46238</v>
      </c>
      <c r="K75" s="288"/>
      <c r="L75" s="291">
        <v>2024</v>
      </c>
    </row>
    <row r="76" spans="1:12" x14ac:dyDescent="0.2">
      <c r="A76" s="287">
        <v>4600046786</v>
      </c>
      <c r="B76" s="288" t="s">
        <v>1040</v>
      </c>
      <c r="C76" s="289" t="s">
        <v>1046</v>
      </c>
      <c r="D76" s="294" t="s">
        <v>1312</v>
      </c>
      <c r="E76" s="290">
        <v>0</v>
      </c>
      <c r="F76" s="288" t="s">
        <v>1286</v>
      </c>
      <c r="G76" s="288" t="s">
        <v>1286</v>
      </c>
      <c r="H76" s="291" t="s">
        <v>38</v>
      </c>
      <c r="I76" s="291" t="s">
        <v>1379</v>
      </c>
      <c r="J76" s="291" t="s">
        <v>1341</v>
      </c>
      <c r="K76" s="288"/>
      <c r="L76" s="291">
        <v>2024</v>
      </c>
    </row>
    <row r="77" spans="1:12" x14ac:dyDescent="0.2">
      <c r="A77" s="287">
        <v>4600059193</v>
      </c>
      <c r="B77" s="288" t="s">
        <v>82</v>
      </c>
      <c r="C77" s="289" t="s">
        <v>1049</v>
      </c>
      <c r="D77" s="290">
        <v>750000</v>
      </c>
      <c r="E77" s="290">
        <v>0</v>
      </c>
      <c r="F77" s="288" t="s">
        <v>1289</v>
      </c>
      <c r="G77" s="288" t="s">
        <v>1289</v>
      </c>
      <c r="H77" s="291" t="s">
        <v>18</v>
      </c>
      <c r="I77" s="291" t="s">
        <v>1380</v>
      </c>
      <c r="J77" s="291" t="s">
        <v>1381</v>
      </c>
      <c r="K77" s="288"/>
      <c r="L77" s="291">
        <v>2024</v>
      </c>
    </row>
    <row r="78" spans="1:12" x14ac:dyDescent="0.2">
      <c r="A78" s="287">
        <v>4600057955</v>
      </c>
      <c r="B78" s="288" t="s">
        <v>102</v>
      </c>
      <c r="C78" s="289" t="s">
        <v>1054</v>
      </c>
      <c r="D78" s="290">
        <v>208755.69</v>
      </c>
      <c r="E78" s="290">
        <v>0</v>
      </c>
      <c r="F78" s="288" t="s">
        <v>1289</v>
      </c>
      <c r="G78" s="288" t="s">
        <v>1289</v>
      </c>
      <c r="H78" s="291" t="s">
        <v>18</v>
      </c>
      <c r="I78" s="292">
        <v>45415</v>
      </c>
      <c r="J78" s="291" t="s">
        <v>1382</v>
      </c>
      <c r="K78" s="288"/>
      <c r="L78" s="291">
        <v>2024</v>
      </c>
    </row>
    <row r="79" spans="1:12" x14ac:dyDescent="0.2">
      <c r="A79" s="287">
        <v>4600059192</v>
      </c>
      <c r="B79" s="288" t="s">
        <v>89</v>
      </c>
      <c r="C79" s="289" t="s">
        <v>1055</v>
      </c>
      <c r="D79" s="290">
        <v>240000</v>
      </c>
      <c r="E79" s="290">
        <v>0</v>
      </c>
      <c r="F79" s="288" t="s">
        <v>1289</v>
      </c>
      <c r="G79" s="288" t="s">
        <v>1289</v>
      </c>
      <c r="H79" s="291" t="s">
        <v>18</v>
      </c>
      <c r="I79" s="292">
        <v>45658</v>
      </c>
      <c r="J79" s="291" t="s">
        <v>1383</v>
      </c>
      <c r="K79" s="288"/>
      <c r="L79" s="291">
        <v>2024</v>
      </c>
    </row>
    <row r="80" spans="1:12" x14ac:dyDescent="0.2">
      <c r="A80" s="287">
        <v>4600053335</v>
      </c>
      <c r="B80" s="288" t="s">
        <v>61</v>
      </c>
      <c r="C80" s="289" t="s">
        <v>84</v>
      </c>
      <c r="D80" s="290">
        <v>1991529</v>
      </c>
      <c r="E80" s="290">
        <v>564519.88</v>
      </c>
      <c r="F80" s="295" t="s">
        <v>1286</v>
      </c>
      <c r="G80" s="288" t="s">
        <v>1286</v>
      </c>
      <c r="H80" s="291" t="s">
        <v>18</v>
      </c>
      <c r="I80" s="292"/>
      <c r="J80" s="291"/>
      <c r="K80" s="288"/>
      <c r="L80" s="291">
        <v>2024</v>
      </c>
    </row>
    <row r="81" spans="1:12" x14ac:dyDescent="0.2">
      <c r="A81" s="287">
        <v>4600056498</v>
      </c>
      <c r="B81" s="288" t="s">
        <v>144</v>
      </c>
      <c r="C81" s="288" t="s">
        <v>145</v>
      </c>
      <c r="D81" s="290">
        <v>55025645</v>
      </c>
      <c r="E81" s="290">
        <v>0</v>
      </c>
      <c r="F81" s="288" t="s">
        <v>1286</v>
      </c>
      <c r="G81" s="288" t="s">
        <v>1286</v>
      </c>
      <c r="H81" s="291" t="s">
        <v>18</v>
      </c>
      <c r="I81" s="292"/>
      <c r="J81" s="291"/>
      <c r="K81" s="288"/>
      <c r="L81" s="291">
        <v>2024</v>
      </c>
    </row>
    <row r="82" spans="1:12" x14ac:dyDescent="0.2">
      <c r="A82" s="287">
        <v>4600055726</v>
      </c>
      <c r="B82" s="288" t="s">
        <v>144</v>
      </c>
      <c r="C82" s="288" t="s">
        <v>145</v>
      </c>
      <c r="D82" s="290">
        <v>55025645</v>
      </c>
      <c r="E82" s="290">
        <v>0</v>
      </c>
      <c r="F82" s="288" t="s">
        <v>1286</v>
      </c>
      <c r="G82" s="288" t="s">
        <v>1286</v>
      </c>
      <c r="H82" s="291" t="s">
        <v>18</v>
      </c>
      <c r="I82" s="292"/>
      <c r="J82" s="291"/>
      <c r="K82" s="288"/>
      <c r="L82" s="291">
        <v>2024</v>
      </c>
    </row>
    <row r="83" spans="1:12" x14ac:dyDescent="0.2">
      <c r="A83" s="287">
        <v>4600057879</v>
      </c>
      <c r="B83" s="288" t="s">
        <v>137</v>
      </c>
      <c r="C83" s="288" t="s">
        <v>138</v>
      </c>
      <c r="D83" s="290">
        <v>984000</v>
      </c>
      <c r="E83" s="290">
        <v>584986.06999999995</v>
      </c>
      <c r="F83" s="288" t="s">
        <v>1308</v>
      </c>
      <c r="G83" s="288" t="s">
        <v>1289</v>
      </c>
      <c r="H83" s="291" t="s">
        <v>18</v>
      </c>
      <c r="I83" s="292"/>
      <c r="J83" s="291"/>
      <c r="K83" s="288"/>
      <c r="L83" s="291">
        <v>2024</v>
      </c>
    </row>
    <row r="84" spans="1:12" x14ac:dyDescent="0.2">
      <c r="A84" s="287">
        <v>4600058183</v>
      </c>
      <c r="B84" s="288" t="s">
        <v>723</v>
      </c>
      <c r="C84" s="288" t="s">
        <v>732</v>
      </c>
      <c r="D84" s="290">
        <v>99360</v>
      </c>
      <c r="E84" s="290">
        <v>32200</v>
      </c>
      <c r="F84" s="288" t="s">
        <v>1289</v>
      </c>
      <c r="G84" s="288" t="s">
        <v>1286</v>
      </c>
      <c r="H84" s="291" t="s">
        <v>18</v>
      </c>
      <c r="I84" s="292"/>
      <c r="J84" s="291"/>
      <c r="K84" s="288"/>
      <c r="L84" s="291">
        <v>2024</v>
      </c>
    </row>
    <row r="85" spans="1:12" x14ac:dyDescent="0.2">
      <c r="A85" s="287">
        <v>4600058408</v>
      </c>
      <c r="B85" s="288" t="s">
        <v>799</v>
      </c>
      <c r="C85" s="288" t="s">
        <v>867</v>
      </c>
      <c r="D85" s="290">
        <v>960000</v>
      </c>
      <c r="E85" s="290">
        <v>15212.16</v>
      </c>
      <c r="F85" s="288" t="s">
        <v>1308</v>
      </c>
      <c r="G85" s="288" t="s">
        <v>1289</v>
      </c>
      <c r="H85" s="291" t="s">
        <v>18</v>
      </c>
      <c r="I85" s="292"/>
      <c r="J85" s="291"/>
      <c r="K85" s="288"/>
      <c r="L85" s="291">
        <v>2024</v>
      </c>
    </row>
    <row r="86" spans="1:12" x14ac:dyDescent="0.2">
      <c r="A86" s="287" t="s">
        <v>822</v>
      </c>
      <c r="B86" s="288" t="s">
        <v>805</v>
      </c>
      <c r="C86" s="288" t="s">
        <v>873</v>
      </c>
      <c r="D86" s="290">
        <v>600000</v>
      </c>
      <c r="E86" s="290">
        <v>0</v>
      </c>
      <c r="F86" s="288" t="s">
        <v>1286</v>
      </c>
      <c r="G86" s="288" t="s">
        <v>1286</v>
      </c>
      <c r="H86" s="291" t="s">
        <v>38</v>
      </c>
      <c r="I86" s="292"/>
      <c r="J86" s="291"/>
      <c r="K86" s="288"/>
      <c r="L86" s="291">
        <v>2024</v>
      </c>
    </row>
    <row r="87" spans="1:12" x14ac:dyDescent="0.2">
      <c r="A87" s="287">
        <v>4600058180</v>
      </c>
      <c r="B87" s="288" t="s">
        <v>1051</v>
      </c>
      <c r="C87" s="288" t="s">
        <v>1050</v>
      </c>
      <c r="D87" s="290">
        <v>189288</v>
      </c>
      <c r="E87" s="290">
        <v>20592</v>
      </c>
      <c r="F87" s="288" t="s">
        <v>1288</v>
      </c>
      <c r="G87" s="288" t="s">
        <v>1286</v>
      </c>
      <c r="H87" s="291" t="s">
        <v>18</v>
      </c>
      <c r="I87" s="292"/>
      <c r="J87" s="291"/>
      <c r="K87" s="288"/>
      <c r="L87" s="291">
        <v>2024</v>
      </c>
    </row>
    <row r="88" spans="1:12" x14ac:dyDescent="0.2">
      <c r="A88" s="287">
        <v>4600051835</v>
      </c>
      <c r="B88" s="288" t="s">
        <v>61</v>
      </c>
      <c r="C88" s="289" t="s">
        <v>1384</v>
      </c>
      <c r="D88" s="290">
        <v>26400</v>
      </c>
      <c r="E88" s="290">
        <v>26400</v>
      </c>
      <c r="F88" s="288" t="s">
        <v>1289</v>
      </c>
      <c r="G88" s="288" t="s">
        <v>1286</v>
      </c>
      <c r="H88" s="291" t="s">
        <v>18</v>
      </c>
      <c r="I88" s="292"/>
      <c r="J88" s="291"/>
      <c r="K88" s="288"/>
      <c r="L88" s="291">
        <v>2024</v>
      </c>
    </row>
    <row r="89" spans="1:12" x14ac:dyDescent="0.2">
      <c r="A89" s="287">
        <v>4600051835</v>
      </c>
      <c r="B89" s="288" t="s">
        <v>61</v>
      </c>
      <c r="C89" s="289" t="s">
        <v>1385</v>
      </c>
      <c r="D89" s="290">
        <v>53220</v>
      </c>
      <c r="E89" s="290">
        <v>53220</v>
      </c>
      <c r="F89" s="288" t="s">
        <v>1289</v>
      </c>
      <c r="G89" s="288" t="s">
        <v>1286</v>
      </c>
      <c r="H89" s="291" t="s">
        <v>18</v>
      </c>
      <c r="I89" s="292"/>
      <c r="J89" s="291"/>
      <c r="K89" s="288"/>
      <c r="L89" s="291">
        <v>2024</v>
      </c>
    </row>
    <row r="90" spans="1:12" x14ac:dyDescent="0.2">
      <c r="A90" s="287">
        <v>4600051835</v>
      </c>
      <c r="B90" s="288" t="s">
        <v>61</v>
      </c>
      <c r="C90" s="289" t="s">
        <v>1386</v>
      </c>
      <c r="D90" s="290">
        <v>81522</v>
      </c>
      <c r="E90" s="290">
        <v>81522</v>
      </c>
      <c r="F90" s="288" t="s">
        <v>1289</v>
      </c>
      <c r="G90" s="288" t="s">
        <v>1286</v>
      </c>
      <c r="H90" s="291" t="s">
        <v>18</v>
      </c>
      <c r="I90" s="292"/>
      <c r="J90" s="291"/>
      <c r="K90" s="288"/>
      <c r="L90" s="291">
        <v>2024</v>
      </c>
    </row>
    <row r="91" spans="1:12" x14ac:dyDescent="0.2">
      <c r="A91" s="287">
        <v>4600051835</v>
      </c>
      <c r="B91" s="288" t="s">
        <v>61</v>
      </c>
      <c r="C91" s="289" t="s">
        <v>1387</v>
      </c>
      <c r="D91" s="290">
        <v>56557.919999999998</v>
      </c>
      <c r="E91" s="290">
        <v>113932.46</v>
      </c>
      <c r="F91" s="288" t="s">
        <v>1286</v>
      </c>
      <c r="G91" s="288" t="s">
        <v>1286</v>
      </c>
      <c r="H91" s="291" t="s">
        <v>18</v>
      </c>
      <c r="I91" s="292"/>
      <c r="J91" s="291"/>
      <c r="K91" s="288"/>
      <c r="L91" s="291">
        <v>2024</v>
      </c>
    </row>
    <row r="92" spans="1:12" x14ac:dyDescent="0.2">
      <c r="A92" s="287">
        <v>4600051835</v>
      </c>
      <c r="B92" s="288" t="s">
        <v>61</v>
      </c>
      <c r="C92" s="289" t="s">
        <v>1388</v>
      </c>
      <c r="D92" s="290">
        <v>266799.35999999999</v>
      </c>
      <c r="E92" s="290">
        <v>182565.09</v>
      </c>
      <c r="F92" s="288" t="s">
        <v>1286</v>
      </c>
      <c r="G92" s="288" t="s">
        <v>1289</v>
      </c>
      <c r="H92" s="291" t="s">
        <v>18</v>
      </c>
      <c r="I92" s="292"/>
      <c r="J92" s="291"/>
      <c r="K92" s="288"/>
      <c r="L92" s="291">
        <v>2024</v>
      </c>
    </row>
    <row r="93" spans="1:12" x14ac:dyDescent="0.2">
      <c r="A93" s="287">
        <v>4600051835</v>
      </c>
      <c r="B93" s="288" t="s">
        <v>61</v>
      </c>
      <c r="C93" s="289" t="s">
        <v>1389</v>
      </c>
      <c r="D93" s="290">
        <v>0</v>
      </c>
      <c r="E93" s="290">
        <v>0</v>
      </c>
      <c r="F93" s="288" t="s">
        <v>1286</v>
      </c>
      <c r="G93" s="288" t="s">
        <v>1289</v>
      </c>
      <c r="H93" s="291" t="s">
        <v>18</v>
      </c>
      <c r="I93" s="292"/>
      <c r="J93" s="291"/>
      <c r="K93" s="288"/>
      <c r="L93" s="291">
        <v>2024</v>
      </c>
    </row>
    <row r="94" spans="1:12" x14ac:dyDescent="0.2">
      <c r="A94" s="287">
        <v>4600051835</v>
      </c>
      <c r="B94" s="288" t="s">
        <v>61</v>
      </c>
      <c r="C94" s="289" t="s">
        <v>1390</v>
      </c>
      <c r="D94" s="290">
        <v>65092.44</v>
      </c>
      <c r="E94" s="290">
        <v>60780.34</v>
      </c>
      <c r="F94" s="288" t="s">
        <v>1286</v>
      </c>
      <c r="G94" s="288" t="s">
        <v>1286</v>
      </c>
      <c r="H94" s="291" t="s">
        <v>18</v>
      </c>
      <c r="I94" s="292"/>
      <c r="J94" s="291"/>
      <c r="K94" s="288"/>
      <c r="L94" s="291">
        <v>2024</v>
      </c>
    </row>
    <row r="95" spans="1:12" x14ac:dyDescent="0.2">
      <c r="A95" s="287">
        <v>4600051835</v>
      </c>
      <c r="B95" s="288" t="s">
        <v>61</v>
      </c>
      <c r="C95" s="289" t="s">
        <v>1391</v>
      </c>
      <c r="D95" s="290">
        <v>26865.1</v>
      </c>
      <c r="E95" s="290">
        <v>26865.1</v>
      </c>
      <c r="F95" s="288" t="s">
        <v>1286</v>
      </c>
      <c r="G95" s="288" t="s">
        <v>1286</v>
      </c>
      <c r="H95" s="291" t="s">
        <v>18</v>
      </c>
      <c r="I95" s="292"/>
      <c r="J95" s="291"/>
      <c r="K95" s="288"/>
      <c r="L95" s="291">
        <v>2024</v>
      </c>
    </row>
    <row r="96" spans="1:12" x14ac:dyDescent="0.2">
      <c r="A96" s="291" t="s">
        <v>1392</v>
      </c>
      <c r="B96" s="288" t="s">
        <v>1393</v>
      </c>
      <c r="C96" s="289" t="s">
        <v>1394</v>
      </c>
      <c r="D96" s="290">
        <v>146077.24</v>
      </c>
      <c r="E96" s="290">
        <v>146077.24</v>
      </c>
      <c r="F96" s="288" t="s">
        <v>1286</v>
      </c>
      <c r="G96" s="288" t="s">
        <v>1286</v>
      </c>
      <c r="H96" s="291" t="s">
        <v>18</v>
      </c>
      <c r="I96" s="292"/>
      <c r="J96" s="291"/>
      <c r="K96" s="288"/>
      <c r="L96" s="291">
        <v>2024</v>
      </c>
    </row>
    <row r="97" spans="1:12" x14ac:dyDescent="0.2">
      <c r="A97" s="291" t="s">
        <v>1395</v>
      </c>
      <c r="B97" s="288" t="s">
        <v>166</v>
      </c>
      <c r="C97" s="289" t="s">
        <v>1396</v>
      </c>
      <c r="D97" s="290">
        <v>3184993.1</v>
      </c>
      <c r="E97" s="290">
        <v>3184993.1</v>
      </c>
      <c r="F97" s="288" t="s">
        <v>1289</v>
      </c>
      <c r="G97" s="288" t="s">
        <v>1286</v>
      </c>
      <c r="H97" s="291" t="s">
        <v>18</v>
      </c>
      <c r="I97" s="292"/>
      <c r="J97" s="291"/>
      <c r="K97" s="288"/>
      <c r="L97" s="291">
        <v>2024</v>
      </c>
    </row>
    <row r="98" spans="1:12" x14ac:dyDescent="0.2">
      <c r="A98" s="287">
        <v>4600053625</v>
      </c>
      <c r="B98" s="288" t="s">
        <v>1397</v>
      </c>
      <c r="C98" s="289" t="s">
        <v>1398</v>
      </c>
      <c r="D98" s="290">
        <v>108396.36</v>
      </c>
      <c r="E98" s="290">
        <v>108396.36</v>
      </c>
      <c r="F98" s="288" t="s">
        <v>1289</v>
      </c>
      <c r="G98" s="288" t="s">
        <v>1289</v>
      </c>
      <c r="H98" s="291" t="s">
        <v>18</v>
      </c>
      <c r="I98" s="292"/>
      <c r="J98" s="291"/>
      <c r="K98" s="288"/>
      <c r="L98" s="291">
        <v>2024</v>
      </c>
    </row>
    <row r="99" spans="1:12" x14ac:dyDescent="0.2">
      <c r="A99" s="287">
        <v>4600053625</v>
      </c>
      <c r="B99" s="288" t="s">
        <v>1397</v>
      </c>
      <c r="C99" s="289" t="s">
        <v>1399</v>
      </c>
      <c r="D99" s="290">
        <v>2536354.12</v>
      </c>
      <c r="E99" s="290">
        <v>2536354.12</v>
      </c>
      <c r="F99" s="288" t="s">
        <v>1286</v>
      </c>
      <c r="G99" s="288" t="s">
        <v>1286</v>
      </c>
      <c r="H99" s="291" t="s">
        <v>18</v>
      </c>
      <c r="I99" s="292"/>
      <c r="J99" s="291"/>
      <c r="K99" s="288"/>
      <c r="L99" s="291">
        <v>2024</v>
      </c>
    </row>
    <row r="100" spans="1:12" x14ac:dyDescent="0.2">
      <c r="A100" s="291" t="s">
        <v>1392</v>
      </c>
      <c r="B100" s="288" t="s">
        <v>1400</v>
      </c>
      <c r="C100" s="289" t="s">
        <v>1401</v>
      </c>
      <c r="D100" s="290">
        <v>84903.5</v>
      </c>
      <c r="E100" s="290">
        <v>84903.5</v>
      </c>
      <c r="F100" s="288" t="s">
        <v>1289</v>
      </c>
      <c r="G100" s="288" t="s">
        <v>1286</v>
      </c>
      <c r="H100" s="291" t="s">
        <v>18</v>
      </c>
      <c r="I100" s="292"/>
      <c r="J100" s="291"/>
      <c r="K100" s="288"/>
      <c r="L100" s="291">
        <v>2024</v>
      </c>
    </row>
    <row r="101" spans="1:12" x14ac:dyDescent="0.2">
      <c r="A101" s="291">
        <v>4600050894</v>
      </c>
      <c r="B101" s="288" t="s">
        <v>643</v>
      </c>
      <c r="C101" s="288" t="s">
        <v>1402</v>
      </c>
      <c r="D101" s="290">
        <v>108900</v>
      </c>
      <c r="E101" s="290">
        <v>9075</v>
      </c>
      <c r="F101" s="288" t="s">
        <v>1286</v>
      </c>
      <c r="G101" s="288" t="s">
        <v>1286</v>
      </c>
      <c r="H101" s="291" t="s">
        <v>18</v>
      </c>
      <c r="I101" s="292"/>
      <c r="J101" s="291"/>
      <c r="K101" s="288"/>
      <c r="L101" s="291">
        <v>2024</v>
      </c>
    </row>
    <row r="102" spans="1:12" x14ac:dyDescent="0.2">
      <c r="A102" s="291">
        <v>4600049314</v>
      </c>
      <c r="B102" s="288" t="s">
        <v>1403</v>
      </c>
      <c r="C102" s="289" t="s">
        <v>1404</v>
      </c>
      <c r="D102" s="290">
        <v>406482.06</v>
      </c>
      <c r="E102" s="290">
        <v>406482.06</v>
      </c>
      <c r="F102" s="288" t="s">
        <v>1289</v>
      </c>
      <c r="G102" s="288" t="s">
        <v>1289</v>
      </c>
      <c r="H102" s="291" t="s">
        <v>18</v>
      </c>
      <c r="I102" s="292"/>
      <c r="J102" s="291"/>
      <c r="K102" s="288"/>
      <c r="L102" s="291">
        <v>2024</v>
      </c>
    </row>
    <row r="103" spans="1:12" x14ac:dyDescent="0.2">
      <c r="A103" s="287">
        <v>4600053625</v>
      </c>
      <c r="B103" s="288" t="s">
        <v>1397</v>
      </c>
      <c r="C103" s="289" t="s">
        <v>1405</v>
      </c>
      <c r="D103" s="290">
        <v>263826.94</v>
      </c>
      <c r="E103" s="290">
        <v>263826.94</v>
      </c>
      <c r="F103" s="288" t="s">
        <v>1308</v>
      </c>
      <c r="G103" s="288" t="s">
        <v>1286</v>
      </c>
      <c r="H103" s="291" t="s">
        <v>18</v>
      </c>
      <c r="I103" s="292"/>
      <c r="J103" s="291"/>
      <c r="K103" s="288"/>
      <c r="L103" s="291">
        <v>2024</v>
      </c>
    </row>
    <row r="104" spans="1:12" x14ac:dyDescent="0.2">
      <c r="A104" s="287">
        <v>4600053625</v>
      </c>
      <c r="B104" s="288" t="s">
        <v>1397</v>
      </c>
      <c r="C104" s="289" t="s">
        <v>1406</v>
      </c>
      <c r="D104" s="290">
        <v>15304.32</v>
      </c>
      <c r="E104" s="290">
        <v>15304.32</v>
      </c>
      <c r="F104" s="288" t="s">
        <v>1308</v>
      </c>
      <c r="G104" s="288" t="s">
        <v>1286</v>
      </c>
      <c r="H104" s="291" t="s">
        <v>18</v>
      </c>
      <c r="I104" s="292"/>
      <c r="J104" s="291"/>
      <c r="K104" s="288"/>
      <c r="L104" s="291">
        <v>2024</v>
      </c>
    </row>
    <row r="105" spans="1:12" x14ac:dyDescent="0.2">
      <c r="A105" s="287">
        <v>4600051835</v>
      </c>
      <c r="B105" s="288" t="s">
        <v>61</v>
      </c>
      <c r="C105" s="289" t="s">
        <v>1407</v>
      </c>
      <c r="D105" s="290">
        <v>382512.84</v>
      </c>
      <c r="E105" s="290">
        <v>382512.84</v>
      </c>
      <c r="F105" s="288" t="s">
        <v>1286</v>
      </c>
      <c r="G105" s="288" t="s">
        <v>1286</v>
      </c>
      <c r="H105" s="291" t="s">
        <v>18</v>
      </c>
      <c r="I105" s="292"/>
      <c r="J105" s="291"/>
      <c r="K105" s="288"/>
      <c r="L105" s="291">
        <v>2024</v>
      </c>
    </row>
    <row r="106" spans="1:12" x14ac:dyDescent="0.2">
      <c r="A106" s="287">
        <v>4600051835</v>
      </c>
      <c r="B106" s="288" t="s">
        <v>61</v>
      </c>
      <c r="C106" s="289" t="s">
        <v>1408</v>
      </c>
      <c r="D106" s="290">
        <v>163596.76</v>
      </c>
      <c r="E106" s="290">
        <v>163596.76</v>
      </c>
      <c r="F106" s="288" t="s">
        <v>1286</v>
      </c>
      <c r="G106" s="288" t="s">
        <v>1286</v>
      </c>
      <c r="H106" s="291" t="s">
        <v>18</v>
      </c>
      <c r="I106" s="292"/>
      <c r="J106" s="291"/>
      <c r="K106" s="288"/>
      <c r="L106" s="291">
        <v>2024</v>
      </c>
    </row>
    <row r="107" spans="1:12" x14ac:dyDescent="0.2">
      <c r="A107" s="291" t="s">
        <v>1392</v>
      </c>
      <c r="B107" s="288" t="s">
        <v>166</v>
      </c>
      <c r="C107" s="289" t="s">
        <v>1409</v>
      </c>
      <c r="D107" s="290">
        <v>0</v>
      </c>
      <c r="E107" s="290">
        <v>1923.02</v>
      </c>
      <c r="F107" s="288" t="s">
        <v>1289</v>
      </c>
      <c r="G107" s="288" t="s">
        <v>1329</v>
      </c>
      <c r="H107" s="291" t="s">
        <v>18</v>
      </c>
      <c r="I107" s="292"/>
      <c r="J107" s="291"/>
      <c r="K107" s="288"/>
      <c r="L107" s="291">
        <v>2024</v>
      </c>
    </row>
    <row r="108" spans="1:12" x14ac:dyDescent="0.2">
      <c r="A108" s="287">
        <v>4600051835</v>
      </c>
      <c r="B108" s="288" t="s">
        <v>61</v>
      </c>
      <c r="C108" s="289" t="s">
        <v>1410</v>
      </c>
      <c r="D108" s="290">
        <v>15611.25</v>
      </c>
      <c r="E108" s="290">
        <v>15611.25</v>
      </c>
      <c r="F108" s="288" t="s">
        <v>1286</v>
      </c>
      <c r="G108" s="288" t="s">
        <v>1286</v>
      </c>
      <c r="H108" s="291" t="s">
        <v>18</v>
      </c>
      <c r="I108" s="292"/>
      <c r="J108" s="291"/>
      <c r="K108" s="288"/>
      <c r="L108" s="291">
        <v>2024</v>
      </c>
    </row>
    <row r="109" spans="1:12" x14ac:dyDescent="0.2">
      <c r="A109" s="291" t="s">
        <v>1392</v>
      </c>
      <c r="B109" s="288" t="s">
        <v>735</v>
      </c>
      <c r="C109" s="289" t="s">
        <v>1411</v>
      </c>
      <c r="D109" s="290">
        <v>0</v>
      </c>
      <c r="E109" s="290">
        <v>584.29999999999995</v>
      </c>
      <c r="F109" s="288" t="s">
        <v>1289</v>
      </c>
      <c r="G109" s="288" t="s">
        <v>1289</v>
      </c>
      <c r="H109" s="291" t="s">
        <v>18</v>
      </c>
      <c r="I109" s="292"/>
      <c r="J109" s="291"/>
      <c r="K109" s="288"/>
      <c r="L109" s="291">
        <v>2024</v>
      </c>
    </row>
    <row r="110" spans="1:12" x14ac:dyDescent="0.2">
      <c r="A110" s="291" t="s">
        <v>1392</v>
      </c>
      <c r="B110" s="288" t="s">
        <v>1412</v>
      </c>
      <c r="C110" s="289" t="s">
        <v>1413</v>
      </c>
      <c r="D110" s="290">
        <v>0</v>
      </c>
      <c r="E110" s="290">
        <v>24911</v>
      </c>
      <c r="F110" s="288" t="s">
        <v>1289</v>
      </c>
      <c r="G110" s="288" t="s">
        <v>1289</v>
      </c>
      <c r="H110" s="291" t="s">
        <v>18</v>
      </c>
      <c r="I110" s="292"/>
      <c r="J110" s="292"/>
      <c r="K110" s="288"/>
      <c r="L110" s="291">
        <v>2024</v>
      </c>
    </row>
    <row r="111" spans="1:12" x14ac:dyDescent="0.2">
      <c r="A111" s="291" t="s">
        <v>1392</v>
      </c>
      <c r="B111" s="288" t="s">
        <v>1393</v>
      </c>
      <c r="C111" s="289" t="s">
        <v>1414</v>
      </c>
      <c r="D111" s="290">
        <v>0</v>
      </c>
      <c r="E111" s="290">
        <v>3775</v>
      </c>
      <c r="F111" s="288" t="s">
        <v>1286</v>
      </c>
      <c r="G111" s="288" t="s">
        <v>1286</v>
      </c>
      <c r="H111" s="291" t="s">
        <v>18</v>
      </c>
      <c r="I111" s="292"/>
      <c r="J111" s="292"/>
      <c r="K111" s="288"/>
      <c r="L111" s="291">
        <v>2024</v>
      </c>
    </row>
    <row r="112" spans="1:12" x14ac:dyDescent="0.2">
      <c r="A112" s="291" t="s">
        <v>1392</v>
      </c>
      <c r="B112" s="291" t="s">
        <v>1392</v>
      </c>
      <c r="C112" s="289" t="s">
        <v>1394</v>
      </c>
      <c r="D112" s="290">
        <v>0</v>
      </c>
      <c r="E112" s="290">
        <v>3840.05</v>
      </c>
      <c r="F112" s="288" t="s">
        <v>1329</v>
      </c>
      <c r="G112" s="288" t="s">
        <v>1329</v>
      </c>
      <c r="H112" s="291" t="s">
        <v>18</v>
      </c>
      <c r="I112" s="292"/>
      <c r="J112" s="292"/>
      <c r="K112" s="288"/>
      <c r="L112" s="291">
        <v>2024</v>
      </c>
    </row>
    <row r="113" spans="1:12" x14ac:dyDescent="0.2">
      <c r="A113" s="291" t="s">
        <v>1392</v>
      </c>
      <c r="B113" s="291" t="s">
        <v>1392</v>
      </c>
      <c r="C113" s="289" t="s">
        <v>1415</v>
      </c>
      <c r="D113" s="290">
        <v>0</v>
      </c>
      <c r="E113" s="290">
        <v>3350</v>
      </c>
      <c r="F113" s="288" t="s">
        <v>1288</v>
      </c>
      <c r="G113" s="288" t="s">
        <v>1288</v>
      </c>
      <c r="H113" s="291" t="s">
        <v>18</v>
      </c>
      <c r="I113" s="292"/>
      <c r="J113" s="292"/>
      <c r="K113" s="288"/>
      <c r="L113" s="291">
        <v>2024</v>
      </c>
    </row>
    <row r="114" spans="1:12" x14ac:dyDescent="0.2">
      <c r="A114" s="291" t="s">
        <v>1392</v>
      </c>
      <c r="B114" s="291" t="s">
        <v>1392</v>
      </c>
      <c r="C114" s="289" t="s">
        <v>1416</v>
      </c>
      <c r="D114" s="290">
        <v>0</v>
      </c>
      <c r="E114" s="290">
        <v>3425</v>
      </c>
      <c r="F114" s="288" t="s">
        <v>1289</v>
      </c>
      <c r="G114" s="288" t="s">
        <v>1289</v>
      </c>
      <c r="H114" s="291" t="s">
        <v>18</v>
      </c>
      <c r="I114" s="292"/>
      <c r="J114" s="292"/>
      <c r="K114" s="288"/>
      <c r="L114" s="291">
        <v>2024</v>
      </c>
    </row>
    <row r="115" spans="1:12" x14ac:dyDescent="0.2">
      <c r="A115" s="291" t="s">
        <v>1392</v>
      </c>
      <c r="B115" s="291" t="s">
        <v>1392</v>
      </c>
      <c r="C115" s="289" t="s">
        <v>1411</v>
      </c>
      <c r="D115" s="290">
        <v>0</v>
      </c>
      <c r="E115" s="290">
        <v>584.29999999999995</v>
      </c>
      <c r="F115" s="288" t="s">
        <v>1289</v>
      </c>
      <c r="G115" s="288" t="s">
        <v>1289</v>
      </c>
      <c r="H115" s="291" t="s">
        <v>18</v>
      </c>
      <c r="I115" s="292"/>
      <c r="J115" s="292"/>
      <c r="K115" s="288"/>
      <c r="L115" s="291">
        <v>2024</v>
      </c>
    </row>
    <row r="116" spans="1:12" x14ac:dyDescent="0.2">
      <c r="A116" s="291" t="s">
        <v>1392</v>
      </c>
      <c r="B116" s="291" t="s">
        <v>1392</v>
      </c>
      <c r="C116" s="289" t="s">
        <v>1417</v>
      </c>
      <c r="D116" s="290">
        <v>0</v>
      </c>
      <c r="E116" s="290">
        <v>768.7</v>
      </c>
      <c r="F116" s="288" t="s">
        <v>1289</v>
      </c>
      <c r="G116" s="288" t="s">
        <v>1286</v>
      </c>
      <c r="H116" s="291" t="s">
        <v>18</v>
      </c>
      <c r="I116" s="292"/>
      <c r="J116" s="292"/>
      <c r="K116" s="288"/>
      <c r="L116" s="291">
        <v>2024</v>
      </c>
    </row>
    <row r="117" spans="1:12" x14ac:dyDescent="0.2">
      <c r="A117" s="291" t="s">
        <v>1392</v>
      </c>
      <c r="B117" s="291" t="s">
        <v>1392</v>
      </c>
      <c r="C117" s="289" t="s">
        <v>1418</v>
      </c>
      <c r="D117" s="290">
        <v>0</v>
      </c>
      <c r="E117" s="290">
        <v>42312</v>
      </c>
      <c r="F117" s="288" t="s">
        <v>1289</v>
      </c>
      <c r="G117" s="288" t="s">
        <v>1289</v>
      </c>
      <c r="H117" s="291" t="s">
        <v>18</v>
      </c>
      <c r="I117" s="292"/>
      <c r="J117" s="292"/>
      <c r="K117" s="288"/>
      <c r="L117" s="291">
        <v>2024</v>
      </c>
    </row>
    <row r="118" spans="1:12" x14ac:dyDescent="0.2">
      <c r="A118" s="291" t="s">
        <v>1392</v>
      </c>
      <c r="B118" s="291" t="s">
        <v>1392</v>
      </c>
      <c r="C118" s="289" t="s">
        <v>1413</v>
      </c>
      <c r="D118" s="290">
        <v>0</v>
      </c>
      <c r="E118" s="290">
        <v>555</v>
      </c>
      <c r="F118" s="288" t="s">
        <v>1289</v>
      </c>
      <c r="G118" s="288" t="s">
        <v>1289</v>
      </c>
      <c r="H118" s="291" t="s">
        <v>18</v>
      </c>
      <c r="I118" s="292"/>
      <c r="J118" s="292"/>
      <c r="K118" s="288"/>
      <c r="L118" s="291">
        <v>2024</v>
      </c>
    </row>
    <row r="119" spans="1:12" x14ac:dyDescent="0.2">
      <c r="A119" s="291" t="s">
        <v>1392</v>
      </c>
      <c r="B119" s="291" t="s">
        <v>1392</v>
      </c>
      <c r="C119" s="289" t="s">
        <v>1413</v>
      </c>
      <c r="D119" s="290">
        <v>0</v>
      </c>
      <c r="E119" s="290">
        <v>11988</v>
      </c>
      <c r="F119" s="288" t="s">
        <v>1289</v>
      </c>
      <c r="G119" s="288" t="s">
        <v>1289</v>
      </c>
      <c r="H119" s="291" t="s">
        <v>18</v>
      </c>
      <c r="I119" s="292"/>
      <c r="J119" s="292"/>
      <c r="K119" s="288"/>
      <c r="L119" s="291">
        <v>2024</v>
      </c>
    </row>
    <row r="120" spans="1:12" x14ac:dyDescent="0.2">
      <c r="A120" s="291" t="s">
        <v>1392</v>
      </c>
      <c r="B120" s="288" t="s">
        <v>1419</v>
      </c>
      <c r="C120" s="289" t="s">
        <v>1420</v>
      </c>
      <c r="D120" s="290">
        <v>0</v>
      </c>
      <c r="E120" s="290">
        <v>39194.68</v>
      </c>
      <c r="F120" s="288" t="s">
        <v>1286</v>
      </c>
      <c r="G120" s="288" t="s">
        <v>1286</v>
      </c>
      <c r="H120" s="291" t="s">
        <v>18</v>
      </c>
      <c r="I120" s="292"/>
      <c r="J120" s="292"/>
      <c r="K120" s="288"/>
      <c r="L120" s="291">
        <v>2024</v>
      </c>
    </row>
    <row r="121" spans="1:12" x14ac:dyDescent="0.2">
      <c r="A121" s="291" t="s">
        <v>1392</v>
      </c>
      <c r="B121" s="288" t="s">
        <v>1421</v>
      </c>
      <c r="C121" s="289" t="s">
        <v>1422</v>
      </c>
      <c r="D121" s="290">
        <v>0</v>
      </c>
      <c r="E121" s="290">
        <v>12000.63</v>
      </c>
      <c r="F121" s="288" t="s">
        <v>1289</v>
      </c>
      <c r="G121" s="288" t="s">
        <v>1289</v>
      </c>
      <c r="H121" s="291" t="s">
        <v>18</v>
      </c>
      <c r="I121" s="292"/>
      <c r="J121" s="292"/>
      <c r="K121" s="288"/>
      <c r="L121" s="291">
        <v>2024</v>
      </c>
    </row>
    <row r="122" spans="1:12" x14ac:dyDescent="0.2">
      <c r="A122" s="291">
        <v>4600056454</v>
      </c>
      <c r="B122" s="288" t="s">
        <v>801</v>
      </c>
      <c r="C122" s="289" t="s">
        <v>1423</v>
      </c>
      <c r="D122" s="290">
        <v>28545.119999999999</v>
      </c>
      <c r="E122" s="290">
        <v>28545.119999999999</v>
      </c>
      <c r="F122" s="288" t="s">
        <v>1286</v>
      </c>
      <c r="G122" s="288" t="s">
        <v>1286</v>
      </c>
      <c r="H122" s="291" t="s">
        <v>18</v>
      </c>
      <c r="I122" s="292"/>
      <c r="J122" s="292"/>
      <c r="K122" s="288"/>
      <c r="L122" s="291">
        <v>2024</v>
      </c>
    </row>
    <row r="123" spans="1:12" x14ac:dyDescent="0.2">
      <c r="A123" s="291">
        <v>4600057665</v>
      </c>
      <c r="B123" s="288" t="s">
        <v>1424</v>
      </c>
      <c r="C123" s="289" t="s">
        <v>1425</v>
      </c>
      <c r="D123" s="290">
        <v>4171909.1200000001</v>
      </c>
      <c r="E123" s="290">
        <v>4171909.1200000001</v>
      </c>
      <c r="F123" s="288" t="s">
        <v>1288</v>
      </c>
      <c r="G123" s="288" t="s">
        <v>1288</v>
      </c>
      <c r="H123" s="291" t="s">
        <v>18</v>
      </c>
      <c r="I123" s="292"/>
      <c r="J123" s="292"/>
      <c r="K123" s="296"/>
      <c r="L123" s="291">
        <v>2024</v>
      </c>
    </row>
    <row r="124" spans="1:12" x14ac:dyDescent="0.2">
      <c r="A124" s="291">
        <v>4600056542</v>
      </c>
      <c r="B124" s="288" t="s">
        <v>1426</v>
      </c>
      <c r="C124" s="289" t="s">
        <v>1427</v>
      </c>
      <c r="D124" s="290">
        <v>20500</v>
      </c>
      <c r="E124" s="290">
        <v>20500</v>
      </c>
      <c r="F124" s="288" t="s">
        <v>1308</v>
      </c>
      <c r="G124" s="288" t="s">
        <v>1286</v>
      </c>
      <c r="H124" s="291" t="s">
        <v>18</v>
      </c>
      <c r="I124" s="292"/>
      <c r="J124" s="292"/>
      <c r="K124" s="288"/>
      <c r="L124" s="291">
        <v>2024</v>
      </c>
    </row>
    <row r="125" spans="1:12" x14ac:dyDescent="0.2">
      <c r="A125" s="291" t="s">
        <v>1392</v>
      </c>
      <c r="B125" s="288" t="s">
        <v>1393</v>
      </c>
      <c r="C125" s="289" t="s">
        <v>1428</v>
      </c>
      <c r="D125" s="290">
        <v>0</v>
      </c>
      <c r="E125" s="290">
        <v>-146077.24</v>
      </c>
      <c r="F125" s="288" t="s">
        <v>1286</v>
      </c>
      <c r="G125" s="288" t="s">
        <v>1286</v>
      </c>
      <c r="H125" s="291" t="s">
        <v>18</v>
      </c>
      <c r="I125" s="292"/>
      <c r="J125" s="292"/>
      <c r="K125" s="288"/>
      <c r="L125" s="291">
        <v>2024</v>
      </c>
    </row>
    <row r="126" spans="1:12" x14ac:dyDescent="0.2">
      <c r="A126" s="291" t="s">
        <v>1392</v>
      </c>
      <c r="B126" s="288" t="s">
        <v>1393</v>
      </c>
      <c r="C126" s="289" t="s">
        <v>1429</v>
      </c>
      <c r="D126" s="290">
        <v>0</v>
      </c>
      <c r="E126" s="290">
        <v>1300</v>
      </c>
      <c r="F126" s="288" t="s">
        <v>1286</v>
      </c>
      <c r="G126" s="288" t="s">
        <v>1286</v>
      </c>
      <c r="H126" s="291" t="s">
        <v>18</v>
      </c>
      <c r="I126" s="292"/>
      <c r="J126" s="292"/>
      <c r="K126" s="288"/>
      <c r="L126" s="291">
        <v>2024</v>
      </c>
    </row>
    <row r="127" spans="1:12" x14ac:dyDescent="0.2">
      <c r="A127" s="291" t="s">
        <v>1392</v>
      </c>
      <c r="B127" s="288" t="s">
        <v>1430</v>
      </c>
      <c r="C127" s="289" t="s">
        <v>1428</v>
      </c>
      <c r="D127" s="290">
        <v>0</v>
      </c>
      <c r="E127" s="290">
        <v>49800</v>
      </c>
      <c r="F127" s="288" t="s">
        <v>1286</v>
      </c>
      <c r="G127" s="288" t="s">
        <v>1286</v>
      </c>
      <c r="H127" s="291" t="s">
        <v>18</v>
      </c>
      <c r="I127" s="292"/>
      <c r="J127" s="292"/>
      <c r="K127" s="288"/>
      <c r="L127" s="291">
        <v>2024</v>
      </c>
    </row>
    <row r="128" spans="1:12" x14ac:dyDescent="0.2">
      <c r="A128" s="291" t="s">
        <v>1392</v>
      </c>
      <c r="B128" s="288" t="s">
        <v>1419</v>
      </c>
      <c r="C128" s="289" t="s">
        <v>1428</v>
      </c>
      <c r="D128" s="290">
        <v>0</v>
      </c>
      <c r="E128" s="290">
        <v>48694.8</v>
      </c>
      <c r="F128" s="288" t="s">
        <v>1286</v>
      </c>
      <c r="G128" s="288" t="s">
        <v>1286</v>
      </c>
      <c r="H128" s="291" t="s">
        <v>18</v>
      </c>
      <c r="I128" s="292"/>
      <c r="J128" s="292"/>
      <c r="K128" s="288"/>
      <c r="L128" s="291">
        <v>2024</v>
      </c>
    </row>
    <row r="129" spans="1:12" ht="15" x14ac:dyDescent="0.25">
      <c r="A129" s="291">
        <v>195138</v>
      </c>
      <c r="B129" s="288" t="s">
        <v>1431</v>
      </c>
      <c r="C129" s="289" t="s">
        <v>1432</v>
      </c>
      <c r="D129" s="290">
        <v>0</v>
      </c>
      <c r="E129" s="290">
        <v>346895.98</v>
      </c>
      <c r="F129" s="288" t="s">
        <v>1288</v>
      </c>
      <c r="G129" s="288" t="s">
        <v>1289</v>
      </c>
      <c r="H129" s="291" t="s">
        <v>18</v>
      </c>
      <c r="I129" s="297"/>
      <c r="J129" s="297"/>
      <c r="K129" s="298"/>
      <c r="L129" s="291">
        <v>2023</v>
      </c>
    </row>
    <row r="130" spans="1:12" ht="15" x14ac:dyDescent="0.25">
      <c r="A130" s="287">
        <v>4600051835</v>
      </c>
      <c r="B130" s="288" t="s">
        <v>61</v>
      </c>
      <c r="C130" s="289" t="s">
        <v>1433</v>
      </c>
      <c r="D130" s="290">
        <v>0</v>
      </c>
      <c r="E130" s="290">
        <v>0</v>
      </c>
      <c r="F130" s="288" t="s">
        <v>1286</v>
      </c>
      <c r="G130" s="288" t="s">
        <v>1286</v>
      </c>
      <c r="H130" s="291" t="s">
        <v>18</v>
      </c>
      <c r="I130" s="297"/>
      <c r="J130" s="297"/>
      <c r="K130" s="298"/>
      <c r="L130" s="291">
        <v>2023</v>
      </c>
    </row>
    <row r="131" spans="1:12" ht="15" x14ac:dyDescent="0.25">
      <c r="A131" s="287">
        <v>4600051835</v>
      </c>
      <c r="B131" s="288" t="s">
        <v>61</v>
      </c>
      <c r="C131" s="289" t="s">
        <v>1434</v>
      </c>
      <c r="D131" s="290">
        <v>0</v>
      </c>
      <c r="E131" s="290">
        <v>1891</v>
      </c>
      <c r="F131" s="288" t="s">
        <v>1329</v>
      </c>
      <c r="G131" s="288" t="s">
        <v>1329</v>
      </c>
      <c r="H131" s="291" t="s">
        <v>18</v>
      </c>
      <c r="I131" s="297"/>
      <c r="J131" s="297"/>
      <c r="K131" s="298"/>
      <c r="L131" s="291">
        <v>2023</v>
      </c>
    </row>
    <row r="132" spans="1:12" ht="15" x14ac:dyDescent="0.25">
      <c r="A132" s="287">
        <v>4600051835</v>
      </c>
      <c r="B132" s="288" t="s">
        <v>61</v>
      </c>
      <c r="C132" s="289" t="s">
        <v>1435</v>
      </c>
      <c r="D132" s="290">
        <v>0</v>
      </c>
      <c r="E132" s="290">
        <v>275990</v>
      </c>
      <c r="F132" s="288" t="s">
        <v>1286</v>
      </c>
      <c r="G132" s="288" t="s">
        <v>1286</v>
      </c>
      <c r="H132" s="291" t="s">
        <v>18</v>
      </c>
      <c r="I132" s="297"/>
      <c r="J132" s="297"/>
      <c r="K132" s="298"/>
      <c r="L132" s="291">
        <v>2023</v>
      </c>
    </row>
    <row r="133" spans="1:12" ht="15" x14ac:dyDescent="0.25">
      <c r="A133" s="287">
        <v>4600054298</v>
      </c>
      <c r="B133" s="288" t="s">
        <v>61</v>
      </c>
      <c r="C133" s="289" t="s">
        <v>1436</v>
      </c>
      <c r="D133" s="290">
        <v>0</v>
      </c>
      <c r="E133" s="290">
        <v>563255.02</v>
      </c>
      <c r="F133" s="288" t="s">
        <v>1286</v>
      </c>
      <c r="G133" s="288" t="s">
        <v>1286</v>
      </c>
      <c r="H133" s="291" t="s">
        <v>18</v>
      </c>
      <c r="I133" s="297"/>
      <c r="J133" s="297"/>
      <c r="K133" s="298"/>
      <c r="L133" s="291">
        <v>2023</v>
      </c>
    </row>
    <row r="134" spans="1:12" ht="15" x14ac:dyDescent="0.25">
      <c r="A134" s="287">
        <v>4600051835</v>
      </c>
      <c r="B134" s="288" t="s">
        <v>61</v>
      </c>
      <c r="C134" s="289" t="s">
        <v>1437</v>
      </c>
      <c r="D134" s="290">
        <v>0</v>
      </c>
      <c r="E134" s="290">
        <v>-1808.24</v>
      </c>
      <c r="F134" s="288" t="s">
        <v>1286</v>
      </c>
      <c r="G134" s="288" t="s">
        <v>1286</v>
      </c>
      <c r="H134" s="291" t="s">
        <v>18</v>
      </c>
      <c r="I134" s="297"/>
      <c r="J134" s="297"/>
      <c r="K134" s="298"/>
      <c r="L134" s="291">
        <v>2023</v>
      </c>
    </row>
    <row r="135" spans="1:12" ht="15" x14ac:dyDescent="0.25">
      <c r="A135" s="287">
        <v>4600051835</v>
      </c>
      <c r="B135" s="288" t="s">
        <v>61</v>
      </c>
      <c r="C135" s="289" t="s">
        <v>1386</v>
      </c>
      <c r="D135" s="290">
        <v>0</v>
      </c>
      <c r="E135" s="290">
        <v>121259</v>
      </c>
      <c r="F135" s="288" t="s">
        <v>1289</v>
      </c>
      <c r="G135" s="288" t="s">
        <v>1289</v>
      </c>
      <c r="H135" s="291" t="s">
        <v>18</v>
      </c>
      <c r="I135" s="297"/>
      <c r="J135" s="297"/>
      <c r="K135" s="298"/>
      <c r="L135" s="291">
        <v>2023</v>
      </c>
    </row>
    <row r="136" spans="1:12" ht="15" x14ac:dyDescent="0.25">
      <c r="A136" s="287">
        <v>4600051835</v>
      </c>
      <c r="B136" s="288" t="s">
        <v>61</v>
      </c>
      <c r="C136" s="289" t="s">
        <v>1438</v>
      </c>
      <c r="D136" s="290">
        <v>0</v>
      </c>
      <c r="E136" s="290">
        <v>16650.62</v>
      </c>
      <c r="F136" s="288" t="s">
        <v>1289</v>
      </c>
      <c r="G136" s="288" t="s">
        <v>1289</v>
      </c>
      <c r="H136" s="291" t="s">
        <v>18</v>
      </c>
      <c r="I136" s="297"/>
      <c r="J136" s="297"/>
      <c r="K136" s="298"/>
      <c r="L136" s="291">
        <v>2023</v>
      </c>
    </row>
    <row r="137" spans="1:12" ht="15" x14ac:dyDescent="0.25">
      <c r="A137" s="287">
        <v>4600051835</v>
      </c>
      <c r="B137" s="288" t="s">
        <v>61</v>
      </c>
      <c r="C137" s="289" t="s">
        <v>1439</v>
      </c>
      <c r="D137" s="290">
        <v>0</v>
      </c>
      <c r="E137" s="290">
        <v>11779.18</v>
      </c>
      <c r="F137" s="288" t="s">
        <v>1289</v>
      </c>
      <c r="G137" s="288" t="s">
        <v>1289</v>
      </c>
      <c r="H137" s="291" t="s">
        <v>18</v>
      </c>
      <c r="I137" s="297"/>
      <c r="J137" s="297"/>
      <c r="K137" s="298"/>
      <c r="L137" s="291">
        <v>2023</v>
      </c>
    </row>
    <row r="138" spans="1:12" ht="15" x14ac:dyDescent="0.25">
      <c r="A138" s="287">
        <v>4600051835</v>
      </c>
      <c r="B138" s="288" t="s">
        <v>61</v>
      </c>
      <c r="C138" s="289" t="s">
        <v>1440</v>
      </c>
      <c r="D138" s="290">
        <v>0</v>
      </c>
      <c r="E138" s="290">
        <v>87054.35</v>
      </c>
      <c r="F138" s="288" t="s">
        <v>1286</v>
      </c>
      <c r="G138" s="288" t="s">
        <v>1286</v>
      </c>
      <c r="H138" s="291" t="s">
        <v>18</v>
      </c>
      <c r="I138" s="297"/>
      <c r="J138" s="297"/>
      <c r="K138" s="298"/>
      <c r="L138" s="291">
        <v>2023</v>
      </c>
    </row>
    <row r="139" spans="1:12" ht="15" x14ac:dyDescent="0.25">
      <c r="A139" s="287">
        <v>4600051835</v>
      </c>
      <c r="B139" s="288" t="s">
        <v>61</v>
      </c>
      <c r="C139" s="289" t="s">
        <v>1387</v>
      </c>
      <c r="D139" s="290">
        <v>0</v>
      </c>
      <c r="E139" s="290">
        <v>79799.520000000004</v>
      </c>
      <c r="F139" s="288" t="s">
        <v>1286</v>
      </c>
      <c r="G139" s="288" t="s">
        <v>1286</v>
      </c>
      <c r="H139" s="291" t="s">
        <v>18</v>
      </c>
      <c r="I139" s="297"/>
      <c r="J139" s="297"/>
      <c r="K139" s="298"/>
      <c r="L139" s="291">
        <v>2023</v>
      </c>
    </row>
    <row r="140" spans="1:12" ht="15" x14ac:dyDescent="0.25">
      <c r="A140" s="287">
        <v>4600051835</v>
      </c>
      <c r="B140" s="288" t="s">
        <v>61</v>
      </c>
      <c r="C140" s="289" t="s">
        <v>1389</v>
      </c>
      <c r="D140" s="290">
        <v>0</v>
      </c>
      <c r="E140" s="290">
        <v>134920</v>
      </c>
      <c r="F140" s="288" t="s">
        <v>1286</v>
      </c>
      <c r="G140" s="288" t="s">
        <v>1286</v>
      </c>
      <c r="H140" s="291" t="s">
        <v>18</v>
      </c>
      <c r="I140" s="297"/>
      <c r="J140" s="297"/>
      <c r="K140" s="298"/>
      <c r="L140" s="291">
        <v>2023</v>
      </c>
    </row>
    <row r="141" spans="1:12" ht="15" x14ac:dyDescent="0.25">
      <c r="A141" s="287">
        <v>4600051835</v>
      </c>
      <c r="B141" s="288" t="s">
        <v>61</v>
      </c>
      <c r="C141" s="289" t="s">
        <v>1390</v>
      </c>
      <c r="D141" s="290">
        <v>0</v>
      </c>
      <c r="E141" s="290">
        <v>9986.32</v>
      </c>
      <c r="F141" s="288" t="s">
        <v>1286</v>
      </c>
      <c r="G141" s="288" t="s">
        <v>1286</v>
      </c>
      <c r="H141" s="291" t="s">
        <v>18</v>
      </c>
      <c r="I141" s="297"/>
      <c r="J141" s="297"/>
      <c r="K141" s="298"/>
      <c r="L141" s="291">
        <v>2023</v>
      </c>
    </row>
    <row r="142" spans="1:12" ht="15" x14ac:dyDescent="0.25">
      <c r="A142" s="287">
        <v>4600051835</v>
      </c>
      <c r="B142" s="288" t="s">
        <v>61</v>
      </c>
      <c r="C142" s="289" t="s">
        <v>1441</v>
      </c>
      <c r="D142" s="290">
        <v>0</v>
      </c>
      <c r="E142" s="290">
        <v>97248.56</v>
      </c>
      <c r="F142" s="288" t="s">
        <v>1289</v>
      </c>
      <c r="G142" s="288" t="s">
        <v>1289</v>
      </c>
      <c r="H142" s="291" t="s">
        <v>18</v>
      </c>
      <c r="I142" s="297"/>
      <c r="J142" s="297"/>
      <c r="K142" s="298"/>
      <c r="L142" s="291">
        <v>2023</v>
      </c>
    </row>
    <row r="143" spans="1:12" ht="15" x14ac:dyDescent="0.25">
      <c r="A143" s="287">
        <v>4600057590</v>
      </c>
      <c r="B143" s="288" t="s">
        <v>1442</v>
      </c>
      <c r="C143" s="289" t="s">
        <v>1443</v>
      </c>
      <c r="D143" s="290">
        <v>0</v>
      </c>
      <c r="E143" s="290">
        <v>9283.7800000000007</v>
      </c>
      <c r="F143" s="288" t="s">
        <v>1288</v>
      </c>
      <c r="G143" s="288" t="s">
        <v>1289</v>
      </c>
      <c r="H143" s="291" t="s">
        <v>18</v>
      </c>
      <c r="I143" s="297"/>
      <c r="J143" s="297"/>
      <c r="K143" s="298"/>
      <c r="L143" s="291">
        <v>2023</v>
      </c>
    </row>
    <row r="144" spans="1:12" ht="15" x14ac:dyDescent="0.25">
      <c r="A144" s="287">
        <v>4600056681</v>
      </c>
      <c r="B144" s="288" t="s">
        <v>1444</v>
      </c>
      <c r="C144" s="289" t="s">
        <v>1445</v>
      </c>
      <c r="D144" s="290">
        <v>0</v>
      </c>
      <c r="E144" s="290">
        <v>-340276.43</v>
      </c>
      <c r="F144" s="288" t="s">
        <v>1286</v>
      </c>
      <c r="G144" s="288" t="s">
        <v>1289</v>
      </c>
      <c r="H144" s="291" t="s">
        <v>18</v>
      </c>
      <c r="I144" s="297"/>
      <c r="J144" s="297"/>
      <c r="K144" s="298"/>
      <c r="L144" s="291">
        <v>2023</v>
      </c>
    </row>
    <row r="145" spans="1:12" ht="15" x14ac:dyDescent="0.25">
      <c r="A145" s="287">
        <v>4600046679</v>
      </c>
      <c r="B145" s="288" t="s">
        <v>1446</v>
      </c>
      <c r="C145" s="289" t="s">
        <v>1447</v>
      </c>
      <c r="D145" s="290">
        <v>0</v>
      </c>
      <c r="E145" s="290">
        <v>1294740.8999999999</v>
      </c>
      <c r="F145" s="288" t="s">
        <v>1286</v>
      </c>
      <c r="G145" s="288" t="s">
        <v>1286</v>
      </c>
      <c r="H145" s="291" t="s">
        <v>18</v>
      </c>
      <c r="I145" s="297"/>
      <c r="J145" s="297"/>
      <c r="K145" s="298"/>
      <c r="L145" s="291">
        <v>2023</v>
      </c>
    </row>
    <row r="146" spans="1:12" ht="15" x14ac:dyDescent="0.25">
      <c r="A146" s="291">
        <v>4600055533</v>
      </c>
      <c r="B146" s="288" t="s">
        <v>1448</v>
      </c>
      <c r="C146" s="289" t="s">
        <v>1449</v>
      </c>
      <c r="D146" s="290">
        <v>0</v>
      </c>
      <c r="E146" s="290">
        <v>807465.89</v>
      </c>
      <c r="F146" s="288" t="s">
        <v>1289</v>
      </c>
      <c r="G146" s="288" t="s">
        <v>1289</v>
      </c>
      <c r="H146" s="291" t="s">
        <v>18</v>
      </c>
      <c r="I146" s="297"/>
      <c r="J146" s="297"/>
      <c r="K146" s="298"/>
      <c r="L146" s="291">
        <v>2023</v>
      </c>
    </row>
    <row r="147" spans="1:12" ht="15" x14ac:dyDescent="0.25">
      <c r="A147" s="291">
        <v>4600053631</v>
      </c>
      <c r="B147" s="288" t="s">
        <v>1450</v>
      </c>
      <c r="C147" s="289" t="s">
        <v>1439</v>
      </c>
      <c r="D147" s="290">
        <v>0</v>
      </c>
      <c r="E147" s="290">
        <v>300000</v>
      </c>
      <c r="F147" s="288" t="s">
        <v>1289</v>
      </c>
      <c r="G147" s="288" t="s">
        <v>1289</v>
      </c>
      <c r="H147" s="291" t="s">
        <v>18</v>
      </c>
      <c r="I147" s="297"/>
      <c r="J147" s="297"/>
      <c r="K147" s="298"/>
      <c r="L147" s="291">
        <v>2023</v>
      </c>
    </row>
    <row r="148" spans="1:12" ht="15" x14ac:dyDescent="0.25">
      <c r="A148" s="287">
        <v>4600056533</v>
      </c>
      <c r="B148" s="288" t="s">
        <v>1451</v>
      </c>
      <c r="C148" s="289" t="s">
        <v>1436</v>
      </c>
      <c r="D148" s="290">
        <v>0</v>
      </c>
      <c r="E148" s="290">
        <v>61685.5</v>
      </c>
      <c r="F148" s="288" t="s">
        <v>1286</v>
      </c>
      <c r="G148" s="288" t="s">
        <v>1286</v>
      </c>
      <c r="H148" s="291" t="s">
        <v>18</v>
      </c>
      <c r="I148" s="297"/>
      <c r="J148" s="297"/>
      <c r="K148" s="298"/>
      <c r="L148" s="291">
        <v>2023</v>
      </c>
    </row>
    <row r="149" spans="1:12" ht="15" x14ac:dyDescent="0.25">
      <c r="A149" s="291">
        <v>4600049132</v>
      </c>
      <c r="B149" s="288" t="s">
        <v>1452</v>
      </c>
      <c r="C149" s="289" t="s">
        <v>1452</v>
      </c>
      <c r="D149" s="290">
        <v>0</v>
      </c>
      <c r="E149" s="290">
        <v>0</v>
      </c>
      <c r="F149" s="288" t="s">
        <v>1289</v>
      </c>
      <c r="G149" s="288" t="s">
        <v>1289</v>
      </c>
      <c r="H149" s="291" t="s">
        <v>18</v>
      </c>
      <c r="I149" s="297"/>
      <c r="J149" s="297"/>
      <c r="K149" s="298"/>
      <c r="L149" s="291">
        <v>2023</v>
      </c>
    </row>
    <row r="150" spans="1:12" ht="15" x14ac:dyDescent="0.25">
      <c r="A150" s="287">
        <v>4600053869</v>
      </c>
      <c r="B150" s="288" t="s">
        <v>89</v>
      </c>
      <c r="C150" s="289" t="s">
        <v>1453</v>
      </c>
      <c r="D150" s="290">
        <v>0</v>
      </c>
      <c r="E150" s="290">
        <v>2396201.61</v>
      </c>
      <c r="F150" s="288" t="s">
        <v>1286</v>
      </c>
      <c r="G150" s="288" t="s">
        <v>1289</v>
      </c>
      <c r="H150" s="291" t="s">
        <v>18</v>
      </c>
      <c r="I150" s="297"/>
      <c r="J150" s="297"/>
      <c r="K150" s="298"/>
      <c r="L150" s="291">
        <v>2023</v>
      </c>
    </row>
    <row r="151" spans="1:12" ht="15" x14ac:dyDescent="0.25">
      <c r="A151" s="291">
        <v>3027294</v>
      </c>
      <c r="B151" s="288" t="s">
        <v>1393</v>
      </c>
      <c r="C151" s="289" t="s">
        <v>1454</v>
      </c>
      <c r="D151" s="290">
        <v>0</v>
      </c>
      <c r="E151" s="290">
        <v>138294</v>
      </c>
      <c r="F151" s="288" t="s">
        <v>1286</v>
      </c>
      <c r="G151" s="288" t="s">
        <v>1286</v>
      </c>
      <c r="H151" s="291" t="s">
        <v>18</v>
      </c>
      <c r="I151" s="297"/>
      <c r="J151" s="297"/>
      <c r="K151" s="298"/>
      <c r="L151" s="291">
        <v>2023</v>
      </c>
    </row>
    <row r="152" spans="1:12" ht="15" x14ac:dyDescent="0.25">
      <c r="A152" s="291">
        <v>3027294</v>
      </c>
      <c r="B152" s="288" t="s">
        <v>1393</v>
      </c>
      <c r="C152" s="289" t="s">
        <v>1455</v>
      </c>
      <c r="D152" s="290">
        <v>0</v>
      </c>
      <c r="E152" s="290">
        <v>890</v>
      </c>
      <c r="F152" s="288" t="s">
        <v>1286</v>
      </c>
      <c r="G152" s="288" t="s">
        <v>1286</v>
      </c>
      <c r="H152" s="291" t="s">
        <v>18</v>
      </c>
      <c r="I152" s="297"/>
      <c r="J152" s="297"/>
      <c r="K152" s="298"/>
      <c r="L152" s="291">
        <v>2023</v>
      </c>
    </row>
    <row r="153" spans="1:12" ht="15" x14ac:dyDescent="0.25">
      <c r="A153" s="291">
        <v>4600044324</v>
      </c>
      <c r="B153" s="288" t="s">
        <v>1456</v>
      </c>
      <c r="C153" s="289" t="s">
        <v>1457</v>
      </c>
      <c r="D153" s="290">
        <v>0</v>
      </c>
      <c r="E153" s="290">
        <v>380654.52</v>
      </c>
      <c r="F153" s="288" t="s">
        <v>1286</v>
      </c>
      <c r="G153" s="288" t="s">
        <v>1286</v>
      </c>
      <c r="H153" s="291" t="s">
        <v>18</v>
      </c>
      <c r="I153" s="297"/>
      <c r="J153" s="297"/>
      <c r="K153" s="298"/>
      <c r="L153" s="291">
        <v>2023</v>
      </c>
    </row>
    <row r="154" spans="1:12" ht="15" x14ac:dyDescent="0.25">
      <c r="A154" s="291">
        <v>3026972</v>
      </c>
      <c r="B154" s="288" t="s">
        <v>1458</v>
      </c>
      <c r="C154" s="289" t="s">
        <v>1459</v>
      </c>
      <c r="D154" s="290">
        <v>0</v>
      </c>
      <c r="E154" s="290">
        <v>49165.57</v>
      </c>
      <c r="F154" s="288" t="s">
        <v>1289</v>
      </c>
      <c r="G154" s="288" t="s">
        <v>1289</v>
      </c>
      <c r="H154" s="291" t="s">
        <v>18</v>
      </c>
      <c r="I154" s="297"/>
      <c r="J154" s="297"/>
      <c r="K154" s="298"/>
      <c r="L154" s="291">
        <v>2023</v>
      </c>
    </row>
    <row r="155" spans="1:12" ht="15" x14ac:dyDescent="0.25">
      <c r="A155" s="291">
        <v>4600049485</v>
      </c>
      <c r="B155" s="288" t="s">
        <v>1460</v>
      </c>
      <c r="C155" s="289" t="s">
        <v>1461</v>
      </c>
      <c r="D155" s="290">
        <v>0</v>
      </c>
      <c r="E155" s="290">
        <v>1531797.18</v>
      </c>
      <c r="F155" s="288" t="s">
        <v>1286</v>
      </c>
      <c r="G155" s="288" t="s">
        <v>1286</v>
      </c>
      <c r="H155" s="291" t="s">
        <v>18</v>
      </c>
      <c r="I155" s="297"/>
      <c r="J155" s="297"/>
      <c r="K155" s="298"/>
      <c r="L155" s="291">
        <v>2023</v>
      </c>
    </row>
    <row r="156" spans="1:12" ht="15" x14ac:dyDescent="0.25">
      <c r="A156" s="287">
        <v>4600056630</v>
      </c>
      <c r="B156" s="288" t="s">
        <v>1462</v>
      </c>
      <c r="C156" s="289" t="s">
        <v>1463</v>
      </c>
      <c r="D156" s="290">
        <v>0</v>
      </c>
      <c r="E156" s="290">
        <v>11633.78</v>
      </c>
      <c r="F156" s="288" t="s">
        <v>1288</v>
      </c>
      <c r="G156" s="288" t="s">
        <v>1286</v>
      </c>
      <c r="H156" s="291" t="s">
        <v>18</v>
      </c>
      <c r="I156" s="297"/>
      <c r="J156" s="297"/>
      <c r="K156" s="298"/>
      <c r="L156" s="291">
        <v>2023</v>
      </c>
    </row>
    <row r="157" spans="1:12" ht="15" x14ac:dyDescent="0.25">
      <c r="A157" s="287">
        <v>4600056630</v>
      </c>
      <c r="B157" s="288" t="s">
        <v>1462</v>
      </c>
      <c r="C157" s="289" t="s">
        <v>1464</v>
      </c>
      <c r="D157" s="290">
        <v>0</v>
      </c>
      <c r="E157" s="290">
        <v>934885.79</v>
      </c>
      <c r="F157" s="288" t="s">
        <v>1288</v>
      </c>
      <c r="G157" s="288" t="s">
        <v>1286</v>
      </c>
      <c r="H157" s="291" t="s">
        <v>18</v>
      </c>
      <c r="I157" s="297"/>
      <c r="J157" s="297"/>
      <c r="K157" s="298"/>
      <c r="L157" s="291">
        <v>2023</v>
      </c>
    </row>
    <row r="158" spans="1:12" ht="15" x14ac:dyDescent="0.25">
      <c r="A158" s="291">
        <v>3021763</v>
      </c>
      <c r="B158" s="288" t="s">
        <v>1430</v>
      </c>
      <c r="C158" s="289" t="s">
        <v>1465</v>
      </c>
      <c r="D158" s="290">
        <v>0</v>
      </c>
      <c r="E158" s="290">
        <v>45722.7</v>
      </c>
      <c r="F158" s="288" t="s">
        <v>1286</v>
      </c>
      <c r="G158" s="288" t="s">
        <v>1286</v>
      </c>
      <c r="H158" s="291" t="s">
        <v>18</v>
      </c>
      <c r="I158" s="297"/>
      <c r="J158" s="297"/>
      <c r="K158" s="298"/>
      <c r="L158" s="291">
        <v>2023</v>
      </c>
    </row>
    <row r="159" spans="1:12" ht="15" x14ac:dyDescent="0.25">
      <c r="A159" s="291">
        <v>4600053625</v>
      </c>
      <c r="B159" s="288" t="s">
        <v>1397</v>
      </c>
      <c r="C159" s="289" t="s">
        <v>1399</v>
      </c>
      <c r="D159" s="290">
        <v>0</v>
      </c>
      <c r="E159" s="290">
        <v>2542946.73</v>
      </c>
      <c r="F159" s="288" t="s">
        <v>1286</v>
      </c>
      <c r="G159" s="288" t="s">
        <v>1286</v>
      </c>
      <c r="H159" s="291" t="s">
        <v>18</v>
      </c>
      <c r="I159" s="297"/>
      <c r="J159" s="297"/>
      <c r="K159" s="298"/>
      <c r="L159" s="291">
        <v>2023</v>
      </c>
    </row>
    <row r="160" spans="1:12" ht="15" x14ac:dyDescent="0.25">
      <c r="A160" s="291">
        <v>4600041689</v>
      </c>
      <c r="B160" s="288" t="s">
        <v>1466</v>
      </c>
      <c r="C160" s="289" t="s">
        <v>1467</v>
      </c>
      <c r="D160" s="290">
        <v>0</v>
      </c>
      <c r="E160" s="290">
        <v>14875</v>
      </c>
      <c r="F160" s="288" t="s">
        <v>1286</v>
      </c>
      <c r="G160" s="288" t="s">
        <v>1286</v>
      </c>
      <c r="H160" s="291" t="s">
        <v>18</v>
      </c>
      <c r="I160" s="297"/>
      <c r="J160" s="297"/>
      <c r="K160" s="298"/>
      <c r="L160" s="291">
        <v>2023</v>
      </c>
    </row>
    <row r="161" spans="1:12" ht="15" x14ac:dyDescent="0.25">
      <c r="A161" s="287">
        <v>4600049735</v>
      </c>
      <c r="B161" s="288" t="s">
        <v>23</v>
      </c>
      <c r="C161" s="289" t="s">
        <v>1413</v>
      </c>
      <c r="D161" s="290">
        <v>0</v>
      </c>
      <c r="E161" s="290">
        <v>2280956.5699999998</v>
      </c>
      <c r="F161" s="288" t="s">
        <v>1289</v>
      </c>
      <c r="G161" s="288" t="s">
        <v>1289</v>
      </c>
      <c r="H161" s="291" t="s">
        <v>18</v>
      </c>
      <c r="I161" s="297"/>
      <c r="J161" s="297"/>
      <c r="K161" s="298"/>
      <c r="L161" s="291">
        <v>2023</v>
      </c>
    </row>
    <row r="162" spans="1:12" ht="15" x14ac:dyDescent="0.25">
      <c r="A162" s="291" t="s">
        <v>1392</v>
      </c>
      <c r="B162" s="288" t="s">
        <v>1392</v>
      </c>
      <c r="C162" s="289" t="s">
        <v>1392</v>
      </c>
      <c r="D162" s="290">
        <v>0</v>
      </c>
      <c r="E162" s="290">
        <v>178864.79</v>
      </c>
      <c r="F162" s="288" t="s">
        <v>1286</v>
      </c>
      <c r="G162" s="288" t="s">
        <v>1286</v>
      </c>
      <c r="H162" s="291" t="s">
        <v>18</v>
      </c>
      <c r="I162" s="297"/>
      <c r="J162" s="297"/>
      <c r="K162" s="298"/>
      <c r="L162" s="291">
        <v>2023</v>
      </c>
    </row>
    <row r="163" spans="1:12" ht="15" x14ac:dyDescent="0.25">
      <c r="A163" s="291">
        <v>4600049314</v>
      </c>
      <c r="B163" s="288" t="s">
        <v>1403</v>
      </c>
      <c r="C163" s="289" t="s">
        <v>1404</v>
      </c>
      <c r="D163" s="290">
        <v>0</v>
      </c>
      <c r="E163" s="290">
        <v>146526.38</v>
      </c>
      <c r="F163" s="288" t="s">
        <v>1289</v>
      </c>
      <c r="G163" s="288" t="s">
        <v>1289</v>
      </c>
      <c r="H163" s="291" t="s">
        <v>18</v>
      </c>
      <c r="I163" s="297"/>
      <c r="J163" s="297"/>
      <c r="K163" s="298"/>
      <c r="L163" s="291">
        <v>2023</v>
      </c>
    </row>
    <row r="164" spans="1:12" ht="15" x14ac:dyDescent="0.25">
      <c r="A164" s="287">
        <v>4600057071</v>
      </c>
      <c r="B164" s="288" t="s">
        <v>1468</v>
      </c>
      <c r="C164" s="289" t="s">
        <v>1394</v>
      </c>
      <c r="D164" s="290">
        <v>0</v>
      </c>
      <c r="E164" s="290">
        <v>295000</v>
      </c>
      <c r="F164" s="288" t="s">
        <v>1308</v>
      </c>
      <c r="G164" s="288" t="s">
        <v>1308</v>
      </c>
      <c r="H164" s="291" t="s">
        <v>18</v>
      </c>
      <c r="I164" s="297"/>
      <c r="J164" s="297"/>
      <c r="K164" s="298"/>
      <c r="L164" s="291">
        <v>2023</v>
      </c>
    </row>
    <row r="165" spans="1:12" ht="15" x14ac:dyDescent="0.25">
      <c r="A165" s="291">
        <v>4600056542</v>
      </c>
      <c r="B165" s="288" t="s">
        <v>1426</v>
      </c>
      <c r="C165" s="289" t="s">
        <v>1469</v>
      </c>
      <c r="D165" s="290">
        <v>0</v>
      </c>
      <c r="E165" s="290">
        <v>97000</v>
      </c>
      <c r="F165" s="288" t="s">
        <v>1308</v>
      </c>
      <c r="G165" s="288" t="s">
        <v>1286</v>
      </c>
      <c r="H165" s="291" t="s">
        <v>18</v>
      </c>
      <c r="I165" s="297"/>
      <c r="J165" s="297"/>
      <c r="K165" s="298"/>
      <c r="L165" s="291">
        <v>2023</v>
      </c>
    </row>
    <row r="166" spans="1:12" ht="15" x14ac:dyDescent="0.25">
      <c r="A166" s="287">
        <v>4600056470</v>
      </c>
      <c r="B166" s="288" t="s">
        <v>1178</v>
      </c>
      <c r="C166" s="289" t="s">
        <v>1469</v>
      </c>
      <c r="D166" s="290">
        <v>0</v>
      </c>
      <c r="E166" s="290">
        <v>961904.05</v>
      </c>
      <c r="F166" s="288" t="s">
        <v>1308</v>
      </c>
      <c r="G166" s="288" t="s">
        <v>1289</v>
      </c>
      <c r="H166" s="291" t="s">
        <v>18</v>
      </c>
      <c r="I166" s="297"/>
      <c r="J166" s="297"/>
      <c r="K166" s="298"/>
      <c r="L166" s="291">
        <v>2023</v>
      </c>
    </row>
    <row r="167" spans="1:12" ht="15" x14ac:dyDescent="0.25">
      <c r="A167" s="287">
        <v>4600050465</v>
      </c>
      <c r="B167" s="288" t="s">
        <v>58</v>
      </c>
      <c r="C167" s="289" t="s">
        <v>1437</v>
      </c>
      <c r="D167" s="290">
        <v>0</v>
      </c>
      <c r="E167" s="290">
        <v>22826.38</v>
      </c>
      <c r="F167" s="288" t="s">
        <v>1286</v>
      </c>
      <c r="G167" s="288" t="s">
        <v>1286</v>
      </c>
      <c r="H167" s="291" t="s">
        <v>18</v>
      </c>
      <c r="I167" s="297"/>
      <c r="J167" s="297"/>
      <c r="K167" s="298"/>
      <c r="L167" s="291">
        <v>2023</v>
      </c>
    </row>
    <row r="168" spans="1:12" ht="15" x14ac:dyDescent="0.25">
      <c r="A168" s="287">
        <v>4600056444</v>
      </c>
      <c r="B168" s="288" t="s">
        <v>131</v>
      </c>
      <c r="C168" s="289" t="s">
        <v>1470</v>
      </c>
      <c r="D168" s="290">
        <v>0</v>
      </c>
      <c r="E168" s="290">
        <v>138069.24</v>
      </c>
      <c r="F168" s="288" t="s">
        <v>1308</v>
      </c>
      <c r="G168" s="288" t="s">
        <v>1286</v>
      </c>
      <c r="H168" s="291" t="s">
        <v>18</v>
      </c>
      <c r="I168" s="297"/>
      <c r="J168" s="297"/>
      <c r="K168" s="298"/>
      <c r="L168" s="291">
        <v>2023</v>
      </c>
    </row>
    <row r="169" spans="1:12" ht="15" x14ac:dyDescent="0.25">
      <c r="A169" s="287">
        <v>4600051835</v>
      </c>
      <c r="B169" s="288" t="s">
        <v>61</v>
      </c>
      <c r="C169" s="289" t="s">
        <v>1408</v>
      </c>
      <c r="D169" s="290">
        <v>0</v>
      </c>
      <c r="E169" s="290">
        <v>23220</v>
      </c>
      <c r="F169" s="288" t="s">
        <v>1286</v>
      </c>
      <c r="G169" s="288" t="s">
        <v>1286</v>
      </c>
      <c r="H169" s="291" t="s">
        <v>18</v>
      </c>
      <c r="I169" s="297"/>
      <c r="J169" s="297"/>
      <c r="K169" s="298"/>
      <c r="L169" s="291">
        <v>2023</v>
      </c>
    </row>
    <row r="170" spans="1:12" ht="15" x14ac:dyDescent="0.25">
      <c r="A170" s="287">
        <v>4600054298</v>
      </c>
      <c r="B170" s="288" t="s">
        <v>61</v>
      </c>
      <c r="C170" s="289" t="s">
        <v>1471</v>
      </c>
      <c r="D170" s="290">
        <v>0</v>
      </c>
      <c r="E170" s="290">
        <v>756465.64</v>
      </c>
      <c r="F170" s="288" t="s">
        <v>1286</v>
      </c>
      <c r="G170" s="288" t="s">
        <v>1286</v>
      </c>
      <c r="H170" s="291" t="s">
        <v>18</v>
      </c>
      <c r="I170" s="297"/>
      <c r="J170" s="297"/>
      <c r="K170" s="298"/>
      <c r="L170" s="291">
        <v>2023</v>
      </c>
    </row>
    <row r="171" spans="1:12" ht="15" x14ac:dyDescent="0.25">
      <c r="A171" s="287">
        <v>4600054540</v>
      </c>
      <c r="B171" s="288" t="s">
        <v>1472</v>
      </c>
      <c r="C171" s="289" t="s">
        <v>1473</v>
      </c>
      <c r="D171" s="290">
        <v>0</v>
      </c>
      <c r="E171" s="290">
        <v>7715911.1200000001</v>
      </c>
      <c r="F171" s="288" t="s">
        <v>1286</v>
      </c>
      <c r="G171" s="288" t="s">
        <v>1286</v>
      </c>
      <c r="H171" s="291" t="s">
        <v>18</v>
      </c>
      <c r="I171" s="297"/>
      <c r="J171" s="297"/>
      <c r="K171" s="298"/>
      <c r="L171" s="291">
        <v>2023</v>
      </c>
    </row>
    <row r="172" spans="1:12" ht="15" x14ac:dyDescent="0.25">
      <c r="A172" s="287">
        <v>4600053869</v>
      </c>
      <c r="B172" s="288" t="s">
        <v>89</v>
      </c>
      <c r="C172" s="289" t="s">
        <v>1473</v>
      </c>
      <c r="D172" s="290">
        <v>0</v>
      </c>
      <c r="E172" s="290">
        <v>244722.25</v>
      </c>
      <c r="F172" s="288" t="s">
        <v>1286</v>
      </c>
      <c r="G172" s="288" t="s">
        <v>1286</v>
      </c>
      <c r="H172" s="291" t="s">
        <v>18</v>
      </c>
      <c r="I172" s="297"/>
      <c r="J172" s="297"/>
      <c r="K172" s="298"/>
      <c r="L172" s="291">
        <v>2023</v>
      </c>
    </row>
    <row r="173" spans="1:12" ht="15" x14ac:dyDescent="0.25">
      <c r="A173" s="287">
        <v>4600056454</v>
      </c>
      <c r="B173" s="288" t="s">
        <v>801</v>
      </c>
      <c r="C173" s="289" t="s">
        <v>1423</v>
      </c>
      <c r="D173" s="290">
        <v>0</v>
      </c>
      <c r="E173" s="290">
        <v>124457.42</v>
      </c>
      <c r="F173" s="288" t="s">
        <v>1286</v>
      </c>
      <c r="G173" s="288" t="s">
        <v>1286</v>
      </c>
      <c r="H173" s="291" t="s">
        <v>18</v>
      </c>
      <c r="I173" s="297"/>
      <c r="J173" s="297"/>
      <c r="K173" s="298"/>
      <c r="L173" s="291">
        <v>2023</v>
      </c>
    </row>
    <row r="174" spans="1:12" ht="15" x14ac:dyDescent="0.25">
      <c r="A174" s="287">
        <v>4600051835</v>
      </c>
      <c r="B174" s="288" t="s">
        <v>61</v>
      </c>
      <c r="C174" s="289" t="s">
        <v>1474</v>
      </c>
      <c r="D174" s="290">
        <v>0</v>
      </c>
      <c r="E174" s="290">
        <v>17600.759999999998</v>
      </c>
      <c r="F174" s="288" t="s">
        <v>1286</v>
      </c>
      <c r="G174" s="288" t="s">
        <v>1286</v>
      </c>
      <c r="H174" s="291" t="s">
        <v>18</v>
      </c>
      <c r="I174" s="297"/>
      <c r="J174" s="297"/>
      <c r="K174" s="298"/>
      <c r="L174" s="291">
        <v>2023</v>
      </c>
    </row>
    <row r="175" spans="1:12" ht="15" x14ac:dyDescent="0.25">
      <c r="A175" s="291">
        <v>4600052345</v>
      </c>
      <c r="B175" s="288" t="s">
        <v>72</v>
      </c>
      <c r="C175" s="289" t="s">
        <v>1455</v>
      </c>
      <c r="D175" s="290">
        <v>0</v>
      </c>
      <c r="E175" s="290">
        <v>1582319.17</v>
      </c>
      <c r="F175" s="288" t="s">
        <v>1286</v>
      </c>
      <c r="G175" s="288" t="s">
        <v>1286</v>
      </c>
      <c r="H175" s="291" t="s">
        <v>18</v>
      </c>
      <c r="I175" s="297"/>
      <c r="J175" s="297"/>
      <c r="K175" s="298"/>
      <c r="L175" s="291">
        <v>2023</v>
      </c>
    </row>
    <row r="176" spans="1:12" ht="15" x14ac:dyDescent="0.25">
      <c r="A176" s="291">
        <v>4600058107</v>
      </c>
      <c r="B176" s="288" t="s">
        <v>1475</v>
      </c>
      <c r="C176" s="289" t="s">
        <v>1476</v>
      </c>
      <c r="D176" s="290">
        <v>0</v>
      </c>
      <c r="E176" s="290">
        <v>209210.58</v>
      </c>
      <c r="F176" s="288" t="s">
        <v>1286</v>
      </c>
      <c r="G176" s="288" t="s">
        <v>1286</v>
      </c>
      <c r="H176" s="291" t="s">
        <v>18</v>
      </c>
      <c r="I176" s="297"/>
      <c r="J176" s="297"/>
      <c r="K176" s="298"/>
      <c r="L176" s="291">
        <v>2023</v>
      </c>
    </row>
    <row r="177" spans="1:12" ht="15" x14ac:dyDescent="0.25">
      <c r="A177" s="291">
        <v>4600050030</v>
      </c>
      <c r="B177" s="288" t="s">
        <v>1477</v>
      </c>
      <c r="C177" s="289" t="s">
        <v>1478</v>
      </c>
      <c r="D177" s="290">
        <v>0</v>
      </c>
      <c r="E177" s="290">
        <v>16192.27</v>
      </c>
      <c r="F177" s="288" t="s">
        <v>1286</v>
      </c>
      <c r="G177" s="288" t="s">
        <v>1286</v>
      </c>
      <c r="H177" s="291" t="s">
        <v>18</v>
      </c>
      <c r="I177" s="297"/>
      <c r="J177" s="297"/>
      <c r="K177" s="298"/>
      <c r="L177" s="291">
        <v>2025</v>
      </c>
    </row>
    <row r="178" spans="1:12" ht="15" x14ac:dyDescent="0.25">
      <c r="A178" s="287">
        <v>4600057908</v>
      </c>
      <c r="B178" s="288" t="s">
        <v>1479</v>
      </c>
      <c r="C178" s="289" t="s">
        <v>1480</v>
      </c>
      <c r="D178" s="290">
        <v>0</v>
      </c>
      <c r="E178" s="290">
        <v>160000</v>
      </c>
      <c r="F178" s="288" t="s">
        <v>1289</v>
      </c>
      <c r="G178" s="288" t="s">
        <v>1289</v>
      </c>
      <c r="H178" s="291" t="s">
        <v>18</v>
      </c>
      <c r="I178" s="297"/>
      <c r="J178" s="297"/>
      <c r="K178" s="298"/>
      <c r="L178" s="291">
        <v>2025</v>
      </c>
    </row>
    <row r="179" spans="1:12" ht="15" x14ac:dyDescent="0.25">
      <c r="A179" s="291" t="s">
        <v>1392</v>
      </c>
      <c r="B179" s="288" t="s">
        <v>1393</v>
      </c>
      <c r="C179" s="289" t="s">
        <v>1465</v>
      </c>
      <c r="D179" s="290">
        <v>0</v>
      </c>
      <c r="E179" s="290">
        <v>10000</v>
      </c>
      <c r="F179" s="288" t="s">
        <v>1286</v>
      </c>
      <c r="G179" s="288" t="s">
        <v>1286</v>
      </c>
      <c r="H179" s="291" t="s">
        <v>18</v>
      </c>
      <c r="I179" s="297"/>
      <c r="J179" s="297"/>
      <c r="K179" s="298"/>
      <c r="L179" s="291">
        <v>2025</v>
      </c>
    </row>
    <row r="180" spans="1:12" ht="15" x14ac:dyDescent="0.25">
      <c r="A180" s="291" t="s">
        <v>1392</v>
      </c>
      <c r="B180" s="288" t="s">
        <v>1419</v>
      </c>
      <c r="C180" s="289" t="s">
        <v>1481</v>
      </c>
      <c r="D180" s="290">
        <v>0</v>
      </c>
      <c r="E180" s="290">
        <v>35000</v>
      </c>
      <c r="F180" s="288" t="s">
        <v>1286</v>
      </c>
      <c r="G180" s="288" t="s">
        <v>1286</v>
      </c>
      <c r="H180" s="291" t="s">
        <v>18</v>
      </c>
      <c r="I180" s="297"/>
      <c r="J180" s="297"/>
      <c r="K180" s="298"/>
      <c r="L180" s="291">
        <v>2025</v>
      </c>
    </row>
    <row r="181" spans="1:12" ht="15" x14ac:dyDescent="0.25">
      <c r="A181" s="291" t="s">
        <v>1392</v>
      </c>
      <c r="B181" s="288" t="s">
        <v>1482</v>
      </c>
      <c r="C181" s="289" t="s">
        <v>1432</v>
      </c>
      <c r="D181" s="290">
        <v>0</v>
      </c>
      <c r="E181" s="290">
        <v>118610.12</v>
      </c>
      <c r="F181" s="288" t="s">
        <v>1288</v>
      </c>
      <c r="G181" s="288" t="s">
        <v>1289</v>
      </c>
      <c r="H181" s="291" t="s">
        <v>18</v>
      </c>
      <c r="I181" s="297"/>
      <c r="J181" s="297"/>
      <c r="K181" s="298"/>
      <c r="L181" s="291">
        <v>2025</v>
      </c>
    </row>
    <row r="182" spans="1:12" ht="15" x14ac:dyDescent="0.25">
      <c r="A182" s="287">
        <v>4600056470</v>
      </c>
      <c r="B182" s="288" t="s">
        <v>1178</v>
      </c>
      <c r="C182" s="289" t="s">
        <v>1469</v>
      </c>
      <c r="D182" s="290">
        <v>0</v>
      </c>
      <c r="E182" s="290">
        <v>660000</v>
      </c>
      <c r="F182" s="288" t="s">
        <v>1308</v>
      </c>
      <c r="G182" s="288" t="s">
        <v>1289</v>
      </c>
      <c r="H182" s="291" t="s">
        <v>18</v>
      </c>
      <c r="I182" s="297"/>
      <c r="J182" s="297"/>
      <c r="K182" s="298"/>
      <c r="L182" s="291">
        <v>2025</v>
      </c>
    </row>
    <row r="183" spans="1:12" ht="15" x14ac:dyDescent="0.25">
      <c r="A183" s="287">
        <v>4600056630</v>
      </c>
      <c r="B183" s="288" t="s">
        <v>1462</v>
      </c>
      <c r="C183" s="289" t="s">
        <v>1483</v>
      </c>
      <c r="D183" s="290">
        <v>0</v>
      </c>
      <c r="E183" s="290">
        <v>564000</v>
      </c>
      <c r="F183" s="288" t="s">
        <v>1289</v>
      </c>
      <c r="G183" s="288" t="s">
        <v>1289</v>
      </c>
      <c r="H183" s="291" t="s">
        <v>18</v>
      </c>
      <c r="I183" s="297"/>
      <c r="J183" s="297"/>
      <c r="K183" s="298"/>
      <c r="L183" s="291">
        <v>2025</v>
      </c>
    </row>
    <row r="184" spans="1:12" ht="15" x14ac:dyDescent="0.25">
      <c r="A184" s="287">
        <v>4600053625</v>
      </c>
      <c r="B184" s="288" t="s">
        <v>1397</v>
      </c>
      <c r="C184" s="289" t="s">
        <v>1405</v>
      </c>
      <c r="D184" s="290">
        <v>0</v>
      </c>
      <c r="E184" s="290">
        <v>267843.90999999997</v>
      </c>
      <c r="F184" s="288" t="s">
        <v>1286</v>
      </c>
      <c r="G184" s="288" t="s">
        <v>1286</v>
      </c>
      <c r="H184" s="291" t="s">
        <v>18</v>
      </c>
      <c r="I184" s="297"/>
      <c r="J184" s="297"/>
      <c r="K184" s="298"/>
      <c r="L184" s="291">
        <v>2025</v>
      </c>
    </row>
    <row r="185" spans="1:12" ht="15" x14ac:dyDescent="0.25">
      <c r="A185" s="287">
        <v>4600053625</v>
      </c>
      <c r="B185" s="288" t="s">
        <v>1397</v>
      </c>
      <c r="C185" s="289" t="s">
        <v>1406</v>
      </c>
      <c r="D185" s="290">
        <v>0</v>
      </c>
      <c r="E185" s="290">
        <v>15541.01</v>
      </c>
      <c r="F185" s="288" t="s">
        <v>1286</v>
      </c>
      <c r="G185" s="288" t="s">
        <v>1286</v>
      </c>
      <c r="H185" s="291" t="s">
        <v>18</v>
      </c>
      <c r="I185" s="297"/>
      <c r="J185" s="297"/>
      <c r="K185" s="298"/>
      <c r="L185" s="291">
        <v>2025</v>
      </c>
    </row>
    <row r="186" spans="1:12" ht="15" x14ac:dyDescent="0.25">
      <c r="A186" s="287">
        <v>4600050465</v>
      </c>
      <c r="B186" s="288" t="s">
        <v>58</v>
      </c>
      <c r="C186" s="289" t="s">
        <v>1437</v>
      </c>
      <c r="D186" s="290">
        <v>0</v>
      </c>
      <c r="E186" s="290">
        <v>4298.6099999999997</v>
      </c>
      <c r="F186" s="288" t="s">
        <v>1286</v>
      </c>
      <c r="G186" s="288" t="s">
        <v>1286</v>
      </c>
      <c r="H186" s="291" t="s">
        <v>18</v>
      </c>
      <c r="I186" s="297"/>
      <c r="J186" s="297"/>
      <c r="K186" s="298"/>
      <c r="L186" s="291">
        <v>2025</v>
      </c>
    </row>
    <row r="187" spans="1:12" ht="15" x14ac:dyDescent="0.25">
      <c r="A187" s="287">
        <v>4600056444</v>
      </c>
      <c r="B187" s="288" t="s">
        <v>131</v>
      </c>
      <c r="C187" s="289" t="s">
        <v>1470</v>
      </c>
      <c r="D187" s="290">
        <v>0</v>
      </c>
      <c r="E187" s="290">
        <v>143046</v>
      </c>
      <c r="F187" s="288" t="s">
        <v>1308</v>
      </c>
      <c r="G187" s="288" t="s">
        <v>1286</v>
      </c>
      <c r="H187" s="291" t="s">
        <v>18</v>
      </c>
      <c r="I187" s="297"/>
      <c r="J187" s="297"/>
      <c r="K187" s="298"/>
      <c r="L187" s="291">
        <v>2025</v>
      </c>
    </row>
    <row r="188" spans="1:12" ht="15" x14ac:dyDescent="0.25">
      <c r="A188" s="287">
        <v>4600051835</v>
      </c>
      <c r="B188" s="288" t="s">
        <v>61</v>
      </c>
      <c r="C188" s="289" t="s">
        <v>1484</v>
      </c>
      <c r="D188" s="290">
        <v>0</v>
      </c>
      <c r="E188" s="290">
        <v>8150</v>
      </c>
      <c r="F188" s="288" t="s">
        <v>1308</v>
      </c>
      <c r="G188" s="288" t="s">
        <v>1308</v>
      </c>
      <c r="H188" s="291" t="s">
        <v>18</v>
      </c>
      <c r="I188" s="297"/>
      <c r="J188" s="297"/>
      <c r="K188" s="298"/>
      <c r="L188" s="291">
        <v>2025</v>
      </c>
    </row>
    <row r="189" spans="1:12" ht="15" x14ac:dyDescent="0.25">
      <c r="A189" s="287">
        <v>4600051835</v>
      </c>
      <c r="B189" s="288" t="s">
        <v>61</v>
      </c>
      <c r="C189" s="289" t="s">
        <v>1436</v>
      </c>
      <c r="D189" s="290">
        <v>0</v>
      </c>
      <c r="E189" s="290">
        <v>16971.740000000002</v>
      </c>
      <c r="F189" s="288" t="s">
        <v>1286</v>
      </c>
      <c r="G189" s="288" t="s">
        <v>1286</v>
      </c>
      <c r="H189" s="291" t="s">
        <v>18</v>
      </c>
      <c r="I189" s="297"/>
      <c r="J189" s="297"/>
      <c r="K189" s="298"/>
      <c r="L189" s="291">
        <v>2025</v>
      </c>
    </row>
    <row r="190" spans="1:12" ht="15" x14ac:dyDescent="0.25">
      <c r="A190" s="287">
        <v>4600051835</v>
      </c>
      <c r="B190" s="288" t="s">
        <v>61</v>
      </c>
      <c r="C190" s="289" t="s">
        <v>1408</v>
      </c>
      <c r="D190" s="290">
        <v>0</v>
      </c>
      <c r="E190" s="290">
        <v>254028</v>
      </c>
      <c r="F190" s="288" t="s">
        <v>1286</v>
      </c>
      <c r="G190" s="288" t="s">
        <v>1286</v>
      </c>
      <c r="H190" s="291" t="s">
        <v>18</v>
      </c>
      <c r="I190" s="297"/>
      <c r="J190" s="297"/>
      <c r="K190" s="298"/>
      <c r="L190" s="291">
        <v>2025</v>
      </c>
    </row>
    <row r="191" spans="1:12" ht="15" x14ac:dyDescent="0.25">
      <c r="A191" s="287">
        <v>4600051835</v>
      </c>
      <c r="B191" s="288" t="s">
        <v>61</v>
      </c>
      <c r="C191" s="289" t="s">
        <v>1485</v>
      </c>
      <c r="D191" s="290">
        <v>0</v>
      </c>
      <c r="E191" s="290">
        <v>212748</v>
      </c>
      <c r="F191" s="288" t="s">
        <v>1286</v>
      </c>
      <c r="G191" s="288" t="s">
        <v>1286</v>
      </c>
      <c r="H191" s="291" t="s">
        <v>18</v>
      </c>
      <c r="I191" s="297"/>
      <c r="J191" s="297"/>
      <c r="K191" s="298"/>
      <c r="L191" s="291">
        <v>2025</v>
      </c>
    </row>
    <row r="192" spans="1:12" ht="15" x14ac:dyDescent="0.25">
      <c r="A192" s="287">
        <v>4600051835</v>
      </c>
      <c r="B192" s="288" t="s">
        <v>61</v>
      </c>
      <c r="C192" s="289" t="s">
        <v>1471</v>
      </c>
      <c r="D192" s="290">
        <v>0</v>
      </c>
      <c r="E192" s="290">
        <v>346176</v>
      </c>
      <c r="F192" s="288" t="s">
        <v>1286</v>
      </c>
      <c r="G192" s="288" t="s">
        <v>1286</v>
      </c>
      <c r="H192" s="291" t="s">
        <v>18</v>
      </c>
      <c r="I192" s="297"/>
      <c r="J192" s="297"/>
      <c r="K192" s="298"/>
      <c r="L192" s="291">
        <v>2025</v>
      </c>
    </row>
    <row r="193" spans="1:12" ht="15" x14ac:dyDescent="0.25">
      <c r="A193" s="287">
        <v>4600051835</v>
      </c>
      <c r="B193" s="288" t="s">
        <v>61</v>
      </c>
      <c r="C193" s="289" t="s">
        <v>1473</v>
      </c>
      <c r="D193" s="290">
        <v>0</v>
      </c>
      <c r="E193" s="290">
        <v>1200000</v>
      </c>
      <c r="F193" s="288" t="s">
        <v>1286</v>
      </c>
      <c r="G193" s="288" t="s">
        <v>1286</v>
      </c>
      <c r="H193" s="291" t="s">
        <v>18</v>
      </c>
      <c r="I193" s="297"/>
      <c r="J193" s="297"/>
      <c r="K193" s="298"/>
      <c r="L193" s="291">
        <v>2025</v>
      </c>
    </row>
    <row r="194" spans="1:12" ht="15" x14ac:dyDescent="0.25">
      <c r="A194" s="287">
        <v>4600054540</v>
      </c>
      <c r="B194" s="288" t="s">
        <v>1472</v>
      </c>
      <c r="C194" s="289" t="s">
        <v>1473</v>
      </c>
      <c r="D194" s="290">
        <v>0</v>
      </c>
      <c r="E194" s="290">
        <v>6237143.3200000003</v>
      </c>
      <c r="F194" s="288" t="s">
        <v>1286</v>
      </c>
      <c r="G194" s="288" t="s">
        <v>1286</v>
      </c>
      <c r="H194" s="291" t="s">
        <v>18</v>
      </c>
      <c r="I194" s="297"/>
      <c r="J194" s="297"/>
      <c r="K194" s="298"/>
      <c r="L194" s="291">
        <v>2025</v>
      </c>
    </row>
    <row r="195" spans="1:12" ht="15" x14ac:dyDescent="0.25">
      <c r="A195" s="287">
        <v>4600054540</v>
      </c>
      <c r="B195" s="288" t="s">
        <v>1472</v>
      </c>
      <c r="C195" s="289" t="s">
        <v>1473</v>
      </c>
      <c r="D195" s="290">
        <v>0</v>
      </c>
      <c r="E195" s="290">
        <v>-720000</v>
      </c>
      <c r="F195" s="288" t="s">
        <v>1286</v>
      </c>
      <c r="G195" s="288" t="s">
        <v>1286</v>
      </c>
      <c r="H195" s="291" t="s">
        <v>18</v>
      </c>
      <c r="I195" s="297"/>
      <c r="J195" s="297"/>
      <c r="K195" s="298"/>
      <c r="L195" s="291">
        <v>2025</v>
      </c>
    </row>
    <row r="196" spans="1:12" ht="15" x14ac:dyDescent="0.25">
      <c r="A196" s="287">
        <v>4600053869</v>
      </c>
      <c r="B196" s="288" t="s">
        <v>89</v>
      </c>
      <c r="C196" s="289" t="s">
        <v>1473</v>
      </c>
      <c r="D196" s="290">
        <v>0</v>
      </c>
      <c r="E196" s="290">
        <v>521874.91</v>
      </c>
      <c r="F196" s="288" t="s">
        <v>1286</v>
      </c>
      <c r="G196" s="288" t="s">
        <v>1286</v>
      </c>
      <c r="H196" s="291" t="s">
        <v>18</v>
      </c>
      <c r="I196" s="297"/>
      <c r="J196" s="297"/>
      <c r="K196" s="298"/>
      <c r="L196" s="291">
        <v>2025</v>
      </c>
    </row>
    <row r="197" spans="1:12" ht="15" x14ac:dyDescent="0.25">
      <c r="A197" s="291">
        <v>3027294</v>
      </c>
      <c r="B197" s="288" t="s">
        <v>1393</v>
      </c>
      <c r="C197" s="289" t="s">
        <v>1486</v>
      </c>
      <c r="D197" s="290">
        <v>0</v>
      </c>
      <c r="E197" s="290">
        <v>3869</v>
      </c>
      <c r="F197" s="288" t="s">
        <v>1286</v>
      </c>
      <c r="G197" s="288" t="s">
        <v>1286</v>
      </c>
      <c r="H197" s="291" t="s">
        <v>18</v>
      </c>
      <c r="I197" s="297"/>
      <c r="J197" s="297"/>
      <c r="K197" s="298"/>
      <c r="L197" s="291">
        <v>2025</v>
      </c>
    </row>
    <row r="198" spans="1:12" ht="15" x14ac:dyDescent="0.25">
      <c r="A198" s="287">
        <v>4600056630</v>
      </c>
      <c r="B198" s="288" t="s">
        <v>1462</v>
      </c>
      <c r="C198" s="289" t="s">
        <v>1425</v>
      </c>
      <c r="D198" s="290">
        <v>0</v>
      </c>
      <c r="E198" s="290">
        <v>3065039.69</v>
      </c>
      <c r="F198" s="288" t="s">
        <v>1288</v>
      </c>
      <c r="G198" s="288" t="s">
        <v>1286</v>
      </c>
      <c r="H198" s="291" t="s">
        <v>18</v>
      </c>
      <c r="I198" s="297"/>
      <c r="J198" s="297"/>
      <c r="K198" s="298"/>
      <c r="L198" s="291">
        <v>2025</v>
      </c>
    </row>
    <row r="199" spans="1:12" ht="15" x14ac:dyDescent="0.25">
      <c r="A199" s="287">
        <v>4600051835</v>
      </c>
      <c r="B199" s="288" t="s">
        <v>61</v>
      </c>
      <c r="C199" s="289" t="s">
        <v>1487</v>
      </c>
      <c r="D199" s="290">
        <v>0</v>
      </c>
      <c r="E199" s="290">
        <v>18291.759999999998</v>
      </c>
      <c r="F199" s="288" t="s">
        <v>1286</v>
      </c>
      <c r="G199" s="288" t="s">
        <v>1329</v>
      </c>
      <c r="H199" s="291" t="s">
        <v>18</v>
      </c>
      <c r="I199" s="297"/>
      <c r="J199" s="297"/>
      <c r="K199" s="298"/>
      <c r="L199" s="291">
        <v>2025</v>
      </c>
    </row>
    <row r="200" spans="1:12" ht="15" x14ac:dyDescent="0.25">
      <c r="A200" s="287">
        <v>4600053625</v>
      </c>
      <c r="B200" s="288" t="s">
        <v>1397</v>
      </c>
      <c r="C200" s="289" t="s">
        <v>1488</v>
      </c>
      <c r="D200" s="290">
        <v>0</v>
      </c>
      <c r="E200" s="290">
        <v>240000</v>
      </c>
      <c r="F200" s="288" t="s">
        <v>1289</v>
      </c>
      <c r="G200" s="288" t="s">
        <v>1286</v>
      </c>
      <c r="H200" s="291" t="s">
        <v>18</v>
      </c>
      <c r="I200" s="297"/>
      <c r="J200" s="297"/>
      <c r="K200" s="298"/>
      <c r="L200" s="291">
        <v>2025</v>
      </c>
    </row>
    <row r="201" spans="1:12" ht="15" x14ac:dyDescent="0.25">
      <c r="A201" s="287">
        <v>4600058180</v>
      </c>
      <c r="B201" s="288" t="s">
        <v>1489</v>
      </c>
      <c r="C201" s="289" t="s">
        <v>1490</v>
      </c>
      <c r="D201" s="290">
        <v>0</v>
      </c>
      <c r="E201" s="290">
        <v>61776</v>
      </c>
      <c r="F201" s="288" t="s">
        <v>1286</v>
      </c>
      <c r="G201" s="288" t="s">
        <v>1286</v>
      </c>
      <c r="H201" s="291" t="s">
        <v>18</v>
      </c>
      <c r="I201" s="297"/>
      <c r="J201" s="297"/>
      <c r="K201" s="298"/>
      <c r="L201" s="291">
        <v>2025</v>
      </c>
    </row>
    <row r="202" spans="1:12" ht="15" x14ac:dyDescent="0.25">
      <c r="A202" s="287">
        <v>4600057071</v>
      </c>
      <c r="B202" s="288" t="s">
        <v>1468</v>
      </c>
      <c r="C202" s="289" t="s">
        <v>1468</v>
      </c>
      <c r="D202" s="290">
        <v>0</v>
      </c>
      <c r="E202" s="290">
        <v>187211.25</v>
      </c>
      <c r="F202" s="288" t="s">
        <v>1308</v>
      </c>
      <c r="G202" s="288" t="s">
        <v>1286</v>
      </c>
      <c r="H202" s="291" t="s">
        <v>18</v>
      </c>
      <c r="I202" s="297"/>
      <c r="J202" s="297"/>
      <c r="K202" s="298"/>
      <c r="L202" s="291">
        <v>2025</v>
      </c>
    </row>
    <row r="203" spans="1:12" ht="15" x14ac:dyDescent="0.25">
      <c r="A203" s="291">
        <v>3027294</v>
      </c>
      <c r="B203" s="288" t="s">
        <v>1393</v>
      </c>
      <c r="C203" s="289" t="s">
        <v>1491</v>
      </c>
      <c r="D203" s="290">
        <v>0</v>
      </c>
      <c r="E203" s="290">
        <v>5404</v>
      </c>
      <c r="F203" s="288" t="s">
        <v>1286</v>
      </c>
      <c r="G203" s="288" t="s">
        <v>1289</v>
      </c>
      <c r="H203" s="291" t="s">
        <v>18</v>
      </c>
      <c r="I203" s="297"/>
      <c r="J203" s="297"/>
      <c r="K203" s="298"/>
      <c r="L203" s="291">
        <v>2025</v>
      </c>
    </row>
    <row r="204" spans="1:12" ht="15" x14ac:dyDescent="0.25">
      <c r="A204" s="287">
        <v>4600049485</v>
      </c>
      <c r="B204" s="288" t="s">
        <v>1460</v>
      </c>
      <c r="C204" s="289" t="s">
        <v>1492</v>
      </c>
      <c r="D204" s="290">
        <v>0</v>
      </c>
      <c r="E204" s="290">
        <v>1300</v>
      </c>
      <c r="F204" s="288" t="s">
        <v>1286</v>
      </c>
      <c r="G204" s="288" t="s">
        <v>1286</v>
      </c>
      <c r="H204" s="291" t="s">
        <v>18</v>
      </c>
      <c r="I204" s="297"/>
      <c r="J204" s="297"/>
      <c r="K204" s="298"/>
      <c r="L204" s="291">
        <v>2025</v>
      </c>
    </row>
    <row r="205" spans="1:12" ht="15" x14ac:dyDescent="0.25">
      <c r="A205" s="287">
        <v>4600058107</v>
      </c>
      <c r="B205" s="288" t="s">
        <v>1475</v>
      </c>
      <c r="C205" s="289" t="s">
        <v>1476</v>
      </c>
      <c r="D205" s="290">
        <v>0</v>
      </c>
      <c r="E205" s="290">
        <v>536634.5</v>
      </c>
      <c r="F205" s="288" t="s">
        <v>1286</v>
      </c>
      <c r="G205" s="288" t="s">
        <v>1286</v>
      </c>
      <c r="H205" s="291" t="s">
        <v>18</v>
      </c>
      <c r="I205" s="297"/>
      <c r="J205" s="297"/>
      <c r="K205" s="298"/>
      <c r="L205" s="291">
        <v>2025</v>
      </c>
    </row>
    <row r="206" spans="1:12" ht="15" x14ac:dyDescent="0.25">
      <c r="A206" s="287">
        <v>4600051835</v>
      </c>
      <c r="B206" s="288" t="s">
        <v>61</v>
      </c>
      <c r="C206" s="289" t="s">
        <v>1435</v>
      </c>
      <c r="D206" s="290">
        <v>0</v>
      </c>
      <c r="E206" s="290">
        <v>312117.99</v>
      </c>
      <c r="F206" s="288" t="s">
        <v>1286</v>
      </c>
      <c r="G206" s="288" t="s">
        <v>1286</v>
      </c>
      <c r="H206" s="291" t="s">
        <v>18</v>
      </c>
      <c r="I206" s="297"/>
      <c r="J206" s="297"/>
      <c r="K206" s="298"/>
      <c r="L206" s="291">
        <v>2025</v>
      </c>
    </row>
    <row r="207" spans="1:12" ht="15" x14ac:dyDescent="0.25">
      <c r="A207" s="287">
        <v>4600052517</v>
      </c>
      <c r="B207" s="288" t="s">
        <v>1493</v>
      </c>
      <c r="C207" s="289" t="s">
        <v>1494</v>
      </c>
      <c r="D207" s="290">
        <v>0</v>
      </c>
      <c r="E207" s="290">
        <v>96000</v>
      </c>
      <c r="F207" s="288" t="s">
        <v>1286</v>
      </c>
      <c r="G207" s="288" t="s">
        <v>1286</v>
      </c>
      <c r="H207" s="291" t="s">
        <v>18</v>
      </c>
      <c r="I207" s="297"/>
      <c r="J207" s="297"/>
      <c r="K207" s="298"/>
      <c r="L207" s="291">
        <v>2025</v>
      </c>
    </row>
    <row r="208" spans="1:12" ht="15" x14ac:dyDescent="0.25">
      <c r="A208" s="287">
        <v>4600054084</v>
      </c>
      <c r="B208" s="288" t="s">
        <v>68</v>
      </c>
      <c r="C208" s="289" t="s">
        <v>1495</v>
      </c>
      <c r="D208" s="290">
        <v>0</v>
      </c>
      <c r="E208" s="290">
        <v>36000</v>
      </c>
      <c r="F208" s="288" t="s">
        <v>1286</v>
      </c>
      <c r="G208" s="288" t="s">
        <v>1286</v>
      </c>
      <c r="H208" s="291" t="s">
        <v>18</v>
      </c>
      <c r="I208" s="297"/>
      <c r="J208" s="297"/>
      <c r="K208" s="298"/>
      <c r="L208" s="291">
        <v>2025</v>
      </c>
    </row>
    <row r="209" spans="1:12" ht="15" x14ac:dyDescent="0.25">
      <c r="A209" s="287">
        <v>4600056681</v>
      </c>
      <c r="B209" s="288" t="s">
        <v>1444</v>
      </c>
      <c r="C209" s="289" t="s">
        <v>1445</v>
      </c>
      <c r="D209" s="290">
        <v>0</v>
      </c>
      <c r="E209" s="290">
        <v>300000</v>
      </c>
      <c r="F209" s="288" t="s">
        <v>1286</v>
      </c>
      <c r="G209" s="288" t="s">
        <v>1289</v>
      </c>
      <c r="H209" s="291" t="s">
        <v>18</v>
      </c>
      <c r="I209" s="297"/>
      <c r="J209" s="297"/>
      <c r="K209" s="298"/>
      <c r="L209" s="291">
        <v>2025</v>
      </c>
    </row>
    <row r="210" spans="1:12" ht="15" x14ac:dyDescent="0.25">
      <c r="A210" s="287">
        <v>4600057517</v>
      </c>
      <c r="B210" s="288" t="s">
        <v>1496</v>
      </c>
      <c r="C210" s="289" t="s">
        <v>1497</v>
      </c>
      <c r="D210" s="290">
        <v>0</v>
      </c>
      <c r="E210" s="290">
        <v>17698.46</v>
      </c>
      <c r="F210" s="288" t="s">
        <v>1286</v>
      </c>
      <c r="G210" s="288" t="s">
        <v>1286</v>
      </c>
      <c r="H210" s="291" t="s">
        <v>18</v>
      </c>
      <c r="I210" s="297"/>
      <c r="J210" s="297"/>
      <c r="K210" s="298"/>
      <c r="L210" s="291">
        <v>2025</v>
      </c>
    </row>
    <row r="211" spans="1:12" ht="15" x14ac:dyDescent="0.25">
      <c r="A211" s="287">
        <v>4600044324</v>
      </c>
      <c r="B211" s="288" t="s">
        <v>1456</v>
      </c>
      <c r="C211" s="289" t="s">
        <v>1498</v>
      </c>
      <c r="D211" s="290">
        <v>0</v>
      </c>
      <c r="E211" s="290">
        <v>2000</v>
      </c>
      <c r="F211" s="288" t="s">
        <v>1286</v>
      </c>
      <c r="G211" s="288" t="s">
        <v>1286</v>
      </c>
      <c r="H211" s="291" t="s">
        <v>18</v>
      </c>
      <c r="I211" s="297"/>
      <c r="J211" s="297"/>
      <c r="K211" s="298"/>
      <c r="L211" s="291">
        <v>2025</v>
      </c>
    </row>
    <row r="212" spans="1:12" ht="15" x14ac:dyDescent="0.25">
      <c r="A212" s="287">
        <v>4600044324</v>
      </c>
      <c r="B212" s="288" t="s">
        <v>1456</v>
      </c>
      <c r="C212" s="289" t="s">
        <v>1457</v>
      </c>
      <c r="D212" s="290">
        <v>0</v>
      </c>
      <c r="E212" s="290">
        <v>864176.7</v>
      </c>
      <c r="F212" s="288" t="s">
        <v>1286</v>
      </c>
      <c r="G212" s="288" t="s">
        <v>1286</v>
      </c>
      <c r="H212" s="291" t="s">
        <v>18</v>
      </c>
      <c r="I212" s="297"/>
      <c r="J212" s="297"/>
      <c r="K212" s="298"/>
      <c r="L212" s="291">
        <v>2025</v>
      </c>
    </row>
    <row r="213" spans="1:12" ht="15" x14ac:dyDescent="0.25">
      <c r="A213" s="287">
        <v>4600044324</v>
      </c>
      <c r="B213" s="288" t="s">
        <v>1456</v>
      </c>
      <c r="C213" s="289" t="s">
        <v>1499</v>
      </c>
      <c r="D213" s="290">
        <v>0</v>
      </c>
      <c r="E213" s="290">
        <v>325638.24</v>
      </c>
      <c r="F213" s="288" t="s">
        <v>1286</v>
      </c>
      <c r="G213" s="288" t="s">
        <v>1286</v>
      </c>
      <c r="H213" s="291" t="s">
        <v>18</v>
      </c>
      <c r="I213" s="297"/>
      <c r="J213" s="297"/>
      <c r="K213" s="298"/>
      <c r="L213" s="291">
        <v>2025</v>
      </c>
    </row>
    <row r="214" spans="1:12" ht="15" x14ac:dyDescent="0.25">
      <c r="A214" s="287">
        <v>4600044324</v>
      </c>
      <c r="B214" s="288" t="s">
        <v>1456</v>
      </c>
      <c r="C214" s="289" t="s">
        <v>1500</v>
      </c>
      <c r="D214" s="290">
        <v>0</v>
      </c>
      <c r="E214" s="290">
        <v>79000</v>
      </c>
      <c r="F214" s="288" t="s">
        <v>1286</v>
      </c>
      <c r="G214" s="288" t="s">
        <v>1286</v>
      </c>
      <c r="H214" s="291" t="s">
        <v>18</v>
      </c>
      <c r="I214" s="297"/>
      <c r="J214" s="297"/>
      <c r="K214" s="298"/>
      <c r="L214" s="291">
        <v>2025</v>
      </c>
    </row>
    <row r="215" spans="1:12" ht="15" x14ac:dyDescent="0.25">
      <c r="A215" s="291">
        <v>177435</v>
      </c>
      <c r="B215" s="288" t="s">
        <v>1419</v>
      </c>
      <c r="C215" s="289" t="s">
        <v>1428</v>
      </c>
      <c r="D215" s="290">
        <v>0</v>
      </c>
      <c r="E215" s="290">
        <v>111014.07</v>
      </c>
      <c r="F215" s="288" t="s">
        <v>1286</v>
      </c>
      <c r="G215" s="288" t="s">
        <v>1286</v>
      </c>
      <c r="H215" s="291" t="s">
        <v>18</v>
      </c>
      <c r="I215" s="297"/>
      <c r="J215" s="297"/>
      <c r="K215" s="298"/>
      <c r="L215" s="291">
        <v>2025</v>
      </c>
    </row>
    <row r="216" spans="1:12" ht="15" x14ac:dyDescent="0.25">
      <c r="A216" s="287">
        <v>4600057534</v>
      </c>
      <c r="B216" s="288" t="s">
        <v>1462</v>
      </c>
      <c r="C216" s="289" t="s">
        <v>1501</v>
      </c>
      <c r="D216" s="290">
        <v>0</v>
      </c>
      <c r="E216" s="290">
        <v>996800.57</v>
      </c>
      <c r="F216" s="288" t="s">
        <v>1329</v>
      </c>
      <c r="G216" s="288" t="s">
        <v>1329</v>
      </c>
      <c r="H216" s="291" t="s">
        <v>18</v>
      </c>
      <c r="I216" s="297"/>
      <c r="J216" s="297"/>
      <c r="K216" s="298"/>
      <c r="L216" s="291">
        <v>2025</v>
      </c>
    </row>
    <row r="217" spans="1:12" ht="15" x14ac:dyDescent="0.25">
      <c r="A217" s="287">
        <v>4600058220</v>
      </c>
      <c r="B217" s="288" t="s">
        <v>1502</v>
      </c>
      <c r="C217" s="289" t="s">
        <v>1501</v>
      </c>
      <c r="D217" s="290">
        <v>0</v>
      </c>
      <c r="E217" s="290">
        <v>160000</v>
      </c>
      <c r="F217" s="288" t="s">
        <v>1329</v>
      </c>
      <c r="G217" s="288" t="s">
        <v>1329</v>
      </c>
      <c r="H217" s="291" t="s">
        <v>18</v>
      </c>
      <c r="I217" s="297"/>
      <c r="J217" s="297"/>
      <c r="K217" s="298"/>
      <c r="L217" s="291">
        <v>2025</v>
      </c>
    </row>
    <row r="218" spans="1:12" ht="15" x14ac:dyDescent="0.25">
      <c r="A218" s="287">
        <v>4600057411</v>
      </c>
      <c r="B218" s="288" t="s">
        <v>1503</v>
      </c>
      <c r="C218" s="289" t="s">
        <v>1459</v>
      </c>
      <c r="D218" s="290">
        <v>0</v>
      </c>
      <c r="E218" s="290">
        <v>504000</v>
      </c>
      <c r="F218" s="288" t="s">
        <v>1289</v>
      </c>
      <c r="G218" s="288" t="s">
        <v>1289</v>
      </c>
      <c r="H218" s="291" t="s">
        <v>18</v>
      </c>
      <c r="I218" s="297"/>
      <c r="J218" s="297"/>
      <c r="K218" s="298"/>
      <c r="L218" s="291">
        <v>2025</v>
      </c>
    </row>
    <row r="219" spans="1:12" ht="15" x14ac:dyDescent="0.25">
      <c r="A219" s="287">
        <v>4600058220</v>
      </c>
      <c r="B219" s="288" t="s">
        <v>1502</v>
      </c>
      <c r="C219" s="289" t="s">
        <v>1504</v>
      </c>
      <c r="D219" s="290">
        <v>0</v>
      </c>
      <c r="E219" s="290">
        <v>279840</v>
      </c>
      <c r="F219" s="288" t="s">
        <v>1289</v>
      </c>
      <c r="G219" s="288" t="s">
        <v>1289</v>
      </c>
      <c r="H219" s="291" t="s">
        <v>18</v>
      </c>
      <c r="I219" s="297"/>
      <c r="J219" s="297"/>
      <c r="K219" s="298"/>
      <c r="L219" s="291">
        <v>2025</v>
      </c>
    </row>
    <row r="220" spans="1:12" ht="15" x14ac:dyDescent="0.25">
      <c r="A220" s="287">
        <v>4600057680</v>
      </c>
      <c r="B220" s="288" t="s">
        <v>1462</v>
      </c>
      <c r="C220" s="289" t="s">
        <v>1505</v>
      </c>
      <c r="D220" s="290">
        <v>0</v>
      </c>
      <c r="E220" s="290">
        <v>105652.92</v>
      </c>
      <c r="F220" s="288" t="s">
        <v>1289</v>
      </c>
      <c r="G220" s="288" t="s">
        <v>1289</v>
      </c>
      <c r="H220" s="291" t="s">
        <v>18</v>
      </c>
      <c r="I220" s="297"/>
      <c r="J220" s="297"/>
      <c r="K220" s="298"/>
      <c r="L220" s="291">
        <v>2025</v>
      </c>
    </row>
    <row r="221" spans="1:12" ht="15" x14ac:dyDescent="0.25">
      <c r="A221" s="287">
        <v>4600057590</v>
      </c>
      <c r="B221" s="288" t="s">
        <v>1442</v>
      </c>
      <c r="C221" s="289" t="s">
        <v>1443</v>
      </c>
      <c r="D221" s="290">
        <v>0</v>
      </c>
      <c r="E221" s="290">
        <v>70375.08</v>
      </c>
      <c r="F221" s="288" t="s">
        <v>1288</v>
      </c>
      <c r="G221" s="288" t="s">
        <v>1289</v>
      </c>
      <c r="H221" s="291" t="s">
        <v>18</v>
      </c>
      <c r="I221" s="297"/>
      <c r="J221" s="297"/>
      <c r="K221" s="298"/>
      <c r="L221" s="291">
        <v>2025</v>
      </c>
    </row>
    <row r="222" spans="1:12" ht="15" x14ac:dyDescent="0.25">
      <c r="A222" s="291">
        <v>3027294</v>
      </c>
      <c r="B222" s="288" t="s">
        <v>1393</v>
      </c>
      <c r="C222" s="289" t="s">
        <v>1414</v>
      </c>
      <c r="D222" s="290">
        <v>0</v>
      </c>
      <c r="E222" s="290">
        <v>4500</v>
      </c>
      <c r="F222" s="288" t="s">
        <v>1286</v>
      </c>
      <c r="G222" s="288" t="s">
        <v>1286</v>
      </c>
      <c r="H222" s="291" t="s">
        <v>18</v>
      </c>
      <c r="I222" s="297"/>
      <c r="J222" s="297"/>
      <c r="K222" s="298"/>
      <c r="L222" s="291">
        <v>2025</v>
      </c>
    </row>
    <row r="223" spans="1:12" ht="15" x14ac:dyDescent="0.25">
      <c r="A223" s="291">
        <v>3027294</v>
      </c>
      <c r="B223" s="288" t="s">
        <v>1393</v>
      </c>
      <c r="C223" s="289" t="s">
        <v>1506</v>
      </c>
      <c r="D223" s="290">
        <v>0</v>
      </c>
      <c r="E223" s="290">
        <v>50000</v>
      </c>
      <c r="F223" s="288" t="s">
        <v>1286</v>
      </c>
      <c r="G223" s="288" t="s">
        <v>1286</v>
      </c>
      <c r="H223" s="291" t="s">
        <v>18</v>
      </c>
      <c r="I223" s="297"/>
      <c r="J223" s="297"/>
      <c r="K223" s="298"/>
      <c r="L223" s="291">
        <v>2025</v>
      </c>
    </row>
    <row r="224" spans="1:12" ht="15" x14ac:dyDescent="0.25">
      <c r="A224" s="287">
        <v>4600058220</v>
      </c>
      <c r="B224" s="288" t="s">
        <v>1502</v>
      </c>
      <c r="C224" s="289" t="s">
        <v>1507</v>
      </c>
      <c r="D224" s="290">
        <v>0</v>
      </c>
      <c r="E224" s="290">
        <v>75000</v>
      </c>
      <c r="F224" s="288" t="s">
        <v>1286</v>
      </c>
      <c r="G224" s="288" t="s">
        <v>1286</v>
      </c>
      <c r="H224" s="291" t="s">
        <v>18</v>
      </c>
      <c r="I224" s="297"/>
      <c r="J224" s="297"/>
      <c r="K224" s="298"/>
      <c r="L224" s="291">
        <v>2025</v>
      </c>
    </row>
    <row r="225" spans="1:12" ht="15" x14ac:dyDescent="0.25">
      <c r="A225" s="287">
        <v>4600053625</v>
      </c>
      <c r="B225" s="288" t="s">
        <v>1397</v>
      </c>
      <c r="C225" s="289" t="s">
        <v>1508</v>
      </c>
      <c r="D225" s="290">
        <v>0</v>
      </c>
      <c r="E225" s="290">
        <v>364050</v>
      </c>
      <c r="F225" s="288" t="s">
        <v>1289</v>
      </c>
      <c r="G225" s="288" t="s">
        <v>1289</v>
      </c>
      <c r="H225" s="291" t="s">
        <v>18</v>
      </c>
      <c r="I225" s="297"/>
      <c r="J225" s="297"/>
      <c r="K225" s="298"/>
      <c r="L225" s="291">
        <v>2025</v>
      </c>
    </row>
    <row r="226" spans="1:12" ht="15" x14ac:dyDescent="0.25">
      <c r="A226" s="287">
        <v>4600053625</v>
      </c>
      <c r="B226" s="288" t="s">
        <v>1397</v>
      </c>
      <c r="C226" s="289" t="s">
        <v>1509</v>
      </c>
      <c r="D226" s="290">
        <v>0</v>
      </c>
      <c r="E226" s="290">
        <v>223145.08</v>
      </c>
      <c r="F226" s="288" t="s">
        <v>1289</v>
      </c>
      <c r="G226" s="288" t="s">
        <v>1289</v>
      </c>
      <c r="H226" s="291" t="s">
        <v>18</v>
      </c>
      <c r="I226" s="297"/>
      <c r="J226" s="297"/>
      <c r="K226" s="298"/>
      <c r="L226" s="291">
        <v>2025</v>
      </c>
    </row>
    <row r="227" spans="1:12" ht="15" x14ac:dyDescent="0.25">
      <c r="A227" s="287">
        <v>4600054496</v>
      </c>
      <c r="B227" s="288" t="s">
        <v>1510</v>
      </c>
      <c r="C227" s="289" t="s">
        <v>1511</v>
      </c>
      <c r="D227" s="290">
        <v>0</v>
      </c>
      <c r="E227" s="290">
        <v>648000</v>
      </c>
      <c r="F227" s="288" t="s">
        <v>1329</v>
      </c>
      <c r="G227" s="288" t="s">
        <v>1329</v>
      </c>
      <c r="H227" s="291" t="s">
        <v>18</v>
      </c>
      <c r="I227" s="297"/>
      <c r="J227" s="297"/>
      <c r="K227" s="298"/>
      <c r="L227" s="291">
        <v>2025</v>
      </c>
    </row>
    <row r="228" spans="1:12" ht="15" x14ac:dyDescent="0.25">
      <c r="A228" s="287">
        <v>4600054977</v>
      </c>
      <c r="B228" s="288" t="s">
        <v>1512</v>
      </c>
      <c r="C228" s="289" t="s">
        <v>1513</v>
      </c>
      <c r="D228" s="290">
        <v>0</v>
      </c>
      <c r="E228" s="290">
        <v>49707.839999999997</v>
      </c>
      <c r="F228" s="288" t="s">
        <v>1329</v>
      </c>
      <c r="G228" s="288" t="s">
        <v>1329</v>
      </c>
      <c r="H228" s="291" t="s">
        <v>18</v>
      </c>
      <c r="I228" s="297"/>
      <c r="J228" s="297"/>
      <c r="K228" s="298"/>
      <c r="L228" s="291">
        <v>2025</v>
      </c>
    </row>
    <row r="229" spans="1:12" ht="15" x14ac:dyDescent="0.25">
      <c r="A229" s="287">
        <v>4600054977</v>
      </c>
      <c r="B229" s="288" t="s">
        <v>1512</v>
      </c>
      <c r="C229" s="289" t="s">
        <v>1514</v>
      </c>
      <c r="D229" s="290">
        <v>0</v>
      </c>
      <c r="E229" s="290">
        <v>70125</v>
      </c>
      <c r="F229" s="288" t="s">
        <v>1329</v>
      </c>
      <c r="G229" s="288" t="s">
        <v>1329</v>
      </c>
      <c r="H229" s="291" t="s">
        <v>18</v>
      </c>
      <c r="I229" s="297"/>
      <c r="J229" s="297"/>
      <c r="K229" s="298"/>
      <c r="L229" s="291">
        <v>2025</v>
      </c>
    </row>
    <row r="230" spans="1:12" ht="15" x14ac:dyDescent="0.25">
      <c r="A230" s="287">
        <v>4600054977</v>
      </c>
      <c r="B230" s="288" t="s">
        <v>1512</v>
      </c>
      <c r="C230" s="289" t="s">
        <v>1515</v>
      </c>
      <c r="D230" s="290">
        <v>0</v>
      </c>
      <c r="E230" s="290">
        <v>34454.639999999999</v>
      </c>
      <c r="F230" s="288" t="s">
        <v>1329</v>
      </c>
      <c r="G230" s="288" t="s">
        <v>1329</v>
      </c>
      <c r="H230" s="291" t="s">
        <v>18</v>
      </c>
      <c r="I230" s="297"/>
      <c r="J230" s="297"/>
      <c r="K230" s="298"/>
      <c r="L230" s="291">
        <v>2025</v>
      </c>
    </row>
    <row r="231" spans="1:12" ht="15" x14ac:dyDescent="0.25">
      <c r="A231" s="287">
        <v>4600057921</v>
      </c>
      <c r="B231" s="288" t="s">
        <v>1462</v>
      </c>
      <c r="C231" s="289" t="s">
        <v>1516</v>
      </c>
      <c r="D231" s="290">
        <v>0</v>
      </c>
      <c r="E231" s="290">
        <v>50400</v>
      </c>
      <c r="F231" s="288" t="s">
        <v>1289</v>
      </c>
      <c r="G231" s="288" t="s">
        <v>1289</v>
      </c>
      <c r="H231" s="291" t="s">
        <v>18</v>
      </c>
      <c r="I231" s="297"/>
      <c r="J231" s="297"/>
      <c r="K231" s="298"/>
      <c r="L231" s="291">
        <v>2025</v>
      </c>
    </row>
    <row r="232" spans="1:12" ht="15" x14ac:dyDescent="0.25">
      <c r="A232" s="287">
        <v>4600057921</v>
      </c>
      <c r="B232" s="288" t="s">
        <v>1462</v>
      </c>
      <c r="C232" s="289" t="s">
        <v>1517</v>
      </c>
      <c r="D232" s="290">
        <v>0</v>
      </c>
      <c r="E232" s="290">
        <v>50400</v>
      </c>
      <c r="F232" s="288" t="s">
        <v>1289</v>
      </c>
      <c r="G232" s="288" t="s">
        <v>1289</v>
      </c>
      <c r="H232" s="291" t="s">
        <v>18</v>
      </c>
      <c r="I232" s="297"/>
      <c r="J232" s="297"/>
      <c r="K232" s="298"/>
      <c r="L232" s="291">
        <v>2025</v>
      </c>
    </row>
    <row r="233" spans="1:12" ht="15" x14ac:dyDescent="0.25">
      <c r="A233" s="287">
        <v>4600057921</v>
      </c>
      <c r="B233" s="288" t="s">
        <v>1462</v>
      </c>
      <c r="C233" s="289" t="s">
        <v>1518</v>
      </c>
      <c r="D233" s="290">
        <v>0</v>
      </c>
      <c r="E233" s="290">
        <v>72000</v>
      </c>
      <c r="F233" s="288" t="s">
        <v>1289</v>
      </c>
      <c r="G233" s="288" t="s">
        <v>1289</v>
      </c>
      <c r="H233" s="291" t="s">
        <v>18</v>
      </c>
      <c r="I233" s="297"/>
      <c r="J233" s="297"/>
      <c r="K233" s="298"/>
      <c r="L233" s="291">
        <v>2025</v>
      </c>
    </row>
    <row r="234" spans="1:12" ht="15" x14ac:dyDescent="0.25">
      <c r="A234" s="287">
        <v>4600053625</v>
      </c>
      <c r="B234" s="288" t="s">
        <v>1397</v>
      </c>
      <c r="C234" s="289" t="s">
        <v>1519</v>
      </c>
      <c r="D234" s="290">
        <v>0</v>
      </c>
      <c r="E234" s="290">
        <v>216792.72</v>
      </c>
      <c r="F234" s="288" t="s">
        <v>1289</v>
      </c>
      <c r="G234" s="288" t="s">
        <v>1289</v>
      </c>
      <c r="H234" s="291" t="s">
        <v>18</v>
      </c>
      <c r="I234" s="297"/>
      <c r="J234" s="297"/>
      <c r="K234" s="298"/>
      <c r="L234" s="291">
        <v>2025</v>
      </c>
    </row>
    <row r="235" spans="1:12" ht="15" x14ac:dyDescent="0.25">
      <c r="A235" s="287">
        <v>4600058220</v>
      </c>
      <c r="B235" s="288" t="s">
        <v>1502</v>
      </c>
      <c r="C235" s="289" t="s">
        <v>1520</v>
      </c>
      <c r="D235" s="290">
        <v>0</v>
      </c>
      <c r="E235" s="290">
        <v>1790105.05</v>
      </c>
      <c r="F235" s="288" t="s">
        <v>1289</v>
      </c>
      <c r="G235" s="288" t="s">
        <v>1289</v>
      </c>
      <c r="H235" s="291" t="s">
        <v>18</v>
      </c>
      <c r="I235" s="297"/>
      <c r="J235" s="297"/>
      <c r="K235" s="298"/>
      <c r="L235" s="291">
        <v>2025</v>
      </c>
    </row>
    <row r="236" spans="1:12" ht="15" x14ac:dyDescent="0.25">
      <c r="A236" s="287">
        <v>4600057921</v>
      </c>
      <c r="B236" s="288" t="s">
        <v>1462</v>
      </c>
      <c r="C236" s="289" t="s">
        <v>1521</v>
      </c>
      <c r="D236" s="290">
        <v>0</v>
      </c>
      <c r="E236" s="290">
        <v>48000</v>
      </c>
      <c r="F236" s="288" t="s">
        <v>1288</v>
      </c>
      <c r="G236" s="288" t="s">
        <v>1288</v>
      </c>
      <c r="H236" s="291" t="s">
        <v>18</v>
      </c>
      <c r="I236" s="297"/>
      <c r="J236" s="297"/>
      <c r="K236" s="298"/>
      <c r="L236" s="291">
        <v>2025</v>
      </c>
    </row>
    <row r="237" spans="1:12" ht="15" x14ac:dyDescent="0.25">
      <c r="A237" s="287">
        <v>4600057463</v>
      </c>
      <c r="B237" s="288" t="s">
        <v>1522</v>
      </c>
      <c r="C237" s="289" t="s">
        <v>1523</v>
      </c>
      <c r="D237" s="290">
        <v>0</v>
      </c>
      <c r="E237" s="290">
        <v>98640</v>
      </c>
      <c r="F237" s="288" t="s">
        <v>1286</v>
      </c>
      <c r="G237" s="288" t="s">
        <v>1286</v>
      </c>
      <c r="H237" s="291" t="s">
        <v>18</v>
      </c>
      <c r="I237" s="297"/>
      <c r="J237" s="297"/>
      <c r="K237" s="298"/>
      <c r="L237" s="291">
        <v>2025</v>
      </c>
    </row>
    <row r="238" spans="1:12" ht="15" x14ac:dyDescent="0.25">
      <c r="A238" s="287">
        <v>4600057921</v>
      </c>
      <c r="B238" s="288" t="s">
        <v>1462</v>
      </c>
      <c r="C238" s="289" t="s">
        <v>1524</v>
      </c>
      <c r="D238" s="290">
        <v>0</v>
      </c>
      <c r="E238" s="290">
        <v>102378.32</v>
      </c>
      <c r="F238" s="288" t="s">
        <v>1288</v>
      </c>
      <c r="G238" s="288" t="s">
        <v>1288</v>
      </c>
      <c r="H238" s="291" t="s">
        <v>18</v>
      </c>
      <c r="I238" s="297"/>
      <c r="J238" s="297"/>
      <c r="K238" s="298"/>
      <c r="L238" s="291">
        <v>2025</v>
      </c>
    </row>
    <row r="239" spans="1:12" ht="15" x14ac:dyDescent="0.25">
      <c r="A239" s="287">
        <v>4600057921</v>
      </c>
      <c r="B239" s="288" t="s">
        <v>1462</v>
      </c>
      <c r="C239" s="289" t="s">
        <v>1525</v>
      </c>
      <c r="D239" s="290">
        <v>0</v>
      </c>
      <c r="E239" s="290">
        <v>74456.960000000006</v>
      </c>
      <c r="F239" s="288" t="s">
        <v>1288</v>
      </c>
      <c r="G239" s="288" t="s">
        <v>1288</v>
      </c>
      <c r="H239" s="291" t="s">
        <v>18</v>
      </c>
      <c r="I239" s="297"/>
      <c r="J239" s="297"/>
      <c r="K239" s="298"/>
      <c r="L239" s="291">
        <v>2025</v>
      </c>
    </row>
    <row r="240" spans="1:12" ht="15" x14ac:dyDescent="0.25">
      <c r="A240" s="287">
        <v>4600057921</v>
      </c>
      <c r="B240" s="288" t="s">
        <v>1462</v>
      </c>
      <c r="C240" s="289" t="s">
        <v>1526</v>
      </c>
      <c r="D240" s="290">
        <v>0</v>
      </c>
      <c r="E240" s="290">
        <v>192664.08</v>
      </c>
      <c r="F240" s="288" t="s">
        <v>1288</v>
      </c>
      <c r="G240" s="288" t="s">
        <v>1288</v>
      </c>
      <c r="H240" s="291" t="s">
        <v>18</v>
      </c>
      <c r="I240" s="297"/>
      <c r="J240" s="297"/>
      <c r="K240" s="298"/>
      <c r="L240" s="291">
        <v>2025</v>
      </c>
    </row>
    <row r="241" spans="1:12" ht="15" x14ac:dyDescent="0.25">
      <c r="A241" s="287">
        <v>4600057921</v>
      </c>
      <c r="B241" s="288" t="s">
        <v>1462</v>
      </c>
      <c r="C241" s="289" t="s">
        <v>1527</v>
      </c>
      <c r="D241" s="290">
        <v>0</v>
      </c>
      <c r="E241" s="290">
        <v>183071.2</v>
      </c>
      <c r="F241" s="288" t="s">
        <v>1288</v>
      </c>
      <c r="G241" s="288" t="s">
        <v>1288</v>
      </c>
      <c r="H241" s="291" t="s">
        <v>18</v>
      </c>
      <c r="I241" s="297"/>
      <c r="J241" s="297"/>
      <c r="K241" s="298"/>
      <c r="L241" s="291">
        <v>2025</v>
      </c>
    </row>
    <row r="242" spans="1:12" ht="15" x14ac:dyDescent="0.25">
      <c r="A242" s="287">
        <v>4600057921</v>
      </c>
      <c r="B242" s="288" t="s">
        <v>1462</v>
      </c>
      <c r="C242" s="289" t="s">
        <v>1528</v>
      </c>
      <c r="D242" s="290">
        <v>0</v>
      </c>
      <c r="E242" s="290">
        <v>96000</v>
      </c>
      <c r="F242" s="288" t="s">
        <v>1288</v>
      </c>
      <c r="G242" s="288" t="s">
        <v>1288</v>
      </c>
      <c r="H242" s="291" t="s">
        <v>18</v>
      </c>
      <c r="I242" s="297"/>
      <c r="J242" s="297"/>
      <c r="K242" s="298"/>
      <c r="L242" s="291">
        <v>2025</v>
      </c>
    </row>
    <row r="243" spans="1:12" ht="15" x14ac:dyDescent="0.25">
      <c r="A243" s="287">
        <v>4600057921</v>
      </c>
      <c r="B243" s="288" t="s">
        <v>1462</v>
      </c>
      <c r="C243" s="289" t="s">
        <v>1529</v>
      </c>
      <c r="D243" s="290">
        <v>0</v>
      </c>
      <c r="E243" s="290">
        <v>385131.56</v>
      </c>
      <c r="F243" s="288" t="s">
        <v>1288</v>
      </c>
      <c r="G243" s="288" t="s">
        <v>1288</v>
      </c>
      <c r="H243" s="291" t="s">
        <v>18</v>
      </c>
      <c r="I243" s="297"/>
      <c r="J243" s="297"/>
      <c r="K243" s="298"/>
      <c r="L243" s="291">
        <v>2025</v>
      </c>
    </row>
    <row r="244" spans="1:12" ht="15" x14ac:dyDescent="0.25">
      <c r="A244" s="287">
        <v>4600053869</v>
      </c>
      <c r="B244" s="288" t="s">
        <v>89</v>
      </c>
      <c r="C244" s="289" t="s">
        <v>1530</v>
      </c>
      <c r="D244" s="290">
        <v>0</v>
      </c>
      <c r="E244" s="290">
        <v>141000</v>
      </c>
      <c r="F244" s="288" t="s">
        <v>1289</v>
      </c>
      <c r="G244" s="288" t="s">
        <v>1289</v>
      </c>
      <c r="H244" s="291" t="s">
        <v>18</v>
      </c>
      <c r="I244" s="297"/>
      <c r="J244" s="297"/>
      <c r="K244" s="298"/>
      <c r="L244" s="291">
        <v>2025</v>
      </c>
    </row>
    <row r="245" spans="1:12" ht="15" x14ac:dyDescent="0.25">
      <c r="A245" s="287">
        <v>4600057921</v>
      </c>
      <c r="B245" s="288" t="s">
        <v>1462</v>
      </c>
      <c r="C245" s="289" t="s">
        <v>1401</v>
      </c>
      <c r="D245" s="290">
        <v>0</v>
      </c>
      <c r="E245" s="290">
        <v>200000</v>
      </c>
      <c r="F245" s="288" t="s">
        <v>1289</v>
      </c>
      <c r="G245" s="288" t="s">
        <v>1289</v>
      </c>
      <c r="H245" s="291" t="s">
        <v>18</v>
      </c>
      <c r="I245" s="297"/>
      <c r="J245" s="297"/>
      <c r="K245" s="298"/>
      <c r="L245" s="291">
        <v>2025</v>
      </c>
    </row>
    <row r="246" spans="1:12" ht="15" x14ac:dyDescent="0.25">
      <c r="A246" s="287">
        <v>4600049735</v>
      </c>
      <c r="B246" s="288" t="s">
        <v>23</v>
      </c>
      <c r="C246" s="289" t="s">
        <v>1401</v>
      </c>
      <c r="D246" s="290">
        <v>0</v>
      </c>
      <c r="E246" s="290">
        <v>768206.29</v>
      </c>
      <c r="F246" s="288" t="s">
        <v>1289</v>
      </c>
      <c r="G246" s="288" t="s">
        <v>1289</v>
      </c>
      <c r="H246" s="291" t="s">
        <v>18</v>
      </c>
      <c r="I246" s="297"/>
      <c r="J246" s="297"/>
      <c r="K246" s="298"/>
      <c r="L246" s="291">
        <v>2025</v>
      </c>
    </row>
    <row r="247" spans="1:12" ht="15" x14ac:dyDescent="0.25">
      <c r="A247" s="287">
        <v>4600057534</v>
      </c>
      <c r="B247" s="288" t="s">
        <v>1462</v>
      </c>
      <c r="C247" s="289" t="s">
        <v>1531</v>
      </c>
      <c r="D247" s="290">
        <v>0</v>
      </c>
      <c r="E247" s="290">
        <v>1327030.06</v>
      </c>
      <c r="F247" s="288" t="s">
        <v>1289</v>
      </c>
      <c r="G247" s="288" t="s">
        <v>1289</v>
      </c>
      <c r="H247" s="291" t="s">
        <v>18</v>
      </c>
      <c r="I247" s="297"/>
      <c r="J247" s="297"/>
      <c r="K247" s="298"/>
      <c r="L247" s="291">
        <v>2025</v>
      </c>
    </row>
    <row r="248" spans="1:12" ht="15" x14ac:dyDescent="0.25">
      <c r="A248" s="287">
        <v>3045807</v>
      </c>
      <c r="B248" s="288" t="s">
        <v>1532</v>
      </c>
      <c r="C248" s="289" t="s">
        <v>1533</v>
      </c>
      <c r="D248" s="290">
        <v>0</v>
      </c>
      <c r="E248" s="290">
        <v>330000</v>
      </c>
      <c r="F248" s="288" t="s">
        <v>1329</v>
      </c>
      <c r="G248" s="288" t="s">
        <v>1329</v>
      </c>
      <c r="H248" s="291" t="s">
        <v>18</v>
      </c>
      <c r="I248" s="297"/>
      <c r="J248" s="297"/>
      <c r="K248" s="298"/>
      <c r="L248" s="291">
        <v>2025</v>
      </c>
    </row>
    <row r="249" spans="1:12" ht="15" x14ac:dyDescent="0.25">
      <c r="A249" s="287">
        <v>4600058220</v>
      </c>
      <c r="B249" s="288" t="s">
        <v>1502</v>
      </c>
      <c r="C249" s="289" t="s">
        <v>1534</v>
      </c>
      <c r="D249" s="290">
        <v>0</v>
      </c>
      <c r="E249" s="290">
        <v>175000</v>
      </c>
      <c r="F249" s="288" t="s">
        <v>1289</v>
      </c>
      <c r="G249" s="288" t="s">
        <v>1289</v>
      </c>
      <c r="H249" s="291" t="s">
        <v>18</v>
      </c>
      <c r="I249" s="297"/>
      <c r="J249" s="297"/>
      <c r="K249" s="298"/>
      <c r="L249" s="291">
        <v>2025</v>
      </c>
    </row>
    <row r="250" spans="1:12" ht="15" x14ac:dyDescent="0.25">
      <c r="A250" s="287">
        <v>4600056630</v>
      </c>
      <c r="B250" s="288" t="s">
        <v>1462</v>
      </c>
      <c r="C250" s="289" t="s">
        <v>1531</v>
      </c>
      <c r="D250" s="290">
        <v>0</v>
      </c>
      <c r="E250" s="290">
        <v>-315000</v>
      </c>
      <c r="F250" s="288" t="s">
        <v>1289</v>
      </c>
      <c r="G250" s="288" t="s">
        <v>1289</v>
      </c>
      <c r="H250" s="291" t="s">
        <v>18</v>
      </c>
      <c r="I250" s="297"/>
      <c r="J250" s="297"/>
      <c r="K250" s="298"/>
      <c r="L250" s="291">
        <v>2025</v>
      </c>
    </row>
    <row r="251" spans="1:12" ht="15" x14ac:dyDescent="0.25">
      <c r="A251" s="287">
        <v>4600058078</v>
      </c>
      <c r="B251" s="288" t="s">
        <v>1535</v>
      </c>
      <c r="C251" s="289" t="s">
        <v>1536</v>
      </c>
      <c r="D251" s="290">
        <v>0</v>
      </c>
      <c r="E251" s="290">
        <v>647751</v>
      </c>
      <c r="F251" s="288" t="s">
        <v>1286</v>
      </c>
      <c r="G251" s="288" t="s">
        <v>1286</v>
      </c>
      <c r="H251" s="291" t="s">
        <v>18</v>
      </c>
      <c r="I251" s="297"/>
      <c r="J251" s="297"/>
      <c r="K251" s="298"/>
      <c r="L251" s="291">
        <v>2025</v>
      </c>
    </row>
    <row r="252" spans="1:12" ht="15" x14ac:dyDescent="0.25">
      <c r="A252" s="287">
        <v>4600053869</v>
      </c>
      <c r="B252" s="288" t="s">
        <v>89</v>
      </c>
      <c r="C252" s="289" t="s">
        <v>1537</v>
      </c>
      <c r="D252" s="290">
        <v>0</v>
      </c>
      <c r="E252" s="290">
        <v>49305.555833333303</v>
      </c>
      <c r="F252" s="288" t="s">
        <v>1286</v>
      </c>
      <c r="G252" s="288" t="s">
        <v>1286</v>
      </c>
      <c r="H252" s="291" t="s">
        <v>18</v>
      </c>
      <c r="I252" s="297"/>
      <c r="J252" s="297"/>
      <c r="K252" s="298"/>
      <c r="L252" s="291">
        <v>2025</v>
      </c>
    </row>
    <row r="253" spans="1:12" ht="15" x14ac:dyDescent="0.25">
      <c r="A253" s="287">
        <v>4600053869</v>
      </c>
      <c r="B253" s="288" t="s">
        <v>89</v>
      </c>
      <c r="C253" s="289" t="s">
        <v>1538</v>
      </c>
      <c r="D253" s="290">
        <v>0</v>
      </c>
      <c r="E253" s="290">
        <v>843780</v>
      </c>
      <c r="F253" s="288" t="s">
        <v>1288</v>
      </c>
      <c r="G253" s="288" t="s">
        <v>1288</v>
      </c>
      <c r="H253" s="291" t="s">
        <v>18</v>
      </c>
      <c r="I253" s="297"/>
      <c r="J253" s="297"/>
      <c r="K253" s="298"/>
      <c r="L253" s="291">
        <v>2025</v>
      </c>
    </row>
    <row r="254" spans="1:12" ht="15" x14ac:dyDescent="0.25">
      <c r="A254" s="287">
        <v>4600053869</v>
      </c>
      <c r="B254" s="288" t="s">
        <v>89</v>
      </c>
      <c r="C254" s="289" t="s">
        <v>1539</v>
      </c>
      <c r="D254" s="290">
        <v>0</v>
      </c>
      <c r="E254" s="290">
        <v>1000360.14</v>
      </c>
      <c r="F254" s="288" t="s">
        <v>1286</v>
      </c>
      <c r="G254" s="288" t="s">
        <v>1286</v>
      </c>
      <c r="H254" s="291" t="s">
        <v>18</v>
      </c>
      <c r="I254" s="297"/>
      <c r="J254" s="297"/>
      <c r="K254" s="298"/>
      <c r="L254" s="291">
        <v>2025</v>
      </c>
    </row>
    <row r="255" spans="1:12" ht="15" x14ac:dyDescent="0.25">
      <c r="A255" s="287">
        <v>4600053869</v>
      </c>
      <c r="B255" s="288" t="s">
        <v>89</v>
      </c>
      <c r="C255" s="289" t="s">
        <v>1539</v>
      </c>
      <c r="D255" s="290">
        <v>0</v>
      </c>
      <c r="E255" s="290">
        <v>410373.93</v>
      </c>
      <c r="F255" s="288" t="s">
        <v>1286</v>
      </c>
      <c r="G255" s="288" t="s">
        <v>1286</v>
      </c>
      <c r="H255" s="291" t="s">
        <v>18</v>
      </c>
      <c r="I255" s="297"/>
      <c r="J255" s="297"/>
      <c r="K255" s="298"/>
      <c r="L255" s="291">
        <v>2025</v>
      </c>
    </row>
    <row r="256" spans="1:12" ht="15" x14ac:dyDescent="0.25">
      <c r="A256" s="287">
        <v>4600053869</v>
      </c>
      <c r="B256" s="288" t="s">
        <v>89</v>
      </c>
      <c r="C256" s="289" t="s">
        <v>1539</v>
      </c>
      <c r="D256" s="290">
        <v>0</v>
      </c>
      <c r="E256" s="290">
        <v>216000</v>
      </c>
      <c r="F256" s="288" t="s">
        <v>1286</v>
      </c>
      <c r="G256" s="288" t="s">
        <v>1286</v>
      </c>
      <c r="H256" s="291" t="s">
        <v>18</v>
      </c>
      <c r="I256" s="297"/>
      <c r="J256" s="297"/>
      <c r="K256" s="298"/>
      <c r="L256" s="291">
        <v>2025</v>
      </c>
    </row>
    <row r="257" spans="1:12" ht="15" x14ac:dyDescent="0.25">
      <c r="A257" s="291">
        <v>195138</v>
      </c>
      <c r="B257" s="288" t="s">
        <v>1482</v>
      </c>
      <c r="C257" s="289" t="s">
        <v>1432</v>
      </c>
      <c r="D257" s="290">
        <v>0</v>
      </c>
      <c r="E257" s="290">
        <v>360000</v>
      </c>
      <c r="F257" s="288" t="s">
        <v>1288</v>
      </c>
      <c r="G257" s="288" t="s">
        <v>1289</v>
      </c>
      <c r="H257" s="291" t="s">
        <v>18</v>
      </c>
      <c r="I257" s="297"/>
      <c r="J257" s="297"/>
      <c r="K257" s="298"/>
      <c r="L257" s="291">
        <v>2025</v>
      </c>
    </row>
    <row r="258" spans="1:12" ht="15" x14ac:dyDescent="0.25">
      <c r="A258" s="287">
        <v>4600051835</v>
      </c>
      <c r="B258" s="288" t="s">
        <v>61</v>
      </c>
      <c r="C258" s="289" t="s">
        <v>1540</v>
      </c>
      <c r="D258" s="290">
        <v>0</v>
      </c>
      <c r="E258" s="290">
        <v>13302.5</v>
      </c>
      <c r="F258" s="288" t="s">
        <v>1286</v>
      </c>
      <c r="G258" s="288" t="s">
        <v>1286</v>
      </c>
      <c r="H258" s="291" t="s">
        <v>18</v>
      </c>
      <c r="I258" s="297"/>
      <c r="J258" s="297"/>
      <c r="K258" s="298"/>
      <c r="L258" s="291">
        <v>2025</v>
      </c>
    </row>
    <row r="259" spans="1:12" ht="15" x14ac:dyDescent="0.25">
      <c r="A259" s="291">
        <v>3045782</v>
      </c>
      <c r="B259" s="288" t="s">
        <v>1541</v>
      </c>
      <c r="C259" s="289" t="s">
        <v>1542</v>
      </c>
      <c r="D259" s="290">
        <v>0</v>
      </c>
      <c r="E259" s="290">
        <v>26400</v>
      </c>
      <c r="F259" s="288" t="s">
        <v>1288</v>
      </c>
      <c r="G259" s="288" t="s">
        <v>1289</v>
      </c>
      <c r="H259" s="291" t="s">
        <v>18</v>
      </c>
      <c r="I259" s="297"/>
      <c r="J259" s="297"/>
      <c r="K259" s="298"/>
      <c r="L259" s="291">
        <v>2025</v>
      </c>
    </row>
    <row r="260" spans="1:12" ht="15" x14ac:dyDescent="0.25">
      <c r="A260" s="291">
        <v>3045782</v>
      </c>
      <c r="B260" s="288" t="s">
        <v>1541</v>
      </c>
      <c r="C260" s="289" t="s">
        <v>1543</v>
      </c>
      <c r="D260" s="290">
        <v>0</v>
      </c>
      <c r="E260" s="290">
        <v>31200</v>
      </c>
      <c r="F260" s="288" t="s">
        <v>1288</v>
      </c>
      <c r="G260" s="288" t="s">
        <v>1289</v>
      </c>
      <c r="H260" s="291" t="s">
        <v>18</v>
      </c>
      <c r="I260" s="297"/>
      <c r="J260" s="297"/>
      <c r="K260" s="298"/>
      <c r="L260" s="291">
        <v>2025</v>
      </c>
    </row>
    <row r="261" spans="1:12" ht="15" x14ac:dyDescent="0.25">
      <c r="A261" s="291">
        <v>3045782</v>
      </c>
      <c r="B261" s="288" t="s">
        <v>1541</v>
      </c>
      <c r="C261" s="289" t="s">
        <v>1544</v>
      </c>
      <c r="D261" s="290">
        <v>0</v>
      </c>
      <c r="E261" s="290">
        <v>295200</v>
      </c>
      <c r="F261" s="288" t="s">
        <v>1288</v>
      </c>
      <c r="G261" s="288" t="s">
        <v>1289</v>
      </c>
      <c r="H261" s="291" t="s">
        <v>18</v>
      </c>
      <c r="I261" s="297"/>
      <c r="J261" s="297"/>
      <c r="K261" s="298"/>
      <c r="L261" s="291">
        <v>2025</v>
      </c>
    </row>
    <row r="262" spans="1:12" ht="15" x14ac:dyDescent="0.25">
      <c r="A262" s="291">
        <v>3045782</v>
      </c>
      <c r="B262" s="288" t="s">
        <v>1541</v>
      </c>
      <c r="C262" s="289" t="s">
        <v>1545</v>
      </c>
      <c r="D262" s="290">
        <v>0</v>
      </c>
      <c r="E262" s="290">
        <v>274522</v>
      </c>
      <c r="F262" s="288" t="s">
        <v>1288</v>
      </c>
      <c r="G262" s="288" t="s">
        <v>1289</v>
      </c>
      <c r="H262" s="291" t="s">
        <v>18</v>
      </c>
      <c r="I262" s="297"/>
      <c r="J262" s="297"/>
      <c r="K262" s="298"/>
      <c r="L262" s="291">
        <v>2025</v>
      </c>
    </row>
    <row r="263" spans="1:12" ht="15" x14ac:dyDescent="0.25">
      <c r="A263" s="291">
        <v>3045782</v>
      </c>
      <c r="B263" s="288" t="s">
        <v>1541</v>
      </c>
      <c r="C263" s="289" t="s">
        <v>1546</v>
      </c>
      <c r="D263" s="290">
        <v>0</v>
      </c>
      <c r="E263" s="290">
        <v>135600</v>
      </c>
      <c r="F263" s="288" t="s">
        <v>1288</v>
      </c>
      <c r="G263" s="288" t="s">
        <v>1289</v>
      </c>
      <c r="H263" s="291" t="s">
        <v>18</v>
      </c>
      <c r="I263" s="297"/>
      <c r="J263" s="297"/>
      <c r="K263" s="298"/>
      <c r="L263" s="291">
        <v>2025</v>
      </c>
    </row>
    <row r="264" spans="1:12" ht="15" x14ac:dyDescent="0.25">
      <c r="A264" s="287">
        <v>4600055495</v>
      </c>
      <c r="B264" s="288" t="s">
        <v>598</v>
      </c>
      <c r="C264" s="289" t="s">
        <v>1547</v>
      </c>
      <c r="D264" s="290">
        <v>0</v>
      </c>
      <c r="E264" s="290">
        <v>195184.64000000001</v>
      </c>
      <c r="F264" s="288" t="s">
        <v>1329</v>
      </c>
      <c r="G264" s="288" t="s">
        <v>1329</v>
      </c>
      <c r="H264" s="291" t="s">
        <v>18</v>
      </c>
      <c r="I264" s="297"/>
      <c r="J264" s="297"/>
      <c r="K264" s="298"/>
      <c r="L264" s="291">
        <v>2025</v>
      </c>
    </row>
    <row r="265" spans="1:12" ht="15" x14ac:dyDescent="0.25">
      <c r="A265" s="287">
        <v>4600053625</v>
      </c>
      <c r="B265" s="288" t="s">
        <v>1397</v>
      </c>
      <c r="C265" s="289" t="s">
        <v>1548</v>
      </c>
      <c r="D265" s="290">
        <v>0</v>
      </c>
      <c r="E265" s="290">
        <v>1815929.48</v>
      </c>
      <c r="F265" s="288" t="s">
        <v>1286</v>
      </c>
      <c r="G265" s="288" t="s">
        <v>1286</v>
      </c>
      <c r="H265" s="291" t="s">
        <v>18</v>
      </c>
      <c r="I265" s="297"/>
      <c r="J265" s="297"/>
      <c r="K265" s="298"/>
      <c r="L265" s="291">
        <v>2025</v>
      </c>
    </row>
    <row r="266" spans="1:12" ht="15" x14ac:dyDescent="0.25">
      <c r="A266" s="287">
        <v>4600053625</v>
      </c>
      <c r="B266" s="288" t="s">
        <v>1397</v>
      </c>
      <c r="C266" s="289" t="s">
        <v>1549</v>
      </c>
      <c r="D266" s="290">
        <v>0</v>
      </c>
      <c r="E266" s="290">
        <v>800198.98</v>
      </c>
      <c r="F266" s="288" t="s">
        <v>1289</v>
      </c>
      <c r="G266" s="288" t="s">
        <v>1289</v>
      </c>
      <c r="H266" s="291" t="s">
        <v>18</v>
      </c>
      <c r="I266" s="297"/>
      <c r="J266" s="297"/>
      <c r="K266" s="298"/>
      <c r="L266" s="291">
        <v>2025</v>
      </c>
    </row>
    <row r="267" spans="1:12" ht="15" x14ac:dyDescent="0.25">
      <c r="A267" s="287">
        <v>4600050894</v>
      </c>
      <c r="B267" s="288" t="s">
        <v>643</v>
      </c>
      <c r="C267" s="289" t="s">
        <v>1402</v>
      </c>
      <c r="D267" s="290">
        <v>0</v>
      </c>
      <c r="E267" s="290">
        <v>108900</v>
      </c>
      <c r="F267" s="288" t="s">
        <v>1286</v>
      </c>
      <c r="G267" s="288" t="s">
        <v>1286</v>
      </c>
      <c r="H267" s="291" t="s">
        <v>18</v>
      </c>
      <c r="I267" s="297"/>
      <c r="J267" s="297"/>
      <c r="K267" s="298"/>
      <c r="L267" s="291">
        <v>2025</v>
      </c>
    </row>
    <row r="268" spans="1:12" ht="15" x14ac:dyDescent="0.25">
      <c r="A268" s="287">
        <v>4600057804</v>
      </c>
      <c r="B268" s="288" t="s">
        <v>1550</v>
      </c>
      <c r="C268" s="289" t="s">
        <v>1551</v>
      </c>
      <c r="D268" s="290">
        <v>0</v>
      </c>
      <c r="E268" s="290">
        <v>286985.56</v>
      </c>
      <c r="F268" s="288" t="s">
        <v>1289</v>
      </c>
      <c r="G268" s="288" t="s">
        <v>1289</v>
      </c>
      <c r="H268" s="291" t="s">
        <v>18</v>
      </c>
      <c r="I268" s="297"/>
      <c r="J268" s="297"/>
      <c r="K268" s="298"/>
      <c r="L268" s="291">
        <v>2025</v>
      </c>
    </row>
    <row r="269" spans="1:12" ht="15" x14ac:dyDescent="0.25">
      <c r="A269" s="291">
        <v>4600041689</v>
      </c>
      <c r="B269" s="288" t="s">
        <v>1466</v>
      </c>
      <c r="C269" s="289" t="s">
        <v>1467</v>
      </c>
      <c r="D269" s="290">
        <v>0</v>
      </c>
      <c r="E269" s="290">
        <v>29575</v>
      </c>
      <c r="F269" s="288" t="s">
        <v>1286</v>
      </c>
      <c r="G269" s="288" t="s">
        <v>1286</v>
      </c>
      <c r="H269" s="291" t="s">
        <v>18</v>
      </c>
      <c r="I269" s="297"/>
      <c r="J269" s="297"/>
      <c r="K269" s="298"/>
      <c r="L269" s="291">
        <v>2025</v>
      </c>
    </row>
    <row r="270" spans="1:12" ht="15" x14ac:dyDescent="0.25">
      <c r="A270" s="287">
        <v>4600057330</v>
      </c>
      <c r="B270" s="288" t="s">
        <v>1552</v>
      </c>
      <c r="C270" s="289" t="s">
        <v>1553</v>
      </c>
      <c r="D270" s="290">
        <v>0</v>
      </c>
      <c r="E270" s="290">
        <v>12000</v>
      </c>
      <c r="F270" s="288" t="s">
        <v>1288</v>
      </c>
      <c r="G270" s="288" t="s">
        <v>1289</v>
      </c>
      <c r="H270" s="291" t="s">
        <v>18</v>
      </c>
      <c r="I270" s="297"/>
      <c r="J270" s="297"/>
      <c r="K270" s="298"/>
      <c r="L270" s="291">
        <v>2025</v>
      </c>
    </row>
    <row r="271" spans="1:12" ht="15" x14ac:dyDescent="0.25">
      <c r="A271" s="287">
        <v>4600051835</v>
      </c>
      <c r="B271" s="288" t="s">
        <v>61</v>
      </c>
      <c r="C271" s="289" t="s">
        <v>1438</v>
      </c>
      <c r="D271" s="290">
        <v>0</v>
      </c>
      <c r="E271" s="290">
        <v>22585.85</v>
      </c>
      <c r="F271" s="288" t="s">
        <v>1286</v>
      </c>
      <c r="G271" s="288" t="s">
        <v>1286</v>
      </c>
      <c r="H271" s="291" t="s">
        <v>18</v>
      </c>
      <c r="I271" s="297"/>
      <c r="J271" s="297"/>
      <c r="K271" s="298"/>
      <c r="L271" s="291">
        <v>2025</v>
      </c>
    </row>
    <row r="272" spans="1:12" ht="15" x14ac:dyDescent="0.25">
      <c r="A272" s="287">
        <v>4600057540</v>
      </c>
      <c r="B272" s="288" t="s">
        <v>1554</v>
      </c>
      <c r="C272" s="289" t="s">
        <v>1555</v>
      </c>
      <c r="D272" s="290">
        <v>0</v>
      </c>
      <c r="E272" s="290">
        <v>346053.96</v>
      </c>
      <c r="F272" s="288" t="s">
        <v>1286</v>
      </c>
      <c r="G272" s="288" t="s">
        <v>1286</v>
      </c>
      <c r="H272" s="291" t="s">
        <v>18</v>
      </c>
      <c r="I272" s="297"/>
      <c r="J272" s="297"/>
      <c r="K272" s="298"/>
      <c r="L272" s="291">
        <v>2025</v>
      </c>
    </row>
    <row r="273" spans="1:12" ht="15" x14ac:dyDescent="0.25">
      <c r="A273" s="291">
        <v>4600057534</v>
      </c>
      <c r="B273" s="288" t="s">
        <v>1462</v>
      </c>
      <c r="C273" s="289" t="s">
        <v>1409</v>
      </c>
      <c r="D273" s="290">
        <v>0</v>
      </c>
      <c r="E273" s="290">
        <v>2829.72</v>
      </c>
      <c r="F273" s="288" t="s">
        <v>1329</v>
      </c>
      <c r="G273" s="288" t="s">
        <v>1329</v>
      </c>
      <c r="H273" s="291" t="s">
        <v>18</v>
      </c>
      <c r="I273" s="297"/>
      <c r="J273" s="297"/>
      <c r="K273" s="298"/>
      <c r="L273" s="291">
        <v>2025</v>
      </c>
    </row>
    <row r="274" spans="1:12" ht="15" x14ac:dyDescent="0.25">
      <c r="A274" s="291">
        <v>4600057445</v>
      </c>
      <c r="B274" s="288" t="s">
        <v>1556</v>
      </c>
      <c r="C274" s="289" t="s">
        <v>1557</v>
      </c>
      <c r="D274" s="290">
        <v>0</v>
      </c>
      <c r="E274" s="290">
        <v>279396</v>
      </c>
      <c r="F274" s="288" t="s">
        <v>1286</v>
      </c>
      <c r="G274" s="288" t="s">
        <v>1286</v>
      </c>
      <c r="H274" s="291" t="s">
        <v>18</v>
      </c>
      <c r="I274" s="297"/>
      <c r="J274" s="297"/>
      <c r="K274" s="298"/>
      <c r="L274" s="291">
        <v>2025</v>
      </c>
    </row>
    <row r="275" spans="1:12" ht="15" x14ac:dyDescent="0.25">
      <c r="A275" s="287">
        <v>4600057921</v>
      </c>
      <c r="B275" s="288" t="s">
        <v>1462</v>
      </c>
      <c r="C275" s="289" t="s">
        <v>1558</v>
      </c>
      <c r="D275" s="290">
        <v>0</v>
      </c>
      <c r="E275" s="290">
        <v>2400</v>
      </c>
      <c r="F275" s="288" t="s">
        <v>1286</v>
      </c>
      <c r="G275" s="288" t="s">
        <v>1286</v>
      </c>
      <c r="H275" s="291" t="s">
        <v>18</v>
      </c>
      <c r="I275" s="297"/>
      <c r="J275" s="297"/>
      <c r="K275" s="298"/>
      <c r="L275" s="291">
        <v>2025</v>
      </c>
    </row>
    <row r="276" spans="1:12" ht="15" x14ac:dyDescent="0.25">
      <c r="A276" s="287">
        <v>4600057534</v>
      </c>
      <c r="B276" s="288" t="s">
        <v>1462</v>
      </c>
      <c r="C276" s="289" t="s">
        <v>1559</v>
      </c>
      <c r="D276" s="290">
        <v>0</v>
      </c>
      <c r="E276" s="290">
        <v>194606.98</v>
      </c>
      <c r="F276" s="288" t="s">
        <v>1289</v>
      </c>
      <c r="G276" s="288" t="s">
        <v>1289</v>
      </c>
      <c r="H276" s="291" t="s">
        <v>18</v>
      </c>
      <c r="I276" s="297"/>
      <c r="J276" s="297"/>
      <c r="K276" s="298"/>
      <c r="L276" s="291">
        <v>2025</v>
      </c>
    </row>
    <row r="277" spans="1:12" ht="15" x14ac:dyDescent="0.25">
      <c r="A277" s="287">
        <v>4600057680</v>
      </c>
      <c r="B277" s="288" t="s">
        <v>1462</v>
      </c>
      <c r="C277" s="289" t="s">
        <v>1483</v>
      </c>
      <c r="D277" s="290">
        <v>0</v>
      </c>
      <c r="E277" s="290">
        <v>936000</v>
      </c>
      <c r="F277" s="288" t="s">
        <v>1289</v>
      </c>
      <c r="G277" s="288" t="s">
        <v>1289</v>
      </c>
      <c r="H277" s="291" t="s">
        <v>18</v>
      </c>
      <c r="I277" s="297"/>
      <c r="J277" s="297"/>
      <c r="K277" s="298"/>
      <c r="L277" s="291">
        <v>2025</v>
      </c>
    </row>
    <row r="278" spans="1:12" ht="15" x14ac:dyDescent="0.25">
      <c r="A278" s="291">
        <v>4600057829</v>
      </c>
      <c r="B278" s="288" t="s">
        <v>1560</v>
      </c>
      <c r="C278" s="289" t="s">
        <v>1483</v>
      </c>
      <c r="D278" s="290">
        <v>0</v>
      </c>
      <c r="E278" s="290">
        <v>306000</v>
      </c>
      <c r="F278" s="288" t="s">
        <v>1289</v>
      </c>
      <c r="G278" s="288" t="s">
        <v>1289</v>
      </c>
      <c r="H278" s="291" t="s">
        <v>18</v>
      </c>
      <c r="I278" s="297"/>
      <c r="J278" s="297"/>
      <c r="K278" s="298"/>
      <c r="L278" s="291">
        <v>2025</v>
      </c>
    </row>
    <row r="279" spans="1:12" ht="15" x14ac:dyDescent="0.25">
      <c r="A279" s="291">
        <v>3045782</v>
      </c>
      <c r="B279" s="288" t="s">
        <v>1541</v>
      </c>
      <c r="C279" s="289" t="s">
        <v>1561</v>
      </c>
      <c r="D279" s="290">
        <v>0</v>
      </c>
      <c r="E279" s="290">
        <v>9840</v>
      </c>
      <c r="F279" s="288" t="s">
        <v>1288</v>
      </c>
      <c r="G279" s="288" t="s">
        <v>1289</v>
      </c>
      <c r="H279" s="291" t="s">
        <v>18</v>
      </c>
      <c r="I279" s="297"/>
      <c r="J279" s="297"/>
      <c r="K279" s="298"/>
      <c r="L279" s="291">
        <v>2025</v>
      </c>
    </row>
    <row r="280" spans="1:12" ht="15" x14ac:dyDescent="0.25">
      <c r="A280" s="291">
        <v>3045782</v>
      </c>
      <c r="B280" s="288" t="s">
        <v>1541</v>
      </c>
      <c r="C280" s="289" t="s">
        <v>1562</v>
      </c>
      <c r="D280" s="290">
        <v>0</v>
      </c>
      <c r="E280" s="290">
        <v>26400</v>
      </c>
      <c r="F280" s="288" t="s">
        <v>1288</v>
      </c>
      <c r="G280" s="288" t="s">
        <v>1289</v>
      </c>
      <c r="H280" s="291" t="s">
        <v>18</v>
      </c>
      <c r="I280" s="297"/>
      <c r="J280" s="297"/>
      <c r="K280" s="298"/>
      <c r="L280" s="291">
        <v>2025</v>
      </c>
    </row>
    <row r="281" spans="1:12" ht="15" x14ac:dyDescent="0.25">
      <c r="A281" s="291">
        <v>3027294</v>
      </c>
      <c r="B281" s="288" t="s">
        <v>1393</v>
      </c>
      <c r="C281" s="289" t="s">
        <v>1563</v>
      </c>
      <c r="D281" s="290">
        <v>0</v>
      </c>
      <c r="E281" s="290">
        <v>2160</v>
      </c>
      <c r="F281" s="288" t="s">
        <v>1286</v>
      </c>
      <c r="G281" s="288" t="s">
        <v>1286</v>
      </c>
      <c r="H281" s="291" t="s">
        <v>18</v>
      </c>
      <c r="I281" s="297"/>
      <c r="J281" s="297"/>
      <c r="K281" s="298"/>
      <c r="L281" s="291">
        <v>2025</v>
      </c>
    </row>
    <row r="282" spans="1:12" ht="15" x14ac:dyDescent="0.25">
      <c r="A282" s="291">
        <v>3027294</v>
      </c>
      <c r="B282" s="288" t="s">
        <v>1393</v>
      </c>
      <c r="C282" s="289" t="s">
        <v>1564</v>
      </c>
      <c r="D282" s="290">
        <v>0</v>
      </c>
      <c r="E282" s="290">
        <v>2160</v>
      </c>
      <c r="F282" s="288" t="s">
        <v>1286</v>
      </c>
      <c r="G282" s="288" t="s">
        <v>1286</v>
      </c>
      <c r="H282" s="291" t="s">
        <v>18</v>
      </c>
      <c r="I282" s="297"/>
      <c r="J282" s="297"/>
      <c r="K282" s="298"/>
      <c r="L282" s="291">
        <v>2025</v>
      </c>
    </row>
    <row r="283" spans="1:12" x14ac:dyDescent="0.2">
      <c r="I283" s="301"/>
      <c r="J283" s="301"/>
    </row>
    <row r="284" spans="1:12" x14ac:dyDescent="0.2">
      <c r="I284" s="301"/>
      <c r="J284" s="301"/>
    </row>
    <row r="285" spans="1:12" x14ac:dyDescent="0.2">
      <c r="I285" s="301"/>
      <c r="J285" s="301"/>
    </row>
    <row r="286" spans="1:12" x14ac:dyDescent="0.2">
      <c r="I286" s="301"/>
      <c r="J286" s="301"/>
    </row>
    <row r="287" spans="1:12" x14ac:dyDescent="0.2">
      <c r="I287" s="301"/>
      <c r="J287" s="301"/>
    </row>
    <row r="288" spans="1:12" x14ac:dyDescent="0.2">
      <c r="I288" s="301"/>
      <c r="J288" s="301"/>
    </row>
    <row r="289" spans="9:10" x14ac:dyDescent="0.2">
      <c r="I289" s="301"/>
      <c r="J289" s="301"/>
    </row>
    <row r="290" spans="9:10" x14ac:dyDescent="0.2">
      <c r="I290" s="301"/>
      <c r="J290" s="301"/>
    </row>
    <row r="291" spans="9:10" x14ac:dyDescent="0.2">
      <c r="I291" s="301"/>
      <c r="J291" s="301"/>
    </row>
    <row r="292" spans="9:10" x14ac:dyDescent="0.2">
      <c r="I292" s="301"/>
      <c r="J292" s="301"/>
    </row>
    <row r="293" spans="9:10" x14ac:dyDescent="0.2">
      <c r="I293" s="301"/>
      <c r="J293" s="301"/>
    </row>
    <row r="294" spans="9:10" x14ac:dyDescent="0.2">
      <c r="I294" s="301"/>
      <c r="J294" s="301"/>
    </row>
    <row r="295" spans="9:10" x14ac:dyDescent="0.2">
      <c r="I295" s="301"/>
      <c r="J295" s="301"/>
    </row>
    <row r="296" spans="9:10" x14ac:dyDescent="0.2">
      <c r="I296" s="301"/>
      <c r="J296" s="301"/>
    </row>
    <row r="297" spans="9:10" x14ac:dyDescent="0.2">
      <c r="I297" s="301"/>
      <c r="J297" s="301"/>
    </row>
    <row r="298" spans="9:10" x14ac:dyDescent="0.2">
      <c r="I298" s="301"/>
      <c r="J298" s="301"/>
    </row>
    <row r="299" spans="9:10" x14ac:dyDescent="0.2">
      <c r="I299" s="301"/>
      <c r="J299" s="301"/>
    </row>
    <row r="300" spans="9:10" x14ac:dyDescent="0.2">
      <c r="I300" s="301"/>
      <c r="J300" s="301"/>
    </row>
    <row r="301" spans="9:10" x14ac:dyDescent="0.2">
      <c r="I301" s="301"/>
      <c r="J301" s="301"/>
    </row>
    <row r="302" spans="9:10" x14ac:dyDescent="0.2">
      <c r="I302" s="301"/>
      <c r="J302" s="301"/>
    </row>
    <row r="303" spans="9:10" x14ac:dyDescent="0.2">
      <c r="I303" s="301"/>
      <c r="J303" s="301"/>
    </row>
    <row r="304" spans="9:10" x14ac:dyDescent="0.2">
      <c r="I304" s="301"/>
      <c r="J304" s="301"/>
    </row>
    <row r="305" spans="9:10" x14ac:dyDescent="0.2">
      <c r="I305" s="301"/>
      <c r="J305" s="301"/>
    </row>
    <row r="306" spans="9:10" x14ac:dyDescent="0.2">
      <c r="I306" s="301"/>
      <c r="J306" s="301"/>
    </row>
    <row r="307" spans="9:10" x14ac:dyDescent="0.2">
      <c r="I307" s="301"/>
      <c r="J307" s="301"/>
    </row>
    <row r="308" spans="9:10" x14ac:dyDescent="0.2">
      <c r="I308" s="301"/>
      <c r="J308" s="301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'Z:\02 - Compras\Jacqueline Prado\Diversos\[Cópia de Tahto - IT request - Atualizado - 270202025 Envio TI - Visão_Essencial.xlsx]List'!#REF!</xm:f>
          </x14:formula1>
          <xm:sqref>H129:H309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4" sqref="E2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3"/>
  <sheetViews>
    <sheetView workbookViewId="0">
      <selection activeCell="A2" sqref="A2:XFD13"/>
    </sheetView>
  </sheetViews>
  <sheetFormatPr defaultRowHeight="15" x14ac:dyDescent="0.25"/>
  <cols>
    <col min="1" max="1" width="11" bestFit="1" customWidth="1"/>
    <col min="2" max="2" width="34.7109375" bestFit="1" customWidth="1"/>
    <col min="4" max="4" width="11" bestFit="1" customWidth="1"/>
    <col min="10" max="10" width="15" bestFit="1" customWidth="1"/>
    <col min="12" max="13" width="10.42578125" bestFit="1" customWidth="1"/>
    <col min="14" max="14" width="30.28515625" bestFit="1" customWidth="1"/>
    <col min="15" max="16" width="47.5703125" bestFit="1" customWidth="1"/>
    <col min="17" max="17" width="36" bestFit="1" customWidth="1"/>
  </cols>
  <sheetData>
    <row r="2" spans="1:24" s="197" customFormat="1" ht="35.25" customHeight="1" x14ac:dyDescent="0.25">
      <c r="A2" s="228" t="s">
        <v>0</v>
      </c>
      <c r="B2" s="228" t="s">
        <v>1</v>
      </c>
      <c r="C2" s="228" t="s">
        <v>2</v>
      </c>
      <c r="D2" s="228" t="s">
        <v>566</v>
      </c>
      <c r="E2" s="228" t="s">
        <v>4</v>
      </c>
      <c r="F2" s="228" t="s">
        <v>633</v>
      </c>
      <c r="G2" s="228" t="s">
        <v>5</v>
      </c>
      <c r="H2" s="228" t="s">
        <v>6</v>
      </c>
      <c r="I2" s="228" t="s">
        <v>7</v>
      </c>
      <c r="J2" s="229" t="s">
        <v>8</v>
      </c>
      <c r="K2" s="228" t="s">
        <v>9</v>
      </c>
      <c r="L2" s="228" t="s">
        <v>10</v>
      </c>
      <c r="M2" s="228" t="s">
        <v>11</v>
      </c>
      <c r="N2" s="228" t="s">
        <v>16</v>
      </c>
      <c r="O2" s="228" t="s">
        <v>201</v>
      </c>
      <c r="P2" s="228" t="s">
        <v>202</v>
      </c>
      <c r="Q2" s="228" t="s">
        <v>257</v>
      </c>
      <c r="R2" s="230" t="s">
        <v>301</v>
      </c>
      <c r="S2" s="230" t="s">
        <v>299</v>
      </c>
      <c r="T2" s="230" t="s">
        <v>300</v>
      </c>
      <c r="U2" s="230" t="s">
        <v>298</v>
      </c>
      <c r="V2" s="228" t="s">
        <v>17</v>
      </c>
      <c r="W2" s="228" t="s">
        <v>278</v>
      </c>
    </row>
    <row r="3" spans="1:24" s="101" customFormat="1" ht="24.95" customHeight="1" x14ac:dyDescent="0.25">
      <c r="A3" s="198">
        <v>4600054099</v>
      </c>
      <c r="B3" s="204" t="s">
        <v>91</v>
      </c>
      <c r="C3" s="205">
        <v>179234</v>
      </c>
      <c r="D3" s="205" t="s">
        <v>569</v>
      </c>
      <c r="E3" s="205">
        <v>45</v>
      </c>
      <c r="F3" s="205" t="s">
        <v>34</v>
      </c>
      <c r="G3" s="205" t="s">
        <v>34</v>
      </c>
      <c r="H3" s="205" t="s">
        <v>18</v>
      </c>
      <c r="I3" s="206" t="s">
        <v>92</v>
      </c>
      <c r="J3" s="239">
        <v>4780016.6399999997</v>
      </c>
      <c r="K3" s="205" t="s">
        <v>19</v>
      </c>
      <c r="L3" s="273">
        <v>45017</v>
      </c>
      <c r="M3" s="273">
        <v>45749</v>
      </c>
      <c r="N3" s="202" t="s">
        <v>93</v>
      </c>
      <c r="O3" s="227" t="s">
        <v>30</v>
      </c>
      <c r="P3" s="227" t="s">
        <v>75</v>
      </c>
      <c r="Q3" s="183" t="s">
        <v>1075</v>
      </c>
      <c r="R3" s="202" t="s">
        <v>373</v>
      </c>
      <c r="S3" s="202" t="s">
        <v>371</v>
      </c>
      <c r="T3" s="202" t="s">
        <v>372</v>
      </c>
      <c r="U3" s="183" t="s">
        <v>370</v>
      </c>
      <c r="V3" s="202"/>
      <c r="W3" s="202"/>
      <c r="X3" s="218"/>
    </row>
    <row r="4" spans="1:24" s="101" customFormat="1" ht="24.95" customHeight="1" x14ac:dyDescent="0.25">
      <c r="A4" s="183">
        <v>4600058510</v>
      </c>
      <c r="B4" s="183" t="s">
        <v>268</v>
      </c>
      <c r="C4" s="186">
        <v>185651</v>
      </c>
      <c r="D4" s="205" t="s">
        <v>568</v>
      </c>
      <c r="E4" s="186">
        <v>15</v>
      </c>
      <c r="F4" s="186" t="s">
        <v>34</v>
      </c>
      <c r="G4" s="186" t="s">
        <v>34</v>
      </c>
      <c r="H4" s="186" t="s">
        <v>18</v>
      </c>
      <c r="I4" s="183" t="s">
        <v>269</v>
      </c>
      <c r="J4" s="243">
        <v>3669327.16</v>
      </c>
      <c r="K4" s="186" t="s">
        <v>19</v>
      </c>
      <c r="L4" s="188">
        <v>44512</v>
      </c>
      <c r="M4" s="273">
        <v>46336</v>
      </c>
      <c r="N4" s="183" t="s">
        <v>93</v>
      </c>
      <c r="O4" s="183" t="s">
        <v>30</v>
      </c>
      <c r="P4" s="183" t="s">
        <v>74</v>
      </c>
      <c r="Q4" s="183" t="s">
        <v>1076</v>
      </c>
      <c r="R4" s="183" t="s">
        <v>377</v>
      </c>
      <c r="S4" s="183" t="s">
        <v>375</v>
      </c>
      <c r="T4" s="183" t="s">
        <v>376</v>
      </c>
      <c r="U4" s="183" t="s">
        <v>374</v>
      </c>
      <c r="V4" s="183" t="s">
        <v>839</v>
      </c>
      <c r="W4" s="183"/>
      <c r="X4" s="218"/>
    </row>
    <row r="5" spans="1:24" s="101" customFormat="1" ht="24.95" customHeight="1" x14ac:dyDescent="0.25">
      <c r="A5" s="183">
        <v>4600058164</v>
      </c>
      <c r="B5" s="183" t="s">
        <v>733</v>
      </c>
      <c r="C5" s="186">
        <v>3044102</v>
      </c>
      <c r="D5" s="186" t="s">
        <v>568</v>
      </c>
      <c r="E5" s="186">
        <v>90</v>
      </c>
      <c r="F5" s="186" t="s">
        <v>34</v>
      </c>
      <c r="G5" s="186" t="s">
        <v>34</v>
      </c>
      <c r="H5" s="186" t="s">
        <v>18</v>
      </c>
      <c r="I5" s="183" t="s">
        <v>734</v>
      </c>
      <c r="J5" s="243">
        <v>81800</v>
      </c>
      <c r="K5" s="186" t="s">
        <v>19</v>
      </c>
      <c r="L5" s="188">
        <v>45483</v>
      </c>
      <c r="M5" s="273">
        <v>45847</v>
      </c>
      <c r="N5" s="202" t="s">
        <v>93</v>
      </c>
      <c r="O5" s="183" t="s">
        <v>212</v>
      </c>
      <c r="P5" s="183" t="s">
        <v>74</v>
      </c>
      <c r="Q5" s="183" t="s">
        <v>1077</v>
      </c>
      <c r="R5" s="183" t="s">
        <v>736</v>
      </c>
      <c r="S5" s="183" t="s">
        <v>737</v>
      </c>
      <c r="T5" s="183" t="s">
        <v>735</v>
      </c>
      <c r="U5" s="183" t="s">
        <v>738</v>
      </c>
      <c r="V5" s="183"/>
      <c r="W5" s="183"/>
      <c r="X5" s="218"/>
    </row>
    <row r="6" spans="1:24" s="247" customFormat="1" ht="24.95" customHeight="1" x14ac:dyDescent="0.25">
      <c r="A6" s="234" t="s">
        <v>814</v>
      </c>
      <c r="B6" s="234" t="s">
        <v>791</v>
      </c>
      <c r="C6" s="224" t="s">
        <v>975</v>
      </c>
      <c r="D6" s="186" t="s">
        <v>568</v>
      </c>
      <c r="E6" s="224" t="s">
        <v>854</v>
      </c>
      <c r="F6" s="224" t="s">
        <v>34</v>
      </c>
      <c r="G6" s="205" t="s">
        <v>34</v>
      </c>
      <c r="H6" s="185" t="s">
        <v>18</v>
      </c>
      <c r="I6" s="183" t="s">
        <v>870</v>
      </c>
      <c r="J6" s="225">
        <v>80000</v>
      </c>
      <c r="K6" s="186" t="s">
        <v>19</v>
      </c>
      <c r="L6" s="274">
        <v>45583</v>
      </c>
      <c r="M6" s="273">
        <v>45946</v>
      </c>
      <c r="N6" s="183" t="s">
        <v>93</v>
      </c>
      <c r="O6" s="183" t="s">
        <v>878</v>
      </c>
      <c r="P6" s="183" t="s">
        <v>878</v>
      </c>
      <c r="Q6" s="183" t="s">
        <v>877</v>
      </c>
      <c r="R6" s="183"/>
      <c r="S6" s="183"/>
      <c r="T6" s="183"/>
      <c r="U6" s="183"/>
      <c r="V6" s="183"/>
      <c r="W6" s="183"/>
    </row>
    <row r="7" spans="1:24" s="247" customFormat="1" ht="24.95" customHeight="1" x14ac:dyDescent="0.25">
      <c r="A7" s="234" t="s">
        <v>815</v>
      </c>
      <c r="B7" s="234" t="s">
        <v>792</v>
      </c>
      <c r="C7" s="224" t="s">
        <v>976</v>
      </c>
      <c r="D7" s="186" t="s">
        <v>568</v>
      </c>
      <c r="E7" s="224" t="s">
        <v>858</v>
      </c>
      <c r="F7" s="224" t="s">
        <v>34</v>
      </c>
      <c r="G7" s="226" t="s">
        <v>34</v>
      </c>
      <c r="H7" s="226" t="s">
        <v>18</v>
      </c>
      <c r="I7" s="183" t="s">
        <v>849</v>
      </c>
      <c r="J7" s="225">
        <v>100000</v>
      </c>
      <c r="K7" s="186" t="s">
        <v>19</v>
      </c>
      <c r="L7" s="274">
        <v>45503</v>
      </c>
      <c r="M7" s="273">
        <v>45867</v>
      </c>
      <c r="N7" s="183" t="s">
        <v>93</v>
      </c>
      <c r="O7" s="183" t="s">
        <v>878</v>
      </c>
      <c r="P7" s="183" t="s">
        <v>878</v>
      </c>
      <c r="Q7" s="183" t="s">
        <v>877</v>
      </c>
      <c r="R7" s="183"/>
      <c r="S7" s="183"/>
      <c r="T7" s="183"/>
      <c r="U7" s="183"/>
      <c r="V7" s="183"/>
      <c r="W7" s="183"/>
    </row>
    <row r="8" spans="1:24" s="247" customFormat="1" ht="24.95" customHeight="1" x14ac:dyDescent="0.25">
      <c r="A8" s="234" t="s">
        <v>816</v>
      </c>
      <c r="B8" s="234" t="s">
        <v>793</v>
      </c>
      <c r="C8" s="224" t="s">
        <v>977</v>
      </c>
      <c r="D8" s="186" t="s">
        <v>568</v>
      </c>
      <c r="E8" s="224" t="s">
        <v>857</v>
      </c>
      <c r="F8" s="224" t="s">
        <v>34</v>
      </c>
      <c r="G8" s="205" t="s">
        <v>34</v>
      </c>
      <c r="H8" s="226" t="s">
        <v>18</v>
      </c>
      <c r="I8" s="183" t="s">
        <v>871</v>
      </c>
      <c r="J8" s="225">
        <v>2654.16</v>
      </c>
      <c r="K8" s="186" t="s">
        <v>19</v>
      </c>
      <c r="L8" s="274">
        <v>45518</v>
      </c>
      <c r="M8" s="273">
        <v>45834</v>
      </c>
      <c r="N8" s="183" t="s">
        <v>93</v>
      </c>
      <c r="O8" s="183" t="s">
        <v>878</v>
      </c>
      <c r="P8" s="183" t="s">
        <v>878</v>
      </c>
      <c r="Q8" s="183" t="s">
        <v>877</v>
      </c>
      <c r="R8" s="183" t="s">
        <v>978</v>
      </c>
      <c r="S8" s="183"/>
      <c r="T8" s="183"/>
      <c r="U8" s="183"/>
      <c r="V8" s="183"/>
      <c r="W8" s="183"/>
    </row>
    <row r="9" spans="1:24" s="247" customFormat="1" ht="24.95" customHeight="1" x14ac:dyDescent="0.25">
      <c r="A9" s="234" t="s">
        <v>824</v>
      </c>
      <c r="B9" s="234" t="s">
        <v>806</v>
      </c>
      <c r="C9" s="224" t="s">
        <v>1001</v>
      </c>
      <c r="D9" s="186" t="s">
        <v>568</v>
      </c>
      <c r="E9" s="224" t="s">
        <v>855</v>
      </c>
      <c r="F9" s="224" t="s">
        <v>34</v>
      </c>
      <c r="G9" s="205" t="s">
        <v>34</v>
      </c>
      <c r="H9" s="226" t="s">
        <v>18</v>
      </c>
      <c r="I9" s="183" t="s">
        <v>874</v>
      </c>
      <c r="J9" s="225">
        <v>200000</v>
      </c>
      <c r="K9" s="186" t="s">
        <v>19</v>
      </c>
      <c r="L9" s="274">
        <v>45532</v>
      </c>
      <c r="M9" s="273">
        <v>45896</v>
      </c>
      <c r="N9" s="183" t="s">
        <v>93</v>
      </c>
      <c r="O9" s="183" t="s">
        <v>878</v>
      </c>
      <c r="P9" s="183" t="s">
        <v>878</v>
      </c>
      <c r="Q9" s="183" t="s">
        <v>877</v>
      </c>
      <c r="R9" s="183"/>
      <c r="S9" s="183"/>
      <c r="T9" s="183"/>
      <c r="U9" s="183"/>
      <c r="V9" s="183"/>
      <c r="W9" s="183"/>
    </row>
    <row r="10" spans="1:24" s="262" customFormat="1" ht="24.95" customHeight="1" x14ac:dyDescent="0.25">
      <c r="A10" s="198">
        <v>4600058207</v>
      </c>
      <c r="B10" s="204" t="s">
        <v>910</v>
      </c>
      <c r="C10" s="205">
        <v>3045655</v>
      </c>
      <c r="D10" s="258" t="s">
        <v>568</v>
      </c>
      <c r="E10" s="205">
        <v>60</v>
      </c>
      <c r="F10" s="205" t="s">
        <v>34</v>
      </c>
      <c r="G10" s="205" t="s">
        <v>34</v>
      </c>
      <c r="H10" s="205" t="s">
        <v>18</v>
      </c>
      <c r="I10" s="206" t="s">
        <v>911</v>
      </c>
      <c r="J10" s="239">
        <v>294646.03999999998</v>
      </c>
      <c r="K10" s="205" t="s">
        <v>19</v>
      </c>
      <c r="L10" s="273">
        <v>45464</v>
      </c>
      <c r="M10" s="275">
        <v>45828</v>
      </c>
      <c r="N10" s="183" t="s">
        <v>93</v>
      </c>
      <c r="O10" s="183" t="s">
        <v>878</v>
      </c>
      <c r="P10" s="183" t="s">
        <v>878</v>
      </c>
      <c r="Q10" s="183" t="s">
        <v>877</v>
      </c>
      <c r="R10" s="202" t="s">
        <v>943</v>
      </c>
      <c r="S10" s="202" t="s">
        <v>945</v>
      </c>
      <c r="T10" s="202" t="s">
        <v>946</v>
      </c>
      <c r="U10" s="183" t="s">
        <v>944</v>
      </c>
      <c r="V10" s="259"/>
      <c r="W10" s="258"/>
      <c r="X10" s="261"/>
    </row>
    <row r="11" spans="1:24" s="262" customFormat="1" ht="24.95" customHeight="1" x14ac:dyDescent="0.25">
      <c r="A11" s="198">
        <v>4600058342</v>
      </c>
      <c r="B11" s="204" t="s">
        <v>910</v>
      </c>
      <c r="C11" s="205">
        <v>3045655</v>
      </c>
      <c r="D11" s="186" t="s">
        <v>568</v>
      </c>
      <c r="E11" s="205">
        <v>60</v>
      </c>
      <c r="F11" s="205" t="s">
        <v>34</v>
      </c>
      <c r="G11" s="205" t="s">
        <v>34</v>
      </c>
      <c r="H11" s="205" t="s">
        <v>18</v>
      </c>
      <c r="I11" s="206" t="s">
        <v>918</v>
      </c>
      <c r="J11" s="239">
        <v>134880</v>
      </c>
      <c r="K11" s="205" t="s">
        <v>19</v>
      </c>
      <c r="L11" s="273">
        <v>45559</v>
      </c>
      <c r="M11" s="275">
        <v>45923</v>
      </c>
      <c r="N11" s="183" t="s">
        <v>93</v>
      </c>
      <c r="O11" s="183" t="s">
        <v>878</v>
      </c>
      <c r="P11" s="183" t="s">
        <v>878</v>
      </c>
      <c r="Q11" s="183" t="s">
        <v>877</v>
      </c>
      <c r="R11" s="202" t="s">
        <v>943</v>
      </c>
      <c r="S11" s="202" t="s">
        <v>945</v>
      </c>
      <c r="T11" s="202" t="s">
        <v>946</v>
      </c>
      <c r="U11" s="183" t="s">
        <v>944</v>
      </c>
      <c r="V11" s="259"/>
      <c r="W11" s="258"/>
      <c r="X11" s="261"/>
    </row>
    <row r="12" spans="1:24" s="277" customFormat="1" ht="24.95" customHeight="1" x14ac:dyDescent="0.2">
      <c r="A12" s="271">
        <v>4600058306</v>
      </c>
      <c r="B12" s="267" t="s">
        <v>1053</v>
      </c>
      <c r="C12" s="186">
        <v>3043795</v>
      </c>
      <c r="D12" s="186" t="s">
        <v>569</v>
      </c>
      <c r="E12" s="186">
        <v>30</v>
      </c>
      <c r="F12" s="185" t="s">
        <v>34</v>
      </c>
      <c r="G12" s="185" t="s">
        <v>34</v>
      </c>
      <c r="H12" s="185" t="s">
        <v>18</v>
      </c>
      <c r="I12" s="184" t="s">
        <v>236</v>
      </c>
      <c r="J12" s="269">
        <v>66000</v>
      </c>
      <c r="K12" s="185" t="s">
        <v>19</v>
      </c>
      <c r="L12" s="270">
        <v>45591</v>
      </c>
      <c r="M12" s="270">
        <v>45955</v>
      </c>
      <c r="N12" s="183" t="s">
        <v>93</v>
      </c>
      <c r="O12" s="183" t="s">
        <v>94</v>
      </c>
      <c r="P12" s="183" t="s">
        <v>94</v>
      </c>
      <c r="Q12" s="183" t="s">
        <v>877</v>
      </c>
      <c r="R12" s="267"/>
      <c r="S12" s="267"/>
      <c r="T12" s="267"/>
      <c r="U12" s="267"/>
      <c r="V12" s="267"/>
      <c r="W12" s="268"/>
      <c r="X12" s="276"/>
    </row>
    <row r="13" spans="1:24" s="238" customFormat="1" ht="24.95" customHeight="1" x14ac:dyDescent="0.25">
      <c r="A13" s="198">
        <v>4600058067</v>
      </c>
      <c r="B13" s="204" t="s">
        <v>87</v>
      </c>
      <c r="C13" s="205">
        <v>3037927</v>
      </c>
      <c r="D13" s="205" t="s">
        <v>568</v>
      </c>
      <c r="E13" s="205">
        <v>30</v>
      </c>
      <c r="F13" s="205" t="s">
        <v>34</v>
      </c>
      <c r="G13" s="205" t="s">
        <v>34</v>
      </c>
      <c r="H13" s="205" t="s">
        <v>18</v>
      </c>
      <c r="I13" s="206" t="s">
        <v>88</v>
      </c>
      <c r="J13" s="239">
        <v>765211</v>
      </c>
      <c r="K13" s="186" t="s">
        <v>19</v>
      </c>
      <c r="L13" s="273">
        <v>45292</v>
      </c>
      <c r="M13" s="273">
        <v>46387</v>
      </c>
      <c r="N13" s="183" t="s">
        <v>29</v>
      </c>
      <c r="O13" s="183" t="s">
        <v>30</v>
      </c>
      <c r="P13" s="183" t="s">
        <v>75</v>
      </c>
      <c r="Q13" s="183" t="s">
        <v>265</v>
      </c>
      <c r="R13" s="202" t="s">
        <v>605</v>
      </c>
      <c r="S13" s="202" t="s">
        <v>369</v>
      </c>
      <c r="T13" s="202" t="s">
        <v>308</v>
      </c>
      <c r="U13" s="183" t="s">
        <v>368</v>
      </c>
      <c r="V13" s="202" t="s">
        <v>296</v>
      </c>
      <c r="W13" s="215">
        <v>45656</v>
      </c>
      <c r="X13" s="237"/>
    </row>
  </sheetData>
  <conditionalFormatting sqref="A3">
    <cfRule type="duplicateValues" dxfId="303" priority="15"/>
  </conditionalFormatting>
  <conditionalFormatting sqref="A3">
    <cfRule type="duplicateValues" dxfId="302" priority="16"/>
  </conditionalFormatting>
  <conditionalFormatting sqref="A3">
    <cfRule type="duplicateValues" dxfId="301" priority="17"/>
  </conditionalFormatting>
  <conditionalFormatting sqref="A4">
    <cfRule type="duplicateValues" dxfId="300" priority="12"/>
  </conditionalFormatting>
  <conditionalFormatting sqref="A4">
    <cfRule type="duplicateValues" dxfId="299" priority="13"/>
  </conditionalFormatting>
  <conditionalFormatting sqref="A4">
    <cfRule type="duplicateValues" dxfId="298" priority="14"/>
  </conditionalFormatting>
  <conditionalFormatting sqref="A5">
    <cfRule type="duplicateValues" dxfId="297" priority="11"/>
  </conditionalFormatting>
  <conditionalFormatting sqref="A6">
    <cfRule type="duplicateValues" dxfId="296" priority="10"/>
  </conditionalFormatting>
  <conditionalFormatting sqref="A7">
    <cfRule type="duplicateValues" dxfId="295" priority="9"/>
  </conditionalFormatting>
  <conditionalFormatting sqref="A8">
    <cfRule type="duplicateValues" dxfId="294" priority="8"/>
  </conditionalFormatting>
  <conditionalFormatting sqref="A9">
    <cfRule type="duplicateValues" dxfId="293" priority="7"/>
  </conditionalFormatting>
  <conditionalFormatting sqref="A10">
    <cfRule type="duplicateValues" dxfId="292" priority="6"/>
  </conditionalFormatting>
  <conditionalFormatting sqref="A11">
    <cfRule type="duplicateValues" dxfId="291" priority="5"/>
  </conditionalFormatting>
  <conditionalFormatting sqref="A13">
    <cfRule type="duplicateValues" dxfId="290" priority="1"/>
  </conditionalFormatting>
  <conditionalFormatting sqref="A13">
    <cfRule type="duplicateValues" dxfId="289" priority="2"/>
  </conditionalFormatting>
  <conditionalFormatting sqref="A13">
    <cfRule type="duplicateValues" dxfId="288" priority="3"/>
  </conditionalFormatting>
  <conditionalFormatting sqref="A13">
    <cfRule type="duplicateValues" dxfId="287" priority="4"/>
  </conditionalFormatting>
  <hyperlinks>
    <hyperlink ref="U5" r:id="rId1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X43"/>
  <sheetViews>
    <sheetView workbookViewId="0">
      <selection activeCell="A2" sqref="A2:U43"/>
    </sheetView>
  </sheetViews>
  <sheetFormatPr defaultRowHeight="15" x14ac:dyDescent="0.25"/>
  <cols>
    <col min="1" max="1" width="27.28515625" customWidth="1"/>
    <col min="2" max="2" width="56.5703125" bestFit="1" customWidth="1"/>
    <col min="3" max="3" width="11.42578125" bestFit="1" customWidth="1"/>
    <col min="4" max="4" width="8.5703125" bestFit="1" customWidth="1"/>
    <col min="5" max="5" width="9.28515625" bestFit="1" customWidth="1"/>
    <col min="8" max="8" width="102" customWidth="1"/>
    <col min="9" max="9" width="16.140625" bestFit="1" customWidth="1"/>
    <col min="10" max="10" width="15" bestFit="1" customWidth="1"/>
    <col min="11" max="11" width="11.42578125" bestFit="1" customWidth="1"/>
    <col min="12" max="12" width="10.5703125" bestFit="1" customWidth="1"/>
    <col min="13" max="19" width="0" hidden="1" customWidth="1"/>
    <col min="20" max="20" width="45" bestFit="1" customWidth="1"/>
    <col min="21" max="21" width="51.85546875" bestFit="1" customWidth="1"/>
    <col min="22" max="22" width="12.42578125" bestFit="1" customWidth="1"/>
  </cols>
  <sheetData>
    <row r="1" spans="1:22" ht="72" x14ac:dyDescent="0.25">
      <c r="A1" s="109" t="s">
        <v>0</v>
      </c>
      <c r="B1" s="109" t="s">
        <v>1</v>
      </c>
      <c r="C1" s="109" t="s">
        <v>566</v>
      </c>
      <c r="D1" s="109" t="s">
        <v>4</v>
      </c>
      <c r="E1" s="110" t="s">
        <v>633</v>
      </c>
      <c r="F1" s="110" t="s">
        <v>5</v>
      </c>
      <c r="G1" s="110" t="s">
        <v>6</v>
      </c>
      <c r="H1" s="110" t="s">
        <v>7</v>
      </c>
      <c r="I1" s="111" t="s">
        <v>8</v>
      </c>
      <c r="J1" s="110" t="s">
        <v>9</v>
      </c>
      <c r="K1" s="110" t="s">
        <v>10</v>
      </c>
      <c r="L1" s="110" t="s">
        <v>11</v>
      </c>
      <c r="M1" s="109" t="s">
        <v>16</v>
      </c>
      <c r="N1" s="112" t="s">
        <v>201</v>
      </c>
      <c r="O1" s="112" t="s">
        <v>202</v>
      </c>
      <c r="P1" s="112" t="s">
        <v>257</v>
      </c>
      <c r="Q1" s="113" t="s">
        <v>301</v>
      </c>
      <c r="R1" s="113" t="s">
        <v>299</v>
      </c>
      <c r="S1" s="113" t="s">
        <v>300</v>
      </c>
      <c r="T1" s="113" t="s">
        <v>298</v>
      </c>
      <c r="U1" s="109" t="s">
        <v>17</v>
      </c>
      <c r="V1" s="109" t="s">
        <v>278</v>
      </c>
    </row>
    <row r="2" spans="1:22" s="231" customFormat="1" ht="24.95" customHeight="1" x14ac:dyDescent="0.25">
      <c r="A2" s="114">
        <v>4600040933</v>
      </c>
      <c r="B2" s="114" t="s">
        <v>27</v>
      </c>
      <c r="C2" s="115" t="s">
        <v>568</v>
      </c>
      <c r="D2" s="115">
        <v>35</v>
      </c>
      <c r="E2" s="115" t="s">
        <v>21</v>
      </c>
      <c r="F2" s="115" t="s">
        <v>34</v>
      </c>
      <c r="G2" s="115" t="s">
        <v>18</v>
      </c>
      <c r="H2" s="403" t="s">
        <v>28</v>
      </c>
      <c r="I2" s="404">
        <v>149141.07999999999</v>
      </c>
      <c r="J2" s="115" t="s">
        <v>19</v>
      </c>
      <c r="K2" s="405">
        <v>41437</v>
      </c>
      <c r="L2" s="405">
        <v>45644</v>
      </c>
      <c r="M2" s="116" t="s">
        <v>208</v>
      </c>
      <c r="N2" s="116" t="s">
        <v>205</v>
      </c>
      <c r="O2" s="120" t="s">
        <v>20</v>
      </c>
      <c r="P2" s="117" t="s">
        <v>263</v>
      </c>
      <c r="Q2" s="117"/>
      <c r="R2" s="117" t="s">
        <v>302</v>
      </c>
      <c r="S2" s="117" t="s">
        <v>308</v>
      </c>
      <c r="T2" s="406" t="s">
        <v>761</v>
      </c>
      <c r="U2" s="117" t="s">
        <v>906</v>
      </c>
      <c r="V2" s="149"/>
    </row>
    <row r="3" spans="1:22" s="232" customFormat="1" ht="24.95" customHeight="1" x14ac:dyDescent="0.25">
      <c r="A3" s="114" t="s">
        <v>835</v>
      </c>
      <c r="B3" s="114" t="s">
        <v>55</v>
      </c>
      <c r="C3" s="115" t="s">
        <v>569</v>
      </c>
      <c r="D3" s="115">
        <v>60</v>
      </c>
      <c r="E3" s="115" t="s">
        <v>56</v>
      </c>
      <c r="F3" s="115" t="s">
        <v>31</v>
      </c>
      <c r="G3" s="115" t="s">
        <v>18</v>
      </c>
      <c r="H3" s="403" t="s">
        <v>57</v>
      </c>
      <c r="I3" s="404">
        <v>13533285.960000001</v>
      </c>
      <c r="J3" s="115" t="s">
        <v>19</v>
      </c>
      <c r="K3" s="405">
        <v>43115</v>
      </c>
      <c r="L3" s="405">
        <v>45504</v>
      </c>
      <c r="M3" s="116" t="s">
        <v>208</v>
      </c>
      <c r="N3" s="116" t="s">
        <v>205</v>
      </c>
      <c r="O3" s="119" t="s">
        <v>20</v>
      </c>
      <c r="P3" s="117" t="s">
        <v>263</v>
      </c>
      <c r="Q3" s="117" t="s">
        <v>332</v>
      </c>
      <c r="R3" s="117" t="s">
        <v>331</v>
      </c>
      <c r="S3" s="117" t="s">
        <v>308</v>
      </c>
      <c r="T3" s="117" t="s">
        <v>330</v>
      </c>
      <c r="U3" s="117" t="s">
        <v>827</v>
      </c>
      <c r="V3" s="169"/>
    </row>
    <row r="4" spans="1:22" s="231" customFormat="1" ht="24.95" customHeight="1" x14ac:dyDescent="0.25">
      <c r="A4" s="114">
        <v>4600056454</v>
      </c>
      <c r="B4" s="114" t="s">
        <v>132</v>
      </c>
      <c r="C4" s="115" t="s">
        <v>568</v>
      </c>
      <c r="D4" s="115">
        <v>45</v>
      </c>
      <c r="E4" s="115" t="s">
        <v>34</v>
      </c>
      <c r="F4" s="115" t="s">
        <v>34</v>
      </c>
      <c r="G4" s="115" t="s">
        <v>18</v>
      </c>
      <c r="H4" s="403" t="s">
        <v>133</v>
      </c>
      <c r="I4" s="404">
        <v>496192.8</v>
      </c>
      <c r="J4" s="115" t="s">
        <v>19</v>
      </c>
      <c r="K4" s="115" t="s">
        <v>134</v>
      </c>
      <c r="L4" s="405">
        <v>45512</v>
      </c>
      <c r="M4" s="116" t="s">
        <v>135</v>
      </c>
      <c r="N4" s="407" t="s">
        <v>281</v>
      </c>
      <c r="O4" s="116" t="s">
        <v>279</v>
      </c>
      <c r="P4" s="117" t="s">
        <v>280</v>
      </c>
      <c r="Q4" s="117"/>
      <c r="R4" s="117" t="s">
        <v>409</v>
      </c>
      <c r="S4" s="117" t="s">
        <v>410</v>
      </c>
      <c r="T4" s="117" t="s">
        <v>408</v>
      </c>
      <c r="U4" s="117" t="s">
        <v>905</v>
      </c>
      <c r="V4" s="149"/>
    </row>
    <row r="5" spans="1:22" s="231" customFormat="1" ht="24.95" customHeight="1" x14ac:dyDescent="0.25">
      <c r="A5" s="114">
        <v>4600056479</v>
      </c>
      <c r="B5" s="114" t="s">
        <v>140</v>
      </c>
      <c r="C5" s="115" t="s">
        <v>568</v>
      </c>
      <c r="D5" s="115">
        <v>30</v>
      </c>
      <c r="E5" s="115" t="s">
        <v>34</v>
      </c>
      <c r="F5" s="115" t="s">
        <v>34</v>
      </c>
      <c r="G5" s="115" t="s">
        <v>18</v>
      </c>
      <c r="H5" s="403" t="s">
        <v>141</v>
      </c>
      <c r="I5" s="404">
        <v>170000</v>
      </c>
      <c r="J5" s="115" t="s">
        <v>19</v>
      </c>
      <c r="K5" s="405">
        <v>44784</v>
      </c>
      <c r="L5" s="405">
        <v>45514</v>
      </c>
      <c r="M5" s="116" t="s">
        <v>142</v>
      </c>
      <c r="N5" s="120" t="s">
        <v>143</v>
      </c>
      <c r="O5" s="120" t="s">
        <v>143</v>
      </c>
      <c r="P5" s="125" t="s">
        <v>143</v>
      </c>
      <c r="Q5" s="117" t="s">
        <v>417</v>
      </c>
      <c r="R5" s="117" t="s">
        <v>415</v>
      </c>
      <c r="S5" s="117" t="s">
        <v>308</v>
      </c>
      <c r="T5" s="117" t="s">
        <v>414</v>
      </c>
      <c r="U5" s="117" t="s">
        <v>904</v>
      </c>
      <c r="V5" s="149"/>
    </row>
    <row r="6" spans="1:22" s="231" customFormat="1" ht="24.95" customHeight="1" x14ac:dyDescent="0.25">
      <c r="A6" s="114">
        <v>4600056561</v>
      </c>
      <c r="B6" s="114" t="s">
        <v>150</v>
      </c>
      <c r="C6" s="115" t="s">
        <v>569</v>
      </c>
      <c r="D6" s="115">
        <v>45</v>
      </c>
      <c r="E6" s="115" t="s">
        <v>24</v>
      </c>
      <c r="F6" s="115" t="s">
        <v>34</v>
      </c>
      <c r="G6" s="115" t="s">
        <v>18</v>
      </c>
      <c r="H6" s="403" t="s">
        <v>151</v>
      </c>
      <c r="I6" s="404">
        <v>197772.42</v>
      </c>
      <c r="J6" s="115" t="s">
        <v>19</v>
      </c>
      <c r="K6" s="405">
        <v>44804</v>
      </c>
      <c r="L6" s="405">
        <v>45534</v>
      </c>
      <c r="M6" s="116" t="s">
        <v>152</v>
      </c>
      <c r="N6" s="116" t="s">
        <v>30</v>
      </c>
      <c r="O6" s="119" t="s">
        <v>213</v>
      </c>
      <c r="P6" s="117" t="s">
        <v>265</v>
      </c>
      <c r="Q6" s="117" t="s">
        <v>431</v>
      </c>
      <c r="R6" s="117" t="s">
        <v>429</v>
      </c>
      <c r="S6" s="117" t="s">
        <v>430</v>
      </c>
      <c r="T6" s="117" t="s">
        <v>428</v>
      </c>
      <c r="U6" s="117" t="s">
        <v>903</v>
      </c>
      <c r="V6" s="149"/>
    </row>
    <row r="7" spans="1:22" s="231" customFormat="1" ht="24.95" customHeight="1" x14ac:dyDescent="0.25">
      <c r="A7" s="114">
        <v>4600056634</v>
      </c>
      <c r="B7" s="114" t="s">
        <v>157</v>
      </c>
      <c r="C7" s="115" t="s">
        <v>568</v>
      </c>
      <c r="D7" s="115">
        <v>45</v>
      </c>
      <c r="E7" s="115" t="s">
        <v>34</v>
      </c>
      <c r="F7" s="115" t="s">
        <v>34</v>
      </c>
      <c r="G7" s="115" t="s">
        <v>18</v>
      </c>
      <c r="H7" s="403" t="s">
        <v>158</v>
      </c>
      <c r="I7" s="404">
        <v>16080</v>
      </c>
      <c r="J7" s="115" t="s">
        <v>19</v>
      </c>
      <c r="K7" s="405">
        <v>44813</v>
      </c>
      <c r="L7" s="405">
        <v>45544</v>
      </c>
      <c r="M7" s="116" t="s">
        <v>29</v>
      </c>
      <c r="N7" s="120" t="s">
        <v>30</v>
      </c>
      <c r="O7" s="120" t="s">
        <v>203</v>
      </c>
      <c r="P7" s="117" t="s">
        <v>265</v>
      </c>
      <c r="Q7" s="117" t="s">
        <v>625</v>
      </c>
      <c r="R7" s="117" t="s">
        <v>437</v>
      </c>
      <c r="S7" s="117" t="s">
        <v>308</v>
      </c>
      <c r="T7" s="117" t="s">
        <v>436</v>
      </c>
      <c r="U7" s="117" t="s">
        <v>902</v>
      </c>
      <c r="V7" s="149"/>
    </row>
    <row r="8" spans="1:22" s="231" customFormat="1" ht="24.95" customHeight="1" x14ac:dyDescent="0.25">
      <c r="A8" s="114">
        <v>4600056681</v>
      </c>
      <c r="B8" s="114" t="s">
        <v>162</v>
      </c>
      <c r="C8" s="115" t="s">
        <v>567</v>
      </c>
      <c r="D8" s="115">
        <v>45</v>
      </c>
      <c r="E8" s="115" t="s">
        <v>34</v>
      </c>
      <c r="F8" s="115" t="s">
        <v>34</v>
      </c>
      <c r="G8" s="115" t="s">
        <v>18</v>
      </c>
      <c r="H8" s="403" t="s">
        <v>163</v>
      </c>
      <c r="I8" s="404">
        <v>742500</v>
      </c>
      <c r="J8" s="115" t="s">
        <v>19</v>
      </c>
      <c r="K8" s="405">
        <v>44844</v>
      </c>
      <c r="L8" s="405">
        <v>45576</v>
      </c>
      <c r="M8" s="116" t="s">
        <v>617</v>
      </c>
      <c r="N8" s="116" t="s">
        <v>618</v>
      </c>
      <c r="O8" s="119" t="s">
        <v>619</v>
      </c>
      <c r="P8" s="117" t="s">
        <v>620</v>
      </c>
      <c r="Q8" s="117"/>
      <c r="R8" s="117" t="s">
        <v>442</v>
      </c>
      <c r="S8" s="117" t="s">
        <v>443</v>
      </c>
      <c r="T8" s="117" t="s">
        <v>441</v>
      </c>
      <c r="U8" s="117" t="s">
        <v>901</v>
      </c>
      <c r="V8" s="149"/>
    </row>
    <row r="9" spans="1:22" s="27" customFormat="1" ht="24.95" customHeight="1" x14ac:dyDescent="0.25">
      <c r="A9" s="114">
        <v>4600056819</v>
      </c>
      <c r="B9" s="114" t="s">
        <v>164</v>
      </c>
      <c r="C9" s="115" t="s">
        <v>568</v>
      </c>
      <c r="D9" s="115">
        <v>60</v>
      </c>
      <c r="E9" s="115" t="s">
        <v>34</v>
      </c>
      <c r="F9" s="115" t="s">
        <v>34</v>
      </c>
      <c r="G9" s="115" t="s">
        <v>18</v>
      </c>
      <c r="H9" s="403" t="s">
        <v>165</v>
      </c>
      <c r="I9" s="404">
        <v>188336.4</v>
      </c>
      <c r="J9" s="115" t="s">
        <v>19</v>
      </c>
      <c r="K9" s="405">
        <v>44910</v>
      </c>
      <c r="L9" s="405">
        <v>45625</v>
      </c>
      <c r="M9" s="116" t="s">
        <v>29</v>
      </c>
      <c r="N9" s="120" t="s">
        <v>30</v>
      </c>
      <c r="O9" s="120" t="s">
        <v>203</v>
      </c>
      <c r="P9" s="117" t="s">
        <v>265</v>
      </c>
      <c r="Q9" s="117"/>
      <c r="R9" s="117" t="s">
        <v>445</v>
      </c>
      <c r="S9" s="117" t="s">
        <v>446</v>
      </c>
      <c r="T9" s="117" t="s">
        <v>444</v>
      </c>
      <c r="U9" s="117"/>
      <c r="V9" s="118"/>
    </row>
    <row r="10" spans="1:22" s="231" customFormat="1" ht="24.95" customHeight="1" x14ac:dyDescent="0.25">
      <c r="A10" s="117">
        <v>4600057550</v>
      </c>
      <c r="B10" s="117" t="s">
        <v>186</v>
      </c>
      <c r="C10" s="115" t="s">
        <v>568</v>
      </c>
      <c r="D10" s="122">
        <v>60</v>
      </c>
      <c r="E10" s="115" t="s">
        <v>34</v>
      </c>
      <c r="F10" s="115" t="s">
        <v>34</v>
      </c>
      <c r="G10" s="122" t="s">
        <v>18</v>
      </c>
      <c r="H10" s="123" t="s">
        <v>187</v>
      </c>
      <c r="I10" s="139">
        <v>189288</v>
      </c>
      <c r="J10" s="122" t="s">
        <v>19</v>
      </c>
      <c r="K10" s="124">
        <v>45149</v>
      </c>
      <c r="L10" s="124">
        <v>45514</v>
      </c>
      <c r="M10" s="116" t="s">
        <v>22</v>
      </c>
      <c r="N10" s="116" t="s">
        <v>204</v>
      </c>
      <c r="O10" s="119" t="s">
        <v>553</v>
      </c>
      <c r="P10" s="117" t="s">
        <v>261</v>
      </c>
      <c r="Q10" s="117"/>
      <c r="R10" s="117" t="s">
        <v>459</v>
      </c>
      <c r="S10" s="117" t="s">
        <v>460</v>
      </c>
      <c r="T10" s="117" t="s">
        <v>458</v>
      </c>
      <c r="U10" s="117" t="s">
        <v>900</v>
      </c>
      <c r="V10" s="149"/>
    </row>
    <row r="11" spans="1:22" s="27" customFormat="1" ht="24.95" customHeight="1" x14ac:dyDescent="0.25">
      <c r="A11" s="117">
        <v>4600053171</v>
      </c>
      <c r="B11" s="114" t="s">
        <v>61</v>
      </c>
      <c r="C11" s="115" t="s">
        <v>568</v>
      </c>
      <c r="D11" s="115">
        <v>0</v>
      </c>
      <c r="E11" s="115" t="s">
        <v>103</v>
      </c>
      <c r="F11" s="115" t="s">
        <v>34</v>
      </c>
      <c r="G11" s="115" t="s">
        <v>18</v>
      </c>
      <c r="H11" s="123" t="s">
        <v>192</v>
      </c>
      <c r="I11" s="139">
        <v>0.01</v>
      </c>
      <c r="J11" s="122" t="s">
        <v>19</v>
      </c>
      <c r="K11" s="124">
        <v>44259</v>
      </c>
      <c r="L11" s="124">
        <v>45657</v>
      </c>
      <c r="M11" s="116" t="s">
        <v>22</v>
      </c>
      <c r="N11" s="116" t="s">
        <v>204</v>
      </c>
      <c r="O11" s="120" t="s">
        <v>206</v>
      </c>
      <c r="P11" s="125" t="s">
        <v>206</v>
      </c>
      <c r="Q11" s="117" t="s">
        <v>739</v>
      </c>
      <c r="R11" s="116" t="s">
        <v>741</v>
      </c>
      <c r="S11" s="117" t="s">
        <v>740</v>
      </c>
      <c r="T11" s="117" t="s">
        <v>742</v>
      </c>
      <c r="U11" s="117"/>
      <c r="V11" s="118"/>
    </row>
    <row r="12" spans="1:22" s="231" customFormat="1" ht="24.95" customHeight="1" x14ac:dyDescent="0.25">
      <c r="A12" s="117">
        <v>4600057463</v>
      </c>
      <c r="B12" s="117" t="s">
        <v>220</v>
      </c>
      <c r="C12" s="122" t="s">
        <v>567</v>
      </c>
      <c r="D12" s="122">
        <v>45</v>
      </c>
      <c r="E12" s="122" t="s">
        <v>34</v>
      </c>
      <c r="F12" s="122" t="s">
        <v>34</v>
      </c>
      <c r="G12" s="122" t="s">
        <v>18</v>
      </c>
      <c r="H12" s="117" t="s">
        <v>221</v>
      </c>
      <c r="I12" s="139">
        <v>173400</v>
      </c>
      <c r="J12" s="122" t="s">
        <v>19</v>
      </c>
      <c r="K12" s="124">
        <v>45121</v>
      </c>
      <c r="L12" s="124">
        <v>45486</v>
      </c>
      <c r="M12" s="116" t="s">
        <v>52</v>
      </c>
      <c r="N12" s="116" t="s">
        <v>204</v>
      </c>
      <c r="O12" s="119" t="s">
        <v>553</v>
      </c>
      <c r="P12" s="117" t="s">
        <v>261</v>
      </c>
      <c r="Q12" s="117"/>
      <c r="R12" s="117" t="s">
        <v>478</v>
      </c>
      <c r="S12" s="117" t="s">
        <v>480</v>
      </c>
      <c r="T12" s="117" t="s">
        <v>477</v>
      </c>
      <c r="U12" s="117" t="s">
        <v>899</v>
      </c>
      <c r="V12" s="149"/>
    </row>
    <row r="13" spans="1:22" s="27" customFormat="1" ht="24.95" customHeight="1" x14ac:dyDescent="0.25">
      <c r="A13" s="117">
        <v>4600057590</v>
      </c>
      <c r="B13" s="117" t="s">
        <v>230</v>
      </c>
      <c r="C13" s="122" t="s">
        <v>567</v>
      </c>
      <c r="D13" s="122">
        <v>60</v>
      </c>
      <c r="E13" s="122" t="s">
        <v>34</v>
      </c>
      <c r="F13" s="122" t="s">
        <v>34</v>
      </c>
      <c r="G13" s="122" t="s">
        <v>18</v>
      </c>
      <c r="H13" s="117" t="s">
        <v>231</v>
      </c>
      <c r="I13" s="139">
        <v>100425.48</v>
      </c>
      <c r="J13" s="122" t="s">
        <v>19</v>
      </c>
      <c r="K13" s="124">
        <v>45170</v>
      </c>
      <c r="L13" s="124">
        <v>45536</v>
      </c>
      <c r="M13" s="116" t="s">
        <v>52</v>
      </c>
      <c r="N13" s="116" t="s">
        <v>204</v>
      </c>
      <c r="O13" s="119" t="s">
        <v>553</v>
      </c>
      <c r="P13" s="117" t="s">
        <v>261</v>
      </c>
      <c r="Q13" s="117"/>
      <c r="R13" s="117" t="s">
        <v>495</v>
      </c>
      <c r="S13" s="117" t="s">
        <v>496</v>
      </c>
      <c r="T13" s="117" t="s">
        <v>494</v>
      </c>
      <c r="U13" s="117" t="s">
        <v>865</v>
      </c>
      <c r="V13" s="117"/>
    </row>
    <row r="14" spans="1:22" s="231" customFormat="1" ht="24.95" customHeight="1" x14ac:dyDescent="0.25">
      <c r="A14" s="117">
        <v>4600057484</v>
      </c>
      <c r="B14" s="117" t="s">
        <v>235</v>
      </c>
      <c r="C14" s="115" t="s">
        <v>568</v>
      </c>
      <c r="D14" s="122">
        <v>30</v>
      </c>
      <c r="E14" s="122" t="s">
        <v>34</v>
      </c>
      <c r="F14" s="122" t="s">
        <v>34</v>
      </c>
      <c r="G14" s="122" t="s">
        <v>18</v>
      </c>
      <c r="H14" s="117" t="s">
        <v>236</v>
      </c>
      <c r="I14" s="139">
        <v>66000</v>
      </c>
      <c r="J14" s="122" t="s">
        <v>19</v>
      </c>
      <c r="K14" s="124">
        <v>45126</v>
      </c>
      <c r="L14" s="124">
        <v>45491</v>
      </c>
      <c r="M14" s="116" t="s">
        <v>93</v>
      </c>
      <c r="N14" s="116" t="s">
        <v>604</v>
      </c>
      <c r="O14" s="116" t="s">
        <v>603</v>
      </c>
      <c r="P14" s="117" t="s">
        <v>602</v>
      </c>
      <c r="Q14" s="117"/>
      <c r="R14" s="117" t="s">
        <v>498</v>
      </c>
      <c r="S14" s="117" t="s">
        <v>308</v>
      </c>
      <c r="T14" s="117" t="s">
        <v>497</v>
      </c>
      <c r="U14" s="126" t="s">
        <v>838</v>
      </c>
      <c r="V14" s="175"/>
    </row>
    <row r="15" spans="1:22" s="231" customFormat="1" ht="24.95" customHeight="1" x14ac:dyDescent="0.25">
      <c r="A15" s="114">
        <v>4600057784</v>
      </c>
      <c r="B15" s="114" t="s">
        <v>87</v>
      </c>
      <c r="C15" s="115" t="s">
        <v>569</v>
      </c>
      <c r="D15" s="115">
        <v>30</v>
      </c>
      <c r="E15" s="115" t="s">
        <v>34</v>
      </c>
      <c r="F15" s="115" t="s">
        <v>34</v>
      </c>
      <c r="G15" s="115" t="s">
        <v>18</v>
      </c>
      <c r="H15" s="403" t="s">
        <v>88</v>
      </c>
      <c r="I15" s="404">
        <v>765211</v>
      </c>
      <c r="J15" s="122" t="s">
        <v>19</v>
      </c>
      <c r="K15" s="405">
        <v>45292</v>
      </c>
      <c r="L15" s="405">
        <v>45657</v>
      </c>
      <c r="M15" s="116" t="s">
        <v>29</v>
      </c>
      <c r="N15" s="116" t="s">
        <v>30</v>
      </c>
      <c r="O15" s="120" t="s">
        <v>75</v>
      </c>
      <c r="P15" s="117" t="s">
        <v>265</v>
      </c>
      <c r="Q15" s="117"/>
      <c r="R15" s="117" t="s">
        <v>369</v>
      </c>
      <c r="S15" s="117" t="s">
        <v>308</v>
      </c>
      <c r="T15" s="117" t="s">
        <v>368</v>
      </c>
      <c r="U15" s="117" t="s">
        <v>297</v>
      </c>
      <c r="V15" s="175">
        <v>45299</v>
      </c>
    </row>
    <row r="16" spans="1:22" s="27" customFormat="1" ht="24.95" customHeight="1" x14ac:dyDescent="0.25">
      <c r="A16" s="114">
        <v>4600058067</v>
      </c>
      <c r="B16" s="114" t="s">
        <v>87</v>
      </c>
      <c r="C16" s="115" t="s">
        <v>568</v>
      </c>
      <c r="D16" s="115">
        <v>30</v>
      </c>
      <c r="E16" s="115" t="s">
        <v>34</v>
      </c>
      <c r="F16" s="115" t="s">
        <v>34</v>
      </c>
      <c r="G16" s="115" t="s">
        <v>18</v>
      </c>
      <c r="H16" s="403" t="s">
        <v>88</v>
      </c>
      <c r="I16" s="404">
        <v>765211</v>
      </c>
      <c r="J16" s="122" t="s">
        <v>19</v>
      </c>
      <c r="K16" s="405">
        <v>45292</v>
      </c>
      <c r="L16" s="405">
        <v>45657</v>
      </c>
      <c r="M16" s="116" t="s">
        <v>29</v>
      </c>
      <c r="N16" s="116" t="s">
        <v>30</v>
      </c>
      <c r="O16" s="120" t="s">
        <v>75</v>
      </c>
      <c r="P16" s="117" t="s">
        <v>265</v>
      </c>
      <c r="Q16" s="117" t="s">
        <v>605</v>
      </c>
      <c r="R16" s="117" t="s">
        <v>369</v>
      </c>
      <c r="S16" s="117" t="s">
        <v>308</v>
      </c>
      <c r="T16" s="117" t="s">
        <v>368</v>
      </c>
      <c r="U16" s="117" t="s">
        <v>296</v>
      </c>
      <c r="V16" s="126">
        <v>45656</v>
      </c>
    </row>
    <row r="17" spans="1:22" s="27" customFormat="1" ht="24.95" customHeight="1" x14ac:dyDescent="0.25">
      <c r="A17" s="117">
        <v>4600058105</v>
      </c>
      <c r="B17" s="117" t="s">
        <v>61</v>
      </c>
      <c r="C17" s="122" t="s">
        <v>567</v>
      </c>
      <c r="D17" s="122">
        <v>60</v>
      </c>
      <c r="E17" s="122" t="s">
        <v>560</v>
      </c>
      <c r="F17" s="122" t="s">
        <v>34</v>
      </c>
      <c r="G17" s="122" t="s">
        <v>636</v>
      </c>
      <c r="H17" s="117" t="s">
        <v>576</v>
      </c>
      <c r="I17" s="139">
        <v>99400</v>
      </c>
      <c r="J17" s="122" t="s">
        <v>19</v>
      </c>
      <c r="K17" s="124">
        <v>45108</v>
      </c>
      <c r="L17" s="124">
        <v>45480</v>
      </c>
      <c r="M17" s="116" t="s">
        <v>22</v>
      </c>
      <c r="N17" s="116" t="s">
        <v>204</v>
      </c>
      <c r="O17" s="119" t="s">
        <v>553</v>
      </c>
      <c r="P17" s="117" t="s">
        <v>261</v>
      </c>
      <c r="Q17" s="117" t="s">
        <v>739</v>
      </c>
      <c r="R17" s="116" t="s">
        <v>741</v>
      </c>
      <c r="S17" s="117" t="s">
        <v>740</v>
      </c>
      <c r="T17" s="117" t="s">
        <v>742</v>
      </c>
      <c r="U17" s="117"/>
      <c r="V17" s="117"/>
    </row>
    <row r="18" spans="1:22" s="231" customFormat="1" ht="24.95" customHeight="1" x14ac:dyDescent="0.25">
      <c r="A18" s="117">
        <v>4600057403</v>
      </c>
      <c r="B18" s="117" t="s">
        <v>237</v>
      </c>
      <c r="C18" s="115" t="s">
        <v>568</v>
      </c>
      <c r="D18" s="122">
        <v>1</v>
      </c>
      <c r="E18" s="115" t="s">
        <v>21</v>
      </c>
      <c r="F18" s="115" t="s">
        <v>34</v>
      </c>
      <c r="G18" s="122" t="s">
        <v>18</v>
      </c>
      <c r="H18" s="117" t="s">
        <v>249</v>
      </c>
      <c r="I18" s="139">
        <v>18000</v>
      </c>
      <c r="J18" s="122" t="s">
        <v>19</v>
      </c>
      <c r="K18" s="124">
        <v>45149</v>
      </c>
      <c r="L18" s="124">
        <v>45514</v>
      </c>
      <c r="M18" s="116" t="s">
        <v>152</v>
      </c>
      <c r="N18" s="116" t="s">
        <v>30</v>
      </c>
      <c r="O18" s="116" t="s">
        <v>203</v>
      </c>
      <c r="P18" s="117" t="s">
        <v>265</v>
      </c>
      <c r="Q18" s="117" t="s">
        <v>507</v>
      </c>
      <c r="R18" s="117" t="s">
        <v>505</v>
      </c>
      <c r="S18" s="117" t="s">
        <v>506</v>
      </c>
      <c r="T18" s="117" t="s">
        <v>504</v>
      </c>
      <c r="U18" s="117" t="s">
        <v>898</v>
      </c>
      <c r="V18" s="175">
        <v>45299</v>
      </c>
    </row>
    <row r="19" spans="1:22" s="27" customFormat="1" ht="24.95" customHeight="1" x14ac:dyDescent="0.25">
      <c r="A19" s="117">
        <v>4600057823</v>
      </c>
      <c r="B19" s="117" t="s">
        <v>244</v>
      </c>
      <c r="C19" s="115" t="s">
        <v>569</v>
      </c>
      <c r="D19" s="122">
        <v>30</v>
      </c>
      <c r="E19" s="122" t="s">
        <v>629</v>
      </c>
      <c r="F19" s="122" t="s">
        <v>31</v>
      </c>
      <c r="G19" s="122" t="s">
        <v>18</v>
      </c>
      <c r="H19" s="117" t="s">
        <v>245</v>
      </c>
      <c r="I19" s="139">
        <v>205163.61</v>
      </c>
      <c r="J19" s="122" t="s">
        <v>19</v>
      </c>
      <c r="K19" s="124">
        <v>44287</v>
      </c>
      <c r="L19" s="124">
        <v>45382</v>
      </c>
      <c r="M19" s="116" t="s">
        <v>208</v>
      </c>
      <c r="N19" s="116" t="s">
        <v>205</v>
      </c>
      <c r="O19" s="120" t="s">
        <v>20</v>
      </c>
      <c r="P19" s="117" t="s">
        <v>263</v>
      </c>
      <c r="Q19" s="117"/>
      <c r="R19" s="117" t="s">
        <v>518</v>
      </c>
      <c r="S19" s="117" t="s">
        <v>519</v>
      </c>
      <c r="T19" s="117" t="s">
        <v>517</v>
      </c>
      <c r="U19" s="117" t="s">
        <v>246</v>
      </c>
      <c r="V19" s="126">
        <v>45299</v>
      </c>
    </row>
    <row r="20" spans="1:22" s="231" customFormat="1" ht="24.95" customHeight="1" x14ac:dyDescent="0.25">
      <c r="A20" s="128">
        <v>4600057955</v>
      </c>
      <c r="B20" s="128" t="s">
        <v>102</v>
      </c>
      <c r="C20" s="133" t="s">
        <v>568</v>
      </c>
      <c r="D20" s="135">
        <v>40</v>
      </c>
      <c r="E20" s="133" t="s">
        <v>103</v>
      </c>
      <c r="F20" s="133" t="s">
        <v>34</v>
      </c>
      <c r="G20" s="133" t="s">
        <v>18</v>
      </c>
      <c r="H20" s="130" t="s">
        <v>104</v>
      </c>
      <c r="I20" s="136">
        <v>1952492.22</v>
      </c>
      <c r="J20" s="133" t="s">
        <v>19</v>
      </c>
      <c r="K20" s="134">
        <v>43951</v>
      </c>
      <c r="L20" s="134">
        <v>45441</v>
      </c>
      <c r="M20" s="131" t="s">
        <v>208</v>
      </c>
      <c r="N20" s="131" t="s">
        <v>205</v>
      </c>
      <c r="O20" s="132" t="s">
        <v>20</v>
      </c>
      <c r="P20" s="128" t="s">
        <v>263</v>
      </c>
      <c r="Q20" s="128" t="s">
        <v>386</v>
      </c>
      <c r="R20" s="128" t="s">
        <v>384</v>
      </c>
      <c r="S20" s="128" t="s">
        <v>385</v>
      </c>
      <c r="T20" s="128" t="s">
        <v>383</v>
      </c>
      <c r="U20" s="128" t="s">
        <v>897</v>
      </c>
      <c r="V20" s="177"/>
    </row>
    <row r="21" spans="1:22" s="233" customFormat="1" ht="24.95" customHeight="1" x14ac:dyDescent="0.25">
      <c r="A21" s="128" t="s">
        <v>841</v>
      </c>
      <c r="B21" s="128" t="s">
        <v>108</v>
      </c>
      <c r="C21" s="133" t="s">
        <v>567</v>
      </c>
      <c r="D21" s="133">
        <v>10</v>
      </c>
      <c r="E21" s="133" t="s">
        <v>34</v>
      </c>
      <c r="F21" s="133" t="s">
        <v>34</v>
      </c>
      <c r="G21" s="133" t="s">
        <v>18</v>
      </c>
      <c r="H21" s="130" t="s">
        <v>109</v>
      </c>
      <c r="I21" s="136">
        <v>1032750</v>
      </c>
      <c r="J21" s="133" t="s">
        <v>19</v>
      </c>
      <c r="K21" s="134">
        <v>44708</v>
      </c>
      <c r="L21" s="134">
        <v>45657</v>
      </c>
      <c r="M21" s="131" t="s">
        <v>29</v>
      </c>
      <c r="N21" s="132" t="s">
        <v>30</v>
      </c>
      <c r="O21" s="132" t="s">
        <v>203</v>
      </c>
      <c r="P21" s="128" t="s">
        <v>265</v>
      </c>
      <c r="Q21" s="128"/>
      <c r="R21" s="128" t="s">
        <v>308</v>
      </c>
      <c r="S21" s="128" t="s">
        <v>308</v>
      </c>
      <c r="T21" s="128" t="s">
        <v>392</v>
      </c>
      <c r="U21" s="128"/>
      <c r="V21" s="178"/>
    </row>
    <row r="22" spans="1:22" s="231" customFormat="1" ht="24.95" customHeight="1" x14ac:dyDescent="0.25">
      <c r="A22" s="128">
        <v>4600047741</v>
      </c>
      <c r="B22" s="128" t="s">
        <v>41</v>
      </c>
      <c r="C22" s="133" t="s">
        <v>568</v>
      </c>
      <c r="D22" s="122">
        <v>45</v>
      </c>
      <c r="E22" s="133" t="s">
        <v>34</v>
      </c>
      <c r="F22" s="133" t="s">
        <v>34</v>
      </c>
      <c r="G22" s="133" t="s">
        <v>18</v>
      </c>
      <c r="H22" s="130" t="s">
        <v>42</v>
      </c>
      <c r="I22" s="136">
        <v>665098.52</v>
      </c>
      <c r="J22" s="133" t="s">
        <v>19</v>
      </c>
      <c r="K22" s="134">
        <v>42529</v>
      </c>
      <c r="L22" s="134">
        <v>45451</v>
      </c>
      <c r="M22" s="131" t="s">
        <v>29</v>
      </c>
      <c r="N22" s="132" t="s">
        <v>30</v>
      </c>
      <c r="O22" s="132" t="s">
        <v>75</v>
      </c>
      <c r="P22" s="128" t="s">
        <v>265</v>
      </c>
      <c r="Q22" s="128"/>
      <c r="R22" s="128" t="s">
        <v>313</v>
      </c>
      <c r="S22" s="128" t="s">
        <v>314</v>
      </c>
      <c r="T22" s="128" t="s">
        <v>312</v>
      </c>
      <c r="U22" s="128" t="s">
        <v>896</v>
      </c>
      <c r="V22" s="177"/>
    </row>
    <row r="23" spans="1:22" s="231" customFormat="1" ht="24.95" customHeight="1" x14ac:dyDescent="0.25">
      <c r="A23" s="128">
        <v>4600049450</v>
      </c>
      <c r="B23" s="128" t="s">
        <v>50</v>
      </c>
      <c r="C23" s="133" t="s">
        <v>569</v>
      </c>
      <c r="D23" s="122">
        <v>45</v>
      </c>
      <c r="E23" s="133" t="s">
        <v>34</v>
      </c>
      <c r="F23" s="133" t="s">
        <v>34</v>
      </c>
      <c r="G23" s="133" t="s">
        <v>18</v>
      </c>
      <c r="H23" s="130" t="s">
        <v>51</v>
      </c>
      <c r="I23" s="136">
        <v>542464</v>
      </c>
      <c r="J23" s="133" t="s">
        <v>19</v>
      </c>
      <c r="K23" s="134">
        <v>42979</v>
      </c>
      <c r="L23" s="134">
        <v>45322</v>
      </c>
      <c r="M23" s="131" t="s">
        <v>29</v>
      </c>
      <c r="N23" s="132" t="s">
        <v>30</v>
      </c>
      <c r="O23" s="132" t="s">
        <v>203</v>
      </c>
      <c r="P23" s="128" t="s">
        <v>265</v>
      </c>
      <c r="Q23" s="128" t="s">
        <v>350</v>
      </c>
      <c r="R23" s="128" t="s">
        <v>326</v>
      </c>
      <c r="S23" s="128" t="s">
        <v>308</v>
      </c>
      <c r="T23" s="128" t="s">
        <v>325</v>
      </c>
      <c r="U23" s="128" t="s">
        <v>895</v>
      </c>
      <c r="V23" s="177"/>
    </row>
    <row r="24" spans="1:22" s="231" customFormat="1" ht="24.95" customHeight="1" x14ac:dyDescent="0.25">
      <c r="A24" s="128">
        <v>4600049631</v>
      </c>
      <c r="B24" s="128" t="s">
        <v>44</v>
      </c>
      <c r="C24" s="133" t="s">
        <v>569</v>
      </c>
      <c r="D24" s="122">
        <v>45</v>
      </c>
      <c r="E24" s="133" t="s">
        <v>34</v>
      </c>
      <c r="F24" s="133" t="s">
        <v>34</v>
      </c>
      <c r="G24" s="133" t="s">
        <v>18</v>
      </c>
      <c r="H24" s="130" t="s">
        <v>54</v>
      </c>
      <c r="I24" s="136">
        <v>1010496.14</v>
      </c>
      <c r="J24" s="133" t="s">
        <v>19</v>
      </c>
      <c r="K24" s="134">
        <v>42979</v>
      </c>
      <c r="L24" s="134">
        <v>45419</v>
      </c>
      <c r="M24" s="131" t="s">
        <v>29</v>
      </c>
      <c r="N24" s="132" t="s">
        <v>30</v>
      </c>
      <c r="O24" s="132" t="s">
        <v>203</v>
      </c>
      <c r="P24" s="128" t="s">
        <v>265</v>
      </c>
      <c r="Q24" s="128" t="s">
        <v>329</v>
      </c>
      <c r="R24" s="128" t="s">
        <v>328</v>
      </c>
      <c r="S24" s="128" t="s">
        <v>308</v>
      </c>
      <c r="T24" s="128" t="s">
        <v>327</v>
      </c>
      <c r="U24" s="128" t="s">
        <v>894</v>
      </c>
      <c r="V24" s="177"/>
    </row>
    <row r="25" spans="1:22" s="231" customFormat="1" ht="24.95" customHeight="1" x14ac:dyDescent="0.25">
      <c r="A25" s="128">
        <v>4600051978</v>
      </c>
      <c r="B25" s="128" t="s">
        <v>64</v>
      </c>
      <c r="C25" s="133" t="s">
        <v>567</v>
      </c>
      <c r="D25" s="122">
        <v>45</v>
      </c>
      <c r="E25" s="133" t="s">
        <v>34</v>
      </c>
      <c r="F25" s="133" t="s">
        <v>34</v>
      </c>
      <c r="G25" s="133" t="s">
        <v>18</v>
      </c>
      <c r="H25" s="130" t="s">
        <v>65</v>
      </c>
      <c r="I25" s="136">
        <v>1978632.88</v>
      </c>
      <c r="J25" s="133" t="s">
        <v>19</v>
      </c>
      <c r="K25" s="134">
        <v>43817</v>
      </c>
      <c r="L25" s="134">
        <v>45337</v>
      </c>
      <c r="M25" s="131" t="s">
        <v>208</v>
      </c>
      <c r="N25" s="131" t="s">
        <v>217</v>
      </c>
      <c r="O25" s="132" t="s">
        <v>218</v>
      </c>
      <c r="P25" s="128" t="s">
        <v>265</v>
      </c>
      <c r="Q25" s="128" t="s">
        <v>746</v>
      </c>
      <c r="R25" s="128" t="s">
        <v>344</v>
      </c>
      <c r="S25" s="128" t="s">
        <v>308</v>
      </c>
      <c r="T25" s="128" t="s">
        <v>343</v>
      </c>
      <c r="U25" s="128" t="s">
        <v>893</v>
      </c>
      <c r="V25" s="182">
        <v>45342</v>
      </c>
    </row>
    <row r="26" spans="1:22" s="231" customFormat="1" ht="24.95" customHeight="1" x14ac:dyDescent="0.25">
      <c r="A26" s="128">
        <v>4600052321</v>
      </c>
      <c r="B26" s="128" t="s">
        <v>70</v>
      </c>
      <c r="C26" s="133" t="s">
        <v>568</v>
      </c>
      <c r="D26" s="122">
        <v>30</v>
      </c>
      <c r="E26" s="133" t="s">
        <v>34</v>
      </c>
      <c r="F26" s="133" t="s">
        <v>34</v>
      </c>
      <c r="G26" s="133" t="s">
        <v>18</v>
      </c>
      <c r="H26" s="130" t="s">
        <v>71</v>
      </c>
      <c r="I26" s="136">
        <v>4964694.99</v>
      </c>
      <c r="J26" s="133" t="s">
        <v>19</v>
      </c>
      <c r="K26" s="134">
        <v>43981</v>
      </c>
      <c r="L26" s="134">
        <v>45442</v>
      </c>
      <c r="M26" s="131" t="s">
        <v>208</v>
      </c>
      <c r="N26" s="132" t="s">
        <v>205</v>
      </c>
      <c r="O26" s="132" t="s">
        <v>20</v>
      </c>
      <c r="P26" s="128" t="s">
        <v>263</v>
      </c>
      <c r="Q26" s="128"/>
      <c r="R26" s="128" t="s">
        <v>353</v>
      </c>
      <c r="S26" s="128" t="s">
        <v>354</v>
      </c>
      <c r="T26" s="128" t="s">
        <v>352</v>
      </c>
      <c r="U26" s="128" t="s">
        <v>892</v>
      </c>
      <c r="V26" s="177"/>
    </row>
    <row r="27" spans="1:22" s="231" customFormat="1" ht="24.95" customHeight="1" x14ac:dyDescent="0.25">
      <c r="A27" s="128">
        <v>4600053874</v>
      </c>
      <c r="B27" s="128" t="s">
        <v>64</v>
      </c>
      <c r="C27" s="133" t="s">
        <v>568</v>
      </c>
      <c r="D27" s="122">
        <v>30</v>
      </c>
      <c r="E27" s="133" t="s">
        <v>34</v>
      </c>
      <c r="F27" s="133" t="s">
        <v>34</v>
      </c>
      <c r="G27" s="133" t="s">
        <v>18</v>
      </c>
      <c r="H27" s="130" t="s">
        <v>90</v>
      </c>
      <c r="I27" s="136">
        <v>46512</v>
      </c>
      <c r="J27" s="133" t="s">
        <v>19</v>
      </c>
      <c r="K27" s="134">
        <v>44419</v>
      </c>
      <c r="L27" s="134">
        <v>45301</v>
      </c>
      <c r="M27" s="131" t="s">
        <v>29</v>
      </c>
      <c r="N27" s="132" t="s">
        <v>30</v>
      </c>
      <c r="O27" s="132" t="s">
        <v>75</v>
      </c>
      <c r="P27" s="128" t="s">
        <v>265</v>
      </c>
      <c r="Q27" s="128" t="s">
        <v>746</v>
      </c>
      <c r="R27" s="128" t="s">
        <v>344</v>
      </c>
      <c r="S27" s="128" t="s">
        <v>308</v>
      </c>
      <c r="T27" s="128" t="s">
        <v>343</v>
      </c>
      <c r="U27" s="128" t="s">
        <v>891</v>
      </c>
      <c r="V27" s="177"/>
    </row>
    <row r="28" spans="1:22" s="231" customFormat="1" ht="24.95" customHeight="1" x14ac:dyDescent="0.25">
      <c r="A28" s="128">
        <v>4600054540</v>
      </c>
      <c r="B28" s="128" t="s">
        <v>97</v>
      </c>
      <c r="C28" s="133" t="s">
        <v>569</v>
      </c>
      <c r="D28" s="122">
        <v>45</v>
      </c>
      <c r="E28" s="133" t="s">
        <v>21</v>
      </c>
      <c r="F28" s="133" t="s">
        <v>34</v>
      </c>
      <c r="G28" s="133" t="s">
        <v>95</v>
      </c>
      <c r="H28" s="130" t="s">
        <v>98</v>
      </c>
      <c r="I28" s="136">
        <v>2559718</v>
      </c>
      <c r="J28" s="133" t="s">
        <v>19</v>
      </c>
      <c r="K28" s="134">
        <v>44876</v>
      </c>
      <c r="L28" s="134">
        <v>45322</v>
      </c>
      <c r="M28" s="131" t="s">
        <v>96</v>
      </c>
      <c r="N28" s="132" t="s">
        <v>86</v>
      </c>
      <c r="O28" s="132" t="s">
        <v>86</v>
      </c>
      <c r="P28" s="128" t="s">
        <v>86</v>
      </c>
      <c r="Q28" s="128"/>
      <c r="R28" s="128" t="s">
        <v>379</v>
      </c>
      <c r="S28" s="128" t="s">
        <v>308</v>
      </c>
      <c r="T28" s="128" t="s">
        <v>378</v>
      </c>
      <c r="U28" s="128" t="s">
        <v>890</v>
      </c>
      <c r="V28" s="177"/>
    </row>
    <row r="29" spans="1:22" s="231" customFormat="1" ht="24.95" customHeight="1" x14ac:dyDescent="0.25">
      <c r="A29" s="128">
        <v>4600055373</v>
      </c>
      <c r="B29" s="128" t="s">
        <v>110</v>
      </c>
      <c r="C29" s="133" t="s">
        <v>567</v>
      </c>
      <c r="D29" s="122">
        <v>60</v>
      </c>
      <c r="E29" s="133" t="s">
        <v>34</v>
      </c>
      <c r="F29" s="133" t="s">
        <v>34</v>
      </c>
      <c r="G29" s="133" t="s">
        <v>18</v>
      </c>
      <c r="H29" s="130" t="s">
        <v>111</v>
      </c>
      <c r="I29" s="136">
        <v>536809</v>
      </c>
      <c r="J29" s="133" t="s">
        <v>19</v>
      </c>
      <c r="K29" s="134">
        <v>44617</v>
      </c>
      <c r="L29" s="134">
        <v>45346</v>
      </c>
      <c r="M29" s="131" t="s">
        <v>29</v>
      </c>
      <c r="N29" s="132" t="s">
        <v>30</v>
      </c>
      <c r="O29" s="132" t="s">
        <v>153</v>
      </c>
      <c r="P29" s="128" t="s">
        <v>265</v>
      </c>
      <c r="Q29" s="128"/>
      <c r="R29" s="128" t="s">
        <v>393</v>
      </c>
      <c r="S29" s="128" t="s">
        <v>394</v>
      </c>
      <c r="T29" s="128" t="s">
        <v>391</v>
      </c>
      <c r="U29" s="128" t="s">
        <v>889</v>
      </c>
      <c r="V29" s="177"/>
    </row>
    <row r="30" spans="1:22" s="27" customFormat="1" ht="24.95" customHeight="1" x14ac:dyDescent="0.25">
      <c r="A30" s="128">
        <v>4600057566</v>
      </c>
      <c r="B30" s="128" t="s">
        <v>195</v>
      </c>
      <c r="C30" s="133" t="s">
        <v>567</v>
      </c>
      <c r="D30" s="122">
        <v>10</v>
      </c>
      <c r="E30" s="133" t="s">
        <v>21</v>
      </c>
      <c r="F30" s="133" t="s">
        <v>31</v>
      </c>
      <c r="G30" s="133" t="s">
        <v>18</v>
      </c>
      <c r="H30" s="130" t="s">
        <v>196</v>
      </c>
      <c r="I30" s="136">
        <v>16168276.199999999</v>
      </c>
      <c r="J30" s="133" t="s">
        <v>19</v>
      </c>
      <c r="K30" s="134">
        <v>45170</v>
      </c>
      <c r="L30" s="134">
        <v>45350</v>
      </c>
      <c r="M30" s="131" t="s">
        <v>208</v>
      </c>
      <c r="N30" s="131" t="s">
        <v>205</v>
      </c>
      <c r="O30" s="132" t="s">
        <v>20</v>
      </c>
      <c r="P30" s="128" t="s">
        <v>263</v>
      </c>
      <c r="Q30" s="128"/>
      <c r="R30" s="128" t="s">
        <v>466</v>
      </c>
      <c r="S30" s="128" t="s">
        <v>308</v>
      </c>
      <c r="T30" s="128" t="s">
        <v>465</v>
      </c>
      <c r="U30" s="128" t="s">
        <v>197</v>
      </c>
      <c r="V30" s="128"/>
    </row>
    <row r="31" spans="1:22" s="233" customFormat="1" ht="24.95" customHeight="1" x14ac:dyDescent="0.25">
      <c r="A31" s="128" t="s">
        <v>843</v>
      </c>
      <c r="B31" s="128" t="s">
        <v>226</v>
      </c>
      <c r="C31" s="133" t="s">
        <v>567</v>
      </c>
      <c r="D31" s="122">
        <v>20</v>
      </c>
      <c r="E31" s="133" t="s">
        <v>34</v>
      </c>
      <c r="F31" s="133" t="s">
        <v>34</v>
      </c>
      <c r="G31" s="133" t="s">
        <v>18</v>
      </c>
      <c r="H31" s="128" t="s">
        <v>227</v>
      </c>
      <c r="I31" s="136">
        <v>0.01</v>
      </c>
      <c r="J31" s="133" t="s">
        <v>19</v>
      </c>
      <c r="K31" s="134">
        <v>44621</v>
      </c>
      <c r="L31" s="134">
        <v>45351</v>
      </c>
      <c r="M31" s="131" t="s">
        <v>152</v>
      </c>
      <c r="N31" s="131" t="s">
        <v>30</v>
      </c>
      <c r="O31" s="131" t="s">
        <v>203</v>
      </c>
      <c r="P31" s="128" t="s">
        <v>265</v>
      </c>
      <c r="Q31" s="128" t="s">
        <v>489</v>
      </c>
      <c r="R31" s="128" t="s">
        <v>488</v>
      </c>
      <c r="S31" s="128" t="s">
        <v>308</v>
      </c>
      <c r="T31" s="128" t="s">
        <v>487</v>
      </c>
      <c r="U31" s="128"/>
      <c r="V31" s="178"/>
    </row>
    <row r="32" spans="1:22" s="27" customFormat="1" ht="24.95" customHeight="1" x14ac:dyDescent="0.25">
      <c r="A32" s="128">
        <v>4600055533</v>
      </c>
      <c r="B32" s="128" t="s">
        <v>122</v>
      </c>
      <c r="C32" s="133" t="s">
        <v>567</v>
      </c>
      <c r="D32" s="122">
        <v>60</v>
      </c>
      <c r="E32" s="133" t="s">
        <v>21</v>
      </c>
      <c r="F32" s="133" t="s">
        <v>31</v>
      </c>
      <c r="G32" s="133" t="s">
        <v>18</v>
      </c>
      <c r="H32" s="128" t="s">
        <v>123</v>
      </c>
      <c r="I32" s="136">
        <v>8255509.8099999996</v>
      </c>
      <c r="J32" s="133" t="s">
        <v>19</v>
      </c>
      <c r="K32" s="134">
        <v>44986</v>
      </c>
      <c r="L32" s="134">
        <v>45350</v>
      </c>
      <c r="M32" s="131" t="s">
        <v>52</v>
      </c>
      <c r="N32" s="131" t="s">
        <v>204</v>
      </c>
      <c r="O32" s="132" t="s">
        <v>553</v>
      </c>
      <c r="P32" s="128" t="s">
        <v>261</v>
      </c>
      <c r="Q32" s="128" t="s">
        <v>493</v>
      </c>
      <c r="R32" s="128" t="s">
        <v>491</v>
      </c>
      <c r="S32" s="128" t="s">
        <v>492</v>
      </c>
      <c r="T32" s="128" t="s">
        <v>490</v>
      </c>
      <c r="U32" s="137" t="s">
        <v>845</v>
      </c>
      <c r="V32" s="128"/>
    </row>
    <row r="33" spans="1:24" s="231" customFormat="1" ht="24.95" customHeight="1" x14ac:dyDescent="0.25">
      <c r="A33" s="128">
        <v>4600056873</v>
      </c>
      <c r="B33" s="128" t="s">
        <v>253</v>
      </c>
      <c r="C33" s="133" t="s">
        <v>567</v>
      </c>
      <c r="D33" s="122">
        <v>30</v>
      </c>
      <c r="E33" s="133" t="s">
        <v>34</v>
      </c>
      <c r="F33" s="133" t="s">
        <v>34</v>
      </c>
      <c r="G33" s="133" t="s">
        <v>18</v>
      </c>
      <c r="H33" s="128" t="s">
        <v>254</v>
      </c>
      <c r="I33" s="136">
        <v>400000</v>
      </c>
      <c r="J33" s="133" t="s">
        <v>19</v>
      </c>
      <c r="K33" s="134">
        <v>44970</v>
      </c>
      <c r="L33" s="134">
        <v>45334</v>
      </c>
      <c r="M33" s="131" t="s">
        <v>259</v>
      </c>
      <c r="N33" s="131" t="s">
        <v>255</v>
      </c>
      <c r="O33" s="131" t="s">
        <v>74</v>
      </c>
      <c r="P33" s="128" t="s">
        <v>262</v>
      </c>
      <c r="Q33" s="128"/>
      <c r="R33" s="128" t="s">
        <v>520</v>
      </c>
      <c r="S33" s="128" t="s">
        <v>521</v>
      </c>
      <c r="T33" s="128" t="s">
        <v>392</v>
      </c>
      <c r="U33" s="128" t="s">
        <v>888</v>
      </c>
      <c r="V33" s="182">
        <v>45299</v>
      </c>
    </row>
    <row r="34" spans="1:24" s="27" customFormat="1" ht="24.95" customHeight="1" x14ac:dyDescent="0.25">
      <c r="A34" s="117">
        <v>4600058464</v>
      </c>
      <c r="B34" s="116" t="s">
        <v>558</v>
      </c>
      <c r="C34" s="115" t="s">
        <v>569</v>
      </c>
      <c r="D34" s="122">
        <v>45</v>
      </c>
      <c r="E34" s="122" t="s">
        <v>21</v>
      </c>
      <c r="F34" s="122" t="s">
        <v>31</v>
      </c>
      <c r="G34" s="122" t="s">
        <v>18</v>
      </c>
      <c r="H34" s="116" t="s">
        <v>770</v>
      </c>
      <c r="I34" s="139">
        <v>180000</v>
      </c>
      <c r="J34" s="122" t="s">
        <v>19</v>
      </c>
      <c r="K34" s="124">
        <v>45545</v>
      </c>
      <c r="L34" s="124">
        <v>45657</v>
      </c>
      <c r="M34" s="116" t="s">
        <v>115</v>
      </c>
      <c r="N34" s="116" t="s">
        <v>771</v>
      </c>
      <c r="O34" s="116" t="s">
        <v>116</v>
      </c>
      <c r="P34" s="128" t="s">
        <v>263</v>
      </c>
      <c r="Q34" s="116"/>
      <c r="R34" s="116"/>
      <c r="S34" s="116"/>
      <c r="T34" s="116"/>
      <c r="U34" s="116"/>
      <c r="V34" s="122"/>
    </row>
    <row r="35" spans="1:24" s="27" customFormat="1" ht="24.95" customHeight="1" x14ac:dyDescent="0.25">
      <c r="A35" s="117" t="s">
        <v>782</v>
      </c>
      <c r="B35" s="117" t="s">
        <v>783</v>
      </c>
      <c r="C35" s="122"/>
      <c r="D35" s="122"/>
      <c r="E35" s="122" t="s">
        <v>34</v>
      </c>
      <c r="F35" s="122" t="s">
        <v>34</v>
      </c>
      <c r="G35" s="122" t="s">
        <v>18</v>
      </c>
      <c r="H35" s="117" t="s">
        <v>846</v>
      </c>
      <c r="I35" s="139">
        <v>500000</v>
      </c>
      <c r="J35" s="122"/>
      <c r="K35" s="124">
        <v>45323</v>
      </c>
      <c r="L35" s="124">
        <v>45657</v>
      </c>
      <c r="M35" s="116"/>
      <c r="N35" s="116"/>
      <c r="O35" s="116"/>
      <c r="P35" s="117"/>
      <c r="Q35" s="117"/>
      <c r="R35" s="117"/>
      <c r="S35" s="117"/>
      <c r="T35" s="117"/>
      <c r="U35" s="117"/>
      <c r="V35" s="126"/>
    </row>
    <row r="36" spans="1:24" s="27" customFormat="1" ht="24.95" customHeight="1" x14ac:dyDescent="0.25">
      <c r="A36" s="408" t="s">
        <v>807</v>
      </c>
      <c r="B36" s="408" t="s">
        <v>785</v>
      </c>
      <c r="C36" s="116"/>
      <c r="D36" s="409" t="s">
        <v>808</v>
      </c>
      <c r="E36" s="409" t="s">
        <v>34</v>
      </c>
      <c r="F36" s="410"/>
      <c r="G36" s="115" t="s">
        <v>18</v>
      </c>
      <c r="H36" s="116"/>
      <c r="I36" s="410">
        <v>1</v>
      </c>
      <c r="J36" s="122" t="s">
        <v>19</v>
      </c>
      <c r="K36" s="405">
        <v>45352</v>
      </c>
      <c r="L36" s="405">
        <v>45657</v>
      </c>
      <c r="M36" s="116"/>
      <c r="N36" s="116"/>
      <c r="O36" s="116"/>
      <c r="P36" s="116"/>
      <c r="Q36" s="116"/>
      <c r="R36" s="116"/>
      <c r="S36" s="116"/>
      <c r="T36" s="116"/>
      <c r="U36" s="116"/>
      <c r="V36" s="116"/>
    </row>
    <row r="37" spans="1:24" s="231" customFormat="1" ht="24.95" customHeight="1" x14ac:dyDescent="0.25">
      <c r="A37" s="408" t="s">
        <v>811</v>
      </c>
      <c r="B37" s="408" t="s">
        <v>787</v>
      </c>
      <c r="C37" s="116" t="s">
        <v>568</v>
      </c>
      <c r="D37" s="409" t="s">
        <v>848</v>
      </c>
      <c r="E37" s="409" t="s">
        <v>34</v>
      </c>
      <c r="F37" s="410" t="s">
        <v>34</v>
      </c>
      <c r="G37" s="115" t="s">
        <v>18</v>
      </c>
      <c r="H37" s="116" t="s">
        <v>847</v>
      </c>
      <c r="I37" s="410">
        <v>0.01</v>
      </c>
      <c r="J37" s="122" t="s">
        <v>19</v>
      </c>
      <c r="K37" s="405">
        <v>45383</v>
      </c>
      <c r="L37" s="405">
        <v>46021</v>
      </c>
      <c r="M37" s="116"/>
      <c r="N37" s="116"/>
      <c r="O37" s="116"/>
      <c r="P37" s="116"/>
      <c r="Q37" s="116"/>
      <c r="R37" s="116"/>
      <c r="S37" s="116"/>
      <c r="T37" s="116"/>
      <c r="U37" s="116" t="s">
        <v>887</v>
      </c>
      <c r="V37" s="148"/>
    </row>
    <row r="38" spans="1:24" s="27" customFormat="1" ht="24.95" customHeight="1" x14ac:dyDescent="0.25">
      <c r="A38" s="408" t="s">
        <v>817</v>
      </c>
      <c r="B38" s="408" t="s">
        <v>794</v>
      </c>
      <c r="C38" s="116"/>
      <c r="D38" s="409" t="s">
        <v>818</v>
      </c>
      <c r="E38" s="409" t="s">
        <v>34</v>
      </c>
      <c r="F38" s="410"/>
      <c r="G38" s="411" t="s">
        <v>18</v>
      </c>
      <c r="H38" s="116"/>
      <c r="I38" s="410">
        <v>0.01</v>
      </c>
      <c r="J38" s="122" t="s">
        <v>19</v>
      </c>
      <c r="K38" s="405">
        <v>44197</v>
      </c>
      <c r="L38" s="405">
        <v>45657</v>
      </c>
      <c r="M38" s="116"/>
      <c r="N38" s="116"/>
      <c r="O38" s="116"/>
      <c r="P38" s="116"/>
      <c r="Q38" s="116"/>
      <c r="R38" s="116"/>
      <c r="S38" s="116"/>
      <c r="T38" s="116"/>
      <c r="U38" s="116"/>
      <c r="V38" s="116"/>
    </row>
    <row r="39" spans="1:24" s="104" customFormat="1" ht="24.95" customHeight="1" x14ac:dyDescent="0.25">
      <c r="A39" s="198">
        <v>4600053869</v>
      </c>
      <c r="B39" s="219" t="s">
        <v>89</v>
      </c>
      <c r="C39" s="185" t="s">
        <v>567</v>
      </c>
      <c r="D39" s="186">
        <v>90</v>
      </c>
      <c r="E39" s="185" t="s">
        <v>21</v>
      </c>
      <c r="F39" s="185" t="s">
        <v>34</v>
      </c>
      <c r="G39" s="185" t="s">
        <v>18</v>
      </c>
      <c r="H39" s="199" t="s">
        <v>880</v>
      </c>
      <c r="I39" s="200">
        <v>1929542.5</v>
      </c>
      <c r="J39" s="185" t="s">
        <v>19</v>
      </c>
      <c r="K39" s="201">
        <v>45444</v>
      </c>
      <c r="L39" s="201">
        <v>45443</v>
      </c>
      <c r="M39" s="184" t="s">
        <v>22</v>
      </c>
      <c r="N39" s="184" t="s">
        <v>204</v>
      </c>
      <c r="O39" s="207" t="s">
        <v>53</v>
      </c>
      <c r="P39" s="183" t="s">
        <v>261</v>
      </c>
      <c r="Q39" s="183" t="s">
        <v>587</v>
      </c>
      <c r="R39" s="183" t="s">
        <v>585</v>
      </c>
      <c r="S39" s="183"/>
      <c r="T39" s="412" t="s">
        <v>586</v>
      </c>
      <c r="U39" s="183" t="s">
        <v>1718</v>
      </c>
      <c r="V39" s="202"/>
      <c r="W39" s="203"/>
    </row>
    <row r="40" spans="1:24" s="104" customFormat="1" ht="24.95" customHeight="1" x14ac:dyDescent="0.25">
      <c r="A40" s="198">
        <v>4600055713</v>
      </c>
      <c r="B40" s="198" t="s">
        <v>61</v>
      </c>
      <c r="C40" s="185" t="s">
        <v>568</v>
      </c>
      <c r="D40" s="185">
        <v>60</v>
      </c>
      <c r="E40" s="185" t="s">
        <v>21</v>
      </c>
      <c r="F40" s="185" t="s">
        <v>34</v>
      </c>
      <c r="G40" s="185" t="s">
        <v>38</v>
      </c>
      <c r="H40" s="199" t="s">
        <v>646</v>
      </c>
      <c r="I40" s="200">
        <v>1688940.48</v>
      </c>
      <c r="J40" s="185" t="s">
        <v>19</v>
      </c>
      <c r="K40" s="201">
        <v>44984</v>
      </c>
      <c r="L40" s="201">
        <v>45474</v>
      </c>
      <c r="M40" s="184" t="s">
        <v>22</v>
      </c>
      <c r="N40" s="184" t="s">
        <v>204</v>
      </c>
      <c r="O40" s="413" t="s">
        <v>875</v>
      </c>
      <c r="P40" s="183" t="s">
        <v>261</v>
      </c>
      <c r="Q40" s="183" t="s">
        <v>739</v>
      </c>
      <c r="R40" s="184" t="s">
        <v>741</v>
      </c>
      <c r="S40" s="183" t="s">
        <v>740</v>
      </c>
      <c r="T40" s="183" t="s">
        <v>742</v>
      </c>
      <c r="U40" s="183"/>
      <c r="V40" s="202"/>
      <c r="W40" s="203"/>
    </row>
    <row r="41" spans="1:24" s="105" customFormat="1" ht="24.95" customHeight="1" x14ac:dyDescent="0.25">
      <c r="A41" s="189">
        <v>4600057138</v>
      </c>
      <c r="B41" s="189" t="s">
        <v>61</v>
      </c>
      <c r="C41" s="191" t="s">
        <v>568</v>
      </c>
      <c r="D41" s="186">
        <v>60</v>
      </c>
      <c r="E41" s="191" t="s">
        <v>34</v>
      </c>
      <c r="F41" s="191" t="s">
        <v>34</v>
      </c>
      <c r="G41" s="191" t="s">
        <v>18</v>
      </c>
      <c r="H41" s="220" t="s">
        <v>173</v>
      </c>
      <c r="I41" s="192">
        <v>134920</v>
      </c>
      <c r="J41" s="191" t="s">
        <v>19</v>
      </c>
      <c r="K41" s="193">
        <v>45012</v>
      </c>
      <c r="L41" s="193">
        <v>45377</v>
      </c>
      <c r="M41" s="194" t="s">
        <v>22</v>
      </c>
      <c r="N41" s="194" t="s">
        <v>204</v>
      </c>
      <c r="O41" s="221" t="s">
        <v>553</v>
      </c>
      <c r="P41" s="189" t="s">
        <v>261</v>
      </c>
      <c r="Q41" s="183" t="s">
        <v>739</v>
      </c>
      <c r="R41" s="184" t="s">
        <v>741</v>
      </c>
      <c r="S41" s="183" t="s">
        <v>740</v>
      </c>
      <c r="T41" s="183" t="s">
        <v>742</v>
      </c>
      <c r="U41" s="189" t="s">
        <v>884</v>
      </c>
      <c r="V41" s="189"/>
      <c r="W41" s="213"/>
    </row>
    <row r="42" spans="1:24" s="103" customFormat="1" ht="24.95" customHeight="1" x14ac:dyDescent="0.25">
      <c r="A42" s="189">
        <v>4600056470</v>
      </c>
      <c r="B42" s="189" t="s">
        <v>137</v>
      </c>
      <c r="C42" s="191" t="s">
        <v>568</v>
      </c>
      <c r="D42" s="186">
        <v>30</v>
      </c>
      <c r="E42" s="191" t="s">
        <v>34</v>
      </c>
      <c r="F42" s="191" t="s">
        <v>34</v>
      </c>
      <c r="G42" s="191" t="s">
        <v>18</v>
      </c>
      <c r="H42" s="220" t="s">
        <v>138</v>
      </c>
      <c r="I42" s="192">
        <v>1110000</v>
      </c>
      <c r="J42" s="191" t="s">
        <v>19</v>
      </c>
      <c r="K42" s="193">
        <v>44788</v>
      </c>
      <c r="L42" s="193">
        <v>45382</v>
      </c>
      <c r="M42" s="194" t="s">
        <v>135</v>
      </c>
      <c r="N42" s="221" t="s">
        <v>136</v>
      </c>
      <c r="O42" s="221" t="s">
        <v>136</v>
      </c>
      <c r="P42" s="189" t="s">
        <v>263</v>
      </c>
      <c r="Q42" s="189" t="s">
        <v>416</v>
      </c>
      <c r="R42" s="189" t="s">
        <v>412</v>
      </c>
      <c r="S42" s="189" t="s">
        <v>413</v>
      </c>
      <c r="T42" s="189" t="s">
        <v>411</v>
      </c>
      <c r="U42" s="189" t="s">
        <v>886</v>
      </c>
      <c r="V42" s="195" t="s">
        <v>282</v>
      </c>
      <c r="W42" s="196"/>
    </row>
    <row r="43" spans="1:24" s="101" customFormat="1" ht="24.95" customHeight="1" x14ac:dyDescent="0.25">
      <c r="A43" s="183">
        <v>4600052476</v>
      </c>
      <c r="B43" s="183" t="s">
        <v>1719</v>
      </c>
      <c r="C43" s="186">
        <v>164650</v>
      </c>
      <c r="D43" s="185" t="s">
        <v>568</v>
      </c>
      <c r="E43" s="278">
        <v>30</v>
      </c>
      <c r="F43" s="185" t="s">
        <v>24</v>
      </c>
      <c r="G43" s="185" t="s">
        <v>31</v>
      </c>
      <c r="H43" s="186" t="s">
        <v>18</v>
      </c>
      <c r="I43" s="183" t="s">
        <v>225</v>
      </c>
      <c r="J43" s="243">
        <v>2046520.07</v>
      </c>
      <c r="K43" s="186" t="s">
        <v>19</v>
      </c>
      <c r="L43" s="188">
        <v>44013</v>
      </c>
      <c r="M43" s="201">
        <v>45657</v>
      </c>
      <c r="N43" s="183" t="s">
        <v>234</v>
      </c>
      <c r="O43" s="183" t="s">
        <v>1067</v>
      </c>
      <c r="P43" s="183" t="s">
        <v>1068</v>
      </c>
      <c r="Q43" s="183" t="s">
        <v>143</v>
      </c>
      <c r="R43" s="183" t="s">
        <v>406</v>
      </c>
      <c r="S43" s="183" t="s">
        <v>485</v>
      </c>
      <c r="T43" s="183" t="s">
        <v>486</v>
      </c>
      <c r="U43" s="183" t="s">
        <v>484</v>
      </c>
      <c r="V43" s="183"/>
      <c r="W43" s="214" t="s">
        <v>645</v>
      </c>
      <c r="X43" s="218"/>
    </row>
  </sheetData>
  <autoFilter ref="A1:V42"/>
  <conditionalFormatting sqref="A39">
    <cfRule type="duplicateValues" dxfId="286" priority="17"/>
  </conditionalFormatting>
  <conditionalFormatting sqref="A39">
    <cfRule type="duplicateValues" dxfId="285" priority="18"/>
  </conditionalFormatting>
  <conditionalFormatting sqref="A39">
    <cfRule type="duplicateValues" dxfId="284" priority="19"/>
  </conditionalFormatting>
  <conditionalFormatting sqref="A40">
    <cfRule type="duplicateValues" dxfId="283" priority="11"/>
  </conditionalFormatting>
  <conditionalFormatting sqref="A40">
    <cfRule type="duplicateValues" dxfId="282" priority="12"/>
  </conditionalFormatting>
  <conditionalFormatting sqref="A40">
    <cfRule type="duplicateValues" dxfId="281" priority="13"/>
  </conditionalFormatting>
  <conditionalFormatting sqref="A41">
    <cfRule type="duplicateValues" dxfId="280" priority="8"/>
  </conditionalFormatting>
  <conditionalFormatting sqref="A41">
    <cfRule type="duplicateValues" dxfId="279" priority="9"/>
  </conditionalFormatting>
  <conditionalFormatting sqref="A41">
    <cfRule type="duplicateValues" dxfId="278" priority="10"/>
  </conditionalFormatting>
  <conditionalFormatting sqref="A42">
    <cfRule type="duplicateValues" dxfId="277" priority="5"/>
  </conditionalFormatting>
  <conditionalFormatting sqref="A42">
    <cfRule type="duplicateValues" dxfId="276" priority="6"/>
  </conditionalFormatting>
  <conditionalFormatting sqref="A42">
    <cfRule type="duplicateValues" dxfId="275" priority="7"/>
  </conditionalFormatting>
  <conditionalFormatting sqref="A43">
    <cfRule type="duplicateValues" dxfId="274" priority="1"/>
  </conditionalFormatting>
  <conditionalFormatting sqref="A43">
    <cfRule type="duplicateValues" dxfId="273" priority="2"/>
  </conditionalFormatting>
  <conditionalFormatting sqref="A43">
    <cfRule type="duplicateValues" dxfId="272" priority="3"/>
  </conditionalFormatting>
  <conditionalFormatting sqref="A2:A42">
    <cfRule type="duplicateValues" dxfId="271" priority="605"/>
  </conditionalFormatting>
  <hyperlinks>
    <hyperlink ref="T2" r:id="rId1"/>
    <hyperlink ref="T39" r:id="rId2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-0.249977111117893"/>
  </sheetPr>
  <dimension ref="A1:XEY154"/>
  <sheetViews>
    <sheetView showGridLines="0" zoomScale="80" zoomScaleNormal="80" workbookViewId="0">
      <pane ySplit="2" topLeftCell="A9" activePane="bottomLeft" state="frozen"/>
      <selection activeCell="F1" sqref="F1"/>
      <selection pane="bottomLeft" activeCell="N11" sqref="N11"/>
    </sheetView>
  </sheetViews>
  <sheetFormatPr defaultColWidth="9.140625" defaultRowHeight="12.75" x14ac:dyDescent="0.2"/>
  <cols>
    <col min="1" max="1" width="53.28515625" style="353" customWidth="1"/>
    <col min="2" max="2" width="35" style="349" customWidth="1"/>
    <col min="3" max="3" width="16.140625" style="351" customWidth="1"/>
    <col min="4" max="4" width="16.42578125" style="351" customWidth="1"/>
    <col min="5" max="5" width="12.42578125" style="351" customWidth="1"/>
    <col min="6" max="6" width="59.85546875" style="387" customWidth="1"/>
    <col min="7" max="7" width="34.42578125" style="387" customWidth="1"/>
    <col min="8" max="9" width="35" style="351" customWidth="1"/>
    <col min="10" max="10" width="35" style="349" customWidth="1"/>
    <col min="11" max="11" width="24.28515625" style="349" customWidth="1"/>
    <col min="12" max="12" width="7" style="387" customWidth="1"/>
    <col min="13" max="13" width="11.28515625" style="351" customWidth="1"/>
    <col min="14" max="14" width="16.28515625" style="351" bestFit="1" customWidth="1"/>
    <col min="15" max="15" width="26.42578125" style="349" customWidth="1"/>
    <col min="16" max="16" width="29.7109375" style="349" customWidth="1"/>
    <col min="17" max="17" width="24.42578125" style="349" customWidth="1"/>
    <col min="18" max="18" width="32.85546875" style="349" customWidth="1"/>
    <col min="19" max="19" width="19.7109375" style="349" customWidth="1"/>
    <col min="20" max="20" width="16.140625" style="349" customWidth="1"/>
    <col min="21" max="21" width="29" style="349" bestFit="1" customWidth="1"/>
    <col min="22" max="22" width="34.85546875" style="349" customWidth="1"/>
    <col min="23" max="23" width="38.28515625" style="349" customWidth="1"/>
    <col min="24" max="24" width="30.28515625" style="351" customWidth="1"/>
    <col min="25" max="16384" width="9.140625" style="349"/>
  </cols>
  <sheetData>
    <row r="1" spans="1:25" ht="79.5" customHeight="1" x14ac:dyDescent="0.2">
      <c r="A1" s="350" t="s">
        <v>592</v>
      </c>
      <c r="D1" s="504" t="s">
        <v>1621</v>
      </c>
      <c r="E1" s="504"/>
      <c r="F1" s="504"/>
    </row>
    <row r="2" spans="1:25" s="352" customFormat="1" ht="58.5" customHeight="1" x14ac:dyDescent="0.2">
      <c r="A2" s="354" t="s">
        <v>0</v>
      </c>
      <c r="B2" s="354" t="s">
        <v>1</v>
      </c>
      <c r="C2" s="354" t="s">
        <v>2</v>
      </c>
      <c r="D2" s="354" t="s">
        <v>566</v>
      </c>
      <c r="E2" s="354" t="s">
        <v>4</v>
      </c>
      <c r="F2" s="354" t="s">
        <v>633</v>
      </c>
      <c r="G2" s="354" t="s">
        <v>5</v>
      </c>
      <c r="H2" s="354" t="s">
        <v>1615</v>
      </c>
      <c r="I2" s="354" t="s">
        <v>6</v>
      </c>
      <c r="J2" s="354" t="s">
        <v>7</v>
      </c>
      <c r="K2" s="355" t="s">
        <v>1566</v>
      </c>
      <c r="L2" s="354" t="s">
        <v>9</v>
      </c>
      <c r="M2" s="354" t="s">
        <v>10</v>
      </c>
      <c r="N2" s="354" t="s">
        <v>11</v>
      </c>
      <c r="O2" s="354" t="s">
        <v>16</v>
      </c>
      <c r="P2" s="354" t="s">
        <v>201</v>
      </c>
      <c r="Q2" s="354" t="s">
        <v>202</v>
      </c>
      <c r="R2" s="354" t="s">
        <v>257</v>
      </c>
      <c r="S2" s="354" t="s">
        <v>301</v>
      </c>
      <c r="T2" s="354" t="s">
        <v>299</v>
      </c>
      <c r="U2" s="354" t="s">
        <v>300</v>
      </c>
      <c r="V2" s="354" t="s">
        <v>298</v>
      </c>
      <c r="W2" s="354" t="s">
        <v>17</v>
      </c>
      <c r="X2" s="354" t="s">
        <v>278</v>
      </c>
    </row>
    <row r="3" spans="1:25" s="326" customFormat="1" ht="35.1" customHeight="1" x14ac:dyDescent="0.25">
      <c r="A3" s="329" t="s">
        <v>1572</v>
      </c>
      <c r="B3" s="329" t="s">
        <v>82</v>
      </c>
      <c r="C3" s="329">
        <v>3037081</v>
      </c>
      <c r="D3" s="329" t="s">
        <v>1879</v>
      </c>
      <c r="E3" s="329">
        <v>60</v>
      </c>
      <c r="F3" s="358" t="s">
        <v>1570</v>
      </c>
      <c r="G3" s="329" t="s">
        <v>1571</v>
      </c>
      <c r="H3" s="329" t="s">
        <v>710</v>
      </c>
      <c r="I3" s="329" t="s">
        <v>18</v>
      </c>
      <c r="J3" s="358" t="s">
        <v>1883</v>
      </c>
      <c r="K3" s="359">
        <v>922828.52</v>
      </c>
      <c r="L3" s="329" t="s">
        <v>19</v>
      </c>
      <c r="M3" s="360">
        <v>44217</v>
      </c>
      <c r="N3" s="360">
        <v>46132</v>
      </c>
      <c r="O3" s="331" t="s">
        <v>208</v>
      </c>
      <c r="P3" s="331" t="s">
        <v>876</v>
      </c>
      <c r="Q3" s="362" t="str">
        <f>UPPER(P3:P22)</f>
        <v xml:space="preserve">GLAUBER HENRIQUE DOS SANTOS </v>
      </c>
      <c r="R3" s="331" t="str">
        <f>UPPER(Q3:Q22)</f>
        <v xml:space="preserve">GLAUBER HENRIQUE DOS SANTOS </v>
      </c>
      <c r="S3" s="331" t="s">
        <v>1002</v>
      </c>
      <c r="T3" s="331" t="s">
        <v>367</v>
      </c>
      <c r="U3" s="331" t="s">
        <v>1003</v>
      </c>
      <c r="V3" s="331" t="s">
        <v>1004</v>
      </c>
      <c r="W3" s="331" t="s">
        <v>83</v>
      </c>
      <c r="X3" s="330"/>
    </row>
    <row r="4" spans="1:25" s="326" customFormat="1" ht="35.1" customHeight="1" x14ac:dyDescent="0.25">
      <c r="A4" s="329" t="s">
        <v>2035</v>
      </c>
      <c r="B4" s="358" t="s">
        <v>615</v>
      </c>
      <c r="C4" s="329">
        <v>185065</v>
      </c>
      <c r="D4" s="329" t="s">
        <v>1881</v>
      </c>
      <c r="E4" s="331">
        <v>90</v>
      </c>
      <c r="F4" s="365" t="s">
        <v>1582</v>
      </c>
      <c r="G4" s="329" t="s">
        <v>1571</v>
      </c>
      <c r="H4" s="329" t="s">
        <v>709</v>
      </c>
      <c r="I4" s="329" t="s">
        <v>18</v>
      </c>
      <c r="J4" s="358" t="s">
        <v>616</v>
      </c>
      <c r="K4" s="359">
        <v>4959153.83</v>
      </c>
      <c r="L4" s="329" t="s">
        <v>19</v>
      </c>
      <c r="M4" s="360">
        <v>45444</v>
      </c>
      <c r="N4" s="444">
        <v>46173</v>
      </c>
      <c r="O4" s="331" t="s">
        <v>22</v>
      </c>
      <c r="P4" s="331" t="s">
        <v>204</v>
      </c>
      <c r="Q4" s="362" t="str">
        <f>UPPER(P4:P37)</f>
        <v>PEDRO ANTONIO PERIASSU</v>
      </c>
      <c r="R4" s="331" t="str">
        <f>UPPER(Q4:Q33)</f>
        <v>PEDRO ANTONIO PERIASSU</v>
      </c>
      <c r="S4" s="331" t="s">
        <v>922</v>
      </c>
      <c r="T4" s="331" t="s">
        <v>919</v>
      </c>
      <c r="U4" s="331" t="s">
        <v>921</v>
      </c>
      <c r="V4" s="331" t="s">
        <v>920</v>
      </c>
      <c r="W4" s="331"/>
      <c r="X4" s="330"/>
    </row>
    <row r="5" spans="1:25" s="326" customFormat="1" ht="35.1" customHeight="1" x14ac:dyDescent="0.25">
      <c r="A5" s="329">
        <v>4600044324</v>
      </c>
      <c r="B5" s="448" t="s">
        <v>1070</v>
      </c>
      <c r="C5" s="329">
        <v>101471</v>
      </c>
      <c r="D5" s="329" t="s">
        <v>1881</v>
      </c>
      <c r="E5" s="329">
        <v>60</v>
      </c>
      <c r="F5" s="365" t="s">
        <v>1582</v>
      </c>
      <c r="G5" s="329" t="s">
        <v>1571</v>
      </c>
      <c r="H5" s="329" t="s">
        <v>710</v>
      </c>
      <c r="I5" s="329" t="s">
        <v>18</v>
      </c>
      <c r="J5" s="358" t="s">
        <v>1903</v>
      </c>
      <c r="K5" s="359">
        <v>18528828.879999999</v>
      </c>
      <c r="L5" s="329" t="s">
        <v>19</v>
      </c>
      <c r="M5" s="360">
        <v>45117</v>
      </c>
      <c r="N5" s="444">
        <v>45828</v>
      </c>
      <c r="O5" s="331" t="s">
        <v>29</v>
      </c>
      <c r="P5" s="331" t="s">
        <v>30</v>
      </c>
      <c r="Q5" s="362" t="str">
        <f>UPPER(P5:P49)</f>
        <v>MANFREDO SAHB CARCUTE</v>
      </c>
      <c r="R5" s="331" t="str">
        <f>UPPER(Q5:Q46)</f>
        <v>MANFREDO SAHB CARCUTE</v>
      </c>
      <c r="S5" s="331" t="s">
        <v>951</v>
      </c>
      <c r="T5" s="331" t="s">
        <v>952</v>
      </c>
      <c r="U5" s="331"/>
      <c r="V5" s="367" t="s">
        <v>953</v>
      </c>
      <c r="W5" s="331" t="s">
        <v>32</v>
      </c>
      <c r="X5" s="330"/>
    </row>
    <row r="6" spans="1:25" s="433" customFormat="1" ht="45" customHeight="1" x14ac:dyDescent="0.25">
      <c r="A6" s="435">
        <v>4600047794</v>
      </c>
      <c r="B6" s="443" t="s">
        <v>2057</v>
      </c>
      <c r="C6" s="435">
        <v>3001565</v>
      </c>
      <c r="D6" s="435" t="s">
        <v>567</v>
      </c>
      <c r="E6" s="435">
        <v>30</v>
      </c>
      <c r="F6" s="447" t="s">
        <v>2056</v>
      </c>
      <c r="G6" s="435" t="s">
        <v>1571</v>
      </c>
      <c r="H6" s="435" t="s">
        <v>710</v>
      </c>
      <c r="I6" s="435" t="s">
        <v>18</v>
      </c>
      <c r="J6" s="443" t="s">
        <v>1904</v>
      </c>
      <c r="K6" s="359">
        <v>24272001.300000001</v>
      </c>
      <c r="L6" s="435" t="s">
        <v>19</v>
      </c>
      <c r="M6" s="444">
        <v>42522</v>
      </c>
      <c r="N6" s="444">
        <v>45959</v>
      </c>
      <c r="O6" s="437" t="s">
        <v>29</v>
      </c>
      <c r="P6" s="437" t="s">
        <v>30</v>
      </c>
      <c r="Q6" s="445" t="str">
        <f>UPPER(P6:P22)</f>
        <v>MANFREDO SAHB CARCUTE</v>
      </c>
      <c r="R6" s="437" t="s">
        <v>265</v>
      </c>
      <c r="S6" s="437" t="str">
        <f>UPPER(R6:R21)</f>
        <v>ULIANA MARIA NICKERSON DO PRADO PERES</v>
      </c>
      <c r="T6" s="437" t="s">
        <v>1013</v>
      </c>
      <c r="U6" s="437" t="s">
        <v>525</v>
      </c>
      <c r="V6" s="437" t="s">
        <v>1014</v>
      </c>
      <c r="W6" s="437"/>
      <c r="X6" s="436"/>
      <c r="Y6" s="443" t="s">
        <v>1673</v>
      </c>
    </row>
    <row r="7" spans="1:25" s="326" customFormat="1" ht="35.1" customHeight="1" x14ac:dyDescent="0.25">
      <c r="A7" s="329">
        <v>4600055284</v>
      </c>
      <c r="B7" s="329" t="s">
        <v>105</v>
      </c>
      <c r="C7" s="329">
        <v>170647</v>
      </c>
      <c r="D7" s="329" t="s">
        <v>1879</v>
      </c>
      <c r="E7" s="329">
        <v>5</v>
      </c>
      <c r="F7" s="358" t="s">
        <v>1585</v>
      </c>
      <c r="G7" s="329" t="s">
        <v>1571</v>
      </c>
      <c r="H7" s="329" t="s">
        <v>710</v>
      </c>
      <c r="I7" s="329" t="s">
        <v>18</v>
      </c>
      <c r="J7" s="358" t="s">
        <v>106</v>
      </c>
      <c r="K7" s="359">
        <v>934923922.88</v>
      </c>
      <c r="L7" s="329" t="s">
        <v>19</v>
      </c>
      <c r="M7" s="373">
        <v>41760</v>
      </c>
      <c r="N7" s="360">
        <v>46053</v>
      </c>
      <c r="O7" s="331" t="s">
        <v>29</v>
      </c>
      <c r="P7" s="331" t="s">
        <v>30</v>
      </c>
      <c r="Q7" s="362" t="str">
        <f>UPPER(P7:P56)</f>
        <v>MANFREDO SAHB CARCUTE</v>
      </c>
      <c r="R7" s="331" t="str">
        <f>UPPER(Q7:Q52)</f>
        <v>MANFREDO SAHB CARCUTE</v>
      </c>
      <c r="S7" s="331" t="s">
        <v>390</v>
      </c>
      <c r="T7" s="331" t="s">
        <v>388</v>
      </c>
      <c r="U7" s="331" t="s">
        <v>389</v>
      </c>
      <c r="V7" s="331" t="s">
        <v>387</v>
      </c>
      <c r="W7" s="331"/>
      <c r="X7" s="330"/>
    </row>
    <row r="8" spans="1:25" s="326" customFormat="1" ht="35.1" customHeight="1" x14ac:dyDescent="0.25">
      <c r="A8" s="329">
        <v>4600055494</v>
      </c>
      <c r="B8" s="329" t="s">
        <v>119</v>
      </c>
      <c r="C8" s="329">
        <v>148663</v>
      </c>
      <c r="D8" s="329" t="s">
        <v>1880</v>
      </c>
      <c r="E8" s="329">
        <v>15</v>
      </c>
      <c r="F8" s="358" t="s">
        <v>1585</v>
      </c>
      <c r="G8" s="329" t="s">
        <v>1571</v>
      </c>
      <c r="H8" s="329" t="s">
        <v>710</v>
      </c>
      <c r="I8" s="329" t="s">
        <v>18</v>
      </c>
      <c r="J8" s="358" t="s">
        <v>120</v>
      </c>
      <c r="K8" s="359">
        <v>58865904.490000002</v>
      </c>
      <c r="L8" s="329" t="s">
        <v>19</v>
      </c>
      <c r="M8" s="374" t="s">
        <v>121</v>
      </c>
      <c r="N8" s="360">
        <v>46142</v>
      </c>
      <c r="O8" s="331" t="s">
        <v>29</v>
      </c>
      <c r="P8" s="331" t="s">
        <v>30</v>
      </c>
      <c r="Q8" s="362" t="str">
        <f>UPPER(P8:P56)</f>
        <v>MANFREDO SAHB CARCUTE</v>
      </c>
      <c r="R8" s="331" t="str">
        <f>UPPER(Q8:Q53)</f>
        <v>MANFREDO SAHB CARCUTE</v>
      </c>
      <c r="S8" s="331"/>
      <c r="T8" s="331" t="s">
        <v>399</v>
      </c>
      <c r="U8" s="331" t="s">
        <v>400</v>
      </c>
      <c r="V8" s="331" t="s">
        <v>398</v>
      </c>
      <c r="W8" s="331"/>
      <c r="X8" s="330"/>
    </row>
    <row r="9" spans="1:25" s="326" customFormat="1" ht="35.1" customHeight="1" x14ac:dyDescent="0.25">
      <c r="A9" s="329">
        <v>4600055938</v>
      </c>
      <c r="B9" s="329" t="s">
        <v>127</v>
      </c>
      <c r="C9" s="329">
        <v>102440</v>
      </c>
      <c r="D9" s="329" t="s">
        <v>1881</v>
      </c>
      <c r="E9" s="329" t="s">
        <v>189</v>
      </c>
      <c r="F9" s="358" t="s">
        <v>1585</v>
      </c>
      <c r="G9" s="329" t="s">
        <v>1571</v>
      </c>
      <c r="H9" s="329" t="s">
        <v>710</v>
      </c>
      <c r="I9" s="329" t="s">
        <v>18</v>
      </c>
      <c r="J9" s="358" t="s">
        <v>128</v>
      </c>
      <c r="K9" s="359">
        <v>2255256949.7199998</v>
      </c>
      <c r="L9" s="329" t="s">
        <v>19</v>
      </c>
      <c r="M9" s="360">
        <v>44805</v>
      </c>
      <c r="N9" s="360">
        <v>46417</v>
      </c>
      <c r="O9" s="331" t="s">
        <v>29</v>
      </c>
      <c r="P9" s="331" t="s">
        <v>30</v>
      </c>
      <c r="Q9" s="362" t="str">
        <f>UPPER(P9:P56)</f>
        <v>MANFREDO SAHB CARCUTE</v>
      </c>
      <c r="R9" s="331" t="str">
        <f>UPPER(Q9:Q54)</f>
        <v>MANFREDO SAHB CARCUTE</v>
      </c>
      <c r="S9" s="331"/>
      <c r="T9" s="331" t="s">
        <v>402</v>
      </c>
      <c r="U9" s="331" t="s">
        <v>403</v>
      </c>
      <c r="V9" s="367" t="s">
        <v>401</v>
      </c>
      <c r="W9" s="331"/>
      <c r="X9" s="330"/>
    </row>
    <row r="10" spans="1:25" s="326" customFormat="1" ht="33.75" customHeight="1" x14ac:dyDescent="0.25">
      <c r="A10" s="329" t="s">
        <v>1598</v>
      </c>
      <c r="B10" s="329" t="s">
        <v>1720</v>
      </c>
      <c r="C10" s="329">
        <v>3036348</v>
      </c>
      <c r="D10" s="329" t="s">
        <v>1879</v>
      </c>
      <c r="E10" s="329">
        <v>60</v>
      </c>
      <c r="F10" s="358" t="s">
        <v>1597</v>
      </c>
      <c r="G10" s="329" t="s">
        <v>1571</v>
      </c>
      <c r="H10" s="329" t="s">
        <v>709</v>
      </c>
      <c r="I10" s="329" t="s">
        <v>18</v>
      </c>
      <c r="J10" s="358" t="s">
        <v>1908</v>
      </c>
      <c r="K10" s="359">
        <v>1377719.88</v>
      </c>
      <c r="L10" s="329" t="s">
        <v>19</v>
      </c>
      <c r="M10" s="360">
        <v>44812</v>
      </c>
      <c r="N10" s="360">
        <v>45778</v>
      </c>
      <c r="O10" s="331" t="s">
        <v>29</v>
      </c>
      <c r="P10" s="331" t="s">
        <v>30</v>
      </c>
      <c r="Q10" s="362" t="str">
        <f>UPPER(P10:P59)</f>
        <v>MANFREDO SAHB CARCUTE</v>
      </c>
      <c r="R10" s="331" t="str">
        <f>UPPER(Q10:Q56)</f>
        <v>MANFREDO SAHB CARCUTE</v>
      </c>
      <c r="S10" s="331" t="s">
        <v>435</v>
      </c>
      <c r="T10" s="331" t="s">
        <v>434</v>
      </c>
      <c r="U10" s="331" t="s">
        <v>308</v>
      </c>
      <c r="V10" s="331" t="s">
        <v>433</v>
      </c>
      <c r="W10" s="331"/>
      <c r="X10" s="330"/>
    </row>
    <row r="11" spans="1:25" s="326" customFormat="1" ht="35.1" customHeight="1" x14ac:dyDescent="0.25">
      <c r="A11" s="331">
        <v>4600057564</v>
      </c>
      <c r="B11" s="331" t="s">
        <v>188</v>
      </c>
      <c r="C11" s="331">
        <v>140124</v>
      </c>
      <c r="D11" s="329" t="s">
        <v>1881</v>
      </c>
      <c r="E11" s="331" t="s">
        <v>189</v>
      </c>
      <c r="F11" s="365" t="s">
        <v>1574</v>
      </c>
      <c r="G11" s="329" t="s">
        <v>1571</v>
      </c>
      <c r="H11" s="329" t="s">
        <v>710</v>
      </c>
      <c r="I11" s="331" t="s">
        <v>18</v>
      </c>
      <c r="J11" s="365" t="s">
        <v>1913</v>
      </c>
      <c r="K11" s="340">
        <v>603435.19999999995</v>
      </c>
      <c r="L11" s="331" t="s">
        <v>19</v>
      </c>
      <c r="M11" s="344">
        <v>45194</v>
      </c>
      <c r="N11" s="360">
        <v>45777</v>
      </c>
      <c r="O11" s="331" t="s">
        <v>29</v>
      </c>
      <c r="P11" s="331" t="s">
        <v>30</v>
      </c>
      <c r="Q11" s="362" t="str">
        <f>UPPER(P11:P64)</f>
        <v>MANFREDO SAHB CARCUTE</v>
      </c>
      <c r="R11" s="331" t="str">
        <f>UPPER(Q11:Q61)</f>
        <v>MANFREDO SAHB CARCUTE</v>
      </c>
      <c r="S11" s="331" t="s">
        <v>464</v>
      </c>
      <c r="T11" s="331" t="s">
        <v>462</v>
      </c>
      <c r="U11" s="331" t="s">
        <v>463</v>
      </c>
      <c r="V11" s="331" t="s">
        <v>461</v>
      </c>
      <c r="W11" s="331"/>
      <c r="X11" s="330"/>
    </row>
    <row r="12" spans="1:25" s="326" customFormat="1" ht="35.1" customHeight="1" x14ac:dyDescent="0.25">
      <c r="A12" s="329">
        <v>4600057549</v>
      </c>
      <c r="B12" s="331" t="s">
        <v>193</v>
      </c>
      <c r="C12" s="331">
        <v>3026695</v>
      </c>
      <c r="D12" s="331" t="s">
        <v>1881</v>
      </c>
      <c r="E12" s="329">
        <v>60</v>
      </c>
      <c r="F12" s="358" t="s">
        <v>1583</v>
      </c>
      <c r="G12" s="329" t="s">
        <v>1571</v>
      </c>
      <c r="H12" s="329" t="s">
        <v>710</v>
      </c>
      <c r="I12" s="331" t="s">
        <v>18</v>
      </c>
      <c r="J12" s="358" t="s">
        <v>194</v>
      </c>
      <c r="K12" s="340">
        <v>2946500.37</v>
      </c>
      <c r="L12" s="329" t="s">
        <v>19</v>
      </c>
      <c r="M12" s="344">
        <v>45231</v>
      </c>
      <c r="N12" s="360">
        <v>45962</v>
      </c>
      <c r="O12" s="331" t="s">
        <v>208</v>
      </c>
      <c r="P12" s="331" t="s">
        <v>876</v>
      </c>
      <c r="Q12" s="362" t="str">
        <f>UPPER(P12:P66)</f>
        <v xml:space="preserve">GLAUBER HENRIQUE DOS SANTOS </v>
      </c>
      <c r="R12" s="331" t="str">
        <f>UPPER(Q12:Q62)</f>
        <v xml:space="preserve">GLAUBER HENRIQUE DOS SANTOS </v>
      </c>
      <c r="S12" s="331" t="s">
        <v>958</v>
      </c>
      <c r="T12" s="331" t="s">
        <v>957</v>
      </c>
      <c r="U12" s="331" t="s">
        <v>308</v>
      </c>
      <c r="V12" s="331" t="s">
        <v>959</v>
      </c>
      <c r="W12" s="331"/>
      <c r="X12" s="330" t="s">
        <v>760</v>
      </c>
    </row>
    <row r="13" spans="1:25" s="326" customFormat="1" ht="35.1" customHeight="1" x14ac:dyDescent="0.25">
      <c r="A13" s="329">
        <v>4600050030</v>
      </c>
      <c r="B13" s="329" t="s">
        <v>1074</v>
      </c>
      <c r="C13" s="329">
        <v>1749801</v>
      </c>
      <c r="D13" s="329" t="s">
        <v>1879</v>
      </c>
      <c r="E13" s="329">
        <v>60</v>
      </c>
      <c r="F13" s="365" t="s">
        <v>1583</v>
      </c>
      <c r="G13" s="329" t="s">
        <v>1571</v>
      </c>
      <c r="H13" s="329" t="s">
        <v>710</v>
      </c>
      <c r="I13" s="331" t="s">
        <v>18</v>
      </c>
      <c r="J13" s="331" t="s">
        <v>1929</v>
      </c>
      <c r="K13" s="340">
        <v>34176</v>
      </c>
      <c r="L13" s="331" t="s">
        <v>19</v>
      </c>
      <c r="M13" s="344">
        <v>45328</v>
      </c>
      <c r="N13" s="360">
        <v>46058</v>
      </c>
      <c r="O13" s="331" t="s">
        <v>208</v>
      </c>
      <c r="P13" s="331" t="s">
        <v>281</v>
      </c>
      <c r="Q13" s="362" t="str">
        <f>UPPER(P13:P82)</f>
        <v>TATIANA MARILDA DA SILVA DE LYRA</v>
      </c>
      <c r="R13" s="331" t="str">
        <f>UPPER(Q13:Q79)</f>
        <v>TATIANA MARILDA DA SILVA DE LYRA</v>
      </c>
      <c r="S13" s="331" t="s">
        <v>594</v>
      </c>
      <c r="T13" s="331" t="s">
        <v>595</v>
      </c>
      <c r="U13" s="331" t="s">
        <v>596</v>
      </c>
      <c r="V13" s="331" t="s">
        <v>597</v>
      </c>
      <c r="W13" s="331"/>
      <c r="X13" s="330"/>
    </row>
    <row r="14" spans="1:25" s="326" customFormat="1" ht="35.1" customHeight="1" x14ac:dyDescent="0.25">
      <c r="A14" s="329" t="s">
        <v>1584</v>
      </c>
      <c r="B14" s="329" t="s">
        <v>598</v>
      </c>
      <c r="C14" s="329">
        <v>129169</v>
      </c>
      <c r="D14" s="329" t="s">
        <v>1879</v>
      </c>
      <c r="E14" s="329">
        <v>60</v>
      </c>
      <c r="F14" s="358" t="s">
        <v>1574</v>
      </c>
      <c r="G14" s="329" t="s">
        <v>1571</v>
      </c>
      <c r="H14" s="329" t="s">
        <v>709</v>
      </c>
      <c r="I14" s="331" t="s">
        <v>18</v>
      </c>
      <c r="J14" s="331" t="s">
        <v>1930</v>
      </c>
      <c r="K14" s="340">
        <v>171925.4</v>
      </c>
      <c r="L14" s="331" t="s">
        <v>19</v>
      </c>
      <c r="M14" s="360">
        <v>45448</v>
      </c>
      <c r="N14" s="360">
        <v>45688</v>
      </c>
      <c r="O14" s="331" t="s">
        <v>22</v>
      </c>
      <c r="P14" s="331" t="s">
        <v>204</v>
      </c>
      <c r="Q14" s="362" t="str">
        <f>UPPER(P14:P83)</f>
        <v>PEDRO ANTONIO PERIASSU</v>
      </c>
      <c r="R14" s="331" t="str">
        <f>UPPER(Q14:Q80)</f>
        <v>PEDRO ANTONIO PERIASSU</v>
      </c>
      <c r="S14" s="331" t="s">
        <v>968</v>
      </c>
      <c r="T14" s="331" t="s">
        <v>970</v>
      </c>
      <c r="U14" s="331"/>
      <c r="V14" s="331" t="s">
        <v>969</v>
      </c>
      <c r="W14" s="331"/>
      <c r="X14" s="330"/>
    </row>
    <row r="15" spans="1:25" s="326" customFormat="1" ht="35.1" customHeight="1" x14ac:dyDescent="0.25">
      <c r="A15" s="329">
        <v>4600051952</v>
      </c>
      <c r="B15" s="329" t="s">
        <v>1070</v>
      </c>
      <c r="C15" s="329">
        <v>101471</v>
      </c>
      <c r="D15" s="329" t="s">
        <v>1879</v>
      </c>
      <c r="E15" s="329">
        <v>60</v>
      </c>
      <c r="F15" s="358" t="s">
        <v>1582</v>
      </c>
      <c r="G15" s="329" t="s">
        <v>1571</v>
      </c>
      <c r="H15" s="329" t="s">
        <v>710</v>
      </c>
      <c r="I15" s="329" t="s">
        <v>18</v>
      </c>
      <c r="J15" s="358" t="s">
        <v>63</v>
      </c>
      <c r="K15" s="359">
        <v>23691151.949999999</v>
      </c>
      <c r="L15" s="329" t="s">
        <v>19</v>
      </c>
      <c r="M15" s="360">
        <v>44927</v>
      </c>
      <c r="N15" s="360">
        <v>46022</v>
      </c>
      <c r="O15" s="331" t="s">
        <v>29</v>
      </c>
      <c r="P15" s="331" t="s">
        <v>30</v>
      </c>
      <c r="Q15" s="362" t="str">
        <f>UPPER(P15:P90)</f>
        <v>MANFREDO SAHB CARCUTE</v>
      </c>
      <c r="R15" s="331" t="str">
        <f>UPPER(Q15:Q86)</f>
        <v>MANFREDO SAHB CARCUTE</v>
      </c>
      <c r="S15" s="331" t="s">
        <v>951</v>
      </c>
      <c r="T15" s="331" t="s">
        <v>952</v>
      </c>
      <c r="U15" s="331"/>
      <c r="V15" s="367" t="s">
        <v>953</v>
      </c>
      <c r="W15" s="331" t="s">
        <v>1612</v>
      </c>
      <c r="X15" s="330"/>
    </row>
    <row r="16" spans="1:25" s="326" customFormat="1" ht="35.1" customHeight="1" x14ac:dyDescent="0.25">
      <c r="A16" s="329">
        <v>4600059872</v>
      </c>
      <c r="B16" s="358" t="s">
        <v>76</v>
      </c>
      <c r="C16" s="329">
        <v>3036329</v>
      </c>
      <c r="D16" s="329" t="s">
        <v>1881</v>
      </c>
      <c r="E16" s="329">
        <v>60</v>
      </c>
      <c r="F16" s="365" t="s">
        <v>1575</v>
      </c>
      <c r="G16" s="329" t="s">
        <v>1575</v>
      </c>
      <c r="H16" s="329" t="s">
        <v>710</v>
      </c>
      <c r="I16" s="329" t="s">
        <v>18</v>
      </c>
      <c r="J16" s="365" t="s">
        <v>1932</v>
      </c>
      <c r="K16" s="359">
        <v>4429203.4800000004</v>
      </c>
      <c r="L16" s="329" t="s">
        <v>19</v>
      </c>
      <c r="M16" s="360">
        <v>44007</v>
      </c>
      <c r="N16" s="360">
        <v>46197</v>
      </c>
      <c r="O16" s="331" t="s">
        <v>29</v>
      </c>
      <c r="P16" s="331" t="s">
        <v>30</v>
      </c>
      <c r="Q16" s="362" t="str">
        <f>UPPER(P16:P90)</f>
        <v>MANFREDO SAHB CARCUTE</v>
      </c>
      <c r="R16" s="331" t="str">
        <f>UPPER(Q16:Q87)</f>
        <v>MANFREDO SAHB CARCUTE</v>
      </c>
      <c r="S16" s="331" t="s">
        <v>360</v>
      </c>
      <c r="T16" s="331" t="s">
        <v>359</v>
      </c>
      <c r="U16" s="331" t="s">
        <v>308</v>
      </c>
      <c r="V16" s="331" t="s">
        <v>358</v>
      </c>
      <c r="W16" s="331"/>
      <c r="X16" s="330"/>
    </row>
    <row r="17" spans="1:16379" s="326" customFormat="1" ht="35.1" customHeight="1" x14ac:dyDescent="0.25">
      <c r="A17" s="329">
        <v>4600057804</v>
      </c>
      <c r="B17" s="329" t="s">
        <v>716</v>
      </c>
      <c r="C17" s="329">
        <v>3000082</v>
      </c>
      <c r="D17" s="329" t="s">
        <v>1879</v>
      </c>
      <c r="E17" s="329">
        <v>60</v>
      </c>
      <c r="F17" s="365" t="s">
        <v>1574</v>
      </c>
      <c r="G17" s="329" t="s">
        <v>1571</v>
      </c>
      <c r="H17" s="329" t="s">
        <v>710</v>
      </c>
      <c r="I17" s="331" t="s">
        <v>18</v>
      </c>
      <c r="J17" s="331" t="s">
        <v>1937</v>
      </c>
      <c r="K17" s="340">
        <v>11640000</v>
      </c>
      <c r="L17" s="331" t="s">
        <v>19</v>
      </c>
      <c r="M17" s="360">
        <v>45274</v>
      </c>
      <c r="N17" s="360">
        <v>46446</v>
      </c>
      <c r="O17" s="331" t="s">
        <v>22</v>
      </c>
      <c r="P17" s="331" t="s">
        <v>204</v>
      </c>
      <c r="Q17" s="362" t="str">
        <f>UPPER(P17:P98)</f>
        <v>PEDRO ANTONIO PERIASSU</v>
      </c>
      <c r="R17" s="331" t="str">
        <f>UPPER(Q17:Q94)</f>
        <v>PEDRO ANTONIO PERIASSU</v>
      </c>
      <c r="S17" s="331"/>
      <c r="T17" s="331"/>
      <c r="U17" s="331"/>
      <c r="V17" s="331"/>
      <c r="W17" s="331"/>
      <c r="X17" s="330"/>
    </row>
    <row r="18" spans="1:16379" s="326" customFormat="1" ht="35.1" customHeight="1" x14ac:dyDescent="0.25">
      <c r="A18" s="329">
        <v>4600055563</v>
      </c>
      <c r="B18" s="329" t="s">
        <v>721</v>
      </c>
      <c r="C18" s="329">
        <v>103474</v>
      </c>
      <c r="D18" s="329" t="s">
        <v>1879</v>
      </c>
      <c r="E18" s="329">
        <v>30</v>
      </c>
      <c r="F18" s="365" t="s">
        <v>1583</v>
      </c>
      <c r="G18" s="329" t="s">
        <v>1571</v>
      </c>
      <c r="H18" s="329" t="s">
        <v>710</v>
      </c>
      <c r="I18" s="331" t="s">
        <v>18</v>
      </c>
      <c r="J18" s="331" t="s">
        <v>1940</v>
      </c>
      <c r="K18" s="340">
        <v>12005852.529999999</v>
      </c>
      <c r="L18" s="331" t="s">
        <v>19</v>
      </c>
      <c r="M18" s="344">
        <v>44712</v>
      </c>
      <c r="N18" s="360">
        <v>45807</v>
      </c>
      <c r="O18" s="331" t="s">
        <v>234</v>
      </c>
      <c r="P18" s="331" t="s">
        <v>126</v>
      </c>
      <c r="Q18" s="362" t="str">
        <f>UPPER(P18:P101)</f>
        <v>REILLA MARIA DE SOUZA</v>
      </c>
      <c r="R18" s="331" t="str">
        <f>UPPER(Q18:Q97)</f>
        <v>REILLA MARIA DE SOUZA</v>
      </c>
      <c r="S18" s="331"/>
      <c r="T18" s="331"/>
      <c r="U18" s="331"/>
      <c r="V18" s="331"/>
      <c r="W18" s="331"/>
      <c r="X18" s="330"/>
    </row>
    <row r="19" spans="1:16379" s="326" customFormat="1" ht="35.1" customHeight="1" x14ac:dyDescent="0.25">
      <c r="A19" s="435" t="s">
        <v>1607</v>
      </c>
      <c r="B19" s="448" t="s">
        <v>981</v>
      </c>
      <c r="C19" s="435">
        <v>3045756</v>
      </c>
      <c r="D19" s="435" t="s">
        <v>567</v>
      </c>
      <c r="E19" s="435">
        <v>30</v>
      </c>
      <c r="F19" s="447" t="s">
        <v>1583</v>
      </c>
      <c r="G19" s="435" t="s">
        <v>1571</v>
      </c>
      <c r="H19" s="447" t="s">
        <v>1948</v>
      </c>
      <c r="I19" s="444">
        <v>46080</v>
      </c>
      <c r="J19" s="437" t="s">
        <v>115</v>
      </c>
      <c r="K19" s="437" t="s">
        <v>116</v>
      </c>
      <c r="L19" s="445" t="s">
        <v>116</v>
      </c>
      <c r="M19" s="437" t="s">
        <v>263</v>
      </c>
      <c r="N19" s="437" t="s">
        <v>263</v>
      </c>
      <c r="O19" s="437"/>
      <c r="P19" s="437"/>
      <c r="Q19" s="437"/>
      <c r="R19" s="437"/>
      <c r="S19" s="436"/>
      <c r="T19" s="443"/>
      <c r="U19" s="433"/>
      <c r="V19" s="433"/>
      <c r="W19" s="433"/>
      <c r="X19" s="433"/>
      <c r="Y19" s="433"/>
      <c r="Z19" s="433"/>
      <c r="AA19" s="433"/>
      <c r="AB19" s="433"/>
      <c r="AC19" s="433"/>
      <c r="AD19" s="433"/>
      <c r="AE19" s="433"/>
      <c r="AF19" s="433"/>
      <c r="AG19" s="433"/>
      <c r="AH19" s="433"/>
      <c r="AI19" s="433"/>
      <c r="AJ19" s="433"/>
      <c r="AK19" s="433"/>
      <c r="AL19" s="433"/>
      <c r="AM19" s="433"/>
      <c r="AN19" s="433"/>
      <c r="AO19" s="433"/>
      <c r="AP19" s="433"/>
      <c r="AQ19" s="433"/>
      <c r="AR19" s="433"/>
      <c r="AS19" s="433"/>
      <c r="AT19" s="433"/>
      <c r="AU19" s="433"/>
      <c r="AV19" s="433"/>
      <c r="AW19" s="433"/>
      <c r="AX19" s="433"/>
      <c r="AY19" s="433"/>
      <c r="AZ19" s="433"/>
      <c r="BA19" s="433"/>
      <c r="BB19" s="433"/>
      <c r="BC19" s="433"/>
      <c r="BD19" s="433"/>
      <c r="BE19" s="433"/>
      <c r="BF19" s="433"/>
      <c r="BG19" s="433"/>
      <c r="BH19" s="433"/>
      <c r="BI19" s="433"/>
      <c r="BJ19" s="433"/>
      <c r="BK19" s="433"/>
      <c r="BL19" s="433"/>
      <c r="BM19" s="433"/>
      <c r="BN19" s="433"/>
      <c r="BO19" s="433"/>
      <c r="BP19" s="433"/>
      <c r="BQ19" s="433"/>
      <c r="BR19" s="433"/>
      <c r="BS19" s="433"/>
      <c r="BT19" s="433"/>
      <c r="BU19" s="433"/>
      <c r="BV19" s="433"/>
      <c r="BW19" s="433"/>
      <c r="BX19" s="433"/>
      <c r="BY19" s="433"/>
      <c r="BZ19" s="433"/>
      <c r="CA19" s="433"/>
      <c r="CB19" s="433"/>
      <c r="CC19" s="433"/>
      <c r="CD19" s="433"/>
      <c r="CE19" s="433"/>
      <c r="CF19" s="433"/>
      <c r="CG19" s="433"/>
      <c r="CH19" s="433"/>
      <c r="CI19" s="433"/>
      <c r="CJ19" s="433"/>
      <c r="CK19" s="433"/>
      <c r="CL19" s="433"/>
      <c r="CM19" s="433"/>
      <c r="CN19" s="433"/>
      <c r="CO19" s="433"/>
      <c r="CP19" s="433"/>
      <c r="CQ19" s="433"/>
      <c r="CR19" s="433"/>
      <c r="CS19" s="433"/>
      <c r="CT19" s="433"/>
      <c r="CU19" s="433"/>
      <c r="CV19" s="433"/>
      <c r="CW19" s="433"/>
      <c r="CX19" s="433"/>
      <c r="CY19" s="433"/>
      <c r="CZ19" s="433"/>
      <c r="DA19" s="433"/>
      <c r="DB19" s="433"/>
      <c r="DC19" s="433"/>
      <c r="DD19" s="433"/>
      <c r="DE19" s="433"/>
      <c r="DF19" s="433"/>
      <c r="DG19" s="433"/>
      <c r="DH19" s="433"/>
      <c r="DI19" s="433"/>
      <c r="DJ19" s="433"/>
      <c r="DK19" s="433"/>
      <c r="DL19" s="433"/>
      <c r="DM19" s="433"/>
      <c r="DN19" s="433"/>
      <c r="DO19" s="433"/>
      <c r="DP19" s="433"/>
      <c r="DQ19" s="433"/>
      <c r="DR19" s="433"/>
      <c r="DS19" s="433"/>
      <c r="DT19" s="433"/>
      <c r="DU19" s="433"/>
      <c r="DV19" s="433"/>
      <c r="DW19" s="433"/>
      <c r="DX19" s="433"/>
      <c r="DY19" s="433"/>
      <c r="DZ19" s="433"/>
      <c r="EA19" s="433"/>
      <c r="EB19" s="433"/>
      <c r="EC19" s="433"/>
      <c r="ED19" s="433"/>
      <c r="EE19" s="433"/>
      <c r="EF19" s="433"/>
      <c r="EG19" s="433"/>
      <c r="EH19" s="433"/>
      <c r="EI19" s="433"/>
      <c r="EJ19" s="433"/>
      <c r="EK19" s="433"/>
      <c r="EL19" s="433"/>
      <c r="EM19" s="433"/>
      <c r="EN19" s="433"/>
      <c r="EO19" s="433"/>
      <c r="EP19" s="433"/>
      <c r="EQ19" s="433"/>
      <c r="ER19" s="433"/>
      <c r="ES19" s="433"/>
      <c r="ET19" s="433"/>
      <c r="EU19" s="433"/>
      <c r="EV19" s="433"/>
      <c r="EW19" s="433"/>
      <c r="EX19" s="433"/>
      <c r="EY19" s="433"/>
      <c r="EZ19" s="433"/>
      <c r="FA19" s="433"/>
      <c r="FB19" s="433"/>
      <c r="FC19" s="433"/>
      <c r="FD19" s="433"/>
      <c r="FE19" s="433"/>
      <c r="FF19" s="433"/>
      <c r="FG19" s="433"/>
      <c r="FH19" s="433"/>
      <c r="FI19" s="433"/>
      <c r="FJ19" s="433"/>
      <c r="FK19" s="433"/>
      <c r="FL19" s="433"/>
      <c r="FM19" s="433"/>
      <c r="FN19" s="433"/>
      <c r="FO19" s="433"/>
      <c r="FP19" s="433"/>
      <c r="FQ19" s="433"/>
      <c r="FR19" s="433"/>
      <c r="FS19" s="433"/>
      <c r="FT19" s="433"/>
      <c r="FU19" s="433"/>
      <c r="FV19" s="433"/>
      <c r="FW19" s="433"/>
      <c r="FX19" s="433"/>
      <c r="FY19" s="433"/>
      <c r="FZ19" s="433"/>
      <c r="GA19" s="433"/>
      <c r="GB19" s="433"/>
      <c r="GC19" s="433"/>
      <c r="GD19" s="433"/>
      <c r="GE19" s="433"/>
      <c r="GF19" s="433"/>
      <c r="GG19" s="433"/>
      <c r="GH19" s="433"/>
      <c r="GI19" s="433"/>
      <c r="GJ19" s="433"/>
      <c r="GK19" s="433"/>
      <c r="GL19" s="433"/>
      <c r="GM19" s="433"/>
      <c r="GN19" s="433"/>
      <c r="GO19" s="433"/>
      <c r="GP19" s="433"/>
      <c r="GQ19" s="433"/>
      <c r="GR19" s="433"/>
      <c r="GS19" s="433"/>
      <c r="GT19" s="433"/>
      <c r="GU19" s="433"/>
      <c r="GV19" s="433"/>
      <c r="GW19" s="433"/>
      <c r="GX19" s="433"/>
      <c r="GY19" s="433"/>
      <c r="GZ19" s="433"/>
      <c r="HA19" s="433"/>
      <c r="HB19" s="433"/>
      <c r="HC19" s="433"/>
      <c r="HD19" s="433"/>
      <c r="HE19" s="433"/>
      <c r="HF19" s="433"/>
      <c r="HG19" s="433"/>
      <c r="HH19" s="433"/>
      <c r="HI19" s="433"/>
      <c r="HJ19" s="433"/>
      <c r="HK19" s="433"/>
      <c r="HL19" s="433"/>
      <c r="HM19" s="433"/>
      <c r="HN19" s="433"/>
      <c r="HO19" s="433"/>
      <c r="HP19" s="433"/>
      <c r="HQ19" s="433"/>
      <c r="HR19" s="433"/>
      <c r="HS19" s="433"/>
      <c r="HT19" s="433"/>
      <c r="HU19" s="433"/>
      <c r="HV19" s="433"/>
      <c r="HW19" s="433"/>
      <c r="HX19" s="433"/>
      <c r="HY19" s="433"/>
      <c r="HZ19" s="433"/>
      <c r="IA19" s="433"/>
      <c r="IB19" s="433"/>
      <c r="IC19" s="433"/>
      <c r="ID19" s="433"/>
      <c r="IE19" s="433"/>
      <c r="IF19" s="433"/>
      <c r="IG19" s="433"/>
      <c r="IH19" s="433"/>
      <c r="II19" s="433"/>
      <c r="IJ19" s="433"/>
      <c r="IK19" s="433"/>
      <c r="IL19" s="433"/>
      <c r="IM19" s="433"/>
      <c r="IN19" s="433"/>
      <c r="IO19" s="433"/>
      <c r="IP19" s="433"/>
      <c r="IQ19" s="433"/>
      <c r="IR19" s="433"/>
      <c r="IS19" s="433"/>
      <c r="IT19" s="433"/>
      <c r="IU19" s="433"/>
      <c r="IV19" s="433"/>
      <c r="IW19" s="433"/>
      <c r="IX19" s="433"/>
      <c r="IY19" s="433"/>
      <c r="IZ19" s="433"/>
      <c r="JA19" s="433"/>
      <c r="JB19" s="433"/>
      <c r="JC19" s="433"/>
      <c r="JD19" s="433"/>
      <c r="JE19" s="433"/>
      <c r="JF19" s="433"/>
      <c r="JG19" s="433"/>
      <c r="JH19" s="433"/>
      <c r="JI19" s="433"/>
      <c r="JJ19" s="433"/>
      <c r="JK19" s="433"/>
      <c r="JL19" s="433"/>
      <c r="JM19" s="433"/>
      <c r="JN19" s="433"/>
      <c r="JO19" s="433"/>
      <c r="JP19" s="433"/>
      <c r="JQ19" s="433"/>
      <c r="JR19" s="433"/>
      <c r="JS19" s="433"/>
      <c r="JT19" s="433"/>
      <c r="JU19" s="433"/>
      <c r="JV19" s="433"/>
      <c r="JW19" s="433"/>
      <c r="JX19" s="433"/>
      <c r="JY19" s="433"/>
      <c r="JZ19" s="433"/>
      <c r="KA19" s="433"/>
      <c r="KB19" s="433"/>
      <c r="KC19" s="433"/>
      <c r="KD19" s="433"/>
      <c r="KE19" s="433"/>
      <c r="KF19" s="433"/>
      <c r="KG19" s="433"/>
      <c r="KH19" s="433"/>
      <c r="KI19" s="433"/>
      <c r="KJ19" s="433"/>
      <c r="KK19" s="433"/>
      <c r="KL19" s="433"/>
      <c r="KM19" s="433"/>
      <c r="KN19" s="433"/>
      <c r="KO19" s="433"/>
      <c r="KP19" s="433"/>
      <c r="KQ19" s="433"/>
      <c r="KR19" s="433"/>
      <c r="KS19" s="433"/>
      <c r="KT19" s="433"/>
      <c r="KU19" s="433"/>
      <c r="KV19" s="433"/>
      <c r="KW19" s="433"/>
      <c r="KX19" s="433"/>
      <c r="KY19" s="433"/>
      <c r="KZ19" s="433"/>
      <c r="LA19" s="433"/>
      <c r="LB19" s="433"/>
      <c r="LC19" s="433"/>
      <c r="LD19" s="433"/>
      <c r="LE19" s="433"/>
      <c r="LF19" s="433"/>
      <c r="LG19" s="433"/>
      <c r="LH19" s="433"/>
      <c r="LI19" s="433"/>
      <c r="LJ19" s="433"/>
      <c r="LK19" s="433"/>
      <c r="LL19" s="433"/>
      <c r="LM19" s="433"/>
      <c r="LN19" s="433"/>
      <c r="LO19" s="433"/>
      <c r="LP19" s="433"/>
      <c r="LQ19" s="433"/>
      <c r="LR19" s="433"/>
      <c r="LS19" s="433"/>
      <c r="LT19" s="433"/>
      <c r="LU19" s="433"/>
      <c r="LV19" s="433"/>
      <c r="LW19" s="433"/>
      <c r="LX19" s="433"/>
      <c r="LY19" s="433"/>
      <c r="LZ19" s="433"/>
      <c r="MA19" s="433"/>
      <c r="MB19" s="433"/>
      <c r="MC19" s="433"/>
      <c r="MD19" s="433"/>
      <c r="ME19" s="433"/>
      <c r="MF19" s="433"/>
      <c r="MG19" s="433"/>
      <c r="MH19" s="433"/>
      <c r="MI19" s="433"/>
      <c r="MJ19" s="433"/>
      <c r="MK19" s="433"/>
      <c r="ML19" s="433"/>
      <c r="MM19" s="433"/>
      <c r="MN19" s="433"/>
      <c r="MO19" s="433"/>
      <c r="MP19" s="433"/>
      <c r="MQ19" s="433"/>
      <c r="MR19" s="433"/>
      <c r="MS19" s="433"/>
      <c r="MT19" s="433"/>
      <c r="MU19" s="433"/>
      <c r="MV19" s="433"/>
      <c r="MW19" s="433"/>
      <c r="MX19" s="433"/>
      <c r="MY19" s="433"/>
      <c r="MZ19" s="433"/>
      <c r="NA19" s="433"/>
      <c r="NB19" s="433"/>
      <c r="NC19" s="433"/>
      <c r="ND19" s="433"/>
      <c r="NE19" s="433"/>
      <c r="NF19" s="433"/>
      <c r="NG19" s="433"/>
      <c r="NH19" s="433"/>
      <c r="NI19" s="433"/>
      <c r="NJ19" s="433"/>
      <c r="NK19" s="433"/>
      <c r="NL19" s="433"/>
      <c r="NM19" s="433"/>
      <c r="NN19" s="433"/>
      <c r="NO19" s="433"/>
      <c r="NP19" s="433"/>
      <c r="NQ19" s="433"/>
      <c r="NR19" s="433"/>
      <c r="NS19" s="433"/>
      <c r="NT19" s="433"/>
      <c r="NU19" s="433"/>
      <c r="NV19" s="433"/>
      <c r="NW19" s="433"/>
      <c r="NX19" s="433"/>
      <c r="NY19" s="433"/>
      <c r="NZ19" s="433"/>
      <c r="OA19" s="433"/>
      <c r="OB19" s="433"/>
      <c r="OC19" s="433"/>
      <c r="OD19" s="433"/>
      <c r="OE19" s="433"/>
      <c r="OF19" s="433"/>
      <c r="OG19" s="433"/>
      <c r="OH19" s="433"/>
      <c r="OI19" s="433"/>
      <c r="OJ19" s="433"/>
      <c r="OK19" s="433"/>
      <c r="OL19" s="433"/>
      <c r="OM19" s="433"/>
      <c r="ON19" s="433"/>
      <c r="OO19" s="433"/>
      <c r="OP19" s="433"/>
      <c r="OQ19" s="433"/>
      <c r="OR19" s="433"/>
      <c r="OS19" s="433"/>
      <c r="OT19" s="433"/>
      <c r="OU19" s="433"/>
      <c r="OV19" s="433"/>
      <c r="OW19" s="433"/>
      <c r="OX19" s="433"/>
      <c r="OY19" s="433"/>
      <c r="OZ19" s="433"/>
      <c r="PA19" s="433"/>
      <c r="PB19" s="433"/>
      <c r="PC19" s="433"/>
      <c r="PD19" s="433"/>
      <c r="PE19" s="433"/>
      <c r="PF19" s="433"/>
      <c r="PG19" s="433"/>
      <c r="PH19" s="433"/>
      <c r="PI19" s="433"/>
      <c r="PJ19" s="433"/>
      <c r="PK19" s="433"/>
      <c r="PL19" s="433"/>
      <c r="PM19" s="433"/>
      <c r="PN19" s="433"/>
      <c r="PO19" s="433"/>
      <c r="PP19" s="433"/>
      <c r="PQ19" s="433"/>
      <c r="PR19" s="433"/>
      <c r="PS19" s="433"/>
      <c r="PT19" s="433"/>
      <c r="PU19" s="433"/>
      <c r="PV19" s="433"/>
      <c r="PW19" s="433"/>
      <c r="PX19" s="433"/>
      <c r="PY19" s="433"/>
      <c r="PZ19" s="433"/>
      <c r="QA19" s="433"/>
      <c r="QB19" s="433"/>
      <c r="QC19" s="433"/>
      <c r="QD19" s="433"/>
      <c r="QE19" s="433"/>
      <c r="QF19" s="433"/>
      <c r="QG19" s="433"/>
      <c r="QH19" s="433"/>
      <c r="QI19" s="433"/>
      <c r="QJ19" s="433"/>
      <c r="QK19" s="433"/>
      <c r="QL19" s="433"/>
      <c r="QM19" s="433"/>
      <c r="QN19" s="433"/>
      <c r="QO19" s="433"/>
      <c r="QP19" s="433"/>
      <c r="QQ19" s="433"/>
      <c r="QR19" s="433"/>
      <c r="QS19" s="433"/>
      <c r="QT19" s="433"/>
      <c r="QU19" s="433"/>
      <c r="QV19" s="433"/>
      <c r="QW19" s="433"/>
      <c r="QX19" s="433"/>
      <c r="QY19" s="433"/>
      <c r="QZ19" s="433"/>
      <c r="RA19" s="433"/>
      <c r="RB19" s="433"/>
      <c r="RC19" s="433"/>
      <c r="RD19" s="433"/>
      <c r="RE19" s="433"/>
      <c r="RF19" s="433"/>
      <c r="RG19" s="433"/>
      <c r="RH19" s="433"/>
      <c r="RI19" s="433"/>
      <c r="RJ19" s="433"/>
      <c r="RK19" s="433"/>
      <c r="RL19" s="433"/>
      <c r="RM19" s="433"/>
      <c r="RN19" s="433"/>
      <c r="RO19" s="433"/>
      <c r="RP19" s="433"/>
      <c r="RQ19" s="433"/>
      <c r="RR19" s="433"/>
      <c r="RS19" s="433"/>
      <c r="RT19" s="433"/>
      <c r="RU19" s="433"/>
      <c r="RV19" s="433"/>
      <c r="RW19" s="433"/>
      <c r="RX19" s="433"/>
      <c r="RY19" s="433"/>
      <c r="RZ19" s="433"/>
      <c r="SA19" s="433"/>
      <c r="SB19" s="433"/>
      <c r="SC19" s="433"/>
      <c r="SD19" s="433"/>
      <c r="SE19" s="433"/>
      <c r="SF19" s="433"/>
      <c r="SG19" s="433"/>
      <c r="SH19" s="433"/>
      <c r="SI19" s="433"/>
      <c r="SJ19" s="433"/>
      <c r="SK19" s="433"/>
      <c r="SL19" s="433"/>
      <c r="SM19" s="433"/>
      <c r="SN19" s="433"/>
      <c r="SO19" s="433"/>
      <c r="SP19" s="433"/>
      <c r="SQ19" s="433"/>
      <c r="SR19" s="433"/>
      <c r="SS19" s="433"/>
      <c r="ST19" s="433"/>
      <c r="SU19" s="433"/>
      <c r="SV19" s="433"/>
      <c r="SW19" s="433"/>
      <c r="SX19" s="433"/>
      <c r="SY19" s="433"/>
      <c r="SZ19" s="433"/>
      <c r="TA19" s="433"/>
      <c r="TB19" s="433"/>
      <c r="TC19" s="433"/>
      <c r="TD19" s="433"/>
      <c r="TE19" s="433"/>
      <c r="TF19" s="433"/>
      <c r="TG19" s="433"/>
      <c r="TH19" s="433"/>
      <c r="TI19" s="433"/>
      <c r="TJ19" s="433"/>
      <c r="TK19" s="433"/>
      <c r="TL19" s="433"/>
      <c r="TM19" s="433"/>
      <c r="TN19" s="433"/>
      <c r="TO19" s="433"/>
      <c r="TP19" s="433"/>
      <c r="TQ19" s="433"/>
      <c r="TR19" s="433"/>
      <c r="TS19" s="433"/>
      <c r="TT19" s="433"/>
      <c r="TU19" s="433"/>
      <c r="TV19" s="433"/>
      <c r="TW19" s="433"/>
      <c r="TX19" s="433"/>
      <c r="TY19" s="433"/>
      <c r="TZ19" s="433"/>
      <c r="UA19" s="433"/>
      <c r="UB19" s="433"/>
      <c r="UC19" s="433"/>
      <c r="UD19" s="433"/>
      <c r="UE19" s="433"/>
      <c r="UF19" s="433"/>
      <c r="UG19" s="433"/>
      <c r="UH19" s="433"/>
      <c r="UI19" s="433"/>
      <c r="UJ19" s="433"/>
      <c r="UK19" s="433"/>
      <c r="UL19" s="433"/>
      <c r="UM19" s="433"/>
      <c r="UN19" s="433"/>
      <c r="UO19" s="433"/>
      <c r="UP19" s="433"/>
      <c r="UQ19" s="433"/>
      <c r="UR19" s="433"/>
      <c r="US19" s="433"/>
      <c r="UT19" s="433"/>
      <c r="UU19" s="433"/>
      <c r="UV19" s="433"/>
      <c r="UW19" s="433"/>
      <c r="UX19" s="433"/>
      <c r="UY19" s="433"/>
      <c r="UZ19" s="433"/>
      <c r="VA19" s="433"/>
      <c r="VB19" s="433"/>
      <c r="VC19" s="433"/>
      <c r="VD19" s="433"/>
      <c r="VE19" s="433"/>
      <c r="VF19" s="433"/>
      <c r="VG19" s="433"/>
      <c r="VH19" s="433"/>
      <c r="VI19" s="433"/>
      <c r="VJ19" s="433"/>
      <c r="VK19" s="433"/>
      <c r="VL19" s="433"/>
      <c r="VM19" s="433"/>
      <c r="VN19" s="433"/>
      <c r="VO19" s="433"/>
      <c r="VP19" s="433"/>
      <c r="VQ19" s="433"/>
      <c r="VR19" s="433"/>
      <c r="VS19" s="433"/>
      <c r="VT19" s="433"/>
      <c r="VU19" s="433"/>
      <c r="VV19" s="433"/>
      <c r="VW19" s="433"/>
      <c r="VX19" s="433"/>
      <c r="VY19" s="433"/>
      <c r="VZ19" s="433"/>
      <c r="WA19" s="433"/>
      <c r="WB19" s="433"/>
      <c r="WC19" s="433"/>
      <c r="WD19" s="433"/>
      <c r="WE19" s="433"/>
      <c r="WF19" s="433"/>
      <c r="WG19" s="433"/>
      <c r="WH19" s="433"/>
      <c r="WI19" s="433"/>
      <c r="WJ19" s="433"/>
      <c r="WK19" s="433"/>
      <c r="WL19" s="433"/>
      <c r="WM19" s="433"/>
      <c r="WN19" s="433"/>
      <c r="WO19" s="433"/>
      <c r="WP19" s="433"/>
      <c r="WQ19" s="433"/>
      <c r="WR19" s="433"/>
      <c r="WS19" s="433"/>
      <c r="WT19" s="433"/>
      <c r="WU19" s="433"/>
      <c r="WV19" s="433"/>
      <c r="WW19" s="433"/>
      <c r="WX19" s="433"/>
      <c r="WY19" s="433"/>
      <c r="WZ19" s="433"/>
      <c r="XA19" s="433"/>
      <c r="XB19" s="433"/>
      <c r="XC19" s="433"/>
      <c r="XD19" s="433"/>
      <c r="XE19" s="433"/>
      <c r="XF19" s="433"/>
      <c r="XG19" s="433"/>
      <c r="XH19" s="433"/>
      <c r="XI19" s="433"/>
      <c r="XJ19" s="433"/>
      <c r="XK19" s="433"/>
      <c r="XL19" s="433"/>
      <c r="XM19" s="433"/>
      <c r="XN19" s="433"/>
      <c r="XO19" s="433"/>
      <c r="XP19" s="433"/>
      <c r="XQ19" s="433"/>
      <c r="XR19" s="433"/>
      <c r="XS19" s="433"/>
      <c r="XT19" s="433"/>
      <c r="XU19" s="433"/>
      <c r="XV19" s="433"/>
      <c r="XW19" s="433"/>
      <c r="XX19" s="433"/>
      <c r="XY19" s="433"/>
      <c r="XZ19" s="433"/>
      <c r="YA19" s="433"/>
      <c r="YB19" s="433"/>
      <c r="YC19" s="433"/>
      <c r="YD19" s="433"/>
      <c r="YE19" s="433"/>
      <c r="YF19" s="433"/>
      <c r="YG19" s="433"/>
      <c r="YH19" s="433"/>
      <c r="YI19" s="433"/>
      <c r="YJ19" s="433"/>
      <c r="YK19" s="433"/>
      <c r="YL19" s="433"/>
      <c r="YM19" s="433"/>
      <c r="YN19" s="433"/>
      <c r="YO19" s="433"/>
      <c r="YP19" s="433"/>
      <c r="YQ19" s="433"/>
      <c r="YR19" s="433"/>
      <c r="YS19" s="433"/>
      <c r="YT19" s="433"/>
      <c r="YU19" s="433"/>
      <c r="YV19" s="433"/>
      <c r="YW19" s="433"/>
      <c r="YX19" s="433"/>
      <c r="YY19" s="433"/>
      <c r="YZ19" s="433"/>
      <c r="ZA19" s="433"/>
      <c r="ZB19" s="433"/>
      <c r="ZC19" s="433"/>
      <c r="ZD19" s="433"/>
      <c r="ZE19" s="433"/>
      <c r="ZF19" s="433"/>
      <c r="ZG19" s="433"/>
      <c r="ZH19" s="433"/>
      <c r="ZI19" s="433"/>
      <c r="ZJ19" s="433"/>
      <c r="ZK19" s="433"/>
      <c r="ZL19" s="433"/>
      <c r="ZM19" s="433"/>
      <c r="ZN19" s="433"/>
      <c r="ZO19" s="433"/>
      <c r="ZP19" s="433"/>
      <c r="ZQ19" s="433"/>
      <c r="ZR19" s="433"/>
      <c r="ZS19" s="433"/>
      <c r="ZT19" s="433"/>
      <c r="ZU19" s="433"/>
      <c r="ZV19" s="433"/>
      <c r="ZW19" s="433"/>
      <c r="ZX19" s="433"/>
      <c r="ZY19" s="433"/>
      <c r="ZZ19" s="433"/>
      <c r="AAA19" s="433"/>
      <c r="AAB19" s="433"/>
      <c r="AAC19" s="433"/>
      <c r="AAD19" s="433"/>
      <c r="AAE19" s="433"/>
      <c r="AAF19" s="433"/>
      <c r="AAG19" s="433"/>
      <c r="AAH19" s="433"/>
      <c r="AAI19" s="433"/>
      <c r="AAJ19" s="433"/>
      <c r="AAK19" s="433"/>
      <c r="AAL19" s="433"/>
      <c r="AAM19" s="433"/>
      <c r="AAN19" s="433"/>
      <c r="AAO19" s="433"/>
      <c r="AAP19" s="433"/>
      <c r="AAQ19" s="433"/>
      <c r="AAR19" s="433"/>
      <c r="AAS19" s="433"/>
      <c r="AAT19" s="433"/>
      <c r="AAU19" s="433"/>
      <c r="AAV19" s="433"/>
      <c r="AAW19" s="433"/>
      <c r="AAX19" s="433"/>
      <c r="AAY19" s="433"/>
      <c r="AAZ19" s="433"/>
      <c r="ABA19" s="433"/>
      <c r="ABB19" s="433"/>
      <c r="ABC19" s="433"/>
      <c r="ABD19" s="433"/>
      <c r="ABE19" s="433"/>
      <c r="ABF19" s="433"/>
      <c r="ABG19" s="433"/>
      <c r="ABH19" s="433"/>
      <c r="ABI19" s="433"/>
      <c r="ABJ19" s="433"/>
      <c r="ABK19" s="433"/>
      <c r="ABL19" s="433"/>
      <c r="ABM19" s="433"/>
      <c r="ABN19" s="433"/>
      <c r="ABO19" s="433"/>
      <c r="ABP19" s="433"/>
      <c r="ABQ19" s="433"/>
      <c r="ABR19" s="433"/>
      <c r="ABS19" s="433"/>
      <c r="ABT19" s="433"/>
      <c r="ABU19" s="433"/>
      <c r="ABV19" s="433"/>
      <c r="ABW19" s="433"/>
      <c r="ABX19" s="433"/>
      <c r="ABY19" s="433"/>
      <c r="ABZ19" s="433"/>
      <c r="ACA19" s="433"/>
      <c r="ACB19" s="433"/>
      <c r="ACC19" s="433"/>
      <c r="ACD19" s="433"/>
      <c r="ACE19" s="433"/>
      <c r="ACF19" s="433"/>
      <c r="ACG19" s="433"/>
      <c r="ACH19" s="433"/>
      <c r="ACI19" s="433"/>
      <c r="ACJ19" s="433"/>
      <c r="ACK19" s="433"/>
      <c r="ACL19" s="433"/>
      <c r="ACM19" s="433"/>
      <c r="ACN19" s="433"/>
      <c r="ACO19" s="433"/>
      <c r="ACP19" s="433"/>
      <c r="ACQ19" s="433"/>
      <c r="ACR19" s="433"/>
      <c r="ACS19" s="433"/>
      <c r="ACT19" s="433"/>
      <c r="ACU19" s="433"/>
      <c r="ACV19" s="433"/>
      <c r="ACW19" s="433"/>
      <c r="ACX19" s="433"/>
      <c r="ACY19" s="433"/>
      <c r="ACZ19" s="433"/>
      <c r="ADA19" s="433"/>
      <c r="ADB19" s="433"/>
      <c r="ADC19" s="433"/>
      <c r="ADD19" s="433"/>
      <c r="ADE19" s="433"/>
      <c r="ADF19" s="433"/>
      <c r="ADG19" s="433"/>
      <c r="ADH19" s="433"/>
      <c r="ADI19" s="433"/>
      <c r="ADJ19" s="433"/>
      <c r="ADK19" s="433"/>
      <c r="ADL19" s="433"/>
      <c r="ADM19" s="433"/>
      <c r="ADN19" s="433"/>
      <c r="ADO19" s="433"/>
      <c r="ADP19" s="433"/>
      <c r="ADQ19" s="433"/>
      <c r="ADR19" s="433"/>
      <c r="ADS19" s="433"/>
      <c r="ADT19" s="433"/>
      <c r="ADU19" s="433"/>
      <c r="ADV19" s="433"/>
      <c r="ADW19" s="433"/>
      <c r="ADX19" s="433"/>
      <c r="ADY19" s="433"/>
      <c r="ADZ19" s="433"/>
      <c r="AEA19" s="433"/>
      <c r="AEB19" s="433"/>
      <c r="AEC19" s="433"/>
      <c r="AED19" s="433"/>
      <c r="AEE19" s="433"/>
      <c r="AEF19" s="433"/>
      <c r="AEG19" s="433"/>
      <c r="AEH19" s="433"/>
      <c r="AEI19" s="433"/>
      <c r="AEJ19" s="433"/>
      <c r="AEK19" s="433"/>
      <c r="AEL19" s="433"/>
      <c r="AEM19" s="433"/>
      <c r="AEN19" s="433"/>
      <c r="AEO19" s="433"/>
      <c r="AEP19" s="433"/>
      <c r="AEQ19" s="433"/>
      <c r="AER19" s="433"/>
      <c r="AES19" s="433"/>
      <c r="AET19" s="433"/>
      <c r="AEU19" s="433"/>
      <c r="AEV19" s="433"/>
      <c r="AEW19" s="433"/>
      <c r="AEX19" s="433"/>
      <c r="AEY19" s="433"/>
      <c r="AEZ19" s="433"/>
      <c r="AFA19" s="433"/>
      <c r="AFB19" s="433"/>
      <c r="AFC19" s="433"/>
      <c r="AFD19" s="433"/>
      <c r="AFE19" s="433"/>
      <c r="AFF19" s="433"/>
      <c r="AFG19" s="433"/>
      <c r="AFH19" s="433"/>
      <c r="AFI19" s="433"/>
      <c r="AFJ19" s="433"/>
      <c r="AFK19" s="433"/>
      <c r="AFL19" s="433"/>
      <c r="AFM19" s="433"/>
      <c r="AFN19" s="433"/>
      <c r="AFO19" s="433"/>
      <c r="AFP19" s="433"/>
      <c r="AFQ19" s="433"/>
      <c r="AFR19" s="433"/>
      <c r="AFS19" s="433"/>
      <c r="AFT19" s="433"/>
      <c r="AFU19" s="433"/>
      <c r="AFV19" s="433"/>
      <c r="AFW19" s="433"/>
      <c r="AFX19" s="433"/>
      <c r="AFY19" s="433"/>
      <c r="AFZ19" s="433"/>
      <c r="AGA19" s="433"/>
      <c r="AGB19" s="433"/>
      <c r="AGC19" s="433"/>
      <c r="AGD19" s="433"/>
      <c r="AGE19" s="433"/>
      <c r="AGF19" s="433"/>
      <c r="AGG19" s="433"/>
      <c r="AGH19" s="433"/>
      <c r="AGI19" s="433"/>
      <c r="AGJ19" s="433"/>
      <c r="AGK19" s="433"/>
      <c r="AGL19" s="433"/>
      <c r="AGM19" s="433"/>
      <c r="AGN19" s="433"/>
      <c r="AGO19" s="433"/>
      <c r="AGP19" s="433"/>
      <c r="AGQ19" s="433"/>
      <c r="AGR19" s="433"/>
      <c r="AGS19" s="433"/>
      <c r="AGT19" s="433"/>
      <c r="AGU19" s="433"/>
      <c r="AGV19" s="433"/>
      <c r="AGW19" s="433"/>
      <c r="AGX19" s="433"/>
      <c r="AGY19" s="433"/>
      <c r="AGZ19" s="433"/>
      <c r="AHA19" s="433"/>
      <c r="AHB19" s="433"/>
      <c r="AHC19" s="433"/>
      <c r="AHD19" s="433"/>
      <c r="AHE19" s="433"/>
      <c r="AHF19" s="433"/>
      <c r="AHG19" s="433"/>
      <c r="AHH19" s="433"/>
      <c r="AHI19" s="433"/>
      <c r="AHJ19" s="433"/>
      <c r="AHK19" s="433"/>
      <c r="AHL19" s="433"/>
      <c r="AHM19" s="433"/>
      <c r="AHN19" s="433"/>
      <c r="AHO19" s="433"/>
      <c r="AHP19" s="433"/>
      <c r="AHQ19" s="433"/>
      <c r="AHR19" s="433"/>
      <c r="AHS19" s="433"/>
      <c r="AHT19" s="433"/>
      <c r="AHU19" s="433"/>
      <c r="AHV19" s="433"/>
      <c r="AHW19" s="433"/>
      <c r="AHX19" s="433"/>
      <c r="AHY19" s="433"/>
      <c r="AHZ19" s="433"/>
      <c r="AIA19" s="433"/>
      <c r="AIB19" s="433"/>
      <c r="AIC19" s="433"/>
      <c r="AID19" s="433"/>
      <c r="AIE19" s="433"/>
      <c r="AIF19" s="433"/>
      <c r="AIG19" s="433"/>
      <c r="AIH19" s="433"/>
      <c r="AII19" s="433"/>
      <c r="AIJ19" s="433"/>
      <c r="AIK19" s="433"/>
      <c r="AIL19" s="433"/>
      <c r="AIM19" s="433"/>
      <c r="AIN19" s="433"/>
      <c r="AIO19" s="433"/>
      <c r="AIP19" s="433"/>
      <c r="AIQ19" s="433"/>
      <c r="AIR19" s="433"/>
      <c r="AIS19" s="433"/>
      <c r="AIT19" s="433"/>
      <c r="AIU19" s="433"/>
      <c r="AIV19" s="433"/>
      <c r="AIW19" s="433"/>
      <c r="AIX19" s="433"/>
      <c r="AIY19" s="433"/>
      <c r="AIZ19" s="433"/>
      <c r="AJA19" s="433"/>
      <c r="AJB19" s="433"/>
      <c r="AJC19" s="433"/>
      <c r="AJD19" s="433"/>
      <c r="AJE19" s="433"/>
      <c r="AJF19" s="433"/>
      <c r="AJG19" s="433"/>
      <c r="AJH19" s="433"/>
      <c r="AJI19" s="433"/>
      <c r="AJJ19" s="433"/>
      <c r="AJK19" s="433"/>
      <c r="AJL19" s="433"/>
      <c r="AJM19" s="433"/>
      <c r="AJN19" s="433"/>
      <c r="AJO19" s="433"/>
      <c r="AJP19" s="433"/>
      <c r="AJQ19" s="433"/>
      <c r="AJR19" s="433"/>
      <c r="AJS19" s="433"/>
      <c r="AJT19" s="433"/>
      <c r="AJU19" s="433"/>
      <c r="AJV19" s="433"/>
      <c r="AJW19" s="433"/>
      <c r="AJX19" s="433"/>
      <c r="AJY19" s="433"/>
      <c r="AJZ19" s="433"/>
      <c r="AKA19" s="433"/>
      <c r="AKB19" s="433"/>
      <c r="AKC19" s="433"/>
      <c r="AKD19" s="433"/>
      <c r="AKE19" s="433"/>
      <c r="AKF19" s="433"/>
      <c r="AKG19" s="433"/>
      <c r="AKH19" s="433"/>
      <c r="AKI19" s="433"/>
      <c r="AKJ19" s="433"/>
      <c r="AKK19" s="433"/>
      <c r="AKL19" s="433"/>
      <c r="AKM19" s="433"/>
      <c r="AKN19" s="433"/>
      <c r="AKO19" s="433"/>
      <c r="AKP19" s="433"/>
      <c r="AKQ19" s="433"/>
      <c r="AKR19" s="433"/>
      <c r="AKS19" s="433"/>
      <c r="AKT19" s="433"/>
      <c r="AKU19" s="433"/>
      <c r="AKV19" s="433"/>
      <c r="AKW19" s="433"/>
      <c r="AKX19" s="433"/>
      <c r="AKY19" s="433"/>
      <c r="AKZ19" s="433"/>
      <c r="ALA19" s="433"/>
      <c r="ALB19" s="433"/>
      <c r="ALC19" s="433"/>
      <c r="ALD19" s="433"/>
      <c r="ALE19" s="433"/>
      <c r="ALF19" s="433"/>
      <c r="ALG19" s="433"/>
      <c r="ALH19" s="433"/>
      <c r="ALI19" s="433"/>
      <c r="ALJ19" s="433"/>
      <c r="ALK19" s="433"/>
      <c r="ALL19" s="433"/>
      <c r="ALM19" s="433"/>
      <c r="ALN19" s="433"/>
      <c r="ALO19" s="433"/>
      <c r="ALP19" s="433"/>
      <c r="ALQ19" s="433"/>
      <c r="ALR19" s="433"/>
      <c r="ALS19" s="433"/>
      <c r="ALT19" s="433"/>
      <c r="ALU19" s="433"/>
      <c r="ALV19" s="433"/>
      <c r="ALW19" s="433"/>
      <c r="ALX19" s="433"/>
      <c r="ALY19" s="433"/>
      <c r="ALZ19" s="433"/>
      <c r="AMA19" s="433"/>
      <c r="AMB19" s="433"/>
      <c r="AMC19" s="433"/>
      <c r="AMD19" s="433"/>
      <c r="AME19" s="433"/>
      <c r="AMF19" s="433"/>
      <c r="AMG19" s="433"/>
      <c r="AMH19" s="433"/>
      <c r="AMI19" s="433"/>
      <c r="AMJ19" s="433"/>
      <c r="AMK19" s="433"/>
      <c r="AML19" s="433"/>
      <c r="AMM19" s="433"/>
      <c r="AMN19" s="433"/>
      <c r="AMO19" s="433"/>
      <c r="AMP19" s="433"/>
      <c r="AMQ19" s="433"/>
      <c r="AMR19" s="433"/>
      <c r="AMS19" s="433"/>
      <c r="AMT19" s="433"/>
      <c r="AMU19" s="433"/>
      <c r="AMV19" s="433"/>
      <c r="AMW19" s="433"/>
      <c r="AMX19" s="433"/>
      <c r="AMY19" s="433"/>
      <c r="AMZ19" s="433"/>
      <c r="ANA19" s="433"/>
      <c r="ANB19" s="433"/>
      <c r="ANC19" s="433"/>
      <c r="AND19" s="433"/>
      <c r="ANE19" s="433"/>
      <c r="ANF19" s="433"/>
      <c r="ANG19" s="433"/>
      <c r="ANH19" s="433"/>
      <c r="ANI19" s="433"/>
      <c r="ANJ19" s="433"/>
      <c r="ANK19" s="433"/>
      <c r="ANL19" s="433"/>
      <c r="ANM19" s="433"/>
      <c r="ANN19" s="433"/>
      <c r="ANO19" s="433"/>
      <c r="ANP19" s="433"/>
      <c r="ANQ19" s="433"/>
      <c r="ANR19" s="433"/>
      <c r="ANS19" s="433"/>
      <c r="ANT19" s="433"/>
      <c r="ANU19" s="433"/>
      <c r="ANV19" s="433"/>
      <c r="ANW19" s="433"/>
      <c r="ANX19" s="433"/>
      <c r="ANY19" s="433"/>
      <c r="ANZ19" s="433"/>
      <c r="AOA19" s="433"/>
      <c r="AOB19" s="433"/>
      <c r="AOC19" s="433"/>
      <c r="AOD19" s="433"/>
      <c r="AOE19" s="433"/>
      <c r="AOF19" s="433"/>
      <c r="AOG19" s="433"/>
      <c r="AOH19" s="433"/>
      <c r="AOI19" s="433"/>
      <c r="AOJ19" s="433"/>
      <c r="AOK19" s="433"/>
      <c r="AOL19" s="433"/>
      <c r="AOM19" s="433"/>
      <c r="AON19" s="433"/>
      <c r="AOO19" s="433"/>
      <c r="AOP19" s="433"/>
      <c r="AOQ19" s="433"/>
      <c r="AOR19" s="433"/>
      <c r="AOS19" s="433"/>
      <c r="AOT19" s="433"/>
      <c r="AOU19" s="433"/>
      <c r="AOV19" s="433"/>
      <c r="AOW19" s="433"/>
      <c r="AOX19" s="433"/>
      <c r="AOY19" s="433"/>
      <c r="AOZ19" s="433"/>
      <c r="APA19" s="433"/>
      <c r="APB19" s="433"/>
      <c r="APC19" s="433"/>
      <c r="APD19" s="433"/>
      <c r="APE19" s="433"/>
      <c r="APF19" s="433"/>
      <c r="APG19" s="433"/>
      <c r="APH19" s="433"/>
      <c r="API19" s="433"/>
      <c r="APJ19" s="433"/>
      <c r="APK19" s="433"/>
      <c r="APL19" s="433"/>
      <c r="APM19" s="433"/>
      <c r="APN19" s="433"/>
      <c r="APO19" s="433"/>
      <c r="APP19" s="433"/>
      <c r="APQ19" s="433"/>
      <c r="APR19" s="433"/>
      <c r="APS19" s="433"/>
      <c r="APT19" s="433"/>
      <c r="APU19" s="433"/>
      <c r="APV19" s="433"/>
      <c r="APW19" s="433"/>
      <c r="APX19" s="433"/>
      <c r="APY19" s="433"/>
      <c r="APZ19" s="433"/>
      <c r="AQA19" s="433"/>
      <c r="AQB19" s="433"/>
      <c r="AQC19" s="433"/>
      <c r="AQD19" s="433"/>
      <c r="AQE19" s="433"/>
      <c r="AQF19" s="433"/>
      <c r="AQG19" s="433"/>
      <c r="AQH19" s="433"/>
      <c r="AQI19" s="433"/>
      <c r="AQJ19" s="433"/>
      <c r="AQK19" s="433"/>
      <c r="AQL19" s="433"/>
      <c r="AQM19" s="433"/>
      <c r="AQN19" s="433"/>
      <c r="AQO19" s="433"/>
      <c r="AQP19" s="433"/>
      <c r="AQQ19" s="433"/>
      <c r="AQR19" s="433"/>
      <c r="AQS19" s="433"/>
      <c r="AQT19" s="433"/>
      <c r="AQU19" s="433"/>
      <c r="AQV19" s="433"/>
      <c r="AQW19" s="433"/>
      <c r="AQX19" s="433"/>
      <c r="AQY19" s="433"/>
      <c r="AQZ19" s="433"/>
      <c r="ARA19" s="433"/>
      <c r="ARB19" s="433"/>
      <c r="ARC19" s="433"/>
      <c r="ARD19" s="433"/>
      <c r="ARE19" s="433"/>
      <c r="ARF19" s="433"/>
      <c r="ARG19" s="433"/>
      <c r="ARH19" s="433"/>
      <c r="ARI19" s="433"/>
      <c r="ARJ19" s="433"/>
      <c r="ARK19" s="433"/>
      <c r="ARL19" s="433"/>
      <c r="ARM19" s="433"/>
      <c r="ARN19" s="433"/>
      <c r="ARO19" s="433"/>
      <c r="ARP19" s="433"/>
      <c r="ARQ19" s="433"/>
      <c r="ARR19" s="433"/>
      <c r="ARS19" s="433"/>
      <c r="ART19" s="433"/>
      <c r="ARU19" s="433"/>
      <c r="ARV19" s="433"/>
      <c r="ARW19" s="433"/>
      <c r="ARX19" s="433"/>
      <c r="ARY19" s="433"/>
      <c r="ARZ19" s="433"/>
      <c r="ASA19" s="433"/>
      <c r="ASB19" s="433"/>
      <c r="ASC19" s="433"/>
      <c r="ASD19" s="433"/>
      <c r="ASE19" s="433"/>
      <c r="ASF19" s="433"/>
      <c r="ASG19" s="433"/>
      <c r="ASH19" s="433"/>
      <c r="ASI19" s="433"/>
      <c r="ASJ19" s="433"/>
      <c r="ASK19" s="433"/>
      <c r="ASL19" s="433"/>
      <c r="ASM19" s="433"/>
      <c r="ASN19" s="433"/>
      <c r="ASO19" s="433"/>
      <c r="ASP19" s="433"/>
      <c r="ASQ19" s="433"/>
      <c r="ASR19" s="433"/>
      <c r="ASS19" s="433"/>
      <c r="AST19" s="433"/>
      <c r="ASU19" s="433"/>
      <c r="ASV19" s="433"/>
      <c r="ASW19" s="433"/>
      <c r="ASX19" s="433"/>
      <c r="ASY19" s="433"/>
      <c r="ASZ19" s="433"/>
      <c r="ATA19" s="433"/>
      <c r="ATB19" s="433"/>
      <c r="ATC19" s="433"/>
      <c r="ATD19" s="433"/>
      <c r="ATE19" s="433"/>
      <c r="ATF19" s="433"/>
      <c r="ATG19" s="433"/>
      <c r="ATH19" s="433"/>
      <c r="ATI19" s="433"/>
      <c r="ATJ19" s="433"/>
      <c r="ATK19" s="433"/>
      <c r="ATL19" s="433"/>
      <c r="ATM19" s="433"/>
      <c r="ATN19" s="433"/>
      <c r="ATO19" s="433"/>
      <c r="ATP19" s="433"/>
      <c r="ATQ19" s="433"/>
      <c r="ATR19" s="433"/>
      <c r="ATS19" s="433"/>
      <c r="ATT19" s="433"/>
      <c r="ATU19" s="433"/>
      <c r="ATV19" s="433"/>
      <c r="ATW19" s="433"/>
      <c r="ATX19" s="433"/>
      <c r="ATY19" s="433"/>
      <c r="ATZ19" s="433"/>
      <c r="AUA19" s="433"/>
      <c r="AUB19" s="433"/>
      <c r="AUC19" s="433"/>
      <c r="AUD19" s="433"/>
      <c r="AUE19" s="433"/>
      <c r="AUF19" s="433"/>
      <c r="AUG19" s="433"/>
      <c r="AUH19" s="433"/>
      <c r="AUI19" s="433"/>
      <c r="AUJ19" s="433"/>
      <c r="AUK19" s="433"/>
      <c r="AUL19" s="433"/>
      <c r="AUM19" s="433"/>
      <c r="AUN19" s="433"/>
      <c r="AUO19" s="433"/>
      <c r="AUP19" s="433"/>
      <c r="AUQ19" s="433"/>
      <c r="AUR19" s="433"/>
      <c r="AUS19" s="433"/>
      <c r="AUT19" s="433"/>
      <c r="AUU19" s="433"/>
      <c r="AUV19" s="433"/>
      <c r="AUW19" s="433"/>
      <c r="AUX19" s="433"/>
      <c r="AUY19" s="433"/>
      <c r="AUZ19" s="433"/>
      <c r="AVA19" s="433"/>
      <c r="AVB19" s="433"/>
      <c r="AVC19" s="433"/>
      <c r="AVD19" s="433"/>
      <c r="AVE19" s="433"/>
      <c r="AVF19" s="433"/>
      <c r="AVG19" s="433"/>
      <c r="AVH19" s="433"/>
      <c r="AVI19" s="433"/>
      <c r="AVJ19" s="433"/>
      <c r="AVK19" s="433"/>
      <c r="AVL19" s="433"/>
      <c r="AVM19" s="433"/>
      <c r="AVN19" s="433"/>
      <c r="AVO19" s="433"/>
      <c r="AVP19" s="433"/>
      <c r="AVQ19" s="433"/>
      <c r="AVR19" s="433"/>
      <c r="AVS19" s="433"/>
      <c r="AVT19" s="433"/>
      <c r="AVU19" s="433"/>
      <c r="AVV19" s="433"/>
      <c r="AVW19" s="433"/>
      <c r="AVX19" s="433"/>
      <c r="AVY19" s="433"/>
      <c r="AVZ19" s="433"/>
      <c r="AWA19" s="433"/>
      <c r="AWB19" s="433"/>
      <c r="AWC19" s="433"/>
      <c r="AWD19" s="433"/>
      <c r="AWE19" s="433"/>
      <c r="AWF19" s="433"/>
      <c r="AWG19" s="433"/>
      <c r="AWH19" s="433"/>
      <c r="AWI19" s="433"/>
      <c r="AWJ19" s="433"/>
      <c r="AWK19" s="433"/>
      <c r="AWL19" s="433"/>
      <c r="AWM19" s="433"/>
      <c r="AWN19" s="433"/>
      <c r="AWO19" s="433"/>
      <c r="AWP19" s="433"/>
      <c r="AWQ19" s="433"/>
      <c r="AWR19" s="433"/>
      <c r="AWS19" s="433"/>
      <c r="AWT19" s="433"/>
      <c r="AWU19" s="433"/>
      <c r="AWV19" s="433"/>
      <c r="AWW19" s="433"/>
      <c r="AWX19" s="433"/>
      <c r="AWY19" s="433"/>
      <c r="AWZ19" s="433"/>
      <c r="AXA19" s="433"/>
      <c r="AXB19" s="433"/>
      <c r="AXC19" s="433"/>
      <c r="AXD19" s="433"/>
      <c r="AXE19" s="433"/>
      <c r="AXF19" s="433"/>
      <c r="AXG19" s="433"/>
      <c r="AXH19" s="433"/>
      <c r="AXI19" s="433"/>
      <c r="AXJ19" s="433"/>
      <c r="AXK19" s="433"/>
      <c r="AXL19" s="433"/>
      <c r="AXM19" s="433"/>
      <c r="AXN19" s="433"/>
      <c r="AXO19" s="433"/>
      <c r="AXP19" s="433"/>
      <c r="AXQ19" s="433"/>
      <c r="AXR19" s="433"/>
      <c r="AXS19" s="433"/>
      <c r="AXT19" s="433"/>
      <c r="AXU19" s="433"/>
      <c r="AXV19" s="433"/>
      <c r="AXW19" s="433"/>
      <c r="AXX19" s="433"/>
      <c r="AXY19" s="433"/>
      <c r="AXZ19" s="433"/>
      <c r="AYA19" s="433"/>
      <c r="AYB19" s="433"/>
      <c r="AYC19" s="433"/>
      <c r="AYD19" s="433"/>
      <c r="AYE19" s="433"/>
      <c r="AYF19" s="433"/>
      <c r="AYG19" s="433"/>
      <c r="AYH19" s="433"/>
      <c r="AYI19" s="433"/>
      <c r="AYJ19" s="433"/>
      <c r="AYK19" s="433"/>
      <c r="AYL19" s="433"/>
      <c r="AYM19" s="433"/>
      <c r="AYN19" s="433"/>
      <c r="AYO19" s="433"/>
      <c r="AYP19" s="433"/>
      <c r="AYQ19" s="433"/>
      <c r="AYR19" s="433"/>
      <c r="AYS19" s="433"/>
      <c r="AYT19" s="433"/>
      <c r="AYU19" s="433"/>
      <c r="AYV19" s="433"/>
      <c r="AYW19" s="433"/>
      <c r="AYX19" s="433"/>
      <c r="AYY19" s="433"/>
      <c r="AYZ19" s="433"/>
      <c r="AZA19" s="433"/>
      <c r="AZB19" s="433"/>
      <c r="AZC19" s="433"/>
      <c r="AZD19" s="433"/>
      <c r="AZE19" s="433"/>
      <c r="AZF19" s="433"/>
      <c r="AZG19" s="433"/>
      <c r="AZH19" s="433"/>
      <c r="AZI19" s="433"/>
      <c r="AZJ19" s="433"/>
      <c r="AZK19" s="433"/>
      <c r="AZL19" s="433"/>
      <c r="AZM19" s="433"/>
      <c r="AZN19" s="433"/>
      <c r="AZO19" s="433"/>
      <c r="AZP19" s="433"/>
      <c r="AZQ19" s="433"/>
      <c r="AZR19" s="433"/>
      <c r="AZS19" s="433"/>
      <c r="AZT19" s="433"/>
      <c r="AZU19" s="433"/>
      <c r="AZV19" s="433"/>
      <c r="AZW19" s="433"/>
      <c r="AZX19" s="433"/>
      <c r="AZY19" s="433"/>
      <c r="AZZ19" s="433"/>
      <c r="BAA19" s="433"/>
      <c r="BAB19" s="433"/>
      <c r="BAC19" s="433"/>
      <c r="BAD19" s="433"/>
      <c r="BAE19" s="433"/>
      <c r="BAF19" s="433"/>
      <c r="BAG19" s="433"/>
      <c r="BAH19" s="433"/>
      <c r="BAI19" s="433"/>
      <c r="BAJ19" s="433"/>
      <c r="BAK19" s="433"/>
      <c r="BAL19" s="433"/>
      <c r="BAM19" s="433"/>
      <c r="BAN19" s="433"/>
      <c r="BAO19" s="433"/>
      <c r="BAP19" s="433"/>
      <c r="BAQ19" s="433"/>
      <c r="BAR19" s="433"/>
      <c r="BAS19" s="433"/>
      <c r="BAT19" s="433"/>
      <c r="BAU19" s="433"/>
      <c r="BAV19" s="433"/>
      <c r="BAW19" s="433"/>
      <c r="BAX19" s="433"/>
      <c r="BAY19" s="433"/>
      <c r="BAZ19" s="433"/>
      <c r="BBA19" s="433"/>
      <c r="BBB19" s="433"/>
      <c r="BBC19" s="433"/>
      <c r="BBD19" s="433"/>
      <c r="BBE19" s="433"/>
      <c r="BBF19" s="433"/>
      <c r="BBG19" s="433"/>
      <c r="BBH19" s="433"/>
      <c r="BBI19" s="433"/>
      <c r="BBJ19" s="433"/>
      <c r="BBK19" s="433"/>
      <c r="BBL19" s="433"/>
      <c r="BBM19" s="433"/>
      <c r="BBN19" s="433"/>
      <c r="BBO19" s="433"/>
      <c r="BBP19" s="433"/>
      <c r="BBQ19" s="433"/>
      <c r="BBR19" s="433"/>
      <c r="BBS19" s="433"/>
      <c r="BBT19" s="433"/>
      <c r="BBU19" s="433"/>
      <c r="BBV19" s="433"/>
      <c r="BBW19" s="433"/>
      <c r="BBX19" s="433"/>
      <c r="BBY19" s="433"/>
      <c r="BBZ19" s="433"/>
      <c r="BCA19" s="433"/>
      <c r="BCB19" s="433"/>
      <c r="BCC19" s="433"/>
      <c r="BCD19" s="433"/>
      <c r="BCE19" s="433"/>
      <c r="BCF19" s="433"/>
      <c r="BCG19" s="433"/>
      <c r="BCH19" s="433"/>
      <c r="BCI19" s="433"/>
      <c r="BCJ19" s="433"/>
      <c r="BCK19" s="433"/>
      <c r="BCL19" s="433"/>
      <c r="BCM19" s="433"/>
      <c r="BCN19" s="433"/>
      <c r="BCO19" s="433"/>
      <c r="BCP19" s="433"/>
      <c r="BCQ19" s="433"/>
      <c r="BCR19" s="433"/>
      <c r="BCS19" s="433"/>
      <c r="BCT19" s="433"/>
      <c r="BCU19" s="433"/>
      <c r="BCV19" s="433"/>
      <c r="BCW19" s="433"/>
      <c r="BCX19" s="433"/>
      <c r="BCY19" s="433"/>
      <c r="BCZ19" s="433"/>
      <c r="BDA19" s="433"/>
      <c r="BDB19" s="433"/>
      <c r="BDC19" s="433"/>
      <c r="BDD19" s="433"/>
      <c r="BDE19" s="433"/>
      <c r="BDF19" s="433"/>
      <c r="BDG19" s="433"/>
      <c r="BDH19" s="433"/>
      <c r="BDI19" s="433"/>
      <c r="BDJ19" s="433"/>
      <c r="BDK19" s="433"/>
      <c r="BDL19" s="433"/>
      <c r="BDM19" s="433"/>
      <c r="BDN19" s="433"/>
      <c r="BDO19" s="433"/>
      <c r="BDP19" s="433"/>
      <c r="BDQ19" s="433"/>
      <c r="BDR19" s="433"/>
      <c r="BDS19" s="433"/>
      <c r="BDT19" s="433"/>
      <c r="BDU19" s="433"/>
      <c r="BDV19" s="433"/>
      <c r="BDW19" s="433"/>
      <c r="BDX19" s="433"/>
      <c r="BDY19" s="433"/>
      <c r="BDZ19" s="433"/>
      <c r="BEA19" s="433"/>
      <c r="BEB19" s="433"/>
      <c r="BEC19" s="433"/>
      <c r="BED19" s="433"/>
      <c r="BEE19" s="433"/>
      <c r="BEF19" s="433"/>
      <c r="BEG19" s="433"/>
      <c r="BEH19" s="433"/>
      <c r="BEI19" s="433"/>
      <c r="BEJ19" s="433"/>
      <c r="BEK19" s="433"/>
      <c r="BEL19" s="433"/>
      <c r="BEM19" s="433"/>
      <c r="BEN19" s="433"/>
      <c r="BEO19" s="433"/>
      <c r="BEP19" s="433"/>
      <c r="BEQ19" s="433"/>
      <c r="BER19" s="433"/>
      <c r="BES19" s="433"/>
      <c r="BET19" s="433"/>
      <c r="BEU19" s="433"/>
      <c r="BEV19" s="433"/>
      <c r="BEW19" s="433"/>
      <c r="BEX19" s="433"/>
      <c r="BEY19" s="433"/>
      <c r="BEZ19" s="433"/>
      <c r="BFA19" s="433"/>
      <c r="BFB19" s="433"/>
      <c r="BFC19" s="433"/>
      <c r="BFD19" s="433"/>
      <c r="BFE19" s="433"/>
      <c r="BFF19" s="433"/>
      <c r="BFG19" s="433"/>
      <c r="BFH19" s="433"/>
      <c r="BFI19" s="433"/>
      <c r="BFJ19" s="433"/>
      <c r="BFK19" s="433"/>
      <c r="BFL19" s="433"/>
      <c r="BFM19" s="433"/>
      <c r="BFN19" s="433"/>
      <c r="BFO19" s="433"/>
      <c r="BFP19" s="433"/>
      <c r="BFQ19" s="433"/>
      <c r="BFR19" s="433"/>
      <c r="BFS19" s="433"/>
      <c r="BFT19" s="433"/>
      <c r="BFU19" s="433"/>
      <c r="BFV19" s="433"/>
      <c r="BFW19" s="433"/>
      <c r="BFX19" s="433"/>
      <c r="BFY19" s="433"/>
      <c r="BFZ19" s="433"/>
      <c r="BGA19" s="433"/>
      <c r="BGB19" s="433"/>
      <c r="BGC19" s="433"/>
      <c r="BGD19" s="433"/>
      <c r="BGE19" s="433"/>
      <c r="BGF19" s="433"/>
      <c r="BGG19" s="433"/>
      <c r="BGH19" s="433"/>
      <c r="BGI19" s="433"/>
      <c r="BGJ19" s="433"/>
      <c r="BGK19" s="433"/>
      <c r="BGL19" s="433"/>
      <c r="BGM19" s="433"/>
      <c r="BGN19" s="433"/>
      <c r="BGO19" s="433"/>
      <c r="BGP19" s="433"/>
      <c r="BGQ19" s="433"/>
      <c r="BGR19" s="433"/>
      <c r="BGS19" s="433"/>
      <c r="BGT19" s="433"/>
      <c r="BGU19" s="433"/>
      <c r="BGV19" s="433"/>
      <c r="BGW19" s="433"/>
      <c r="BGX19" s="433"/>
      <c r="BGY19" s="433"/>
      <c r="BGZ19" s="433"/>
      <c r="BHA19" s="433"/>
      <c r="BHB19" s="433"/>
      <c r="BHC19" s="433"/>
      <c r="BHD19" s="433"/>
      <c r="BHE19" s="433"/>
      <c r="BHF19" s="433"/>
      <c r="BHG19" s="433"/>
      <c r="BHH19" s="433"/>
      <c r="BHI19" s="433"/>
      <c r="BHJ19" s="433"/>
      <c r="BHK19" s="433"/>
      <c r="BHL19" s="433"/>
      <c r="BHM19" s="433"/>
      <c r="BHN19" s="433"/>
      <c r="BHO19" s="433"/>
      <c r="BHP19" s="433"/>
      <c r="BHQ19" s="433"/>
      <c r="BHR19" s="433"/>
      <c r="BHS19" s="433"/>
      <c r="BHT19" s="433"/>
      <c r="BHU19" s="433"/>
      <c r="BHV19" s="433"/>
      <c r="BHW19" s="433"/>
      <c r="BHX19" s="433"/>
      <c r="BHY19" s="433"/>
      <c r="BHZ19" s="433"/>
      <c r="BIA19" s="433"/>
      <c r="BIB19" s="433"/>
      <c r="BIC19" s="433"/>
      <c r="BID19" s="433"/>
      <c r="BIE19" s="433"/>
      <c r="BIF19" s="433"/>
      <c r="BIG19" s="433"/>
      <c r="BIH19" s="433"/>
      <c r="BII19" s="433"/>
      <c r="BIJ19" s="433"/>
      <c r="BIK19" s="433"/>
      <c r="BIL19" s="433"/>
      <c r="BIM19" s="433"/>
      <c r="BIN19" s="433"/>
      <c r="BIO19" s="433"/>
      <c r="BIP19" s="433"/>
      <c r="BIQ19" s="433"/>
      <c r="BIR19" s="433"/>
      <c r="BIS19" s="433"/>
      <c r="BIT19" s="433"/>
      <c r="BIU19" s="433"/>
      <c r="BIV19" s="433"/>
      <c r="BIW19" s="433"/>
      <c r="BIX19" s="433"/>
      <c r="BIY19" s="433"/>
      <c r="BIZ19" s="433"/>
      <c r="BJA19" s="433"/>
      <c r="BJB19" s="433"/>
      <c r="BJC19" s="433"/>
      <c r="BJD19" s="433"/>
      <c r="BJE19" s="433"/>
      <c r="BJF19" s="433"/>
      <c r="BJG19" s="433"/>
      <c r="BJH19" s="433"/>
      <c r="BJI19" s="433"/>
      <c r="BJJ19" s="433"/>
      <c r="BJK19" s="433"/>
      <c r="BJL19" s="433"/>
      <c r="BJM19" s="433"/>
      <c r="BJN19" s="433"/>
      <c r="BJO19" s="433"/>
      <c r="BJP19" s="433"/>
      <c r="BJQ19" s="433"/>
      <c r="BJR19" s="433"/>
      <c r="BJS19" s="433"/>
      <c r="BJT19" s="433"/>
      <c r="BJU19" s="433"/>
      <c r="BJV19" s="433"/>
      <c r="BJW19" s="433"/>
      <c r="BJX19" s="433"/>
      <c r="BJY19" s="433"/>
      <c r="BJZ19" s="433"/>
      <c r="BKA19" s="433"/>
      <c r="BKB19" s="433"/>
      <c r="BKC19" s="433"/>
      <c r="BKD19" s="433"/>
      <c r="BKE19" s="433"/>
      <c r="BKF19" s="433"/>
      <c r="BKG19" s="433"/>
      <c r="BKH19" s="433"/>
      <c r="BKI19" s="433"/>
      <c r="BKJ19" s="433"/>
      <c r="BKK19" s="433"/>
      <c r="BKL19" s="433"/>
      <c r="BKM19" s="433"/>
      <c r="BKN19" s="433"/>
      <c r="BKO19" s="433"/>
      <c r="BKP19" s="433"/>
      <c r="BKQ19" s="433"/>
      <c r="BKR19" s="433"/>
      <c r="BKS19" s="433"/>
      <c r="BKT19" s="433"/>
      <c r="BKU19" s="433"/>
      <c r="BKV19" s="433"/>
      <c r="BKW19" s="433"/>
      <c r="BKX19" s="433"/>
      <c r="BKY19" s="433"/>
      <c r="BKZ19" s="433"/>
      <c r="BLA19" s="433"/>
      <c r="BLB19" s="433"/>
      <c r="BLC19" s="433"/>
      <c r="BLD19" s="433"/>
      <c r="BLE19" s="433"/>
      <c r="BLF19" s="433"/>
      <c r="BLG19" s="433"/>
      <c r="BLH19" s="433"/>
      <c r="BLI19" s="433"/>
      <c r="BLJ19" s="433"/>
      <c r="BLK19" s="433"/>
      <c r="BLL19" s="433"/>
      <c r="BLM19" s="433"/>
      <c r="BLN19" s="433"/>
      <c r="BLO19" s="433"/>
      <c r="BLP19" s="433"/>
      <c r="BLQ19" s="433"/>
      <c r="BLR19" s="433"/>
      <c r="BLS19" s="433"/>
      <c r="BLT19" s="433"/>
      <c r="BLU19" s="433"/>
      <c r="BLV19" s="433"/>
      <c r="BLW19" s="433"/>
      <c r="BLX19" s="433"/>
      <c r="BLY19" s="433"/>
      <c r="BLZ19" s="433"/>
      <c r="BMA19" s="433"/>
      <c r="BMB19" s="433"/>
      <c r="BMC19" s="433"/>
      <c r="BMD19" s="433"/>
      <c r="BME19" s="433"/>
      <c r="BMF19" s="433"/>
      <c r="BMG19" s="433"/>
      <c r="BMH19" s="433"/>
      <c r="BMI19" s="433"/>
      <c r="BMJ19" s="433"/>
      <c r="BMK19" s="433"/>
      <c r="BML19" s="433"/>
      <c r="BMM19" s="433"/>
      <c r="BMN19" s="433"/>
      <c r="BMO19" s="433"/>
      <c r="BMP19" s="433"/>
      <c r="BMQ19" s="433"/>
      <c r="BMR19" s="433"/>
      <c r="BMS19" s="433"/>
      <c r="BMT19" s="433"/>
      <c r="BMU19" s="433"/>
      <c r="BMV19" s="433"/>
      <c r="BMW19" s="433"/>
      <c r="BMX19" s="433"/>
      <c r="BMY19" s="433"/>
      <c r="BMZ19" s="433"/>
      <c r="BNA19" s="433"/>
      <c r="BNB19" s="433"/>
      <c r="BNC19" s="433"/>
      <c r="BND19" s="433"/>
      <c r="BNE19" s="433"/>
      <c r="BNF19" s="433"/>
      <c r="BNG19" s="433"/>
      <c r="BNH19" s="433"/>
      <c r="BNI19" s="433"/>
      <c r="BNJ19" s="433"/>
      <c r="BNK19" s="433"/>
      <c r="BNL19" s="433"/>
      <c r="BNM19" s="433"/>
      <c r="BNN19" s="433"/>
      <c r="BNO19" s="433"/>
      <c r="BNP19" s="433"/>
      <c r="BNQ19" s="433"/>
      <c r="BNR19" s="433"/>
      <c r="BNS19" s="433"/>
      <c r="BNT19" s="433"/>
      <c r="BNU19" s="433"/>
      <c r="BNV19" s="433"/>
      <c r="BNW19" s="433"/>
      <c r="BNX19" s="433"/>
      <c r="BNY19" s="433"/>
      <c r="BNZ19" s="433"/>
      <c r="BOA19" s="433"/>
      <c r="BOB19" s="433"/>
      <c r="BOC19" s="433"/>
      <c r="BOD19" s="433"/>
      <c r="BOE19" s="433"/>
      <c r="BOF19" s="433"/>
      <c r="BOG19" s="433"/>
      <c r="BOH19" s="433"/>
      <c r="BOI19" s="433"/>
      <c r="BOJ19" s="433"/>
      <c r="BOK19" s="433"/>
      <c r="BOL19" s="433"/>
      <c r="BOM19" s="433"/>
      <c r="BON19" s="433"/>
      <c r="BOO19" s="433"/>
      <c r="BOP19" s="433"/>
      <c r="BOQ19" s="433"/>
      <c r="BOR19" s="433"/>
      <c r="BOS19" s="433"/>
      <c r="BOT19" s="433"/>
      <c r="BOU19" s="433"/>
      <c r="BOV19" s="433"/>
      <c r="BOW19" s="433"/>
      <c r="BOX19" s="433"/>
      <c r="BOY19" s="433"/>
      <c r="BOZ19" s="433"/>
      <c r="BPA19" s="433"/>
      <c r="BPB19" s="433"/>
      <c r="BPC19" s="433"/>
      <c r="BPD19" s="433"/>
      <c r="BPE19" s="433"/>
      <c r="BPF19" s="433"/>
      <c r="BPG19" s="433"/>
      <c r="BPH19" s="433"/>
      <c r="BPI19" s="433"/>
      <c r="BPJ19" s="433"/>
      <c r="BPK19" s="433"/>
      <c r="BPL19" s="433"/>
      <c r="BPM19" s="433"/>
      <c r="BPN19" s="433"/>
      <c r="BPO19" s="433"/>
      <c r="BPP19" s="433"/>
      <c r="BPQ19" s="433"/>
      <c r="BPR19" s="433"/>
      <c r="BPS19" s="433"/>
      <c r="BPT19" s="433"/>
      <c r="BPU19" s="433"/>
      <c r="BPV19" s="433"/>
      <c r="BPW19" s="433"/>
      <c r="BPX19" s="433"/>
      <c r="BPY19" s="433"/>
      <c r="BPZ19" s="433"/>
      <c r="BQA19" s="433"/>
      <c r="BQB19" s="433"/>
      <c r="BQC19" s="433"/>
      <c r="BQD19" s="433"/>
      <c r="BQE19" s="433"/>
      <c r="BQF19" s="433"/>
      <c r="BQG19" s="433"/>
      <c r="BQH19" s="433"/>
      <c r="BQI19" s="433"/>
      <c r="BQJ19" s="433"/>
      <c r="BQK19" s="433"/>
      <c r="BQL19" s="433"/>
      <c r="BQM19" s="433"/>
      <c r="BQN19" s="433"/>
      <c r="BQO19" s="433"/>
      <c r="BQP19" s="433"/>
      <c r="BQQ19" s="433"/>
      <c r="BQR19" s="433"/>
      <c r="BQS19" s="433"/>
      <c r="BQT19" s="433"/>
      <c r="BQU19" s="433"/>
      <c r="BQV19" s="433"/>
      <c r="BQW19" s="433"/>
      <c r="BQX19" s="433"/>
      <c r="BQY19" s="433"/>
      <c r="BQZ19" s="433"/>
      <c r="BRA19" s="433"/>
      <c r="BRB19" s="433"/>
      <c r="BRC19" s="433"/>
      <c r="BRD19" s="433"/>
      <c r="BRE19" s="433"/>
      <c r="BRF19" s="433"/>
      <c r="BRG19" s="433"/>
      <c r="BRH19" s="433"/>
      <c r="BRI19" s="433"/>
      <c r="BRJ19" s="433"/>
      <c r="BRK19" s="433"/>
      <c r="BRL19" s="433"/>
      <c r="BRM19" s="433"/>
      <c r="BRN19" s="433"/>
      <c r="BRO19" s="433"/>
      <c r="BRP19" s="433"/>
      <c r="BRQ19" s="433"/>
      <c r="BRR19" s="433"/>
      <c r="BRS19" s="433"/>
      <c r="BRT19" s="433"/>
      <c r="BRU19" s="433"/>
      <c r="BRV19" s="433"/>
      <c r="BRW19" s="433"/>
      <c r="BRX19" s="433"/>
      <c r="BRY19" s="433"/>
      <c r="BRZ19" s="433"/>
      <c r="BSA19" s="433"/>
      <c r="BSB19" s="433"/>
      <c r="BSC19" s="433"/>
      <c r="BSD19" s="433"/>
      <c r="BSE19" s="433"/>
      <c r="BSF19" s="433"/>
      <c r="BSG19" s="433"/>
      <c r="BSH19" s="433"/>
      <c r="BSI19" s="433"/>
      <c r="BSJ19" s="433"/>
      <c r="BSK19" s="433"/>
      <c r="BSL19" s="433"/>
      <c r="BSM19" s="433"/>
      <c r="BSN19" s="433"/>
      <c r="BSO19" s="433"/>
      <c r="BSP19" s="433"/>
      <c r="BSQ19" s="433"/>
      <c r="BSR19" s="433"/>
      <c r="BSS19" s="433"/>
      <c r="BST19" s="433"/>
      <c r="BSU19" s="433"/>
      <c r="BSV19" s="433"/>
      <c r="BSW19" s="433"/>
      <c r="BSX19" s="433"/>
      <c r="BSY19" s="433"/>
      <c r="BSZ19" s="433"/>
      <c r="BTA19" s="433"/>
      <c r="BTB19" s="433"/>
      <c r="BTC19" s="433"/>
      <c r="BTD19" s="433"/>
      <c r="BTE19" s="433"/>
      <c r="BTF19" s="433"/>
      <c r="BTG19" s="433"/>
      <c r="BTH19" s="433"/>
      <c r="BTI19" s="433"/>
      <c r="BTJ19" s="433"/>
      <c r="BTK19" s="433"/>
      <c r="BTL19" s="433"/>
      <c r="BTM19" s="433"/>
      <c r="BTN19" s="433"/>
      <c r="BTO19" s="433"/>
      <c r="BTP19" s="433"/>
      <c r="BTQ19" s="433"/>
      <c r="BTR19" s="433"/>
      <c r="BTS19" s="433"/>
      <c r="BTT19" s="433"/>
      <c r="BTU19" s="433"/>
      <c r="BTV19" s="433"/>
      <c r="BTW19" s="433"/>
      <c r="BTX19" s="433"/>
      <c r="BTY19" s="433"/>
      <c r="BTZ19" s="433"/>
      <c r="BUA19" s="433"/>
      <c r="BUB19" s="433"/>
      <c r="BUC19" s="433"/>
      <c r="BUD19" s="433"/>
      <c r="BUE19" s="433"/>
      <c r="BUF19" s="433"/>
      <c r="BUG19" s="433"/>
      <c r="BUH19" s="433"/>
      <c r="BUI19" s="433"/>
      <c r="BUJ19" s="433"/>
      <c r="BUK19" s="433"/>
      <c r="BUL19" s="433"/>
      <c r="BUM19" s="433"/>
      <c r="BUN19" s="433"/>
      <c r="BUO19" s="433"/>
      <c r="BUP19" s="433"/>
      <c r="BUQ19" s="433"/>
      <c r="BUR19" s="433"/>
      <c r="BUS19" s="433"/>
      <c r="BUT19" s="433"/>
      <c r="BUU19" s="433"/>
      <c r="BUV19" s="433"/>
      <c r="BUW19" s="433"/>
      <c r="BUX19" s="433"/>
      <c r="BUY19" s="433"/>
      <c r="BUZ19" s="433"/>
      <c r="BVA19" s="433"/>
      <c r="BVB19" s="433"/>
      <c r="BVC19" s="433"/>
      <c r="BVD19" s="433"/>
      <c r="BVE19" s="433"/>
      <c r="BVF19" s="433"/>
      <c r="BVG19" s="433"/>
      <c r="BVH19" s="433"/>
      <c r="BVI19" s="433"/>
      <c r="BVJ19" s="433"/>
      <c r="BVK19" s="433"/>
      <c r="BVL19" s="433"/>
      <c r="BVM19" s="433"/>
      <c r="BVN19" s="433"/>
      <c r="BVO19" s="433"/>
      <c r="BVP19" s="433"/>
      <c r="BVQ19" s="433"/>
      <c r="BVR19" s="433"/>
      <c r="BVS19" s="433"/>
      <c r="BVT19" s="433"/>
      <c r="BVU19" s="433"/>
      <c r="BVV19" s="433"/>
      <c r="BVW19" s="433"/>
      <c r="BVX19" s="433"/>
      <c r="BVY19" s="433"/>
      <c r="BVZ19" s="433"/>
      <c r="BWA19" s="433"/>
      <c r="BWB19" s="433"/>
      <c r="BWC19" s="433"/>
      <c r="BWD19" s="433"/>
      <c r="BWE19" s="433"/>
      <c r="BWF19" s="433"/>
      <c r="BWG19" s="433"/>
      <c r="BWH19" s="433"/>
      <c r="BWI19" s="433"/>
      <c r="BWJ19" s="433"/>
      <c r="BWK19" s="433"/>
      <c r="BWL19" s="433"/>
      <c r="BWM19" s="433"/>
      <c r="BWN19" s="433"/>
      <c r="BWO19" s="433"/>
      <c r="BWP19" s="433"/>
      <c r="BWQ19" s="433"/>
      <c r="BWR19" s="433"/>
      <c r="BWS19" s="433"/>
      <c r="BWT19" s="433"/>
      <c r="BWU19" s="433"/>
      <c r="BWV19" s="433"/>
      <c r="BWW19" s="433"/>
      <c r="BWX19" s="433"/>
      <c r="BWY19" s="433"/>
      <c r="BWZ19" s="433"/>
      <c r="BXA19" s="433"/>
      <c r="BXB19" s="433"/>
      <c r="BXC19" s="433"/>
      <c r="BXD19" s="433"/>
      <c r="BXE19" s="433"/>
      <c r="BXF19" s="433"/>
      <c r="BXG19" s="433"/>
      <c r="BXH19" s="433"/>
      <c r="BXI19" s="433"/>
      <c r="BXJ19" s="433"/>
      <c r="BXK19" s="433"/>
      <c r="BXL19" s="433"/>
      <c r="BXM19" s="433"/>
      <c r="BXN19" s="433"/>
      <c r="BXO19" s="433"/>
      <c r="BXP19" s="433"/>
      <c r="BXQ19" s="433"/>
      <c r="BXR19" s="433"/>
      <c r="BXS19" s="433"/>
      <c r="BXT19" s="433"/>
      <c r="BXU19" s="433"/>
      <c r="BXV19" s="433"/>
      <c r="BXW19" s="433"/>
      <c r="BXX19" s="433"/>
      <c r="BXY19" s="433"/>
      <c r="BXZ19" s="433"/>
      <c r="BYA19" s="433"/>
      <c r="BYB19" s="433"/>
      <c r="BYC19" s="433"/>
      <c r="BYD19" s="433"/>
      <c r="BYE19" s="433"/>
      <c r="BYF19" s="433"/>
      <c r="BYG19" s="433"/>
      <c r="BYH19" s="433"/>
      <c r="BYI19" s="433"/>
      <c r="BYJ19" s="433"/>
      <c r="BYK19" s="433"/>
      <c r="BYL19" s="433"/>
      <c r="BYM19" s="433"/>
      <c r="BYN19" s="433"/>
      <c r="BYO19" s="433"/>
      <c r="BYP19" s="433"/>
      <c r="BYQ19" s="433"/>
      <c r="BYR19" s="433"/>
      <c r="BYS19" s="433"/>
      <c r="BYT19" s="433"/>
      <c r="BYU19" s="433"/>
      <c r="BYV19" s="433"/>
      <c r="BYW19" s="433"/>
      <c r="BYX19" s="433"/>
      <c r="BYY19" s="433"/>
      <c r="BYZ19" s="433"/>
      <c r="BZA19" s="433"/>
      <c r="BZB19" s="433"/>
      <c r="BZC19" s="433"/>
      <c r="BZD19" s="433"/>
      <c r="BZE19" s="433"/>
      <c r="BZF19" s="433"/>
      <c r="BZG19" s="433"/>
      <c r="BZH19" s="433"/>
      <c r="BZI19" s="433"/>
      <c r="BZJ19" s="433"/>
      <c r="BZK19" s="433"/>
      <c r="BZL19" s="433"/>
      <c r="BZM19" s="433"/>
      <c r="BZN19" s="433"/>
      <c r="BZO19" s="433"/>
      <c r="BZP19" s="433"/>
      <c r="BZQ19" s="433"/>
      <c r="BZR19" s="433"/>
      <c r="BZS19" s="433"/>
      <c r="BZT19" s="433"/>
      <c r="BZU19" s="433"/>
      <c r="BZV19" s="433"/>
      <c r="BZW19" s="433"/>
      <c r="BZX19" s="433"/>
      <c r="BZY19" s="433"/>
      <c r="BZZ19" s="433"/>
      <c r="CAA19" s="433"/>
      <c r="CAB19" s="433"/>
      <c r="CAC19" s="433"/>
      <c r="CAD19" s="433"/>
      <c r="CAE19" s="433"/>
      <c r="CAF19" s="433"/>
      <c r="CAG19" s="433"/>
      <c r="CAH19" s="433"/>
      <c r="CAI19" s="433"/>
      <c r="CAJ19" s="433"/>
      <c r="CAK19" s="433"/>
      <c r="CAL19" s="433"/>
      <c r="CAM19" s="433"/>
      <c r="CAN19" s="433"/>
      <c r="CAO19" s="433"/>
      <c r="CAP19" s="433"/>
      <c r="CAQ19" s="433"/>
      <c r="CAR19" s="433"/>
      <c r="CAS19" s="433"/>
      <c r="CAT19" s="433"/>
      <c r="CAU19" s="433"/>
      <c r="CAV19" s="433"/>
      <c r="CAW19" s="433"/>
      <c r="CAX19" s="433"/>
      <c r="CAY19" s="433"/>
      <c r="CAZ19" s="433"/>
      <c r="CBA19" s="433"/>
      <c r="CBB19" s="433"/>
      <c r="CBC19" s="433"/>
      <c r="CBD19" s="433"/>
      <c r="CBE19" s="433"/>
      <c r="CBF19" s="433"/>
      <c r="CBG19" s="433"/>
      <c r="CBH19" s="433"/>
      <c r="CBI19" s="433"/>
      <c r="CBJ19" s="433"/>
      <c r="CBK19" s="433"/>
      <c r="CBL19" s="433"/>
      <c r="CBM19" s="433"/>
      <c r="CBN19" s="433"/>
      <c r="CBO19" s="433"/>
      <c r="CBP19" s="433"/>
      <c r="CBQ19" s="433"/>
      <c r="CBR19" s="433"/>
      <c r="CBS19" s="433"/>
      <c r="CBT19" s="433"/>
      <c r="CBU19" s="433"/>
      <c r="CBV19" s="433"/>
      <c r="CBW19" s="433"/>
      <c r="CBX19" s="433"/>
      <c r="CBY19" s="433"/>
      <c r="CBZ19" s="433"/>
      <c r="CCA19" s="433"/>
      <c r="CCB19" s="433"/>
      <c r="CCC19" s="433"/>
      <c r="CCD19" s="433"/>
      <c r="CCE19" s="433"/>
      <c r="CCF19" s="433"/>
      <c r="CCG19" s="433"/>
      <c r="CCH19" s="433"/>
      <c r="CCI19" s="433"/>
      <c r="CCJ19" s="433"/>
      <c r="CCK19" s="433"/>
      <c r="CCL19" s="433"/>
      <c r="CCM19" s="433"/>
      <c r="CCN19" s="433"/>
      <c r="CCO19" s="433"/>
      <c r="CCP19" s="433"/>
      <c r="CCQ19" s="433"/>
      <c r="CCR19" s="433"/>
      <c r="CCS19" s="433"/>
      <c r="CCT19" s="433"/>
      <c r="CCU19" s="433"/>
      <c r="CCV19" s="433"/>
      <c r="CCW19" s="433"/>
      <c r="CCX19" s="433"/>
      <c r="CCY19" s="433"/>
      <c r="CCZ19" s="433"/>
      <c r="CDA19" s="433"/>
      <c r="CDB19" s="433"/>
      <c r="CDC19" s="433"/>
      <c r="CDD19" s="433"/>
      <c r="CDE19" s="433"/>
      <c r="CDF19" s="433"/>
      <c r="CDG19" s="433"/>
      <c r="CDH19" s="433"/>
      <c r="CDI19" s="433"/>
      <c r="CDJ19" s="433"/>
      <c r="CDK19" s="433"/>
      <c r="CDL19" s="433"/>
      <c r="CDM19" s="433"/>
      <c r="CDN19" s="433"/>
      <c r="CDO19" s="433"/>
      <c r="CDP19" s="433"/>
      <c r="CDQ19" s="433"/>
      <c r="CDR19" s="433"/>
      <c r="CDS19" s="433"/>
      <c r="CDT19" s="433"/>
      <c r="CDU19" s="433"/>
      <c r="CDV19" s="433"/>
      <c r="CDW19" s="433"/>
      <c r="CDX19" s="433"/>
      <c r="CDY19" s="433"/>
      <c r="CDZ19" s="433"/>
      <c r="CEA19" s="433"/>
      <c r="CEB19" s="433"/>
      <c r="CEC19" s="433"/>
      <c r="CED19" s="433"/>
      <c r="CEE19" s="433"/>
      <c r="CEF19" s="433"/>
      <c r="CEG19" s="433"/>
      <c r="CEH19" s="433"/>
      <c r="CEI19" s="433"/>
      <c r="CEJ19" s="433"/>
      <c r="CEK19" s="433"/>
      <c r="CEL19" s="433"/>
      <c r="CEM19" s="433"/>
      <c r="CEN19" s="433"/>
      <c r="CEO19" s="433"/>
      <c r="CEP19" s="433"/>
      <c r="CEQ19" s="433"/>
      <c r="CER19" s="433"/>
      <c r="CES19" s="433"/>
      <c r="CET19" s="433"/>
      <c r="CEU19" s="433"/>
      <c r="CEV19" s="433"/>
      <c r="CEW19" s="433"/>
      <c r="CEX19" s="433"/>
      <c r="CEY19" s="433"/>
      <c r="CEZ19" s="433"/>
      <c r="CFA19" s="433"/>
      <c r="CFB19" s="433"/>
      <c r="CFC19" s="433"/>
      <c r="CFD19" s="433"/>
      <c r="CFE19" s="433"/>
      <c r="CFF19" s="433"/>
      <c r="CFG19" s="433"/>
      <c r="CFH19" s="433"/>
      <c r="CFI19" s="433"/>
      <c r="CFJ19" s="433"/>
      <c r="CFK19" s="433"/>
      <c r="CFL19" s="433"/>
      <c r="CFM19" s="433"/>
      <c r="CFN19" s="433"/>
      <c r="CFO19" s="433"/>
      <c r="CFP19" s="433"/>
      <c r="CFQ19" s="433"/>
      <c r="CFR19" s="433"/>
      <c r="CFS19" s="433"/>
      <c r="CFT19" s="433"/>
      <c r="CFU19" s="433"/>
      <c r="CFV19" s="433"/>
      <c r="CFW19" s="433"/>
      <c r="CFX19" s="433"/>
      <c r="CFY19" s="433"/>
      <c r="CFZ19" s="433"/>
      <c r="CGA19" s="433"/>
      <c r="CGB19" s="433"/>
      <c r="CGC19" s="433"/>
      <c r="CGD19" s="433"/>
      <c r="CGE19" s="433"/>
      <c r="CGF19" s="433"/>
      <c r="CGG19" s="433"/>
      <c r="CGH19" s="433"/>
      <c r="CGI19" s="433"/>
      <c r="CGJ19" s="433"/>
      <c r="CGK19" s="433"/>
      <c r="CGL19" s="433"/>
      <c r="CGM19" s="433"/>
      <c r="CGN19" s="433"/>
      <c r="CGO19" s="433"/>
      <c r="CGP19" s="433"/>
      <c r="CGQ19" s="433"/>
      <c r="CGR19" s="433"/>
      <c r="CGS19" s="433"/>
      <c r="CGT19" s="433"/>
      <c r="CGU19" s="433"/>
      <c r="CGV19" s="433"/>
      <c r="CGW19" s="433"/>
      <c r="CGX19" s="433"/>
      <c r="CGY19" s="433"/>
      <c r="CGZ19" s="433"/>
      <c r="CHA19" s="433"/>
      <c r="CHB19" s="433"/>
      <c r="CHC19" s="433"/>
      <c r="CHD19" s="433"/>
      <c r="CHE19" s="433"/>
      <c r="CHF19" s="433"/>
      <c r="CHG19" s="433"/>
      <c r="CHH19" s="433"/>
      <c r="CHI19" s="433"/>
      <c r="CHJ19" s="433"/>
      <c r="CHK19" s="433"/>
      <c r="CHL19" s="433"/>
      <c r="CHM19" s="433"/>
      <c r="CHN19" s="433"/>
      <c r="CHO19" s="433"/>
      <c r="CHP19" s="433"/>
      <c r="CHQ19" s="433"/>
      <c r="CHR19" s="433"/>
      <c r="CHS19" s="433"/>
      <c r="CHT19" s="433"/>
      <c r="CHU19" s="433"/>
      <c r="CHV19" s="433"/>
      <c r="CHW19" s="433"/>
      <c r="CHX19" s="433"/>
      <c r="CHY19" s="433"/>
      <c r="CHZ19" s="433"/>
      <c r="CIA19" s="433"/>
      <c r="CIB19" s="433"/>
      <c r="CIC19" s="433"/>
      <c r="CID19" s="433"/>
      <c r="CIE19" s="433"/>
      <c r="CIF19" s="433"/>
      <c r="CIG19" s="433"/>
      <c r="CIH19" s="433"/>
      <c r="CII19" s="433"/>
      <c r="CIJ19" s="433"/>
      <c r="CIK19" s="433"/>
      <c r="CIL19" s="433"/>
      <c r="CIM19" s="433"/>
      <c r="CIN19" s="433"/>
      <c r="CIO19" s="433"/>
      <c r="CIP19" s="433"/>
      <c r="CIQ19" s="433"/>
      <c r="CIR19" s="433"/>
      <c r="CIS19" s="433"/>
      <c r="CIT19" s="433"/>
      <c r="CIU19" s="433"/>
      <c r="CIV19" s="433"/>
      <c r="CIW19" s="433"/>
      <c r="CIX19" s="433"/>
      <c r="CIY19" s="433"/>
      <c r="CIZ19" s="433"/>
      <c r="CJA19" s="433"/>
      <c r="CJB19" s="433"/>
      <c r="CJC19" s="433"/>
      <c r="CJD19" s="433"/>
      <c r="CJE19" s="433"/>
      <c r="CJF19" s="433"/>
      <c r="CJG19" s="433"/>
      <c r="CJH19" s="433"/>
      <c r="CJI19" s="433"/>
      <c r="CJJ19" s="433"/>
      <c r="CJK19" s="433"/>
      <c r="CJL19" s="433"/>
      <c r="CJM19" s="433"/>
      <c r="CJN19" s="433"/>
      <c r="CJO19" s="433"/>
      <c r="CJP19" s="433"/>
      <c r="CJQ19" s="433"/>
      <c r="CJR19" s="433"/>
      <c r="CJS19" s="433"/>
      <c r="CJT19" s="433"/>
      <c r="CJU19" s="433"/>
      <c r="CJV19" s="433"/>
      <c r="CJW19" s="433"/>
      <c r="CJX19" s="433"/>
      <c r="CJY19" s="433"/>
      <c r="CJZ19" s="433"/>
      <c r="CKA19" s="433"/>
      <c r="CKB19" s="433"/>
      <c r="CKC19" s="433"/>
      <c r="CKD19" s="433"/>
      <c r="CKE19" s="433"/>
      <c r="CKF19" s="433"/>
      <c r="CKG19" s="433"/>
      <c r="CKH19" s="433"/>
      <c r="CKI19" s="433"/>
      <c r="CKJ19" s="433"/>
      <c r="CKK19" s="433"/>
      <c r="CKL19" s="433"/>
      <c r="CKM19" s="433"/>
      <c r="CKN19" s="433"/>
      <c r="CKO19" s="433"/>
      <c r="CKP19" s="433"/>
      <c r="CKQ19" s="433"/>
      <c r="CKR19" s="433"/>
      <c r="CKS19" s="433"/>
      <c r="CKT19" s="433"/>
      <c r="CKU19" s="433"/>
      <c r="CKV19" s="433"/>
      <c r="CKW19" s="433"/>
      <c r="CKX19" s="433"/>
      <c r="CKY19" s="433"/>
      <c r="CKZ19" s="433"/>
      <c r="CLA19" s="433"/>
      <c r="CLB19" s="433"/>
      <c r="CLC19" s="433"/>
      <c r="CLD19" s="433"/>
      <c r="CLE19" s="433"/>
      <c r="CLF19" s="433"/>
      <c r="CLG19" s="433"/>
      <c r="CLH19" s="433"/>
      <c r="CLI19" s="433"/>
      <c r="CLJ19" s="433"/>
      <c r="CLK19" s="433"/>
      <c r="CLL19" s="433"/>
      <c r="CLM19" s="433"/>
      <c r="CLN19" s="433"/>
      <c r="CLO19" s="433"/>
      <c r="CLP19" s="433"/>
      <c r="CLQ19" s="433"/>
      <c r="CLR19" s="433"/>
      <c r="CLS19" s="433"/>
      <c r="CLT19" s="433"/>
      <c r="CLU19" s="433"/>
      <c r="CLV19" s="433"/>
      <c r="CLW19" s="433"/>
      <c r="CLX19" s="433"/>
      <c r="CLY19" s="433"/>
      <c r="CLZ19" s="433"/>
      <c r="CMA19" s="433"/>
      <c r="CMB19" s="433"/>
      <c r="CMC19" s="433"/>
      <c r="CMD19" s="433"/>
      <c r="CME19" s="433"/>
      <c r="CMF19" s="433"/>
      <c r="CMG19" s="433"/>
      <c r="CMH19" s="433"/>
      <c r="CMI19" s="433"/>
      <c r="CMJ19" s="433"/>
      <c r="CMK19" s="433"/>
      <c r="CML19" s="433"/>
      <c r="CMM19" s="433"/>
      <c r="CMN19" s="433"/>
      <c r="CMO19" s="433"/>
      <c r="CMP19" s="433"/>
      <c r="CMQ19" s="433"/>
      <c r="CMR19" s="433"/>
      <c r="CMS19" s="433"/>
      <c r="CMT19" s="433"/>
      <c r="CMU19" s="433"/>
      <c r="CMV19" s="433"/>
      <c r="CMW19" s="433"/>
      <c r="CMX19" s="433"/>
      <c r="CMY19" s="433"/>
      <c r="CMZ19" s="433"/>
      <c r="CNA19" s="433"/>
      <c r="CNB19" s="433"/>
      <c r="CNC19" s="433"/>
      <c r="CND19" s="433"/>
      <c r="CNE19" s="433"/>
      <c r="CNF19" s="433"/>
      <c r="CNG19" s="433"/>
      <c r="CNH19" s="433"/>
      <c r="CNI19" s="433"/>
      <c r="CNJ19" s="433"/>
      <c r="CNK19" s="433"/>
      <c r="CNL19" s="433"/>
      <c r="CNM19" s="433"/>
      <c r="CNN19" s="433"/>
      <c r="CNO19" s="433"/>
      <c r="CNP19" s="433"/>
      <c r="CNQ19" s="433"/>
      <c r="CNR19" s="433"/>
      <c r="CNS19" s="433"/>
      <c r="CNT19" s="433"/>
      <c r="CNU19" s="433"/>
      <c r="CNV19" s="433"/>
      <c r="CNW19" s="433"/>
      <c r="CNX19" s="433"/>
      <c r="CNY19" s="433"/>
      <c r="CNZ19" s="433"/>
      <c r="COA19" s="433"/>
      <c r="COB19" s="433"/>
      <c r="COC19" s="433"/>
      <c r="COD19" s="433"/>
      <c r="COE19" s="433"/>
      <c r="COF19" s="433"/>
      <c r="COG19" s="433"/>
      <c r="COH19" s="433"/>
      <c r="COI19" s="433"/>
      <c r="COJ19" s="433"/>
      <c r="COK19" s="433"/>
      <c r="COL19" s="433"/>
      <c r="COM19" s="433"/>
      <c r="CON19" s="433"/>
      <c r="COO19" s="433"/>
      <c r="COP19" s="433"/>
      <c r="COQ19" s="433"/>
      <c r="COR19" s="433"/>
      <c r="COS19" s="433"/>
      <c r="COT19" s="433"/>
      <c r="COU19" s="433"/>
      <c r="COV19" s="433"/>
      <c r="COW19" s="433"/>
      <c r="COX19" s="433"/>
      <c r="COY19" s="433"/>
      <c r="COZ19" s="433"/>
      <c r="CPA19" s="433"/>
      <c r="CPB19" s="433"/>
      <c r="CPC19" s="433"/>
      <c r="CPD19" s="433"/>
      <c r="CPE19" s="433"/>
      <c r="CPF19" s="433"/>
      <c r="CPG19" s="433"/>
      <c r="CPH19" s="433"/>
      <c r="CPI19" s="433"/>
      <c r="CPJ19" s="433"/>
      <c r="CPK19" s="433"/>
      <c r="CPL19" s="433"/>
      <c r="CPM19" s="433"/>
      <c r="CPN19" s="433"/>
      <c r="CPO19" s="433"/>
      <c r="CPP19" s="433"/>
      <c r="CPQ19" s="433"/>
      <c r="CPR19" s="433"/>
      <c r="CPS19" s="433"/>
      <c r="CPT19" s="433"/>
      <c r="CPU19" s="433"/>
      <c r="CPV19" s="433"/>
      <c r="CPW19" s="433"/>
      <c r="CPX19" s="433"/>
      <c r="CPY19" s="433"/>
      <c r="CPZ19" s="433"/>
      <c r="CQA19" s="433"/>
      <c r="CQB19" s="433"/>
      <c r="CQC19" s="433"/>
      <c r="CQD19" s="433"/>
      <c r="CQE19" s="433"/>
      <c r="CQF19" s="433"/>
      <c r="CQG19" s="433"/>
      <c r="CQH19" s="433"/>
      <c r="CQI19" s="433"/>
      <c r="CQJ19" s="433"/>
      <c r="CQK19" s="433"/>
      <c r="CQL19" s="433"/>
      <c r="CQM19" s="433"/>
      <c r="CQN19" s="433"/>
      <c r="CQO19" s="433"/>
      <c r="CQP19" s="433"/>
      <c r="CQQ19" s="433"/>
      <c r="CQR19" s="433"/>
      <c r="CQS19" s="433"/>
      <c r="CQT19" s="433"/>
      <c r="CQU19" s="433"/>
      <c r="CQV19" s="433"/>
      <c r="CQW19" s="433"/>
      <c r="CQX19" s="433"/>
      <c r="CQY19" s="433"/>
      <c r="CQZ19" s="433"/>
      <c r="CRA19" s="433"/>
      <c r="CRB19" s="433"/>
      <c r="CRC19" s="433"/>
      <c r="CRD19" s="433"/>
      <c r="CRE19" s="433"/>
      <c r="CRF19" s="433"/>
      <c r="CRG19" s="433"/>
      <c r="CRH19" s="433"/>
      <c r="CRI19" s="433"/>
      <c r="CRJ19" s="433"/>
      <c r="CRK19" s="433"/>
      <c r="CRL19" s="433"/>
      <c r="CRM19" s="433"/>
      <c r="CRN19" s="433"/>
      <c r="CRO19" s="433"/>
      <c r="CRP19" s="433"/>
      <c r="CRQ19" s="433"/>
      <c r="CRR19" s="433"/>
      <c r="CRS19" s="433"/>
      <c r="CRT19" s="433"/>
      <c r="CRU19" s="433"/>
      <c r="CRV19" s="433"/>
      <c r="CRW19" s="433"/>
      <c r="CRX19" s="433"/>
      <c r="CRY19" s="433"/>
      <c r="CRZ19" s="433"/>
      <c r="CSA19" s="433"/>
      <c r="CSB19" s="433"/>
      <c r="CSC19" s="433"/>
      <c r="CSD19" s="433"/>
      <c r="CSE19" s="433"/>
      <c r="CSF19" s="433"/>
      <c r="CSG19" s="433"/>
      <c r="CSH19" s="433"/>
      <c r="CSI19" s="433"/>
      <c r="CSJ19" s="433"/>
      <c r="CSK19" s="433"/>
      <c r="CSL19" s="433"/>
      <c r="CSM19" s="433"/>
      <c r="CSN19" s="433"/>
      <c r="CSO19" s="433"/>
      <c r="CSP19" s="433"/>
      <c r="CSQ19" s="433"/>
      <c r="CSR19" s="433"/>
      <c r="CSS19" s="433"/>
      <c r="CST19" s="433"/>
      <c r="CSU19" s="433"/>
      <c r="CSV19" s="433"/>
      <c r="CSW19" s="433"/>
      <c r="CSX19" s="433"/>
      <c r="CSY19" s="433"/>
      <c r="CSZ19" s="433"/>
      <c r="CTA19" s="433"/>
      <c r="CTB19" s="433"/>
      <c r="CTC19" s="433"/>
      <c r="CTD19" s="433"/>
      <c r="CTE19" s="433"/>
      <c r="CTF19" s="433"/>
      <c r="CTG19" s="433"/>
      <c r="CTH19" s="433"/>
      <c r="CTI19" s="433"/>
      <c r="CTJ19" s="433"/>
      <c r="CTK19" s="433"/>
      <c r="CTL19" s="433"/>
      <c r="CTM19" s="433"/>
      <c r="CTN19" s="433"/>
      <c r="CTO19" s="433"/>
      <c r="CTP19" s="433"/>
      <c r="CTQ19" s="433"/>
      <c r="CTR19" s="433"/>
      <c r="CTS19" s="433"/>
      <c r="CTT19" s="433"/>
      <c r="CTU19" s="433"/>
      <c r="CTV19" s="433"/>
      <c r="CTW19" s="433"/>
      <c r="CTX19" s="433"/>
      <c r="CTY19" s="433"/>
      <c r="CTZ19" s="433"/>
      <c r="CUA19" s="433"/>
      <c r="CUB19" s="433"/>
      <c r="CUC19" s="433"/>
      <c r="CUD19" s="433"/>
      <c r="CUE19" s="433"/>
      <c r="CUF19" s="433"/>
      <c r="CUG19" s="433"/>
      <c r="CUH19" s="433"/>
      <c r="CUI19" s="433"/>
      <c r="CUJ19" s="433"/>
      <c r="CUK19" s="433"/>
      <c r="CUL19" s="433"/>
      <c r="CUM19" s="433"/>
      <c r="CUN19" s="433"/>
      <c r="CUO19" s="433"/>
      <c r="CUP19" s="433"/>
      <c r="CUQ19" s="433"/>
      <c r="CUR19" s="433"/>
      <c r="CUS19" s="433"/>
      <c r="CUT19" s="433"/>
      <c r="CUU19" s="433"/>
      <c r="CUV19" s="433"/>
      <c r="CUW19" s="433"/>
      <c r="CUX19" s="433"/>
      <c r="CUY19" s="433"/>
      <c r="CUZ19" s="433"/>
      <c r="CVA19" s="433"/>
      <c r="CVB19" s="433"/>
      <c r="CVC19" s="433"/>
      <c r="CVD19" s="433"/>
      <c r="CVE19" s="433"/>
      <c r="CVF19" s="433"/>
      <c r="CVG19" s="433"/>
      <c r="CVH19" s="433"/>
      <c r="CVI19" s="433"/>
      <c r="CVJ19" s="433"/>
      <c r="CVK19" s="433"/>
      <c r="CVL19" s="433"/>
      <c r="CVM19" s="433"/>
      <c r="CVN19" s="433"/>
      <c r="CVO19" s="433"/>
      <c r="CVP19" s="433"/>
      <c r="CVQ19" s="433"/>
      <c r="CVR19" s="433"/>
      <c r="CVS19" s="433"/>
      <c r="CVT19" s="433"/>
      <c r="CVU19" s="433"/>
      <c r="CVV19" s="433"/>
      <c r="CVW19" s="433"/>
      <c r="CVX19" s="433"/>
      <c r="CVY19" s="433"/>
      <c r="CVZ19" s="433"/>
      <c r="CWA19" s="433"/>
      <c r="CWB19" s="433"/>
      <c r="CWC19" s="433"/>
      <c r="CWD19" s="433"/>
      <c r="CWE19" s="433"/>
      <c r="CWF19" s="433"/>
      <c r="CWG19" s="433"/>
      <c r="CWH19" s="433"/>
      <c r="CWI19" s="433"/>
      <c r="CWJ19" s="433"/>
      <c r="CWK19" s="433"/>
      <c r="CWL19" s="433"/>
      <c r="CWM19" s="433"/>
      <c r="CWN19" s="433"/>
      <c r="CWO19" s="433"/>
      <c r="CWP19" s="433"/>
      <c r="CWQ19" s="433"/>
      <c r="CWR19" s="433"/>
      <c r="CWS19" s="433"/>
      <c r="CWT19" s="433"/>
      <c r="CWU19" s="433"/>
      <c r="CWV19" s="433"/>
      <c r="CWW19" s="433"/>
      <c r="CWX19" s="433"/>
      <c r="CWY19" s="433"/>
      <c r="CWZ19" s="433"/>
      <c r="CXA19" s="433"/>
      <c r="CXB19" s="433"/>
      <c r="CXC19" s="433"/>
      <c r="CXD19" s="433"/>
      <c r="CXE19" s="433"/>
      <c r="CXF19" s="433"/>
      <c r="CXG19" s="433"/>
      <c r="CXH19" s="433"/>
      <c r="CXI19" s="433"/>
      <c r="CXJ19" s="433"/>
      <c r="CXK19" s="433"/>
      <c r="CXL19" s="433"/>
      <c r="CXM19" s="433"/>
      <c r="CXN19" s="433"/>
      <c r="CXO19" s="433"/>
      <c r="CXP19" s="433"/>
      <c r="CXQ19" s="433"/>
      <c r="CXR19" s="433"/>
      <c r="CXS19" s="433"/>
      <c r="CXT19" s="433"/>
      <c r="CXU19" s="433"/>
      <c r="CXV19" s="433"/>
      <c r="CXW19" s="433"/>
      <c r="CXX19" s="433"/>
      <c r="CXY19" s="433"/>
      <c r="CXZ19" s="433"/>
      <c r="CYA19" s="433"/>
      <c r="CYB19" s="433"/>
      <c r="CYC19" s="433"/>
      <c r="CYD19" s="433"/>
      <c r="CYE19" s="433"/>
      <c r="CYF19" s="433"/>
      <c r="CYG19" s="433"/>
      <c r="CYH19" s="433"/>
      <c r="CYI19" s="433"/>
      <c r="CYJ19" s="433"/>
      <c r="CYK19" s="433"/>
      <c r="CYL19" s="433"/>
      <c r="CYM19" s="433"/>
      <c r="CYN19" s="433"/>
      <c r="CYO19" s="433"/>
      <c r="CYP19" s="433"/>
      <c r="CYQ19" s="433"/>
      <c r="CYR19" s="433"/>
      <c r="CYS19" s="433"/>
      <c r="CYT19" s="433"/>
      <c r="CYU19" s="433"/>
      <c r="CYV19" s="433"/>
      <c r="CYW19" s="433"/>
      <c r="CYX19" s="433"/>
      <c r="CYY19" s="433"/>
      <c r="CYZ19" s="433"/>
      <c r="CZA19" s="433"/>
      <c r="CZB19" s="433"/>
      <c r="CZC19" s="433"/>
      <c r="CZD19" s="433"/>
      <c r="CZE19" s="433"/>
      <c r="CZF19" s="433"/>
      <c r="CZG19" s="433"/>
      <c r="CZH19" s="433"/>
      <c r="CZI19" s="433"/>
      <c r="CZJ19" s="433"/>
      <c r="CZK19" s="433"/>
      <c r="CZL19" s="433"/>
      <c r="CZM19" s="433"/>
      <c r="CZN19" s="433"/>
      <c r="CZO19" s="433"/>
      <c r="CZP19" s="433"/>
      <c r="CZQ19" s="433"/>
      <c r="CZR19" s="433"/>
      <c r="CZS19" s="433"/>
      <c r="CZT19" s="433"/>
      <c r="CZU19" s="433"/>
      <c r="CZV19" s="433"/>
      <c r="CZW19" s="433"/>
      <c r="CZX19" s="433"/>
      <c r="CZY19" s="433"/>
      <c r="CZZ19" s="433"/>
      <c r="DAA19" s="433"/>
      <c r="DAB19" s="433"/>
      <c r="DAC19" s="433"/>
      <c r="DAD19" s="433"/>
      <c r="DAE19" s="433"/>
      <c r="DAF19" s="433"/>
      <c r="DAG19" s="433"/>
      <c r="DAH19" s="433"/>
      <c r="DAI19" s="433"/>
      <c r="DAJ19" s="433"/>
      <c r="DAK19" s="433"/>
      <c r="DAL19" s="433"/>
      <c r="DAM19" s="433"/>
      <c r="DAN19" s="433"/>
      <c r="DAO19" s="433"/>
      <c r="DAP19" s="433"/>
      <c r="DAQ19" s="433"/>
      <c r="DAR19" s="433"/>
      <c r="DAS19" s="433"/>
      <c r="DAT19" s="433"/>
      <c r="DAU19" s="433"/>
      <c r="DAV19" s="433"/>
      <c r="DAW19" s="433"/>
      <c r="DAX19" s="433"/>
      <c r="DAY19" s="433"/>
      <c r="DAZ19" s="433"/>
      <c r="DBA19" s="433"/>
      <c r="DBB19" s="433"/>
      <c r="DBC19" s="433"/>
      <c r="DBD19" s="433"/>
      <c r="DBE19" s="433"/>
      <c r="DBF19" s="433"/>
      <c r="DBG19" s="433"/>
      <c r="DBH19" s="433"/>
      <c r="DBI19" s="433"/>
      <c r="DBJ19" s="433"/>
      <c r="DBK19" s="433"/>
      <c r="DBL19" s="433"/>
      <c r="DBM19" s="433"/>
      <c r="DBN19" s="433"/>
      <c r="DBO19" s="433"/>
      <c r="DBP19" s="433"/>
      <c r="DBQ19" s="433"/>
      <c r="DBR19" s="433"/>
      <c r="DBS19" s="433"/>
      <c r="DBT19" s="433"/>
      <c r="DBU19" s="433"/>
      <c r="DBV19" s="433"/>
      <c r="DBW19" s="433"/>
      <c r="DBX19" s="433"/>
      <c r="DBY19" s="433"/>
      <c r="DBZ19" s="433"/>
      <c r="DCA19" s="433"/>
      <c r="DCB19" s="433"/>
      <c r="DCC19" s="433"/>
      <c r="DCD19" s="433"/>
      <c r="DCE19" s="433"/>
      <c r="DCF19" s="433"/>
      <c r="DCG19" s="433"/>
      <c r="DCH19" s="433"/>
      <c r="DCI19" s="433"/>
      <c r="DCJ19" s="433"/>
      <c r="DCK19" s="433"/>
      <c r="DCL19" s="433"/>
      <c r="DCM19" s="433"/>
      <c r="DCN19" s="433"/>
      <c r="DCO19" s="433"/>
      <c r="DCP19" s="433"/>
      <c r="DCQ19" s="433"/>
      <c r="DCR19" s="433"/>
      <c r="DCS19" s="433"/>
      <c r="DCT19" s="433"/>
      <c r="DCU19" s="433"/>
      <c r="DCV19" s="433"/>
      <c r="DCW19" s="433"/>
      <c r="DCX19" s="433"/>
      <c r="DCY19" s="433"/>
      <c r="DCZ19" s="433"/>
      <c r="DDA19" s="433"/>
      <c r="DDB19" s="433"/>
      <c r="DDC19" s="433"/>
      <c r="DDD19" s="433"/>
      <c r="DDE19" s="433"/>
      <c r="DDF19" s="433"/>
      <c r="DDG19" s="433"/>
      <c r="DDH19" s="433"/>
      <c r="DDI19" s="433"/>
      <c r="DDJ19" s="433"/>
      <c r="DDK19" s="433"/>
      <c r="DDL19" s="433"/>
      <c r="DDM19" s="433"/>
      <c r="DDN19" s="433"/>
      <c r="DDO19" s="433"/>
      <c r="DDP19" s="433"/>
      <c r="DDQ19" s="433"/>
      <c r="DDR19" s="433"/>
      <c r="DDS19" s="433"/>
      <c r="DDT19" s="433"/>
      <c r="DDU19" s="433"/>
      <c r="DDV19" s="433"/>
      <c r="DDW19" s="433"/>
      <c r="DDX19" s="433"/>
      <c r="DDY19" s="433"/>
      <c r="DDZ19" s="433"/>
      <c r="DEA19" s="433"/>
      <c r="DEB19" s="433"/>
      <c r="DEC19" s="433"/>
      <c r="DED19" s="433"/>
      <c r="DEE19" s="433"/>
      <c r="DEF19" s="433"/>
      <c r="DEG19" s="433"/>
      <c r="DEH19" s="433"/>
      <c r="DEI19" s="433"/>
      <c r="DEJ19" s="433"/>
      <c r="DEK19" s="433"/>
      <c r="DEL19" s="433"/>
      <c r="DEM19" s="433"/>
      <c r="DEN19" s="433"/>
      <c r="DEO19" s="433"/>
      <c r="DEP19" s="433"/>
      <c r="DEQ19" s="433"/>
      <c r="DER19" s="433"/>
      <c r="DES19" s="433"/>
      <c r="DET19" s="433"/>
      <c r="DEU19" s="433"/>
      <c r="DEV19" s="433"/>
      <c r="DEW19" s="433"/>
      <c r="DEX19" s="433"/>
      <c r="DEY19" s="433"/>
      <c r="DEZ19" s="433"/>
      <c r="DFA19" s="433"/>
      <c r="DFB19" s="433"/>
      <c r="DFC19" s="433"/>
      <c r="DFD19" s="433"/>
      <c r="DFE19" s="433"/>
      <c r="DFF19" s="433"/>
      <c r="DFG19" s="433"/>
      <c r="DFH19" s="433"/>
      <c r="DFI19" s="433"/>
      <c r="DFJ19" s="433"/>
      <c r="DFK19" s="433"/>
      <c r="DFL19" s="433"/>
      <c r="DFM19" s="433"/>
      <c r="DFN19" s="433"/>
      <c r="DFO19" s="433"/>
      <c r="DFP19" s="433"/>
      <c r="DFQ19" s="433"/>
      <c r="DFR19" s="433"/>
      <c r="DFS19" s="433"/>
      <c r="DFT19" s="433"/>
      <c r="DFU19" s="433"/>
      <c r="DFV19" s="433"/>
      <c r="DFW19" s="433"/>
      <c r="DFX19" s="433"/>
      <c r="DFY19" s="433"/>
      <c r="DFZ19" s="433"/>
      <c r="DGA19" s="433"/>
      <c r="DGB19" s="433"/>
      <c r="DGC19" s="433"/>
      <c r="DGD19" s="433"/>
      <c r="DGE19" s="433"/>
      <c r="DGF19" s="433"/>
      <c r="DGG19" s="433"/>
      <c r="DGH19" s="433"/>
      <c r="DGI19" s="433"/>
      <c r="DGJ19" s="433"/>
      <c r="DGK19" s="433"/>
      <c r="DGL19" s="433"/>
      <c r="DGM19" s="433"/>
      <c r="DGN19" s="433"/>
      <c r="DGO19" s="433"/>
      <c r="DGP19" s="433"/>
      <c r="DGQ19" s="433"/>
      <c r="DGR19" s="433"/>
      <c r="DGS19" s="433"/>
      <c r="DGT19" s="433"/>
      <c r="DGU19" s="433"/>
      <c r="DGV19" s="433"/>
      <c r="DGW19" s="433"/>
      <c r="DGX19" s="433"/>
      <c r="DGY19" s="433"/>
      <c r="DGZ19" s="433"/>
      <c r="DHA19" s="433"/>
      <c r="DHB19" s="433"/>
      <c r="DHC19" s="433"/>
      <c r="DHD19" s="433"/>
      <c r="DHE19" s="433"/>
      <c r="DHF19" s="433"/>
      <c r="DHG19" s="433"/>
      <c r="DHH19" s="433"/>
      <c r="DHI19" s="433"/>
      <c r="DHJ19" s="433"/>
      <c r="DHK19" s="433"/>
      <c r="DHL19" s="433"/>
      <c r="DHM19" s="433"/>
      <c r="DHN19" s="433"/>
      <c r="DHO19" s="433"/>
      <c r="DHP19" s="433"/>
      <c r="DHQ19" s="433"/>
      <c r="DHR19" s="433"/>
      <c r="DHS19" s="433"/>
      <c r="DHT19" s="433"/>
      <c r="DHU19" s="433"/>
      <c r="DHV19" s="433"/>
      <c r="DHW19" s="433"/>
      <c r="DHX19" s="433"/>
      <c r="DHY19" s="433"/>
      <c r="DHZ19" s="433"/>
      <c r="DIA19" s="433"/>
      <c r="DIB19" s="433"/>
      <c r="DIC19" s="433"/>
      <c r="DID19" s="433"/>
      <c r="DIE19" s="433"/>
      <c r="DIF19" s="433"/>
      <c r="DIG19" s="433"/>
      <c r="DIH19" s="433"/>
      <c r="DII19" s="433"/>
      <c r="DIJ19" s="433"/>
      <c r="DIK19" s="433"/>
      <c r="DIL19" s="433"/>
      <c r="DIM19" s="433"/>
      <c r="DIN19" s="433"/>
      <c r="DIO19" s="433"/>
      <c r="DIP19" s="433"/>
      <c r="DIQ19" s="433"/>
      <c r="DIR19" s="433"/>
      <c r="DIS19" s="433"/>
      <c r="DIT19" s="433"/>
      <c r="DIU19" s="433"/>
      <c r="DIV19" s="433"/>
      <c r="DIW19" s="433"/>
      <c r="DIX19" s="433"/>
      <c r="DIY19" s="433"/>
      <c r="DIZ19" s="433"/>
      <c r="DJA19" s="433"/>
      <c r="DJB19" s="433"/>
      <c r="DJC19" s="433"/>
      <c r="DJD19" s="433"/>
      <c r="DJE19" s="433"/>
      <c r="DJF19" s="433"/>
      <c r="DJG19" s="433"/>
      <c r="DJH19" s="433"/>
      <c r="DJI19" s="433"/>
      <c r="DJJ19" s="433"/>
      <c r="DJK19" s="433"/>
      <c r="DJL19" s="433"/>
      <c r="DJM19" s="433"/>
      <c r="DJN19" s="433"/>
      <c r="DJO19" s="433"/>
      <c r="DJP19" s="433"/>
      <c r="DJQ19" s="433"/>
      <c r="DJR19" s="433"/>
      <c r="DJS19" s="433"/>
      <c r="DJT19" s="433"/>
      <c r="DJU19" s="433"/>
      <c r="DJV19" s="433"/>
      <c r="DJW19" s="433"/>
      <c r="DJX19" s="433"/>
      <c r="DJY19" s="433"/>
      <c r="DJZ19" s="433"/>
      <c r="DKA19" s="433"/>
      <c r="DKB19" s="433"/>
      <c r="DKC19" s="433"/>
      <c r="DKD19" s="433"/>
      <c r="DKE19" s="433"/>
      <c r="DKF19" s="433"/>
      <c r="DKG19" s="433"/>
      <c r="DKH19" s="433"/>
      <c r="DKI19" s="433"/>
      <c r="DKJ19" s="433"/>
      <c r="DKK19" s="433"/>
      <c r="DKL19" s="433"/>
      <c r="DKM19" s="433"/>
      <c r="DKN19" s="433"/>
      <c r="DKO19" s="433"/>
      <c r="DKP19" s="433"/>
      <c r="DKQ19" s="433"/>
      <c r="DKR19" s="433"/>
      <c r="DKS19" s="433"/>
      <c r="DKT19" s="433"/>
      <c r="DKU19" s="433"/>
      <c r="DKV19" s="433"/>
      <c r="DKW19" s="433"/>
      <c r="DKX19" s="433"/>
      <c r="DKY19" s="433"/>
      <c r="DKZ19" s="433"/>
      <c r="DLA19" s="433"/>
      <c r="DLB19" s="433"/>
      <c r="DLC19" s="433"/>
      <c r="DLD19" s="433"/>
      <c r="DLE19" s="433"/>
      <c r="DLF19" s="433"/>
      <c r="DLG19" s="433"/>
      <c r="DLH19" s="433"/>
      <c r="DLI19" s="433"/>
      <c r="DLJ19" s="433"/>
      <c r="DLK19" s="433"/>
      <c r="DLL19" s="433"/>
      <c r="DLM19" s="433"/>
      <c r="DLN19" s="433"/>
      <c r="DLO19" s="433"/>
      <c r="DLP19" s="433"/>
      <c r="DLQ19" s="433"/>
      <c r="DLR19" s="433"/>
      <c r="DLS19" s="433"/>
      <c r="DLT19" s="433"/>
      <c r="DLU19" s="433"/>
      <c r="DLV19" s="433"/>
      <c r="DLW19" s="433"/>
      <c r="DLX19" s="433"/>
      <c r="DLY19" s="433"/>
      <c r="DLZ19" s="433"/>
      <c r="DMA19" s="433"/>
      <c r="DMB19" s="433"/>
      <c r="DMC19" s="433"/>
      <c r="DMD19" s="433"/>
      <c r="DME19" s="433"/>
      <c r="DMF19" s="433"/>
      <c r="DMG19" s="433"/>
      <c r="DMH19" s="433"/>
      <c r="DMI19" s="433"/>
      <c r="DMJ19" s="433"/>
      <c r="DMK19" s="433"/>
      <c r="DML19" s="433"/>
      <c r="DMM19" s="433"/>
      <c r="DMN19" s="433"/>
      <c r="DMO19" s="433"/>
      <c r="DMP19" s="433"/>
      <c r="DMQ19" s="433"/>
      <c r="DMR19" s="433"/>
      <c r="DMS19" s="433"/>
      <c r="DMT19" s="433"/>
      <c r="DMU19" s="433"/>
      <c r="DMV19" s="433"/>
      <c r="DMW19" s="433"/>
      <c r="DMX19" s="433"/>
      <c r="DMY19" s="433"/>
      <c r="DMZ19" s="433"/>
      <c r="DNA19" s="433"/>
      <c r="DNB19" s="433"/>
      <c r="DNC19" s="433"/>
      <c r="DND19" s="433"/>
      <c r="DNE19" s="433"/>
      <c r="DNF19" s="433"/>
      <c r="DNG19" s="433"/>
      <c r="DNH19" s="433"/>
      <c r="DNI19" s="433"/>
      <c r="DNJ19" s="433"/>
      <c r="DNK19" s="433"/>
      <c r="DNL19" s="433"/>
      <c r="DNM19" s="433"/>
      <c r="DNN19" s="433"/>
      <c r="DNO19" s="433"/>
      <c r="DNP19" s="433"/>
      <c r="DNQ19" s="433"/>
      <c r="DNR19" s="433"/>
      <c r="DNS19" s="433"/>
      <c r="DNT19" s="433"/>
      <c r="DNU19" s="433"/>
      <c r="DNV19" s="433"/>
      <c r="DNW19" s="433"/>
      <c r="DNX19" s="433"/>
      <c r="DNY19" s="433"/>
      <c r="DNZ19" s="433"/>
      <c r="DOA19" s="433"/>
      <c r="DOB19" s="433"/>
      <c r="DOC19" s="433"/>
      <c r="DOD19" s="433"/>
      <c r="DOE19" s="433"/>
      <c r="DOF19" s="433"/>
      <c r="DOG19" s="433"/>
      <c r="DOH19" s="433"/>
      <c r="DOI19" s="433"/>
      <c r="DOJ19" s="433"/>
      <c r="DOK19" s="433"/>
      <c r="DOL19" s="433"/>
      <c r="DOM19" s="433"/>
      <c r="DON19" s="433"/>
      <c r="DOO19" s="433"/>
      <c r="DOP19" s="433"/>
      <c r="DOQ19" s="433"/>
      <c r="DOR19" s="433"/>
      <c r="DOS19" s="433"/>
      <c r="DOT19" s="433"/>
      <c r="DOU19" s="433"/>
      <c r="DOV19" s="433"/>
      <c r="DOW19" s="433"/>
      <c r="DOX19" s="433"/>
      <c r="DOY19" s="433"/>
      <c r="DOZ19" s="433"/>
      <c r="DPA19" s="433"/>
      <c r="DPB19" s="433"/>
      <c r="DPC19" s="433"/>
      <c r="DPD19" s="433"/>
      <c r="DPE19" s="433"/>
      <c r="DPF19" s="433"/>
      <c r="DPG19" s="433"/>
      <c r="DPH19" s="433"/>
      <c r="DPI19" s="433"/>
      <c r="DPJ19" s="433"/>
      <c r="DPK19" s="433"/>
      <c r="DPL19" s="433"/>
      <c r="DPM19" s="433"/>
      <c r="DPN19" s="433"/>
      <c r="DPO19" s="433"/>
      <c r="DPP19" s="433"/>
      <c r="DPQ19" s="433"/>
      <c r="DPR19" s="433"/>
      <c r="DPS19" s="433"/>
      <c r="DPT19" s="433"/>
      <c r="DPU19" s="433"/>
      <c r="DPV19" s="433"/>
      <c r="DPW19" s="433"/>
      <c r="DPX19" s="433"/>
      <c r="DPY19" s="433"/>
      <c r="DPZ19" s="433"/>
      <c r="DQA19" s="433"/>
      <c r="DQB19" s="433"/>
      <c r="DQC19" s="433"/>
      <c r="DQD19" s="433"/>
      <c r="DQE19" s="433"/>
      <c r="DQF19" s="433"/>
      <c r="DQG19" s="433"/>
      <c r="DQH19" s="433"/>
      <c r="DQI19" s="433"/>
      <c r="DQJ19" s="433"/>
      <c r="DQK19" s="433"/>
      <c r="DQL19" s="433"/>
      <c r="DQM19" s="433"/>
      <c r="DQN19" s="433"/>
      <c r="DQO19" s="433"/>
      <c r="DQP19" s="433"/>
      <c r="DQQ19" s="433"/>
      <c r="DQR19" s="433"/>
      <c r="DQS19" s="433"/>
      <c r="DQT19" s="433"/>
      <c r="DQU19" s="433"/>
      <c r="DQV19" s="433"/>
      <c r="DQW19" s="433"/>
      <c r="DQX19" s="433"/>
      <c r="DQY19" s="433"/>
      <c r="DQZ19" s="433"/>
      <c r="DRA19" s="433"/>
      <c r="DRB19" s="433"/>
      <c r="DRC19" s="433"/>
      <c r="DRD19" s="433"/>
      <c r="DRE19" s="433"/>
      <c r="DRF19" s="433"/>
      <c r="DRG19" s="433"/>
      <c r="DRH19" s="433"/>
      <c r="DRI19" s="433"/>
      <c r="DRJ19" s="433"/>
      <c r="DRK19" s="433"/>
      <c r="DRL19" s="433"/>
      <c r="DRM19" s="433"/>
      <c r="DRN19" s="433"/>
      <c r="DRO19" s="433"/>
      <c r="DRP19" s="433"/>
      <c r="DRQ19" s="433"/>
      <c r="DRR19" s="433"/>
      <c r="DRS19" s="433"/>
      <c r="DRT19" s="433"/>
      <c r="DRU19" s="433"/>
      <c r="DRV19" s="433"/>
      <c r="DRW19" s="433"/>
      <c r="DRX19" s="433"/>
      <c r="DRY19" s="433"/>
      <c r="DRZ19" s="433"/>
      <c r="DSA19" s="433"/>
      <c r="DSB19" s="433"/>
      <c r="DSC19" s="433"/>
      <c r="DSD19" s="433"/>
      <c r="DSE19" s="433"/>
      <c r="DSF19" s="433"/>
      <c r="DSG19" s="433"/>
      <c r="DSH19" s="433"/>
      <c r="DSI19" s="433"/>
      <c r="DSJ19" s="433"/>
      <c r="DSK19" s="433"/>
      <c r="DSL19" s="433"/>
      <c r="DSM19" s="433"/>
      <c r="DSN19" s="433"/>
      <c r="DSO19" s="433"/>
      <c r="DSP19" s="433"/>
      <c r="DSQ19" s="433"/>
      <c r="DSR19" s="433"/>
      <c r="DSS19" s="433"/>
      <c r="DST19" s="433"/>
      <c r="DSU19" s="433"/>
      <c r="DSV19" s="433"/>
      <c r="DSW19" s="433"/>
      <c r="DSX19" s="433"/>
      <c r="DSY19" s="433"/>
      <c r="DSZ19" s="433"/>
      <c r="DTA19" s="433"/>
      <c r="DTB19" s="433"/>
      <c r="DTC19" s="433"/>
      <c r="DTD19" s="433"/>
      <c r="DTE19" s="433"/>
      <c r="DTF19" s="433"/>
      <c r="DTG19" s="433"/>
      <c r="DTH19" s="433"/>
      <c r="DTI19" s="433"/>
      <c r="DTJ19" s="433"/>
      <c r="DTK19" s="433"/>
      <c r="DTL19" s="433"/>
      <c r="DTM19" s="433"/>
      <c r="DTN19" s="433"/>
      <c r="DTO19" s="433"/>
      <c r="DTP19" s="433"/>
      <c r="DTQ19" s="433"/>
      <c r="DTR19" s="433"/>
      <c r="DTS19" s="433"/>
      <c r="DTT19" s="433"/>
      <c r="DTU19" s="433"/>
      <c r="DTV19" s="433"/>
      <c r="DTW19" s="433"/>
      <c r="DTX19" s="433"/>
      <c r="DTY19" s="433"/>
      <c r="DTZ19" s="433"/>
      <c r="DUA19" s="433"/>
      <c r="DUB19" s="433"/>
      <c r="DUC19" s="433"/>
      <c r="DUD19" s="433"/>
      <c r="DUE19" s="433"/>
      <c r="DUF19" s="433"/>
      <c r="DUG19" s="433"/>
      <c r="DUH19" s="433"/>
      <c r="DUI19" s="433"/>
      <c r="DUJ19" s="433"/>
      <c r="DUK19" s="433"/>
      <c r="DUL19" s="433"/>
      <c r="DUM19" s="433"/>
      <c r="DUN19" s="433"/>
      <c r="DUO19" s="433"/>
      <c r="DUP19" s="433"/>
      <c r="DUQ19" s="433"/>
      <c r="DUR19" s="433"/>
      <c r="DUS19" s="433"/>
      <c r="DUT19" s="433"/>
      <c r="DUU19" s="433"/>
      <c r="DUV19" s="433"/>
      <c r="DUW19" s="433"/>
      <c r="DUX19" s="433"/>
      <c r="DUY19" s="433"/>
      <c r="DUZ19" s="433"/>
      <c r="DVA19" s="433"/>
      <c r="DVB19" s="433"/>
      <c r="DVC19" s="433"/>
      <c r="DVD19" s="433"/>
      <c r="DVE19" s="433"/>
      <c r="DVF19" s="433"/>
      <c r="DVG19" s="433"/>
      <c r="DVH19" s="433"/>
      <c r="DVI19" s="433"/>
      <c r="DVJ19" s="433"/>
      <c r="DVK19" s="433"/>
      <c r="DVL19" s="433"/>
      <c r="DVM19" s="433"/>
      <c r="DVN19" s="433"/>
      <c r="DVO19" s="433"/>
      <c r="DVP19" s="433"/>
      <c r="DVQ19" s="433"/>
      <c r="DVR19" s="433"/>
      <c r="DVS19" s="433"/>
      <c r="DVT19" s="433"/>
      <c r="DVU19" s="433"/>
      <c r="DVV19" s="433"/>
      <c r="DVW19" s="433"/>
      <c r="DVX19" s="433"/>
      <c r="DVY19" s="433"/>
      <c r="DVZ19" s="433"/>
      <c r="DWA19" s="433"/>
      <c r="DWB19" s="433"/>
      <c r="DWC19" s="433"/>
      <c r="DWD19" s="433"/>
      <c r="DWE19" s="433"/>
      <c r="DWF19" s="433"/>
      <c r="DWG19" s="433"/>
      <c r="DWH19" s="433"/>
      <c r="DWI19" s="433"/>
      <c r="DWJ19" s="433"/>
      <c r="DWK19" s="433"/>
      <c r="DWL19" s="433"/>
      <c r="DWM19" s="433"/>
      <c r="DWN19" s="433"/>
      <c r="DWO19" s="433"/>
      <c r="DWP19" s="433"/>
      <c r="DWQ19" s="433"/>
      <c r="DWR19" s="433"/>
      <c r="DWS19" s="433"/>
      <c r="DWT19" s="433"/>
      <c r="DWU19" s="433"/>
      <c r="DWV19" s="433"/>
      <c r="DWW19" s="433"/>
      <c r="DWX19" s="433"/>
      <c r="DWY19" s="433"/>
      <c r="DWZ19" s="433"/>
      <c r="DXA19" s="433"/>
      <c r="DXB19" s="433"/>
      <c r="DXC19" s="433"/>
      <c r="DXD19" s="433"/>
      <c r="DXE19" s="433"/>
      <c r="DXF19" s="433"/>
      <c r="DXG19" s="433"/>
      <c r="DXH19" s="433"/>
      <c r="DXI19" s="433"/>
      <c r="DXJ19" s="433"/>
      <c r="DXK19" s="433"/>
      <c r="DXL19" s="433"/>
      <c r="DXM19" s="433"/>
      <c r="DXN19" s="433"/>
      <c r="DXO19" s="433"/>
      <c r="DXP19" s="433"/>
      <c r="DXQ19" s="433"/>
      <c r="DXR19" s="433"/>
      <c r="DXS19" s="433"/>
      <c r="DXT19" s="433"/>
      <c r="DXU19" s="433"/>
      <c r="DXV19" s="433"/>
      <c r="DXW19" s="433"/>
      <c r="DXX19" s="433"/>
      <c r="DXY19" s="433"/>
      <c r="DXZ19" s="433"/>
      <c r="DYA19" s="433"/>
      <c r="DYB19" s="433"/>
      <c r="DYC19" s="433"/>
      <c r="DYD19" s="433"/>
      <c r="DYE19" s="433"/>
      <c r="DYF19" s="433"/>
      <c r="DYG19" s="433"/>
      <c r="DYH19" s="433"/>
      <c r="DYI19" s="433"/>
      <c r="DYJ19" s="433"/>
      <c r="DYK19" s="433"/>
      <c r="DYL19" s="433"/>
      <c r="DYM19" s="433"/>
      <c r="DYN19" s="433"/>
      <c r="DYO19" s="433"/>
      <c r="DYP19" s="433"/>
      <c r="DYQ19" s="433"/>
      <c r="DYR19" s="433"/>
      <c r="DYS19" s="433"/>
      <c r="DYT19" s="433"/>
      <c r="DYU19" s="433"/>
      <c r="DYV19" s="433"/>
      <c r="DYW19" s="433"/>
      <c r="DYX19" s="433"/>
      <c r="DYY19" s="433"/>
      <c r="DYZ19" s="433"/>
      <c r="DZA19" s="433"/>
      <c r="DZB19" s="433"/>
      <c r="DZC19" s="433"/>
      <c r="DZD19" s="433"/>
      <c r="DZE19" s="433"/>
      <c r="DZF19" s="433"/>
      <c r="DZG19" s="433"/>
      <c r="DZH19" s="433"/>
      <c r="DZI19" s="433"/>
      <c r="DZJ19" s="433"/>
      <c r="DZK19" s="433"/>
      <c r="DZL19" s="433"/>
      <c r="DZM19" s="433"/>
      <c r="DZN19" s="433"/>
      <c r="DZO19" s="433"/>
      <c r="DZP19" s="433"/>
      <c r="DZQ19" s="433"/>
      <c r="DZR19" s="433"/>
      <c r="DZS19" s="433"/>
      <c r="DZT19" s="433"/>
      <c r="DZU19" s="433"/>
      <c r="DZV19" s="433"/>
      <c r="DZW19" s="433"/>
      <c r="DZX19" s="433"/>
      <c r="DZY19" s="433"/>
      <c r="DZZ19" s="433"/>
      <c r="EAA19" s="433"/>
      <c r="EAB19" s="433"/>
      <c r="EAC19" s="433"/>
      <c r="EAD19" s="433"/>
      <c r="EAE19" s="433"/>
      <c r="EAF19" s="433"/>
      <c r="EAG19" s="433"/>
      <c r="EAH19" s="433"/>
      <c r="EAI19" s="433"/>
      <c r="EAJ19" s="433"/>
      <c r="EAK19" s="433"/>
      <c r="EAL19" s="433"/>
      <c r="EAM19" s="433"/>
      <c r="EAN19" s="433"/>
      <c r="EAO19" s="433"/>
      <c r="EAP19" s="433"/>
      <c r="EAQ19" s="433"/>
      <c r="EAR19" s="433"/>
      <c r="EAS19" s="433"/>
      <c r="EAT19" s="433"/>
      <c r="EAU19" s="433"/>
      <c r="EAV19" s="433"/>
      <c r="EAW19" s="433"/>
      <c r="EAX19" s="433"/>
      <c r="EAY19" s="433"/>
      <c r="EAZ19" s="433"/>
      <c r="EBA19" s="433"/>
      <c r="EBB19" s="433"/>
      <c r="EBC19" s="433"/>
      <c r="EBD19" s="433"/>
      <c r="EBE19" s="433"/>
      <c r="EBF19" s="433"/>
      <c r="EBG19" s="433"/>
      <c r="EBH19" s="433"/>
      <c r="EBI19" s="433"/>
      <c r="EBJ19" s="433"/>
      <c r="EBK19" s="433"/>
      <c r="EBL19" s="433"/>
      <c r="EBM19" s="433"/>
      <c r="EBN19" s="433"/>
      <c r="EBO19" s="433"/>
      <c r="EBP19" s="433"/>
      <c r="EBQ19" s="433"/>
      <c r="EBR19" s="433"/>
      <c r="EBS19" s="433"/>
      <c r="EBT19" s="433"/>
      <c r="EBU19" s="433"/>
      <c r="EBV19" s="433"/>
      <c r="EBW19" s="433"/>
      <c r="EBX19" s="433"/>
      <c r="EBY19" s="433"/>
      <c r="EBZ19" s="433"/>
      <c r="ECA19" s="433"/>
      <c r="ECB19" s="433"/>
      <c r="ECC19" s="433"/>
      <c r="ECD19" s="433"/>
      <c r="ECE19" s="433"/>
      <c r="ECF19" s="433"/>
      <c r="ECG19" s="433"/>
      <c r="ECH19" s="433"/>
      <c r="ECI19" s="433"/>
      <c r="ECJ19" s="433"/>
      <c r="ECK19" s="433"/>
      <c r="ECL19" s="433"/>
      <c r="ECM19" s="433"/>
      <c r="ECN19" s="433"/>
      <c r="ECO19" s="433"/>
      <c r="ECP19" s="433"/>
      <c r="ECQ19" s="433"/>
      <c r="ECR19" s="433"/>
      <c r="ECS19" s="433"/>
      <c r="ECT19" s="433"/>
      <c r="ECU19" s="433"/>
      <c r="ECV19" s="433"/>
      <c r="ECW19" s="433"/>
      <c r="ECX19" s="433"/>
      <c r="ECY19" s="433"/>
      <c r="ECZ19" s="433"/>
      <c r="EDA19" s="433"/>
      <c r="EDB19" s="433"/>
      <c r="EDC19" s="433"/>
      <c r="EDD19" s="433"/>
      <c r="EDE19" s="433"/>
      <c r="EDF19" s="433"/>
      <c r="EDG19" s="433"/>
      <c r="EDH19" s="433"/>
      <c r="EDI19" s="433"/>
      <c r="EDJ19" s="433"/>
      <c r="EDK19" s="433"/>
      <c r="EDL19" s="433"/>
      <c r="EDM19" s="433"/>
      <c r="EDN19" s="433"/>
      <c r="EDO19" s="433"/>
      <c r="EDP19" s="433"/>
      <c r="EDQ19" s="433"/>
      <c r="EDR19" s="433"/>
      <c r="EDS19" s="433"/>
      <c r="EDT19" s="433"/>
      <c r="EDU19" s="433"/>
      <c r="EDV19" s="433"/>
      <c r="EDW19" s="433"/>
      <c r="EDX19" s="433"/>
      <c r="EDY19" s="433"/>
      <c r="EDZ19" s="433"/>
      <c r="EEA19" s="433"/>
      <c r="EEB19" s="433"/>
      <c r="EEC19" s="433"/>
      <c r="EED19" s="433"/>
      <c r="EEE19" s="433"/>
      <c r="EEF19" s="433"/>
      <c r="EEG19" s="433"/>
      <c r="EEH19" s="433"/>
      <c r="EEI19" s="433"/>
      <c r="EEJ19" s="433"/>
      <c r="EEK19" s="433"/>
      <c r="EEL19" s="433"/>
      <c r="EEM19" s="433"/>
      <c r="EEN19" s="433"/>
      <c r="EEO19" s="433"/>
      <c r="EEP19" s="433"/>
      <c r="EEQ19" s="433"/>
      <c r="EER19" s="433"/>
      <c r="EES19" s="433"/>
      <c r="EET19" s="433"/>
      <c r="EEU19" s="433"/>
      <c r="EEV19" s="433"/>
      <c r="EEW19" s="433"/>
      <c r="EEX19" s="433"/>
      <c r="EEY19" s="433"/>
      <c r="EEZ19" s="433"/>
      <c r="EFA19" s="433"/>
      <c r="EFB19" s="433"/>
      <c r="EFC19" s="433"/>
      <c r="EFD19" s="433"/>
      <c r="EFE19" s="433"/>
      <c r="EFF19" s="433"/>
      <c r="EFG19" s="433"/>
      <c r="EFH19" s="433"/>
      <c r="EFI19" s="433"/>
      <c r="EFJ19" s="433"/>
      <c r="EFK19" s="433"/>
      <c r="EFL19" s="433"/>
      <c r="EFM19" s="433"/>
      <c r="EFN19" s="433"/>
      <c r="EFO19" s="433"/>
      <c r="EFP19" s="433"/>
      <c r="EFQ19" s="433"/>
      <c r="EFR19" s="433"/>
      <c r="EFS19" s="433"/>
      <c r="EFT19" s="433"/>
      <c r="EFU19" s="433"/>
      <c r="EFV19" s="433"/>
      <c r="EFW19" s="433"/>
      <c r="EFX19" s="433"/>
      <c r="EFY19" s="433"/>
      <c r="EFZ19" s="433"/>
      <c r="EGA19" s="433"/>
      <c r="EGB19" s="433"/>
      <c r="EGC19" s="433"/>
      <c r="EGD19" s="433"/>
      <c r="EGE19" s="433"/>
      <c r="EGF19" s="433"/>
      <c r="EGG19" s="433"/>
      <c r="EGH19" s="433"/>
      <c r="EGI19" s="433"/>
      <c r="EGJ19" s="433"/>
      <c r="EGK19" s="433"/>
      <c r="EGL19" s="433"/>
      <c r="EGM19" s="433"/>
      <c r="EGN19" s="433"/>
      <c r="EGO19" s="433"/>
      <c r="EGP19" s="433"/>
      <c r="EGQ19" s="433"/>
      <c r="EGR19" s="433"/>
      <c r="EGS19" s="433"/>
      <c r="EGT19" s="433"/>
      <c r="EGU19" s="433"/>
      <c r="EGV19" s="433"/>
      <c r="EGW19" s="433"/>
      <c r="EGX19" s="433"/>
      <c r="EGY19" s="433"/>
      <c r="EGZ19" s="433"/>
      <c r="EHA19" s="433"/>
      <c r="EHB19" s="433"/>
      <c r="EHC19" s="433"/>
      <c r="EHD19" s="433"/>
      <c r="EHE19" s="433"/>
      <c r="EHF19" s="433"/>
      <c r="EHG19" s="433"/>
      <c r="EHH19" s="433"/>
      <c r="EHI19" s="433"/>
      <c r="EHJ19" s="433"/>
      <c r="EHK19" s="433"/>
      <c r="EHL19" s="433"/>
      <c r="EHM19" s="433"/>
      <c r="EHN19" s="433"/>
      <c r="EHO19" s="433"/>
      <c r="EHP19" s="433"/>
      <c r="EHQ19" s="433"/>
      <c r="EHR19" s="433"/>
      <c r="EHS19" s="433"/>
      <c r="EHT19" s="433"/>
      <c r="EHU19" s="433"/>
      <c r="EHV19" s="433"/>
      <c r="EHW19" s="433"/>
      <c r="EHX19" s="433"/>
      <c r="EHY19" s="433"/>
      <c r="EHZ19" s="433"/>
      <c r="EIA19" s="433"/>
      <c r="EIB19" s="433"/>
      <c r="EIC19" s="433"/>
      <c r="EID19" s="433"/>
      <c r="EIE19" s="433"/>
      <c r="EIF19" s="433"/>
      <c r="EIG19" s="433"/>
      <c r="EIH19" s="433"/>
      <c r="EII19" s="433"/>
      <c r="EIJ19" s="433"/>
      <c r="EIK19" s="433"/>
      <c r="EIL19" s="433"/>
      <c r="EIM19" s="433"/>
      <c r="EIN19" s="433"/>
      <c r="EIO19" s="433"/>
      <c r="EIP19" s="433"/>
      <c r="EIQ19" s="433"/>
      <c r="EIR19" s="433"/>
      <c r="EIS19" s="433"/>
      <c r="EIT19" s="433"/>
      <c r="EIU19" s="433"/>
      <c r="EIV19" s="433"/>
      <c r="EIW19" s="433"/>
      <c r="EIX19" s="433"/>
      <c r="EIY19" s="433"/>
      <c r="EIZ19" s="433"/>
      <c r="EJA19" s="433"/>
      <c r="EJB19" s="433"/>
      <c r="EJC19" s="433"/>
      <c r="EJD19" s="433"/>
      <c r="EJE19" s="433"/>
      <c r="EJF19" s="433"/>
      <c r="EJG19" s="433"/>
      <c r="EJH19" s="433"/>
      <c r="EJI19" s="433"/>
      <c r="EJJ19" s="433"/>
      <c r="EJK19" s="433"/>
      <c r="EJL19" s="433"/>
      <c r="EJM19" s="433"/>
      <c r="EJN19" s="433"/>
      <c r="EJO19" s="433"/>
      <c r="EJP19" s="433"/>
      <c r="EJQ19" s="433"/>
      <c r="EJR19" s="433"/>
      <c r="EJS19" s="433"/>
      <c r="EJT19" s="433"/>
      <c r="EJU19" s="433"/>
      <c r="EJV19" s="433"/>
      <c r="EJW19" s="433"/>
      <c r="EJX19" s="433"/>
      <c r="EJY19" s="433"/>
      <c r="EJZ19" s="433"/>
      <c r="EKA19" s="433"/>
      <c r="EKB19" s="433"/>
      <c r="EKC19" s="433"/>
      <c r="EKD19" s="433"/>
      <c r="EKE19" s="433"/>
      <c r="EKF19" s="433"/>
      <c r="EKG19" s="433"/>
      <c r="EKH19" s="433"/>
      <c r="EKI19" s="433"/>
      <c r="EKJ19" s="433"/>
      <c r="EKK19" s="433"/>
      <c r="EKL19" s="433"/>
      <c r="EKM19" s="433"/>
      <c r="EKN19" s="433"/>
      <c r="EKO19" s="433"/>
      <c r="EKP19" s="433"/>
      <c r="EKQ19" s="433"/>
      <c r="EKR19" s="433"/>
      <c r="EKS19" s="433"/>
      <c r="EKT19" s="433"/>
      <c r="EKU19" s="433"/>
      <c r="EKV19" s="433"/>
      <c r="EKW19" s="433"/>
      <c r="EKX19" s="433"/>
      <c r="EKY19" s="433"/>
      <c r="EKZ19" s="433"/>
      <c r="ELA19" s="433"/>
      <c r="ELB19" s="433"/>
      <c r="ELC19" s="433"/>
      <c r="ELD19" s="433"/>
      <c r="ELE19" s="433"/>
      <c r="ELF19" s="433"/>
      <c r="ELG19" s="433"/>
      <c r="ELH19" s="433"/>
      <c r="ELI19" s="433"/>
      <c r="ELJ19" s="433"/>
      <c r="ELK19" s="433"/>
      <c r="ELL19" s="433"/>
      <c r="ELM19" s="433"/>
      <c r="ELN19" s="433"/>
      <c r="ELO19" s="433"/>
      <c r="ELP19" s="433"/>
      <c r="ELQ19" s="433"/>
      <c r="ELR19" s="433"/>
      <c r="ELS19" s="433"/>
      <c r="ELT19" s="433"/>
      <c r="ELU19" s="433"/>
      <c r="ELV19" s="433"/>
      <c r="ELW19" s="433"/>
      <c r="ELX19" s="433"/>
      <c r="ELY19" s="433"/>
      <c r="ELZ19" s="433"/>
      <c r="EMA19" s="433"/>
      <c r="EMB19" s="433"/>
      <c r="EMC19" s="433"/>
      <c r="EMD19" s="433"/>
      <c r="EME19" s="433"/>
      <c r="EMF19" s="433"/>
      <c r="EMG19" s="433"/>
      <c r="EMH19" s="433"/>
      <c r="EMI19" s="433"/>
      <c r="EMJ19" s="433"/>
      <c r="EMK19" s="433"/>
      <c r="EML19" s="433"/>
      <c r="EMM19" s="433"/>
      <c r="EMN19" s="433"/>
      <c r="EMO19" s="433"/>
      <c r="EMP19" s="433"/>
      <c r="EMQ19" s="433"/>
      <c r="EMR19" s="433"/>
      <c r="EMS19" s="433"/>
      <c r="EMT19" s="433"/>
      <c r="EMU19" s="433"/>
      <c r="EMV19" s="433"/>
      <c r="EMW19" s="433"/>
      <c r="EMX19" s="433"/>
      <c r="EMY19" s="433"/>
      <c r="EMZ19" s="433"/>
      <c r="ENA19" s="433"/>
      <c r="ENB19" s="433"/>
      <c r="ENC19" s="433"/>
      <c r="END19" s="433"/>
      <c r="ENE19" s="433"/>
      <c r="ENF19" s="433"/>
      <c r="ENG19" s="433"/>
      <c r="ENH19" s="433"/>
      <c r="ENI19" s="433"/>
      <c r="ENJ19" s="433"/>
      <c r="ENK19" s="433"/>
      <c r="ENL19" s="433"/>
      <c r="ENM19" s="433"/>
      <c r="ENN19" s="433"/>
      <c r="ENO19" s="433"/>
      <c r="ENP19" s="433"/>
      <c r="ENQ19" s="433"/>
      <c r="ENR19" s="433"/>
      <c r="ENS19" s="433"/>
      <c r="ENT19" s="433"/>
      <c r="ENU19" s="433"/>
      <c r="ENV19" s="433"/>
      <c r="ENW19" s="433"/>
      <c r="ENX19" s="433"/>
      <c r="ENY19" s="433"/>
      <c r="ENZ19" s="433"/>
      <c r="EOA19" s="433"/>
      <c r="EOB19" s="433"/>
      <c r="EOC19" s="433"/>
      <c r="EOD19" s="433"/>
      <c r="EOE19" s="433"/>
      <c r="EOF19" s="433"/>
      <c r="EOG19" s="433"/>
      <c r="EOH19" s="433"/>
      <c r="EOI19" s="433"/>
      <c r="EOJ19" s="433"/>
      <c r="EOK19" s="433"/>
      <c r="EOL19" s="433"/>
      <c r="EOM19" s="433"/>
      <c r="EON19" s="433"/>
      <c r="EOO19" s="433"/>
      <c r="EOP19" s="433"/>
      <c r="EOQ19" s="433"/>
      <c r="EOR19" s="433"/>
      <c r="EOS19" s="433"/>
      <c r="EOT19" s="433"/>
      <c r="EOU19" s="433"/>
      <c r="EOV19" s="433"/>
      <c r="EOW19" s="433"/>
      <c r="EOX19" s="433"/>
      <c r="EOY19" s="433"/>
      <c r="EOZ19" s="433"/>
      <c r="EPA19" s="433"/>
      <c r="EPB19" s="433"/>
      <c r="EPC19" s="433"/>
      <c r="EPD19" s="433"/>
      <c r="EPE19" s="433"/>
      <c r="EPF19" s="433"/>
      <c r="EPG19" s="433"/>
      <c r="EPH19" s="433"/>
      <c r="EPI19" s="433"/>
      <c r="EPJ19" s="433"/>
      <c r="EPK19" s="433"/>
      <c r="EPL19" s="433"/>
      <c r="EPM19" s="433"/>
      <c r="EPN19" s="433"/>
      <c r="EPO19" s="433"/>
      <c r="EPP19" s="433"/>
      <c r="EPQ19" s="433"/>
      <c r="EPR19" s="433"/>
      <c r="EPS19" s="433"/>
      <c r="EPT19" s="433"/>
      <c r="EPU19" s="433"/>
      <c r="EPV19" s="433"/>
      <c r="EPW19" s="433"/>
      <c r="EPX19" s="433"/>
      <c r="EPY19" s="433"/>
      <c r="EPZ19" s="433"/>
      <c r="EQA19" s="433"/>
      <c r="EQB19" s="433"/>
      <c r="EQC19" s="433"/>
      <c r="EQD19" s="433"/>
      <c r="EQE19" s="433"/>
      <c r="EQF19" s="433"/>
      <c r="EQG19" s="433"/>
      <c r="EQH19" s="433"/>
      <c r="EQI19" s="433"/>
      <c r="EQJ19" s="433"/>
      <c r="EQK19" s="433"/>
      <c r="EQL19" s="433"/>
      <c r="EQM19" s="433"/>
      <c r="EQN19" s="433"/>
      <c r="EQO19" s="433"/>
      <c r="EQP19" s="433"/>
      <c r="EQQ19" s="433"/>
      <c r="EQR19" s="433"/>
      <c r="EQS19" s="433"/>
      <c r="EQT19" s="433"/>
      <c r="EQU19" s="433"/>
      <c r="EQV19" s="433"/>
      <c r="EQW19" s="433"/>
      <c r="EQX19" s="433"/>
      <c r="EQY19" s="433"/>
      <c r="EQZ19" s="433"/>
      <c r="ERA19" s="433"/>
      <c r="ERB19" s="433"/>
      <c r="ERC19" s="433"/>
      <c r="ERD19" s="433"/>
      <c r="ERE19" s="433"/>
      <c r="ERF19" s="433"/>
      <c r="ERG19" s="433"/>
      <c r="ERH19" s="433"/>
      <c r="ERI19" s="433"/>
      <c r="ERJ19" s="433"/>
      <c r="ERK19" s="433"/>
      <c r="ERL19" s="433"/>
      <c r="ERM19" s="433"/>
      <c r="ERN19" s="433"/>
      <c r="ERO19" s="433"/>
      <c r="ERP19" s="433"/>
      <c r="ERQ19" s="433"/>
      <c r="ERR19" s="433"/>
      <c r="ERS19" s="433"/>
      <c r="ERT19" s="433"/>
      <c r="ERU19" s="433"/>
      <c r="ERV19" s="433"/>
      <c r="ERW19" s="433"/>
      <c r="ERX19" s="433"/>
      <c r="ERY19" s="433"/>
      <c r="ERZ19" s="433"/>
      <c r="ESA19" s="433"/>
      <c r="ESB19" s="433"/>
      <c r="ESC19" s="433"/>
      <c r="ESD19" s="433"/>
      <c r="ESE19" s="433"/>
      <c r="ESF19" s="433"/>
      <c r="ESG19" s="433"/>
      <c r="ESH19" s="433"/>
      <c r="ESI19" s="433"/>
      <c r="ESJ19" s="433"/>
      <c r="ESK19" s="433"/>
      <c r="ESL19" s="433"/>
      <c r="ESM19" s="433"/>
      <c r="ESN19" s="433"/>
      <c r="ESO19" s="433"/>
      <c r="ESP19" s="433"/>
      <c r="ESQ19" s="433"/>
      <c r="ESR19" s="433"/>
      <c r="ESS19" s="433"/>
      <c r="EST19" s="433"/>
      <c r="ESU19" s="433"/>
      <c r="ESV19" s="433"/>
      <c r="ESW19" s="433"/>
      <c r="ESX19" s="433"/>
      <c r="ESY19" s="433"/>
      <c r="ESZ19" s="433"/>
      <c r="ETA19" s="433"/>
      <c r="ETB19" s="433"/>
      <c r="ETC19" s="433"/>
      <c r="ETD19" s="433"/>
      <c r="ETE19" s="433"/>
      <c r="ETF19" s="433"/>
      <c r="ETG19" s="433"/>
      <c r="ETH19" s="433"/>
      <c r="ETI19" s="433"/>
      <c r="ETJ19" s="433"/>
      <c r="ETK19" s="433"/>
      <c r="ETL19" s="433"/>
      <c r="ETM19" s="433"/>
      <c r="ETN19" s="433"/>
      <c r="ETO19" s="433"/>
      <c r="ETP19" s="433"/>
      <c r="ETQ19" s="433"/>
      <c r="ETR19" s="433"/>
      <c r="ETS19" s="433"/>
      <c r="ETT19" s="433"/>
      <c r="ETU19" s="433"/>
      <c r="ETV19" s="433"/>
      <c r="ETW19" s="433"/>
      <c r="ETX19" s="433"/>
      <c r="ETY19" s="433"/>
      <c r="ETZ19" s="433"/>
      <c r="EUA19" s="433"/>
      <c r="EUB19" s="433"/>
      <c r="EUC19" s="433"/>
      <c r="EUD19" s="433"/>
      <c r="EUE19" s="433"/>
      <c r="EUF19" s="433"/>
      <c r="EUG19" s="433"/>
      <c r="EUH19" s="433"/>
      <c r="EUI19" s="433"/>
      <c r="EUJ19" s="433"/>
      <c r="EUK19" s="433"/>
      <c r="EUL19" s="433"/>
      <c r="EUM19" s="433"/>
      <c r="EUN19" s="433"/>
      <c r="EUO19" s="433"/>
      <c r="EUP19" s="433"/>
      <c r="EUQ19" s="433"/>
      <c r="EUR19" s="433"/>
      <c r="EUS19" s="433"/>
      <c r="EUT19" s="433"/>
      <c r="EUU19" s="433"/>
      <c r="EUV19" s="433"/>
      <c r="EUW19" s="433"/>
      <c r="EUX19" s="433"/>
      <c r="EUY19" s="433"/>
      <c r="EUZ19" s="433"/>
      <c r="EVA19" s="433"/>
      <c r="EVB19" s="433"/>
      <c r="EVC19" s="433"/>
      <c r="EVD19" s="433"/>
      <c r="EVE19" s="433"/>
      <c r="EVF19" s="433"/>
      <c r="EVG19" s="433"/>
      <c r="EVH19" s="433"/>
      <c r="EVI19" s="433"/>
      <c r="EVJ19" s="433"/>
      <c r="EVK19" s="433"/>
      <c r="EVL19" s="433"/>
      <c r="EVM19" s="433"/>
      <c r="EVN19" s="433"/>
      <c r="EVO19" s="433"/>
      <c r="EVP19" s="433"/>
      <c r="EVQ19" s="433"/>
      <c r="EVR19" s="433"/>
      <c r="EVS19" s="433"/>
      <c r="EVT19" s="433"/>
      <c r="EVU19" s="433"/>
      <c r="EVV19" s="433"/>
      <c r="EVW19" s="433"/>
      <c r="EVX19" s="433"/>
      <c r="EVY19" s="433"/>
      <c r="EVZ19" s="433"/>
      <c r="EWA19" s="433"/>
      <c r="EWB19" s="433"/>
      <c r="EWC19" s="433"/>
      <c r="EWD19" s="433"/>
      <c r="EWE19" s="433"/>
      <c r="EWF19" s="433"/>
      <c r="EWG19" s="433"/>
      <c r="EWH19" s="433"/>
      <c r="EWI19" s="433"/>
      <c r="EWJ19" s="433"/>
      <c r="EWK19" s="433"/>
      <c r="EWL19" s="433"/>
      <c r="EWM19" s="433"/>
      <c r="EWN19" s="433"/>
      <c r="EWO19" s="433"/>
      <c r="EWP19" s="433"/>
      <c r="EWQ19" s="433"/>
      <c r="EWR19" s="433"/>
      <c r="EWS19" s="433"/>
      <c r="EWT19" s="433"/>
      <c r="EWU19" s="433"/>
      <c r="EWV19" s="433"/>
      <c r="EWW19" s="433"/>
      <c r="EWX19" s="433"/>
      <c r="EWY19" s="433"/>
      <c r="EWZ19" s="433"/>
      <c r="EXA19" s="433"/>
      <c r="EXB19" s="433"/>
      <c r="EXC19" s="433"/>
      <c r="EXD19" s="433"/>
      <c r="EXE19" s="433"/>
      <c r="EXF19" s="433"/>
      <c r="EXG19" s="433"/>
      <c r="EXH19" s="433"/>
      <c r="EXI19" s="433"/>
      <c r="EXJ19" s="433"/>
      <c r="EXK19" s="433"/>
      <c r="EXL19" s="433"/>
      <c r="EXM19" s="433"/>
      <c r="EXN19" s="433"/>
      <c r="EXO19" s="433"/>
      <c r="EXP19" s="433"/>
      <c r="EXQ19" s="433"/>
      <c r="EXR19" s="433"/>
      <c r="EXS19" s="433"/>
      <c r="EXT19" s="433"/>
      <c r="EXU19" s="433"/>
      <c r="EXV19" s="433"/>
      <c r="EXW19" s="433"/>
      <c r="EXX19" s="433"/>
      <c r="EXY19" s="433"/>
      <c r="EXZ19" s="433"/>
      <c r="EYA19" s="433"/>
      <c r="EYB19" s="433"/>
      <c r="EYC19" s="433"/>
      <c r="EYD19" s="433"/>
      <c r="EYE19" s="433"/>
      <c r="EYF19" s="433"/>
      <c r="EYG19" s="433"/>
      <c r="EYH19" s="433"/>
      <c r="EYI19" s="433"/>
      <c r="EYJ19" s="433"/>
      <c r="EYK19" s="433"/>
      <c r="EYL19" s="433"/>
      <c r="EYM19" s="433"/>
      <c r="EYN19" s="433"/>
      <c r="EYO19" s="433"/>
      <c r="EYP19" s="433"/>
      <c r="EYQ19" s="433"/>
      <c r="EYR19" s="433"/>
      <c r="EYS19" s="433"/>
      <c r="EYT19" s="433"/>
      <c r="EYU19" s="433"/>
      <c r="EYV19" s="433"/>
      <c r="EYW19" s="433"/>
      <c r="EYX19" s="433"/>
      <c r="EYY19" s="433"/>
      <c r="EYZ19" s="433"/>
      <c r="EZA19" s="433"/>
      <c r="EZB19" s="433"/>
      <c r="EZC19" s="433"/>
      <c r="EZD19" s="433"/>
      <c r="EZE19" s="433"/>
      <c r="EZF19" s="433"/>
      <c r="EZG19" s="433"/>
      <c r="EZH19" s="433"/>
      <c r="EZI19" s="433"/>
      <c r="EZJ19" s="433"/>
      <c r="EZK19" s="433"/>
      <c r="EZL19" s="433"/>
      <c r="EZM19" s="433"/>
      <c r="EZN19" s="433"/>
      <c r="EZO19" s="433"/>
      <c r="EZP19" s="433"/>
      <c r="EZQ19" s="433"/>
      <c r="EZR19" s="433"/>
      <c r="EZS19" s="433"/>
      <c r="EZT19" s="433"/>
      <c r="EZU19" s="433"/>
      <c r="EZV19" s="433"/>
      <c r="EZW19" s="433"/>
      <c r="EZX19" s="433"/>
      <c r="EZY19" s="433"/>
      <c r="EZZ19" s="433"/>
      <c r="FAA19" s="433"/>
      <c r="FAB19" s="433"/>
      <c r="FAC19" s="433"/>
      <c r="FAD19" s="433"/>
      <c r="FAE19" s="433"/>
      <c r="FAF19" s="433"/>
      <c r="FAG19" s="433"/>
      <c r="FAH19" s="433"/>
      <c r="FAI19" s="433"/>
      <c r="FAJ19" s="433"/>
      <c r="FAK19" s="433"/>
      <c r="FAL19" s="433"/>
      <c r="FAM19" s="433"/>
      <c r="FAN19" s="433"/>
      <c r="FAO19" s="433"/>
      <c r="FAP19" s="433"/>
      <c r="FAQ19" s="433"/>
      <c r="FAR19" s="433"/>
      <c r="FAS19" s="433"/>
      <c r="FAT19" s="433"/>
      <c r="FAU19" s="433"/>
      <c r="FAV19" s="433"/>
      <c r="FAW19" s="433"/>
      <c r="FAX19" s="433"/>
      <c r="FAY19" s="433"/>
      <c r="FAZ19" s="433"/>
      <c r="FBA19" s="433"/>
      <c r="FBB19" s="433"/>
      <c r="FBC19" s="433"/>
      <c r="FBD19" s="433"/>
      <c r="FBE19" s="433"/>
      <c r="FBF19" s="433"/>
      <c r="FBG19" s="433"/>
      <c r="FBH19" s="433"/>
      <c r="FBI19" s="433"/>
      <c r="FBJ19" s="433"/>
      <c r="FBK19" s="433"/>
      <c r="FBL19" s="433"/>
      <c r="FBM19" s="433"/>
      <c r="FBN19" s="433"/>
      <c r="FBO19" s="433"/>
      <c r="FBP19" s="433"/>
      <c r="FBQ19" s="433"/>
      <c r="FBR19" s="433"/>
      <c r="FBS19" s="433"/>
      <c r="FBT19" s="433"/>
      <c r="FBU19" s="433"/>
      <c r="FBV19" s="433"/>
      <c r="FBW19" s="433"/>
      <c r="FBX19" s="433"/>
      <c r="FBY19" s="433"/>
      <c r="FBZ19" s="433"/>
      <c r="FCA19" s="433"/>
      <c r="FCB19" s="433"/>
      <c r="FCC19" s="433"/>
      <c r="FCD19" s="433"/>
      <c r="FCE19" s="433"/>
      <c r="FCF19" s="433"/>
      <c r="FCG19" s="433"/>
      <c r="FCH19" s="433"/>
      <c r="FCI19" s="433"/>
      <c r="FCJ19" s="433"/>
      <c r="FCK19" s="433"/>
      <c r="FCL19" s="433"/>
      <c r="FCM19" s="433"/>
      <c r="FCN19" s="433"/>
      <c r="FCO19" s="433"/>
      <c r="FCP19" s="433"/>
      <c r="FCQ19" s="433"/>
      <c r="FCR19" s="433"/>
      <c r="FCS19" s="433"/>
      <c r="FCT19" s="433"/>
      <c r="FCU19" s="433"/>
      <c r="FCV19" s="433"/>
      <c r="FCW19" s="433"/>
      <c r="FCX19" s="433"/>
      <c r="FCY19" s="433"/>
      <c r="FCZ19" s="433"/>
      <c r="FDA19" s="433"/>
      <c r="FDB19" s="433"/>
      <c r="FDC19" s="433"/>
      <c r="FDD19" s="433"/>
      <c r="FDE19" s="433"/>
      <c r="FDF19" s="433"/>
      <c r="FDG19" s="433"/>
      <c r="FDH19" s="433"/>
      <c r="FDI19" s="433"/>
      <c r="FDJ19" s="433"/>
      <c r="FDK19" s="433"/>
      <c r="FDL19" s="433"/>
      <c r="FDM19" s="433"/>
      <c r="FDN19" s="433"/>
      <c r="FDO19" s="433"/>
      <c r="FDP19" s="433"/>
      <c r="FDQ19" s="433"/>
      <c r="FDR19" s="433"/>
      <c r="FDS19" s="433"/>
      <c r="FDT19" s="433"/>
      <c r="FDU19" s="433"/>
      <c r="FDV19" s="433"/>
      <c r="FDW19" s="433"/>
      <c r="FDX19" s="433"/>
      <c r="FDY19" s="433"/>
      <c r="FDZ19" s="433"/>
      <c r="FEA19" s="433"/>
      <c r="FEB19" s="433"/>
      <c r="FEC19" s="433"/>
      <c r="FED19" s="433"/>
      <c r="FEE19" s="433"/>
      <c r="FEF19" s="433"/>
      <c r="FEG19" s="433"/>
      <c r="FEH19" s="433"/>
      <c r="FEI19" s="433"/>
      <c r="FEJ19" s="433"/>
      <c r="FEK19" s="433"/>
      <c r="FEL19" s="433"/>
      <c r="FEM19" s="433"/>
      <c r="FEN19" s="433"/>
      <c r="FEO19" s="433"/>
      <c r="FEP19" s="433"/>
      <c r="FEQ19" s="433"/>
      <c r="FER19" s="433"/>
      <c r="FES19" s="433"/>
      <c r="FET19" s="433"/>
      <c r="FEU19" s="433"/>
      <c r="FEV19" s="433"/>
      <c r="FEW19" s="433"/>
      <c r="FEX19" s="433"/>
      <c r="FEY19" s="433"/>
      <c r="FEZ19" s="433"/>
      <c r="FFA19" s="433"/>
      <c r="FFB19" s="433"/>
      <c r="FFC19" s="433"/>
      <c r="FFD19" s="433"/>
      <c r="FFE19" s="433"/>
      <c r="FFF19" s="433"/>
      <c r="FFG19" s="433"/>
      <c r="FFH19" s="433"/>
      <c r="FFI19" s="433"/>
      <c r="FFJ19" s="433"/>
      <c r="FFK19" s="433"/>
      <c r="FFL19" s="433"/>
      <c r="FFM19" s="433"/>
      <c r="FFN19" s="433"/>
      <c r="FFO19" s="433"/>
      <c r="FFP19" s="433"/>
      <c r="FFQ19" s="433"/>
      <c r="FFR19" s="433"/>
      <c r="FFS19" s="433"/>
      <c r="FFT19" s="433"/>
      <c r="FFU19" s="433"/>
      <c r="FFV19" s="433"/>
      <c r="FFW19" s="433"/>
      <c r="FFX19" s="433"/>
      <c r="FFY19" s="433"/>
      <c r="FFZ19" s="433"/>
      <c r="FGA19" s="433"/>
      <c r="FGB19" s="433"/>
      <c r="FGC19" s="433"/>
      <c r="FGD19" s="433"/>
      <c r="FGE19" s="433"/>
      <c r="FGF19" s="433"/>
      <c r="FGG19" s="433"/>
      <c r="FGH19" s="433"/>
      <c r="FGI19" s="433"/>
      <c r="FGJ19" s="433"/>
      <c r="FGK19" s="433"/>
      <c r="FGL19" s="433"/>
      <c r="FGM19" s="433"/>
      <c r="FGN19" s="433"/>
      <c r="FGO19" s="433"/>
      <c r="FGP19" s="433"/>
      <c r="FGQ19" s="433"/>
      <c r="FGR19" s="433"/>
      <c r="FGS19" s="433"/>
      <c r="FGT19" s="433"/>
      <c r="FGU19" s="433"/>
      <c r="FGV19" s="433"/>
      <c r="FGW19" s="433"/>
      <c r="FGX19" s="433"/>
      <c r="FGY19" s="433"/>
      <c r="FGZ19" s="433"/>
      <c r="FHA19" s="433"/>
      <c r="FHB19" s="433"/>
      <c r="FHC19" s="433"/>
      <c r="FHD19" s="433"/>
      <c r="FHE19" s="433"/>
      <c r="FHF19" s="433"/>
      <c r="FHG19" s="433"/>
      <c r="FHH19" s="433"/>
      <c r="FHI19" s="433"/>
      <c r="FHJ19" s="433"/>
      <c r="FHK19" s="433"/>
      <c r="FHL19" s="433"/>
      <c r="FHM19" s="433"/>
      <c r="FHN19" s="433"/>
      <c r="FHO19" s="433"/>
      <c r="FHP19" s="433"/>
      <c r="FHQ19" s="433"/>
      <c r="FHR19" s="433"/>
      <c r="FHS19" s="433"/>
      <c r="FHT19" s="433"/>
      <c r="FHU19" s="433"/>
      <c r="FHV19" s="433"/>
      <c r="FHW19" s="433"/>
      <c r="FHX19" s="433"/>
      <c r="FHY19" s="433"/>
      <c r="FHZ19" s="433"/>
      <c r="FIA19" s="433"/>
      <c r="FIB19" s="433"/>
      <c r="FIC19" s="433"/>
      <c r="FID19" s="433"/>
      <c r="FIE19" s="433"/>
      <c r="FIF19" s="433"/>
      <c r="FIG19" s="433"/>
      <c r="FIH19" s="433"/>
      <c r="FII19" s="433"/>
      <c r="FIJ19" s="433"/>
      <c r="FIK19" s="433"/>
      <c r="FIL19" s="433"/>
      <c r="FIM19" s="433"/>
      <c r="FIN19" s="433"/>
      <c r="FIO19" s="433"/>
      <c r="FIP19" s="433"/>
      <c r="FIQ19" s="433"/>
      <c r="FIR19" s="433"/>
      <c r="FIS19" s="433"/>
      <c r="FIT19" s="433"/>
      <c r="FIU19" s="433"/>
      <c r="FIV19" s="433"/>
      <c r="FIW19" s="433"/>
      <c r="FIX19" s="433"/>
      <c r="FIY19" s="433"/>
      <c r="FIZ19" s="433"/>
      <c r="FJA19" s="433"/>
      <c r="FJB19" s="433"/>
      <c r="FJC19" s="433"/>
      <c r="FJD19" s="433"/>
      <c r="FJE19" s="433"/>
      <c r="FJF19" s="433"/>
      <c r="FJG19" s="433"/>
      <c r="FJH19" s="433"/>
      <c r="FJI19" s="433"/>
      <c r="FJJ19" s="433"/>
      <c r="FJK19" s="433"/>
      <c r="FJL19" s="433"/>
      <c r="FJM19" s="433"/>
      <c r="FJN19" s="433"/>
      <c r="FJO19" s="433"/>
      <c r="FJP19" s="433"/>
      <c r="FJQ19" s="433"/>
      <c r="FJR19" s="433"/>
      <c r="FJS19" s="433"/>
      <c r="FJT19" s="433"/>
      <c r="FJU19" s="433"/>
      <c r="FJV19" s="433"/>
      <c r="FJW19" s="433"/>
      <c r="FJX19" s="433"/>
      <c r="FJY19" s="433"/>
      <c r="FJZ19" s="433"/>
      <c r="FKA19" s="433"/>
      <c r="FKB19" s="433"/>
      <c r="FKC19" s="433"/>
      <c r="FKD19" s="433"/>
      <c r="FKE19" s="433"/>
      <c r="FKF19" s="433"/>
      <c r="FKG19" s="433"/>
      <c r="FKH19" s="433"/>
      <c r="FKI19" s="433"/>
      <c r="FKJ19" s="433"/>
      <c r="FKK19" s="433"/>
      <c r="FKL19" s="433"/>
      <c r="FKM19" s="433"/>
      <c r="FKN19" s="433"/>
      <c r="FKO19" s="433"/>
      <c r="FKP19" s="433"/>
      <c r="FKQ19" s="433"/>
      <c r="FKR19" s="433"/>
      <c r="FKS19" s="433"/>
      <c r="FKT19" s="433"/>
      <c r="FKU19" s="433"/>
      <c r="FKV19" s="433"/>
      <c r="FKW19" s="433"/>
      <c r="FKX19" s="433"/>
      <c r="FKY19" s="433"/>
      <c r="FKZ19" s="433"/>
      <c r="FLA19" s="433"/>
      <c r="FLB19" s="433"/>
      <c r="FLC19" s="433"/>
      <c r="FLD19" s="433"/>
      <c r="FLE19" s="433"/>
      <c r="FLF19" s="433"/>
      <c r="FLG19" s="433"/>
      <c r="FLH19" s="433"/>
      <c r="FLI19" s="433"/>
      <c r="FLJ19" s="433"/>
      <c r="FLK19" s="433"/>
      <c r="FLL19" s="433"/>
      <c r="FLM19" s="433"/>
      <c r="FLN19" s="433"/>
      <c r="FLO19" s="433"/>
      <c r="FLP19" s="433"/>
      <c r="FLQ19" s="433"/>
      <c r="FLR19" s="433"/>
      <c r="FLS19" s="433"/>
      <c r="FLT19" s="433"/>
      <c r="FLU19" s="433"/>
      <c r="FLV19" s="433"/>
      <c r="FLW19" s="433"/>
      <c r="FLX19" s="433"/>
      <c r="FLY19" s="433"/>
      <c r="FLZ19" s="433"/>
      <c r="FMA19" s="433"/>
      <c r="FMB19" s="433"/>
      <c r="FMC19" s="433"/>
      <c r="FMD19" s="433"/>
      <c r="FME19" s="433"/>
      <c r="FMF19" s="433"/>
      <c r="FMG19" s="433"/>
      <c r="FMH19" s="433"/>
      <c r="FMI19" s="433"/>
      <c r="FMJ19" s="433"/>
      <c r="FMK19" s="433"/>
      <c r="FML19" s="433"/>
      <c r="FMM19" s="433"/>
      <c r="FMN19" s="433"/>
      <c r="FMO19" s="433"/>
      <c r="FMP19" s="433"/>
      <c r="FMQ19" s="433"/>
      <c r="FMR19" s="433"/>
      <c r="FMS19" s="433"/>
      <c r="FMT19" s="433"/>
      <c r="FMU19" s="433"/>
      <c r="FMV19" s="433"/>
      <c r="FMW19" s="433"/>
      <c r="FMX19" s="433"/>
      <c r="FMY19" s="433"/>
      <c r="FMZ19" s="433"/>
      <c r="FNA19" s="433"/>
      <c r="FNB19" s="433"/>
      <c r="FNC19" s="433"/>
      <c r="FND19" s="433"/>
      <c r="FNE19" s="433"/>
      <c r="FNF19" s="433"/>
      <c r="FNG19" s="433"/>
      <c r="FNH19" s="433"/>
      <c r="FNI19" s="433"/>
      <c r="FNJ19" s="433"/>
      <c r="FNK19" s="433"/>
      <c r="FNL19" s="433"/>
      <c r="FNM19" s="433"/>
      <c r="FNN19" s="433"/>
      <c r="FNO19" s="433"/>
      <c r="FNP19" s="433"/>
      <c r="FNQ19" s="433"/>
      <c r="FNR19" s="433"/>
      <c r="FNS19" s="433"/>
      <c r="FNT19" s="433"/>
      <c r="FNU19" s="433"/>
      <c r="FNV19" s="433"/>
      <c r="FNW19" s="433"/>
      <c r="FNX19" s="433"/>
      <c r="FNY19" s="433"/>
      <c r="FNZ19" s="433"/>
      <c r="FOA19" s="433"/>
      <c r="FOB19" s="433"/>
      <c r="FOC19" s="433"/>
      <c r="FOD19" s="433"/>
      <c r="FOE19" s="433"/>
      <c r="FOF19" s="433"/>
      <c r="FOG19" s="433"/>
      <c r="FOH19" s="433"/>
      <c r="FOI19" s="433"/>
      <c r="FOJ19" s="433"/>
      <c r="FOK19" s="433"/>
      <c r="FOL19" s="433"/>
      <c r="FOM19" s="433"/>
      <c r="FON19" s="433"/>
      <c r="FOO19" s="433"/>
      <c r="FOP19" s="433"/>
      <c r="FOQ19" s="433"/>
      <c r="FOR19" s="433"/>
      <c r="FOS19" s="433"/>
      <c r="FOT19" s="433"/>
      <c r="FOU19" s="433"/>
      <c r="FOV19" s="433"/>
      <c r="FOW19" s="433"/>
      <c r="FOX19" s="433"/>
      <c r="FOY19" s="433"/>
      <c r="FOZ19" s="433"/>
      <c r="FPA19" s="433"/>
      <c r="FPB19" s="433"/>
      <c r="FPC19" s="433"/>
      <c r="FPD19" s="433"/>
      <c r="FPE19" s="433"/>
      <c r="FPF19" s="433"/>
      <c r="FPG19" s="433"/>
      <c r="FPH19" s="433"/>
      <c r="FPI19" s="433"/>
      <c r="FPJ19" s="433"/>
      <c r="FPK19" s="433"/>
      <c r="FPL19" s="433"/>
      <c r="FPM19" s="433"/>
      <c r="FPN19" s="433"/>
      <c r="FPO19" s="433"/>
      <c r="FPP19" s="433"/>
      <c r="FPQ19" s="433"/>
      <c r="FPR19" s="433"/>
      <c r="FPS19" s="433"/>
      <c r="FPT19" s="433"/>
      <c r="FPU19" s="433"/>
      <c r="FPV19" s="433"/>
      <c r="FPW19" s="433"/>
      <c r="FPX19" s="433"/>
      <c r="FPY19" s="433"/>
      <c r="FPZ19" s="433"/>
      <c r="FQA19" s="433"/>
      <c r="FQB19" s="433"/>
      <c r="FQC19" s="433"/>
      <c r="FQD19" s="433"/>
      <c r="FQE19" s="433"/>
      <c r="FQF19" s="433"/>
      <c r="FQG19" s="433"/>
      <c r="FQH19" s="433"/>
      <c r="FQI19" s="433"/>
      <c r="FQJ19" s="433"/>
      <c r="FQK19" s="433"/>
      <c r="FQL19" s="433"/>
      <c r="FQM19" s="433"/>
      <c r="FQN19" s="433"/>
      <c r="FQO19" s="433"/>
      <c r="FQP19" s="433"/>
      <c r="FQQ19" s="433"/>
      <c r="FQR19" s="433"/>
      <c r="FQS19" s="433"/>
      <c r="FQT19" s="433"/>
      <c r="FQU19" s="433"/>
      <c r="FQV19" s="433"/>
      <c r="FQW19" s="433"/>
      <c r="FQX19" s="433"/>
      <c r="FQY19" s="433"/>
      <c r="FQZ19" s="433"/>
      <c r="FRA19" s="433"/>
      <c r="FRB19" s="433"/>
      <c r="FRC19" s="433"/>
      <c r="FRD19" s="433"/>
      <c r="FRE19" s="433"/>
      <c r="FRF19" s="433"/>
      <c r="FRG19" s="433"/>
      <c r="FRH19" s="433"/>
      <c r="FRI19" s="433"/>
      <c r="FRJ19" s="433"/>
      <c r="FRK19" s="433"/>
      <c r="FRL19" s="433"/>
      <c r="FRM19" s="433"/>
      <c r="FRN19" s="433"/>
      <c r="FRO19" s="433"/>
      <c r="FRP19" s="433"/>
      <c r="FRQ19" s="433"/>
      <c r="FRR19" s="433"/>
      <c r="FRS19" s="433"/>
      <c r="FRT19" s="433"/>
      <c r="FRU19" s="433"/>
      <c r="FRV19" s="433"/>
      <c r="FRW19" s="433"/>
      <c r="FRX19" s="433"/>
      <c r="FRY19" s="433"/>
      <c r="FRZ19" s="433"/>
      <c r="FSA19" s="433"/>
      <c r="FSB19" s="433"/>
      <c r="FSC19" s="433"/>
      <c r="FSD19" s="433"/>
      <c r="FSE19" s="433"/>
      <c r="FSF19" s="433"/>
      <c r="FSG19" s="433"/>
      <c r="FSH19" s="433"/>
      <c r="FSI19" s="433"/>
      <c r="FSJ19" s="433"/>
      <c r="FSK19" s="433"/>
      <c r="FSL19" s="433"/>
      <c r="FSM19" s="433"/>
      <c r="FSN19" s="433"/>
      <c r="FSO19" s="433"/>
      <c r="FSP19" s="433"/>
      <c r="FSQ19" s="433"/>
      <c r="FSR19" s="433"/>
      <c r="FSS19" s="433"/>
      <c r="FST19" s="433"/>
      <c r="FSU19" s="433"/>
      <c r="FSV19" s="433"/>
      <c r="FSW19" s="433"/>
      <c r="FSX19" s="433"/>
      <c r="FSY19" s="433"/>
      <c r="FSZ19" s="433"/>
      <c r="FTA19" s="433"/>
      <c r="FTB19" s="433"/>
      <c r="FTC19" s="433"/>
      <c r="FTD19" s="433"/>
      <c r="FTE19" s="433"/>
      <c r="FTF19" s="433"/>
      <c r="FTG19" s="433"/>
      <c r="FTH19" s="433"/>
      <c r="FTI19" s="433"/>
      <c r="FTJ19" s="433"/>
      <c r="FTK19" s="433"/>
      <c r="FTL19" s="433"/>
      <c r="FTM19" s="433"/>
      <c r="FTN19" s="433"/>
      <c r="FTO19" s="433"/>
      <c r="FTP19" s="433"/>
      <c r="FTQ19" s="433"/>
      <c r="FTR19" s="433"/>
      <c r="FTS19" s="433"/>
      <c r="FTT19" s="433"/>
      <c r="FTU19" s="433"/>
      <c r="FTV19" s="433"/>
      <c r="FTW19" s="433"/>
      <c r="FTX19" s="433"/>
      <c r="FTY19" s="433"/>
      <c r="FTZ19" s="433"/>
      <c r="FUA19" s="433"/>
      <c r="FUB19" s="433"/>
      <c r="FUC19" s="433"/>
      <c r="FUD19" s="433"/>
      <c r="FUE19" s="433"/>
      <c r="FUF19" s="433"/>
      <c r="FUG19" s="433"/>
      <c r="FUH19" s="433"/>
      <c r="FUI19" s="433"/>
      <c r="FUJ19" s="433"/>
      <c r="FUK19" s="433"/>
      <c r="FUL19" s="433"/>
      <c r="FUM19" s="433"/>
      <c r="FUN19" s="433"/>
      <c r="FUO19" s="433"/>
      <c r="FUP19" s="433"/>
      <c r="FUQ19" s="433"/>
      <c r="FUR19" s="433"/>
      <c r="FUS19" s="433"/>
      <c r="FUT19" s="433"/>
      <c r="FUU19" s="433"/>
      <c r="FUV19" s="433"/>
      <c r="FUW19" s="433"/>
      <c r="FUX19" s="433"/>
      <c r="FUY19" s="433"/>
      <c r="FUZ19" s="433"/>
      <c r="FVA19" s="433"/>
      <c r="FVB19" s="433"/>
      <c r="FVC19" s="433"/>
      <c r="FVD19" s="433"/>
      <c r="FVE19" s="433"/>
      <c r="FVF19" s="433"/>
      <c r="FVG19" s="433"/>
      <c r="FVH19" s="433"/>
      <c r="FVI19" s="433"/>
      <c r="FVJ19" s="433"/>
      <c r="FVK19" s="433"/>
      <c r="FVL19" s="433"/>
      <c r="FVM19" s="433"/>
      <c r="FVN19" s="433"/>
      <c r="FVO19" s="433"/>
      <c r="FVP19" s="433"/>
      <c r="FVQ19" s="433"/>
      <c r="FVR19" s="433"/>
      <c r="FVS19" s="433"/>
      <c r="FVT19" s="433"/>
      <c r="FVU19" s="433"/>
      <c r="FVV19" s="433"/>
      <c r="FVW19" s="433"/>
      <c r="FVX19" s="433"/>
      <c r="FVY19" s="433"/>
      <c r="FVZ19" s="433"/>
      <c r="FWA19" s="433"/>
      <c r="FWB19" s="433"/>
      <c r="FWC19" s="433"/>
      <c r="FWD19" s="433"/>
      <c r="FWE19" s="433"/>
      <c r="FWF19" s="433"/>
      <c r="FWG19" s="433"/>
      <c r="FWH19" s="433"/>
      <c r="FWI19" s="433"/>
      <c r="FWJ19" s="433"/>
      <c r="FWK19" s="433"/>
      <c r="FWL19" s="433"/>
      <c r="FWM19" s="433"/>
      <c r="FWN19" s="433"/>
      <c r="FWO19" s="433"/>
      <c r="FWP19" s="433"/>
      <c r="FWQ19" s="433"/>
      <c r="FWR19" s="433"/>
      <c r="FWS19" s="433"/>
      <c r="FWT19" s="433"/>
      <c r="FWU19" s="433"/>
      <c r="FWV19" s="433"/>
      <c r="FWW19" s="433"/>
      <c r="FWX19" s="433"/>
      <c r="FWY19" s="433"/>
      <c r="FWZ19" s="433"/>
      <c r="FXA19" s="433"/>
      <c r="FXB19" s="433"/>
      <c r="FXC19" s="433"/>
      <c r="FXD19" s="433"/>
      <c r="FXE19" s="433"/>
      <c r="FXF19" s="433"/>
      <c r="FXG19" s="433"/>
      <c r="FXH19" s="433"/>
      <c r="FXI19" s="433"/>
      <c r="FXJ19" s="433"/>
      <c r="FXK19" s="433"/>
      <c r="FXL19" s="433"/>
      <c r="FXM19" s="433"/>
      <c r="FXN19" s="433"/>
      <c r="FXO19" s="433"/>
      <c r="FXP19" s="433"/>
      <c r="FXQ19" s="433"/>
      <c r="FXR19" s="433"/>
      <c r="FXS19" s="433"/>
      <c r="FXT19" s="433"/>
      <c r="FXU19" s="433"/>
      <c r="FXV19" s="433"/>
      <c r="FXW19" s="433"/>
      <c r="FXX19" s="433"/>
      <c r="FXY19" s="433"/>
      <c r="FXZ19" s="433"/>
      <c r="FYA19" s="433"/>
      <c r="FYB19" s="433"/>
      <c r="FYC19" s="433"/>
      <c r="FYD19" s="433"/>
      <c r="FYE19" s="433"/>
      <c r="FYF19" s="433"/>
      <c r="FYG19" s="433"/>
      <c r="FYH19" s="433"/>
      <c r="FYI19" s="433"/>
      <c r="FYJ19" s="433"/>
      <c r="FYK19" s="433"/>
      <c r="FYL19" s="433"/>
      <c r="FYM19" s="433"/>
      <c r="FYN19" s="433"/>
      <c r="FYO19" s="433"/>
      <c r="FYP19" s="433"/>
      <c r="FYQ19" s="433"/>
      <c r="FYR19" s="433"/>
      <c r="FYS19" s="433"/>
      <c r="FYT19" s="433"/>
      <c r="FYU19" s="433"/>
      <c r="FYV19" s="433"/>
      <c r="FYW19" s="433"/>
      <c r="FYX19" s="433"/>
      <c r="FYY19" s="433"/>
      <c r="FYZ19" s="433"/>
      <c r="FZA19" s="433"/>
      <c r="FZB19" s="433"/>
      <c r="FZC19" s="433"/>
      <c r="FZD19" s="433"/>
      <c r="FZE19" s="433"/>
      <c r="FZF19" s="433"/>
      <c r="FZG19" s="433"/>
      <c r="FZH19" s="433"/>
      <c r="FZI19" s="433"/>
      <c r="FZJ19" s="433"/>
      <c r="FZK19" s="433"/>
      <c r="FZL19" s="433"/>
      <c r="FZM19" s="433"/>
      <c r="FZN19" s="433"/>
      <c r="FZO19" s="433"/>
      <c r="FZP19" s="433"/>
      <c r="FZQ19" s="433"/>
      <c r="FZR19" s="433"/>
      <c r="FZS19" s="433"/>
      <c r="FZT19" s="433"/>
      <c r="FZU19" s="433"/>
      <c r="FZV19" s="433"/>
      <c r="FZW19" s="433"/>
      <c r="FZX19" s="433"/>
      <c r="FZY19" s="433"/>
      <c r="FZZ19" s="433"/>
      <c r="GAA19" s="433"/>
      <c r="GAB19" s="433"/>
      <c r="GAC19" s="433"/>
      <c r="GAD19" s="433"/>
      <c r="GAE19" s="433"/>
      <c r="GAF19" s="433"/>
      <c r="GAG19" s="433"/>
      <c r="GAH19" s="433"/>
      <c r="GAI19" s="433"/>
      <c r="GAJ19" s="433"/>
      <c r="GAK19" s="433"/>
      <c r="GAL19" s="433"/>
      <c r="GAM19" s="433"/>
      <c r="GAN19" s="433"/>
      <c r="GAO19" s="433"/>
      <c r="GAP19" s="433"/>
      <c r="GAQ19" s="433"/>
      <c r="GAR19" s="433"/>
      <c r="GAS19" s="433"/>
      <c r="GAT19" s="433"/>
      <c r="GAU19" s="433"/>
      <c r="GAV19" s="433"/>
      <c r="GAW19" s="433"/>
      <c r="GAX19" s="433"/>
      <c r="GAY19" s="433"/>
      <c r="GAZ19" s="433"/>
      <c r="GBA19" s="433"/>
      <c r="GBB19" s="433"/>
      <c r="GBC19" s="433"/>
      <c r="GBD19" s="433"/>
      <c r="GBE19" s="433"/>
      <c r="GBF19" s="433"/>
      <c r="GBG19" s="433"/>
      <c r="GBH19" s="433"/>
      <c r="GBI19" s="433"/>
      <c r="GBJ19" s="433"/>
      <c r="GBK19" s="433"/>
      <c r="GBL19" s="433"/>
      <c r="GBM19" s="433"/>
      <c r="GBN19" s="433"/>
      <c r="GBO19" s="433"/>
      <c r="GBP19" s="433"/>
      <c r="GBQ19" s="433"/>
      <c r="GBR19" s="433"/>
      <c r="GBS19" s="433"/>
      <c r="GBT19" s="433"/>
      <c r="GBU19" s="433"/>
      <c r="GBV19" s="433"/>
      <c r="GBW19" s="433"/>
      <c r="GBX19" s="433"/>
      <c r="GBY19" s="433"/>
      <c r="GBZ19" s="433"/>
      <c r="GCA19" s="433"/>
      <c r="GCB19" s="433"/>
      <c r="GCC19" s="433"/>
      <c r="GCD19" s="433"/>
      <c r="GCE19" s="433"/>
      <c r="GCF19" s="433"/>
      <c r="GCG19" s="433"/>
      <c r="GCH19" s="433"/>
      <c r="GCI19" s="433"/>
      <c r="GCJ19" s="433"/>
      <c r="GCK19" s="433"/>
      <c r="GCL19" s="433"/>
      <c r="GCM19" s="433"/>
      <c r="GCN19" s="433"/>
      <c r="GCO19" s="433"/>
      <c r="GCP19" s="433"/>
      <c r="GCQ19" s="433"/>
      <c r="GCR19" s="433"/>
      <c r="GCS19" s="433"/>
      <c r="GCT19" s="433"/>
      <c r="GCU19" s="433"/>
      <c r="GCV19" s="433"/>
      <c r="GCW19" s="433"/>
      <c r="GCX19" s="433"/>
      <c r="GCY19" s="433"/>
      <c r="GCZ19" s="433"/>
      <c r="GDA19" s="433"/>
      <c r="GDB19" s="433"/>
      <c r="GDC19" s="433"/>
      <c r="GDD19" s="433"/>
      <c r="GDE19" s="433"/>
      <c r="GDF19" s="433"/>
      <c r="GDG19" s="433"/>
      <c r="GDH19" s="433"/>
      <c r="GDI19" s="433"/>
      <c r="GDJ19" s="433"/>
      <c r="GDK19" s="433"/>
      <c r="GDL19" s="433"/>
      <c r="GDM19" s="433"/>
      <c r="GDN19" s="433"/>
      <c r="GDO19" s="433"/>
      <c r="GDP19" s="433"/>
      <c r="GDQ19" s="433"/>
      <c r="GDR19" s="433"/>
      <c r="GDS19" s="433"/>
      <c r="GDT19" s="433"/>
      <c r="GDU19" s="433"/>
      <c r="GDV19" s="433"/>
      <c r="GDW19" s="433"/>
      <c r="GDX19" s="433"/>
      <c r="GDY19" s="433"/>
      <c r="GDZ19" s="433"/>
      <c r="GEA19" s="433"/>
      <c r="GEB19" s="433"/>
      <c r="GEC19" s="433"/>
      <c r="GED19" s="433"/>
      <c r="GEE19" s="433"/>
      <c r="GEF19" s="433"/>
      <c r="GEG19" s="433"/>
      <c r="GEH19" s="433"/>
      <c r="GEI19" s="433"/>
      <c r="GEJ19" s="433"/>
      <c r="GEK19" s="433"/>
      <c r="GEL19" s="433"/>
      <c r="GEM19" s="433"/>
      <c r="GEN19" s="433"/>
      <c r="GEO19" s="433"/>
      <c r="GEP19" s="433"/>
      <c r="GEQ19" s="433"/>
      <c r="GER19" s="433"/>
      <c r="GES19" s="433"/>
      <c r="GET19" s="433"/>
      <c r="GEU19" s="433"/>
      <c r="GEV19" s="433"/>
      <c r="GEW19" s="433"/>
      <c r="GEX19" s="433"/>
      <c r="GEY19" s="433"/>
      <c r="GEZ19" s="433"/>
      <c r="GFA19" s="433"/>
      <c r="GFB19" s="433"/>
      <c r="GFC19" s="433"/>
      <c r="GFD19" s="433"/>
      <c r="GFE19" s="433"/>
      <c r="GFF19" s="433"/>
      <c r="GFG19" s="433"/>
      <c r="GFH19" s="433"/>
      <c r="GFI19" s="433"/>
      <c r="GFJ19" s="433"/>
      <c r="GFK19" s="433"/>
      <c r="GFL19" s="433"/>
      <c r="GFM19" s="433"/>
      <c r="GFN19" s="433"/>
      <c r="GFO19" s="433"/>
      <c r="GFP19" s="433"/>
      <c r="GFQ19" s="433"/>
      <c r="GFR19" s="433"/>
      <c r="GFS19" s="433"/>
      <c r="GFT19" s="433"/>
      <c r="GFU19" s="433"/>
      <c r="GFV19" s="433"/>
      <c r="GFW19" s="433"/>
      <c r="GFX19" s="433"/>
      <c r="GFY19" s="433"/>
      <c r="GFZ19" s="433"/>
      <c r="GGA19" s="433"/>
      <c r="GGB19" s="433"/>
      <c r="GGC19" s="433"/>
      <c r="GGD19" s="433"/>
      <c r="GGE19" s="433"/>
      <c r="GGF19" s="433"/>
      <c r="GGG19" s="433"/>
      <c r="GGH19" s="433"/>
      <c r="GGI19" s="433"/>
      <c r="GGJ19" s="433"/>
      <c r="GGK19" s="433"/>
      <c r="GGL19" s="433"/>
      <c r="GGM19" s="433"/>
      <c r="GGN19" s="433"/>
      <c r="GGO19" s="433"/>
      <c r="GGP19" s="433"/>
      <c r="GGQ19" s="433"/>
      <c r="GGR19" s="433"/>
      <c r="GGS19" s="433"/>
      <c r="GGT19" s="433"/>
      <c r="GGU19" s="433"/>
      <c r="GGV19" s="433"/>
      <c r="GGW19" s="433"/>
      <c r="GGX19" s="433"/>
      <c r="GGY19" s="433"/>
      <c r="GGZ19" s="433"/>
      <c r="GHA19" s="433"/>
      <c r="GHB19" s="433"/>
      <c r="GHC19" s="433"/>
      <c r="GHD19" s="433"/>
      <c r="GHE19" s="433"/>
      <c r="GHF19" s="433"/>
      <c r="GHG19" s="433"/>
      <c r="GHH19" s="433"/>
      <c r="GHI19" s="433"/>
      <c r="GHJ19" s="433"/>
      <c r="GHK19" s="433"/>
      <c r="GHL19" s="433"/>
      <c r="GHM19" s="433"/>
      <c r="GHN19" s="433"/>
      <c r="GHO19" s="433"/>
      <c r="GHP19" s="433"/>
      <c r="GHQ19" s="433"/>
      <c r="GHR19" s="433"/>
      <c r="GHS19" s="433"/>
      <c r="GHT19" s="433"/>
      <c r="GHU19" s="433"/>
      <c r="GHV19" s="433"/>
      <c r="GHW19" s="433"/>
      <c r="GHX19" s="433"/>
      <c r="GHY19" s="433"/>
      <c r="GHZ19" s="433"/>
      <c r="GIA19" s="433"/>
      <c r="GIB19" s="433"/>
      <c r="GIC19" s="433"/>
      <c r="GID19" s="433"/>
      <c r="GIE19" s="433"/>
      <c r="GIF19" s="433"/>
      <c r="GIG19" s="433"/>
      <c r="GIH19" s="433"/>
      <c r="GII19" s="433"/>
      <c r="GIJ19" s="433"/>
      <c r="GIK19" s="433"/>
      <c r="GIL19" s="433"/>
      <c r="GIM19" s="433"/>
      <c r="GIN19" s="433"/>
      <c r="GIO19" s="433"/>
      <c r="GIP19" s="433"/>
      <c r="GIQ19" s="433"/>
      <c r="GIR19" s="433"/>
      <c r="GIS19" s="433"/>
      <c r="GIT19" s="433"/>
      <c r="GIU19" s="433"/>
      <c r="GIV19" s="433"/>
      <c r="GIW19" s="433"/>
      <c r="GIX19" s="433"/>
      <c r="GIY19" s="433"/>
      <c r="GIZ19" s="433"/>
      <c r="GJA19" s="433"/>
      <c r="GJB19" s="433"/>
      <c r="GJC19" s="433"/>
      <c r="GJD19" s="433"/>
      <c r="GJE19" s="433"/>
      <c r="GJF19" s="433"/>
      <c r="GJG19" s="433"/>
      <c r="GJH19" s="433"/>
      <c r="GJI19" s="433"/>
      <c r="GJJ19" s="433"/>
      <c r="GJK19" s="433"/>
      <c r="GJL19" s="433"/>
      <c r="GJM19" s="433"/>
      <c r="GJN19" s="433"/>
      <c r="GJO19" s="433"/>
      <c r="GJP19" s="433"/>
      <c r="GJQ19" s="433"/>
      <c r="GJR19" s="433"/>
      <c r="GJS19" s="433"/>
      <c r="GJT19" s="433"/>
      <c r="GJU19" s="433"/>
      <c r="GJV19" s="433"/>
      <c r="GJW19" s="433"/>
      <c r="GJX19" s="433"/>
      <c r="GJY19" s="433"/>
      <c r="GJZ19" s="433"/>
      <c r="GKA19" s="433"/>
      <c r="GKB19" s="433"/>
      <c r="GKC19" s="433"/>
      <c r="GKD19" s="433"/>
      <c r="GKE19" s="433"/>
      <c r="GKF19" s="433"/>
      <c r="GKG19" s="433"/>
      <c r="GKH19" s="433"/>
      <c r="GKI19" s="433"/>
      <c r="GKJ19" s="433"/>
      <c r="GKK19" s="433"/>
      <c r="GKL19" s="433"/>
      <c r="GKM19" s="433"/>
      <c r="GKN19" s="433"/>
      <c r="GKO19" s="433"/>
      <c r="GKP19" s="433"/>
      <c r="GKQ19" s="433"/>
      <c r="GKR19" s="433"/>
      <c r="GKS19" s="433"/>
      <c r="GKT19" s="433"/>
      <c r="GKU19" s="433"/>
      <c r="GKV19" s="433"/>
      <c r="GKW19" s="433"/>
      <c r="GKX19" s="433"/>
      <c r="GKY19" s="433"/>
      <c r="GKZ19" s="433"/>
      <c r="GLA19" s="433"/>
      <c r="GLB19" s="433"/>
      <c r="GLC19" s="433"/>
      <c r="GLD19" s="433"/>
      <c r="GLE19" s="433"/>
      <c r="GLF19" s="433"/>
      <c r="GLG19" s="433"/>
      <c r="GLH19" s="433"/>
      <c r="GLI19" s="433"/>
      <c r="GLJ19" s="433"/>
      <c r="GLK19" s="433"/>
      <c r="GLL19" s="433"/>
      <c r="GLM19" s="433"/>
      <c r="GLN19" s="433"/>
      <c r="GLO19" s="433"/>
      <c r="GLP19" s="433"/>
      <c r="GLQ19" s="433"/>
      <c r="GLR19" s="433"/>
      <c r="GLS19" s="433"/>
      <c r="GLT19" s="433"/>
      <c r="GLU19" s="433"/>
      <c r="GLV19" s="433"/>
      <c r="GLW19" s="433"/>
      <c r="GLX19" s="433"/>
      <c r="GLY19" s="433"/>
      <c r="GLZ19" s="433"/>
      <c r="GMA19" s="433"/>
      <c r="GMB19" s="433"/>
      <c r="GMC19" s="433"/>
      <c r="GMD19" s="433"/>
      <c r="GME19" s="433"/>
      <c r="GMF19" s="433"/>
      <c r="GMG19" s="433"/>
      <c r="GMH19" s="433"/>
      <c r="GMI19" s="433"/>
      <c r="GMJ19" s="433"/>
      <c r="GMK19" s="433"/>
      <c r="GML19" s="433"/>
      <c r="GMM19" s="433"/>
      <c r="GMN19" s="433"/>
      <c r="GMO19" s="433"/>
      <c r="GMP19" s="433"/>
      <c r="GMQ19" s="433"/>
      <c r="GMR19" s="433"/>
      <c r="GMS19" s="433"/>
      <c r="GMT19" s="433"/>
      <c r="GMU19" s="433"/>
      <c r="GMV19" s="433"/>
      <c r="GMW19" s="433"/>
      <c r="GMX19" s="433"/>
      <c r="GMY19" s="433"/>
      <c r="GMZ19" s="433"/>
      <c r="GNA19" s="433"/>
      <c r="GNB19" s="433"/>
      <c r="GNC19" s="433"/>
      <c r="GND19" s="433"/>
      <c r="GNE19" s="433"/>
      <c r="GNF19" s="433"/>
      <c r="GNG19" s="433"/>
      <c r="GNH19" s="433"/>
      <c r="GNI19" s="433"/>
      <c r="GNJ19" s="433"/>
      <c r="GNK19" s="433"/>
      <c r="GNL19" s="433"/>
      <c r="GNM19" s="433"/>
      <c r="GNN19" s="433"/>
      <c r="GNO19" s="433"/>
      <c r="GNP19" s="433"/>
      <c r="GNQ19" s="433"/>
      <c r="GNR19" s="433"/>
      <c r="GNS19" s="433"/>
      <c r="GNT19" s="433"/>
      <c r="GNU19" s="433"/>
      <c r="GNV19" s="433"/>
      <c r="GNW19" s="433"/>
      <c r="GNX19" s="433"/>
      <c r="GNY19" s="433"/>
      <c r="GNZ19" s="433"/>
      <c r="GOA19" s="433"/>
      <c r="GOB19" s="433"/>
      <c r="GOC19" s="433"/>
      <c r="GOD19" s="433"/>
      <c r="GOE19" s="433"/>
      <c r="GOF19" s="433"/>
      <c r="GOG19" s="433"/>
      <c r="GOH19" s="433"/>
      <c r="GOI19" s="433"/>
      <c r="GOJ19" s="433"/>
      <c r="GOK19" s="433"/>
      <c r="GOL19" s="433"/>
      <c r="GOM19" s="433"/>
      <c r="GON19" s="433"/>
      <c r="GOO19" s="433"/>
      <c r="GOP19" s="433"/>
      <c r="GOQ19" s="433"/>
      <c r="GOR19" s="433"/>
      <c r="GOS19" s="433"/>
      <c r="GOT19" s="433"/>
      <c r="GOU19" s="433"/>
      <c r="GOV19" s="433"/>
      <c r="GOW19" s="433"/>
      <c r="GOX19" s="433"/>
      <c r="GOY19" s="433"/>
      <c r="GOZ19" s="433"/>
      <c r="GPA19" s="433"/>
      <c r="GPB19" s="433"/>
      <c r="GPC19" s="433"/>
      <c r="GPD19" s="433"/>
      <c r="GPE19" s="433"/>
      <c r="GPF19" s="433"/>
      <c r="GPG19" s="433"/>
      <c r="GPH19" s="433"/>
      <c r="GPI19" s="433"/>
      <c r="GPJ19" s="433"/>
      <c r="GPK19" s="433"/>
      <c r="GPL19" s="433"/>
      <c r="GPM19" s="433"/>
      <c r="GPN19" s="433"/>
      <c r="GPO19" s="433"/>
      <c r="GPP19" s="433"/>
      <c r="GPQ19" s="433"/>
      <c r="GPR19" s="433"/>
      <c r="GPS19" s="433"/>
      <c r="GPT19" s="433"/>
      <c r="GPU19" s="433"/>
      <c r="GPV19" s="433"/>
      <c r="GPW19" s="433"/>
      <c r="GPX19" s="433"/>
      <c r="GPY19" s="433"/>
      <c r="GPZ19" s="433"/>
      <c r="GQA19" s="433"/>
      <c r="GQB19" s="433"/>
      <c r="GQC19" s="433"/>
      <c r="GQD19" s="433"/>
      <c r="GQE19" s="433"/>
      <c r="GQF19" s="433"/>
      <c r="GQG19" s="433"/>
      <c r="GQH19" s="433"/>
      <c r="GQI19" s="433"/>
      <c r="GQJ19" s="433"/>
      <c r="GQK19" s="433"/>
      <c r="GQL19" s="433"/>
      <c r="GQM19" s="433"/>
      <c r="GQN19" s="433"/>
      <c r="GQO19" s="433"/>
      <c r="GQP19" s="433"/>
      <c r="GQQ19" s="433"/>
      <c r="GQR19" s="433"/>
      <c r="GQS19" s="433"/>
      <c r="GQT19" s="433"/>
      <c r="GQU19" s="433"/>
      <c r="GQV19" s="433"/>
      <c r="GQW19" s="433"/>
      <c r="GQX19" s="433"/>
      <c r="GQY19" s="433"/>
      <c r="GQZ19" s="433"/>
      <c r="GRA19" s="433"/>
      <c r="GRB19" s="433"/>
      <c r="GRC19" s="433"/>
      <c r="GRD19" s="433"/>
      <c r="GRE19" s="433"/>
      <c r="GRF19" s="433"/>
      <c r="GRG19" s="433"/>
      <c r="GRH19" s="433"/>
      <c r="GRI19" s="433"/>
      <c r="GRJ19" s="433"/>
      <c r="GRK19" s="433"/>
      <c r="GRL19" s="433"/>
      <c r="GRM19" s="433"/>
      <c r="GRN19" s="433"/>
      <c r="GRO19" s="433"/>
      <c r="GRP19" s="433"/>
      <c r="GRQ19" s="433"/>
      <c r="GRR19" s="433"/>
      <c r="GRS19" s="433"/>
      <c r="GRT19" s="433"/>
      <c r="GRU19" s="433"/>
      <c r="GRV19" s="433"/>
      <c r="GRW19" s="433"/>
      <c r="GRX19" s="433"/>
      <c r="GRY19" s="433"/>
      <c r="GRZ19" s="433"/>
      <c r="GSA19" s="433"/>
      <c r="GSB19" s="433"/>
      <c r="GSC19" s="433"/>
      <c r="GSD19" s="433"/>
      <c r="GSE19" s="433"/>
      <c r="GSF19" s="433"/>
      <c r="GSG19" s="433"/>
      <c r="GSH19" s="433"/>
      <c r="GSI19" s="433"/>
      <c r="GSJ19" s="433"/>
      <c r="GSK19" s="433"/>
      <c r="GSL19" s="433"/>
      <c r="GSM19" s="433"/>
      <c r="GSN19" s="433"/>
      <c r="GSO19" s="433"/>
      <c r="GSP19" s="433"/>
      <c r="GSQ19" s="433"/>
      <c r="GSR19" s="433"/>
      <c r="GSS19" s="433"/>
      <c r="GST19" s="433"/>
      <c r="GSU19" s="433"/>
      <c r="GSV19" s="433"/>
      <c r="GSW19" s="433"/>
      <c r="GSX19" s="433"/>
      <c r="GSY19" s="433"/>
      <c r="GSZ19" s="433"/>
      <c r="GTA19" s="433"/>
      <c r="GTB19" s="433"/>
      <c r="GTC19" s="433"/>
      <c r="GTD19" s="433"/>
      <c r="GTE19" s="433"/>
      <c r="GTF19" s="433"/>
      <c r="GTG19" s="433"/>
      <c r="GTH19" s="433"/>
      <c r="GTI19" s="433"/>
      <c r="GTJ19" s="433"/>
      <c r="GTK19" s="433"/>
      <c r="GTL19" s="433"/>
      <c r="GTM19" s="433"/>
      <c r="GTN19" s="433"/>
      <c r="GTO19" s="433"/>
      <c r="GTP19" s="433"/>
      <c r="GTQ19" s="433"/>
      <c r="GTR19" s="433"/>
      <c r="GTS19" s="433"/>
      <c r="GTT19" s="433"/>
      <c r="GTU19" s="433"/>
      <c r="GTV19" s="433"/>
      <c r="GTW19" s="433"/>
      <c r="GTX19" s="433"/>
      <c r="GTY19" s="433"/>
      <c r="GTZ19" s="433"/>
      <c r="GUA19" s="433"/>
      <c r="GUB19" s="433"/>
      <c r="GUC19" s="433"/>
      <c r="GUD19" s="433"/>
      <c r="GUE19" s="433"/>
      <c r="GUF19" s="433"/>
      <c r="GUG19" s="433"/>
      <c r="GUH19" s="433"/>
      <c r="GUI19" s="433"/>
      <c r="GUJ19" s="433"/>
      <c r="GUK19" s="433"/>
      <c r="GUL19" s="433"/>
      <c r="GUM19" s="433"/>
      <c r="GUN19" s="433"/>
      <c r="GUO19" s="433"/>
      <c r="GUP19" s="433"/>
      <c r="GUQ19" s="433"/>
      <c r="GUR19" s="433"/>
      <c r="GUS19" s="433"/>
      <c r="GUT19" s="433"/>
      <c r="GUU19" s="433"/>
      <c r="GUV19" s="433"/>
      <c r="GUW19" s="433"/>
      <c r="GUX19" s="433"/>
      <c r="GUY19" s="433"/>
      <c r="GUZ19" s="433"/>
      <c r="GVA19" s="433"/>
      <c r="GVB19" s="433"/>
      <c r="GVC19" s="433"/>
      <c r="GVD19" s="433"/>
      <c r="GVE19" s="433"/>
      <c r="GVF19" s="433"/>
      <c r="GVG19" s="433"/>
      <c r="GVH19" s="433"/>
      <c r="GVI19" s="433"/>
      <c r="GVJ19" s="433"/>
      <c r="GVK19" s="433"/>
      <c r="GVL19" s="433"/>
      <c r="GVM19" s="433"/>
      <c r="GVN19" s="433"/>
      <c r="GVO19" s="433"/>
      <c r="GVP19" s="433"/>
      <c r="GVQ19" s="433"/>
      <c r="GVR19" s="433"/>
      <c r="GVS19" s="433"/>
      <c r="GVT19" s="433"/>
      <c r="GVU19" s="433"/>
      <c r="GVV19" s="433"/>
      <c r="GVW19" s="433"/>
      <c r="GVX19" s="433"/>
      <c r="GVY19" s="433"/>
      <c r="GVZ19" s="433"/>
      <c r="GWA19" s="433"/>
      <c r="GWB19" s="433"/>
      <c r="GWC19" s="433"/>
      <c r="GWD19" s="433"/>
      <c r="GWE19" s="433"/>
      <c r="GWF19" s="433"/>
      <c r="GWG19" s="433"/>
      <c r="GWH19" s="433"/>
      <c r="GWI19" s="433"/>
      <c r="GWJ19" s="433"/>
      <c r="GWK19" s="433"/>
      <c r="GWL19" s="433"/>
      <c r="GWM19" s="433"/>
      <c r="GWN19" s="433"/>
      <c r="GWO19" s="433"/>
      <c r="GWP19" s="433"/>
      <c r="GWQ19" s="433"/>
      <c r="GWR19" s="433"/>
      <c r="GWS19" s="433"/>
      <c r="GWT19" s="433"/>
      <c r="GWU19" s="433"/>
      <c r="GWV19" s="433"/>
      <c r="GWW19" s="433"/>
      <c r="GWX19" s="433"/>
      <c r="GWY19" s="433"/>
      <c r="GWZ19" s="433"/>
      <c r="GXA19" s="433"/>
      <c r="GXB19" s="433"/>
      <c r="GXC19" s="433"/>
      <c r="GXD19" s="433"/>
      <c r="GXE19" s="433"/>
      <c r="GXF19" s="433"/>
      <c r="GXG19" s="433"/>
      <c r="GXH19" s="433"/>
      <c r="GXI19" s="433"/>
      <c r="GXJ19" s="433"/>
      <c r="GXK19" s="433"/>
      <c r="GXL19" s="433"/>
      <c r="GXM19" s="433"/>
      <c r="GXN19" s="433"/>
      <c r="GXO19" s="433"/>
      <c r="GXP19" s="433"/>
      <c r="GXQ19" s="433"/>
      <c r="GXR19" s="433"/>
      <c r="GXS19" s="433"/>
      <c r="GXT19" s="433"/>
      <c r="GXU19" s="433"/>
      <c r="GXV19" s="433"/>
      <c r="GXW19" s="433"/>
      <c r="GXX19" s="433"/>
      <c r="GXY19" s="433"/>
      <c r="GXZ19" s="433"/>
      <c r="GYA19" s="433"/>
      <c r="GYB19" s="433"/>
      <c r="GYC19" s="433"/>
      <c r="GYD19" s="433"/>
      <c r="GYE19" s="433"/>
      <c r="GYF19" s="433"/>
      <c r="GYG19" s="433"/>
      <c r="GYH19" s="433"/>
      <c r="GYI19" s="433"/>
      <c r="GYJ19" s="433"/>
      <c r="GYK19" s="433"/>
      <c r="GYL19" s="433"/>
      <c r="GYM19" s="433"/>
      <c r="GYN19" s="433"/>
      <c r="GYO19" s="433"/>
      <c r="GYP19" s="433"/>
      <c r="GYQ19" s="433"/>
      <c r="GYR19" s="433"/>
      <c r="GYS19" s="433"/>
      <c r="GYT19" s="433"/>
      <c r="GYU19" s="433"/>
      <c r="GYV19" s="433"/>
      <c r="GYW19" s="433"/>
      <c r="GYX19" s="433"/>
      <c r="GYY19" s="433"/>
      <c r="GYZ19" s="433"/>
      <c r="GZA19" s="433"/>
      <c r="GZB19" s="433"/>
      <c r="GZC19" s="433"/>
      <c r="GZD19" s="433"/>
      <c r="GZE19" s="433"/>
      <c r="GZF19" s="433"/>
      <c r="GZG19" s="433"/>
      <c r="GZH19" s="433"/>
      <c r="GZI19" s="433"/>
      <c r="GZJ19" s="433"/>
      <c r="GZK19" s="433"/>
      <c r="GZL19" s="433"/>
      <c r="GZM19" s="433"/>
      <c r="GZN19" s="433"/>
      <c r="GZO19" s="433"/>
      <c r="GZP19" s="433"/>
      <c r="GZQ19" s="433"/>
      <c r="GZR19" s="433"/>
      <c r="GZS19" s="433"/>
      <c r="GZT19" s="433"/>
      <c r="GZU19" s="433"/>
      <c r="GZV19" s="433"/>
      <c r="GZW19" s="433"/>
      <c r="GZX19" s="433"/>
      <c r="GZY19" s="433"/>
      <c r="GZZ19" s="433"/>
      <c r="HAA19" s="433"/>
      <c r="HAB19" s="433"/>
      <c r="HAC19" s="433"/>
      <c r="HAD19" s="433"/>
      <c r="HAE19" s="433"/>
      <c r="HAF19" s="433"/>
      <c r="HAG19" s="433"/>
      <c r="HAH19" s="433"/>
      <c r="HAI19" s="433"/>
      <c r="HAJ19" s="433"/>
      <c r="HAK19" s="433"/>
      <c r="HAL19" s="433"/>
      <c r="HAM19" s="433"/>
      <c r="HAN19" s="433"/>
      <c r="HAO19" s="433"/>
      <c r="HAP19" s="433"/>
      <c r="HAQ19" s="433"/>
      <c r="HAR19" s="433"/>
      <c r="HAS19" s="433"/>
      <c r="HAT19" s="433"/>
      <c r="HAU19" s="433"/>
      <c r="HAV19" s="433"/>
      <c r="HAW19" s="433"/>
      <c r="HAX19" s="433"/>
      <c r="HAY19" s="433"/>
      <c r="HAZ19" s="433"/>
      <c r="HBA19" s="433"/>
      <c r="HBB19" s="433"/>
      <c r="HBC19" s="433"/>
      <c r="HBD19" s="433"/>
      <c r="HBE19" s="433"/>
      <c r="HBF19" s="433"/>
      <c r="HBG19" s="433"/>
      <c r="HBH19" s="433"/>
      <c r="HBI19" s="433"/>
      <c r="HBJ19" s="433"/>
      <c r="HBK19" s="433"/>
      <c r="HBL19" s="433"/>
      <c r="HBM19" s="433"/>
      <c r="HBN19" s="433"/>
      <c r="HBO19" s="433"/>
      <c r="HBP19" s="433"/>
      <c r="HBQ19" s="433"/>
      <c r="HBR19" s="433"/>
      <c r="HBS19" s="433"/>
      <c r="HBT19" s="433"/>
      <c r="HBU19" s="433"/>
      <c r="HBV19" s="433"/>
      <c r="HBW19" s="433"/>
      <c r="HBX19" s="433"/>
      <c r="HBY19" s="433"/>
      <c r="HBZ19" s="433"/>
      <c r="HCA19" s="433"/>
      <c r="HCB19" s="433"/>
      <c r="HCC19" s="433"/>
      <c r="HCD19" s="433"/>
      <c r="HCE19" s="433"/>
      <c r="HCF19" s="433"/>
      <c r="HCG19" s="433"/>
      <c r="HCH19" s="433"/>
      <c r="HCI19" s="433"/>
      <c r="HCJ19" s="433"/>
      <c r="HCK19" s="433"/>
      <c r="HCL19" s="433"/>
      <c r="HCM19" s="433"/>
      <c r="HCN19" s="433"/>
      <c r="HCO19" s="433"/>
      <c r="HCP19" s="433"/>
      <c r="HCQ19" s="433"/>
      <c r="HCR19" s="433"/>
      <c r="HCS19" s="433"/>
      <c r="HCT19" s="433"/>
      <c r="HCU19" s="433"/>
      <c r="HCV19" s="433"/>
      <c r="HCW19" s="433"/>
      <c r="HCX19" s="433"/>
      <c r="HCY19" s="433"/>
      <c r="HCZ19" s="433"/>
      <c r="HDA19" s="433"/>
      <c r="HDB19" s="433"/>
      <c r="HDC19" s="433"/>
      <c r="HDD19" s="433"/>
      <c r="HDE19" s="433"/>
      <c r="HDF19" s="433"/>
      <c r="HDG19" s="433"/>
      <c r="HDH19" s="433"/>
      <c r="HDI19" s="433"/>
      <c r="HDJ19" s="433"/>
      <c r="HDK19" s="433"/>
      <c r="HDL19" s="433"/>
      <c r="HDM19" s="433"/>
      <c r="HDN19" s="433"/>
      <c r="HDO19" s="433"/>
      <c r="HDP19" s="433"/>
      <c r="HDQ19" s="433"/>
      <c r="HDR19" s="433"/>
      <c r="HDS19" s="433"/>
      <c r="HDT19" s="433"/>
      <c r="HDU19" s="433"/>
      <c r="HDV19" s="433"/>
      <c r="HDW19" s="433"/>
      <c r="HDX19" s="433"/>
      <c r="HDY19" s="433"/>
      <c r="HDZ19" s="433"/>
      <c r="HEA19" s="433"/>
      <c r="HEB19" s="433"/>
      <c r="HEC19" s="433"/>
      <c r="HED19" s="433"/>
      <c r="HEE19" s="433"/>
      <c r="HEF19" s="433"/>
      <c r="HEG19" s="433"/>
      <c r="HEH19" s="433"/>
      <c r="HEI19" s="433"/>
      <c r="HEJ19" s="433"/>
      <c r="HEK19" s="433"/>
      <c r="HEL19" s="433"/>
      <c r="HEM19" s="433"/>
      <c r="HEN19" s="433"/>
      <c r="HEO19" s="433"/>
      <c r="HEP19" s="433"/>
      <c r="HEQ19" s="433"/>
      <c r="HER19" s="433"/>
      <c r="HES19" s="433"/>
      <c r="HET19" s="433"/>
      <c r="HEU19" s="433"/>
      <c r="HEV19" s="433"/>
      <c r="HEW19" s="433"/>
      <c r="HEX19" s="433"/>
      <c r="HEY19" s="433"/>
      <c r="HEZ19" s="433"/>
      <c r="HFA19" s="433"/>
      <c r="HFB19" s="433"/>
      <c r="HFC19" s="433"/>
      <c r="HFD19" s="433"/>
      <c r="HFE19" s="433"/>
      <c r="HFF19" s="433"/>
      <c r="HFG19" s="433"/>
      <c r="HFH19" s="433"/>
      <c r="HFI19" s="433"/>
      <c r="HFJ19" s="433"/>
      <c r="HFK19" s="433"/>
      <c r="HFL19" s="433"/>
      <c r="HFM19" s="433"/>
      <c r="HFN19" s="433"/>
      <c r="HFO19" s="433"/>
      <c r="HFP19" s="433"/>
      <c r="HFQ19" s="433"/>
      <c r="HFR19" s="433"/>
      <c r="HFS19" s="433"/>
      <c r="HFT19" s="433"/>
      <c r="HFU19" s="433"/>
      <c r="HFV19" s="433"/>
      <c r="HFW19" s="433"/>
      <c r="HFX19" s="433"/>
      <c r="HFY19" s="433"/>
      <c r="HFZ19" s="433"/>
      <c r="HGA19" s="433"/>
      <c r="HGB19" s="433"/>
      <c r="HGC19" s="433"/>
      <c r="HGD19" s="433"/>
      <c r="HGE19" s="433"/>
      <c r="HGF19" s="433"/>
      <c r="HGG19" s="433"/>
      <c r="HGH19" s="433"/>
      <c r="HGI19" s="433"/>
      <c r="HGJ19" s="433"/>
      <c r="HGK19" s="433"/>
      <c r="HGL19" s="433"/>
      <c r="HGM19" s="433"/>
      <c r="HGN19" s="433"/>
      <c r="HGO19" s="433"/>
      <c r="HGP19" s="433"/>
      <c r="HGQ19" s="433"/>
      <c r="HGR19" s="433"/>
      <c r="HGS19" s="433"/>
      <c r="HGT19" s="433"/>
      <c r="HGU19" s="433"/>
      <c r="HGV19" s="433"/>
      <c r="HGW19" s="433"/>
      <c r="HGX19" s="433"/>
      <c r="HGY19" s="433"/>
      <c r="HGZ19" s="433"/>
      <c r="HHA19" s="433"/>
      <c r="HHB19" s="433"/>
      <c r="HHC19" s="433"/>
      <c r="HHD19" s="433"/>
      <c r="HHE19" s="433"/>
      <c r="HHF19" s="433"/>
      <c r="HHG19" s="433"/>
      <c r="HHH19" s="433"/>
      <c r="HHI19" s="433"/>
      <c r="HHJ19" s="433"/>
      <c r="HHK19" s="433"/>
      <c r="HHL19" s="433"/>
      <c r="HHM19" s="433"/>
      <c r="HHN19" s="433"/>
      <c r="HHO19" s="433"/>
      <c r="HHP19" s="433"/>
      <c r="HHQ19" s="433"/>
      <c r="HHR19" s="433"/>
      <c r="HHS19" s="433"/>
      <c r="HHT19" s="433"/>
      <c r="HHU19" s="433"/>
      <c r="HHV19" s="433"/>
      <c r="HHW19" s="433"/>
      <c r="HHX19" s="433"/>
      <c r="HHY19" s="433"/>
      <c r="HHZ19" s="433"/>
      <c r="HIA19" s="433"/>
      <c r="HIB19" s="433"/>
      <c r="HIC19" s="433"/>
      <c r="HID19" s="433"/>
      <c r="HIE19" s="433"/>
      <c r="HIF19" s="433"/>
      <c r="HIG19" s="433"/>
      <c r="HIH19" s="433"/>
      <c r="HII19" s="433"/>
      <c r="HIJ19" s="433"/>
      <c r="HIK19" s="433"/>
      <c r="HIL19" s="433"/>
      <c r="HIM19" s="433"/>
      <c r="HIN19" s="433"/>
      <c r="HIO19" s="433"/>
      <c r="HIP19" s="433"/>
      <c r="HIQ19" s="433"/>
      <c r="HIR19" s="433"/>
      <c r="HIS19" s="433"/>
      <c r="HIT19" s="433"/>
      <c r="HIU19" s="433"/>
      <c r="HIV19" s="433"/>
      <c r="HIW19" s="433"/>
      <c r="HIX19" s="433"/>
      <c r="HIY19" s="433"/>
      <c r="HIZ19" s="433"/>
      <c r="HJA19" s="433"/>
      <c r="HJB19" s="433"/>
      <c r="HJC19" s="433"/>
      <c r="HJD19" s="433"/>
      <c r="HJE19" s="433"/>
      <c r="HJF19" s="433"/>
      <c r="HJG19" s="433"/>
      <c r="HJH19" s="433"/>
      <c r="HJI19" s="433"/>
      <c r="HJJ19" s="433"/>
      <c r="HJK19" s="433"/>
      <c r="HJL19" s="433"/>
      <c r="HJM19" s="433"/>
      <c r="HJN19" s="433"/>
      <c r="HJO19" s="433"/>
      <c r="HJP19" s="433"/>
      <c r="HJQ19" s="433"/>
      <c r="HJR19" s="433"/>
      <c r="HJS19" s="433"/>
      <c r="HJT19" s="433"/>
      <c r="HJU19" s="433"/>
      <c r="HJV19" s="433"/>
      <c r="HJW19" s="433"/>
      <c r="HJX19" s="433"/>
      <c r="HJY19" s="433"/>
      <c r="HJZ19" s="433"/>
      <c r="HKA19" s="433"/>
      <c r="HKB19" s="433"/>
      <c r="HKC19" s="433"/>
      <c r="HKD19" s="433"/>
      <c r="HKE19" s="433"/>
      <c r="HKF19" s="433"/>
      <c r="HKG19" s="433"/>
      <c r="HKH19" s="433"/>
      <c r="HKI19" s="433"/>
      <c r="HKJ19" s="433"/>
      <c r="HKK19" s="433"/>
      <c r="HKL19" s="433"/>
      <c r="HKM19" s="433"/>
      <c r="HKN19" s="433"/>
      <c r="HKO19" s="433"/>
      <c r="HKP19" s="433"/>
      <c r="HKQ19" s="433"/>
      <c r="HKR19" s="433"/>
      <c r="HKS19" s="433"/>
      <c r="HKT19" s="433"/>
      <c r="HKU19" s="433"/>
      <c r="HKV19" s="433"/>
      <c r="HKW19" s="433"/>
      <c r="HKX19" s="433"/>
      <c r="HKY19" s="433"/>
      <c r="HKZ19" s="433"/>
      <c r="HLA19" s="433"/>
      <c r="HLB19" s="433"/>
      <c r="HLC19" s="433"/>
      <c r="HLD19" s="433"/>
      <c r="HLE19" s="433"/>
      <c r="HLF19" s="433"/>
      <c r="HLG19" s="433"/>
      <c r="HLH19" s="433"/>
      <c r="HLI19" s="433"/>
      <c r="HLJ19" s="433"/>
      <c r="HLK19" s="433"/>
      <c r="HLL19" s="433"/>
      <c r="HLM19" s="433"/>
      <c r="HLN19" s="433"/>
      <c r="HLO19" s="433"/>
      <c r="HLP19" s="433"/>
      <c r="HLQ19" s="433"/>
      <c r="HLR19" s="433"/>
      <c r="HLS19" s="433"/>
      <c r="HLT19" s="433"/>
      <c r="HLU19" s="433"/>
      <c r="HLV19" s="433"/>
      <c r="HLW19" s="433"/>
      <c r="HLX19" s="433"/>
      <c r="HLY19" s="433"/>
      <c r="HLZ19" s="433"/>
      <c r="HMA19" s="433"/>
      <c r="HMB19" s="433"/>
      <c r="HMC19" s="433"/>
      <c r="HMD19" s="433"/>
      <c r="HME19" s="433"/>
      <c r="HMF19" s="433"/>
      <c r="HMG19" s="433"/>
      <c r="HMH19" s="433"/>
      <c r="HMI19" s="433"/>
      <c r="HMJ19" s="433"/>
      <c r="HMK19" s="433"/>
      <c r="HML19" s="433"/>
      <c r="HMM19" s="433"/>
      <c r="HMN19" s="433"/>
      <c r="HMO19" s="433"/>
      <c r="HMP19" s="433"/>
      <c r="HMQ19" s="433"/>
      <c r="HMR19" s="433"/>
      <c r="HMS19" s="433"/>
      <c r="HMT19" s="433"/>
      <c r="HMU19" s="433"/>
      <c r="HMV19" s="433"/>
      <c r="HMW19" s="433"/>
      <c r="HMX19" s="433"/>
      <c r="HMY19" s="433"/>
      <c r="HMZ19" s="433"/>
      <c r="HNA19" s="433"/>
      <c r="HNB19" s="433"/>
      <c r="HNC19" s="433"/>
      <c r="HND19" s="433"/>
      <c r="HNE19" s="433"/>
      <c r="HNF19" s="433"/>
      <c r="HNG19" s="433"/>
      <c r="HNH19" s="433"/>
      <c r="HNI19" s="433"/>
      <c r="HNJ19" s="433"/>
      <c r="HNK19" s="433"/>
      <c r="HNL19" s="433"/>
      <c r="HNM19" s="433"/>
      <c r="HNN19" s="433"/>
      <c r="HNO19" s="433"/>
      <c r="HNP19" s="433"/>
      <c r="HNQ19" s="433"/>
      <c r="HNR19" s="433"/>
      <c r="HNS19" s="433"/>
      <c r="HNT19" s="433"/>
      <c r="HNU19" s="433"/>
      <c r="HNV19" s="433"/>
      <c r="HNW19" s="433"/>
      <c r="HNX19" s="433"/>
      <c r="HNY19" s="433"/>
      <c r="HNZ19" s="433"/>
      <c r="HOA19" s="433"/>
      <c r="HOB19" s="433"/>
      <c r="HOC19" s="433"/>
      <c r="HOD19" s="433"/>
      <c r="HOE19" s="433"/>
      <c r="HOF19" s="433"/>
      <c r="HOG19" s="433"/>
      <c r="HOH19" s="433"/>
      <c r="HOI19" s="433"/>
      <c r="HOJ19" s="433"/>
      <c r="HOK19" s="433"/>
      <c r="HOL19" s="433"/>
      <c r="HOM19" s="433"/>
      <c r="HON19" s="433"/>
      <c r="HOO19" s="433"/>
      <c r="HOP19" s="433"/>
      <c r="HOQ19" s="433"/>
      <c r="HOR19" s="433"/>
      <c r="HOS19" s="433"/>
      <c r="HOT19" s="433"/>
      <c r="HOU19" s="433"/>
      <c r="HOV19" s="433"/>
      <c r="HOW19" s="433"/>
      <c r="HOX19" s="433"/>
      <c r="HOY19" s="433"/>
      <c r="HOZ19" s="433"/>
      <c r="HPA19" s="433"/>
      <c r="HPB19" s="433"/>
      <c r="HPC19" s="433"/>
      <c r="HPD19" s="433"/>
      <c r="HPE19" s="433"/>
      <c r="HPF19" s="433"/>
      <c r="HPG19" s="433"/>
      <c r="HPH19" s="433"/>
      <c r="HPI19" s="433"/>
      <c r="HPJ19" s="433"/>
      <c r="HPK19" s="433"/>
      <c r="HPL19" s="433"/>
      <c r="HPM19" s="433"/>
      <c r="HPN19" s="433"/>
      <c r="HPO19" s="433"/>
      <c r="HPP19" s="433"/>
      <c r="HPQ19" s="433"/>
      <c r="HPR19" s="433"/>
      <c r="HPS19" s="433"/>
      <c r="HPT19" s="433"/>
      <c r="HPU19" s="433"/>
      <c r="HPV19" s="433"/>
      <c r="HPW19" s="433"/>
      <c r="HPX19" s="433"/>
      <c r="HPY19" s="433"/>
      <c r="HPZ19" s="433"/>
      <c r="HQA19" s="433"/>
      <c r="HQB19" s="433"/>
      <c r="HQC19" s="433"/>
      <c r="HQD19" s="433"/>
      <c r="HQE19" s="433"/>
      <c r="HQF19" s="433"/>
      <c r="HQG19" s="433"/>
      <c r="HQH19" s="433"/>
      <c r="HQI19" s="433"/>
      <c r="HQJ19" s="433"/>
      <c r="HQK19" s="433"/>
      <c r="HQL19" s="433"/>
      <c r="HQM19" s="433"/>
      <c r="HQN19" s="433"/>
      <c r="HQO19" s="433"/>
      <c r="HQP19" s="433"/>
      <c r="HQQ19" s="433"/>
      <c r="HQR19" s="433"/>
      <c r="HQS19" s="433"/>
      <c r="HQT19" s="433"/>
      <c r="HQU19" s="433"/>
      <c r="HQV19" s="433"/>
      <c r="HQW19" s="433"/>
      <c r="HQX19" s="433"/>
      <c r="HQY19" s="433"/>
      <c r="HQZ19" s="433"/>
      <c r="HRA19" s="433"/>
      <c r="HRB19" s="433"/>
      <c r="HRC19" s="433"/>
      <c r="HRD19" s="433"/>
      <c r="HRE19" s="433"/>
      <c r="HRF19" s="433"/>
      <c r="HRG19" s="433"/>
      <c r="HRH19" s="433"/>
      <c r="HRI19" s="433"/>
      <c r="HRJ19" s="433"/>
      <c r="HRK19" s="433"/>
      <c r="HRL19" s="433"/>
      <c r="HRM19" s="433"/>
      <c r="HRN19" s="433"/>
      <c r="HRO19" s="433"/>
      <c r="HRP19" s="433"/>
      <c r="HRQ19" s="433"/>
      <c r="HRR19" s="433"/>
      <c r="HRS19" s="433"/>
      <c r="HRT19" s="433"/>
      <c r="HRU19" s="433"/>
      <c r="HRV19" s="433"/>
      <c r="HRW19" s="433"/>
      <c r="HRX19" s="433"/>
      <c r="HRY19" s="433"/>
      <c r="HRZ19" s="433"/>
      <c r="HSA19" s="433"/>
      <c r="HSB19" s="433"/>
      <c r="HSC19" s="433"/>
      <c r="HSD19" s="433"/>
      <c r="HSE19" s="433"/>
      <c r="HSF19" s="433"/>
      <c r="HSG19" s="433"/>
      <c r="HSH19" s="433"/>
      <c r="HSI19" s="433"/>
      <c r="HSJ19" s="433"/>
      <c r="HSK19" s="433"/>
      <c r="HSL19" s="433"/>
      <c r="HSM19" s="433"/>
      <c r="HSN19" s="433"/>
      <c r="HSO19" s="433"/>
      <c r="HSP19" s="433"/>
      <c r="HSQ19" s="433"/>
      <c r="HSR19" s="433"/>
      <c r="HSS19" s="433"/>
      <c r="HST19" s="433"/>
      <c r="HSU19" s="433"/>
      <c r="HSV19" s="433"/>
      <c r="HSW19" s="433"/>
      <c r="HSX19" s="433"/>
      <c r="HSY19" s="433"/>
      <c r="HSZ19" s="433"/>
      <c r="HTA19" s="433"/>
      <c r="HTB19" s="433"/>
      <c r="HTC19" s="433"/>
      <c r="HTD19" s="433"/>
      <c r="HTE19" s="433"/>
      <c r="HTF19" s="433"/>
      <c r="HTG19" s="433"/>
      <c r="HTH19" s="433"/>
      <c r="HTI19" s="433"/>
      <c r="HTJ19" s="433"/>
      <c r="HTK19" s="433"/>
      <c r="HTL19" s="433"/>
      <c r="HTM19" s="433"/>
      <c r="HTN19" s="433"/>
      <c r="HTO19" s="433"/>
      <c r="HTP19" s="433"/>
      <c r="HTQ19" s="433"/>
      <c r="HTR19" s="433"/>
      <c r="HTS19" s="433"/>
      <c r="HTT19" s="433"/>
      <c r="HTU19" s="433"/>
      <c r="HTV19" s="433"/>
      <c r="HTW19" s="433"/>
      <c r="HTX19" s="433"/>
      <c r="HTY19" s="433"/>
      <c r="HTZ19" s="433"/>
      <c r="HUA19" s="433"/>
      <c r="HUB19" s="433"/>
      <c r="HUC19" s="433"/>
      <c r="HUD19" s="433"/>
      <c r="HUE19" s="433"/>
      <c r="HUF19" s="433"/>
      <c r="HUG19" s="433"/>
      <c r="HUH19" s="433"/>
      <c r="HUI19" s="433"/>
      <c r="HUJ19" s="433"/>
      <c r="HUK19" s="433"/>
      <c r="HUL19" s="433"/>
      <c r="HUM19" s="433"/>
      <c r="HUN19" s="433"/>
      <c r="HUO19" s="433"/>
      <c r="HUP19" s="433"/>
      <c r="HUQ19" s="433"/>
      <c r="HUR19" s="433"/>
      <c r="HUS19" s="433"/>
      <c r="HUT19" s="433"/>
      <c r="HUU19" s="433"/>
      <c r="HUV19" s="433"/>
      <c r="HUW19" s="433"/>
      <c r="HUX19" s="433"/>
      <c r="HUY19" s="433"/>
      <c r="HUZ19" s="433"/>
      <c r="HVA19" s="433"/>
      <c r="HVB19" s="433"/>
      <c r="HVC19" s="433"/>
      <c r="HVD19" s="433"/>
      <c r="HVE19" s="433"/>
      <c r="HVF19" s="433"/>
      <c r="HVG19" s="433"/>
      <c r="HVH19" s="433"/>
      <c r="HVI19" s="433"/>
      <c r="HVJ19" s="433"/>
      <c r="HVK19" s="433"/>
      <c r="HVL19" s="433"/>
      <c r="HVM19" s="433"/>
      <c r="HVN19" s="433"/>
      <c r="HVO19" s="433"/>
      <c r="HVP19" s="433"/>
      <c r="HVQ19" s="433"/>
      <c r="HVR19" s="433"/>
      <c r="HVS19" s="433"/>
      <c r="HVT19" s="433"/>
      <c r="HVU19" s="433"/>
      <c r="HVV19" s="433"/>
      <c r="HVW19" s="433"/>
      <c r="HVX19" s="433"/>
      <c r="HVY19" s="433"/>
      <c r="HVZ19" s="433"/>
      <c r="HWA19" s="433"/>
      <c r="HWB19" s="433"/>
      <c r="HWC19" s="433"/>
      <c r="HWD19" s="433"/>
      <c r="HWE19" s="433"/>
      <c r="HWF19" s="433"/>
      <c r="HWG19" s="433"/>
      <c r="HWH19" s="433"/>
      <c r="HWI19" s="433"/>
      <c r="HWJ19" s="433"/>
      <c r="HWK19" s="433"/>
      <c r="HWL19" s="433"/>
      <c r="HWM19" s="433"/>
      <c r="HWN19" s="433"/>
      <c r="HWO19" s="433"/>
      <c r="HWP19" s="433"/>
      <c r="HWQ19" s="433"/>
      <c r="HWR19" s="433"/>
      <c r="HWS19" s="433"/>
      <c r="HWT19" s="433"/>
      <c r="HWU19" s="433"/>
      <c r="HWV19" s="433"/>
      <c r="HWW19" s="433"/>
      <c r="HWX19" s="433"/>
      <c r="HWY19" s="433"/>
      <c r="HWZ19" s="433"/>
      <c r="HXA19" s="433"/>
      <c r="HXB19" s="433"/>
      <c r="HXC19" s="433"/>
      <c r="HXD19" s="433"/>
      <c r="HXE19" s="433"/>
      <c r="HXF19" s="433"/>
      <c r="HXG19" s="433"/>
      <c r="HXH19" s="433"/>
      <c r="HXI19" s="433"/>
      <c r="HXJ19" s="433"/>
      <c r="HXK19" s="433"/>
      <c r="HXL19" s="433"/>
      <c r="HXM19" s="433"/>
      <c r="HXN19" s="433"/>
      <c r="HXO19" s="433"/>
      <c r="HXP19" s="433"/>
      <c r="HXQ19" s="433"/>
      <c r="HXR19" s="433"/>
      <c r="HXS19" s="433"/>
      <c r="HXT19" s="433"/>
      <c r="HXU19" s="433"/>
      <c r="HXV19" s="433"/>
      <c r="HXW19" s="433"/>
      <c r="HXX19" s="433"/>
      <c r="HXY19" s="433"/>
      <c r="HXZ19" s="433"/>
      <c r="HYA19" s="433"/>
      <c r="HYB19" s="433"/>
      <c r="HYC19" s="433"/>
      <c r="HYD19" s="433"/>
      <c r="HYE19" s="433"/>
      <c r="HYF19" s="433"/>
      <c r="HYG19" s="433"/>
      <c r="HYH19" s="433"/>
      <c r="HYI19" s="433"/>
      <c r="HYJ19" s="433"/>
      <c r="HYK19" s="433"/>
      <c r="HYL19" s="433"/>
      <c r="HYM19" s="433"/>
      <c r="HYN19" s="433"/>
      <c r="HYO19" s="433"/>
      <c r="HYP19" s="433"/>
      <c r="HYQ19" s="433"/>
      <c r="HYR19" s="433"/>
      <c r="HYS19" s="433"/>
      <c r="HYT19" s="433"/>
      <c r="HYU19" s="433"/>
      <c r="HYV19" s="433"/>
      <c r="HYW19" s="433"/>
      <c r="HYX19" s="433"/>
      <c r="HYY19" s="433"/>
      <c r="HYZ19" s="433"/>
      <c r="HZA19" s="433"/>
      <c r="HZB19" s="433"/>
      <c r="HZC19" s="433"/>
      <c r="HZD19" s="433"/>
      <c r="HZE19" s="433"/>
      <c r="HZF19" s="433"/>
      <c r="HZG19" s="433"/>
      <c r="HZH19" s="433"/>
      <c r="HZI19" s="433"/>
      <c r="HZJ19" s="433"/>
      <c r="HZK19" s="433"/>
      <c r="HZL19" s="433"/>
      <c r="HZM19" s="433"/>
      <c r="HZN19" s="433"/>
      <c r="HZO19" s="433"/>
      <c r="HZP19" s="433"/>
      <c r="HZQ19" s="433"/>
      <c r="HZR19" s="433"/>
      <c r="HZS19" s="433"/>
      <c r="HZT19" s="433"/>
      <c r="HZU19" s="433"/>
      <c r="HZV19" s="433"/>
      <c r="HZW19" s="433"/>
      <c r="HZX19" s="433"/>
      <c r="HZY19" s="433"/>
      <c r="HZZ19" s="433"/>
      <c r="IAA19" s="433"/>
      <c r="IAB19" s="433"/>
      <c r="IAC19" s="433"/>
      <c r="IAD19" s="433"/>
      <c r="IAE19" s="433"/>
      <c r="IAF19" s="433"/>
      <c r="IAG19" s="433"/>
      <c r="IAH19" s="433"/>
      <c r="IAI19" s="433"/>
      <c r="IAJ19" s="433"/>
      <c r="IAK19" s="433"/>
      <c r="IAL19" s="433"/>
      <c r="IAM19" s="433"/>
      <c r="IAN19" s="433"/>
      <c r="IAO19" s="433"/>
      <c r="IAP19" s="433"/>
      <c r="IAQ19" s="433"/>
      <c r="IAR19" s="433"/>
      <c r="IAS19" s="433"/>
      <c r="IAT19" s="433"/>
      <c r="IAU19" s="433"/>
      <c r="IAV19" s="433"/>
      <c r="IAW19" s="433"/>
      <c r="IAX19" s="433"/>
      <c r="IAY19" s="433"/>
      <c r="IAZ19" s="433"/>
      <c r="IBA19" s="433"/>
      <c r="IBB19" s="433"/>
      <c r="IBC19" s="433"/>
      <c r="IBD19" s="433"/>
      <c r="IBE19" s="433"/>
      <c r="IBF19" s="433"/>
      <c r="IBG19" s="433"/>
      <c r="IBH19" s="433"/>
      <c r="IBI19" s="433"/>
      <c r="IBJ19" s="433"/>
      <c r="IBK19" s="433"/>
      <c r="IBL19" s="433"/>
      <c r="IBM19" s="433"/>
      <c r="IBN19" s="433"/>
      <c r="IBO19" s="433"/>
      <c r="IBP19" s="433"/>
      <c r="IBQ19" s="433"/>
      <c r="IBR19" s="433"/>
      <c r="IBS19" s="433"/>
      <c r="IBT19" s="433"/>
      <c r="IBU19" s="433"/>
      <c r="IBV19" s="433"/>
      <c r="IBW19" s="433"/>
      <c r="IBX19" s="433"/>
      <c r="IBY19" s="433"/>
      <c r="IBZ19" s="433"/>
      <c r="ICA19" s="433"/>
      <c r="ICB19" s="433"/>
      <c r="ICC19" s="433"/>
      <c r="ICD19" s="433"/>
      <c r="ICE19" s="433"/>
      <c r="ICF19" s="433"/>
      <c r="ICG19" s="433"/>
      <c r="ICH19" s="433"/>
      <c r="ICI19" s="433"/>
      <c r="ICJ19" s="433"/>
      <c r="ICK19" s="433"/>
      <c r="ICL19" s="433"/>
      <c r="ICM19" s="433"/>
      <c r="ICN19" s="433"/>
      <c r="ICO19" s="433"/>
      <c r="ICP19" s="433"/>
      <c r="ICQ19" s="433"/>
      <c r="ICR19" s="433"/>
      <c r="ICS19" s="433"/>
      <c r="ICT19" s="433"/>
      <c r="ICU19" s="433"/>
      <c r="ICV19" s="433"/>
      <c r="ICW19" s="433"/>
      <c r="ICX19" s="433"/>
      <c r="ICY19" s="433"/>
      <c r="ICZ19" s="433"/>
      <c r="IDA19" s="433"/>
      <c r="IDB19" s="433"/>
      <c r="IDC19" s="433"/>
      <c r="IDD19" s="433"/>
      <c r="IDE19" s="433"/>
      <c r="IDF19" s="433"/>
      <c r="IDG19" s="433"/>
      <c r="IDH19" s="433"/>
      <c r="IDI19" s="433"/>
      <c r="IDJ19" s="433"/>
      <c r="IDK19" s="433"/>
      <c r="IDL19" s="433"/>
      <c r="IDM19" s="433"/>
      <c r="IDN19" s="433"/>
      <c r="IDO19" s="433"/>
      <c r="IDP19" s="433"/>
      <c r="IDQ19" s="433"/>
      <c r="IDR19" s="433"/>
      <c r="IDS19" s="433"/>
      <c r="IDT19" s="433"/>
      <c r="IDU19" s="433"/>
      <c r="IDV19" s="433"/>
      <c r="IDW19" s="433"/>
      <c r="IDX19" s="433"/>
      <c r="IDY19" s="433"/>
      <c r="IDZ19" s="433"/>
      <c r="IEA19" s="433"/>
      <c r="IEB19" s="433"/>
      <c r="IEC19" s="433"/>
      <c r="IED19" s="433"/>
      <c r="IEE19" s="433"/>
      <c r="IEF19" s="433"/>
      <c r="IEG19" s="433"/>
      <c r="IEH19" s="433"/>
      <c r="IEI19" s="433"/>
      <c r="IEJ19" s="433"/>
      <c r="IEK19" s="433"/>
      <c r="IEL19" s="433"/>
      <c r="IEM19" s="433"/>
      <c r="IEN19" s="433"/>
      <c r="IEO19" s="433"/>
      <c r="IEP19" s="433"/>
      <c r="IEQ19" s="433"/>
      <c r="IER19" s="433"/>
      <c r="IES19" s="433"/>
      <c r="IET19" s="433"/>
      <c r="IEU19" s="433"/>
      <c r="IEV19" s="433"/>
      <c r="IEW19" s="433"/>
      <c r="IEX19" s="433"/>
      <c r="IEY19" s="433"/>
      <c r="IEZ19" s="433"/>
      <c r="IFA19" s="433"/>
      <c r="IFB19" s="433"/>
      <c r="IFC19" s="433"/>
      <c r="IFD19" s="433"/>
      <c r="IFE19" s="433"/>
      <c r="IFF19" s="433"/>
      <c r="IFG19" s="433"/>
      <c r="IFH19" s="433"/>
      <c r="IFI19" s="433"/>
      <c r="IFJ19" s="433"/>
      <c r="IFK19" s="433"/>
      <c r="IFL19" s="433"/>
      <c r="IFM19" s="433"/>
      <c r="IFN19" s="433"/>
      <c r="IFO19" s="433"/>
      <c r="IFP19" s="433"/>
      <c r="IFQ19" s="433"/>
      <c r="IFR19" s="433"/>
      <c r="IFS19" s="433"/>
      <c r="IFT19" s="433"/>
      <c r="IFU19" s="433"/>
      <c r="IFV19" s="433"/>
      <c r="IFW19" s="433"/>
      <c r="IFX19" s="433"/>
      <c r="IFY19" s="433"/>
      <c r="IFZ19" s="433"/>
      <c r="IGA19" s="433"/>
      <c r="IGB19" s="433"/>
      <c r="IGC19" s="433"/>
      <c r="IGD19" s="433"/>
      <c r="IGE19" s="433"/>
      <c r="IGF19" s="433"/>
      <c r="IGG19" s="433"/>
      <c r="IGH19" s="433"/>
      <c r="IGI19" s="433"/>
      <c r="IGJ19" s="433"/>
      <c r="IGK19" s="433"/>
      <c r="IGL19" s="433"/>
      <c r="IGM19" s="433"/>
      <c r="IGN19" s="433"/>
      <c r="IGO19" s="433"/>
      <c r="IGP19" s="433"/>
      <c r="IGQ19" s="433"/>
      <c r="IGR19" s="433"/>
      <c r="IGS19" s="433"/>
      <c r="IGT19" s="433"/>
      <c r="IGU19" s="433"/>
      <c r="IGV19" s="433"/>
      <c r="IGW19" s="433"/>
      <c r="IGX19" s="433"/>
      <c r="IGY19" s="433"/>
      <c r="IGZ19" s="433"/>
      <c r="IHA19" s="433"/>
      <c r="IHB19" s="433"/>
      <c r="IHC19" s="433"/>
      <c r="IHD19" s="433"/>
      <c r="IHE19" s="433"/>
      <c r="IHF19" s="433"/>
      <c r="IHG19" s="433"/>
      <c r="IHH19" s="433"/>
      <c r="IHI19" s="433"/>
      <c r="IHJ19" s="433"/>
      <c r="IHK19" s="433"/>
      <c r="IHL19" s="433"/>
      <c r="IHM19" s="433"/>
      <c r="IHN19" s="433"/>
      <c r="IHO19" s="433"/>
      <c r="IHP19" s="433"/>
      <c r="IHQ19" s="433"/>
      <c r="IHR19" s="433"/>
      <c r="IHS19" s="433"/>
      <c r="IHT19" s="433"/>
      <c r="IHU19" s="433"/>
      <c r="IHV19" s="433"/>
      <c r="IHW19" s="433"/>
      <c r="IHX19" s="433"/>
      <c r="IHY19" s="433"/>
      <c r="IHZ19" s="433"/>
      <c r="IIA19" s="433"/>
      <c r="IIB19" s="433"/>
      <c r="IIC19" s="433"/>
      <c r="IID19" s="433"/>
      <c r="IIE19" s="433"/>
      <c r="IIF19" s="433"/>
      <c r="IIG19" s="433"/>
      <c r="IIH19" s="433"/>
      <c r="III19" s="433"/>
      <c r="IIJ19" s="433"/>
      <c r="IIK19" s="433"/>
      <c r="IIL19" s="433"/>
      <c r="IIM19" s="433"/>
      <c r="IIN19" s="433"/>
      <c r="IIO19" s="433"/>
      <c r="IIP19" s="433"/>
      <c r="IIQ19" s="433"/>
      <c r="IIR19" s="433"/>
      <c r="IIS19" s="433"/>
      <c r="IIT19" s="433"/>
      <c r="IIU19" s="433"/>
      <c r="IIV19" s="433"/>
      <c r="IIW19" s="433"/>
      <c r="IIX19" s="433"/>
      <c r="IIY19" s="433"/>
      <c r="IIZ19" s="433"/>
      <c r="IJA19" s="433"/>
      <c r="IJB19" s="433"/>
      <c r="IJC19" s="433"/>
      <c r="IJD19" s="433"/>
      <c r="IJE19" s="433"/>
      <c r="IJF19" s="433"/>
      <c r="IJG19" s="433"/>
      <c r="IJH19" s="433"/>
      <c r="IJI19" s="433"/>
      <c r="IJJ19" s="433"/>
      <c r="IJK19" s="433"/>
      <c r="IJL19" s="433"/>
      <c r="IJM19" s="433"/>
      <c r="IJN19" s="433"/>
      <c r="IJO19" s="433"/>
      <c r="IJP19" s="433"/>
      <c r="IJQ19" s="433"/>
      <c r="IJR19" s="433"/>
      <c r="IJS19" s="433"/>
      <c r="IJT19" s="433"/>
      <c r="IJU19" s="433"/>
      <c r="IJV19" s="433"/>
      <c r="IJW19" s="433"/>
      <c r="IJX19" s="433"/>
      <c r="IJY19" s="433"/>
      <c r="IJZ19" s="433"/>
      <c r="IKA19" s="433"/>
      <c r="IKB19" s="433"/>
      <c r="IKC19" s="433"/>
      <c r="IKD19" s="433"/>
      <c r="IKE19" s="433"/>
      <c r="IKF19" s="433"/>
      <c r="IKG19" s="433"/>
      <c r="IKH19" s="433"/>
      <c r="IKI19" s="433"/>
      <c r="IKJ19" s="433"/>
      <c r="IKK19" s="433"/>
      <c r="IKL19" s="433"/>
      <c r="IKM19" s="433"/>
      <c r="IKN19" s="433"/>
      <c r="IKO19" s="433"/>
      <c r="IKP19" s="433"/>
      <c r="IKQ19" s="433"/>
      <c r="IKR19" s="433"/>
      <c r="IKS19" s="433"/>
      <c r="IKT19" s="433"/>
      <c r="IKU19" s="433"/>
      <c r="IKV19" s="433"/>
      <c r="IKW19" s="433"/>
      <c r="IKX19" s="433"/>
      <c r="IKY19" s="433"/>
      <c r="IKZ19" s="433"/>
      <c r="ILA19" s="433"/>
      <c r="ILB19" s="433"/>
      <c r="ILC19" s="433"/>
      <c r="ILD19" s="433"/>
      <c r="ILE19" s="433"/>
      <c r="ILF19" s="433"/>
      <c r="ILG19" s="433"/>
      <c r="ILH19" s="433"/>
      <c r="ILI19" s="433"/>
      <c r="ILJ19" s="433"/>
      <c r="ILK19" s="433"/>
      <c r="ILL19" s="433"/>
      <c r="ILM19" s="433"/>
      <c r="ILN19" s="433"/>
      <c r="ILO19" s="433"/>
      <c r="ILP19" s="433"/>
      <c r="ILQ19" s="433"/>
      <c r="ILR19" s="433"/>
      <c r="ILS19" s="433"/>
      <c r="ILT19" s="433"/>
      <c r="ILU19" s="433"/>
      <c r="ILV19" s="433"/>
      <c r="ILW19" s="433"/>
      <c r="ILX19" s="433"/>
      <c r="ILY19" s="433"/>
      <c r="ILZ19" s="433"/>
      <c r="IMA19" s="433"/>
      <c r="IMB19" s="433"/>
      <c r="IMC19" s="433"/>
      <c r="IMD19" s="433"/>
      <c r="IME19" s="433"/>
      <c r="IMF19" s="433"/>
      <c r="IMG19" s="433"/>
      <c r="IMH19" s="433"/>
      <c r="IMI19" s="433"/>
      <c r="IMJ19" s="433"/>
      <c r="IMK19" s="433"/>
      <c r="IML19" s="433"/>
      <c r="IMM19" s="433"/>
      <c r="IMN19" s="433"/>
      <c r="IMO19" s="433"/>
      <c r="IMP19" s="433"/>
      <c r="IMQ19" s="433"/>
      <c r="IMR19" s="433"/>
      <c r="IMS19" s="433"/>
      <c r="IMT19" s="433"/>
      <c r="IMU19" s="433"/>
      <c r="IMV19" s="433"/>
      <c r="IMW19" s="433"/>
      <c r="IMX19" s="433"/>
      <c r="IMY19" s="433"/>
      <c r="IMZ19" s="433"/>
      <c r="INA19" s="433"/>
      <c r="INB19" s="433"/>
      <c r="INC19" s="433"/>
      <c r="IND19" s="433"/>
      <c r="INE19" s="433"/>
      <c r="INF19" s="433"/>
      <c r="ING19" s="433"/>
      <c r="INH19" s="433"/>
      <c r="INI19" s="433"/>
      <c r="INJ19" s="433"/>
      <c r="INK19" s="433"/>
      <c r="INL19" s="433"/>
      <c r="INM19" s="433"/>
      <c r="INN19" s="433"/>
      <c r="INO19" s="433"/>
      <c r="INP19" s="433"/>
      <c r="INQ19" s="433"/>
      <c r="INR19" s="433"/>
      <c r="INS19" s="433"/>
      <c r="INT19" s="433"/>
      <c r="INU19" s="433"/>
      <c r="INV19" s="433"/>
      <c r="INW19" s="433"/>
      <c r="INX19" s="433"/>
      <c r="INY19" s="433"/>
      <c r="INZ19" s="433"/>
      <c r="IOA19" s="433"/>
      <c r="IOB19" s="433"/>
      <c r="IOC19" s="433"/>
      <c r="IOD19" s="433"/>
      <c r="IOE19" s="433"/>
      <c r="IOF19" s="433"/>
      <c r="IOG19" s="433"/>
      <c r="IOH19" s="433"/>
      <c r="IOI19" s="433"/>
      <c r="IOJ19" s="433"/>
      <c r="IOK19" s="433"/>
      <c r="IOL19" s="433"/>
      <c r="IOM19" s="433"/>
      <c r="ION19" s="433"/>
      <c r="IOO19" s="433"/>
      <c r="IOP19" s="433"/>
      <c r="IOQ19" s="433"/>
      <c r="IOR19" s="433"/>
      <c r="IOS19" s="433"/>
      <c r="IOT19" s="433"/>
      <c r="IOU19" s="433"/>
      <c r="IOV19" s="433"/>
      <c r="IOW19" s="433"/>
      <c r="IOX19" s="433"/>
      <c r="IOY19" s="433"/>
      <c r="IOZ19" s="433"/>
      <c r="IPA19" s="433"/>
      <c r="IPB19" s="433"/>
      <c r="IPC19" s="433"/>
      <c r="IPD19" s="433"/>
      <c r="IPE19" s="433"/>
      <c r="IPF19" s="433"/>
      <c r="IPG19" s="433"/>
      <c r="IPH19" s="433"/>
      <c r="IPI19" s="433"/>
      <c r="IPJ19" s="433"/>
      <c r="IPK19" s="433"/>
      <c r="IPL19" s="433"/>
      <c r="IPM19" s="433"/>
      <c r="IPN19" s="433"/>
      <c r="IPO19" s="433"/>
      <c r="IPP19" s="433"/>
      <c r="IPQ19" s="433"/>
      <c r="IPR19" s="433"/>
      <c r="IPS19" s="433"/>
      <c r="IPT19" s="433"/>
      <c r="IPU19" s="433"/>
      <c r="IPV19" s="433"/>
      <c r="IPW19" s="433"/>
      <c r="IPX19" s="433"/>
      <c r="IPY19" s="433"/>
      <c r="IPZ19" s="433"/>
      <c r="IQA19" s="433"/>
      <c r="IQB19" s="433"/>
      <c r="IQC19" s="433"/>
      <c r="IQD19" s="433"/>
      <c r="IQE19" s="433"/>
      <c r="IQF19" s="433"/>
      <c r="IQG19" s="433"/>
      <c r="IQH19" s="433"/>
      <c r="IQI19" s="433"/>
      <c r="IQJ19" s="433"/>
      <c r="IQK19" s="433"/>
      <c r="IQL19" s="433"/>
      <c r="IQM19" s="433"/>
      <c r="IQN19" s="433"/>
      <c r="IQO19" s="433"/>
      <c r="IQP19" s="433"/>
      <c r="IQQ19" s="433"/>
      <c r="IQR19" s="433"/>
      <c r="IQS19" s="433"/>
      <c r="IQT19" s="433"/>
      <c r="IQU19" s="433"/>
      <c r="IQV19" s="433"/>
      <c r="IQW19" s="433"/>
      <c r="IQX19" s="433"/>
      <c r="IQY19" s="433"/>
      <c r="IQZ19" s="433"/>
      <c r="IRA19" s="433"/>
      <c r="IRB19" s="433"/>
      <c r="IRC19" s="433"/>
      <c r="IRD19" s="433"/>
      <c r="IRE19" s="433"/>
      <c r="IRF19" s="433"/>
      <c r="IRG19" s="433"/>
      <c r="IRH19" s="433"/>
      <c r="IRI19" s="433"/>
      <c r="IRJ19" s="433"/>
      <c r="IRK19" s="433"/>
      <c r="IRL19" s="433"/>
      <c r="IRM19" s="433"/>
      <c r="IRN19" s="433"/>
      <c r="IRO19" s="433"/>
      <c r="IRP19" s="433"/>
      <c r="IRQ19" s="433"/>
      <c r="IRR19" s="433"/>
      <c r="IRS19" s="433"/>
      <c r="IRT19" s="433"/>
      <c r="IRU19" s="433"/>
      <c r="IRV19" s="433"/>
      <c r="IRW19" s="433"/>
      <c r="IRX19" s="433"/>
      <c r="IRY19" s="433"/>
      <c r="IRZ19" s="433"/>
      <c r="ISA19" s="433"/>
      <c r="ISB19" s="433"/>
      <c r="ISC19" s="433"/>
      <c r="ISD19" s="433"/>
      <c r="ISE19" s="433"/>
      <c r="ISF19" s="433"/>
      <c r="ISG19" s="433"/>
      <c r="ISH19" s="433"/>
      <c r="ISI19" s="433"/>
      <c r="ISJ19" s="433"/>
      <c r="ISK19" s="433"/>
      <c r="ISL19" s="433"/>
      <c r="ISM19" s="433"/>
      <c r="ISN19" s="433"/>
      <c r="ISO19" s="433"/>
      <c r="ISP19" s="433"/>
      <c r="ISQ19" s="433"/>
      <c r="ISR19" s="433"/>
      <c r="ISS19" s="433"/>
      <c r="IST19" s="433"/>
      <c r="ISU19" s="433"/>
      <c r="ISV19" s="433"/>
      <c r="ISW19" s="433"/>
      <c r="ISX19" s="433"/>
      <c r="ISY19" s="433"/>
      <c r="ISZ19" s="433"/>
      <c r="ITA19" s="433"/>
      <c r="ITB19" s="433"/>
      <c r="ITC19" s="433"/>
      <c r="ITD19" s="433"/>
      <c r="ITE19" s="433"/>
      <c r="ITF19" s="433"/>
      <c r="ITG19" s="433"/>
      <c r="ITH19" s="433"/>
      <c r="ITI19" s="433"/>
      <c r="ITJ19" s="433"/>
      <c r="ITK19" s="433"/>
      <c r="ITL19" s="433"/>
      <c r="ITM19" s="433"/>
      <c r="ITN19" s="433"/>
      <c r="ITO19" s="433"/>
      <c r="ITP19" s="433"/>
      <c r="ITQ19" s="433"/>
      <c r="ITR19" s="433"/>
      <c r="ITS19" s="433"/>
      <c r="ITT19" s="433"/>
      <c r="ITU19" s="433"/>
      <c r="ITV19" s="433"/>
      <c r="ITW19" s="433"/>
      <c r="ITX19" s="433"/>
      <c r="ITY19" s="433"/>
      <c r="ITZ19" s="433"/>
      <c r="IUA19" s="433"/>
      <c r="IUB19" s="433"/>
      <c r="IUC19" s="433"/>
      <c r="IUD19" s="433"/>
      <c r="IUE19" s="433"/>
      <c r="IUF19" s="433"/>
      <c r="IUG19" s="433"/>
      <c r="IUH19" s="433"/>
      <c r="IUI19" s="433"/>
      <c r="IUJ19" s="433"/>
      <c r="IUK19" s="433"/>
      <c r="IUL19" s="433"/>
      <c r="IUM19" s="433"/>
      <c r="IUN19" s="433"/>
      <c r="IUO19" s="433"/>
      <c r="IUP19" s="433"/>
      <c r="IUQ19" s="433"/>
      <c r="IUR19" s="433"/>
      <c r="IUS19" s="433"/>
      <c r="IUT19" s="433"/>
      <c r="IUU19" s="433"/>
      <c r="IUV19" s="433"/>
      <c r="IUW19" s="433"/>
      <c r="IUX19" s="433"/>
      <c r="IUY19" s="433"/>
      <c r="IUZ19" s="433"/>
      <c r="IVA19" s="433"/>
      <c r="IVB19" s="433"/>
      <c r="IVC19" s="433"/>
      <c r="IVD19" s="433"/>
      <c r="IVE19" s="433"/>
      <c r="IVF19" s="433"/>
      <c r="IVG19" s="433"/>
      <c r="IVH19" s="433"/>
      <c r="IVI19" s="433"/>
      <c r="IVJ19" s="433"/>
      <c r="IVK19" s="433"/>
      <c r="IVL19" s="433"/>
      <c r="IVM19" s="433"/>
      <c r="IVN19" s="433"/>
      <c r="IVO19" s="433"/>
      <c r="IVP19" s="433"/>
      <c r="IVQ19" s="433"/>
      <c r="IVR19" s="433"/>
      <c r="IVS19" s="433"/>
      <c r="IVT19" s="433"/>
      <c r="IVU19" s="433"/>
      <c r="IVV19" s="433"/>
      <c r="IVW19" s="433"/>
      <c r="IVX19" s="433"/>
      <c r="IVY19" s="433"/>
      <c r="IVZ19" s="433"/>
      <c r="IWA19" s="433"/>
      <c r="IWB19" s="433"/>
      <c r="IWC19" s="433"/>
      <c r="IWD19" s="433"/>
      <c r="IWE19" s="433"/>
      <c r="IWF19" s="433"/>
      <c r="IWG19" s="433"/>
      <c r="IWH19" s="433"/>
      <c r="IWI19" s="433"/>
      <c r="IWJ19" s="433"/>
      <c r="IWK19" s="433"/>
      <c r="IWL19" s="433"/>
      <c r="IWM19" s="433"/>
      <c r="IWN19" s="433"/>
      <c r="IWO19" s="433"/>
      <c r="IWP19" s="433"/>
      <c r="IWQ19" s="433"/>
      <c r="IWR19" s="433"/>
      <c r="IWS19" s="433"/>
      <c r="IWT19" s="433"/>
      <c r="IWU19" s="433"/>
      <c r="IWV19" s="433"/>
      <c r="IWW19" s="433"/>
      <c r="IWX19" s="433"/>
      <c r="IWY19" s="433"/>
      <c r="IWZ19" s="433"/>
      <c r="IXA19" s="433"/>
      <c r="IXB19" s="433"/>
      <c r="IXC19" s="433"/>
      <c r="IXD19" s="433"/>
      <c r="IXE19" s="433"/>
      <c r="IXF19" s="433"/>
      <c r="IXG19" s="433"/>
      <c r="IXH19" s="433"/>
      <c r="IXI19" s="433"/>
      <c r="IXJ19" s="433"/>
      <c r="IXK19" s="433"/>
      <c r="IXL19" s="433"/>
      <c r="IXM19" s="433"/>
      <c r="IXN19" s="433"/>
      <c r="IXO19" s="433"/>
      <c r="IXP19" s="433"/>
      <c r="IXQ19" s="433"/>
      <c r="IXR19" s="433"/>
      <c r="IXS19" s="433"/>
      <c r="IXT19" s="433"/>
      <c r="IXU19" s="433"/>
      <c r="IXV19" s="433"/>
      <c r="IXW19" s="433"/>
      <c r="IXX19" s="433"/>
      <c r="IXY19" s="433"/>
      <c r="IXZ19" s="433"/>
      <c r="IYA19" s="433"/>
      <c r="IYB19" s="433"/>
      <c r="IYC19" s="433"/>
      <c r="IYD19" s="433"/>
      <c r="IYE19" s="433"/>
      <c r="IYF19" s="433"/>
      <c r="IYG19" s="433"/>
      <c r="IYH19" s="433"/>
      <c r="IYI19" s="433"/>
      <c r="IYJ19" s="433"/>
      <c r="IYK19" s="433"/>
      <c r="IYL19" s="433"/>
      <c r="IYM19" s="433"/>
      <c r="IYN19" s="433"/>
      <c r="IYO19" s="433"/>
      <c r="IYP19" s="433"/>
      <c r="IYQ19" s="433"/>
      <c r="IYR19" s="433"/>
      <c r="IYS19" s="433"/>
      <c r="IYT19" s="433"/>
      <c r="IYU19" s="433"/>
      <c r="IYV19" s="433"/>
      <c r="IYW19" s="433"/>
      <c r="IYX19" s="433"/>
      <c r="IYY19" s="433"/>
      <c r="IYZ19" s="433"/>
      <c r="IZA19" s="433"/>
      <c r="IZB19" s="433"/>
      <c r="IZC19" s="433"/>
      <c r="IZD19" s="433"/>
      <c r="IZE19" s="433"/>
      <c r="IZF19" s="433"/>
      <c r="IZG19" s="433"/>
      <c r="IZH19" s="433"/>
      <c r="IZI19" s="433"/>
      <c r="IZJ19" s="433"/>
      <c r="IZK19" s="433"/>
      <c r="IZL19" s="433"/>
      <c r="IZM19" s="433"/>
      <c r="IZN19" s="433"/>
      <c r="IZO19" s="433"/>
      <c r="IZP19" s="433"/>
      <c r="IZQ19" s="433"/>
      <c r="IZR19" s="433"/>
      <c r="IZS19" s="433"/>
      <c r="IZT19" s="433"/>
      <c r="IZU19" s="433"/>
      <c r="IZV19" s="433"/>
      <c r="IZW19" s="433"/>
      <c r="IZX19" s="433"/>
      <c r="IZY19" s="433"/>
      <c r="IZZ19" s="433"/>
      <c r="JAA19" s="433"/>
      <c r="JAB19" s="433"/>
      <c r="JAC19" s="433"/>
      <c r="JAD19" s="433"/>
      <c r="JAE19" s="433"/>
      <c r="JAF19" s="433"/>
      <c r="JAG19" s="433"/>
      <c r="JAH19" s="433"/>
      <c r="JAI19" s="433"/>
      <c r="JAJ19" s="433"/>
      <c r="JAK19" s="433"/>
      <c r="JAL19" s="433"/>
      <c r="JAM19" s="433"/>
      <c r="JAN19" s="433"/>
      <c r="JAO19" s="433"/>
      <c r="JAP19" s="433"/>
      <c r="JAQ19" s="433"/>
      <c r="JAR19" s="433"/>
      <c r="JAS19" s="433"/>
      <c r="JAT19" s="433"/>
      <c r="JAU19" s="433"/>
      <c r="JAV19" s="433"/>
      <c r="JAW19" s="433"/>
      <c r="JAX19" s="433"/>
      <c r="JAY19" s="433"/>
      <c r="JAZ19" s="433"/>
      <c r="JBA19" s="433"/>
      <c r="JBB19" s="433"/>
      <c r="JBC19" s="433"/>
      <c r="JBD19" s="433"/>
      <c r="JBE19" s="433"/>
      <c r="JBF19" s="433"/>
      <c r="JBG19" s="433"/>
      <c r="JBH19" s="433"/>
      <c r="JBI19" s="433"/>
      <c r="JBJ19" s="433"/>
      <c r="JBK19" s="433"/>
      <c r="JBL19" s="433"/>
      <c r="JBM19" s="433"/>
      <c r="JBN19" s="433"/>
      <c r="JBO19" s="433"/>
      <c r="JBP19" s="433"/>
      <c r="JBQ19" s="433"/>
      <c r="JBR19" s="433"/>
      <c r="JBS19" s="433"/>
      <c r="JBT19" s="433"/>
      <c r="JBU19" s="433"/>
      <c r="JBV19" s="433"/>
      <c r="JBW19" s="433"/>
      <c r="JBX19" s="433"/>
      <c r="JBY19" s="433"/>
      <c r="JBZ19" s="433"/>
      <c r="JCA19" s="433"/>
      <c r="JCB19" s="433"/>
      <c r="JCC19" s="433"/>
      <c r="JCD19" s="433"/>
      <c r="JCE19" s="433"/>
      <c r="JCF19" s="433"/>
      <c r="JCG19" s="433"/>
      <c r="JCH19" s="433"/>
      <c r="JCI19" s="433"/>
      <c r="JCJ19" s="433"/>
      <c r="JCK19" s="433"/>
      <c r="JCL19" s="433"/>
      <c r="JCM19" s="433"/>
      <c r="JCN19" s="433"/>
      <c r="JCO19" s="433"/>
      <c r="JCP19" s="433"/>
      <c r="JCQ19" s="433"/>
      <c r="JCR19" s="433"/>
      <c r="JCS19" s="433"/>
      <c r="JCT19" s="433"/>
      <c r="JCU19" s="433"/>
      <c r="JCV19" s="433"/>
      <c r="JCW19" s="433"/>
      <c r="JCX19" s="433"/>
      <c r="JCY19" s="433"/>
      <c r="JCZ19" s="433"/>
      <c r="JDA19" s="433"/>
      <c r="JDB19" s="433"/>
      <c r="JDC19" s="433"/>
      <c r="JDD19" s="433"/>
      <c r="JDE19" s="433"/>
      <c r="JDF19" s="433"/>
      <c r="JDG19" s="433"/>
      <c r="JDH19" s="433"/>
      <c r="JDI19" s="433"/>
      <c r="JDJ19" s="433"/>
      <c r="JDK19" s="433"/>
      <c r="JDL19" s="433"/>
      <c r="JDM19" s="433"/>
      <c r="JDN19" s="433"/>
      <c r="JDO19" s="433"/>
      <c r="JDP19" s="433"/>
      <c r="JDQ19" s="433"/>
      <c r="JDR19" s="433"/>
      <c r="JDS19" s="433"/>
      <c r="JDT19" s="433"/>
      <c r="JDU19" s="433"/>
      <c r="JDV19" s="433"/>
      <c r="JDW19" s="433"/>
      <c r="JDX19" s="433"/>
      <c r="JDY19" s="433"/>
      <c r="JDZ19" s="433"/>
      <c r="JEA19" s="433"/>
      <c r="JEB19" s="433"/>
      <c r="JEC19" s="433"/>
      <c r="JED19" s="433"/>
      <c r="JEE19" s="433"/>
      <c r="JEF19" s="433"/>
      <c r="JEG19" s="433"/>
      <c r="JEH19" s="433"/>
      <c r="JEI19" s="433"/>
      <c r="JEJ19" s="433"/>
      <c r="JEK19" s="433"/>
      <c r="JEL19" s="433"/>
      <c r="JEM19" s="433"/>
      <c r="JEN19" s="433"/>
      <c r="JEO19" s="433"/>
      <c r="JEP19" s="433"/>
      <c r="JEQ19" s="433"/>
      <c r="JER19" s="433"/>
      <c r="JES19" s="433"/>
      <c r="JET19" s="433"/>
      <c r="JEU19" s="433"/>
      <c r="JEV19" s="433"/>
      <c r="JEW19" s="433"/>
      <c r="JEX19" s="433"/>
      <c r="JEY19" s="433"/>
      <c r="JEZ19" s="433"/>
      <c r="JFA19" s="433"/>
      <c r="JFB19" s="433"/>
      <c r="JFC19" s="433"/>
      <c r="JFD19" s="433"/>
      <c r="JFE19" s="433"/>
      <c r="JFF19" s="433"/>
      <c r="JFG19" s="433"/>
      <c r="JFH19" s="433"/>
      <c r="JFI19" s="433"/>
      <c r="JFJ19" s="433"/>
      <c r="JFK19" s="433"/>
      <c r="JFL19" s="433"/>
      <c r="JFM19" s="433"/>
      <c r="JFN19" s="433"/>
      <c r="JFO19" s="433"/>
      <c r="JFP19" s="433"/>
      <c r="JFQ19" s="433"/>
      <c r="JFR19" s="433"/>
      <c r="JFS19" s="433"/>
      <c r="JFT19" s="433"/>
      <c r="JFU19" s="433"/>
      <c r="JFV19" s="433"/>
      <c r="JFW19" s="433"/>
      <c r="JFX19" s="433"/>
      <c r="JFY19" s="433"/>
      <c r="JFZ19" s="433"/>
      <c r="JGA19" s="433"/>
      <c r="JGB19" s="433"/>
      <c r="JGC19" s="433"/>
      <c r="JGD19" s="433"/>
      <c r="JGE19" s="433"/>
      <c r="JGF19" s="433"/>
      <c r="JGG19" s="433"/>
      <c r="JGH19" s="433"/>
      <c r="JGI19" s="433"/>
      <c r="JGJ19" s="433"/>
      <c r="JGK19" s="433"/>
      <c r="JGL19" s="433"/>
      <c r="JGM19" s="433"/>
      <c r="JGN19" s="433"/>
      <c r="JGO19" s="433"/>
      <c r="JGP19" s="433"/>
      <c r="JGQ19" s="433"/>
      <c r="JGR19" s="433"/>
      <c r="JGS19" s="433"/>
      <c r="JGT19" s="433"/>
      <c r="JGU19" s="433"/>
      <c r="JGV19" s="433"/>
      <c r="JGW19" s="433"/>
      <c r="JGX19" s="433"/>
      <c r="JGY19" s="433"/>
      <c r="JGZ19" s="433"/>
      <c r="JHA19" s="433"/>
      <c r="JHB19" s="433"/>
      <c r="JHC19" s="433"/>
      <c r="JHD19" s="433"/>
      <c r="JHE19" s="433"/>
      <c r="JHF19" s="433"/>
      <c r="JHG19" s="433"/>
      <c r="JHH19" s="433"/>
      <c r="JHI19" s="433"/>
      <c r="JHJ19" s="433"/>
      <c r="JHK19" s="433"/>
      <c r="JHL19" s="433"/>
      <c r="JHM19" s="433"/>
      <c r="JHN19" s="433"/>
      <c r="JHO19" s="433"/>
      <c r="JHP19" s="433"/>
      <c r="JHQ19" s="433"/>
      <c r="JHR19" s="433"/>
      <c r="JHS19" s="433"/>
      <c r="JHT19" s="433"/>
      <c r="JHU19" s="433"/>
      <c r="JHV19" s="433"/>
      <c r="JHW19" s="433"/>
      <c r="JHX19" s="433"/>
      <c r="JHY19" s="433"/>
      <c r="JHZ19" s="433"/>
      <c r="JIA19" s="433"/>
      <c r="JIB19" s="433"/>
      <c r="JIC19" s="433"/>
      <c r="JID19" s="433"/>
      <c r="JIE19" s="433"/>
      <c r="JIF19" s="433"/>
      <c r="JIG19" s="433"/>
      <c r="JIH19" s="433"/>
      <c r="JII19" s="433"/>
      <c r="JIJ19" s="433"/>
      <c r="JIK19" s="433"/>
      <c r="JIL19" s="433"/>
      <c r="JIM19" s="433"/>
      <c r="JIN19" s="433"/>
      <c r="JIO19" s="433"/>
      <c r="JIP19" s="433"/>
      <c r="JIQ19" s="433"/>
      <c r="JIR19" s="433"/>
      <c r="JIS19" s="433"/>
      <c r="JIT19" s="433"/>
      <c r="JIU19" s="433"/>
      <c r="JIV19" s="433"/>
      <c r="JIW19" s="433"/>
      <c r="JIX19" s="433"/>
      <c r="JIY19" s="433"/>
      <c r="JIZ19" s="433"/>
      <c r="JJA19" s="433"/>
      <c r="JJB19" s="433"/>
      <c r="JJC19" s="433"/>
      <c r="JJD19" s="433"/>
      <c r="JJE19" s="433"/>
      <c r="JJF19" s="433"/>
      <c r="JJG19" s="433"/>
      <c r="JJH19" s="433"/>
      <c r="JJI19" s="433"/>
      <c r="JJJ19" s="433"/>
      <c r="JJK19" s="433"/>
      <c r="JJL19" s="433"/>
      <c r="JJM19" s="433"/>
      <c r="JJN19" s="433"/>
      <c r="JJO19" s="433"/>
      <c r="JJP19" s="433"/>
      <c r="JJQ19" s="433"/>
      <c r="JJR19" s="433"/>
      <c r="JJS19" s="433"/>
      <c r="JJT19" s="433"/>
      <c r="JJU19" s="433"/>
      <c r="JJV19" s="433"/>
      <c r="JJW19" s="433"/>
      <c r="JJX19" s="433"/>
      <c r="JJY19" s="433"/>
      <c r="JJZ19" s="433"/>
      <c r="JKA19" s="433"/>
      <c r="JKB19" s="433"/>
      <c r="JKC19" s="433"/>
      <c r="JKD19" s="433"/>
      <c r="JKE19" s="433"/>
      <c r="JKF19" s="433"/>
      <c r="JKG19" s="433"/>
      <c r="JKH19" s="433"/>
      <c r="JKI19" s="433"/>
      <c r="JKJ19" s="433"/>
      <c r="JKK19" s="433"/>
      <c r="JKL19" s="433"/>
      <c r="JKM19" s="433"/>
      <c r="JKN19" s="433"/>
      <c r="JKO19" s="433"/>
      <c r="JKP19" s="433"/>
      <c r="JKQ19" s="433"/>
      <c r="JKR19" s="433"/>
      <c r="JKS19" s="433"/>
      <c r="JKT19" s="433"/>
      <c r="JKU19" s="433"/>
      <c r="JKV19" s="433"/>
      <c r="JKW19" s="433"/>
      <c r="JKX19" s="433"/>
      <c r="JKY19" s="433"/>
      <c r="JKZ19" s="433"/>
      <c r="JLA19" s="433"/>
      <c r="JLB19" s="433"/>
      <c r="JLC19" s="433"/>
      <c r="JLD19" s="433"/>
      <c r="JLE19" s="433"/>
      <c r="JLF19" s="433"/>
      <c r="JLG19" s="433"/>
      <c r="JLH19" s="433"/>
      <c r="JLI19" s="433"/>
      <c r="JLJ19" s="433"/>
      <c r="JLK19" s="433"/>
      <c r="JLL19" s="433"/>
      <c r="JLM19" s="433"/>
      <c r="JLN19" s="433"/>
      <c r="JLO19" s="433"/>
      <c r="JLP19" s="433"/>
      <c r="JLQ19" s="433"/>
      <c r="JLR19" s="433"/>
      <c r="JLS19" s="433"/>
      <c r="JLT19" s="433"/>
      <c r="JLU19" s="433"/>
      <c r="JLV19" s="433"/>
      <c r="JLW19" s="433"/>
      <c r="JLX19" s="433"/>
      <c r="JLY19" s="433"/>
      <c r="JLZ19" s="433"/>
      <c r="JMA19" s="433"/>
      <c r="JMB19" s="433"/>
      <c r="JMC19" s="433"/>
      <c r="JMD19" s="433"/>
      <c r="JME19" s="433"/>
      <c r="JMF19" s="433"/>
      <c r="JMG19" s="433"/>
      <c r="JMH19" s="433"/>
      <c r="JMI19" s="433"/>
      <c r="JMJ19" s="433"/>
      <c r="JMK19" s="433"/>
      <c r="JML19" s="433"/>
      <c r="JMM19" s="433"/>
      <c r="JMN19" s="433"/>
      <c r="JMO19" s="433"/>
      <c r="JMP19" s="433"/>
      <c r="JMQ19" s="433"/>
      <c r="JMR19" s="433"/>
      <c r="JMS19" s="433"/>
      <c r="JMT19" s="433"/>
      <c r="JMU19" s="433"/>
      <c r="JMV19" s="433"/>
      <c r="JMW19" s="433"/>
      <c r="JMX19" s="433"/>
      <c r="JMY19" s="433"/>
      <c r="JMZ19" s="433"/>
      <c r="JNA19" s="433"/>
      <c r="JNB19" s="433"/>
      <c r="JNC19" s="433"/>
      <c r="JND19" s="433"/>
      <c r="JNE19" s="433"/>
      <c r="JNF19" s="433"/>
      <c r="JNG19" s="433"/>
      <c r="JNH19" s="433"/>
      <c r="JNI19" s="433"/>
      <c r="JNJ19" s="433"/>
      <c r="JNK19" s="433"/>
      <c r="JNL19" s="433"/>
      <c r="JNM19" s="433"/>
      <c r="JNN19" s="433"/>
      <c r="JNO19" s="433"/>
      <c r="JNP19" s="433"/>
      <c r="JNQ19" s="433"/>
      <c r="JNR19" s="433"/>
      <c r="JNS19" s="433"/>
      <c r="JNT19" s="433"/>
      <c r="JNU19" s="433"/>
      <c r="JNV19" s="433"/>
      <c r="JNW19" s="433"/>
      <c r="JNX19" s="433"/>
      <c r="JNY19" s="433"/>
      <c r="JNZ19" s="433"/>
      <c r="JOA19" s="433"/>
      <c r="JOB19" s="433"/>
      <c r="JOC19" s="433"/>
      <c r="JOD19" s="433"/>
      <c r="JOE19" s="433"/>
      <c r="JOF19" s="433"/>
      <c r="JOG19" s="433"/>
      <c r="JOH19" s="433"/>
      <c r="JOI19" s="433"/>
      <c r="JOJ19" s="433"/>
      <c r="JOK19" s="433"/>
      <c r="JOL19" s="433"/>
      <c r="JOM19" s="433"/>
      <c r="JON19" s="433"/>
      <c r="JOO19" s="433"/>
      <c r="JOP19" s="433"/>
      <c r="JOQ19" s="433"/>
      <c r="JOR19" s="433"/>
      <c r="JOS19" s="433"/>
      <c r="JOT19" s="433"/>
      <c r="JOU19" s="433"/>
      <c r="JOV19" s="433"/>
      <c r="JOW19" s="433"/>
      <c r="JOX19" s="433"/>
      <c r="JOY19" s="433"/>
      <c r="JOZ19" s="433"/>
      <c r="JPA19" s="433"/>
      <c r="JPB19" s="433"/>
      <c r="JPC19" s="433"/>
      <c r="JPD19" s="433"/>
      <c r="JPE19" s="433"/>
      <c r="JPF19" s="433"/>
      <c r="JPG19" s="433"/>
      <c r="JPH19" s="433"/>
      <c r="JPI19" s="433"/>
      <c r="JPJ19" s="433"/>
      <c r="JPK19" s="433"/>
      <c r="JPL19" s="433"/>
      <c r="JPM19" s="433"/>
      <c r="JPN19" s="433"/>
      <c r="JPO19" s="433"/>
      <c r="JPP19" s="433"/>
      <c r="JPQ19" s="433"/>
      <c r="JPR19" s="433"/>
      <c r="JPS19" s="433"/>
      <c r="JPT19" s="433"/>
      <c r="JPU19" s="433"/>
      <c r="JPV19" s="433"/>
      <c r="JPW19" s="433"/>
      <c r="JPX19" s="433"/>
      <c r="JPY19" s="433"/>
      <c r="JPZ19" s="433"/>
      <c r="JQA19" s="433"/>
      <c r="JQB19" s="433"/>
      <c r="JQC19" s="433"/>
      <c r="JQD19" s="433"/>
      <c r="JQE19" s="433"/>
      <c r="JQF19" s="433"/>
      <c r="JQG19" s="433"/>
      <c r="JQH19" s="433"/>
      <c r="JQI19" s="433"/>
      <c r="JQJ19" s="433"/>
      <c r="JQK19" s="433"/>
      <c r="JQL19" s="433"/>
      <c r="JQM19" s="433"/>
      <c r="JQN19" s="433"/>
      <c r="JQO19" s="433"/>
      <c r="JQP19" s="433"/>
      <c r="JQQ19" s="433"/>
      <c r="JQR19" s="433"/>
      <c r="JQS19" s="433"/>
      <c r="JQT19" s="433"/>
      <c r="JQU19" s="433"/>
      <c r="JQV19" s="433"/>
      <c r="JQW19" s="433"/>
      <c r="JQX19" s="433"/>
      <c r="JQY19" s="433"/>
      <c r="JQZ19" s="433"/>
      <c r="JRA19" s="433"/>
      <c r="JRB19" s="433"/>
      <c r="JRC19" s="433"/>
      <c r="JRD19" s="433"/>
      <c r="JRE19" s="433"/>
      <c r="JRF19" s="433"/>
      <c r="JRG19" s="433"/>
      <c r="JRH19" s="433"/>
      <c r="JRI19" s="433"/>
      <c r="JRJ19" s="433"/>
      <c r="JRK19" s="433"/>
      <c r="JRL19" s="433"/>
      <c r="JRM19" s="433"/>
      <c r="JRN19" s="433"/>
      <c r="JRO19" s="433"/>
      <c r="JRP19" s="433"/>
      <c r="JRQ19" s="433"/>
      <c r="JRR19" s="433"/>
      <c r="JRS19" s="433"/>
      <c r="JRT19" s="433"/>
      <c r="JRU19" s="433"/>
      <c r="JRV19" s="433"/>
      <c r="JRW19" s="433"/>
      <c r="JRX19" s="433"/>
      <c r="JRY19" s="433"/>
      <c r="JRZ19" s="433"/>
      <c r="JSA19" s="433"/>
      <c r="JSB19" s="433"/>
      <c r="JSC19" s="433"/>
      <c r="JSD19" s="433"/>
      <c r="JSE19" s="433"/>
      <c r="JSF19" s="433"/>
      <c r="JSG19" s="433"/>
      <c r="JSH19" s="433"/>
      <c r="JSI19" s="433"/>
      <c r="JSJ19" s="433"/>
      <c r="JSK19" s="433"/>
      <c r="JSL19" s="433"/>
      <c r="JSM19" s="433"/>
      <c r="JSN19" s="433"/>
      <c r="JSO19" s="433"/>
      <c r="JSP19" s="433"/>
      <c r="JSQ19" s="433"/>
      <c r="JSR19" s="433"/>
      <c r="JSS19" s="433"/>
      <c r="JST19" s="433"/>
      <c r="JSU19" s="433"/>
      <c r="JSV19" s="433"/>
      <c r="JSW19" s="433"/>
      <c r="JSX19" s="433"/>
      <c r="JSY19" s="433"/>
      <c r="JSZ19" s="433"/>
      <c r="JTA19" s="433"/>
      <c r="JTB19" s="433"/>
      <c r="JTC19" s="433"/>
      <c r="JTD19" s="433"/>
      <c r="JTE19" s="433"/>
      <c r="JTF19" s="433"/>
      <c r="JTG19" s="433"/>
      <c r="JTH19" s="433"/>
      <c r="JTI19" s="433"/>
      <c r="JTJ19" s="433"/>
      <c r="JTK19" s="433"/>
      <c r="JTL19" s="433"/>
      <c r="JTM19" s="433"/>
      <c r="JTN19" s="433"/>
      <c r="JTO19" s="433"/>
      <c r="JTP19" s="433"/>
      <c r="JTQ19" s="433"/>
      <c r="JTR19" s="433"/>
      <c r="JTS19" s="433"/>
      <c r="JTT19" s="433"/>
      <c r="JTU19" s="433"/>
      <c r="JTV19" s="433"/>
      <c r="JTW19" s="433"/>
      <c r="JTX19" s="433"/>
      <c r="JTY19" s="433"/>
      <c r="JTZ19" s="433"/>
      <c r="JUA19" s="433"/>
      <c r="JUB19" s="433"/>
      <c r="JUC19" s="433"/>
      <c r="JUD19" s="433"/>
      <c r="JUE19" s="433"/>
      <c r="JUF19" s="433"/>
      <c r="JUG19" s="433"/>
      <c r="JUH19" s="433"/>
      <c r="JUI19" s="433"/>
      <c r="JUJ19" s="433"/>
      <c r="JUK19" s="433"/>
      <c r="JUL19" s="433"/>
      <c r="JUM19" s="433"/>
      <c r="JUN19" s="433"/>
      <c r="JUO19" s="433"/>
      <c r="JUP19" s="433"/>
      <c r="JUQ19" s="433"/>
      <c r="JUR19" s="433"/>
      <c r="JUS19" s="433"/>
      <c r="JUT19" s="433"/>
      <c r="JUU19" s="433"/>
      <c r="JUV19" s="433"/>
      <c r="JUW19" s="433"/>
      <c r="JUX19" s="433"/>
      <c r="JUY19" s="433"/>
      <c r="JUZ19" s="433"/>
      <c r="JVA19" s="433"/>
      <c r="JVB19" s="433"/>
      <c r="JVC19" s="433"/>
      <c r="JVD19" s="433"/>
      <c r="JVE19" s="433"/>
      <c r="JVF19" s="433"/>
      <c r="JVG19" s="433"/>
      <c r="JVH19" s="433"/>
      <c r="JVI19" s="433"/>
      <c r="JVJ19" s="433"/>
      <c r="JVK19" s="433"/>
      <c r="JVL19" s="433"/>
      <c r="JVM19" s="433"/>
      <c r="JVN19" s="433"/>
      <c r="JVO19" s="433"/>
      <c r="JVP19" s="433"/>
      <c r="JVQ19" s="433"/>
      <c r="JVR19" s="433"/>
      <c r="JVS19" s="433"/>
      <c r="JVT19" s="433"/>
      <c r="JVU19" s="433"/>
      <c r="JVV19" s="433"/>
      <c r="JVW19" s="433"/>
      <c r="JVX19" s="433"/>
      <c r="JVY19" s="433"/>
      <c r="JVZ19" s="433"/>
      <c r="JWA19" s="433"/>
      <c r="JWB19" s="433"/>
      <c r="JWC19" s="433"/>
      <c r="JWD19" s="433"/>
      <c r="JWE19" s="433"/>
      <c r="JWF19" s="433"/>
      <c r="JWG19" s="433"/>
      <c r="JWH19" s="433"/>
      <c r="JWI19" s="433"/>
      <c r="JWJ19" s="433"/>
      <c r="JWK19" s="433"/>
      <c r="JWL19" s="433"/>
      <c r="JWM19" s="433"/>
      <c r="JWN19" s="433"/>
      <c r="JWO19" s="433"/>
      <c r="JWP19" s="433"/>
      <c r="JWQ19" s="433"/>
      <c r="JWR19" s="433"/>
      <c r="JWS19" s="433"/>
      <c r="JWT19" s="433"/>
      <c r="JWU19" s="433"/>
      <c r="JWV19" s="433"/>
      <c r="JWW19" s="433"/>
      <c r="JWX19" s="433"/>
      <c r="JWY19" s="433"/>
      <c r="JWZ19" s="433"/>
      <c r="JXA19" s="433"/>
      <c r="JXB19" s="433"/>
      <c r="JXC19" s="433"/>
      <c r="JXD19" s="433"/>
      <c r="JXE19" s="433"/>
      <c r="JXF19" s="433"/>
      <c r="JXG19" s="433"/>
      <c r="JXH19" s="433"/>
      <c r="JXI19" s="433"/>
      <c r="JXJ19" s="433"/>
      <c r="JXK19" s="433"/>
      <c r="JXL19" s="433"/>
      <c r="JXM19" s="433"/>
      <c r="JXN19" s="433"/>
      <c r="JXO19" s="433"/>
      <c r="JXP19" s="433"/>
      <c r="JXQ19" s="433"/>
      <c r="JXR19" s="433"/>
      <c r="JXS19" s="433"/>
      <c r="JXT19" s="433"/>
      <c r="JXU19" s="433"/>
      <c r="JXV19" s="433"/>
      <c r="JXW19" s="433"/>
      <c r="JXX19" s="433"/>
      <c r="JXY19" s="433"/>
      <c r="JXZ19" s="433"/>
      <c r="JYA19" s="433"/>
      <c r="JYB19" s="433"/>
      <c r="JYC19" s="433"/>
      <c r="JYD19" s="433"/>
      <c r="JYE19" s="433"/>
      <c r="JYF19" s="433"/>
      <c r="JYG19" s="433"/>
      <c r="JYH19" s="433"/>
      <c r="JYI19" s="433"/>
      <c r="JYJ19" s="433"/>
      <c r="JYK19" s="433"/>
      <c r="JYL19" s="433"/>
      <c r="JYM19" s="433"/>
      <c r="JYN19" s="433"/>
      <c r="JYO19" s="433"/>
      <c r="JYP19" s="433"/>
      <c r="JYQ19" s="433"/>
      <c r="JYR19" s="433"/>
      <c r="JYS19" s="433"/>
      <c r="JYT19" s="433"/>
      <c r="JYU19" s="433"/>
      <c r="JYV19" s="433"/>
      <c r="JYW19" s="433"/>
      <c r="JYX19" s="433"/>
      <c r="JYY19" s="433"/>
      <c r="JYZ19" s="433"/>
      <c r="JZA19" s="433"/>
      <c r="JZB19" s="433"/>
      <c r="JZC19" s="433"/>
      <c r="JZD19" s="433"/>
      <c r="JZE19" s="433"/>
      <c r="JZF19" s="433"/>
      <c r="JZG19" s="433"/>
      <c r="JZH19" s="433"/>
      <c r="JZI19" s="433"/>
      <c r="JZJ19" s="433"/>
      <c r="JZK19" s="433"/>
      <c r="JZL19" s="433"/>
      <c r="JZM19" s="433"/>
      <c r="JZN19" s="433"/>
      <c r="JZO19" s="433"/>
      <c r="JZP19" s="433"/>
      <c r="JZQ19" s="433"/>
      <c r="JZR19" s="433"/>
      <c r="JZS19" s="433"/>
      <c r="JZT19" s="433"/>
      <c r="JZU19" s="433"/>
      <c r="JZV19" s="433"/>
      <c r="JZW19" s="433"/>
      <c r="JZX19" s="433"/>
      <c r="JZY19" s="433"/>
      <c r="JZZ19" s="433"/>
      <c r="KAA19" s="433"/>
      <c r="KAB19" s="433"/>
      <c r="KAC19" s="433"/>
      <c r="KAD19" s="433"/>
      <c r="KAE19" s="433"/>
      <c r="KAF19" s="433"/>
      <c r="KAG19" s="433"/>
      <c r="KAH19" s="433"/>
      <c r="KAI19" s="433"/>
      <c r="KAJ19" s="433"/>
      <c r="KAK19" s="433"/>
      <c r="KAL19" s="433"/>
      <c r="KAM19" s="433"/>
      <c r="KAN19" s="433"/>
      <c r="KAO19" s="433"/>
      <c r="KAP19" s="433"/>
      <c r="KAQ19" s="433"/>
      <c r="KAR19" s="433"/>
      <c r="KAS19" s="433"/>
      <c r="KAT19" s="433"/>
      <c r="KAU19" s="433"/>
      <c r="KAV19" s="433"/>
      <c r="KAW19" s="433"/>
      <c r="KAX19" s="433"/>
      <c r="KAY19" s="433"/>
      <c r="KAZ19" s="433"/>
      <c r="KBA19" s="433"/>
      <c r="KBB19" s="433"/>
      <c r="KBC19" s="433"/>
      <c r="KBD19" s="433"/>
      <c r="KBE19" s="433"/>
      <c r="KBF19" s="433"/>
      <c r="KBG19" s="433"/>
      <c r="KBH19" s="433"/>
      <c r="KBI19" s="433"/>
      <c r="KBJ19" s="433"/>
      <c r="KBK19" s="433"/>
      <c r="KBL19" s="433"/>
      <c r="KBM19" s="433"/>
      <c r="KBN19" s="433"/>
      <c r="KBO19" s="433"/>
      <c r="KBP19" s="433"/>
      <c r="KBQ19" s="433"/>
      <c r="KBR19" s="433"/>
      <c r="KBS19" s="433"/>
      <c r="KBT19" s="433"/>
      <c r="KBU19" s="433"/>
      <c r="KBV19" s="433"/>
      <c r="KBW19" s="433"/>
      <c r="KBX19" s="433"/>
      <c r="KBY19" s="433"/>
      <c r="KBZ19" s="433"/>
      <c r="KCA19" s="433"/>
      <c r="KCB19" s="433"/>
      <c r="KCC19" s="433"/>
      <c r="KCD19" s="433"/>
      <c r="KCE19" s="433"/>
      <c r="KCF19" s="433"/>
      <c r="KCG19" s="433"/>
      <c r="KCH19" s="433"/>
      <c r="KCI19" s="433"/>
      <c r="KCJ19" s="433"/>
      <c r="KCK19" s="433"/>
      <c r="KCL19" s="433"/>
      <c r="KCM19" s="433"/>
      <c r="KCN19" s="433"/>
      <c r="KCO19" s="433"/>
      <c r="KCP19" s="433"/>
      <c r="KCQ19" s="433"/>
      <c r="KCR19" s="433"/>
      <c r="KCS19" s="433"/>
      <c r="KCT19" s="433"/>
      <c r="KCU19" s="433"/>
      <c r="KCV19" s="433"/>
      <c r="KCW19" s="433"/>
      <c r="KCX19" s="433"/>
      <c r="KCY19" s="433"/>
      <c r="KCZ19" s="433"/>
      <c r="KDA19" s="433"/>
      <c r="KDB19" s="433"/>
      <c r="KDC19" s="433"/>
      <c r="KDD19" s="433"/>
      <c r="KDE19" s="433"/>
      <c r="KDF19" s="433"/>
      <c r="KDG19" s="433"/>
      <c r="KDH19" s="433"/>
      <c r="KDI19" s="433"/>
      <c r="KDJ19" s="433"/>
      <c r="KDK19" s="433"/>
      <c r="KDL19" s="433"/>
      <c r="KDM19" s="433"/>
      <c r="KDN19" s="433"/>
      <c r="KDO19" s="433"/>
      <c r="KDP19" s="433"/>
      <c r="KDQ19" s="433"/>
      <c r="KDR19" s="433"/>
      <c r="KDS19" s="433"/>
      <c r="KDT19" s="433"/>
      <c r="KDU19" s="433"/>
      <c r="KDV19" s="433"/>
      <c r="KDW19" s="433"/>
      <c r="KDX19" s="433"/>
      <c r="KDY19" s="433"/>
      <c r="KDZ19" s="433"/>
      <c r="KEA19" s="433"/>
      <c r="KEB19" s="433"/>
      <c r="KEC19" s="433"/>
      <c r="KED19" s="433"/>
      <c r="KEE19" s="433"/>
      <c r="KEF19" s="433"/>
      <c r="KEG19" s="433"/>
      <c r="KEH19" s="433"/>
      <c r="KEI19" s="433"/>
      <c r="KEJ19" s="433"/>
      <c r="KEK19" s="433"/>
      <c r="KEL19" s="433"/>
      <c r="KEM19" s="433"/>
      <c r="KEN19" s="433"/>
      <c r="KEO19" s="433"/>
      <c r="KEP19" s="433"/>
      <c r="KEQ19" s="433"/>
      <c r="KER19" s="433"/>
      <c r="KES19" s="433"/>
      <c r="KET19" s="433"/>
      <c r="KEU19" s="433"/>
      <c r="KEV19" s="433"/>
      <c r="KEW19" s="433"/>
      <c r="KEX19" s="433"/>
      <c r="KEY19" s="433"/>
      <c r="KEZ19" s="433"/>
      <c r="KFA19" s="433"/>
      <c r="KFB19" s="433"/>
      <c r="KFC19" s="433"/>
      <c r="KFD19" s="433"/>
      <c r="KFE19" s="433"/>
      <c r="KFF19" s="433"/>
      <c r="KFG19" s="433"/>
      <c r="KFH19" s="433"/>
      <c r="KFI19" s="433"/>
      <c r="KFJ19" s="433"/>
      <c r="KFK19" s="433"/>
      <c r="KFL19" s="433"/>
      <c r="KFM19" s="433"/>
      <c r="KFN19" s="433"/>
      <c r="KFO19" s="433"/>
      <c r="KFP19" s="433"/>
      <c r="KFQ19" s="433"/>
      <c r="KFR19" s="433"/>
      <c r="KFS19" s="433"/>
      <c r="KFT19" s="433"/>
      <c r="KFU19" s="433"/>
      <c r="KFV19" s="433"/>
      <c r="KFW19" s="433"/>
      <c r="KFX19" s="433"/>
      <c r="KFY19" s="433"/>
      <c r="KFZ19" s="433"/>
      <c r="KGA19" s="433"/>
      <c r="KGB19" s="433"/>
      <c r="KGC19" s="433"/>
      <c r="KGD19" s="433"/>
      <c r="KGE19" s="433"/>
      <c r="KGF19" s="433"/>
      <c r="KGG19" s="433"/>
      <c r="KGH19" s="433"/>
      <c r="KGI19" s="433"/>
      <c r="KGJ19" s="433"/>
      <c r="KGK19" s="433"/>
      <c r="KGL19" s="433"/>
      <c r="KGM19" s="433"/>
      <c r="KGN19" s="433"/>
      <c r="KGO19" s="433"/>
      <c r="KGP19" s="433"/>
      <c r="KGQ19" s="433"/>
      <c r="KGR19" s="433"/>
      <c r="KGS19" s="433"/>
      <c r="KGT19" s="433"/>
      <c r="KGU19" s="433"/>
      <c r="KGV19" s="433"/>
      <c r="KGW19" s="433"/>
      <c r="KGX19" s="433"/>
      <c r="KGY19" s="433"/>
      <c r="KGZ19" s="433"/>
      <c r="KHA19" s="433"/>
      <c r="KHB19" s="433"/>
      <c r="KHC19" s="433"/>
      <c r="KHD19" s="433"/>
      <c r="KHE19" s="433"/>
      <c r="KHF19" s="433"/>
      <c r="KHG19" s="433"/>
      <c r="KHH19" s="433"/>
      <c r="KHI19" s="433"/>
      <c r="KHJ19" s="433"/>
      <c r="KHK19" s="433"/>
      <c r="KHL19" s="433"/>
      <c r="KHM19" s="433"/>
      <c r="KHN19" s="433"/>
      <c r="KHO19" s="433"/>
      <c r="KHP19" s="433"/>
      <c r="KHQ19" s="433"/>
      <c r="KHR19" s="433"/>
      <c r="KHS19" s="433"/>
      <c r="KHT19" s="433"/>
      <c r="KHU19" s="433"/>
      <c r="KHV19" s="433"/>
      <c r="KHW19" s="433"/>
      <c r="KHX19" s="433"/>
      <c r="KHY19" s="433"/>
      <c r="KHZ19" s="433"/>
      <c r="KIA19" s="433"/>
      <c r="KIB19" s="433"/>
      <c r="KIC19" s="433"/>
      <c r="KID19" s="433"/>
      <c r="KIE19" s="433"/>
      <c r="KIF19" s="433"/>
      <c r="KIG19" s="433"/>
      <c r="KIH19" s="433"/>
      <c r="KII19" s="433"/>
      <c r="KIJ19" s="433"/>
      <c r="KIK19" s="433"/>
      <c r="KIL19" s="433"/>
      <c r="KIM19" s="433"/>
      <c r="KIN19" s="433"/>
      <c r="KIO19" s="433"/>
      <c r="KIP19" s="433"/>
      <c r="KIQ19" s="433"/>
      <c r="KIR19" s="433"/>
      <c r="KIS19" s="433"/>
      <c r="KIT19" s="433"/>
      <c r="KIU19" s="433"/>
      <c r="KIV19" s="433"/>
      <c r="KIW19" s="433"/>
      <c r="KIX19" s="433"/>
      <c r="KIY19" s="433"/>
      <c r="KIZ19" s="433"/>
      <c r="KJA19" s="433"/>
      <c r="KJB19" s="433"/>
      <c r="KJC19" s="433"/>
      <c r="KJD19" s="433"/>
      <c r="KJE19" s="433"/>
      <c r="KJF19" s="433"/>
      <c r="KJG19" s="433"/>
      <c r="KJH19" s="433"/>
      <c r="KJI19" s="433"/>
      <c r="KJJ19" s="433"/>
      <c r="KJK19" s="433"/>
      <c r="KJL19" s="433"/>
      <c r="KJM19" s="433"/>
      <c r="KJN19" s="433"/>
      <c r="KJO19" s="433"/>
      <c r="KJP19" s="433"/>
      <c r="KJQ19" s="433"/>
      <c r="KJR19" s="433"/>
      <c r="KJS19" s="433"/>
      <c r="KJT19" s="433"/>
      <c r="KJU19" s="433"/>
      <c r="KJV19" s="433"/>
      <c r="KJW19" s="433"/>
      <c r="KJX19" s="433"/>
      <c r="KJY19" s="433"/>
      <c r="KJZ19" s="433"/>
      <c r="KKA19" s="433"/>
      <c r="KKB19" s="433"/>
      <c r="KKC19" s="433"/>
      <c r="KKD19" s="433"/>
      <c r="KKE19" s="433"/>
      <c r="KKF19" s="433"/>
      <c r="KKG19" s="433"/>
      <c r="KKH19" s="433"/>
      <c r="KKI19" s="433"/>
      <c r="KKJ19" s="433"/>
      <c r="KKK19" s="433"/>
      <c r="KKL19" s="433"/>
      <c r="KKM19" s="433"/>
      <c r="KKN19" s="433"/>
      <c r="KKO19" s="433"/>
      <c r="KKP19" s="433"/>
      <c r="KKQ19" s="433"/>
      <c r="KKR19" s="433"/>
      <c r="KKS19" s="433"/>
      <c r="KKT19" s="433"/>
      <c r="KKU19" s="433"/>
      <c r="KKV19" s="433"/>
      <c r="KKW19" s="433"/>
      <c r="KKX19" s="433"/>
      <c r="KKY19" s="433"/>
      <c r="KKZ19" s="433"/>
      <c r="KLA19" s="433"/>
      <c r="KLB19" s="433"/>
      <c r="KLC19" s="433"/>
      <c r="KLD19" s="433"/>
      <c r="KLE19" s="433"/>
      <c r="KLF19" s="433"/>
      <c r="KLG19" s="433"/>
      <c r="KLH19" s="433"/>
      <c r="KLI19" s="433"/>
      <c r="KLJ19" s="433"/>
      <c r="KLK19" s="433"/>
      <c r="KLL19" s="433"/>
      <c r="KLM19" s="433"/>
      <c r="KLN19" s="433"/>
      <c r="KLO19" s="433"/>
      <c r="KLP19" s="433"/>
      <c r="KLQ19" s="433"/>
      <c r="KLR19" s="433"/>
      <c r="KLS19" s="433"/>
      <c r="KLT19" s="433"/>
      <c r="KLU19" s="433"/>
      <c r="KLV19" s="433"/>
      <c r="KLW19" s="433"/>
      <c r="KLX19" s="433"/>
      <c r="KLY19" s="433"/>
      <c r="KLZ19" s="433"/>
      <c r="KMA19" s="433"/>
      <c r="KMB19" s="433"/>
      <c r="KMC19" s="433"/>
      <c r="KMD19" s="433"/>
      <c r="KME19" s="433"/>
      <c r="KMF19" s="433"/>
      <c r="KMG19" s="433"/>
      <c r="KMH19" s="433"/>
      <c r="KMI19" s="433"/>
      <c r="KMJ19" s="433"/>
      <c r="KMK19" s="433"/>
      <c r="KML19" s="433"/>
      <c r="KMM19" s="433"/>
      <c r="KMN19" s="433"/>
      <c r="KMO19" s="433"/>
      <c r="KMP19" s="433"/>
      <c r="KMQ19" s="433"/>
      <c r="KMR19" s="433"/>
      <c r="KMS19" s="433"/>
      <c r="KMT19" s="433"/>
      <c r="KMU19" s="433"/>
      <c r="KMV19" s="433"/>
      <c r="KMW19" s="433"/>
      <c r="KMX19" s="433"/>
      <c r="KMY19" s="433"/>
      <c r="KMZ19" s="433"/>
      <c r="KNA19" s="433"/>
      <c r="KNB19" s="433"/>
      <c r="KNC19" s="433"/>
      <c r="KND19" s="433"/>
      <c r="KNE19" s="433"/>
      <c r="KNF19" s="433"/>
      <c r="KNG19" s="433"/>
      <c r="KNH19" s="433"/>
      <c r="KNI19" s="433"/>
      <c r="KNJ19" s="433"/>
      <c r="KNK19" s="433"/>
      <c r="KNL19" s="433"/>
      <c r="KNM19" s="433"/>
      <c r="KNN19" s="433"/>
      <c r="KNO19" s="433"/>
      <c r="KNP19" s="433"/>
      <c r="KNQ19" s="433"/>
      <c r="KNR19" s="433"/>
      <c r="KNS19" s="433"/>
      <c r="KNT19" s="433"/>
      <c r="KNU19" s="433"/>
      <c r="KNV19" s="433"/>
      <c r="KNW19" s="433"/>
      <c r="KNX19" s="433"/>
      <c r="KNY19" s="433"/>
      <c r="KNZ19" s="433"/>
      <c r="KOA19" s="433"/>
      <c r="KOB19" s="433"/>
      <c r="KOC19" s="433"/>
      <c r="KOD19" s="433"/>
      <c r="KOE19" s="433"/>
      <c r="KOF19" s="433"/>
      <c r="KOG19" s="433"/>
      <c r="KOH19" s="433"/>
      <c r="KOI19" s="433"/>
      <c r="KOJ19" s="433"/>
      <c r="KOK19" s="433"/>
      <c r="KOL19" s="433"/>
      <c r="KOM19" s="433"/>
      <c r="KON19" s="433"/>
      <c r="KOO19" s="433"/>
      <c r="KOP19" s="433"/>
      <c r="KOQ19" s="433"/>
      <c r="KOR19" s="433"/>
      <c r="KOS19" s="433"/>
      <c r="KOT19" s="433"/>
      <c r="KOU19" s="433"/>
      <c r="KOV19" s="433"/>
      <c r="KOW19" s="433"/>
      <c r="KOX19" s="433"/>
      <c r="KOY19" s="433"/>
      <c r="KOZ19" s="433"/>
      <c r="KPA19" s="433"/>
      <c r="KPB19" s="433"/>
      <c r="KPC19" s="433"/>
      <c r="KPD19" s="433"/>
      <c r="KPE19" s="433"/>
      <c r="KPF19" s="433"/>
      <c r="KPG19" s="433"/>
      <c r="KPH19" s="433"/>
      <c r="KPI19" s="433"/>
      <c r="KPJ19" s="433"/>
      <c r="KPK19" s="433"/>
      <c r="KPL19" s="433"/>
      <c r="KPM19" s="433"/>
      <c r="KPN19" s="433"/>
      <c r="KPO19" s="433"/>
      <c r="KPP19" s="433"/>
      <c r="KPQ19" s="433"/>
      <c r="KPR19" s="433"/>
      <c r="KPS19" s="433"/>
      <c r="KPT19" s="433"/>
      <c r="KPU19" s="433"/>
      <c r="KPV19" s="433"/>
      <c r="KPW19" s="433"/>
      <c r="KPX19" s="433"/>
      <c r="KPY19" s="433"/>
      <c r="KPZ19" s="433"/>
      <c r="KQA19" s="433"/>
      <c r="KQB19" s="433"/>
      <c r="KQC19" s="433"/>
      <c r="KQD19" s="433"/>
      <c r="KQE19" s="433"/>
      <c r="KQF19" s="433"/>
      <c r="KQG19" s="433"/>
      <c r="KQH19" s="433"/>
      <c r="KQI19" s="433"/>
      <c r="KQJ19" s="433"/>
      <c r="KQK19" s="433"/>
      <c r="KQL19" s="433"/>
      <c r="KQM19" s="433"/>
      <c r="KQN19" s="433"/>
      <c r="KQO19" s="433"/>
      <c r="KQP19" s="433"/>
      <c r="KQQ19" s="433"/>
      <c r="KQR19" s="433"/>
      <c r="KQS19" s="433"/>
      <c r="KQT19" s="433"/>
      <c r="KQU19" s="433"/>
      <c r="KQV19" s="433"/>
      <c r="KQW19" s="433"/>
      <c r="KQX19" s="433"/>
      <c r="KQY19" s="433"/>
      <c r="KQZ19" s="433"/>
      <c r="KRA19" s="433"/>
      <c r="KRB19" s="433"/>
      <c r="KRC19" s="433"/>
      <c r="KRD19" s="433"/>
      <c r="KRE19" s="433"/>
      <c r="KRF19" s="433"/>
      <c r="KRG19" s="433"/>
      <c r="KRH19" s="433"/>
      <c r="KRI19" s="433"/>
      <c r="KRJ19" s="433"/>
      <c r="KRK19" s="433"/>
      <c r="KRL19" s="433"/>
      <c r="KRM19" s="433"/>
      <c r="KRN19" s="433"/>
      <c r="KRO19" s="433"/>
      <c r="KRP19" s="433"/>
      <c r="KRQ19" s="433"/>
      <c r="KRR19" s="433"/>
      <c r="KRS19" s="433"/>
      <c r="KRT19" s="433"/>
      <c r="KRU19" s="433"/>
      <c r="KRV19" s="433"/>
      <c r="KRW19" s="433"/>
      <c r="KRX19" s="433"/>
      <c r="KRY19" s="433"/>
      <c r="KRZ19" s="433"/>
      <c r="KSA19" s="433"/>
      <c r="KSB19" s="433"/>
      <c r="KSC19" s="433"/>
      <c r="KSD19" s="433"/>
      <c r="KSE19" s="433"/>
      <c r="KSF19" s="433"/>
      <c r="KSG19" s="433"/>
      <c r="KSH19" s="433"/>
      <c r="KSI19" s="433"/>
      <c r="KSJ19" s="433"/>
      <c r="KSK19" s="433"/>
      <c r="KSL19" s="433"/>
      <c r="KSM19" s="433"/>
      <c r="KSN19" s="433"/>
      <c r="KSO19" s="433"/>
      <c r="KSP19" s="433"/>
      <c r="KSQ19" s="433"/>
      <c r="KSR19" s="433"/>
      <c r="KSS19" s="433"/>
      <c r="KST19" s="433"/>
      <c r="KSU19" s="433"/>
      <c r="KSV19" s="433"/>
      <c r="KSW19" s="433"/>
      <c r="KSX19" s="433"/>
      <c r="KSY19" s="433"/>
      <c r="KSZ19" s="433"/>
      <c r="KTA19" s="433"/>
      <c r="KTB19" s="433"/>
      <c r="KTC19" s="433"/>
      <c r="KTD19" s="433"/>
      <c r="KTE19" s="433"/>
      <c r="KTF19" s="433"/>
      <c r="KTG19" s="433"/>
      <c r="KTH19" s="433"/>
      <c r="KTI19" s="433"/>
      <c r="KTJ19" s="433"/>
      <c r="KTK19" s="433"/>
      <c r="KTL19" s="433"/>
      <c r="KTM19" s="433"/>
      <c r="KTN19" s="433"/>
      <c r="KTO19" s="433"/>
      <c r="KTP19" s="433"/>
      <c r="KTQ19" s="433"/>
      <c r="KTR19" s="433"/>
      <c r="KTS19" s="433"/>
      <c r="KTT19" s="433"/>
      <c r="KTU19" s="433"/>
      <c r="KTV19" s="433"/>
      <c r="KTW19" s="433"/>
      <c r="KTX19" s="433"/>
      <c r="KTY19" s="433"/>
      <c r="KTZ19" s="433"/>
      <c r="KUA19" s="433"/>
      <c r="KUB19" s="433"/>
      <c r="KUC19" s="433"/>
      <c r="KUD19" s="433"/>
      <c r="KUE19" s="433"/>
      <c r="KUF19" s="433"/>
      <c r="KUG19" s="433"/>
      <c r="KUH19" s="433"/>
      <c r="KUI19" s="433"/>
      <c r="KUJ19" s="433"/>
      <c r="KUK19" s="433"/>
      <c r="KUL19" s="433"/>
      <c r="KUM19" s="433"/>
      <c r="KUN19" s="433"/>
      <c r="KUO19" s="433"/>
      <c r="KUP19" s="433"/>
      <c r="KUQ19" s="433"/>
      <c r="KUR19" s="433"/>
      <c r="KUS19" s="433"/>
      <c r="KUT19" s="433"/>
      <c r="KUU19" s="433"/>
      <c r="KUV19" s="433"/>
      <c r="KUW19" s="433"/>
      <c r="KUX19" s="433"/>
      <c r="KUY19" s="433"/>
      <c r="KUZ19" s="433"/>
      <c r="KVA19" s="433"/>
      <c r="KVB19" s="433"/>
      <c r="KVC19" s="433"/>
      <c r="KVD19" s="433"/>
      <c r="KVE19" s="433"/>
      <c r="KVF19" s="433"/>
      <c r="KVG19" s="433"/>
      <c r="KVH19" s="433"/>
      <c r="KVI19" s="433"/>
      <c r="KVJ19" s="433"/>
      <c r="KVK19" s="433"/>
      <c r="KVL19" s="433"/>
      <c r="KVM19" s="433"/>
      <c r="KVN19" s="433"/>
      <c r="KVO19" s="433"/>
      <c r="KVP19" s="433"/>
      <c r="KVQ19" s="433"/>
      <c r="KVR19" s="433"/>
      <c r="KVS19" s="433"/>
      <c r="KVT19" s="433"/>
      <c r="KVU19" s="433"/>
      <c r="KVV19" s="433"/>
      <c r="KVW19" s="433"/>
      <c r="KVX19" s="433"/>
      <c r="KVY19" s="433"/>
      <c r="KVZ19" s="433"/>
      <c r="KWA19" s="433"/>
      <c r="KWB19" s="433"/>
      <c r="KWC19" s="433"/>
      <c r="KWD19" s="433"/>
      <c r="KWE19" s="433"/>
      <c r="KWF19" s="433"/>
      <c r="KWG19" s="433"/>
      <c r="KWH19" s="433"/>
      <c r="KWI19" s="433"/>
      <c r="KWJ19" s="433"/>
      <c r="KWK19" s="433"/>
      <c r="KWL19" s="433"/>
      <c r="KWM19" s="433"/>
      <c r="KWN19" s="433"/>
      <c r="KWO19" s="433"/>
      <c r="KWP19" s="433"/>
      <c r="KWQ19" s="433"/>
      <c r="KWR19" s="433"/>
      <c r="KWS19" s="433"/>
      <c r="KWT19" s="433"/>
      <c r="KWU19" s="433"/>
      <c r="KWV19" s="433"/>
      <c r="KWW19" s="433"/>
      <c r="KWX19" s="433"/>
      <c r="KWY19" s="433"/>
      <c r="KWZ19" s="433"/>
      <c r="KXA19" s="433"/>
      <c r="KXB19" s="433"/>
      <c r="KXC19" s="433"/>
      <c r="KXD19" s="433"/>
      <c r="KXE19" s="433"/>
      <c r="KXF19" s="433"/>
      <c r="KXG19" s="433"/>
      <c r="KXH19" s="433"/>
      <c r="KXI19" s="433"/>
      <c r="KXJ19" s="433"/>
      <c r="KXK19" s="433"/>
      <c r="KXL19" s="433"/>
      <c r="KXM19" s="433"/>
      <c r="KXN19" s="433"/>
      <c r="KXO19" s="433"/>
      <c r="KXP19" s="433"/>
      <c r="KXQ19" s="433"/>
      <c r="KXR19" s="433"/>
      <c r="KXS19" s="433"/>
      <c r="KXT19" s="433"/>
      <c r="KXU19" s="433"/>
      <c r="KXV19" s="433"/>
      <c r="KXW19" s="433"/>
      <c r="KXX19" s="433"/>
      <c r="KXY19" s="433"/>
      <c r="KXZ19" s="433"/>
      <c r="KYA19" s="433"/>
      <c r="KYB19" s="433"/>
      <c r="KYC19" s="433"/>
      <c r="KYD19" s="433"/>
      <c r="KYE19" s="433"/>
      <c r="KYF19" s="433"/>
      <c r="KYG19" s="433"/>
      <c r="KYH19" s="433"/>
      <c r="KYI19" s="433"/>
      <c r="KYJ19" s="433"/>
      <c r="KYK19" s="433"/>
      <c r="KYL19" s="433"/>
      <c r="KYM19" s="433"/>
      <c r="KYN19" s="433"/>
      <c r="KYO19" s="433"/>
      <c r="KYP19" s="433"/>
      <c r="KYQ19" s="433"/>
      <c r="KYR19" s="433"/>
      <c r="KYS19" s="433"/>
      <c r="KYT19" s="433"/>
      <c r="KYU19" s="433"/>
      <c r="KYV19" s="433"/>
      <c r="KYW19" s="433"/>
      <c r="KYX19" s="433"/>
      <c r="KYY19" s="433"/>
      <c r="KYZ19" s="433"/>
      <c r="KZA19" s="433"/>
      <c r="KZB19" s="433"/>
      <c r="KZC19" s="433"/>
      <c r="KZD19" s="433"/>
      <c r="KZE19" s="433"/>
      <c r="KZF19" s="433"/>
      <c r="KZG19" s="433"/>
      <c r="KZH19" s="433"/>
      <c r="KZI19" s="433"/>
      <c r="KZJ19" s="433"/>
      <c r="KZK19" s="433"/>
      <c r="KZL19" s="433"/>
      <c r="KZM19" s="433"/>
      <c r="KZN19" s="433"/>
      <c r="KZO19" s="433"/>
      <c r="KZP19" s="433"/>
      <c r="KZQ19" s="433"/>
      <c r="KZR19" s="433"/>
      <c r="KZS19" s="433"/>
      <c r="KZT19" s="433"/>
      <c r="KZU19" s="433"/>
      <c r="KZV19" s="433"/>
      <c r="KZW19" s="433"/>
      <c r="KZX19" s="433"/>
      <c r="KZY19" s="433"/>
      <c r="KZZ19" s="433"/>
      <c r="LAA19" s="433"/>
      <c r="LAB19" s="433"/>
      <c r="LAC19" s="433"/>
      <c r="LAD19" s="433"/>
      <c r="LAE19" s="433"/>
      <c r="LAF19" s="433"/>
      <c r="LAG19" s="433"/>
      <c r="LAH19" s="433"/>
      <c r="LAI19" s="433"/>
      <c r="LAJ19" s="433"/>
      <c r="LAK19" s="433"/>
      <c r="LAL19" s="433"/>
      <c r="LAM19" s="433"/>
      <c r="LAN19" s="433"/>
      <c r="LAO19" s="433"/>
      <c r="LAP19" s="433"/>
      <c r="LAQ19" s="433"/>
      <c r="LAR19" s="433"/>
      <c r="LAS19" s="433"/>
      <c r="LAT19" s="433"/>
      <c r="LAU19" s="433"/>
      <c r="LAV19" s="433"/>
      <c r="LAW19" s="433"/>
      <c r="LAX19" s="433"/>
      <c r="LAY19" s="433"/>
      <c r="LAZ19" s="433"/>
      <c r="LBA19" s="433"/>
      <c r="LBB19" s="433"/>
      <c r="LBC19" s="433"/>
      <c r="LBD19" s="433"/>
      <c r="LBE19" s="433"/>
      <c r="LBF19" s="433"/>
      <c r="LBG19" s="433"/>
      <c r="LBH19" s="433"/>
      <c r="LBI19" s="433"/>
      <c r="LBJ19" s="433"/>
      <c r="LBK19" s="433"/>
      <c r="LBL19" s="433"/>
      <c r="LBM19" s="433"/>
      <c r="LBN19" s="433"/>
      <c r="LBO19" s="433"/>
      <c r="LBP19" s="433"/>
      <c r="LBQ19" s="433"/>
      <c r="LBR19" s="433"/>
      <c r="LBS19" s="433"/>
      <c r="LBT19" s="433"/>
      <c r="LBU19" s="433"/>
      <c r="LBV19" s="433"/>
      <c r="LBW19" s="433"/>
      <c r="LBX19" s="433"/>
      <c r="LBY19" s="433"/>
      <c r="LBZ19" s="433"/>
      <c r="LCA19" s="433"/>
      <c r="LCB19" s="433"/>
      <c r="LCC19" s="433"/>
      <c r="LCD19" s="433"/>
      <c r="LCE19" s="433"/>
      <c r="LCF19" s="433"/>
      <c r="LCG19" s="433"/>
      <c r="LCH19" s="433"/>
      <c r="LCI19" s="433"/>
      <c r="LCJ19" s="433"/>
      <c r="LCK19" s="433"/>
      <c r="LCL19" s="433"/>
      <c r="LCM19" s="433"/>
      <c r="LCN19" s="433"/>
      <c r="LCO19" s="433"/>
      <c r="LCP19" s="433"/>
      <c r="LCQ19" s="433"/>
      <c r="LCR19" s="433"/>
      <c r="LCS19" s="433"/>
      <c r="LCT19" s="433"/>
      <c r="LCU19" s="433"/>
      <c r="LCV19" s="433"/>
      <c r="LCW19" s="433"/>
      <c r="LCX19" s="433"/>
      <c r="LCY19" s="433"/>
      <c r="LCZ19" s="433"/>
      <c r="LDA19" s="433"/>
      <c r="LDB19" s="433"/>
      <c r="LDC19" s="433"/>
      <c r="LDD19" s="433"/>
      <c r="LDE19" s="433"/>
      <c r="LDF19" s="433"/>
      <c r="LDG19" s="433"/>
      <c r="LDH19" s="433"/>
      <c r="LDI19" s="433"/>
      <c r="LDJ19" s="433"/>
      <c r="LDK19" s="433"/>
      <c r="LDL19" s="433"/>
      <c r="LDM19" s="433"/>
      <c r="LDN19" s="433"/>
      <c r="LDO19" s="433"/>
      <c r="LDP19" s="433"/>
      <c r="LDQ19" s="433"/>
      <c r="LDR19" s="433"/>
      <c r="LDS19" s="433"/>
      <c r="LDT19" s="433"/>
      <c r="LDU19" s="433"/>
      <c r="LDV19" s="433"/>
      <c r="LDW19" s="433"/>
      <c r="LDX19" s="433"/>
      <c r="LDY19" s="433"/>
      <c r="LDZ19" s="433"/>
      <c r="LEA19" s="433"/>
      <c r="LEB19" s="433"/>
      <c r="LEC19" s="433"/>
      <c r="LED19" s="433"/>
      <c r="LEE19" s="433"/>
      <c r="LEF19" s="433"/>
      <c r="LEG19" s="433"/>
      <c r="LEH19" s="433"/>
      <c r="LEI19" s="433"/>
      <c r="LEJ19" s="433"/>
      <c r="LEK19" s="433"/>
      <c r="LEL19" s="433"/>
      <c r="LEM19" s="433"/>
      <c r="LEN19" s="433"/>
      <c r="LEO19" s="433"/>
      <c r="LEP19" s="433"/>
      <c r="LEQ19" s="433"/>
      <c r="LER19" s="433"/>
      <c r="LES19" s="433"/>
      <c r="LET19" s="433"/>
      <c r="LEU19" s="433"/>
      <c r="LEV19" s="433"/>
      <c r="LEW19" s="433"/>
      <c r="LEX19" s="433"/>
      <c r="LEY19" s="433"/>
      <c r="LEZ19" s="433"/>
      <c r="LFA19" s="433"/>
      <c r="LFB19" s="433"/>
      <c r="LFC19" s="433"/>
      <c r="LFD19" s="433"/>
      <c r="LFE19" s="433"/>
      <c r="LFF19" s="433"/>
      <c r="LFG19" s="433"/>
      <c r="LFH19" s="433"/>
      <c r="LFI19" s="433"/>
      <c r="LFJ19" s="433"/>
      <c r="LFK19" s="433"/>
      <c r="LFL19" s="433"/>
      <c r="LFM19" s="433"/>
      <c r="LFN19" s="433"/>
      <c r="LFO19" s="433"/>
      <c r="LFP19" s="433"/>
      <c r="LFQ19" s="433"/>
      <c r="LFR19" s="433"/>
      <c r="LFS19" s="433"/>
      <c r="LFT19" s="433"/>
      <c r="LFU19" s="433"/>
      <c r="LFV19" s="433"/>
      <c r="LFW19" s="433"/>
      <c r="LFX19" s="433"/>
      <c r="LFY19" s="433"/>
      <c r="LFZ19" s="433"/>
      <c r="LGA19" s="433"/>
      <c r="LGB19" s="433"/>
      <c r="LGC19" s="433"/>
      <c r="LGD19" s="433"/>
      <c r="LGE19" s="433"/>
      <c r="LGF19" s="433"/>
      <c r="LGG19" s="433"/>
      <c r="LGH19" s="433"/>
      <c r="LGI19" s="433"/>
      <c r="LGJ19" s="433"/>
      <c r="LGK19" s="433"/>
      <c r="LGL19" s="433"/>
      <c r="LGM19" s="433"/>
      <c r="LGN19" s="433"/>
      <c r="LGO19" s="433"/>
      <c r="LGP19" s="433"/>
      <c r="LGQ19" s="433"/>
      <c r="LGR19" s="433"/>
      <c r="LGS19" s="433"/>
      <c r="LGT19" s="433"/>
      <c r="LGU19" s="433"/>
      <c r="LGV19" s="433"/>
      <c r="LGW19" s="433"/>
      <c r="LGX19" s="433"/>
      <c r="LGY19" s="433"/>
      <c r="LGZ19" s="433"/>
      <c r="LHA19" s="433"/>
      <c r="LHB19" s="433"/>
      <c r="LHC19" s="433"/>
      <c r="LHD19" s="433"/>
      <c r="LHE19" s="433"/>
      <c r="LHF19" s="433"/>
      <c r="LHG19" s="433"/>
      <c r="LHH19" s="433"/>
      <c r="LHI19" s="433"/>
      <c r="LHJ19" s="433"/>
      <c r="LHK19" s="433"/>
      <c r="LHL19" s="433"/>
      <c r="LHM19" s="433"/>
      <c r="LHN19" s="433"/>
      <c r="LHO19" s="433"/>
      <c r="LHP19" s="433"/>
      <c r="LHQ19" s="433"/>
      <c r="LHR19" s="433"/>
      <c r="LHS19" s="433"/>
      <c r="LHT19" s="433"/>
      <c r="LHU19" s="433"/>
      <c r="LHV19" s="433"/>
      <c r="LHW19" s="433"/>
      <c r="LHX19" s="433"/>
      <c r="LHY19" s="433"/>
      <c r="LHZ19" s="433"/>
      <c r="LIA19" s="433"/>
      <c r="LIB19" s="433"/>
      <c r="LIC19" s="433"/>
      <c r="LID19" s="433"/>
      <c r="LIE19" s="433"/>
      <c r="LIF19" s="433"/>
      <c r="LIG19" s="433"/>
      <c r="LIH19" s="433"/>
      <c r="LII19" s="433"/>
      <c r="LIJ19" s="433"/>
      <c r="LIK19" s="433"/>
      <c r="LIL19" s="433"/>
      <c r="LIM19" s="433"/>
      <c r="LIN19" s="433"/>
      <c r="LIO19" s="433"/>
      <c r="LIP19" s="433"/>
      <c r="LIQ19" s="433"/>
      <c r="LIR19" s="433"/>
      <c r="LIS19" s="433"/>
      <c r="LIT19" s="433"/>
      <c r="LIU19" s="433"/>
      <c r="LIV19" s="433"/>
      <c r="LIW19" s="433"/>
      <c r="LIX19" s="433"/>
      <c r="LIY19" s="433"/>
      <c r="LIZ19" s="433"/>
      <c r="LJA19" s="433"/>
      <c r="LJB19" s="433"/>
      <c r="LJC19" s="433"/>
      <c r="LJD19" s="433"/>
      <c r="LJE19" s="433"/>
      <c r="LJF19" s="433"/>
      <c r="LJG19" s="433"/>
      <c r="LJH19" s="433"/>
      <c r="LJI19" s="433"/>
      <c r="LJJ19" s="433"/>
      <c r="LJK19" s="433"/>
      <c r="LJL19" s="433"/>
      <c r="LJM19" s="433"/>
      <c r="LJN19" s="433"/>
      <c r="LJO19" s="433"/>
      <c r="LJP19" s="433"/>
      <c r="LJQ19" s="433"/>
      <c r="LJR19" s="433"/>
      <c r="LJS19" s="433"/>
      <c r="LJT19" s="433"/>
      <c r="LJU19" s="433"/>
      <c r="LJV19" s="433"/>
      <c r="LJW19" s="433"/>
      <c r="LJX19" s="433"/>
      <c r="LJY19" s="433"/>
      <c r="LJZ19" s="433"/>
      <c r="LKA19" s="433"/>
      <c r="LKB19" s="433"/>
      <c r="LKC19" s="433"/>
      <c r="LKD19" s="433"/>
      <c r="LKE19" s="433"/>
      <c r="LKF19" s="433"/>
      <c r="LKG19" s="433"/>
      <c r="LKH19" s="433"/>
      <c r="LKI19" s="433"/>
      <c r="LKJ19" s="433"/>
      <c r="LKK19" s="433"/>
      <c r="LKL19" s="433"/>
      <c r="LKM19" s="433"/>
      <c r="LKN19" s="433"/>
      <c r="LKO19" s="433"/>
      <c r="LKP19" s="433"/>
      <c r="LKQ19" s="433"/>
      <c r="LKR19" s="433"/>
      <c r="LKS19" s="433"/>
      <c r="LKT19" s="433"/>
      <c r="LKU19" s="433"/>
      <c r="LKV19" s="433"/>
      <c r="LKW19" s="433"/>
      <c r="LKX19" s="433"/>
      <c r="LKY19" s="433"/>
      <c r="LKZ19" s="433"/>
      <c r="LLA19" s="433"/>
      <c r="LLB19" s="433"/>
      <c r="LLC19" s="433"/>
      <c r="LLD19" s="433"/>
      <c r="LLE19" s="433"/>
      <c r="LLF19" s="433"/>
      <c r="LLG19" s="433"/>
      <c r="LLH19" s="433"/>
      <c r="LLI19" s="433"/>
      <c r="LLJ19" s="433"/>
      <c r="LLK19" s="433"/>
      <c r="LLL19" s="433"/>
      <c r="LLM19" s="433"/>
      <c r="LLN19" s="433"/>
      <c r="LLO19" s="433"/>
      <c r="LLP19" s="433"/>
      <c r="LLQ19" s="433"/>
      <c r="LLR19" s="433"/>
      <c r="LLS19" s="433"/>
      <c r="LLT19" s="433"/>
      <c r="LLU19" s="433"/>
      <c r="LLV19" s="433"/>
      <c r="LLW19" s="433"/>
      <c r="LLX19" s="433"/>
      <c r="LLY19" s="433"/>
      <c r="LLZ19" s="433"/>
      <c r="LMA19" s="433"/>
      <c r="LMB19" s="433"/>
      <c r="LMC19" s="433"/>
      <c r="LMD19" s="433"/>
      <c r="LME19" s="433"/>
      <c r="LMF19" s="433"/>
      <c r="LMG19" s="433"/>
      <c r="LMH19" s="433"/>
      <c r="LMI19" s="433"/>
      <c r="LMJ19" s="433"/>
      <c r="LMK19" s="433"/>
      <c r="LML19" s="433"/>
      <c r="LMM19" s="433"/>
      <c r="LMN19" s="433"/>
      <c r="LMO19" s="433"/>
      <c r="LMP19" s="433"/>
      <c r="LMQ19" s="433"/>
      <c r="LMR19" s="433"/>
      <c r="LMS19" s="433"/>
      <c r="LMT19" s="433"/>
      <c r="LMU19" s="433"/>
      <c r="LMV19" s="433"/>
      <c r="LMW19" s="433"/>
      <c r="LMX19" s="433"/>
      <c r="LMY19" s="433"/>
      <c r="LMZ19" s="433"/>
      <c r="LNA19" s="433"/>
      <c r="LNB19" s="433"/>
      <c r="LNC19" s="433"/>
      <c r="LND19" s="433"/>
      <c r="LNE19" s="433"/>
      <c r="LNF19" s="433"/>
      <c r="LNG19" s="433"/>
      <c r="LNH19" s="433"/>
      <c r="LNI19" s="433"/>
      <c r="LNJ19" s="433"/>
      <c r="LNK19" s="433"/>
      <c r="LNL19" s="433"/>
      <c r="LNM19" s="433"/>
      <c r="LNN19" s="433"/>
      <c r="LNO19" s="433"/>
      <c r="LNP19" s="433"/>
      <c r="LNQ19" s="433"/>
      <c r="LNR19" s="433"/>
      <c r="LNS19" s="433"/>
      <c r="LNT19" s="433"/>
      <c r="LNU19" s="433"/>
      <c r="LNV19" s="433"/>
      <c r="LNW19" s="433"/>
      <c r="LNX19" s="433"/>
      <c r="LNY19" s="433"/>
      <c r="LNZ19" s="433"/>
      <c r="LOA19" s="433"/>
      <c r="LOB19" s="433"/>
      <c r="LOC19" s="433"/>
      <c r="LOD19" s="433"/>
      <c r="LOE19" s="433"/>
      <c r="LOF19" s="433"/>
      <c r="LOG19" s="433"/>
      <c r="LOH19" s="433"/>
      <c r="LOI19" s="433"/>
      <c r="LOJ19" s="433"/>
      <c r="LOK19" s="433"/>
      <c r="LOL19" s="433"/>
      <c r="LOM19" s="433"/>
      <c r="LON19" s="433"/>
      <c r="LOO19" s="433"/>
      <c r="LOP19" s="433"/>
      <c r="LOQ19" s="433"/>
      <c r="LOR19" s="433"/>
      <c r="LOS19" s="433"/>
      <c r="LOT19" s="433"/>
      <c r="LOU19" s="433"/>
      <c r="LOV19" s="433"/>
      <c r="LOW19" s="433"/>
      <c r="LOX19" s="433"/>
      <c r="LOY19" s="433"/>
      <c r="LOZ19" s="433"/>
      <c r="LPA19" s="433"/>
      <c r="LPB19" s="433"/>
      <c r="LPC19" s="433"/>
      <c r="LPD19" s="433"/>
      <c r="LPE19" s="433"/>
      <c r="LPF19" s="433"/>
      <c r="LPG19" s="433"/>
      <c r="LPH19" s="433"/>
      <c r="LPI19" s="433"/>
      <c r="LPJ19" s="433"/>
      <c r="LPK19" s="433"/>
      <c r="LPL19" s="433"/>
      <c r="LPM19" s="433"/>
      <c r="LPN19" s="433"/>
      <c r="LPO19" s="433"/>
      <c r="LPP19" s="433"/>
      <c r="LPQ19" s="433"/>
      <c r="LPR19" s="433"/>
      <c r="LPS19" s="433"/>
      <c r="LPT19" s="433"/>
      <c r="LPU19" s="433"/>
      <c r="LPV19" s="433"/>
      <c r="LPW19" s="433"/>
      <c r="LPX19" s="433"/>
      <c r="LPY19" s="433"/>
      <c r="LPZ19" s="433"/>
      <c r="LQA19" s="433"/>
      <c r="LQB19" s="433"/>
      <c r="LQC19" s="433"/>
      <c r="LQD19" s="433"/>
      <c r="LQE19" s="433"/>
      <c r="LQF19" s="433"/>
      <c r="LQG19" s="433"/>
      <c r="LQH19" s="433"/>
      <c r="LQI19" s="433"/>
      <c r="LQJ19" s="433"/>
      <c r="LQK19" s="433"/>
      <c r="LQL19" s="433"/>
      <c r="LQM19" s="433"/>
      <c r="LQN19" s="433"/>
      <c r="LQO19" s="433"/>
      <c r="LQP19" s="433"/>
      <c r="LQQ19" s="433"/>
      <c r="LQR19" s="433"/>
      <c r="LQS19" s="433"/>
      <c r="LQT19" s="433"/>
      <c r="LQU19" s="433"/>
      <c r="LQV19" s="433"/>
      <c r="LQW19" s="433"/>
      <c r="LQX19" s="433"/>
      <c r="LQY19" s="433"/>
      <c r="LQZ19" s="433"/>
      <c r="LRA19" s="433"/>
      <c r="LRB19" s="433"/>
      <c r="LRC19" s="433"/>
      <c r="LRD19" s="433"/>
      <c r="LRE19" s="433"/>
      <c r="LRF19" s="433"/>
      <c r="LRG19" s="433"/>
      <c r="LRH19" s="433"/>
      <c r="LRI19" s="433"/>
      <c r="LRJ19" s="433"/>
      <c r="LRK19" s="433"/>
      <c r="LRL19" s="433"/>
      <c r="LRM19" s="433"/>
      <c r="LRN19" s="433"/>
      <c r="LRO19" s="433"/>
      <c r="LRP19" s="433"/>
      <c r="LRQ19" s="433"/>
      <c r="LRR19" s="433"/>
      <c r="LRS19" s="433"/>
      <c r="LRT19" s="433"/>
      <c r="LRU19" s="433"/>
      <c r="LRV19" s="433"/>
      <c r="LRW19" s="433"/>
      <c r="LRX19" s="433"/>
      <c r="LRY19" s="433"/>
      <c r="LRZ19" s="433"/>
      <c r="LSA19" s="433"/>
      <c r="LSB19" s="433"/>
      <c r="LSC19" s="433"/>
      <c r="LSD19" s="433"/>
      <c r="LSE19" s="433"/>
      <c r="LSF19" s="433"/>
      <c r="LSG19" s="433"/>
      <c r="LSH19" s="433"/>
      <c r="LSI19" s="433"/>
      <c r="LSJ19" s="433"/>
      <c r="LSK19" s="433"/>
      <c r="LSL19" s="433"/>
      <c r="LSM19" s="433"/>
      <c r="LSN19" s="433"/>
      <c r="LSO19" s="433"/>
      <c r="LSP19" s="433"/>
      <c r="LSQ19" s="433"/>
      <c r="LSR19" s="433"/>
      <c r="LSS19" s="433"/>
      <c r="LST19" s="433"/>
      <c r="LSU19" s="433"/>
      <c r="LSV19" s="433"/>
      <c r="LSW19" s="433"/>
      <c r="LSX19" s="433"/>
      <c r="LSY19" s="433"/>
      <c r="LSZ19" s="433"/>
      <c r="LTA19" s="433"/>
      <c r="LTB19" s="433"/>
      <c r="LTC19" s="433"/>
      <c r="LTD19" s="433"/>
      <c r="LTE19" s="433"/>
      <c r="LTF19" s="433"/>
      <c r="LTG19" s="433"/>
      <c r="LTH19" s="433"/>
      <c r="LTI19" s="433"/>
      <c r="LTJ19" s="433"/>
      <c r="LTK19" s="433"/>
      <c r="LTL19" s="433"/>
      <c r="LTM19" s="433"/>
      <c r="LTN19" s="433"/>
      <c r="LTO19" s="433"/>
      <c r="LTP19" s="433"/>
      <c r="LTQ19" s="433"/>
      <c r="LTR19" s="433"/>
      <c r="LTS19" s="433"/>
      <c r="LTT19" s="433"/>
      <c r="LTU19" s="433"/>
      <c r="LTV19" s="433"/>
      <c r="LTW19" s="433"/>
      <c r="LTX19" s="433"/>
      <c r="LTY19" s="433"/>
      <c r="LTZ19" s="433"/>
      <c r="LUA19" s="433"/>
      <c r="LUB19" s="433"/>
      <c r="LUC19" s="433"/>
      <c r="LUD19" s="433"/>
      <c r="LUE19" s="433"/>
      <c r="LUF19" s="433"/>
      <c r="LUG19" s="433"/>
      <c r="LUH19" s="433"/>
      <c r="LUI19" s="433"/>
      <c r="LUJ19" s="433"/>
      <c r="LUK19" s="433"/>
      <c r="LUL19" s="433"/>
      <c r="LUM19" s="433"/>
      <c r="LUN19" s="433"/>
      <c r="LUO19" s="433"/>
      <c r="LUP19" s="433"/>
      <c r="LUQ19" s="433"/>
      <c r="LUR19" s="433"/>
      <c r="LUS19" s="433"/>
      <c r="LUT19" s="433"/>
      <c r="LUU19" s="433"/>
      <c r="LUV19" s="433"/>
      <c r="LUW19" s="433"/>
      <c r="LUX19" s="433"/>
      <c r="LUY19" s="433"/>
      <c r="LUZ19" s="433"/>
      <c r="LVA19" s="433"/>
      <c r="LVB19" s="433"/>
      <c r="LVC19" s="433"/>
      <c r="LVD19" s="433"/>
      <c r="LVE19" s="433"/>
      <c r="LVF19" s="433"/>
      <c r="LVG19" s="433"/>
      <c r="LVH19" s="433"/>
      <c r="LVI19" s="433"/>
      <c r="LVJ19" s="433"/>
      <c r="LVK19" s="433"/>
      <c r="LVL19" s="433"/>
      <c r="LVM19" s="433"/>
      <c r="LVN19" s="433"/>
      <c r="LVO19" s="433"/>
      <c r="LVP19" s="433"/>
      <c r="LVQ19" s="433"/>
      <c r="LVR19" s="433"/>
      <c r="LVS19" s="433"/>
      <c r="LVT19" s="433"/>
      <c r="LVU19" s="433"/>
      <c r="LVV19" s="433"/>
      <c r="LVW19" s="433"/>
      <c r="LVX19" s="433"/>
      <c r="LVY19" s="433"/>
      <c r="LVZ19" s="433"/>
      <c r="LWA19" s="433"/>
      <c r="LWB19" s="433"/>
      <c r="LWC19" s="433"/>
      <c r="LWD19" s="433"/>
      <c r="LWE19" s="433"/>
      <c r="LWF19" s="433"/>
      <c r="LWG19" s="433"/>
      <c r="LWH19" s="433"/>
      <c r="LWI19" s="433"/>
      <c r="LWJ19" s="433"/>
      <c r="LWK19" s="433"/>
      <c r="LWL19" s="433"/>
      <c r="LWM19" s="433"/>
      <c r="LWN19" s="433"/>
      <c r="LWO19" s="433"/>
      <c r="LWP19" s="433"/>
      <c r="LWQ19" s="433"/>
      <c r="LWR19" s="433"/>
      <c r="LWS19" s="433"/>
      <c r="LWT19" s="433"/>
      <c r="LWU19" s="433"/>
      <c r="LWV19" s="433"/>
      <c r="LWW19" s="433"/>
      <c r="LWX19" s="433"/>
      <c r="LWY19" s="433"/>
      <c r="LWZ19" s="433"/>
      <c r="LXA19" s="433"/>
      <c r="LXB19" s="433"/>
      <c r="LXC19" s="433"/>
      <c r="LXD19" s="433"/>
      <c r="LXE19" s="433"/>
      <c r="LXF19" s="433"/>
      <c r="LXG19" s="433"/>
      <c r="LXH19" s="433"/>
      <c r="LXI19" s="433"/>
      <c r="LXJ19" s="433"/>
      <c r="LXK19" s="433"/>
      <c r="LXL19" s="433"/>
      <c r="LXM19" s="433"/>
      <c r="LXN19" s="433"/>
      <c r="LXO19" s="433"/>
      <c r="LXP19" s="433"/>
      <c r="LXQ19" s="433"/>
      <c r="LXR19" s="433"/>
      <c r="LXS19" s="433"/>
      <c r="LXT19" s="433"/>
      <c r="LXU19" s="433"/>
      <c r="LXV19" s="433"/>
      <c r="LXW19" s="433"/>
      <c r="LXX19" s="433"/>
      <c r="LXY19" s="433"/>
      <c r="LXZ19" s="433"/>
      <c r="LYA19" s="433"/>
      <c r="LYB19" s="433"/>
      <c r="LYC19" s="433"/>
      <c r="LYD19" s="433"/>
      <c r="LYE19" s="433"/>
      <c r="LYF19" s="433"/>
      <c r="LYG19" s="433"/>
      <c r="LYH19" s="433"/>
      <c r="LYI19" s="433"/>
      <c r="LYJ19" s="433"/>
      <c r="LYK19" s="433"/>
      <c r="LYL19" s="433"/>
      <c r="LYM19" s="433"/>
      <c r="LYN19" s="433"/>
      <c r="LYO19" s="433"/>
      <c r="LYP19" s="433"/>
      <c r="LYQ19" s="433"/>
      <c r="LYR19" s="433"/>
      <c r="LYS19" s="433"/>
      <c r="LYT19" s="433"/>
      <c r="LYU19" s="433"/>
      <c r="LYV19" s="433"/>
      <c r="LYW19" s="433"/>
      <c r="LYX19" s="433"/>
      <c r="LYY19" s="433"/>
      <c r="LYZ19" s="433"/>
      <c r="LZA19" s="433"/>
      <c r="LZB19" s="433"/>
      <c r="LZC19" s="433"/>
      <c r="LZD19" s="433"/>
      <c r="LZE19" s="433"/>
      <c r="LZF19" s="433"/>
      <c r="LZG19" s="433"/>
      <c r="LZH19" s="433"/>
      <c r="LZI19" s="433"/>
      <c r="LZJ19" s="433"/>
      <c r="LZK19" s="433"/>
      <c r="LZL19" s="433"/>
      <c r="LZM19" s="433"/>
      <c r="LZN19" s="433"/>
      <c r="LZO19" s="433"/>
      <c r="LZP19" s="433"/>
      <c r="LZQ19" s="433"/>
      <c r="LZR19" s="433"/>
      <c r="LZS19" s="433"/>
      <c r="LZT19" s="433"/>
      <c r="LZU19" s="433"/>
      <c r="LZV19" s="433"/>
      <c r="LZW19" s="433"/>
      <c r="LZX19" s="433"/>
      <c r="LZY19" s="433"/>
      <c r="LZZ19" s="433"/>
      <c r="MAA19" s="433"/>
      <c r="MAB19" s="433"/>
      <c r="MAC19" s="433"/>
      <c r="MAD19" s="433"/>
      <c r="MAE19" s="433"/>
      <c r="MAF19" s="433"/>
      <c r="MAG19" s="433"/>
      <c r="MAH19" s="433"/>
      <c r="MAI19" s="433"/>
      <c r="MAJ19" s="433"/>
      <c r="MAK19" s="433"/>
      <c r="MAL19" s="433"/>
      <c r="MAM19" s="433"/>
      <c r="MAN19" s="433"/>
      <c r="MAO19" s="433"/>
      <c r="MAP19" s="433"/>
      <c r="MAQ19" s="433"/>
      <c r="MAR19" s="433"/>
      <c r="MAS19" s="433"/>
      <c r="MAT19" s="433"/>
      <c r="MAU19" s="433"/>
      <c r="MAV19" s="433"/>
      <c r="MAW19" s="433"/>
      <c r="MAX19" s="433"/>
      <c r="MAY19" s="433"/>
      <c r="MAZ19" s="433"/>
      <c r="MBA19" s="433"/>
      <c r="MBB19" s="433"/>
      <c r="MBC19" s="433"/>
      <c r="MBD19" s="433"/>
      <c r="MBE19" s="433"/>
      <c r="MBF19" s="433"/>
      <c r="MBG19" s="433"/>
      <c r="MBH19" s="433"/>
      <c r="MBI19" s="433"/>
      <c r="MBJ19" s="433"/>
      <c r="MBK19" s="433"/>
      <c r="MBL19" s="433"/>
      <c r="MBM19" s="433"/>
      <c r="MBN19" s="433"/>
      <c r="MBO19" s="433"/>
      <c r="MBP19" s="433"/>
      <c r="MBQ19" s="433"/>
      <c r="MBR19" s="433"/>
      <c r="MBS19" s="433"/>
      <c r="MBT19" s="433"/>
      <c r="MBU19" s="433"/>
      <c r="MBV19" s="433"/>
      <c r="MBW19" s="433"/>
      <c r="MBX19" s="433"/>
      <c r="MBY19" s="433"/>
      <c r="MBZ19" s="433"/>
      <c r="MCA19" s="433"/>
      <c r="MCB19" s="433"/>
      <c r="MCC19" s="433"/>
      <c r="MCD19" s="433"/>
      <c r="MCE19" s="433"/>
      <c r="MCF19" s="433"/>
      <c r="MCG19" s="433"/>
      <c r="MCH19" s="433"/>
      <c r="MCI19" s="433"/>
      <c r="MCJ19" s="433"/>
      <c r="MCK19" s="433"/>
      <c r="MCL19" s="433"/>
      <c r="MCM19" s="433"/>
      <c r="MCN19" s="433"/>
      <c r="MCO19" s="433"/>
      <c r="MCP19" s="433"/>
      <c r="MCQ19" s="433"/>
      <c r="MCR19" s="433"/>
      <c r="MCS19" s="433"/>
      <c r="MCT19" s="433"/>
      <c r="MCU19" s="433"/>
      <c r="MCV19" s="433"/>
      <c r="MCW19" s="433"/>
      <c r="MCX19" s="433"/>
      <c r="MCY19" s="433"/>
      <c r="MCZ19" s="433"/>
      <c r="MDA19" s="433"/>
      <c r="MDB19" s="433"/>
      <c r="MDC19" s="433"/>
      <c r="MDD19" s="433"/>
      <c r="MDE19" s="433"/>
      <c r="MDF19" s="433"/>
      <c r="MDG19" s="433"/>
      <c r="MDH19" s="433"/>
      <c r="MDI19" s="433"/>
      <c r="MDJ19" s="433"/>
      <c r="MDK19" s="433"/>
      <c r="MDL19" s="433"/>
      <c r="MDM19" s="433"/>
      <c r="MDN19" s="433"/>
      <c r="MDO19" s="433"/>
      <c r="MDP19" s="433"/>
      <c r="MDQ19" s="433"/>
      <c r="MDR19" s="433"/>
      <c r="MDS19" s="433"/>
      <c r="MDT19" s="433"/>
      <c r="MDU19" s="433"/>
      <c r="MDV19" s="433"/>
      <c r="MDW19" s="433"/>
      <c r="MDX19" s="433"/>
      <c r="MDY19" s="433"/>
      <c r="MDZ19" s="433"/>
      <c r="MEA19" s="433"/>
      <c r="MEB19" s="433"/>
      <c r="MEC19" s="433"/>
      <c r="MED19" s="433"/>
      <c r="MEE19" s="433"/>
      <c r="MEF19" s="433"/>
      <c r="MEG19" s="433"/>
      <c r="MEH19" s="433"/>
      <c r="MEI19" s="433"/>
      <c r="MEJ19" s="433"/>
      <c r="MEK19" s="433"/>
      <c r="MEL19" s="433"/>
      <c r="MEM19" s="433"/>
      <c r="MEN19" s="433"/>
      <c r="MEO19" s="433"/>
      <c r="MEP19" s="433"/>
      <c r="MEQ19" s="433"/>
      <c r="MER19" s="433"/>
      <c r="MES19" s="433"/>
      <c r="MET19" s="433"/>
      <c r="MEU19" s="433"/>
      <c r="MEV19" s="433"/>
      <c r="MEW19" s="433"/>
      <c r="MEX19" s="433"/>
      <c r="MEY19" s="433"/>
      <c r="MEZ19" s="433"/>
      <c r="MFA19" s="433"/>
      <c r="MFB19" s="433"/>
      <c r="MFC19" s="433"/>
      <c r="MFD19" s="433"/>
      <c r="MFE19" s="433"/>
      <c r="MFF19" s="433"/>
      <c r="MFG19" s="433"/>
      <c r="MFH19" s="433"/>
      <c r="MFI19" s="433"/>
      <c r="MFJ19" s="433"/>
      <c r="MFK19" s="433"/>
      <c r="MFL19" s="433"/>
      <c r="MFM19" s="433"/>
      <c r="MFN19" s="433"/>
      <c r="MFO19" s="433"/>
      <c r="MFP19" s="433"/>
      <c r="MFQ19" s="433"/>
      <c r="MFR19" s="433"/>
      <c r="MFS19" s="433"/>
      <c r="MFT19" s="433"/>
      <c r="MFU19" s="433"/>
      <c r="MFV19" s="433"/>
      <c r="MFW19" s="433"/>
      <c r="MFX19" s="433"/>
      <c r="MFY19" s="433"/>
      <c r="MFZ19" s="433"/>
      <c r="MGA19" s="433"/>
      <c r="MGB19" s="433"/>
      <c r="MGC19" s="433"/>
      <c r="MGD19" s="433"/>
      <c r="MGE19" s="433"/>
      <c r="MGF19" s="433"/>
      <c r="MGG19" s="433"/>
      <c r="MGH19" s="433"/>
      <c r="MGI19" s="433"/>
      <c r="MGJ19" s="433"/>
      <c r="MGK19" s="433"/>
      <c r="MGL19" s="433"/>
      <c r="MGM19" s="433"/>
      <c r="MGN19" s="433"/>
      <c r="MGO19" s="433"/>
      <c r="MGP19" s="433"/>
      <c r="MGQ19" s="433"/>
      <c r="MGR19" s="433"/>
      <c r="MGS19" s="433"/>
      <c r="MGT19" s="433"/>
      <c r="MGU19" s="433"/>
      <c r="MGV19" s="433"/>
      <c r="MGW19" s="433"/>
      <c r="MGX19" s="433"/>
      <c r="MGY19" s="433"/>
      <c r="MGZ19" s="433"/>
      <c r="MHA19" s="433"/>
      <c r="MHB19" s="433"/>
      <c r="MHC19" s="433"/>
      <c r="MHD19" s="433"/>
      <c r="MHE19" s="433"/>
      <c r="MHF19" s="433"/>
      <c r="MHG19" s="433"/>
      <c r="MHH19" s="433"/>
      <c r="MHI19" s="433"/>
      <c r="MHJ19" s="433"/>
      <c r="MHK19" s="433"/>
      <c r="MHL19" s="433"/>
      <c r="MHM19" s="433"/>
      <c r="MHN19" s="433"/>
      <c r="MHO19" s="433"/>
      <c r="MHP19" s="433"/>
      <c r="MHQ19" s="433"/>
      <c r="MHR19" s="433"/>
      <c r="MHS19" s="433"/>
      <c r="MHT19" s="433"/>
      <c r="MHU19" s="433"/>
      <c r="MHV19" s="433"/>
      <c r="MHW19" s="433"/>
      <c r="MHX19" s="433"/>
      <c r="MHY19" s="433"/>
      <c r="MHZ19" s="433"/>
      <c r="MIA19" s="433"/>
      <c r="MIB19" s="433"/>
      <c r="MIC19" s="433"/>
      <c r="MID19" s="433"/>
      <c r="MIE19" s="433"/>
      <c r="MIF19" s="433"/>
      <c r="MIG19" s="433"/>
      <c r="MIH19" s="433"/>
      <c r="MII19" s="433"/>
      <c r="MIJ19" s="433"/>
      <c r="MIK19" s="433"/>
      <c r="MIL19" s="433"/>
      <c r="MIM19" s="433"/>
      <c r="MIN19" s="433"/>
      <c r="MIO19" s="433"/>
      <c r="MIP19" s="433"/>
      <c r="MIQ19" s="433"/>
      <c r="MIR19" s="433"/>
      <c r="MIS19" s="433"/>
      <c r="MIT19" s="433"/>
      <c r="MIU19" s="433"/>
      <c r="MIV19" s="433"/>
      <c r="MIW19" s="433"/>
      <c r="MIX19" s="433"/>
      <c r="MIY19" s="433"/>
      <c r="MIZ19" s="433"/>
      <c r="MJA19" s="433"/>
      <c r="MJB19" s="433"/>
      <c r="MJC19" s="433"/>
      <c r="MJD19" s="433"/>
      <c r="MJE19" s="433"/>
      <c r="MJF19" s="433"/>
      <c r="MJG19" s="433"/>
      <c r="MJH19" s="433"/>
      <c r="MJI19" s="433"/>
      <c r="MJJ19" s="433"/>
      <c r="MJK19" s="433"/>
      <c r="MJL19" s="433"/>
      <c r="MJM19" s="433"/>
      <c r="MJN19" s="433"/>
      <c r="MJO19" s="433"/>
      <c r="MJP19" s="433"/>
      <c r="MJQ19" s="433"/>
      <c r="MJR19" s="433"/>
      <c r="MJS19" s="433"/>
      <c r="MJT19" s="433"/>
      <c r="MJU19" s="433"/>
      <c r="MJV19" s="433"/>
      <c r="MJW19" s="433"/>
      <c r="MJX19" s="433"/>
      <c r="MJY19" s="433"/>
      <c r="MJZ19" s="433"/>
      <c r="MKA19" s="433"/>
      <c r="MKB19" s="433"/>
      <c r="MKC19" s="433"/>
      <c r="MKD19" s="433"/>
      <c r="MKE19" s="433"/>
      <c r="MKF19" s="433"/>
      <c r="MKG19" s="433"/>
      <c r="MKH19" s="433"/>
      <c r="MKI19" s="433"/>
      <c r="MKJ19" s="433"/>
      <c r="MKK19" s="433"/>
      <c r="MKL19" s="433"/>
      <c r="MKM19" s="433"/>
      <c r="MKN19" s="433"/>
      <c r="MKO19" s="433"/>
      <c r="MKP19" s="433"/>
      <c r="MKQ19" s="433"/>
      <c r="MKR19" s="433"/>
      <c r="MKS19" s="433"/>
      <c r="MKT19" s="433"/>
      <c r="MKU19" s="433"/>
      <c r="MKV19" s="433"/>
      <c r="MKW19" s="433"/>
      <c r="MKX19" s="433"/>
      <c r="MKY19" s="433"/>
      <c r="MKZ19" s="433"/>
      <c r="MLA19" s="433"/>
      <c r="MLB19" s="433"/>
      <c r="MLC19" s="433"/>
      <c r="MLD19" s="433"/>
      <c r="MLE19" s="433"/>
      <c r="MLF19" s="433"/>
      <c r="MLG19" s="433"/>
      <c r="MLH19" s="433"/>
      <c r="MLI19" s="433"/>
      <c r="MLJ19" s="433"/>
      <c r="MLK19" s="433"/>
      <c r="MLL19" s="433"/>
      <c r="MLM19" s="433"/>
      <c r="MLN19" s="433"/>
      <c r="MLO19" s="433"/>
      <c r="MLP19" s="433"/>
      <c r="MLQ19" s="433"/>
      <c r="MLR19" s="433"/>
      <c r="MLS19" s="433"/>
      <c r="MLT19" s="433"/>
      <c r="MLU19" s="433"/>
      <c r="MLV19" s="433"/>
      <c r="MLW19" s="433"/>
      <c r="MLX19" s="433"/>
      <c r="MLY19" s="433"/>
      <c r="MLZ19" s="433"/>
      <c r="MMA19" s="433"/>
      <c r="MMB19" s="433"/>
      <c r="MMC19" s="433"/>
      <c r="MMD19" s="433"/>
      <c r="MME19" s="433"/>
      <c r="MMF19" s="433"/>
      <c r="MMG19" s="433"/>
      <c r="MMH19" s="433"/>
      <c r="MMI19" s="433"/>
      <c r="MMJ19" s="433"/>
      <c r="MMK19" s="433"/>
      <c r="MML19" s="433"/>
      <c r="MMM19" s="433"/>
      <c r="MMN19" s="433"/>
      <c r="MMO19" s="433"/>
      <c r="MMP19" s="433"/>
      <c r="MMQ19" s="433"/>
      <c r="MMR19" s="433"/>
      <c r="MMS19" s="433"/>
      <c r="MMT19" s="433"/>
      <c r="MMU19" s="433"/>
      <c r="MMV19" s="433"/>
      <c r="MMW19" s="433"/>
      <c r="MMX19" s="433"/>
      <c r="MMY19" s="433"/>
      <c r="MMZ19" s="433"/>
      <c r="MNA19" s="433"/>
      <c r="MNB19" s="433"/>
      <c r="MNC19" s="433"/>
      <c r="MND19" s="433"/>
      <c r="MNE19" s="433"/>
      <c r="MNF19" s="433"/>
      <c r="MNG19" s="433"/>
      <c r="MNH19" s="433"/>
      <c r="MNI19" s="433"/>
      <c r="MNJ19" s="433"/>
      <c r="MNK19" s="433"/>
      <c r="MNL19" s="433"/>
      <c r="MNM19" s="433"/>
      <c r="MNN19" s="433"/>
      <c r="MNO19" s="433"/>
      <c r="MNP19" s="433"/>
      <c r="MNQ19" s="433"/>
      <c r="MNR19" s="433"/>
      <c r="MNS19" s="433"/>
      <c r="MNT19" s="433"/>
      <c r="MNU19" s="433"/>
      <c r="MNV19" s="433"/>
      <c r="MNW19" s="433"/>
      <c r="MNX19" s="433"/>
      <c r="MNY19" s="433"/>
      <c r="MNZ19" s="433"/>
      <c r="MOA19" s="433"/>
      <c r="MOB19" s="433"/>
      <c r="MOC19" s="433"/>
      <c r="MOD19" s="433"/>
      <c r="MOE19" s="433"/>
      <c r="MOF19" s="433"/>
      <c r="MOG19" s="433"/>
      <c r="MOH19" s="433"/>
      <c r="MOI19" s="433"/>
      <c r="MOJ19" s="433"/>
      <c r="MOK19" s="433"/>
      <c r="MOL19" s="433"/>
      <c r="MOM19" s="433"/>
      <c r="MON19" s="433"/>
      <c r="MOO19" s="433"/>
      <c r="MOP19" s="433"/>
      <c r="MOQ19" s="433"/>
      <c r="MOR19" s="433"/>
      <c r="MOS19" s="433"/>
      <c r="MOT19" s="433"/>
      <c r="MOU19" s="433"/>
      <c r="MOV19" s="433"/>
      <c r="MOW19" s="433"/>
      <c r="MOX19" s="433"/>
      <c r="MOY19" s="433"/>
      <c r="MOZ19" s="433"/>
      <c r="MPA19" s="433"/>
      <c r="MPB19" s="433"/>
      <c r="MPC19" s="433"/>
      <c r="MPD19" s="433"/>
      <c r="MPE19" s="433"/>
      <c r="MPF19" s="433"/>
      <c r="MPG19" s="433"/>
      <c r="MPH19" s="433"/>
      <c r="MPI19" s="433"/>
      <c r="MPJ19" s="433"/>
      <c r="MPK19" s="433"/>
      <c r="MPL19" s="433"/>
      <c r="MPM19" s="433"/>
      <c r="MPN19" s="433"/>
      <c r="MPO19" s="433"/>
      <c r="MPP19" s="433"/>
      <c r="MPQ19" s="433"/>
      <c r="MPR19" s="433"/>
      <c r="MPS19" s="433"/>
      <c r="MPT19" s="433"/>
      <c r="MPU19" s="433"/>
      <c r="MPV19" s="433"/>
      <c r="MPW19" s="433"/>
      <c r="MPX19" s="433"/>
      <c r="MPY19" s="433"/>
      <c r="MPZ19" s="433"/>
      <c r="MQA19" s="433"/>
      <c r="MQB19" s="433"/>
      <c r="MQC19" s="433"/>
      <c r="MQD19" s="433"/>
      <c r="MQE19" s="433"/>
      <c r="MQF19" s="433"/>
      <c r="MQG19" s="433"/>
      <c r="MQH19" s="433"/>
      <c r="MQI19" s="433"/>
      <c r="MQJ19" s="433"/>
      <c r="MQK19" s="433"/>
      <c r="MQL19" s="433"/>
      <c r="MQM19" s="433"/>
      <c r="MQN19" s="433"/>
      <c r="MQO19" s="433"/>
      <c r="MQP19" s="433"/>
      <c r="MQQ19" s="433"/>
      <c r="MQR19" s="433"/>
      <c r="MQS19" s="433"/>
      <c r="MQT19" s="433"/>
      <c r="MQU19" s="433"/>
      <c r="MQV19" s="433"/>
      <c r="MQW19" s="433"/>
      <c r="MQX19" s="433"/>
      <c r="MQY19" s="433"/>
      <c r="MQZ19" s="433"/>
      <c r="MRA19" s="433"/>
      <c r="MRB19" s="433"/>
      <c r="MRC19" s="433"/>
      <c r="MRD19" s="433"/>
      <c r="MRE19" s="433"/>
      <c r="MRF19" s="433"/>
      <c r="MRG19" s="433"/>
      <c r="MRH19" s="433"/>
      <c r="MRI19" s="433"/>
      <c r="MRJ19" s="433"/>
      <c r="MRK19" s="433"/>
      <c r="MRL19" s="433"/>
      <c r="MRM19" s="433"/>
      <c r="MRN19" s="433"/>
      <c r="MRO19" s="433"/>
      <c r="MRP19" s="433"/>
      <c r="MRQ19" s="433"/>
      <c r="MRR19" s="433"/>
      <c r="MRS19" s="433"/>
      <c r="MRT19" s="433"/>
      <c r="MRU19" s="433"/>
      <c r="MRV19" s="433"/>
      <c r="MRW19" s="433"/>
      <c r="MRX19" s="433"/>
      <c r="MRY19" s="433"/>
      <c r="MRZ19" s="433"/>
      <c r="MSA19" s="433"/>
      <c r="MSB19" s="433"/>
      <c r="MSC19" s="433"/>
      <c r="MSD19" s="433"/>
      <c r="MSE19" s="433"/>
      <c r="MSF19" s="433"/>
      <c r="MSG19" s="433"/>
      <c r="MSH19" s="433"/>
      <c r="MSI19" s="433"/>
      <c r="MSJ19" s="433"/>
      <c r="MSK19" s="433"/>
      <c r="MSL19" s="433"/>
      <c r="MSM19" s="433"/>
      <c r="MSN19" s="433"/>
      <c r="MSO19" s="433"/>
      <c r="MSP19" s="433"/>
      <c r="MSQ19" s="433"/>
      <c r="MSR19" s="433"/>
      <c r="MSS19" s="433"/>
      <c r="MST19" s="433"/>
      <c r="MSU19" s="433"/>
      <c r="MSV19" s="433"/>
      <c r="MSW19" s="433"/>
      <c r="MSX19" s="433"/>
      <c r="MSY19" s="433"/>
      <c r="MSZ19" s="433"/>
      <c r="MTA19" s="433"/>
      <c r="MTB19" s="433"/>
      <c r="MTC19" s="433"/>
      <c r="MTD19" s="433"/>
      <c r="MTE19" s="433"/>
      <c r="MTF19" s="433"/>
      <c r="MTG19" s="433"/>
      <c r="MTH19" s="433"/>
      <c r="MTI19" s="433"/>
      <c r="MTJ19" s="433"/>
      <c r="MTK19" s="433"/>
      <c r="MTL19" s="433"/>
      <c r="MTM19" s="433"/>
      <c r="MTN19" s="433"/>
      <c r="MTO19" s="433"/>
      <c r="MTP19" s="433"/>
      <c r="MTQ19" s="433"/>
      <c r="MTR19" s="433"/>
      <c r="MTS19" s="433"/>
      <c r="MTT19" s="433"/>
      <c r="MTU19" s="433"/>
      <c r="MTV19" s="433"/>
      <c r="MTW19" s="433"/>
      <c r="MTX19" s="433"/>
      <c r="MTY19" s="433"/>
      <c r="MTZ19" s="433"/>
      <c r="MUA19" s="433"/>
      <c r="MUB19" s="433"/>
      <c r="MUC19" s="433"/>
      <c r="MUD19" s="433"/>
      <c r="MUE19" s="433"/>
      <c r="MUF19" s="433"/>
      <c r="MUG19" s="433"/>
      <c r="MUH19" s="433"/>
      <c r="MUI19" s="433"/>
      <c r="MUJ19" s="433"/>
      <c r="MUK19" s="433"/>
      <c r="MUL19" s="433"/>
      <c r="MUM19" s="433"/>
      <c r="MUN19" s="433"/>
      <c r="MUO19" s="433"/>
      <c r="MUP19" s="433"/>
      <c r="MUQ19" s="433"/>
      <c r="MUR19" s="433"/>
      <c r="MUS19" s="433"/>
      <c r="MUT19" s="433"/>
      <c r="MUU19" s="433"/>
      <c r="MUV19" s="433"/>
      <c r="MUW19" s="433"/>
      <c r="MUX19" s="433"/>
      <c r="MUY19" s="433"/>
      <c r="MUZ19" s="433"/>
      <c r="MVA19" s="433"/>
      <c r="MVB19" s="433"/>
      <c r="MVC19" s="433"/>
      <c r="MVD19" s="433"/>
      <c r="MVE19" s="433"/>
      <c r="MVF19" s="433"/>
      <c r="MVG19" s="433"/>
      <c r="MVH19" s="433"/>
      <c r="MVI19" s="433"/>
      <c r="MVJ19" s="433"/>
      <c r="MVK19" s="433"/>
      <c r="MVL19" s="433"/>
      <c r="MVM19" s="433"/>
      <c r="MVN19" s="433"/>
      <c r="MVO19" s="433"/>
      <c r="MVP19" s="433"/>
      <c r="MVQ19" s="433"/>
      <c r="MVR19" s="433"/>
      <c r="MVS19" s="433"/>
      <c r="MVT19" s="433"/>
      <c r="MVU19" s="433"/>
      <c r="MVV19" s="433"/>
      <c r="MVW19" s="433"/>
      <c r="MVX19" s="433"/>
      <c r="MVY19" s="433"/>
      <c r="MVZ19" s="433"/>
      <c r="MWA19" s="433"/>
      <c r="MWB19" s="433"/>
      <c r="MWC19" s="433"/>
      <c r="MWD19" s="433"/>
      <c r="MWE19" s="433"/>
      <c r="MWF19" s="433"/>
      <c r="MWG19" s="433"/>
      <c r="MWH19" s="433"/>
      <c r="MWI19" s="433"/>
      <c r="MWJ19" s="433"/>
      <c r="MWK19" s="433"/>
      <c r="MWL19" s="433"/>
      <c r="MWM19" s="433"/>
      <c r="MWN19" s="433"/>
      <c r="MWO19" s="433"/>
      <c r="MWP19" s="433"/>
      <c r="MWQ19" s="433"/>
      <c r="MWR19" s="433"/>
      <c r="MWS19" s="433"/>
      <c r="MWT19" s="433"/>
      <c r="MWU19" s="433"/>
      <c r="MWV19" s="433"/>
      <c r="MWW19" s="433"/>
      <c r="MWX19" s="433"/>
      <c r="MWY19" s="433"/>
      <c r="MWZ19" s="433"/>
      <c r="MXA19" s="433"/>
      <c r="MXB19" s="433"/>
      <c r="MXC19" s="433"/>
      <c r="MXD19" s="433"/>
      <c r="MXE19" s="433"/>
      <c r="MXF19" s="433"/>
      <c r="MXG19" s="433"/>
      <c r="MXH19" s="433"/>
      <c r="MXI19" s="433"/>
      <c r="MXJ19" s="433"/>
      <c r="MXK19" s="433"/>
      <c r="MXL19" s="433"/>
      <c r="MXM19" s="433"/>
      <c r="MXN19" s="433"/>
      <c r="MXO19" s="433"/>
      <c r="MXP19" s="433"/>
      <c r="MXQ19" s="433"/>
      <c r="MXR19" s="433"/>
      <c r="MXS19" s="433"/>
      <c r="MXT19" s="433"/>
      <c r="MXU19" s="433"/>
      <c r="MXV19" s="433"/>
      <c r="MXW19" s="433"/>
      <c r="MXX19" s="433"/>
      <c r="MXY19" s="433"/>
      <c r="MXZ19" s="433"/>
      <c r="MYA19" s="433"/>
      <c r="MYB19" s="433"/>
      <c r="MYC19" s="433"/>
      <c r="MYD19" s="433"/>
      <c r="MYE19" s="433"/>
      <c r="MYF19" s="433"/>
      <c r="MYG19" s="433"/>
      <c r="MYH19" s="433"/>
      <c r="MYI19" s="433"/>
      <c r="MYJ19" s="433"/>
      <c r="MYK19" s="433"/>
      <c r="MYL19" s="433"/>
      <c r="MYM19" s="433"/>
      <c r="MYN19" s="433"/>
      <c r="MYO19" s="433"/>
      <c r="MYP19" s="433"/>
      <c r="MYQ19" s="433"/>
      <c r="MYR19" s="433"/>
      <c r="MYS19" s="433"/>
      <c r="MYT19" s="433"/>
      <c r="MYU19" s="433"/>
      <c r="MYV19" s="433"/>
      <c r="MYW19" s="433"/>
      <c r="MYX19" s="433"/>
      <c r="MYY19" s="433"/>
      <c r="MYZ19" s="433"/>
      <c r="MZA19" s="433"/>
      <c r="MZB19" s="433"/>
      <c r="MZC19" s="433"/>
      <c r="MZD19" s="433"/>
      <c r="MZE19" s="433"/>
      <c r="MZF19" s="433"/>
      <c r="MZG19" s="433"/>
      <c r="MZH19" s="433"/>
      <c r="MZI19" s="433"/>
      <c r="MZJ19" s="433"/>
      <c r="MZK19" s="433"/>
      <c r="MZL19" s="433"/>
      <c r="MZM19" s="433"/>
      <c r="MZN19" s="433"/>
      <c r="MZO19" s="433"/>
      <c r="MZP19" s="433"/>
      <c r="MZQ19" s="433"/>
      <c r="MZR19" s="433"/>
      <c r="MZS19" s="433"/>
      <c r="MZT19" s="433"/>
      <c r="MZU19" s="433"/>
      <c r="MZV19" s="433"/>
      <c r="MZW19" s="433"/>
      <c r="MZX19" s="433"/>
      <c r="MZY19" s="433"/>
      <c r="MZZ19" s="433"/>
      <c r="NAA19" s="433"/>
      <c r="NAB19" s="433"/>
      <c r="NAC19" s="433"/>
      <c r="NAD19" s="433"/>
      <c r="NAE19" s="433"/>
      <c r="NAF19" s="433"/>
      <c r="NAG19" s="433"/>
      <c r="NAH19" s="433"/>
      <c r="NAI19" s="433"/>
      <c r="NAJ19" s="433"/>
      <c r="NAK19" s="433"/>
      <c r="NAL19" s="433"/>
      <c r="NAM19" s="433"/>
      <c r="NAN19" s="433"/>
      <c r="NAO19" s="433"/>
      <c r="NAP19" s="433"/>
      <c r="NAQ19" s="433"/>
      <c r="NAR19" s="433"/>
      <c r="NAS19" s="433"/>
      <c r="NAT19" s="433"/>
      <c r="NAU19" s="433"/>
      <c r="NAV19" s="433"/>
      <c r="NAW19" s="433"/>
      <c r="NAX19" s="433"/>
      <c r="NAY19" s="433"/>
      <c r="NAZ19" s="433"/>
      <c r="NBA19" s="433"/>
      <c r="NBB19" s="433"/>
      <c r="NBC19" s="433"/>
      <c r="NBD19" s="433"/>
      <c r="NBE19" s="433"/>
      <c r="NBF19" s="433"/>
      <c r="NBG19" s="433"/>
      <c r="NBH19" s="433"/>
      <c r="NBI19" s="433"/>
      <c r="NBJ19" s="433"/>
      <c r="NBK19" s="433"/>
      <c r="NBL19" s="433"/>
      <c r="NBM19" s="433"/>
      <c r="NBN19" s="433"/>
      <c r="NBO19" s="433"/>
      <c r="NBP19" s="433"/>
      <c r="NBQ19" s="433"/>
      <c r="NBR19" s="433"/>
      <c r="NBS19" s="433"/>
      <c r="NBT19" s="433"/>
      <c r="NBU19" s="433"/>
      <c r="NBV19" s="433"/>
      <c r="NBW19" s="433"/>
      <c r="NBX19" s="433"/>
      <c r="NBY19" s="433"/>
      <c r="NBZ19" s="433"/>
      <c r="NCA19" s="433"/>
      <c r="NCB19" s="433"/>
      <c r="NCC19" s="433"/>
      <c r="NCD19" s="433"/>
      <c r="NCE19" s="433"/>
      <c r="NCF19" s="433"/>
      <c r="NCG19" s="433"/>
      <c r="NCH19" s="433"/>
      <c r="NCI19" s="433"/>
      <c r="NCJ19" s="433"/>
      <c r="NCK19" s="433"/>
      <c r="NCL19" s="433"/>
      <c r="NCM19" s="433"/>
      <c r="NCN19" s="433"/>
      <c r="NCO19" s="433"/>
      <c r="NCP19" s="433"/>
      <c r="NCQ19" s="433"/>
      <c r="NCR19" s="433"/>
      <c r="NCS19" s="433"/>
      <c r="NCT19" s="433"/>
      <c r="NCU19" s="433"/>
      <c r="NCV19" s="433"/>
      <c r="NCW19" s="433"/>
      <c r="NCX19" s="433"/>
      <c r="NCY19" s="433"/>
      <c r="NCZ19" s="433"/>
      <c r="NDA19" s="433"/>
      <c r="NDB19" s="433"/>
      <c r="NDC19" s="433"/>
      <c r="NDD19" s="433"/>
      <c r="NDE19" s="433"/>
      <c r="NDF19" s="433"/>
      <c r="NDG19" s="433"/>
      <c r="NDH19" s="433"/>
      <c r="NDI19" s="433"/>
      <c r="NDJ19" s="433"/>
      <c r="NDK19" s="433"/>
      <c r="NDL19" s="433"/>
      <c r="NDM19" s="433"/>
      <c r="NDN19" s="433"/>
      <c r="NDO19" s="433"/>
      <c r="NDP19" s="433"/>
      <c r="NDQ19" s="433"/>
      <c r="NDR19" s="433"/>
      <c r="NDS19" s="433"/>
      <c r="NDT19" s="433"/>
      <c r="NDU19" s="433"/>
      <c r="NDV19" s="433"/>
      <c r="NDW19" s="433"/>
      <c r="NDX19" s="433"/>
      <c r="NDY19" s="433"/>
      <c r="NDZ19" s="433"/>
      <c r="NEA19" s="433"/>
      <c r="NEB19" s="433"/>
      <c r="NEC19" s="433"/>
      <c r="NED19" s="433"/>
      <c r="NEE19" s="433"/>
      <c r="NEF19" s="433"/>
      <c r="NEG19" s="433"/>
      <c r="NEH19" s="433"/>
      <c r="NEI19" s="433"/>
      <c r="NEJ19" s="433"/>
      <c r="NEK19" s="433"/>
      <c r="NEL19" s="433"/>
      <c r="NEM19" s="433"/>
      <c r="NEN19" s="433"/>
      <c r="NEO19" s="433"/>
      <c r="NEP19" s="433"/>
      <c r="NEQ19" s="433"/>
      <c r="NER19" s="433"/>
      <c r="NES19" s="433"/>
      <c r="NET19" s="433"/>
      <c r="NEU19" s="433"/>
      <c r="NEV19" s="433"/>
      <c r="NEW19" s="433"/>
      <c r="NEX19" s="433"/>
      <c r="NEY19" s="433"/>
      <c r="NEZ19" s="433"/>
      <c r="NFA19" s="433"/>
      <c r="NFB19" s="433"/>
      <c r="NFC19" s="433"/>
      <c r="NFD19" s="433"/>
      <c r="NFE19" s="433"/>
      <c r="NFF19" s="433"/>
      <c r="NFG19" s="433"/>
      <c r="NFH19" s="433"/>
      <c r="NFI19" s="433"/>
      <c r="NFJ19" s="433"/>
      <c r="NFK19" s="433"/>
      <c r="NFL19" s="433"/>
      <c r="NFM19" s="433"/>
      <c r="NFN19" s="433"/>
      <c r="NFO19" s="433"/>
      <c r="NFP19" s="433"/>
      <c r="NFQ19" s="433"/>
      <c r="NFR19" s="433"/>
      <c r="NFS19" s="433"/>
      <c r="NFT19" s="433"/>
      <c r="NFU19" s="433"/>
      <c r="NFV19" s="433"/>
      <c r="NFW19" s="433"/>
      <c r="NFX19" s="433"/>
      <c r="NFY19" s="433"/>
      <c r="NFZ19" s="433"/>
      <c r="NGA19" s="433"/>
      <c r="NGB19" s="433"/>
      <c r="NGC19" s="433"/>
      <c r="NGD19" s="433"/>
      <c r="NGE19" s="433"/>
      <c r="NGF19" s="433"/>
      <c r="NGG19" s="433"/>
      <c r="NGH19" s="433"/>
      <c r="NGI19" s="433"/>
      <c r="NGJ19" s="433"/>
      <c r="NGK19" s="433"/>
      <c r="NGL19" s="433"/>
      <c r="NGM19" s="433"/>
      <c r="NGN19" s="433"/>
      <c r="NGO19" s="433"/>
      <c r="NGP19" s="433"/>
      <c r="NGQ19" s="433"/>
      <c r="NGR19" s="433"/>
      <c r="NGS19" s="433"/>
      <c r="NGT19" s="433"/>
      <c r="NGU19" s="433"/>
      <c r="NGV19" s="433"/>
      <c r="NGW19" s="433"/>
      <c r="NGX19" s="433"/>
      <c r="NGY19" s="433"/>
      <c r="NGZ19" s="433"/>
      <c r="NHA19" s="433"/>
      <c r="NHB19" s="433"/>
      <c r="NHC19" s="433"/>
      <c r="NHD19" s="433"/>
      <c r="NHE19" s="433"/>
      <c r="NHF19" s="433"/>
      <c r="NHG19" s="433"/>
      <c r="NHH19" s="433"/>
      <c r="NHI19" s="433"/>
      <c r="NHJ19" s="433"/>
      <c r="NHK19" s="433"/>
      <c r="NHL19" s="433"/>
      <c r="NHM19" s="433"/>
      <c r="NHN19" s="433"/>
      <c r="NHO19" s="433"/>
      <c r="NHP19" s="433"/>
      <c r="NHQ19" s="433"/>
      <c r="NHR19" s="433"/>
      <c r="NHS19" s="433"/>
      <c r="NHT19" s="433"/>
      <c r="NHU19" s="433"/>
      <c r="NHV19" s="433"/>
      <c r="NHW19" s="433"/>
      <c r="NHX19" s="433"/>
      <c r="NHY19" s="433"/>
      <c r="NHZ19" s="433"/>
      <c r="NIA19" s="433"/>
      <c r="NIB19" s="433"/>
      <c r="NIC19" s="433"/>
      <c r="NID19" s="433"/>
      <c r="NIE19" s="433"/>
      <c r="NIF19" s="433"/>
      <c r="NIG19" s="433"/>
      <c r="NIH19" s="433"/>
      <c r="NII19" s="433"/>
      <c r="NIJ19" s="433"/>
      <c r="NIK19" s="433"/>
      <c r="NIL19" s="433"/>
      <c r="NIM19" s="433"/>
      <c r="NIN19" s="433"/>
      <c r="NIO19" s="433"/>
      <c r="NIP19" s="433"/>
      <c r="NIQ19" s="433"/>
      <c r="NIR19" s="433"/>
      <c r="NIS19" s="433"/>
      <c r="NIT19" s="433"/>
      <c r="NIU19" s="433"/>
      <c r="NIV19" s="433"/>
      <c r="NIW19" s="433"/>
      <c r="NIX19" s="433"/>
      <c r="NIY19" s="433"/>
      <c r="NIZ19" s="433"/>
      <c r="NJA19" s="433"/>
      <c r="NJB19" s="433"/>
      <c r="NJC19" s="433"/>
      <c r="NJD19" s="433"/>
      <c r="NJE19" s="433"/>
      <c r="NJF19" s="433"/>
      <c r="NJG19" s="433"/>
      <c r="NJH19" s="433"/>
      <c r="NJI19" s="433"/>
      <c r="NJJ19" s="433"/>
      <c r="NJK19" s="433"/>
      <c r="NJL19" s="433"/>
      <c r="NJM19" s="433"/>
      <c r="NJN19" s="433"/>
      <c r="NJO19" s="433"/>
      <c r="NJP19" s="433"/>
      <c r="NJQ19" s="433"/>
      <c r="NJR19" s="433"/>
      <c r="NJS19" s="433"/>
      <c r="NJT19" s="433"/>
      <c r="NJU19" s="433"/>
      <c r="NJV19" s="433"/>
      <c r="NJW19" s="433"/>
      <c r="NJX19" s="433"/>
      <c r="NJY19" s="433"/>
      <c r="NJZ19" s="433"/>
      <c r="NKA19" s="433"/>
      <c r="NKB19" s="433"/>
      <c r="NKC19" s="433"/>
      <c r="NKD19" s="433"/>
      <c r="NKE19" s="433"/>
      <c r="NKF19" s="433"/>
      <c r="NKG19" s="433"/>
      <c r="NKH19" s="433"/>
      <c r="NKI19" s="433"/>
      <c r="NKJ19" s="433"/>
      <c r="NKK19" s="433"/>
      <c r="NKL19" s="433"/>
      <c r="NKM19" s="433"/>
      <c r="NKN19" s="433"/>
      <c r="NKO19" s="433"/>
      <c r="NKP19" s="433"/>
      <c r="NKQ19" s="433"/>
      <c r="NKR19" s="433"/>
      <c r="NKS19" s="433"/>
      <c r="NKT19" s="433"/>
      <c r="NKU19" s="433"/>
      <c r="NKV19" s="433"/>
      <c r="NKW19" s="433"/>
      <c r="NKX19" s="433"/>
      <c r="NKY19" s="433"/>
      <c r="NKZ19" s="433"/>
      <c r="NLA19" s="433"/>
      <c r="NLB19" s="433"/>
      <c r="NLC19" s="433"/>
      <c r="NLD19" s="433"/>
      <c r="NLE19" s="433"/>
      <c r="NLF19" s="433"/>
      <c r="NLG19" s="433"/>
      <c r="NLH19" s="433"/>
      <c r="NLI19" s="433"/>
      <c r="NLJ19" s="433"/>
      <c r="NLK19" s="433"/>
      <c r="NLL19" s="433"/>
      <c r="NLM19" s="433"/>
      <c r="NLN19" s="433"/>
      <c r="NLO19" s="433"/>
      <c r="NLP19" s="433"/>
      <c r="NLQ19" s="433"/>
      <c r="NLR19" s="433"/>
      <c r="NLS19" s="433"/>
      <c r="NLT19" s="433"/>
      <c r="NLU19" s="433"/>
      <c r="NLV19" s="433"/>
      <c r="NLW19" s="433"/>
      <c r="NLX19" s="433"/>
      <c r="NLY19" s="433"/>
      <c r="NLZ19" s="433"/>
      <c r="NMA19" s="433"/>
      <c r="NMB19" s="433"/>
      <c r="NMC19" s="433"/>
      <c r="NMD19" s="433"/>
      <c r="NME19" s="433"/>
      <c r="NMF19" s="433"/>
      <c r="NMG19" s="433"/>
      <c r="NMH19" s="433"/>
      <c r="NMI19" s="433"/>
      <c r="NMJ19" s="433"/>
      <c r="NMK19" s="433"/>
      <c r="NML19" s="433"/>
      <c r="NMM19" s="433"/>
      <c r="NMN19" s="433"/>
      <c r="NMO19" s="433"/>
      <c r="NMP19" s="433"/>
      <c r="NMQ19" s="433"/>
      <c r="NMR19" s="433"/>
      <c r="NMS19" s="433"/>
      <c r="NMT19" s="433"/>
      <c r="NMU19" s="433"/>
      <c r="NMV19" s="433"/>
      <c r="NMW19" s="433"/>
      <c r="NMX19" s="433"/>
      <c r="NMY19" s="433"/>
      <c r="NMZ19" s="433"/>
      <c r="NNA19" s="433"/>
      <c r="NNB19" s="433"/>
      <c r="NNC19" s="433"/>
      <c r="NND19" s="433"/>
      <c r="NNE19" s="433"/>
      <c r="NNF19" s="433"/>
      <c r="NNG19" s="433"/>
      <c r="NNH19" s="433"/>
      <c r="NNI19" s="433"/>
      <c r="NNJ19" s="433"/>
      <c r="NNK19" s="433"/>
      <c r="NNL19" s="433"/>
      <c r="NNM19" s="433"/>
      <c r="NNN19" s="433"/>
      <c r="NNO19" s="433"/>
      <c r="NNP19" s="433"/>
      <c r="NNQ19" s="433"/>
      <c r="NNR19" s="433"/>
      <c r="NNS19" s="433"/>
      <c r="NNT19" s="433"/>
      <c r="NNU19" s="433"/>
      <c r="NNV19" s="433"/>
      <c r="NNW19" s="433"/>
      <c r="NNX19" s="433"/>
      <c r="NNY19" s="433"/>
      <c r="NNZ19" s="433"/>
      <c r="NOA19" s="433"/>
      <c r="NOB19" s="433"/>
      <c r="NOC19" s="433"/>
      <c r="NOD19" s="433"/>
      <c r="NOE19" s="433"/>
      <c r="NOF19" s="433"/>
      <c r="NOG19" s="433"/>
      <c r="NOH19" s="433"/>
      <c r="NOI19" s="433"/>
      <c r="NOJ19" s="433"/>
      <c r="NOK19" s="433"/>
      <c r="NOL19" s="433"/>
      <c r="NOM19" s="433"/>
      <c r="NON19" s="433"/>
      <c r="NOO19" s="433"/>
      <c r="NOP19" s="433"/>
      <c r="NOQ19" s="433"/>
      <c r="NOR19" s="433"/>
      <c r="NOS19" s="433"/>
      <c r="NOT19" s="433"/>
      <c r="NOU19" s="433"/>
      <c r="NOV19" s="433"/>
      <c r="NOW19" s="433"/>
      <c r="NOX19" s="433"/>
      <c r="NOY19" s="433"/>
      <c r="NOZ19" s="433"/>
      <c r="NPA19" s="433"/>
      <c r="NPB19" s="433"/>
      <c r="NPC19" s="433"/>
      <c r="NPD19" s="433"/>
      <c r="NPE19" s="433"/>
      <c r="NPF19" s="433"/>
      <c r="NPG19" s="433"/>
      <c r="NPH19" s="433"/>
      <c r="NPI19" s="433"/>
      <c r="NPJ19" s="433"/>
      <c r="NPK19" s="433"/>
      <c r="NPL19" s="433"/>
      <c r="NPM19" s="433"/>
      <c r="NPN19" s="433"/>
      <c r="NPO19" s="433"/>
      <c r="NPP19" s="433"/>
      <c r="NPQ19" s="433"/>
      <c r="NPR19" s="433"/>
      <c r="NPS19" s="433"/>
      <c r="NPT19" s="433"/>
      <c r="NPU19" s="433"/>
      <c r="NPV19" s="433"/>
      <c r="NPW19" s="433"/>
      <c r="NPX19" s="433"/>
      <c r="NPY19" s="433"/>
      <c r="NPZ19" s="433"/>
      <c r="NQA19" s="433"/>
      <c r="NQB19" s="433"/>
      <c r="NQC19" s="433"/>
      <c r="NQD19" s="433"/>
      <c r="NQE19" s="433"/>
      <c r="NQF19" s="433"/>
      <c r="NQG19" s="433"/>
      <c r="NQH19" s="433"/>
      <c r="NQI19" s="433"/>
      <c r="NQJ19" s="433"/>
      <c r="NQK19" s="433"/>
      <c r="NQL19" s="433"/>
      <c r="NQM19" s="433"/>
      <c r="NQN19" s="433"/>
      <c r="NQO19" s="433"/>
      <c r="NQP19" s="433"/>
      <c r="NQQ19" s="433"/>
      <c r="NQR19" s="433"/>
      <c r="NQS19" s="433"/>
      <c r="NQT19" s="433"/>
      <c r="NQU19" s="433"/>
      <c r="NQV19" s="433"/>
      <c r="NQW19" s="433"/>
      <c r="NQX19" s="433"/>
      <c r="NQY19" s="433"/>
      <c r="NQZ19" s="433"/>
      <c r="NRA19" s="433"/>
      <c r="NRB19" s="433"/>
      <c r="NRC19" s="433"/>
      <c r="NRD19" s="433"/>
      <c r="NRE19" s="433"/>
      <c r="NRF19" s="433"/>
      <c r="NRG19" s="433"/>
      <c r="NRH19" s="433"/>
      <c r="NRI19" s="433"/>
      <c r="NRJ19" s="433"/>
      <c r="NRK19" s="433"/>
      <c r="NRL19" s="433"/>
      <c r="NRM19" s="433"/>
      <c r="NRN19" s="433"/>
      <c r="NRO19" s="433"/>
      <c r="NRP19" s="433"/>
      <c r="NRQ19" s="433"/>
      <c r="NRR19" s="433"/>
      <c r="NRS19" s="433"/>
      <c r="NRT19" s="433"/>
      <c r="NRU19" s="433"/>
      <c r="NRV19" s="433"/>
      <c r="NRW19" s="433"/>
      <c r="NRX19" s="433"/>
      <c r="NRY19" s="433"/>
      <c r="NRZ19" s="433"/>
      <c r="NSA19" s="433"/>
      <c r="NSB19" s="433"/>
      <c r="NSC19" s="433"/>
      <c r="NSD19" s="433"/>
      <c r="NSE19" s="433"/>
      <c r="NSF19" s="433"/>
      <c r="NSG19" s="433"/>
      <c r="NSH19" s="433"/>
      <c r="NSI19" s="433"/>
      <c r="NSJ19" s="433"/>
      <c r="NSK19" s="433"/>
      <c r="NSL19" s="433"/>
      <c r="NSM19" s="433"/>
      <c r="NSN19" s="433"/>
      <c r="NSO19" s="433"/>
      <c r="NSP19" s="433"/>
      <c r="NSQ19" s="433"/>
      <c r="NSR19" s="433"/>
      <c r="NSS19" s="433"/>
      <c r="NST19" s="433"/>
      <c r="NSU19" s="433"/>
      <c r="NSV19" s="433"/>
      <c r="NSW19" s="433"/>
      <c r="NSX19" s="433"/>
      <c r="NSY19" s="433"/>
      <c r="NSZ19" s="433"/>
      <c r="NTA19" s="433"/>
      <c r="NTB19" s="433"/>
      <c r="NTC19" s="433"/>
      <c r="NTD19" s="433"/>
      <c r="NTE19" s="433"/>
      <c r="NTF19" s="433"/>
      <c r="NTG19" s="433"/>
      <c r="NTH19" s="433"/>
      <c r="NTI19" s="433"/>
      <c r="NTJ19" s="433"/>
      <c r="NTK19" s="433"/>
      <c r="NTL19" s="433"/>
      <c r="NTM19" s="433"/>
      <c r="NTN19" s="433"/>
      <c r="NTO19" s="433"/>
      <c r="NTP19" s="433"/>
      <c r="NTQ19" s="433"/>
      <c r="NTR19" s="433"/>
      <c r="NTS19" s="433"/>
      <c r="NTT19" s="433"/>
      <c r="NTU19" s="433"/>
      <c r="NTV19" s="433"/>
      <c r="NTW19" s="433"/>
      <c r="NTX19" s="433"/>
      <c r="NTY19" s="433"/>
      <c r="NTZ19" s="433"/>
      <c r="NUA19" s="433"/>
      <c r="NUB19" s="433"/>
      <c r="NUC19" s="433"/>
      <c r="NUD19" s="433"/>
      <c r="NUE19" s="433"/>
      <c r="NUF19" s="433"/>
      <c r="NUG19" s="433"/>
      <c r="NUH19" s="433"/>
      <c r="NUI19" s="433"/>
      <c r="NUJ19" s="433"/>
      <c r="NUK19" s="433"/>
      <c r="NUL19" s="433"/>
      <c r="NUM19" s="433"/>
      <c r="NUN19" s="433"/>
      <c r="NUO19" s="433"/>
      <c r="NUP19" s="433"/>
      <c r="NUQ19" s="433"/>
      <c r="NUR19" s="433"/>
      <c r="NUS19" s="433"/>
      <c r="NUT19" s="433"/>
      <c r="NUU19" s="433"/>
      <c r="NUV19" s="433"/>
      <c r="NUW19" s="433"/>
      <c r="NUX19" s="433"/>
      <c r="NUY19" s="433"/>
      <c r="NUZ19" s="433"/>
      <c r="NVA19" s="433"/>
      <c r="NVB19" s="433"/>
      <c r="NVC19" s="433"/>
      <c r="NVD19" s="433"/>
      <c r="NVE19" s="433"/>
      <c r="NVF19" s="433"/>
      <c r="NVG19" s="433"/>
      <c r="NVH19" s="433"/>
      <c r="NVI19" s="433"/>
      <c r="NVJ19" s="433"/>
      <c r="NVK19" s="433"/>
      <c r="NVL19" s="433"/>
      <c r="NVM19" s="433"/>
      <c r="NVN19" s="433"/>
      <c r="NVO19" s="433"/>
      <c r="NVP19" s="433"/>
      <c r="NVQ19" s="433"/>
      <c r="NVR19" s="433"/>
      <c r="NVS19" s="433"/>
      <c r="NVT19" s="433"/>
      <c r="NVU19" s="433"/>
      <c r="NVV19" s="433"/>
      <c r="NVW19" s="433"/>
      <c r="NVX19" s="433"/>
      <c r="NVY19" s="433"/>
      <c r="NVZ19" s="433"/>
      <c r="NWA19" s="433"/>
      <c r="NWB19" s="433"/>
      <c r="NWC19" s="433"/>
      <c r="NWD19" s="433"/>
      <c r="NWE19" s="433"/>
      <c r="NWF19" s="433"/>
      <c r="NWG19" s="433"/>
      <c r="NWH19" s="433"/>
      <c r="NWI19" s="433"/>
      <c r="NWJ19" s="433"/>
      <c r="NWK19" s="433"/>
      <c r="NWL19" s="433"/>
      <c r="NWM19" s="433"/>
      <c r="NWN19" s="433"/>
      <c r="NWO19" s="433"/>
      <c r="NWP19" s="433"/>
      <c r="NWQ19" s="433"/>
      <c r="NWR19" s="433"/>
      <c r="NWS19" s="433"/>
      <c r="NWT19" s="433"/>
      <c r="NWU19" s="433"/>
      <c r="NWV19" s="433"/>
      <c r="NWW19" s="433"/>
      <c r="NWX19" s="433"/>
      <c r="NWY19" s="433"/>
      <c r="NWZ19" s="433"/>
      <c r="NXA19" s="433"/>
      <c r="NXB19" s="433"/>
      <c r="NXC19" s="433"/>
      <c r="NXD19" s="433"/>
      <c r="NXE19" s="433"/>
      <c r="NXF19" s="433"/>
      <c r="NXG19" s="433"/>
      <c r="NXH19" s="433"/>
      <c r="NXI19" s="433"/>
      <c r="NXJ19" s="433"/>
      <c r="NXK19" s="433"/>
      <c r="NXL19" s="433"/>
      <c r="NXM19" s="433"/>
      <c r="NXN19" s="433"/>
      <c r="NXO19" s="433"/>
      <c r="NXP19" s="433"/>
      <c r="NXQ19" s="433"/>
      <c r="NXR19" s="433"/>
      <c r="NXS19" s="433"/>
      <c r="NXT19" s="433"/>
      <c r="NXU19" s="433"/>
      <c r="NXV19" s="433"/>
      <c r="NXW19" s="433"/>
      <c r="NXX19" s="433"/>
      <c r="NXY19" s="433"/>
      <c r="NXZ19" s="433"/>
      <c r="NYA19" s="433"/>
      <c r="NYB19" s="433"/>
      <c r="NYC19" s="433"/>
      <c r="NYD19" s="433"/>
      <c r="NYE19" s="433"/>
      <c r="NYF19" s="433"/>
      <c r="NYG19" s="433"/>
      <c r="NYH19" s="433"/>
      <c r="NYI19" s="433"/>
      <c r="NYJ19" s="433"/>
      <c r="NYK19" s="433"/>
      <c r="NYL19" s="433"/>
      <c r="NYM19" s="433"/>
      <c r="NYN19" s="433"/>
      <c r="NYO19" s="433"/>
      <c r="NYP19" s="433"/>
      <c r="NYQ19" s="433"/>
      <c r="NYR19" s="433"/>
      <c r="NYS19" s="433"/>
      <c r="NYT19" s="433"/>
      <c r="NYU19" s="433"/>
      <c r="NYV19" s="433"/>
      <c r="NYW19" s="433"/>
      <c r="NYX19" s="433"/>
      <c r="NYY19" s="433"/>
      <c r="NYZ19" s="433"/>
      <c r="NZA19" s="433"/>
      <c r="NZB19" s="433"/>
      <c r="NZC19" s="433"/>
      <c r="NZD19" s="433"/>
      <c r="NZE19" s="433"/>
      <c r="NZF19" s="433"/>
      <c r="NZG19" s="433"/>
      <c r="NZH19" s="433"/>
      <c r="NZI19" s="433"/>
      <c r="NZJ19" s="433"/>
      <c r="NZK19" s="433"/>
      <c r="NZL19" s="433"/>
      <c r="NZM19" s="433"/>
      <c r="NZN19" s="433"/>
      <c r="NZO19" s="433"/>
      <c r="NZP19" s="433"/>
      <c r="NZQ19" s="433"/>
      <c r="NZR19" s="433"/>
      <c r="NZS19" s="433"/>
      <c r="NZT19" s="433"/>
      <c r="NZU19" s="433"/>
      <c r="NZV19" s="433"/>
      <c r="NZW19" s="433"/>
      <c r="NZX19" s="433"/>
      <c r="NZY19" s="433"/>
      <c r="NZZ19" s="433"/>
      <c r="OAA19" s="433"/>
      <c r="OAB19" s="433"/>
      <c r="OAC19" s="433"/>
      <c r="OAD19" s="433"/>
      <c r="OAE19" s="433"/>
      <c r="OAF19" s="433"/>
      <c r="OAG19" s="433"/>
      <c r="OAH19" s="433"/>
      <c r="OAI19" s="433"/>
      <c r="OAJ19" s="433"/>
      <c r="OAK19" s="433"/>
      <c r="OAL19" s="433"/>
      <c r="OAM19" s="433"/>
      <c r="OAN19" s="433"/>
      <c r="OAO19" s="433"/>
      <c r="OAP19" s="433"/>
      <c r="OAQ19" s="433"/>
      <c r="OAR19" s="433"/>
      <c r="OAS19" s="433"/>
      <c r="OAT19" s="433"/>
      <c r="OAU19" s="433"/>
      <c r="OAV19" s="433"/>
      <c r="OAW19" s="433"/>
      <c r="OAX19" s="433"/>
      <c r="OAY19" s="433"/>
      <c r="OAZ19" s="433"/>
      <c r="OBA19" s="433"/>
      <c r="OBB19" s="433"/>
      <c r="OBC19" s="433"/>
      <c r="OBD19" s="433"/>
      <c r="OBE19" s="433"/>
      <c r="OBF19" s="433"/>
      <c r="OBG19" s="433"/>
      <c r="OBH19" s="433"/>
      <c r="OBI19" s="433"/>
      <c r="OBJ19" s="433"/>
      <c r="OBK19" s="433"/>
      <c r="OBL19" s="433"/>
      <c r="OBM19" s="433"/>
      <c r="OBN19" s="433"/>
      <c r="OBO19" s="433"/>
      <c r="OBP19" s="433"/>
      <c r="OBQ19" s="433"/>
      <c r="OBR19" s="433"/>
      <c r="OBS19" s="433"/>
      <c r="OBT19" s="433"/>
      <c r="OBU19" s="433"/>
      <c r="OBV19" s="433"/>
      <c r="OBW19" s="433"/>
      <c r="OBX19" s="433"/>
      <c r="OBY19" s="433"/>
      <c r="OBZ19" s="433"/>
      <c r="OCA19" s="433"/>
      <c r="OCB19" s="433"/>
      <c r="OCC19" s="433"/>
      <c r="OCD19" s="433"/>
      <c r="OCE19" s="433"/>
      <c r="OCF19" s="433"/>
      <c r="OCG19" s="433"/>
      <c r="OCH19" s="433"/>
      <c r="OCI19" s="433"/>
      <c r="OCJ19" s="433"/>
      <c r="OCK19" s="433"/>
      <c r="OCL19" s="433"/>
      <c r="OCM19" s="433"/>
      <c r="OCN19" s="433"/>
      <c r="OCO19" s="433"/>
      <c r="OCP19" s="433"/>
      <c r="OCQ19" s="433"/>
      <c r="OCR19" s="433"/>
      <c r="OCS19" s="433"/>
      <c r="OCT19" s="433"/>
      <c r="OCU19" s="433"/>
      <c r="OCV19" s="433"/>
      <c r="OCW19" s="433"/>
      <c r="OCX19" s="433"/>
      <c r="OCY19" s="433"/>
      <c r="OCZ19" s="433"/>
      <c r="ODA19" s="433"/>
      <c r="ODB19" s="433"/>
      <c r="ODC19" s="433"/>
      <c r="ODD19" s="433"/>
      <c r="ODE19" s="433"/>
      <c r="ODF19" s="433"/>
      <c r="ODG19" s="433"/>
      <c r="ODH19" s="433"/>
      <c r="ODI19" s="433"/>
      <c r="ODJ19" s="433"/>
      <c r="ODK19" s="433"/>
      <c r="ODL19" s="433"/>
      <c r="ODM19" s="433"/>
      <c r="ODN19" s="433"/>
      <c r="ODO19" s="433"/>
      <c r="ODP19" s="433"/>
      <c r="ODQ19" s="433"/>
      <c r="ODR19" s="433"/>
      <c r="ODS19" s="433"/>
      <c r="ODT19" s="433"/>
      <c r="ODU19" s="433"/>
      <c r="ODV19" s="433"/>
      <c r="ODW19" s="433"/>
      <c r="ODX19" s="433"/>
      <c r="ODY19" s="433"/>
      <c r="ODZ19" s="433"/>
      <c r="OEA19" s="433"/>
      <c r="OEB19" s="433"/>
      <c r="OEC19" s="433"/>
      <c r="OED19" s="433"/>
      <c r="OEE19" s="433"/>
      <c r="OEF19" s="433"/>
      <c r="OEG19" s="433"/>
      <c r="OEH19" s="433"/>
      <c r="OEI19" s="433"/>
      <c r="OEJ19" s="433"/>
      <c r="OEK19" s="433"/>
      <c r="OEL19" s="433"/>
      <c r="OEM19" s="433"/>
      <c r="OEN19" s="433"/>
      <c r="OEO19" s="433"/>
      <c r="OEP19" s="433"/>
      <c r="OEQ19" s="433"/>
      <c r="OER19" s="433"/>
      <c r="OES19" s="433"/>
      <c r="OET19" s="433"/>
      <c r="OEU19" s="433"/>
      <c r="OEV19" s="433"/>
      <c r="OEW19" s="433"/>
      <c r="OEX19" s="433"/>
      <c r="OEY19" s="433"/>
      <c r="OEZ19" s="433"/>
      <c r="OFA19" s="433"/>
      <c r="OFB19" s="433"/>
      <c r="OFC19" s="433"/>
      <c r="OFD19" s="433"/>
      <c r="OFE19" s="433"/>
      <c r="OFF19" s="433"/>
      <c r="OFG19" s="433"/>
      <c r="OFH19" s="433"/>
      <c r="OFI19" s="433"/>
      <c r="OFJ19" s="433"/>
      <c r="OFK19" s="433"/>
      <c r="OFL19" s="433"/>
      <c r="OFM19" s="433"/>
      <c r="OFN19" s="433"/>
      <c r="OFO19" s="433"/>
      <c r="OFP19" s="433"/>
      <c r="OFQ19" s="433"/>
      <c r="OFR19" s="433"/>
      <c r="OFS19" s="433"/>
      <c r="OFT19" s="433"/>
      <c r="OFU19" s="433"/>
      <c r="OFV19" s="433"/>
      <c r="OFW19" s="433"/>
      <c r="OFX19" s="433"/>
      <c r="OFY19" s="433"/>
      <c r="OFZ19" s="433"/>
      <c r="OGA19" s="433"/>
      <c r="OGB19" s="433"/>
      <c r="OGC19" s="433"/>
      <c r="OGD19" s="433"/>
      <c r="OGE19" s="433"/>
      <c r="OGF19" s="433"/>
      <c r="OGG19" s="433"/>
      <c r="OGH19" s="433"/>
      <c r="OGI19" s="433"/>
      <c r="OGJ19" s="433"/>
      <c r="OGK19" s="433"/>
      <c r="OGL19" s="433"/>
      <c r="OGM19" s="433"/>
      <c r="OGN19" s="433"/>
      <c r="OGO19" s="433"/>
      <c r="OGP19" s="433"/>
      <c r="OGQ19" s="433"/>
      <c r="OGR19" s="433"/>
      <c r="OGS19" s="433"/>
      <c r="OGT19" s="433"/>
      <c r="OGU19" s="433"/>
      <c r="OGV19" s="433"/>
      <c r="OGW19" s="433"/>
      <c r="OGX19" s="433"/>
      <c r="OGY19" s="433"/>
      <c r="OGZ19" s="433"/>
      <c r="OHA19" s="433"/>
      <c r="OHB19" s="433"/>
      <c r="OHC19" s="433"/>
      <c r="OHD19" s="433"/>
      <c r="OHE19" s="433"/>
      <c r="OHF19" s="433"/>
      <c r="OHG19" s="433"/>
      <c r="OHH19" s="433"/>
      <c r="OHI19" s="433"/>
      <c r="OHJ19" s="433"/>
      <c r="OHK19" s="433"/>
      <c r="OHL19" s="433"/>
      <c r="OHM19" s="433"/>
      <c r="OHN19" s="433"/>
      <c r="OHO19" s="433"/>
      <c r="OHP19" s="433"/>
      <c r="OHQ19" s="433"/>
      <c r="OHR19" s="433"/>
      <c r="OHS19" s="433"/>
      <c r="OHT19" s="433"/>
      <c r="OHU19" s="433"/>
      <c r="OHV19" s="433"/>
      <c r="OHW19" s="433"/>
      <c r="OHX19" s="433"/>
      <c r="OHY19" s="433"/>
      <c r="OHZ19" s="433"/>
      <c r="OIA19" s="433"/>
      <c r="OIB19" s="433"/>
      <c r="OIC19" s="433"/>
      <c r="OID19" s="433"/>
      <c r="OIE19" s="433"/>
      <c r="OIF19" s="433"/>
      <c r="OIG19" s="433"/>
      <c r="OIH19" s="433"/>
      <c r="OII19" s="433"/>
      <c r="OIJ19" s="433"/>
      <c r="OIK19" s="433"/>
      <c r="OIL19" s="433"/>
      <c r="OIM19" s="433"/>
      <c r="OIN19" s="433"/>
      <c r="OIO19" s="433"/>
      <c r="OIP19" s="433"/>
      <c r="OIQ19" s="433"/>
      <c r="OIR19" s="433"/>
      <c r="OIS19" s="433"/>
      <c r="OIT19" s="433"/>
      <c r="OIU19" s="433"/>
      <c r="OIV19" s="433"/>
      <c r="OIW19" s="433"/>
      <c r="OIX19" s="433"/>
      <c r="OIY19" s="433"/>
      <c r="OIZ19" s="433"/>
      <c r="OJA19" s="433"/>
      <c r="OJB19" s="433"/>
      <c r="OJC19" s="433"/>
      <c r="OJD19" s="433"/>
      <c r="OJE19" s="433"/>
      <c r="OJF19" s="433"/>
      <c r="OJG19" s="433"/>
      <c r="OJH19" s="433"/>
      <c r="OJI19" s="433"/>
      <c r="OJJ19" s="433"/>
      <c r="OJK19" s="433"/>
      <c r="OJL19" s="433"/>
      <c r="OJM19" s="433"/>
      <c r="OJN19" s="433"/>
      <c r="OJO19" s="433"/>
      <c r="OJP19" s="433"/>
      <c r="OJQ19" s="433"/>
      <c r="OJR19" s="433"/>
      <c r="OJS19" s="433"/>
      <c r="OJT19" s="433"/>
      <c r="OJU19" s="433"/>
      <c r="OJV19" s="433"/>
      <c r="OJW19" s="433"/>
      <c r="OJX19" s="433"/>
      <c r="OJY19" s="433"/>
      <c r="OJZ19" s="433"/>
      <c r="OKA19" s="433"/>
      <c r="OKB19" s="433"/>
      <c r="OKC19" s="433"/>
      <c r="OKD19" s="433"/>
      <c r="OKE19" s="433"/>
      <c r="OKF19" s="433"/>
      <c r="OKG19" s="433"/>
      <c r="OKH19" s="433"/>
      <c r="OKI19" s="433"/>
      <c r="OKJ19" s="433"/>
      <c r="OKK19" s="433"/>
      <c r="OKL19" s="433"/>
      <c r="OKM19" s="433"/>
      <c r="OKN19" s="433"/>
      <c r="OKO19" s="433"/>
      <c r="OKP19" s="433"/>
      <c r="OKQ19" s="433"/>
      <c r="OKR19" s="433"/>
      <c r="OKS19" s="433"/>
      <c r="OKT19" s="433"/>
      <c r="OKU19" s="433"/>
      <c r="OKV19" s="433"/>
      <c r="OKW19" s="433"/>
      <c r="OKX19" s="433"/>
      <c r="OKY19" s="433"/>
      <c r="OKZ19" s="433"/>
      <c r="OLA19" s="433"/>
      <c r="OLB19" s="433"/>
      <c r="OLC19" s="433"/>
      <c r="OLD19" s="433"/>
      <c r="OLE19" s="433"/>
      <c r="OLF19" s="433"/>
      <c r="OLG19" s="433"/>
      <c r="OLH19" s="433"/>
      <c r="OLI19" s="433"/>
      <c r="OLJ19" s="433"/>
      <c r="OLK19" s="433"/>
      <c r="OLL19" s="433"/>
      <c r="OLM19" s="433"/>
      <c r="OLN19" s="433"/>
      <c r="OLO19" s="433"/>
      <c r="OLP19" s="433"/>
      <c r="OLQ19" s="433"/>
      <c r="OLR19" s="433"/>
      <c r="OLS19" s="433"/>
      <c r="OLT19" s="433"/>
      <c r="OLU19" s="433"/>
      <c r="OLV19" s="433"/>
      <c r="OLW19" s="433"/>
      <c r="OLX19" s="433"/>
      <c r="OLY19" s="433"/>
      <c r="OLZ19" s="433"/>
      <c r="OMA19" s="433"/>
      <c r="OMB19" s="433"/>
      <c r="OMC19" s="433"/>
      <c r="OMD19" s="433"/>
      <c r="OME19" s="433"/>
      <c r="OMF19" s="433"/>
      <c r="OMG19" s="433"/>
      <c r="OMH19" s="433"/>
      <c r="OMI19" s="433"/>
      <c r="OMJ19" s="433"/>
      <c r="OMK19" s="433"/>
      <c r="OML19" s="433"/>
      <c r="OMM19" s="433"/>
      <c r="OMN19" s="433"/>
      <c r="OMO19" s="433"/>
      <c r="OMP19" s="433"/>
      <c r="OMQ19" s="433"/>
      <c r="OMR19" s="433"/>
      <c r="OMS19" s="433"/>
      <c r="OMT19" s="433"/>
      <c r="OMU19" s="433"/>
      <c r="OMV19" s="433"/>
      <c r="OMW19" s="433"/>
      <c r="OMX19" s="433"/>
      <c r="OMY19" s="433"/>
      <c r="OMZ19" s="433"/>
      <c r="ONA19" s="433"/>
      <c r="ONB19" s="433"/>
      <c r="ONC19" s="433"/>
      <c r="OND19" s="433"/>
      <c r="ONE19" s="433"/>
      <c r="ONF19" s="433"/>
      <c r="ONG19" s="433"/>
      <c r="ONH19" s="433"/>
      <c r="ONI19" s="433"/>
      <c r="ONJ19" s="433"/>
      <c r="ONK19" s="433"/>
      <c r="ONL19" s="433"/>
      <c r="ONM19" s="433"/>
      <c r="ONN19" s="433"/>
      <c r="ONO19" s="433"/>
      <c r="ONP19" s="433"/>
      <c r="ONQ19" s="433"/>
      <c r="ONR19" s="433"/>
      <c r="ONS19" s="433"/>
      <c r="ONT19" s="433"/>
      <c r="ONU19" s="433"/>
      <c r="ONV19" s="433"/>
      <c r="ONW19" s="433"/>
      <c r="ONX19" s="433"/>
      <c r="ONY19" s="433"/>
      <c r="ONZ19" s="433"/>
      <c r="OOA19" s="433"/>
      <c r="OOB19" s="433"/>
      <c r="OOC19" s="433"/>
      <c r="OOD19" s="433"/>
      <c r="OOE19" s="433"/>
      <c r="OOF19" s="433"/>
      <c r="OOG19" s="433"/>
      <c r="OOH19" s="433"/>
      <c r="OOI19" s="433"/>
      <c r="OOJ19" s="433"/>
      <c r="OOK19" s="433"/>
      <c r="OOL19" s="433"/>
      <c r="OOM19" s="433"/>
      <c r="OON19" s="433"/>
      <c r="OOO19" s="433"/>
      <c r="OOP19" s="433"/>
      <c r="OOQ19" s="433"/>
      <c r="OOR19" s="433"/>
      <c r="OOS19" s="433"/>
      <c r="OOT19" s="433"/>
      <c r="OOU19" s="433"/>
      <c r="OOV19" s="433"/>
      <c r="OOW19" s="433"/>
      <c r="OOX19" s="433"/>
      <c r="OOY19" s="433"/>
      <c r="OOZ19" s="433"/>
      <c r="OPA19" s="433"/>
      <c r="OPB19" s="433"/>
      <c r="OPC19" s="433"/>
      <c r="OPD19" s="433"/>
      <c r="OPE19" s="433"/>
      <c r="OPF19" s="433"/>
      <c r="OPG19" s="433"/>
      <c r="OPH19" s="433"/>
      <c r="OPI19" s="433"/>
      <c r="OPJ19" s="433"/>
      <c r="OPK19" s="433"/>
      <c r="OPL19" s="433"/>
      <c r="OPM19" s="433"/>
      <c r="OPN19" s="433"/>
      <c r="OPO19" s="433"/>
      <c r="OPP19" s="433"/>
      <c r="OPQ19" s="433"/>
      <c r="OPR19" s="433"/>
      <c r="OPS19" s="433"/>
      <c r="OPT19" s="433"/>
      <c r="OPU19" s="433"/>
      <c r="OPV19" s="433"/>
      <c r="OPW19" s="433"/>
      <c r="OPX19" s="433"/>
      <c r="OPY19" s="433"/>
      <c r="OPZ19" s="433"/>
      <c r="OQA19" s="433"/>
      <c r="OQB19" s="433"/>
      <c r="OQC19" s="433"/>
      <c r="OQD19" s="433"/>
      <c r="OQE19" s="433"/>
      <c r="OQF19" s="433"/>
      <c r="OQG19" s="433"/>
      <c r="OQH19" s="433"/>
      <c r="OQI19" s="433"/>
      <c r="OQJ19" s="433"/>
      <c r="OQK19" s="433"/>
      <c r="OQL19" s="433"/>
      <c r="OQM19" s="433"/>
      <c r="OQN19" s="433"/>
      <c r="OQO19" s="433"/>
      <c r="OQP19" s="433"/>
      <c r="OQQ19" s="433"/>
      <c r="OQR19" s="433"/>
      <c r="OQS19" s="433"/>
      <c r="OQT19" s="433"/>
      <c r="OQU19" s="433"/>
      <c r="OQV19" s="433"/>
      <c r="OQW19" s="433"/>
      <c r="OQX19" s="433"/>
      <c r="OQY19" s="433"/>
      <c r="OQZ19" s="433"/>
      <c r="ORA19" s="433"/>
      <c r="ORB19" s="433"/>
      <c r="ORC19" s="433"/>
      <c r="ORD19" s="433"/>
      <c r="ORE19" s="433"/>
      <c r="ORF19" s="433"/>
      <c r="ORG19" s="433"/>
      <c r="ORH19" s="433"/>
      <c r="ORI19" s="433"/>
      <c r="ORJ19" s="433"/>
      <c r="ORK19" s="433"/>
      <c r="ORL19" s="433"/>
      <c r="ORM19" s="433"/>
      <c r="ORN19" s="433"/>
      <c r="ORO19" s="433"/>
      <c r="ORP19" s="433"/>
      <c r="ORQ19" s="433"/>
      <c r="ORR19" s="433"/>
      <c r="ORS19" s="433"/>
      <c r="ORT19" s="433"/>
      <c r="ORU19" s="433"/>
      <c r="ORV19" s="433"/>
      <c r="ORW19" s="433"/>
      <c r="ORX19" s="433"/>
      <c r="ORY19" s="433"/>
      <c r="ORZ19" s="433"/>
      <c r="OSA19" s="433"/>
      <c r="OSB19" s="433"/>
      <c r="OSC19" s="433"/>
      <c r="OSD19" s="433"/>
      <c r="OSE19" s="433"/>
      <c r="OSF19" s="433"/>
      <c r="OSG19" s="433"/>
      <c r="OSH19" s="433"/>
      <c r="OSI19" s="433"/>
      <c r="OSJ19" s="433"/>
      <c r="OSK19" s="433"/>
      <c r="OSL19" s="433"/>
      <c r="OSM19" s="433"/>
      <c r="OSN19" s="433"/>
      <c r="OSO19" s="433"/>
      <c r="OSP19" s="433"/>
      <c r="OSQ19" s="433"/>
      <c r="OSR19" s="433"/>
      <c r="OSS19" s="433"/>
      <c r="OST19" s="433"/>
      <c r="OSU19" s="433"/>
      <c r="OSV19" s="433"/>
      <c r="OSW19" s="433"/>
      <c r="OSX19" s="433"/>
      <c r="OSY19" s="433"/>
      <c r="OSZ19" s="433"/>
      <c r="OTA19" s="433"/>
      <c r="OTB19" s="433"/>
      <c r="OTC19" s="433"/>
      <c r="OTD19" s="433"/>
      <c r="OTE19" s="433"/>
      <c r="OTF19" s="433"/>
      <c r="OTG19" s="433"/>
      <c r="OTH19" s="433"/>
      <c r="OTI19" s="433"/>
      <c r="OTJ19" s="433"/>
      <c r="OTK19" s="433"/>
      <c r="OTL19" s="433"/>
      <c r="OTM19" s="433"/>
      <c r="OTN19" s="433"/>
      <c r="OTO19" s="433"/>
      <c r="OTP19" s="433"/>
      <c r="OTQ19" s="433"/>
      <c r="OTR19" s="433"/>
      <c r="OTS19" s="433"/>
      <c r="OTT19" s="433"/>
      <c r="OTU19" s="433"/>
      <c r="OTV19" s="433"/>
      <c r="OTW19" s="433"/>
      <c r="OTX19" s="433"/>
      <c r="OTY19" s="433"/>
      <c r="OTZ19" s="433"/>
      <c r="OUA19" s="433"/>
      <c r="OUB19" s="433"/>
      <c r="OUC19" s="433"/>
      <c r="OUD19" s="433"/>
      <c r="OUE19" s="433"/>
      <c r="OUF19" s="433"/>
      <c r="OUG19" s="433"/>
      <c r="OUH19" s="433"/>
      <c r="OUI19" s="433"/>
      <c r="OUJ19" s="433"/>
      <c r="OUK19" s="433"/>
      <c r="OUL19" s="433"/>
      <c r="OUM19" s="433"/>
      <c r="OUN19" s="433"/>
      <c r="OUO19" s="433"/>
      <c r="OUP19" s="433"/>
      <c r="OUQ19" s="433"/>
      <c r="OUR19" s="433"/>
      <c r="OUS19" s="433"/>
      <c r="OUT19" s="433"/>
      <c r="OUU19" s="433"/>
      <c r="OUV19" s="433"/>
      <c r="OUW19" s="433"/>
      <c r="OUX19" s="433"/>
      <c r="OUY19" s="433"/>
      <c r="OUZ19" s="433"/>
      <c r="OVA19" s="433"/>
      <c r="OVB19" s="433"/>
      <c r="OVC19" s="433"/>
      <c r="OVD19" s="433"/>
      <c r="OVE19" s="433"/>
      <c r="OVF19" s="433"/>
      <c r="OVG19" s="433"/>
      <c r="OVH19" s="433"/>
      <c r="OVI19" s="433"/>
      <c r="OVJ19" s="433"/>
      <c r="OVK19" s="433"/>
      <c r="OVL19" s="433"/>
      <c r="OVM19" s="433"/>
      <c r="OVN19" s="433"/>
      <c r="OVO19" s="433"/>
      <c r="OVP19" s="433"/>
      <c r="OVQ19" s="433"/>
      <c r="OVR19" s="433"/>
      <c r="OVS19" s="433"/>
      <c r="OVT19" s="433"/>
      <c r="OVU19" s="433"/>
      <c r="OVV19" s="433"/>
      <c r="OVW19" s="433"/>
      <c r="OVX19" s="433"/>
      <c r="OVY19" s="433"/>
      <c r="OVZ19" s="433"/>
      <c r="OWA19" s="433"/>
      <c r="OWB19" s="433"/>
      <c r="OWC19" s="433"/>
      <c r="OWD19" s="433"/>
      <c r="OWE19" s="433"/>
      <c r="OWF19" s="433"/>
      <c r="OWG19" s="433"/>
      <c r="OWH19" s="433"/>
      <c r="OWI19" s="433"/>
      <c r="OWJ19" s="433"/>
      <c r="OWK19" s="433"/>
      <c r="OWL19" s="433"/>
      <c r="OWM19" s="433"/>
      <c r="OWN19" s="433"/>
      <c r="OWO19" s="433"/>
      <c r="OWP19" s="433"/>
      <c r="OWQ19" s="433"/>
      <c r="OWR19" s="433"/>
      <c r="OWS19" s="433"/>
      <c r="OWT19" s="433"/>
      <c r="OWU19" s="433"/>
      <c r="OWV19" s="433"/>
      <c r="OWW19" s="433"/>
      <c r="OWX19" s="433"/>
      <c r="OWY19" s="433"/>
      <c r="OWZ19" s="433"/>
      <c r="OXA19" s="433"/>
      <c r="OXB19" s="433"/>
      <c r="OXC19" s="433"/>
      <c r="OXD19" s="433"/>
      <c r="OXE19" s="433"/>
      <c r="OXF19" s="433"/>
      <c r="OXG19" s="433"/>
      <c r="OXH19" s="433"/>
      <c r="OXI19" s="433"/>
      <c r="OXJ19" s="433"/>
      <c r="OXK19" s="433"/>
      <c r="OXL19" s="433"/>
      <c r="OXM19" s="433"/>
      <c r="OXN19" s="433"/>
      <c r="OXO19" s="433"/>
      <c r="OXP19" s="433"/>
      <c r="OXQ19" s="433"/>
      <c r="OXR19" s="433"/>
      <c r="OXS19" s="433"/>
      <c r="OXT19" s="433"/>
      <c r="OXU19" s="433"/>
      <c r="OXV19" s="433"/>
      <c r="OXW19" s="433"/>
      <c r="OXX19" s="433"/>
      <c r="OXY19" s="433"/>
      <c r="OXZ19" s="433"/>
      <c r="OYA19" s="433"/>
      <c r="OYB19" s="433"/>
      <c r="OYC19" s="433"/>
      <c r="OYD19" s="433"/>
      <c r="OYE19" s="433"/>
      <c r="OYF19" s="433"/>
      <c r="OYG19" s="433"/>
      <c r="OYH19" s="433"/>
      <c r="OYI19" s="433"/>
      <c r="OYJ19" s="433"/>
      <c r="OYK19" s="433"/>
      <c r="OYL19" s="433"/>
      <c r="OYM19" s="433"/>
      <c r="OYN19" s="433"/>
      <c r="OYO19" s="433"/>
      <c r="OYP19" s="433"/>
      <c r="OYQ19" s="433"/>
      <c r="OYR19" s="433"/>
      <c r="OYS19" s="433"/>
      <c r="OYT19" s="433"/>
      <c r="OYU19" s="433"/>
      <c r="OYV19" s="433"/>
      <c r="OYW19" s="433"/>
      <c r="OYX19" s="433"/>
      <c r="OYY19" s="433"/>
      <c r="OYZ19" s="433"/>
      <c r="OZA19" s="433"/>
      <c r="OZB19" s="433"/>
      <c r="OZC19" s="433"/>
      <c r="OZD19" s="433"/>
      <c r="OZE19" s="433"/>
      <c r="OZF19" s="433"/>
      <c r="OZG19" s="433"/>
      <c r="OZH19" s="433"/>
      <c r="OZI19" s="433"/>
      <c r="OZJ19" s="433"/>
      <c r="OZK19" s="433"/>
      <c r="OZL19" s="433"/>
      <c r="OZM19" s="433"/>
      <c r="OZN19" s="433"/>
      <c r="OZO19" s="433"/>
      <c r="OZP19" s="433"/>
      <c r="OZQ19" s="433"/>
      <c r="OZR19" s="433"/>
      <c r="OZS19" s="433"/>
      <c r="OZT19" s="433"/>
      <c r="OZU19" s="433"/>
      <c r="OZV19" s="433"/>
      <c r="OZW19" s="433"/>
      <c r="OZX19" s="433"/>
      <c r="OZY19" s="433"/>
      <c r="OZZ19" s="433"/>
      <c r="PAA19" s="433"/>
      <c r="PAB19" s="433"/>
      <c r="PAC19" s="433"/>
      <c r="PAD19" s="433"/>
      <c r="PAE19" s="433"/>
      <c r="PAF19" s="433"/>
      <c r="PAG19" s="433"/>
      <c r="PAH19" s="433"/>
      <c r="PAI19" s="433"/>
      <c r="PAJ19" s="433"/>
      <c r="PAK19" s="433"/>
      <c r="PAL19" s="433"/>
      <c r="PAM19" s="433"/>
      <c r="PAN19" s="433"/>
      <c r="PAO19" s="433"/>
      <c r="PAP19" s="433"/>
      <c r="PAQ19" s="433"/>
      <c r="PAR19" s="433"/>
      <c r="PAS19" s="433"/>
      <c r="PAT19" s="433"/>
      <c r="PAU19" s="433"/>
      <c r="PAV19" s="433"/>
      <c r="PAW19" s="433"/>
      <c r="PAX19" s="433"/>
      <c r="PAY19" s="433"/>
      <c r="PAZ19" s="433"/>
      <c r="PBA19" s="433"/>
      <c r="PBB19" s="433"/>
      <c r="PBC19" s="433"/>
      <c r="PBD19" s="433"/>
      <c r="PBE19" s="433"/>
      <c r="PBF19" s="433"/>
      <c r="PBG19" s="433"/>
      <c r="PBH19" s="433"/>
      <c r="PBI19" s="433"/>
      <c r="PBJ19" s="433"/>
      <c r="PBK19" s="433"/>
      <c r="PBL19" s="433"/>
      <c r="PBM19" s="433"/>
      <c r="PBN19" s="433"/>
      <c r="PBO19" s="433"/>
      <c r="PBP19" s="433"/>
      <c r="PBQ19" s="433"/>
      <c r="PBR19" s="433"/>
      <c r="PBS19" s="433"/>
      <c r="PBT19" s="433"/>
      <c r="PBU19" s="433"/>
      <c r="PBV19" s="433"/>
      <c r="PBW19" s="433"/>
      <c r="PBX19" s="433"/>
      <c r="PBY19" s="433"/>
      <c r="PBZ19" s="433"/>
      <c r="PCA19" s="433"/>
      <c r="PCB19" s="433"/>
      <c r="PCC19" s="433"/>
      <c r="PCD19" s="433"/>
      <c r="PCE19" s="433"/>
      <c r="PCF19" s="433"/>
      <c r="PCG19" s="433"/>
      <c r="PCH19" s="433"/>
      <c r="PCI19" s="433"/>
      <c r="PCJ19" s="433"/>
      <c r="PCK19" s="433"/>
      <c r="PCL19" s="433"/>
      <c r="PCM19" s="433"/>
      <c r="PCN19" s="433"/>
      <c r="PCO19" s="433"/>
      <c r="PCP19" s="433"/>
      <c r="PCQ19" s="433"/>
      <c r="PCR19" s="433"/>
      <c r="PCS19" s="433"/>
      <c r="PCT19" s="433"/>
      <c r="PCU19" s="433"/>
      <c r="PCV19" s="433"/>
      <c r="PCW19" s="433"/>
      <c r="PCX19" s="433"/>
      <c r="PCY19" s="433"/>
      <c r="PCZ19" s="433"/>
      <c r="PDA19" s="433"/>
      <c r="PDB19" s="433"/>
      <c r="PDC19" s="433"/>
      <c r="PDD19" s="433"/>
      <c r="PDE19" s="433"/>
      <c r="PDF19" s="433"/>
      <c r="PDG19" s="433"/>
      <c r="PDH19" s="433"/>
      <c r="PDI19" s="433"/>
      <c r="PDJ19" s="433"/>
      <c r="PDK19" s="433"/>
      <c r="PDL19" s="433"/>
      <c r="PDM19" s="433"/>
      <c r="PDN19" s="433"/>
      <c r="PDO19" s="433"/>
      <c r="PDP19" s="433"/>
      <c r="PDQ19" s="433"/>
      <c r="PDR19" s="433"/>
      <c r="PDS19" s="433"/>
      <c r="PDT19" s="433"/>
      <c r="PDU19" s="433"/>
      <c r="PDV19" s="433"/>
      <c r="PDW19" s="433"/>
      <c r="PDX19" s="433"/>
      <c r="PDY19" s="433"/>
      <c r="PDZ19" s="433"/>
      <c r="PEA19" s="433"/>
      <c r="PEB19" s="433"/>
      <c r="PEC19" s="433"/>
      <c r="PED19" s="433"/>
      <c r="PEE19" s="433"/>
      <c r="PEF19" s="433"/>
      <c r="PEG19" s="433"/>
      <c r="PEH19" s="433"/>
      <c r="PEI19" s="433"/>
      <c r="PEJ19" s="433"/>
      <c r="PEK19" s="433"/>
      <c r="PEL19" s="433"/>
      <c r="PEM19" s="433"/>
      <c r="PEN19" s="433"/>
      <c r="PEO19" s="433"/>
      <c r="PEP19" s="433"/>
      <c r="PEQ19" s="433"/>
      <c r="PER19" s="433"/>
      <c r="PES19" s="433"/>
      <c r="PET19" s="433"/>
      <c r="PEU19" s="433"/>
      <c r="PEV19" s="433"/>
      <c r="PEW19" s="433"/>
      <c r="PEX19" s="433"/>
      <c r="PEY19" s="433"/>
      <c r="PEZ19" s="433"/>
      <c r="PFA19" s="433"/>
      <c r="PFB19" s="433"/>
      <c r="PFC19" s="433"/>
      <c r="PFD19" s="433"/>
      <c r="PFE19" s="433"/>
      <c r="PFF19" s="433"/>
      <c r="PFG19" s="433"/>
      <c r="PFH19" s="433"/>
      <c r="PFI19" s="433"/>
      <c r="PFJ19" s="433"/>
      <c r="PFK19" s="433"/>
      <c r="PFL19" s="433"/>
      <c r="PFM19" s="433"/>
      <c r="PFN19" s="433"/>
      <c r="PFO19" s="433"/>
      <c r="PFP19" s="433"/>
      <c r="PFQ19" s="433"/>
      <c r="PFR19" s="433"/>
      <c r="PFS19" s="433"/>
      <c r="PFT19" s="433"/>
      <c r="PFU19" s="433"/>
      <c r="PFV19" s="433"/>
      <c r="PFW19" s="433"/>
      <c r="PFX19" s="433"/>
      <c r="PFY19" s="433"/>
      <c r="PFZ19" s="433"/>
      <c r="PGA19" s="433"/>
      <c r="PGB19" s="433"/>
      <c r="PGC19" s="433"/>
      <c r="PGD19" s="433"/>
      <c r="PGE19" s="433"/>
      <c r="PGF19" s="433"/>
      <c r="PGG19" s="433"/>
      <c r="PGH19" s="433"/>
      <c r="PGI19" s="433"/>
      <c r="PGJ19" s="433"/>
      <c r="PGK19" s="433"/>
      <c r="PGL19" s="433"/>
      <c r="PGM19" s="433"/>
      <c r="PGN19" s="433"/>
      <c r="PGO19" s="433"/>
      <c r="PGP19" s="433"/>
      <c r="PGQ19" s="433"/>
      <c r="PGR19" s="433"/>
      <c r="PGS19" s="433"/>
      <c r="PGT19" s="433"/>
      <c r="PGU19" s="433"/>
      <c r="PGV19" s="433"/>
      <c r="PGW19" s="433"/>
      <c r="PGX19" s="433"/>
      <c r="PGY19" s="433"/>
      <c r="PGZ19" s="433"/>
      <c r="PHA19" s="433"/>
      <c r="PHB19" s="433"/>
      <c r="PHC19" s="433"/>
      <c r="PHD19" s="433"/>
      <c r="PHE19" s="433"/>
      <c r="PHF19" s="433"/>
      <c r="PHG19" s="433"/>
      <c r="PHH19" s="433"/>
      <c r="PHI19" s="433"/>
      <c r="PHJ19" s="433"/>
      <c r="PHK19" s="433"/>
      <c r="PHL19" s="433"/>
      <c r="PHM19" s="433"/>
      <c r="PHN19" s="433"/>
      <c r="PHO19" s="433"/>
      <c r="PHP19" s="433"/>
      <c r="PHQ19" s="433"/>
      <c r="PHR19" s="433"/>
      <c r="PHS19" s="433"/>
      <c r="PHT19" s="433"/>
      <c r="PHU19" s="433"/>
      <c r="PHV19" s="433"/>
      <c r="PHW19" s="433"/>
      <c r="PHX19" s="433"/>
      <c r="PHY19" s="433"/>
      <c r="PHZ19" s="433"/>
      <c r="PIA19" s="433"/>
      <c r="PIB19" s="433"/>
      <c r="PIC19" s="433"/>
      <c r="PID19" s="433"/>
      <c r="PIE19" s="433"/>
      <c r="PIF19" s="433"/>
      <c r="PIG19" s="433"/>
      <c r="PIH19" s="433"/>
      <c r="PII19" s="433"/>
      <c r="PIJ19" s="433"/>
      <c r="PIK19" s="433"/>
      <c r="PIL19" s="433"/>
      <c r="PIM19" s="433"/>
      <c r="PIN19" s="433"/>
      <c r="PIO19" s="433"/>
      <c r="PIP19" s="433"/>
      <c r="PIQ19" s="433"/>
      <c r="PIR19" s="433"/>
      <c r="PIS19" s="433"/>
      <c r="PIT19" s="433"/>
      <c r="PIU19" s="433"/>
      <c r="PIV19" s="433"/>
      <c r="PIW19" s="433"/>
      <c r="PIX19" s="433"/>
      <c r="PIY19" s="433"/>
      <c r="PIZ19" s="433"/>
      <c r="PJA19" s="433"/>
      <c r="PJB19" s="433"/>
      <c r="PJC19" s="433"/>
      <c r="PJD19" s="433"/>
      <c r="PJE19" s="433"/>
      <c r="PJF19" s="433"/>
      <c r="PJG19" s="433"/>
      <c r="PJH19" s="433"/>
      <c r="PJI19" s="433"/>
      <c r="PJJ19" s="433"/>
      <c r="PJK19" s="433"/>
      <c r="PJL19" s="433"/>
      <c r="PJM19" s="433"/>
      <c r="PJN19" s="433"/>
      <c r="PJO19" s="433"/>
      <c r="PJP19" s="433"/>
      <c r="PJQ19" s="433"/>
      <c r="PJR19" s="433"/>
      <c r="PJS19" s="433"/>
      <c r="PJT19" s="433"/>
      <c r="PJU19" s="433"/>
      <c r="PJV19" s="433"/>
      <c r="PJW19" s="433"/>
      <c r="PJX19" s="433"/>
      <c r="PJY19" s="433"/>
      <c r="PJZ19" s="433"/>
      <c r="PKA19" s="433"/>
      <c r="PKB19" s="433"/>
      <c r="PKC19" s="433"/>
      <c r="PKD19" s="433"/>
      <c r="PKE19" s="433"/>
      <c r="PKF19" s="433"/>
      <c r="PKG19" s="433"/>
      <c r="PKH19" s="433"/>
      <c r="PKI19" s="433"/>
      <c r="PKJ19" s="433"/>
      <c r="PKK19" s="433"/>
      <c r="PKL19" s="433"/>
      <c r="PKM19" s="433"/>
      <c r="PKN19" s="433"/>
      <c r="PKO19" s="433"/>
      <c r="PKP19" s="433"/>
      <c r="PKQ19" s="433"/>
      <c r="PKR19" s="433"/>
      <c r="PKS19" s="433"/>
      <c r="PKT19" s="433"/>
      <c r="PKU19" s="433"/>
      <c r="PKV19" s="433"/>
      <c r="PKW19" s="433"/>
      <c r="PKX19" s="433"/>
      <c r="PKY19" s="433"/>
      <c r="PKZ19" s="433"/>
      <c r="PLA19" s="433"/>
      <c r="PLB19" s="433"/>
      <c r="PLC19" s="433"/>
      <c r="PLD19" s="433"/>
      <c r="PLE19" s="433"/>
      <c r="PLF19" s="433"/>
      <c r="PLG19" s="433"/>
      <c r="PLH19" s="433"/>
      <c r="PLI19" s="433"/>
      <c r="PLJ19" s="433"/>
      <c r="PLK19" s="433"/>
      <c r="PLL19" s="433"/>
      <c r="PLM19" s="433"/>
      <c r="PLN19" s="433"/>
      <c r="PLO19" s="433"/>
      <c r="PLP19" s="433"/>
      <c r="PLQ19" s="433"/>
      <c r="PLR19" s="433"/>
      <c r="PLS19" s="433"/>
      <c r="PLT19" s="433"/>
      <c r="PLU19" s="433"/>
      <c r="PLV19" s="433"/>
      <c r="PLW19" s="433"/>
      <c r="PLX19" s="433"/>
      <c r="PLY19" s="433"/>
      <c r="PLZ19" s="433"/>
      <c r="PMA19" s="433"/>
      <c r="PMB19" s="433"/>
      <c r="PMC19" s="433"/>
      <c r="PMD19" s="433"/>
      <c r="PME19" s="433"/>
      <c r="PMF19" s="433"/>
      <c r="PMG19" s="433"/>
      <c r="PMH19" s="433"/>
      <c r="PMI19" s="433"/>
      <c r="PMJ19" s="433"/>
      <c r="PMK19" s="433"/>
      <c r="PML19" s="433"/>
      <c r="PMM19" s="433"/>
      <c r="PMN19" s="433"/>
      <c r="PMO19" s="433"/>
      <c r="PMP19" s="433"/>
      <c r="PMQ19" s="433"/>
      <c r="PMR19" s="433"/>
      <c r="PMS19" s="433"/>
      <c r="PMT19" s="433"/>
      <c r="PMU19" s="433"/>
      <c r="PMV19" s="433"/>
      <c r="PMW19" s="433"/>
      <c r="PMX19" s="433"/>
      <c r="PMY19" s="433"/>
      <c r="PMZ19" s="433"/>
      <c r="PNA19" s="433"/>
      <c r="PNB19" s="433"/>
      <c r="PNC19" s="433"/>
      <c r="PND19" s="433"/>
      <c r="PNE19" s="433"/>
      <c r="PNF19" s="433"/>
      <c r="PNG19" s="433"/>
      <c r="PNH19" s="433"/>
      <c r="PNI19" s="433"/>
      <c r="PNJ19" s="433"/>
      <c r="PNK19" s="433"/>
      <c r="PNL19" s="433"/>
      <c r="PNM19" s="433"/>
      <c r="PNN19" s="433"/>
      <c r="PNO19" s="433"/>
      <c r="PNP19" s="433"/>
      <c r="PNQ19" s="433"/>
      <c r="PNR19" s="433"/>
      <c r="PNS19" s="433"/>
      <c r="PNT19" s="433"/>
      <c r="PNU19" s="433"/>
      <c r="PNV19" s="433"/>
      <c r="PNW19" s="433"/>
      <c r="PNX19" s="433"/>
      <c r="PNY19" s="433"/>
      <c r="PNZ19" s="433"/>
      <c r="POA19" s="433"/>
      <c r="POB19" s="433"/>
      <c r="POC19" s="433"/>
      <c r="POD19" s="433"/>
      <c r="POE19" s="433"/>
      <c r="POF19" s="433"/>
      <c r="POG19" s="433"/>
      <c r="POH19" s="433"/>
      <c r="POI19" s="433"/>
      <c r="POJ19" s="433"/>
      <c r="POK19" s="433"/>
      <c r="POL19" s="433"/>
      <c r="POM19" s="433"/>
      <c r="PON19" s="433"/>
      <c r="POO19" s="433"/>
      <c r="POP19" s="433"/>
      <c r="POQ19" s="433"/>
      <c r="POR19" s="433"/>
      <c r="POS19" s="433"/>
      <c r="POT19" s="433"/>
      <c r="POU19" s="433"/>
      <c r="POV19" s="433"/>
      <c r="POW19" s="433"/>
      <c r="POX19" s="433"/>
      <c r="POY19" s="433"/>
      <c r="POZ19" s="433"/>
      <c r="PPA19" s="433"/>
      <c r="PPB19" s="433"/>
      <c r="PPC19" s="433"/>
      <c r="PPD19" s="433"/>
      <c r="PPE19" s="433"/>
      <c r="PPF19" s="433"/>
      <c r="PPG19" s="433"/>
      <c r="PPH19" s="433"/>
      <c r="PPI19" s="433"/>
      <c r="PPJ19" s="433"/>
      <c r="PPK19" s="433"/>
      <c r="PPL19" s="433"/>
      <c r="PPM19" s="433"/>
      <c r="PPN19" s="433"/>
      <c r="PPO19" s="433"/>
      <c r="PPP19" s="433"/>
      <c r="PPQ19" s="433"/>
      <c r="PPR19" s="433"/>
      <c r="PPS19" s="433"/>
      <c r="PPT19" s="433"/>
      <c r="PPU19" s="433"/>
      <c r="PPV19" s="433"/>
      <c r="PPW19" s="433"/>
      <c r="PPX19" s="433"/>
      <c r="PPY19" s="433"/>
      <c r="PPZ19" s="433"/>
      <c r="PQA19" s="433"/>
      <c r="PQB19" s="433"/>
      <c r="PQC19" s="433"/>
      <c r="PQD19" s="433"/>
      <c r="PQE19" s="433"/>
      <c r="PQF19" s="433"/>
      <c r="PQG19" s="433"/>
      <c r="PQH19" s="433"/>
      <c r="PQI19" s="433"/>
      <c r="PQJ19" s="433"/>
      <c r="PQK19" s="433"/>
      <c r="PQL19" s="433"/>
      <c r="PQM19" s="433"/>
      <c r="PQN19" s="433"/>
      <c r="PQO19" s="433"/>
      <c r="PQP19" s="433"/>
      <c r="PQQ19" s="433"/>
      <c r="PQR19" s="433"/>
      <c r="PQS19" s="433"/>
      <c r="PQT19" s="433"/>
      <c r="PQU19" s="433"/>
      <c r="PQV19" s="433"/>
      <c r="PQW19" s="433"/>
      <c r="PQX19" s="433"/>
      <c r="PQY19" s="433"/>
      <c r="PQZ19" s="433"/>
      <c r="PRA19" s="433"/>
      <c r="PRB19" s="433"/>
      <c r="PRC19" s="433"/>
      <c r="PRD19" s="433"/>
      <c r="PRE19" s="433"/>
      <c r="PRF19" s="433"/>
      <c r="PRG19" s="433"/>
      <c r="PRH19" s="433"/>
      <c r="PRI19" s="433"/>
      <c r="PRJ19" s="433"/>
      <c r="PRK19" s="433"/>
      <c r="PRL19" s="433"/>
      <c r="PRM19" s="433"/>
      <c r="PRN19" s="433"/>
      <c r="PRO19" s="433"/>
      <c r="PRP19" s="433"/>
      <c r="PRQ19" s="433"/>
      <c r="PRR19" s="433"/>
      <c r="PRS19" s="433"/>
      <c r="PRT19" s="433"/>
      <c r="PRU19" s="433"/>
      <c r="PRV19" s="433"/>
      <c r="PRW19" s="433"/>
      <c r="PRX19" s="433"/>
      <c r="PRY19" s="433"/>
      <c r="PRZ19" s="433"/>
      <c r="PSA19" s="433"/>
      <c r="PSB19" s="433"/>
      <c r="PSC19" s="433"/>
      <c r="PSD19" s="433"/>
      <c r="PSE19" s="433"/>
      <c r="PSF19" s="433"/>
      <c r="PSG19" s="433"/>
      <c r="PSH19" s="433"/>
      <c r="PSI19" s="433"/>
      <c r="PSJ19" s="433"/>
      <c r="PSK19" s="433"/>
      <c r="PSL19" s="433"/>
      <c r="PSM19" s="433"/>
      <c r="PSN19" s="433"/>
      <c r="PSO19" s="433"/>
      <c r="PSP19" s="433"/>
      <c r="PSQ19" s="433"/>
      <c r="PSR19" s="433"/>
      <c r="PSS19" s="433"/>
      <c r="PST19" s="433"/>
      <c r="PSU19" s="433"/>
      <c r="PSV19" s="433"/>
      <c r="PSW19" s="433"/>
      <c r="PSX19" s="433"/>
      <c r="PSY19" s="433"/>
      <c r="PSZ19" s="433"/>
      <c r="PTA19" s="433"/>
      <c r="PTB19" s="433"/>
      <c r="PTC19" s="433"/>
      <c r="PTD19" s="433"/>
      <c r="PTE19" s="433"/>
      <c r="PTF19" s="433"/>
      <c r="PTG19" s="433"/>
      <c r="PTH19" s="433"/>
      <c r="PTI19" s="433"/>
      <c r="PTJ19" s="433"/>
      <c r="PTK19" s="433"/>
      <c r="PTL19" s="433"/>
      <c r="PTM19" s="433"/>
      <c r="PTN19" s="433"/>
      <c r="PTO19" s="433"/>
      <c r="PTP19" s="433"/>
      <c r="PTQ19" s="433"/>
      <c r="PTR19" s="433"/>
      <c r="PTS19" s="433"/>
      <c r="PTT19" s="433"/>
      <c r="PTU19" s="433"/>
      <c r="PTV19" s="433"/>
      <c r="PTW19" s="433"/>
      <c r="PTX19" s="433"/>
      <c r="PTY19" s="433"/>
      <c r="PTZ19" s="433"/>
      <c r="PUA19" s="433"/>
      <c r="PUB19" s="433"/>
      <c r="PUC19" s="433"/>
      <c r="PUD19" s="433"/>
      <c r="PUE19" s="433"/>
      <c r="PUF19" s="433"/>
      <c r="PUG19" s="433"/>
      <c r="PUH19" s="433"/>
      <c r="PUI19" s="433"/>
      <c r="PUJ19" s="433"/>
      <c r="PUK19" s="433"/>
      <c r="PUL19" s="433"/>
      <c r="PUM19" s="433"/>
      <c r="PUN19" s="433"/>
      <c r="PUO19" s="433"/>
      <c r="PUP19" s="433"/>
      <c r="PUQ19" s="433"/>
      <c r="PUR19" s="433"/>
      <c r="PUS19" s="433"/>
      <c r="PUT19" s="433"/>
      <c r="PUU19" s="433"/>
      <c r="PUV19" s="433"/>
      <c r="PUW19" s="433"/>
      <c r="PUX19" s="433"/>
      <c r="PUY19" s="433"/>
      <c r="PUZ19" s="433"/>
      <c r="PVA19" s="433"/>
      <c r="PVB19" s="433"/>
      <c r="PVC19" s="433"/>
      <c r="PVD19" s="433"/>
      <c r="PVE19" s="433"/>
      <c r="PVF19" s="433"/>
      <c r="PVG19" s="433"/>
      <c r="PVH19" s="433"/>
      <c r="PVI19" s="433"/>
      <c r="PVJ19" s="433"/>
      <c r="PVK19" s="433"/>
      <c r="PVL19" s="433"/>
      <c r="PVM19" s="433"/>
      <c r="PVN19" s="433"/>
      <c r="PVO19" s="433"/>
      <c r="PVP19" s="433"/>
      <c r="PVQ19" s="433"/>
      <c r="PVR19" s="433"/>
      <c r="PVS19" s="433"/>
      <c r="PVT19" s="433"/>
      <c r="PVU19" s="433"/>
      <c r="PVV19" s="433"/>
      <c r="PVW19" s="433"/>
      <c r="PVX19" s="433"/>
      <c r="PVY19" s="433"/>
      <c r="PVZ19" s="433"/>
      <c r="PWA19" s="433"/>
      <c r="PWB19" s="433"/>
      <c r="PWC19" s="433"/>
      <c r="PWD19" s="433"/>
      <c r="PWE19" s="433"/>
      <c r="PWF19" s="433"/>
      <c r="PWG19" s="433"/>
      <c r="PWH19" s="433"/>
      <c r="PWI19" s="433"/>
      <c r="PWJ19" s="433"/>
      <c r="PWK19" s="433"/>
      <c r="PWL19" s="433"/>
      <c r="PWM19" s="433"/>
      <c r="PWN19" s="433"/>
      <c r="PWO19" s="433"/>
      <c r="PWP19" s="433"/>
      <c r="PWQ19" s="433"/>
      <c r="PWR19" s="433"/>
      <c r="PWS19" s="433"/>
      <c r="PWT19" s="433"/>
      <c r="PWU19" s="433"/>
      <c r="PWV19" s="433"/>
      <c r="PWW19" s="433"/>
      <c r="PWX19" s="433"/>
      <c r="PWY19" s="433"/>
      <c r="PWZ19" s="433"/>
      <c r="PXA19" s="433"/>
      <c r="PXB19" s="433"/>
      <c r="PXC19" s="433"/>
      <c r="PXD19" s="433"/>
      <c r="PXE19" s="433"/>
      <c r="PXF19" s="433"/>
      <c r="PXG19" s="433"/>
      <c r="PXH19" s="433"/>
      <c r="PXI19" s="433"/>
      <c r="PXJ19" s="433"/>
      <c r="PXK19" s="433"/>
      <c r="PXL19" s="433"/>
      <c r="PXM19" s="433"/>
      <c r="PXN19" s="433"/>
      <c r="PXO19" s="433"/>
      <c r="PXP19" s="433"/>
      <c r="PXQ19" s="433"/>
      <c r="PXR19" s="433"/>
      <c r="PXS19" s="433"/>
      <c r="PXT19" s="433"/>
      <c r="PXU19" s="433"/>
      <c r="PXV19" s="433"/>
      <c r="PXW19" s="433"/>
      <c r="PXX19" s="433"/>
      <c r="PXY19" s="433"/>
      <c r="PXZ19" s="433"/>
      <c r="PYA19" s="433"/>
      <c r="PYB19" s="433"/>
      <c r="PYC19" s="433"/>
      <c r="PYD19" s="433"/>
      <c r="PYE19" s="433"/>
      <c r="PYF19" s="433"/>
      <c r="PYG19" s="433"/>
      <c r="PYH19" s="433"/>
      <c r="PYI19" s="433"/>
      <c r="PYJ19" s="433"/>
      <c r="PYK19" s="433"/>
      <c r="PYL19" s="433"/>
      <c r="PYM19" s="433"/>
      <c r="PYN19" s="433"/>
      <c r="PYO19" s="433"/>
      <c r="PYP19" s="433"/>
      <c r="PYQ19" s="433"/>
      <c r="PYR19" s="433"/>
      <c r="PYS19" s="433"/>
      <c r="PYT19" s="433"/>
      <c r="PYU19" s="433"/>
      <c r="PYV19" s="433"/>
      <c r="PYW19" s="433"/>
      <c r="PYX19" s="433"/>
      <c r="PYY19" s="433"/>
      <c r="PYZ19" s="433"/>
      <c r="PZA19" s="433"/>
      <c r="PZB19" s="433"/>
      <c r="PZC19" s="433"/>
      <c r="PZD19" s="433"/>
      <c r="PZE19" s="433"/>
      <c r="PZF19" s="433"/>
      <c r="PZG19" s="433"/>
      <c r="PZH19" s="433"/>
      <c r="PZI19" s="433"/>
      <c r="PZJ19" s="433"/>
      <c r="PZK19" s="433"/>
      <c r="PZL19" s="433"/>
      <c r="PZM19" s="433"/>
      <c r="PZN19" s="433"/>
      <c r="PZO19" s="433"/>
      <c r="PZP19" s="433"/>
      <c r="PZQ19" s="433"/>
      <c r="PZR19" s="433"/>
      <c r="PZS19" s="433"/>
      <c r="PZT19" s="433"/>
      <c r="PZU19" s="433"/>
      <c r="PZV19" s="433"/>
      <c r="PZW19" s="433"/>
      <c r="PZX19" s="433"/>
      <c r="PZY19" s="433"/>
      <c r="PZZ19" s="433"/>
      <c r="QAA19" s="433"/>
      <c r="QAB19" s="433"/>
      <c r="QAC19" s="433"/>
      <c r="QAD19" s="433"/>
      <c r="QAE19" s="433"/>
      <c r="QAF19" s="433"/>
      <c r="QAG19" s="433"/>
      <c r="QAH19" s="433"/>
      <c r="QAI19" s="433"/>
      <c r="QAJ19" s="433"/>
      <c r="QAK19" s="433"/>
      <c r="QAL19" s="433"/>
      <c r="QAM19" s="433"/>
      <c r="QAN19" s="433"/>
      <c r="QAO19" s="433"/>
      <c r="QAP19" s="433"/>
      <c r="QAQ19" s="433"/>
      <c r="QAR19" s="433"/>
      <c r="QAS19" s="433"/>
      <c r="QAT19" s="433"/>
      <c r="QAU19" s="433"/>
      <c r="QAV19" s="433"/>
      <c r="QAW19" s="433"/>
      <c r="QAX19" s="433"/>
      <c r="QAY19" s="433"/>
      <c r="QAZ19" s="433"/>
      <c r="QBA19" s="433"/>
      <c r="QBB19" s="433"/>
      <c r="QBC19" s="433"/>
      <c r="QBD19" s="433"/>
      <c r="QBE19" s="433"/>
      <c r="QBF19" s="433"/>
      <c r="QBG19" s="433"/>
      <c r="QBH19" s="433"/>
      <c r="QBI19" s="433"/>
      <c r="QBJ19" s="433"/>
      <c r="QBK19" s="433"/>
      <c r="QBL19" s="433"/>
      <c r="QBM19" s="433"/>
      <c r="QBN19" s="433"/>
      <c r="QBO19" s="433"/>
      <c r="QBP19" s="433"/>
      <c r="QBQ19" s="433"/>
      <c r="QBR19" s="433"/>
      <c r="QBS19" s="433"/>
      <c r="QBT19" s="433"/>
      <c r="QBU19" s="433"/>
      <c r="QBV19" s="433"/>
      <c r="QBW19" s="433"/>
      <c r="QBX19" s="433"/>
      <c r="QBY19" s="433"/>
      <c r="QBZ19" s="433"/>
      <c r="QCA19" s="433"/>
      <c r="QCB19" s="433"/>
      <c r="QCC19" s="433"/>
      <c r="QCD19" s="433"/>
      <c r="QCE19" s="433"/>
      <c r="QCF19" s="433"/>
      <c r="QCG19" s="433"/>
      <c r="QCH19" s="433"/>
      <c r="QCI19" s="433"/>
      <c r="QCJ19" s="433"/>
      <c r="QCK19" s="433"/>
      <c r="QCL19" s="433"/>
      <c r="QCM19" s="433"/>
      <c r="QCN19" s="433"/>
      <c r="QCO19" s="433"/>
      <c r="QCP19" s="433"/>
      <c r="QCQ19" s="433"/>
      <c r="QCR19" s="433"/>
      <c r="QCS19" s="433"/>
      <c r="QCT19" s="433"/>
      <c r="QCU19" s="433"/>
      <c r="QCV19" s="433"/>
      <c r="QCW19" s="433"/>
      <c r="QCX19" s="433"/>
      <c r="QCY19" s="433"/>
      <c r="QCZ19" s="433"/>
      <c r="QDA19" s="433"/>
      <c r="QDB19" s="433"/>
      <c r="QDC19" s="433"/>
      <c r="QDD19" s="433"/>
      <c r="QDE19" s="433"/>
      <c r="QDF19" s="433"/>
      <c r="QDG19" s="433"/>
      <c r="QDH19" s="433"/>
      <c r="QDI19" s="433"/>
      <c r="QDJ19" s="433"/>
      <c r="QDK19" s="433"/>
      <c r="QDL19" s="433"/>
      <c r="QDM19" s="433"/>
      <c r="QDN19" s="433"/>
      <c r="QDO19" s="433"/>
      <c r="QDP19" s="433"/>
      <c r="QDQ19" s="433"/>
      <c r="QDR19" s="433"/>
      <c r="QDS19" s="433"/>
      <c r="QDT19" s="433"/>
      <c r="QDU19" s="433"/>
      <c r="QDV19" s="433"/>
      <c r="QDW19" s="433"/>
      <c r="QDX19" s="433"/>
      <c r="QDY19" s="433"/>
      <c r="QDZ19" s="433"/>
      <c r="QEA19" s="433"/>
      <c r="QEB19" s="433"/>
      <c r="QEC19" s="433"/>
      <c r="QED19" s="433"/>
      <c r="QEE19" s="433"/>
      <c r="QEF19" s="433"/>
      <c r="QEG19" s="433"/>
      <c r="QEH19" s="433"/>
      <c r="QEI19" s="433"/>
      <c r="QEJ19" s="433"/>
      <c r="QEK19" s="433"/>
      <c r="QEL19" s="433"/>
      <c r="QEM19" s="433"/>
      <c r="QEN19" s="433"/>
      <c r="QEO19" s="433"/>
      <c r="QEP19" s="433"/>
      <c r="QEQ19" s="433"/>
      <c r="QER19" s="433"/>
      <c r="QES19" s="433"/>
      <c r="QET19" s="433"/>
      <c r="QEU19" s="433"/>
      <c r="QEV19" s="433"/>
      <c r="QEW19" s="433"/>
      <c r="QEX19" s="433"/>
      <c r="QEY19" s="433"/>
      <c r="QEZ19" s="433"/>
      <c r="QFA19" s="433"/>
      <c r="QFB19" s="433"/>
      <c r="QFC19" s="433"/>
      <c r="QFD19" s="433"/>
      <c r="QFE19" s="433"/>
      <c r="QFF19" s="433"/>
      <c r="QFG19" s="433"/>
      <c r="QFH19" s="433"/>
      <c r="QFI19" s="433"/>
      <c r="QFJ19" s="433"/>
      <c r="QFK19" s="433"/>
      <c r="QFL19" s="433"/>
      <c r="QFM19" s="433"/>
      <c r="QFN19" s="433"/>
      <c r="QFO19" s="433"/>
      <c r="QFP19" s="433"/>
      <c r="QFQ19" s="433"/>
      <c r="QFR19" s="433"/>
      <c r="QFS19" s="433"/>
      <c r="QFT19" s="433"/>
      <c r="QFU19" s="433"/>
      <c r="QFV19" s="433"/>
      <c r="QFW19" s="433"/>
      <c r="QFX19" s="433"/>
      <c r="QFY19" s="433"/>
      <c r="QFZ19" s="433"/>
      <c r="QGA19" s="433"/>
      <c r="QGB19" s="433"/>
      <c r="QGC19" s="433"/>
      <c r="QGD19" s="433"/>
      <c r="QGE19" s="433"/>
      <c r="QGF19" s="433"/>
      <c r="QGG19" s="433"/>
      <c r="QGH19" s="433"/>
      <c r="QGI19" s="433"/>
      <c r="QGJ19" s="433"/>
      <c r="QGK19" s="433"/>
      <c r="QGL19" s="433"/>
      <c r="QGM19" s="433"/>
      <c r="QGN19" s="433"/>
      <c r="QGO19" s="433"/>
      <c r="QGP19" s="433"/>
      <c r="QGQ19" s="433"/>
      <c r="QGR19" s="433"/>
      <c r="QGS19" s="433"/>
      <c r="QGT19" s="433"/>
      <c r="QGU19" s="433"/>
      <c r="QGV19" s="433"/>
      <c r="QGW19" s="433"/>
      <c r="QGX19" s="433"/>
      <c r="QGY19" s="433"/>
      <c r="QGZ19" s="433"/>
      <c r="QHA19" s="433"/>
      <c r="QHB19" s="433"/>
      <c r="QHC19" s="433"/>
      <c r="QHD19" s="433"/>
      <c r="QHE19" s="433"/>
      <c r="QHF19" s="433"/>
      <c r="QHG19" s="433"/>
      <c r="QHH19" s="433"/>
      <c r="QHI19" s="433"/>
      <c r="QHJ19" s="433"/>
      <c r="QHK19" s="433"/>
      <c r="QHL19" s="433"/>
      <c r="QHM19" s="433"/>
      <c r="QHN19" s="433"/>
      <c r="QHO19" s="433"/>
      <c r="QHP19" s="433"/>
      <c r="QHQ19" s="433"/>
      <c r="QHR19" s="433"/>
      <c r="QHS19" s="433"/>
      <c r="QHT19" s="433"/>
      <c r="QHU19" s="433"/>
      <c r="QHV19" s="433"/>
      <c r="QHW19" s="433"/>
      <c r="QHX19" s="433"/>
      <c r="QHY19" s="433"/>
      <c r="QHZ19" s="433"/>
      <c r="QIA19" s="433"/>
      <c r="QIB19" s="433"/>
      <c r="QIC19" s="433"/>
      <c r="QID19" s="433"/>
      <c r="QIE19" s="433"/>
      <c r="QIF19" s="433"/>
      <c r="QIG19" s="433"/>
      <c r="QIH19" s="433"/>
      <c r="QII19" s="433"/>
      <c r="QIJ19" s="433"/>
      <c r="QIK19" s="433"/>
      <c r="QIL19" s="433"/>
      <c r="QIM19" s="433"/>
      <c r="QIN19" s="433"/>
      <c r="QIO19" s="433"/>
      <c r="QIP19" s="433"/>
      <c r="QIQ19" s="433"/>
      <c r="QIR19" s="433"/>
      <c r="QIS19" s="433"/>
      <c r="QIT19" s="433"/>
      <c r="QIU19" s="433"/>
      <c r="QIV19" s="433"/>
      <c r="QIW19" s="433"/>
      <c r="QIX19" s="433"/>
      <c r="QIY19" s="433"/>
      <c r="QIZ19" s="433"/>
      <c r="QJA19" s="433"/>
      <c r="QJB19" s="433"/>
      <c r="QJC19" s="433"/>
      <c r="QJD19" s="433"/>
      <c r="QJE19" s="433"/>
      <c r="QJF19" s="433"/>
      <c r="QJG19" s="433"/>
      <c r="QJH19" s="433"/>
      <c r="QJI19" s="433"/>
      <c r="QJJ19" s="433"/>
      <c r="QJK19" s="433"/>
      <c r="QJL19" s="433"/>
      <c r="QJM19" s="433"/>
      <c r="QJN19" s="433"/>
      <c r="QJO19" s="433"/>
      <c r="QJP19" s="433"/>
      <c r="QJQ19" s="433"/>
      <c r="QJR19" s="433"/>
      <c r="QJS19" s="433"/>
      <c r="QJT19" s="433"/>
      <c r="QJU19" s="433"/>
      <c r="QJV19" s="433"/>
      <c r="QJW19" s="433"/>
      <c r="QJX19" s="433"/>
      <c r="QJY19" s="433"/>
      <c r="QJZ19" s="433"/>
      <c r="QKA19" s="433"/>
      <c r="QKB19" s="433"/>
      <c r="QKC19" s="433"/>
      <c r="QKD19" s="433"/>
      <c r="QKE19" s="433"/>
      <c r="QKF19" s="433"/>
      <c r="QKG19" s="433"/>
      <c r="QKH19" s="433"/>
      <c r="QKI19" s="433"/>
      <c r="QKJ19" s="433"/>
      <c r="QKK19" s="433"/>
      <c r="QKL19" s="433"/>
      <c r="QKM19" s="433"/>
      <c r="QKN19" s="433"/>
      <c r="QKO19" s="433"/>
      <c r="QKP19" s="433"/>
      <c r="QKQ19" s="433"/>
      <c r="QKR19" s="433"/>
      <c r="QKS19" s="433"/>
      <c r="QKT19" s="433"/>
      <c r="QKU19" s="433"/>
      <c r="QKV19" s="433"/>
      <c r="QKW19" s="433"/>
      <c r="QKX19" s="433"/>
      <c r="QKY19" s="433"/>
      <c r="QKZ19" s="433"/>
      <c r="QLA19" s="433"/>
      <c r="QLB19" s="433"/>
      <c r="QLC19" s="433"/>
      <c r="QLD19" s="433"/>
      <c r="QLE19" s="433"/>
      <c r="QLF19" s="433"/>
      <c r="QLG19" s="433"/>
      <c r="QLH19" s="433"/>
      <c r="QLI19" s="433"/>
      <c r="QLJ19" s="433"/>
      <c r="QLK19" s="433"/>
      <c r="QLL19" s="433"/>
      <c r="QLM19" s="433"/>
      <c r="QLN19" s="433"/>
      <c r="QLO19" s="433"/>
      <c r="QLP19" s="433"/>
      <c r="QLQ19" s="433"/>
      <c r="QLR19" s="433"/>
      <c r="QLS19" s="433"/>
      <c r="QLT19" s="433"/>
      <c r="QLU19" s="433"/>
      <c r="QLV19" s="433"/>
      <c r="QLW19" s="433"/>
      <c r="QLX19" s="433"/>
      <c r="QLY19" s="433"/>
      <c r="QLZ19" s="433"/>
      <c r="QMA19" s="433"/>
      <c r="QMB19" s="433"/>
      <c r="QMC19" s="433"/>
      <c r="QMD19" s="433"/>
      <c r="QME19" s="433"/>
      <c r="QMF19" s="433"/>
      <c r="QMG19" s="433"/>
      <c r="QMH19" s="433"/>
      <c r="QMI19" s="433"/>
      <c r="QMJ19" s="433"/>
      <c r="QMK19" s="433"/>
      <c r="QML19" s="433"/>
      <c r="QMM19" s="433"/>
      <c r="QMN19" s="433"/>
      <c r="QMO19" s="433"/>
      <c r="QMP19" s="433"/>
      <c r="QMQ19" s="433"/>
      <c r="QMR19" s="433"/>
      <c r="QMS19" s="433"/>
      <c r="QMT19" s="433"/>
      <c r="QMU19" s="433"/>
      <c r="QMV19" s="433"/>
      <c r="QMW19" s="433"/>
      <c r="QMX19" s="433"/>
      <c r="QMY19" s="433"/>
      <c r="QMZ19" s="433"/>
      <c r="QNA19" s="433"/>
      <c r="QNB19" s="433"/>
      <c r="QNC19" s="433"/>
      <c r="QND19" s="433"/>
      <c r="QNE19" s="433"/>
      <c r="QNF19" s="433"/>
      <c r="QNG19" s="433"/>
      <c r="QNH19" s="433"/>
      <c r="QNI19" s="433"/>
      <c r="QNJ19" s="433"/>
      <c r="QNK19" s="433"/>
      <c r="QNL19" s="433"/>
      <c r="QNM19" s="433"/>
      <c r="QNN19" s="433"/>
      <c r="QNO19" s="433"/>
      <c r="QNP19" s="433"/>
      <c r="QNQ19" s="433"/>
      <c r="QNR19" s="433"/>
      <c r="QNS19" s="433"/>
      <c r="QNT19" s="433"/>
      <c r="QNU19" s="433"/>
      <c r="QNV19" s="433"/>
      <c r="QNW19" s="433"/>
      <c r="QNX19" s="433"/>
      <c r="QNY19" s="433"/>
      <c r="QNZ19" s="433"/>
      <c r="QOA19" s="433"/>
      <c r="QOB19" s="433"/>
      <c r="QOC19" s="433"/>
      <c r="QOD19" s="433"/>
      <c r="QOE19" s="433"/>
      <c r="QOF19" s="433"/>
      <c r="QOG19" s="433"/>
      <c r="QOH19" s="433"/>
      <c r="QOI19" s="433"/>
      <c r="QOJ19" s="433"/>
      <c r="QOK19" s="433"/>
      <c r="QOL19" s="433"/>
      <c r="QOM19" s="433"/>
      <c r="QON19" s="433"/>
      <c r="QOO19" s="433"/>
      <c r="QOP19" s="433"/>
      <c r="QOQ19" s="433"/>
      <c r="QOR19" s="433"/>
      <c r="QOS19" s="433"/>
      <c r="QOT19" s="433"/>
      <c r="QOU19" s="433"/>
      <c r="QOV19" s="433"/>
      <c r="QOW19" s="433"/>
      <c r="QOX19" s="433"/>
      <c r="QOY19" s="433"/>
      <c r="QOZ19" s="433"/>
      <c r="QPA19" s="433"/>
      <c r="QPB19" s="433"/>
      <c r="QPC19" s="433"/>
      <c r="QPD19" s="433"/>
      <c r="QPE19" s="433"/>
      <c r="QPF19" s="433"/>
      <c r="QPG19" s="433"/>
      <c r="QPH19" s="433"/>
      <c r="QPI19" s="433"/>
      <c r="QPJ19" s="433"/>
      <c r="QPK19" s="433"/>
      <c r="QPL19" s="433"/>
      <c r="QPM19" s="433"/>
      <c r="QPN19" s="433"/>
      <c r="QPO19" s="433"/>
      <c r="QPP19" s="433"/>
      <c r="QPQ19" s="433"/>
      <c r="QPR19" s="433"/>
      <c r="QPS19" s="433"/>
      <c r="QPT19" s="433"/>
      <c r="QPU19" s="433"/>
      <c r="QPV19" s="433"/>
      <c r="QPW19" s="433"/>
      <c r="QPX19" s="433"/>
      <c r="QPY19" s="433"/>
      <c r="QPZ19" s="433"/>
      <c r="QQA19" s="433"/>
      <c r="QQB19" s="433"/>
      <c r="QQC19" s="433"/>
      <c r="QQD19" s="433"/>
      <c r="QQE19" s="433"/>
      <c r="QQF19" s="433"/>
      <c r="QQG19" s="433"/>
      <c r="QQH19" s="433"/>
      <c r="QQI19" s="433"/>
      <c r="QQJ19" s="433"/>
      <c r="QQK19" s="433"/>
      <c r="QQL19" s="433"/>
      <c r="QQM19" s="433"/>
      <c r="QQN19" s="433"/>
      <c r="QQO19" s="433"/>
      <c r="QQP19" s="433"/>
      <c r="QQQ19" s="433"/>
      <c r="QQR19" s="433"/>
      <c r="QQS19" s="433"/>
      <c r="QQT19" s="433"/>
      <c r="QQU19" s="433"/>
      <c r="QQV19" s="433"/>
      <c r="QQW19" s="433"/>
      <c r="QQX19" s="433"/>
      <c r="QQY19" s="433"/>
      <c r="QQZ19" s="433"/>
      <c r="QRA19" s="433"/>
      <c r="QRB19" s="433"/>
      <c r="QRC19" s="433"/>
      <c r="QRD19" s="433"/>
      <c r="QRE19" s="433"/>
      <c r="QRF19" s="433"/>
      <c r="QRG19" s="433"/>
      <c r="QRH19" s="433"/>
      <c r="QRI19" s="433"/>
      <c r="QRJ19" s="433"/>
      <c r="QRK19" s="433"/>
      <c r="QRL19" s="433"/>
      <c r="QRM19" s="433"/>
      <c r="QRN19" s="433"/>
      <c r="QRO19" s="433"/>
      <c r="QRP19" s="433"/>
      <c r="QRQ19" s="433"/>
      <c r="QRR19" s="433"/>
      <c r="QRS19" s="433"/>
      <c r="QRT19" s="433"/>
      <c r="QRU19" s="433"/>
      <c r="QRV19" s="433"/>
      <c r="QRW19" s="433"/>
      <c r="QRX19" s="433"/>
      <c r="QRY19" s="433"/>
      <c r="QRZ19" s="433"/>
      <c r="QSA19" s="433"/>
      <c r="QSB19" s="433"/>
      <c r="QSC19" s="433"/>
      <c r="QSD19" s="433"/>
      <c r="QSE19" s="433"/>
      <c r="QSF19" s="433"/>
      <c r="QSG19" s="433"/>
      <c r="QSH19" s="433"/>
      <c r="QSI19" s="433"/>
      <c r="QSJ19" s="433"/>
      <c r="QSK19" s="433"/>
      <c r="QSL19" s="433"/>
      <c r="QSM19" s="433"/>
      <c r="QSN19" s="433"/>
      <c r="QSO19" s="433"/>
      <c r="QSP19" s="433"/>
      <c r="QSQ19" s="433"/>
      <c r="QSR19" s="433"/>
      <c r="QSS19" s="433"/>
      <c r="QST19" s="433"/>
      <c r="QSU19" s="433"/>
      <c r="QSV19" s="433"/>
      <c r="QSW19" s="433"/>
      <c r="QSX19" s="433"/>
      <c r="QSY19" s="433"/>
      <c r="QSZ19" s="433"/>
      <c r="QTA19" s="433"/>
      <c r="QTB19" s="433"/>
      <c r="QTC19" s="433"/>
      <c r="QTD19" s="433"/>
      <c r="QTE19" s="433"/>
      <c r="QTF19" s="433"/>
      <c r="QTG19" s="433"/>
      <c r="QTH19" s="433"/>
      <c r="QTI19" s="433"/>
      <c r="QTJ19" s="433"/>
      <c r="QTK19" s="433"/>
      <c r="QTL19" s="433"/>
      <c r="QTM19" s="433"/>
      <c r="QTN19" s="433"/>
      <c r="QTO19" s="433"/>
      <c r="QTP19" s="433"/>
      <c r="QTQ19" s="433"/>
      <c r="QTR19" s="433"/>
      <c r="QTS19" s="433"/>
      <c r="QTT19" s="433"/>
      <c r="QTU19" s="433"/>
      <c r="QTV19" s="433"/>
      <c r="QTW19" s="433"/>
      <c r="QTX19" s="433"/>
      <c r="QTY19" s="433"/>
      <c r="QTZ19" s="433"/>
      <c r="QUA19" s="433"/>
      <c r="QUB19" s="433"/>
      <c r="QUC19" s="433"/>
      <c r="QUD19" s="433"/>
      <c r="QUE19" s="433"/>
      <c r="QUF19" s="433"/>
      <c r="QUG19" s="433"/>
      <c r="QUH19" s="433"/>
      <c r="QUI19" s="433"/>
      <c r="QUJ19" s="433"/>
      <c r="QUK19" s="433"/>
      <c r="QUL19" s="433"/>
      <c r="QUM19" s="433"/>
      <c r="QUN19" s="433"/>
      <c r="QUO19" s="433"/>
      <c r="QUP19" s="433"/>
      <c r="QUQ19" s="433"/>
      <c r="QUR19" s="433"/>
      <c r="QUS19" s="433"/>
      <c r="QUT19" s="433"/>
      <c r="QUU19" s="433"/>
      <c r="QUV19" s="433"/>
      <c r="QUW19" s="433"/>
      <c r="QUX19" s="433"/>
      <c r="QUY19" s="433"/>
      <c r="QUZ19" s="433"/>
      <c r="QVA19" s="433"/>
      <c r="QVB19" s="433"/>
      <c r="QVC19" s="433"/>
      <c r="QVD19" s="433"/>
      <c r="QVE19" s="433"/>
      <c r="QVF19" s="433"/>
      <c r="QVG19" s="433"/>
      <c r="QVH19" s="433"/>
      <c r="QVI19" s="433"/>
      <c r="QVJ19" s="433"/>
      <c r="QVK19" s="433"/>
      <c r="QVL19" s="433"/>
      <c r="QVM19" s="433"/>
      <c r="QVN19" s="433"/>
      <c r="QVO19" s="433"/>
      <c r="QVP19" s="433"/>
      <c r="QVQ19" s="433"/>
      <c r="QVR19" s="433"/>
      <c r="QVS19" s="433"/>
      <c r="QVT19" s="433"/>
      <c r="QVU19" s="433"/>
      <c r="QVV19" s="433"/>
      <c r="QVW19" s="433"/>
      <c r="QVX19" s="433"/>
      <c r="QVY19" s="433"/>
      <c r="QVZ19" s="433"/>
      <c r="QWA19" s="433"/>
      <c r="QWB19" s="433"/>
      <c r="QWC19" s="433"/>
      <c r="QWD19" s="433"/>
      <c r="QWE19" s="433"/>
      <c r="QWF19" s="433"/>
      <c r="QWG19" s="433"/>
      <c r="QWH19" s="433"/>
      <c r="QWI19" s="433"/>
      <c r="QWJ19" s="433"/>
      <c r="QWK19" s="433"/>
      <c r="QWL19" s="433"/>
      <c r="QWM19" s="433"/>
      <c r="QWN19" s="433"/>
      <c r="QWO19" s="433"/>
      <c r="QWP19" s="433"/>
      <c r="QWQ19" s="433"/>
      <c r="QWR19" s="433"/>
      <c r="QWS19" s="433"/>
      <c r="QWT19" s="433"/>
      <c r="QWU19" s="433"/>
      <c r="QWV19" s="433"/>
      <c r="QWW19" s="433"/>
      <c r="QWX19" s="433"/>
      <c r="QWY19" s="433"/>
      <c r="QWZ19" s="433"/>
      <c r="QXA19" s="433"/>
      <c r="QXB19" s="433"/>
      <c r="QXC19" s="433"/>
      <c r="QXD19" s="433"/>
      <c r="QXE19" s="433"/>
      <c r="QXF19" s="433"/>
      <c r="QXG19" s="433"/>
      <c r="QXH19" s="433"/>
      <c r="QXI19" s="433"/>
      <c r="QXJ19" s="433"/>
      <c r="QXK19" s="433"/>
      <c r="QXL19" s="433"/>
      <c r="QXM19" s="433"/>
      <c r="QXN19" s="433"/>
      <c r="QXO19" s="433"/>
      <c r="QXP19" s="433"/>
      <c r="QXQ19" s="433"/>
      <c r="QXR19" s="433"/>
      <c r="QXS19" s="433"/>
      <c r="QXT19" s="433"/>
      <c r="QXU19" s="433"/>
      <c r="QXV19" s="433"/>
      <c r="QXW19" s="433"/>
      <c r="QXX19" s="433"/>
      <c r="QXY19" s="433"/>
      <c r="QXZ19" s="433"/>
      <c r="QYA19" s="433"/>
      <c r="QYB19" s="433"/>
      <c r="QYC19" s="433"/>
      <c r="QYD19" s="433"/>
      <c r="QYE19" s="433"/>
      <c r="QYF19" s="433"/>
      <c r="QYG19" s="433"/>
      <c r="QYH19" s="433"/>
      <c r="QYI19" s="433"/>
      <c r="QYJ19" s="433"/>
      <c r="QYK19" s="433"/>
      <c r="QYL19" s="433"/>
      <c r="QYM19" s="433"/>
      <c r="QYN19" s="433"/>
      <c r="QYO19" s="433"/>
      <c r="QYP19" s="433"/>
      <c r="QYQ19" s="433"/>
      <c r="QYR19" s="433"/>
      <c r="QYS19" s="433"/>
      <c r="QYT19" s="433"/>
      <c r="QYU19" s="433"/>
      <c r="QYV19" s="433"/>
      <c r="QYW19" s="433"/>
      <c r="QYX19" s="433"/>
      <c r="QYY19" s="433"/>
      <c r="QYZ19" s="433"/>
      <c r="QZA19" s="433"/>
      <c r="QZB19" s="433"/>
      <c r="QZC19" s="433"/>
      <c r="QZD19" s="433"/>
      <c r="QZE19" s="433"/>
      <c r="QZF19" s="433"/>
      <c r="QZG19" s="433"/>
      <c r="QZH19" s="433"/>
      <c r="QZI19" s="433"/>
      <c r="QZJ19" s="433"/>
      <c r="QZK19" s="433"/>
      <c r="QZL19" s="433"/>
      <c r="QZM19" s="433"/>
      <c r="QZN19" s="433"/>
      <c r="QZO19" s="433"/>
      <c r="QZP19" s="433"/>
      <c r="QZQ19" s="433"/>
      <c r="QZR19" s="433"/>
      <c r="QZS19" s="433"/>
      <c r="QZT19" s="433"/>
      <c r="QZU19" s="433"/>
      <c r="QZV19" s="433"/>
      <c r="QZW19" s="433"/>
      <c r="QZX19" s="433"/>
      <c r="QZY19" s="433"/>
      <c r="QZZ19" s="433"/>
      <c r="RAA19" s="433"/>
      <c r="RAB19" s="433"/>
      <c r="RAC19" s="433"/>
      <c r="RAD19" s="433"/>
      <c r="RAE19" s="433"/>
      <c r="RAF19" s="433"/>
      <c r="RAG19" s="433"/>
      <c r="RAH19" s="433"/>
      <c r="RAI19" s="433"/>
      <c r="RAJ19" s="433"/>
      <c r="RAK19" s="433"/>
      <c r="RAL19" s="433"/>
      <c r="RAM19" s="433"/>
      <c r="RAN19" s="433"/>
      <c r="RAO19" s="433"/>
      <c r="RAP19" s="433"/>
      <c r="RAQ19" s="433"/>
      <c r="RAR19" s="433"/>
      <c r="RAS19" s="433"/>
      <c r="RAT19" s="433"/>
      <c r="RAU19" s="433"/>
      <c r="RAV19" s="433"/>
      <c r="RAW19" s="433"/>
      <c r="RAX19" s="433"/>
      <c r="RAY19" s="433"/>
      <c r="RAZ19" s="433"/>
      <c r="RBA19" s="433"/>
      <c r="RBB19" s="433"/>
      <c r="RBC19" s="433"/>
      <c r="RBD19" s="433"/>
      <c r="RBE19" s="433"/>
      <c r="RBF19" s="433"/>
      <c r="RBG19" s="433"/>
      <c r="RBH19" s="433"/>
      <c r="RBI19" s="433"/>
      <c r="RBJ19" s="433"/>
      <c r="RBK19" s="433"/>
      <c r="RBL19" s="433"/>
      <c r="RBM19" s="433"/>
      <c r="RBN19" s="433"/>
      <c r="RBO19" s="433"/>
      <c r="RBP19" s="433"/>
      <c r="RBQ19" s="433"/>
      <c r="RBR19" s="433"/>
      <c r="RBS19" s="433"/>
      <c r="RBT19" s="433"/>
      <c r="RBU19" s="433"/>
      <c r="RBV19" s="433"/>
      <c r="RBW19" s="433"/>
      <c r="RBX19" s="433"/>
      <c r="RBY19" s="433"/>
      <c r="RBZ19" s="433"/>
      <c r="RCA19" s="433"/>
      <c r="RCB19" s="433"/>
      <c r="RCC19" s="433"/>
      <c r="RCD19" s="433"/>
      <c r="RCE19" s="433"/>
      <c r="RCF19" s="433"/>
      <c r="RCG19" s="433"/>
      <c r="RCH19" s="433"/>
      <c r="RCI19" s="433"/>
      <c r="RCJ19" s="433"/>
      <c r="RCK19" s="433"/>
      <c r="RCL19" s="433"/>
      <c r="RCM19" s="433"/>
      <c r="RCN19" s="433"/>
      <c r="RCO19" s="433"/>
      <c r="RCP19" s="433"/>
      <c r="RCQ19" s="433"/>
      <c r="RCR19" s="433"/>
      <c r="RCS19" s="433"/>
      <c r="RCT19" s="433"/>
      <c r="RCU19" s="433"/>
      <c r="RCV19" s="433"/>
      <c r="RCW19" s="433"/>
      <c r="RCX19" s="433"/>
      <c r="RCY19" s="433"/>
      <c r="RCZ19" s="433"/>
      <c r="RDA19" s="433"/>
      <c r="RDB19" s="433"/>
      <c r="RDC19" s="433"/>
      <c r="RDD19" s="433"/>
      <c r="RDE19" s="433"/>
      <c r="RDF19" s="433"/>
      <c r="RDG19" s="433"/>
      <c r="RDH19" s="433"/>
      <c r="RDI19" s="433"/>
      <c r="RDJ19" s="433"/>
      <c r="RDK19" s="433"/>
      <c r="RDL19" s="433"/>
      <c r="RDM19" s="433"/>
      <c r="RDN19" s="433"/>
      <c r="RDO19" s="433"/>
      <c r="RDP19" s="433"/>
      <c r="RDQ19" s="433"/>
      <c r="RDR19" s="433"/>
      <c r="RDS19" s="433"/>
      <c r="RDT19" s="433"/>
      <c r="RDU19" s="433"/>
      <c r="RDV19" s="433"/>
      <c r="RDW19" s="433"/>
      <c r="RDX19" s="433"/>
      <c r="RDY19" s="433"/>
      <c r="RDZ19" s="433"/>
      <c r="REA19" s="433"/>
      <c r="REB19" s="433"/>
      <c r="REC19" s="433"/>
      <c r="RED19" s="433"/>
      <c r="REE19" s="433"/>
      <c r="REF19" s="433"/>
      <c r="REG19" s="433"/>
      <c r="REH19" s="433"/>
      <c r="REI19" s="433"/>
      <c r="REJ19" s="433"/>
      <c r="REK19" s="433"/>
      <c r="REL19" s="433"/>
      <c r="REM19" s="433"/>
      <c r="REN19" s="433"/>
      <c r="REO19" s="433"/>
      <c r="REP19" s="433"/>
      <c r="REQ19" s="433"/>
      <c r="RER19" s="433"/>
      <c r="RES19" s="433"/>
      <c r="RET19" s="433"/>
      <c r="REU19" s="433"/>
      <c r="REV19" s="433"/>
      <c r="REW19" s="433"/>
      <c r="REX19" s="433"/>
      <c r="REY19" s="433"/>
      <c r="REZ19" s="433"/>
      <c r="RFA19" s="433"/>
      <c r="RFB19" s="433"/>
      <c r="RFC19" s="433"/>
      <c r="RFD19" s="433"/>
      <c r="RFE19" s="433"/>
      <c r="RFF19" s="433"/>
      <c r="RFG19" s="433"/>
      <c r="RFH19" s="433"/>
      <c r="RFI19" s="433"/>
      <c r="RFJ19" s="433"/>
      <c r="RFK19" s="433"/>
      <c r="RFL19" s="433"/>
      <c r="RFM19" s="433"/>
      <c r="RFN19" s="433"/>
      <c r="RFO19" s="433"/>
      <c r="RFP19" s="433"/>
      <c r="RFQ19" s="433"/>
      <c r="RFR19" s="433"/>
      <c r="RFS19" s="433"/>
      <c r="RFT19" s="433"/>
      <c r="RFU19" s="433"/>
      <c r="RFV19" s="433"/>
      <c r="RFW19" s="433"/>
      <c r="RFX19" s="433"/>
      <c r="RFY19" s="433"/>
      <c r="RFZ19" s="433"/>
      <c r="RGA19" s="433"/>
      <c r="RGB19" s="433"/>
      <c r="RGC19" s="433"/>
      <c r="RGD19" s="433"/>
      <c r="RGE19" s="433"/>
      <c r="RGF19" s="433"/>
      <c r="RGG19" s="433"/>
      <c r="RGH19" s="433"/>
      <c r="RGI19" s="433"/>
      <c r="RGJ19" s="433"/>
      <c r="RGK19" s="433"/>
      <c r="RGL19" s="433"/>
      <c r="RGM19" s="433"/>
      <c r="RGN19" s="433"/>
      <c r="RGO19" s="433"/>
      <c r="RGP19" s="433"/>
      <c r="RGQ19" s="433"/>
      <c r="RGR19" s="433"/>
      <c r="RGS19" s="433"/>
      <c r="RGT19" s="433"/>
      <c r="RGU19" s="433"/>
      <c r="RGV19" s="433"/>
      <c r="RGW19" s="433"/>
      <c r="RGX19" s="433"/>
      <c r="RGY19" s="433"/>
      <c r="RGZ19" s="433"/>
      <c r="RHA19" s="433"/>
      <c r="RHB19" s="433"/>
      <c r="RHC19" s="433"/>
      <c r="RHD19" s="433"/>
      <c r="RHE19" s="433"/>
      <c r="RHF19" s="433"/>
      <c r="RHG19" s="433"/>
      <c r="RHH19" s="433"/>
      <c r="RHI19" s="433"/>
      <c r="RHJ19" s="433"/>
      <c r="RHK19" s="433"/>
      <c r="RHL19" s="433"/>
      <c r="RHM19" s="433"/>
      <c r="RHN19" s="433"/>
      <c r="RHO19" s="433"/>
      <c r="RHP19" s="433"/>
      <c r="RHQ19" s="433"/>
      <c r="RHR19" s="433"/>
      <c r="RHS19" s="433"/>
      <c r="RHT19" s="433"/>
      <c r="RHU19" s="433"/>
      <c r="RHV19" s="433"/>
      <c r="RHW19" s="433"/>
      <c r="RHX19" s="433"/>
      <c r="RHY19" s="433"/>
      <c r="RHZ19" s="433"/>
      <c r="RIA19" s="433"/>
      <c r="RIB19" s="433"/>
      <c r="RIC19" s="433"/>
      <c r="RID19" s="433"/>
      <c r="RIE19" s="433"/>
      <c r="RIF19" s="433"/>
      <c r="RIG19" s="433"/>
      <c r="RIH19" s="433"/>
      <c r="RII19" s="433"/>
      <c r="RIJ19" s="433"/>
      <c r="RIK19" s="433"/>
      <c r="RIL19" s="433"/>
      <c r="RIM19" s="433"/>
      <c r="RIN19" s="433"/>
      <c r="RIO19" s="433"/>
      <c r="RIP19" s="433"/>
      <c r="RIQ19" s="433"/>
      <c r="RIR19" s="433"/>
      <c r="RIS19" s="433"/>
      <c r="RIT19" s="433"/>
      <c r="RIU19" s="433"/>
      <c r="RIV19" s="433"/>
      <c r="RIW19" s="433"/>
      <c r="RIX19" s="433"/>
      <c r="RIY19" s="433"/>
      <c r="RIZ19" s="433"/>
      <c r="RJA19" s="433"/>
      <c r="RJB19" s="433"/>
      <c r="RJC19" s="433"/>
      <c r="RJD19" s="433"/>
      <c r="RJE19" s="433"/>
      <c r="RJF19" s="433"/>
      <c r="RJG19" s="433"/>
      <c r="RJH19" s="433"/>
      <c r="RJI19" s="433"/>
      <c r="RJJ19" s="433"/>
      <c r="RJK19" s="433"/>
      <c r="RJL19" s="433"/>
      <c r="RJM19" s="433"/>
      <c r="RJN19" s="433"/>
      <c r="RJO19" s="433"/>
      <c r="RJP19" s="433"/>
      <c r="RJQ19" s="433"/>
      <c r="RJR19" s="433"/>
      <c r="RJS19" s="433"/>
      <c r="RJT19" s="433"/>
      <c r="RJU19" s="433"/>
      <c r="RJV19" s="433"/>
      <c r="RJW19" s="433"/>
      <c r="RJX19" s="433"/>
      <c r="RJY19" s="433"/>
      <c r="RJZ19" s="433"/>
      <c r="RKA19" s="433"/>
      <c r="RKB19" s="433"/>
      <c r="RKC19" s="433"/>
      <c r="RKD19" s="433"/>
      <c r="RKE19" s="433"/>
      <c r="RKF19" s="433"/>
      <c r="RKG19" s="433"/>
      <c r="RKH19" s="433"/>
      <c r="RKI19" s="433"/>
      <c r="RKJ19" s="433"/>
      <c r="RKK19" s="433"/>
      <c r="RKL19" s="433"/>
      <c r="RKM19" s="433"/>
      <c r="RKN19" s="433"/>
      <c r="RKO19" s="433"/>
      <c r="RKP19" s="433"/>
      <c r="RKQ19" s="433"/>
      <c r="RKR19" s="433"/>
      <c r="RKS19" s="433"/>
      <c r="RKT19" s="433"/>
      <c r="RKU19" s="433"/>
      <c r="RKV19" s="433"/>
      <c r="RKW19" s="433"/>
      <c r="RKX19" s="433"/>
      <c r="RKY19" s="433"/>
      <c r="RKZ19" s="433"/>
      <c r="RLA19" s="433"/>
      <c r="RLB19" s="433"/>
      <c r="RLC19" s="433"/>
      <c r="RLD19" s="433"/>
      <c r="RLE19" s="433"/>
      <c r="RLF19" s="433"/>
      <c r="RLG19" s="433"/>
      <c r="RLH19" s="433"/>
      <c r="RLI19" s="433"/>
      <c r="RLJ19" s="433"/>
      <c r="RLK19" s="433"/>
      <c r="RLL19" s="433"/>
      <c r="RLM19" s="433"/>
      <c r="RLN19" s="433"/>
      <c r="RLO19" s="433"/>
      <c r="RLP19" s="433"/>
      <c r="RLQ19" s="433"/>
      <c r="RLR19" s="433"/>
      <c r="RLS19" s="433"/>
      <c r="RLT19" s="433"/>
      <c r="RLU19" s="433"/>
      <c r="RLV19" s="433"/>
      <c r="RLW19" s="433"/>
      <c r="RLX19" s="433"/>
      <c r="RLY19" s="433"/>
      <c r="RLZ19" s="433"/>
      <c r="RMA19" s="433"/>
      <c r="RMB19" s="433"/>
      <c r="RMC19" s="433"/>
      <c r="RMD19" s="433"/>
      <c r="RME19" s="433"/>
      <c r="RMF19" s="433"/>
      <c r="RMG19" s="433"/>
      <c r="RMH19" s="433"/>
      <c r="RMI19" s="433"/>
      <c r="RMJ19" s="433"/>
      <c r="RMK19" s="433"/>
      <c r="RML19" s="433"/>
      <c r="RMM19" s="433"/>
      <c r="RMN19" s="433"/>
      <c r="RMO19" s="433"/>
      <c r="RMP19" s="433"/>
      <c r="RMQ19" s="433"/>
      <c r="RMR19" s="433"/>
      <c r="RMS19" s="433"/>
      <c r="RMT19" s="433"/>
      <c r="RMU19" s="433"/>
      <c r="RMV19" s="433"/>
      <c r="RMW19" s="433"/>
      <c r="RMX19" s="433"/>
      <c r="RMY19" s="433"/>
      <c r="RMZ19" s="433"/>
      <c r="RNA19" s="433"/>
      <c r="RNB19" s="433"/>
      <c r="RNC19" s="433"/>
      <c r="RND19" s="433"/>
      <c r="RNE19" s="433"/>
      <c r="RNF19" s="433"/>
      <c r="RNG19" s="433"/>
      <c r="RNH19" s="433"/>
      <c r="RNI19" s="433"/>
      <c r="RNJ19" s="433"/>
      <c r="RNK19" s="433"/>
      <c r="RNL19" s="433"/>
      <c r="RNM19" s="433"/>
      <c r="RNN19" s="433"/>
      <c r="RNO19" s="433"/>
      <c r="RNP19" s="433"/>
      <c r="RNQ19" s="433"/>
      <c r="RNR19" s="433"/>
      <c r="RNS19" s="433"/>
      <c r="RNT19" s="433"/>
      <c r="RNU19" s="433"/>
      <c r="RNV19" s="433"/>
      <c r="RNW19" s="433"/>
      <c r="RNX19" s="433"/>
      <c r="RNY19" s="433"/>
      <c r="RNZ19" s="433"/>
      <c r="ROA19" s="433"/>
      <c r="ROB19" s="433"/>
      <c r="ROC19" s="433"/>
      <c r="ROD19" s="433"/>
      <c r="ROE19" s="433"/>
      <c r="ROF19" s="433"/>
      <c r="ROG19" s="433"/>
      <c r="ROH19" s="433"/>
      <c r="ROI19" s="433"/>
      <c r="ROJ19" s="433"/>
      <c r="ROK19" s="433"/>
      <c r="ROL19" s="433"/>
      <c r="ROM19" s="433"/>
      <c r="RON19" s="433"/>
      <c r="ROO19" s="433"/>
      <c r="ROP19" s="433"/>
      <c r="ROQ19" s="433"/>
      <c r="ROR19" s="433"/>
      <c r="ROS19" s="433"/>
      <c r="ROT19" s="433"/>
      <c r="ROU19" s="433"/>
      <c r="ROV19" s="433"/>
      <c r="ROW19" s="433"/>
      <c r="ROX19" s="433"/>
      <c r="ROY19" s="433"/>
      <c r="ROZ19" s="433"/>
      <c r="RPA19" s="433"/>
      <c r="RPB19" s="433"/>
      <c r="RPC19" s="433"/>
      <c r="RPD19" s="433"/>
      <c r="RPE19" s="433"/>
      <c r="RPF19" s="433"/>
      <c r="RPG19" s="433"/>
      <c r="RPH19" s="433"/>
      <c r="RPI19" s="433"/>
      <c r="RPJ19" s="433"/>
      <c r="RPK19" s="433"/>
      <c r="RPL19" s="433"/>
      <c r="RPM19" s="433"/>
      <c r="RPN19" s="433"/>
      <c r="RPO19" s="433"/>
      <c r="RPP19" s="433"/>
      <c r="RPQ19" s="433"/>
      <c r="RPR19" s="433"/>
      <c r="RPS19" s="433"/>
      <c r="RPT19" s="433"/>
      <c r="RPU19" s="433"/>
      <c r="RPV19" s="433"/>
      <c r="RPW19" s="433"/>
      <c r="RPX19" s="433"/>
      <c r="RPY19" s="433"/>
      <c r="RPZ19" s="433"/>
      <c r="RQA19" s="433"/>
      <c r="RQB19" s="433"/>
      <c r="RQC19" s="433"/>
      <c r="RQD19" s="433"/>
      <c r="RQE19" s="433"/>
      <c r="RQF19" s="433"/>
      <c r="RQG19" s="433"/>
      <c r="RQH19" s="433"/>
      <c r="RQI19" s="433"/>
      <c r="RQJ19" s="433"/>
      <c r="RQK19" s="433"/>
      <c r="RQL19" s="433"/>
      <c r="RQM19" s="433"/>
      <c r="RQN19" s="433"/>
      <c r="RQO19" s="433"/>
      <c r="RQP19" s="433"/>
      <c r="RQQ19" s="433"/>
      <c r="RQR19" s="433"/>
      <c r="RQS19" s="433"/>
      <c r="RQT19" s="433"/>
      <c r="RQU19" s="433"/>
      <c r="RQV19" s="433"/>
      <c r="RQW19" s="433"/>
      <c r="RQX19" s="433"/>
      <c r="RQY19" s="433"/>
      <c r="RQZ19" s="433"/>
      <c r="RRA19" s="433"/>
      <c r="RRB19" s="433"/>
      <c r="RRC19" s="433"/>
      <c r="RRD19" s="433"/>
      <c r="RRE19" s="433"/>
      <c r="RRF19" s="433"/>
      <c r="RRG19" s="433"/>
      <c r="RRH19" s="433"/>
      <c r="RRI19" s="433"/>
      <c r="RRJ19" s="433"/>
      <c r="RRK19" s="433"/>
      <c r="RRL19" s="433"/>
      <c r="RRM19" s="433"/>
      <c r="RRN19" s="433"/>
      <c r="RRO19" s="433"/>
      <c r="RRP19" s="433"/>
      <c r="RRQ19" s="433"/>
      <c r="RRR19" s="433"/>
      <c r="RRS19" s="433"/>
      <c r="RRT19" s="433"/>
      <c r="RRU19" s="433"/>
      <c r="RRV19" s="433"/>
      <c r="RRW19" s="433"/>
      <c r="RRX19" s="433"/>
      <c r="RRY19" s="433"/>
      <c r="RRZ19" s="433"/>
      <c r="RSA19" s="433"/>
      <c r="RSB19" s="433"/>
      <c r="RSC19" s="433"/>
      <c r="RSD19" s="433"/>
      <c r="RSE19" s="433"/>
      <c r="RSF19" s="433"/>
      <c r="RSG19" s="433"/>
      <c r="RSH19" s="433"/>
      <c r="RSI19" s="433"/>
      <c r="RSJ19" s="433"/>
      <c r="RSK19" s="433"/>
      <c r="RSL19" s="433"/>
      <c r="RSM19" s="433"/>
      <c r="RSN19" s="433"/>
      <c r="RSO19" s="433"/>
      <c r="RSP19" s="433"/>
      <c r="RSQ19" s="433"/>
      <c r="RSR19" s="433"/>
      <c r="RSS19" s="433"/>
      <c r="RST19" s="433"/>
      <c r="RSU19" s="433"/>
      <c r="RSV19" s="433"/>
      <c r="RSW19" s="433"/>
      <c r="RSX19" s="433"/>
      <c r="RSY19" s="433"/>
      <c r="RSZ19" s="433"/>
      <c r="RTA19" s="433"/>
      <c r="RTB19" s="433"/>
      <c r="RTC19" s="433"/>
      <c r="RTD19" s="433"/>
      <c r="RTE19" s="433"/>
      <c r="RTF19" s="433"/>
      <c r="RTG19" s="433"/>
      <c r="RTH19" s="433"/>
      <c r="RTI19" s="433"/>
      <c r="RTJ19" s="433"/>
      <c r="RTK19" s="433"/>
      <c r="RTL19" s="433"/>
      <c r="RTM19" s="433"/>
      <c r="RTN19" s="433"/>
      <c r="RTO19" s="433"/>
      <c r="RTP19" s="433"/>
      <c r="RTQ19" s="433"/>
      <c r="RTR19" s="433"/>
      <c r="RTS19" s="433"/>
      <c r="RTT19" s="433"/>
      <c r="RTU19" s="433"/>
      <c r="RTV19" s="433"/>
      <c r="RTW19" s="433"/>
      <c r="RTX19" s="433"/>
      <c r="RTY19" s="433"/>
      <c r="RTZ19" s="433"/>
      <c r="RUA19" s="433"/>
      <c r="RUB19" s="433"/>
      <c r="RUC19" s="433"/>
      <c r="RUD19" s="433"/>
      <c r="RUE19" s="433"/>
      <c r="RUF19" s="433"/>
      <c r="RUG19" s="433"/>
      <c r="RUH19" s="433"/>
      <c r="RUI19" s="433"/>
      <c r="RUJ19" s="433"/>
      <c r="RUK19" s="433"/>
      <c r="RUL19" s="433"/>
      <c r="RUM19" s="433"/>
      <c r="RUN19" s="433"/>
      <c r="RUO19" s="433"/>
      <c r="RUP19" s="433"/>
      <c r="RUQ19" s="433"/>
      <c r="RUR19" s="433"/>
      <c r="RUS19" s="433"/>
      <c r="RUT19" s="433"/>
      <c r="RUU19" s="433"/>
      <c r="RUV19" s="433"/>
      <c r="RUW19" s="433"/>
      <c r="RUX19" s="433"/>
      <c r="RUY19" s="433"/>
      <c r="RUZ19" s="433"/>
      <c r="RVA19" s="433"/>
      <c r="RVB19" s="433"/>
      <c r="RVC19" s="433"/>
      <c r="RVD19" s="433"/>
      <c r="RVE19" s="433"/>
      <c r="RVF19" s="433"/>
      <c r="RVG19" s="433"/>
      <c r="RVH19" s="433"/>
      <c r="RVI19" s="433"/>
      <c r="RVJ19" s="433"/>
      <c r="RVK19" s="433"/>
      <c r="RVL19" s="433"/>
      <c r="RVM19" s="433"/>
      <c r="RVN19" s="433"/>
      <c r="RVO19" s="433"/>
      <c r="RVP19" s="433"/>
      <c r="RVQ19" s="433"/>
      <c r="RVR19" s="433"/>
      <c r="RVS19" s="433"/>
      <c r="RVT19" s="433"/>
      <c r="RVU19" s="433"/>
      <c r="RVV19" s="433"/>
      <c r="RVW19" s="433"/>
      <c r="RVX19" s="433"/>
      <c r="RVY19" s="433"/>
      <c r="RVZ19" s="433"/>
      <c r="RWA19" s="433"/>
      <c r="RWB19" s="433"/>
      <c r="RWC19" s="433"/>
      <c r="RWD19" s="433"/>
      <c r="RWE19" s="433"/>
      <c r="RWF19" s="433"/>
      <c r="RWG19" s="433"/>
      <c r="RWH19" s="433"/>
      <c r="RWI19" s="433"/>
      <c r="RWJ19" s="433"/>
      <c r="RWK19" s="433"/>
      <c r="RWL19" s="433"/>
      <c r="RWM19" s="433"/>
      <c r="RWN19" s="433"/>
      <c r="RWO19" s="433"/>
      <c r="RWP19" s="433"/>
      <c r="RWQ19" s="433"/>
      <c r="RWR19" s="433"/>
      <c r="RWS19" s="433"/>
      <c r="RWT19" s="433"/>
      <c r="RWU19" s="433"/>
      <c r="RWV19" s="433"/>
      <c r="RWW19" s="433"/>
      <c r="RWX19" s="433"/>
      <c r="RWY19" s="433"/>
      <c r="RWZ19" s="433"/>
      <c r="RXA19" s="433"/>
      <c r="RXB19" s="433"/>
      <c r="RXC19" s="433"/>
      <c r="RXD19" s="433"/>
      <c r="RXE19" s="433"/>
      <c r="RXF19" s="433"/>
      <c r="RXG19" s="433"/>
      <c r="RXH19" s="433"/>
      <c r="RXI19" s="433"/>
      <c r="RXJ19" s="433"/>
      <c r="RXK19" s="433"/>
      <c r="RXL19" s="433"/>
      <c r="RXM19" s="433"/>
      <c r="RXN19" s="433"/>
      <c r="RXO19" s="433"/>
      <c r="RXP19" s="433"/>
      <c r="RXQ19" s="433"/>
      <c r="RXR19" s="433"/>
      <c r="RXS19" s="433"/>
      <c r="RXT19" s="433"/>
      <c r="RXU19" s="433"/>
      <c r="RXV19" s="433"/>
      <c r="RXW19" s="433"/>
      <c r="RXX19" s="433"/>
      <c r="RXY19" s="433"/>
      <c r="RXZ19" s="433"/>
      <c r="RYA19" s="433"/>
      <c r="RYB19" s="433"/>
      <c r="RYC19" s="433"/>
      <c r="RYD19" s="433"/>
      <c r="RYE19" s="433"/>
      <c r="RYF19" s="433"/>
      <c r="RYG19" s="433"/>
      <c r="RYH19" s="433"/>
      <c r="RYI19" s="433"/>
      <c r="RYJ19" s="433"/>
      <c r="RYK19" s="433"/>
      <c r="RYL19" s="433"/>
      <c r="RYM19" s="433"/>
      <c r="RYN19" s="433"/>
      <c r="RYO19" s="433"/>
      <c r="RYP19" s="433"/>
      <c r="RYQ19" s="433"/>
      <c r="RYR19" s="433"/>
      <c r="RYS19" s="433"/>
      <c r="RYT19" s="433"/>
      <c r="RYU19" s="433"/>
      <c r="RYV19" s="433"/>
      <c r="RYW19" s="433"/>
      <c r="RYX19" s="433"/>
      <c r="RYY19" s="433"/>
      <c r="RYZ19" s="433"/>
      <c r="RZA19" s="433"/>
      <c r="RZB19" s="433"/>
      <c r="RZC19" s="433"/>
      <c r="RZD19" s="433"/>
      <c r="RZE19" s="433"/>
      <c r="RZF19" s="433"/>
      <c r="RZG19" s="433"/>
      <c r="RZH19" s="433"/>
      <c r="RZI19" s="433"/>
      <c r="RZJ19" s="433"/>
      <c r="RZK19" s="433"/>
      <c r="RZL19" s="433"/>
      <c r="RZM19" s="433"/>
      <c r="RZN19" s="433"/>
      <c r="RZO19" s="433"/>
      <c r="RZP19" s="433"/>
      <c r="RZQ19" s="433"/>
      <c r="RZR19" s="433"/>
      <c r="RZS19" s="433"/>
      <c r="RZT19" s="433"/>
      <c r="RZU19" s="433"/>
      <c r="RZV19" s="433"/>
      <c r="RZW19" s="433"/>
      <c r="RZX19" s="433"/>
      <c r="RZY19" s="433"/>
      <c r="RZZ19" s="433"/>
      <c r="SAA19" s="433"/>
      <c r="SAB19" s="433"/>
      <c r="SAC19" s="433"/>
      <c r="SAD19" s="433"/>
      <c r="SAE19" s="433"/>
      <c r="SAF19" s="433"/>
      <c r="SAG19" s="433"/>
      <c r="SAH19" s="433"/>
      <c r="SAI19" s="433"/>
      <c r="SAJ19" s="433"/>
      <c r="SAK19" s="433"/>
      <c r="SAL19" s="433"/>
      <c r="SAM19" s="433"/>
      <c r="SAN19" s="433"/>
      <c r="SAO19" s="433"/>
      <c r="SAP19" s="433"/>
      <c r="SAQ19" s="433"/>
      <c r="SAR19" s="433"/>
      <c r="SAS19" s="433"/>
      <c r="SAT19" s="433"/>
      <c r="SAU19" s="433"/>
      <c r="SAV19" s="433"/>
      <c r="SAW19" s="433"/>
      <c r="SAX19" s="433"/>
      <c r="SAY19" s="433"/>
      <c r="SAZ19" s="433"/>
      <c r="SBA19" s="433"/>
      <c r="SBB19" s="433"/>
      <c r="SBC19" s="433"/>
      <c r="SBD19" s="433"/>
      <c r="SBE19" s="433"/>
      <c r="SBF19" s="433"/>
      <c r="SBG19" s="433"/>
      <c r="SBH19" s="433"/>
      <c r="SBI19" s="433"/>
      <c r="SBJ19" s="433"/>
      <c r="SBK19" s="433"/>
      <c r="SBL19" s="433"/>
      <c r="SBM19" s="433"/>
      <c r="SBN19" s="433"/>
      <c r="SBO19" s="433"/>
      <c r="SBP19" s="433"/>
      <c r="SBQ19" s="433"/>
      <c r="SBR19" s="433"/>
      <c r="SBS19" s="433"/>
      <c r="SBT19" s="433"/>
      <c r="SBU19" s="433"/>
      <c r="SBV19" s="433"/>
      <c r="SBW19" s="433"/>
      <c r="SBX19" s="433"/>
      <c r="SBY19" s="433"/>
      <c r="SBZ19" s="433"/>
      <c r="SCA19" s="433"/>
      <c r="SCB19" s="433"/>
      <c r="SCC19" s="433"/>
      <c r="SCD19" s="433"/>
      <c r="SCE19" s="433"/>
      <c r="SCF19" s="433"/>
      <c r="SCG19" s="433"/>
      <c r="SCH19" s="433"/>
      <c r="SCI19" s="433"/>
      <c r="SCJ19" s="433"/>
      <c r="SCK19" s="433"/>
      <c r="SCL19" s="433"/>
      <c r="SCM19" s="433"/>
      <c r="SCN19" s="433"/>
      <c r="SCO19" s="433"/>
      <c r="SCP19" s="433"/>
      <c r="SCQ19" s="433"/>
      <c r="SCR19" s="433"/>
      <c r="SCS19" s="433"/>
      <c r="SCT19" s="433"/>
      <c r="SCU19" s="433"/>
      <c r="SCV19" s="433"/>
      <c r="SCW19" s="433"/>
      <c r="SCX19" s="433"/>
      <c r="SCY19" s="433"/>
      <c r="SCZ19" s="433"/>
      <c r="SDA19" s="433"/>
      <c r="SDB19" s="433"/>
      <c r="SDC19" s="433"/>
      <c r="SDD19" s="433"/>
      <c r="SDE19" s="433"/>
      <c r="SDF19" s="433"/>
      <c r="SDG19" s="433"/>
      <c r="SDH19" s="433"/>
      <c r="SDI19" s="433"/>
      <c r="SDJ19" s="433"/>
      <c r="SDK19" s="433"/>
      <c r="SDL19" s="433"/>
      <c r="SDM19" s="433"/>
      <c r="SDN19" s="433"/>
      <c r="SDO19" s="433"/>
      <c r="SDP19" s="433"/>
      <c r="SDQ19" s="433"/>
      <c r="SDR19" s="433"/>
      <c r="SDS19" s="433"/>
      <c r="SDT19" s="433"/>
      <c r="SDU19" s="433"/>
      <c r="SDV19" s="433"/>
      <c r="SDW19" s="433"/>
      <c r="SDX19" s="433"/>
      <c r="SDY19" s="433"/>
      <c r="SDZ19" s="433"/>
      <c r="SEA19" s="433"/>
      <c r="SEB19" s="433"/>
      <c r="SEC19" s="433"/>
      <c r="SED19" s="433"/>
      <c r="SEE19" s="433"/>
      <c r="SEF19" s="433"/>
      <c r="SEG19" s="433"/>
      <c r="SEH19" s="433"/>
      <c r="SEI19" s="433"/>
      <c r="SEJ19" s="433"/>
      <c r="SEK19" s="433"/>
      <c r="SEL19" s="433"/>
      <c r="SEM19" s="433"/>
      <c r="SEN19" s="433"/>
      <c r="SEO19" s="433"/>
      <c r="SEP19" s="433"/>
      <c r="SEQ19" s="433"/>
      <c r="SER19" s="433"/>
      <c r="SES19" s="433"/>
      <c r="SET19" s="433"/>
      <c r="SEU19" s="433"/>
      <c r="SEV19" s="433"/>
      <c r="SEW19" s="433"/>
      <c r="SEX19" s="433"/>
      <c r="SEY19" s="433"/>
      <c r="SEZ19" s="433"/>
      <c r="SFA19" s="433"/>
      <c r="SFB19" s="433"/>
      <c r="SFC19" s="433"/>
      <c r="SFD19" s="433"/>
      <c r="SFE19" s="433"/>
      <c r="SFF19" s="433"/>
      <c r="SFG19" s="433"/>
      <c r="SFH19" s="433"/>
      <c r="SFI19" s="433"/>
      <c r="SFJ19" s="433"/>
      <c r="SFK19" s="433"/>
      <c r="SFL19" s="433"/>
      <c r="SFM19" s="433"/>
      <c r="SFN19" s="433"/>
      <c r="SFO19" s="433"/>
      <c r="SFP19" s="433"/>
      <c r="SFQ19" s="433"/>
      <c r="SFR19" s="433"/>
      <c r="SFS19" s="433"/>
      <c r="SFT19" s="433"/>
      <c r="SFU19" s="433"/>
      <c r="SFV19" s="433"/>
      <c r="SFW19" s="433"/>
      <c r="SFX19" s="433"/>
      <c r="SFY19" s="433"/>
      <c r="SFZ19" s="433"/>
      <c r="SGA19" s="433"/>
      <c r="SGB19" s="433"/>
      <c r="SGC19" s="433"/>
      <c r="SGD19" s="433"/>
      <c r="SGE19" s="433"/>
      <c r="SGF19" s="433"/>
      <c r="SGG19" s="433"/>
      <c r="SGH19" s="433"/>
      <c r="SGI19" s="433"/>
      <c r="SGJ19" s="433"/>
      <c r="SGK19" s="433"/>
      <c r="SGL19" s="433"/>
      <c r="SGM19" s="433"/>
      <c r="SGN19" s="433"/>
      <c r="SGO19" s="433"/>
      <c r="SGP19" s="433"/>
      <c r="SGQ19" s="433"/>
      <c r="SGR19" s="433"/>
      <c r="SGS19" s="433"/>
      <c r="SGT19" s="433"/>
      <c r="SGU19" s="433"/>
      <c r="SGV19" s="433"/>
      <c r="SGW19" s="433"/>
      <c r="SGX19" s="433"/>
      <c r="SGY19" s="433"/>
      <c r="SGZ19" s="433"/>
      <c r="SHA19" s="433"/>
      <c r="SHB19" s="433"/>
      <c r="SHC19" s="433"/>
      <c r="SHD19" s="433"/>
      <c r="SHE19" s="433"/>
      <c r="SHF19" s="433"/>
      <c r="SHG19" s="433"/>
      <c r="SHH19" s="433"/>
      <c r="SHI19" s="433"/>
      <c r="SHJ19" s="433"/>
      <c r="SHK19" s="433"/>
      <c r="SHL19" s="433"/>
      <c r="SHM19" s="433"/>
      <c r="SHN19" s="433"/>
      <c r="SHO19" s="433"/>
      <c r="SHP19" s="433"/>
      <c r="SHQ19" s="433"/>
      <c r="SHR19" s="433"/>
      <c r="SHS19" s="433"/>
      <c r="SHT19" s="433"/>
      <c r="SHU19" s="433"/>
      <c r="SHV19" s="433"/>
      <c r="SHW19" s="433"/>
      <c r="SHX19" s="433"/>
      <c r="SHY19" s="433"/>
      <c r="SHZ19" s="433"/>
      <c r="SIA19" s="433"/>
      <c r="SIB19" s="433"/>
      <c r="SIC19" s="433"/>
      <c r="SID19" s="433"/>
      <c r="SIE19" s="433"/>
      <c r="SIF19" s="433"/>
      <c r="SIG19" s="433"/>
      <c r="SIH19" s="433"/>
      <c r="SII19" s="433"/>
      <c r="SIJ19" s="433"/>
      <c r="SIK19" s="433"/>
      <c r="SIL19" s="433"/>
      <c r="SIM19" s="433"/>
      <c r="SIN19" s="433"/>
      <c r="SIO19" s="433"/>
      <c r="SIP19" s="433"/>
      <c r="SIQ19" s="433"/>
      <c r="SIR19" s="433"/>
      <c r="SIS19" s="433"/>
      <c r="SIT19" s="433"/>
      <c r="SIU19" s="433"/>
      <c r="SIV19" s="433"/>
      <c r="SIW19" s="433"/>
      <c r="SIX19" s="433"/>
      <c r="SIY19" s="433"/>
      <c r="SIZ19" s="433"/>
      <c r="SJA19" s="433"/>
      <c r="SJB19" s="433"/>
      <c r="SJC19" s="433"/>
      <c r="SJD19" s="433"/>
      <c r="SJE19" s="433"/>
      <c r="SJF19" s="433"/>
      <c r="SJG19" s="433"/>
      <c r="SJH19" s="433"/>
      <c r="SJI19" s="433"/>
      <c r="SJJ19" s="433"/>
      <c r="SJK19" s="433"/>
      <c r="SJL19" s="433"/>
      <c r="SJM19" s="433"/>
      <c r="SJN19" s="433"/>
      <c r="SJO19" s="433"/>
      <c r="SJP19" s="433"/>
      <c r="SJQ19" s="433"/>
      <c r="SJR19" s="433"/>
      <c r="SJS19" s="433"/>
      <c r="SJT19" s="433"/>
      <c r="SJU19" s="433"/>
      <c r="SJV19" s="433"/>
      <c r="SJW19" s="433"/>
      <c r="SJX19" s="433"/>
      <c r="SJY19" s="433"/>
      <c r="SJZ19" s="433"/>
      <c r="SKA19" s="433"/>
      <c r="SKB19" s="433"/>
      <c r="SKC19" s="433"/>
      <c r="SKD19" s="433"/>
      <c r="SKE19" s="433"/>
      <c r="SKF19" s="433"/>
      <c r="SKG19" s="433"/>
      <c r="SKH19" s="433"/>
      <c r="SKI19" s="433"/>
      <c r="SKJ19" s="433"/>
      <c r="SKK19" s="433"/>
      <c r="SKL19" s="433"/>
      <c r="SKM19" s="433"/>
      <c r="SKN19" s="433"/>
      <c r="SKO19" s="433"/>
      <c r="SKP19" s="433"/>
      <c r="SKQ19" s="433"/>
      <c r="SKR19" s="433"/>
      <c r="SKS19" s="433"/>
      <c r="SKT19" s="433"/>
      <c r="SKU19" s="433"/>
      <c r="SKV19" s="433"/>
      <c r="SKW19" s="433"/>
      <c r="SKX19" s="433"/>
      <c r="SKY19" s="433"/>
      <c r="SKZ19" s="433"/>
      <c r="SLA19" s="433"/>
      <c r="SLB19" s="433"/>
      <c r="SLC19" s="433"/>
      <c r="SLD19" s="433"/>
      <c r="SLE19" s="433"/>
      <c r="SLF19" s="433"/>
      <c r="SLG19" s="433"/>
      <c r="SLH19" s="433"/>
      <c r="SLI19" s="433"/>
      <c r="SLJ19" s="433"/>
      <c r="SLK19" s="433"/>
      <c r="SLL19" s="433"/>
      <c r="SLM19" s="433"/>
      <c r="SLN19" s="433"/>
      <c r="SLO19" s="433"/>
      <c r="SLP19" s="433"/>
      <c r="SLQ19" s="433"/>
      <c r="SLR19" s="433"/>
      <c r="SLS19" s="433"/>
      <c r="SLT19" s="433"/>
      <c r="SLU19" s="433"/>
      <c r="SLV19" s="433"/>
      <c r="SLW19" s="433"/>
      <c r="SLX19" s="433"/>
      <c r="SLY19" s="433"/>
      <c r="SLZ19" s="433"/>
      <c r="SMA19" s="433"/>
      <c r="SMB19" s="433"/>
      <c r="SMC19" s="433"/>
      <c r="SMD19" s="433"/>
      <c r="SME19" s="433"/>
      <c r="SMF19" s="433"/>
      <c r="SMG19" s="433"/>
      <c r="SMH19" s="433"/>
      <c r="SMI19" s="433"/>
      <c r="SMJ19" s="433"/>
      <c r="SMK19" s="433"/>
      <c r="SML19" s="433"/>
      <c r="SMM19" s="433"/>
      <c r="SMN19" s="433"/>
      <c r="SMO19" s="433"/>
      <c r="SMP19" s="433"/>
      <c r="SMQ19" s="433"/>
      <c r="SMR19" s="433"/>
      <c r="SMS19" s="433"/>
      <c r="SMT19" s="433"/>
      <c r="SMU19" s="433"/>
      <c r="SMV19" s="433"/>
      <c r="SMW19" s="433"/>
      <c r="SMX19" s="433"/>
      <c r="SMY19" s="433"/>
      <c r="SMZ19" s="433"/>
      <c r="SNA19" s="433"/>
      <c r="SNB19" s="433"/>
      <c r="SNC19" s="433"/>
      <c r="SND19" s="433"/>
      <c r="SNE19" s="433"/>
      <c r="SNF19" s="433"/>
      <c r="SNG19" s="433"/>
      <c r="SNH19" s="433"/>
      <c r="SNI19" s="433"/>
      <c r="SNJ19" s="433"/>
      <c r="SNK19" s="433"/>
      <c r="SNL19" s="433"/>
      <c r="SNM19" s="433"/>
      <c r="SNN19" s="433"/>
      <c r="SNO19" s="433"/>
      <c r="SNP19" s="433"/>
      <c r="SNQ19" s="433"/>
      <c r="SNR19" s="433"/>
      <c r="SNS19" s="433"/>
      <c r="SNT19" s="433"/>
      <c r="SNU19" s="433"/>
      <c r="SNV19" s="433"/>
      <c r="SNW19" s="433"/>
      <c r="SNX19" s="433"/>
      <c r="SNY19" s="433"/>
      <c r="SNZ19" s="433"/>
      <c r="SOA19" s="433"/>
      <c r="SOB19" s="433"/>
      <c r="SOC19" s="433"/>
      <c r="SOD19" s="433"/>
      <c r="SOE19" s="433"/>
      <c r="SOF19" s="433"/>
      <c r="SOG19" s="433"/>
      <c r="SOH19" s="433"/>
      <c r="SOI19" s="433"/>
      <c r="SOJ19" s="433"/>
      <c r="SOK19" s="433"/>
      <c r="SOL19" s="433"/>
      <c r="SOM19" s="433"/>
      <c r="SON19" s="433"/>
      <c r="SOO19" s="433"/>
      <c r="SOP19" s="433"/>
      <c r="SOQ19" s="433"/>
      <c r="SOR19" s="433"/>
      <c r="SOS19" s="433"/>
      <c r="SOT19" s="433"/>
      <c r="SOU19" s="433"/>
      <c r="SOV19" s="433"/>
      <c r="SOW19" s="433"/>
      <c r="SOX19" s="433"/>
      <c r="SOY19" s="433"/>
      <c r="SOZ19" s="433"/>
      <c r="SPA19" s="433"/>
      <c r="SPB19" s="433"/>
      <c r="SPC19" s="433"/>
      <c r="SPD19" s="433"/>
      <c r="SPE19" s="433"/>
      <c r="SPF19" s="433"/>
      <c r="SPG19" s="433"/>
      <c r="SPH19" s="433"/>
      <c r="SPI19" s="433"/>
      <c r="SPJ19" s="433"/>
      <c r="SPK19" s="433"/>
      <c r="SPL19" s="433"/>
      <c r="SPM19" s="433"/>
      <c r="SPN19" s="433"/>
      <c r="SPO19" s="433"/>
      <c r="SPP19" s="433"/>
      <c r="SPQ19" s="433"/>
      <c r="SPR19" s="433"/>
      <c r="SPS19" s="433"/>
      <c r="SPT19" s="433"/>
      <c r="SPU19" s="433"/>
      <c r="SPV19" s="433"/>
      <c r="SPW19" s="433"/>
      <c r="SPX19" s="433"/>
      <c r="SPY19" s="433"/>
      <c r="SPZ19" s="433"/>
      <c r="SQA19" s="433"/>
      <c r="SQB19" s="433"/>
      <c r="SQC19" s="433"/>
      <c r="SQD19" s="433"/>
      <c r="SQE19" s="433"/>
      <c r="SQF19" s="433"/>
      <c r="SQG19" s="433"/>
      <c r="SQH19" s="433"/>
      <c r="SQI19" s="433"/>
      <c r="SQJ19" s="433"/>
      <c r="SQK19" s="433"/>
      <c r="SQL19" s="433"/>
      <c r="SQM19" s="433"/>
      <c r="SQN19" s="433"/>
      <c r="SQO19" s="433"/>
      <c r="SQP19" s="433"/>
      <c r="SQQ19" s="433"/>
      <c r="SQR19" s="433"/>
      <c r="SQS19" s="433"/>
      <c r="SQT19" s="433"/>
      <c r="SQU19" s="433"/>
      <c r="SQV19" s="433"/>
      <c r="SQW19" s="433"/>
      <c r="SQX19" s="433"/>
      <c r="SQY19" s="433"/>
      <c r="SQZ19" s="433"/>
      <c r="SRA19" s="433"/>
      <c r="SRB19" s="433"/>
      <c r="SRC19" s="433"/>
      <c r="SRD19" s="433"/>
      <c r="SRE19" s="433"/>
      <c r="SRF19" s="433"/>
      <c r="SRG19" s="433"/>
      <c r="SRH19" s="433"/>
      <c r="SRI19" s="433"/>
      <c r="SRJ19" s="433"/>
      <c r="SRK19" s="433"/>
      <c r="SRL19" s="433"/>
      <c r="SRM19" s="433"/>
      <c r="SRN19" s="433"/>
      <c r="SRO19" s="433"/>
      <c r="SRP19" s="433"/>
      <c r="SRQ19" s="433"/>
      <c r="SRR19" s="433"/>
      <c r="SRS19" s="433"/>
      <c r="SRT19" s="433"/>
      <c r="SRU19" s="433"/>
      <c r="SRV19" s="433"/>
      <c r="SRW19" s="433"/>
      <c r="SRX19" s="433"/>
      <c r="SRY19" s="433"/>
      <c r="SRZ19" s="433"/>
      <c r="SSA19" s="433"/>
      <c r="SSB19" s="433"/>
      <c r="SSC19" s="433"/>
      <c r="SSD19" s="433"/>
      <c r="SSE19" s="433"/>
      <c r="SSF19" s="433"/>
      <c r="SSG19" s="433"/>
      <c r="SSH19" s="433"/>
      <c r="SSI19" s="433"/>
      <c r="SSJ19" s="433"/>
      <c r="SSK19" s="433"/>
      <c r="SSL19" s="433"/>
      <c r="SSM19" s="433"/>
      <c r="SSN19" s="433"/>
      <c r="SSO19" s="433"/>
      <c r="SSP19" s="433"/>
      <c r="SSQ19" s="433"/>
      <c r="SSR19" s="433"/>
      <c r="SSS19" s="433"/>
      <c r="SST19" s="433"/>
      <c r="SSU19" s="433"/>
      <c r="SSV19" s="433"/>
      <c r="SSW19" s="433"/>
      <c r="SSX19" s="433"/>
      <c r="SSY19" s="433"/>
      <c r="SSZ19" s="433"/>
      <c r="STA19" s="433"/>
      <c r="STB19" s="433"/>
      <c r="STC19" s="433"/>
      <c r="STD19" s="433"/>
      <c r="STE19" s="433"/>
      <c r="STF19" s="433"/>
      <c r="STG19" s="433"/>
      <c r="STH19" s="433"/>
      <c r="STI19" s="433"/>
      <c r="STJ19" s="433"/>
      <c r="STK19" s="433"/>
      <c r="STL19" s="433"/>
      <c r="STM19" s="433"/>
      <c r="STN19" s="433"/>
      <c r="STO19" s="433"/>
      <c r="STP19" s="433"/>
      <c r="STQ19" s="433"/>
      <c r="STR19" s="433"/>
      <c r="STS19" s="433"/>
      <c r="STT19" s="433"/>
      <c r="STU19" s="433"/>
      <c r="STV19" s="433"/>
      <c r="STW19" s="433"/>
      <c r="STX19" s="433"/>
      <c r="STY19" s="433"/>
      <c r="STZ19" s="433"/>
      <c r="SUA19" s="433"/>
      <c r="SUB19" s="433"/>
      <c r="SUC19" s="433"/>
      <c r="SUD19" s="433"/>
      <c r="SUE19" s="433"/>
      <c r="SUF19" s="433"/>
      <c r="SUG19" s="433"/>
      <c r="SUH19" s="433"/>
      <c r="SUI19" s="433"/>
      <c r="SUJ19" s="433"/>
      <c r="SUK19" s="433"/>
      <c r="SUL19" s="433"/>
      <c r="SUM19" s="433"/>
      <c r="SUN19" s="433"/>
      <c r="SUO19" s="433"/>
      <c r="SUP19" s="433"/>
      <c r="SUQ19" s="433"/>
      <c r="SUR19" s="433"/>
      <c r="SUS19" s="433"/>
      <c r="SUT19" s="433"/>
      <c r="SUU19" s="433"/>
      <c r="SUV19" s="433"/>
      <c r="SUW19" s="433"/>
      <c r="SUX19" s="433"/>
      <c r="SUY19" s="433"/>
      <c r="SUZ19" s="433"/>
      <c r="SVA19" s="433"/>
      <c r="SVB19" s="433"/>
      <c r="SVC19" s="433"/>
      <c r="SVD19" s="433"/>
      <c r="SVE19" s="433"/>
      <c r="SVF19" s="433"/>
      <c r="SVG19" s="433"/>
      <c r="SVH19" s="433"/>
      <c r="SVI19" s="433"/>
      <c r="SVJ19" s="433"/>
      <c r="SVK19" s="433"/>
      <c r="SVL19" s="433"/>
      <c r="SVM19" s="433"/>
      <c r="SVN19" s="433"/>
      <c r="SVO19" s="433"/>
      <c r="SVP19" s="433"/>
      <c r="SVQ19" s="433"/>
      <c r="SVR19" s="433"/>
      <c r="SVS19" s="433"/>
      <c r="SVT19" s="433"/>
      <c r="SVU19" s="433"/>
      <c r="SVV19" s="433"/>
      <c r="SVW19" s="433"/>
      <c r="SVX19" s="433"/>
      <c r="SVY19" s="433"/>
      <c r="SVZ19" s="433"/>
      <c r="SWA19" s="433"/>
      <c r="SWB19" s="433"/>
      <c r="SWC19" s="433"/>
      <c r="SWD19" s="433"/>
      <c r="SWE19" s="433"/>
      <c r="SWF19" s="433"/>
      <c r="SWG19" s="433"/>
      <c r="SWH19" s="433"/>
      <c r="SWI19" s="433"/>
      <c r="SWJ19" s="433"/>
      <c r="SWK19" s="433"/>
      <c r="SWL19" s="433"/>
      <c r="SWM19" s="433"/>
      <c r="SWN19" s="433"/>
      <c r="SWO19" s="433"/>
      <c r="SWP19" s="433"/>
      <c r="SWQ19" s="433"/>
      <c r="SWR19" s="433"/>
      <c r="SWS19" s="433"/>
      <c r="SWT19" s="433"/>
      <c r="SWU19" s="433"/>
      <c r="SWV19" s="433"/>
      <c r="SWW19" s="433"/>
      <c r="SWX19" s="433"/>
      <c r="SWY19" s="433"/>
      <c r="SWZ19" s="433"/>
      <c r="SXA19" s="433"/>
      <c r="SXB19" s="433"/>
      <c r="SXC19" s="433"/>
      <c r="SXD19" s="433"/>
      <c r="SXE19" s="433"/>
      <c r="SXF19" s="433"/>
      <c r="SXG19" s="433"/>
      <c r="SXH19" s="433"/>
      <c r="SXI19" s="433"/>
      <c r="SXJ19" s="433"/>
      <c r="SXK19" s="433"/>
      <c r="SXL19" s="433"/>
      <c r="SXM19" s="433"/>
      <c r="SXN19" s="433"/>
      <c r="SXO19" s="433"/>
      <c r="SXP19" s="433"/>
      <c r="SXQ19" s="433"/>
      <c r="SXR19" s="433"/>
      <c r="SXS19" s="433"/>
      <c r="SXT19" s="433"/>
      <c r="SXU19" s="433"/>
      <c r="SXV19" s="433"/>
      <c r="SXW19" s="433"/>
      <c r="SXX19" s="433"/>
      <c r="SXY19" s="433"/>
      <c r="SXZ19" s="433"/>
      <c r="SYA19" s="433"/>
      <c r="SYB19" s="433"/>
      <c r="SYC19" s="433"/>
      <c r="SYD19" s="433"/>
      <c r="SYE19" s="433"/>
      <c r="SYF19" s="433"/>
      <c r="SYG19" s="433"/>
      <c r="SYH19" s="433"/>
      <c r="SYI19" s="433"/>
      <c r="SYJ19" s="433"/>
      <c r="SYK19" s="433"/>
      <c r="SYL19" s="433"/>
      <c r="SYM19" s="433"/>
      <c r="SYN19" s="433"/>
      <c r="SYO19" s="433"/>
      <c r="SYP19" s="433"/>
      <c r="SYQ19" s="433"/>
      <c r="SYR19" s="433"/>
      <c r="SYS19" s="433"/>
      <c r="SYT19" s="433"/>
      <c r="SYU19" s="433"/>
      <c r="SYV19" s="433"/>
      <c r="SYW19" s="433"/>
      <c r="SYX19" s="433"/>
      <c r="SYY19" s="433"/>
      <c r="SYZ19" s="433"/>
      <c r="SZA19" s="433"/>
      <c r="SZB19" s="433"/>
      <c r="SZC19" s="433"/>
      <c r="SZD19" s="433"/>
      <c r="SZE19" s="433"/>
      <c r="SZF19" s="433"/>
      <c r="SZG19" s="433"/>
      <c r="SZH19" s="433"/>
      <c r="SZI19" s="433"/>
      <c r="SZJ19" s="433"/>
      <c r="SZK19" s="433"/>
      <c r="SZL19" s="433"/>
      <c r="SZM19" s="433"/>
      <c r="SZN19" s="433"/>
      <c r="SZO19" s="433"/>
      <c r="SZP19" s="433"/>
      <c r="SZQ19" s="433"/>
      <c r="SZR19" s="433"/>
      <c r="SZS19" s="433"/>
      <c r="SZT19" s="433"/>
      <c r="SZU19" s="433"/>
      <c r="SZV19" s="433"/>
      <c r="SZW19" s="433"/>
      <c r="SZX19" s="433"/>
      <c r="SZY19" s="433"/>
      <c r="SZZ19" s="433"/>
      <c r="TAA19" s="433"/>
      <c r="TAB19" s="433"/>
      <c r="TAC19" s="433"/>
      <c r="TAD19" s="433"/>
      <c r="TAE19" s="433"/>
      <c r="TAF19" s="433"/>
      <c r="TAG19" s="433"/>
      <c r="TAH19" s="433"/>
      <c r="TAI19" s="433"/>
      <c r="TAJ19" s="433"/>
      <c r="TAK19" s="433"/>
      <c r="TAL19" s="433"/>
      <c r="TAM19" s="433"/>
      <c r="TAN19" s="433"/>
      <c r="TAO19" s="433"/>
      <c r="TAP19" s="433"/>
      <c r="TAQ19" s="433"/>
      <c r="TAR19" s="433"/>
      <c r="TAS19" s="433"/>
      <c r="TAT19" s="433"/>
      <c r="TAU19" s="433"/>
      <c r="TAV19" s="433"/>
      <c r="TAW19" s="433"/>
      <c r="TAX19" s="433"/>
      <c r="TAY19" s="433"/>
      <c r="TAZ19" s="433"/>
      <c r="TBA19" s="433"/>
      <c r="TBB19" s="433"/>
      <c r="TBC19" s="433"/>
      <c r="TBD19" s="433"/>
      <c r="TBE19" s="433"/>
      <c r="TBF19" s="433"/>
      <c r="TBG19" s="433"/>
      <c r="TBH19" s="433"/>
      <c r="TBI19" s="433"/>
      <c r="TBJ19" s="433"/>
      <c r="TBK19" s="433"/>
      <c r="TBL19" s="433"/>
      <c r="TBM19" s="433"/>
      <c r="TBN19" s="433"/>
      <c r="TBO19" s="433"/>
      <c r="TBP19" s="433"/>
      <c r="TBQ19" s="433"/>
      <c r="TBR19" s="433"/>
      <c r="TBS19" s="433"/>
      <c r="TBT19" s="433"/>
      <c r="TBU19" s="433"/>
      <c r="TBV19" s="433"/>
      <c r="TBW19" s="433"/>
      <c r="TBX19" s="433"/>
      <c r="TBY19" s="433"/>
      <c r="TBZ19" s="433"/>
      <c r="TCA19" s="433"/>
      <c r="TCB19" s="433"/>
      <c r="TCC19" s="433"/>
      <c r="TCD19" s="433"/>
      <c r="TCE19" s="433"/>
      <c r="TCF19" s="433"/>
      <c r="TCG19" s="433"/>
      <c r="TCH19" s="433"/>
      <c r="TCI19" s="433"/>
      <c r="TCJ19" s="433"/>
      <c r="TCK19" s="433"/>
      <c r="TCL19" s="433"/>
      <c r="TCM19" s="433"/>
      <c r="TCN19" s="433"/>
      <c r="TCO19" s="433"/>
      <c r="TCP19" s="433"/>
      <c r="TCQ19" s="433"/>
      <c r="TCR19" s="433"/>
      <c r="TCS19" s="433"/>
      <c r="TCT19" s="433"/>
      <c r="TCU19" s="433"/>
      <c r="TCV19" s="433"/>
      <c r="TCW19" s="433"/>
      <c r="TCX19" s="433"/>
      <c r="TCY19" s="433"/>
      <c r="TCZ19" s="433"/>
      <c r="TDA19" s="433"/>
      <c r="TDB19" s="433"/>
      <c r="TDC19" s="433"/>
      <c r="TDD19" s="433"/>
      <c r="TDE19" s="433"/>
      <c r="TDF19" s="433"/>
      <c r="TDG19" s="433"/>
      <c r="TDH19" s="433"/>
      <c r="TDI19" s="433"/>
      <c r="TDJ19" s="433"/>
      <c r="TDK19" s="433"/>
      <c r="TDL19" s="433"/>
      <c r="TDM19" s="433"/>
      <c r="TDN19" s="433"/>
      <c r="TDO19" s="433"/>
      <c r="TDP19" s="433"/>
      <c r="TDQ19" s="433"/>
      <c r="TDR19" s="433"/>
      <c r="TDS19" s="433"/>
      <c r="TDT19" s="433"/>
      <c r="TDU19" s="433"/>
      <c r="TDV19" s="433"/>
      <c r="TDW19" s="433"/>
      <c r="TDX19" s="433"/>
      <c r="TDY19" s="433"/>
      <c r="TDZ19" s="433"/>
      <c r="TEA19" s="433"/>
      <c r="TEB19" s="433"/>
      <c r="TEC19" s="433"/>
      <c r="TED19" s="433"/>
      <c r="TEE19" s="433"/>
      <c r="TEF19" s="433"/>
      <c r="TEG19" s="433"/>
      <c r="TEH19" s="433"/>
      <c r="TEI19" s="433"/>
      <c r="TEJ19" s="433"/>
      <c r="TEK19" s="433"/>
      <c r="TEL19" s="433"/>
      <c r="TEM19" s="433"/>
      <c r="TEN19" s="433"/>
      <c r="TEO19" s="433"/>
      <c r="TEP19" s="433"/>
      <c r="TEQ19" s="433"/>
      <c r="TER19" s="433"/>
      <c r="TES19" s="433"/>
      <c r="TET19" s="433"/>
      <c r="TEU19" s="433"/>
      <c r="TEV19" s="433"/>
      <c r="TEW19" s="433"/>
      <c r="TEX19" s="433"/>
      <c r="TEY19" s="433"/>
      <c r="TEZ19" s="433"/>
      <c r="TFA19" s="433"/>
      <c r="TFB19" s="433"/>
      <c r="TFC19" s="433"/>
      <c r="TFD19" s="433"/>
      <c r="TFE19" s="433"/>
      <c r="TFF19" s="433"/>
      <c r="TFG19" s="433"/>
      <c r="TFH19" s="433"/>
      <c r="TFI19" s="433"/>
      <c r="TFJ19" s="433"/>
      <c r="TFK19" s="433"/>
      <c r="TFL19" s="433"/>
      <c r="TFM19" s="433"/>
      <c r="TFN19" s="433"/>
      <c r="TFO19" s="433"/>
      <c r="TFP19" s="433"/>
      <c r="TFQ19" s="433"/>
      <c r="TFR19" s="433"/>
      <c r="TFS19" s="433"/>
      <c r="TFT19" s="433"/>
      <c r="TFU19" s="433"/>
      <c r="TFV19" s="433"/>
      <c r="TFW19" s="433"/>
      <c r="TFX19" s="433"/>
      <c r="TFY19" s="433"/>
      <c r="TFZ19" s="433"/>
      <c r="TGA19" s="433"/>
      <c r="TGB19" s="433"/>
      <c r="TGC19" s="433"/>
      <c r="TGD19" s="433"/>
      <c r="TGE19" s="433"/>
      <c r="TGF19" s="433"/>
      <c r="TGG19" s="433"/>
      <c r="TGH19" s="433"/>
      <c r="TGI19" s="433"/>
      <c r="TGJ19" s="433"/>
      <c r="TGK19" s="433"/>
      <c r="TGL19" s="433"/>
      <c r="TGM19" s="433"/>
      <c r="TGN19" s="433"/>
      <c r="TGO19" s="433"/>
      <c r="TGP19" s="433"/>
      <c r="TGQ19" s="433"/>
      <c r="TGR19" s="433"/>
      <c r="TGS19" s="433"/>
      <c r="TGT19" s="433"/>
      <c r="TGU19" s="433"/>
      <c r="TGV19" s="433"/>
      <c r="TGW19" s="433"/>
      <c r="TGX19" s="433"/>
      <c r="TGY19" s="433"/>
      <c r="TGZ19" s="433"/>
      <c r="THA19" s="433"/>
      <c r="THB19" s="433"/>
      <c r="THC19" s="433"/>
      <c r="THD19" s="433"/>
      <c r="THE19" s="433"/>
      <c r="THF19" s="433"/>
      <c r="THG19" s="433"/>
      <c r="THH19" s="433"/>
      <c r="THI19" s="433"/>
      <c r="THJ19" s="433"/>
      <c r="THK19" s="433"/>
      <c r="THL19" s="433"/>
      <c r="THM19" s="433"/>
      <c r="THN19" s="433"/>
      <c r="THO19" s="433"/>
      <c r="THP19" s="433"/>
      <c r="THQ19" s="433"/>
      <c r="THR19" s="433"/>
      <c r="THS19" s="433"/>
      <c r="THT19" s="433"/>
      <c r="THU19" s="433"/>
      <c r="THV19" s="433"/>
      <c r="THW19" s="433"/>
      <c r="THX19" s="433"/>
      <c r="THY19" s="433"/>
      <c r="THZ19" s="433"/>
      <c r="TIA19" s="433"/>
      <c r="TIB19" s="433"/>
      <c r="TIC19" s="433"/>
      <c r="TID19" s="433"/>
      <c r="TIE19" s="433"/>
      <c r="TIF19" s="433"/>
      <c r="TIG19" s="433"/>
      <c r="TIH19" s="433"/>
      <c r="TII19" s="433"/>
      <c r="TIJ19" s="433"/>
      <c r="TIK19" s="433"/>
      <c r="TIL19" s="433"/>
      <c r="TIM19" s="433"/>
      <c r="TIN19" s="433"/>
      <c r="TIO19" s="433"/>
      <c r="TIP19" s="433"/>
      <c r="TIQ19" s="433"/>
      <c r="TIR19" s="433"/>
      <c r="TIS19" s="433"/>
      <c r="TIT19" s="433"/>
      <c r="TIU19" s="433"/>
      <c r="TIV19" s="433"/>
      <c r="TIW19" s="433"/>
      <c r="TIX19" s="433"/>
      <c r="TIY19" s="433"/>
      <c r="TIZ19" s="433"/>
      <c r="TJA19" s="433"/>
      <c r="TJB19" s="433"/>
      <c r="TJC19" s="433"/>
      <c r="TJD19" s="433"/>
      <c r="TJE19" s="433"/>
      <c r="TJF19" s="433"/>
      <c r="TJG19" s="433"/>
      <c r="TJH19" s="433"/>
      <c r="TJI19" s="433"/>
      <c r="TJJ19" s="433"/>
      <c r="TJK19" s="433"/>
      <c r="TJL19" s="433"/>
      <c r="TJM19" s="433"/>
      <c r="TJN19" s="433"/>
      <c r="TJO19" s="433"/>
      <c r="TJP19" s="433"/>
      <c r="TJQ19" s="433"/>
      <c r="TJR19" s="433"/>
      <c r="TJS19" s="433"/>
      <c r="TJT19" s="433"/>
      <c r="TJU19" s="433"/>
      <c r="TJV19" s="433"/>
      <c r="TJW19" s="433"/>
      <c r="TJX19" s="433"/>
      <c r="TJY19" s="433"/>
      <c r="TJZ19" s="433"/>
      <c r="TKA19" s="433"/>
      <c r="TKB19" s="433"/>
      <c r="TKC19" s="433"/>
      <c r="TKD19" s="433"/>
      <c r="TKE19" s="433"/>
      <c r="TKF19" s="433"/>
      <c r="TKG19" s="433"/>
      <c r="TKH19" s="433"/>
      <c r="TKI19" s="433"/>
      <c r="TKJ19" s="433"/>
      <c r="TKK19" s="433"/>
      <c r="TKL19" s="433"/>
      <c r="TKM19" s="433"/>
      <c r="TKN19" s="433"/>
      <c r="TKO19" s="433"/>
      <c r="TKP19" s="433"/>
      <c r="TKQ19" s="433"/>
      <c r="TKR19" s="433"/>
      <c r="TKS19" s="433"/>
      <c r="TKT19" s="433"/>
      <c r="TKU19" s="433"/>
      <c r="TKV19" s="433"/>
      <c r="TKW19" s="433"/>
      <c r="TKX19" s="433"/>
      <c r="TKY19" s="433"/>
      <c r="TKZ19" s="433"/>
      <c r="TLA19" s="433"/>
      <c r="TLB19" s="433"/>
      <c r="TLC19" s="433"/>
      <c r="TLD19" s="433"/>
      <c r="TLE19" s="433"/>
      <c r="TLF19" s="433"/>
      <c r="TLG19" s="433"/>
      <c r="TLH19" s="433"/>
      <c r="TLI19" s="433"/>
      <c r="TLJ19" s="433"/>
      <c r="TLK19" s="433"/>
      <c r="TLL19" s="433"/>
      <c r="TLM19" s="433"/>
      <c r="TLN19" s="433"/>
      <c r="TLO19" s="433"/>
      <c r="TLP19" s="433"/>
      <c r="TLQ19" s="433"/>
      <c r="TLR19" s="433"/>
      <c r="TLS19" s="433"/>
      <c r="TLT19" s="433"/>
      <c r="TLU19" s="433"/>
      <c r="TLV19" s="433"/>
      <c r="TLW19" s="433"/>
      <c r="TLX19" s="433"/>
      <c r="TLY19" s="433"/>
      <c r="TLZ19" s="433"/>
      <c r="TMA19" s="433"/>
      <c r="TMB19" s="433"/>
      <c r="TMC19" s="433"/>
      <c r="TMD19" s="433"/>
      <c r="TME19" s="433"/>
      <c r="TMF19" s="433"/>
      <c r="TMG19" s="433"/>
      <c r="TMH19" s="433"/>
      <c r="TMI19" s="433"/>
      <c r="TMJ19" s="433"/>
      <c r="TMK19" s="433"/>
      <c r="TML19" s="433"/>
      <c r="TMM19" s="433"/>
      <c r="TMN19" s="433"/>
      <c r="TMO19" s="433"/>
      <c r="TMP19" s="433"/>
      <c r="TMQ19" s="433"/>
      <c r="TMR19" s="433"/>
      <c r="TMS19" s="433"/>
      <c r="TMT19" s="433"/>
      <c r="TMU19" s="433"/>
      <c r="TMV19" s="433"/>
      <c r="TMW19" s="433"/>
      <c r="TMX19" s="433"/>
      <c r="TMY19" s="433"/>
      <c r="TMZ19" s="433"/>
      <c r="TNA19" s="433"/>
      <c r="TNB19" s="433"/>
      <c r="TNC19" s="433"/>
      <c r="TND19" s="433"/>
      <c r="TNE19" s="433"/>
      <c r="TNF19" s="433"/>
      <c r="TNG19" s="433"/>
      <c r="TNH19" s="433"/>
      <c r="TNI19" s="433"/>
      <c r="TNJ19" s="433"/>
      <c r="TNK19" s="433"/>
      <c r="TNL19" s="433"/>
      <c r="TNM19" s="433"/>
      <c r="TNN19" s="433"/>
      <c r="TNO19" s="433"/>
      <c r="TNP19" s="433"/>
      <c r="TNQ19" s="433"/>
      <c r="TNR19" s="433"/>
      <c r="TNS19" s="433"/>
      <c r="TNT19" s="433"/>
      <c r="TNU19" s="433"/>
      <c r="TNV19" s="433"/>
      <c r="TNW19" s="433"/>
      <c r="TNX19" s="433"/>
      <c r="TNY19" s="433"/>
      <c r="TNZ19" s="433"/>
      <c r="TOA19" s="433"/>
      <c r="TOB19" s="433"/>
      <c r="TOC19" s="433"/>
      <c r="TOD19" s="433"/>
      <c r="TOE19" s="433"/>
      <c r="TOF19" s="433"/>
      <c r="TOG19" s="433"/>
      <c r="TOH19" s="433"/>
      <c r="TOI19" s="433"/>
      <c r="TOJ19" s="433"/>
      <c r="TOK19" s="433"/>
      <c r="TOL19" s="433"/>
      <c r="TOM19" s="433"/>
      <c r="TON19" s="433"/>
      <c r="TOO19" s="433"/>
      <c r="TOP19" s="433"/>
      <c r="TOQ19" s="433"/>
      <c r="TOR19" s="433"/>
      <c r="TOS19" s="433"/>
      <c r="TOT19" s="433"/>
      <c r="TOU19" s="433"/>
      <c r="TOV19" s="433"/>
      <c r="TOW19" s="433"/>
      <c r="TOX19" s="433"/>
      <c r="TOY19" s="433"/>
      <c r="TOZ19" s="433"/>
      <c r="TPA19" s="433"/>
      <c r="TPB19" s="433"/>
      <c r="TPC19" s="433"/>
      <c r="TPD19" s="433"/>
      <c r="TPE19" s="433"/>
      <c r="TPF19" s="433"/>
      <c r="TPG19" s="433"/>
      <c r="TPH19" s="433"/>
      <c r="TPI19" s="433"/>
      <c r="TPJ19" s="433"/>
      <c r="TPK19" s="433"/>
      <c r="TPL19" s="433"/>
      <c r="TPM19" s="433"/>
      <c r="TPN19" s="433"/>
      <c r="TPO19" s="433"/>
      <c r="TPP19" s="433"/>
      <c r="TPQ19" s="433"/>
      <c r="TPR19" s="433"/>
      <c r="TPS19" s="433"/>
      <c r="TPT19" s="433"/>
      <c r="TPU19" s="433"/>
      <c r="TPV19" s="433"/>
      <c r="TPW19" s="433"/>
      <c r="TPX19" s="433"/>
      <c r="TPY19" s="433"/>
      <c r="TPZ19" s="433"/>
      <c r="TQA19" s="433"/>
      <c r="TQB19" s="433"/>
      <c r="TQC19" s="433"/>
      <c r="TQD19" s="433"/>
      <c r="TQE19" s="433"/>
      <c r="TQF19" s="433"/>
      <c r="TQG19" s="433"/>
      <c r="TQH19" s="433"/>
      <c r="TQI19" s="433"/>
      <c r="TQJ19" s="433"/>
      <c r="TQK19" s="433"/>
      <c r="TQL19" s="433"/>
      <c r="TQM19" s="433"/>
      <c r="TQN19" s="433"/>
      <c r="TQO19" s="433"/>
      <c r="TQP19" s="433"/>
      <c r="TQQ19" s="433"/>
      <c r="TQR19" s="433"/>
      <c r="TQS19" s="433"/>
      <c r="TQT19" s="433"/>
      <c r="TQU19" s="433"/>
      <c r="TQV19" s="433"/>
      <c r="TQW19" s="433"/>
      <c r="TQX19" s="433"/>
      <c r="TQY19" s="433"/>
      <c r="TQZ19" s="433"/>
      <c r="TRA19" s="433"/>
      <c r="TRB19" s="433"/>
      <c r="TRC19" s="433"/>
      <c r="TRD19" s="433"/>
      <c r="TRE19" s="433"/>
      <c r="TRF19" s="433"/>
      <c r="TRG19" s="433"/>
      <c r="TRH19" s="433"/>
      <c r="TRI19" s="433"/>
      <c r="TRJ19" s="433"/>
      <c r="TRK19" s="433"/>
      <c r="TRL19" s="433"/>
      <c r="TRM19" s="433"/>
      <c r="TRN19" s="433"/>
      <c r="TRO19" s="433"/>
      <c r="TRP19" s="433"/>
      <c r="TRQ19" s="433"/>
      <c r="TRR19" s="433"/>
      <c r="TRS19" s="433"/>
      <c r="TRT19" s="433"/>
      <c r="TRU19" s="433"/>
      <c r="TRV19" s="433"/>
      <c r="TRW19" s="433"/>
      <c r="TRX19" s="433"/>
      <c r="TRY19" s="433"/>
      <c r="TRZ19" s="433"/>
      <c r="TSA19" s="433"/>
      <c r="TSB19" s="433"/>
      <c r="TSC19" s="433"/>
      <c r="TSD19" s="433"/>
      <c r="TSE19" s="433"/>
      <c r="TSF19" s="433"/>
      <c r="TSG19" s="433"/>
      <c r="TSH19" s="433"/>
      <c r="TSI19" s="433"/>
      <c r="TSJ19" s="433"/>
      <c r="TSK19" s="433"/>
      <c r="TSL19" s="433"/>
      <c r="TSM19" s="433"/>
      <c r="TSN19" s="433"/>
      <c r="TSO19" s="433"/>
      <c r="TSP19" s="433"/>
      <c r="TSQ19" s="433"/>
      <c r="TSR19" s="433"/>
      <c r="TSS19" s="433"/>
      <c r="TST19" s="433"/>
      <c r="TSU19" s="433"/>
      <c r="TSV19" s="433"/>
      <c r="TSW19" s="433"/>
      <c r="TSX19" s="433"/>
      <c r="TSY19" s="433"/>
      <c r="TSZ19" s="433"/>
      <c r="TTA19" s="433"/>
      <c r="TTB19" s="433"/>
      <c r="TTC19" s="433"/>
      <c r="TTD19" s="433"/>
      <c r="TTE19" s="433"/>
      <c r="TTF19" s="433"/>
      <c r="TTG19" s="433"/>
      <c r="TTH19" s="433"/>
      <c r="TTI19" s="433"/>
      <c r="TTJ19" s="433"/>
      <c r="TTK19" s="433"/>
      <c r="TTL19" s="433"/>
      <c r="TTM19" s="433"/>
      <c r="TTN19" s="433"/>
      <c r="TTO19" s="433"/>
      <c r="TTP19" s="433"/>
      <c r="TTQ19" s="433"/>
      <c r="TTR19" s="433"/>
      <c r="TTS19" s="433"/>
      <c r="TTT19" s="433"/>
      <c r="TTU19" s="433"/>
      <c r="TTV19" s="433"/>
      <c r="TTW19" s="433"/>
      <c r="TTX19" s="433"/>
      <c r="TTY19" s="433"/>
      <c r="TTZ19" s="433"/>
      <c r="TUA19" s="433"/>
      <c r="TUB19" s="433"/>
      <c r="TUC19" s="433"/>
      <c r="TUD19" s="433"/>
      <c r="TUE19" s="433"/>
      <c r="TUF19" s="433"/>
      <c r="TUG19" s="433"/>
      <c r="TUH19" s="433"/>
      <c r="TUI19" s="433"/>
      <c r="TUJ19" s="433"/>
      <c r="TUK19" s="433"/>
      <c r="TUL19" s="433"/>
      <c r="TUM19" s="433"/>
      <c r="TUN19" s="433"/>
      <c r="TUO19" s="433"/>
      <c r="TUP19" s="433"/>
      <c r="TUQ19" s="433"/>
      <c r="TUR19" s="433"/>
      <c r="TUS19" s="433"/>
      <c r="TUT19" s="433"/>
      <c r="TUU19" s="433"/>
      <c r="TUV19" s="433"/>
      <c r="TUW19" s="433"/>
      <c r="TUX19" s="433"/>
      <c r="TUY19" s="433"/>
      <c r="TUZ19" s="433"/>
      <c r="TVA19" s="433"/>
      <c r="TVB19" s="433"/>
      <c r="TVC19" s="433"/>
      <c r="TVD19" s="433"/>
      <c r="TVE19" s="433"/>
      <c r="TVF19" s="433"/>
      <c r="TVG19" s="433"/>
      <c r="TVH19" s="433"/>
      <c r="TVI19" s="433"/>
      <c r="TVJ19" s="433"/>
      <c r="TVK19" s="433"/>
      <c r="TVL19" s="433"/>
      <c r="TVM19" s="433"/>
      <c r="TVN19" s="433"/>
      <c r="TVO19" s="433"/>
      <c r="TVP19" s="433"/>
      <c r="TVQ19" s="433"/>
      <c r="TVR19" s="433"/>
      <c r="TVS19" s="433"/>
      <c r="TVT19" s="433"/>
      <c r="TVU19" s="433"/>
      <c r="TVV19" s="433"/>
      <c r="TVW19" s="433"/>
      <c r="TVX19" s="433"/>
      <c r="TVY19" s="433"/>
      <c r="TVZ19" s="433"/>
      <c r="TWA19" s="433"/>
      <c r="TWB19" s="433"/>
      <c r="TWC19" s="433"/>
      <c r="TWD19" s="433"/>
      <c r="TWE19" s="433"/>
      <c r="TWF19" s="433"/>
      <c r="TWG19" s="433"/>
      <c r="TWH19" s="433"/>
      <c r="TWI19" s="433"/>
      <c r="TWJ19" s="433"/>
      <c r="TWK19" s="433"/>
      <c r="TWL19" s="433"/>
      <c r="TWM19" s="433"/>
      <c r="TWN19" s="433"/>
      <c r="TWO19" s="433"/>
      <c r="TWP19" s="433"/>
      <c r="TWQ19" s="433"/>
      <c r="TWR19" s="433"/>
      <c r="TWS19" s="433"/>
      <c r="TWT19" s="433"/>
      <c r="TWU19" s="433"/>
      <c r="TWV19" s="433"/>
      <c r="TWW19" s="433"/>
      <c r="TWX19" s="433"/>
      <c r="TWY19" s="433"/>
      <c r="TWZ19" s="433"/>
      <c r="TXA19" s="433"/>
      <c r="TXB19" s="433"/>
      <c r="TXC19" s="433"/>
      <c r="TXD19" s="433"/>
      <c r="TXE19" s="433"/>
      <c r="TXF19" s="433"/>
      <c r="TXG19" s="433"/>
      <c r="TXH19" s="433"/>
      <c r="TXI19" s="433"/>
      <c r="TXJ19" s="433"/>
      <c r="TXK19" s="433"/>
      <c r="TXL19" s="433"/>
      <c r="TXM19" s="433"/>
      <c r="TXN19" s="433"/>
      <c r="TXO19" s="433"/>
      <c r="TXP19" s="433"/>
      <c r="TXQ19" s="433"/>
      <c r="TXR19" s="433"/>
      <c r="TXS19" s="433"/>
      <c r="TXT19" s="433"/>
      <c r="TXU19" s="433"/>
      <c r="TXV19" s="433"/>
      <c r="TXW19" s="433"/>
      <c r="TXX19" s="433"/>
      <c r="TXY19" s="433"/>
      <c r="TXZ19" s="433"/>
      <c r="TYA19" s="433"/>
      <c r="TYB19" s="433"/>
      <c r="TYC19" s="433"/>
      <c r="TYD19" s="433"/>
      <c r="TYE19" s="433"/>
      <c r="TYF19" s="433"/>
      <c r="TYG19" s="433"/>
      <c r="TYH19" s="433"/>
      <c r="TYI19" s="433"/>
      <c r="TYJ19" s="433"/>
      <c r="TYK19" s="433"/>
      <c r="TYL19" s="433"/>
      <c r="TYM19" s="433"/>
      <c r="TYN19" s="433"/>
      <c r="TYO19" s="433"/>
      <c r="TYP19" s="433"/>
      <c r="TYQ19" s="433"/>
      <c r="TYR19" s="433"/>
      <c r="TYS19" s="433"/>
      <c r="TYT19" s="433"/>
      <c r="TYU19" s="433"/>
      <c r="TYV19" s="433"/>
      <c r="TYW19" s="433"/>
      <c r="TYX19" s="433"/>
      <c r="TYY19" s="433"/>
      <c r="TYZ19" s="433"/>
      <c r="TZA19" s="433"/>
      <c r="TZB19" s="433"/>
      <c r="TZC19" s="433"/>
      <c r="TZD19" s="433"/>
      <c r="TZE19" s="433"/>
      <c r="TZF19" s="433"/>
      <c r="TZG19" s="433"/>
      <c r="TZH19" s="433"/>
      <c r="TZI19" s="433"/>
      <c r="TZJ19" s="433"/>
      <c r="TZK19" s="433"/>
      <c r="TZL19" s="433"/>
      <c r="TZM19" s="433"/>
      <c r="TZN19" s="433"/>
      <c r="TZO19" s="433"/>
      <c r="TZP19" s="433"/>
      <c r="TZQ19" s="433"/>
      <c r="TZR19" s="433"/>
      <c r="TZS19" s="433"/>
      <c r="TZT19" s="433"/>
      <c r="TZU19" s="433"/>
      <c r="TZV19" s="433"/>
      <c r="TZW19" s="433"/>
      <c r="TZX19" s="433"/>
      <c r="TZY19" s="433"/>
      <c r="TZZ19" s="433"/>
      <c r="UAA19" s="433"/>
      <c r="UAB19" s="433"/>
      <c r="UAC19" s="433"/>
      <c r="UAD19" s="433"/>
      <c r="UAE19" s="433"/>
      <c r="UAF19" s="433"/>
      <c r="UAG19" s="433"/>
      <c r="UAH19" s="433"/>
      <c r="UAI19" s="433"/>
      <c r="UAJ19" s="433"/>
      <c r="UAK19" s="433"/>
      <c r="UAL19" s="433"/>
      <c r="UAM19" s="433"/>
      <c r="UAN19" s="433"/>
      <c r="UAO19" s="433"/>
      <c r="UAP19" s="433"/>
      <c r="UAQ19" s="433"/>
      <c r="UAR19" s="433"/>
      <c r="UAS19" s="433"/>
      <c r="UAT19" s="433"/>
      <c r="UAU19" s="433"/>
      <c r="UAV19" s="433"/>
      <c r="UAW19" s="433"/>
      <c r="UAX19" s="433"/>
      <c r="UAY19" s="433"/>
      <c r="UAZ19" s="433"/>
      <c r="UBA19" s="433"/>
      <c r="UBB19" s="433"/>
      <c r="UBC19" s="433"/>
      <c r="UBD19" s="433"/>
      <c r="UBE19" s="433"/>
      <c r="UBF19" s="433"/>
      <c r="UBG19" s="433"/>
      <c r="UBH19" s="433"/>
      <c r="UBI19" s="433"/>
      <c r="UBJ19" s="433"/>
      <c r="UBK19" s="433"/>
      <c r="UBL19" s="433"/>
      <c r="UBM19" s="433"/>
      <c r="UBN19" s="433"/>
      <c r="UBO19" s="433"/>
      <c r="UBP19" s="433"/>
      <c r="UBQ19" s="433"/>
      <c r="UBR19" s="433"/>
      <c r="UBS19" s="433"/>
      <c r="UBT19" s="433"/>
      <c r="UBU19" s="433"/>
      <c r="UBV19" s="433"/>
      <c r="UBW19" s="433"/>
      <c r="UBX19" s="433"/>
      <c r="UBY19" s="433"/>
      <c r="UBZ19" s="433"/>
      <c r="UCA19" s="433"/>
      <c r="UCB19" s="433"/>
      <c r="UCC19" s="433"/>
      <c r="UCD19" s="433"/>
      <c r="UCE19" s="433"/>
      <c r="UCF19" s="433"/>
      <c r="UCG19" s="433"/>
      <c r="UCH19" s="433"/>
      <c r="UCI19" s="433"/>
      <c r="UCJ19" s="433"/>
      <c r="UCK19" s="433"/>
      <c r="UCL19" s="433"/>
      <c r="UCM19" s="433"/>
      <c r="UCN19" s="433"/>
      <c r="UCO19" s="433"/>
      <c r="UCP19" s="433"/>
      <c r="UCQ19" s="433"/>
      <c r="UCR19" s="433"/>
      <c r="UCS19" s="433"/>
      <c r="UCT19" s="433"/>
      <c r="UCU19" s="433"/>
      <c r="UCV19" s="433"/>
      <c r="UCW19" s="433"/>
      <c r="UCX19" s="433"/>
      <c r="UCY19" s="433"/>
      <c r="UCZ19" s="433"/>
      <c r="UDA19" s="433"/>
      <c r="UDB19" s="433"/>
      <c r="UDC19" s="433"/>
      <c r="UDD19" s="433"/>
      <c r="UDE19" s="433"/>
      <c r="UDF19" s="433"/>
      <c r="UDG19" s="433"/>
      <c r="UDH19" s="433"/>
      <c r="UDI19" s="433"/>
      <c r="UDJ19" s="433"/>
      <c r="UDK19" s="433"/>
      <c r="UDL19" s="433"/>
      <c r="UDM19" s="433"/>
      <c r="UDN19" s="433"/>
      <c r="UDO19" s="433"/>
      <c r="UDP19" s="433"/>
      <c r="UDQ19" s="433"/>
      <c r="UDR19" s="433"/>
      <c r="UDS19" s="433"/>
      <c r="UDT19" s="433"/>
      <c r="UDU19" s="433"/>
      <c r="UDV19" s="433"/>
      <c r="UDW19" s="433"/>
      <c r="UDX19" s="433"/>
      <c r="UDY19" s="433"/>
      <c r="UDZ19" s="433"/>
      <c r="UEA19" s="433"/>
      <c r="UEB19" s="433"/>
      <c r="UEC19" s="433"/>
      <c r="UED19" s="433"/>
      <c r="UEE19" s="433"/>
      <c r="UEF19" s="433"/>
      <c r="UEG19" s="433"/>
      <c r="UEH19" s="433"/>
      <c r="UEI19" s="433"/>
      <c r="UEJ19" s="433"/>
      <c r="UEK19" s="433"/>
      <c r="UEL19" s="433"/>
      <c r="UEM19" s="433"/>
      <c r="UEN19" s="433"/>
      <c r="UEO19" s="433"/>
      <c r="UEP19" s="433"/>
      <c r="UEQ19" s="433"/>
      <c r="UER19" s="433"/>
      <c r="UES19" s="433"/>
      <c r="UET19" s="433"/>
      <c r="UEU19" s="433"/>
      <c r="UEV19" s="433"/>
      <c r="UEW19" s="433"/>
      <c r="UEX19" s="433"/>
      <c r="UEY19" s="433"/>
      <c r="UEZ19" s="433"/>
      <c r="UFA19" s="433"/>
      <c r="UFB19" s="433"/>
      <c r="UFC19" s="433"/>
      <c r="UFD19" s="433"/>
      <c r="UFE19" s="433"/>
      <c r="UFF19" s="433"/>
      <c r="UFG19" s="433"/>
      <c r="UFH19" s="433"/>
      <c r="UFI19" s="433"/>
      <c r="UFJ19" s="433"/>
      <c r="UFK19" s="433"/>
      <c r="UFL19" s="433"/>
      <c r="UFM19" s="433"/>
      <c r="UFN19" s="433"/>
      <c r="UFO19" s="433"/>
      <c r="UFP19" s="433"/>
      <c r="UFQ19" s="433"/>
      <c r="UFR19" s="433"/>
      <c r="UFS19" s="433"/>
      <c r="UFT19" s="433"/>
      <c r="UFU19" s="433"/>
      <c r="UFV19" s="433"/>
      <c r="UFW19" s="433"/>
      <c r="UFX19" s="433"/>
      <c r="UFY19" s="433"/>
      <c r="UFZ19" s="433"/>
      <c r="UGA19" s="433"/>
      <c r="UGB19" s="433"/>
      <c r="UGC19" s="433"/>
      <c r="UGD19" s="433"/>
      <c r="UGE19" s="433"/>
      <c r="UGF19" s="433"/>
      <c r="UGG19" s="433"/>
      <c r="UGH19" s="433"/>
      <c r="UGI19" s="433"/>
      <c r="UGJ19" s="433"/>
      <c r="UGK19" s="433"/>
      <c r="UGL19" s="433"/>
      <c r="UGM19" s="433"/>
      <c r="UGN19" s="433"/>
      <c r="UGO19" s="433"/>
      <c r="UGP19" s="433"/>
      <c r="UGQ19" s="433"/>
      <c r="UGR19" s="433"/>
      <c r="UGS19" s="433"/>
      <c r="UGT19" s="433"/>
      <c r="UGU19" s="433"/>
      <c r="UGV19" s="433"/>
      <c r="UGW19" s="433"/>
      <c r="UGX19" s="433"/>
      <c r="UGY19" s="433"/>
      <c r="UGZ19" s="433"/>
      <c r="UHA19" s="433"/>
      <c r="UHB19" s="433"/>
      <c r="UHC19" s="433"/>
      <c r="UHD19" s="433"/>
      <c r="UHE19" s="433"/>
      <c r="UHF19" s="433"/>
      <c r="UHG19" s="433"/>
      <c r="UHH19" s="433"/>
      <c r="UHI19" s="433"/>
      <c r="UHJ19" s="433"/>
      <c r="UHK19" s="433"/>
      <c r="UHL19" s="433"/>
      <c r="UHM19" s="433"/>
      <c r="UHN19" s="433"/>
      <c r="UHO19" s="433"/>
      <c r="UHP19" s="433"/>
      <c r="UHQ19" s="433"/>
      <c r="UHR19" s="433"/>
      <c r="UHS19" s="433"/>
      <c r="UHT19" s="433"/>
      <c r="UHU19" s="433"/>
      <c r="UHV19" s="433"/>
      <c r="UHW19" s="433"/>
      <c r="UHX19" s="433"/>
      <c r="UHY19" s="433"/>
      <c r="UHZ19" s="433"/>
      <c r="UIA19" s="433"/>
      <c r="UIB19" s="433"/>
      <c r="UIC19" s="433"/>
      <c r="UID19" s="433"/>
      <c r="UIE19" s="433"/>
      <c r="UIF19" s="433"/>
      <c r="UIG19" s="433"/>
      <c r="UIH19" s="433"/>
      <c r="UII19" s="433"/>
      <c r="UIJ19" s="433"/>
      <c r="UIK19" s="433"/>
      <c r="UIL19" s="433"/>
      <c r="UIM19" s="433"/>
      <c r="UIN19" s="433"/>
      <c r="UIO19" s="433"/>
      <c r="UIP19" s="433"/>
      <c r="UIQ19" s="433"/>
      <c r="UIR19" s="433"/>
      <c r="UIS19" s="433"/>
      <c r="UIT19" s="433"/>
      <c r="UIU19" s="433"/>
      <c r="UIV19" s="433"/>
      <c r="UIW19" s="433"/>
      <c r="UIX19" s="433"/>
      <c r="UIY19" s="433"/>
      <c r="UIZ19" s="433"/>
      <c r="UJA19" s="433"/>
      <c r="UJB19" s="433"/>
      <c r="UJC19" s="433"/>
      <c r="UJD19" s="433"/>
      <c r="UJE19" s="433"/>
      <c r="UJF19" s="433"/>
      <c r="UJG19" s="433"/>
      <c r="UJH19" s="433"/>
      <c r="UJI19" s="433"/>
      <c r="UJJ19" s="433"/>
      <c r="UJK19" s="433"/>
      <c r="UJL19" s="433"/>
      <c r="UJM19" s="433"/>
      <c r="UJN19" s="433"/>
      <c r="UJO19" s="433"/>
      <c r="UJP19" s="433"/>
      <c r="UJQ19" s="433"/>
      <c r="UJR19" s="433"/>
      <c r="UJS19" s="433"/>
      <c r="UJT19" s="433"/>
      <c r="UJU19" s="433"/>
      <c r="UJV19" s="433"/>
      <c r="UJW19" s="433"/>
      <c r="UJX19" s="433"/>
      <c r="UJY19" s="433"/>
      <c r="UJZ19" s="433"/>
      <c r="UKA19" s="433"/>
      <c r="UKB19" s="433"/>
      <c r="UKC19" s="433"/>
      <c r="UKD19" s="433"/>
      <c r="UKE19" s="433"/>
      <c r="UKF19" s="433"/>
      <c r="UKG19" s="433"/>
      <c r="UKH19" s="433"/>
      <c r="UKI19" s="433"/>
      <c r="UKJ19" s="433"/>
      <c r="UKK19" s="433"/>
      <c r="UKL19" s="433"/>
      <c r="UKM19" s="433"/>
      <c r="UKN19" s="433"/>
      <c r="UKO19" s="433"/>
      <c r="UKP19" s="433"/>
      <c r="UKQ19" s="433"/>
      <c r="UKR19" s="433"/>
      <c r="UKS19" s="433"/>
      <c r="UKT19" s="433"/>
      <c r="UKU19" s="433"/>
      <c r="UKV19" s="433"/>
      <c r="UKW19" s="433"/>
      <c r="UKX19" s="433"/>
      <c r="UKY19" s="433"/>
      <c r="UKZ19" s="433"/>
      <c r="ULA19" s="433"/>
      <c r="ULB19" s="433"/>
      <c r="ULC19" s="433"/>
      <c r="ULD19" s="433"/>
      <c r="ULE19" s="433"/>
      <c r="ULF19" s="433"/>
      <c r="ULG19" s="433"/>
      <c r="ULH19" s="433"/>
      <c r="ULI19" s="433"/>
      <c r="ULJ19" s="433"/>
      <c r="ULK19" s="433"/>
      <c r="ULL19" s="433"/>
      <c r="ULM19" s="433"/>
      <c r="ULN19" s="433"/>
      <c r="ULO19" s="433"/>
      <c r="ULP19" s="433"/>
      <c r="ULQ19" s="433"/>
      <c r="ULR19" s="433"/>
      <c r="ULS19" s="433"/>
      <c r="ULT19" s="433"/>
      <c r="ULU19" s="433"/>
      <c r="ULV19" s="433"/>
      <c r="ULW19" s="433"/>
      <c r="ULX19" s="433"/>
      <c r="ULY19" s="433"/>
      <c r="ULZ19" s="433"/>
      <c r="UMA19" s="433"/>
      <c r="UMB19" s="433"/>
      <c r="UMC19" s="433"/>
      <c r="UMD19" s="433"/>
      <c r="UME19" s="433"/>
      <c r="UMF19" s="433"/>
      <c r="UMG19" s="433"/>
      <c r="UMH19" s="433"/>
      <c r="UMI19" s="433"/>
      <c r="UMJ19" s="433"/>
      <c r="UMK19" s="433"/>
      <c r="UML19" s="433"/>
      <c r="UMM19" s="433"/>
      <c r="UMN19" s="433"/>
      <c r="UMO19" s="433"/>
      <c r="UMP19" s="433"/>
      <c r="UMQ19" s="433"/>
      <c r="UMR19" s="433"/>
      <c r="UMS19" s="433"/>
      <c r="UMT19" s="433"/>
      <c r="UMU19" s="433"/>
      <c r="UMV19" s="433"/>
      <c r="UMW19" s="433"/>
      <c r="UMX19" s="433"/>
      <c r="UMY19" s="433"/>
      <c r="UMZ19" s="433"/>
      <c r="UNA19" s="433"/>
      <c r="UNB19" s="433"/>
      <c r="UNC19" s="433"/>
      <c r="UND19" s="433"/>
      <c r="UNE19" s="433"/>
      <c r="UNF19" s="433"/>
      <c r="UNG19" s="433"/>
      <c r="UNH19" s="433"/>
      <c r="UNI19" s="433"/>
      <c r="UNJ19" s="433"/>
      <c r="UNK19" s="433"/>
      <c r="UNL19" s="433"/>
      <c r="UNM19" s="433"/>
      <c r="UNN19" s="433"/>
      <c r="UNO19" s="433"/>
      <c r="UNP19" s="433"/>
      <c r="UNQ19" s="433"/>
      <c r="UNR19" s="433"/>
      <c r="UNS19" s="433"/>
      <c r="UNT19" s="433"/>
      <c r="UNU19" s="433"/>
      <c r="UNV19" s="433"/>
      <c r="UNW19" s="433"/>
      <c r="UNX19" s="433"/>
      <c r="UNY19" s="433"/>
      <c r="UNZ19" s="433"/>
      <c r="UOA19" s="433"/>
      <c r="UOB19" s="433"/>
      <c r="UOC19" s="433"/>
      <c r="UOD19" s="433"/>
      <c r="UOE19" s="433"/>
      <c r="UOF19" s="433"/>
      <c r="UOG19" s="433"/>
      <c r="UOH19" s="433"/>
      <c r="UOI19" s="433"/>
      <c r="UOJ19" s="433"/>
      <c r="UOK19" s="433"/>
      <c r="UOL19" s="433"/>
      <c r="UOM19" s="433"/>
      <c r="UON19" s="433"/>
      <c r="UOO19" s="433"/>
      <c r="UOP19" s="433"/>
      <c r="UOQ19" s="433"/>
      <c r="UOR19" s="433"/>
      <c r="UOS19" s="433"/>
      <c r="UOT19" s="433"/>
      <c r="UOU19" s="433"/>
      <c r="UOV19" s="433"/>
      <c r="UOW19" s="433"/>
      <c r="UOX19" s="433"/>
      <c r="UOY19" s="433"/>
      <c r="UOZ19" s="433"/>
      <c r="UPA19" s="433"/>
      <c r="UPB19" s="433"/>
      <c r="UPC19" s="433"/>
      <c r="UPD19" s="433"/>
      <c r="UPE19" s="433"/>
      <c r="UPF19" s="433"/>
      <c r="UPG19" s="433"/>
      <c r="UPH19" s="433"/>
      <c r="UPI19" s="433"/>
      <c r="UPJ19" s="433"/>
      <c r="UPK19" s="433"/>
      <c r="UPL19" s="433"/>
      <c r="UPM19" s="433"/>
      <c r="UPN19" s="433"/>
      <c r="UPO19" s="433"/>
      <c r="UPP19" s="433"/>
      <c r="UPQ19" s="433"/>
      <c r="UPR19" s="433"/>
      <c r="UPS19" s="433"/>
      <c r="UPT19" s="433"/>
      <c r="UPU19" s="433"/>
      <c r="UPV19" s="433"/>
      <c r="UPW19" s="433"/>
      <c r="UPX19" s="433"/>
      <c r="UPY19" s="433"/>
      <c r="UPZ19" s="433"/>
      <c r="UQA19" s="433"/>
      <c r="UQB19" s="433"/>
      <c r="UQC19" s="433"/>
      <c r="UQD19" s="433"/>
      <c r="UQE19" s="433"/>
      <c r="UQF19" s="433"/>
      <c r="UQG19" s="433"/>
      <c r="UQH19" s="433"/>
      <c r="UQI19" s="433"/>
      <c r="UQJ19" s="433"/>
      <c r="UQK19" s="433"/>
      <c r="UQL19" s="433"/>
      <c r="UQM19" s="433"/>
      <c r="UQN19" s="433"/>
      <c r="UQO19" s="433"/>
      <c r="UQP19" s="433"/>
      <c r="UQQ19" s="433"/>
      <c r="UQR19" s="433"/>
      <c r="UQS19" s="433"/>
      <c r="UQT19" s="433"/>
      <c r="UQU19" s="433"/>
      <c r="UQV19" s="433"/>
      <c r="UQW19" s="433"/>
      <c r="UQX19" s="433"/>
      <c r="UQY19" s="433"/>
      <c r="UQZ19" s="433"/>
      <c r="URA19" s="433"/>
      <c r="URB19" s="433"/>
      <c r="URC19" s="433"/>
      <c r="URD19" s="433"/>
      <c r="URE19" s="433"/>
      <c r="URF19" s="433"/>
      <c r="URG19" s="433"/>
      <c r="URH19" s="433"/>
      <c r="URI19" s="433"/>
      <c r="URJ19" s="433"/>
      <c r="URK19" s="433"/>
      <c r="URL19" s="433"/>
      <c r="URM19" s="433"/>
      <c r="URN19" s="433"/>
      <c r="URO19" s="433"/>
      <c r="URP19" s="433"/>
      <c r="URQ19" s="433"/>
      <c r="URR19" s="433"/>
      <c r="URS19" s="433"/>
      <c r="URT19" s="433"/>
      <c r="URU19" s="433"/>
      <c r="URV19" s="433"/>
      <c r="URW19" s="433"/>
      <c r="URX19" s="433"/>
      <c r="URY19" s="433"/>
      <c r="URZ19" s="433"/>
      <c r="USA19" s="433"/>
      <c r="USB19" s="433"/>
      <c r="USC19" s="433"/>
      <c r="USD19" s="433"/>
      <c r="USE19" s="433"/>
      <c r="USF19" s="433"/>
      <c r="USG19" s="433"/>
      <c r="USH19" s="433"/>
      <c r="USI19" s="433"/>
      <c r="USJ19" s="433"/>
      <c r="USK19" s="433"/>
      <c r="USL19" s="433"/>
      <c r="USM19" s="433"/>
      <c r="USN19" s="433"/>
      <c r="USO19" s="433"/>
      <c r="USP19" s="433"/>
      <c r="USQ19" s="433"/>
      <c r="USR19" s="433"/>
      <c r="USS19" s="433"/>
      <c r="UST19" s="433"/>
      <c r="USU19" s="433"/>
      <c r="USV19" s="433"/>
      <c r="USW19" s="433"/>
      <c r="USX19" s="433"/>
      <c r="USY19" s="433"/>
      <c r="USZ19" s="433"/>
      <c r="UTA19" s="433"/>
      <c r="UTB19" s="433"/>
      <c r="UTC19" s="433"/>
      <c r="UTD19" s="433"/>
      <c r="UTE19" s="433"/>
      <c r="UTF19" s="433"/>
      <c r="UTG19" s="433"/>
      <c r="UTH19" s="433"/>
      <c r="UTI19" s="433"/>
      <c r="UTJ19" s="433"/>
      <c r="UTK19" s="433"/>
      <c r="UTL19" s="433"/>
      <c r="UTM19" s="433"/>
      <c r="UTN19" s="433"/>
      <c r="UTO19" s="433"/>
      <c r="UTP19" s="433"/>
      <c r="UTQ19" s="433"/>
      <c r="UTR19" s="433"/>
      <c r="UTS19" s="433"/>
      <c r="UTT19" s="433"/>
      <c r="UTU19" s="433"/>
      <c r="UTV19" s="433"/>
      <c r="UTW19" s="433"/>
      <c r="UTX19" s="433"/>
      <c r="UTY19" s="433"/>
      <c r="UTZ19" s="433"/>
      <c r="UUA19" s="433"/>
      <c r="UUB19" s="433"/>
      <c r="UUC19" s="433"/>
      <c r="UUD19" s="433"/>
      <c r="UUE19" s="433"/>
      <c r="UUF19" s="433"/>
      <c r="UUG19" s="433"/>
      <c r="UUH19" s="433"/>
      <c r="UUI19" s="433"/>
      <c r="UUJ19" s="433"/>
      <c r="UUK19" s="433"/>
      <c r="UUL19" s="433"/>
      <c r="UUM19" s="433"/>
      <c r="UUN19" s="433"/>
      <c r="UUO19" s="433"/>
      <c r="UUP19" s="433"/>
      <c r="UUQ19" s="433"/>
      <c r="UUR19" s="433"/>
      <c r="UUS19" s="433"/>
      <c r="UUT19" s="433"/>
      <c r="UUU19" s="433"/>
      <c r="UUV19" s="433"/>
      <c r="UUW19" s="433"/>
      <c r="UUX19" s="433"/>
      <c r="UUY19" s="433"/>
      <c r="UUZ19" s="433"/>
      <c r="UVA19" s="433"/>
      <c r="UVB19" s="433"/>
      <c r="UVC19" s="433"/>
      <c r="UVD19" s="433"/>
      <c r="UVE19" s="433"/>
      <c r="UVF19" s="433"/>
      <c r="UVG19" s="433"/>
      <c r="UVH19" s="433"/>
      <c r="UVI19" s="433"/>
      <c r="UVJ19" s="433"/>
      <c r="UVK19" s="433"/>
      <c r="UVL19" s="433"/>
      <c r="UVM19" s="433"/>
      <c r="UVN19" s="433"/>
      <c r="UVO19" s="433"/>
      <c r="UVP19" s="433"/>
      <c r="UVQ19" s="433"/>
      <c r="UVR19" s="433"/>
      <c r="UVS19" s="433"/>
      <c r="UVT19" s="433"/>
      <c r="UVU19" s="433"/>
      <c r="UVV19" s="433"/>
      <c r="UVW19" s="433"/>
      <c r="UVX19" s="433"/>
      <c r="UVY19" s="433"/>
      <c r="UVZ19" s="433"/>
      <c r="UWA19" s="433"/>
      <c r="UWB19" s="433"/>
      <c r="UWC19" s="433"/>
      <c r="UWD19" s="433"/>
      <c r="UWE19" s="433"/>
      <c r="UWF19" s="433"/>
      <c r="UWG19" s="433"/>
      <c r="UWH19" s="433"/>
      <c r="UWI19" s="433"/>
      <c r="UWJ19" s="433"/>
      <c r="UWK19" s="433"/>
      <c r="UWL19" s="433"/>
      <c r="UWM19" s="433"/>
      <c r="UWN19" s="433"/>
      <c r="UWO19" s="433"/>
      <c r="UWP19" s="433"/>
      <c r="UWQ19" s="433"/>
      <c r="UWR19" s="433"/>
      <c r="UWS19" s="433"/>
      <c r="UWT19" s="433"/>
      <c r="UWU19" s="433"/>
      <c r="UWV19" s="433"/>
      <c r="UWW19" s="433"/>
      <c r="UWX19" s="433"/>
      <c r="UWY19" s="433"/>
      <c r="UWZ19" s="433"/>
      <c r="UXA19" s="433"/>
      <c r="UXB19" s="433"/>
      <c r="UXC19" s="433"/>
      <c r="UXD19" s="433"/>
      <c r="UXE19" s="433"/>
      <c r="UXF19" s="433"/>
      <c r="UXG19" s="433"/>
      <c r="UXH19" s="433"/>
      <c r="UXI19" s="433"/>
      <c r="UXJ19" s="433"/>
      <c r="UXK19" s="433"/>
      <c r="UXL19" s="433"/>
      <c r="UXM19" s="433"/>
      <c r="UXN19" s="433"/>
      <c r="UXO19" s="433"/>
      <c r="UXP19" s="433"/>
      <c r="UXQ19" s="433"/>
      <c r="UXR19" s="433"/>
      <c r="UXS19" s="433"/>
      <c r="UXT19" s="433"/>
      <c r="UXU19" s="433"/>
      <c r="UXV19" s="433"/>
      <c r="UXW19" s="433"/>
      <c r="UXX19" s="433"/>
      <c r="UXY19" s="433"/>
      <c r="UXZ19" s="433"/>
      <c r="UYA19" s="433"/>
      <c r="UYB19" s="433"/>
      <c r="UYC19" s="433"/>
      <c r="UYD19" s="433"/>
      <c r="UYE19" s="433"/>
      <c r="UYF19" s="433"/>
      <c r="UYG19" s="433"/>
      <c r="UYH19" s="433"/>
      <c r="UYI19" s="433"/>
      <c r="UYJ19" s="433"/>
      <c r="UYK19" s="433"/>
      <c r="UYL19" s="433"/>
      <c r="UYM19" s="433"/>
      <c r="UYN19" s="433"/>
      <c r="UYO19" s="433"/>
      <c r="UYP19" s="433"/>
      <c r="UYQ19" s="433"/>
      <c r="UYR19" s="433"/>
      <c r="UYS19" s="433"/>
      <c r="UYT19" s="433"/>
      <c r="UYU19" s="433"/>
      <c r="UYV19" s="433"/>
      <c r="UYW19" s="433"/>
      <c r="UYX19" s="433"/>
      <c r="UYY19" s="433"/>
      <c r="UYZ19" s="433"/>
      <c r="UZA19" s="433"/>
      <c r="UZB19" s="433"/>
      <c r="UZC19" s="433"/>
      <c r="UZD19" s="433"/>
      <c r="UZE19" s="433"/>
      <c r="UZF19" s="433"/>
      <c r="UZG19" s="433"/>
      <c r="UZH19" s="433"/>
      <c r="UZI19" s="433"/>
      <c r="UZJ19" s="433"/>
      <c r="UZK19" s="433"/>
      <c r="UZL19" s="433"/>
      <c r="UZM19" s="433"/>
      <c r="UZN19" s="433"/>
      <c r="UZO19" s="433"/>
      <c r="UZP19" s="433"/>
      <c r="UZQ19" s="433"/>
      <c r="UZR19" s="433"/>
      <c r="UZS19" s="433"/>
      <c r="UZT19" s="433"/>
      <c r="UZU19" s="433"/>
      <c r="UZV19" s="433"/>
      <c r="UZW19" s="433"/>
      <c r="UZX19" s="433"/>
      <c r="UZY19" s="433"/>
      <c r="UZZ19" s="433"/>
      <c r="VAA19" s="433"/>
      <c r="VAB19" s="433"/>
      <c r="VAC19" s="433"/>
      <c r="VAD19" s="433"/>
      <c r="VAE19" s="433"/>
      <c r="VAF19" s="433"/>
      <c r="VAG19" s="433"/>
      <c r="VAH19" s="433"/>
      <c r="VAI19" s="433"/>
      <c r="VAJ19" s="433"/>
      <c r="VAK19" s="433"/>
      <c r="VAL19" s="433"/>
      <c r="VAM19" s="433"/>
      <c r="VAN19" s="433"/>
      <c r="VAO19" s="433"/>
      <c r="VAP19" s="433"/>
      <c r="VAQ19" s="433"/>
      <c r="VAR19" s="433"/>
      <c r="VAS19" s="433"/>
      <c r="VAT19" s="433"/>
      <c r="VAU19" s="433"/>
      <c r="VAV19" s="433"/>
      <c r="VAW19" s="433"/>
      <c r="VAX19" s="433"/>
      <c r="VAY19" s="433"/>
      <c r="VAZ19" s="433"/>
      <c r="VBA19" s="433"/>
      <c r="VBB19" s="433"/>
      <c r="VBC19" s="433"/>
      <c r="VBD19" s="433"/>
      <c r="VBE19" s="433"/>
      <c r="VBF19" s="433"/>
      <c r="VBG19" s="433"/>
      <c r="VBH19" s="433"/>
      <c r="VBI19" s="433"/>
      <c r="VBJ19" s="433"/>
      <c r="VBK19" s="433"/>
      <c r="VBL19" s="433"/>
      <c r="VBM19" s="433"/>
      <c r="VBN19" s="433"/>
      <c r="VBO19" s="433"/>
      <c r="VBP19" s="433"/>
      <c r="VBQ19" s="433"/>
      <c r="VBR19" s="433"/>
      <c r="VBS19" s="433"/>
      <c r="VBT19" s="433"/>
      <c r="VBU19" s="433"/>
      <c r="VBV19" s="433"/>
      <c r="VBW19" s="433"/>
      <c r="VBX19" s="433"/>
      <c r="VBY19" s="433"/>
      <c r="VBZ19" s="433"/>
      <c r="VCA19" s="433"/>
      <c r="VCB19" s="433"/>
      <c r="VCC19" s="433"/>
      <c r="VCD19" s="433"/>
      <c r="VCE19" s="433"/>
      <c r="VCF19" s="433"/>
      <c r="VCG19" s="433"/>
      <c r="VCH19" s="433"/>
      <c r="VCI19" s="433"/>
      <c r="VCJ19" s="433"/>
      <c r="VCK19" s="433"/>
      <c r="VCL19" s="433"/>
      <c r="VCM19" s="433"/>
      <c r="VCN19" s="433"/>
      <c r="VCO19" s="433"/>
      <c r="VCP19" s="433"/>
      <c r="VCQ19" s="433"/>
      <c r="VCR19" s="433"/>
      <c r="VCS19" s="433"/>
      <c r="VCT19" s="433"/>
      <c r="VCU19" s="433"/>
      <c r="VCV19" s="433"/>
      <c r="VCW19" s="433"/>
      <c r="VCX19" s="433"/>
      <c r="VCY19" s="433"/>
      <c r="VCZ19" s="433"/>
      <c r="VDA19" s="433"/>
      <c r="VDB19" s="433"/>
      <c r="VDC19" s="433"/>
      <c r="VDD19" s="433"/>
      <c r="VDE19" s="433"/>
      <c r="VDF19" s="433"/>
      <c r="VDG19" s="433"/>
      <c r="VDH19" s="433"/>
      <c r="VDI19" s="433"/>
      <c r="VDJ19" s="433"/>
      <c r="VDK19" s="433"/>
      <c r="VDL19" s="433"/>
      <c r="VDM19" s="433"/>
      <c r="VDN19" s="433"/>
      <c r="VDO19" s="433"/>
      <c r="VDP19" s="433"/>
      <c r="VDQ19" s="433"/>
      <c r="VDR19" s="433"/>
      <c r="VDS19" s="433"/>
      <c r="VDT19" s="433"/>
      <c r="VDU19" s="433"/>
      <c r="VDV19" s="433"/>
      <c r="VDW19" s="433"/>
      <c r="VDX19" s="433"/>
      <c r="VDY19" s="433"/>
      <c r="VDZ19" s="433"/>
      <c r="VEA19" s="433"/>
      <c r="VEB19" s="433"/>
      <c r="VEC19" s="433"/>
      <c r="VED19" s="433"/>
      <c r="VEE19" s="433"/>
      <c r="VEF19" s="433"/>
      <c r="VEG19" s="433"/>
      <c r="VEH19" s="433"/>
      <c r="VEI19" s="433"/>
      <c r="VEJ19" s="433"/>
      <c r="VEK19" s="433"/>
      <c r="VEL19" s="433"/>
      <c r="VEM19" s="433"/>
      <c r="VEN19" s="433"/>
      <c r="VEO19" s="433"/>
      <c r="VEP19" s="433"/>
      <c r="VEQ19" s="433"/>
      <c r="VER19" s="433"/>
      <c r="VES19" s="433"/>
      <c r="VET19" s="433"/>
      <c r="VEU19" s="433"/>
      <c r="VEV19" s="433"/>
      <c r="VEW19" s="433"/>
      <c r="VEX19" s="433"/>
      <c r="VEY19" s="433"/>
      <c r="VEZ19" s="433"/>
      <c r="VFA19" s="433"/>
      <c r="VFB19" s="433"/>
      <c r="VFC19" s="433"/>
      <c r="VFD19" s="433"/>
      <c r="VFE19" s="433"/>
      <c r="VFF19" s="433"/>
      <c r="VFG19" s="433"/>
      <c r="VFH19" s="433"/>
      <c r="VFI19" s="433"/>
      <c r="VFJ19" s="433"/>
      <c r="VFK19" s="433"/>
      <c r="VFL19" s="433"/>
      <c r="VFM19" s="433"/>
      <c r="VFN19" s="433"/>
      <c r="VFO19" s="433"/>
      <c r="VFP19" s="433"/>
      <c r="VFQ19" s="433"/>
      <c r="VFR19" s="433"/>
      <c r="VFS19" s="433"/>
      <c r="VFT19" s="433"/>
      <c r="VFU19" s="433"/>
      <c r="VFV19" s="433"/>
      <c r="VFW19" s="433"/>
      <c r="VFX19" s="433"/>
      <c r="VFY19" s="433"/>
      <c r="VFZ19" s="433"/>
      <c r="VGA19" s="433"/>
      <c r="VGB19" s="433"/>
      <c r="VGC19" s="433"/>
      <c r="VGD19" s="433"/>
      <c r="VGE19" s="433"/>
      <c r="VGF19" s="433"/>
      <c r="VGG19" s="433"/>
      <c r="VGH19" s="433"/>
      <c r="VGI19" s="433"/>
      <c r="VGJ19" s="433"/>
      <c r="VGK19" s="433"/>
      <c r="VGL19" s="433"/>
      <c r="VGM19" s="433"/>
      <c r="VGN19" s="433"/>
      <c r="VGO19" s="433"/>
      <c r="VGP19" s="433"/>
      <c r="VGQ19" s="433"/>
      <c r="VGR19" s="433"/>
      <c r="VGS19" s="433"/>
      <c r="VGT19" s="433"/>
      <c r="VGU19" s="433"/>
      <c r="VGV19" s="433"/>
      <c r="VGW19" s="433"/>
      <c r="VGX19" s="433"/>
      <c r="VGY19" s="433"/>
      <c r="VGZ19" s="433"/>
      <c r="VHA19" s="433"/>
      <c r="VHB19" s="433"/>
      <c r="VHC19" s="433"/>
      <c r="VHD19" s="433"/>
      <c r="VHE19" s="433"/>
      <c r="VHF19" s="433"/>
      <c r="VHG19" s="433"/>
      <c r="VHH19" s="433"/>
      <c r="VHI19" s="433"/>
      <c r="VHJ19" s="433"/>
      <c r="VHK19" s="433"/>
      <c r="VHL19" s="433"/>
      <c r="VHM19" s="433"/>
      <c r="VHN19" s="433"/>
      <c r="VHO19" s="433"/>
      <c r="VHP19" s="433"/>
      <c r="VHQ19" s="433"/>
      <c r="VHR19" s="433"/>
      <c r="VHS19" s="433"/>
      <c r="VHT19" s="433"/>
      <c r="VHU19" s="433"/>
      <c r="VHV19" s="433"/>
      <c r="VHW19" s="433"/>
      <c r="VHX19" s="433"/>
      <c r="VHY19" s="433"/>
      <c r="VHZ19" s="433"/>
      <c r="VIA19" s="433"/>
      <c r="VIB19" s="433"/>
      <c r="VIC19" s="433"/>
      <c r="VID19" s="433"/>
      <c r="VIE19" s="433"/>
      <c r="VIF19" s="433"/>
      <c r="VIG19" s="433"/>
      <c r="VIH19" s="433"/>
      <c r="VII19" s="433"/>
      <c r="VIJ19" s="433"/>
      <c r="VIK19" s="433"/>
      <c r="VIL19" s="433"/>
      <c r="VIM19" s="433"/>
      <c r="VIN19" s="433"/>
      <c r="VIO19" s="433"/>
      <c r="VIP19" s="433"/>
      <c r="VIQ19" s="433"/>
      <c r="VIR19" s="433"/>
      <c r="VIS19" s="433"/>
      <c r="VIT19" s="433"/>
      <c r="VIU19" s="433"/>
      <c r="VIV19" s="433"/>
      <c r="VIW19" s="433"/>
      <c r="VIX19" s="433"/>
      <c r="VIY19" s="433"/>
      <c r="VIZ19" s="433"/>
      <c r="VJA19" s="433"/>
      <c r="VJB19" s="433"/>
      <c r="VJC19" s="433"/>
      <c r="VJD19" s="433"/>
      <c r="VJE19" s="433"/>
      <c r="VJF19" s="433"/>
      <c r="VJG19" s="433"/>
      <c r="VJH19" s="433"/>
      <c r="VJI19" s="433"/>
      <c r="VJJ19" s="433"/>
      <c r="VJK19" s="433"/>
      <c r="VJL19" s="433"/>
      <c r="VJM19" s="433"/>
      <c r="VJN19" s="433"/>
      <c r="VJO19" s="433"/>
      <c r="VJP19" s="433"/>
      <c r="VJQ19" s="433"/>
      <c r="VJR19" s="433"/>
      <c r="VJS19" s="433"/>
      <c r="VJT19" s="433"/>
      <c r="VJU19" s="433"/>
      <c r="VJV19" s="433"/>
      <c r="VJW19" s="433"/>
      <c r="VJX19" s="433"/>
      <c r="VJY19" s="433"/>
      <c r="VJZ19" s="433"/>
      <c r="VKA19" s="433"/>
      <c r="VKB19" s="433"/>
      <c r="VKC19" s="433"/>
      <c r="VKD19" s="433"/>
      <c r="VKE19" s="433"/>
      <c r="VKF19" s="433"/>
      <c r="VKG19" s="433"/>
      <c r="VKH19" s="433"/>
      <c r="VKI19" s="433"/>
      <c r="VKJ19" s="433"/>
      <c r="VKK19" s="433"/>
      <c r="VKL19" s="433"/>
      <c r="VKM19" s="433"/>
      <c r="VKN19" s="433"/>
      <c r="VKO19" s="433"/>
      <c r="VKP19" s="433"/>
      <c r="VKQ19" s="433"/>
      <c r="VKR19" s="433"/>
      <c r="VKS19" s="433"/>
      <c r="VKT19" s="433"/>
      <c r="VKU19" s="433"/>
      <c r="VKV19" s="433"/>
      <c r="VKW19" s="433"/>
      <c r="VKX19" s="433"/>
      <c r="VKY19" s="433"/>
      <c r="VKZ19" s="433"/>
      <c r="VLA19" s="433"/>
      <c r="VLB19" s="433"/>
      <c r="VLC19" s="433"/>
      <c r="VLD19" s="433"/>
      <c r="VLE19" s="433"/>
      <c r="VLF19" s="433"/>
      <c r="VLG19" s="433"/>
      <c r="VLH19" s="433"/>
      <c r="VLI19" s="433"/>
      <c r="VLJ19" s="433"/>
      <c r="VLK19" s="433"/>
      <c r="VLL19" s="433"/>
      <c r="VLM19" s="433"/>
      <c r="VLN19" s="433"/>
      <c r="VLO19" s="433"/>
      <c r="VLP19" s="433"/>
      <c r="VLQ19" s="433"/>
      <c r="VLR19" s="433"/>
      <c r="VLS19" s="433"/>
      <c r="VLT19" s="433"/>
      <c r="VLU19" s="433"/>
      <c r="VLV19" s="433"/>
      <c r="VLW19" s="433"/>
      <c r="VLX19" s="433"/>
      <c r="VLY19" s="433"/>
      <c r="VLZ19" s="433"/>
      <c r="VMA19" s="433"/>
      <c r="VMB19" s="433"/>
      <c r="VMC19" s="433"/>
      <c r="VMD19" s="433"/>
      <c r="VME19" s="433"/>
      <c r="VMF19" s="433"/>
      <c r="VMG19" s="433"/>
      <c r="VMH19" s="433"/>
      <c r="VMI19" s="433"/>
      <c r="VMJ19" s="433"/>
      <c r="VMK19" s="433"/>
      <c r="VML19" s="433"/>
      <c r="VMM19" s="433"/>
      <c r="VMN19" s="433"/>
      <c r="VMO19" s="433"/>
      <c r="VMP19" s="433"/>
      <c r="VMQ19" s="433"/>
      <c r="VMR19" s="433"/>
      <c r="VMS19" s="433"/>
      <c r="VMT19" s="433"/>
      <c r="VMU19" s="433"/>
      <c r="VMV19" s="433"/>
      <c r="VMW19" s="433"/>
      <c r="VMX19" s="433"/>
      <c r="VMY19" s="433"/>
      <c r="VMZ19" s="433"/>
      <c r="VNA19" s="433"/>
      <c r="VNB19" s="433"/>
      <c r="VNC19" s="433"/>
      <c r="VND19" s="433"/>
      <c r="VNE19" s="433"/>
      <c r="VNF19" s="433"/>
      <c r="VNG19" s="433"/>
      <c r="VNH19" s="433"/>
      <c r="VNI19" s="433"/>
      <c r="VNJ19" s="433"/>
      <c r="VNK19" s="433"/>
      <c r="VNL19" s="433"/>
      <c r="VNM19" s="433"/>
      <c r="VNN19" s="433"/>
      <c r="VNO19" s="433"/>
      <c r="VNP19" s="433"/>
      <c r="VNQ19" s="433"/>
      <c r="VNR19" s="433"/>
      <c r="VNS19" s="433"/>
      <c r="VNT19" s="433"/>
      <c r="VNU19" s="433"/>
      <c r="VNV19" s="433"/>
      <c r="VNW19" s="433"/>
      <c r="VNX19" s="433"/>
      <c r="VNY19" s="433"/>
      <c r="VNZ19" s="433"/>
      <c r="VOA19" s="433"/>
      <c r="VOB19" s="433"/>
      <c r="VOC19" s="433"/>
      <c r="VOD19" s="433"/>
      <c r="VOE19" s="433"/>
      <c r="VOF19" s="433"/>
      <c r="VOG19" s="433"/>
      <c r="VOH19" s="433"/>
      <c r="VOI19" s="433"/>
      <c r="VOJ19" s="433"/>
      <c r="VOK19" s="433"/>
      <c r="VOL19" s="433"/>
      <c r="VOM19" s="433"/>
      <c r="VON19" s="433"/>
      <c r="VOO19" s="433"/>
      <c r="VOP19" s="433"/>
      <c r="VOQ19" s="433"/>
      <c r="VOR19" s="433"/>
      <c r="VOS19" s="433"/>
      <c r="VOT19" s="433"/>
      <c r="VOU19" s="433"/>
      <c r="VOV19" s="433"/>
      <c r="VOW19" s="433"/>
      <c r="VOX19" s="433"/>
      <c r="VOY19" s="433"/>
      <c r="VOZ19" s="433"/>
      <c r="VPA19" s="433"/>
      <c r="VPB19" s="433"/>
      <c r="VPC19" s="433"/>
      <c r="VPD19" s="433"/>
      <c r="VPE19" s="433"/>
      <c r="VPF19" s="433"/>
      <c r="VPG19" s="433"/>
      <c r="VPH19" s="433"/>
      <c r="VPI19" s="433"/>
      <c r="VPJ19" s="433"/>
      <c r="VPK19" s="433"/>
      <c r="VPL19" s="433"/>
      <c r="VPM19" s="433"/>
      <c r="VPN19" s="433"/>
      <c r="VPO19" s="433"/>
      <c r="VPP19" s="433"/>
      <c r="VPQ19" s="433"/>
      <c r="VPR19" s="433"/>
      <c r="VPS19" s="433"/>
      <c r="VPT19" s="433"/>
      <c r="VPU19" s="433"/>
      <c r="VPV19" s="433"/>
      <c r="VPW19" s="433"/>
      <c r="VPX19" s="433"/>
      <c r="VPY19" s="433"/>
      <c r="VPZ19" s="433"/>
      <c r="VQA19" s="433"/>
      <c r="VQB19" s="433"/>
      <c r="VQC19" s="433"/>
      <c r="VQD19" s="433"/>
      <c r="VQE19" s="433"/>
      <c r="VQF19" s="433"/>
      <c r="VQG19" s="433"/>
      <c r="VQH19" s="433"/>
      <c r="VQI19" s="433"/>
      <c r="VQJ19" s="433"/>
      <c r="VQK19" s="433"/>
      <c r="VQL19" s="433"/>
      <c r="VQM19" s="433"/>
      <c r="VQN19" s="433"/>
      <c r="VQO19" s="433"/>
      <c r="VQP19" s="433"/>
      <c r="VQQ19" s="433"/>
      <c r="VQR19" s="433"/>
      <c r="VQS19" s="433"/>
      <c r="VQT19" s="433"/>
      <c r="VQU19" s="433"/>
      <c r="VQV19" s="433"/>
      <c r="VQW19" s="433"/>
      <c r="VQX19" s="433"/>
      <c r="VQY19" s="433"/>
      <c r="VQZ19" s="433"/>
      <c r="VRA19" s="433"/>
      <c r="VRB19" s="433"/>
      <c r="VRC19" s="433"/>
      <c r="VRD19" s="433"/>
      <c r="VRE19" s="433"/>
      <c r="VRF19" s="433"/>
      <c r="VRG19" s="433"/>
      <c r="VRH19" s="433"/>
      <c r="VRI19" s="433"/>
      <c r="VRJ19" s="433"/>
      <c r="VRK19" s="433"/>
      <c r="VRL19" s="433"/>
      <c r="VRM19" s="433"/>
      <c r="VRN19" s="433"/>
      <c r="VRO19" s="433"/>
      <c r="VRP19" s="433"/>
      <c r="VRQ19" s="433"/>
      <c r="VRR19" s="433"/>
      <c r="VRS19" s="433"/>
      <c r="VRT19" s="433"/>
      <c r="VRU19" s="433"/>
      <c r="VRV19" s="433"/>
      <c r="VRW19" s="433"/>
      <c r="VRX19" s="433"/>
      <c r="VRY19" s="433"/>
      <c r="VRZ19" s="433"/>
      <c r="VSA19" s="433"/>
      <c r="VSB19" s="433"/>
      <c r="VSC19" s="433"/>
      <c r="VSD19" s="433"/>
      <c r="VSE19" s="433"/>
      <c r="VSF19" s="433"/>
      <c r="VSG19" s="433"/>
      <c r="VSH19" s="433"/>
      <c r="VSI19" s="433"/>
      <c r="VSJ19" s="433"/>
      <c r="VSK19" s="433"/>
      <c r="VSL19" s="433"/>
      <c r="VSM19" s="433"/>
      <c r="VSN19" s="433"/>
      <c r="VSO19" s="433"/>
      <c r="VSP19" s="433"/>
      <c r="VSQ19" s="433"/>
      <c r="VSR19" s="433"/>
      <c r="VSS19" s="433"/>
      <c r="VST19" s="433"/>
      <c r="VSU19" s="433"/>
      <c r="VSV19" s="433"/>
      <c r="VSW19" s="433"/>
      <c r="VSX19" s="433"/>
      <c r="VSY19" s="433"/>
      <c r="VSZ19" s="433"/>
      <c r="VTA19" s="433"/>
      <c r="VTB19" s="433"/>
      <c r="VTC19" s="433"/>
      <c r="VTD19" s="433"/>
      <c r="VTE19" s="433"/>
      <c r="VTF19" s="433"/>
      <c r="VTG19" s="433"/>
      <c r="VTH19" s="433"/>
      <c r="VTI19" s="433"/>
      <c r="VTJ19" s="433"/>
      <c r="VTK19" s="433"/>
      <c r="VTL19" s="433"/>
      <c r="VTM19" s="433"/>
      <c r="VTN19" s="433"/>
      <c r="VTO19" s="433"/>
      <c r="VTP19" s="433"/>
      <c r="VTQ19" s="433"/>
      <c r="VTR19" s="433"/>
      <c r="VTS19" s="433"/>
      <c r="VTT19" s="433"/>
      <c r="VTU19" s="433"/>
      <c r="VTV19" s="433"/>
      <c r="VTW19" s="433"/>
      <c r="VTX19" s="433"/>
      <c r="VTY19" s="433"/>
      <c r="VTZ19" s="433"/>
      <c r="VUA19" s="433"/>
      <c r="VUB19" s="433"/>
      <c r="VUC19" s="433"/>
      <c r="VUD19" s="433"/>
      <c r="VUE19" s="433"/>
      <c r="VUF19" s="433"/>
      <c r="VUG19" s="433"/>
      <c r="VUH19" s="433"/>
      <c r="VUI19" s="433"/>
      <c r="VUJ19" s="433"/>
      <c r="VUK19" s="433"/>
      <c r="VUL19" s="433"/>
      <c r="VUM19" s="433"/>
      <c r="VUN19" s="433"/>
      <c r="VUO19" s="433"/>
      <c r="VUP19" s="433"/>
      <c r="VUQ19" s="433"/>
      <c r="VUR19" s="433"/>
      <c r="VUS19" s="433"/>
      <c r="VUT19" s="433"/>
      <c r="VUU19" s="433"/>
      <c r="VUV19" s="433"/>
      <c r="VUW19" s="433"/>
      <c r="VUX19" s="433"/>
      <c r="VUY19" s="433"/>
      <c r="VUZ19" s="433"/>
      <c r="VVA19" s="433"/>
      <c r="VVB19" s="433"/>
      <c r="VVC19" s="433"/>
      <c r="VVD19" s="433"/>
      <c r="VVE19" s="433"/>
      <c r="VVF19" s="433"/>
      <c r="VVG19" s="433"/>
      <c r="VVH19" s="433"/>
      <c r="VVI19" s="433"/>
      <c r="VVJ19" s="433"/>
      <c r="VVK19" s="433"/>
      <c r="VVL19" s="433"/>
      <c r="VVM19" s="433"/>
      <c r="VVN19" s="433"/>
      <c r="VVO19" s="433"/>
      <c r="VVP19" s="433"/>
      <c r="VVQ19" s="433"/>
      <c r="VVR19" s="433"/>
      <c r="VVS19" s="433"/>
      <c r="VVT19" s="433"/>
      <c r="VVU19" s="433"/>
      <c r="VVV19" s="433"/>
      <c r="VVW19" s="433"/>
      <c r="VVX19" s="433"/>
      <c r="VVY19" s="433"/>
      <c r="VVZ19" s="433"/>
      <c r="VWA19" s="433"/>
      <c r="VWB19" s="433"/>
      <c r="VWC19" s="433"/>
      <c r="VWD19" s="433"/>
      <c r="VWE19" s="433"/>
      <c r="VWF19" s="433"/>
      <c r="VWG19" s="433"/>
      <c r="VWH19" s="433"/>
      <c r="VWI19" s="433"/>
      <c r="VWJ19" s="433"/>
      <c r="VWK19" s="433"/>
      <c r="VWL19" s="433"/>
      <c r="VWM19" s="433"/>
      <c r="VWN19" s="433"/>
      <c r="VWO19" s="433"/>
      <c r="VWP19" s="433"/>
      <c r="VWQ19" s="433"/>
      <c r="VWR19" s="433"/>
      <c r="VWS19" s="433"/>
      <c r="VWT19" s="433"/>
      <c r="VWU19" s="433"/>
      <c r="VWV19" s="433"/>
      <c r="VWW19" s="433"/>
      <c r="VWX19" s="433"/>
      <c r="VWY19" s="433"/>
      <c r="VWZ19" s="433"/>
      <c r="VXA19" s="433"/>
      <c r="VXB19" s="433"/>
      <c r="VXC19" s="433"/>
      <c r="VXD19" s="433"/>
      <c r="VXE19" s="433"/>
      <c r="VXF19" s="433"/>
      <c r="VXG19" s="433"/>
      <c r="VXH19" s="433"/>
      <c r="VXI19" s="433"/>
      <c r="VXJ19" s="433"/>
      <c r="VXK19" s="433"/>
      <c r="VXL19" s="433"/>
      <c r="VXM19" s="433"/>
      <c r="VXN19" s="433"/>
      <c r="VXO19" s="433"/>
      <c r="VXP19" s="433"/>
      <c r="VXQ19" s="433"/>
      <c r="VXR19" s="433"/>
      <c r="VXS19" s="433"/>
      <c r="VXT19" s="433"/>
      <c r="VXU19" s="433"/>
      <c r="VXV19" s="433"/>
      <c r="VXW19" s="433"/>
      <c r="VXX19" s="433"/>
      <c r="VXY19" s="433"/>
      <c r="VXZ19" s="433"/>
      <c r="VYA19" s="433"/>
      <c r="VYB19" s="433"/>
      <c r="VYC19" s="433"/>
      <c r="VYD19" s="433"/>
      <c r="VYE19" s="433"/>
      <c r="VYF19" s="433"/>
      <c r="VYG19" s="433"/>
      <c r="VYH19" s="433"/>
      <c r="VYI19" s="433"/>
      <c r="VYJ19" s="433"/>
      <c r="VYK19" s="433"/>
      <c r="VYL19" s="433"/>
      <c r="VYM19" s="433"/>
      <c r="VYN19" s="433"/>
      <c r="VYO19" s="433"/>
      <c r="VYP19" s="433"/>
      <c r="VYQ19" s="433"/>
      <c r="VYR19" s="433"/>
      <c r="VYS19" s="433"/>
      <c r="VYT19" s="433"/>
      <c r="VYU19" s="433"/>
      <c r="VYV19" s="433"/>
      <c r="VYW19" s="433"/>
      <c r="VYX19" s="433"/>
      <c r="VYY19" s="433"/>
      <c r="VYZ19" s="433"/>
      <c r="VZA19" s="433"/>
      <c r="VZB19" s="433"/>
      <c r="VZC19" s="433"/>
      <c r="VZD19" s="433"/>
      <c r="VZE19" s="433"/>
      <c r="VZF19" s="433"/>
      <c r="VZG19" s="433"/>
      <c r="VZH19" s="433"/>
      <c r="VZI19" s="433"/>
      <c r="VZJ19" s="433"/>
      <c r="VZK19" s="433"/>
      <c r="VZL19" s="433"/>
      <c r="VZM19" s="433"/>
      <c r="VZN19" s="433"/>
      <c r="VZO19" s="433"/>
      <c r="VZP19" s="433"/>
      <c r="VZQ19" s="433"/>
      <c r="VZR19" s="433"/>
      <c r="VZS19" s="433"/>
      <c r="VZT19" s="433"/>
      <c r="VZU19" s="433"/>
      <c r="VZV19" s="433"/>
      <c r="VZW19" s="433"/>
      <c r="VZX19" s="433"/>
      <c r="VZY19" s="433"/>
      <c r="VZZ19" s="433"/>
      <c r="WAA19" s="433"/>
      <c r="WAB19" s="433"/>
      <c r="WAC19" s="433"/>
      <c r="WAD19" s="433"/>
      <c r="WAE19" s="433"/>
      <c r="WAF19" s="433"/>
      <c r="WAG19" s="433"/>
      <c r="WAH19" s="433"/>
      <c r="WAI19" s="433"/>
      <c r="WAJ19" s="433"/>
      <c r="WAK19" s="433"/>
      <c r="WAL19" s="433"/>
      <c r="WAM19" s="433"/>
      <c r="WAN19" s="433"/>
      <c r="WAO19" s="433"/>
      <c r="WAP19" s="433"/>
      <c r="WAQ19" s="433"/>
      <c r="WAR19" s="433"/>
      <c r="WAS19" s="433"/>
      <c r="WAT19" s="433"/>
      <c r="WAU19" s="433"/>
      <c r="WAV19" s="433"/>
      <c r="WAW19" s="433"/>
      <c r="WAX19" s="433"/>
      <c r="WAY19" s="433"/>
      <c r="WAZ19" s="433"/>
      <c r="WBA19" s="433"/>
      <c r="WBB19" s="433"/>
      <c r="WBC19" s="433"/>
      <c r="WBD19" s="433"/>
      <c r="WBE19" s="433"/>
      <c r="WBF19" s="433"/>
      <c r="WBG19" s="433"/>
      <c r="WBH19" s="433"/>
      <c r="WBI19" s="433"/>
      <c r="WBJ19" s="433"/>
      <c r="WBK19" s="433"/>
      <c r="WBL19" s="433"/>
      <c r="WBM19" s="433"/>
      <c r="WBN19" s="433"/>
      <c r="WBO19" s="433"/>
      <c r="WBP19" s="433"/>
      <c r="WBQ19" s="433"/>
      <c r="WBR19" s="433"/>
      <c r="WBS19" s="433"/>
      <c r="WBT19" s="433"/>
      <c r="WBU19" s="433"/>
      <c r="WBV19" s="433"/>
      <c r="WBW19" s="433"/>
      <c r="WBX19" s="433"/>
      <c r="WBY19" s="433"/>
      <c r="WBZ19" s="433"/>
      <c r="WCA19" s="433"/>
      <c r="WCB19" s="433"/>
      <c r="WCC19" s="433"/>
      <c r="WCD19" s="433"/>
      <c r="WCE19" s="433"/>
      <c r="WCF19" s="433"/>
      <c r="WCG19" s="433"/>
      <c r="WCH19" s="433"/>
      <c r="WCI19" s="433"/>
      <c r="WCJ19" s="433"/>
      <c r="WCK19" s="433"/>
      <c r="WCL19" s="433"/>
      <c r="WCM19" s="433"/>
      <c r="WCN19" s="433"/>
      <c r="WCO19" s="433"/>
      <c r="WCP19" s="433"/>
      <c r="WCQ19" s="433"/>
      <c r="WCR19" s="433"/>
      <c r="WCS19" s="433"/>
      <c r="WCT19" s="433"/>
      <c r="WCU19" s="433"/>
      <c r="WCV19" s="433"/>
      <c r="WCW19" s="433"/>
      <c r="WCX19" s="433"/>
      <c r="WCY19" s="433"/>
      <c r="WCZ19" s="433"/>
      <c r="WDA19" s="433"/>
      <c r="WDB19" s="433"/>
      <c r="WDC19" s="433"/>
      <c r="WDD19" s="433"/>
      <c r="WDE19" s="433"/>
      <c r="WDF19" s="433"/>
      <c r="WDG19" s="433"/>
      <c r="WDH19" s="433"/>
      <c r="WDI19" s="433"/>
      <c r="WDJ19" s="433"/>
      <c r="WDK19" s="433"/>
      <c r="WDL19" s="433"/>
      <c r="WDM19" s="433"/>
      <c r="WDN19" s="433"/>
      <c r="WDO19" s="433"/>
      <c r="WDP19" s="433"/>
      <c r="WDQ19" s="433"/>
      <c r="WDR19" s="433"/>
      <c r="WDS19" s="433"/>
      <c r="WDT19" s="433"/>
      <c r="WDU19" s="433"/>
      <c r="WDV19" s="433"/>
      <c r="WDW19" s="433"/>
      <c r="WDX19" s="433"/>
      <c r="WDY19" s="433"/>
      <c r="WDZ19" s="433"/>
      <c r="WEA19" s="433"/>
      <c r="WEB19" s="433"/>
      <c r="WEC19" s="433"/>
      <c r="WED19" s="433"/>
      <c r="WEE19" s="433"/>
      <c r="WEF19" s="433"/>
      <c r="WEG19" s="433"/>
      <c r="WEH19" s="433"/>
      <c r="WEI19" s="433"/>
      <c r="WEJ19" s="433"/>
      <c r="WEK19" s="433"/>
      <c r="WEL19" s="433"/>
      <c r="WEM19" s="433"/>
      <c r="WEN19" s="433"/>
      <c r="WEO19" s="433"/>
      <c r="WEP19" s="433"/>
      <c r="WEQ19" s="433"/>
      <c r="WER19" s="433"/>
      <c r="WES19" s="433"/>
      <c r="WET19" s="433"/>
      <c r="WEU19" s="433"/>
      <c r="WEV19" s="433"/>
      <c r="WEW19" s="433"/>
      <c r="WEX19" s="433"/>
      <c r="WEY19" s="433"/>
      <c r="WEZ19" s="433"/>
      <c r="WFA19" s="433"/>
      <c r="WFB19" s="433"/>
      <c r="WFC19" s="433"/>
      <c r="WFD19" s="433"/>
      <c r="WFE19" s="433"/>
      <c r="WFF19" s="433"/>
      <c r="WFG19" s="433"/>
      <c r="WFH19" s="433"/>
      <c r="WFI19" s="433"/>
      <c r="WFJ19" s="433"/>
      <c r="WFK19" s="433"/>
      <c r="WFL19" s="433"/>
      <c r="WFM19" s="433"/>
      <c r="WFN19" s="433"/>
      <c r="WFO19" s="433"/>
      <c r="WFP19" s="433"/>
      <c r="WFQ19" s="433"/>
      <c r="WFR19" s="433"/>
      <c r="WFS19" s="433"/>
      <c r="WFT19" s="433"/>
      <c r="WFU19" s="433"/>
      <c r="WFV19" s="433"/>
      <c r="WFW19" s="433"/>
      <c r="WFX19" s="433"/>
      <c r="WFY19" s="433"/>
      <c r="WFZ19" s="433"/>
      <c r="WGA19" s="433"/>
      <c r="WGB19" s="433"/>
      <c r="WGC19" s="433"/>
      <c r="WGD19" s="433"/>
      <c r="WGE19" s="433"/>
      <c r="WGF19" s="433"/>
      <c r="WGG19" s="433"/>
      <c r="WGH19" s="433"/>
      <c r="WGI19" s="433"/>
      <c r="WGJ19" s="433"/>
      <c r="WGK19" s="433"/>
      <c r="WGL19" s="433"/>
      <c r="WGM19" s="433"/>
      <c r="WGN19" s="433"/>
      <c r="WGO19" s="433"/>
      <c r="WGP19" s="433"/>
      <c r="WGQ19" s="433"/>
      <c r="WGR19" s="433"/>
      <c r="WGS19" s="433"/>
      <c r="WGT19" s="433"/>
      <c r="WGU19" s="433"/>
      <c r="WGV19" s="433"/>
      <c r="WGW19" s="433"/>
      <c r="WGX19" s="433"/>
      <c r="WGY19" s="433"/>
      <c r="WGZ19" s="433"/>
      <c r="WHA19" s="433"/>
      <c r="WHB19" s="433"/>
      <c r="WHC19" s="433"/>
      <c r="WHD19" s="433"/>
      <c r="WHE19" s="433"/>
      <c r="WHF19" s="433"/>
      <c r="WHG19" s="433"/>
      <c r="WHH19" s="433"/>
      <c r="WHI19" s="433"/>
      <c r="WHJ19" s="433"/>
      <c r="WHK19" s="433"/>
      <c r="WHL19" s="433"/>
      <c r="WHM19" s="433"/>
      <c r="WHN19" s="433"/>
      <c r="WHO19" s="433"/>
      <c r="WHP19" s="433"/>
      <c r="WHQ19" s="433"/>
      <c r="WHR19" s="433"/>
      <c r="WHS19" s="433"/>
      <c r="WHT19" s="433"/>
      <c r="WHU19" s="433"/>
      <c r="WHV19" s="433"/>
      <c r="WHW19" s="433"/>
      <c r="WHX19" s="433"/>
      <c r="WHY19" s="433"/>
      <c r="WHZ19" s="433"/>
      <c r="WIA19" s="433"/>
      <c r="WIB19" s="433"/>
      <c r="WIC19" s="433"/>
      <c r="WID19" s="433"/>
      <c r="WIE19" s="433"/>
      <c r="WIF19" s="433"/>
      <c r="WIG19" s="433"/>
      <c r="WIH19" s="433"/>
      <c r="WII19" s="433"/>
      <c r="WIJ19" s="433"/>
      <c r="WIK19" s="433"/>
      <c r="WIL19" s="433"/>
      <c r="WIM19" s="433"/>
      <c r="WIN19" s="433"/>
      <c r="WIO19" s="433"/>
      <c r="WIP19" s="433"/>
      <c r="WIQ19" s="433"/>
      <c r="WIR19" s="433"/>
      <c r="WIS19" s="433"/>
      <c r="WIT19" s="433"/>
      <c r="WIU19" s="433"/>
      <c r="WIV19" s="433"/>
      <c r="WIW19" s="433"/>
      <c r="WIX19" s="433"/>
      <c r="WIY19" s="433"/>
      <c r="WIZ19" s="433"/>
      <c r="WJA19" s="433"/>
      <c r="WJB19" s="433"/>
      <c r="WJC19" s="433"/>
      <c r="WJD19" s="433"/>
      <c r="WJE19" s="433"/>
      <c r="WJF19" s="433"/>
      <c r="WJG19" s="433"/>
      <c r="WJH19" s="433"/>
      <c r="WJI19" s="433"/>
      <c r="WJJ19" s="433"/>
      <c r="WJK19" s="433"/>
      <c r="WJL19" s="433"/>
      <c r="WJM19" s="433"/>
      <c r="WJN19" s="433"/>
      <c r="WJO19" s="433"/>
      <c r="WJP19" s="433"/>
      <c r="WJQ19" s="433"/>
      <c r="WJR19" s="433"/>
      <c r="WJS19" s="433"/>
      <c r="WJT19" s="433"/>
      <c r="WJU19" s="433"/>
      <c r="WJV19" s="433"/>
      <c r="WJW19" s="433"/>
      <c r="WJX19" s="433"/>
      <c r="WJY19" s="433"/>
      <c r="WJZ19" s="433"/>
      <c r="WKA19" s="433"/>
      <c r="WKB19" s="433"/>
      <c r="WKC19" s="433"/>
      <c r="WKD19" s="433"/>
      <c r="WKE19" s="433"/>
      <c r="WKF19" s="433"/>
      <c r="WKG19" s="433"/>
      <c r="WKH19" s="433"/>
      <c r="WKI19" s="433"/>
      <c r="WKJ19" s="433"/>
      <c r="WKK19" s="433"/>
      <c r="WKL19" s="433"/>
      <c r="WKM19" s="433"/>
      <c r="WKN19" s="433"/>
      <c r="WKO19" s="433"/>
      <c r="WKP19" s="433"/>
      <c r="WKQ19" s="433"/>
      <c r="WKR19" s="433"/>
      <c r="WKS19" s="433"/>
      <c r="WKT19" s="433"/>
      <c r="WKU19" s="433"/>
      <c r="WKV19" s="433"/>
      <c r="WKW19" s="433"/>
      <c r="WKX19" s="433"/>
      <c r="WKY19" s="433"/>
      <c r="WKZ19" s="433"/>
      <c r="WLA19" s="433"/>
      <c r="WLB19" s="433"/>
      <c r="WLC19" s="433"/>
      <c r="WLD19" s="433"/>
      <c r="WLE19" s="433"/>
      <c r="WLF19" s="433"/>
      <c r="WLG19" s="433"/>
      <c r="WLH19" s="433"/>
      <c r="WLI19" s="433"/>
      <c r="WLJ19" s="433"/>
      <c r="WLK19" s="433"/>
      <c r="WLL19" s="433"/>
      <c r="WLM19" s="433"/>
      <c r="WLN19" s="433"/>
      <c r="WLO19" s="433"/>
      <c r="WLP19" s="433"/>
      <c r="WLQ19" s="433"/>
      <c r="WLR19" s="433"/>
      <c r="WLS19" s="433"/>
      <c r="WLT19" s="433"/>
      <c r="WLU19" s="433"/>
      <c r="WLV19" s="433"/>
      <c r="WLW19" s="433"/>
      <c r="WLX19" s="433"/>
      <c r="WLY19" s="433"/>
      <c r="WLZ19" s="433"/>
      <c r="WMA19" s="433"/>
      <c r="WMB19" s="433"/>
      <c r="WMC19" s="433"/>
      <c r="WMD19" s="433"/>
      <c r="WME19" s="433"/>
      <c r="WMF19" s="433"/>
      <c r="WMG19" s="433"/>
      <c r="WMH19" s="433"/>
      <c r="WMI19" s="433"/>
      <c r="WMJ19" s="433"/>
      <c r="WMK19" s="433"/>
      <c r="WML19" s="433"/>
      <c r="WMM19" s="433"/>
      <c r="WMN19" s="433"/>
      <c r="WMO19" s="433"/>
      <c r="WMP19" s="433"/>
      <c r="WMQ19" s="433"/>
      <c r="WMR19" s="433"/>
      <c r="WMS19" s="433"/>
      <c r="WMT19" s="433"/>
      <c r="WMU19" s="433"/>
      <c r="WMV19" s="433"/>
      <c r="WMW19" s="433"/>
      <c r="WMX19" s="433"/>
      <c r="WMY19" s="433"/>
      <c r="WMZ19" s="433"/>
      <c r="WNA19" s="433"/>
      <c r="WNB19" s="433"/>
      <c r="WNC19" s="433"/>
      <c r="WND19" s="433"/>
      <c r="WNE19" s="433"/>
      <c r="WNF19" s="433"/>
      <c r="WNG19" s="433"/>
      <c r="WNH19" s="433"/>
      <c r="WNI19" s="433"/>
      <c r="WNJ19" s="433"/>
      <c r="WNK19" s="433"/>
      <c r="WNL19" s="433"/>
      <c r="WNM19" s="433"/>
      <c r="WNN19" s="433"/>
      <c r="WNO19" s="433"/>
      <c r="WNP19" s="433"/>
      <c r="WNQ19" s="433"/>
      <c r="WNR19" s="433"/>
      <c r="WNS19" s="433"/>
      <c r="WNT19" s="433"/>
      <c r="WNU19" s="433"/>
      <c r="WNV19" s="433"/>
      <c r="WNW19" s="433"/>
      <c r="WNX19" s="433"/>
      <c r="WNY19" s="433"/>
      <c r="WNZ19" s="433"/>
      <c r="WOA19" s="433"/>
      <c r="WOB19" s="433"/>
      <c r="WOC19" s="433"/>
      <c r="WOD19" s="433"/>
      <c r="WOE19" s="433"/>
      <c r="WOF19" s="433"/>
      <c r="WOG19" s="433"/>
      <c r="WOH19" s="433"/>
      <c r="WOI19" s="433"/>
      <c r="WOJ19" s="433"/>
      <c r="WOK19" s="433"/>
      <c r="WOL19" s="433"/>
      <c r="WOM19" s="433"/>
      <c r="WON19" s="433"/>
      <c r="WOO19" s="433"/>
      <c r="WOP19" s="433"/>
      <c r="WOQ19" s="433"/>
      <c r="WOR19" s="433"/>
      <c r="WOS19" s="433"/>
      <c r="WOT19" s="433"/>
      <c r="WOU19" s="433"/>
      <c r="WOV19" s="433"/>
      <c r="WOW19" s="433"/>
      <c r="WOX19" s="433"/>
      <c r="WOY19" s="433"/>
      <c r="WOZ19" s="433"/>
      <c r="WPA19" s="433"/>
      <c r="WPB19" s="433"/>
      <c r="WPC19" s="433"/>
      <c r="WPD19" s="433"/>
      <c r="WPE19" s="433"/>
      <c r="WPF19" s="433"/>
      <c r="WPG19" s="433"/>
      <c r="WPH19" s="433"/>
      <c r="WPI19" s="433"/>
      <c r="WPJ19" s="433"/>
      <c r="WPK19" s="433"/>
      <c r="WPL19" s="433"/>
      <c r="WPM19" s="433"/>
      <c r="WPN19" s="433"/>
      <c r="WPO19" s="433"/>
      <c r="WPP19" s="433"/>
      <c r="WPQ19" s="433"/>
      <c r="WPR19" s="433"/>
      <c r="WPS19" s="433"/>
      <c r="WPT19" s="433"/>
      <c r="WPU19" s="433"/>
      <c r="WPV19" s="433"/>
      <c r="WPW19" s="433"/>
      <c r="WPX19" s="433"/>
      <c r="WPY19" s="433"/>
      <c r="WPZ19" s="433"/>
      <c r="WQA19" s="433"/>
      <c r="WQB19" s="433"/>
      <c r="WQC19" s="433"/>
      <c r="WQD19" s="433"/>
      <c r="WQE19" s="433"/>
      <c r="WQF19" s="433"/>
      <c r="WQG19" s="433"/>
      <c r="WQH19" s="433"/>
      <c r="WQI19" s="433"/>
      <c r="WQJ19" s="433"/>
      <c r="WQK19" s="433"/>
      <c r="WQL19" s="433"/>
      <c r="WQM19" s="433"/>
      <c r="WQN19" s="433"/>
      <c r="WQO19" s="433"/>
      <c r="WQP19" s="433"/>
      <c r="WQQ19" s="433"/>
      <c r="WQR19" s="433"/>
      <c r="WQS19" s="433"/>
      <c r="WQT19" s="433"/>
      <c r="WQU19" s="433"/>
      <c r="WQV19" s="433"/>
      <c r="WQW19" s="433"/>
      <c r="WQX19" s="433"/>
      <c r="WQY19" s="433"/>
      <c r="WQZ19" s="433"/>
      <c r="WRA19" s="433"/>
      <c r="WRB19" s="433"/>
      <c r="WRC19" s="433"/>
      <c r="WRD19" s="433"/>
      <c r="WRE19" s="433"/>
      <c r="WRF19" s="433"/>
      <c r="WRG19" s="433"/>
      <c r="WRH19" s="433"/>
      <c r="WRI19" s="433"/>
      <c r="WRJ19" s="433"/>
      <c r="WRK19" s="433"/>
      <c r="WRL19" s="433"/>
      <c r="WRM19" s="433"/>
      <c r="WRN19" s="433"/>
      <c r="WRO19" s="433"/>
      <c r="WRP19" s="433"/>
      <c r="WRQ19" s="433"/>
      <c r="WRR19" s="433"/>
      <c r="WRS19" s="433"/>
      <c r="WRT19" s="433"/>
      <c r="WRU19" s="433"/>
      <c r="WRV19" s="433"/>
      <c r="WRW19" s="433"/>
      <c r="WRX19" s="433"/>
      <c r="WRY19" s="433"/>
      <c r="WRZ19" s="433"/>
      <c r="WSA19" s="433"/>
      <c r="WSB19" s="433"/>
      <c r="WSC19" s="433"/>
      <c r="WSD19" s="433"/>
      <c r="WSE19" s="433"/>
      <c r="WSF19" s="433"/>
      <c r="WSG19" s="433"/>
      <c r="WSH19" s="433"/>
      <c r="WSI19" s="433"/>
      <c r="WSJ19" s="433"/>
      <c r="WSK19" s="433"/>
      <c r="WSL19" s="433"/>
      <c r="WSM19" s="433"/>
      <c r="WSN19" s="433"/>
      <c r="WSO19" s="433"/>
      <c r="WSP19" s="433"/>
      <c r="WSQ19" s="433"/>
      <c r="WSR19" s="433"/>
      <c r="WSS19" s="433"/>
      <c r="WST19" s="433"/>
      <c r="WSU19" s="433"/>
      <c r="WSV19" s="433"/>
      <c r="WSW19" s="433"/>
      <c r="WSX19" s="433"/>
      <c r="WSY19" s="433"/>
      <c r="WSZ19" s="433"/>
      <c r="WTA19" s="433"/>
      <c r="WTB19" s="433"/>
      <c r="WTC19" s="433"/>
      <c r="WTD19" s="433"/>
      <c r="WTE19" s="433"/>
      <c r="WTF19" s="433"/>
      <c r="WTG19" s="433"/>
      <c r="WTH19" s="433"/>
      <c r="WTI19" s="433"/>
      <c r="WTJ19" s="433"/>
      <c r="WTK19" s="433"/>
      <c r="WTL19" s="433"/>
      <c r="WTM19" s="433"/>
      <c r="WTN19" s="433"/>
      <c r="WTO19" s="433"/>
      <c r="WTP19" s="433"/>
      <c r="WTQ19" s="433"/>
      <c r="WTR19" s="433"/>
      <c r="WTS19" s="433"/>
      <c r="WTT19" s="433"/>
      <c r="WTU19" s="433"/>
      <c r="WTV19" s="433"/>
      <c r="WTW19" s="433"/>
      <c r="WTX19" s="433"/>
      <c r="WTY19" s="433"/>
      <c r="WTZ19" s="433"/>
      <c r="WUA19" s="433"/>
      <c r="WUB19" s="433"/>
      <c r="WUC19" s="433"/>
      <c r="WUD19" s="433"/>
      <c r="WUE19" s="433"/>
      <c r="WUF19" s="433"/>
      <c r="WUG19" s="433"/>
      <c r="WUH19" s="433"/>
      <c r="WUI19" s="433"/>
      <c r="WUJ19" s="433"/>
      <c r="WUK19" s="433"/>
      <c r="WUL19" s="433"/>
      <c r="WUM19" s="433"/>
      <c r="WUN19" s="433"/>
      <c r="WUO19" s="433"/>
      <c r="WUP19" s="433"/>
      <c r="WUQ19" s="433"/>
      <c r="WUR19" s="433"/>
      <c r="WUS19" s="433"/>
      <c r="WUT19" s="433"/>
      <c r="WUU19" s="433"/>
      <c r="WUV19" s="433"/>
      <c r="WUW19" s="433"/>
      <c r="WUX19" s="433"/>
      <c r="WUY19" s="433"/>
      <c r="WUZ19" s="433"/>
      <c r="WVA19" s="433"/>
      <c r="WVB19" s="433"/>
      <c r="WVC19" s="433"/>
      <c r="WVD19" s="433"/>
      <c r="WVE19" s="433"/>
      <c r="WVF19" s="433"/>
      <c r="WVG19" s="433"/>
      <c r="WVH19" s="433"/>
      <c r="WVI19" s="433"/>
      <c r="WVJ19" s="433"/>
      <c r="WVK19" s="433"/>
      <c r="WVL19" s="433"/>
      <c r="WVM19" s="433"/>
      <c r="WVN19" s="433"/>
      <c r="WVO19" s="433"/>
      <c r="WVP19" s="433"/>
      <c r="WVQ19" s="433"/>
      <c r="WVR19" s="433"/>
      <c r="WVS19" s="433"/>
      <c r="WVT19" s="433"/>
      <c r="WVU19" s="433"/>
      <c r="WVV19" s="433"/>
      <c r="WVW19" s="433"/>
      <c r="WVX19" s="433"/>
      <c r="WVY19" s="433"/>
      <c r="WVZ19" s="433"/>
      <c r="WWA19" s="433"/>
      <c r="WWB19" s="433"/>
      <c r="WWC19" s="433"/>
      <c r="WWD19" s="433"/>
      <c r="WWE19" s="433"/>
      <c r="WWF19" s="433"/>
      <c r="WWG19" s="433"/>
      <c r="WWH19" s="433"/>
      <c r="WWI19" s="433"/>
      <c r="WWJ19" s="433"/>
      <c r="WWK19" s="433"/>
      <c r="WWL19" s="433"/>
      <c r="WWM19" s="433"/>
      <c r="WWN19" s="433"/>
      <c r="WWO19" s="433"/>
      <c r="WWP19" s="433"/>
      <c r="WWQ19" s="433"/>
      <c r="WWR19" s="433"/>
      <c r="WWS19" s="433"/>
      <c r="WWT19" s="433"/>
      <c r="WWU19" s="433"/>
      <c r="WWV19" s="433"/>
      <c r="WWW19" s="433"/>
      <c r="WWX19" s="433"/>
      <c r="WWY19" s="433"/>
      <c r="WWZ19" s="433"/>
      <c r="WXA19" s="433"/>
      <c r="WXB19" s="433"/>
      <c r="WXC19" s="433"/>
      <c r="WXD19" s="433"/>
      <c r="WXE19" s="433"/>
      <c r="WXF19" s="433"/>
      <c r="WXG19" s="433"/>
      <c r="WXH19" s="433"/>
      <c r="WXI19" s="433"/>
      <c r="WXJ19" s="433"/>
      <c r="WXK19" s="433"/>
      <c r="WXL19" s="433"/>
      <c r="WXM19" s="433"/>
      <c r="WXN19" s="433"/>
      <c r="WXO19" s="433"/>
      <c r="WXP19" s="433"/>
      <c r="WXQ19" s="433"/>
      <c r="WXR19" s="433"/>
      <c r="WXS19" s="433"/>
      <c r="WXT19" s="433"/>
      <c r="WXU19" s="433"/>
      <c r="WXV19" s="433"/>
      <c r="WXW19" s="433"/>
      <c r="WXX19" s="433"/>
      <c r="WXY19" s="433"/>
      <c r="WXZ19" s="433"/>
      <c r="WYA19" s="433"/>
      <c r="WYB19" s="433"/>
      <c r="WYC19" s="433"/>
      <c r="WYD19" s="433"/>
      <c r="WYE19" s="433"/>
      <c r="WYF19" s="433"/>
      <c r="WYG19" s="433"/>
      <c r="WYH19" s="433"/>
      <c r="WYI19" s="433"/>
      <c r="WYJ19" s="433"/>
      <c r="WYK19" s="433"/>
      <c r="WYL19" s="433"/>
      <c r="WYM19" s="433"/>
      <c r="WYN19" s="433"/>
      <c r="WYO19" s="433"/>
      <c r="WYP19" s="433"/>
      <c r="WYQ19" s="433"/>
      <c r="WYR19" s="433"/>
      <c r="WYS19" s="433"/>
      <c r="WYT19" s="433"/>
      <c r="WYU19" s="433"/>
      <c r="WYV19" s="433"/>
      <c r="WYW19" s="433"/>
      <c r="WYX19" s="433"/>
      <c r="WYY19" s="433"/>
      <c r="WYZ19" s="433"/>
      <c r="WZA19" s="433"/>
      <c r="WZB19" s="433"/>
      <c r="WZC19" s="433"/>
      <c r="WZD19" s="433"/>
      <c r="WZE19" s="433"/>
      <c r="WZF19" s="433"/>
      <c r="WZG19" s="433"/>
      <c r="WZH19" s="433"/>
      <c r="WZI19" s="433"/>
      <c r="WZJ19" s="433"/>
      <c r="WZK19" s="433"/>
      <c r="WZL19" s="433"/>
      <c r="WZM19" s="433"/>
      <c r="WZN19" s="433"/>
      <c r="WZO19" s="433"/>
      <c r="WZP19" s="433"/>
      <c r="WZQ19" s="433"/>
      <c r="WZR19" s="433"/>
      <c r="WZS19" s="433"/>
      <c r="WZT19" s="433"/>
      <c r="WZU19" s="433"/>
      <c r="WZV19" s="433"/>
      <c r="WZW19" s="433"/>
      <c r="WZX19" s="433"/>
      <c r="WZY19" s="433"/>
      <c r="WZZ19" s="433"/>
      <c r="XAA19" s="433"/>
      <c r="XAB19" s="433"/>
      <c r="XAC19" s="433"/>
      <c r="XAD19" s="433"/>
      <c r="XAE19" s="433"/>
      <c r="XAF19" s="433"/>
      <c r="XAG19" s="433"/>
      <c r="XAH19" s="433"/>
      <c r="XAI19" s="433"/>
      <c r="XAJ19" s="433"/>
      <c r="XAK19" s="433"/>
      <c r="XAL19" s="433"/>
      <c r="XAM19" s="433"/>
      <c r="XAN19" s="433"/>
      <c r="XAO19" s="433"/>
      <c r="XAP19" s="433"/>
      <c r="XAQ19" s="433"/>
      <c r="XAR19" s="433"/>
      <c r="XAS19" s="433"/>
      <c r="XAT19" s="433"/>
      <c r="XAU19" s="433"/>
      <c r="XAV19" s="433"/>
      <c r="XAW19" s="433"/>
      <c r="XAX19" s="433"/>
      <c r="XAY19" s="433"/>
      <c r="XAZ19" s="433"/>
      <c r="XBA19" s="433"/>
      <c r="XBB19" s="433"/>
      <c r="XBC19" s="433"/>
      <c r="XBD19" s="433"/>
      <c r="XBE19" s="433"/>
      <c r="XBF19" s="433"/>
      <c r="XBG19" s="433"/>
      <c r="XBH19" s="433"/>
      <c r="XBI19" s="433"/>
      <c r="XBJ19" s="433"/>
      <c r="XBK19" s="433"/>
      <c r="XBL19" s="433"/>
      <c r="XBM19" s="433"/>
      <c r="XBN19" s="433"/>
      <c r="XBO19" s="433"/>
      <c r="XBP19" s="433"/>
      <c r="XBQ19" s="433"/>
      <c r="XBR19" s="433"/>
      <c r="XBS19" s="433"/>
      <c r="XBT19" s="433"/>
      <c r="XBU19" s="433"/>
      <c r="XBV19" s="433"/>
      <c r="XBW19" s="433"/>
      <c r="XBX19" s="433"/>
      <c r="XBY19" s="433"/>
      <c r="XBZ19" s="433"/>
      <c r="XCA19" s="433"/>
      <c r="XCB19" s="433"/>
      <c r="XCC19" s="433"/>
      <c r="XCD19" s="433"/>
      <c r="XCE19" s="433"/>
      <c r="XCF19" s="433"/>
      <c r="XCG19" s="433"/>
      <c r="XCH19" s="433"/>
      <c r="XCI19" s="433"/>
      <c r="XCJ19" s="433"/>
      <c r="XCK19" s="433"/>
      <c r="XCL19" s="433"/>
      <c r="XCM19" s="433"/>
      <c r="XCN19" s="433"/>
      <c r="XCO19" s="433"/>
      <c r="XCP19" s="433"/>
      <c r="XCQ19" s="433"/>
      <c r="XCR19" s="433"/>
      <c r="XCS19" s="433"/>
      <c r="XCT19" s="433"/>
      <c r="XCU19" s="433"/>
      <c r="XCV19" s="433"/>
      <c r="XCW19" s="433"/>
      <c r="XCX19" s="433"/>
      <c r="XCY19" s="433"/>
      <c r="XCZ19" s="433"/>
      <c r="XDA19" s="433"/>
      <c r="XDB19" s="433"/>
      <c r="XDC19" s="433"/>
      <c r="XDD19" s="433"/>
      <c r="XDE19" s="433"/>
      <c r="XDF19" s="433"/>
      <c r="XDG19" s="433"/>
      <c r="XDH19" s="433"/>
      <c r="XDI19" s="433"/>
      <c r="XDJ19" s="433"/>
      <c r="XDK19" s="433"/>
      <c r="XDL19" s="433"/>
      <c r="XDM19" s="433"/>
      <c r="XDN19" s="433"/>
      <c r="XDO19" s="433"/>
      <c r="XDP19" s="433"/>
      <c r="XDQ19" s="433"/>
      <c r="XDR19" s="433"/>
      <c r="XDS19" s="433"/>
      <c r="XDT19" s="433"/>
      <c r="XDU19" s="433"/>
      <c r="XDV19" s="433"/>
      <c r="XDW19" s="433"/>
      <c r="XDX19" s="433"/>
      <c r="XDY19" s="433"/>
      <c r="XDZ19" s="433"/>
      <c r="XEA19" s="433"/>
      <c r="XEB19" s="433"/>
      <c r="XEC19" s="433"/>
      <c r="XED19" s="433"/>
      <c r="XEE19" s="433"/>
      <c r="XEF19" s="433"/>
      <c r="XEG19" s="433"/>
      <c r="XEH19" s="433"/>
      <c r="XEI19" s="433"/>
      <c r="XEJ19" s="433"/>
      <c r="XEK19" s="433"/>
      <c r="XEL19" s="433"/>
      <c r="XEM19" s="433"/>
      <c r="XEN19" s="433"/>
      <c r="XEO19" s="433"/>
      <c r="XEP19" s="433"/>
      <c r="XEQ19" s="433"/>
      <c r="XER19" s="433"/>
      <c r="XES19" s="433"/>
      <c r="XET19" s="433"/>
      <c r="XEU19" s="433"/>
      <c r="XEV19" s="433"/>
      <c r="XEW19" s="433"/>
      <c r="XEX19" s="433"/>
      <c r="XEY19" s="433"/>
    </row>
    <row r="20" spans="1:16379" s="327" customFormat="1" ht="35.1" customHeight="1" x14ac:dyDescent="0.25">
      <c r="A20" s="329">
        <v>4600059304</v>
      </c>
      <c r="B20" s="329" t="s">
        <v>1231</v>
      </c>
      <c r="C20" s="329">
        <v>164650</v>
      </c>
      <c r="D20" s="329" t="s">
        <v>1880</v>
      </c>
      <c r="E20" s="329">
        <v>30</v>
      </c>
      <c r="F20" s="358" t="s">
        <v>1590</v>
      </c>
      <c r="G20" s="329" t="s">
        <v>1571</v>
      </c>
      <c r="H20" s="329" t="s">
        <v>709</v>
      </c>
      <c r="I20" s="331" t="s">
        <v>18</v>
      </c>
      <c r="J20" s="331" t="s">
        <v>1983</v>
      </c>
      <c r="K20" s="340">
        <v>2010520.07</v>
      </c>
      <c r="L20" s="331" t="s">
        <v>19</v>
      </c>
      <c r="M20" s="344">
        <v>44013</v>
      </c>
      <c r="N20" s="360">
        <v>46022</v>
      </c>
      <c r="O20" s="331" t="s">
        <v>234</v>
      </c>
      <c r="P20" s="331" t="s">
        <v>1067</v>
      </c>
      <c r="Q20" s="362" t="str">
        <f>UPPER(P20:P151)</f>
        <v>CLISTYEN DAYER PRADO RODRIGUES</v>
      </c>
      <c r="R20" s="331" t="str">
        <f>UPPER(Q20:Q147)</f>
        <v>CLISTYEN DAYER PRADO RODRIGUES</v>
      </c>
      <c r="S20" s="331" t="s">
        <v>406</v>
      </c>
      <c r="T20" s="331" t="s">
        <v>485</v>
      </c>
      <c r="U20" s="331" t="s">
        <v>486</v>
      </c>
      <c r="V20" s="331" t="s">
        <v>484</v>
      </c>
      <c r="W20" s="331"/>
      <c r="X20" s="330" t="s">
        <v>1232</v>
      </c>
    </row>
    <row r="21" spans="1:16379" ht="35.1" customHeight="1" x14ac:dyDescent="0.2">
      <c r="A21" s="329">
        <v>4600055166</v>
      </c>
      <c r="B21" s="329" t="s">
        <v>1230</v>
      </c>
      <c r="C21" s="329">
        <v>181242</v>
      </c>
      <c r="D21" s="329" t="s">
        <v>1881</v>
      </c>
      <c r="E21" s="329">
        <v>25</v>
      </c>
      <c r="F21" s="358" t="s">
        <v>1592</v>
      </c>
      <c r="G21" s="329" t="s">
        <v>1571</v>
      </c>
      <c r="H21" s="331" t="s">
        <v>710</v>
      </c>
      <c r="I21" s="329" t="s">
        <v>18</v>
      </c>
      <c r="J21" s="329" t="s">
        <v>1991</v>
      </c>
      <c r="K21" s="340">
        <v>387682253.54000002</v>
      </c>
      <c r="L21" s="329" t="s">
        <v>19</v>
      </c>
      <c r="M21" s="360">
        <v>41253</v>
      </c>
      <c r="N21" s="360">
        <v>45961</v>
      </c>
      <c r="O21" s="329" t="s">
        <v>29</v>
      </c>
      <c r="P21" s="329" t="s">
        <v>30</v>
      </c>
      <c r="Q21" s="362" t="str">
        <f>UPPER(P21:P159)</f>
        <v>MANFREDO SAHB CARCUTE</v>
      </c>
      <c r="R21" s="331" t="str">
        <f>UPPER(Q21:Q155)</f>
        <v>MANFREDO SAHB CARCUTE</v>
      </c>
      <c r="S21" s="329"/>
      <c r="T21" s="329"/>
      <c r="U21" s="329"/>
      <c r="V21" s="329"/>
      <c r="W21" s="329"/>
      <c r="X21" s="328"/>
    </row>
    <row r="22" spans="1:16379" s="326" customFormat="1" ht="35.1" customHeight="1" x14ac:dyDescent="0.25">
      <c r="A22" s="329">
        <v>4600058517</v>
      </c>
      <c r="B22" s="329" t="s">
        <v>1030</v>
      </c>
      <c r="C22" s="329">
        <v>185065</v>
      </c>
      <c r="D22" s="329" t="s">
        <v>1881</v>
      </c>
      <c r="E22" s="329">
        <v>90</v>
      </c>
      <c r="F22" s="365" t="s">
        <v>1582</v>
      </c>
      <c r="G22" s="329" t="s">
        <v>1571</v>
      </c>
      <c r="H22" s="329" t="s">
        <v>710</v>
      </c>
      <c r="I22" s="329" t="s">
        <v>38</v>
      </c>
      <c r="J22" s="358" t="s">
        <v>1997</v>
      </c>
      <c r="K22" s="359">
        <v>9983994.75</v>
      </c>
      <c r="L22" s="329" t="s">
        <v>19</v>
      </c>
      <c r="M22" s="360">
        <v>45582</v>
      </c>
      <c r="N22" s="360">
        <v>46292</v>
      </c>
      <c r="O22" s="331" t="s">
        <v>22</v>
      </c>
      <c r="P22" s="331" t="s">
        <v>204</v>
      </c>
      <c r="Q22" s="362" t="str">
        <f>UPPER(P22:P167)</f>
        <v>PEDRO ANTONIO PERIASSU</v>
      </c>
      <c r="R22" s="331" t="str">
        <f>UPPER(Q22:Q163)</f>
        <v>PEDRO ANTONIO PERIASSU</v>
      </c>
      <c r="S22" s="331" t="s">
        <v>922</v>
      </c>
      <c r="T22" s="331" t="s">
        <v>919</v>
      </c>
      <c r="U22" s="331" t="s">
        <v>921</v>
      </c>
      <c r="V22" s="331" t="s">
        <v>920</v>
      </c>
      <c r="W22" s="331"/>
      <c r="X22" s="330"/>
    </row>
    <row r="23" spans="1:16379" s="326" customFormat="1" ht="35.1" customHeight="1" x14ac:dyDescent="0.25">
      <c r="A23" s="329">
        <v>4600053335</v>
      </c>
      <c r="B23" s="329" t="s">
        <v>61</v>
      </c>
      <c r="C23" s="329">
        <v>188451</v>
      </c>
      <c r="D23" s="329" t="s">
        <v>1880</v>
      </c>
      <c r="E23" s="329">
        <v>60</v>
      </c>
      <c r="F23" s="447" t="s">
        <v>1575</v>
      </c>
      <c r="G23" s="435" t="s">
        <v>1575</v>
      </c>
      <c r="H23" s="329" t="s">
        <v>710</v>
      </c>
      <c r="I23" s="329" t="s">
        <v>18</v>
      </c>
      <c r="J23" s="358" t="s">
        <v>1471</v>
      </c>
      <c r="K23" s="359">
        <v>1991529</v>
      </c>
      <c r="L23" s="329" t="s">
        <v>19</v>
      </c>
      <c r="M23" s="360">
        <v>44287</v>
      </c>
      <c r="N23" s="360">
        <v>45930</v>
      </c>
      <c r="O23" s="331" t="s">
        <v>85</v>
      </c>
      <c r="P23" s="362" t="s">
        <v>2017</v>
      </c>
      <c r="Q23" s="362" t="str">
        <f>UPPER(P23:P118)</f>
        <v>LILIAN MOURA DA SILVA</v>
      </c>
      <c r="R23" s="331" t="str">
        <f>UPPER(Q23:Q115)</f>
        <v>LILIAN MOURA DA SILVA</v>
      </c>
      <c r="S23" s="331" t="s">
        <v>965</v>
      </c>
      <c r="T23" s="331" t="s">
        <v>741</v>
      </c>
      <c r="U23" s="331" t="s">
        <v>740</v>
      </c>
      <c r="V23" s="331" t="s">
        <v>742</v>
      </c>
      <c r="W23" s="331"/>
      <c r="X23" s="330"/>
    </row>
    <row r="24" spans="1:16379" s="326" customFormat="1" ht="35.1" customHeight="1" x14ac:dyDescent="0.25">
      <c r="A24" s="331">
        <v>4600057534</v>
      </c>
      <c r="B24" s="331" t="s">
        <v>182</v>
      </c>
      <c r="C24" s="331">
        <v>102369</v>
      </c>
      <c r="D24" s="329" t="s">
        <v>1880</v>
      </c>
      <c r="E24" s="331">
        <v>60</v>
      </c>
      <c r="F24" s="447" t="s">
        <v>1575</v>
      </c>
      <c r="G24" s="435" t="s">
        <v>1575</v>
      </c>
      <c r="H24" s="329" t="s">
        <v>710</v>
      </c>
      <c r="I24" s="331" t="s">
        <v>18</v>
      </c>
      <c r="J24" s="365" t="s">
        <v>1885</v>
      </c>
      <c r="K24" s="340">
        <v>1155397.68</v>
      </c>
      <c r="L24" s="331" t="s">
        <v>19</v>
      </c>
      <c r="M24" s="344">
        <v>45141</v>
      </c>
      <c r="N24" s="360">
        <v>46236</v>
      </c>
      <c r="O24" s="331" t="s">
        <v>22</v>
      </c>
      <c r="P24" s="331" t="s">
        <v>211</v>
      </c>
      <c r="Q24" s="362" t="str">
        <f>UPPER(P24:P120)</f>
        <v>WALDEMAR JUNIOR</v>
      </c>
      <c r="R24" s="331" t="str">
        <f>UPPER(Q24:Q116)</f>
        <v>WALDEMAR JUNIOR</v>
      </c>
      <c r="S24" s="331" t="s">
        <v>1005</v>
      </c>
      <c r="T24" s="331" t="s">
        <v>1007</v>
      </c>
      <c r="U24" s="331" t="s">
        <v>432</v>
      </c>
      <c r="V24" s="331" t="s">
        <v>1006</v>
      </c>
      <c r="W24" s="331"/>
      <c r="X24" s="330"/>
    </row>
    <row r="25" spans="1:16379" s="326" customFormat="1" ht="35.1" customHeight="1" x14ac:dyDescent="0.25">
      <c r="A25" s="331">
        <v>4600057638</v>
      </c>
      <c r="B25" s="331" t="s">
        <v>182</v>
      </c>
      <c r="C25" s="331">
        <v>102369</v>
      </c>
      <c r="D25" s="331" t="s">
        <v>1881</v>
      </c>
      <c r="E25" s="331">
        <v>60</v>
      </c>
      <c r="F25" s="447" t="s">
        <v>1575</v>
      </c>
      <c r="G25" s="435" t="s">
        <v>1575</v>
      </c>
      <c r="H25" s="329" t="s">
        <v>710</v>
      </c>
      <c r="I25" s="331" t="s">
        <v>18</v>
      </c>
      <c r="J25" s="365" t="s">
        <v>1886</v>
      </c>
      <c r="K25" s="340">
        <v>250000</v>
      </c>
      <c r="L25" s="331" t="s">
        <v>19</v>
      </c>
      <c r="M25" s="344">
        <v>45204</v>
      </c>
      <c r="N25" s="360">
        <v>46199</v>
      </c>
      <c r="O25" s="331" t="s">
        <v>22</v>
      </c>
      <c r="P25" s="331" t="s">
        <v>211</v>
      </c>
      <c r="Q25" s="362" t="str">
        <f>UPPER(P25:P121)</f>
        <v>WALDEMAR JUNIOR</v>
      </c>
      <c r="R25" s="331" t="str">
        <f>UPPER(Q25:Q117)</f>
        <v>WALDEMAR JUNIOR</v>
      </c>
      <c r="S25" s="331" t="s">
        <v>1005</v>
      </c>
      <c r="T25" s="331" t="s">
        <v>1007</v>
      </c>
      <c r="U25" s="331" t="s">
        <v>432</v>
      </c>
      <c r="V25" s="331" t="s">
        <v>1006</v>
      </c>
      <c r="W25" s="331"/>
      <c r="X25" s="330"/>
    </row>
    <row r="26" spans="1:16379" s="326" customFormat="1" ht="35.1" customHeight="1" x14ac:dyDescent="0.25">
      <c r="A26" s="331">
        <v>4600057680</v>
      </c>
      <c r="B26" s="331" t="s">
        <v>182</v>
      </c>
      <c r="C26" s="331">
        <v>102369</v>
      </c>
      <c r="D26" s="331" t="s">
        <v>1881</v>
      </c>
      <c r="E26" s="331">
        <v>60</v>
      </c>
      <c r="F26" s="447" t="s">
        <v>1575</v>
      </c>
      <c r="G26" s="435" t="s">
        <v>1575</v>
      </c>
      <c r="H26" s="329" t="s">
        <v>710</v>
      </c>
      <c r="I26" s="331" t="s">
        <v>18</v>
      </c>
      <c r="J26" s="365" t="s">
        <v>1887</v>
      </c>
      <c r="K26" s="340">
        <v>316958.76</v>
      </c>
      <c r="L26" s="331" t="s">
        <v>19</v>
      </c>
      <c r="M26" s="344">
        <v>45161</v>
      </c>
      <c r="N26" s="360">
        <v>46258</v>
      </c>
      <c r="O26" s="331" t="s">
        <v>22</v>
      </c>
      <c r="P26" s="331" t="s">
        <v>211</v>
      </c>
      <c r="Q26" s="362" t="str">
        <f>UPPER(P26:P122)</f>
        <v>WALDEMAR JUNIOR</v>
      </c>
      <c r="R26" s="331" t="str">
        <f>UPPER(Q26:Q118)</f>
        <v>WALDEMAR JUNIOR</v>
      </c>
      <c r="S26" s="331" t="s">
        <v>1005</v>
      </c>
      <c r="T26" s="331" t="s">
        <v>1007</v>
      </c>
      <c r="U26" s="331" t="s">
        <v>432</v>
      </c>
      <c r="V26" s="331" t="s">
        <v>1006</v>
      </c>
      <c r="W26" s="331"/>
      <c r="X26" s="330"/>
    </row>
    <row r="27" spans="1:16379" s="326" customFormat="1" ht="35.1" customHeight="1" x14ac:dyDescent="0.25">
      <c r="A27" s="331">
        <v>4600057700</v>
      </c>
      <c r="B27" s="331" t="s">
        <v>61</v>
      </c>
      <c r="C27" s="329">
        <v>188451</v>
      </c>
      <c r="D27" s="329" t="s">
        <v>1881</v>
      </c>
      <c r="E27" s="331">
        <v>45</v>
      </c>
      <c r="F27" s="447" t="s">
        <v>1575</v>
      </c>
      <c r="G27" s="435" t="s">
        <v>1575</v>
      </c>
      <c r="H27" s="331" t="s">
        <v>710</v>
      </c>
      <c r="I27" s="331" t="s">
        <v>18</v>
      </c>
      <c r="J27" s="365" t="s">
        <v>1888</v>
      </c>
      <c r="K27" s="340">
        <v>700000</v>
      </c>
      <c r="L27" s="331" t="s">
        <v>19</v>
      </c>
      <c r="M27" s="344">
        <v>45251</v>
      </c>
      <c r="N27" s="360">
        <v>46348</v>
      </c>
      <c r="O27" s="331" t="s">
        <v>22</v>
      </c>
      <c r="P27" s="331" t="s">
        <v>204</v>
      </c>
      <c r="Q27" s="362" t="str">
        <f>UPPER(P27:P123)</f>
        <v>PEDRO ANTONIO PERIASSU</v>
      </c>
      <c r="R27" s="331" t="str">
        <f>UPPER(Q27:Q119)</f>
        <v>PEDRO ANTONIO PERIASSU</v>
      </c>
      <c r="S27" s="331" t="s">
        <v>965</v>
      </c>
      <c r="T27" s="331" t="s">
        <v>741</v>
      </c>
      <c r="U27" s="331" t="s">
        <v>740</v>
      </c>
      <c r="V27" s="331" t="s">
        <v>742</v>
      </c>
      <c r="W27" s="331"/>
      <c r="X27" s="330"/>
    </row>
    <row r="28" spans="1:16379" s="326" customFormat="1" ht="35.1" customHeight="1" x14ac:dyDescent="0.25">
      <c r="A28" s="329">
        <v>4600057919</v>
      </c>
      <c r="B28" s="329" t="s">
        <v>64</v>
      </c>
      <c r="C28" s="329">
        <v>3029701</v>
      </c>
      <c r="D28" s="335" t="s">
        <v>1881</v>
      </c>
      <c r="E28" s="329">
        <v>45</v>
      </c>
      <c r="F28" s="447" t="s">
        <v>1575</v>
      </c>
      <c r="G28" s="435" t="s">
        <v>1575</v>
      </c>
      <c r="H28" s="329" t="s">
        <v>709</v>
      </c>
      <c r="I28" s="329" t="s">
        <v>18</v>
      </c>
      <c r="J28" s="358" t="s">
        <v>65</v>
      </c>
      <c r="K28" s="359">
        <v>677772</v>
      </c>
      <c r="L28" s="329" t="s">
        <v>19</v>
      </c>
      <c r="M28" s="360">
        <v>45337</v>
      </c>
      <c r="N28" s="360">
        <v>46072</v>
      </c>
      <c r="O28" s="331" t="s">
        <v>208</v>
      </c>
      <c r="P28" s="331" t="s">
        <v>876</v>
      </c>
      <c r="Q28" s="362" t="str">
        <f>UPPER(P28:P128)</f>
        <v xml:space="preserve">GLAUBER HENRIQUE DOS SANTOS </v>
      </c>
      <c r="R28" s="331" t="str">
        <f>UPPER(Q28:Q124)</f>
        <v xml:space="preserve">GLAUBER HENRIQUE DOS SANTOS </v>
      </c>
      <c r="S28" s="335" t="s">
        <v>746</v>
      </c>
      <c r="T28" s="331" t="s">
        <v>344</v>
      </c>
      <c r="U28" s="331" t="s">
        <v>308</v>
      </c>
      <c r="V28" s="331" t="s">
        <v>343</v>
      </c>
      <c r="W28" s="331"/>
      <c r="X28" s="332">
        <v>45342</v>
      </c>
    </row>
    <row r="29" spans="1:16379" s="326" customFormat="1" ht="35.1" customHeight="1" x14ac:dyDescent="0.25">
      <c r="A29" s="331">
        <v>4600057921</v>
      </c>
      <c r="B29" s="331" t="s">
        <v>182</v>
      </c>
      <c r="C29" s="331">
        <v>102369</v>
      </c>
      <c r="D29" s="331" t="s">
        <v>1880</v>
      </c>
      <c r="E29" s="331">
        <v>60</v>
      </c>
      <c r="F29" s="447" t="s">
        <v>1575</v>
      </c>
      <c r="G29" s="435" t="s">
        <v>1575</v>
      </c>
      <c r="H29" s="331" t="s">
        <v>709</v>
      </c>
      <c r="I29" s="331" t="s">
        <v>18</v>
      </c>
      <c r="J29" s="331" t="s">
        <v>1890</v>
      </c>
      <c r="K29" s="340">
        <v>496509.92</v>
      </c>
      <c r="L29" s="331" t="s">
        <v>19</v>
      </c>
      <c r="M29" s="344">
        <v>45342</v>
      </c>
      <c r="N29" s="360">
        <v>45708</v>
      </c>
      <c r="O29" s="331" t="s">
        <v>22</v>
      </c>
      <c r="P29" s="331" t="s">
        <v>204</v>
      </c>
      <c r="Q29" s="362" t="str">
        <f>UPPER(P29:P129)</f>
        <v>PEDRO ANTONIO PERIASSU</v>
      </c>
      <c r="R29" s="331" t="str">
        <f>UPPER(Q29:Q125)</f>
        <v>PEDRO ANTONIO PERIASSU</v>
      </c>
      <c r="S29" s="331" t="s">
        <v>1005</v>
      </c>
      <c r="T29" s="331" t="s">
        <v>1007</v>
      </c>
      <c r="U29" s="331" t="s">
        <v>432</v>
      </c>
      <c r="V29" s="331" t="s">
        <v>1006</v>
      </c>
      <c r="W29" s="331" t="s">
        <v>293</v>
      </c>
      <c r="X29" s="330"/>
    </row>
    <row r="30" spans="1:16379" s="326" customFormat="1" ht="35.1" customHeight="1" x14ac:dyDescent="0.25">
      <c r="A30" s="331">
        <v>4600058110</v>
      </c>
      <c r="B30" s="329" t="s">
        <v>180</v>
      </c>
      <c r="C30" s="329">
        <v>190612</v>
      </c>
      <c r="D30" s="329" t="s">
        <v>1881</v>
      </c>
      <c r="E30" s="331">
        <v>45</v>
      </c>
      <c r="F30" s="447" t="s">
        <v>1575</v>
      </c>
      <c r="G30" s="435" t="s">
        <v>1575</v>
      </c>
      <c r="H30" s="331" t="s">
        <v>709</v>
      </c>
      <c r="I30" s="331" t="s">
        <v>18</v>
      </c>
      <c r="J30" s="331" t="s">
        <v>1894</v>
      </c>
      <c r="K30" s="340">
        <v>96000</v>
      </c>
      <c r="L30" s="331" t="s">
        <v>19</v>
      </c>
      <c r="M30" s="344">
        <v>45012</v>
      </c>
      <c r="N30" s="360">
        <v>46213</v>
      </c>
      <c r="O30" s="331" t="s">
        <v>29</v>
      </c>
      <c r="P30" s="331" t="s">
        <v>30</v>
      </c>
      <c r="Q30" s="362" t="str">
        <f>UPPER(P30:P134)</f>
        <v>MANFREDO SAHB CARCUTE</v>
      </c>
      <c r="R30" s="331" t="str">
        <f>UPPER(Q30:Q130)</f>
        <v>MANFREDO SAHB CARCUTE</v>
      </c>
      <c r="S30" s="331" t="s">
        <v>578</v>
      </c>
      <c r="T30" s="331" t="s">
        <v>456</v>
      </c>
      <c r="U30" s="331" t="s">
        <v>579</v>
      </c>
      <c r="V30" s="367" t="s">
        <v>580</v>
      </c>
      <c r="W30" s="331"/>
      <c r="X30" s="330"/>
    </row>
    <row r="31" spans="1:16379" s="326" customFormat="1" ht="35.1" customHeight="1" x14ac:dyDescent="0.25">
      <c r="A31" s="331">
        <v>4600058163</v>
      </c>
      <c r="B31" s="358" t="s">
        <v>157</v>
      </c>
      <c r="C31" s="329">
        <v>3042135</v>
      </c>
      <c r="D31" s="331" t="s">
        <v>1880</v>
      </c>
      <c r="E31" s="329">
        <v>45</v>
      </c>
      <c r="F31" s="447" t="s">
        <v>1575</v>
      </c>
      <c r="G31" s="435" t="s">
        <v>1575</v>
      </c>
      <c r="H31" s="331" t="s">
        <v>709</v>
      </c>
      <c r="I31" s="331" t="s">
        <v>18</v>
      </c>
      <c r="J31" s="331" t="s">
        <v>158</v>
      </c>
      <c r="K31" s="366">
        <v>14070</v>
      </c>
      <c r="L31" s="331" t="s">
        <v>19</v>
      </c>
      <c r="M31" s="344">
        <v>45545</v>
      </c>
      <c r="N31" s="360">
        <v>46274</v>
      </c>
      <c r="O31" s="331" t="s">
        <v>29</v>
      </c>
      <c r="P31" s="362" t="s">
        <v>30</v>
      </c>
      <c r="Q31" s="362" t="str">
        <f>UPPER(P31:P136)</f>
        <v>MANFREDO SAHB CARCUTE</v>
      </c>
      <c r="R31" s="331" t="str">
        <f>UPPER(Q31:Q132)</f>
        <v>MANFREDO SAHB CARCUTE</v>
      </c>
      <c r="S31" s="331" t="s">
        <v>627</v>
      </c>
      <c r="T31" s="331" t="s">
        <v>437</v>
      </c>
      <c r="U31" s="331" t="s">
        <v>626</v>
      </c>
      <c r="V31" s="331" t="s">
        <v>436</v>
      </c>
      <c r="W31" s="331" t="s">
        <v>745</v>
      </c>
      <c r="X31" s="330"/>
    </row>
    <row r="32" spans="1:16379" s="326" customFormat="1" ht="35.1" customHeight="1" x14ac:dyDescent="0.25">
      <c r="A32" s="331" t="s">
        <v>2088</v>
      </c>
      <c r="B32" s="331" t="s">
        <v>61</v>
      </c>
      <c r="C32" s="329">
        <v>188451</v>
      </c>
      <c r="D32" s="329" t="s">
        <v>1879</v>
      </c>
      <c r="E32" s="331">
        <v>45</v>
      </c>
      <c r="F32" s="447" t="s">
        <v>1575</v>
      </c>
      <c r="G32" s="435" t="s">
        <v>1575</v>
      </c>
      <c r="H32" s="331" t="s">
        <v>710</v>
      </c>
      <c r="I32" s="331" t="s">
        <v>18</v>
      </c>
      <c r="J32" s="331" t="s">
        <v>1895</v>
      </c>
      <c r="K32" s="340">
        <v>956547.8</v>
      </c>
      <c r="L32" s="331" t="s">
        <v>19</v>
      </c>
      <c r="M32" s="344">
        <v>44998</v>
      </c>
      <c r="N32" s="360">
        <v>45720</v>
      </c>
      <c r="O32" s="331" t="s">
        <v>85</v>
      </c>
      <c r="P32" s="362" t="s">
        <v>2017</v>
      </c>
      <c r="Q32" s="362" t="str">
        <f>UPPER(P32:P137)</f>
        <v>LILIAN MOURA DA SILVA</v>
      </c>
      <c r="R32" s="331" t="str">
        <f>UPPER(Q32:Q133)</f>
        <v>LILIAN MOURA DA SILVA</v>
      </c>
      <c r="S32" s="331" t="s">
        <v>965</v>
      </c>
      <c r="T32" s="331" t="s">
        <v>741</v>
      </c>
      <c r="U32" s="331" t="s">
        <v>740</v>
      </c>
      <c r="V32" s="331" t="s">
        <v>742</v>
      </c>
      <c r="W32" s="331"/>
      <c r="X32" s="330"/>
    </row>
    <row r="33" spans="1:24" s="326" customFormat="1" ht="35.1" customHeight="1" x14ac:dyDescent="0.25">
      <c r="A33" s="335" t="s">
        <v>2033</v>
      </c>
      <c r="B33" s="335" t="s">
        <v>61</v>
      </c>
      <c r="C33" s="329">
        <v>188451</v>
      </c>
      <c r="D33" s="335" t="s">
        <v>1881</v>
      </c>
      <c r="E33" s="335">
        <v>45</v>
      </c>
      <c r="F33" s="447" t="s">
        <v>1575</v>
      </c>
      <c r="G33" s="435" t="s">
        <v>1575</v>
      </c>
      <c r="H33" s="335" t="s">
        <v>710</v>
      </c>
      <c r="I33" s="335" t="s">
        <v>18</v>
      </c>
      <c r="J33" s="368" t="s">
        <v>1896</v>
      </c>
      <c r="K33" s="369">
        <f>1689802.36+47656+17600.76+180000+79402.31</f>
        <v>2014461.4300000002</v>
      </c>
      <c r="L33" s="335" t="s">
        <v>19</v>
      </c>
      <c r="M33" s="370">
        <v>44699</v>
      </c>
      <c r="N33" s="360">
        <v>46205</v>
      </c>
      <c r="O33" s="335" t="s">
        <v>29</v>
      </c>
      <c r="P33" s="335" t="s">
        <v>30</v>
      </c>
      <c r="Q33" s="362" t="str">
        <f>UPPER(P33:P139)</f>
        <v>MANFREDO SAHB CARCUTE</v>
      </c>
      <c r="R33" s="331" t="str">
        <f>UPPER(Q33:Q136)</f>
        <v>MANFREDO SAHB CARCUTE</v>
      </c>
      <c r="S33" s="331" t="s">
        <v>965</v>
      </c>
      <c r="T33" s="331" t="s">
        <v>741</v>
      </c>
      <c r="U33" s="331" t="s">
        <v>740</v>
      </c>
      <c r="V33" s="331" t="s">
        <v>742</v>
      </c>
      <c r="W33" s="335"/>
      <c r="X33" s="333"/>
    </row>
    <row r="34" spans="1:24" s="326" customFormat="1" ht="35.1" customHeight="1" x14ac:dyDescent="0.25">
      <c r="A34" s="335">
        <v>4600057902</v>
      </c>
      <c r="B34" s="335" t="s">
        <v>64</v>
      </c>
      <c r="C34" s="335">
        <v>3029701</v>
      </c>
      <c r="D34" s="335" t="s">
        <v>1880</v>
      </c>
      <c r="E34" s="335">
        <v>30</v>
      </c>
      <c r="F34" s="447" t="s">
        <v>1575</v>
      </c>
      <c r="G34" s="435" t="s">
        <v>1575</v>
      </c>
      <c r="H34" s="335" t="s">
        <v>709</v>
      </c>
      <c r="I34" s="335" t="s">
        <v>18</v>
      </c>
      <c r="J34" s="368" t="s">
        <v>90</v>
      </c>
      <c r="K34" s="369">
        <v>46650</v>
      </c>
      <c r="L34" s="335" t="s">
        <v>19</v>
      </c>
      <c r="M34" s="370">
        <v>44419</v>
      </c>
      <c r="N34" s="360">
        <v>46032</v>
      </c>
      <c r="O34" s="335" t="s">
        <v>29</v>
      </c>
      <c r="P34" s="371" t="s">
        <v>30</v>
      </c>
      <c r="Q34" s="362" t="str">
        <f>UPPER(P34:P140)</f>
        <v>MANFREDO SAHB CARCUTE</v>
      </c>
      <c r="R34" s="331" t="str">
        <f>UPPER(Q34:Q137)</f>
        <v>MANFREDO SAHB CARCUTE</v>
      </c>
      <c r="S34" s="335" t="s">
        <v>746</v>
      </c>
      <c r="T34" s="335" t="s">
        <v>344</v>
      </c>
      <c r="U34" s="335" t="s">
        <v>308</v>
      </c>
      <c r="V34" s="335" t="s">
        <v>343</v>
      </c>
      <c r="W34" s="335">
        <v>4600053874</v>
      </c>
      <c r="X34" s="333"/>
    </row>
    <row r="35" spans="1:24" s="326" customFormat="1" ht="35.1" customHeight="1" x14ac:dyDescent="0.25">
      <c r="A35" s="335">
        <v>4600058232</v>
      </c>
      <c r="B35" s="335" t="s">
        <v>195</v>
      </c>
      <c r="C35" s="335">
        <v>3043839</v>
      </c>
      <c r="D35" s="335" t="s">
        <v>1881</v>
      </c>
      <c r="E35" s="335">
        <v>10</v>
      </c>
      <c r="F35" s="447" t="s">
        <v>1575</v>
      </c>
      <c r="G35" s="435" t="s">
        <v>1575</v>
      </c>
      <c r="H35" s="335" t="s">
        <v>710</v>
      </c>
      <c r="I35" s="335" t="s">
        <v>18</v>
      </c>
      <c r="J35" s="368" t="s">
        <v>1897</v>
      </c>
      <c r="K35" s="369">
        <v>2374148.7000000002</v>
      </c>
      <c r="L35" s="335" t="s">
        <v>19</v>
      </c>
      <c r="M35" s="370">
        <v>45536</v>
      </c>
      <c r="N35" s="360">
        <v>46446</v>
      </c>
      <c r="O35" s="335" t="s">
        <v>208</v>
      </c>
      <c r="P35" s="331" t="s">
        <v>876</v>
      </c>
      <c r="Q35" s="362" t="str">
        <f>UPPER(P35:P140)</f>
        <v xml:space="preserve">GLAUBER HENRIQUE DOS SANTOS </v>
      </c>
      <c r="R35" s="331" t="str">
        <f>UPPER(Q35:Q138)</f>
        <v xml:space="preserve">GLAUBER HENRIQUE DOS SANTOS </v>
      </c>
      <c r="S35" s="335" t="s">
        <v>941</v>
      </c>
      <c r="T35" s="335" t="s">
        <v>466</v>
      </c>
      <c r="U35" s="335" t="s">
        <v>308</v>
      </c>
      <c r="V35" s="335" t="s">
        <v>465</v>
      </c>
      <c r="W35" s="335" t="s">
        <v>197</v>
      </c>
      <c r="X35" s="333"/>
    </row>
    <row r="36" spans="1:24" s="326" customFormat="1" ht="35.1" customHeight="1" x14ac:dyDescent="0.25">
      <c r="A36" s="335">
        <v>4600057824</v>
      </c>
      <c r="B36" s="335" t="s">
        <v>195</v>
      </c>
      <c r="C36" s="335">
        <v>3043839</v>
      </c>
      <c r="D36" s="335" t="s">
        <v>1881</v>
      </c>
      <c r="E36" s="335">
        <v>10</v>
      </c>
      <c r="F36" s="447" t="s">
        <v>1575</v>
      </c>
      <c r="G36" s="435" t="s">
        <v>1575</v>
      </c>
      <c r="H36" s="335" t="s">
        <v>710</v>
      </c>
      <c r="I36" s="335" t="s">
        <v>18</v>
      </c>
      <c r="J36" s="368" t="s">
        <v>1898</v>
      </c>
      <c r="K36" s="369">
        <v>1848617.82</v>
      </c>
      <c r="L36" s="335" t="s">
        <v>19</v>
      </c>
      <c r="M36" s="370">
        <v>45536</v>
      </c>
      <c r="N36" s="360">
        <v>46022</v>
      </c>
      <c r="O36" s="335" t="s">
        <v>208</v>
      </c>
      <c r="P36" s="331" t="s">
        <v>876</v>
      </c>
      <c r="Q36" s="362" t="str">
        <f>UPPER(P36:P141)</f>
        <v xml:space="preserve">GLAUBER HENRIQUE DOS SANTOS </v>
      </c>
      <c r="R36" s="331" t="str">
        <f>UPPER(Q36:Q139)</f>
        <v xml:space="preserve">GLAUBER HENRIQUE DOS SANTOS </v>
      </c>
      <c r="S36" s="335" t="s">
        <v>941</v>
      </c>
      <c r="T36" s="335" t="s">
        <v>466</v>
      </c>
      <c r="U36" s="335" t="s">
        <v>308</v>
      </c>
      <c r="V36" s="335" t="s">
        <v>465</v>
      </c>
      <c r="W36" s="335" t="s">
        <v>197</v>
      </c>
      <c r="X36" s="333"/>
    </row>
    <row r="37" spans="1:24" s="326" customFormat="1" ht="35.1" customHeight="1" x14ac:dyDescent="0.25">
      <c r="A37" s="331">
        <v>4600058250</v>
      </c>
      <c r="B37" s="331" t="s">
        <v>61</v>
      </c>
      <c r="C37" s="329">
        <v>188451</v>
      </c>
      <c r="D37" s="329" t="s">
        <v>1879</v>
      </c>
      <c r="E37" s="331">
        <v>60</v>
      </c>
      <c r="F37" s="447" t="s">
        <v>1575</v>
      </c>
      <c r="G37" s="435" t="s">
        <v>1575</v>
      </c>
      <c r="H37" s="329" t="s">
        <v>709</v>
      </c>
      <c r="I37" s="331" t="s">
        <v>18</v>
      </c>
      <c r="J37" s="331" t="s">
        <v>1899</v>
      </c>
      <c r="K37" s="340">
        <v>1306918.8700000001</v>
      </c>
      <c r="L37" s="331" t="s">
        <v>19</v>
      </c>
      <c r="M37" s="344">
        <v>44501</v>
      </c>
      <c r="N37" s="360">
        <v>45961</v>
      </c>
      <c r="O37" s="331" t="s">
        <v>22</v>
      </c>
      <c r="P37" s="331" t="s">
        <v>204</v>
      </c>
      <c r="Q37" s="362" t="str">
        <f>UPPER(P37:P143)</f>
        <v>PEDRO ANTONIO PERIASSU</v>
      </c>
      <c r="R37" s="331" t="str">
        <f>UPPER(Q37:Q140)</f>
        <v>PEDRO ANTONIO PERIASSU</v>
      </c>
      <c r="S37" s="331" t="s">
        <v>965</v>
      </c>
      <c r="T37" s="331" t="s">
        <v>741</v>
      </c>
      <c r="U37" s="331" t="s">
        <v>740</v>
      </c>
      <c r="V37" s="331" t="s">
        <v>742</v>
      </c>
      <c r="W37" s="331"/>
      <c r="X37" s="330"/>
    </row>
    <row r="38" spans="1:24" s="326" customFormat="1" ht="35.1" customHeight="1" x14ac:dyDescent="0.25">
      <c r="A38" s="331">
        <v>4600058167</v>
      </c>
      <c r="B38" s="335" t="s">
        <v>61</v>
      </c>
      <c r="C38" s="329">
        <v>188451</v>
      </c>
      <c r="D38" s="329" t="s">
        <v>1879</v>
      </c>
      <c r="E38" s="331">
        <v>60</v>
      </c>
      <c r="F38" s="447" t="s">
        <v>1575</v>
      </c>
      <c r="G38" s="435" t="s">
        <v>1575</v>
      </c>
      <c r="H38" s="331" t="s">
        <v>709</v>
      </c>
      <c r="I38" s="331" t="s">
        <v>18</v>
      </c>
      <c r="J38" s="365" t="s">
        <v>1900</v>
      </c>
      <c r="K38" s="340">
        <v>1659840</v>
      </c>
      <c r="L38" s="331" t="s">
        <v>19</v>
      </c>
      <c r="M38" s="344">
        <v>45453</v>
      </c>
      <c r="N38" s="360">
        <v>46182</v>
      </c>
      <c r="O38" s="335" t="s">
        <v>22</v>
      </c>
      <c r="P38" s="335" t="s">
        <v>204</v>
      </c>
      <c r="Q38" s="362" t="str">
        <f>UPPER(P38:P144)</f>
        <v>PEDRO ANTONIO PERIASSU</v>
      </c>
      <c r="R38" s="331" t="str">
        <f>UPPER(Q38:Q140)</f>
        <v>PEDRO ANTONIO PERIASSU</v>
      </c>
      <c r="S38" s="331" t="s">
        <v>965</v>
      </c>
      <c r="T38" s="331" t="s">
        <v>741</v>
      </c>
      <c r="U38" s="331" t="s">
        <v>740</v>
      </c>
      <c r="V38" s="331" t="s">
        <v>742</v>
      </c>
      <c r="W38" s="331"/>
      <c r="X38" s="330"/>
    </row>
    <row r="39" spans="1:24" s="326" customFormat="1" ht="35.1" customHeight="1" x14ac:dyDescent="0.25">
      <c r="A39" s="331">
        <v>4600058255</v>
      </c>
      <c r="B39" s="329" t="s">
        <v>1579</v>
      </c>
      <c r="C39" s="329">
        <v>3045476</v>
      </c>
      <c r="D39" s="329" t="s">
        <v>1879</v>
      </c>
      <c r="E39" s="331">
        <v>120</v>
      </c>
      <c r="F39" s="447" t="s">
        <v>1575</v>
      </c>
      <c r="G39" s="435" t="s">
        <v>1575</v>
      </c>
      <c r="H39" s="331" t="s">
        <v>1580</v>
      </c>
      <c r="I39" s="331" t="s">
        <v>38</v>
      </c>
      <c r="J39" s="331" t="s">
        <v>1901</v>
      </c>
      <c r="K39" s="340">
        <v>1542823.2</v>
      </c>
      <c r="L39" s="331" t="s">
        <v>19</v>
      </c>
      <c r="M39" s="344">
        <v>45435</v>
      </c>
      <c r="N39" s="360">
        <v>46164</v>
      </c>
      <c r="O39" s="331" t="s">
        <v>22</v>
      </c>
      <c r="P39" s="331" t="s">
        <v>204</v>
      </c>
      <c r="Q39" s="362" t="str">
        <f>UPPER(P39:P145)</f>
        <v>PEDRO ANTONIO PERIASSU</v>
      </c>
      <c r="R39" s="331" t="str">
        <f>UPPER(Q39:Q141)</f>
        <v>PEDRO ANTONIO PERIASSU</v>
      </c>
      <c r="S39" s="331" t="s">
        <v>555</v>
      </c>
      <c r="T39" s="331" t="s">
        <v>554</v>
      </c>
      <c r="U39" s="331" t="s">
        <v>556</v>
      </c>
      <c r="V39" s="367" t="s">
        <v>557</v>
      </c>
      <c r="W39" s="331" t="s">
        <v>564</v>
      </c>
      <c r="X39" s="330"/>
    </row>
    <row r="40" spans="1:24" s="326" customFormat="1" ht="35.1" customHeight="1" x14ac:dyDescent="0.25">
      <c r="A40" s="329">
        <v>4600058179</v>
      </c>
      <c r="B40" s="443" t="s">
        <v>2076</v>
      </c>
      <c r="C40" s="329">
        <v>3006454</v>
      </c>
      <c r="D40" s="329" t="s">
        <v>1880</v>
      </c>
      <c r="E40" s="329">
        <v>45</v>
      </c>
      <c r="F40" s="447" t="s">
        <v>1575</v>
      </c>
      <c r="G40" s="435" t="s">
        <v>1575</v>
      </c>
      <c r="H40" s="329" t="s">
        <v>709</v>
      </c>
      <c r="I40" s="329" t="s">
        <v>18</v>
      </c>
      <c r="J40" s="358" t="s">
        <v>1905</v>
      </c>
      <c r="K40" s="359">
        <v>1036105.98</v>
      </c>
      <c r="L40" s="329" t="s">
        <v>19</v>
      </c>
      <c r="M40" s="360">
        <v>42736</v>
      </c>
      <c r="N40" s="360">
        <v>46022</v>
      </c>
      <c r="O40" s="331" t="s">
        <v>152</v>
      </c>
      <c r="P40" s="331" t="s">
        <v>30</v>
      </c>
      <c r="Q40" s="362" t="str">
        <f>UPPER(P40:P153)</f>
        <v>MANFREDO SAHB CARCUTE</v>
      </c>
      <c r="R40" s="331" t="str">
        <f>UPPER(Q40:Q149)</f>
        <v>MANFREDO SAHB CARCUTE</v>
      </c>
      <c r="S40" s="331" t="s">
        <v>1016</v>
      </c>
      <c r="T40" s="331" t="s">
        <v>1017</v>
      </c>
      <c r="U40" s="331" t="s">
        <v>1018</v>
      </c>
      <c r="V40" s="331" t="s">
        <v>1019</v>
      </c>
      <c r="W40" s="331"/>
      <c r="X40" s="330"/>
    </row>
    <row r="41" spans="1:24" s="326" customFormat="1" ht="35.1" customHeight="1" x14ac:dyDescent="0.25">
      <c r="A41" s="329">
        <v>4600049327</v>
      </c>
      <c r="B41" s="329" t="s">
        <v>49</v>
      </c>
      <c r="C41" s="329">
        <v>3007020</v>
      </c>
      <c r="D41" s="329" t="s">
        <v>1879</v>
      </c>
      <c r="E41" s="329">
        <v>60</v>
      </c>
      <c r="F41" s="447" t="s">
        <v>1575</v>
      </c>
      <c r="G41" s="435" t="s">
        <v>1575</v>
      </c>
      <c r="H41" s="329" t="s">
        <v>710</v>
      </c>
      <c r="I41" s="329" t="s">
        <v>18</v>
      </c>
      <c r="J41" s="358" t="s">
        <v>1906</v>
      </c>
      <c r="K41" s="359">
        <v>146877.96</v>
      </c>
      <c r="L41" s="329" t="s">
        <v>19</v>
      </c>
      <c r="M41" s="360">
        <v>45140</v>
      </c>
      <c r="N41" s="360">
        <v>46235</v>
      </c>
      <c r="O41" s="331" t="s">
        <v>29</v>
      </c>
      <c r="P41" s="362" t="s">
        <v>30</v>
      </c>
      <c r="Q41" s="362" t="str">
        <f>UPPER(P41:P154)</f>
        <v>MANFREDO SAHB CARCUTE</v>
      </c>
      <c r="R41" s="331" t="str">
        <f>UPPER(Q41:Q150)</f>
        <v>MANFREDO SAHB CARCUTE</v>
      </c>
      <c r="S41" s="331"/>
      <c r="T41" s="331" t="s">
        <v>323</v>
      </c>
      <c r="U41" s="331" t="s">
        <v>324</v>
      </c>
      <c r="V41" s="331" t="s">
        <v>322</v>
      </c>
      <c r="W41" s="331"/>
      <c r="X41" s="330"/>
    </row>
    <row r="42" spans="1:24" s="326" customFormat="1" ht="35.1" customHeight="1" x14ac:dyDescent="0.25">
      <c r="A42" s="329" t="s">
        <v>1602</v>
      </c>
      <c r="B42" s="329" t="s">
        <v>747</v>
      </c>
      <c r="C42" s="329">
        <v>3000854</v>
      </c>
      <c r="D42" s="329" t="s">
        <v>1880</v>
      </c>
      <c r="E42" s="329">
        <v>30</v>
      </c>
      <c r="F42" s="447" t="s">
        <v>1575</v>
      </c>
      <c r="G42" s="435" t="s">
        <v>1575</v>
      </c>
      <c r="H42" s="329" t="s">
        <v>710</v>
      </c>
      <c r="I42" s="329" t="s">
        <v>18</v>
      </c>
      <c r="J42" s="358" t="s">
        <v>60</v>
      </c>
      <c r="K42" s="359">
        <v>550729.28</v>
      </c>
      <c r="L42" s="329" t="s">
        <v>19</v>
      </c>
      <c r="M42" s="360">
        <v>43504</v>
      </c>
      <c r="N42" s="360">
        <v>46061</v>
      </c>
      <c r="O42" s="331" t="s">
        <v>208</v>
      </c>
      <c r="P42" s="331" t="s">
        <v>876</v>
      </c>
      <c r="Q42" s="362" t="str">
        <f>UPPER(P42:P155)</f>
        <v xml:space="preserve">GLAUBER HENRIQUE DOS SANTOS </v>
      </c>
      <c r="R42" s="331" t="str">
        <f>UPPER(Q42:Q151)</f>
        <v xml:space="preserve">GLAUBER HENRIQUE DOS SANTOS </v>
      </c>
      <c r="S42" s="331" t="s">
        <v>339</v>
      </c>
      <c r="T42" s="331" t="s">
        <v>337</v>
      </c>
      <c r="U42" s="331" t="s">
        <v>338</v>
      </c>
      <c r="V42" s="331" t="s">
        <v>336</v>
      </c>
      <c r="W42" s="331"/>
      <c r="X42" s="330"/>
    </row>
    <row r="43" spans="1:24" s="326" customFormat="1" ht="35.1" customHeight="1" x14ac:dyDescent="0.25">
      <c r="A43" s="329">
        <v>4600058082</v>
      </c>
      <c r="B43" s="329" t="s">
        <v>68</v>
      </c>
      <c r="C43" s="329">
        <v>191036</v>
      </c>
      <c r="D43" s="329" t="s">
        <v>1880</v>
      </c>
      <c r="E43" s="329">
        <v>30</v>
      </c>
      <c r="F43" s="447" t="s">
        <v>1575</v>
      </c>
      <c r="G43" s="435" t="s">
        <v>1575</v>
      </c>
      <c r="H43" s="329" t="s">
        <v>710</v>
      </c>
      <c r="I43" s="329" t="s">
        <v>18</v>
      </c>
      <c r="J43" s="358" t="s">
        <v>69</v>
      </c>
      <c r="K43" s="340">
        <v>970912</v>
      </c>
      <c r="L43" s="329" t="s">
        <v>37</v>
      </c>
      <c r="M43" s="360">
        <v>43941</v>
      </c>
      <c r="N43" s="360">
        <v>46036</v>
      </c>
      <c r="O43" s="331" t="s">
        <v>29</v>
      </c>
      <c r="P43" s="331" t="s">
        <v>30</v>
      </c>
      <c r="Q43" s="362" t="str">
        <f>UPPER(P43:P156)</f>
        <v>MANFREDO SAHB CARCUTE</v>
      </c>
      <c r="R43" s="331" t="str">
        <f>UPPER(Q43:Q152)</f>
        <v>MANFREDO SAHB CARCUTE</v>
      </c>
      <c r="S43" s="331"/>
      <c r="T43" s="331" t="s">
        <v>308</v>
      </c>
      <c r="U43" s="331" t="s">
        <v>308</v>
      </c>
      <c r="V43" s="331" t="s">
        <v>351</v>
      </c>
      <c r="W43" s="331" t="s">
        <v>287</v>
      </c>
      <c r="X43" s="332">
        <v>45393</v>
      </c>
    </row>
    <row r="44" spans="1:24" s="326" customFormat="1" ht="35.1" customHeight="1" x14ac:dyDescent="0.25">
      <c r="A44" s="329">
        <v>4600052818</v>
      </c>
      <c r="B44" s="329" t="s">
        <v>77</v>
      </c>
      <c r="C44" s="329">
        <v>189992</v>
      </c>
      <c r="D44" s="329" t="s">
        <v>1879</v>
      </c>
      <c r="E44" s="329">
        <v>1</v>
      </c>
      <c r="F44" s="447" t="s">
        <v>1575</v>
      </c>
      <c r="G44" s="435" t="s">
        <v>1575</v>
      </c>
      <c r="H44" s="329" t="s">
        <v>710</v>
      </c>
      <c r="I44" s="329" t="s">
        <v>18</v>
      </c>
      <c r="J44" s="358" t="s">
        <v>78</v>
      </c>
      <c r="K44" s="359">
        <v>11999</v>
      </c>
      <c r="L44" s="372" t="s">
        <v>79</v>
      </c>
      <c r="M44" s="360">
        <v>44869</v>
      </c>
      <c r="N44" s="360">
        <v>46258</v>
      </c>
      <c r="O44" s="331" t="s">
        <v>29</v>
      </c>
      <c r="P44" s="331" t="s">
        <v>30</v>
      </c>
      <c r="Q44" s="362" t="str">
        <f>UPPER(P44:P158)</f>
        <v>MANFREDO SAHB CARCUTE</v>
      </c>
      <c r="R44" s="331" t="str">
        <f>UPPER(Q44:Q154)</f>
        <v>MANFREDO SAHB CARCUTE</v>
      </c>
      <c r="S44" s="331"/>
      <c r="T44" s="331" t="s">
        <v>362</v>
      </c>
      <c r="U44" s="331" t="s">
        <v>363</v>
      </c>
      <c r="V44" s="331" t="s">
        <v>361</v>
      </c>
      <c r="W44" s="331"/>
      <c r="X44" s="330"/>
    </row>
    <row r="45" spans="1:24" s="326" customFormat="1" ht="35.1" customHeight="1" x14ac:dyDescent="0.25">
      <c r="A45" s="329">
        <v>4600056881</v>
      </c>
      <c r="B45" s="329" t="s">
        <v>166</v>
      </c>
      <c r="C45" s="331">
        <v>102369</v>
      </c>
      <c r="D45" s="329" t="s">
        <v>1880</v>
      </c>
      <c r="E45" s="329">
        <v>90</v>
      </c>
      <c r="F45" s="447" t="s">
        <v>1575</v>
      </c>
      <c r="G45" s="435" t="s">
        <v>1575</v>
      </c>
      <c r="H45" s="329" t="s">
        <v>710</v>
      </c>
      <c r="I45" s="329" t="s">
        <v>18</v>
      </c>
      <c r="J45" s="358" t="s">
        <v>167</v>
      </c>
      <c r="K45" s="359">
        <v>416648</v>
      </c>
      <c r="L45" s="329" t="s">
        <v>19</v>
      </c>
      <c r="M45" s="360">
        <v>44911</v>
      </c>
      <c r="N45" s="360">
        <v>46007</v>
      </c>
      <c r="O45" s="331" t="s">
        <v>22</v>
      </c>
      <c r="P45" s="331" t="s">
        <v>211</v>
      </c>
      <c r="Q45" s="362" t="str">
        <f>UPPER(P45:P166)</f>
        <v>WALDEMAR JUNIOR</v>
      </c>
      <c r="R45" s="331" t="str">
        <f>UPPER(Q45:Q162)</f>
        <v>WALDEMAR JUNIOR</v>
      </c>
      <c r="S45" s="331" t="s">
        <v>1005</v>
      </c>
      <c r="T45" s="331" t="s">
        <v>1007</v>
      </c>
      <c r="U45" s="331" t="s">
        <v>432</v>
      </c>
      <c r="V45" s="331" t="s">
        <v>1006</v>
      </c>
      <c r="W45" s="331"/>
      <c r="X45" s="330"/>
    </row>
    <row r="46" spans="1:24" s="326" customFormat="1" ht="35.1" customHeight="1" x14ac:dyDescent="0.25">
      <c r="A46" s="329" t="s">
        <v>1642</v>
      </c>
      <c r="B46" s="329" t="s">
        <v>174</v>
      </c>
      <c r="C46" s="329">
        <v>3043664</v>
      </c>
      <c r="D46" s="329" t="s">
        <v>1880</v>
      </c>
      <c r="E46" s="329">
        <v>45</v>
      </c>
      <c r="F46" s="447" t="s">
        <v>1575</v>
      </c>
      <c r="G46" s="435" t="s">
        <v>1575</v>
      </c>
      <c r="H46" s="329" t="s">
        <v>710</v>
      </c>
      <c r="I46" s="329" t="s">
        <v>18</v>
      </c>
      <c r="J46" s="358" t="s">
        <v>1910</v>
      </c>
      <c r="K46" s="359">
        <v>9867.6</v>
      </c>
      <c r="L46" s="329" t="s">
        <v>19</v>
      </c>
      <c r="M46" s="360">
        <v>45089</v>
      </c>
      <c r="N46" s="360">
        <v>46665</v>
      </c>
      <c r="O46" s="331" t="s">
        <v>22</v>
      </c>
      <c r="P46" s="331" t="s">
        <v>204</v>
      </c>
      <c r="Q46" s="362" t="str">
        <f>UPPER(P46:P168)</f>
        <v>PEDRO ANTONIO PERIASSU</v>
      </c>
      <c r="R46" s="331" t="str">
        <f>UPPER(Q46:Q164)</f>
        <v>PEDRO ANTONIO PERIASSU</v>
      </c>
      <c r="S46" s="331"/>
      <c r="T46" s="331" t="s">
        <v>450</v>
      </c>
      <c r="U46" s="331" t="s">
        <v>308</v>
      </c>
      <c r="V46" s="367" t="s">
        <v>449</v>
      </c>
      <c r="W46" s="331"/>
      <c r="X46" s="330"/>
    </row>
    <row r="47" spans="1:24" s="326" customFormat="1" ht="35.1" customHeight="1" x14ac:dyDescent="0.25">
      <c r="A47" s="331" t="s">
        <v>1648</v>
      </c>
      <c r="B47" s="331" t="s">
        <v>178</v>
      </c>
      <c r="C47" s="331">
        <v>3026972</v>
      </c>
      <c r="D47" s="331" t="s">
        <v>1881</v>
      </c>
      <c r="E47" s="331">
        <v>30</v>
      </c>
      <c r="F47" s="447" t="s">
        <v>1575</v>
      </c>
      <c r="G47" s="435" t="s">
        <v>1575</v>
      </c>
      <c r="H47" s="329" t="s">
        <v>710</v>
      </c>
      <c r="I47" s="331" t="s">
        <v>18</v>
      </c>
      <c r="J47" s="365" t="s">
        <v>1911</v>
      </c>
      <c r="K47" s="340">
        <v>839437.92</v>
      </c>
      <c r="L47" s="331" t="s">
        <v>19</v>
      </c>
      <c r="M47" s="344">
        <v>45105</v>
      </c>
      <c r="N47" s="360">
        <v>46453</v>
      </c>
      <c r="O47" s="331" t="s">
        <v>22</v>
      </c>
      <c r="P47" s="362" t="s">
        <v>204</v>
      </c>
      <c r="Q47" s="362" t="str">
        <f>UPPER(P47:P170)</f>
        <v>PEDRO ANTONIO PERIASSU</v>
      </c>
      <c r="R47" s="331" t="str">
        <f>UPPER(Q47:Q166)</f>
        <v>PEDRO ANTONIO PERIASSU</v>
      </c>
      <c r="S47" s="331" t="s">
        <v>1236</v>
      </c>
      <c r="T47" s="331" t="s">
        <v>1234</v>
      </c>
      <c r="U47" s="331" t="s">
        <v>1237</v>
      </c>
      <c r="V47" s="375" t="s">
        <v>1235</v>
      </c>
      <c r="W47" s="331" t="s">
        <v>454</v>
      </c>
      <c r="X47" s="330"/>
    </row>
    <row r="48" spans="1:24" s="326" customFormat="1" ht="35.1" customHeight="1" x14ac:dyDescent="0.25">
      <c r="A48" s="331">
        <v>4600060060</v>
      </c>
      <c r="B48" s="331" t="s">
        <v>219</v>
      </c>
      <c r="C48" s="331">
        <v>3044684</v>
      </c>
      <c r="D48" s="329" t="s">
        <v>1879</v>
      </c>
      <c r="E48" s="331">
        <v>1</v>
      </c>
      <c r="F48" s="447" t="s">
        <v>1575</v>
      </c>
      <c r="G48" s="435" t="s">
        <v>1575</v>
      </c>
      <c r="H48" s="331" t="s">
        <v>710</v>
      </c>
      <c r="I48" s="331" t="s">
        <v>18</v>
      </c>
      <c r="J48" s="331" t="s">
        <v>1917</v>
      </c>
      <c r="K48" s="340">
        <v>0.01</v>
      </c>
      <c r="L48" s="331" t="s">
        <v>19</v>
      </c>
      <c r="M48" s="344">
        <v>45250</v>
      </c>
      <c r="N48" s="360">
        <v>45980</v>
      </c>
      <c r="O48" s="331" t="s">
        <v>152</v>
      </c>
      <c r="P48" s="331" t="s">
        <v>30</v>
      </c>
      <c r="Q48" s="362" t="str">
        <f>UPPER(P48:P177)</f>
        <v>MANFREDO SAHB CARCUTE</v>
      </c>
      <c r="R48" s="331" t="str">
        <f>UPPER(Q48:Q173)</f>
        <v>MANFREDO SAHB CARCUTE</v>
      </c>
      <c r="S48" s="331" t="s">
        <v>476</v>
      </c>
      <c r="T48" s="331" t="s">
        <v>479</v>
      </c>
      <c r="U48" s="331" t="s">
        <v>308</v>
      </c>
      <c r="V48" s="331" t="s">
        <v>475</v>
      </c>
      <c r="W48" s="331"/>
      <c r="X48" s="330"/>
    </row>
    <row r="49" spans="1:24" s="326" customFormat="1" ht="35.1" customHeight="1" x14ac:dyDescent="0.25">
      <c r="A49" s="331">
        <v>4600057906</v>
      </c>
      <c r="B49" s="331" t="s">
        <v>230</v>
      </c>
      <c r="C49" s="331">
        <v>3041254</v>
      </c>
      <c r="D49" s="331" t="s">
        <v>1881</v>
      </c>
      <c r="E49" s="331">
        <v>60</v>
      </c>
      <c r="F49" s="447" t="s">
        <v>1575</v>
      </c>
      <c r="G49" s="435" t="s">
        <v>1575</v>
      </c>
      <c r="H49" s="331" t="s">
        <v>709</v>
      </c>
      <c r="I49" s="331" t="s">
        <v>18</v>
      </c>
      <c r="J49" s="331" t="s">
        <v>1919</v>
      </c>
      <c r="K49" s="340">
        <v>100425.48</v>
      </c>
      <c r="L49" s="331" t="s">
        <v>19</v>
      </c>
      <c r="M49" s="344">
        <v>45170</v>
      </c>
      <c r="N49" s="360">
        <v>46295</v>
      </c>
      <c r="O49" s="331" t="s">
        <v>52</v>
      </c>
      <c r="P49" s="331" t="s">
        <v>204</v>
      </c>
      <c r="Q49" s="362" t="str">
        <f>UPPER(P49:P180)</f>
        <v>PEDRO ANTONIO PERIASSU</v>
      </c>
      <c r="R49" s="331" t="str">
        <f>UPPER(Q49:Q176)</f>
        <v>PEDRO ANTONIO PERIASSU</v>
      </c>
      <c r="S49" s="331" t="s">
        <v>1011</v>
      </c>
      <c r="T49" s="331" t="s">
        <v>495</v>
      </c>
      <c r="U49" s="331" t="s">
        <v>496</v>
      </c>
      <c r="V49" s="331" t="s">
        <v>1012</v>
      </c>
      <c r="W49" s="331"/>
      <c r="X49" s="330"/>
    </row>
    <row r="50" spans="1:24" s="326" customFormat="1" ht="35.1" customHeight="1" x14ac:dyDescent="0.25">
      <c r="A50" s="331">
        <v>4600057500</v>
      </c>
      <c r="B50" s="331" t="s">
        <v>984</v>
      </c>
      <c r="C50" s="331">
        <v>3035927</v>
      </c>
      <c r="D50" s="329" t="s">
        <v>1879</v>
      </c>
      <c r="E50" s="331">
        <v>75</v>
      </c>
      <c r="F50" s="447" t="s">
        <v>1575</v>
      </c>
      <c r="G50" s="435" t="s">
        <v>1575</v>
      </c>
      <c r="H50" s="329" t="s">
        <v>710</v>
      </c>
      <c r="I50" s="331" t="s">
        <v>18</v>
      </c>
      <c r="J50" s="331" t="s">
        <v>1923</v>
      </c>
      <c r="K50" s="340">
        <v>0.01</v>
      </c>
      <c r="L50" s="331" t="s">
        <v>19</v>
      </c>
      <c r="M50" s="344">
        <v>45170</v>
      </c>
      <c r="N50" s="360">
        <v>46265</v>
      </c>
      <c r="O50" s="331" t="s">
        <v>152</v>
      </c>
      <c r="P50" s="331" t="s">
        <v>30</v>
      </c>
      <c r="Q50" s="362" t="str">
        <f>UPPER(P50:P184)</f>
        <v>MANFREDO SAHB CARCUTE</v>
      </c>
      <c r="R50" s="331" t="str">
        <f>UPPER(Q50:Q180)</f>
        <v>MANFREDO SAHB CARCUTE</v>
      </c>
      <c r="S50" s="331" t="s">
        <v>516</v>
      </c>
      <c r="T50" s="331" t="s">
        <v>515</v>
      </c>
      <c r="U50" s="331" t="s">
        <v>308</v>
      </c>
      <c r="V50" s="331" t="s">
        <v>514</v>
      </c>
      <c r="W50" s="331"/>
      <c r="X50" s="332">
        <v>45299</v>
      </c>
    </row>
    <row r="51" spans="1:24" s="326" customFormat="1" ht="35.1" customHeight="1" x14ac:dyDescent="0.25">
      <c r="A51" s="331">
        <v>4600057836</v>
      </c>
      <c r="B51" s="331" t="s">
        <v>266</v>
      </c>
      <c r="C51" s="331">
        <v>3045044</v>
      </c>
      <c r="D51" s="329" t="s">
        <v>1879</v>
      </c>
      <c r="E51" s="331">
        <v>30</v>
      </c>
      <c r="F51" s="447" t="s">
        <v>1575</v>
      </c>
      <c r="G51" s="435" t="s">
        <v>1575</v>
      </c>
      <c r="H51" s="329" t="s">
        <v>710</v>
      </c>
      <c r="I51" s="331" t="s">
        <v>18</v>
      </c>
      <c r="J51" s="331" t="s">
        <v>1924</v>
      </c>
      <c r="K51" s="340">
        <v>284911.11</v>
      </c>
      <c r="L51" s="331" t="s">
        <v>19</v>
      </c>
      <c r="M51" s="344">
        <v>45288</v>
      </c>
      <c r="N51" s="360">
        <v>45991</v>
      </c>
      <c r="O51" s="331" t="s">
        <v>152</v>
      </c>
      <c r="P51" s="331" t="s">
        <v>30</v>
      </c>
      <c r="Q51" s="362" t="str">
        <f>UPPER(P51:P185)</f>
        <v>MANFREDO SAHB CARCUTE</v>
      </c>
      <c r="R51" s="331" t="str">
        <f>UPPER(Q51:Q181)</f>
        <v>MANFREDO SAHB CARCUTE</v>
      </c>
      <c r="S51" s="331"/>
      <c r="T51" s="331" t="s">
        <v>523</v>
      </c>
      <c r="U51" s="331" t="s">
        <v>524</v>
      </c>
      <c r="V51" s="331" t="s">
        <v>522</v>
      </c>
      <c r="W51" s="331"/>
      <c r="X51" s="332">
        <v>45327</v>
      </c>
    </row>
    <row r="52" spans="1:24" s="326" customFormat="1" ht="35.1" customHeight="1" x14ac:dyDescent="0.25">
      <c r="A52" s="339">
        <v>4600058510</v>
      </c>
      <c r="B52" s="339" t="s">
        <v>268</v>
      </c>
      <c r="C52" s="339">
        <v>185651</v>
      </c>
      <c r="D52" s="376" t="s">
        <v>1880</v>
      </c>
      <c r="E52" s="339">
        <v>15</v>
      </c>
      <c r="F52" s="447" t="s">
        <v>1575</v>
      </c>
      <c r="G52" s="435" t="s">
        <v>1575</v>
      </c>
      <c r="H52" s="329" t="s">
        <v>709</v>
      </c>
      <c r="I52" s="339" t="s">
        <v>18</v>
      </c>
      <c r="J52" s="339" t="s">
        <v>1925</v>
      </c>
      <c r="K52" s="377">
        <v>3669327.16</v>
      </c>
      <c r="L52" s="339" t="s">
        <v>19</v>
      </c>
      <c r="M52" s="378">
        <v>44512</v>
      </c>
      <c r="N52" s="379">
        <v>46336</v>
      </c>
      <c r="O52" s="339" t="s">
        <v>93</v>
      </c>
      <c r="P52" s="339" t="s">
        <v>30</v>
      </c>
      <c r="Q52" s="362" t="str">
        <f>UPPER(P52:P186)</f>
        <v>MANFREDO SAHB CARCUTE</v>
      </c>
      <c r="R52" s="331" t="str">
        <f>UPPER(Q52:Q182)</f>
        <v>MANFREDO SAHB CARCUTE</v>
      </c>
      <c r="S52" s="339" t="s">
        <v>377</v>
      </c>
      <c r="T52" s="339" t="s">
        <v>375</v>
      </c>
      <c r="U52" s="339" t="s">
        <v>376</v>
      </c>
      <c r="V52" s="339" t="s">
        <v>374</v>
      </c>
      <c r="W52" s="339" t="s">
        <v>839</v>
      </c>
      <c r="X52" s="338"/>
    </row>
    <row r="53" spans="1:24" s="326" customFormat="1" ht="35.1" customHeight="1" x14ac:dyDescent="0.25">
      <c r="A53" s="331">
        <v>4600057964</v>
      </c>
      <c r="B53" s="331" t="s">
        <v>102</v>
      </c>
      <c r="C53" s="331">
        <v>189602</v>
      </c>
      <c r="D53" s="329" t="s">
        <v>1880</v>
      </c>
      <c r="E53" s="331">
        <v>30</v>
      </c>
      <c r="F53" s="447" t="s">
        <v>1575</v>
      </c>
      <c r="G53" s="435" t="s">
        <v>1575</v>
      </c>
      <c r="H53" s="329" t="s">
        <v>709</v>
      </c>
      <c r="I53" s="331" t="s">
        <v>18</v>
      </c>
      <c r="J53" s="331" t="s">
        <v>1928</v>
      </c>
      <c r="K53" s="340">
        <v>285695.12</v>
      </c>
      <c r="L53" s="331" t="s">
        <v>19</v>
      </c>
      <c r="M53" s="344">
        <v>43902</v>
      </c>
      <c r="N53" s="360">
        <v>46092</v>
      </c>
      <c r="O53" s="331" t="s">
        <v>208</v>
      </c>
      <c r="P53" s="331" t="s">
        <v>876</v>
      </c>
      <c r="Q53" s="362" t="str">
        <f>UPPER(P53:P190)</f>
        <v xml:space="preserve">GLAUBER HENRIQUE DOS SANTOS </v>
      </c>
      <c r="R53" s="331" t="str">
        <f>UPPER(Q53:Q186)</f>
        <v xml:space="preserve">GLAUBER HENRIQUE DOS SANTOS </v>
      </c>
      <c r="S53" s="331" t="s">
        <v>386</v>
      </c>
      <c r="T53" s="331" t="s">
        <v>384</v>
      </c>
      <c r="U53" s="331" t="s">
        <v>541</v>
      </c>
      <c r="V53" s="331" t="s">
        <v>383</v>
      </c>
      <c r="W53" s="331" t="s">
        <v>289</v>
      </c>
      <c r="X53" s="332">
        <v>45378</v>
      </c>
    </row>
    <row r="54" spans="1:24" s="326" customFormat="1" ht="35.1" customHeight="1" x14ac:dyDescent="0.25">
      <c r="A54" s="329" t="s">
        <v>1638</v>
      </c>
      <c r="B54" s="329" t="s">
        <v>87</v>
      </c>
      <c r="C54" s="329">
        <v>3037927</v>
      </c>
      <c r="D54" s="329" t="s">
        <v>1880</v>
      </c>
      <c r="E54" s="329">
        <v>30</v>
      </c>
      <c r="F54" s="447" t="s">
        <v>1575</v>
      </c>
      <c r="G54" s="435" t="s">
        <v>1575</v>
      </c>
      <c r="H54" s="329" t="s">
        <v>709</v>
      </c>
      <c r="I54" s="329" t="s">
        <v>18</v>
      </c>
      <c r="J54" s="358" t="s">
        <v>88</v>
      </c>
      <c r="K54" s="359">
        <v>765211</v>
      </c>
      <c r="L54" s="331" t="s">
        <v>19</v>
      </c>
      <c r="M54" s="360">
        <v>45292</v>
      </c>
      <c r="N54" s="360">
        <v>46387</v>
      </c>
      <c r="O54" s="331" t="s">
        <v>1078</v>
      </c>
      <c r="P54" s="331" t="s">
        <v>1079</v>
      </c>
      <c r="Q54" s="362" t="str">
        <f>UPPER(P54:P191)</f>
        <v>MANFREDO SAHB CARCUTE/FELIPE DE ANDRADE MOURA/ GRAZIELA DE CASSIA CAPRARA</v>
      </c>
      <c r="R54" s="331" t="str">
        <f>UPPER(Q54:Q187)</f>
        <v>MANFREDO SAHB CARCUTE/FELIPE DE ANDRADE MOURA/ GRAZIELA DE CASSIA CAPRARA</v>
      </c>
      <c r="S54" s="331" t="s">
        <v>296</v>
      </c>
      <c r="T54" s="344">
        <v>45656</v>
      </c>
      <c r="U54" s="331" t="s">
        <v>308</v>
      </c>
      <c r="V54" s="331" t="s">
        <v>368</v>
      </c>
      <c r="W54" s="331" t="s">
        <v>296</v>
      </c>
      <c r="X54" s="332">
        <v>45656</v>
      </c>
    </row>
    <row r="55" spans="1:24" s="326" customFormat="1" ht="35.1" customHeight="1" x14ac:dyDescent="0.25">
      <c r="A55" s="329">
        <v>4600058154</v>
      </c>
      <c r="B55" s="329" t="s">
        <v>70</v>
      </c>
      <c r="C55" s="329">
        <v>3035932</v>
      </c>
      <c r="D55" s="329" t="s">
        <v>1880</v>
      </c>
      <c r="E55" s="329">
        <v>30</v>
      </c>
      <c r="F55" s="447" t="s">
        <v>1575</v>
      </c>
      <c r="G55" s="435" t="s">
        <v>1575</v>
      </c>
      <c r="H55" s="329" t="s">
        <v>709</v>
      </c>
      <c r="I55" s="329" t="s">
        <v>18</v>
      </c>
      <c r="J55" s="358" t="s">
        <v>71</v>
      </c>
      <c r="K55" s="340">
        <v>2456474.79</v>
      </c>
      <c r="L55" s="329" t="s">
        <v>19</v>
      </c>
      <c r="M55" s="360">
        <v>45443</v>
      </c>
      <c r="N55" s="360">
        <v>46172</v>
      </c>
      <c r="O55" s="331" t="s">
        <v>208</v>
      </c>
      <c r="P55" s="331" t="s">
        <v>876</v>
      </c>
      <c r="Q55" s="362" t="str">
        <f>UPPER(P55:P194)</f>
        <v xml:space="preserve">GLAUBER HENRIQUE DOS SANTOS </v>
      </c>
      <c r="R55" s="331" t="str">
        <f>UPPER(Q55:Q190)</f>
        <v xml:space="preserve">GLAUBER HENRIQUE DOS SANTOS </v>
      </c>
      <c r="S55" s="331"/>
      <c r="T55" s="331" t="s">
        <v>353</v>
      </c>
      <c r="U55" s="331" t="s">
        <v>354</v>
      </c>
      <c r="V55" s="331" t="s">
        <v>352</v>
      </c>
      <c r="W55" s="331" t="s">
        <v>593</v>
      </c>
      <c r="X55" s="330"/>
    </row>
    <row r="56" spans="1:24" s="326" customFormat="1" ht="35.1" customHeight="1" x14ac:dyDescent="0.25">
      <c r="A56" s="329">
        <v>4600058160</v>
      </c>
      <c r="B56" s="329" t="s">
        <v>44</v>
      </c>
      <c r="C56" s="329">
        <v>106872</v>
      </c>
      <c r="D56" s="329" t="s">
        <v>1879</v>
      </c>
      <c r="E56" s="329">
        <v>60</v>
      </c>
      <c r="F56" s="447" t="s">
        <v>1575</v>
      </c>
      <c r="G56" s="435" t="s">
        <v>1575</v>
      </c>
      <c r="H56" s="329" t="s">
        <v>709</v>
      </c>
      <c r="I56" s="329" t="s">
        <v>18</v>
      </c>
      <c r="J56" s="358" t="s">
        <v>54</v>
      </c>
      <c r="K56" s="359">
        <v>79198.5</v>
      </c>
      <c r="L56" s="329" t="s">
        <v>19</v>
      </c>
      <c r="M56" s="360">
        <v>45446</v>
      </c>
      <c r="N56" s="360">
        <v>45784</v>
      </c>
      <c r="O56" s="331" t="s">
        <v>29</v>
      </c>
      <c r="P56" s="331" t="s">
        <v>30</v>
      </c>
      <c r="Q56" s="362" t="str">
        <f>UPPER(P56:P195)</f>
        <v>MANFREDO SAHB CARCUTE</v>
      </c>
      <c r="R56" s="331" t="str">
        <f>UPPER(Q56:Q191)</f>
        <v>MANFREDO SAHB CARCUTE</v>
      </c>
      <c r="S56" s="331" t="s">
        <v>329</v>
      </c>
      <c r="T56" s="331" t="s">
        <v>328</v>
      </c>
      <c r="U56" s="331" t="s">
        <v>308</v>
      </c>
      <c r="V56" s="331" t="s">
        <v>327</v>
      </c>
      <c r="W56" s="331"/>
      <c r="X56" s="330"/>
    </row>
    <row r="57" spans="1:24" s="326" customFormat="1" ht="35.1" customHeight="1" x14ac:dyDescent="0.25">
      <c r="A57" s="329">
        <v>4600058252</v>
      </c>
      <c r="B57" s="329" t="s">
        <v>1723</v>
      </c>
      <c r="C57" s="329">
        <v>3045223</v>
      </c>
      <c r="D57" s="329" t="s">
        <v>1879</v>
      </c>
      <c r="E57" s="329">
        <v>1</v>
      </c>
      <c r="F57" s="447" t="s">
        <v>1575</v>
      </c>
      <c r="G57" s="435" t="s">
        <v>1575</v>
      </c>
      <c r="H57" s="331" t="s">
        <v>709</v>
      </c>
      <c r="I57" s="331" t="s">
        <v>18</v>
      </c>
      <c r="J57" s="331" t="s">
        <v>1931</v>
      </c>
      <c r="K57" s="340">
        <v>0.01</v>
      </c>
      <c r="L57" s="331" t="s">
        <v>19</v>
      </c>
      <c r="M57" s="360">
        <v>45386</v>
      </c>
      <c r="N57" s="360">
        <v>46115</v>
      </c>
      <c r="O57" s="331" t="s">
        <v>142</v>
      </c>
      <c r="P57" s="331" t="s">
        <v>143</v>
      </c>
      <c r="Q57" s="362" t="str">
        <f>UPPER(P57:P200)</f>
        <v>LUCIANA DE OLIVEIRA CARMO</v>
      </c>
      <c r="R57" s="331" t="str">
        <f>UPPER(Q57:Q196)</f>
        <v>LUCIANA DE OLIVEIRA CARMO</v>
      </c>
      <c r="S57" s="331"/>
      <c r="T57" s="331"/>
      <c r="U57" s="331"/>
      <c r="V57" s="331"/>
      <c r="W57" s="331"/>
      <c r="X57" s="330"/>
    </row>
    <row r="58" spans="1:24" s="326" customFormat="1" ht="35.1" customHeight="1" x14ac:dyDescent="0.25">
      <c r="A58" s="329">
        <v>4600058239</v>
      </c>
      <c r="B58" s="329" t="s">
        <v>237</v>
      </c>
      <c r="C58" s="329">
        <v>146625</v>
      </c>
      <c r="D58" s="329" t="s">
        <v>1880</v>
      </c>
      <c r="E58" s="329">
        <v>1</v>
      </c>
      <c r="F58" s="447" t="s">
        <v>1575</v>
      </c>
      <c r="G58" s="435" t="s">
        <v>1575</v>
      </c>
      <c r="H58" s="329" t="s">
        <v>709</v>
      </c>
      <c r="I58" s="331" t="s">
        <v>18</v>
      </c>
      <c r="J58" s="331" t="s">
        <v>236</v>
      </c>
      <c r="K58" s="340">
        <v>35650</v>
      </c>
      <c r="L58" s="331" t="s">
        <v>19</v>
      </c>
      <c r="M58" s="344">
        <v>45149</v>
      </c>
      <c r="N58" s="360">
        <v>46244</v>
      </c>
      <c r="O58" s="331" t="s">
        <v>152</v>
      </c>
      <c r="P58" s="331" t="s">
        <v>30</v>
      </c>
      <c r="Q58" s="362" t="str">
        <f>UPPER(P58:P202)</f>
        <v>MANFREDO SAHB CARCUTE</v>
      </c>
      <c r="R58" s="331" t="str">
        <f>UPPER(Q58:Q198)</f>
        <v>MANFREDO SAHB CARCUTE</v>
      </c>
      <c r="S58" s="331" t="s">
        <v>638</v>
      </c>
      <c r="T58" s="331" t="s">
        <v>505</v>
      </c>
      <c r="U58" s="331" t="s">
        <v>506</v>
      </c>
      <c r="V58" s="367" t="s">
        <v>639</v>
      </c>
      <c r="W58" s="331"/>
      <c r="X58" s="332">
        <v>45299</v>
      </c>
    </row>
    <row r="59" spans="1:24" s="326" customFormat="1" ht="35.1" customHeight="1" x14ac:dyDescent="0.25">
      <c r="A59" s="329">
        <v>4600057701</v>
      </c>
      <c r="B59" s="329" t="s">
        <v>214</v>
      </c>
      <c r="C59" s="329">
        <v>3044363</v>
      </c>
      <c r="D59" s="329" t="s">
        <v>1880</v>
      </c>
      <c r="E59" s="329">
        <v>45</v>
      </c>
      <c r="F59" s="447" t="s">
        <v>1575</v>
      </c>
      <c r="G59" s="435" t="s">
        <v>1575</v>
      </c>
      <c r="H59" s="329" t="s">
        <v>710</v>
      </c>
      <c r="I59" s="329" t="s">
        <v>18</v>
      </c>
      <c r="J59" s="331" t="s">
        <v>1933</v>
      </c>
      <c r="K59" s="340">
        <v>700000</v>
      </c>
      <c r="L59" s="331" t="s">
        <v>19</v>
      </c>
      <c r="M59" s="344">
        <v>45237</v>
      </c>
      <c r="N59" s="360">
        <v>46334</v>
      </c>
      <c r="O59" s="331" t="s">
        <v>22</v>
      </c>
      <c r="P59" s="331" t="s">
        <v>204</v>
      </c>
      <c r="Q59" s="362" t="str">
        <f>UPPER(P59:P206)</f>
        <v>PEDRO ANTONIO PERIASSU</v>
      </c>
      <c r="R59" s="331" t="str">
        <f>UPPER(Q59:Q202)</f>
        <v>PEDRO ANTONIO PERIASSU</v>
      </c>
      <c r="S59" s="331"/>
      <c r="T59" s="331" t="s">
        <v>468</v>
      </c>
      <c r="U59" s="331" t="s">
        <v>468</v>
      </c>
      <c r="V59" s="331" t="s">
        <v>467</v>
      </c>
      <c r="W59" s="331"/>
      <c r="X59" s="330"/>
    </row>
    <row r="60" spans="1:24" s="326" customFormat="1" ht="35.1" customHeight="1" x14ac:dyDescent="0.25">
      <c r="A60" s="329">
        <v>4600058132</v>
      </c>
      <c r="B60" s="329" t="s">
        <v>50</v>
      </c>
      <c r="C60" s="329">
        <v>1018338</v>
      </c>
      <c r="D60" s="329" t="s">
        <v>1879</v>
      </c>
      <c r="E60" s="329">
        <v>45</v>
      </c>
      <c r="F60" s="447" t="s">
        <v>1575</v>
      </c>
      <c r="G60" s="435" t="s">
        <v>1575</v>
      </c>
      <c r="H60" s="335" t="s">
        <v>709</v>
      </c>
      <c r="I60" s="335" t="s">
        <v>18</v>
      </c>
      <c r="J60" s="368" t="s">
        <v>51</v>
      </c>
      <c r="K60" s="369">
        <v>542464</v>
      </c>
      <c r="L60" s="335" t="s">
        <v>19</v>
      </c>
      <c r="M60" s="370">
        <v>42979</v>
      </c>
      <c r="N60" s="360">
        <v>46053</v>
      </c>
      <c r="O60" s="335" t="s">
        <v>29</v>
      </c>
      <c r="P60" s="331" t="s">
        <v>30</v>
      </c>
      <c r="Q60" s="362" t="str">
        <f>UPPER(P60:P208)</f>
        <v>MANFREDO SAHB CARCUTE</v>
      </c>
      <c r="R60" s="331" t="str">
        <f>UPPER(Q60:Q204)</f>
        <v>MANFREDO SAHB CARCUTE</v>
      </c>
      <c r="S60" s="335" t="s">
        <v>350</v>
      </c>
      <c r="T60" s="335" t="s">
        <v>326</v>
      </c>
      <c r="U60" s="335" t="s">
        <v>308</v>
      </c>
      <c r="V60" s="335" t="s">
        <v>325</v>
      </c>
      <c r="W60" s="335" t="s">
        <v>565</v>
      </c>
      <c r="X60" s="333"/>
    </row>
    <row r="61" spans="1:24" s="326" customFormat="1" ht="35.1" customHeight="1" x14ac:dyDescent="0.25">
      <c r="A61" s="329">
        <v>4600058125</v>
      </c>
      <c r="B61" s="329" t="s">
        <v>1035</v>
      </c>
      <c r="C61" s="329">
        <v>168322</v>
      </c>
      <c r="D61" s="329" t="s">
        <v>1881</v>
      </c>
      <c r="E61" s="329">
        <v>10</v>
      </c>
      <c r="F61" s="447" t="s">
        <v>1575</v>
      </c>
      <c r="G61" s="435" t="s">
        <v>1575</v>
      </c>
      <c r="H61" s="335" t="s">
        <v>709</v>
      </c>
      <c r="I61" s="335" t="s">
        <v>18</v>
      </c>
      <c r="J61" s="368" t="s">
        <v>109</v>
      </c>
      <c r="K61" s="369">
        <v>1821000.69</v>
      </c>
      <c r="L61" s="335" t="s">
        <v>19</v>
      </c>
      <c r="M61" s="370">
        <v>44708</v>
      </c>
      <c r="N61" s="360">
        <v>46387</v>
      </c>
      <c r="O61" s="335" t="s">
        <v>29</v>
      </c>
      <c r="P61" s="331" t="s">
        <v>30</v>
      </c>
      <c r="Q61" s="362" t="str">
        <f>UPPER(P61:P210)</f>
        <v>MANFREDO SAHB CARCUTE</v>
      </c>
      <c r="R61" s="331" t="str">
        <f>UPPER(Q61:Q206)</f>
        <v>MANFREDO SAHB CARCUTE</v>
      </c>
      <c r="S61" s="335" t="s">
        <v>1036</v>
      </c>
      <c r="T61" s="335" t="s">
        <v>1037</v>
      </c>
      <c r="U61" s="335" t="s">
        <v>308</v>
      </c>
      <c r="V61" s="375" t="s">
        <v>1038</v>
      </c>
      <c r="W61" s="335"/>
      <c r="X61" s="336">
        <v>45674</v>
      </c>
    </row>
    <row r="62" spans="1:24" s="326" customFormat="1" ht="35.1" customHeight="1" x14ac:dyDescent="0.25">
      <c r="A62" s="329">
        <v>4600057874</v>
      </c>
      <c r="B62" s="329" t="s">
        <v>253</v>
      </c>
      <c r="C62" s="329">
        <v>141965</v>
      </c>
      <c r="D62" s="329" t="s">
        <v>1881</v>
      </c>
      <c r="E62" s="329">
        <v>30</v>
      </c>
      <c r="F62" s="447" t="s">
        <v>1575</v>
      </c>
      <c r="G62" s="435" t="s">
        <v>1575</v>
      </c>
      <c r="H62" s="335" t="s">
        <v>709</v>
      </c>
      <c r="I62" s="335" t="s">
        <v>18</v>
      </c>
      <c r="J62" s="335" t="s">
        <v>1935</v>
      </c>
      <c r="K62" s="369">
        <v>400000</v>
      </c>
      <c r="L62" s="335" t="s">
        <v>19</v>
      </c>
      <c r="M62" s="370">
        <v>44970</v>
      </c>
      <c r="N62" s="360">
        <v>46066</v>
      </c>
      <c r="O62" s="335" t="s">
        <v>259</v>
      </c>
      <c r="P62" s="331" t="s">
        <v>255</v>
      </c>
      <c r="Q62" s="362" t="str">
        <f>UPPER(P62:P212)</f>
        <v>RENATA BARREIRA DE OLIM GUISELLI</v>
      </c>
      <c r="R62" s="331" t="str">
        <f>UPPER(Q62:Q208)</f>
        <v>RENATA BARREIRA DE OLIM GUISELLI</v>
      </c>
      <c r="S62" s="335" t="s">
        <v>1064</v>
      </c>
      <c r="T62" s="335" t="s">
        <v>520</v>
      </c>
      <c r="U62" s="335" t="s">
        <v>521</v>
      </c>
      <c r="V62" s="375" t="s">
        <v>1065</v>
      </c>
      <c r="W62" s="375" t="s">
        <v>1066</v>
      </c>
      <c r="X62" s="337" t="s">
        <v>1069</v>
      </c>
    </row>
    <row r="63" spans="1:24" s="326" customFormat="1" ht="35.1" customHeight="1" x14ac:dyDescent="0.25">
      <c r="A63" s="329">
        <v>4600057908</v>
      </c>
      <c r="B63" s="329" t="s">
        <v>717</v>
      </c>
      <c r="C63" s="329">
        <v>3045179</v>
      </c>
      <c r="D63" s="329" t="s">
        <v>1879</v>
      </c>
      <c r="E63" s="329">
        <v>60</v>
      </c>
      <c r="F63" s="447" t="s">
        <v>1575</v>
      </c>
      <c r="G63" s="435" t="s">
        <v>1575</v>
      </c>
      <c r="H63" s="329" t="s">
        <v>710</v>
      </c>
      <c r="I63" s="331" t="s">
        <v>18</v>
      </c>
      <c r="J63" s="331" t="s">
        <v>1938</v>
      </c>
      <c r="K63" s="340">
        <v>160854</v>
      </c>
      <c r="L63" s="331" t="s">
        <v>19</v>
      </c>
      <c r="M63" s="344">
        <v>45331</v>
      </c>
      <c r="N63" s="360">
        <v>46061</v>
      </c>
      <c r="O63" s="331" t="s">
        <v>22</v>
      </c>
      <c r="P63" s="331" t="s">
        <v>204</v>
      </c>
      <c r="Q63" s="362" t="str">
        <f>UPPER(P63:P215)</f>
        <v>PEDRO ANTONIO PERIASSU</v>
      </c>
      <c r="R63" s="331" t="str">
        <f>UPPER(Q63:Q211)</f>
        <v>PEDRO ANTONIO PERIASSU</v>
      </c>
      <c r="S63" s="331"/>
      <c r="T63" s="331"/>
      <c r="U63" s="331"/>
      <c r="V63" s="331"/>
      <c r="W63" s="331"/>
      <c r="X63" s="330"/>
    </row>
    <row r="64" spans="1:24" s="326" customFormat="1" ht="35.1" customHeight="1" x14ac:dyDescent="0.25">
      <c r="A64" s="329">
        <v>4600058183</v>
      </c>
      <c r="B64" s="329" t="s">
        <v>723</v>
      </c>
      <c r="C64" s="329">
        <v>3045317</v>
      </c>
      <c r="D64" s="329" t="s">
        <v>1879</v>
      </c>
      <c r="E64" s="329">
        <v>120</v>
      </c>
      <c r="F64" s="447" t="s">
        <v>1575</v>
      </c>
      <c r="G64" s="435" t="s">
        <v>1575</v>
      </c>
      <c r="H64" s="331" t="s">
        <v>709</v>
      </c>
      <c r="I64" s="331" t="s">
        <v>18</v>
      </c>
      <c r="J64" s="366" t="s">
        <v>1942</v>
      </c>
      <c r="K64" s="340">
        <v>99360</v>
      </c>
      <c r="L64" s="331" t="s">
        <v>19</v>
      </c>
      <c r="M64" s="344">
        <v>45443</v>
      </c>
      <c r="N64" s="360">
        <v>45807</v>
      </c>
      <c r="O64" s="331" t="s">
        <v>142</v>
      </c>
      <c r="P64" s="331" t="s">
        <v>143</v>
      </c>
      <c r="Q64" s="362" t="str">
        <f>UPPER(P64:P219)</f>
        <v>LUCIANA DE OLIVEIRA CARMO</v>
      </c>
      <c r="R64" s="331" t="str">
        <f>UPPER(Q64:Q215)</f>
        <v>LUCIANA DE OLIVEIRA CARMO</v>
      </c>
      <c r="S64" s="331"/>
      <c r="T64" s="331"/>
      <c r="U64" s="331"/>
      <c r="V64" s="331"/>
      <c r="W64" s="331"/>
      <c r="X64" s="330"/>
    </row>
    <row r="65" spans="1:24" s="326" customFormat="1" ht="35.1" customHeight="1" x14ac:dyDescent="0.25">
      <c r="A65" s="329">
        <v>4600058164</v>
      </c>
      <c r="B65" s="329" t="s">
        <v>733</v>
      </c>
      <c r="C65" s="329">
        <v>3044102</v>
      </c>
      <c r="D65" s="329" t="s">
        <v>1880</v>
      </c>
      <c r="E65" s="329">
        <v>90</v>
      </c>
      <c r="F65" s="447" t="s">
        <v>1575</v>
      </c>
      <c r="G65" s="435" t="s">
        <v>1575</v>
      </c>
      <c r="H65" s="331" t="s">
        <v>709</v>
      </c>
      <c r="I65" s="331" t="s">
        <v>18</v>
      </c>
      <c r="J65" s="331" t="s">
        <v>1943</v>
      </c>
      <c r="K65" s="340">
        <v>81800</v>
      </c>
      <c r="L65" s="331" t="s">
        <v>19</v>
      </c>
      <c r="M65" s="344">
        <v>45483</v>
      </c>
      <c r="N65" s="360">
        <v>46212</v>
      </c>
      <c r="O65" s="331" t="s">
        <v>93</v>
      </c>
      <c r="P65" s="331" t="s">
        <v>212</v>
      </c>
      <c r="Q65" s="362" t="str">
        <f>UPPER(P65:P220)</f>
        <v>FELIPE DE ANDRADE MOURA</v>
      </c>
      <c r="R65" s="331" t="str">
        <f>UPPER(Q65:Q216)</f>
        <v>FELIPE DE ANDRADE MOURA</v>
      </c>
      <c r="S65" s="331" t="s">
        <v>736</v>
      </c>
      <c r="T65" s="331" t="s">
        <v>737</v>
      </c>
      <c r="U65" s="331" t="s">
        <v>735</v>
      </c>
      <c r="V65" s="331" t="s">
        <v>738</v>
      </c>
      <c r="W65" s="331"/>
      <c r="X65" s="330"/>
    </row>
    <row r="66" spans="1:24" s="326" customFormat="1" ht="35.1" customHeight="1" x14ac:dyDescent="0.25">
      <c r="A66" s="329">
        <v>4600055243</v>
      </c>
      <c r="B66" s="329" t="s">
        <v>1724</v>
      </c>
      <c r="C66" s="329">
        <v>115644</v>
      </c>
      <c r="D66" s="329" t="s">
        <v>1881</v>
      </c>
      <c r="E66" s="329">
        <v>20</v>
      </c>
      <c r="F66" s="447" t="s">
        <v>1575</v>
      </c>
      <c r="G66" s="435" t="s">
        <v>1575</v>
      </c>
      <c r="H66" s="335" t="s">
        <v>710</v>
      </c>
      <c r="I66" s="335" t="s">
        <v>18</v>
      </c>
      <c r="J66" s="335" t="s">
        <v>1944</v>
      </c>
      <c r="K66" s="369">
        <v>0.01</v>
      </c>
      <c r="L66" s="335" t="s">
        <v>19</v>
      </c>
      <c r="M66" s="370">
        <v>44621</v>
      </c>
      <c r="N66" s="384">
        <v>45351</v>
      </c>
      <c r="O66" s="335" t="s">
        <v>152</v>
      </c>
      <c r="P66" s="331" t="s">
        <v>30</v>
      </c>
      <c r="Q66" s="362" t="str">
        <f>UPPER(P66:P221)</f>
        <v>MANFREDO SAHB CARCUTE</v>
      </c>
      <c r="R66" s="331" t="str">
        <f>UPPER(Q66:Q217)</f>
        <v>MANFREDO SAHB CARCUTE</v>
      </c>
      <c r="S66" s="335" t="s">
        <v>489</v>
      </c>
      <c r="T66" s="335" t="s">
        <v>488</v>
      </c>
      <c r="U66" s="335" t="s">
        <v>308</v>
      </c>
      <c r="V66" s="335" t="s">
        <v>487</v>
      </c>
      <c r="W66" s="335"/>
      <c r="X66" s="333"/>
    </row>
    <row r="67" spans="1:24" s="326" customFormat="1" ht="35.1" customHeight="1" x14ac:dyDescent="0.25">
      <c r="A67" s="329">
        <v>4600057978</v>
      </c>
      <c r="B67" s="329" t="s">
        <v>743</v>
      </c>
      <c r="C67" s="329">
        <v>127179</v>
      </c>
      <c r="D67" s="329" t="s">
        <v>1881</v>
      </c>
      <c r="E67" s="329">
        <v>1</v>
      </c>
      <c r="F67" s="447" t="s">
        <v>1575</v>
      </c>
      <c r="G67" s="435" t="s">
        <v>1575</v>
      </c>
      <c r="H67" s="331" t="s">
        <v>710</v>
      </c>
      <c r="I67" s="331" t="s">
        <v>18</v>
      </c>
      <c r="J67" s="331" t="s">
        <v>1945</v>
      </c>
      <c r="K67" s="340">
        <v>897888</v>
      </c>
      <c r="L67" s="331" t="s">
        <v>19</v>
      </c>
      <c r="M67" s="344">
        <v>45383</v>
      </c>
      <c r="N67" s="360">
        <v>46295</v>
      </c>
      <c r="O67" s="335" t="s">
        <v>152</v>
      </c>
      <c r="P67" s="331" t="s">
        <v>30</v>
      </c>
      <c r="Q67" s="362" t="str">
        <f>UPPER(P67:P222)</f>
        <v>MANFREDO SAHB CARCUTE</v>
      </c>
      <c r="R67" s="331" t="str">
        <f>UPPER(Q67:Q218)</f>
        <v>MANFREDO SAHB CARCUTE</v>
      </c>
      <c r="S67" s="331"/>
      <c r="T67" s="331"/>
      <c r="U67" s="331"/>
      <c r="V67" s="331"/>
      <c r="W67" s="335"/>
      <c r="X67" s="333"/>
    </row>
    <row r="68" spans="1:24" s="326" customFormat="1" ht="35.1" customHeight="1" x14ac:dyDescent="0.25">
      <c r="A68" s="329">
        <v>4600058366</v>
      </c>
      <c r="B68" s="329" t="s">
        <v>769</v>
      </c>
      <c r="C68" s="329">
        <v>3045876</v>
      </c>
      <c r="D68" s="329" t="s">
        <v>1881</v>
      </c>
      <c r="E68" s="329">
        <v>1</v>
      </c>
      <c r="F68" s="447" t="s">
        <v>1575</v>
      </c>
      <c r="G68" s="435" t="s">
        <v>1575</v>
      </c>
      <c r="H68" s="331" t="s">
        <v>709</v>
      </c>
      <c r="I68" s="331" t="s">
        <v>18</v>
      </c>
      <c r="J68" s="331" t="s">
        <v>1949</v>
      </c>
      <c r="K68" s="340">
        <v>2203800</v>
      </c>
      <c r="L68" s="331" t="s">
        <v>19</v>
      </c>
      <c r="M68" s="344">
        <v>45505</v>
      </c>
      <c r="N68" s="360">
        <v>46234</v>
      </c>
      <c r="O68" s="335" t="s">
        <v>208</v>
      </c>
      <c r="P68" s="331" t="s">
        <v>876</v>
      </c>
      <c r="Q68" s="362" t="str">
        <f>UPPER(P68:P226)</f>
        <v xml:space="preserve">GLAUBER HENRIQUE DOS SANTOS </v>
      </c>
      <c r="R68" s="331" t="str">
        <f>UPPER(Q68:Q222)</f>
        <v xml:space="preserve">GLAUBER HENRIQUE DOS SANTOS </v>
      </c>
      <c r="S68" s="331" t="s">
        <v>765</v>
      </c>
      <c r="T68" s="331" t="s">
        <v>766</v>
      </c>
      <c r="U68" s="331" t="s">
        <v>767</v>
      </c>
      <c r="V68" s="331" t="s">
        <v>768</v>
      </c>
      <c r="W68" s="331" t="s">
        <v>1061</v>
      </c>
      <c r="X68" s="330"/>
    </row>
    <row r="69" spans="1:24" s="326" customFormat="1" ht="35.1" customHeight="1" x14ac:dyDescent="0.25">
      <c r="A69" s="329">
        <v>4600058490</v>
      </c>
      <c r="B69" s="329" t="s">
        <v>788</v>
      </c>
      <c r="C69" s="329" t="s">
        <v>960</v>
      </c>
      <c r="D69" s="329" t="s">
        <v>1881</v>
      </c>
      <c r="E69" s="329">
        <v>1</v>
      </c>
      <c r="F69" s="447" t="s">
        <v>1575</v>
      </c>
      <c r="G69" s="435" t="s">
        <v>1575</v>
      </c>
      <c r="H69" s="331" t="s">
        <v>709</v>
      </c>
      <c r="I69" s="331" t="s">
        <v>18</v>
      </c>
      <c r="J69" s="331" t="s">
        <v>1950</v>
      </c>
      <c r="K69" s="340">
        <v>27000000</v>
      </c>
      <c r="L69" s="331" t="s">
        <v>19</v>
      </c>
      <c r="M69" s="344">
        <v>45597</v>
      </c>
      <c r="N69" s="360">
        <v>46691</v>
      </c>
      <c r="O69" s="335" t="s">
        <v>208</v>
      </c>
      <c r="P69" s="331" t="s">
        <v>876</v>
      </c>
      <c r="Q69" s="362" t="str">
        <f>UPPER(P69:P227)</f>
        <v xml:space="preserve">GLAUBER HENRIQUE DOS SANTOS </v>
      </c>
      <c r="R69" s="331" t="str">
        <f>UPPER(Q69:Q223)</f>
        <v xml:space="preserve">GLAUBER HENRIQUE DOS SANTOS </v>
      </c>
      <c r="S69" s="331" t="s">
        <v>772</v>
      </c>
      <c r="T69" s="331" t="s">
        <v>773</v>
      </c>
      <c r="U69" s="331" t="s">
        <v>774</v>
      </c>
      <c r="V69" s="331" t="s">
        <v>775</v>
      </c>
      <c r="W69" s="331"/>
      <c r="X69" s="330"/>
    </row>
    <row r="70" spans="1:24" s="326" customFormat="1" ht="35.1" customHeight="1" x14ac:dyDescent="0.25">
      <c r="A70" s="329">
        <v>4600058303</v>
      </c>
      <c r="B70" s="329" t="s">
        <v>779</v>
      </c>
      <c r="C70" s="329">
        <v>3043914</v>
      </c>
      <c r="D70" s="329" t="s">
        <v>1881</v>
      </c>
      <c r="E70" s="329">
        <v>45</v>
      </c>
      <c r="F70" s="447" t="s">
        <v>1575</v>
      </c>
      <c r="G70" s="435" t="s">
        <v>1575</v>
      </c>
      <c r="H70" s="331" t="s">
        <v>709</v>
      </c>
      <c r="I70" s="331" t="s">
        <v>18</v>
      </c>
      <c r="J70" s="331" t="s">
        <v>1952</v>
      </c>
      <c r="K70" s="340">
        <v>370680</v>
      </c>
      <c r="L70" s="331" t="s">
        <v>19</v>
      </c>
      <c r="M70" s="344">
        <v>45487</v>
      </c>
      <c r="N70" s="360">
        <v>46219</v>
      </c>
      <c r="O70" s="331" t="s">
        <v>52</v>
      </c>
      <c r="P70" s="331" t="s">
        <v>204</v>
      </c>
      <c r="Q70" s="362" t="str">
        <f>UPPER(P70:P229)</f>
        <v>PEDRO ANTONIO PERIASSU</v>
      </c>
      <c r="R70" s="331" t="str">
        <f>UPPER(Q70:Q225)</f>
        <v>PEDRO ANTONIO PERIASSU</v>
      </c>
      <c r="S70" s="331" t="s">
        <v>781</v>
      </c>
      <c r="T70" s="331" t="s">
        <v>478</v>
      </c>
      <c r="U70" s="331" t="s">
        <v>480</v>
      </c>
      <c r="V70" s="331" t="s">
        <v>477</v>
      </c>
      <c r="W70" s="331"/>
      <c r="X70" s="330"/>
    </row>
    <row r="71" spans="1:24" s="326" customFormat="1" ht="35.1" customHeight="1" x14ac:dyDescent="0.25">
      <c r="A71" s="329">
        <v>4600058493</v>
      </c>
      <c r="B71" s="329" t="s">
        <v>786</v>
      </c>
      <c r="C71" s="329">
        <v>190044</v>
      </c>
      <c r="D71" s="329" t="s">
        <v>1879</v>
      </c>
      <c r="E71" s="329" t="s">
        <v>855</v>
      </c>
      <c r="F71" s="447" t="s">
        <v>1575</v>
      </c>
      <c r="G71" s="435" t="s">
        <v>1575</v>
      </c>
      <c r="H71" s="329" t="s">
        <v>709</v>
      </c>
      <c r="I71" s="340" t="s">
        <v>18</v>
      </c>
      <c r="J71" s="331" t="s">
        <v>1953</v>
      </c>
      <c r="K71" s="340">
        <v>1736908</v>
      </c>
      <c r="L71" s="331" t="s">
        <v>19</v>
      </c>
      <c r="M71" s="360">
        <v>45574</v>
      </c>
      <c r="N71" s="360">
        <v>46940</v>
      </c>
      <c r="O71" s="331" t="s">
        <v>22</v>
      </c>
      <c r="P71" s="331" t="s">
        <v>2019</v>
      </c>
      <c r="Q71" s="362" t="str">
        <f>UPPER(P71:P230)</f>
        <v>PEDRO PERIASSU/ TIAGO GONZALES</v>
      </c>
      <c r="R71" s="331" t="str">
        <f>UPPER(Q71:Q226)</f>
        <v>PEDRO PERIASSU/ TIAGO GONZALES</v>
      </c>
      <c r="S71" s="331" t="s">
        <v>1071</v>
      </c>
      <c r="T71" s="331"/>
      <c r="U71" s="331"/>
      <c r="V71" s="375" t="s">
        <v>1072</v>
      </c>
      <c r="W71" s="331"/>
      <c r="X71" s="330"/>
    </row>
    <row r="72" spans="1:24" s="326" customFormat="1" ht="35.1" customHeight="1" x14ac:dyDescent="0.25">
      <c r="A72" s="329">
        <v>4600058560</v>
      </c>
      <c r="B72" s="329" t="s">
        <v>1039</v>
      </c>
      <c r="C72" s="329" t="s">
        <v>973</v>
      </c>
      <c r="D72" s="329" t="s">
        <v>1881</v>
      </c>
      <c r="E72" s="329" t="s">
        <v>856</v>
      </c>
      <c r="F72" s="447" t="s">
        <v>1575</v>
      </c>
      <c r="G72" s="435" t="s">
        <v>1575</v>
      </c>
      <c r="H72" s="329" t="s">
        <v>709</v>
      </c>
      <c r="I72" s="329" t="s">
        <v>18</v>
      </c>
      <c r="J72" s="358" t="s">
        <v>1954</v>
      </c>
      <c r="K72" s="340">
        <v>505469.7</v>
      </c>
      <c r="L72" s="331" t="s">
        <v>19</v>
      </c>
      <c r="M72" s="360">
        <v>45610</v>
      </c>
      <c r="N72" s="360">
        <v>46304</v>
      </c>
      <c r="O72" s="331" t="s">
        <v>617</v>
      </c>
      <c r="P72" s="331" t="s">
        <v>618</v>
      </c>
      <c r="Q72" s="362" t="str">
        <f>UPPER(P72:P231)</f>
        <v>MANFREDO SAHB CARCUTE/ PEDRO PERIASSU</v>
      </c>
      <c r="R72" s="331" t="str">
        <f>UPPER(Q72:Q227)</f>
        <v>MANFREDO SAHB CARCUTE/ PEDRO PERIASSU</v>
      </c>
      <c r="S72" s="331"/>
      <c r="T72" s="331" t="s">
        <v>442</v>
      </c>
      <c r="U72" s="331" t="s">
        <v>443</v>
      </c>
      <c r="V72" s="331" t="s">
        <v>441</v>
      </c>
      <c r="W72" s="331">
        <v>4600056681</v>
      </c>
      <c r="X72" s="330" t="s">
        <v>832</v>
      </c>
    </row>
    <row r="73" spans="1:24" s="326" customFormat="1" ht="35.1" customHeight="1" x14ac:dyDescent="0.25">
      <c r="A73" s="329">
        <v>4600058466</v>
      </c>
      <c r="B73" s="329" t="s">
        <v>790</v>
      </c>
      <c r="C73" s="329" t="s">
        <v>974</v>
      </c>
      <c r="D73" s="329" t="s">
        <v>1880</v>
      </c>
      <c r="E73" s="329" t="s">
        <v>855</v>
      </c>
      <c r="F73" s="447" t="s">
        <v>1575</v>
      </c>
      <c r="G73" s="435" t="s">
        <v>1575</v>
      </c>
      <c r="H73" s="329" t="s">
        <v>709</v>
      </c>
      <c r="I73" s="329" t="s">
        <v>18</v>
      </c>
      <c r="J73" s="331" t="s">
        <v>1955</v>
      </c>
      <c r="K73" s="340">
        <v>1200000</v>
      </c>
      <c r="L73" s="331" t="s">
        <v>19</v>
      </c>
      <c r="M73" s="360">
        <v>45561</v>
      </c>
      <c r="N73" s="360">
        <v>46295</v>
      </c>
      <c r="O73" s="331" t="s">
        <v>29</v>
      </c>
      <c r="P73" s="331" t="s">
        <v>30</v>
      </c>
      <c r="Q73" s="362" t="str">
        <f>UPPER(P73:P232)</f>
        <v>MANFREDO SAHB CARCUTE</v>
      </c>
      <c r="R73" s="331" t="str">
        <f>UPPER(Q73:Q228)</f>
        <v>MANFREDO SAHB CARCUTE</v>
      </c>
      <c r="S73" s="331"/>
      <c r="T73" s="331"/>
      <c r="U73" s="331"/>
      <c r="V73" s="331"/>
      <c r="W73" s="331"/>
      <c r="X73" s="330"/>
    </row>
    <row r="74" spans="1:24" s="326" customFormat="1" ht="35.1" customHeight="1" x14ac:dyDescent="0.25">
      <c r="A74" s="329">
        <v>4600058221</v>
      </c>
      <c r="B74" s="329" t="s">
        <v>792</v>
      </c>
      <c r="C74" s="329" t="s">
        <v>976</v>
      </c>
      <c r="D74" s="329" t="s">
        <v>1880</v>
      </c>
      <c r="E74" s="329" t="s">
        <v>858</v>
      </c>
      <c r="F74" s="447" t="s">
        <v>1575</v>
      </c>
      <c r="G74" s="435" t="s">
        <v>1575</v>
      </c>
      <c r="H74" s="329" t="s">
        <v>709</v>
      </c>
      <c r="I74" s="340" t="s">
        <v>18</v>
      </c>
      <c r="J74" s="331" t="s">
        <v>1957</v>
      </c>
      <c r="K74" s="340">
        <v>100000</v>
      </c>
      <c r="L74" s="331" t="s">
        <v>19</v>
      </c>
      <c r="M74" s="360">
        <v>45503</v>
      </c>
      <c r="N74" s="360">
        <v>46232</v>
      </c>
      <c r="O74" s="331" t="s">
        <v>93</v>
      </c>
      <c r="P74" s="331" t="s">
        <v>878</v>
      </c>
      <c r="Q74" s="362" t="str">
        <f>UPPER(P74:P234)</f>
        <v>FELIPE DE ANDRADE MOURA/ GRAZIELA DE CASSIA CAPRARA</v>
      </c>
      <c r="R74" s="331" t="str">
        <f>UPPER(Q74:Q230)</f>
        <v>FELIPE DE ANDRADE MOURA/ GRAZIELA DE CASSIA CAPRARA</v>
      </c>
      <c r="S74" s="331"/>
      <c r="T74" s="331"/>
      <c r="U74" s="331"/>
      <c r="V74" s="331"/>
      <c r="W74" s="331"/>
      <c r="X74" s="330"/>
    </row>
    <row r="75" spans="1:24" s="326" customFormat="1" ht="35.1" customHeight="1" x14ac:dyDescent="0.25">
      <c r="A75" s="329">
        <v>4600058477</v>
      </c>
      <c r="B75" s="329" t="s">
        <v>796</v>
      </c>
      <c r="C75" s="329" t="s">
        <v>982</v>
      </c>
      <c r="D75" s="329" t="s">
        <v>1880</v>
      </c>
      <c r="E75" s="329" t="s">
        <v>855</v>
      </c>
      <c r="F75" s="447" t="s">
        <v>1575</v>
      </c>
      <c r="G75" s="435" t="s">
        <v>1575</v>
      </c>
      <c r="H75" s="329" t="s">
        <v>709</v>
      </c>
      <c r="I75" s="340" t="s">
        <v>18</v>
      </c>
      <c r="J75" s="331" t="s">
        <v>1955</v>
      </c>
      <c r="K75" s="340">
        <v>1200000</v>
      </c>
      <c r="L75" s="331" t="s">
        <v>19</v>
      </c>
      <c r="M75" s="360">
        <v>45568</v>
      </c>
      <c r="N75" s="360">
        <v>46297</v>
      </c>
      <c r="O75" s="331" t="s">
        <v>29</v>
      </c>
      <c r="P75" s="331" t="s">
        <v>30</v>
      </c>
      <c r="Q75" s="362" t="str">
        <f>UPPER(P75:P236)</f>
        <v>MANFREDO SAHB CARCUTE</v>
      </c>
      <c r="R75" s="331" t="str">
        <f>UPPER(Q75:Q232)</f>
        <v>MANFREDO SAHB CARCUTE</v>
      </c>
      <c r="S75" s="331"/>
      <c r="T75" s="331"/>
      <c r="U75" s="331"/>
      <c r="V75" s="331"/>
      <c r="W75" s="331"/>
      <c r="X75" s="330"/>
    </row>
    <row r="76" spans="1:24" s="326" customFormat="1" ht="35.1" customHeight="1" x14ac:dyDescent="0.25">
      <c r="A76" s="329" t="s">
        <v>819</v>
      </c>
      <c r="B76" s="329" t="s">
        <v>140</v>
      </c>
      <c r="C76" s="329" t="s">
        <v>985</v>
      </c>
      <c r="D76" s="329" t="s">
        <v>1880</v>
      </c>
      <c r="E76" s="329" t="s">
        <v>855</v>
      </c>
      <c r="F76" s="447" t="s">
        <v>1575</v>
      </c>
      <c r="G76" s="435" t="s">
        <v>1575</v>
      </c>
      <c r="H76" s="329" t="s">
        <v>709</v>
      </c>
      <c r="I76" s="340" t="s">
        <v>18</v>
      </c>
      <c r="J76" s="358" t="s">
        <v>141</v>
      </c>
      <c r="K76" s="340">
        <v>120000</v>
      </c>
      <c r="L76" s="331" t="s">
        <v>19</v>
      </c>
      <c r="M76" s="360">
        <v>45515</v>
      </c>
      <c r="N76" s="360">
        <v>46244</v>
      </c>
      <c r="O76" s="331" t="s">
        <v>142</v>
      </c>
      <c r="P76" s="331" t="s">
        <v>143</v>
      </c>
      <c r="Q76" s="362" t="str">
        <f>UPPER(P76:P237)</f>
        <v>LUCIANA DE OLIVEIRA CARMO</v>
      </c>
      <c r="R76" s="331" t="str">
        <f>UPPER(Q76:Q233)</f>
        <v>LUCIANA DE OLIVEIRA CARMO</v>
      </c>
      <c r="S76" s="331" t="s">
        <v>417</v>
      </c>
      <c r="T76" s="331" t="s">
        <v>415</v>
      </c>
      <c r="U76" s="331" t="s">
        <v>308</v>
      </c>
      <c r="V76" s="331" t="s">
        <v>414</v>
      </c>
      <c r="W76" s="331"/>
      <c r="X76" s="330"/>
    </row>
    <row r="77" spans="1:24" s="326" customFormat="1" ht="35.1" customHeight="1" x14ac:dyDescent="0.25">
      <c r="A77" s="329">
        <v>4600058404</v>
      </c>
      <c r="B77" s="329" t="s">
        <v>798</v>
      </c>
      <c r="C77" s="329" t="s">
        <v>987</v>
      </c>
      <c r="D77" s="329" t="s">
        <v>1880</v>
      </c>
      <c r="E77" s="329" t="s">
        <v>855</v>
      </c>
      <c r="F77" s="447" t="s">
        <v>1575</v>
      </c>
      <c r="G77" s="435" t="s">
        <v>1575</v>
      </c>
      <c r="H77" s="329" t="s">
        <v>709</v>
      </c>
      <c r="I77" s="340" t="s">
        <v>18</v>
      </c>
      <c r="J77" s="331" t="s">
        <v>1960</v>
      </c>
      <c r="K77" s="340">
        <v>219979.2</v>
      </c>
      <c r="L77" s="331" t="s">
        <v>19</v>
      </c>
      <c r="M77" s="360">
        <v>45555</v>
      </c>
      <c r="N77" s="360">
        <v>45919</v>
      </c>
      <c r="O77" s="331" t="s">
        <v>208</v>
      </c>
      <c r="P77" s="331" t="s">
        <v>876</v>
      </c>
      <c r="Q77" s="362" t="str">
        <f>UPPER(P77:P239)</f>
        <v xml:space="preserve">GLAUBER HENRIQUE DOS SANTOS </v>
      </c>
      <c r="R77" s="331" t="str">
        <f>UPPER(Q77:Q235)</f>
        <v xml:space="preserve">GLAUBER HENRIQUE DOS SANTOS </v>
      </c>
      <c r="S77" s="331"/>
      <c r="T77" s="331"/>
      <c r="U77" s="331"/>
      <c r="V77" s="331"/>
      <c r="W77" s="331"/>
      <c r="X77" s="330"/>
    </row>
    <row r="78" spans="1:24" s="326" customFormat="1" ht="35.1" customHeight="1" x14ac:dyDescent="0.25">
      <c r="A78" s="329">
        <v>4600058408</v>
      </c>
      <c r="B78" s="329" t="s">
        <v>799</v>
      </c>
      <c r="C78" s="329">
        <v>3046134</v>
      </c>
      <c r="D78" s="329" t="s">
        <v>1880</v>
      </c>
      <c r="E78" s="329" t="s">
        <v>854</v>
      </c>
      <c r="F78" s="447" t="s">
        <v>1575</v>
      </c>
      <c r="G78" s="435" t="s">
        <v>1575</v>
      </c>
      <c r="H78" s="329" t="s">
        <v>709</v>
      </c>
      <c r="I78" s="340" t="s">
        <v>18</v>
      </c>
      <c r="J78" s="331" t="s">
        <v>1961</v>
      </c>
      <c r="K78" s="340">
        <v>960000</v>
      </c>
      <c r="L78" s="331" t="s">
        <v>19</v>
      </c>
      <c r="M78" s="360">
        <v>45547</v>
      </c>
      <c r="N78" s="360">
        <v>46290</v>
      </c>
      <c r="O78" s="331" t="s">
        <v>135</v>
      </c>
      <c r="P78" s="331" t="s">
        <v>136</v>
      </c>
      <c r="Q78" s="362" t="str">
        <f>UPPER(P78:P240)</f>
        <v>CARLOS EDUARDO FUHR</v>
      </c>
      <c r="R78" s="331" t="str">
        <f>UPPER(Q78:Q236)</f>
        <v>CARLOS EDUARDO FUHR</v>
      </c>
      <c r="S78" s="331"/>
      <c r="T78" s="331"/>
      <c r="U78" s="331"/>
      <c r="V78" s="331"/>
      <c r="W78" s="331"/>
      <c r="X78" s="330"/>
    </row>
    <row r="79" spans="1:24" s="326" customFormat="1" ht="35.1" customHeight="1" x14ac:dyDescent="0.25">
      <c r="A79" s="329">
        <v>4600058465</v>
      </c>
      <c r="B79" s="329" t="s">
        <v>800</v>
      </c>
      <c r="C79" s="329" t="s">
        <v>991</v>
      </c>
      <c r="D79" s="329" t="s">
        <v>1880</v>
      </c>
      <c r="E79" s="329" t="s">
        <v>855</v>
      </c>
      <c r="F79" s="447" t="s">
        <v>1575</v>
      </c>
      <c r="G79" s="435" t="s">
        <v>1575</v>
      </c>
      <c r="H79" s="329" t="s">
        <v>709</v>
      </c>
      <c r="I79" s="340" t="s">
        <v>18</v>
      </c>
      <c r="J79" s="331" t="s">
        <v>1962</v>
      </c>
      <c r="K79" s="340">
        <v>130000</v>
      </c>
      <c r="L79" s="331" t="s">
        <v>19</v>
      </c>
      <c r="M79" s="360">
        <v>45593</v>
      </c>
      <c r="N79" s="360">
        <v>45957</v>
      </c>
      <c r="O79" s="331" t="s">
        <v>208</v>
      </c>
      <c r="P79" s="331" t="s">
        <v>876</v>
      </c>
      <c r="Q79" s="362" t="str">
        <f>UPPER(P79:P241)</f>
        <v xml:space="preserve">GLAUBER HENRIQUE DOS SANTOS </v>
      </c>
      <c r="R79" s="331" t="str">
        <f>UPPER(Q79:Q237)</f>
        <v xml:space="preserve">GLAUBER HENRIQUE DOS SANTOS </v>
      </c>
      <c r="S79" s="331"/>
      <c r="T79" s="331"/>
      <c r="U79" s="331"/>
      <c r="V79" s="331"/>
      <c r="W79" s="331"/>
      <c r="X79" s="330"/>
    </row>
    <row r="80" spans="1:24" s="326" customFormat="1" ht="35.1" customHeight="1" x14ac:dyDescent="0.25">
      <c r="A80" s="329">
        <v>4600058310</v>
      </c>
      <c r="B80" s="329" t="s">
        <v>801</v>
      </c>
      <c r="C80" s="329" t="s">
        <v>993</v>
      </c>
      <c r="D80" s="329" t="s">
        <v>1880</v>
      </c>
      <c r="E80" s="329" t="s">
        <v>856</v>
      </c>
      <c r="F80" s="447" t="s">
        <v>1575</v>
      </c>
      <c r="G80" s="435" t="s">
        <v>1575</v>
      </c>
      <c r="H80" s="329" t="s">
        <v>709</v>
      </c>
      <c r="I80" s="340" t="s">
        <v>18</v>
      </c>
      <c r="J80" s="358" t="s">
        <v>1963</v>
      </c>
      <c r="K80" s="340">
        <v>15170.4</v>
      </c>
      <c r="L80" s="331" t="s">
        <v>19</v>
      </c>
      <c r="M80" s="360">
        <v>45527</v>
      </c>
      <c r="N80" s="360">
        <v>46241</v>
      </c>
      <c r="O80" s="331" t="s">
        <v>135</v>
      </c>
      <c r="P80" s="331" t="s">
        <v>281</v>
      </c>
      <c r="Q80" s="362" t="str">
        <f>UPPER(P80:P242)</f>
        <v>TATIANA MARILDA DA SILVA DE LYRA</v>
      </c>
      <c r="R80" s="331" t="str">
        <f>UPPER(Q80:Q238)</f>
        <v>TATIANA MARILDA DA SILVA DE LYRA</v>
      </c>
      <c r="S80" s="331"/>
      <c r="T80" s="331" t="s">
        <v>409</v>
      </c>
      <c r="U80" s="331" t="s">
        <v>410</v>
      </c>
      <c r="V80" s="331" t="s">
        <v>408</v>
      </c>
      <c r="W80" s="331"/>
      <c r="X80" s="330"/>
    </row>
    <row r="81" spans="1:24" s="326" customFormat="1" ht="35.1" customHeight="1" x14ac:dyDescent="0.25">
      <c r="A81" s="329" t="s">
        <v>821</v>
      </c>
      <c r="B81" s="329" t="s">
        <v>802</v>
      </c>
      <c r="C81" s="329" t="s">
        <v>994</v>
      </c>
      <c r="D81" s="329" t="s">
        <v>1880</v>
      </c>
      <c r="E81" s="329" t="s">
        <v>855</v>
      </c>
      <c r="F81" s="447" t="s">
        <v>1575</v>
      </c>
      <c r="G81" s="435" t="s">
        <v>1575</v>
      </c>
      <c r="H81" s="329" t="s">
        <v>709</v>
      </c>
      <c r="I81" s="340" t="s">
        <v>18</v>
      </c>
      <c r="J81" s="331" t="s">
        <v>1955</v>
      </c>
      <c r="K81" s="340">
        <v>1200000</v>
      </c>
      <c r="L81" s="331" t="s">
        <v>19</v>
      </c>
      <c r="M81" s="360">
        <v>45572</v>
      </c>
      <c r="N81" s="360">
        <v>46301</v>
      </c>
      <c r="O81" s="331" t="s">
        <v>152</v>
      </c>
      <c r="P81" s="331" t="s">
        <v>30</v>
      </c>
      <c r="Q81" s="362" t="str">
        <f>UPPER(P81:P243)</f>
        <v>MANFREDO SAHB CARCUTE</v>
      </c>
      <c r="R81" s="331" t="str">
        <f>UPPER(Q81:Q239)</f>
        <v>MANFREDO SAHB CARCUTE</v>
      </c>
      <c r="S81" s="331"/>
      <c r="T81" s="331"/>
      <c r="U81" s="331"/>
      <c r="V81" s="331"/>
      <c r="W81" s="331"/>
      <c r="X81" s="330"/>
    </row>
    <row r="82" spans="1:24" s="326" customFormat="1" ht="35.1" customHeight="1" x14ac:dyDescent="0.25">
      <c r="A82" s="329">
        <v>4600058340</v>
      </c>
      <c r="B82" s="329" t="s">
        <v>2077</v>
      </c>
      <c r="C82" s="329" t="s">
        <v>1001</v>
      </c>
      <c r="D82" s="329" t="s">
        <v>1880</v>
      </c>
      <c r="E82" s="329" t="s">
        <v>855</v>
      </c>
      <c r="F82" s="447" t="s">
        <v>1575</v>
      </c>
      <c r="G82" s="435" t="s">
        <v>1575</v>
      </c>
      <c r="H82" s="329" t="s">
        <v>709</v>
      </c>
      <c r="I82" s="340" t="s">
        <v>18</v>
      </c>
      <c r="J82" s="331" t="s">
        <v>1966</v>
      </c>
      <c r="K82" s="340">
        <v>200000</v>
      </c>
      <c r="L82" s="331" t="s">
        <v>19</v>
      </c>
      <c r="M82" s="360">
        <v>45532</v>
      </c>
      <c r="N82" s="360">
        <v>45896</v>
      </c>
      <c r="O82" s="331" t="s">
        <v>93</v>
      </c>
      <c r="P82" s="331" t="s">
        <v>878</v>
      </c>
      <c r="Q82" s="362" t="str">
        <f>UPPER(P82:P246)</f>
        <v>FELIPE DE ANDRADE MOURA/ GRAZIELA DE CASSIA CAPRARA</v>
      </c>
      <c r="R82" s="331" t="str">
        <f>UPPER(Q82:Q242)</f>
        <v>FELIPE DE ANDRADE MOURA/ GRAZIELA DE CASSIA CAPRARA</v>
      </c>
      <c r="S82" s="331"/>
      <c r="T82" s="331"/>
      <c r="U82" s="331"/>
      <c r="V82" s="331"/>
      <c r="W82" s="331"/>
      <c r="X82" s="330"/>
    </row>
    <row r="83" spans="1:24" s="326" customFormat="1" ht="35.1" customHeight="1" x14ac:dyDescent="0.25">
      <c r="A83" s="329">
        <v>4600058299</v>
      </c>
      <c r="B83" s="329" t="s">
        <v>27</v>
      </c>
      <c r="C83" s="329">
        <v>193600</v>
      </c>
      <c r="D83" s="329" t="s">
        <v>1880</v>
      </c>
      <c r="E83" s="329">
        <v>45</v>
      </c>
      <c r="F83" s="447" t="s">
        <v>1575</v>
      </c>
      <c r="G83" s="435" t="s">
        <v>1575</v>
      </c>
      <c r="H83" s="329" t="s">
        <v>709</v>
      </c>
      <c r="I83" s="329" t="s">
        <v>18</v>
      </c>
      <c r="J83" s="358" t="s">
        <v>1967</v>
      </c>
      <c r="K83" s="359">
        <v>43104</v>
      </c>
      <c r="L83" s="329" t="s">
        <v>19</v>
      </c>
      <c r="M83" s="360">
        <v>41437</v>
      </c>
      <c r="N83" s="360">
        <v>46374</v>
      </c>
      <c r="O83" s="331" t="s">
        <v>208</v>
      </c>
      <c r="P83" s="331" t="s">
        <v>876</v>
      </c>
      <c r="Q83" s="362" t="str">
        <f>UPPER(P83:P247)</f>
        <v xml:space="preserve">GLAUBER HENRIQUE DOS SANTOS </v>
      </c>
      <c r="R83" s="331" t="str">
        <f>UPPER(Q83:Q243)</f>
        <v xml:space="preserve">GLAUBER HENRIQUE DOS SANTOS </v>
      </c>
      <c r="S83" s="331"/>
      <c r="T83" s="331" t="s">
        <v>302</v>
      </c>
      <c r="U83" s="331" t="s">
        <v>308</v>
      </c>
      <c r="V83" s="367" t="s">
        <v>761</v>
      </c>
      <c r="W83" s="331"/>
      <c r="X83" s="330" t="s">
        <v>762</v>
      </c>
    </row>
    <row r="84" spans="1:24" s="326" customFormat="1" ht="35.1" customHeight="1" x14ac:dyDescent="0.25">
      <c r="A84" s="329">
        <v>4600058523</v>
      </c>
      <c r="B84" s="329" t="s">
        <v>717</v>
      </c>
      <c r="C84" s="329">
        <v>3045179</v>
      </c>
      <c r="D84" s="329" t="s">
        <v>1879</v>
      </c>
      <c r="E84" s="329">
        <v>30</v>
      </c>
      <c r="F84" s="447" t="s">
        <v>1575</v>
      </c>
      <c r="G84" s="435" t="s">
        <v>1575</v>
      </c>
      <c r="H84" s="329" t="s">
        <v>709</v>
      </c>
      <c r="I84" s="331" t="s">
        <v>18</v>
      </c>
      <c r="J84" s="331" t="s">
        <v>1971</v>
      </c>
      <c r="K84" s="340">
        <v>750000</v>
      </c>
      <c r="L84" s="331" t="s">
        <v>19</v>
      </c>
      <c r="M84" s="344">
        <v>45608</v>
      </c>
      <c r="N84" s="360">
        <v>45972</v>
      </c>
      <c r="O84" s="331" t="s">
        <v>22</v>
      </c>
      <c r="P84" s="331" t="s">
        <v>204</v>
      </c>
      <c r="Q84" s="362" t="str">
        <f>UPPER(P84:P252)</f>
        <v>PEDRO ANTONIO PERIASSU</v>
      </c>
      <c r="R84" s="331" t="str">
        <f>UPPER(Q84:Q248)</f>
        <v>PEDRO ANTONIO PERIASSU</v>
      </c>
      <c r="S84" s="331"/>
      <c r="T84" s="331"/>
      <c r="U84" s="331"/>
      <c r="V84" s="331"/>
      <c r="W84" s="331"/>
      <c r="X84" s="330"/>
    </row>
    <row r="85" spans="1:24" s="326" customFormat="1" ht="35.1" customHeight="1" x14ac:dyDescent="0.25">
      <c r="A85" s="329">
        <v>4600055242</v>
      </c>
      <c r="B85" s="329" t="s">
        <v>1724</v>
      </c>
      <c r="C85" s="329">
        <v>115644</v>
      </c>
      <c r="D85" s="329" t="s">
        <v>1881</v>
      </c>
      <c r="E85" s="329">
        <v>15</v>
      </c>
      <c r="F85" s="447" t="s">
        <v>1575</v>
      </c>
      <c r="G85" s="435" t="s">
        <v>1575</v>
      </c>
      <c r="H85" s="335" t="s">
        <v>710</v>
      </c>
      <c r="I85" s="335" t="s">
        <v>18</v>
      </c>
      <c r="J85" s="331" t="s">
        <v>1972</v>
      </c>
      <c r="K85" s="369">
        <v>34976204.100000001</v>
      </c>
      <c r="L85" s="331" t="s">
        <v>19</v>
      </c>
      <c r="M85" s="344">
        <v>44075</v>
      </c>
      <c r="N85" s="360">
        <v>46022</v>
      </c>
      <c r="O85" s="335" t="s">
        <v>152</v>
      </c>
      <c r="P85" s="331" t="s">
        <v>30</v>
      </c>
      <c r="Q85" s="362" t="str">
        <f>UPPER(P85:P254)</f>
        <v>MANFREDO SAHB CARCUTE</v>
      </c>
      <c r="R85" s="331" t="str">
        <f>UPPER(Q85:Q250)</f>
        <v>MANFREDO SAHB CARCUTE</v>
      </c>
      <c r="S85" s="335"/>
      <c r="T85" s="335"/>
      <c r="U85" s="335" t="s">
        <v>308</v>
      </c>
      <c r="V85" s="335"/>
      <c r="W85" s="331"/>
      <c r="X85" s="330"/>
    </row>
    <row r="86" spans="1:24" s="326" customFormat="1" ht="35.1" customHeight="1" x14ac:dyDescent="0.25">
      <c r="A86" s="329">
        <v>4600055244</v>
      </c>
      <c r="B86" s="329" t="s">
        <v>1724</v>
      </c>
      <c r="C86" s="329">
        <v>115644</v>
      </c>
      <c r="D86" s="329" t="s">
        <v>1881</v>
      </c>
      <c r="E86" s="329">
        <v>15</v>
      </c>
      <c r="F86" s="447" t="s">
        <v>1575</v>
      </c>
      <c r="G86" s="435" t="s">
        <v>1575</v>
      </c>
      <c r="H86" s="335" t="s">
        <v>710</v>
      </c>
      <c r="I86" s="335" t="s">
        <v>18</v>
      </c>
      <c r="J86" s="331" t="s">
        <v>1973</v>
      </c>
      <c r="K86" s="340">
        <v>35539237.600000001</v>
      </c>
      <c r="L86" s="331" t="s">
        <v>19</v>
      </c>
      <c r="M86" s="344">
        <v>44075</v>
      </c>
      <c r="N86" s="360">
        <v>46022</v>
      </c>
      <c r="O86" s="335" t="s">
        <v>152</v>
      </c>
      <c r="P86" s="331" t="s">
        <v>30</v>
      </c>
      <c r="Q86" s="362" t="str">
        <f>UPPER(P86:P255)</f>
        <v>MANFREDO SAHB CARCUTE</v>
      </c>
      <c r="R86" s="331" t="str">
        <f>UPPER(Q86:Q251)</f>
        <v>MANFREDO SAHB CARCUTE</v>
      </c>
      <c r="S86" s="335"/>
      <c r="T86" s="335"/>
      <c r="U86" s="335" t="s">
        <v>308</v>
      </c>
      <c r="V86" s="335"/>
      <c r="W86" s="331"/>
      <c r="X86" s="330"/>
    </row>
    <row r="87" spans="1:24" s="327" customFormat="1" ht="35.1" customHeight="1" x14ac:dyDescent="0.25">
      <c r="A87" s="329">
        <v>4600058207</v>
      </c>
      <c r="B87" s="329" t="s">
        <v>910</v>
      </c>
      <c r="C87" s="329">
        <v>3045655</v>
      </c>
      <c r="D87" s="329" t="s">
        <v>1880</v>
      </c>
      <c r="E87" s="329">
        <v>60</v>
      </c>
      <c r="F87" s="447" t="s">
        <v>1575</v>
      </c>
      <c r="G87" s="435" t="s">
        <v>1575</v>
      </c>
      <c r="H87" s="329" t="s">
        <v>709</v>
      </c>
      <c r="I87" s="329" t="s">
        <v>18</v>
      </c>
      <c r="J87" s="358" t="s">
        <v>1974</v>
      </c>
      <c r="K87" s="359">
        <v>294646.03999999998</v>
      </c>
      <c r="L87" s="329" t="s">
        <v>19</v>
      </c>
      <c r="M87" s="360">
        <v>45467</v>
      </c>
      <c r="N87" s="373">
        <v>46196</v>
      </c>
      <c r="O87" s="331" t="s">
        <v>93</v>
      </c>
      <c r="P87" s="331" t="s">
        <v>878</v>
      </c>
      <c r="Q87" s="362" t="str">
        <f>UPPER(P87:P258)</f>
        <v>FELIPE DE ANDRADE MOURA/ GRAZIELA DE CASSIA CAPRARA</v>
      </c>
      <c r="R87" s="331" t="str">
        <f>UPPER(Q87:Q254)</f>
        <v>FELIPE DE ANDRADE MOURA/ GRAZIELA DE CASSIA CAPRARA</v>
      </c>
      <c r="S87" s="331" t="s">
        <v>943</v>
      </c>
      <c r="T87" s="331" t="s">
        <v>945</v>
      </c>
      <c r="U87" s="331" t="s">
        <v>946</v>
      </c>
      <c r="V87" s="331" t="s">
        <v>944</v>
      </c>
      <c r="W87" s="331"/>
      <c r="X87" s="330"/>
    </row>
    <row r="88" spans="1:24" s="327" customFormat="1" ht="35.1" customHeight="1" x14ac:dyDescent="0.25">
      <c r="A88" s="329" t="s">
        <v>1565</v>
      </c>
      <c r="B88" s="329" t="s">
        <v>980</v>
      </c>
      <c r="C88" s="329">
        <v>3043749</v>
      </c>
      <c r="D88" s="329" t="s">
        <v>1879</v>
      </c>
      <c r="E88" s="329">
        <v>1</v>
      </c>
      <c r="F88" s="447" t="s">
        <v>1575</v>
      </c>
      <c r="G88" s="435" t="s">
        <v>1575</v>
      </c>
      <c r="H88" s="331" t="s">
        <v>709</v>
      </c>
      <c r="I88" s="329" t="s">
        <v>18</v>
      </c>
      <c r="J88" s="329" t="s">
        <v>1975</v>
      </c>
      <c r="K88" s="359">
        <v>1290630</v>
      </c>
      <c r="L88" s="361" t="s">
        <v>19</v>
      </c>
      <c r="M88" s="360">
        <v>45098</v>
      </c>
      <c r="N88" s="373">
        <v>46558</v>
      </c>
      <c r="O88" s="331" t="s">
        <v>29</v>
      </c>
      <c r="P88" s="331" t="s">
        <v>30</v>
      </c>
      <c r="Q88" s="362" t="str">
        <f>UPPER(P88:P259)</f>
        <v>MANFREDO SAHB CARCUTE</v>
      </c>
      <c r="R88" s="331" t="str">
        <f>UPPER(Q88:Q255)</f>
        <v>MANFREDO SAHB CARCUTE</v>
      </c>
      <c r="S88" s="329" t="s">
        <v>948</v>
      </c>
      <c r="T88" s="331" t="s">
        <v>949</v>
      </c>
      <c r="U88" s="329"/>
      <c r="V88" s="329" t="s">
        <v>947</v>
      </c>
      <c r="W88" s="331"/>
      <c r="X88" s="328"/>
    </row>
    <row r="89" spans="1:24" s="327" customFormat="1" ht="35.1" customHeight="1" x14ac:dyDescent="0.25">
      <c r="A89" s="329">
        <v>4600058342</v>
      </c>
      <c r="B89" s="329" t="s">
        <v>910</v>
      </c>
      <c r="C89" s="329">
        <v>3045655</v>
      </c>
      <c r="D89" s="329" t="s">
        <v>1880</v>
      </c>
      <c r="E89" s="329">
        <v>60</v>
      </c>
      <c r="F89" s="447" t="s">
        <v>1575</v>
      </c>
      <c r="G89" s="435" t="s">
        <v>1575</v>
      </c>
      <c r="H89" s="329" t="s">
        <v>709</v>
      </c>
      <c r="I89" s="329" t="s">
        <v>18</v>
      </c>
      <c r="J89" s="358" t="s">
        <v>1976</v>
      </c>
      <c r="K89" s="359">
        <v>134880</v>
      </c>
      <c r="L89" s="329" t="s">
        <v>19</v>
      </c>
      <c r="M89" s="360">
        <v>45559</v>
      </c>
      <c r="N89" s="373">
        <v>46288</v>
      </c>
      <c r="O89" s="331" t="s">
        <v>93</v>
      </c>
      <c r="P89" s="331" t="s">
        <v>878</v>
      </c>
      <c r="Q89" s="362" t="str">
        <f>UPPER(P89:P260)</f>
        <v>FELIPE DE ANDRADE MOURA/ GRAZIELA DE CASSIA CAPRARA</v>
      </c>
      <c r="R89" s="331" t="str">
        <f>UPPER(Q89:Q256)</f>
        <v>FELIPE DE ANDRADE MOURA/ GRAZIELA DE CASSIA CAPRARA</v>
      </c>
      <c r="S89" s="331" t="s">
        <v>943</v>
      </c>
      <c r="T89" s="331" t="s">
        <v>945</v>
      </c>
      <c r="U89" s="331" t="s">
        <v>946</v>
      </c>
      <c r="V89" s="331" t="s">
        <v>944</v>
      </c>
      <c r="W89" s="331"/>
      <c r="X89" s="330"/>
    </row>
    <row r="90" spans="1:24" s="327" customFormat="1" ht="35.1" customHeight="1" x14ac:dyDescent="0.25">
      <c r="A90" s="329">
        <v>4600059158</v>
      </c>
      <c r="B90" s="329" t="s">
        <v>1047</v>
      </c>
      <c r="C90" s="329">
        <v>3046773</v>
      </c>
      <c r="D90" s="329" t="s">
        <v>1879</v>
      </c>
      <c r="E90" s="329">
        <v>30</v>
      </c>
      <c r="F90" s="447" t="s">
        <v>1575</v>
      </c>
      <c r="G90" s="435" t="s">
        <v>1575</v>
      </c>
      <c r="H90" s="331" t="s">
        <v>709</v>
      </c>
      <c r="I90" s="331" t="s">
        <v>18</v>
      </c>
      <c r="J90" s="331" t="s">
        <v>1978</v>
      </c>
      <c r="K90" s="340">
        <v>923923.2</v>
      </c>
      <c r="L90" s="331" t="s">
        <v>19</v>
      </c>
      <c r="M90" s="344">
        <v>45673</v>
      </c>
      <c r="N90" s="344">
        <v>46410</v>
      </c>
      <c r="O90" s="331" t="s">
        <v>29</v>
      </c>
      <c r="P90" s="331" t="s">
        <v>30</v>
      </c>
      <c r="Q90" s="362" t="str">
        <f>UPPER(P90:P263)</f>
        <v>MANFREDO SAHB CARCUTE</v>
      </c>
      <c r="R90" s="331" t="str">
        <f>UPPER(Q90:Q259)</f>
        <v>MANFREDO SAHB CARCUTE</v>
      </c>
      <c r="S90" s="331"/>
      <c r="T90" s="331"/>
      <c r="U90" s="331"/>
      <c r="V90" s="331"/>
      <c r="W90" s="331"/>
      <c r="X90" s="330"/>
    </row>
    <row r="91" spans="1:24" s="326" customFormat="1" ht="35.1" customHeight="1" x14ac:dyDescent="0.25">
      <c r="A91" s="329">
        <v>4600059192</v>
      </c>
      <c r="B91" s="329" t="s">
        <v>89</v>
      </c>
      <c r="C91" s="329">
        <v>3008003</v>
      </c>
      <c r="D91" s="329" t="s">
        <v>1879</v>
      </c>
      <c r="E91" s="329">
        <v>30</v>
      </c>
      <c r="F91" s="447" t="s">
        <v>1575</v>
      </c>
      <c r="G91" s="435" t="s">
        <v>1575</v>
      </c>
      <c r="H91" s="329" t="s">
        <v>709</v>
      </c>
      <c r="I91" s="331" t="s">
        <v>18</v>
      </c>
      <c r="J91" s="362" t="s">
        <v>1979</v>
      </c>
      <c r="K91" s="340">
        <v>240000</v>
      </c>
      <c r="L91" s="331" t="s">
        <v>19</v>
      </c>
      <c r="M91" s="344">
        <v>45658</v>
      </c>
      <c r="N91" s="360">
        <v>46022</v>
      </c>
      <c r="O91" s="331" t="s">
        <v>22</v>
      </c>
      <c r="P91" s="331" t="s">
        <v>204</v>
      </c>
      <c r="Q91" s="362" t="str">
        <f>UPPER(P91:P266)</f>
        <v>PEDRO ANTONIO PERIASSU</v>
      </c>
      <c r="R91" s="331" t="str">
        <f>UPPER(Q91:Q262)</f>
        <v>PEDRO ANTONIO PERIASSU</v>
      </c>
      <c r="S91" s="331" t="s">
        <v>1057</v>
      </c>
      <c r="T91" s="331" t="s">
        <v>1058</v>
      </c>
      <c r="U91" s="331"/>
      <c r="V91" s="367" t="s">
        <v>1056</v>
      </c>
      <c r="W91" s="331"/>
      <c r="X91" s="330"/>
    </row>
    <row r="92" spans="1:24" s="326" customFormat="1" ht="35.1" customHeight="1" x14ac:dyDescent="0.25">
      <c r="A92" s="329">
        <v>4600059281</v>
      </c>
      <c r="B92" s="329" t="s">
        <v>769</v>
      </c>
      <c r="C92" s="329">
        <v>3045876</v>
      </c>
      <c r="D92" s="329" t="s">
        <v>1881</v>
      </c>
      <c r="E92" s="329">
        <v>1</v>
      </c>
      <c r="F92" s="447" t="s">
        <v>1575</v>
      </c>
      <c r="G92" s="435" t="s">
        <v>1575</v>
      </c>
      <c r="H92" s="331" t="s">
        <v>709</v>
      </c>
      <c r="I92" s="331" t="s">
        <v>18</v>
      </c>
      <c r="J92" s="331" t="s">
        <v>1980</v>
      </c>
      <c r="K92" s="340">
        <f>(251640*60)</f>
        <v>15098400</v>
      </c>
      <c r="L92" s="331" t="s">
        <v>19</v>
      </c>
      <c r="M92" s="344">
        <v>45716</v>
      </c>
      <c r="N92" s="360">
        <v>47541</v>
      </c>
      <c r="O92" s="335" t="s">
        <v>208</v>
      </c>
      <c r="P92" s="331" t="s">
        <v>876</v>
      </c>
      <c r="Q92" s="362" t="str">
        <f>UPPER(P92:P267)</f>
        <v xml:space="preserve">GLAUBER HENRIQUE DOS SANTOS </v>
      </c>
      <c r="R92" s="331" t="str">
        <f>UPPER(Q92:Q263)</f>
        <v xml:space="preserve">GLAUBER HENRIQUE DOS SANTOS </v>
      </c>
      <c r="S92" s="331" t="s">
        <v>765</v>
      </c>
      <c r="T92" s="331" t="s">
        <v>766</v>
      </c>
      <c r="U92" s="331" t="s">
        <v>767</v>
      </c>
      <c r="V92" s="375" t="s">
        <v>1060</v>
      </c>
      <c r="W92" s="331"/>
      <c r="X92" s="330"/>
    </row>
    <row r="93" spans="1:24" s="326" customFormat="1" ht="35.1" customHeight="1" x14ac:dyDescent="0.25">
      <c r="A93" s="329">
        <v>4600059293</v>
      </c>
      <c r="B93" s="329" t="s">
        <v>769</v>
      </c>
      <c r="C93" s="329">
        <v>3045876</v>
      </c>
      <c r="D93" s="329" t="s">
        <v>1881</v>
      </c>
      <c r="E93" s="329">
        <v>1</v>
      </c>
      <c r="F93" s="447" t="s">
        <v>1575</v>
      </c>
      <c r="G93" s="435" t="s">
        <v>1575</v>
      </c>
      <c r="H93" s="331" t="s">
        <v>709</v>
      </c>
      <c r="I93" s="331" t="s">
        <v>18</v>
      </c>
      <c r="J93" s="331" t="s">
        <v>1981</v>
      </c>
      <c r="K93" s="340">
        <v>4185000</v>
      </c>
      <c r="L93" s="331" t="s">
        <v>19</v>
      </c>
      <c r="M93" s="344">
        <v>45658</v>
      </c>
      <c r="N93" s="360">
        <v>46752</v>
      </c>
      <c r="O93" s="335" t="s">
        <v>208</v>
      </c>
      <c r="P93" s="331" t="s">
        <v>876</v>
      </c>
      <c r="Q93" s="362" t="str">
        <f>UPPER(P93:P268)</f>
        <v xml:space="preserve">GLAUBER HENRIQUE DOS SANTOS </v>
      </c>
      <c r="R93" s="331" t="str">
        <f>UPPER(Q93:Q264)</f>
        <v xml:space="preserve">GLAUBER HENRIQUE DOS SANTOS </v>
      </c>
      <c r="S93" s="331" t="s">
        <v>765</v>
      </c>
      <c r="T93" s="331" t="s">
        <v>766</v>
      </c>
      <c r="U93" s="331" t="s">
        <v>767</v>
      </c>
      <c r="V93" s="375" t="s">
        <v>768</v>
      </c>
      <c r="W93" s="331" t="s">
        <v>1062</v>
      </c>
      <c r="X93" s="330"/>
    </row>
    <row r="94" spans="1:24" s="326" customFormat="1" ht="35.1" customHeight="1" x14ac:dyDescent="0.25">
      <c r="A94" s="329">
        <v>4600059292</v>
      </c>
      <c r="B94" s="329" t="s">
        <v>1727</v>
      </c>
      <c r="C94" s="329">
        <v>3045876</v>
      </c>
      <c r="D94" s="329" t="s">
        <v>1881</v>
      </c>
      <c r="E94" s="329">
        <v>1</v>
      </c>
      <c r="F94" s="447" t="s">
        <v>1575</v>
      </c>
      <c r="G94" s="435" t="s">
        <v>1575</v>
      </c>
      <c r="H94" s="331" t="s">
        <v>709</v>
      </c>
      <c r="I94" s="331" t="s">
        <v>18</v>
      </c>
      <c r="J94" s="331" t="s">
        <v>1982</v>
      </c>
      <c r="K94" s="340">
        <f>(312360*60)</f>
        <v>18741600</v>
      </c>
      <c r="L94" s="331" t="s">
        <v>19</v>
      </c>
      <c r="M94" s="344">
        <v>45579</v>
      </c>
      <c r="N94" s="360">
        <v>47769</v>
      </c>
      <c r="O94" s="335" t="s">
        <v>208</v>
      </c>
      <c r="P94" s="331" t="s">
        <v>876</v>
      </c>
      <c r="Q94" s="362" t="str">
        <f>UPPER(P94:P269)</f>
        <v xml:space="preserve">GLAUBER HENRIQUE DOS SANTOS </v>
      </c>
      <c r="R94" s="331" t="str">
        <f>UPPER(Q94:Q265)</f>
        <v xml:space="preserve">GLAUBER HENRIQUE DOS SANTOS </v>
      </c>
      <c r="S94" s="331" t="s">
        <v>765</v>
      </c>
      <c r="T94" s="331" t="s">
        <v>766</v>
      </c>
      <c r="U94" s="331" t="s">
        <v>767</v>
      </c>
      <c r="V94" s="375" t="s">
        <v>768</v>
      </c>
      <c r="W94" s="331" t="s">
        <v>1063</v>
      </c>
      <c r="X94" s="330"/>
    </row>
    <row r="95" spans="1:24" s="327" customFormat="1" ht="35.1" customHeight="1" x14ac:dyDescent="0.25">
      <c r="A95" s="329">
        <v>4600059809</v>
      </c>
      <c r="B95" s="329" t="s">
        <v>1652</v>
      </c>
      <c r="C95" s="329">
        <v>163222</v>
      </c>
      <c r="D95" s="329" t="s">
        <v>1879</v>
      </c>
      <c r="E95" s="329">
        <v>30</v>
      </c>
      <c r="F95" s="447" t="s">
        <v>1575</v>
      </c>
      <c r="G95" s="435" t="s">
        <v>1575</v>
      </c>
      <c r="H95" s="329" t="s">
        <v>709</v>
      </c>
      <c r="I95" s="331" t="s">
        <v>18</v>
      </c>
      <c r="J95" s="331" t="s">
        <v>1985</v>
      </c>
      <c r="K95" s="340">
        <v>30472</v>
      </c>
      <c r="L95" s="331" t="s">
        <v>19</v>
      </c>
      <c r="M95" s="344">
        <v>45840</v>
      </c>
      <c r="N95" s="344">
        <v>46204</v>
      </c>
      <c r="O95" s="331" t="s">
        <v>22</v>
      </c>
      <c r="P95" s="331" t="s">
        <v>869</v>
      </c>
      <c r="Q95" s="362" t="str">
        <f>UPPER(P95:P272)</f>
        <v>PEDRO PERIASSU</v>
      </c>
      <c r="R95" s="331" t="str">
        <f>UPPER(Q95:Q268)</f>
        <v>PEDRO PERIASSU</v>
      </c>
      <c r="S95" s="331"/>
      <c r="T95" s="331"/>
      <c r="U95" s="331"/>
      <c r="V95" s="331"/>
      <c r="W95" s="331"/>
      <c r="X95" s="330"/>
    </row>
    <row r="96" spans="1:24" s="327" customFormat="1" ht="35.1" customHeight="1" x14ac:dyDescent="0.25">
      <c r="A96" s="329">
        <v>4600059856</v>
      </c>
      <c r="B96" s="329" t="s">
        <v>131</v>
      </c>
      <c r="C96" s="329">
        <v>3041894</v>
      </c>
      <c r="D96" s="329" t="s">
        <v>1879</v>
      </c>
      <c r="E96" s="329">
        <v>60</v>
      </c>
      <c r="F96" s="447" t="s">
        <v>1575</v>
      </c>
      <c r="G96" s="435" t="s">
        <v>1575</v>
      </c>
      <c r="H96" s="331" t="s">
        <v>1630</v>
      </c>
      <c r="I96" s="331" t="s">
        <v>18</v>
      </c>
      <c r="J96" s="331" t="s">
        <v>1986</v>
      </c>
      <c r="K96" s="340">
        <v>410670</v>
      </c>
      <c r="L96" s="331" t="s">
        <v>19</v>
      </c>
      <c r="M96" s="344">
        <v>45137</v>
      </c>
      <c r="N96" s="344">
        <v>46597</v>
      </c>
      <c r="O96" s="335" t="s">
        <v>96</v>
      </c>
      <c r="P96" s="331" t="s">
        <v>2021</v>
      </c>
      <c r="Q96" s="362" t="str">
        <f>UPPER(P96:P273)</f>
        <v>GRAZIELLA DOURADO XAVIER</v>
      </c>
      <c r="R96" s="331" t="str">
        <f>UPPER(Q96:Q269)</f>
        <v>GRAZIELLA DOURADO XAVIER</v>
      </c>
      <c r="S96" s="331" t="s">
        <v>1008</v>
      </c>
      <c r="T96" s="331" t="s">
        <v>407</v>
      </c>
      <c r="U96" s="331" t="s">
        <v>1009</v>
      </c>
      <c r="V96" s="331" t="s">
        <v>1010</v>
      </c>
      <c r="W96" s="331"/>
      <c r="X96" s="330"/>
    </row>
    <row r="97" spans="1:24" s="327" customFormat="1" ht="35.1" customHeight="1" x14ac:dyDescent="0.25">
      <c r="A97" s="329">
        <v>4600058564</v>
      </c>
      <c r="B97" s="329" t="s">
        <v>1623</v>
      </c>
      <c r="C97" s="329">
        <v>3046500</v>
      </c>
      <c r="D97" s="329" t="s">
        <v>1880</v>
      </c>
      <c r="E97" s="329">
        <v>60</v>
      </c>
      <c r="F97" s="447" t="s">
        <v>1575</v>
      </c>
      <c r="G97" s="435" t="s">
        <v>1575</v>
      </c>
      <c r="H97" s="331" t="s">
        <v>710</v>
      </c>
      <c r="I97" s="331" t="s">
        <v>18</v>
      </c>
      <c r="J97" s="365" t="s">
        <v>1988</v>
      </c>
      <c r="K97" s="340">
        <v>800000</v>
      </c>
      <c r="L97" s="331" t="s">
        <v>19</v>
      </c>
      <c r="M97" s="344">
        <v>45628</v>
      </c>
      <c r="N97" s="344">
        <v>46357</v>
      </c>
      <c r="O97" s="331" t="s">
        <v>1620</v>
      </c>
      <c r="P97" s="331" t="s">
        <v>2018</v>
      </c>
      <c r="Q97" s="362" t="str">
        <f>UPPER(P97:P275)</f>
        <v>MARCELO ALBERTO PINTO</v>
      </c>
      <c r="R97" s="331" t="str">
        <f>UPPER(Q97:Q271)</f>
        <v>MARCELO ALBERTO PINTO</v>
      </c>
      <c r="S97" s="331" t="s">
        <v>1624</v>
      </c>
      <c r="T97" s="331"/>
      <c r="U97" s="331"/>
      <c r="V97" s="365" t="s">
        <v>1625</v>
      </c>
      <c r="W97" s="331"/>
      <c r="X97" s="330"/>
    </row>
    <row r="98" spans="1:24" s="326" customFormat="1" ht="35.1" customHeight="1" x14ac:dyDescent="0.25">
      <c r="A98" s="329">
        <v>4600059378</v>
      </c>
      <c r="B98" s="329" t="s">
        <v>640</v>
      </c>
      <c r="C98" s="329">
        <v>3022801</v>
      </c>
      <c r="D98" s="329" t="s">
        <v>1879</v>
      </c>
      <c r="E98" s="329">
        <v>1</v>
      </c>
      <c r="F98" s="447" t="s">
        <v>1575</v>
      </c>
      <c r="G98" s="435" t="s">
        <v>1575</v>
      </c>
      <c r="H98" s="331" t="s">
        <v>709</v>
      </c>
      <c r="I98" s="331" t="s">
        <v>18</v>
      </c>
      <c r="J98" s="331" t="s">
        <v>1990</v>
      </c>
      <c r="K98" s="340">
        <v>1675070.46</v>
      </c>
      <c r="L98" s="331" t="s">
        <v>19</v>
      </c>
      <c r="M98" s="344">
        <v>45077</v>
      </c>
      <c r="N98" s="344">
        <v>46903</v>
      </c>
      <c r="O98" s="331" t="s">
        <v>208</v>
      </c>
      <c r="P98" s="329" t="s">
        <v>876</v>
      </c>
      <c r="Q98" s="362" t="str">
        <f>UPPER(P98:P277)</f>
        <v xml:space="preserve">GLAUBER HENRIQUE DOS SANTOS </v>
      </c>
      <c r="R98" s="331" t="str">
        <f>UPPER(Q98:Q273)</f>
        <v xml:space="preserve">GLAUBER HENRIQUE DOS SANTOS </v>
      </c>
      <c r="S98" s="331" t="s">
        <v>1252</v>
      </c>
      <c r="T98" s="331"/>
      <c r="U98" s="331"/>
      <c r="V98" s="331" t="s">
        <v>1253</v>
      </c>
      <c r="W98" s="331"/>
      <c r="X98" s="330"/>
    </row>
    <row r="99" spans="1:24" ht="35.1" customHeight="1" x14ac:dyDescent="0.2">
      <c r="A99" s="329" t="s">
        <v>1641</v>
      </c>
      <c r="B99" s="329" t="s">
        <v>1233</v>
      </c>
      <c r="C99" s="329">
        <v>3047098</v>
      </c>
      <c r="D99" s="329" t="s">
        <v>1880</v>
      </c>
      <c r="E99" s="329">
        <v>30</v>
      </c>
      <c r="F99" s="447" t="s">
        <v>1575</v>
      </c>
      <c r="G99" s="435" t="s">
        <v>1575</v>
      </c>
      <c r="H99" s="329" t="s">
        <v>709</v>
      </c>
      <c r="I99" s="329" t="s">
        <v>18</v>
      </c>
      <c r="J99" s="329" t="s">
        <v>1992</v>
      </c>
      <c r="K99" s="340">
        <v>38000</v>
      </c>
      <c r="L99" s="329" t="s">
        <v>19</v>
      </c>
      <c r="M99" s="360">
        <v>45658</v>
      </c>
      <c r="N99" s="360">
        <v>46320</v>
      </c>
      <c r="O99" s="329" t="s">
        <v>1078</v>
      </c>
      <c r="P99" s="329" t="s">
        <v>1079</v>
      </c>
      <c r="Q99" s="362" t="str">
        <f>UPPER(P99:P279)</f>
        <v>MANFREDO SAHB CARCUTE/FELIPE DE ANDRADE MOURA/ GRAZIELA DE CASSIA CAPRARA</v>
      </c>
      <c r="R99" s="331" t="str">
        <f>UPPER(Q99:Q275)</f>
        <v>MANFREDO SAHB CARCUTE/FELIPE DE ANDRADE MOURA/ GRAZIELA DE CASSIA CAPRARA</v>
      </c>
      <c r="S99" s="329"/>
      <c r="T99" s="329"/>
      <c r="U99" s="329"/>
      <c r="V99" s="329"/>
      <c r="W99" s="329"/>
      <c r="X99" s="328"/>
    </row>
    <row r="100" spans="1:24" ht="35.1" customHeight="1" x14ac:dyDescent="0.2">
      <c r="A100" s="329">
        <v>4600059336</v>
      </c>
      <c r="B100" s="329" t="s">
        <v>170</v>
      </c>
      <c r="C100" s="329">
        <v>3038407</v>
      </c>
      <c r="D100" s="329" t="s">
        <v>1879</v>
      </c>
      <c r="E100" s="329">
        <v>30</v>
      </c>
      <c r="F100" s="447" t="s">
        <v>1575</v>
      </c>
      <c r="G100" s="435" t="s">
        <v>1575</v>
      </c>
      <c r="H100" s="329" t="s">
        <v>710</v>
      </c>
      <c r="I100" s="329" t="s">
        <v>18</v>
      </c>
      <c r="J100" s="329" t="s">
        <v>1994</v>
      </c>
      <c r="K100" s="340">
        <v>374459</v>
      </c>
      <c r="L100" s="329" t="s">
        <v>19</v>
      </c>
      <c r="M100" s="360">
        <v>45019</v>
      </c>
      <c r="N100" s="360">
        <v>46479</v>
      </c>
      <c r="O100" s="331" t="s">
        <v>171</v>
      </c>
      <c r="P100" s="362" t="s">
        <v>172</v>
      </c>
      <c r="Q100" s="362" t="str">
        <f>UPPER(P100:P281)</f>
        <v>GLAUBER LIMA DE MEDEIROS</v>
      </c>
      <c r="R100" s="331" t="str">
        <f>UPPER(Q100:Q277)</f>
        <v>GLAUBER LIMA DE MEDEIROS</v>
      </c>
      <c r="S100" s="329"/>
      <c r="T100" s="329"/>
      <c r="U100" s="329"/>
      <c r="V100" s="329"/>
      <c r="W100" s="329"/>
      <c r="X100" s="328"/>
    </row>
    <row r="101" spans="1:24" ht="35.1" customHeight="1" x14ac:dyDescent="0.2">
      <c r="A101" s="329">
        <v>4600059432</v>
      </c>
      <c r="B101" s="329" t="s">
        <v>720</v>
      </c>
      <c r="C101" s="329">
        <v>155439</v>
      </c>
      <c r="D101" s="329" t="s">
        <v>1880</v>
      </c>
      <c r="E101" s="329">
        <v>1</v>
      </c>
      <c r="F101" s="447" t="s">
        <v>1575</v>
      </c>
      <c r="G101" s="435" t="s">
        <v>1575</v>
      </c>
      <c r="H101" s="329" t="s">
        <v>709</v>
      </c>
      <c r="I101" s="329" t="s">
        <v>18</v>
      </c>
      <c r="J101" s="329" t="s">
        <v>1610</v>
      </c>
      <c r="K101" s="340">
        <v>1060000</v>
      </c>
      <c r="L101" s="329" t="s">
        <v>19</v>
      </c>
      <c r="M101" s="360">
        <v>45717</v>
      </c>
      <c r="N101" s="360">
        <v>46022</v>
      </c>
      <c r="O101" s="331" t="s">
        <v>93</v>
      </c>
      <c r="P101" s="331" t="s">
        <v>94</v>
      </c>
      <c r="Q101" s="362" t="str">
        <f>UPPER(P101:P282)</f>
        <v>GRAZIELA DE CASSIA CAPRARA</v>
      </c>
      <c r="R101" s="331" t="str">
        <f>UPPER(Q101:Q278)</f>
        <v>GRAZIELA DE CASSIA CAPRARA</v>
      </c>
      <c r="S101" s="329"/>
      <c r="T101" s="329"/>
      <c r="U101" s="329"/>
      <c r="V101" s="329"/>
      <c r="W101" s="329"/>
      <c r="X101" s="328"/>
    </row>
    <row r="102" spans="1:24" ht="35.1" customHeight="1" x14ac:dyDescent="0.2">
      <c r="A102" s="329">
        <v>4600059476</v>
      </c>
      <c r="B102" s="329" t="s">
        <v>1729</v>
      </c>
      <c r="C102" s="329">
        <v>147115</v>
      </c>
      <c r="D102" s="329" t="s">
        <v>1880</v>
      </c>
      <c r="E102" s="329">
        <v>30</v>
      </c>
      <c r="F102" s="447" t="s">
        <v>1575</v>
      </c>
      <c r="G102" s="435" t="s">
        <v>1575</v>
      </c>
      <c r="H102" s="329" t="s">
        <v>709</v>
      </c>
      <c r="I102" s="329" t="s">
        <v>18</v>
      </c>
      <c r="J102" s="329" t="s">
        <v>1247</v>
      </c>
      <c r="K102" s="340">
        <v>59990</v>
      </c>
      <c r="L102" s="329" t="s">
        <v>19</v>
      </c>
      <c r="M102" s="360">
        <v>45733</v>
      </c>
      <c r="N102" s="360">
        <v>46097</v>
      </c>
      <c r="O102" s="331" t="s">
        <v>29</v>
      </c>
      <c r="P102" s="329" t="s">
        <v>30</v>
      </c>
      <c r="Q102" s="362" t="str">
        <f>UPPER(P102:P283)</f>
        <v>MANFREDO SAHB CARCUTE</v>
      </c>
      <c r="R102" s="331" t="str">
        <f>UPPER(Q102:Q279)</f>
        <v>MANFREDO SAHB CARCUTE</v>
      </c>
      <c r="S102" s="329" t="s">
        <v>1250</v>
      </c>
      <c r="T102" s="329" t="s">
        <v>1249</v>
      </c>
      <c r="U102" s="329"/>
      <c r="V102" s="329" t="s">
        <v>1251</v>
      </c>
      <c r="W102" s="329"/>
      <c r="X102" s="328"/>
    </row>
    <row r="103" spans="1:24" ht="35.1" customHeight="1" x14ac:dyDescent="0.2">
      <c r="A103" s="331">
        <v>4600059783</v>
      </c>
      <c r="B103" s="331" t="s">
        <v>1608</v>
      </c>
      <c r="C103" s="331">
        <v>3047594</v>
      </c>
      <c r="D103" s="329" t="s">
        <v>1879</v>
      </c>
      <c r="E103" s="331">
        <v>30</v>
      </c>
      <c r="F103" s="447" t="s">
        <v>1575</v>
      </c>
      <c r="G103" s="435" t="s">
        <v>1575</v>
      </c>
      <c r="H103" s="331" t="s">
        <v>709</v>
      </c>
      <c r="I103" s="331" t="s">
        <v>18</v>
      </c>
      <c r="J103" s="331" t="s">
        <v>2000</v>
      </c>
      <c r="K103" s="340">
        <v>86400</v>
      </c>
      <c r="L103" s="331" t="s">
        <v>19</v>
      </c>
      <c r="M103" s="344">
        <v>45792</v>
      </c>
      <c r="N103" s="344">
        <v>46156</v>
      </c>
      <c r="O103" s="331" t="s">
        <v>208</v>
      </c>
      <c r="P103" s="331" t="s">
        <v>876</v>
      </c>
      <c r="Q103" s="362" t="str">
        <f>UPPER(P103:P290)</f>
        <v xml:space="preserve">GLAUBER HENRIQUE DOS SANTOS </v>
      </c>
      <c r="R103" s="331" t="str">
        <f>UPPER(Q103:Q286)</f>
        <v xml:space="preserve">GLAUBER HENRIQUE DOS SANTOS </v>
      </c>
      <c r="S103" s="331"/>
      <c r="T103" s="331"/>
      <c r="U103" s="331"/>
      <c r="V103" s="331"/>
      <c r="W103" s="331"/>
      <c r="X103" s="342"/>
    </row>
    <row r="104" spans="1:24" s="327" customFormat="1" ht="35.1" customHeight="1" x14ac:dyDescent="0.25">
      <c r="A104" s="331">
        <v>4600059923</v>
      </c>
      <c r="B104" s="331" t="s">
        <v>1614</v>
      </c>
      <c r="C104" s="331">
        <v>3047788</v>
      </c>
      <c r="D104" s="329" t="s">
        <v>1879</v>
      </c>
      <c r="E104" s="331">
        <v>1</v>
      </c>
      <c r="F104" s="447" t="s">
        <v>1575</v>
      </c>
      <c r="G104" s="435" t="s">
        <v>1575</v>
      </c>
      <c r="H104" s="331" t="s">
        <v>709</v>
      </c>
      <c r="I104" s="331" t="s">
        <v>18</v>
      </c>
      <c r="J104" s="331" t="s">
        <v>2001</v>
      </c>
      <c r="K104" s="340">
        <v>22200</v>
      </c>
      <c r="L104" s="331" t="s">
        <v>19</v>
      </c>
      <c r="M104" s="344">
        <v>45866</v>
      </c>
      <c r="N104" s="344">
        <v>45865</v>
      </c>
      <c r="O104" s="331" t="s">
        <v>208</v>
      </c>
      <c r="P104" s="331" t="s">
        <v>876</v>
      </c>
      <c r="Q104" s="362" t="str">
        <f>UPPER(P104:P291)</f>
        <v xml:space="preserve">GLAUBER HENRIQUE DOS SANTOS </v>
      </c>
      <c r="R104" s="331" t="str">
        <f>UPPER(Q104:Q287)</f>
        <v xml:space="preserve">GLAUBER HENRIQUE DOS SANTOS </v>
      </c>
      <c r="S104" s="331"/>
      <c r="T104" s="331"/>
      <c r="U104" s="331"/>
      <c r="V104" s="331"/>
      <c r="W104" s="331"/>
      <c r="X104" s="331"/>
    </row>
    <row r="105" spans="1:24" ht="35.1" customHeight="1" x14ac:dyDescent="0.2">
      <c r="A105" s="345">
        <v>4600059909</v>
      </c>
      <c r="B105" s="345" t="s">
        <v>1626</v>
      </c>
      <c r="C105" s="345">
        <v>1736685</v>
      </c>
      <c r="D105" s="345" t="s">
        <v>1879</v>
      </c>
      <c r="E105" s="345">
        <v>1</v>
      </c>
      <c r="F105" s="447" t="s">
        <v>1575</v>
      </c>
      <c r="G105" s="435" t="s">
        <v>1575</v>
      </c>
      <c r="H105" s="345" t="s">
        <v>709</v>
      </c>
      <c r="I105" s="345" t="s">
        <v>18</v>
      </c>
      <c r="J105" s="345" t="s">
        <v>2003</v>
      </c>
      <c r="K105" s="383">
        <v>4595</v>
      </c>
      <c r="L105" s="345" t="s">
        <v>19</v>
      </c>
      <c r="M105" s="346">
        <v>45874</v>
      </c>
      <c r="N105" s="346">
        <v>46238</v>
      </c>
      <c r="O105" s="345" t="s">
        <v>115</v>
      </c>
      <c r="P105" s="345" t="s">
        <v>116</v>
      </c>
      <c r="Q105" s="362" t="str">
        <f>UPPER(P105:P293)</f>
        <v>ROGER ALLAN MAIA MALHEIROS</v>
      </c>
      <c r="R105" s="331" t="str">
        <f>UPPER(Q105:Q289)</f>
        <v>ROGER ALLAN MAIA MALHEIROS</v>
      </c>
      <c r="S105" s="345"/>
      <c r="T105" s="345"/>
      <c r="U105" s="345"/>
      <c r="V105" s="345"/>
      <c r="W105" s="345"/>
      <c r="X105" s="347"/>
    </row>
    <row r="106" spans="1:24" ht="35.1" customHeight="1" x14ac:dyDescent="0.2">
      <c r="A106" s="345">
        <v>4600059956</v>
      </c>
      <c r="B106" s="345" t="s">
        <v>1629</v>
      </c>
      <c r="C106" s="345">
        <v>3047701</v>
      </c>
      <c r="D106" s="345" t="s">
        <v>1880</v>
      </c>
      <c r="E106" s="345">
        <v>14</v>
      </c>
      <c r="F106" s="447" t="s">
        <v>1575</v>
      </c>
      <c r="G106" s="435" t="s">
        <v>1575</v>
      </c>
      <c r="H106" s="345" t="s">
        <v>709</v>
      </c>
      <c r="I106" s="345" t="s">
        <v>18</v>
      </c>
      <c r="J106" s="345" t="s">
        <v>2005</v>
      </c>
      <c r="K106" s="383">
        <v>1800000</v>
      </c>
      <c r="L106" s="345" t="s">
        <v>19</v>
      </c>
      <c r="M106" s="346">
        <v>45877</v>
      </c>
      <c r="N106" s="346">
        <v>46606</v>
      </c>
      <c r="O106" s="345" t="s">
        <v>93</v>
      </c>
      <c r="P106" s="345" t="s">
        <v>94</v>
      </c>
      <c r="Q106" s="362" t="str">
        <f t="shared" ref="Q106:Q111" si="0">UPPER(P106:P295)</f>
        <v>GRAZIELA DE CASSIA CAPRARA</v>
      </c>
      <c r="R106" s="331" t="str">
        <f t="shared" ref="R106:R111" si="1">UPPER(Q106:Q291)</f>
        <v>GRAZIELA DE CASSIA CAPRARA</v>
      </c>
      <c r="S106" s="345"/>
      <c r="T106" s="345"/>
      <c r="U106" s="345"/>
      <c r="V106" s="345"/>
      <c r="W106" s="345"/>
      <c r="X106" s="347"/>
    </row>
    <row r="107" spans="1:24" s="326" customFormat="1" ht="35.1" customHeight="1" x14ac:dyDescent="0.25">
      <c r="A107" s="329">
        <v>4600059433</v>
      </c>
      <c r="B107" s="329" t="s">
        <v>1028</v>
      </c>
      <c r="C107" s="329">
        <v>102369</v>
      </c>
      <c r="D107" s="329" t="s">
        <v>1879</v>
      </c>
      <c r="E107" s="329">
        <v>60</v>
      </c>
      <c r="F107" s="447" t="s">
        <v>1575</v>
      </c>
      <c r="G107" s="435" t="s">
        <v>1575</v>
      </c>
      <c r="H107" s="331" t="s">
        <v>709</v>
      </c>
      <c r="I107" s="331" t="s">
        <v>18</v>
      </c>
      <c r="J107" s="331" t="s">
        <v>2006</v>
      </c>
      <c r="K107" s="366">
        <v>3405450.09</v>
      </c>
      <c r="L107" s="331" t="s">
        <v>19</v>
      </c>
      <c r="M107" s="344">
        <v>45261</v>
      </c>
      <c r="N107" s="360">
        <v>45716</v>
      </c>
      <c r="O107" s="331" t="s">
        <v>22</v>
      </c>
      <c r="P107" s="331" t="s">
        <v>204</v>
      </c>
      <c r="Q107" s="362" t="str">
        <f t="shared" si="0"/>
        <v>PEDRO ANTONIO PERIASSU</v>
      </c>
      <c r="R107" s="331" t="str">
        <f t="shared" si="1"/>
        <v>PEDRO ANTONIO PERIASSU</v>
      </c>
      <c r="S107" s="331" t="s">
        <v>1005</v>
      </c>
      <c r="T107" s="331" t="s">
        <v>1007</v>
      </c>
      <c r="U107" s="331" t="s">
        <v>432</v>
      </c>
      <c r="V107" s="331" t="s">
        <v>1006</v>
      </c>
      <c r="W107" s="331"/>
      <c r="X107" s="330"/>
    </row>
    <row r="108" spans="1:24" s="326" customFormat="1" ht="35.1" customHeight="1" x14ac:dyDescent="0.25">
      <c r="A108" s="331">
        <v>4600059952</v>
      </c>
      <c r="B108" s="331" t="s">
        <v>1633</v>
      </c>
      <c r="C108" s="331">
        <v>3047747</v>
      </c>
      <c r="D108" s="331" t="s">
        <v>1879</v>
      </c>
      <c r="E108" s="331">
        <v>1</v>
      </c>
      <c r="F108" s="447" t="s">
        <v>1575</v>
      </c>
      <c r="G108" s="435" t="s">
        <v>1575</v>
      </c>
      <c r="H108" s="331" t="s">
        <v>709</v>
      </c>
      <c r="I108" s="331" t="s">
        <v>18</v>
      </c>
      <c r="J108" s="331" t="s">
        <v>2007</v>
      </c>
      <c r="K108" s="340">
        <v>324224.06</v>
      </c>
      <c r="L108" s="331" t="s">
        <v>19</v>
      </c>
      <c r="M108" s="344">
        <v>45905</v>
      </c>
      <c r="N108" s="360">
        <v>46269</v>
      </c>
      <c r="O108" s="331" t="s">
        <v>1634</v>
      </c>
      <c r="P108" s="331" t="s">
        <v>1635</v>
      </c>
      <c r="Q108" s="362" t="str">
        <f t="shared" si="0"/>
        <v xml:space="preserve">ROGER ALLAN MAIA MALHEIROS/ LUCIANA </v>
      </c>
      <c r="R108" s="331" t="str">
        <f t="shared" si="1"/>
        <v xml:space="preserve">ROGER ALLAN MAIA MALHEIROS/ LUCIANA </v>
      </c>
      <c r="S108" s="331"/>
      <c r="T108" s="331"/>
      <c r="U108" s="331"/>
      <c r="V108" s="331"/>
      <c r="W108" s="331"/>
      <c r="X108" s="330"/>
    </row>
    <row r="109" spans="1:24" s="326" customFormat="1" ht="35.1" customHeight="1" x14ac:dyDescent="0.25">
      <c r="A109" s="331">
        <v>4600059817</v>
      </c>
      <c r="B109" s="331" t="s">
        <v>1637</v>
      </c>
      <c r="C109" s="331">
        <v>3047716</v>
      </c>
      <c r="D109" s="331" t="s">
        <v>1881</v>
      </c>
      <c r="E109" s="331">
        <v>30</v>
      </c>
      <c r="F109" s="447" t="s">
        <v>1575</v>
      </c>
      <c r="G109" s="435" t="s">
        <v>1575</v>
      </c>
      <c r="H109" s="331" t="s">
        <v>709</v>
      </c>
      <c r="I109" s="331" t="s">
        <v>18</v>
      </c>
      <c r="J109" s="331" t="s">
        <v>2008</v>
      </c>
      <c r="K109" s="340">
        <v>450000</v>
      </c>
      <c r="L109" s="331" t="s">
        <v>19</v>
      </c>
      <c r="M109" s="344">
        <v>45838</v>
      </c>
      <c r="N109" s="360">
        <v>46232</v>
      </c>
      <c r="O109" s="331" t="s">
        <v>22</v>
      </c>
      <c r="P109" s="331" t="s">
        <v>210</v>
      </c>
      <c r="Q109" s="362" t="str">
        <f t="shared" si="0"/>
        <v>PEDRO ANTONIO PERIASSU/ RICARDO BORDIM</v>
      </c>
      <c r="R109" s="331" t="str">
        <f t="shared" si="1"/>
        <v>PEDRO ANTONIO PERIASSU/ RICARDO BORDIM</v>
      </c>
      <c r="S109" s="331"/>
      <c r="T109" s="331"/>
      <c r="U109" s="331"/>
      <c r="V109" s="331"/>
      <c r="W109" s="331"/>
      <c r="X109" s="330"/>
    </row>
    <row r="110" spans="1:24" ht="35.1" customHeight="1" x14ac:dyDescent="0.2">
      <c r="A110" s="331">
        <v>4600059938</v>
      </c>
      <c r="B110" s="331" t="s">
        <v>1730</v>
      </c>
      <c r="C110" s="331">
        <v>3047785</v>
      </c>
      <c r="D110" s="331" t="s">
        <v>1879</v>
      </c>
      <c r="E110" s="331">
        <v>1</v>
      </c>
      <c r="F110" s="447" t="s">
        <v>1575</v>
      </c>
      <c r="G110" s="435" t="s">
        <v>1575</v>
      </c>
      <c r="H110" s="331" t="s">
        <v>709</v>
      </c>
      <c r="I110" s="331" t="s">
        <v>18</v>
      </c>
      <c r="J110" s="331" t="s">
        <v>2009</v>
      </c>
      <c r="K110" s="340">
        <v>22090.799999999999</v>
      </c>
      <c r="L110" s="331" t="s">
        <v>19</v>
      </c>
      <c r="M110" s="344">
        <v>45866</v>
      </c>
      <c r="N110" s="344">
        <v>46230</v>
      </c>
      <c r="O110" s="331" t="s">
        <v>22</v>
      </c>
      <c r="P110" s="331" t="s">
        <v>875</v>
      </c>
      <c r="Q110" s="362" t="str">
        <f t="shared" si="0"/>
        <v>LUIZ PAULO ARAUJO</v>
      </c>
      <c r="R110" s="331" t="str">
        <f t="shared" si="1"/>
        <v>LUIZ PAULO ARAUJO</v>
      </c>
      <c r="S110" s="331" t="s">
        <v>1639</v>
      </c>
      <c r="T110" s="331" t="s">
        <v>1640</v>
      </c>
      <c r="U110" s="331"/>
      <c r="V110" s="331"/>
      <c r="W110" s="331"/>
      <c r="X110" s="342"/>
    </row>
    <row r="111" spans="1:24" ht="35.1" customHeight="1" x14ac:dyDescent="0.2">
      <c r="A111" s="331" t="s">
        <v>1644</v>
      </c>
      <c r="B111" s="331" t="s">
        <v>1643</v>
      </c>
      <c r="C111" s="331">
        <v>3047310</v>
      </c>
      <c r="D111" s="331" t="s">
        <v>1879</v>
      </c>
      <c r="E111" s="331">
        <v>60</v>
      </c>
      <c r="F111" s="447" t="s">
        <v>1575</v>
      </c>
      <c r="G111" s="435" t="s">
        <v>1575</v>
      </c>
      <c r="H111" s="331" t="s">
        <v>709</v>
      </c>
      <c r="I111" s="331" t="s">
        <v>18</v>
      </c>
      <c r="J111" s="331" t="s">
        <v>2010</v>
      </c>
      <c r="K111" s="340">
        <v>215100</v>
      </c>
      <c r="L111" s="331" t="s">
        <v>19</v>
      </c>
      <c r="M111" s="344">
        <v>45889</v>
      </c>
      <c r="N111" s="344">
        <v>46253</v>
      </c>
      <c r="O111" s="331" t="s">
        <v>208</v>
      </c>
      <c r="P111" s="331" t="s">
        <v>876</v>
      </c>
      <c r="Q111" s="362" t="str">
        <f t="shared" si="0"/>
        <v xml:space="preserve">GLAUBER HENRIQUE DOS SANTOS </v>
      </c>
      <c r="R111" s="331" t="str">
        <f t="shared" si="1"/>
        <v xml:space="preserve">GLAUBER HENRIQUE DOS SANTOS </v>
      </c>
      <c r="S111" s="331"/>
      <c r="T111" s="331"/>
      <c r="U111" s="331"/>
      <c r="V111" s="331"/>
      <c r="W111" s="331"/>
      <c r="X111" s="342"/>
    </row>
    <row r="112" spans="1:24" s="326" customFormat="1" ht="35.1" customHeight="1" x14ac:dyDescent="0.25">
      <c r="A112" s="331">
        <v>4600059922</v>
      </c>
      <c r="B112" s="331" t="s">
        <v>1645</v>
      </c>
      <c r="C112" s="331">
        <v>157367</v>
      </c>
      <c r="D112" s="329" t="s">
        <v>1880</v>
      </c>
      <c r="E112" s="356">
        <v>75</v>
      </c>
      <c r="F112" s="447" t="s">
        <v>1575</v>
      </c>
      <c r="G112" s="435" t="s">
        <v>1575</v>
      </c>
      <c r="H112" s="331" t="s">
        <v>709</v>
      </c>
      <c r="I112" s="331" t="s">
        <v>18</v>
      </c>
      <c r="J112" s="331" t="s">
        <v>2012</v>
      </c>
      <c r="K112" s="340">
        <v>1200000</v>
      </c>
      <c r="L112" s="329" t="s">
        <v>19</v>
      </c>
      <c r="M112" s="344">
        <v>45870</v>
      </c>
      <c r="N112" s="344">
        <v>46598</v>
      </c>
      <c r="O112" s="331" t="s">
        <v>29</v>
      </c>
      <c r="P112" s="329" t="s">
        <v>30</v>
      </c>
      <c r="Q112" s="362" t="str">
        <f>UPPER(P112:P302)</f>
        <v>MANFREDO SAHB CARCUTE</v>
      </c>
      <c r="R112" s="331" t="str">
        <f>UPPER(Q112:Q298)</f>
        <v>MANFREDO SAHB CARCUTE</v>
      </c>
      <c r="S112" s="331"/>
      <c r="T112" s="331"/>
      <c r="U112" s="331"/>
      <c r="V112" s="331"/>
      <c r="W112" s="331"/>
      <c r="X112" s="330"/>
    </row>
    <row r="113" spans="1:24" ht="35.1" customHeight="1" x14ac:dyDescent="0.2">
      <c r="A113" s="331">
        <v>4600059934</v>
      </c>
      <c r="B113" s="331" t="s">
        <v>1658</v>
      </c>
      <c r="C113" s="331">
        <v>180909</v>
      </c>
      <c r="D113" s="329" t="s">
        <v>1880</v>
      </c>
      <c r="E113" s="356">
        <v>30</v>
      </c>
      <c r="F113" s="447" t="s">
        <v>1575</v>
      </c>
      <c r="G113" s="435" t="s">
        <v>1575</v>
      </c>
      <c r="H113" s="331" t="s">
        <v>709</v>
      </c>
      <c r="I113" s="331" t="s">
        <v>18</v>
      </c>
      <c r="J113" s="331" t="s">
        <v>2013</v>
      </c>
      <c r="K113" s="340">
        <v>93685.2</v>
      </c>
      <c r="L113" s="331" t="s">
        <v>19</v>
      </c>
      <c r="M113" s="344">
        <v>45945</v>
      </c>
      <c r="N113" s="344">
        <v>46309</v>
      </c>
      <c r="O113" s="331" t="s">
        <v>29</v>
      </c>
      <c r="P113" s="329" t="s">
        <v>2022</v>
      </c>
      <c r="Q113" s="362" t="str">
        <f>UPPER(P113:P303)</f>
        <v xml:space="preserve">DANIELLA PEREIRA DE ARAUJO </v>
      </c>
      <c r="R113" s="331" t="str">
        <f>UPPER(Q113:Q299)</f>
        <v xml:space="preserve">DANIELLA PEREIRA DE ARAUJO </v>
      </c>
      <c r="S113" s="417" t="s">
        <v>1660</v>
      </c>
      <c r="T113" s="418" t="s">
        <v>1661</v>
      </c>
      <c r="U113" s="418" t="s">
        <v>1662</v>
      </c>
      <c r="V113" s="419" t="s">
        <v>1663</v>
      </c>
      <c r="W113" s="331"/>
      <c r="X113" s="342"/>
    </row>
    <row r="114" spans="1:24" ht="35.1" customHeight="1" x14ac:dyDescent="0.2">
      <c r="A114" s="331">
        <v>4600059936</v>
      </c>
      <c r="B114" s="331" t="s">
        <v>1646</v>
      </c>
      <c r="C114" s="331">
        <v>3037416</v>
      </c>
      <c r="D114" s="329" t="s">
        <v>1880</v>
      </c>
      <c r="E114" s="416">
        <v>60</v>
      </c>
      <c r="F114" s="447" t="s">
        <v>1575</v>
      </c>
      <c r="G114" s="435" t="s">
        <v>1575</v>
      </c>
      <c r="H114" s="331" t="s">
        <v>709</v>
      </c>
      <c r="I114" s="331" t="s">
        <v>18</v>
      </c>
      <c r="J114" s="331" t="s">
        <v>2014</v>
      </c>
      <c r="K114" s="343">
        <v>50000</v>
      </c>
      <c r="L114" s="331" t="s">
        <v>19</v>
      </c>
      <c r="M114" s="344">
        <v>45866</v>
      </c>
      <c r="N114" s="344">
        <v>46230</v>
      </c>
      <c r="O114" s="414" t="s">
        <v>93</v>
      </c>
      <c r="P114" s="331" t="s">
        <v>94</v>
      </c>
      <c r="Q114" s="362" t="str">
        <f>UPPER(P114:P304)</f>
        <v>GRAZIELA DE CASSIA CAPRARA</v>
      </c>
      <c r="R114" s="331" t="str">
        <f>UPPER(Q114:Q300)</f>
        <v>GRAZIELA DE CASSIA CAPRARA</v>
      </c>
      <c r="S114" s="341"/>
      <c r="T114" s="341"/>
      <c r="U114" s="341"/>
      <c r="V114" s="341"/>
      <c r="W114" s="341"/>
      <c r="X114" s="342"/>
    </row>
    <row r="115" spans="1:24" ht="35.1" customHeight="1" x14ac:dyDescent="0.2">
      <c r="A115" s="331">
        <v>4600059939</v>
      </c>
      <c r="B115" s="331" t="s">
        <v>1647</v>
      </c>
      <c r="C115" s="331">
        <v>3047807</v>
      </c>
      <c r="D115" s="331" t="s">
        <v>1879</v>
      </c>
      <c r="E115" s="356">
        <v>30</v>
      </c>
      <c r="F115" s="447" t="s">
        <v>1575</v>
      </c>
      <c r="G115" s="435" t="s">
        <v>1575</v>
      </c>
      <c r="H115" s="331" t="s">
        <v>709</v>
      </c>
      <c r="I115" s="331" t="s">
        <v>18</v>
      </c>
      <c r="J115" s="331" t="s">
        <v>2015</v>
      </c>
      <c r="K115" s="340">
        <v>25200</v>
      </c>
      <c r="L115" s="331" t="s">
        <v>19</v>
      </c>
      <c r="M115" s="344">
        <v>45944</v>
      </c>
      <c r="N115" s="344">
        <v>46308</v>
      </c>
      <c r="O115" s="331" t="s">
        <v>142</v>
      </c>
      <c r="P115" s="331" t="s">
        <v>143</v>
      </c>
      <c r="Q115" s="362" t="str">
        <f>UPPER(P115:P305)</f>
        <v>LUCIANA DE OLIVEIRA CARMO</v>
      </c>
      <c r="R115" s="331" t="str">
        <f>UPPER(Q115:Q301)</f>
        <v>LUCIANA DE OLIVEIRA CARMO</v>
      </c>
      <c r="S115" s="417" t="s">
        <v>1664</v>
      </c>
      <c r="T115" s="417" t="s">
        <v>1665</v>
      </c>
      <c r="U115" s="418"/>
      <c r="V115" s="419" t="s">
        <v>1666</v>
      </c>
      <c r="W115" s="341"/>
      <c r="X115" s="342"/>
    </row>
    <row r="116" spans="1:24" ht="35.1" customHeight="1" x14ac:dyDescent="0.2">
      <c r="A116" s="331">
        <v>4600058385</v>
      </c>
      <c r="B116" s="331" t="s">
        <v>55</v>
      </c>
      <c r="C116" s="331">
        <v>3024898</v>
      </c>
      <c r="D116" s="329" t="s">
        <v>1880</v>
      </c>
      <c r="E116" s="362">
        <v>1</v>
      </c>
      <c r="F116" s="447" t="s">
        <v>1575</v>
      </c>
      <c r="G116" s="435" t="s">
        <v>1575</v>
      </c>
      <c r="H116" s="331" t="s">
        <v>709</v>
      </c>
      <c r="I116" s="331" t="s">
        <v>18</v>
      </c>
      <c r="J116" s="331" t="s">
        <v>2016</v>
      </c>
      <c r="K116" s="343">
        <v>738504.18</v>
      </c>
      <c r="L116" s="331" t="s">
        <v>19</v>
      </c>
      <c r="M116" s="344">
        <v>45960</v>
      </c>
      <c r="N116" s="385">
        <v>47785</v>
      </c>
      <c r="O116" s="331" t="s">
        <v>208</v>
      </c>
      <c r="P116" s="331" t="s">
        <v>876</v>
      </c>
      <c r="Q116" s="362" t="str">
        <f>UPPER(P116:P306)</f>
        <v xml:space="preserve">GLAUBER HENRIQUE DOS SANTOS </v>
      </c>
      <c r="R116" s="331" t="str">
        <f>UPPER(Q116:Q302)</f>
        <v xml:space="preserve">GLAUBER HENRIQUE DOS SANTOS </v>
      </c>
      <c r="S116" s="341"/>
      <c r="T116" s="341"/>
      <c r="U116" s="341"/>
      <c r="V116" s="341"/>
      <c r="W116" s="341"/>
      <c r="X116" s="342"/>
    </row>
    <row r="117" spans="1:24" s="326" customFormat="1" ht="35.1" customHeight="1" x14ac:dyDescent="0.25">
      <c r="A117" s="329">
        <v>4600056630</v>
      </c>
      <c r="B117" s="329" t="s">
        <v>154</v>
      </c>
      <c r="C117" s="331">
        <v>102369</v>
      </c>
      <c r="D117" s="329" t="s">
        <v>1881</v>
      </c>
      <c r="E117" s="329">
        <v>90</v>
      </c>
      <c r="F117" s="447" t="s">
        <v>1575</v>
      </c>
      <c r="G117" s="435" t="s">
        <v>1575</v>
      </c>
      <c r="H117" s="329" t="s">
        <v>710</v>
      </c>
      <c r="I117" s="329" t="s">
        <v>18</v>
      </c>
      <c r="J117" s="358" t="s">
        <v>1907</v>
      </c>
      <c r="K117" s="359">
        <v>2645878.3199999998</v>
      </c>
      <c r="L117" s="329" t="s">
        <v>19</v>
      </c>
      <c r="M117" s="360">
        <v>44914</v>
      </c>
      <c r="N117" s="360">
        <v>46010</v>
      </c>
      <c r="O117" s="331" t="s">
        <v>22</v>
      </c>
      <c r="P117" s="331" t="s">
        <v>211</v>
      </c>
      <c r="Q117" s="362" t="str">
        <f>UPPER(P117:P296)</f>
        <v>WALDEMAR JUNIOR</v>
      </c>
      <c r="R117" s="331" t="str">
        <f>UPPER(Q117:Q292)</f>
        <v>WALDEMAR JUNIOR</v>
      </c>
      <c r="S117" s="331" t="s">
        <v>1005</v>
      </c>
      <c r="T117" s="331" t="s">
        <v>1007</v>
      </c>
      <c r="U117" s="331" t="s">
        <v>432</v>
      </c>
      <c r="V117" s="331" t="s">
        <v>1006</v>
      </c>
      <c r="W117" s="331"/>
      <c r="X117" s="330"/>
    </row>
    <row r="118" spans="1:24" s="326" customFormat="1" ht="35.1" customHeight="1" x14ac:dyDescent="0.25">
      <c r="A118" s="331">
        <v>4600057761</v>
      </c>
      <c r="B118" s="331" t="s">
        <v>215</v>
      </c>
      <c r="C118" s="331">
        <v>3044243</v>
      </c>
      <c r="D118" s="329" t="s">
        <v>1880</v>
      </c>
      <c r="E118" s="331">
        <v>60</v>
      </c>
      <c r="F118" s="447" t="s">
        <v>1575</v>
      </c>
      <c r="G118" s="435" t="s">
        <v>1575</v>
      </c>
      <c r="H118" s="331" t="s">
        <v>710</v>
      </c>
      <c r="I118" s="331" t="s">
        <v>18</v>
      </c>
      <c r="J118" s="331" t="s">
        <v>1915</v>
      </c>
      <c r="K118" s="340">
        <v>226620</v>
      </c>
      <c r="L118" s="331" t="s">
        <v>19</v>
      </c>
      <c r="M118" s="344">
        <v>45257</v>
      </c>
      <c r="N118" s="360">
        <v>46352</v>
      </c>
      <c r="O118" s="331" t="s">
        <v>22</v>
      </c>
      <c r="P118" s="331" t="s">
        <v>204</v>
      </c>
      <c r="Q118" s="362" t="str">
        <f>UPPER(P118:P298)</f>
        <v>PEDRO ANTONIO PERIASSU</v>
      </c>
      <c r="R118" s="331" t="str">
        <f>UPPER(Q118:Q294)</f>
        <v>PEDRO ANTONIO PERIASSU</v>
      </c>
      <c r="S118" s="331" t="s">
        <v>472</v>
      </c>
      <c r="T118" s="331" t="s">
        <v>470</v>
      </c>
      <c r="U118" s="331" t="s">
        <v>471</v>
      </c>
      <c r="V118" s="331" t="s">
        <v>469</v>
      </c>
      <c r="W118" s="331"/>
      <c r="X118" s="330"/>
    </row>
    <row r="119" spans="1:24" s="326" customFormat="1" ht="35.1" customHeight="1" x14ac:dyDescent="0.25">
      <c r="A119" s="329">
        <v>4600058428</v>
      </c>
      <c r="B119" s="329" t="s">
        <v>150</v>
      </c>
      <c r="C119" s="329">
        <v>3042063</v>
      </c>
      <c r="D119" s="329" t="s">
        <v>1879</v>
      </c>
      <c r="E119" s="329">
        <v>45</v>
      </c>
      <c r="F119" s="447" t="s">
        <v>1575</v>
      </c>
      <c r="G119" s="435" t="s">
        <v>1575</v>
      </c>
      <c r="H119" s="329" t="s">
        <v>709</v>
      </c>
      <c r="I119" s="329" t="s">
        <v>18</v>
      </c>
      <c r="J119" s="358" t="s">
        <v>151</v>
      </c>
      <c r="K119" s="359">
        <v>33141.5</v>
      </c>
      <c r="L119" s="329" t="s">
        <v>19</v>
      </c>
      <c r="M119" s="360">
        <v>44804</v>
      </c>
      <c r="N119" s="360">
        <v>45899</v>
      </c>
      <c r="O119" s="331" t="s">
        <v>152</v>
      </c>
      <c r="P119" s="331" t="s">
        <v>30</v>
      </c>
      <c r="Q119" s="362" t="str">
        <f>UPPER(P119:P298)</f>
        <v>MANFREDO SAHB CARCUTE</v>
      </c>
      <c r="R119" s="331" t="str">
        <f>UPPER(Q119:Q294)</f>
        <v>MANFREDO SAHB CARCUTE</v>
      </c>
      <c r="S119" s="331" t="s">
        <v>431</v>
      </c>
      <c r="T119" s="331" t="s">
        <v>429</v>
      </c>
      <c r="U119" s="331" t="s">
        <v>430</v>
      </c>
      <c r="V119" s="331" t="s">
        <v>428</v>
      </c>
      <c r="W119" s="331"/>
      <c r="X119" s="330" t="s">
        <v>829</v>
      </c>
    </row>
    <row r="120" spans="1:24" s="326" customFormat="1" ht="35.1" customHeight="1" x14ac:dyDescent="0.25">
      <c r="A120" s="331" t="s">
        <v>2031</v>
      </c>
      <c r="B120" s="331" t="s">
        <v>997</v>
      </c>
      <c r="C120" s="331">
        <v>3045388</v>
      </c>
      <c r="D120" s="329" t="s">
        <v>1879</v>
      </c>
      <c r="E120" s="331">
        <v>90</v>
      </c>
      <c r="F120" s="447" t="s">
        <v>1575</v>
      </c>
      <c r="G120" s="435" t="s">
        <v>1575</v>
      </c>
      <c r="H120" s="331" t="s">
        <v>709</v>
      </c>
      <c r="I120" s="329" t="s">
        <v>18</v>
      </c>
      <c r="J120" s="331" t="s">
        <v>1891</v>
      </c>
      <c r="K120" s="340">
        <v>13163356.359999999</v>
      </c>
      <c r="L120" s="331" t="s">
        <v>19</v>
      </c>
      <c r="M120" s="344">
        <v>45412</v>
      </c>
      <c r="N120" s="360">
        <v>46507</v>
      </c>
      <c r="O120" s="331" t="s">
        <v>22</v>
      </c>
      <c r="P120" s="331" t="s">
        <v>204</v>
      </c>
      <c r="Q120" s="362" t="str">
        <f>UPPER(P120:P301)</f>
        <v>PEDRO ANTONIO PERIASSU</v>
      </c>
      <c r="R120" s="331" t="str">
        <f>UPPER(Q120:Q297)</f>
        <v>PEDRO ANTONIO PERIASSU</v>
      </c>
      <c r="S120" s="331" t="s">
        <v>622</v>
      </c>
      <c r="T120" s="331" t="s">
        <v>623</v>
      </c>
      <c r="U120" s="331" t="s">
        <v>624</v>
      </c>
      <c r="V120" s="331"/>
      <c r="W120" s="389" t="s">
        <v>2036</v>
      </c>
      <c r="X120" s="330"/>
    </row>
    <row r="121" spans="1:24" s="326" customFormat="1" ht="35.1" customHeight="1" x14ac:dyDescent="0.25">
      <c r="A121" s="331" t="s">
        <v>2032</v>
      </c>
      <c r="B121" s="331" t="s">
        <v>574</v>
      </c>
      <c r="C121" s="331">
        <v>3045038</v>
      </c>
      <c r="D121" s="329" t="s">
        <v>1879</v>
      </c>
      <c r="E121" s="331">
        <v>60</v>
      </c>
      <c r="F121" s="365" t="s">
        <v>1574</v>
      </c>
      <c r="G121" s="435" t="s">
        <v>1575</v>
      </c>
      <c r="H121" s="331" t="s">
        <v>709</v>
      </c>
      <c r="I121" s="331" t="s">
        <v>18</v>
      </c>
      <c r="J121" s="331" t="s">
        <v>1893</v>
      </c>
      <c r="K121" s="340">
        <v>1800000</v>
      </c>
      <c r="L121" s="331" t="s">
        <v>19</v>
      </c>
      <c r="M121" s="344">
        <v>45460</v>
      </c>
      <c r="N121" s="360">
        <v>46554</v>
      </c>
      <c r="O121" s="331" t="s">
        <v>1620</v>
      </c>
      <c r="P121" s="331" t="s">
        <v>2018</v>
      </c>
      <c r="Q121" s="362" t="str">
        <f>UPPER(P121:P302)</f>
        <v>MARCELO ALBERTO PINTO</v>
      </c>
      <c r="R121" s="331" t="str">
        <f>UPPER(Q121:Q298)</f>
        <v>MARCELO ALBERTO PINTO</v>
      </c>
      <c r="S121" s="331" t="s">
        <v>544</v>
      </c>
      <c r="T121" s="331" t="s">
        <v>543</v>
      </c>
      <c r="U121" s="331" t="s">
        <v>547</v>
      </c>
      <c r="V121" s="331" t="s">
        <v>542</v>
      </c>
      <c r="W121" s="331"/>
      <c r="X121" s="330"/>
    </row>
    <row r="122" spans="1:24" s="326" customFormat="1" ht="35.1" customHeight="1" x14ac:dyDescent="0.25">
      <c r="A122" s="331" t="s">
        <v>2038</v>
      </c>
      <c r="B122" s="329" t="s">
        <v>1576</v>
      </c>
      <c r="C122" s="329">
        <v>3045405</v>
      </c>
      <c r="D122" s="329" t="s">
        <v>1879</v>
      </c>
      <c r="E122" s="331">
        <v>60</v>
      </c>
      <c r="F122" s="365" t="s">
        <v>2037</v>
      </c>
      <c r="G122" s="435" t="s">
        <v>1575</v>
      </c>
      <c r="H122" s="331" t="s">
        <v>710</v>
      </c>
      <c r="I122" s="331" t="s">
        <v>38</v>
      </c>
      <c r="J122" s="331" t="s">
        <v>1893</v>
      </c>
      <c r="K122" s="340">
        <v>1800000</v>
      </c>
      <c r="L122" s="331" t="s">
        <v>19</v>
      </c>
      <c r="M122" s="360">
        <v>45405</v>
      </c>
      <c r="N122" s="360">
        <v>46507</v>
      </c>
      <c r="O122" s="331" t="s">
        <v>1620</v>
      </c>
      <c r="P122" s="331" t="s">
        <v>2018</v>
      </c>
      <c r="Q122" s="362" t="str">
        <f>UPPER(P122:P303)</f>
        <v>MARCELO ALBERTO PINTO</v>
      </c>
      <c r="R122" s="331" t="str">
        <f>UPPER(Q122:Q299)</f>
        <v>MARCELO ALBERTO PINTO</v>
      </c>
      <c r="S122" s="331" t="s">
        <v>548</v>
      </c>
      <c r="T122" s="331" t="s">
        <v>546</v>
      </c>
      <c r="U122" s="331" t="s">
        <v>547</v>
      </c>
      <c r="V122" s="331" t="s">
        <v>545</v>
      </c>
      <c r="W122" s="331"/>
      <c r="X122" s="330"/>
    </row>
    <row r="123" spans="1:24" s="326" customFormat="1" ht="35.1" customHeight="1" x14ac:dyDescent="0.25">
      <c r="A123" s="329">
        <v>4600058139</v>
      </c>
      <c r="B123" s="329" t="s">
        <v>89</v>
      </c>
      <c r="C123" s="329">
        <v>3008003</v>
      </c>
      <c r="D123" s="329" t="s">
        <v>1881</v>
      </c>
      <c r="E123" s="331">
        <v>60</v>
      </c>
      <c r="F123" s="447" t="s">
        <v>1575</v>
      </c>
      <c r="G123" s="435" t="s">
        <v>1575</v>
      </c>
      <c r="H123" s="329" t="s">
        <v>709</v>
      </c>
      <c r="I123" s="329" t="s">
        <v>18</v>
      </c>
      <c r="J123" s="358" t="s">
        <v>1902</v>
      </c>
      <c r="K123" s="359">
        <v>20484927.629999999</v>
      </c>
      <c r="L123" s="329" t="s">
        <v>19</v>
      </c>
      <c r="M123" s="360">
        <v>45444</v>
      </c>
      <c r="N123" s="360">
        <v>46173</v>
      </c>
      <c r="O123" s="331" t="s">
        <v>22</v>
      </c>
      <c r="P123" s="331" t="s">
        <v>883</v>
      </c>
      <c r="Q123" s="362" t="str">
        <f>UPPER(P123:P302)</f>
        <v>PEDRO ANTONIO PERIASSU/ CAMILA PEREIRA MARCELLINO</v>
      </c>
      <c r="R123" s="331" t="str">
        <f>UPPER(Q123:Q298)</f>
        <v>PEDRO ANTONIO PERIASSU/ CAMILA PEREIRA MARCELLINO</v>
      </c>
      <c r="S123" s="331" t="s">
        <v>928</v>
      </c>
      <c r="T123" s="331" t="s">
        <v>926</v>
      </c>
      <c r="U123" s="331"/>
      <c r="V123" s="367" t="s">
        <v>927</v>
      </c>
      <c r="W123" s="331" t="s">
        <v>929</v>
      </c>
      <c r="X123" s="330" t="s">
        <v>879</v>
      </c>
    </row>
    <row r="124" spans="1:24" s="326" customFormat="1" ht="35.1" customHeight="1" x14ac:dyDescent="0.25">
      <c r="A124" s="331" t="s">
        <v>1649</v>
      </c>
      <c r="B124" s="331" t="s">
        <v>99</v>
      </c>
      <c r="C124" s="331">
        <v>3040241</v>
      </c>
      <c r="D124" s="329" t="s">
        <v>1880</v>
      </c>
      <c r="E124" s="331">
        <v>60</v>
      </c>
      <c r="F124" s="365" t="s">
        <v>1574</v>
      </c>
      <c r="G124" s="435" t="s">
        <v>1575</v>
      </c>
      <c r="H124" s="331" t="s">
        <v>710</v>
      </c>
      <c r="I124" s="329" t="s">
        <v>95</v>
      </c>
      <c r="J124" s="331" t="s">
        <v>1916</v>
      </c>
      <c r="K124" s="340">
        <v>870819.6</v>
      </c>
      <c r="L124" s="331" t="s">
        <v>19</v>
      </c>
      <c r="M124" s="344">
        <v>45260</v>
      </c>
      <c r="N124" s="360">
        <v>45990</v>
      </c>
      <c r="O124" s="331" t="s">
        <v>208</v>
      </c>
      <c r="P124" s="331" t="s">
        <v>876</v>
      </c>
      <c r="Q124" s="362" t="str">
        <f>UPPER(P124:P305)</f>
        <v xml:space="preserve">GLAUBER HENRIQUE DOS SANTOS </v>
      </c>
      <c r="R124" s="331" t="str">
        <f>UPPER(Q124:Q301)</f>
        <v xml:space="preserve">GLAUBER HENRIQUE DOS SANTOS </v>
      </c>
      <c r="S124" s="331"/>
      <c r="T124" s="331" t="s">
        <v>474</v>
      </c>
      <c r="U124" s="331" t="s">
        <v>308</v>
      </c>
      <c r="V124" s="331" t="s">
        <v>473</v>
      </c>
      <c r="W124" s="331"/>
      <c r="X124" s="330"/>
    </row>
    <row r="125" spans="1:24" s="326" customFormat="1" ht="35.1" customHeight="1" x14ac:dyDescent="0.25">
      <c r="A125" s="331" t="s">
        <v>2040</v>
      </c>
      <c r="B125" s="331" t="s">
        <v>222</v>
      </c>
      <c r="C125" s="331">
        <v>3043840</v>
      </c>
      <c r="D125" s="331" t="s">
        <v>1881</v>
      </c>
      <c r="E125" s="331">
        <v>45</v>
      </c>
      <c r="F125" s="365" t="s">
        <v>1574</v>
      </c>
      <c r="G125" s="435" t="s">
        <v>1575</v>
      </c>
      <c r="H125" s="331" t="s">
        <v>710</v>
      </c>
      <c r="I125" s="331" t="s">
        <v>38</v>
      </c>
      <c r="J125" s="331" t="s">
        <v>1918</v>
      </c>
      <c r="K125" s="340">
        <v>700000</v>
      </c>
      <c r="L125" s="331" t="s">
        <v>19</v>
      </c>
      <c r="M125" s="344">
        <v>45117</v>
      </c>
      <c r="N125" s="360">
        <v>46579</v>
      </c>
      <c r="O125" s="331" t="s">
        <v>22</v>
      </c>
      <c r="P125" s="331" t="s">
        <v>204</v>
      </c>
      <c r="Q125" s="362" t="str">
        <f>UPPER(P125:P306)</f>
        <v>PEDRO ANTONIO PERIASSU</v>
      </c>
      <c r="R125" s="331" t="str">
        <f>UPPER(Q125:Q302)</f>
        <v>PEDRO ANTONIO PERIASSU</v>
      </c>
      <c r="S125" s="331" t="s">
        <v>483</v>
      </c>
      <c r="T125" s="331" t="s">
        <v>482</v>
      </c>
      <c r="U125" s="331" t="s">
        <v>308</v>
      </c>
      <c r="V125" s="331" t="s">
        <v>481</v>
      </c>
      <c r="W125" s="331"/>
      <c r="X125" s="330"/>
    </row>
    <row r="126" spans="1:24" s="326" customFormat="1" ht="35.1" customHeight="1" x14ac:dyDescent="0.25">
      <c r="A126" s="331">
        <v>4600057283</v>
      </c>
      <c r="B126" s="331" t="s">
        <v>272</v>
      </c>
      <c r="C126" s="331">
        <v>3043549</v>
      </c>
      <c r="D126" s="329" t="s">
        <v>1880</v>
      </c>
      <c r="E126" s="331">
        <v>45</v>
      </c>
      <c r="F126" s="365" t="s">
        <v>1582</v>
      </c>
      <c r="G126" s="435" t="s">
        <v>1575</v>
      </c>
      <c r="H126" s="329" t="s">
        <v>710</v>
      </c>
      <c r="I126" s="331" t="s">
        <v>38</v>
      </c>
      <c r="J126" s="331" t="s">
        <v>1926</v>
      </c>
      <c r="K126" s="340">
        <v>2100000</v>
      </c>
      <c r="L126" s="331" t="s">
        <v>19</v>
      </c>
      <c r="M126" s="344">
        <v>45076</v>
      </c>
      <c r="N126" s="360">
        <v>46538</v>
      </c>
      <c r="O126" s="331" t="s">
        <v>1620</v>
      </c>
      <c r="P126" s="331" t="s">
        <v>2018</v>
      </c>
      <c r="Q126" s="362" t="str">
        <f>UPPER(P126:P309)</f>
        <v>MARCELO ALBERTO PINTO</v>
      </c>
      <c r="R126" s="331" t="str">
        <f>UPPER(Q126:Q305)</f>
        <v>MARCELO ALBERTO PINTO</v>
      </c>
      <c r="S126" s="331"/>
      <c r="T126" s="331" t="s">
        <v>530</v>
      </c>
      <c r="U126" s="331" t="s">
        <v>530</v>
      </c>
      <c r="V126" s="331" t="s">
        <v>529</v>
      </c>
      <c r="W126" s="331"/>
      <c r="X126" s="332">
        <v>45299</v>
      </c>
    </row>
    <row r="127" spans="1:24" s="326" customFormat="1" ht="35.1" customHeight="1" x14ac:dyDescent="0.25">
      <c r="A127" s="329">
        <v>4600057891</v>
      </c>
      <c r="B127" s="329" t="s">
        <v>97</v>
      </c>
      <c r="C127" s="329">
        <v>143950</v>
      </c>
      <c r="D127" s="329" t="s">
        <v>1879</v>
      </c>
      <c r="E127" s="329">
        <v>45</v>
      </c>
      <c r="F127" s="365" t="s">
        <v>2039</v>
      </c>
      <c r="G127" s="435" t="s">
        <v>1575</v>
      </c>
      <c r="H127" s="331" t="s">
        <v>710</v>
      </c>
      <c r="I127" s="329" t="s">
        <v>95</v>
      </c>
      <c r="J127" s="368" t="s">
        <v>98</v>
      </c>
      <c r="K127" s="369">
        <v>2559718</v>
      </c>
      <c r="L127" s="335" t="s">
        <v>19</v>
      </c>
      <c r="M127" s="370">
        <v>44876</v>
      </c>
      <c r="N127" s="360">
        <v>46569</v>
      </c>
      <c r="O127" s="335" t="s">
        <v>96</v>
      </c>
      <c r="P127" s="331" t="s">
        <v>86</v>
      </c>
      <c r="Q127" s="362" t="str">
        <f>UPPER(P127:P312)</f>
        <v>SHEILA SAITO SIMONE</v>
      </c>
      <c r="R127" s="331" t="str">
        <f>UPPER(Q127:Q308)</f>
        <v>SHEILA SAITO SIMONE</v>
      </c>
      <c r="S127" s="335"/>
      <c r="T127" s="335" t="s">
        <v>379</v>
      </c>
      <c r="U127" s="335" t="s">
        <v>308</v>
      </c>
      <c r="V127" s="335" t="s">
        <v>378</v>
      </c>
      <c r="W127" s="335"/>
      <c r="X127" s="333"/>
    </row>
    <row r="128" spans="1:24" s="326" customFormat="1" ht="35.1" customHeight="1" x14ac:dyDescent="0.25">
      <c r="A128" s="329">
        <v>4600058509</v>
      </c>
      <c r="B128" s="329" t="s">
        <v>777</v>
      </c>
      <c r="C128" s="329">
        <v>3046344</v>
      </c>
      <c r="D128" s="329" t="s">
        <v>1880</v>
      </c>
      <c r="E128" s="329">
        <v>30</v>
      </c>
      <c r="F128" s="365" t="s">
        <v>1574</v>
      </c>
      <c r="G128" s="435" t="s">
        <v>1575</v>
      </c>
      <c r="H128" s="331" t="s">
        <v>710</v>
      </c>
      <c r="I128" s="331" t="s">
        <v>38</v>
      </c>
      <c r="J128" s="331" t="s">
        <v>1951</v>
      </c>
      <c r="K128" s="340">
        <v>600000</v>
      </c>
      <c r="L128" s="331" t="s">
        <v>19</v>
      </c>
      <c r="M128" s="344">
        <v>45581</v>
      </c>
      <c r="N128" s="360">
        <v>46310</v>
      </c>
      <c r="O128" s="331" t="s">
        <v>1620</v>
      </c>
      <c r="P128" s="331" t="s">
        <v>2018</v>
      </c>
      <c r="Q128" s="362" t="str">
        <f>UPPER(P128:P315)</f>
        <v>MARCELO ALBERTO PINTO</v>
      </c>
      <c r="R128" s="331" t="str">
        <f>UPPER(Q128:Q311)</f>
        <v>MARCELO ALBERTO PINTO</v>
      </c>
      <c r="S128" s="331"/>
      <c r="T128" s="331"/>
      <c r="U128" s="331"/>
      <c r="V128" s="331"/>
      <c r="W128" s="331"/>
      <c r="X128" s="330"/>
    </row>
    <row r="129" spans="1:25" s="326" customFormat="1" ht="35.1" customHeight="1" x14ac:dyDescent="0.25">
      <c r="A129" s="329" t="s">
        <v>2041</v>
      </c>
      <c r="B129" s="329" t="s">
        <v>805</v>
      </c>
      <c r="C129" s="329">
        <v>3045790</v>
      </c>
      <c r="D129" s="329" t="s">
        <v>1880</v>
      </c>
      <c r="E129" s="329" t="s">
        <v>854</v>
      </c>
      <c r="F129" s="365" t="s">
        <v>1574</v>
      </c>
      <c r="G129" s="435" t="s">
        <v>1575</v>
      </c>
      <c r="H129" s="329" t="s">
        <v>710</v>
      </c>
      <c r="I129" s="340" t="s">
        <v>38</v>
      </c>
      <c r="J129" s="331" t="s">
        <v>1964</v>
      </c>
      <c r="K129" s="340">
        <v>600000</v>
      </c>
      <c r="L129" s="331" t="s">
        <v>19</v>
      </c>
      <c r="M129" s="360">
        <v>45526</v>
      </c>
      <c r="N129" s="360">
        <v>46266</v>
      </c>
      <c r="O129" s="331" t="s">
        <v>1620</v>
      </c>
      <c r="P129" s="331" t="s">
        <v>2018</v>
      </c>
      <c r="Q129" s="362" t="str">
        <f>UPPER(P129:P316)</f>
        <v>MARCELO ALBERTO PINTO</v>
      </c>
      <c r="R129" s="331" t="str">
        <f>UPPER(Q129:Q312)</f>
        <v>MARCELO ALBERTO PINTO</v>
      </c>
      <c r="S129" s="331"/>
      <c r="T129" s="331"/>
      <c r="U129" s="331"/>
      <c r="V129" s="331"/>
      <c r="W129" s="331"/>
      <c r="X129" s="330"/>
    </row>
    <row r="130" spans="1:25" s="326" customFormat="1" ht="35.1" customHeight="1" x14ac:dyDescent="0.25">
      <c r="A130" s="329" t="s">
        <v>2034</v>
      </c>
      <c r="B130" s="329" t="s">
        <v>996</v>
      </c>
      <c r="C130" s="329">
        <v>3045807</v>
      </c>
      <c r="D130" s="329" t="s">
        <v>1880</v>
      </c>
      <c r="E130" s="329">
        <v>30</v>
      </c>
      <c r="F130" s="365" t="s">
        <v>1574</v>
      </c>
      <c r="G130" s="435" t="s">
        <v>1575</v>
      </c>
      <c r="H130" s="329" t="s">
        <v>709</v>
      </c>
      <c r="I130" s="329" t="s">
        <v>18</v>
      </c>
      <c r="J130" s="331" t="s">
        <v>1968</v>
      </c>
      <c r="K130" s="340">
        <v>1105928.67</v>
      </c>
      <c r="L130" s="331" t="s">
        <v>19</v>
      </c>
      <c r="M130" s="344">
        <v>45573</v>
      </c>
      <c r="N130" s="360">
        <v>46388</v>
      </c>
      <c r="O130" s="381" t="s">
        <v>22</v>
      </c>
      <c r="P130" s="331" t="s">
        <v>2020</v>
      </c>
      <c r="Q130" s="362" t="str">
        <f>UPPER(P130:P317)</f>
        <v>TIAGO GONZALES</v>
      </c>
      <c r="R130" s="331" t="str">
        <f>UPPER(Q130:Q313)</f>
        <v>TIAGO GONZALES</v>
      </c>
      <c r="S130" s="331"/>
      <c r="T130" s="331"/>
      <c r="U130" s="331"/>
      <c r="V130" s="331"/>
      <c r="W130" s="331"/>
      <c r="X130" s="330"/>
    </row>
    <row r="131" spans="1:25" s="326" customFormat="1" ht="35.1" customHeight="1" x14ac:dyDescent="0.25">
      <c r="A131" s="329">
        <v>4600058337</v>
      </c>
      <c r="B131" s="329" t="s">
        <v>89</v>
      </c>
      <c r="C131" s="329">
        <v>3008003</v>
      </c>
      <c r="D131" s="329" t="s">
        <v>1881</v>
      </c>
      <c r="E131" s="329">
        <v>30</v>
      </c>
      <c r="F131" s="365" t="s">
        <v>1574</v>
      </c>
      <c r="G131" s="435" t="s">
        <v>1575</v>
      </c>
      <c r="H131" s="331" t="s">
        <v>710</v>
      </c>
      <c r="I131" s="331" t="s">
        <v>38</v>
      </c>
      <c r="J131" s="362" t="s">
        <v>1970</v>
      </c>
      <c r="K131" s="340">
        <v>2432400</v>
      </c>
      <c r="L131" s="331" t="s">
        <v>19</v>
      </c>
      <c r="M131" s="331" t="s">
        <v>862</v>
      </c>
      <c r="N131" s="360">
        <v>46660</v>
      </c>
      <c r="O131" s="331" t="s">
        <v>22</v>
      </c>
      <c r="P131" s="331" t="s">
        <v>204</v>
      </c>
      <c r="Q131" s="362" t="str">
        <f>UPPER(P131:P318)</f>
        <v>PEDRO ANTONIO PERIASSU</v>
      </c>
      <c r="R131" s="331" t="str">
        <f>UPPER(Q131:Q314)</f>
        <v>PEDRO ANTONIO PERIASSU</v>
      </c>
      <c r="S131" s="331" t="s">
        <v>930</v>
      </c>
      <c r="T131" s="331" t="s">
        <v>585</v>
      </c>
      <c r="U131" s="331"/>
      <c r="V131" s="367" t="s">
        <v>586</v>
      </c>
      <c r="W131" s="331"/>
      <c r="X131" s="330"/>
    </row>
    <row r="132" spans="1:25" s="327" customFormat="1" ht="35.1" customHeight="1" x14ac:dyDescent="0.25">
      <c r="A132" s="329">
        <v>4600058563</v>
      </c>
      <c r="B132" s="329" t="s">
        <v>1073</v>
      </c>
      <c r="C132" s="329">
        <v>3045502</v>
      </c>
      <c r="D132" s="329" t="s">
        <v>1880</v>
      </c>
      <c r="E132" s="329">
        <v>60</v>
      </c>
      <c r="F132" s="365" t="s">
        <v>1574</v>
      </c>
      <c r="G132" s="435" t="s">
        <v>1575</v>
      </c>
      <c r="H132" s="331" t="s">
        <v>710</v>
      </c>
      <c r="I132" s="331" t="s">
        <v>38</v>
      </c>
      <c r="J132" s="331" t="s">
        <v>1984</v>
      </c>
      <c r="K132" s="340">
        <v>928592</v>
      </c>
      <c r="L132" s="331" t="s">
        <v>19</v>
      </c>
      <c r="M132" s="344">
        <v>45628</v>
      </c>
      <c r="N132" s="344">
        <v>46352</v>
      </c>
      <c r="O132" s="331" t="s">
        <v>22</v>
      </c>
      <c r="P132" s="331" t="s">
        <v>869</v>
      </c>
      <c r="Q132" s="362" t="str">
        <f>UPPER(P132:P320)</f>
        <v>PEDRO PERIASSU</v>
      </c>
      <c r="R132" s="331" t="str">
        <f>UPPER(Q132:Q316)</f>
        <v>PEDRO PERIASSU</v>
      </c>
      <c r="S132" s="331"/>
      <c r="T132" s="331"/>
      <c r="U132" s="331"/>
      <c r="V132" s="331"/>
      <c r="W132" s="331"/>
      <c r="X132" s="330"/>
    </row>
    <row r="133" spans="1:25" ht="35.1" customHeight="1" x14ac:dyDescent="0.2">
      <c r="A133" s="329">
        <v>4600059760</v>
      </c>
      <c r="B133" s="329" t="s">
        <v>1650</v>
      </c>
      <c r="C133" s="329">
        <v>3047533</v>
      </c>
      <c r="D133" s="329" t="s">
        <v>1880</v>
      </c>
      <c r="E133" s="329">
        <v>60</v>
      </c>
      <c r="F133" s="365" t="s">
        <v>1574</v>
      </c>
      <c r="G133" s="435" t="s">
        <v>1575</v>
      </c>
      <c r="H133" s="329" t="s">
        <v>710</v>
      </c>
      <c r="I133" s="329" t="s">
        <v>38</v>
      </c>
      <c r="J133" s="329" t="s">
        <v>1995</v>
      </c>
      <c r="K133" s="340">
        <v>96000</v>
      </c>
      <c r="L133" s="329" t="s">
        <v>19</v>
      </c>
      <c r="M133" s="360">
        <v>45818</v>
      </c>
      <c r="N133" s="360">
        <v>45909</v>
      </c>
      <c r="O133" s="331" t="s">
        <v>22</v>
      </c>
      <c r="P133" s="331" t="s">
        <v>204</v>
      </c>
      <c r="Q133" s="362" t="str">
        <f>UPPER(P133:P322)</f>
        <v>PEDRO ANTONIO PERIASSU</v>
      </c>
      <c r="R133" s="331" t="str">
        <f>UPPER(Q133:Q318)</f>
        <v>PEDRO ANTONIO PERIASSU</v>
      </c>
      <c r="S133" s="329"/>
      <c r="T133" s="329"/>
      <c r="U133" s="329"/>
      <c r="V133" s="329"/>
      <c r="W133" s="329"/>
      <c r="X133" s="328"/>
    </row>
    <row r="134" spans="1:25" ht="35.1" customHeight="1" x14ac:dyDescent="0.2">
      <c r="A134" s="331">
        <v>4600059651</v>
      </c>
      <c r="B134" s="331" t="s">
        <v>1599</v>
      </c>
      <c r="C134" s="331">
        <v>3046023</v>
      </c>
      <c r="D134" s="329" t="s">
        <v>1879</v>
      </c>
      <c r="E134" s="331">
        <v>30</v>
      </c>
      <c r="F134" s="365" t="s">
        <v>1574</v>
      </c>
      <c r="G134" s="435" t="s">
        <v>1575</v>
      </c>
      <c r="H134" s="331" t="s">
        <v>710</v>
      </c>
      <c r="I134" s="331" t="s">
        <v>38</v>
      </c>
      <c r="J134" s="331" t="s">
        <v>1999</v>
      </c>
      <c r="K134" s="340">
        <v>725662</v>
      </c>
      <c r="L134" s="331" t="s">
        <v>19</v>
      </c>
      <c r="M134" s="344">
        <v>45786</v>
      </c>
      <c r="N134" s="344">
        <v>46150</v>
      </c>
      <c r="O134" s="331" t="s">
        <v>22</v>
      </c>
      <c r="P134" s="331" t="s">
        <v>204</v>
      </c>
      <c r="Q134" s="362" t="str">
        <f>UPPER(P134:P323)</f>
        <v>PEDRO ANTONIO PERIASSU</v>
      </c>
      <c r="R134" s="331" t="str">
        <f>UPPER(Q134:Q319)</f>
        <v>PEDRO ANTONIO PERIASSU</v>
      </c>
      <c r="S134" s="331" t="s">
        <v>1600</v>
      </c>
      <c r="T134" s="331" t="s">
        <v>1601</v>
      </c>
      <c r="U134" s="331"/>
      <c r="V134" s="331"/>
      <c r="W134" s="331"/>
      <c r="X134" s="330"/>
    </row>
    <row r="135" spans="1:25" ht="35.1" customHeight="1" x14ac:dyDescent="0.2">
      <c r="A135" s="331" t="s">
        <v>1616</v>
      </c>
      <c r="B135" s="345" t="s">
        <v>1617</v>
      </c>
      <c r="C135" s="345">
        <v>3000975</v>
      </c>
      <c r="D135" s="382" t="s">
        <v>1881</v>
      </c>
      <c r="E135" s="345">
        <v>60</v>
      </c>
      <c r="F135" s="345" t="s">
        <v>1574</v>
      </c>
      <c r="G135" s="435" t="s">
        <v>1575</v>
      </c>
      <c r="H135" s="345" t="s">
        <v>1618</v>
      </c>
      <c r="I135" s="345" t="s">
        <v>860</v>
      </c>
      <c r="J135" s="345" t="s">
        <v>2002</v>
      </c>
      <c r="K135" s="383">
        <v>8533230</v>
      </c>
      <c r="L135" s="345" t="s">
        <v>19</v>
      </c>
      <c r="M135" s="346">
        <v>45809</v>
      </c>
      <c r="N135" s="346">
        <v>46538</v>
      </c>
      <c r="O135" s="345" t="s">
        <v>22</v>
      </c>
      <c r="P135" s="345" t="s">
        <v>204</v>
      </c>
      <c r="Q135" s="362" t="str">
        <f>UPPER(P135:P325)</f>
        <v>PEDRO ANTONIO PERIASSU</v>
      </c>
      <c r="R135" s="331" t="str">
        <f>UPPER(Q135:Q321)</f>
        <v>PEDRO ANTONIO PERIASSU</v>
      </c>
      <c r="S135" s="345"/>
      <c r="T135" s="345"/>
      <c r="U135" s="345"/>
      <c r="V135" s="345"/>
      <c r="W135" s="345"/>
      <c r="X135" s="348"/>
    </row>
    <row r="136" spans="1:25" ht="35.1" customHeight="1" x14ac:dyDescent="0.2">
      <c r="A136" s="331">
        <v>4600059762</v>
      </c>
      <c r="B136" s="345" t="s">
        <v>1627</v>
      </c>
      <c r="C136" s="345">
        <v>3047490</v>
      </c>
      <c r="D136" s="345" t="s">
        <v>1879</v>
      </c>
      <c r="E136" s="345">
        <v>30</v>
      </c>
      <c r="F136" s="345" t="s">
        <v>1574</v>
      </c>
      <c r="G136" s="435" t="s">
        <v>1575</v>
      </c>
      <c r="H136" s="345" t="s">
        <v>710</v>
      </c>
      <c r="I136" s="345" t="s">
        <v>1628</v>
      </c>
      <c r="J136" s="345" t="s">
        <v>2004</v>
      </c>
      <c r="K136" s="383">
        <v>296336</v>
      </c>
      <c r="L136" s="345" t="s">
        <v>19</v>
      </c>
      <c r="M136" s="346">
        <v>45820</v>
      </c>
      <c r="N136" s="346">
        <v>46184</v>
      </c>
      <c r="O136" s="345" t="s">
        <v>22</v>
      </c>
      <c r="P136" s="345" t="s">
        <v>204</v>
      </c>
      <c r="Q136" s="362" t="str">
        <f>UPPER(P136:P326)</f>
        <v>PEDRO ANTONIO PERIASSU</v>
      </c>
      <c r="R136" s="331" t="str">
        <f>UPPER(Q136:Q322)</f>
        <v>PEDRO ANTONIO PERIASSU</v>
      </c>
      <c r="S136" s="345"/>
      <c r="T136" s="345"/>
      <c r="U136" s="345"/>
      <c r="V136" s="345"/>
      <c r="W136" s="345"/>
      <c r="X136" s="347"/>
    </row>
    <row r="137" spans="1:25" ht="35.1" customHeight="1" x14ac:dyDescent="0.2">
      <c r="A137" s="329" t="s">
        <v>1680</v>
      </c>
      <c r="B137" s="329" t="s">
        <v>144</v>
      </c>
      <c r="C137" s="329">
        <v>102179</v>
      </c>
      <c r="D137" s="329" t="s">
        <v>569</v>
      </c>
      <c r="E137" s="329">
        <v>60</v>
      </c>
      <c r="F137" s="358" t="s">
        <v>1059</v>
      </c>
      <c r="G137" s="329" t="s">
        <v>1571</v>
      </c>
      <c r="H137" s="331" t="s">
        <v>709</v>
      </c>
      <c r="I137" s="331" t="s">
        <v>18</v>
      </c>
      <c r="J137" s="365" t="s">
        <v>2023</v>
      </c>
      <c r="K137" s="340">
        <v>11968</v>
      </c>
      <c r="L137" s="331" t="s">
        <v>19</v>
      </c>
      <c r="M137" s="344">
        <v>45406</v>
      </c>
      <c r="N137" s="360">
        <v>46221</v>
      </c>
      <c r="O137" s="331" t="s">
        <v>22</v>
      </c>
      <c r="P137" s="331" t="s">
        <v>204</v>
      </c>
      <c r="Q137" s="361" t="str">
        <f>UPPER(P137:P137)</f>
        <v>PEDRO ANTONIO PERIASSU</v>
      </c>
      <c r="R137" s="331" t="s">
        <v>559</v>
      </c>
      <c r="S137" s="331" t="str">
        <f>UPPER(R137:R137)</f>
        <v>LUIZ PAULO</v>
      </c>
      <c r="T137" s="331" t="s">
        <v>583</v>
      </c>
      <c r="U137" s="331"/>
      <c r="V137" s="331" t="s">
        <v>581</v>
      </c>
      <c r="W137" s="331" t="s">
        <v>562</v>
      </c>
      <c r="X137" s="330"/>
      <c r="Y137" s="358" t="s">
        <v>1681</v>
      </c>
    </row>
    <row r="138" spans="1:25" ht="35.1" customHeight="1" x14ac:dyDescent="0.2">
      <c r="A138" s="329" t="s">
        <v>1670</v>
      </c>
      <c r="B138" s="329" t="s">
        <v>144</v>
      </c>
      <c r="C138" s="329">
        <v>102179</v>
      </c>
      <c r="D138" s="329" t="s">
        <v>568</v>
      </c>
      <c r="E138" s="329">
        <v>60</v>
      </c>
      <c r="F138" s="358" t="s">
        <v>1059</v>
      </c>
      <c r="G138" s="329" t="s">
        <v>1571</v>
      </c>
      <c r="H138" s="329" t="s">
        <v>710</v>
      </c>
      <c r="I138" s="329" t="s">
        <v>18</v>
      </c>
      <c r="J138" s="364" t="s">
        <v>1884</v>
      </c>
      <c r="K138" s="359">
        <v>55025645</v>
      </c>
      <c r="L138" s="329" t="s">
        <v>19</v>
      </c>
      <c r="M138" s="360">
        <v>45047</v>
      </c>
      <c r="N138" s="360">
        <v>46387</v>
      </c>
      <c r="O138" s="331" t="s">
        <v>29</v>
      </c>
      <c r="P138" s="331" t="s">
        <v>30</v>
      </c>
      <c r="Q138" s="361" t="str">
        <f>UPPER(P138:P138)</f>
        <v>MANFREDO SAHB CARCUTE</v>
      </c>
      <c r="R138" s="331" t="s">
        <v>265</v>
      </c>
      <c r="S138" s="331" t="str">
        <f>UPPER(R138:R138)</f>
        <v>ULIANA MARIA NICKERSON DO PRADO PERES</v>
      </c>
      <c r="T138" s="331" t="s">
        <v>420</v>
      </c>
      <c r="U138" s="331" t="s">
        <v>419</v>
      </c>
      <c r="V138" s="331" t="s">
        <v>418</v>
      </c>
      <c r="W138" s="331" t="s">
        <v>1611</v>
      </c>
      <c r="X138" s="390"/>
      <c r="Y138" s="358" t="s">
        <v>1671</v>
      </c>
    </row>
    <row r="139" spans="1:25" ht="35.1" customHeight="1" x14ac:dyDescent="0.2">
      <c r="A139" s="329">
        <v>4600053912</v>
      </c>
      <c r="B139" s="329" t="s">
        <v>719</v>
      </c>
      <c r="C139" s="329">
        <v>104922</v>
      </c>
      <c r="D139" s="329" t="s">
        <v>568</v>
      </c>
      <c r="E139" s="329">
        <v>1</v>
      </c>
      <c r="F139" s="331" t="s">
        <v>1059</v>
      </c>
      <c r="G139" s="329" t="s">
        <v>1571</v>
      </c>
      <c r="H139" s="329" t="s">
        <v>710</v>
      </c>
      <c r="I139" s="331" t="s">
        <v>38</v>
      </c>
      <c r="J139" s="331" t="s">
        <v>1939</v>
      </c>
      <c r="K139" s="340">
        <v>559408.13</v>
      </c>
      <c r="L139" s="331" t="s">
        <v>19</v>
      </c>
      <c r="M139" s="344">
        <v>41634</v>
      </c>
      <c r="N139" s="360">
        <v>48073</v>
      </c>
      <c r="O139" s="335" t="s">
        <v>208</v>
      </c>
      <c r="P139" s="331" t="s">
        <v>876</v>
      </c>
      <c r="Q139" s="361" t="str">
        <f>UPPER(P139:P139)</f>
        <v xml:space="preserve">GLAUBER HENRIQUE DOS SANTOS </v>
      </c>
      <c r="R139" s="331" t="s">
        <v>263</v>
      </c>
      <c r="S139" s="331" t="str">
        <f>UPPER(R139:R139)</f>
        <v>BRUNO FANTAGUZZI LINCES</v>
      </c>
      <c r="T139" s="331"/>
      <c r="U139" s="331"/>
      <c r="V139" s="331"/>
      <c r="W139" s="331" t="s">
        <v>1048</v>
      </c>
      <c r="X139" s="330"/>
      <c r="Y139" s="358"/>
    </row>
    <row r="140" spans="1:25" ht="35.1" customHeight="1" x14ac:dyDescent="0.2">
      <c r="A140" s="329">
        <v>4600050894</v>
      </c>
      <c r="B140" s="329" t="s">
        <v>1091</v>
      </c>
      <c r="C140" s="329">
        <v>102145</v>
      </c>
      <c r="D140" s="329" t="s">
        <v>569</v>
      </c>
      <c r="E140" s="329">
        <v>60</v>
      </c>
      <c r="F140" s="329" t="s">
        <v>1695</v>
      </c>
      <c r="G140" s="329" t="s">
        <v>1581</v>
      </c>
      <c r="H140" s="331" t="s">
        <v>710</v>
      </c>
      <c r="I140" s="331" t="s">
        <v>38</v>
      </c>
      <c r="J140" s="331" t="s">
        <v>1989</v>
      </c>
      <c r="K140" s="340">
        <v>51135933.450000003</v>
      </c>
      <c r="L140" s="331" t="s">
        <v>19</v>
      </c>
      <c r="M140" s="344">
        <v>43409</v>
      </c>
      <c r="N140" s="344">
        <v>46387</v>
      </c>
      <c r="O140" s="331" t="s">
        <v>22</v>
      </c>
      <c r="P140" s="329" t="s">
        <v>204</v>
      </c>
      <c r="Q140" s="361" t="str">
        <f>UPPER(P140:P140)</f>
        <v>PEDRO ANTONIO PERIASSU</v>
      </c>
      <c r="R140" s="331" t="s">
        <v>559</v>
      </c>
      <c r="S140" s="331" t="str">
        <f>UPPER(R140:R140)</f>
        <v>LUIZ PAULO</v>
      </c>
      <c r="T140" s="331"/>
      <c r="U140" s="331"/>
      <c r="V140" s="331"/>
      <c r="W140" s="331"/>
      <c r="X140" s="330"/>
      <c r="Y140" s="358" t="s">
        <v>1699</v>
      </c>
    </row>
    <row r="141" spans="1:25" s="326" customFormat="1" ht="35.1" customHeight="1" x14ac:dyDescent="0.25">
      <c r="A141" s="420">
        <v>4600058053</v>
      </c>
      <c r="B141" s="421" t="s">
        <v>1726</v>
      </c>
      <c r="C141" s="420">
        <v>3040507</v>
      </c>
      <c r="D141" s="420" t="s">
        <v>1879</v>
      </c>
      <c r="E141" s="420">
        <v>60</v>
      </c>
      <c r="F141" s="421" t="s">
        <v>1589</v>
      </c>
      <c r="G141" s="421" t="s">
        <v>2042</v>
      </c>
      <c r="H141" s="420" t="s">
        <v>710</v>
      </c>
      <c r="I141" s="422" t="s">
        <v>38</v>
      </c>
      <c r="J141" s="423" t="s">
        <v>1977</v>
      </c>
      <c r="K141" s="424">
        <v>184322.52</v>
      </c>
      <c r="L141" s="422" t="s">
        <v>19</v>
      </c>
      <c r="M141" s="425">
        <v>44660</v>
      </c>
      <c r="N141" s="426">
        <v>46120</v>
      </c>
      <c r="O141" s="422" t="s">
        <v>22</v>
      </c>
      <c r="P141" s="422" t="s">
        <v>204</v>
      </c>
      <c r="Q141" s="427" t="str">
        <f>UPPER(P141:P141)</f>
        <v>PEDRO ANTONIO PERIASSU</v>
      </c>
      <c r="R141" s="422" t="str">
        <f>UPPER(Q141:Q141)</f>
        <v>PEDRO ANTONIO PERIASSU</v>
      </c>
      <c r="S141" s="422"/>
      <c r="T141" s="422"/>
      <c r="U141" s="422"/>
      <c r="V141" s="422"/>
      <c r="W141" s="422"/>
      <c r="X141" s="428"/>
    </row>
    <row r="142" spans="1:25" ht="21" customHeight="1" x14ac:dyDescent="0.2">
      <c r="A142" s="435" t="s">
        <v>2048</v>
      </c>
      <c r="B142" s="443" t="s">
        <v>2049</v>
      </c>
      <c r="C142" s="440"/>
      <c r="D142" s="437" t="s">
        <v>1879</v>
      </c>
      <c r="E142" s="440"/>
      <c r="F142" s="437" t="s">
        <v>2050</v>
      </c>
      <c r="G142" s="443" t="s">
        <v>2042</v>
      </c>
      <c r="H142" s="437" t="s">
        <v>710</v>
      </c>
      <c r="I142" s="440" t="s">
        <v>18</v>
      </c>
      <c r="J142" s="437" t="s">
        <v>643</v>
      </c>
      <c r="K142" s="429">
        <v>39508882.009999998</v>
      </c>
      <c r="L142" s="437" t="s">
        <v>19</v>
      </c>
      <c r="M142" s="430">
        <v>44927</v>
      </c>
      <c r="N142" s="441">
        <v>46112</v>
      </c>
      <c r="O142" s="439"/>
      <c r="P142" s="439"/>
      <c r="Q142" s="439"/>
      <c r="R142" s="439"/>
      <c r="S142" s="439"/>
      <c r="T142" s="439"/>
      <c r="U142" s="439"/>
      <c r="V142" s="439"/>
      <c r="W142" s="439"/>
      <c r="X142" s="440"/>
    </row>
    <row r="143" spans="1:25" ht="16.5" customHeight="1" x14ac:dyDescent="0.2">
      <c r="A143" s="435">
        <v>4600060064</v>
      </c>
      <c r="B143" s="437" t="s">
        <v>2067</v>
      </c>
      <c r="C143" s="440">
        <v>3047963</v>
      </c>
      <c r="D143" s="435" t="s">
        <v>568</v>
      </c>
      <c r="E143" s="440">
        <v>1</v>
      </c>
      <c r="F143" s="447" t="s">
        <v>1575</v>
      </c>
      <c r="G143" s="435" t="s">
        <v>1575</v>
      </c>
      <c r="H143" s="440" t="s">
        <v>709</v>
      </c>
      <c r="I143" s="440" t="s">
        <v>18</v>
      </c>
      <c r="J143" s="439" t="s">
        <v>2068</v>
      </c>
      <c r="K143" s="454">
        <v>120000</v>
      </c>
      <c r="L143" s="437" t="s">
        <v>19</v>
      </c>
      <c r="M143" s="455">
        <v>45952</v>
      </c>
      <c r="N143" s="455">
        <v>46316</v>
      </c>
      <c r="O143" s="442" t="s">
        <v>115</v>
      </c>
      <c r="P143" s="442" t="s">
        <v>116</v>
      </c>
      <c r="Q143" s="446" t="str">
        <f>UPPER(P143:P331)</f>
        <v>ROGER ALLAN MAIA MALHEIROS</v>
      </c>
      <c r="R143" s="440" t="s">
        <v>263</v>
      </c>
      <c r="S143" s="439"/>
      <c r="T143" s="439"/>
      <c r="U143" s="439"/>
      <c r="V143" s="439"/>
      <c r="W143" s="439"/>
      <c r="X143" s="440"/>
    </row>
    <row r="144" spans="1:25" ht="22.5" customHeight="1" x14ac:dyDescent="0.2">
      <c r="A144" s="456">
        <v>4600059420</v>
      </c>
      <c r="B144" s="437" t="s">
        <v>1605</v>
      </c>
      <c r="C144" s="437">
        <v>183214</v>
      </c>
      <c r="D144" s="437" t="s">
        <v>1879</v>
      </c>
      <c r="E144" s="440">
        <v>60</v>
      </c>
      <c r="F144" s="447" t="s">
        <v>2073</v>
      </c>
      <c r="G144" s="437" t="s">
        <v>1059</v>
      </c>
      <c r="H144" s="440" t="s">
        <v>710</v>
      </c>
      <c r="I144" s="440" t="s">
        <v>18</v>
      </c>
      <c r="J144" s="437" t="s">
        <v>2071</v>
      </c>
      <c r="K144" s="454">
        <v>283819226.39999998</v>
      </c>
      <c r="L144" s="437" t="s">
        <v>19</v>
      </c>
      <c r="M144" s="455">
        <v>45713</v>
      </c>
      <c r="N144" s="440" t="s">
        <v>2072</v>
      </c>
      <c r="O144" s="437" t="s">
        <v>22</v>
      </c>
      <c r="P144" s="437" t="s">
        <v>2020</v>
      </c>
      <c r="Q144" s="446" t="s">
        <v>2074</v>
      </c>
      <c r="R144" s="437" t="s">
        <v>2075</v>
      </c>
      <c r="S144" s="439"/>
      <c r="T144" s="439"/>
      <c r="U144" s="439"/>
      <c r="V144" s="439"/>
      <c r="W144" s="439"/>
      <c r="X144" s="440"/>
    </row>
    <row r="145" spans="1:16378" s="326" customFormat="1" ht="35.1" customHeight="1" x14ac:dyDescent="0.25">
      <c r="A145" s="329">
        <v>4600058323</v>
      </c>
      <c r="B145" s="329" t="s">
        <v>793</v>
      </c>
      <c r="C145" s="329" t="s">
        <v>977</v>
      </c>
      <c r="D145" s="329" t="s">
        <v>1880</v>
      </c>
      <c r="E145" s="329" t="s">
        <v>857</v>
      </c>
      <c r="F145" s="447" t="s">
        <v>1575</v>
      </c>
      <c r="G145" s="435" t="s">
        <v>1575</v>
      </c>
      <c r="H145" s="329" t="s">
        <v>709</v>
      </c>
      <c r="I145" s="340" t="s">
        <v>18</v>
      </c>
      <c r="J145" s="331" t="s">
        <v>1958</v>
      </c>
      <c r="K145" s="340">
        <v>2654.16</v>
      </c>
      <c r="L145" s="331" t="s">
        <v>19</v>
      </c>
      <c r="M145" s="360">
        <v>45518</v>
      </c>
      <c r="N145" s="360">
        <v>46199</v>
      </c>
      <c r="O145" s="331" t="s">
        <v>93</v>
      </c>
      <c r="P145" s="331" t="s">
        <v>878</v>
      </c>
      <c r="Q145" s="362" t="str">
        <f>UPPER(P145:P145)</f>
        <v>FELIPE DE ANDRADE MOURA/ GRAZIELA DE CASSIA CAPRARA</v>
      </c>
      <c r="R145" s="331" t="str">
        <f>UPPER(Q145:Q145)</f>
        <v>FELIPE DE ANDRADE MOURA/ GRAZIELA DE CASSIA CAPRARA</v>
      </c>
      <c r="S145" s="331" t="s">
        <v>978</v>
      </c>
      <c r="T145" s="331"/>
      <c r="U145" s="331"/>
      <c r="V145" s="331"/>
      <c r="W145" s="331"/>
      <c r="X145" s="330"/>
    </row>
    <row r="146" spans="1:16378" x14ac:dyDescent="0.2">
      <c r="A146" s="437">
        <v>4600059516</v>
      </c>
      <c r="B146" s="437" t="s">
        <v>267</v>
      </c>
      <c r="C146" s="437">
        <v>186055</v>
      </c>
      <c r="D146" s="435" t="s">
        <v>1880</v>
      </c>
      <c r="E146" s="437">
        <v>30</v>
      </c>
      <c r="F146" s="437" t="s">
        <v>1575</v>
      </c>
      <c r="G146" s="437" t="s">
        <v>1575</v>
      </c>
      <c r="H146" s="444">
        <v>46526</v>
      </c>
      <c r="I146" s="437" t="s">
        <v>152</v>
      </c>
      <c r="J146" s="437" t="s">
        <v>30</v>
      </c>
      <c r="K146" s="446" t="s">
        <v>30</v>
      </c>
      <c r="L146" s="437" t="s">
        <v>30</v>
      </c>
      <c r="M146" s="437"/>
      <c r="N146" s="437" t="s">
        <v>500</v>
      </c>
      <c r="O146" s="437" t="s">
        <v>501</v>
      </c>
      <c r="P146" s="437" t="s">
        <v>499</v>
      </c>
      <c r="Q146" s="437"/>
      <c r="R146" s="438">
        <v>45299</v>
      </c>
      <c r="S146" s="433"/>
      <c r="T146" s="433"/>
      <c r="U146" s="433"/>
      <c r="V146" s="433"/>
      <c r="W146" s="433"/>
      <c r="X146" s="433"/>
      <c r="Y146" s="433"/>
      <c r="Z146" s="433"/>
      <c r="AA146" s="433"/>
      <c r="AB146" s="433"/>
      <c r="AC146" s="433"/>
      <c r="AD146" s="433"/>
      <c r="AE146" s="433"/>
      <c r="AF146" s="433"/>
      <c r="AG146" s="433"/>
      <c r="AH146" s="433"/>
      <c r="AI146" s="433"/>
      <c r="AJ146" s="433"/>
      <c r="AK146" s="433"/>
      <c r="AL146" s="433"/>
      <c r="AM146" s="433"/>
      <c r="AN146" s="433"/>
      <c r="AO146" s="433"/>
      <c r="AP146" s="433"/>
      <c r="AQ146" s="433"/>
      <c r="AR146" s="433"/>
      <c r="AS146" s="433"/>
      <c r="AT146" s="433"/>
      <c r="AU146" s="433"/>
      <c r="AV146" s="433"/>
      <c r="AW146" s="433"/>
      <c r="AX146" s="433"/>
      <c r="AY146" s="433"/>
      <c r="AZ146" s="433"/>
      <c r="BA146" s="433"/>
      <c r="BB146" s="433"/>
      <c r="BC146" s="433"/>
      <c r="BD146" s="433"/>
      <c r="BE146" s="433"/>
      <c r="BF146" s="433"/>
      <c r="BG146" s="433"/>
      <c r="BH146" s="433"/>
      <c r="BI146" s="433"/>
      <c r="BJ146" s="433"/>
      <c r="BK146" s="433"/>
      <c r="BL146" s="433"/>
      <c r="BM146" s="433"/>
      <c r="BN146" s="433"/>
      <c r="BO146" s="433"/>
      <c r="BP146" s="433"/>
      <c r="BQ146" s="433"/>
      <c r="BR146" s="433"/>
      <c r="BS146" s="433"/>
      <c r="BT146" s="433"/>
      <c r="BU146" s="433"/>
      <c r="BV146" s="433"/>
      <c r="BW146" s="433"/>
      <c r="BX146" s="433"/>
      <c r="BY146" s="433"/>
      <c r="BZ146" s="433"/>
      <c r="CA146" s="433"/>
      <c r="CB146" s="433"/>
      <c r="CC146" s="433"/>
      <c r="CD146" s="433"/>
      <c r="CE146" s="433"/>
      <c r="CF146" s="433"/>
      <c r="CG146" s="433"/>
      <c r="CH146" s="433"/>
      <c r="CI146" s="433"/>
      <c r="CJ146" s="433"/>
      <c r="CK146" s="433"/>
      <c r="CL146" s="433"/>
      <c r="CM146" s="433"/>
      <c r="CN146" s="433"/>
      <c r="CO146" s="433"/>
      <c r="CP146" s="433"/>
      <c r="CQ146" s="433"/>
      <c r="CR146" s="433"/>
      <c r="CS146" s="433"/>
      <c r="CT146" s="433"/>
      <c r="CU146" s="433"/>
      <c r="CV146" s="433"/>
      <c r="CW146" s="433"/>
      <c r="CX146" s="433"/>
      <c r="CY146" s="433"/>
      <c r="CZ146" s="433"/>
      <c r="DA146" s="433"/>
      <c r="DB146" s="433"/>
      <c r="DC146" s="433"/>
      <c r="DD146" s="433"/>
      <c r="DE146" s="433"/>
      <c r="DF146" s="433"/>
      <c r="DG146" s="433"/>
      <c r="DH146" s="433"/>
      <c r="DI146" s="433"/>
      <c r="DJ146" s="433"/>
      <c r="DK146" s="433"/>
      <c r="DL146" s="433"/>
      <c r="DM146" s="433"/>
      <c r="DN146" s="433"/>
      <c r="DO146" s="433"/>
      <c r="DP146" s="433"/>
      <c r="DQ146" s="433"/>
      <c r="DR146" s="433"/>
      <c r="DS146" s="433"/>
      <c r="DT146" s="433"/>
      <c r="DU146" s="433"/>
      <c r="DV146" s="433"/>
      <c r="DW146" s="433"/>
      <c r="DX146" s="433"/>
      <c r="DY146" s="433"/>
      <c r="DZ146" s="433"/>
      <c r="EA146" s="433"/>
      <c r="EB146" s="433"/>
      <c r="EC146" s="433"/>
      <c r="ED146" s="433"/>
      <c r="EE146" s="433"/>
      <c r="EF146" s="433"/>
      <c r="EG146" s="433"/>
      <c r="EH146" s="433"/>
      <c r="EI146" s="433"/>
      <c r="EJ146" s="433"/>
      <c r="EK146" s="433"/>
      <c r="EL146" s="433"/>
      <c r="EM146" s="433"/>
      <c r="EN146" s="433"/>
      <c r="EO146" s="433"/>
      <c r="EP146" s="433"/>
      <c r="EQ146" s="433"/>
      <c r="ER146" s="433"/>
      <c r="ES146" s="433"/>
      <c r="ET146" s="433"/>
      <c r="EU146" s="433"/>
      <c r="EV146" s="433"/>
      <c r="EW146" s="433"/>
      <c r="EX146" s="433"/>
      <c r="EY146" s="433"/>
      <c r="EZ146" s="433"/>
      <c r="FA146" s="433"/>
      <c r="FB146" s="433"/>
      <c r="FC146" s="433"/>
      <c r="FD146" s="433"/>
      <c r="FE146" s="433"/>
      <c r="FF146" s="433"/>
      <c r="FG146" s="433"/>
      <c r="FH146" s="433"/>
      <c r="FI146" s="433"/>
      <c r="FJ146" s="433"/>
      <c r="FK146" s="433"/>
      <c r="FL146" s="433"/>
      <c r="FM146" s="433"/>
      <c r="FN146" s="433"/>
      <c r="FO146" s="433"/>
      <c r="FP146" s="433"/>
      <c r="FQ146" s="433"/>
      <c r="FR146" s="433"/>
      <c r="FS146" s="433"/>
      <c r="FT146" s="433"/>
      <c r="FU146" s="433"/>
      <c r="FV146" s="433"/>
      <c r="FW146" s="433"/>
      <c r="FX146" s="433"/>
      <c r="FY146" s="433"/>
      <c r="FZ146" s="433"/>
      <c r="GA146" s="433"/>
      <c r="GB146" s="433"/>
      <c r="GC146" s="433"/>
      <c r="GD146" s="433"/>
      <c r="GE146" s="433"/>
      <c r="GF146" s="433"/>
      <c r="GG146" s="433"/>
      <c r="GH146" s="433"/>
      <c r="GI146" s="433"/>
      <c r="GJ146" s="433"/>
      <c r="GK146" s="433"/>
      <c r="GL146" s="433"/>
      <c r="GM146" s="433"/>
      <c r="GN146" s="433"/>
      <c r="GO146" s="433"/>
      <c r="GP146" s="433"/>
      <c r="GQ146" s="433"/>
      <c r="GR146" s="433"/>
      <c r="GS146" s="433"/>
      <c r="GT146" s="433"/>
      <c r="GU146" s="433"/>
      <c r="GV146" s="433"/>
      <c r="GW146" s="433"/>
      <c r="GX146" s="433"/>
      <c r="GY146" s="433"/>
      <c r="GZ146" s="433"/>
      <c r="HA146" s="433"/>
      <c r="HB146" s="433"/>
      <c r="HC146" s="433"/>
      <c r="HD146" s="433"/>
      <c r="HE146" s="433"/>
      <c r="HF146" s="433"/>
      <c r="HG146" s="433"/>
      <c r="HH146" s="433"/>
      <c r="HI146" s="433"/>
      <c r="HJ146" s="433"/>
      <c r="HK146" s="433"/>
      <c r="HL146" s="433"/>
      <c r="HM146" s="433"/>
      <c r="HN146" s="433"/>
      <c r="HO146" s="433"/>
      <c r="HP146" s="433"/>
      <c r="HQ146" s="433"/>
      <c r="HR146" s="433"/>
      <c r="HS146" s="433"/>
      <c r="HT146" s="433"/>
      <c r="HU146" s="433"/>
      <c r="HV146" s="433"/>
      <c r="HW146" s="433"/>
      <c r="HX146" s="433"/>
      <c r="HY146" s="433"/>
      <c r="HZ146" s="433"/>
      <c r="IA146" s="433"/>
      <c r="IB146" s="433"/>
      <c r="IC146" s="433"/>
      <c r="ID146" s="433"/>
      <c r="IE146" s="433"/>
      <c r="IF146" s="433"/>
      <c r="IG146" s="433"/>
      <c r="IH146" s="433"/>
      <c r="II146" s="433"/>
      <c r="IJ146" s="433"/>
      <c r="IK146" s="433"/>
      <c r="IL146" s="433"/>
      <c r="IM146" s="433"/>
      <c r="IN146" s="433"/>
      <c r="IO146" s="433"/>
      <c r="IP146" s="433"/>
      <c r="IQ146" s="433"/>
      <c r="IR146" s="433"/>
      <c r="IS146" s="433"/>
      <c r="IT146" s="433"/>
      <c r="IU146" s="433"/>
      <c r="IV146" s="433"/>
      <c r="IW146" s="433"/>
      <c r="IX146" s="433"/>
      <c r="IY146" s="433"/>
      <c r="IZ146" s="433"/>
      <c r="JA146" s="433"/>
      <c r="JB146" s="433"/>
      <c r="JC146" s="433"/>
      <c r="JD146" s="433"/>
      <c r="JE146" s="433"/>
      <c r="JF146" s="433"/>
      <c r="JG146" s="433"/>
      <c r="JH146" s="433"/>
      <c r="JI146" s="433"/>
      <c r="JJ146" s="433"/>
      <c r="JK146" s="433"/>
      <c r="JL146" s="433"/>
      <c r="JM146" s="433"/>
      <c r="JN146" s="433"/>
      <c r="JO146" s="433"/>
      <c r="JP146" s="433"/>
      <c r="JQ146" s="433"/>
      <c r="JR146" s="433"/>
      <c r="JS146" s="433"/>
      <c r="JT146" s="433"/>
      <c r="JU146" s="433"/>
      <c r="JV146" s="433"/>
      <c r="JW146" s="433"/>
      <c r="JX146" s="433"/>
      <c r="JY146" s="433"/>
      <c r="JZ146" s="433"/>
      <c r="KA146" s="433"/>
      <c r="KB146" s="433"/>
      <c r="KC146" s="433"/>
      <c r="KD146" s="433"/>
      <c r="KE146" s="433"/>
      <c r="KF146" s="433"/>
      <c r="KG146" s="433"/>
      <c r="KH146" s="433"/>
      <c r="KI146" s="433"/>
      <c r="KJ146" s="433"/>
      <c r="KK146" s="433"/>
      <c r="KL146" s="433"/>
      <c r="KM146" s="433"/>
      <c r="KN146" s="433"/>
      <c r="KO146" s="433"/>
      <c r="KP146" s="433"/>
      <c r="KQ146" s="433"/>
      <c r="KR146" s="433"/>
      <c r="KS146" s="433"/>
      <c r="KT146" s="433"/>
      <c r="KU146" s="433"/>
      <c r="KV146" s="433"/>
      <c r="KW146" s="433"/>
      <c r="KX146" s="433"/>
      <c r="KY146" s="433"/>
      <c r="KZ146" s="433"/>
      <c r="LA146" s="433"/>
      <c r="LB146" s="433"/>
      <c r="LC146" s="433"/>
      <c r="LD146" s="433"/>
      <c r="LE146" s="433"/>
      <c r="LF146" s="433"/>
      <c r="LG146" s="433"/>
      <c r="LH146" s="433"/>
      <c r="LI146" s="433"/>
      <c r="LJ146" s="433"/>
      <c r="LK146" s="433"/>
      <c r="LL146" s="433"/>
      <c r="LM146" s="433"/>
      <c r="LN146" s="433"/>
      <c r="LO146" s="433"/>
      <c r="LP146" s="433"/>
      <c r="LQ146" s="433"/>
      <c r="LR146" s="433"/>
      <c r="LS146" s="433"/>
      <c r="LT146" s="433"/>
      <c r="LU146" s="433"/>
      <c r="LV146" s="433"/>
      <c r="LW146" s="433"/>
      <c r="LX146" s="433"/>
      <c r="LY146" s="433"/>
      <c r="LZ146" s="433"/>
      <c r="MA146" s="433"/>
      <c r="MB146" s="433"/>
      <c r="MC146" s="433"/>
      <c r="MD146" s="433"/>
      <c r="ME146" s="433"/>
      <c r="MF146" s="433"/>
      <c r="MG146" s="433"/>
      <c r="MH146" s="433"/>
      <c r="MI146" s="433"/>
      <c r="MJ146" s="433"/>
      <c r="MK146" s="433"/>
      <c r="ML146" s="433"/>
      <c r="MM146" s="433"/>
      <c r="MN146" s="433"/>
      <c r="MO146" s="433"/>
      <c r="MP146" s="433"/>
      <c r="MQ146" s="433"/>
      <c r="MR146" s="433"/>
      <c r="MS146" s="433"/>
      <c r="MT146" s="433"/>
      <c r="MU146" s="433"/>
      <c r="MV146" s="433"/>
      <c r="MW146" s="433"/>
      <c r="MX146" s="433"/>
      <c r="MY146" s="433"/>
      <c r="MZ146" s="433"/>
      <c r="NA146" s="433"/>
      <c r="NB146" s="433"/>
      <c r="NC146" s="433"/>
      <c r="ND146" s="433"/>
      <c r="NE146" s="433"/>
      <c r="NF146" s="433"/>
      <c r="NG146" s="433"/>
      <c r="NH146" s="433"/>
      <c r="NI146" s="433"/>
      <c r="NJ146" s="433"/>
      <c r="NK146" s="433"/>
      <c r="NL146" s="433"/>
      <c r="NM146" s="433"/>
      <c r="NN146" s="433"/>
      <c r="NO146" s="433"/>
      <c r="NP146" s="433"/>
      <c r="NQ146" s="433"/>
      <c r="NR146" s="433"/>
      <c r="NS146" s="433"/>
      <c r="NT146" s="433"/>
      <c r="NU146" s="433"/>
      <c r="NV146" s="433"/>
      <c r="NW146" s="433"/>
      <c r="NX146" s="433"/>
      <c r="NY146" s="433"/>
      <c r="NZ146" s="433"/>
      <c r="OA146" s="433"/>
      <c r="OB146" s="433"/>
      <c r="OC146" s="433"/>
      <c r="OD146" s="433"/>
      <c r="OE146" s="433"/>
      <c r="OF146" s="433"/>
      <c r="OG146" s="433"/>
      <c r="OH146" s="433"/>
      <c r="OI146" s="433"/>
      <c r="OJ146" s="433"/>
      <c r="OK146" s="433"/>
      <c r="OL146" s="433"/>
      <c r="OM146" s="433"/>
      <c r="ON146" s="433"/>
      <c r="OO146" s="433"/>
      <c r="OP146" s="433"/>
      <c r="OQ146" s="433"/>
      <c r="OR146" s="433"/>
      <c r="OS146" s="433"/>
      <c r="OT146" s="433"/>
      <c r="OU146" s="433"/>
      <c r="OV146" s="433"/>
      <c r="OW146" s="433"/>
      <c r="OX146" s="433"/>
      <c r="OY146" s="433"/>
      <c r="OZ146" s="433"/>
      <c r="PA146" s="433"/>
      <c r="PB146" s="433"/>
      <c r="PC146" s="433"/>
      <c r="PD146" s="433"/>
      <c r="PE146" s="433"/>
      <c r="PF146" s="433"/>
      <c r="PG146" s="433"/>
      <c r="PH146" s="433"/>
      <c r="PI146" s="433"/>
      <c r="PJ146" s="433"/>
      <c r="PK146" s="433"/>
      <c r="PL146" s="433"/>
      <c r="PM146" s="433"/>
      <c r="PN146" s="433"/>
      <c r="PO146" s="433"/>
      <c r="PP146" s="433"/>
      <c r="PQ146" s="433"/>
      <c r="PR146" s="433"/>
      <c r="PS146" s="433"/>
      <c r="PT146" s="433"/>
      <c r="PU146" s="433"/>
      <c r="PV146" s="433"/>
      <c r="PW146" s="433"/>
      <c r="PX146" s="433"/>
      <c r="PY146" s="433"/>
      <c r="PZ146" s="433"/>
      <c r="QA146" s="433"/>
      <c r="QB146" s="433"/>
      <c r="QC146" s="433"/>
      <c r="QD146" s="433"/>
      <c r="QE146" s="433"/>
      <c r="QF146" s="433"/>
      <c r="QG146" s="433"/>
      <c r="QH146" s="433"/>
      <c r="QI146" s="433"/>
      <c r="QJ146" s="433"/>
      <c r="QK146" s="433"/>
      <c r="QL146" s="433"/>
      <c r="QM146" s="433"/>
      <c r="QN146" s="433"/>
      <c r="QO146" s="433"/>
      <c r="QP146" s="433"/>
      <c r="QQ146" s="433"/>
      <c r="QR146" s="433"/>
      <c r="QS146" s="433"/>
      <c r="QT146" s="433"/>
      <c r="QU146" s="433"/>
      <c r="QV146" s="433"/>
      <c r="QW146" s="433"/>
      <c r="QX146" s="433"/>
      <c r="QY146" s="433"/>
      <c r="QZ146" s="433"/>
      <c r="RA146" s="433"/>
      <c r="RB146" s="433"/>
      <c r="RC146" s="433"/>
      <c r="RD146" s="433"/>
      <c r="RE146" s="433"/>
      <c r="RF146" s="433"/>
      <c r="RG146" s="433"/>
      <c r="RH146" s="433"/>
      <c r="RI146" s="433"/>
      <c r="RJ146" s="433"/>
      <c r="RK146" s="433"/>
      <c r="RL146" s="433"/>
      <c r="RM146" s="433"/>
      <c r="RN146" s="433"/>
      <c r="RO146" s="433"/>
      <c r="RP146" s="433"/>
      <c r="RQ146" s="433"/>
      <c r="RR146" s="433"/>
      <c r="RS146" s="433"/>
      <c r="RT146" s="433"/>
      <c r="RU146" s="433"/>
      <c r="RV146" s="433"/>
      <c r="RW146" s="433"/>
      <c r="RX146" s="433"/>
      <c r="RY146" s="433"/>
      <c r="RZ146" s="433"/>
      <c r="SA146" s="433"/>
      <c r="SB146" s="433"/>
      <c r="SC146" s="433"/>
      <c r="SD146" s="433"/>
      <c r="SE146" s="433"/>
      <c r="SF146" s="433"/>
      <c r="SG146" s="433"/>
      <c r="SH146" s="433"/>
      <c r="SI146" s="433"/>
      <c r="SJ146" s="433"/>
      <c r="SK146" s="433"/>
      <c r="SL146" s="433"/>
      <c r="SM146" s="433"/>
      <c r="SN146" s="433"/>
      <c r="SO146" s="433"/>
      <c r="SP146" s="433"/>
      <c r="SQ146" s="433"/>
      <c r="SR146" s="433"/>
      <c r="SS146" s="433"/>
      <c r="ST146" s="433"/>
      <c r="SU146" s="433"/>
      <c r="SV146" s="433"/>
      <c r="SW146" s="433"/>
      <c r="SX146" s="433"/>
      <c r="SY146" s="433"/>
      <c r="SZ146" s="433"/>
      <c r="TA146" s="433"/>
      <c r="TB146" s="433"/>
      <c r="TC146" s="433"/>
      <c r="TD146" s="433"/>
      <c r="TE146" s="433"/>
      <c r="TF146" s="433"/>
      <c r="TG146" s="433"/>
      <c r="TH146" s="433"/>
      <c r="TI146" s="433"/>
      <c r="TJ146" s="433"/>
      <c r="TK146" s="433"/>
      <c r="TL146" s="433"/>
      <c r="TM146" s="433"/>
      <c r="TN146" s="433"/>
      <c r="TO146" s="433"/>
      <c r="TP146" s="433"/>
      <c r="TQ146" s="433"/>
      <c r="TR146" s="433"/>
      <c r="TS146" s="433"/>
      <c r="TT146" s="433"/>
      <c r="TU146" s="433"/>
      <c r="TV146" s="433"/>
      <c r="TW146" s="433"/>
      <c r="TX146" s="433"/>
      <c r="TY146" s="433"/>
      <c r="TZ146" s="433"/>
      <c r="UA146" s="433"/>
      <c r="UB146" s="433"/>
      <c r="UC146" s="433"/>
      <c r="UD146" s="433"/>
      <c r="UE146" s="433"/>
      <c r="UF146" s="433"/>
      <c r="UG146" s="433"/>
      <c r="UH146" s="433"/>
      <c r="UI146" s="433"/>
      <c r="UJ146" s="433"/>
      <c r="UK146" s="433"/>
      <c r="UL146" s="433"/>
      <c r="UM146" s="433"/>
      <c r="UN146" s="433"/>
      <c r="UO146" s="433"/>
      <c r="UP146" s="433"/>
      <c r="UQ146" s="433"/>
      <c r="UR146" s="433"/>
      <c r="US146" s="433"/>
      <c r="UT146" s="433"/>
      <c r="UU146" s="433"/>
      <c r="UV146" s="433"/>
      <c r="UW146" s="433"/>
      <c r="UX146" s="433"/>
      <c r="UY146" s="433"/>
      <c r="UZ146" s="433"/>
      <c r="VA146" s="433"/>
      <c r="VB146" s="433"/>
      <c r="VC146" s="433"/>
      <c r="VD146" s="433"/>
      <c r="VE146" s="433"/>
      <c r="VF146" s="433"/>
      <c r="VG146" s="433"/>
      <c r="VH146" s="433"/>
      <c r="VI146" s="433"/>
      <c r="VJ146" s="433"/>
      <c r="VK146" s="433"/>
      <c r="VL146" s="433"/>
      <c r="VM146" s="433"/>
      <c r="VN146" s="433"/>
      <c r="VO146" s="433"/>
      <c r="VP146" s="433"/>
      <c r="VQ146" s="433"/>
      <c r="VR146" s="433"/>
      <c r="VS146" s="433"/>
      <c r="VT146" s="433"/>
      <c r="VU146" s="433"/>
      <c r="VV146" s="433"/>
      <c r="VW146" s="433"/>
      <c r="VX146" s="433"/>
      <c r="VY146" s="433"/>
      <c r="VZ146" s="433"/>
      <c r="WA146" s="433"/>
      <c r="WB146" s="433"/>
      <c r="WC146" s="433"/>
      <c r="WD146" s="433"/>
      <c r="WE146" s="433"/>
      <c r="WF146" s="433"/>
      <c r="WG146" s="433"/>
      <c r="WH146" s="433"/>
      <c r="WI146" s="433"/>
      <c r="WJ146" s="433"/>
      <c r="WK146" s="433"/>
      <c r="WL146" s="433"/>
      <c r="WM146" s="433"/>
      <c r="WN146" s="433"/>
      <c r="WO146" s="433"/>
      <c r="WP146" s="433"/>
      <c r="WQ146" s="433"/>
      <c r="WR146" s="433"/>
      <c r="WS146" s="433"/>
      <c r="WT146" s="433"/>
      <c r="WU146" s="433"/>
      <c r="WV146" s="433"/>
      <c r="WW146" s="433"/>
      <c r="WX146" s="433"/>
      <c r="WY146" s="433"/>
      <c r="WZ146" s="433"/>
      <c r="XA146" s="433"/>
      <c r="XB146" s="433"/>
      <c r="XC146" s="433"/>
      <c r="XD146" s="433"/>
      <c r="XE146" s="433"/>
      <c r="XF146" s="433"/>
      <c r="XG146" s="433"/>
      <c r="XH146" s="433"/>
      <c r="XI146" s="433"/>
      <c r="XJ146" s="433"/>
      <c r="XK146" s="433"/>
      <c r="XL146" s="433"/>
      <c r="XM146" s="433"/>
      <c r="XN146" s="433"/>
      <c r="XO146" s="433"/>
      <c r="XP146" s="433"/>
      <c r="XQ146" s="433"/>
      <c r="XR146" s="433"/>
      <c r="XS146" s="433"/>
      <c r="XT146" s="433"/>
      <c r="XU146" s="433"/>
      <c r="XV146" s="433"/>
      <c r="XW146" s="433"/>
      <c r="XX146" s="433"/>
      <c r="XY146" s="433"/>
      <c r="XZ146" s="433"/>
      <c r="YA146" s="433"/>
      <c r="YB146" s="433"/>
      <c r="YC146" s="433"/>
      <c r="YD146" s="433"/>
      <c r="YE146" s="433"/>
      <c r="YF146" s="433"/>
      <c r="YG146" s="433"/>
      <c r="YH146" s="433"/>
      <c r="YI146" s="433"/>
      <c r="YJ146" s="433"/>
      <c r="YK146" s="433"/>
      <c r="YL146" s="433"/>
      <c r="YM146" s="433"/>
      <c r="YN146" s="433"/>
      <c r="YO146" s="433"/>
      <c r="YP146" s="433"/>
      <c r="YQ146" s="433"/>
      <c r="YR146" s="433"/>
      <c r="YS146" s="433"/>
      <c r="YT146" s="433"/>
      <c r="YU146" s="433"/>
      <c r="YV146" s="433"/>
      <c r="YW146" s="433"/>
      <c r="YX146" s="433"/>
      <c r="YY146" s="433"/>
      <c r="YZ146" s="433"/>
      <c r="ZA146" s="433"/>
      <c r="ZB146" s="433"/>
      <c r="ZC146" s="433"/>
      <c r="ZD146" s="433"/>
      <c r="ZE146" s="433"/>
      <c r="ZF146" s="433"/>
      <c r="ZG146" s="433"/>
      <c r="ZH146" s="433"/>
      <c r="ZI146" s="433"/>
      <c r="ZJ146" s="433"/>
      <c r="ZK146" s="433"/>
      <c r="ZL146" s="433"/>
      <c r="ZM146" s="433"/>
      <c r="ZN146" s="433"/>
      <c r="ZO146" s="433"/>
      <c r="ZP146" s="433"/>
      <c r="ZQ146" s="433"/>
      <c r="ZR146" s="433"/>
      <c r="ZS146" s="433"/>
      <c r="ZT146" s="433"/>
      <c r="ZU146" s="433"/>
      <c r="ZV146" s="433"/>
      <c r="ZW146" s="433"/>
      <c r="ZX146" s="433"/>
      <c r="ZY146" s="433"/>
      <c r="ZZ146" s="433"/>
      <c r="AAA146" s="433"/>
      <c r="AAB146" s="433"/>
      <c r="AAC146" s="433"/>
      <c r="AAD146" s="433"/>
      <c r="AAE146" s="433"/>
      <c r="AAF146" s="433"/>
      <c r="AAG146" s="433"/>
      <c r="AAH146" s="433"/>
      <c r="AAI146" s="433"/>
      <c r="AAJ146" s="433"/>
      <c r="AAK146" s="433"/>
      <c r="AAL146" s="433"/>
      <c r="AAM146" s="433"/>
      <c r="AAN146" s="433"/>
      <c r="AAO146" s="433"/>
      <c r="AAP146" s="433"/>
      <c r="AAQ146" s="433"/>
      <c r="AAR146" s="433"/>
      <c r="AAS146" s="433"/>
      <c r="AAT146" s="433"/>
      <c r="AAU146" s="433"/>
      <c r="AAV146" s="433"/>
      <c r="AAW146" s="433"/>
      <c r="AAX146" s="433"/>
      <c r="AAY146" s="433"/>
      <c r="AAZ146" s="433"/>
      <c r="ABA146" s="433"/>
      <c r="ABB146" s="433"/>
      <c r="ABC146" s="433"/>
      <c r="ABD146" s="433"/>
      <c r="ABE146" s="433"/>
      <c r="ABF146" s="433"/>
      <c r="ABG146" s="433"/>
      <c r="ABH146" s="433"/>
      <c r="ABI146" s="433"/>
      <c r="ABJ146" s="433"/>
      <c r="ABK146" s="433"/>
      <c r="ABL146" s="433"/>
      <c r="ABM146" s="433"/>
      <c r="ABN146" s="433"/>
      <c r="ABO146" s="433"/>
      <c r="ABP146" s="433"/>
      <c r="ABQ146" s="433"/>
      <c r="ABR146" s="433"/>
      <c r="ABS146" s="433"/>
      <c r="ABT146" s="433"/>
      <c r="ABU146" s="433"/>
      <c r="ABV146" s="433"/>
      <c r="ABW146" s="433"/>
      <c r="ABX146" s="433"/>
      <c r="ABY146" s="433"/>
      <c r="ABZ146" s="433"/>
      <c r="ACA146" s="433"/>
      <c r="ACB146" s="433"/>
      <c r="ACC146" s="433"/>
      <c r="ACD146" s="433"/>
      <c r="ACE146" s="433"/>
      <c r="ACF146" s="433"/>
      <c r="ACG146" s="433"/>
      <c r="ACH146" s="433"/>
      <c r="ACI146" s="433"/>
      <c r="ACJ146" s="433"/>
      <c r="ACK146" s="433"/>
      <c r="ACL146" s="433"/>
      <c r="ACM146" s="433"/>
      <c r="ACN146" s="433"/>
      <c r="ACO146" s="433"/>
      <c r="ACP146" s="433"/>
      <c r="ACQ146" s="433"/>
      <c r="ACR146" s="433"/>
      <c r="ACS146" s="433"/>
      <c r="ACT146" s="433"/>
      <c r="ACU146" s="433"/>
      <c r="ACV146" s="433"/>
      <c r="ACW146" s="433"/>
      <c r="ACX146" s="433"/>
      <c r="ACY146" s="433"/>
      <c r="ACZ146" s="433"/>
      <c r="ADA146" s="433"/>
      <c r="ADB146" s="433"/>
      <c r="ADC146" s="433"/>
      <c r="ADD146" s="433"/>
      <c r="ADE146" s="433"/>
      <c r="ADF146" s="433"/>
      <c r="ADG146" s="433"/>
      <c r="ADH146" s="433"/>
      <c r="ADI146" s="433"/>
      <c r="ADJ146" s="433"/>
      <c r="ADK146" s="433"/>
      <c r="ADL146" s="433"/>
      <c r="ADM146" s="433"/>
      <c r="ADN146" s="433"/>
      <c r="ADO146" s="433"/>
      <c r="ADP146" s="433"/>
      <c r="ADQ146" s="433"/>
      <c r="ADR146" s="433"/>
      <c r="ADS146" s="433"/>
      <c r="ADT146" s="433"/>
      <c r="ADU146" s="433"/>
      <c r="ADV146" s="433"/>
      <c r="ADW146" s="433"/>
      <c r="ADX146" s="433"/>
      <c r="ADY146" s="433"/>
      <c r="ADZ146" s="433"/>
      <c r="AEA146" s="433"/>
      <c r="AEB146" s="433"/>
      <c r="AEC146" s="433"/>
      <c r="AED146" s="433"/>
      <c r="AEE146" s="433"/>
      <c r="AEF146" s="433"/>
      <c r="AEG146" s="433"/>
      <c r="AEH146" s="433"/>
      <c r="AEI146" s="433"/>
      <c r="AEJ146" s="433"/>
      <c r="AEK146" s="433"/>
      <c r="AEL146" s="433"/>
      <c r="AEM146" s="433"/>
      <c r="AEN146" s="433"/>
      <c r="AEO146" s="433"/>
      <c r="AEP146" s="433"/>
      <c r="AEQ146" s="433"/>
      <c r="AER146" s="433"/>
      <c r="AES146" s="433"/>
      <c r="AET146" s="433"/>
      <c r="AEU146" s="433"/>
      <c r="AEV146" s="433"/>
      <c r="AEW146" s="433"/>
      <c r="AEX146" s="433"/>
      <c r="AEY146" s="433"/>
      <c r="AEZ146" s="433"/>
      <c r="AFA146" s="433"/>
      <c r="AFB146" s="433"/>
      <c r="AFC146" s="433"/>
      <c r="AFD146" s="433"/>
      <c r="AFE146" s="433"/>
      <c r="AFF146" s="433"/>
      <c r="AFG146" s="433"/>
      <c r="AFH146" s="433"/>
      <c r="AFI146" s="433"/>
      <c r="AFJ146" s="433"/>
      <c r="AFK146" s="433"/>
      <c r="AFL146" s="433"/>
      <c r="AFM146" s="433"/>
      <c r="AFN146" s="433"/>
      <c r="AFO146" s="433"/>
      <c r="AFP146" s="433"/>
      <c r="AFQ146" s="433"/>
      <c r="AFR146" s="433"/>
      <c r="AFS146" s="433"/>
      <c r="AFT146" s="433"/>
      <c r="AFU146" s="433"/>
      <c r="AFV146" s="433"/>
      <c r="AFW146" s="433"/>
      <c r="AFX146" s="433"/>
      <c r="AFY146" s="433"/>
      <c r="AFZ146" s="433"/>
      <c r="AGA146" s="433"/>
      <c r="AGB146" s="433"/>
      <c r="AGC146" s="433"/>
      <c r="AGD146" s="433"/>
      <c r="AGE146" s="433"/>
      <c r="AGF146" s="433"/>
      <c r="AGG146" s="433"/>
      <c r="AGH146" s="433"/>
      <c r="AGI146" s="433"/>
      <c r="AGJ146" s="433"/>
      <c r="AGK146" s="433"/>
      <c r="AGL146" s="433"/>
      <c r="AGM146" s="433"/>
      <c r="AGN146" s="433"/>
      <c r="AGO146" s="433"/>
      <c r="AGP146" s="433"/>
      <c r="AGQ146" s="433"/>
      <c r="AGR146" s="433"/>
      <c r="AGS146" s="433"/>
      <c r="AGT146" s="433"/>
      <c r="AGU146" s="433"/>
      <c r="AGV146" s="433"/>
      <c r="AGW146" s="433"/>
      <c r="AGX146" s="433"/>
      <c r="AGY146" s="433"/>
      <c r="AGZ146" s="433"/>
      <c r="AHA146" s="433"/>
      <c r="AHB146" s="433"/>
      <c r="AHC146" s="433"/>
      <c r="AHD146" s="433"/>
      <c r="AHE146" s="433"/>
      <c r="AHF146" s="433"/>
      <c r="AHG146" s="433"/>
      <c r="AHH146" s="433"/>
      <c r="AHI146" s="433"/>
      <c r="AHJ146" s="433"/>
      <c r="AHK146" s="433"/>
      <c r="AHL146" s="433"/>
      <c r="AHM146" s="433"/>
      <c r="AHN146" s="433"/>
      <c r="AHO146" s="433"/>
      <c r="AHP146" s="433"/>
      <c r="AHQ146" s="433"/>
      <c r="AHR146" s="433"/>
      <c r="AHS146" s="433"/>
      <c r="AHT146" s="433"/>
      <c r="AHU146" s="433"/>
      <c r="AHV146" s="433"/>
      <c r="AHW146" s="433"/>
      <c r="AHX146" s="433"/>
      <c r="AHY146" s="433"/>
      <c r="AHZ146" s="433"/>
      <c r="AIA146" s="433"/>
      <c r="AIB146" s="433"/>
      <c r="AIC146" s="433"/>
      <c r="AID146" s="433"/>
      <c r="AIE146" s="433"/>
      <c r="AIF146" s="433"/>
      <c r="AIG146" s="433"/>
      <c r="AIH146" s="433"/>
      <c r="AII146" s="433"/>
      <c r="AIJ146" s="433"/>
      <c r="AIK146" s="433"/>
      <c r="AIL146" s="433"/>
      <c r="AIM146" s="433"/>
      <c r="AIN146" s="433"/>
      <c r="AIO146" s="433"/>
      <c r="AIP146" s="433"/>
      <c r="AIQ146" s="433"/>
      <c r="AIR146" s="433"/>
      <c r="AIS146" s="433"/>
      <c r="AIT146" s="433"/>
      <c r="AIU146" s="433"/>
      <c r="AIV146" s="433"/>
      <c r="AIW146" s="433"/>
      <c r="AIX146" s="433"/>
      <c r="AIY146" s="433"/>
      <c r="AIZ146" s="433"/>
      <c r="AJA146" s="433"/>
      <c r="AJB146" s="433"/>
      <c r="AJC146" s="433"/>
      <c r="AJD146" s="433"/>
      <c r="AJE146" s="433"/>
      <c r="AJF146" s="433"/>
      <c r="AJG146" s="433"/>
      <c r="AJH146" s="433"/>
      <c r="AJI146" s="433"/>
      <c r="AJJ146" s="433"/>
      <c r="AJK146" s="433"/>
      <c r="AJL146" s="433"/>
      <c r="AJM146" s="433"/>
      <c r="AJN146" s="433"/>
      <c r="AJO146" s="433"/>
      <c r="AJP146" s="433"/>
      <c r="AJQ146" s="433"/>
      <c r="AJR146" s="433"/>
      <c r="AJS146" s="433"/>
      <c r="AJT146" s="433"/>
      <c r="AJU146" s="433"/>
      <c r="AJV146" s="433"/>
      <c r="AJW146" s="433"/>
      <c r="AJX146" s="433"/>
      <c r="AJY146" s="433"/>
      <c r="AJZ146" s="433"/>
      <c r="AKA146" s="433"/>
      <c r="AKB146" s="433"/>
      <c r="AKC146" s="433"/>
      <c r="AKD146" s="433"/>
      <c r="AKE146" s="433"/>
      <c r="AKF146" s="433"/>
      <c r="AKG146" s="433"/>
      <c r="AKH146" s="433"/>
      <c r="AKI146" s="433"/>
      <c r="AKJ146" s="433"/>
      <c r="AKK146" s="433"/>
      <c r="AKL146" s="433"/>
      <c r="AKM146" s="433"/>
      <c r="AKN146" s="433"/>
      <c r="AKO146" s="433"/>
      <c r="AKP146" s="433"/>
      <c r="AKQ146" s="433"/>
      <c r="AKR146" s="433"/>
      <c r="AKS146" s="433"/>
      <c r="AKT146" s="433"/>
      <c r="AKU146" s="433"/>
      <c r="AKV146" s="433"/>
      <c r="AKW146" s="433"/>
      <c r="AKX146" s="433"/>
      <c r="AKY146" s="433"/>
      <c r="AKZ146" s="433"/>
      <c r="ALA146" s="433"/>
      <c r="ALB146" s="433"/>
      <c r="ALC146" s="433"/>
      <c r="ALD146" s="433"/>
      <c r="ALE146" s="433"/>
      <c r="ALF146" s="433"/>
      <c r="ALG146" s="433"/>
      <c r="ALH146" s="433"/>
      <c r="ALI146" s="433"/>
      <c r="ALJ146" s="433"/>
      <c r="ALK146" s="433"/>
      <c r="ALL146" s="433"/>
      <c r="ALM146" s="433"/>
      <c r="ALN146" s="433"/>
      <c r="ALO146" s="433"/>
      <c r="ALP146" s="433"/>
      <c r="ALQ146" s="433"/>
      <c r="ALR146" s="433"/>
      <c r="ALS146" s="433"/>
      <c r="ALT146" s="433"/>
      <c r="ALU146" s="433"/>
      <c r="ALV146" s="433"/>
      <c r="ALW146" s="433"/>
      <c r="ALX146" s="433"/>
      <c r="ALY146" s="433"/>
      <c r="ALZ146" s="433"/>
      <c r="AMA146" s="433"/>
      <c r="AMB146" s="433"/>
      <c r="AMC146" s="433"/>
      <c r="AMD146" s="433"/>
      <c r="AME146" s="433"/>
      <c r="AMF146" s="433"/>
      <c r="AMG146" s="433"/>
      <c r="AMH146" s="433"/>
      <c r="AMI146" s="433"/>
      <c r="AMJ146" s="433"/>
      <c r="AMK146" s="433"/>
      <c r="AML146" s="433"/>
      <c r="AMM146" s="433"/>
      <c r="AMN146" s="433"/>
      <c r="AMO146" s="433"/>
      <c r="AMP146" s="433"/>
      <c r="AMQ146" s="433"/>
      <c r="AMR146" s="433"/>
      <c r="AMS146" s="433"/>
      <c r="AMT146" s="433"/>
      <c r="AMU146" s="433"/>
      <c r="AMV146" s="433"/>
      <c r="AMW146" s="433"/>
      <c r="AMX146" s="433"/>
      <c r="AMY146" s="433"/>
      <c r="AMZ146" s="433"/>
      <c r="ANA146" s="433"/>
      <c r="ANB146" s="433"/>
      <c r="ANC146" s="433"/>
      <c r="AND146" s="433"/>
      <c r="ANE146" s="433"/>
      <c r="ANF146" s="433"/>
      <c r="ANG146" s="433"/>
      <c r="ANH146" s="433"/>
      <c r="ANI146" s="433"/>
      <c r="ANJ146" s="433"/>
      <c r="ANK146" s="433"/>
      <c r="ANL146" s="433"/>
      <c r="ANM146" s="433"/>
      <c r="ANN146" s="433"/>
      <c r="ANO146" s="433"/>
      <c r="ANP146" s="433"/>
      <c r="ANQ146" s="433"/>
      <c r="ANR146" s="433"/>
      <c r="ANS146" s="433"/>
      <c r="ANT146" s="433"/>
      <c r="ANU146" s="433"/>
      <c r="ANV146" s="433"/>
      <c r="ANW146" s="433"/>
      <c r="ANX146" s="433"/>
      <c r="ANY146" s="433"/>
      <c r="ANZ146" s="433"/>
      <c r="AOA146" s="433"/>
      <c r="AOB146" s="433"/>
      <c r="AOC146" s="433"/>
      <c r="AOD146" s="433"/>
      <c r="AOE146" s="433"/>
      <c r="AOF146" s="433"/>
      <c r="AOG146" s="433"/>
      <c r="AOH146" s="433"/>
      <c r="AOI146" s="433"/>
      <c r="AOJ146" s="433"/>
      <c r="AOK146" s="433"/>
      <c r="AOL146" s="433"/>
      <c r="AOM146" s="433"/>
      <c r="AON146" s="433"/>
      <c r="AOO146" s="433"/>
      <c r="AOP146" s="433"/>
      <c r="AOQ146" s="433"/>
      <c r="AOR146" s="433"/>
      <c r="AOS146" s="433"/>
      <c r="AOT146" s="433"/>
      <c r="AOU146" s="433"/>
      <c r="AOV146" s="433"/>
      <c r="AOW146" s="433"/>
      <c r="AOX146" s="433"/>
      <c r="AOY146" s="433"/>
      <c r="AOZ146" s="433"/>
      <c r="APA146" s="433"/>
      <c r="APB146" s="433"/>
      <c r="APC146" s="433"/>
      <c r="APD146" s="433"/>
      <c r="APE146" s="433"/>
      <c r="APF146" s="433"/>
      <c r="APG146" s="433"/>
      <c r="APH146" s="433"/>
      <c r="API146" s="433"/>
      <c r="APJ146" s="433"/>
      <c r="APK146" s="433"/>
      <c r="APL146" s="433"/>
      <c r="APM146" s="433"/>
      <c r="APN146" s="433"/>
      <c r="APO146" s="433"/>
      <c r="APP146" s="433"/>
      <c r="APQ146" s="433"/>
      <c r="APR146" s="433"/>
      <c r="APS146" s="433"/>
      <c r="APT146" s="433"/>
      <c r="APU146" s="433"/>
      <c r="APV146" s="433"/>
      <c r="APW146" s="433"/>
      <c r="APX146" s="433"/>
      <c r="APY146" s="433"/>
      <c r="APZ146" s="433"/>
      <c r="AQA146" s="433"/>
      <c r="AQB146" s="433"/>
      <c r="AQC146" s="433"/>
      <c r="AQD146" s="433"/>
      <c r="AQE146" s="433"/>
      <c r="AQF146" s="433"/>
      <c r="AQG146" s="433"/>
      <c r="AQH146" s="433"/>
      <c r="AQI146" s="433"/>
      <c r="AQJ146" s="433"/>
      <c r="AQK146" s="433"/>
      <c r="AQL146" s="433"/>
      <c r="AQM146" s="433"/>
      <c r="AQN146" s="433"/>
      <c r="AQO146" s="433"/>
      <c r="AQP146" s="433"/>
      <c r="AQQ146" s="433"/>
      <c r="AQR146" s="433"/>
      <c r="AQS146" s="433"/>
      <c r="AQT146" s="433"/>
      <c r="AQU146" s="433"/>
      <c r="AQV146" s="433"/>
      <c r="AQW146" s="433"/>
      <c r="AQX146" s="433"/>
      <c r="AQY146" s="433"/>
      <c r="AQZ146" s="433"/>
      <c r="ARA146" s="433"/>
      <c r="ARB146" s="433"/>
      <c r="ARC146" s="433"/>
      <c r="ARD146" s="433"/>
      <c r="ARE146" s="433"/>
      <c r="ARF146" s="433"/>
      <c r="ARG146" s="433"/>
      <c r="ARH146" s="433"/>
      <c r="ARI146" s="433"/>
      <c r="ARJ146" s="433"/>
      <c r="ARK146" s="433"/>
      <c r="ARL146" s="433"/>
      <c r="ARM146" s="433"/>
      <c r="ARN146" s="433"/>
      <c r="ARO146" s="433"/>
      <c r="ARP146" s="433"/>
      <c r="ARQ146" s="433"/>
      <c r="ARR146" s="433"/>
      <c r="ARS146" s="433"/>
      <c r="ART146" s="433"/>
      <c r="ARU146" s="433"/>
      <c r="ARV146" s="433"/>
      <c r="ARW146" s="433"/>
      <c r="ARX146" s="433"/>
      <c r="ARY146" s="433"/>
      <c r="ARZ146" s="433"/>
      <c r="ASA146" s="433"/>
      <c r="ASB146" s="433"/>
      <c r="ASC146" s="433"/>
      <c r="ASD146" s="433"/>
      <c r="ASE146" s="433"/>
      <c r="ASF146" s="433"/>
      <c r="ASG146" s="433"/>
      <c r="ASH146" s="433"/>
      <c r="ASI146" s="433"/>
      <c r="ASJ146" s="433"/>
      <c r="ASK146" s="433"/>
      <c r="ASL146" s="433"/>
      <c r="ASM146" s="433"/>
      <c r="ASN146" s="433"/>
      <c r="ASO146" s="433"/>
      <c r="ASP146" s="433"/>
      <c r="ASQ146" s="433"/>
      <c r="ASR146" s="433"/>
      <c r="ASS146" s="433"/>
      <c r="AST146" s="433"/>
      <c r="ASU146" s="433"/>
      <c r="ASV146" s="433"/>
      <c r="ASW146" s="433"/>
      <c r="ASX146" s="433"/>
      <c r="ASY146" s="433"/>
      <c r="ASZ146" s="433"/>
      <c r="ATA146" s="433"/>
      <c r="ATB146" s="433"/>
      <c r="ATC146" s="433"/>
      <c r="ATD146" s="433"/>
      <c r="ATE146" s="433"/>
      <c r="ATF146" s="433"/>
      <c r="ATG146" s="433"/>
      <c r="ATH146" s="433"/>
      <c r="ATI146" s="433"/>
      <c r="ATJ146" s="433"/>
      <c r="ATK146" s="433"/>
      <c r="ATL146" s="433"/>
      <c r="ATM146" s="433"/>
      <c r="ATN146" s="433"/>
      <c r="ATO146" s="433"/>
      <c r="ATP146" s="433"/>
      <c r="ATQ146" s="433"/>
      <c r="ATR146" s="433"/>
      <c r="ATS146" s="433"/>
      <c r="ATT146" s="433"/>
      <c r="ATU146" s="433"/>
      <c r="ATV146" s="433"/>
      <c r="ATW146" s="433"/>
      <c r="ATX146" s="433"/>
      <c r="ATY146" s="433"/>
      <c r="ATZ146" s="433"/>
      <c r="AUA146" s="433"/>
      <c r="AUB146" s="433"/>
      <c r="AUC146" s="433"/>
      <c r="AUD146" s="433"/>
      <c r="AUE146" s="433"/>
      <c r="AUF146" s="433"/>
      <c r="AUG146" s="433"/>
      <c r="AUH146" s="433"/>
      <c r="AUI146" s="433"/>
      <c r="AUJ146" s="433"/>
      <c r="AUK146" s="433"/>
      <c r="AUL146" s="433"/>
      <c r="AUM146" s="433"/>
      <c r="AUN146" s="433"/>
      <c r="AUO146" s="433"/>
      <c r="AUP146" s="433"/>
      <c r="AUQ146" s="433"/>
      <c r="AUR146" s="433"/>
      <c r="AUS146" s="433"/>
      <c r="AUT146" s="433"/>
      <c r="AUU146" s="433"/>
      <c r="AUV146" s="433"/>
      <c r="AUW146" s="433"/>
      <c r="AUX146" s="433"/>
      <c r="AUY146" s="433"/>
      <c r="AUZ146" s="433"/>
      <c r="AVA146" s="433"/>
      <c r="AVB146" s="433"/>
      <c r="AVC146" s="433"/>
      <c r="AVD146" s="433"/>
      <c r="AVE146" s="433"/>
      <c r="AVF146" s="433"/>
      <c r="AVG146" s="433"/>
      <c r="AVH146" s="433"/>
      <c r="AVI146" s="433"/>
      <c r="AVJ146" s="433"/>
      <c r="AVK146" s="433"/>
      <c r="AVL146" s="433"/>
      <c r="AVM146" s="433"/>
      <c r="AVN146" s="433"/>
      <c r="AVO146" s="433"/>
      <c r="AVP146" s="433"/>
      <c r="AVQ146" s="433"/>
      <c r="AVR146" s="433"/>
      <c r="AVS146" s="433"/>
      <c r="AVT146" s="433"/>
      <c r="AVU146" s="433"/>
      <c r="AVV146" s="433"/>
      <c r="AVW146" s="433"/>
      <c r="AVX146" s="433"/>
      <c r="AVY146" s="433"/>
      <c r="AVZ146" s="433"/>
      <c r="AWA146" s="433"/>
      <c r="AWB146" s="433"/>
      <c r="AWC146" s="433"/>
      <c r="AWD146" s="433"/>
      <c r="AWE146" s="433"/>
      <c r="AWF146" s="433"/>
      <c r="AWG146" s="433"/>
      <c r="AWH146" s="433"/>
      <c r="AWI146" s="433"/>
      <c r="AWJ146" s="433"/>
      <c r="AWK146" s="433"/>
      <c r="AWL146" s="433"/>
      <c r="AWM146" s="433"/>
      <c r="AWN146" s="433"/>
      <c r="AWO146" s="433"/>
      <c r="AWP146" s="433"/>
      <c r="AWQ146" s="433"/>
      <c r="AWR146" s="433"/>
      <c r="AWS146" s="433"/>
      <c r="AWT146" s="433"/>
      <c r="AWU146" s="433"/>
      <c r="AWV146" s="433"/>
      <c r="AWW146" s="433"/>
      <c r="AWX146" s="433"/>
      <c r="AWY146" s="433"/>
      <c r="AWZ146" s="433"/>
      <c r="AXA146" s="433"/>
      <c r="AXB146" s="433"/>
      <c r="AXC146" s="433"/>
      <c r="AXD146" s="433"/>
      <c r="AXE146" s="433"/>
      <c r="AXF146" s="433"/>
      <c r="AXG146" s="433"/>
      <c r="AXH146" s="433"/>
      <c r="AXI146" s="433"/>
      <c r="AXJ146" s="433"/>
      <c r="AXK146" s="433"/>
      <c r="AXL146" s="433"/>
      <c r="AXM146" s="433"/>
      <c r="AXN146" s="433"/>
      <c r="AXO146" s="433"/>
      <c r="AXP146" s="433"/>
      <c r="AXQ146" s="433"/>
      <c r="AXR146" s="433"/>
      <c r="AXS146" s="433"/>
      <c r="AXT146" s="433"/>
      <c r="AXU146" s="433"/>
      <c r="AXV146" s="433"/>
      <c r="AXW146" s="433"/>
      <c r="AXX146" s="433"/>
      <c r="AXY146" s="433"/>
      <c r="AXZ146" s="433"/>
      <c r="AYA146" s="433"/>
      <c r="AYB146" s="433"/>
      <c r="AYC146" s="433"/>
      <c r="AYD146" s="433"/>
      <c r="AYE146" s="433"/>
      <c r="AYF146" s="433"/>
      <c r="AYG146" s="433"/>
      <c r="AYH146" s="433"/>
      <c r="AYI146" s="433"/>
      <c r="AYJ146" s="433"/>
      <c r="AYK146" s="433"/>
      <c r="AYL146" s="433"/>
      <c r="AYM146" s="433"/>
      <c r="AYN146" s="433"/>
      <c r="AYO146" s="433"/>
      <c r="AYP146" s="433"/>
      <c r="AYQ146" s="433"/>
      <c r="AYR146" s="433"/>
      <c r="AYS146" s="433"/>
      <c r="AYT146" s="433"/>
      <c r="AYU146" s="433"/>
      <c r="AYV146" s="433"/>
      <c r="AYW146" s="433"/>
      <c r="AYX146" s="433"/>
      <c r="AYY146" s="433"/>
      <c r="AYZ146" s="433"/>
      <c r="AZA146" s="433"/>
      <c r="AZB146" s="433"/>
      <c r="AZC146" s="433"/>
      <c r="AZD146" s="433"/>
      <c r="AZE146" s="433"/>
      <c r="AZF146" s="433"/>
      <c r="AZG146" s="433"/>
      <c r="AZH146" s="433"/>
      <c r="AZI146" s="433"/>
      <c r="AZJ146" s="433"/>
      <c r="AZK146" s="433"/>
      <c r="AZL146" s="433"/>
      <c r="AZM146" s="433"/>
      <c r="AZN146" s="433"/>
      <c r="AZO146" s="433"/>
      <c r="AZP146" s="433"/>
      <c r="AZQ146" s="433"/>
      <c r="AZR146" s="433"/>
      <c r="AZS146" s="433"/>
      <c r="AZT146" s="433"/>
      <c r="AZU146" s="433"/>
      <c r="AZV146" s="433"/>
      <c r="AZW146" s="433"/>
      <c r="AZX146" s="433"/>
      <c r="AZY146" s="433"/>
      <c r="AZZ146" s="433"/>
      <c r="BAA146" s="433"/>
      <c r="BAB146" s="433"/>
      <c r="BAC146" s="433"/>
      <c r="BAD146" s="433"/>
      <c r="BAE146" s="433"/>
      <c r="BAF146" s="433"/>
      <c r="BAG146" s="433"/>
      <c r="BAH146" s="433"/>
      <c r="BAI146" s="433"/>
      <c r="BAJ146" s="433"/>
      <c r="BAK146" s="433"/>
      <c r="BAL146" s="433"/>
      <c r="BAM146" s="433"/>
      <c r="BAN146" s="433"/>
      <c r="BAO146" s="433"/>
      <c r="BAP146" s="433"/>
      <c r="BAQ146" s="433"/>
      <c r="BAR146" s="433"/>
      <c r="BAS146" s="433"/>
      <c r="BAT146" s="433"/>
      <c r="BAU146" s="433"/>
      <c r="BAV146" s="433"/>
      <c r="BAW146" s="433"/>
      <c r="BAX146" s="433"/>
      <c r="BAY146" s="433"/>
      <c r="BAZ146" s="433"/>
      <c r="BBA146" s="433"/>
      <c r="BBB146" s="433"/>
      <c r="BBC146" s="433"/>
      <c r="BBD146" s="433"/>
      <c r="BBE146" s="433"/>
      <c r="BBF146" s="433"/>
      <c r="BBG146" s="433"/>
      <c r="BBH146" s="433"/>
      <c r="BBI146" s="433"/>
      <c r="BBJ146" s="433"/>
      <c r="BBK146" s="433"/>
      <c r="BBL146" s="433"/>
      <c r="BBM146" s="433"/>
      <c r="BBN146" s="433"/>
      <c r="BBO146" s="433"/>
      <c r="BBP146" s="433"/>
      <c r="BBQ146" s="433"/>
      <c r="BBR146" s="433"/>
      <c r="BBS146" s="433"/>
      <c r="BBT146" s="433"/>
      <c r="BBU146" s="433"/>
      <c r="BBV146" s="433"/>
      <c r="BBW146" s="433"/>
      <c r="BBX146" s="433"/>
      <c r="BBY146" s="433"/>
      <c r="BBZ146" s="433"/>
      <c r="BCA146" s="433"/>
      <c r="BCB146" s="433"/>
      <c r="BCC146" s="433"/>
      <c r="BCD146" s="433"/>
      <c r="BCE146" s="433"/>
      <c r="BCF146" s="433"/>
      <c r="BCG146" s="433"/>
      <c r="BCH146" s="433"/>
      <c r="BCI146" s="433"/>
      <c r="BCJ146" s="433"/>
      <c r="BCK146" s="433"/>
      <c r="BCL146" s="433"/>
      <c r="BCM146" s="433"/>
      <c r="BCN146" s="433"/>
      <c r="BCO146" s="433"/>
      <c r="BCP146" s="433"/>
      <c r="BCQ146" s="433"/>
      <c r="BCR146" s="433"/>
      <c r="BCS146" s="433"/>
      <c r="BCT146" s="433"/>
      <c r="BCU146" s="433"/>
      <c r="BCV146" s="433"/>
      <c r="BCW146" s="433"/>
      <c r="BCX146" s="433"/>
      <c r="BCY146" s="433"/>
      <c r="BCZ146" s="433"/>
      <c r="BDA146" s="433"/>
      <c r="BDB146" s="433"/>
      <c r="BDC146" s="433"/>
      <c r="BDD146" s="433"/>
      <c r="BDE146" s="433"/>
      <c r="BDF146" s="433"/>
      <c r="BDG146" s="433"/>
      <c r="BDH146" s="433"/>
      <c r="BDI146" s="433"/>
      <c r="BDJ146" s="433"/>
      <c r="BDK146" s="433"/>
      <c r="BDL146" s="433"/>
      <c r="BDM146" s="433"/>
      <c r="BDN146" s="433"/>
      <c r="BDO146" s="433"/>
      <c r="BDP146" s="433"/>
      <c r="BDQ146" s="433"/>
      <c r="BDR146" s="433"/>
      <c r="BDS146" s="433"/>
      <c r="BDT146" s="433"/>
      <c r="BDU146" s="433"/>
      <c r="BDV146" s="433"/>
      <c r="BDW146" s="433"/>
      <c r="BDX146" s="433"/>
      <c r="BDY146" s="433"/>
      <c r="BDZ146" s="433"/>
      <c r="BEA146" s="433"/>
      <c r="BEB146" s="433"/>
      <c r="BEC146" s="433"/>
      <c r="BED146" s="433"/>
      <c r="BEE146" s="433"/>
      <c r="BEF146" s="433"/>
      <c r="BEG146" s="433"/>
      <c r="BEH146" s="433"/>
      <c r="BEI146" s="433"/>
      <c r="BEJ146" s="433"/>
      <c r="BEK146" s="433"/>
      <c r="BEL146" s="433"/>
      <c r="BEM146" s="433"/>
      <c r="BEN146" s="433"/>
      <c r="BEO146" s="433"/>
      <c r="BEP146" s="433"/>
      <c r="BEQ146" s="433"/>
      <c r="BER146" s="433"/>
      <c r="BES146" s="433"/>
      <c r="BET146" s="433"/>
      <c r="BEU146" s="433"/>
      <c r="BEV146" s="433"/>
      <c r="BEW146" s="433"/>
      <c r="BEX146" s="433"/>
      <c r="BEY146" s="433"/>
      <c r="BEZ146" s="433"/>
      <c r="BFA146" s="433"/>
      <c r="BFB146" s="433"/>
      <c r="BFC146" s="433"/>
      <c r="BFD146" s="433"/>
      <c r="BFE146" s="433"/>
      <c r="BFF146" s="433"/>
      <c r="BFG146" s="433"/>
      <c r="BFH146" s="433"/>
      <c r="BFI146" s="433"/>
      <c r="BFJ146" s="433"/>
      <c r="BFK146" s="433"/>
      <c r="BFL146" s="433"/>
      <c r="BFM146" s="433"/>
      <c r="BFN146" s="433"/>
      <c r="BFO146" s="433"/>
      <c r="BFP146" s="433"/>
      <c r="BFQ146" s="433"/>
      <c r="BFR146" s="433"/>
      <c r="BFS146" s="433"/>
      <c r="BFT146" s="433"/>
      <c r="BFU146" s="433"/>
      <c r="BFV146" s="433"/>
      <c r="BFW146" s="433"/>
      <c r="BFX146" s="433"/>
      <c r="BFY146" s="433"/>
      <c r="BFZ146" s="433"/>
      <c r="BGA146" s="433"/>
      <c r="BGB146" s="433"/>
      <c r="BGC146" s="433"/>
      <c r="BGD146" s="433"/>
      <c r="BGE146" s="433"/>
      <c r="BGF146" s="433"/>
      <c r="BGG146" s="433"/>
      <c r="BGH146" s="433"/>
      <c r="BGI146" s="433"/>
      <c r="BGJ146" s="433"/>
      <c r="BGK146" s="433"/>
      <c r="BGL146" s="433"/>
      <c r="BGM146" s="433"/>
      <c r="BGN146" s="433"/>
      <c r="BGO146" s="433"/>
      <c r="BGP146" s="433"/>
      <c r="BGQ146" s="433"/>
      <c r="BGR146" s="433"/>
      <c r="BGS146" s="433"/>
      <c r="BGT146" s="433"/>
      <c r="BGU146" s="433"/>
      <c r="BGV146" s="433"/>
      <c r="BGW146" s="433"/>
      <c r="BGX146" s="433"/>
      <c r="BGY146" s="433"/>
      <c r="BGZ146" s="433"/>
      <c r="BHA146" s="433"/>
      <c r="BHB146" s="433"/>
      <c r="BHC146" s="433"/>
      <c r="BHD146" s="433"/>
      <c r="BHE146" s="433"/>
      <c r="BHF146" s="433"/>
      <c r="BHG146" s="433"/>
      <c r="BHH146" s="433"/>
      <c r="BHI146" s="433"/>
      <c r="BHJ146" s="433"/>
      <c r="BHK146" s="433"/>
      <c r="BHL146" s="433"/>
      <c r="BHM146" s="433"/>
      <c r="BHN146" s="433"/>
      <c r="BHO146" s="433"/>
      <c r="BHP146" s="433"/>
      <c r="BHQ146" s="433"/>
      <c r="BHR146" s="433"/>
      <c r="BHS146" s="433"/>
      <c r="BHT146" s="433"/>
      <c r="BHU146" s="433"/>
      <c r="BHV146" s="433"/>
      <c r="BHW146" s="433"/>
      <c r="BHX146" s="433"/>
      <c r="BHY146" s="433"/>
      <c r="BHZ146" s="433"/>
      <c r="BIA146" s="433"/>
      <c r="BIB146" s="433"/>
      <c r="BIC146" s="433"/>
      <c r="BID146" s="433"/>
      <c r="BIE146" s="433"/>
      <c r="BIF146" s="433"/>
      <c r="BIG146" s="433"/>
      <c r="BIH146" s="433"/>
      <c r="BII146" s="433"/>
      <c r="BIJ146" s="433"/>
      <c r="BIK146" s="433"/>
      <c r="BIL146" s="433"/>
      <c r="BIM146" s="433"/>
      <c r="BIN146" s="433"/>
      <c r="BIO146" s="433"/>
      <c r="BIP146" s="433"/>
      <c r="BIQ146" s="433"/>
      <c r="BIR146" s="433"/>
      <c r="BIS146" s="433"/>
      <c r="BIT146" s="433"/>
      <c r="BIU146" s="433"/>
      <c r="BIV146" s="433"/>
      <c r="BIW146" s="433"/>
      <c r="BIX146" s="433"/>
      <c r="BIY146" s="433"/>
      <c r="BIZ146" s="433"/>
      <c r="BJA146" s="433"/>
      <c r="BJB146" s="433"/>
      <c r="BJC146" s="433"/>
      <c r="BJD146" s="433"/>
      <c r="BJE146" s="433"/>
      <c r="BJF146" s="433"/>
      <c r="BJG146" s="433"/>
      <c r="BJH146" s="433"/>
      <c r="BJI146" s="433"/>
      <c r="BJJ146" s="433"/>
      <c r="BJK146" s="433"/>
      <c r="BJL146" s="433"/>
      <c r="BJM146" s="433"/>
      <c r="BJN146" s="433"/>
      <c r="BJO146" s="433"/>
      <c r="BJP146" s="433"/>
      <c r="BJQ146" s="433"/>
      <c r="BJR146" s="433"/>
      <c r="BJS146" s="433"/>
      <c r="BJT146" s="433"/>
      <c r="BJU146" s="433"/>
      <c r="BJV146" s="433"/>
      <c r="BJW146" s="433"/>
      <c r="BJX146" s="433"/>
      <c r="BJY146" s="433"/>
      <c r="BJZ146" s="433"/>
      <c r="BKA146" s="433"/>
      <c r="BKB146" s="433"/>
      <c r="BKC146" s="433"/>
      <c r="BKD146" s="433"/>
      <c r="BKE146" s="433"/>
      <c r="BKF146" s="433"/>
      <c r="BKG146" s="433"/>
      <c r="BKH146" s="433"/>
      <c r="BKI146" s="433"/>
      <c r="BKJ146" s="433"/>
      <c r="BKK146" s="433"/>
      <c r="BKL146" s="433"/>
      <c r="BKM146" s="433"/>
      <c r="BKN146" s="433"/>
      <c r="BKO146" s="433"/>
      <c r="BKP146" s="433"/>
      <c r="BKQ146" s="433"/>
      <c r="BKR146" s="433"/>
      <c r="BKS146" s="433"/>
      <c r="BKT146" s="433"/>
      <c r="BKU146" s="433"/>
      <c r="BKV146" s="433"/>
      <c r="BKW146" s="433"/>
      <c r="BKX146" s="433"/>
      <c r="BKY146" s="433"/>
      <c r="BKZ146" s="433"/>
      <c r="BLA146" s="433"/>
      <c r="BLB146" s="433"/>
      <c r="BLC146" s="433"/>
      <c r="BLD146" s="433"/>
      <c r="BLE146" s="433"/>
      <c r="BLF146" s="433"/>
      <c r="BLG146" s="433"/>
      <c r="BLH146" s="433"/>
      <c r="BLI146" s="433"/>
      <c r="BLJ146" s="433"/>
      <c r="BLK146" s="433"/>
      <c r="BLL146" s="433"/>
      <c r="BLM146" s="433"/>
      <c r="BLN146" s="433"/>
      <c r="BLO146" s="433"/>
      <c r="BLP146" s="433"/>
      <c r="BLQ146" s="433"/>
      <c r="BLR146" s="433"/>
      <c r="BLS146" s="433"/>
      <c r="BLT146" s="433"/>
      <c r="BLU146" s="433"/>
      <c r="BLV146" s="433"/>
      <c r="BLW146" s="433"/>
      <c r="BLX146" s="433"/>
      <c r="BLY146" s="433"/>
      <c r="BLZ146" s="433"/>
      <c r="BMA146" s="433"/>
      <c r="BMB146" s="433"/>
      <c r="BMC146" s="433"/>
      <c r="BMD146" s="433"/>
      <c r="BME146" s="433"/>
      <c r="BMF146" s="433"/>
      <c r="BMG146" s="433"/>
      <c r="BMH146" s="433"/>
      <c r="BMI146" s="433"/>
      <c r="BMJ146" s="433"/>
      <c r="BMK146" s="433"/>
      <c r="BML146" s="433"/>
      <c r="BMM146" s="433"/>
      <c r="BMN146" s="433"/>
      <c r="BMO146" s="433"/>
      <c r="BMP146" s="433"/>
      <c r="BMQ146" s="433"/>
      <c r="BMR146" s="433"/>
      <c r="BMS146" s="433"/>
      <c r="BMT146" s="433"/>
      <c r="BMU146" s="433"/>
      <c r="BMV146" s="433"/>
      <c r="BMW146" s="433"/>
      <c r="BMX146" s="433"/>
      <c r="BMY146" s="433"/>
      <c r="BMZ146" s="433"/>
      <c r="BNA146" s="433"/>
      <c r="BNB146" s="433"/>
      <c r="BNC146" s="433"/>
      <c r="BND146" s="433"/>
      <c r="BNE146" s="433"/>
      <c r="BNF146" s="433"/>
      <c r="BNG146" s="433"/>
      <c r="BNH146" s="433"/>
      <c r="BNI146" s="433"/>
      <c r="BNJ146" s="433"/>
      <c r="BNK146" s="433"/>
      <c r="BNL146" s="433"/>
      <c r="BNM146" s="433"/>
      <c r="BNN146" s="433"/>
      <c r="BNO146" s="433"/>
      <c r="BNP146" s="433"/>
      <c r="BNQ146" s="433"/>
      <c r="BNR146" s="433"/>
      <c r="BNS146" s="433"/>
      <c r="BNT146" s="433"/>
      <c r="BNU146" s="433"/>
      <c r="BNV146" s="433"/>
      <c r="BNW146" s="433"/>
      <c r="BNX146" s="433"/>
      <c r="BNY146" s="433"/>
      <c r="BNZ146" s="433"/>
      <c r="BOA146" s="433"/>
      <c r="BOB146" s="433"/>
      <c r="BOC146" s="433"/>
      <c r="BOD146" s="433"/>
      <c r="BOE146" s="433"/>
      <c r="BOF146" s="433"/>
      <c r="BOG146" s="433"/>
      <c r="BOH146" s="433"/>
      <c r="BOI146" s="433"/>
      <c r="BOJ146" s="433"/>
      <c r="BOK146" s="433"/>
      <c r="BOL146" s="433"/>
      <c r="BOM146" s="433"/>
      <c r="BON146" s="433"/>
      <c r="BOO146" s="433"/>
      <c r="BOP146" s="433"/>
      <c r="BOQ146" s="433"/>
      <c r="BOR146" s="433"/>
      <c r="BOS146" s="433"/>
      <c r="BOT146" s="433"/>
      <c r="BOU146" s="433"/>
      <c r="BOV146" s="433"/>
      <c r="BOW146" s="433"/>
      <c r="BOX146" s="433"/>
      <c r="BOY146" s="433"/>
      <c r="BOZ146" s="433"/>
      <c r="BPA146" s="433"/>
      <c r="BPB146" s="433"/>
      <c r="BPC146" s="433"/>
      <c r="BPD146" s="433"/>
      <c r="BPE146" s="433"/>
      <c r="BPF146" s="433"/>
      <c r="BPG146" s="433"/>
      <c r="BPH146" s="433"/>
      <c r="BPI146" s="433"/>
      <c r="BPJ146" s="433"/>
      <c r="BPK146" s="433"/>
      <c r="BPL146" s="433"/>
      <c r="BPM146" s="433"/>
      <c r="BPN146" s="433"/>
      <c r="BPO146" s="433"/>
      <c r="BPP146" s="433"/>
      <c r="BPQ146" s="433"/>
      <c r="BPR146" s="433"/>
      <c r="BPS146" s="433"/>
      <c r="BPT146" s="433"/>
      <c r="BPU146" s="433"/>
      <c r="BPV146" s="433"/>
      <c r="BPW146" s="433"/>
      <c r="BPX146" s="433"/>
      <c r="BPY146" s="433"/>
      <c r="BPZ146" s="433"/>
      <c r="BQA146" s="433"/>
      <c r="BQB146" s="433"/>
      <c r="BQC146" s="433"/>
      <c r="BQD146" s="433"/>
      <c r="BQE146" s="433"/>
      <c r="BQF146" s="433"/>
      <c r="BQG146" s="433"/>
      <c r="BQH146" s="433"/>
      <c r="BQI146" s="433"/>
      <c r="BQJ146" s="433"/>
      <c r="BQK146" s="433"/>
      <c r="BQL146" s="433"/>
      <c r="BQM146" s="433"/>
      <c r="BQN146" s="433"/>
      <c r="BQO146" s="433"/>
      <c r="BQP146" s="433"/>
      <c r="BQQ146" s="433"/>
      <c r="BQR146" s="433"/>
      <c r="BQS146" s="433"/>
      <c r="BQT146" s="433"/>
      <c r="BQU146" s="433"/>
      <c r="BQV146" s="433"/>
      <c r="BQW146" s="433"/>
      <c r="BQX146" s="433"/>
      <c r="BQY146" s="433"/>
      <c r="BQZ146" s="433"/>
      <c r="BRA146" s="433"/>
      <c r="BRB146" s="433"/>
      <c r="BRC146" s="433"/>
      <c r="BRD146" s="433"/>
      <c r="BRE146" s="433"/>
      <c r="BRF146" s="433"/>
      <c r="BRG146" s="433"/>
      <c r="BRH146" s="433"/>
      <c r="BRI146" s="433"/>
      <c r="BRJ146" s="433"/>
      <c r="BRK146" s="433"/>
      <c r="BRL146" s="433"/>
      <c r="BRM146" s="433"/>
      <c r="BRN146" s="433"/>
      <c r="BRO146" s="433"/>
      <c r="BRP146" s="433"/>
      <c r="BRQ146" s="433"/>
      <c r="BRR146" s="433"/>
      <c r="BRS146" s="433"/>
      <c r="BRT146" s="433"/>
      <c r="BRU146" s="433"/>
      <c r="BRV146" s="433"/>
      <c r="BRW146" s="433"/>
      <c r="BRX146" s="433"/>
      <c r="BRY146" s="433"/>
      <c r="BRZ146" s="433"/>
      <c r="BSA146" s="433"/>
      <c r="BSB146" s="433"/>
      <c r="BSC146" s="433"/>
      <c r="BSD146" s="433"/>
      <c r="BSE146" s="433"/>
      <c r="BSF146" s="433"/>
      <c r="BSG146" s="433"/>
      <c r="BSH146" s="433"/>
      <c r="BSI146" s="433"/>
      <c r="BSJ146" s="433"/>
      <c r="BSK146" s="433"/>
      <c r="BSL146" s="433"/>
      <c r="BSM146" s="433"/>
      <c r="BSN146" s="433"/>
      <c r="BSO146" s="433"/>
      <c r="BSP146" s="433"/>
      <c r="BSQ146" s="433"/>
      <c r="BSR146" s="433"/>
      <c r="BSS146" s="433"/>
      <c r="BST146" s="433"/>
      <c r="BSU146" s="433"/>
      <c r="BSV146" s="433"/>
      <c r="BSW146" s="433"/>
      <c r="BSX146" s="433"/>
      <c r="BSY146" s="433"/>
      <c r="BSZ146" s="433"/>
      <c r="BTA146" s="433"/>
      <c r="BTB146" s="433"/>
      <c r="BTC146" s="433"/>
      <c r="BTD146" s="433"/>
      <c r="BTE146" s="433"/>
      <c r="BTF146" s="433"/>
      <c r="BTG146" s="433"/>
      <c r="BTH146" s="433"/>
      <c r="BTI146" s="433"/>
      <c r="BTJ146" s="433"/>
      <c r="BTK146" s="433"/>
      <c r="BTL146" s="433"/>
      <c r="BTM146" s="433"/>
      <c r="BTN146" s="433"/>
      <c r="BTO146" s="433"/>
      <c r="BTP146" s="433"/>
      <c r="BTQ146" s="433"/>
      <c r="BTR146" s="433"/>
      <c r="BTS146" s="433"/>
      <c r="BTT146" s="433"/>
      <c r="BTU146" s="433"/>
      <c r="BTV146" s="433"/>
      <c r="BTW146" s="433"/>
      <c r="BTX146" s="433"/>
      <c r="BTY146" s="433"/>
      <c r="BTZ146" s="433"/>
      <c r="BUA146" s="433"/>
      <c r="BUB146" s="433"/>
      <c r="BUC146" s="433"/>
      <c r="BUD146" s="433"/>
      <c r="BUE146" s="433"/>
      <c r="BUF146" s="433"/>
      <c r="BUG146" s="433"/>
      <c r="BUH146" s="433"/>
      <c r="BUI146" s="433"/>
      <c r="BUJ146" s="433"/>
      <c r="BUK146" s="433"/>
      <c r="BUL146" s="433"/>
      <c r="BUM146" s="433"/>
      <c r="BUN146" s="433"/>
      <c r="BUO146" s="433"/>
      <c r="BUP146" s="433"/>
      <c r="BUQ146" s="433"/>
      <c r="BUR146" s="433"/>
      <c r="BUS146" s="433"/>
      <c r="BUT146" s="433"/>
      <c r="BUU146" s="433"/>
      <c r="BUV146" s="433"/>
      <c r="BUW146" s="433"/>
      <c r="BUX146" s="433"/>
      <c r="BUY146" s="433"/>
      <c r="BUZ146" s="433"/>
      <c r="BVA146" s="433"/>
      <c r="BVB146" s="433"/>
      <c r="BVC146" s="433"/>
      <c r="BVD146" s="433"/>
      <c r="BVE146" s="433"/>
      <c r="BVF146" s="433"/>
      <c r="BVG146" s="433"/>
      <c r="BVH146" s="433"/>
      <c r="BVI146" s="433"/>
      <c r="BVJ146" s="433"/>
      <c r="BVK146" s="433"/>
      <c r="BVL146" s="433"/>
      <c r="BVM146" s="433"/>
      <c r="BVN146" s="433"/>
      <c r="BVO146" s="433"/>
      <c r="BVP146" s="433"/>
      <c r="BVQ146" s="433"/>
      <c r="BVR146" s="433"/>
      <c r="BVS146" s="433"/>
      <c r="BVT146" s="433"/>
      <c r="BVU146" s="433"/>
      <c r="BVV146" s="433"/>
      <c r="BVW146" s="433"/>
      <c r="BVX146" s="433"/>
      <c r="BVY146" s="433"/>
      <c r="BVZ146" s="433"/>
      <c r="BWA146" s="433"/>
      <c r="BWB146" s="433"/>
      <c r="BWC146" s="433"/>
      <c r="BWD146" s="433"/>
      <c r="BWE146" s="433"/>
      <c r="BWF146" s="433"/>
      <c r="BWG146" s="433"/>
      <c r="BWH146" s="433"/>
      <c r="BWI146" s="433"/>
      <c r="BWJ146" s="433"/>
      <c r="BWK146" s="433"/>
      <c r="BWL146" s="433"/>
      <c r="BWM146" s="433"/>
      <c r="BWN146" s="433"/>
      <c r="BWO146" s="433"/>
      <c r="BWP146" s="433"/>
      <c r="BWQ146" s="433"/>
      <c r="BWR146" s="433"/>
      <c r="BWS146" s="433"/>
      <c r="BWT146" s="433"/>
      <c r="BWU146" s="433"/>
      <c r="BWV146" s="433"/>
      <c r="BWW146" s="433"/>
      <c r="BWX146" s="433"/>
      <c r="BWY146" s="433"/>
      <c r="BWZ146" s="433"/>
      <c r="BXA146" s="433"/>
      <c r="BXB146" s="433"/>
      <c r="BXC146" s="433"/>
      <c r="BXD146" s="433"/>
      <c r="BXE146" s="433"/>
      <c r="BXF146" s="433"/>
      <c r="BXG146" s="433"/>
      <c r="BXH146" s="433"/>
      <c r="BXI146" s="433"/>
      <c r="BXJ146" s="433"/>
      <c r="BXK146" s="433"/>
      <c r="BXL146" s="433"/>
      <c r="BXM146" s="433"/>
      <c r="BXN146" s="433"/>
      <c r="BXO146" s="433"/>
      <c r="BXP146" s="433"/>
      <c r="BXQ146" s="433"/>
      <c r="BXR146" s="433"/>
      <c r="BXS146" s="433"/>
      <c r="BXT146" s="433"/>
      <c r="BXU146" s="433"/>
      <c r="BXV146" s="433"/>
      <c r="BXW146" s="433"/>
      <c r="BXX146" s="433"/>
      <c r="BXY146" s="433"/>
      <c r="BXZ146" s="433"/>
      <c r="BYA146" s="433"/>
      <c r="BYB146" s="433"/>
      <c r="BYC146" s="433"/>
      <c r="BYD146" s="433"/>
      <c r="BYE146" s="433"/>
      <c r="BYF146" s="433"/>
      <c r="BYG146" s="433"/>
      <c r="BYH146" s="433"/>
      <c r="BYI146" s="433"/>
      <c r="BYJ146" s="433"/>
      <c r="BYK146" s="433"/>
      <c r="BYL146" s="433"/>
      <c r="BYM146" s="433"/>
      <c r="BYN146" s="433"/>
      <c r="BYO146" s="433"/>
      <c r="BYP146" s="433"/>
      <c r="BYQ146" s="433"/>
      <c r="BYR146" s="433"/>
      <c r="BYS146" s="433"/>
      <c r="BYT146" s="433"/>
      <c r="BYU146" s="433"/>
      <c r="BYV146" s="433"/>
      <c r="BYW146" s="433"/>
      <c r="BYX146" s="433"/>
      <c r="BYY146" s="433"/>
      <c r="BYZ146" s="433"/>
      <c r="BZA146" s="433"/>
      <c r="BZB146" s="433"/>
      <c r="BZC146" s="433"/>
      <c r="BZD146" s="433"/>
      <c r="BZE146" s="433"/>
      <c r="BZF146" s="433"/>
      <c r="BZG146" s="433"/>
      <c r="BZH146" s="433"/>
      <c r="BZI146" s="433"/>
      <c r="BZJ146" s="433"/>
      <c r="BZK146" s="433"/>
      <c r="BZL146" s="433"/>
      <c r="BZM146" s="433"/>
      <c r="BZN146" s="433"/>
      <c r="BZO146" s="433"/>
      <c r="BZP146" s="433"/>
      <c r="BZQ146" s="433"/>
      <c r="BZR146" s="433"/>
      <c r="BZS146" s="433"/>
      <c r="BZT146" s="433"/>
      <c r="BZU146" s="433"/>
      <c r="BZV146" s="433"/>
      <c r="BZW146" s="433"/>
      <c r="BZX146" s="433"/>
      <c r="BZY146" s="433"/>
      <c r="BZZ146" s="433"/>
      <c r="CAA146" s="433"/>
      <c r="CAB146" s="433"/>
      <c r="CAC146" s="433"/>
      <c r="CAD146" s="433"/>
      <c r="CAE146" s="433"/>
      <c r="CAF146" s="433"/>
      <c r="CAG146" s="433"/>
      <c r="CAH146" s="433"/>
      <c r="CAI146" s="433"/>
      <c r="CAJ146" s="433"/>
      <c r="CAK146" s="433"/>
      <c r="CAL146" s="433"/>
      <c r="CAM146" s="433"/>
      <c r="CAN146" s="433"/>
      <c r="CAO146" s="433"/>
      <c r="CAP146" s="433"/>
      <c r="CAQ146" s="433"/>
      <c r="CAR146" s="433"/>
      <c r="CAS146" s="433"/>
      <c r="CAT146" s="433"/>
      <c r="CAU146" s="433"/>
      <c r="CAV146" s="433"/>
      <c r="CAW146" s="433"/>
      <c r="CAX146" s="433"/>
      <c r="CAY146" s="433"/>
      <c r="CAZ146" s="433"/>
      <c r="CBA146" s="433"/>
      <c r="CBB146" s="433"/>
      <c r="CBC146" s="433"/>
      <c r="CBD146" s="433"/>
      <c r="CBE146" s="433"/>
      <c r="CBF146" s="433"/>
      <c r="CBG146" s="433"/>
      <c r="CBH146" s="433"/>
      <c r="CBI146" s="433"/>
      <c r="CBJ146" s="433"/>
      <c r="CBK146" s="433"/>
      <c r="CBL146" s="433"/>
      <c r="CBM146" s="433"/>
      <c r="CBN146" s="433"/>
      <c r="CBO146" s="433"/>
      <c r="CBP146" s="433"/>
      <c r="CBQ146" s="433"/>
      <c r="CBR146" s="433"/>
      <c r="CBS146" s="433"/>
      <c r="CBT146" s="433"/>
      <c r="CBU146" s="433"/>
      <c r="CBV146" s="433"/>
      <c r="CBW146" s="433"/>
      <c r="CBX146" s="433"/>
      <c r="CBY146" s="433"/>
      <c r="CBZ146" s="433"/>
      <c r="CCA146" s="433"/>
      <c r="CCB146" s="433"/>
      <c r="CCC146" s="433"/>
      <c r="CCD146" s="433"/>
      <c r="CCE146" s="433"/>
      <c r="CCF146" s="433"/>
      <c r="CCG146" s="433"/>
      <c r="CCH146" s="433"/>
      <c r="CCI146" s="433"/>
      <c r="CCJ146" s="433"/>
      <c r="CCK146" s="433"/>
      <c r="CCL146" s="433"/>
      <c r="CCM146" s="433"/>
      <c r="CCN146" s="433"/>
      <c r="CCO146" s="433"/>
      <c r="CCP146" s="433"/>
      <c r="CCQ146" s="433"/>
      <c r="CCR146" s="433"/>
      <c r="CCS146" s="433"/>
      <c r="CCT146" s="433"/>
      <c r="CCU146" s="433"/>
      <c r="CCV146" s="433"/>
      <c r="CCW146" s="433"/>
      <c r="CCX146" s="433"/>
      <c r="CCY146" s="433"/>
      <c r="CCZ146" s="433"/>
      <c r="CDA146" s="433"/>
      <c r="CDB146" s="433"/>
      <c r="CDC146" s="433"/>
      <c r="CDD146" s="433"/>
      <c r="CDE146" s="433"/>
      <c r="CDF146" s="433"/>
      <c r="CDG146" s="433"/>
      <c r="CDH146" s="433"/>
      <c r="CDI146" s="433"/>
      <c r="CDJ146" s="433"/>
      <c r="CDK146" s="433"/>
      <c r="CDL146" s="433"/>
      <c r="CDM146" s="433"/>
      <c r="CDN146" s="433"/>
      <c r="CDO146" s="433"/>
      <c r="CDP146" s="433"/>
      <c r="CDQ146" s="433"/>
      <c r="CDR146" s="433"/>
      <c r="CDS146" s="433"/>
      <c r="CDT146" s="433"/>
      <c r="CDU146" s="433"/>
      <c r="CDV146" s="433"/>
      <c r="CDW146" s="433"/>
      <c r="CDX146" s="433"/>
      <c r="CDY146" s="433"/>
      <c r="CDZ146" s="433"/>
      <c r="CEA146" s="433"/>
      <c r="CEB146" s="433"/>
      <c r="CEC146" s="433"/>
      <c r="CED146" s="433"/>
      <c r="CEE146" s="433"/>
      <c r="CEF146" s="433"/>
      <c r="CEG146" s="433"/>
      <c r="CEH146" s="433"/>
      <c r="CEI146" s="433"/>
      <c r="CEJ146" s="433"/>
      <c r="CEK146" s="433"/>
      <c r="CEL146" s="433"/>
      <c r="CEM146" s="433"/>
      <c r="CEN146" s="433"/>
      <c r="CEO146" s="433"/>
      <c r="CEP146" s="433"/>
      <c r="CEQ146" s="433"/>
      <c r="CER146" s="433"/>
      <c r="CES146" s="433"/>
      <c r="CET146" s="433"/>
      <c r="CEU146" s="433"/>
      <c r="CEV146" s="433"/>
      <c r="CEW146" s="433"/>
      <c r="CEX146" s="433"/>
      <c r="CEY146" s="433"/>
      <c r="CEZ146" s="433"/>
      <c r="CFA146" s="433"/>
      <c r="CFB146" s="433"/>
      <c r="CFC146" s="433"/>
      <c r="CFD146" s="433"/>
      <c r="CFE146" s="433"/>
      <c r="CFF146" s="433"/>
      <c r="CFG146" s="433"/>
      <c r="CFH146" s="433"/>
      <c r="CFI146" s="433"/>
      <c r="CFJ146" s="433"/>
      <c r="CFK146" s="433"/>
      <c r="CFL146" s="433"/>
      <c r="CFM146" s="433"/>
      <c r="CFN146" s="433"/>
      <c r="CFO146" s="433"/>
      <c r="CFP146" s="433"/>
      <c r="CFQ146" s="433"/>
      <c r="CFR146" s="433"/>
      <c r="CFS146" s="433"/>
      <c r="CFT146" s="433"/>
      <c r="CFU146" s="433"/>
      <c r="CFV146" s="433"/>
      <c r="CFW146" s="433"/>
      <c r="CFX146" s="433"/>
      <c r="CFY146" s="433"/>
      <c r="CFZ146" s="433"/>
      <c r="CGA146" s="433"/>
      <c r="CGB146" s="433"/>
      <c r="CGC146" s="433"/>
      <c r="CGD146" s="433"/>
      <c r="CGE146" s="433"/>
      <c r="CGF146" s="433"/>
      <c r="CGG146" s="433"/>
      <c r="CGH146" s="433"/>
      <c r="CGI146" s="433"/>
      <c r="CGJ146" s="433"/>
      <c r="CGK146" s="433"/>
      <c r="CGL146" s="433"/>
      <c r="CGM146" s="433"/>
      <c r="CGN146" s="433"/>
      <c r="CGO146" s="433"/>
      <c r="CGP146" s="433"/>
      <c r="CGQ146" s="433"/>
      <c r="CGR146" s="433"/>
      <c r="CGS146" s="433"/>
      <c r="CGT146" s="433"/>
      <c r="CGU146" s="433"/>
      <c r="CGV146" s="433"/>
      <c r="CGW146" s="433"/>
      <c r="CGX146" s="433"/>
      <c r="CGY146" s="433"/>
      <c r="CGZ146" s="433"/>
      <c r="CHA146" s="433"/>
      <c r="CHB146" s="433"/>
      <c r="CHC146" s="433"/>
      <c r="CHD146" s="433"/>
      <c r="CHE146" s="433"/>
      <c r="CHF146" s="433"/>
      <c r="CHG146" s="433"/>
      <c r="CHH146" s="433"/>
      <c r="CHI146" s="433"/>
      <c r="CHJ146" s="433"/>
      <c r="CHK146" s="433"/>
      <c r="CHL146" s="433"/>
      <c r="CHM146" s="433"/>
      <c r="CHN146" s="433"/>
      <c r="CHO146" s="433"/>
      <c r="CHP146" s="433"/>
      <c r="CHQ146" s="433"/>
      <c r="CHR146" s="433"/>
      <c r="CHS146" s="433"/>
      <c r="CHT146" s="433"/>
      <c r="CHU146" s="433"/>
      <c r="CHV146" s="433"/>
      <c r="CHW146" s="433"/>
      <c r="CHX146" s="433"/>
      <c r="CHY146" s="433"/>
      <c r="CHZ146" s="433"/>
      <c r="CIA146" s="433"/>
      <c r="CIB146" s="433"/>
      <c r="CIC146" s="433"/>
      <c r="CID146" s="433"/>
      <c r="CIE146" s="433"/>
      <c r="CIF146" s="433"/>
      <c r="CIG146" s="433"/>
      <c r="CIH146" s="433"/>
      <c r="CII146" s="433"/>
      <c r="CIJ146" s="433"/>
      <c r="CIK146" s="433"/>
      <c r="CIL146" s="433"/>
      <c r="CIM146" s="433"/>
      <c r="CIN146" s="433"/>
      <c r="CIO146" s="433"/>
      <c r="CIP146" s="433"/>
      <c r="CIQ146" s="433"/>
      <c r="CIR146" s="433"/>
      <c r="CIS146" s="433"/>
      <c r="CIT146" s="433"/>
      <c r="CIU146" s="433"/>
      <c r="CIV146" s="433"/>
      <c r="CIW146" s="433"/>
      <c r="CIX146" s="433"/>
      <c r="CIY146" s="433"/>
      <c r="CIZ146" s="433"/>
      <c r="CJA146" s="433"/>
      <c r="CJB146" s="433"/>
      <c r="CJC146" s="433"/>
      <c r="CJD146" s="433"/>
      <c r="CJE146" s="433"/>
      <c r="CJF146" s="433"/>
      <c r="CJG146" s="433"/>
      <c r="CJH146" s="433"/>
      <c r="CJI146" s="433"/>
      <c r="CJJ146" s="433"/>
      <c r="CJK146" s="433"/>
      <c r="CJL146" s="433"/>
      <c r="CJM146" s="433"/>
      <c r="CJN146" s="433"/>
      <c r="CJO146" s="433"/>
      <c r="CJP146" s="433"/>
      <c r="CJQ146" s="433"/>
      <c r="CJR146" s="433"/>
      <c r="CJS146" s="433"/>
      <c r="CJT146" s="433"/>
      <c r="CJU146" s="433"/>
      <c r="CJV146" s="433"/>
      <c r="CJW146" s="433"/>
      <c r="CJX146" s="433"/>
      <c r="CJY146" s="433"/>
      <c r="CJZ146" s="433"/>
      <c r="CKA146" s="433"/>
      <c r="CKB146" s="433"/>
      <c r="CKC146" s="433"/>
      <c r="CKD146" s="433"/>
      <c r="CKE146" s="433"/>
      <c r="CKF146" s="433"/>
      <c r="CKG146" s="433"/>
      <c r="CKH146" s="433"/>
      <c r="CKI146" s="433"/>
      <c r="CKJ146" s="433"/>
      <c r="CKK146" s="433"/>
      <c r="CKL146" s="433"/>
      <c r="CKM146" s="433"/>
      <c r="CKN146" s="433"/>
      <c r="CKO146" s="433"/>
      <c r="CKP146" s="433"/>
      <c r="CKQ146" s="433"/>
      <c r="CKR146" s="433"/>
      <c r="CKS146" s="433"/>
      <c r="CKT146" s="433"/>
      <c r="CKU146" s="433"/>
      <c r="CKV146" s="433"/>
      <c r="CKW146" s="433"/>
      <c r="CKX146" s="433"/>
      <c r="CKY146" s="433"/>
      <c r="CKZ146" s="433"/>
      <c r="CLA146" s="433"/>
      <c r="CLB146" s="433"/>
      <c r="CLC146" s="433"/>
      <c r="CLD146" s="433"/>
      <c r="CLE146" s="433"/>
      <c r="CLF146" s="433"/>
      <c r="CLG146" s="433"/>
      <c r="CLH146" s="433"/>
      <c r="CLI146" s="433"/>
      <c r="CLJ146" s="433"/>
      <c r="CLK146" s="433"/>
      <c r="CLL146" s="433"/>
      <c r="CLM146" s="433"/>
      <c r="CLN146" s="433"/>
      <c r="CLO146" s="433"/>
      <c r="CLP146" s="433"/>
      <c r="CLQ146" s="433"/>
      <c r="CLR146" s="433"/>
      <c r="CLS146" s="433"/>
      <c r="CLT146" s="433"/>
      <c r="CLU146" s="433"/>
      <c r="CLV146" s="433"/>
      <c r="CLW146" s="433"/>
      <c r="CLX146" s="433"/>
      <c r="CLY146" s="433"/>
      <c r="CLZ146" s="433"/>
      <c r="CMA146" s="433"/>
      <c r="CMB146" s="433"/>
      <c r="CMC146" s="433"/>
      <c r="CMD146" s="433"/>
      <c r="CME146" s="433"/>
      <c r="CMF146" s="433"/>
      <c r="CMG146" s="433"/>
      <c r="CMH146" s="433"/>
      <c r="CMI146" s="433"/>
      <c r="CMJ146" s="433"/>
      <c r="CMK146" s="433"/>
      <c r="CML146" s="433"/>
      <c r="CMM146" s="433"/>
      <c r="CMN146" s="433"/>
      <c r="CMO146" s="433"/>
      <c r="CMP146" s="433"/>
      <c r="CMQ146" s="433"/>
      <c r="CMR146" s="433"/>
      <c r="CMS146" s="433"/>
      <c r="CMT146" s="433"/>
      <c r="CMU146" s="433"/>
      <c r="CMV146" s="433"/>
      <c r="CMW146" s="433"/>
      <c r="CMX146" s="433"/>
      <c r="CMY146" s="433"/>
      <c r="CMZ146" s="433"/>
      <c r="CNA146" s="433"/>
      <c r="CNB146" s="433"/>
      <c r="CNC146" s="433"/>
      <c r="CND146" s="433"/>
      <c r="CNE146" s="433"/>
      <c r="CNF146" s="433"/>
      <c r="CNG146" s="433"/>
      <c r="CNH146" s="433"/>
      <c r="CNI146" s="433"/>
      <c r="CNJ146" s="433"/>
      <c r="CNK146" s="433"/>
      <c r="CNL146" s="433"/>
      <c r="CNM146" s="433"/>
      <c r="CNN146" s="433"/>
      <c r="CNO146" s="433"/>
      <c r="CNP146" s="433"/>
      <c r="CNQ146" s="433"/>
      <c r="CNR146" s="433"/>
      <c r="CNS146" s="433"/>
      <c r="CNT146" s="433"/>
      <c r="CNU146" s="433"/>
      <c r="CNV146" s="433"/>
      <c r="CNW146" s="433"/>
      <c r="CNX146" s="433"/>
      <c r="CNY146" s="433"/>
      <c r="CNZ146" s="433"/>
      <c r="COA146" s="433"/>
      <c r="COB146" s="433"/>
      <c r="COC146" s="433"/>
      <c r="COD146" s="433"/>
      <c r="COE146" s="433"/>
      <c r="COF146" s="433"/>
      <c r="COG146" s="433"/>
      <c r="COH146" s="433"/>
      <c r="COI146" s="433"/>
      <c r="COJ146" s="433"/>
      <c r="COK146" s="433"/>
      <c r="COL146" s="433"/>
      <c r="COM146" s="433"/>
      <c r="CON146" s="433"/>
      <c r="COO146" s="433"/>
      <c r="COP146" s="433"/>
      <c r="COQ146" s="433"/>
      <c r="COR146" s="433"/>
      <c r="COS146" s="433"/>
      <c r="COT146" s="433"/>
      <c r="COU146" s="433"/>
      <c r="COV146" s="433"/>
      <c r="COW146" s="433"/>
      <c r="COX146" s="433"/>
      <c r="COY146" s="433"/>
      <c r="COZ146" s="433"/>
      <c r="CPA146" s="433"/>
      <c r="CPB146" s="433"/>
      <c r="CPC146" s="433"/>
      <c r="CPD146" s="433"/>
      <c r="CPE146" s="433"/>
      <c r="CPF146" s="433"/>
      <c r="CPG146" s="433"/>
      <c r="CPH146" s="433"/>
      <c r="CPI146" s="433"/>
      <c r="CPJ146" s="433"/>
      <c r="CPK146" s="433"/>
      <c r="CPL146" s="433"/>
      <c r="CPM146" s="433"/>
      <c r="CPN146" s="433"/>
      <c r="CPO146" s="433"/>
      <c r="CPP146" s="433"/>
      <c r="CPQ146" s="433"/>
      <c r="CPR146" s="433"/>
      <c r="CPS146" s="433"/>
      <c r="CPT146" s="433"/>
      <c r="CPU146" s="433"/>
      <c r="CPV146" s="433"/>
      <c r="CPW146" s="433"/>
      <c r="CPX146" s="433"/>
      <c r="CPY146" s="433"/>
      <c r="CPZ146" s="433"/>
      <c r="CQA146" s="433"/>
      <c r="CQB146" s="433"/>
      <c r="CQC146" s="433"/>
      <c r="CQD146" s="433"/>
      <c r="CQE146" s="433"/>
      <c r="CQF146" s="433"/>
      <c r="CQG146" s="433"/>
      <c r="CQH146" s="433"/>
      <c r="CQI146" s="433"/>
      <c r="CQJ146" s="433"/>
      <c r="CQK146" s="433"/>
      <c r="CQL146" s="433"/>
      <c r="CQM146" s="433"/>
      <c r="CQN146" s="433"/>
      <c r="CQO146" s="433"/>
      <c r="CQP146" s="433"/>
      <c r="CQQ146" s="433"/>
      <c r="CQR146" s="433"/>
      <c r="CQS146" s="433"/>
      <c r="CQT146" s="433"/>
      <c r="CQU146" s="433"/>
      <c r="CQV146" s="433"/>
      <c r="CQW146" s="433"/>
      <c r="CQX146" s="433"/>
      <c r="CQY146" s="433"/>
      <c r="CQZ146" s="433"/>
      <c r="CRA146" s="433"/>
      <c r="CRB146" s="433"/>
      <c r="CRC146" s="433"/>
      <c r="CRD146" s="433"/>
      <c r="CRE146" s="433"/>
      <c r="CRF146" s="433"/>
      <c r="CRG146" s="433"/>
      <c r="CRH146" s="433"/>
      <c r="CRI146" s="433"/>
      <c r="CRJ146" s="433"/>
      <c r="CRK146" s="433"/>
      <c r="CRL146" s="433"/>
      <c r="CRM146" s="433"/>
      <c r="CRN146" s="433"/>
      <c r="CRO146" s="433"/>
      <c r="CRP146" s="433"/>
      <c r="CRQ146" s="433"/>
      <c r="CRR146" s="433"/>
      <c r="CRS146" s="433"/>
      <c r="CRT146" s="433"/>
      <c r="CRU146" s="433"/>
      <c r="CRV146" s="433"/>
      <c r="CRW146" s="433"/>
      <c r="CRX146" s="433"/>
      <c r="CRY146" s="433"/>
      <c r="CRZ146" s="433"/>
      <c r="CSA146" s="433"/>
      <c r="CSB146" s="433"/>
      <c r="CSC146" s="433"/>
      <c r="CSD146" s="433"/>
      <c r="CSE146" s="433"/>
      <c r="CSF146" s="433"/>
      <c r="CSG146" s="433"/>
      <c r="CSH146" s="433"/>
      <c r="CSI146" s="433"/>
      <c r="CSJ146" s="433"/>
      <c r="CSK146" s="433"/>
      <c r="CSL146" s="433"/>
      <c r="CSM146" s="433"/>
      <c r="CSN146" s="433"/>
      <c r="CSO146" s="433"/>
      <c r="CSP146" s="433"/>
      <c r="CSQ146" s="433"/>
      <c r="CSR146" s="433"/>
      <c r="CSS146" s="433"/>
      <c r="CST146" s="433"/>
      <c r="CSU146" s="433"/>
      <c r="CSV146" s="433"/>
      <c r="CSW146" s="433"/>
      <c r="CSX146" s="433"/>
      <c r="CSY146" s="433"/>
      <c r="CSZ146" s="433"/>
      <c r="CTA146" s="433"/>
      <c r="CTB146" s="433"/>
      <c r="CTC146" s="433"/>
      <c r="CTD146" s="433"/>
      <c r="CTE146" s="433"/>
      <c r="CTF146" s="433"/>
      <c r="CTG146" s="433"/>
      <c r="CTH146" s="433"/>
      <c r="CTI146" s="433"/>
      <c r="CTJ146" s="433"/>
      <c r="CTK146" s="433"/>
      <c r="CTL146" s="433"/>
      <c r="CTM146" s="433"/>
      <c r="CTN146" s="433"/>
      <c r="CTO146" s="433"/>
      <c r="CTP146" s="433"/>
      <c r="CTQ146" s="433"/>
      <c r="CTR146" s="433"/>
      <c r="CTS146" s="433"/>
      <c r="CTT146" s="433"/>
      <c r="CTU146" s="433"/>
      <c r="CTV146" s="433"/>
      <c r="CTW146" s="433"/>
      <c r="CTX146" s="433"/>
      <c r="CTY146" s="433"/>
      <c r="CTZ146" s="433"/>
      <c r="CUA146" s="433"/>
      <c r="CUB146" s="433"/>
      <c r="CUC146" s="433"/>
      <c r="CUD146" s="433"/>
      <c r="CUE146" s="433"/>
      <c r="CUF146" s="433"/>
      <c r="CUG146" s="433"/>
      <c r="CUH146" s="433"/>
      <c r="CUI146" s="433"/>
      <c r="CUJ146" s="433"/>
      <c r="CUK146" s="433"/>
      <c r="CUL146" s="433"/>
      <c r="CUM146" s="433"/>
      <c r="CUN146" s="433"/>
      <c r="CUO146" s="433"/>
      <c r="CUP146" s="433"/>
      <c r="CUQ146" s="433"/>
      <c r="CUR146" s="433"/>
      <c r="CUS146" s="433"/>
      <c r="CUT146" s="433"/>
      <c r="CUU146" s="433"/>
      <c r="CUV146" s="433"/>
      <c r="CUW146" s="433"/>
      <c r="CUX146" s="433"/>
      <c r="CUY146" s="433"/>
      <c r="CUZ146" s="433"/>
      <c r="CVA146" s="433"/>
      <c r="CVB146" s="433"/>
      <c r="CVC146" s="433"/>
      <c r="CVD146" s="433"/>
      <c r="CVE146" s="433"/>
      <c r="CVF146" s="433"/>
      <c r="CVG146" s="433"/>
      <c r="CVH146" s="433"/>
      <c r="CVI146" s="433"/>
      <c r="CVJ146" s="433"/>
      <c r="CVK146" s="433"/>
      <c r="CVL146" s="433"/>
      <c r="CVM146" s="433"/>
      <c r="CVN146" s="433"/>
      <c r="CVO146" s="433"/>
      <c r="CVP146" s="433"/>
      <c r="CVQ146" s="433"/>
      <c r="CVR146" s="433"/>
      <c r="CVS146" s="433"/>
      <c r="CVT146" s="433"/>
      <c r="CVU146" s="433"/>
      <c r="CVV146" s="433"/>
      <c r="CVW146" s="433"/>
      <c r="CVX146" s="433"/>
      <c r="CVY146" s="433"/>
      <c r="CVZ146" s="433"/>
      <c r="CWA146" s="433"/>
      <c r="CWB146" s="433"/>
      <c r="CWC146" s="433"/>
      <c r="CWD146" s="433"/>
      <c r="CWE146" s="433"/>
      <c r="CWF146" s="433"/>
      <c r="CWG146" s="433"/>
      <c r="CWH146" s="433"/>
      <c r="CWI146" s="433"/>
      <c r="CWJ146" s="433"/>
      <c r="CWK146" s="433"/>
      <c r="CWL146" s="433"/>
      <c r="CWM146" s="433"/>
      <c r="CWN146" s="433"/>
      <c r="CWO146" s="433"/>
      <c r="CWP146" s="433"/>
      <c r="CWQ146" s="433"/>
      <c r="CWR146" s="433"/>
      <c r="CWS146" s="433"/>
      <c r="CWT146" s="433"/>
      <c r="CWU146" s="433"/>
      <c r="CWV146" s="433"/>
      <c r="CWW146" s="433"/>
      <c r="CWX146" s="433"/>
      <c r="CWY146" s="433"/>
      <c r="CWZ146" s="433"/>
      <c r="CXA146" s="433"/>
      <c r="CXB146" s="433"/>
      <c r="CXC146" s="433"/>
      <c r="CXD146" s="433"/>
      <c r="CXE146" s="433"/>
      <c r="CXF146" s="433"/>
      <c r="CXG146" s="433"/>
      <c r="CXH146" s="433"/>
      <c r="CXI146" s="433"/>
      <c r="CXJ146" s="433"/>
      <c r="CXK146" s="433"/>
      <c r="CXL146" s="433"/>
      <c r="CXM146" s="433"/>
      <c r="CXN146" s="433"/>
      <c r="CXO146" s="433"/>
      <c r="CXP146" s="433"/>
      <c r="CXQ146" s="433"/>
      <c r="CXR146" s="433"/>
      <c r="CXS146" s="433"/>
      <c r="CXT146" s="433"/>
      <c r="CXU146" s="433"/>
      <c r="CXV146" s="433"/>
      <c r="CXW146" s="433"/>
      <c r="CXX146" s="433"/>
      <c r="CXY146" s="433"/>
      <c r="CXZ146" s="433"/>
      <c r="CYA146" s="433"/>
      <c r="CYB146" s="433"/>
      <c r="CYC146" s="433"/>
      <c r="CYD146" s="433"/>
      <c r="CYE146" s="433"/>
      <c r="CYF146" s="433"/>
      <c r="CYG146" s="433"/>
      <c r="CYH146" s="433"/>
      <c r="CYI146" s="433"/>
      <c r="CYJ146" s="433"/>
      <c r="CYK146" s="433"/>
      <c r="CYL146" s="433"/>
      <c r="CYM146" s="433"/>
      <c r="CYN146" s="433"/>
      <c r="CYO146" s="433"/>
      <c r="CYP146" s="433"/>
      <c r="CYQ146" s="433"/>
      <c r="CYR146" s="433"/>
      <c r="CYS146" s="433"/>
      <c r="CYT146" s="433"/>
      <c r="CYU146" s="433"/>
      <c r="CYV146" s="433"/>
      <c r="CYW146" s="433"/>
      <c r="CYX146" s="433"/>
      <c r="CYY146" s="433"/>
      <c r="CYZ146" s="433"/>
      <c r="CZA146" s="433"/>
      <c r="CZB146" s="433"/>
      <c r="CZC146" s="433"/>
      <c r="CZD146" s="433"/>
      <c r="CZE146" s="433"/>
      <c r="CZF146" s="433"/>
      <c r="CZG146" s="433"/>
      <c r="CZH146" s="433"/>
      <c r="CZI146" s="433"/>
      <c r="CZJ146" s="433"/>
      <c r="CZK146" s="433"/>
      <c r="CZL146" s="433"/>
      <c r="CZM146" s="433"/>
      <c r="CZN146" s="433"/>
      <c r="CZO146" s="433"/>
      <c r="CZP146" s="433"/>
      <c r="CZQ146" s="433"/>
      <c r="CZR146" s="433"/>
      <c r="CZS146" s="433"/>
      <c r="CZT146" s="433"/>
      <c r="CZU146" s="433"/>
      <c r="CZV146" s="433"/>
      <c r="CZW146" s="433"/>
      <c r="CZX146" s="433"/>
      <c r="CZY146" s="433"/>
      <c r="CZZ146" s="433"/>
      <c r="DAA146" s="433"/>
      <c r="DAB146" s="433"/>
      <c r="DAC146" s="433"/>
      <c r="DAD146" s="433"/>
      <c r="DAE146" s="433"/>
      <c r="DAF146" s="433"/>
      <c r="DAG146" s="433"/>
      <c r="DAH146" s="433"/>
      <c r="DAI146" s="433"/>
      <c r="DAJ146" s="433"/>
      <c r="DAK146" s="433"/>
      <c r="DAL146" s="433"/>
      <c r="DAM146" s="433"/>
      <c r="DAN146" s="433"/>
      <c r="DAO146" s="433"/>
      <c r="DAP146" s="433"/>
      <c r="DAQ146" s="433"/>
      <c r="DAR146" s="433"/>
      <c r="DAS146" s="433"/>
      <c r="DAT146" s="433"/>
      <c r="DAU146" s="433"/>
      <c r="DAV146" s="433"/>
      <c r="DAW146" s="433"/>
      <c r="DAX146" s="433"/>
      <c r="DAY146" s="433"/>
      <c r="DAZ146" s="433"/>
      <c r="DBA146" s="433"/>
      <c r="DBB146" s="433"/>
      <c r="DBC146" s="433"/>
      <c r="DBD146" s="433"/>
      <c r="DBE146" s="433"/>
      <c r="DBF146" s="433"/>
      <c r="DBG146" s="433"/>
      <c r="DBH146" s="433"/>
      <c r="DBI146" s="433"/>
      <c r="DBJ146" s="433"/>
      <c r="DBK146" s="433"/>
      <c r="DBL146" s="433"/>
      <c r="DBM146" s="433"/>
      <c r="DBN146" s="433"/>
      <c r="DBO146" s="433"/>
      <c r="DBP146" s="433"/>
      <c r="DBQ146" s="433"/>
      <c r="DBR146" s="433"/>
      <c r="DBS146" s="433"/>
      <c r="DBT146" s="433"/>
      <c r="DBU146" s="433"/>
      <c r="DBV146" s="433"/>
      <c r="DBW146" s="433"/>
      <c r="DBX146" s="433"/>
      <c r="DBY146" s="433"/>
      <c r="DBZ146" s="433"/>
      <c r="DCA146" s="433"/>
      <c r="DCB146" s="433"/>
      <c r="DCC146" s="433"/>
      <c r="DCD146" s="433"/>
      <c r="DCE146" s="433"/>
      <c r="DCF146" s="433"/>
      <c r="DCG146" s="433"/>
      <c r="DCH146" s="433"/>
      <c r="DCI146" s="433"/>
      <c r="DCJ146" s="433"/>
      <c r="DCK146" s="433"/>
      <c r="DCL146" s="433"/>
      <c r="DCM146" s="433"/>
      <c r="DCN146" s="433"/>
      <c r="DCO146" s="433"/>
      <c r="DCP146" s="433"/>
      <c r="DCQ146" s="433"/>
      <c r="DCR146" s="433"/>
      <c r="DCS146" s="433"/>
      <c r="DCT146" s="433"/>
      <c r="DCU146" s="433"/>
      <c r="DCV146" s="433"/>
      <c r="DCW146" s="433"/>
      <c r="DCX146" s="433"/>
      <c r="DCY146" s="433"/>
      <c r="DCZ146" s="433"/>
      <c r="DDA146" s="433"/>
      <c r="DDB146" s="433"/>
      <c r="DDC146" s="433"/>
      <c r="DDD146" s="433"/>
      <c r="DDE146" s="433"/>
      <c r="DDF146" s="433"/>
      <c r="DDG146" s="433"/>
      <c r="DDH146" s="433"/>
      <c r="DDI146" s="433"/>
      <c r="DDJ146" s="433"/>
      <c r="DDK146" s="433"/>
      <c r="DDL146" s="433"/>
      <c r="DDM146" s="433"/>
      <c r="DDN146" s="433"/>
      <c r="DDO146" s="433"/>
      <c r="DDP146" s="433"/>
      <c r="DDQ146" s="433"/>
      <c r="DDR146" s="433"/>
      <c r="DDS146" s="433"/>
      <c r="DDT146" s="433"/>
      <c r="DDU146" s="433"/>
      <c r="DDV146" s="433"/>
      <c r="DDW146" s="433"/>
      <c r="DDX146" s="433"/>
      <c r="DDY146" s="433"/>
      <c r="DDZ146" s="433"/>
      <c r="DEA146" s="433"/>
      <c r="DEB146" s="433"/>
      <c r="DEC146" s="433"/>
      <c r="DED146" s="433"/>
      <c r="DEE146" s="433"/>
      <c r="DEF146" s="433"/>
      <c r="DEG146" s="433"/>
      <c r="DEH146" s="433"/>
      <c r="DEI146" s="433"/>
      <c r="DEJ146" s="433"/>
      <c r="DEK146" s="433"/>
      <c r="DEL146" s="433"/>
      <c r="DEM146" s="433"/>
      <c r="DEN146" s="433"/>
      <c r="DEO146" s="433"/>
      <c r="DEP146" s="433"/>
      <c r="DEQ146" s="433"/>
      <c r="DER146" s="433"/>
      <c r="DES146" s="433"/>
      <c r="DET146" s="433"/>
      <c r="DEU146" s="433"/>
      <c r="DEV146" s="433"/>
      <c r="DEW146" s="433"/>
      <c r="DEX146" s="433"/>
      <c r="DEY146" s="433"/>
      <c r="DEZ146" s="433"/>
      <c r="DFA146" s="433"/>
      <c r="DFB146" s="433"/>
      <c r="DFC146" s="433"/>
      <c r="DFD146" s="433"/>
      <c r="DFE146" s="433"/>
      <c r="DFF146" s="433"/>
      <c r="DFG146" s="433"/>
      <c r="DFH146" s="433"/>
      <c r="DFI146" s="433"/>
      <c r="DFJ146" s="433"/>
      <c r="DFK146" s="433"/>
      <c r="DFL146" s="433"/>
      <c r="DFM146" s="433"/>
      <c r="DFN146" s="433"/>
      <c r="DFO146" s="433"/>
      <c r="DFP146" s="433"/>
      <c r="DFQ146" s="433"/>
      <c r="DFR146" s="433"/>
      <c r="DFS146" s="433"/>
      <c r="DFT146" s="433"/>
      <c r="DFU146" s="433"/>
      <c r="DFV146" s="433"/>
      <c r="DFW146" s="433"/>
      <c r="DFX146" s="433"/>
      <c r="DFY146" s="433"/>
      <c r="DFZ146" s="433"/>
      <c r="DGA146" s="433"/>
      <c r="DGB146" s="433"/>
      <c r="DGC146" s="433"/>
      <c r="DGD146" s="433"/>
      <c r="DGE146" s="433"/>
      <c r="DGF146" s="433"/>
      <c r="DGG146" s="433"/>
      <c r="DGH146" s="433"/>
      <c r="DGI146" s="433"/>
      <c r="DGJ146" s="433"/>
      <c r="DGK146" s="433"/>
      <c r="DGL146" s="433"/>
      <c r="DGM146" s="433"/>
      <c r="DGN146" s="433"/>
      <c r="DGO146" s="433"/>
      <c r="DGP146" s="433"/>
      <c r="DGQ146" s="433"/>
      <c r="DGR146" s="433"/>
      <c r="DGS146" s="433"/>
      <c r="DGT146" s="433"/>
      <c r="DGU146" s="433"/>
      <c r="DGV146" s="433"/>
      <c r="DGW146" s="433"/>
      <c r="DGX146" s="433"/>
      <c r="DGY146" s="433"/>
      <c r="DGZ146" s="433"/>
      <c r="DHA146" s="433"/>
      <c r="DHB146" s="433"/>
      <c r="DHC146" s="433"/>
      <c r="DHD146" s="433"/>
      <c r="DHE146" s="433"/>
      <c r="DHF146" s="433"/>
      <c r="DHG146" s="433"/>
      <c r="DHH146" s="433"/>
      <c r="DHI146" s="433"/>
      <c r="DHJ146" s="433"/>
      <c r="DHK146" s="433"/>
      <c r="DHL146" s="433"/>
      <c r="DHM146" s="433"/>
      <c r="DHN146" s="433"/>
      <c r="DHO146" s="433"/>
      <c r="DHP146" s="433"/>
      <c r="DHQ146" s="433"/>
      <c r="DHR146" s="433"/>
      <c r="DHS146" s="433"/>
      <c r="DHT146" s="433"/>
      <c r="DHU146" s="433"/>
      <c r="DHV146" s="433"/>
      <c r="DHW146" s="433"/>
      <c r="DHX146" s="433"/>
      <c r="DHY146" s="433"/>
      <c r="DHZ146" s="433"/>
      <c r="DIA146" s="433"/>
      <c r="DIB146" s="433"/>
      <c r="DIC146" s="433"/>
      <c r="DID146" s="433"/>
      <c r="DIE146" s="433"/>
      <c r="DIF146" s="433"/>
      <c r="DIG146" s="433"/>
      <c r="DIH146" s="433"/>
      <c r="DII146" s="433"/>
      <c r="DIJ146" s="433"/>
      <c r="DIK146" s="433"/>
      <c r="DIL146" s="433"/>
      <c r="DIM146" s="433"/>
      <c r="DIN146" s="433"/>
      <c r="DIO146" s="433"/>
      <c r="DIP146" s="433"/>
      <c r="DIQ146" s="433"/>
      <c r="DIR146" s="433"/>
      <c r="DIS146" s="433"/>
      <c r="DIT146" s="433"/>
      <c r="DIU146" s="433"/>
      <c r="DIV146" s="433"/>
      <c r="DIW146" s="433"/>
      <c r="DIX146" s="433"/>
      <c r="DIY146" s="433"/>
      <c r="DIZ146" s="433"/>
      <c r="DJA146" s="433"/>
      <c r="DJB146" s="433"/>
      <c r="DJC146" s="433"/>
      <c r="DJD146" s="433"/>
      <c r="DJE146" s="433"/>
      <c r="DJF146" s="433"/>
      <c r="DJG146" s="433"/>
      <c r="DJH146" s="433"/>
      <c r="DJI146" s="433"/>
      <c r="DJJ146" s="433"/>
      <c r="DJK146" s="433"/>
      <c r="DJL146" s="433"/>
      <c r="DJM146" s="433"/>
      <c r="DJN146" s="433"/>
      <c r="DJO146" s="433"/>
      <c r="DJP146" s="433"/>
      <c r="DJQ146" s="433"/>
      <c r="DJR146" s="433"/>
      <c r="DJS146" s="433"/>
      <c r="DJT146" s="433"/>
      <c r="DJU146" s="433"/>
      <c r="DJV146" s="433"/>
      <c r="DJW146" s="433"/>
      <c r="DJX146" s="433"/>
      <c r="DJY146" s="433"/>
      <c r="DJZ146" s="433"/>
      <c r="DKA146" s="433"/>
      <c r="DKB146" s="433"/>
      <c r="DKC146" s="433"/>
      <c r="DKD146" s="433"/>
      <c r="DKE146" s="433"/>
      <c r="DKF146" s="433"/>
      <c r="DKG146" s="433"/>
      <c r="DKH146" s="433"/>
      <c r="DKI146" s="433"/>
      <c r="DKJ146" s="433"/>
      <c r="DKK146" s="433"/>
      <c r="DKL146" s="433"/>
      <c r="DKM146" s="433"/>
      <c r="DKN146" s="433"/>
      <c r="DKO146" s="433"/>
      <c r="DKP146" s="433"/>
      <c r="DKQ146" s="433"/>
      <c r="DKR146" s="433"/>
      <c r="DKS146" s="433"/>
      <c r="DKT146" s="433"/>
      <c r="DKU146" s="433"/>
      <c r="DKV146" s="433"/>
      <c r="DKW146" s="433"/>
      <c r="DKX146" s="433"/>
      <c r="DKY146" s="433"/>
      <c r="DKZ146" s="433"/>
      <c r="DLA146" s="433"/>
      <c r="DLB146" s="433"/>
      <c r="DLC146" s="433"/>
      <c r="DLD146" s="433"/>
      <c r="DLE146" s="433"/>
      <c r="DLF146" s="433"/>
      <c r="DLG146" s="433"/>
      <c r="DLH146" s="433"/>
      <c r="DLI146" s="433"/>
      <c r="DLJ146" s="433"/>
      <c r="DLK146" s="433"/>
      <c r="DLL146" s="433"/>
      <c r="DLM146" s="433"/>
      <c r="DLN146" s="433"/>
      <c r="DLO146" s="433"/>
      <c r="DLP146" s="433"/>
      <c r="DLQ146" s="433"/>
      <c r="DLR146" s="433"/>
      <c r="DLS146" s="433"/>
      <c r="DLT146" s="433"/>
      <c r="DLU146" s="433"/>
      <c r="DLV146" s="433"/>
      <c r="DLW146" s="433"/>
      <c r="DLX146" s="433"/>
      <c r="DLY146" s="433"/>
      <c r="DLZ146" s="433"/>
      <c r="DMA146" s="433"/>
      <c r="DMB146" s="433"/>
      <c r="DMC146" s="433"/>
      <c r="DMD146" s="433"/>
      <c r="DME146" s="433"/>
      <c r="DMF146" s="433"/>
      <c r="DMG146" s="433"/>
      <c r="DMH146" s="433"/>
      <c r="DMI146" s="433"/>
      <c r="DMJ146" s="433"/>
      <c r="DMK146" s="433"/>
      <c r="DML146" s="433"/>
      <c r="DMM146" s="433"/>
      <c r="DMN146" s="433"/>
      <c r="DMO146" s="433"/>
      <c r="DMP146" s="433"/>
      <c r="DMQ146" s="433"/>
      <c r="DMR146" s="433"/>
      <c r="DMS146" s="433"/>
      <c r="DMT146" s="433"/>
      <c r="DMU146" s="433"/>
      <c r="DMV146" s="433"/>
      <c r="DMW146" s="433"/>
      <c r="DMX146" s="433"/>
      <c r="DMY146" s="433"/>
      <c r="DMZ146" s="433"/>
      <c r="DNA146" s="433"/>
      <c r="DNB146" s="433"/>
      <c r="DNC146" s="433"/>
      <c r="DND146" s="433"/>
      <c r="DNE146" s="433"/>
      <c r="DNF146" s="433"/>
      <c r="DNG146" s="433"/>
      <c r="DNH146" s="433"/>
      <c r="DNI146" s="433"/>
      <c r="DNJ146" s="433"/>
      <c r="DNK146" s="433"/>
      <c r="DNL146" s="433"/>
      <c r="DNM146" s="433"/>
      <c r="DNN146" s="433"/>
      <c r="DNO146" s="433"/>
      <c r="DNP146" s="433"/>
      <c r="DNQ146" s="433"/>
      <c r="DNR146" s="433"/>
      <c r="DNS146" s="433"/>
      <c r="DNT146" s="433"/>
      <c r="DNU146" s="433"/>
      <c r="DNV146" s="433"/>
      <c r="DNW146" s="433"/>
      <c r="DNX146" s="433"/>
      <c r="DNY146" s="433"/>
      <c r="DNZ146" s="433"/>
      <c r="DOA146" s="433"/>
      <c r="DOB146" s="433"/>
      <c r="DOC146" s="433"/>
      <c r="DOD146" s="433"/>
      <c r="DOE146" s="433"/>
      <c r="DOF146" s="433"/>
      <c r="DOG146" s="433"/>
      <c r="DOH146" s="433"/>
      <c r="DOI146" s="433"/>
      <c r="DOJ146" s="433"/>
      <c r="DOK146" s="433"/>
      <c r="DOL146" s="433"/>
      <c r="DOM146" s="433"/>
      <c r="DON146" s="433"/>
      <c r="DOO146" s="433"/>
      <c r="DOP146" s="433"/>
      <c r="DOQ146" s="433"/>
      <c r="DOR146" s="433"/>
      <c r="DOS146" s="433"/>
      <c r="DOT146" s="433"/>
      <c r="DOU146" s="433"/>
      <c r="DOV146" s="433"/>
      <c r="DOW146" s="433"/>
      <c r="DOX146" s="433"/>
      <c r="DOY146" s="433"/>
      <c r="DOZ146" s="433"/>
      <c r="DPA146" s="433"/>
      <c r="DPB146" s="433"/>
      <c r="DPC146" s="433"/>
      <c r="DPD146" s="433"/>
      <c r="DPE146" s="433"/>
      <c r="DPF146" s="433"/>
      <c r="DPG146" s="433"/>
      <c r="DPH146" s="433"/>
      <c r="DPI146" s="433"/>
      <c r="DPJ146" s="433"/>
      <c r="DPK146" s="433"/>
      <c r="DPL146" s="433"/>
      <c r="DPM146" s="433"/>
      <c r="DPN146" s="433"/>
      <c r="DPO146" s="433"/>
      <c r="DPP146" s="433"/>
      <c r="DPQ146" s="433"/>
      <c r="DPR146" s="433"/>
      <c r="DPS146" s="433"/>
      <c r="DPT146" s="433"/>
      <c r="DPU146" s="433"/>
      <c r="DPV146" s="433"/>
      <c r="DPW146" s="433"/>
      <c r="DPX146" s="433"/>
      <c r="DPY146" s="433"/>
      <c r="DPZ146" s="433"/>
      <c r="DQA146" s="433"/>
      <c r="DQB146" s="433"/>
      <c r="DQC146" s="433"/>
      <c r="DQD146" s="433"/>
      <c r="DQE146" s="433"/>
      <c r="DQF146" s="433"/>
      <c r="DQG146" s="433"/>
      <c r="DQH146" s="433"/>
      <c r="DQI146" s="433"/>
      <c r="DQJ146" s="433"/>
      <c r="DQK146" s="433"/>
      <c r="DQL146" s="433"/>
      <c r="DQM146" s="433"/>
      <c r="DQN146" s="433"/>
      <c r="DQO146" s="433"/>
      <c r="DQP146" s="433"/>
      <c r="DQQ146" s="433"/>
      <c r="DQR146" s="433"/>
      <c r="DQS146" s="433"/>
      <c r="DQT146" s="433"/>
      <c r="DQU146" s="433"/>
      <c r="DQV146" s="433"/>
      <c r="DQW146" s="433"/>
      <c r="DQX146" s="433"/>
      <c r="DQY146" s="433"/>
      <c r="DQZ146" s="433"/>
      <c r="DRA146" s="433"/>
      <c r="DRB146" s="433"/>
      <c r="DRC146" s="433"/>
      <c r="DRD146" s="433"/>
      <c r="DRE146" s="433"/>
      <c r="DRF146" s="433"/>
      <c r="DRG146" s="433"/>
      <c r="DRH146" s="433"/>
      <c r="DRI146" s="433"/>
      <c r="DRJ146" s="433"/>
      <c r="DRK146" s="433"/>
      <c r="DRL146" s="433"/>
      <c r="DRM146" s="433"/>
      <c r="DRN146" s="433"/>
      <c r="DRO146" s="433"/>
      <c r="DRP146" s="433"/>
      <c r="DRQ146" s="433"/>
      <c r="DRR146" s="433"/>
      <c r="DRS146" s="433"/>
      <c r="DRT146" s="433"/>
      <c r="DRU146" s="433"/>
      <c r="DRV146" s="433"/>
      <c r="DRW146" s="433"/>
      <c r="DRX146" s="433"/>
      <c r="DRY146" s="433"/>
      <c r="DRZ146" s="433"/>
      <c r="DSA146" s="433"/>
      <c r="DSB146" s="433"/>
      <c r="DSC146" s="433"/>
      <c r="DSD146" s="433"/>
      <c r="DSE146" s="433"/>
      <c r="DSF146" s="433"/>
      <c r="DSG146" s="433"/>
      <c r="DSH146" s="433"/>
      <c r="DSI146" s="433"/>
      <c r="DSJ146" s="433"/>
      <c r="DSK146" s="433"/>
      <c r="DSL146" s="433"/>
      <c r="DSM146" s="433"/>
      <c r="DSN146" s="433"/>
      <c r="DSO146" s="433"/>
      <c r="DSP146" s="433"/>
      <c r="DSQ146" s="433"/>
      <c r="DSR146" s="433"/>
      <c r="DSS146" s="433"/>
      <c r="DST146" s="433"/>
      <c r="DSU146" s="433"/>
      <c r="DSV146" s="433"/>
      <c r="DSW146" s="433"/>
      <c r="DSX146" s="433"/>
      <c r="DSY146" s="433"/>
      <c r="DSZ146" s="433"/>
      <c r="DTA146" s="433"/>
      <c r="DTB146" s="433"/>
      <c r="DTC146" s="433"/>
      <c r="DTD146" s="433"/>
      <c r="DTE146" s="433"/>
      <c r="DTF146" s="433"/>
      <c r="DTG146" s="433"/>
      <c r="DTH146" s="433"/>
      <c r="DTI146" s="433"/>
      <c r="DTJ146" s="433"/>
      <c r="DTK146" s="433"/>
      <c r="DTL146" s="433"/>
      <c r="DTM146" s="433"/>
      <c r="DTN146" s="433"/>
      <c r="DTO146" s="433"/>
      <c r="DTP146" s="433"/>
      <c r="DTQ146" s="433"/>
      <c r="DTR146" s="433"/>
      <c r="DTS146" s="433"/>
      <c r="DTT146" s="433"/>
      <c r="DTU146" s="433"/>
      <c r="DTV146" s="433"/>
      <c r="DTW146" s="433"/>
      <c r="DTX146" s="433"/>
      <c r="DTY146" s="433"/>
      <c r="DTZ146" s="433"/>
      <c r="DUA146" s="433"/>
      <c r="DUB146" s="433"/>
      <c r="DUC146" s="433"/>
      <c r="DUD146" s="433"/>
      <c r="DUE146" s="433"/>
      <c r="DUF146" s="433"/>
      <c r="DUG146" s="433"/>
      <c r="DUH146" s="433"/>
      <c r="DUI146" s="433"/>
      <c r="DUJ146" s="433"/>
      <c r="DUK146" s="433"/>
      <c r="DUL146" s="433"/>
      <c r="DUM146" s="433"/>
      <c r="DUN146" s="433"/>
      <c r="DUO146" s="433"/>
      <c r="DUP146" s="433"/>
      <c r="DUQ146" s="433"/>
      <c r="DUR146" s="433"/>
      <c r="DUS146" s="433"/>
      <c r="DUT146" s="433"/>
      <c r="DUU146" s="433"/>
      <c r="DUV146" s="433"/>
      <c r="DUW146" s="433"/>
      <c r="DUX146" s="433"/>
      <c r="DUY146" s="433"/>
      <c r="DUZ146" s="433"/>
      <c r="DVA146" s="433"/>
      <c r="DVB146" s="433"/>
      <c r="DVC146" s="433"/>
      <c r="DVD146" s="433"/>
      <c r="DVE146" s="433"/>
      <c r="DVF146" s="433"/>
      <c r="DVG146" s="433"/>
      <c r="DVH146" s="433"/>
      <c r="DVI146" s="433"/>
      <c r="DVJ146" s="433"/>
      <c r="DVK146" s="433"/>
      <c r="DVL146" s="433"/>
      <c r="DVM146" s="433"/>
      <c r="DVN146" s="433"/>
      <c r="DVO146" s="433"/>
      <c r="DVP146" s="433"/>
      <c r="DVQ146" s="433"/>
      <c r="DVR146" s="433"/>
      <c r="DVS146" s="433"/>
      <c r="DVT146" s="433"/>
      <c r="DVU146" s="433"/>
      <c r="DVV146" s="433"/>
      <c r="DVW146" s="433"/>
      <c r="DVX146" s="433"/>
      <c r="DVY146" s="433"/>
      <c r="DVZ146" s="433"/>
      <c r="DWA146" s="433"/>
      <c r="DWB146" s="433"/>
      <c r="DWC146" s="433"/>
      <c r="DWD146" s="433"/>
      <c r="DWE146" s="433"/>
      <c r="DWF146" s="433"/>
      <c r="DWG146" s="433"/>
      <c r="DWH146" s="433"/>
      <c r="DWI146" s="433"/>
      <c r="DWJ146" s="433"/>
      <c r="DWK146" s="433"/>
      <c r="DWL146" s="433"/>
      <c r="DWM146" s="433"/>
      <c r="DWN146" s="433"/>
      <c r="DWO146" s="433"/>
      <c r="DWP146" s="433"/>
      <c r="DWQ146" s="433"/>
      <c r="DWR146" s="433"/>
      <c r="DWS146" s="433"/>
      <c r="DWT146" s="433"/>
      <c r="DWU146" s="433"/>
      <c r="DWV146" s="433"/>
      <c r="DWW146" s="433"/>
      <c r="DWX146" s="433"/>
      <c r="DWY146" s="433"/>
      <c r="DWZ146" s="433"/>
      <c r="DXA146" s="433"/>
      <c r="DXB146" s="433"/>
      <c r="DXC146" s="433"/>
      <c r="DXD146" s="433"/>
      <c r="DXE146" s="433"/>
      <c r="DXF146" s="433"/>
      <c r="DXG146" s="433"/>
      <c r="DXH146" s="433"/>
      <c r="DXI146" s="433"/>
      <c r="DXJ146" s="433"/>
      <c r="DXK146" s="433"/>
      <c r="DXL146" s="433"/>
      <c r="DXM146" s="433"/>
      <c r="DXN146" s="433"/>
      <c r="DXO146" s="433"/>
      <c r="DXP146" s="433"/>
      <c r="DXQ146" s="433"/>
      <c r="DXR146" s="433"/>
      <c r="DXS146" s="433"/>
      <c r="DXT146" s="433"/>
      <c r="DXU146" s="433"/>
      <c r="DXV146" s="433"/>
      <c r="DXW146" s="433"/>
      <c r="DXX146" s="433"/>
      <c r="DXY146" s="433"/>
      <c r="DXZ146" s="433"/>
      <c r="DYA146" s="433"/>
      <c r="DYB146" s="433"/>
      <c r="DYC146" s="433"/>
      <c r="DYD146" s="433"/>
      <c r="DYE146" s="433"/>
      <c r="DYF146" s="433"/>
      <c r="DYG146" s="433"/>
      <c r="DYH146" s="433"/>
      <c r="DYI146" s="433"/>
      <c r="DYJ146" s="433"/>
      <c r="DYK146" s="433"/>
      <c r="DYL146" s="433"/>
      <c r="DYM146" s="433"/>
      <c r="DYN146" s="433"/>
      <c r="DYO146" s="433"/>
      <c r="DYP146" s="433"/>
      <c r="DYQ146" s="433"/>
      <c r="DYR146" s="433"/>
      <c r="DYS146" s="433"/>
      <c r="DYT146" s="433"/>
      <c r="DYU146" s="433"/>
      <c r="DYV146" s="433"/>
      <c r="DYW146" s="433"/>
      <c r="DYX146" s="433"/>
      <c r="DYY146" s="433"/>
      <c r="DYZ146" s="433"/>
      <c r="DZA146" s="433"/>
      <c r="DZB146" s="433"/>
      <c r="DZC146" s="433"/>
      <c r="DZD146" s="433"/>
      <c r="DZE146" s="433"/>
      <c r="DZF146" s="433"/>
      <c r="DZG146" s="433"/>
      <c r="DZH146" s="433"/>
      <c r="DZI146" s="433"/>
      <c r="DZJ146" s="433"/>
      <c r="DZK146" s="433"/>
      <c r="DZL146" s="433"/>
      <c r="DZM146" s="433"/>
      <c r="DZN146" s="433"/>
      <c r="DZO146" s="433"/>
      <c r="DZP146" s="433"/>
      <c r="DZQ146" s="433"/>
      <c r="DZR146" s="433"/>
      <c r="DZS146" s="433"/>
      <c r="DZT146" s="433"/>
      <c r="DZU146" s="433"/>
      <c r="DZV146" s="433"/>
      <c r="DZW146" s="433"/>
      <c r="DZX146" s="433"/>
      <c r="DZY146" s="433"/>
      <c r="DZZ146" s="433"/>
      <c r="EAA146" s="433"/>
      <c r="EAB146" s="433"/>
      <c r="EAC146" s="433"/>
      <c r="EAD146" s="433"/>
      <c r="EAE146" s="433"/>
      <c r="EAF146" s="433"/>
      <c r="EAG146" s="433"/>
      <c r="EAH146" s="433"/>
      <c r="EAI146" s="433"/>
      <c r="EAJ146" s="433"/>
      <c r="EAK146" s="433"/>
      <c r="EAL146" s="433"/>
      <c r="EAM146" s="433"/>
      <c r="EAN146" s="433"/>
      <c r="EAO146" s="433"/>
      <c r="EAP146" s="433"/>
      <c r="EAQ146" s="433"/>
      <c r="EAR146" s="433"/>
      <c r="EAS146" s="433"/>
      <c r="EAT146" s="433"/>
      <c r="EAU146" s="433"/>
      <c r="EAV146" s="433"/>
      <c r="EAW146" s="433"/>
      <c r="EAX146" s="433"/>
      <c r="EAY146" s="433"/>
      <c r="EAZ146" s="433"/>
      <c r="EBA146" s="433"/>
      <c r="EBB146" s="433"/>
      <c r="EBC146" s="433"/>
      <c r="EBD146" s="433"/>
      <c r="EBE146" s="433"/>
      <c r="EBF146" s="433"/>
      <c r="EBG146" s="433"/>
      <c r="EBH146" s="433"/>
      <c r="EBI146" s="433"/>
      <c r="EBJ146" s="433"/>
      <c r="EBK146" s="433"/>
      <c r="EBL146" s="433"/>
      <c r="EBM146" s="433"/>
      <c r="EBN146" s="433"/>
      <c r="EBO146" s="433"/>
      <c r="EBP146" s="433"/>
      <c r="EBQ146" s="433"/>
      <c r="EBR146" s="433"/>
      <c r="EBS146" s="433"/>
      <c r="EBT146" s="433"/>
      <c r="EBU146" s="433"/>
      <c r="EBV146" s="433"/>
      <c r="EBW146" s="433"/>
      <c r="EBX146" s="433"/>
      <c r="EBY146" s="433"/>
      <c r="EBZ146" s="433"/>
      <c r="ECA146" s="433"/>
      <c r="ECB146" s="433"/>
      <c r="ECC146" s="433"/>
      <c r="ECD146" s="433"/>
      <c r="ECE146" s="433"/>
      <c r="ECF146" s="433"/>
      <c r="ECG146" s="433"/>
      <c r="ECH146" s="433"/>
      <c r="ECI146" s="433"/>
      <c r="ECJ146" s="433"/>
      <c r="ECK146" s="433"/>
      <c r="ECL146" s="433"/>
      <c r="ECM146" s="433"/>
      <c r="ECN146" s="433"/>
      <c r="ECO146" s="433"/>
      <c r="ECP146" s="433"/>
      <c r="ECQ146" s="433"/>
      <c r="ECR146" s="433"/>
      <c r="ECS146" s="433"/>
      <c r="ECT146" s="433"/>
      <c r="ECU146" s="433"/>
      <c r="ECV146" s="433"/>
      <c r="ECW146" s="433"/>
      <c r="ECX146" s="433"/>
      <c r="ECY146" s="433"/>
      <c r="ECZ146" s="433"/>
      <c r="EDA146" s="433"/>
      <c r="EDB146" s="433"/>
      <c r="EDC146" s="433"/>
      <c r="EDD146" s="433"/>
      <c r="EDE146" s="433"/>
      <c r="EDF146" s="433"/>
      <c r="EDG146" s="433"/>
      <c r="EDH146" s="433"/>
      <c r="EDI146" s="433"/>
      <c r="EDJ146" s="433"/>
      <c r="EDK146" s="433"/>
      <c r="EDL146" s="433"/>
      <c r="EDM146" s="433"/>
      <c r="EDN146" s="433"/>
      <c r="EDO146" s="433"/>
      <c r="EDP146" s="433"/>
      <c r="EDQ146" s="433"/>
      <c r="EDR146" s="433"/>
      <c r="EDS146" s="433"/>
      <c r="EDT146" s="433"/>
      <c r="EDU146" s="433"/>
      <c r="EDV146" s="433"/>
      <c r="EDW146" s="433"/>
      <c r="EDX146" s="433"/>
      <c r="EDY146" s="433"/>
      <c r="EDZ146" s="433"/>
      <c r="EEA146" s="433"/>
      <c r="EEB146" s="433"/>
      <c r="EEC146" s="433"/>
      <c r="EED146" s="433"/>
      <c r="EEE146" s="433"/>
      <c r="EEF146" s="433"/>
      <c r="EEG146" s="433"/>
      <c r="EEH146" s="433"/>
      <c r="EEI146" s="433"/>
      <c r="EEJ146" s="433"/>
      <c r="EEK146" s="433"/>
      <c r="EEL146" s="433"/>
      <c r="EEM146" s="433"/>
      <c r="EEN146" s="433"/>
      <c r="EEO146" s="433"/>
      <c r="EEP146" s="433"/>
      <c r="EEQ146" s="433"/>
      <c r="EER146" s="433"/>
      <c r="EES146" s="433"/>
      <c r="EET146" s="433"/>
      <c r="EEU146" s="433"/>
      <c r="EEV146" s="433"/>
      <c r="EEW146" s="433"/>
      <c r="EEX146" s="433"/>
      <c r="EEY146" s="433"/>
      <c r="EEZ146" s="433"/>
      <c r="EFA146" s="433"/>
      <c r="EFB146" s="433"/>
      <c r="EFC146" s="433"/>
      <c r="EFD146" s="433"/>
      <c r="EFE146" s="433"/>
      <c r="EFF146" s="433"/>
      <c r="EFG146" s="433"/>
      <c r="EFH146" s="433"/>
      <c r="EFI146" s="433"/>
      <c r="EFJ146" s="433"/>
      <c r="EFK146" s="433"/>
      <c r="EFL146" s="433"/>
      <c r="EFM146" s="433"/>
      <c r="EFN146" s="433"/>
      <c r="EFO146" s="433"/>
      <c r="EFP146" s="433"/>
      <c r="EFQ146" s="433"/>
      <c r="EFR146" s="433"/>
      <c r="EFS146" s="433"/>
      <c r="EFT146" s="433"/>
      <c r="EFU146" s="433"/>
      <c r="EFV146" s="433"/>
      <c r="EFW146" s="433"/>
      <c r="EFX146" s="433"/>
      <c r="EFY146" s="433"/>
      <c r="EFZ146" s="433"/>
      <c r="EGA146" s="433"/>
      <c r="EGB146" s="433"/>
      <c r="EGC146" s="433"/>
      <c r="EGD146" s="433"/>
      <c r="EGE146" s="433"/>
      <c r="EGF146" s="433"/>
      <c r="EGG146" s="433"/>
      <c r="EGH146" s="433"/>
      <c r="EGI146" s="433"/>
      <c r="EGJ146" s="433"/>
      <c r="EGK146" s="433"/>
      <c r="EGL146" s="433"/>
      <c r="EGM146" s="433"/>
      <c r="EGN146" s="433"/>
      <c r="EGO146" s="433"/>
      <c r="EGP146" s="433"/>
      <c r="EGQ146" s="433"/>
      <c r="EGR146" s="433"/>
      <c r="EGS146" s="433"/>
      <c r="EGT146" s="433"/>
      <c r="EGU146" s="433"/>
      <c r="EGV146" s="433"/>
      <c r="EGW146" s="433"/>
      <c r="EGX146" s="433"/>
      <c r="EGY146" s="433"/>
      <c r="EGZ146" s="433"/>
      <c r="EHA146" s="433"/>
      <c r="EHB146" s="433"/>
      <c r="EHC146" s="433"/>
      <c r="EHD146" s="433"/>
      <c r="EHE146" s="433"/>
      <c r="EHF146" s="433"/>
      <c r="EHG146" s="433"/>
      <c r="EHH146" s="433"/>
      <c r="EHI146" s="433"/>
      <c r="EHJ146" s="433"/>
      <c r="EHK146" s="433"/>
      <c r="EHL146" s="433"/>
      <c r="EHM146" s="433"/>
      <c r="EHN146" s="433"/>
      <c r="EHO146" s="433"/>
      <c r="EHP146" s="433"/>
      <c r="EHQ146" s="433"/>
      <c r="EHR146" s="433"/>
      <c r="EHS146" s="433"/>
      <c r="EHT146" s="433"/>
      <c r="EHU146" s="433"/>
      <c r="EHV146" s="433"/>
      <c r="EHW146" s="433"/>
      <c r="EHX146" s="433"/>
      <c r="EHY146" s="433"/>
      <c r="EHZ146" s="433"/>
      <c r="EIA146" s="433"/>
      <c r="EIB146" s="433"/>
      <c r="EIC146" s="433"/>
      <c r="EID146" s="433"/>
      <c r="EIE146" s="433"/>
      <c r="EIF146" s="433"/>
      <c r="EIG146" s="433"/>
      <c r="EIH146" s="433"/>
      <c r="EII146" s="433"/>
      <c r="EIJ146" s="433"/>
      <c r="EIK146" s="433"/>
      <c r="EIL146" s="433"/>
      <c r="EIM146" s="433"/>
      <c r="EIN146" s="433"/>
      <c r="EIO146" s="433"/>
      <c r="EIP146" s="433"/>
      <c r="EIQ146" s="433"/>
      <c r="EIR146" s="433"/>
      <c r="EIS146" s="433"/>
      <c r="EIT146" s="433"/>
      <c r="EIU146" s="433"/>
      <c r="EIV146" s="433"/>
      <c r="EIW146" s="433"/>
      <c r="EIX146" s="433"/>
      <c r="EIY146" s="433"/>
      <c r="EIZ146" s="433"/>
      <c r="EJA146" s="433"/>
      <c r="EJB146" s="433"/>
      <c r="EJC146" s="433"/>
      <c r="EJD146" s="433"/>
      <c r="EJE146" s="433"/>
      <c r="EJF146" s="433"/>
      <c r="EJG146" s="433"/>
      <c r="EJH146" s="433"/>
      <c r="EJI146" s="433"/>
      <c r="EJJ146" s="433"/>
      <c r="EJK146" s="433"/>
      <c r="EJL146" s="433"/>
      <c r="EJM146" s="433"/>
      <c r="EJN146" s="433"/>
      <c r="EJO146" s="433"/>
      <c r="EJP146" s="433"/>
      <c r="EJQ146" s="433"/>
      <c r="EJR146" s="433"/>
      <c r="EJS146" s="433"/>
      <c r="EJT146" s="433"/>
      <c r="EJU146" s="433"/>
      <c r="EJV146" s="433"/>
      <c r="EJW146" s="433"/>
      <c r="EJX146" s="433"/>
      <c r="EJY146" s="433"/>
      <c r="EJZ146" s="433"/>
      <c r="EKA146" s="433"/>
      <c r="EKB146" s="433"/>
      <c r="EKC146" s="433"/>
      <c r="EKD146" s="433"/>
      <c r="EKE146" s="433"/>
      <c r="EKF146" s="433"/>
      <c r="EKG146" s="433"/>
      <c r="EKH146" s="433"/>
      <c r="EKI146" s="433"/>
      <c r="EKJ146" s="433"/>
      <c r="EKK146" s="433"/>
      <c r="EKL146" s="433"/>
      <c r="EKM146" s="433"/>
      <c r="EKN146" s="433"/>
      <c r="EKO146" s="433"/>
      <c r="EKP146" s="433"/>
      <c r="EKQ146" s="433"/>
      <c r="EKR146" s="433"/>
      <c r="EKS146" s="433"/>
      <c r="EKT146" s="433"/>
      <c r="EKU146" s="433"/>
      <c r="EKV146" s="433"/>
      <c r="EKW146" s="433"/>
      <c r="EKX146" s="433"/>
      <c r="EKY146" s="433"/>
      <c r="EKZ146" s="433"/>
      <c r="ELA146" s="433"/>
      <c r="ELB146" s="433"/>
      <c r="ELC146" s="433"/>
      <c r="ELD146" s="433"/>
      <c r="ELE146" s="433"/>
      <c r="ELF146" s="433"/>
      <c r="ELG146" s="433"/>
      <c r="ELH146" s="433"/>
      <c r="ELI146" s="433"/>
      <c r="ELJ146" s="433"/>
      <c r="ELK146" s="433"/>
      <c r="ELL146" s="433"/>
      <c r="ELM146" s="433"/>
      <c r="ELN146" s="433"/>
      <c r="ELO146" s="433"/>
      <c r="ELP146" s="433"/>
      <c r="ELQ146" s="433"/>
      <c r="ELR146" s="433"/>
      <c r="ELS146" s="433"/>
      <c r="ELT146" s="433"/>
      <c r="ELU146" s="433"/>
      <c r="ELV146" s="433"/>
      <c r="ELW146" s="433"/>
      <c r="ELX146" s="433"/>
      <c r="ELY146" s="433"/>
      <c r="ELZ146" s="433"/>
      <c r="EMA146" s="433"/>
      <c r="EMB146" s="433"/>
      <c r="EMC146" s="433"/>
      <c r="EMD146" s="433"/>
      <c r="EME146" s="433"/>
      <c r="EMF146" s="433"/>
      <c r="EMG146" s="433"/>
      <c r="EMH146" s="433"/>
      <c r="EMI146" s="433"/>
      <c r="EMJ146" s="433"/>
      <c r="EMK146" s="433"/>
      <c r="EML146" s="433"/>
      <c r="EMM146" s="433"/>
      <c r="EMN146" s="433"/>
      <c r="EMO146" s="433"/>
      <c r="EMP146" s="433"/>
      <c r="EMQ146" s="433"/>
      <c r="EMR146" s="433"/>
      <c r="EMS146" s="433"/>
      <c r="EMT146" s="433"/>
      <c r="EMU146" s="433"/>
      <c r="EMV146" s="433"/>
      <c r="EMW146" s="433"/>
      <c r="EMX146" s="433"/>
      <c r="EMY146" s="433"/>
      <c r="EMZ146" s="433"/>
      <c r="ENA146" s="433"/>
      <c r="ENB146" s="433"/>
      <c r="ENC146" s="433"/>
      <c r="END146" s="433"/>
      <c r="ENE146" s="433"/>
      <c r="ENF146" s="433"/>
      <c r="ENG146" s="433"/>
      <c r="ENH146" s="433"/>
      <c r="ENI146" s="433"/>
      <c r="ENJ146" s="433"/>
      <c r="ENK146" s="433"/>
      <c r="ENL146" s="433"/>
      <c r="ENM146" s="433"/>
      <c r="ENN146" s="433"/>
      <c r="ENO146" s="433"/>
      <c r="ENP146" s="433"/>
      <c r="ENQ146" s="433"/>
      <c r="ENR146" s="433"/>
      <c r="ENS146" s="433"/>
      <c r="ENT146" s="433"/>
      <c r="ENU146" s="433"/>
      <c r="ENV146" s="433"/>
      <c r="ENW146" s="433"/>
      <c r="ENX146" s="433"/>
      <c r="ENY146" s="433"/>
      <c r="ENZ146" s="433"/>
      <c r="EOA146" s="433"/>
      <c r="EOB146" s="433"/>
      <c r="EOC146" s="433"/>
      <c r="EOD146" s="433"/>
      <c r="EOE146" s="433"/>
      <c r="EOF146" s="433"/>
      <c r="EOG146" s="433"/>
      <c r="EOH146" s="433"/>
      <c r="EOI146" s="433"/>
      <c r="EOJ146" s="433"/>
      <c r="EOK146" s="433"/>
      <c r="EOL146" s="433"/>
      <c r="EOM146" s="433"/>
      <c r="EON146" s="433"/>
      <c r="EOO146" s="433"/>
      <c r="EOP146" s="433"/>
      <c r="EOQ146" s="433"/>
      <c r="EOR146" s="433"/>
      <c r="EOS146" s="433"/>
      <c r="EOT146" s="433"/>
      <c r="EOU146" s="433"/>
      <c r="EOV146" s="433"/>
      <c r="EOW146" s="433"/>
      <c r="EOX146" s="433"/>
      <c r="EOY146" s="433"/>
      <c r="EOZ146" s="433"/>
      <c r="EPA146" s="433"/>
      <c r="EPB146" s="433"/>
      <c r="EPC146" s="433"/>
      <c r="EPD146" s="433"/>
      <c r="EPE146" s="433"/>
      <c r="EPF146" s="433"/>
      <c r="EPG146" s="433"/>
      <c r="EPH146" s="433"/>
      <c r="EPI146" s="433"/>
      <c r="EPJ146" s="433"/>
      <c r="EPK146" s="433"/>
      <c r="EPL146" s="433"/>
      <c r="EPM146" s="433"/>
      <c r="EPN146" s="433"/>
      <c r="EPO146" s="433"/>
      <c r="EPP146" s="433"/>
      <c r="EPQ146" s="433"/>
      <c r="EPR146" s="433"/>
      <c r="EPS146" s="433"/>
      <c r="EPT146" s="433"/>
      <c r="EPU146" s="433"/>
      <c r="EPV146" s="433"/>
      <c r="EPW146" s="433"/>
      <c r="EPX146" s="433"/>
      <c r="EPY146" s="433"/>
      <c r="EPZ146" s="433"/>
      <c r="EQA146" s="433"/>
      <c r="EQB146" s="433"/>
      <c r="EQC146" s="433"/>
      <c r="EQD146" s="433"/>
      <c r="EQE146" s="433"/>
      <c r="EQF146" s="433"/>
      <c r="EQG146" s="433"/>
      <c r="EQH146" s="433"/>
      <c r="EQI146" s="433"/>
      <c r="EQJ146" s="433"/>
      <c r="EQK146" s="433"/>
      <c r="EQL146" s="433"/>
      <c r="EQM146" s="433"/>
      <c r="EQN146" s="433"/>
      <c r="EQO146" s="433"/>
      <c r="EQP146" s="433"/>
      <c r="EQQ146" s="433"/>
      <c r="EQR146" s="433"/>
      <c r="EQS146" s="433"/>
      <c r="EQT146" s="433"/>
      <c r="EQU146" s="433"/>
      <c r="EQV146" s="433"/>
      <c r="EQW146" s="433"/>
      <c r="EQX146" s="433"/>
      <c r="EQY146" s="433"/>
      <c r="EQZ146" s="433"/>
      <c r="ERA146" s="433"/>
      <c r="ERB146" s="433"/>
      <c r="ERC146" s="433"/>
      <c r="ERD146" s="433"/>
      <c r="ERE146" s="433"/>
      <c r="ERF146" s="433"/>
      <c r="ERG146" s="433"/>
      <c r="ERH146" s="433"/>
      <c r="ERI146" s="433"/>
      <c r="ERJ146" s="433"/>
      <c r="ERK146" s="433"/>
      <c r="ERL146" s="433"/>
      <c r="ERM146" s="433"/>
      <c r="ERN146" s="433"/>
      <c r="ERO146" s="433"/>
      <c r="ERP146" s="433"/>
      <c r="ERQ146" s="433"/>
      <c r="ERR146" s="433"/>
      <c r="ERS146" s="433"/>
      <c r="ERT146" s="433"/>
      <c r="ERU146" s="433"/>
      <c r="ERV146" s="433"/>
      <c r="ERW146" s="433"/>
      <c r="ERX146" s="433"/>
      <c r="ERY146" s="433"/>
      <c r="ERZ146" s="433"/>
      <c r="ESA146" s="433"/>
      <c r="ESB146" s="433"/>
      <c r="ESC146" s="433"/>
      <c r="ESD146" s="433"/>
      <c r="ESE146" s="433"/>
      <c r="ESF146" s="433"/>
      <c r="ESG146" s="433"/>
      <c r="ESH146" s="433"/>
      <c r="ESI146" s="433"/>
      <c r="ESJ146" s="433"/>
      <c r="ESK146" s="433"/>
      <c r="ESL146" s="433"/>
      <c r="ESM146" s="433"/>
      <c r="ESN146" s="433"/>
      <c r="ESO146" s="433"/>
      <c r="ESP146" s="433"/>
      <c r="ESQ146" s="433"/>
      <c r="ESR146" s="433"/>
      <c r="ESS146" s="433"/>
      <c r="EST146" s="433"/>
      <c r="ESU146" s="433"/>
      <c r="ESV146" s="433"/>
      <c r="ESW146" s="433"/>
      <c r="ESX146" s="433"/>
      <c r="ESY146" s="433"/>
      <c r="ESZ146" s="433"/>
      <c r="ETA146" s="433"/>
      <c r="ETB146" s="433"/>
      <c r="ETC146" s="433"/>
      <c r="ETD146" s="433"/>
      <c r="ETE146" s="433"/>
      <c r="ETF146" s="433"/>
      <c r="ETG146" s="433"/>
      <c r="ETH146" s="433"/>
      <c r="ETI146" s="433"/>
      <c r="ETJ146" s="433"/>
      <c r="ETK146" s="433"/>
      <c r="ETL146" s="433"/>
      <c r="ETM146" s="433"/>
      <c r="ETN146" s="433"/>
      <c r="ETO146" s="433"/>
      <c r="ETP146" s="433"/>
      <c r="ETQ146" s="433"/>
      <c r="ETR146" s="433"/>
      <c r="ETS146" s="433"/>
      <c r="ETT146" s="433"/>
      <c r="ETU146" s="433"/>
      <c r="ETV146" s="433"/>
      <c r="ETW146" s="433"/>
      <c r="ETX146" s="433"/>
      <c r="ETY146" s="433"/>
      <c r="ETZ146" s="433"/>
      <c r="EUA146" s="433"/>
      <c r="EUB146" s="433"/>
      <c r="EUC146" s="433"/>
      <c r="EUD146" s="433"/>
      <c r="EUE146" s="433"/>
      <c r="EUF146" s="433"/>
      <c r="EUG146" s="433"/>
      <c r="EUH146" s="433"/>
      <c r="EUI146" s="433"/>
      <c r="EUJ146" s="433"/>
      <c r="EUK146" s="433"/>
      <c r="EUL146" s="433"/>
      <c r="EUM146" s="433"/>
      <c r="EUN146" s="433"/>
      <c r="EUO146" s="433"/>
      <c r="EUP146" s="433"/>
      <c r="EUQ146" s="433"/>
      <c r="EUR146" s="433"/>
      <c r="EUS146" s="433"/>
      <c r="EUT146" s="433"/>
      <c r="EUU146" s="433"/>
      <c r="EUV146" s="433"/>
      <c r="EUW146" s="433"/>
      <c r="EUX146" s="433"/>
      <c r="EUY146" s="433"/>
      <c r="EUZ146" s="433"/>
      <c r="EVA146" s="433"/>
      <c r="EVB146" s="433"/>
      <c r="EVC146" s="433"/>
      <c r="EVD146" s="433"/>
      <c r="EVE146" s="433"/>
      <c r="EVF146" s="433"/>
      <c r="EVG146" s="433"/>
      <c r="EVH146" s="433"/>
      <c r="EVI146" s="433"/>
      <c r="EVJ146" s="433"/>
      <c r="EVK146" s="433"/>
      <c r="EVL146" s="433"/>
      <c r="EVM146" s="433"/>
      <c r="EVN146" s="433"/>
      <c r="EVO146" s="433"/>
      <c r="EVP146" s="433"/>
      <c r="EVQ146" s="433"/>
      <c r="EVR146" s="433"/>
      <c r="EVS146" s="433"/>
      <c r="EVT146" s="433"/>
      <c r="EVU146" s="433"/>
      <c r="EVV146" s="433"/>
      <c r="EVW146" s="433"/>
      <c r="EVX146" s="433"/>
      <c r="EVY146" s="433"/>
      <c r="EVZ146" s="433"/>
      <c r="EWA146" s="433"/>
      <c r="EWB146" s="433"/>
      <c r="EWC146" s="433"/>
      <c r="EWD146" s="433"/>
      <c r="EWE146" s="433"/>
      <c r="EWF146" s="433"/>
      <c r="EWG146" s="433"/>
      <c r="EWH146" s="433"/>
      <c r="EWI146" s="433"/>
      <c r="EWJ146" s="433"/>
      <c r="EWK146" s="433"/>
      <c r="EWL146" s="433"/>
      <c r="EWM146" s="433"/>
      <c r="EWN146" s="433"/>
      <c r="EWO146" s="433"/>
      <c r="EWP146" s="433"/>
      <c r="EWQ146" s="433"/>
      <c r="EWR146" s="433"/>
      <c r="EWS146" s="433"/>
      <c r="EWT146" s="433"/>
      <c r="EWU146" s="433"/>
      <c r="EWV146" s="433"/>
      <c r="EWW146" s="433"/>
      <c r="EWX146" s="433"/>
      <c r="EWY146" s="433"/>
      <c r="EWZ146" s="433"/>
      <c r="EXA146" s="433"/>
      <c r="EXB146" s="433"/>
      <c r="EXC146" s="433"/>
      <c r="EXD146" s="433"/>
      <c r="EXE146" s="433"/>
      <c r="EXF146" s="433"/>
      <c r="EXG146" s="433"/>
      <c r="EXH146" s="433"/>
      <c r="EXI146" s="433"/>
      <c r="EXJ146" s="433"/>
      <c r="EXK146" s="433"/>
      <c r="EXL146" s="433"/>
      <c r="EXM146" s="433"/>
      <c r="EXN146" s="433"/>
      <c r="EXO146" s="433"/>
      <c r="EXP146" s="433"/>
      <c r="EXQ146" s="433"/>
      <c r="EXR146" s="433"/>
      <c r="EXS146" s="433"/>
      <c r="EXT146" s="433"/>
      <c r="EXU146" s="433"/>
      <c r="EXV146" s="433"/>
      <c r="EXW146" s="433"/>
      <c r="EXX146" s="433"/>
      <c r="EXY146" s="433"/>
      <c r="EXZ146" s="433"/>
      <c r="EYA146" s="433"/>
      <c r="EYB146" s="433"/>
      <c r="EYC146" s="433"/>
      <c r="EYD146" s="433"/>
      <c r="EYE146" s="433"/>
      <c r="EYF146" s="433"/>
      <c r="EYG146" s="433"/>
      <c r="EYH146" s="433"/>
      <c r="EYI146" s="433"/>
      <c r="EYJ146" s="433"/>
      <c r="EYK146" s="433"/>
      <c r="EYL146" s="433"/>
      <c r="EYM146" s="433"/>
      <c r="EYN146" s="433"/>
      <c r="EYO146" s="433"/>
      <c r="EYP146" s="433"/>
      <c r="EYQ146" s="433"/>
      <c r="EYR146" s="433"/>
      <c r="EYS146" s="433"/>
      <c r="EYT146" s="433"/>
      <c r="EYU146" s="433"/>
      <c r="EYV146" s="433"/>
      <c r="EYW146" s="433"/>
      <c r="EYX146" s="433"/>
      <c r="EYY146" s="433"/>
      <c r="EYZ146" s="433"/>
      <c r="EZA146" s="433"/>
      <c r="EZB146" s="433"/>
      <c r="EZC146" s="433"/>
      <c r="EZD146" s="433"/>
      <c r="EZE146" s="433"/>
      <c r="EZF146" s="433"/>
      <c r="EZG146" s="433"/>
      <c r="EZH146" s="433"/>
      <c r="EZI146" s="433"/>
      <c r="EZJ146" s="433"/>
      <c r="EZK146" s="433"/>
      <c r="EZL146" s="433"/>
      <c r="EZM146" s="433"/>
      <c r="EZN146" s="433"/>
      <c r="EZO146" s="433"/>
      <c r="EZP146" s="433"/>
      <c r="EZQ146" s="433"/>
      <c r="EZR146" s="433"/>
      <c r="EZS146" s="433"/>
      <c r="EZT146" s="433"/>
      <c r="EZU146" s="433"/>
      <c r="EZV146" s="433"/>
      <c r="EZW146" s="433"/>
      <c r="EZX146" s="433"/>
      <c r="EZY146" s="433"/>
      <c r="EZZ146" s="433"/>
      <c r="FAA146" s="433"/>
      <c r="FAB146" s="433"/>
      <c r="FAC146" s="433"/>
      <c r="FAD146" s="433"/>
      <c r="FAE146" s="433"/>
      <c r="FAF146" s="433"/>
      <c r="FAG146" s="433"/>
      <c r="FAH146" s="433"/>
      <c r="FAI146" s="433"/>
      <c r="FAJ146" s="433"/>
      <c r="FAK146" s="433"/>
      <c r="FAL146" s="433"/>
      <c r="FAM146" s="433"/>
      <c r="FAN146" s="433"/>
      <c r="FAO146" s="433"/>
      <c r="FAP146" s="433"/>
      <c r="FAQ146" s="433"/>
      <c r="FAR146" s="433"/>
      <c r="FAS146" s="433"/>
      <c r="FAT146" s="433"/>
      <c r="FAU146" s="433"/>
      <c r="FAV146" s="433"/>
      <c r="FAW146" s="433"/>
      <c r="FAX146" s="433"/>
      <c r="FAY146" s="433"/>
      <c r="FAZ146" s="433"/>
      <c r="FBA146" s="433"/>
      <c r="FBB146" s="433"/>
      <c r="FBC146" s="433"/>
      <c r="FBD146" s="433"/>
      <c r="FBE146" s="433"/>
      <c r="FBF146" s="433"/>
      <c r="FBG146" s="433"/>
      <c r="FBH146" s="433"/>
      <c r="FBI146" s="433"/>
      <c r="FBJ146" s="433"/>
      <c r="FBK146" s="433"/>
      <c r="FBL146" s="433"/>
      <c r="FBM146" s="433"/>
      <c r="FBN146" s="433"/>
      <c r="FBO146" s="433"/>
      <c r="FBP146" s="433"/>
      <c r="FBQ146" s="433"/>
      <c r="FBR146" s="433"/>
      <c r="FBS146" s="433"/>
      <c r="FBT146" s="433"/>
      <c r="FBU146" s="433"/>
      <c r="FBV146" s="433"/>
      <c r="FBW146" s="433"/>
      <c r="FBX146" s="433"/>
      <c r="FBY146" s="433"/>
      <c r="FBZ146" s="433"/>
      <c r="FCA146" s="433"/>
      <c r="FCB146" s="433"/>
      <c r="FCC146" s="433"/>
      <c r="FCD146" s="433"/>
      <c r="FCE146" s="433"/>
      <c r="FCF146" s="433"/>
      <c r="FCG146" s="433"/>
      <c r="FCH146" s="433"/>
      <c r="FCI146" s="433"/>
      <c r="FCJ146" s="433"/>
      <c r="FCK146" s="433"/>
      <c r="FCL146" s="433"/>
      <c r="FCM146" s="433"/>
      <c r="FCN146" s="433"/>
      <c r="FCO146" s="433"/>
      <c r="FCP146" s="433"/>
      <c r="FCQ146" s="433"/>
      <c r="FCR146" s="433"/>
      <c r="FCS146" s="433"/>
      <c r="FCT146" s="433"/>
      <c r="FCU146" s="433"/>
      <c r="FCV146" s="433"/>
      <c r="FCW146" s="433"/>
      <c r="FCX146" s="433"/>
      <c r="FCY146" s="433"/>
      <c r="FCZ146" s="433"/>
      <c r="FDA146" s="433"/>
      <c r="FDB146" s="433"/>
      <c r="FDC146" s="433"/>
      <c r="FDD146" s="433"/>
      <c r="FDE146" s="433"/>
      <c r="FDF146" s="433"/>
      <c r="FDG146" s="433"/>
      <c r="FDH146" s="433"/>
      <c r="FDI146" s="433"/>
      <c r="FDJ146" s="433"/>
      <c r="FDK146" s="433"/>
      <c r="FDL146" s="433"/>
      <c r="FDM146" s="433"/>
      <c r="FDN146" s="433"/>
      <c r="FDO146" s="433"/>
      <c r="FDP146" s="433"/>
      <c r="FDQ146" s="433"/>
      <c r="FDR146" s="433"/>
      <c r="FDS146" s="433"/>
      <c r="FDT146" s="433"/>
      <c r="FDU146" s="433"/>
      <c r="FDV146" s="433"/>
      <c r="FDW146" s="433"/>
      <c r="FDX146" s="433"/>
      <c r="FDY146" s="433"/>
      <c r="FDZ146" s="433"/>
      <c r="FEA146" s="433"/>
      <c r="FEB146" s="433"/>
      <c r="FEC146" s="433"/>
      <c r="FED146" s="433"/>
      <c r="FEE146" s="433"/>
      <c r="FEF146" s="433"/>
      <c r="FEG146" s="433"/>
      <c r="FEH146" s="433"/>
      <c r="FEI146" s="433"/>
      <c r="FEJ146" s="433"/>
      <c r="FEK146" s="433"/>
      <c r="FEL146" s="433"/>
      <c r="FEM146" s="433"/>
      <c r="FEN146" s="433"/>
      <c r="FEO146" s="433"/>
      <c r="FEP146" s="433"/>
      <c r="FEQ146" s="433"/>
      <c r="FER146" s="433"/>
      <c r="FES146" s="433"/>
      <c r="FET146" s="433"/>
      <c r="FEU146" s="433"/>
      <c r="FEV146" s="433"/>
      <c r="FEW146" s="433"/>
      <c r="FEX146" s="433"/>
      <c r="FEY146" s="433"/>
      <c r="FEZ146" s="433"/>
      <c r="FFA146" s="433"/>
      <c r="FFB146" s="433"/>
      <c r="FFC146" s="433"/>
      <c r="FFD146" s="433"/>
      <c r="FFE146" s="433"/>
      <c r="FFF146" s="433"/>
      <c r="FFG146" s="433"/>
      <c r="FFH146" s="433"/>
      <c r="FFI146" s="433"/>
      <c r="FFJ146" s="433"/>
      <c r="FFK146" s="433"/>
      <c r="FFL146" s="433"/>
      <c r="FFM146" s="433"/>
      <c r="FFN146" s="433"/>
      <c r="FFO146" s="433"/>
      <c r="FFP146" s="433"/>
      <c r="FFQ146" s="433"/>
      <c r="FFR146" s="433"/>
      <c r="FFS146" s="433"/>
      <c r="FFT146" s="433"/>
      <c r="FFU146" s="433"/>
      <c r="FFV146" s="433"/>
      <c r="FFW146" s="433"/>
      <c r="FFX146" s="433"/>
      <c r="FFY146" s="433"/>
      <c r="FFZ146" s="433"/>
      <c r="FGA146" s="433"/>
      <c r="FGB146" s="433"/>
      <c r="FGC146" s="433"/>
      <c r="FGD146" s="433"/>
      <c r="FGE146" s="433"/>
      <c r="FGF146" s="433"/>
      <c r="FGG146" s="433"/>
      <c r="FGH146" s="433"/>
      <c r="FGI146" s="433"/>
      <c r="FGJ146" s="433"/>
      <c r="FGK146" s="433"/>
      <c r="FGL146" s="433"/>
      <c r="FGM146" s="433"/>
      <c r="FGN146" s="433"/>
      <c r="FGO146" s="433"/>
      <c r="FGP146" s="433"/>
      <c r="FGQ146" s="433"/>
      <c r="FGR146" s="433"/>
      <c r="FGS146" s="433"/>
      <c r="FGT146" s="433"/>
      <c r="FGU146" s="433"/>
      <c r="FGV146" s="433"/>
      <c r="FGW146" s="433"/>
      <c r="FGX146" s="433"/>
      <c r="FGY146" s="433"/>
      <c r="FGZ146" s="433"/>
      <c r="FHA146" s="433"/>
      <c r="FHB146" s="433"/>
      <c r="FHC146" s="433"/>
      <c r="FHD146" s="433"/>
      <c r="FHE146" s="433"/>
      <c r="FHF146" s="433"/>
      <c r="FHG146" s="433"/>
      <c r="FHH146" s="433"/>
      <c r="FHI146" s="433"/>
      <c r="FHJ146" s="433"/>
      <c r="FHK146" s="433"/>
      <c r="FHL146" s="433"/>
      <c r="FHM146" s="433"/>
      <c r="FHN146" s="433"/>
      <c r="FHO146" s="433"/>
      <c r="FHP146" s="433"/>
      <c r="FHQ146" s="433"/>
      <c r="FHR146" s="433"/>
      <c r="FHS146" s="433"/>
      <c r="FHT146" s="433"/>
      <c r="FHU146" s="433"/>
      <c r="FHV146" s="433"/>
      <c r="FHW146" s="433"/>
      <c r="FHX146" s="433"/>
      <c r="FHY146" s="433"/>
      <c r="FHZ146" s="433"/>
      <c r="FIA146" s="433"/>
      <c r="FIB146" s="433"/>
      <c r="FIC146" s="433"/>
      <c r="FID146" s="433"/>
      <c r="FIE146" s="433"/>
      <c r="FIF146" s="433"/>
      <c r="FIG146" s="433"/>
      <c r="FIH146" s="433"/>
      <c r="FII146" s="433"/>
      <c r="FIJ146" s="433"/>
      <c r="FIK146" s="433"/>
      <c r="FIL146" s="433"/>
      <c r="FIM146" s="433"/>
      <c r="FIN146" s="433"/>
      <c r="FIO146" s="433"/>
      <c r="FIP146" s="433"/>
      <c r="FIQ146" s="433"/>
      <c r="FIR146" s="433"/>
      <c r="FIS146" s="433"/>
      <c r="FIT146" s="433"/>
      <c r="FIU146" s="433"/>
      <c r="FIV146" s="433"/>
      <c r="FIW146" s="433"/>
      <c r="FIX146" s="433"/>
      <c r="FIY146" s="433"/>
      <c r="FIZ146" s="433"/>
      <c r="FJA146" s="433"/>
      <c r="FJB146" s="433"/>
      <c r="FJC146" s="433"/>
      <c r="FJD146" s="433"/>
      <c r="FJE146" s="433"/>
      <c r="FJF146" s="433"/>
      <c r="FJG146" s="433"/>
      <c r="FJH146" s="433"/>
      <c r="FJI146" s="433"/>
      <c r="FJJ146" s="433"/>
      <c r="FJK146" s="433"/>
      <c r="FJL146" s="433"/>
      <c r="FJM146" s="433"/>
      <c r="FJN146" s="433"/>
      <c r="FJO146" s="433"/>
      <c r="FJP146" s="433"/>
      <c r="FJQ146" s="433"/>
      <c r="FJR146" s="433"/>
      <c r="FJS146" s="433"/>
      <c r="FJT146" s="433"/>
      <c r="FJU146" s="433"/>
      <c r="FJV146" s="433"/>
      <c r="FJW146" s="433"/>
      <c r="FJX146" s="433"/>
      <c r="FJY146" s="433"/>
      <c r="FJZ146" s="433"/>
      <c r="FKA146" s="433"/>
      <c r="FKB146" s="433"/>
      <c r="FKC146" s="433"/>
      <c r="FKD146" s="433"/>
      <c r="FKE146" s="433"/>
      <c r="FKF146" s="433"/>
      <c r="FKG146" s="433"/>
      <c r="FKH146" s="433"/>
      <c r="FKI146" s="433"/>
      <c r="FKJ146" s="433"/>
      <c r="FKK146" s="433"/>
      <c r="FKL146" s="433"/>
      <c r="FKM146" s="433"/>
      <c r="FKN146" s="433"/>
      <c r="FKO146" s="433"/>
      <c r="FKP146" s="433"/>
      <c r="FKQ146" s="433"/>
      <c r="FKR146" s="433"/>
      <c r="FKS146" s="433"/>
      <c r="FKT146" s="433"/>
      <c r="FKU146" s="433"/>
      <c r="FKV146" s="433"/>
      <c r="FKW146" s="433"/>
      <c r="FKX146" s="433"/>
      <c r="FKY146" s="433"/>
      <c r="FKZ146" s="433"/>
      <c r="FLA146" s="433"/>
      <c r="FLB146" s="433"/>
      <c r="FLC146" s="433"/>
      <c r="FLD146" s="433"/>
      <c r="FLE146" s="433"/>
      <c r="FLF146" s="433"/>
      <c r="FLG146" s="433"/>
      <c r="FLH146" s="433"/>
      <c r="FLI146" s="433"/>
      <c r="FLJ146" s="433"/>
      <c r="FLK146" s="433"/>
      <c r="FLL146" s="433"/>
      <c r="FLM146" s="433"/>
      <c r="FLN146" s="433"/>
      <c r="FLO146" s="433"/>
      <c r="FLP146" s="433"/>
      <c r="FLQ146" s="433"/>
      <c r="FLR146" s="433"/>
      <c r="FLS146" s="433"/>
      <c r="FLT146" s="433"/>
      <c r="FLU146" s="433"/>
      <c r="FLV146" s="433"/>
      <c r="FLW146" s="433"/>
      <c r="FLX146" s="433"/>
      <c r="FLY146" s="433"/>
      <c r="FLZ146" s="433"/>
      <c r="FMA146" s="433"/>
      <c r="FMB146" s="433"/>
      <c r="FMC146" s="433"/>
      <c r="FMD146" s="433"/>
      <c r="FME146" s="433"/>
      <c r="FMF146" s="433"/>
      <c r="FMG146" s="433"/>
      <c r="FMH146" s="433"/>
      <c r="FMI146" s="433"/>
      <c r="FMJ146" s="433"/>
      <c r="FMK146" s="433"/>
      <c r="FML146" s="433"/>
      <c r="FMM146" s="433"/>
      <c r="FMN146" s="433"/>
      <c r="FMO146" s="433"/>
      <c r="FMP146" s="433"/>
      <c r="FMQ146" s="433"/>
      <c r="FMR146" s="433"/>
      <c r="FMS146" s="433"/>
      <c r="FMT146" s="433"/>
      <c r="FMU146" s="433"/>
      <c r="FMV146" s="433"/>
      <c r="FMW146" s="433"/>
      <c r="FMX146" s="433"/>
      <c r="FMY146" s="433"/>
      <c r="FMZ146" s="433"/>
      <c r="FNA146" s="433"/>
      <c r="FNB146" s="433"/>
      <c r="FNC146" s="433"/>
      <c r="FND146" s="433"/>
      <c r="FNE146" s="433"/>
      <c r="FNF146" s="433"/>
      <c r="FNG146" s="433"/>
      <c r="FNH146" s="433"/>
      <c r="FNI146" s="433"/>
      <c r="FNJ146" s="433"/>
      <c r="FNK146" s="433"/>
      <c r="FNL146" s="433"/>
      <c r="FNM146" s="433"/>
      <c r="FNN146" s="433"/>
      <c r="FNO146" s="433"/>
      <c r="FNP146" s="433"/>
      <c r="FNQ146" s="433"/>
      <c r="FNR146" s="433"/>
      <c r="FNS146" s="433"/>
      <c r="FNT146" s="433"/>
      <c r="FNU146" s="433"/>
      <c r="FNV146" s="433"/>
      <c r="FNW146" s="433"/>
      <c r="FNX146" s="433"/>
      <c r="FNY146" s="433"/>
      <c r="FNZ146" s="433"/>
      <c r="FOA146" s="433"/>
      <c r="FOB146" s="433"/>
      <c r="FOC146" s="433"/>
      <c r="FOD146" s="433"/>
      <c r="FOE146" s="433"/>
      <c r="FOF146" s="433"/>
      <c r="FOG146" s="433"/>
      <c r="FOH146" s="433"/>
      <c r="FOI146" s="433"/>
      <c r="FOJ146" s="433"/>
      <c r="FOK146" s="433"/>
      <c r="FOL146" s="433"/>
      <c r="FOM146" s="433"/>
      <c r="FON146" s="433"/>
      <c r="FOO146" s="433"/>
      <c r="FOP146" s="433"/>
      <c r="FOQ146" s="433"/>
      <c r="FOR146" s="433"/>
      <c r="FOS146" s="433"/>
      <c r="FOT146" s="433"/>
      <c r="FOU146" s="433"/>
      <c r="FOV146" s="433"/>
      <c r="FOW146" s="433"/>
      <c r="FOX146" s="433"/>
      <c r="FOY146" s="433"/>
      <c r="FOZ146" s="433"/>
      <c r="FPA146" s="433"/>
      <c r="FPB146" s="433"/>
      <c r="FPC146" s="433"/>
      <c r="FPD146" s="433"/>
      <c r="FPE146" s="433"/>
      <c r="FPF146" s="433"/>
      <c r="FPG146" s="433"/>
      <c r="FPH146" s="433"/>
      <c r="FPI146" s="433"/>
      <c r="FPJ146" s="433"/>
      <c r="FPK146" s="433"/>
      <c r="FPL146" s="433"/>
      <c r="FPM146" s="433"/>
      <c r="FPN146" s="433"/>
      <c r="FPO146" s="433"/>
      <c r="FPP146" s="433"/>
      <c r="FPQ146" s="433"/>
      <c r="FPR146" s="433"/>
      <c r="FPS146" s="433"/>
      <c r="FPT146" s="433"/>
      <c r="FPU146" s="433"/>
      <c r="FPV146" s="433"/>
      <c r="FPW146" s="433"/>
      <c r="FPX146" s="433"/>
      <c r="FPY146" s="433"/>
      <c r="FPZ146" s="433"/>
      <c r="FQA146" s="433"/>
      <c r="FQB146" s="433"/>
      <c r="FQC146" s="433"/>
      <c r="FQD146" s="433"/>
      <c r="FQE146" s="433"/>
      <c r="FQF146" s="433"/>
      <c r="FQG146" s="433"/>
      <c r="FQH146" s="433"/>
      <c r="FQI146" s="433"/>
      <c r="FQJ146" s="433"/>
      <c r="FQK146" s="433"/>
      <c r="FQL146" s="433"/>
      <c r="FQM146" s="433"/>
      <c r="FQN146" s="433"/>
      <c r="FQO146" s="433"/>
      <c r="FQP146" s="433"/>
      <c r="FQQ146" s="433"/>
      <c r="FQR146" s="433"/>
      <c r="FQS146" s="433"/>
      <c r="FQT146" s="433"/>
      <c r="FQU146" s="433"/>
      <c r="FQV146" s="433"/>
      <c r="FQW146" s="433"/>
      <c r="FQX146" s="433"/>
      <c r="FQY146" s="433"/>
      <c r="FQZ146" s="433"/>
      <c r="FRA146" s="433"/>
      <c r="FRB146" s="433"/>
      <c r="FRC146" s="433"/>
      <c r="FRD146" s="433"/>
      <c r="FRE146" s="433"/>
      <c r="FRF146" s="433"/>
      <c r="FRG146" s="433"/>
      <c r="FRH146" s="433"/>
      <c r="FRI146" s="433"/>
      <c r="FRJ146" s="433"/>
      <c r="FRK146" s="433"/>
      <c r="FRL146" s="433"/>
      <c r="FRM146" s="433"/>
      <c r="FRN146" s="433"/>
      <c r="FRO146" s="433"/>
      <c r="FRP146" s="433"/>
      <c r="FRQ146" s="433"/>
      <c r="FRR146" s="433"/>
      <c r="FRS146" s="433"/>
      <c r="FRT146" s="433"/>
      <c r="FRU146" s="433"/>
      <c r="FRV146" s="433"/>
      <c r="FRW146" s="433"/>
      <c r="FRX146" s="433"/>
      <c r="FRY146" s="433"/>
      <c r="FRZ146" s="433"/>
      <c r="FSA146" s="433"/>
      <c r="FSB146" s="433"/>
      <c r="FSC146" s="433"/>
      <c r="FSD146" s="433"/>
      <c r="FSE146" s="433"/>
      <c r="FSF146" s="433"/>
      <c r="FSG146" s="433"/>
      <c r="FSH146" s="433"/>
      <c r="FSI146" s="433"/>
      <c r="FSJ146" s="433"/>
      <c r="FSK146" s="433"/>
      <c r="FSL146" s="433"/>
      <c r="FSM146" s="433"/>
      <c r="FSN146" s="433"/>
      <c r="FSO146" s="433"/>
      <c r="FSP146" s="433"/>
      <c r="FSQ146" s="433"/>
      <c r="FSR146" s="433"/>
      <c r="FSS146" s="433"/>
      <c r="FST146" s="433"/>
      <c r="FSU146" s="433"/>
      <c r="FSV146" s="433"/>
      <c r="FSW146" s="433"/>
      <c r="FSX146" s="433"/>
      <c r="FSY146" s="433"/>
      <c r="FSZ146" s="433"/>
      <c r="FTA146" s="433"/>
      <c r="FTB146" s="433"/>
      <c r="FTC146" s="433"/>
      <c r="FTD146" s="433"/>
      <c r="FTE146" s="433"/>
      <c r="FTF146" s="433"/>
      <c r="FTG146" s="433"/>
      <c r="FTH146" s="433"/>
      <c r="FTI146" s="433"/>
      <c r="FTJ146" s="433"/>
      <c r="FTK146" s="433"/>
      <c r="FTL146" s="433"/>
      <c r="FTM146" s="433"/>
      <c r="FTN146" s="433"/>
      <c r="FTO146" s="433"/>
      <c r="FTP146" s="433"/>
      <c r="FTQ146" s="433"/>
      <c r="FTR146" s="433"/>
      <c r="FTS146" s="433"/>
      <c r="FTT146" s="433"/>
      <c r="FTU146" s="433"/>
      <c r="FTV146" s="433"/>
      <c r="FTW146" s="433"/>
      <c r="FTX146" s="433"/>
      <c r="FTY146" s="433"/>
      <c r="FTZ146" s="433"/>
      <c r="FUA146" s="433"/>
      <c r="FUB146" s="433"/>
      <c r="FUC146" s="433"/>
      <c r="FUD146" s="433"/>
      <c r="FUE146" s="433"/>
      <c r="FUF146" s="433"/>
      <c r="FUG146" s="433"/>
      <c r="FUH146" s="433"/>
      <c r="FUI146" s="433"/>
      <c r="FUJ146" s="433"/>
      <c r="FUK146" s="433"/>
      <c r="FUL146" s="433"/>
      <c r="FUM146" s="433"/>
      <c r="FUN146" s="433"/>
      <c r="FUO146" s="433"/>
      <c r="FUP146" s="433"/>
      <c r="FUQ146" s="433"/>
      <c r="FUR146" s="433"/>
      <c r="FUS146" s="433"/>
      <c r="FUT146" s="433"/>
      <c r="FUU146" s="433"/>
      <c r="FUV146" s="433"/>
      <c r="FUW146" s="433"/>
      <c r="FUX146" s="433"/>
      <c r="FUY146" s="433"/>
      <c r="FUZ146" s="433"/>
      <c r="FVA146" s="433"/>
      <c r="FVB146" s="433"/>
      <c r="FVC146" s="433"/>
      <c r="FVD146" s="433"/>
      <c r="FVE146" s="433"/>
      <c r="FVF146" s="433"/>
      <c r="FVG146" s="433"/>
      <c r="FVH146" s="433"/>
      <c r="FVI146" s="433"/>
      <c r="FVJ146" s="433"/>
      <c r="FVK146" s="433"/>
      <c r="FVL146" s="433"/>
      <c r="FVM146" s="433"/>
      <c r="FVN146" s="433"/>
      <c r="FVO146" s="433"/>
      <c r="FVP146" s="433"/>
      <c r="FVQ146" s="433"/>
      <c r="FVR146" s="433"/>
      <c r="FVS146" s="433"/>
      <c r="FVT146" s="433"/>
      <c r="FVU146" s="433"/>
      <c r="FVV146" s="433"/>
      <c r="FVW146" s="433"/>
      <c r="FVX146" s="433"/>
      <c r="FVY146" s="433"/>
      <c r="FVZ146" s="433"/>
      <c r="FWA146" s="433"/>
      <c r="FWB146" s="433"/>
      <c r="FWC146" s="433"/>
      <c r="FWD146" s="433"/>
      <c r="FWE146" s="433"/>
      <c r="FWF146" s="433"/>
      <c r="FWG146" s="433"/>
      <c r="FWH146" s="433"/>
      <c r="FWI146" s="433"/>
      <c r="FWJ146" s="433"/>
      <c r="FWK146" s="433"/>
      <c r="FWL146" s="433"/>
      <c r="FWM146" s="433"/>
      <c r="FWN146" s="433"/>
      <c r="FWO146" s="433"/>
      <c r="FWP146" s="433"/>
      <c r="FWQ146" s="433"/>
      <c r="FWR146" s="433"/>
      <c r="FWS146" s="433"/>
      <c r="FWT146" s="433"/>
      <c r="FWU146" s="433"/>
      <c r="FWV146" s="433"/>
      <c r="FWW146" s="433"/>
      <c r="FWX146" s="433"/>
      <c r="FWY146" s="433"/>
      <c r="FWZ146" s="433"/>
      <c r="FXA146" s="433"/>
      <c r="FXB146" s="433"/>
      <c r="FXC146" s="433"/>
      <c r="FXD146" s="433"/>
      <c r="FXE146" s="433"/>
      <c r="FXF146" s="433"/>
      <c r="FXG146" s="433"/>
      <c r="FXH146" s="433"/>
      <c r="FXI146" s="433"/>
      <c r="FXJ146" s="433"/>
      <c r="FXK146" s="433"/>
      <c r="FXL146" s="433"/>
      <c r="FXM146" s="433"/>
      <c r="FXN146" s="433"/>
      <c r="FXO146" s="433"/>
      <c r="FXP146" s="433"/>
      <c r="FXQ146" s="433"/>
      <c r="FXR146" s="433"/>
      <c r="FXS146" s="433"/>
      <c r="FXT146" s="433"/>
      <c r="FXU146" s="433"/>
      <c r="FXV146" s="433"/>
      <c r="FXW146" s="433"/>
      <c r="FXX146" s="433"/>
      <c r="FXY146" s="433"/>
      <c r="FXZ146" s="433"/>
      <c r="FYA146" s="433"/>
      <c r="FYB146" s="433"/>
      <c r="FYC146" s="433"/>
      <c r="FYD146" s="433"/>
      <c r="FYE146" s="433"/>
      <c r="FYF146" s="433"/>
      <c r="FYG146" s="433"/>
      <c r="FYH146" s="433"/>
      <c r="FYI146" s="433"/>
      <c r="FYJ146" s="433"/>
      <c r="FYK146" s="433"/>
      <c r="FYL146" s="433"/>
      <c r="FYM146" s="433"/>
      <c r="FYN146" s="433"/>
      <c r="FYO146" s="433"/>
      <c r="FYP146" s="433"/>
      <c r="FYQ146" s="433"/>
      <c r="FYR146" s="433"/>
      <c r="FYS146" s="433"/>
      <c r="FYT146" s="433"/>
      <c r="FYU146" s="433"/>
      <c r="FYV146" s="433"/>
      <c r="FYW146" s="433"/>
      <c r="FYX146" s="433"/>
      <c r="FYY146" s="433"/>
      <c r="FYZ146" s="433"/>
      <c r="FZA146" s="433"/>
      <c r="FZB146" s="433"/>
      <c r="FZC146" s="433"/>
      <c r="FZD146" s="433"/>
      <c r="FZE146" s="433"/>
      <c r="FZF146" s="433"/>
      <c r="FZG146" s="433"/>
      <c r="FZH146" s="433"/>
      <c r="FZI146" s="433"/>
      <c r="FZJ146" s="433"/>
      <c r="FZK146" s="433"/>
      <c r="FZL146" s="433"/>
      <c r="FZM146" s="433"/>
      <c r="FZN146" s="433"/>
      <c r="FZO146" s="433"/>
      <c r="FZP146" s="433"/>
      <c r="FZQ146" s="433"/>
      <c r="FZR146" s="433"/>
      <c r="FZS146" s="433"/>
      <c r="FZT146" s="433"/>
      <c r="FZU146" s="433"/>
      <c r="FZV146" s="433"/>
      <c r="FZW146" s="433"/>
      <c r="FZX146" s="433"/>
      <c r="FZY146" s="433"/>
      <c r="FZZ146" s="433"/>
      <c r="GAA146" s="433"/>
      <c r="GAB146" s="433"/>
      <c r="GAC146" s="433"/>
      <c r="GAD146" s="433"/>
      <c r="GAE146" s="433"/>
      <c r="GAF146" s="433"/>
      <c r="GAG146" s="433"/>
      <c r="GAH146" s="433"/>
      <c r="GAI146" s="433"/>
      <c r="GAJ146" s="433"/>
      <c r="GAK146" s="433"/>
      <c r="GAL146" s="433"/>
      <c r="GAM146" s="433"/>
      <c r="GAN146" s="433"/>
      <c r="GAO146" s="433"/>
      <c r="GAP146" s="433"/>
      <c r="GAQ146" s="433"/>
      <c r="GAR146" s="433"/>
      <c r="GAS146" s="433"/>
      <c r="GAT146" s="433"/>
      <c r="GAU146" s="433"/>
      <c r="GAV146" s="433"/>
      <c r="GAW146" s="433"/>
      <c r="GAX146" s="433"/>
      <c r="GAY146" s="433"/>
      <c r="GAZ146" s="433"/>
      <c r="GBA146" s="433"/>
      <c r="GBB146" s="433"/>
      <c r="GBC146" s="433"/>
      <c r="GBD146" s="433"/>
      <c r="GBE146" s="433"/>
      <c r="GBF146" s="433"/>
      <c r="GBG146" s="433"/>
      <c r="GBH146" s="433"/>
      <c r="GBI146" s="433"/>
      <c r="GBJ146" s="433"/>
      <c r="GBK146" s="433"/>
      <c r="GBL146" s="433"/>
      <c r="GBM146" s="433"/>
      <c r="GBN146" s="433"/>
      <c r="GBO146" s="433"/>
      <c r="GBP146" s="433"/>
      <c r="GBQ146" s="433"/>
      <c r="GBR146" s="433"/>
      <c r="GBS146" s="433"/>
      <c r="GBT146" s="433"/>
      <c r="GBU146" s="433"/>
      <c r="GBV146" s="433"/>
      <c r="GBW146" s="433"/>
      <c r="GBX146" s="433"/>
      <c r="GBY146" s="433"/>
      <c r="GBZ146" s="433"/>
      <c r="GCA146" s="433"/>
      <c r="GCB146" s="433"/>
      <c r="GCC146" s="433"/>
      <c r="GCD146" s="433"/>
      <c r="GCE146" s="433"/>
      <c r="GCF146" s="433"/>
      <c r="GCG146" s="433"/>
      <c r="GCH146" s="433"/>
      <c r="GCI146" s="433"/>
      <c r="GCJ146" s="433"/>
      <c r="GCK146" s="433"/>
      <c r="GCL146" s="433"/>
      <c r="GCM146" s="433"/>
      <c r="GCN146" s="433"/>
      <c r="GCO146" s="433"/>
      <c r="GCP146" s="433"/>
      <c r="GCQ146" s="433"/>
      <c r="GCR146" s="433"/>
      <c r="GCS146" s="433"/>
      <c r="GCT146" s="433"/>
      <c r="GCU146" s="433"/>
      <c r="GCV146" s="433"/>
      <c r="GCW146" s="433"/>
      <c r="GCX146" s="433"/>
      <c r="GCY146" s="433"/>
      <c r="GCZ146" s="433"/>
      <c r="GDA146" s="433"/>
      <c r="GDB146" s="433"/>
      <c r="GDC146" s="433"/>
      <c r="GDD146" s="433"/>
      <c r="GDE146" s="433"/>
      <c r="GDF146" s="433"/>
      <c r="GDG146" s="433"/>
      <c r="GDH146" s="433"/>
      <c r="GDI146" s="433"/>
      <c r="GDJ146" s="433"/>
      <c r="GDK146" s="433"/>
      <c r="GDL146" s="433"/>
      <c r="GDM146" s="433"/>
      <c r="GDN146" s="433"/>
      <c r="GDO146" s="433"/>
      <c r="GDP146" s="433"/>
      <c r="GDQ146" s="433"/>
      <c r="GDR146" s="433"/>
      <c r="GDS146" s="433"/>
      <c r="GDT146" s="433"/>
      <c r="GDU146" s="433"/>
      <c r="GDV146" s="433"/>
      <c r="GDW146" s="433"/>
      <c r="GDX146" s="433"/>
      <c r="GDY146" s="433"/>
      <c r="GDZ146" s="433"/>
      <c r="GEA146" s="433"/>
      <c r="GEB146" s="433"/>
      <c r="GEC146" s="433"/>
      <c r="GED146" s="433"/>
      <c r="GEE146" s="433"/>
      <c r="GEF146" s="433"/>
      <c r="GEG146" s="433"/>
      <c r="GEH146" s="433"/>
      <c r="GEI146" s="433"/>
      <c r="GEJ146" s="433"/>
      <c r="GEK146" s="433"/>
      <c r="GEL146" s="433"/>
      <c r="GEM146" s="433"/>
      <c r="GEN146" s="433"/>
      <c r="GEO146" s="433"/>
      <c r="GEP146" s="433"/>
      <c r="GEQ146" s="433"/>
      <c r="GER146" s="433"/>
      <c r="GES146" s="433"/>
      <c r="GET146" s="433"/>
      <c r="GEU146" s="433"/>
      <c r="GEV146" s="433"/>
      <c r="GEW146" s="433"/>
      <c r="GEX146" s="433"/>
      <c r="GEY146" s="433"/>
      <c r="GEZ146" s="433"/>
      <c r="GFA146" s="433"/>
      <c r="GFB146" s="433"/>
      <c r="GFC146" s="433"/>
      <c r="GFD146" s="433"/>
      <c r="GFE146" s="433"/>
      <c r="GFF146" s="433"/>
      <c r="GFG146" s="433"/>
      <c r="GFH146" s="433"/>
      <c r="GFI146" s="433"/>
      <c r="GFJ146" s="433"/>
      <c r="GFK146" s="433"/>
      <c r="GFL146" s="433"/>
      <c r="GFM146" s="433"/>
      <c r="GFN146" s="433"/>
      <c r="GFO146" s="433"/>
      <c r="GFP146" s="433"/>
      <c r="GFQ146" s="433"/>
      <c r="GFR146" s="433"/>
      <c r="GFS146" s="433"/>
      <c r="GFT146" s="433"/>
      <c r="GFU146" s="433"/>
      <c r="GFV146" s="433"/>
      <c r="GFW146" s="433"/>
      <c r="GFX146" s="433"/>
      <c r="GFY146" s="433"/>
      <c r="GFZ146" s="433"/>
      <c r="GGA146" s="433"/>
      <c r="GGB146" s="433"/>
      <c r="GGC146" s="433"/>
      <c r="GGD146" s="433"/>
      <c r="GGE146" s="433"/>
      <c r="GGF146" s="433"/>
      <c r="GGG146" s="433"/>
      <c r="GGH146" s="433"/>
      <c r="GGI146" s="433"/>
      <c r="GGJ146" s="433"/>
      <c r="GGK146" s="433"/>
      <c r="GGL146" s="433"/>
      <c r="GGM146" s="433"/>
      <c r="GGN146" s="433"/>
      <c r="GGO146" s="433"/>
      <c r="GGP146" s="433"/>
      <c r="GGQ146" s="433"/>
      <c r="GGR146" s="433"/>
      <c r="GGS146" s="433"/>
      <c r="GGT146" s="433"/>
      <c r="GGU146" s="433"/>
      <c r="GGV146" s="433"/>
      <c r="GGW146" s="433"/>
      <c r="GGX146" s="433"/>
      <c r="GGY146" s="433"/>
      <c r="GGZ146" s="433"/>
      <c r="GHA146" s="433"/>
      <c r="GHB146" s="433"/>
      <c r="GHC146" s="433"/>
      <c r="GHD146" s="433"/>
      <c r="GHE146" s="433"/>
      <c r="GHF146" s="433"/>
      <c r="GHG146" s="433"/>
      <c r="GHH146" s="433"/>
      <c r="GHI146" s="433"/>
      <c r="GHJ146" s="433"/>
      <c r="GHK146" s="433"/>
      <c r="GHL146" s="433"/>
      <c r="GHM146" s="433"/>
      <c r="GHN146" s="433"/>
      <c r="GHO146" s="433"/>
      <c r="GHP146" s="433"/>
      <c r="GHQ146" s="433"/>
      <c r="GHR146" s="433"/>
      <c r="GHS146" s="433"/>
      <c r="GHT146" s="433"/>
      <c r="GHU146" s="433"/>
      <c r="GHV146" s="433"/>
      <c r="GHW146" s="433"/>
      <c r="GHX146" s="433"/>
      <c r="GHY146" s="433"/>
      <c r="GHZ146" s="433"/>
      <c r="GIA146" s="433"/>
      <c r="GIB146" s="433"/>
      <c r="GIC146" s="433"/>
      <c r="GID146" s="433"/>
      <c r="GIE146" s="433"/>
      <c r="GIF146" s="433"/>
      <c r="GIG146" s="433"/>
      <c r="GIH146" s="433"/>
      <c r="GII146" s="433"/>
      <c r="GIJ146" s="433"/>
      <c r="GIK146" s="433"/>
      <c r="GIL146" s="433"/>
      <c r="GIM146" s="433"/>
      <c r="GIN146" s="433"/>
      <c r="GIO146" s="433"/>
      <c r="GIP146" s="433"/>
      <c r="GIQ146" s="433"/>
      <c r="GIR146" s="433"/>
      <c r="GIS146" s="433"/>
      <c r="GIT146" s="433"/>
      <c r="GIU146" s="433"/>
      <c r="GIV146" s="433"/>
      <c r="GIW146" s="433"/>
      <c r="GIX146" s="433"/>
      <c r="GIY146" s="433"/>
      <c r="GIZ146" s="433"/>
      <c r="GJA146" s="433"/>
      <c r="GJB146" s="433"/>
      <c r="GJC146" s="433"/>
      <c r="GJD146" s="433"/>
      <c r="GJE146" s="433"/>
      <c r="GJF146" s="433"/>
      <c r="GJG146" s="433"/>
      <c r="GJH146" s="433"/>
      <c r="GJI146" s="433"/>
      <c r="GJJ146" s="433"/>
      <c r="GJK146" s="433"/>
      <c r="GJL146" s="433"/>
      <c r="GJM146" s="433"/>
      <c r="GJN146" s="433"/>
      <c r="GJO146" s="433"/>
      <c r="GJP146" s="433"/>
      <c r="GJQ146" s="433"/>
      <c r="GJR146" s="433"/>
      <c r="GJS146" s="433"/>
      <c r="GJT146" s="433"/>
      <c r="GJU146" s="433"/>
      <c r="GJV146" s="433"/>
      <c r="GJW146" s="433"/>
      <c r="GJX146" s="433"/>
      <c r="GJY146" s="433"/>
      <c r="GJZ146" s="433"/>
      <c r="GKA146" s="433"/>
      <c r="GKB146" s="433"/>
      <c r="GKC146" s="433"/>
      <c r="GKD146" s="433"/>
      <c r="GKE146" s="433"/>
      <c r="GKF146" s="433"/>
      <c r="GKG146" s="433"/>
      <c r="GKH146" s="433"/>
      <c r="GKI146" s="433"/>
      <c r="GKJ146" s="433"/>
      <c r="GKK146" s="433"/>
      <c r="GKL146" s="433"/>
      <c r="GKM146" s="433"/>
      <c r="GKN146" s="433"/>
      <c r="GKO146" s="433"/>
      <c r="GKP146" s="433"/>
      <c r="GKQ146" s="433"/>
      <c r="GKR146" s="433"/>
      <c r="GKS146" s="433"/>
      <c r="GKT146" s="433"/>
      <c r="GKU146" s="433"/>
      <c r="GKV146" s="433"/>
      <c r="GKW146" s="433"/>
      <c r="GKX146" s="433"/>
      <c r="GKY146" s="433"/>
      <c r="GKZ146" s="433"/>
      <c r="GLA146" s="433"/>
      <c r="GLB146" s="433"/>
      <c r="GLC146" s="433"/>
      <c r="GLD146" s="433"/>
      <c r="GLE146" s="433"/>
      <c r="GLF146" s="433"/>
      <c r="GLG146" s="433"/>
      <c r="GLH146" s="433"/>
      <c r="GLI146" s="433"/>
      <c r="GLJ146" s="433"/>
      <c r="GLK146" s="433"/>
      <c r="GLL146" s="433"/>
      <c r="GLM146" s="433"/>
      <c r="GLN146" s="433"/>
      <c r="GLO146" s="433"/>
      <c r="GLP146" s="433"/>
      <c r="GLQ146" s="433"/>
      <c r="GLR146" s="433"/>
      <c r="GLS146" s="433"/>
      <c r="GLT146" s="433"/>
      <c r="GLU146" s="433"/>
      <c r="GLV146" s="433"/>
      <c r="GLW146" s="433"/>
      <c r="GLX146" s="433"/>
      <c r="GLY146" s="433"/>
      <c r="GLZ146" s="433"/>
      <c r="GMA146" s="433"/>
      <c r="GMB146" s="433"/>
      <c r="GMC146" s="433"/>
      <c r="GMD146" s="433"/>
      <c r="GME146" s="433"/>
      <c r="GMF146" s="433"/>
      <c r="GMG146" s="433"/>
      <c r="GMH146" s="433"/>
      <c r="GMI146" s="433"/>
      <c r="GMJ146" s="433"/>
      <c r="GMK146" s="433"/>
      <c r="GML146" s="433"/>
      <c r="GMM146" s="433"/>
      <c r="GMN146" s="433"/>
      <c r="GMO146" s="433"/>
      <c r="GMP146" s="433"/>
      <c r="GMQ146" s="433"/>
      <c r="GMR146" s="433"/>
      <c r="GMS146" s="433"/>
      <c r="GMT146" s="433"/>
      <c r="GMU146" s="433"/>
      <c r="GMV146" s="433"/>
      <c r="GMW146" s="433"/>
      <c r="GMX146" s="433"/>
      <c r="GMY146" s="433"/>
      <c r="GMZ146" s="433"/>
      <c r="GNA146" s="433"/>
      <c r="GNB146" s="433"/>
      <c r="GNC146" s="433"/>
      <c r="GND146" s="433"/>
      <c r="GNE146" s="433"/>
      <c r="GNF146" s="433"/>
      <c r="GNG146" s="433"/>
      <c r="GNH146" s="433"/>
      <c r="GNI146" s="433"/>
      <c r="GNJ146" s="433"/>
      <c r="GNK146" s="433"/>
      <c r="GNL146" s="433"/>
      <c r="GNM146" s="433"/>
      <c r="GNN146" s="433"/>
      <c r="GNO146" s="433"/>
      <c r="GNP146" s="433"/>
      <c r="GNQ146" s="433"/>
      <c r="GNR146" s="433"/>
      <c r="GNS146" s="433"/>
      <c r="GNT146" s="433"/>
      <c r="GNU146" s="433"/>
      <c r="GNV146" s="433"/>
      <c r="GNW146" s="433"/>
      <c r="GNX146" s="433"/>
      <c r="GNY146" s="433"/>
      <c r="GNZ146" s="433"/>
      <c r="GOA146" s="433"/>
      <c r="GOB146" s="433"/>
      <c r="GOC146" s="433"/>
      <c r="GOD146" s="433"/>
      <c r="GOE146" s="433"/>
      <c r="GOF146" s="433"/>
      <c r="GOG146" s="433"/>
      <c r="GOH146" s="433"/>
      <c r="GOI146" s="433"/>
      <c r="GOJ146" s="433"/>
      <c r="GOK146" s="433"/>
      <c r="GOL146" s="433"/>
      <c r="GOM146" s="433"/>
      <c r="GON146" s="433"/>
      <c r="GOO146" s="433"/>
      <c r="GOP146" s="433"/>
      <c r="GOQ146" s="433"/>
      <c r="GOR146" s="433"/>
      <c r="GOS146" s="433"/>
      <c r="GOT146" s="433"/>
      <c r="GOU146" s="433"/>
      <c r="GOV146" s="433"/>
      <c r="GOW146" s="433"/>
      <c r="GOX146" s="433"/>
      <c r="GOY146" s="433"/>
      <c r="GOZ146" s="433"/>
      <c r="GPA146" s="433"/>
      <c r="GPB146" s="433"/>
      <c r="GPC146" s="433"/>
      <c r="GPD146" s="433"/>
      <c r="GPE146" s="433"/>
      <c r="GPF146" s="433"/>
      <c r="GPG146" s="433"/>
      <c r="GPH146" s="433"/>
      <c r="GPI146" s="433"/>
      <c r="GPJ146" s="433"/>
      <c r="GPK146" s="433"/>
      <c r="GPL146" s="433"/>
      <c r="GPM146" s="433"/>
      <c r="GPN146" s="433"/>
      <c r="GPO146" s="433"/>
      <c r="GPP146" s="433"/>
      <c r="GPQ146" s="433"/>
      <c r="GPR146" s="433"/>
      <c r="GPS146" s="433"/>
      <c r="GPT146" s="433"/>
      <c r="GPU146" s="433"/>
      <c r="GPV146" s="433"/>
      <c r="GPW146" s="433"/>
      <c r="GPX146" s="433"/>
      <c r="GPY146" s="433"/>
      <c r="GPZ146" s="433"/>
      <c r="GQA146" s="433"/>
      <c r="GQB146" s="433"/>
      <c r="GQC146" s="433"/>
      <c r="GQD146" s="433"/>
      <c r="GQE146" s="433"/>
      <c r="GQF146" s="433"/>
      <c r="GQG146" s="433"/>
      <c r="GQH146" s="433"/>
      <c r="GQI146" s="433"/>
      <c r="GQJ146" s="433"/>
      <c r="GQK146" s="433"/>
      <c r="GQL146" s="433"/>
      <c r="GQM146" s="433"/>
      <c r="GQN146" s="433"/>
      <c r="GQO146" s="433"/>
      <c r="GQP146" s="433"/>
      <c r="GQQ146" s="433"/>
      <c r="GQR146" s="433"/>
      <c r="GQS146" s="433"/>
      <c r="GQT146" s="433"/>
      <c r="GQU146" s="433"/>
      <c r="GQV146" s="433"/>
      <c r="GQW146" s="433"/>
      <c r="GQX146" s="433"/>
      <c r="GQY146" s="433"/>
      <c r="GQZ146" s="433"/>
      <c r="GRA146" s="433"/>
      <c r="GRB146" s="433"/>
      <c r="GRC146" s="433"/>
      <c r="GRD146" s="433"/>
      <c r="GRE146" s="433"/>
      <c r="GRF146" s="433"/>
      <c r="GRG146" s="433"/>
      <c r="GRH146" s="433"/>
      <c r="GRI146" s="433"/>
      <c r="GRJ146" s="433"/>
      <c r="GRK146" s="433"/>
      <c r="GRL146" s="433"/>
      <c r="GRM146" s="433"/>
      <c r="GRN146" s="433"/>
      <c r="GRO146" s="433"/>
      <c r="GRP146" s="433"/>
      <c r="GRQ146" s="433"/>
      <c r="GRR146" s="433"/>
      <c r="GRS146" s="433"/>
      <c r="GRT146" s="433"/>
      <c r="GRU146" s="433"/>
      <c r="GRV146" s="433"/>
      <c r="GRW146" s="433"/>
      <c r="GRX146" s="433"/>
      <c r="GRY146" s="433"/>
      <c r="GRZ146" s="433"/>
      <c r="GSA146" s="433"/>
      <c r="GSB146" s="433"/>
      <c r="GSC146" s="433"/>
      <c r="GSD146" s="433"/>
      <c r="GSE146" s="433"/>
      <c r="GSF146" s="433"/>
      <c r="GSG146" s="433"/>
      <c r="GSH146" s="433"/>
      <c r="GSI146" s="433"/>
      <c r="GSJ146" s="433"/>
      <c r="GSK146" s="433"/>
      <c r="GSL146" s="433"/>
      <c r="GSM146" s="433"/>
      <c r="GSN146" s="433"/>
      <c r="GSO146" s="433"/>
      <c r="GSP146" s="433"/>
      <c r="GSQ146" s="433"/>
      <c r="GSR146" s="433"/>
      <c r="GSS146" s="433"/>
      <c r="GST146" s="433"/>
      <c r="GSU146" s="433"/>
      <c r="GSV146" s="433"/>
      <c r="GSW146" s="433"/>
      <c r="GSX146" s="433"/>
      <c r="GSY146" s="433"/>
      <c r="GSZ146" s="433"/>
      <c r="GTA146" s="433"/>
      <c r="GTB146" s="433"/>
      <c r="GTC146" s="433"/>
      <c r="GTD146" s="433"/>
      <c r="GTE146" s="433"/>
      <c r="GTF146" s="433"/>
      <c r="GTG146" s="433"/>
      <c r="GTH146" s="433"/>
      <c r="GTI146" s="433"/>
      <c r="GTJ146" s="433"/>
      <c r="GTK146" s="433"/>
      <c r="GTL146" s="433"/>
      <c r="GTM146" s="433"/>
      <c r="GTN146" s="433"/>
      <c r="GTO146" s="433"/>
      <c r="GTP146" s="433"/>
      <c r="GTQ146" s="433"/>
      <c r="GTR146" s="433"/>
      <c r="GTS146" s="433"/>
      <c r="GTT146" s="433"/>
      <c r="GTU146" s="433"/>
      <c r="GTV146" s="433"/>
      <c r="GTW146" s="433"/>
      <c r="GTX146" s="433"/>
      <c r="GTY146" s="433"/>
      <c r="GTZ146" s="433"/>
      <c r="GUA146" s="433"/>
      <c r="GUB146" s="433"/>
      <c r="GUC146" s="433"/>
      <c r="GUD146" s="433"/>
      <c r="GUE146" s="433"/>
      <c r="GUF146" s="433"/>
      <c r="GUG146" s="433"/>
      <c r="GUH146" s="433"/>
      <c r="GUI146" s="433"/>
      <c r="GUJ146" s="433"/>
      <c r="GUK146" s="433"/>
      <c r="GUL146" s="433"/>
      <c r="GUM146" s="433"/>
      <c r="GUN146" s="433"/>
      <c r="GUO146" s="433"/>
      <c r="GUP146" s="433"/>
      <c r="GUQ146" s="433"/>
      <c r="GUR146" s="433"/>
      <c r="GUS146" s="433"/>
      <c r="GUT146" s="433"/>
      <c r="GUU146" s="433"/>
      <c r="GUV146" s="433"/>
      <c r="GUW146" s="433"/>
      <c r="GUX146" s="433"/>
      <c r="GUY146" s="433"/>
      <c r="GUZ146" s="433"/>
      <c r="GVA146" s="433"/>
      <c r="GVB146" s="433"/>
      <c r="GVC146" s="433"/>
      <c r="GVD146" s="433"/>
      <c r="GVE146" s="433"/>
      <c r="GVF146" s="433"/>
      <c r="GVG146" s="433"/>
      <c r="GVH146" s="433"/>
      <c r="GVI146" s="433"/>
      <c r="GVJ146" s="433"/>
      <c r="GVK146" s="433"/>
      <c r="GVL146" s="433"/>
      <c r="GVM146" s="433"/>
      <c r="GVN146" s="433"/>
      <c r="GVO146" s="433"/>
      <c r="GVP146" s="433"/>
      <c r="GVQ146" s="433"/>
      <c r="GVR146" s="433"/>
      <c r="GVS146" s="433"/>
      <c r="GVT146" s="433"/>
      <c r="GVU146" s="433"/>
      <c r="GVV146" s="433"/>
      <c r="GVW146" s="433"/>
      <c r="GVX146" s="433"/>
      <c r="GVY146" s="433"/>
      <c r="GVZ146" s="433"/>
      <c r="GWA146" s="433"/>
      <c r="GWB146" s="433"/>
      <c r="GWC146" s="433"/>
      <c r="GWD146" s="433"/>
      <c r="GWE146" s="433"/>
      <c r="GWF146" s="433"/>
      <c r="GWG146" s="433"/>
      <c r="GWH146" s="433"/>
      <c r="GWI146" s="433"/>
      <c r="GWJ146" s="433"/>
      <c r="GWK146" s="433"/>
      <c r="GWL146" s="433"/>
      <c r="GWM146" s="433"/>
      <c r="GWN146" s="433"/>
      <c r="GWO146" s="433"/>
      <c r="GWP146" s="433"/>
      <c r="GWQ146" s="433"/>
      <c r="GWR146" s="433"/>
      <c r="GWS146" s="433"/>
      <c r="GWT146" s="433"/>
      <c r="GWU146" s="433"/>
      <c r="GWV146" s="433"/>
      <c r="GWW146" s="433"/>
      <c r="GWX146" s="433"/>
      <c r="GWY146" s="433"/>
      <c r="GWZ146" s="433"/>
      <c r="GXA146" s="433"/>
      <c r="GXB146" s="433"/>
      <c r="GXC146" s="433"/>
      <c r="GXD146" s="433"/>
      <c r="GXE146" s="433"/>
      <c r="GXF146" s="433"/>
      <c r="GXG146" s="433"/>
      <c r="GXH146" s="433"/>
      <c r="GXI146" s="433"/>
      <c r="GXJ146" s="433"/>
      <c r="GXK146" s="433"/>
      <c r="GXL146" s="433"/>
      <c r="GXM146" s="433"/>
      <c r="GXN146" s="433"/>
      <c r="GXO146" s="433"/>
      <c r="GXP146" s="433"/>
      <c r="GXQ146" s="433"/>
      <c r="GXR146" s="433"/>
      <c r="GXS146" s="433"/>
      <c r="GXT146" s="433"/>
      <c r="GXU146" s="433"/>
      <c r="GXV146" s="433"/>
      <c r="GXW146" s="433"/>
      <c r="GXX146" s="433"/>
      <c r="GXY146" s="433"/>
      <c r="GXZ146" s="433"/>
      <c r="GYA146" s="433"/>
      <c r="GYB146" s="433"/>
      <c r="GYC146" s="433"/>
      <c r="GYD146" s="433"/>
      <c r="GYE146" s="433"/>
      <c r="GYF146" s="433"/>
      <c r="GYG146" s="433"/>
      <c r="GYH146" s="433"/>
      <c r="GYI146" s="433"/>
      <c r="GYJ146" s="433"/>
      <c r="GYK146" s="433"/>
      <c r="GYL146" s="433"/>
      <c r="GYM146" s="433"/>
      <c r="GYN146" s="433"/>
      <c r="GYO146" s="433"/>
      <c r="GYP146" s="433"/>
      <c r="GYQ146" s="433"/>
      <c r="GYR146" s="433"/>
      <c r="GYS146" s="433"/>
      <c r="GYT146" s="433"/>
      <c r="GYU146" s="433"/>
      <c r="GYV146" s="433"/>
      <c r="GYW146" s="433"/>
      <c r="GYX146" s="433"/>
      <c r="GYY146" s="433"/>
      <c r="GYZ146" s="433"/>
      <c r="GZA146" s="433"/>
      <c r="GZB146" s="433"/>
      <c r="GZC146" s="433"/>
      <c r="GZD146" s="433"/>
      <c r="GZE146" s="433"/>
      <c r="GZF146" s="433"/>
      <c r="GZG146" s="433"/>
      <c r="GZH146" s="433"/>
      <c r="GZI146" s="433"/>
      <c r="GZJ146" s="433"/>
      <c r="GZK146" s="433"/>
      <c r="GZL146" s="433"/>
      <c r="GZM146" s="433"/>
      <c r="GZN146" s="433"/>
      <c r="GZO146" s="433"/>
      <c r="GZP146" s="433"/>
      <c r="GZQ146" s="433"/>
      <c r="GZR146" s="433"/>
      <c r="GZS146" s="433"/>
      <c r="GZT146" s="433"/>
      <c r="GZU146" s="433"/>
      <c r="GZV146" s="433"/>
      <c r="GZW146" s="433"/>
      <c r="GZX146" s="433"/>
      <c r="GZY146" s="433"/>
      <c r="GZZ146" s="433"/>
      <c r="HAA146" s="433"/>
      <c r="HAB146" s="433"/>
      <c r="HAC146" s="433"/>
      <c r="HAD146" s="433"/>
      <c r="HAE146" s="433"/>
      <c r="HAF146" s="433"/>
      <c r="HAG146" s="433"/>
      <c r="HAH146" s="433"/>
      <c r="HAI146" s="433"/>
      <c r="HAJ146" s="433"/>
      <c r="HAK146" s="433"/>
      <c r="HAL146" s="433"/>
      <c r="HAM146" s="433"/>
      <c r="HAN146" s="433"/>
      <c r="HAO146" s="433"/>
      <c r="HAP146" s="433"/>
      <c r="HAQ146" s="433"/>
      <c r="HAR146" s="433"/>
      <c r="HAS146" s="433"/>
      <c r="HAT146" s="433"/>
      <c r="HAU146" s="433"/>
      <c r="HAV146" s="433"/>
      <c r="HAW146" s="433"/>
      <c r="HAX146" s="433"/>
      <c r="HAY146" s="433"/>
      <c r="HAZ146" s="433"/>
      <c r="HBA146" s="433"/>
      <c r="HBB146" s="433"/>
      <c r="HBC146" s="433"/>
      <c r="HBD146" s="433"/>
      <c r="HBE146" s="433"/>
      <c r="HBF146" s="433"/>
      <c r="HBG146" s="433"/>
      <c r="HBH146" s="433"/>
      <c r="HBI146" s="433"/>
      <c r="HBJ146" s="433"/>
      <c r="HBK146" s="433"/>
      <c r="HBL146" s="433"/>
      <c r="HBM146" s="433"/>
      <c r="HBN146" s="433"/>
      <c r="HBO146" s="433"/>
      <c r="HBP146" s="433"/>
      <c r="HBQ146" s="433"/>
      <c r="HBR146" s="433"/>
      <c r="HBS146" s="433"/>
      <c r="HBT146" s="433"/>
      <c r="HBU146" s="433"/>
      <c r="HBV146" s="433"/>
      <c r="HBW146" s="433"/>
      <c r="HBX146" s="433"/>
      <c r="HBY146" s="433"/>
      <c r="HBZ146" s="433"/>
      <c r="HCA146" s="433"/>
      <c r="HCB146" s="433"/>
      <c r="HCC146" s="433"/>
      <c r="HCD146" s="433"/>
      <c r="HCE146" s="433"/>
      <c r="HCF146" s="433"/>
      <c r="HCG146" s="433"/>
      <c r="HCH146" s="433"/>
      <c r="HCI146" s="433"/>
      <c r="HCJ146" s="433"/>
      <c r="HCK146" s="433"/>
      <c r="HCL146" s="433"/>
      <c r="HCM146" s="433"/>
      <c r="HCN146" s="433"/>
      <c r="HCO146" s="433"/>
      <c r="HCP146" s="433"/>
      <c r="HCQ146" s="433"/>
      <c r="HCR146" s="433"/>
      <c r="HCS146" s="433"/>
      <c r="HCT146" s="433"/>
      <c r="HCU146" s="433"/>
      <c r="HCV146" s="433"/>
      <c r="HCW146" s="433"/>
      <c r="HCX146" s="433"/>
      <c r="HCY146" s="433"/>
      <c r="HCZ146" s="433"/>
      <c r="HDA146" s="433"/>
      <c r="HDB146" s="433"/>
      <c r="HDC146" s="433"/>
      <c r="HDD146" s="433"/>
      <c r="HDE146" s="433"/>
      <c r="HDF146" s="433"/>
      <c r="HDG146" s="433"/>
      <c r="HDH146" s="433"/>
      <c r="HDI146" s="433"/>
      <c r="HDJ146" s="433"/>
      <c r="HDK146" s="433"/>
      <c r="HDL146" s="433"/>
      <c r="HDM146" s="433"/>
      <c r="HDN146" s="433"/>
      <c r="HDO146" s="433"/>
      <c r="HDP146" s="433"/>
      <c r="HDQ146" s="433"/>
      <c r="HDR146" s="433"/>
      <c r="HDS146" s="433"/>
      <c r="HDT146" s="433"/>
      <c r="HDU146" s="433"/>
      <c r="HDV146" s="433"/>
      <c r="HDW146" s="433"/>
      <c r="HDX146" s="433"/>
      <c r="HDY146" s="433"/>
      <c r="HDZ146" s="433"/>
      <c r="HEA146" s="433"/>
      <c r="HEB146" s="433"/>
      <c r="HEC146" s="433"/>
      <c r="HED146" s="433"/>
      <c r="HEE146" s="433"/>
      <c r="HEF146" s="433"/>
      <c r="HEG146" s="433"/>
      <c r="HEH146" s="433"/>
      <c r="HEI146" s="433"/>
      <c r="HEJ146" s="433"/>
      <c r="HEK146" s="433"/>
      <c r="HEL146" s="433"/>
      <c r="HEM146" s="433"/>
      <c r="HEN146" s="433"/>
      <c r="HEO146" s="433"/>
      <c r="HEP146" s="433"/>
      <c r="HEQ146" s="433"/>
      <c r="HER146" s="433"/>
      <c r="HES146" s="433"/>
      <c r="HET146" s="433"/>
      <c r="HEU146" s="433"/>
      <c r="HEV146" s="433"/>
      <c r="HEW146" s="433"/>
      <c r="HEX146" s="433"/>
      <c r="HEY146" s="433"/>
      <c r="HEZ146" s="433"/>
      <c r="HFA146" s="433"/>
      <c r="HFB146" s="433"/>
      <c r="HFC146" s="433"/>
      <c r="HFD146" s="433"/>
      <c r="HFE146" s="433"/>
      <c r="HFF146" s="433"/>
      <c r="HFG146" s="433"/>
      <c r="HFH146" s="433"/>
      <c r="HFI146" s="433"/>
      <c r="HFJ146" s="433"/>
      <c r="HFK146" s="433"/>
      <c r="HFL146" s="433"/>
      <c r="HFM146" s="433"/>
      <c r="HFN146" s="433"/>
      <c r="HFO146" s="433"/>
      <c r="HFP146" s="433"/>
      <c r="HFQ146" s="433"/>
      <c r="HFR146" s="433"/>
      <c r="HFS146" s="433"/>
      <c r="HFT146" s="433"/>
      <c r="HFU146" s="433"/>
      <c r="HFV146" s="433"/>
      <c r="HFW146" s="433"/>
      <c r="HFX146" s="433"/>
      <c r="HFY146" s="433"/>
      <c r="HFZ146" s="433"/>
      <c r="HGA146" s="433"/>
      <c r="HGB146" s="433"/>
      <c r="HGC146" s="433"/>
      <c r="HGD146" s="433"/>
      <c r="HGE146" s="433"/>
      <c r="HGF146" s="433"/>
      <c r="HGG146" s="433"/>
      <c r="HGH146" s="433"/>
      <c r="HGI146" s="433"/>
      <c r="HGJ146" s="433"/>
      <c r="HGK146" s="433"/>
      <c r="HGL146" s="433"/>
      <c r="HGM146" s="433"/>
      <c r="HGN146" s="433"/>
      <c r="HGO146" s="433"/>
      <c r="HGP146" s="433"/>
      <c r="HGQ146" s="433"/>
      <c r="HGR146" s="433"/>
      <c r="HGS146" s="433"/>
      <c r="HGT146" s="433"/>
      <c r="HGU146" s="433"/>
      <c r="HGV146" s="433"/>
      <c r="HGW146" s="433"/>
      <c r="HGX146" s="433"/>
      <c r="HGY146" s="433"/>
      <c r="HGZ146" s="433"/>
      <c r="HHA146" s="433"/>
      <c r="HHB146" s="433"/>
      <c r="HHC146" s="433"/>
      <c r="HHD146" s="433"/>
      <c r="HHE146" s="433"/>
      <c r="HHF146" s="433"/>
      <c r="HHG146" s="433"/>
      <c r="HHH146" s="433"/>
      <c r="HHI146" s="433"/>
      <c r="HHJ146" s="433"/>
      <c r="HHK146" s="433"/>
      <c r="HHL146" s="433"/>
      <c r="HHM146" s="433"/>
      <c r="HHN146" s="433"/>
      <c r="HHO146" s="433"/>
      <c r="HHP146" s="433"/>
      <c r="HHQ146" s="433"/>
      <c r="HHR146" s="433"/>
      <c r="HHS146" s="433"/>
      <c r="HHT146" s="433"/>
      <c r="HHU146" s="433"/>
      <c r="HHV146" s="433"/>
      <c r="HHW146" s="433"/>
      <c r="HHX146" s="433"/>
      <c r="HHY146" s="433"/>
      <c r="HHZ146" s="433"/>
      <c r="HIA146" s="433"/>
      <c r="HIB146" s="433"/>
      <c r="HIC146" s="433"/>
      <c r="HID146" s="433"/>
      <c r="HIE146" s="433"/>
      <c r="HIF146" s="433"/>
      <c r="HIG146" s="433"/>
      <c r="HIH146" s="433"/>
      <c r="HII146" s="433"/>
      <c r="HIJ146" s="433"/>
      <c r="HIK146" s="433"/>
      <c r="HIL146" s="433"/>
      <c r="HIM146" s="433"/>
      <c r="HIN146" s="433"/>
      <c r="HIO146" s="433"/>
      <c r="HIP146" s="433"/>
      <c r="HIQ146" s="433"/>
      <c r="HIR146" s="433"/>
      <c r="HIS146" s="433"/>
      <c r="HIT146" s="433"/>
      <c r="HIU146" s="433"/>
      <c r="HIV146" s="433"/>
      <c r="HIW146" s="433"/>
      <c r="HIX146" s="433"/>
      <c r="HIY146" s="433"/>
      <c r="HIZ146" s="433"/>
      <c r="HJA146" s="433"/>
      <c r="HJB146" s="433"/>
      <c r="HJC146" s="433"/>
      <c r="HJD146" s="433"/>
      <c r="HJE146" s="433"/>
      <c r="HJF146" s="433"/>
      <c r="HJG146" s="433"/>
      <c r="HJH146" s="433"/>
      <c r="HJI146" s="433"/>
      <c r="HJJ146" s="433"/>
      <c r="HJK146" s="433"/>
      <c r="HJL146" s="433"/>
      <c r="HJM146" s="433"/>
      <c r="HJN146" s="433"/>
      <c r="HJO146" s="433"/>
      <c r="HJP146" s="433"/>
      <c r="HJQ146" s="433"/>
      <c r="HJR146" s="433"/>
      <c r="HJS146" s="433"/>
      <c r="HJT146" s="433"/>
      <c r="HJU146" s="433"/>
      <c r="HJV146" s="433"/>
      <c r="HJW146" s="433"/>
      <c r="HJX146" s="433"/>
      <c r="HJY146" s="433"/>
      <c r="HJZ146" s="433"/>
      <c r="HKA146" s="433"/>
      <c r="HKB146" s="433"/>
      <c r="HKC146" s="433"/>
      <c r="HKD146" s="433"/>
      <c r="HKE146" s="433"/>
      <c r="HKF146" s="433"/>
      <c r="HKG146" s="433"/>
      <c r="HKH146" s="433"/>
      <c r="HKI146" s="433"/>
      <c r="HKJ146" s="433"/>
      <c r="HKK146" s="433"/>
      <c r="HKL146" s="433"/>
      <c r="HKM146" s="433"/>
      <c r="HKN146" s="433"/>
      <c r="HKO146" s="433"/>
      <c r="HKP146" s="433"/>
      <c r="HKQ146" s="433"/>
      <c r="HKR146" s="433"/>
      <c r="HKS146" s="433"/>
      <c r="HKT146" s="433"/>
      <c r="HKU146" s="433"/>
      <c r="HKV146" s="433"/>
      <c r="HKW146" s="433"/>
      <c r="HKX146" s="433"/>
      <c r="HKY146" s="433"/>
      <c r="HKZ146" s="433"/>
      <c r="HLA146" s="433"/>
      <c r="HLB146" s="433"/>
      <c r="HLC146" s="433"/>
      <c r="HLD146" s="433"/>
      <c r="HLE146" s="433"/>
      <c r="HLF146" s="433"/>
      <c r="HLG146" s="433"/>
      <c r="HLH146" s="433"/>
      <c r="HLI146" s="433"/>
      <c r="HLJ146" s="433"/>
      <c r="HLK146" s="433"/>
      <c r="HLL146" s="433"/>
      <c r="HLM146" s="433"/>
      <c r="HLN146" s="433"/>
      <c r="HLO146" s="433"/>
      <c r="HLP146" s="433"/>
      <c r="HLQ146" s="433"/>
      <c r="HLR146" s="433"/>
      <c r="HLS146" s="433"/>
      <c r="HLT146" s="433"/>
      <c r="HLU146" s="433"/>
      <c r="HLV146" s="433"/>
      <c r="HLW146" s="433"/>
      <c r="HLX146" s="433"/>
      <c r="HLY146" s="433"/>
      <c r="HLZ146" s="433"/>
      <c r="HMA146" s="433"/>
      <c r="HMB146" s="433"/>
      <c r="HMC146" s="433"/>
      <c r="HMD146" s="433"/>
      <c r="HME146" s="433"/>
      <c r="HMF146" s="433"/>
      <c r="HMG146" s="433"/>
      <c r="HMH146" s="433"/>
      <c r="HMI146" s="433"/>
      <c r="HMJ146" s="433"/>
      <c r="HMK146" s="433"/>
      <c r="HML146" s="433"/>
      <c r="HMM146" s="433"/>
      <c r="HMN146" s="433"/>
      <c r="HMO146" s="433"/>
      <c r="HMP146" s="433"/>
      <c r="HMQ146" s="433"/>
      <c r="HMR146" s="433"/>
      <c r="HMS146" s="433"/>
      <c r="HMT146" s="433"/>
      <c r="HMU146" s="433"/>
      <c r="HMV146" s="433"/>
      <c r="HMW146" s="433"/>
      <c r="HMX146" s="433"/>
      <c r="HMY146" s="433"/>
      <c r="HMZ146" s="433"/>
      <c r="HNA146" s="433"/>
      <c r="HNB146" s="433"/>
      <c r="HNC146" s="433"/>
      <c r="HND146" s="433"/>
      <c r="HNE146" s="433"/>
      <c r="HNF146" s="433"/>
      <c r="HNG146" s="433"/>
      <c r="HNH146" s="433"/>
      <c r="HNI146" s="433"/>
      <c r="HNJ146" s="433"/>
      <c r="HNK146" s="433"/>
      <c r="HNL146" s="433"/>
      <c r="HNM146" s="433"/>
      <c r="HNN146" s="433"/>
      <c r="HNO146" s="433"/>
      <c r="HNP146" s="433"/>
      <c r="HNQ146" s="433"/>
      <c r="HNR146" s="433"/>
      <c r="HNS146" s="433"/>
      <c r="HNT146" s="433"/>
      <c r="HNU146" s="433"/>
      <c r="HNV146" s="433"/>
      <c r="HNW146" s="433"/>
      <c r="HNX146" s="433"/>
      <c r="HNY146" s="433"/>
      <c r="HNZ146" s="433"/>
      <c r="HOA146" s="433"/>
      <c r="HOB146" s="433"/>
      <c r="HOC146" s="433"/>
      <c r="HOD146" s="433"/>
      <c r="HOE146" s="433"/>
      <c r="HOF146" s="433"/>
      <c r="HOG146" s="433"/>
      <c r="HOH146" s="433"/>
      <c r="HOI146" s="433"/>
      <c r="HOJ146" s="433"/>
      <c r="HOK146" s="433"/>
      <c r="HOL146" s="433"/>
      <c r="HOM146" s="433"/>
      <c r="HON146" s="433"/>
      <c r="HOO146" s="433"/>
      <c r="HOP146" s="433"/>
      <c r="HOQ146" s="433"/>
      <c r="HOR146" s="433"/>
      <c r="HOS146" s="433"/>
      <c r="HOT146" s="433"/>
      <c r="HOU146" s="433"/>
      <c r="HOV146" s="433"/>
      <c r="HOW146" s="433"/>
      <c r="HOX146" s="433"/>
      <c r="HOY146" s="433"/>
      <c r="HOZ146" s="433"/>
      <c r="HPA146" s="433"/>
      <c r="HPB146" s="433"/>
      <c r="HPC146" s="433"/>
      <c r="HPD146" s="433"/>
      <c r="HPE146" s="433"/>
      <c r="HPF146" s="433"/>
      <c r="HPG146" s="433"/>
      <c r="HPH146" s="433"/>
      <c r="HPI146" s="433"/>
      <c r="HPJ146" s="433"/>
      <c r="HPK146" s="433"/>
      <c r="HPL146" s="433"/>
      <c r="HPM146" s="433"/>
      <c r="HPN146" s="433"/>
      <c r="HPO146" s="433"/>
      <c r="HPP146" s="433"/>
      <c r="HPQ146" s="433"/>
      <c r="HPR146" s="433"/>
      <c r="HPS146" s="433"/>
      <c r="HPT146" s="433"/>
      <c r="HPU146" s="433"/>
      <c r="HPV146" s="433"/>
      <c r="HPW146" s="433"/>
      <c r="HPX146" s="433"/>
      <c r="HPY146" s="433"/>
      <c r="HPZ146" s="433"/>
      <c r="HQA146" s="433"/>
      <c r="HQB146" s="433"/>
      <c r="HQC146" s="433"/>
      <c r="HQD146" s="433"/>
      <c r="HQE146" s="433"/>
      <c r="HQF146" s="433"/>
      <c r="HQG146" s="433"/>
      <c r="HQH146" s="433"/>
      <c r="HQI146" s="433"/>
      <c r="HQJ146" s="433"/>
      <c r="HQK146" s="433"/>
      <c r="HQL146" s="433"/>
      <c r="HQM146" s="433"/>
      <c r="HQN146" s="433"/>
      <c r="HQO146" s="433"/>
      <c r="HQP146" s="433"/>
      <c r="HQQ146" s="433"/>
      <c r="HQR146" s="433"/>
      <c r="HQS146" s="433"/>
      <c r="HQT146" s="433"/>
      <c r="HQU146" s="433"/>
      <c r="HQV146" s="433"/>
      <c r="HQW146" s="433"/>
      <c r="HQX146" s="433"/>
      <c r="HQY146" s="433"/>
      <c r="HQZ146" s="433"/>
      <c r="HRA146" s="433"/>
      <c r="HRB146" s="433"/>
      <c r="HRC146" s="433"/>
      <c r="HRD146" s="433"/>
      <c r="HRE146" s="433"/>
      <c r="HRF146" s="433"/>
      <c r="HRG146" s="433"/>
      <c r="HRH146" s="433"/>
      <c r="HRI146" s="433"/>
      <c r="HRJ146" s="433"/>
      <c r="HRK146" s="433"/>
      <c r="HRL146" s="433"/>
      <c r="HRM146" s="433"/>
      <c r="HRN146" s="433"/>
      <c r="HRO146" s="433"/>
      <c r="HRP146" s="433"/>
      <c r="HRQ146" s="433"/>
      <c r="HRR146" s="433"/>
      <c r="HRS146" s="433"/>
      <c r="HRT146" s="433"/>
      <c r="HRU146" s="433"/>
      <c r="HRV146" s="433"/>
      <c r="HRW146" s="433"/>
      <c r="HRX146" s="433"/>
      <c r="HRY146" s="433"/>
      <c r="HRZ146" s="433"/>
      <c r="HSA146" s="433"/>
      <c r="HSB146" s="433"/>
      <c r="HSC146" s="433"/>
      <c r="HSD146" s="433"/>
      <c r="HSE146" s="433"/>
      <c r="HSF146" s="433"/>
      <c r="HSG146" s="433"/>
      <c r="HSH146" s="433"/>
      <c r="HSI146" s="433"/>
      <c r="HSJ146" s="433"/>
      <c r="HSK146" s="433"/>
      <c r="HSL146" s="433"/>
      <c r="HSM146" s="433"/>
      <c r="HSN146" s="433"/>
      <c r="HSO146" s="433"/>
      <c r="HSP146" s="433"/>
      <c r="HSQ146" s="433"/>
      <c r="HSR146" s="433"/>
      <c r="HSS146" s="433"/>
      <c r="HST146" s="433"/>
      <c r="HSU146" s="433"/>
      <c r="HSV146" s="433"/>
      <c r="HSW146" s="433"/>
      <c r="HSX146" s="433"/>
      <c r="HSY146" s="433"/>
      <c r="HSZ146" s="433"/>
      <c r="HTA146" s="433"/>
      <c r="HTB146" s="433"/>
      <c r="HTC146" s="433"/>
      <c r="HTD146" s="433"/>
      <c r="HTE146" s="433"/>
      <c r="HTF146" s="433"/>
      <c r="HTG146" s="433"/>
      <c r="HTH146" s="433"/>
      <c r="HTI146" s="433"/>
      <c r="HTJ146" s="433"/>
      <c r="HTK146" s="433"/>
      <c r="HTL146" s="433"/>
      <c r="HTM146" s="433"/>
      <c r="HTN146" s="433"/>
      <c r="HTO146" s="433"/>
      <c r="HTP146" s="433"/>
      <c r="HTQ146" s="433"/>
      <c r="HTR146" s="433"/>
      <c r="HTS146" s="433"/>
      <c r="HTT146" s="433"/>
      <c r="HTU146" s="433"/>
      <c r="HTV146" s="433"/>
      <c r="HTW146" s="433"/>
      <c r="HTX146" s="433"/>
      <c r="HTY146" s="433"/>
      <c r="HTZ146" s="433"/>
      <c r="HUA146" s="433"/>
      <c r="HUB146" s="433"/>
      <c r="HUC146" s="433"/>
      <c r="HUD146" s="433"/>
      <c r="HUE146" s="433"/>
      <c r="HUF146" s="433"/>
      <c r="HUG146" s="433"/>
      <c r="HUH146" s="433"/>
      <c r="HUI146" s="433"/>
      <c r="HUJ146" s="433"/>
      <c r="HUK146" s="433"/>
      <c r="HUL146" s="433"/>
      <c r="HUM146" s="433"/>
      <c r="HUN146" s="433"/>
      <c r="HUO146" s="433"/>
      <c r="HUP146" s="433"/>
      <c r="HUQ146" s="433"/>
      <c r="HUR146" s="433"/>
      <c r="HUS146" s="433"/>
      <c r="HUT146" s="433"/>
      <c r="HUU146" s="433"/>
      <c r="HUV146" s="433"/>
      <c r="HUW146" s="433"/>
      <c r="HUX146" s="433"/>
      <c r="HUY146" s="433"/>
      <c r="HUZ146" s="433"/>
      <c r="HVA146" s="433"/>
      <c r="HVB146" s="433"/>
      <c r="HVC146" s="433"/>
      <c r="HVD146" s="433"/>
      <c r="HVE146" s="433"/>
      <c r="HVF146" s="433"/>
      <c r="HVG146" s="433"/>
      <c r="HVH146" s="433"/>
      <c r="HVI146" s="433"/>
      <c r="HVJ146" s="433"/>
      <c r="HVK146" s="433"/>
      <c r="HVL146" s="433"/>
      <c r="HVM146" s="433"/>
      <c r="HVN146" s="433"/>
      <c r="HVO146" s="433"/>
      <c r="HVP146" s="433"/>
      <c r="HVQ146" s="433"/>
      <c r="HVR146" s="433"/>
      <c r="HVS146" s="433"/>
      <c r="HVT146" s="433"/>
      <c r="HVU146" s="433"/>
      <c r="HVV146" s="433"/>
      <c r="HVW146" s="433"/>
      <c r="HVX146" s="433"/>
      <c r="HVY146" s="433"/>
      <c r="HVZ146" s="433"/>
      <c r="HWA146" s="433"/>
      <c r="HWB146" s="433"/>
      <c r="HWC146" s="433"/>
      <c r="HWD146" s="433"/>
      <c r="HWE146" s="433"/>
      <c r="HWF146" s="433"/>
      <c r="HWG146" s="433"/>
      <c r="HWH146" s="433"/>
      <c r="HWI146" s="433"/>
      <c r="HWJ146" s="433"/>
      <c r="HWK146" s="433"/>
      <c r="HWL146" s="433"/>
      <c r="HWM146" s="433"/>
      <c r="HWN146" s="433"/>
      <c r="HWO146" s="433"/>
      <c r="HWP146" s="433"/>
      <c r="HWQ146" s="433"/>
      <c r="HWR146" s="433"/>
      <c r="HWS146" s="433"/>
      <c r="HWT146" s="433"/>
      <c r="HWU146" s="433"/>
      <c r="HWV146" s="433"/>
      <c r="HWW146" s="433"/>
      <c r="HWX146" s="433"/>
      <c r="HWY146" s="433"/>
      <c r="HWZ146" s="433"/>
      <c r="HXA146" s="433"/>
      <c r="HXB146" s="433"/>
      <c r="HXC146" s="433"/>
      <c r="HXD146" s="433"/>
      <c r="HXE146" s="433"/>
      <c r="HXF146" s="433"/>
      <c r="HXG146" s="433"/>
      <c r="HXH146" s="433"/>
      <c r="HXI146" s="433"/>
      <c r="HXJ146" s="433"/>
      <c r="HXK146" s="433"/>
      <c r="HXL146" s="433"/>
      <c r="HXM146" s="433"/>
      <c r="HXN146" s="433"/>
      <c r="HXO146" s="433"/>
      <c r="HXP146" s="433"/>
      <c r="HXQ146" s="433"/>
      <c r="HXR146" s="433"/>
      <c r="HXS146" s="433"/>
      <c r="HXT146" s="433"/>
      <c r="HXU146" s="433"/>
      <c r="HXV146" s="433"/>
      <c r="HXW146" s="433"/>
      <c r="HXX146" s="433"/>
      <c r="HXY146" s="433"/>
      <c r="HXZ146" s="433"/>
      <c r="HYA146" s="433"/>
      <c r="HYB146" s="433"/>
      <c r="HYC146" s="433"/>
      <c r="HYD146" s="433"/>
      <c r="HYE146" s="433"/>
      <c r="HYF146" s="433"/>
      <c r="HYG146" s="433"/>
      <c r="HYH146" s="433"/>
      <c r="HYI146" s="433"/>
      <c r="HYJ146" s="433"/>
      <c r="HYK146" s="433"/>
      <c r="HYL146" s="433"/>
      <c r="HYM146" s="433"/>
      <c r="HYN146" s="433"/>
      <c r="HYO146" s="433"/>
      <c r="HYP146" s="433"/>
      <c r="HYQ146" s="433"/>
      <c r="HYR146" s="433"/>
      <c r="HYS146" s="433"/>
      <c r="HYT146" s="433"/>
      <c r="HYU146" s="433"/>
      <c r="HYV146" s="433"/>
      <c r="HYW146" s="433"/>
      <c r="HYX146" s="433"/>
      <c r="HYY146" s="433"/>
      <c r="HYZ146" s="433"/>
      <c r="HZA146" s="433"/>
      <c r="HZB146" s="433"/>
      <c r="HZC146" s="433"/>
      <c r="HZD146" s="433"/>
      <c r="HZE146" s="433"/>
      <c r="HZF146" s="433"/>
      <c r="HZG146" s="433"/>
      <c r="HZH146" s="433"/>
      <c r="HZI146" s="433"/>
      <c r="HZJ146" s="433"/>
      <c r="HZK146" s="433"/>
      <c r="HZL146" s="433"/>
      <c r="HZM146" s="433"/>
      <c r="HZN146" s="433"/>
      <c r="HZO146" s="433"/>
      <c r="HZP146" s="433"/>
      <c r="HZQ146" s="433"/>
      <c r="HZR146" s="433"/>
      <c r="HZS146" s="433"/>
      <c r="HZT146" s="433"/>
      <c r="HZU146" s="433"/>
      <c r="HZV146" s="433"/>
      <c r="HZW146" s="433"/>
      <c r="HZX146" s="433"/>
      <c r="HZY146" s="433"/>
      <c r="HZZ146" s="433"/>
      <c r="IAA146" s="433"/>
      <c r="IAB146" s="433"/>
      <c r="IAC146" s="433"/>
      <c r="IAD146" s="433"/>
      <c r="IAE146" s="433"/>
      <c r="IAF146" s="433"/>
      <c r="IAG146" s="433"/>
      <c r="IAH146" s="433"/>
      <c r="IAI146" s="433"/>
      <c r="IAJ146" s="433"/>
      <c r="IAK146" s="433"/>
      <c r="IAL146" s="433"/>
      <c r="IAM146" s="433"/>
      <c r="IAN146" s="433"/>
      <c r="IAO146" s="433"/>
      <c r="IAP146" s="433"/>
      <c r="IAQ146" s="433"/>
      <c r="IAR146" s="433"/>
      <c r="IAS146" s="433"/>
      <c r="IAT146" s="433"/>
      <c r="IAU146" s="433"/>
      <c r="IAV146" s="433"/>
      <c r="IAW146" s="433"/>
      <c r="IAX146" s="433"/>
      <c r="IAY146" s="433"/>
      <c r="IAZ146" s="433"/>
      <c r="IBA146" s="433"/>
      <c r="IBB146" s="433"/>
      <c r="IBC146" s="433"/>
      <c r="IBD146" s="433"/>
      <c r="IBE146" s="433"/>
      <c r="IBF146" s="433"/>
      <c r="IBG146" s="433"/>
      <c r="IBH146" s="433"/>
      <c r="IBI146" s="433"/>
      <c r="IBJ146" s="433"/>
      <c r="IBK146" s="433"/>
      <c r="IBL146" s="433"/>
      <c r="IBM146" s="433"/>
      <c r="IBN146" s="433"/>
      <c r="IBO146" s="433"/>
      <c r="IBP146" s="433"/>
      <c r="IBQ146" s="433"/>
      <c r="IBR146" s="433"/>
      <c r="IBS146" s="433"/>
      <c r="IBT146" s="433"/>
      <c r="IBU146" s="433"/>
      <c r="IBV146" s="433"/>
      <c r="IBW146" s="433"/>
      <c r="IBX146" s="433"/>
      <c r="IBY146" s="433"/>
      <c r="IBZ146" s="433"/>
      <c r="ICA146" s="433"/>
      <c r="ICB146" s="433"/>
      <c r="ICC146" s="433"/>
      <c r="ICD146" s="433"/>
      <c r="ICE146" s="433"/>
      <c r="ICF146" s="433"/>
      <c r="ICG146" s="433"/>
      <c r="ICH146" s="433"/>
      <c r="ICI146" s="433"/>
      <c r="ICJ146" s="433"/>
      <c r="ICK146" s="433"/>
      <c r="ICL146" s="433"/>
      <c r="ICM146" s="433"/>
      <c r="ICN146" s="433"/>
      <c r="ICO146" s="433"/>
      <c r="ICP146" s="433"/>
      <c r="ICQ146" s="433"/>
      <c r="ICR146" s="433"/>
      <c r="ICS146" s="433"/>
      <c r="ICT146" s="433"/>
      <c r="ICU146" s="433"/>
      <c r="ICV146" s="433"/>
      <c r="ICW146" s="433"/>
      <c r="ICX146" s="433"/>
      <c r="ICY146" s="433"/>
      <c r="ICZ146" s="433"/>
      <c r="IDA146" s="433"/>
      <c r="IDB146" s="433"/>
      <c r="IDC146" s="433"/>
      <c r="IDD146" s="433"/>
      <c r="IDE146" s="433"/>
      <c r="IDF146" s="433"/>
      <c r="IDG146" s="433"/>
      <c r="IDH146" s="433"/>
      <c r="IDI146" s="433"/>
      <c r="IDJ146" s="433"/>
      <c r="IDK146" s="433"/>
      <c r="IDL146" s="433"/>
      <c r="IDM146" s="433"/>
      <c r="IDN146" s="433"/>
      <c r="IDO146" s="433"/>
      <c r="IDP146" s="433"/>
      <c r="IDQ146" s="433"/>
      <c r="IDR146" s="433"/>
      <c r="IDS146" s="433"/>
      <c r="IDT146" s="433"/>
      <c r="IDU146" s="433"/>
      <c r="IDV146" s="433"/>
      <c r="IDW146" s="433"/>
      <c r="IDX146" s="433"/>
      <c r="IDY146" s="433"/>
      <c r="IDZ146" s="433"/>
      <c r="IEA146" s="433"/>
      <c r="IEB146" s="433"/>
      <c r="IEC146" s="433"/>
      <c r="IED146" s="433"/>
      <c r="IEE146" s="433"/>
      <c r="IEF146" s="433"/>
      <c r="IEG146" s="433"/>
      <c r="IEH146" s="433"/>
      <c r="IEI146" s="433"/>
      <c r="IEJ146" s="433"/>
      <c r="IEK146" s="433"/>
      <c r="IEL146" s="433"/>
      <c r="IEM146" s="433"/>
      <c r="IEN146" s="433"/>
      <c r="IEO146" s="433"/>
      <c r="IEP146" s="433"/>
      <c r="IEQ146" s="433"/>
      <c r="IER146" s="433"/>
      <c r="IES146" s="433"/>
      <c r="IET146" s="433"/>
      <c r="IEU146" s="433"/>
      <c r="IEV146" s="433"/>
      <c r="IEW146" s="433"/>
      <c r="IEX146" s="433"/>
      <c r="IEY146" s="433"/>
      <c r="IEZ146" s="433"/>
      <c r="IFA146" s="433"/>
      <c r="IFB146" s="433"/>
      <c r="IFC146" s="433"/>
      <c r="IFD146" s="433"/>
      <c r="IFE146" s="433"/>
      <c r="IFF146" s="433"/>
      <c r="IFG146" s="433"/>
      <c r="IFH146" s="433"/>
      <c r="IFI146" s="433"/>
      <c r="IFJ146" s="433"/>
      <c r="IFK146" s="433"/>
      <c r="IFL146" s="433"/>
      <c r="IFM146" s="433"/>
      <c r="IFN146" s="433"/>
      <c r="IFO146" s="433"/>
      <c r="IFP146" s="433"/>
      <c r="IFQ146" s="433"/>
      <c r="IFR146" s="433"/>
      <c r="IFS146" s="433"/>
      <c r="IFT146" s="433"/>
      <c r="IFU146" s="433"/>
      <c r="IFV146" s="433"/>
      <c r="IFW146" s="433"/>
      <c r="IFX146" s="433"/>
      <c r="IFY146" s="433"/>
      <c r="IFZ146" s="433"/>
      <c r="IGA146" s="433"/>
      <c r="IGB146" s="433"/>
      <c r="IGC146" s="433"/>
      <c r="IGD146" s="433"/>
      <c r="IGE146" s="433"/>
      <c r="IGF146" s="433"/>
      <c r="IGG146" s="433"/>
      <c r="IGH146" s="433"/>
      <c r="IGI146" s="433"/>
      <c r="IGJ146" s="433"/>
      <c r="IGK146" s="433"/>
      <c r="IGL146" s="433"/>
      <c r="IGM146" s="433"/>
      <c r="IGN146" s="433"/>
      <c r="IGO146" s="433"/>
      <c r="IGP146" s="433"/>
      <c r="IGQ146" s="433"/>
      <c r="IGR146" s="433"/>
      <c r="IGS146" s="433"/>
      <c r="IGT146" s="433"/>
      <c r="IGU146" s="433"/>
      <c r="IGV146" s="433"/>
      <c r="IGW146" s="433"/>
      <c r="IGX146" s="433"/>
      <c r="IGY146" s="433"/>
      <c r="IGZ146" s="433"/>
      <c r="IHA146" s="433"/>
      <c r="IHB146" s="433"/>
      <c r="IHC146" s="433"/>
      <c r="IHD146" s="433"/>
      <c r="IHE146" s="433"/>
      <c r="IHF146" s="433"/>
      <c r="IHG146" s="433"/>
      <c r="IHH146" s="433"/>
      <c r="IHI146" s="433"/>
      <c r="IHJ146" s="433"/>
      <c r="IHK146" s="433"/>
      <c r="IHL146" s="433"/>
      <c r="IHM146" s="433"/>
      <c r="IHN146" s="433"/>
      <c r="IHO146" s="433"/>
      <c r="IHP146" s="433"/>
      <c r="IHQ146" s="433"/>
      <c r="IHR146" s="433"/>
      <c r="IHS146" s="433"/>
      <c r="IHT146" s="433"/>
      <c r="IHU146" s="433"/>
      <c r="IHV146" s="433"/>
      <c r="IHW146" s="433"/>
      <c r="IHX146" s="433"/>
      <c r="IHY146" s="433"/>
      <c r="IHZ146" s="433"/>
      <c r="IIA146" s="433"/>
      <c r="IIB146" s="433"/>
      <c r="IIC146" s="433"/>
      <c r="IID146" s="433"/>
      <c r="IIE146" s="433"/>
      <c r="IIF146" s="433"/>
      <c r="IIG146" s="433"/>
      <c r="IIH146" s="433"/>
      <c r="III146" s="433"/>
      <c r="IIJ146" s="433"/>
      <c r="IIK146" s="433"/>
      <c r="IIL146" s="433"/>
      <c r="IIM146" s="433"/>
      <c r="IIN146" s="433"/>
      <c r="IIO146" s="433"/>
      <c r="IIP146" s="433"/>
      <c r="IIQ146" s="433"/>
      <c r="IIR146" s="433"/>
      <c r="IIS146" s="433"/>
      <c r="IIT146" s="433"/>
      <c r="IIU146" s="433"/>
      <c r="IIV146" s="433"/>
      <c r="IIW146" s="433"/>
      <c r="IIX146" s="433"/>
      <c r="IIY146" s="433"/>
      <c r="IIZ146" s="433"/>
      <c r="IJA146" s="433"/>
      <c r="IJB146" s="433"/>
      <c r="IJC146" s="433"/>
      <c r="IJD146" s="433"/>
      <c r="IJE146" s="433"/>
      <c r="IJF146" s="433"/>
      <c r="IJG146" s="433"/>
      <c r="IJH146" s="433"/>
      <c r="IJI146" s="433"/>
      <c r="IJJ146" s="433"/>
      <c r="IJK146" s="433"/>
      <c r="IJL146" s="433"/>
      <c r="IJM146" s="433"/>
      <c r="IJN146" s="433"/>
      <c r="IJO146" s="433"/>
      <c r="IJP146" s="433"/>
      <c r="IJQ146" s="433"/>
      <c r="IJR146" s="433"/>
      <c r="IJS146" s="433"/>
      <c r="IJT146" s="433"/>
      <c r="IJU146" s="433"/>
      <c r="IJV146" s="433"/>
      <c r="IJW146" s="433"/>
      <c r="IJX146" s="433"/>
      <c r="IJY146" s="433"/>
      <c r="IJZ146" s="433"/>
      <c r="IKA146" s="433"/>
      <c r="IKB146" s="433"/>
      <c r="IKC146" s="433"/>
      <c r="IKD146" s="433"/>
      <c r="IKE146" s="433"/>
      <c r="IKF146" s="433"/>
      <c r="IKG146" s="433"/>
      <c r="IKH146" s="433"/>
      <c r="IKI146" s="433"/>
      <c r="IKJ146" s="433"/>
      <c r="IKK146" s="433"/>
      <c r="IKL146" s="433"/>
      <c r="IKM146" s="433"/>
      <c r="IKN146" s="433"/>
      <c r="IKO146" s="433"/>
      <c r="IKP146" s="433"/>
      <c r="IKQ146" s="433"/>
      <c r="IKR146" s="433"/>
      <c r="IKS146" s="433"/>
      <c r="IKT146" s="433"/>
      <c r="IKU146" s="433"/>
      <c r="IKV146" s="433"/>
      <c r="IKW146" s="433"/>
      <c r="IKX146" s="433"/>
      <c r="IKY146" s="433"/>
      <c r="IKZ146" s="433"/>
      <c r="ILA146" s="433"/>
      <c r="ILB146" s="433"/>
      <c r="ILC146" s="433"/>
      <c r="ILD146" s="433"/>
      <c r="ILE146" s="433"/>
      <c r="ILF146" s="433"/>
      <c r="ILG146" s="433"/>
      <c r="ILH146" s="433"/>
      <c r="ILI146" s="433"/>
      <c r="ILJ146" s="433"/>
      <c r="ILK146" s="433"/>
      <c r="ILL146" s="433"/>
      <c r="ILM146" s="433"/>
      <c r="ILN146" s="433"/>
      <c r="ILO146" s="433"/>
      <c r="ILP146" s="433"/>
      <c r="ILQ146" s="433"/>
      <c r="ILR146" s="433"/>
      <c r="ILS146" s="433"/>
      <c r="ILT146" s="433"/>
      <c r="ILU146" s="433"/>
      <c r="ILV146" s="433"/>
      <c r="ILW146" s="433"/>
      <c r="ILX146" s="433"/>
      <c r="ILY146" s="433"/>
      <c r="ILZ146" s="433"/>
      <c r="IMA146" s="433"/>
      <c r="IMB146" s="433"/>
      <c r="IMC146" s="433"/>
      <c r="IMD146" s="433"/>
      <c r="IME146" s="433"/>
      <c r="IMF146" s="433"/>
      <c r="IMG146" s="433"/>
      <c r="IMH146" s="433"/>
      <c r="IMI146" s="433"/>
      <c r="IMJ146" s="433"/>
      <c r="IMK146" s="433"/>
      <c r="IML146" s="433"/>
      <c r="IMM146" s="433"/>
      <c r="IMN146" s="433"/>
      <c r="IMO146" s="433"/>
      <c r="IMP146" s="433"/>
      <c r="IMQ146" s="433"/>
      <c r="IMR146" s="433"/>
      <c r="IMS146" s="433"/>
      <c r="IMT146" s="433"/>
      <c r="IMU146" s="433"/>
      <c r="IMV146" s="433"/>
      <c r="IMW146" s="433"/>
      <c r="IMX146" s="433"/>
      <c r="IMY146" s="433"/>
      <c r="IMZ146" s="433"/>
      <c r="INA146" s="433"/>
      <c r="INB146" s="433"/>
      <c r="INC146" s="433"/>
      <c r="IND146" s="433"/>
      <c r="INE146" s="433"/>
      <c r="INF146" s="433"/>
      <c r="ING146" s="433"/>
      <c r="INH146" s="433"/>
      <c r="INI146" s="433"/>
      <c r="INJ146" s="433"/>
      <c r="INK146" s="433"/>
      <c r="INL146" s="433"/>
      <c r="INM146" s="433"/>
      <c r="INN146" s="433"/>
      <c r="INO146" s="433"/>
      <c r="INP146" s="433"/>
      <c r="INQ146" s="433"/>
      <c r="INR146" s="433"/>
      <c r="INS146" s="433"/>
      <c r="INT146" s="433"/>
      <c r="INU146" s="433"/>
      <c r="INV146" s="433"/>
      <c r="INW146" s="433"/>
      <c r="INX146" s="433"/>
      <c r="INY146" s="433"/>
      <c r="INZ146" s="433"/>
      <c r="IOA146" s="433"/>
      <c r="IOB146" s="433"/>
      <c r="IOC146" s="433"/>
      <c r="IOD146" s="433"/>
      <c r="IOE146" s="433"/>
      <c r="IOF146" s="433"/>
      <c r="IOG146" s="433"/>
      <c r="IOH146" s="433"/>
      <c r="IOI146" s="433"/>
      <c r="IOJ146" s="433"/>
      <c r="IOK146" s="433"/>
      <c r="IOL146" s="433"/>
      <c r="IOM146" s="433"/>
      <c r="ION146" s="433"/>
      <c r="IOO146" s="433"/>
      <c r="IOP146" s="433"/>
      <c r="IOQ146" s="433"/>
      <c r="IOR146" s="433"/>
      <c r="IOS146" s="433"/>
      <c r="IOT146" s="433"/>
      <c r="IOU146" s="433"/>
      <c r="IOV146" s="433"/>
      <c r="IOW146" s="433"/>
      <c r="IOX146" s="433"/>
      <c r="IOY146" s="433"/>
      <c r="IOZ146" s="433"/>
      <c r="IPA146" s="433"/>
      <c r="IPB146" s="433"/>
      <c r="IPC146" s="433"/>
      <c r="IPD146" s="433"/>
      <c r="IPE146" s="433"/>
      <c r="IPF146" s="433"/>
      <c r="IPG146" s="433"/>
      <c r="IPH146" s="433"/>
      <c r="IPI146" s="433"/>
      <c r="IPJ146" s="433"/>
      <c r="IPK146" s="433"/>
      <c r="IPL146" s="433"/>
      <c r="IPM146" s="433"/>
      <c r="IPN146" s="433"/>
      <c r="IPO146" s="433"/>
      <c r="IPP146" s="433"/>
      <c r="IPQ146" s="433"/>
      <c r="IPR146" s="433"/>
      <c r="IPS146" s="433"/>
      <c r="IPT146" s="433"/>
      <c r="IPU146" s="433"/>
      <c r="IPV146" s="433"/>
      <c r="IPW146" s="433"/>
      <c r="IPX146" s="433"/>
      <c r="IPY146" s="433"/>
      <c r="IPZ146" s="433"/>
      <c r="IQA146" s="433"/>
      <c r="IQB146" s="433"/>
      <c r="IQC146" s="433"/>
      <c r="IQD146" s="433"/>
      <c r="IQE146" s="433"/>
      <c r="IQF146" s="433"/>
      <c r="IQG146" s="433"/>
      <c r="IQH146" s="433"/>
      <c r="IQI146" s="433"/>
      <c r="IQJ146" s="433"/>
      <c r="IQK146" s="433"/>
      <c r="IQL146" s="433"/>
      <c r="IQM146" s="433"/>
      <c r="IQN146" s="433"/>
      <c r="IQO146" s="433"/>
      <c r="IQP146" s="433"/>
      <c r="IQQ146" s="433"/>
      <c r="IQR146" s="433"/>
      <c r="IQS146" s="433"/>
      <c r="IQT146" s="433"/>
      <c r="IQU146" s="433"/>
      <c r="IQV146" s="433"/>
      <c r="IQW146" s="433"/>
      <c r="IQX146" s="433"/>
      <c r="IQY146" s="433"/>
      <c r="IQZ146" s="433"/>
      <c r="IRA146" s="433"/>
      <c r="IRB146" s="433"/>
      <c r="IRC146" s="433"/>
      <c r="IRD146" s="433"/>
      <c r="IRE146" s="433"/>
      <c r="IRF146" s="433"/>
      <c r="IRG146" s="433"/>
      <c r="IRH146" s="433"/>
      <c r="IRI146" s="433"/>
      <c r="IRJ146" s="433"/>
      <c r="IRK146" s="433"/>
      <c r="IRL146" s="433"/>
      <c r="IRM146" s="433"/>
      <c r="IRN146" s="433"/>
      <c r="IRO146" s="433"/>
      <c r="IRP146" s="433"/>
      <c r="IRQ146" s="433"/>
      <c r="IRR146" s="433"/>
      <c r="IRS146" s="433"/>
      <c r="IRT146" s="433"/>
      <c r="IRU146" s="433"/>
      <c r="IRV146" s="433"/>
      <c r="IRW146" s="433"/>
      <c r="IRX146" s="433"/>
      <c r="IRY146" s="433"/>
      <c r="IRZ146" s="433"/>
      <c r="ISA146" s="433"/>
      <c r="ISB146" s="433"/>
      <c r="ISC146" s="433"/>
      <c r="ISD146" s="433"/>
      <c r="ISE146" s="433"/>
      <c r="ISF146" s="433"/>
      <c r="ISG146" s="433"/>
      <c r="ISH146" s="433"/>
      <c r="ISI146" s="433"/>
      <c r="ISJ146" s="433"/>
      <c r="ISK146" s="433"/>
      <c r="ISL146" s="433"/>
      <c r="ISM146" s="433"/>
      <c r="ISN146" s="433"/>
      <c r="ISO146" s="433"/>
      <c r="ISP146" s="433"/>
      <c r="ISQ146" s="433"/>
      <c r="ISR146" s="433"/>
      <c r="ISS146" s="433"/>
      <c r="IST146" s="433"/>
      <c r="ISU146" s="433"/>
      <c r="ISV146" s="433"/>
      <c r="ISW146" s="433"/>
      <c r="ISX146" s="433"/>
      <c r="ISY146" s="433"/>
      <c r="ISZ146" s="433"/>
      <c r="ITA146" s="433"/>
      <c r="ITB146" s="433"/>
      <c r="ITC146" s="433"/>
      <c r="ITD146" s="433"/>
      <c r="ITE146" s="433"/>
      <c r="ITF146" s="433"/>
      <c r="ITG146" s="433"/>
      <c r="ITH146" s="433"/>
      <c r="ITI146" s="433"/>
      <c r="ITJ146" s="433"/>
      <c r="ITK146" s="433"/>
      <c r="ITL146" s="433"/>
      <c r="ITM146" s="433"/>
      <c r="ITN146" s="433"/>
      <c r="ITO146" s="433"/>
      <c r="ITP146" s="433"/>
      <c r="ITQ146" s="433"/>
      <c r="ITR146" s="433"/>
      <c r="ITS146" s="433"/>
      <c r="ITT146" s="433"/>
      <c r="ITU146" s="433"/>
      <c r="ITV146" s="433"/>
      <c r="ITW146" s="433"/>
      <c r="ITX146" s="433"/>
      <c r="ITY146" s="433"/>
      <c r="ITZ146" s="433"/>
      <c r="IUA146" s="433"/>
      <c r="IUB146" s="433"/>
      <c r="IUC146" s="433"/>
      <c r="IUD146" s="433"/>
      <c r="IUE146" s="433"/>
      <c r="IUF146" s="433"/>
      <c r="IUG146" s="433"/>
      <c r="IUH146" s="433"/>
      <c r="IUI146" s="433"/>
      <c r="IUJ146" s="433"/>
      <c r="IUK146" s="433"/>
      <c r="IUL146" s="433"/>
      <c r="IUM146" s="433"/>
      <c r="IUN146" s="433"/>
      <c r="IUO146" s="433"/>
      <c r="IUP146" s="433"/>
      <c r="IUQ146" s="433"/>
      <c r="IUR146" s="433"/>
      <c r="IUS146" s="433"/>
      <c r="IUT146" s="433"/>
      <c r="IUU146" s="433"/>
      <c r="IUV146" s="433"/>
      <c r="IUW146" s="433"/>
      <c r="IUX146" s="433"/>
      <c r="IUY146" s="433"/>
      <c r="IUZ146" s="433"/>
      <c r="IVA146" s="433"/>
      <c r="IVB146" s="433"/>
      <c r="IVC146" s="433"/>
      <c r="IVD146" s="433"/>
      <c r="IVE146" s="433"/>
      <c r="IVF146" s="433"/>
      <c r="IVG146" s="433"/>
      <c r="IVH146" s="433"/>
      <c r="IVI146" s="433"/>
      <c r="IVJ146" s="433"/>
      <c r="IVK146" s="433"/>
      <c r="IVL146" s="433"/>
      <c r="IVM146" s="433"/>
      <c r="IVN146" s="433"/>
      <c r="IVO146" s="433"/>
      <c r="IVP146" s="433"/>
      <c r="IVQ146" s="433"/>
      <c r="IVR146" s="433"/>
      <c r="IVS146" s="433"/>
      <c r="IVT146" s="433"/>
      <c r="IVU146" s="433"/>
      <c r="IVV146" s="433"/>
      <c r="IVW146" s="433"/>
      <c r="IVX146" s="433"/>
      <c r="IVY146" s="433"/>
      <c r="IVZ146" s="433"/>
      <c r="IWA146" s="433"/>
      <c r="IWB146" s="433"/>
      <c r="IWC146" s="433"/>
      <c r="IWD146" s="433"/>
      <c r="IWE146" s="433"/>
      <c r="IWF146" s="433"/>
      <c r="IWG146" s="433"/>
      <c r="IWH146" s="433"/>
      <c r="IWI146" s="433"/>
      <c r="IWJ146" s="433"/>
      <c r="IWK146" s="433"/>
      <c r="IWL146" s="433"/>
      <c r="IWM146" s="433"/>
      <c r="IWN146" s="433"/>
      <c r="IWO146" s="433"/>
      <c r="IWP146" s="433"/>
      <c r="IWQ146" s="433"/>
      <c r="IWR146" s="433"/>
      <c r="IWS146" s="433"/>
      <c r="IWT146" s="433"/>
      <c r="IWU146" s="433"/>
      <c r="IWV146" s="433"/>
      <c r="IWW146" s="433"/>
      <c r="IWX146" s="433"/>
      <c r="IWY146" s="433"/>
      <c r="IWZ146" s="433"/>
      <c r="IXA146" s="433"/>
      <c r="IXB146" s="433"/>
      <c r="IXC146" s="433"/>
      <c r="IXD146" s="433"/>
      <c r="IXE146" s="433"/>
      <c r="IXF146" s="433"/>
      <c r="IXG146" s="433"/>
      <c r="IXH146" s="433"/>
      <c r="IXI146" s="433"/>
      <c r="IXJ146" s="433"/>
      <c r="IXK146" s="433"/>
      <c r="IXL146" s="433"/>
      <c r="IXM146" s="433"/>
      <c r="IXN146" s="433"/>
      <c r="IXO146" s="433"/>
      <c r="IXP146" s="433"/>
      <c r="IXQ146" s="433"/>
      <c r="IXR146" s="433"/>
      <c r="IXS146" s="433"/>
      <c r="IXT146" s="433"/>
      <c r="IXU146" s="433"/>
      <c r="IXV146" s="433"/>
      <c r="IXW146" s="433"/>
      <c r="IXX146" s="433"/>
      <c r="IXY146" s="433"/>
      <c r="IXZ146" s="433"/>
      <c r="IYA146" s="433"/>
      <c r="IYB146" s="433"/>
      <c r="IYC146" s="433"/>
      <c r="IYD146" s="433"/>
      <c r="IYE146" s="433"/>
      <c r="IYF146" s="433"/>
      <c r="IYG146" s="433"/>
      <c r="IYH146" s="433"/>
      <c r="IYI146" s="433"/>
      <c r="IYJ146" s="433"/>
      <c r="IYK146" s="433"/>
      <c r="IYL146" s="433"/>
      <c r="IYM146" s="433"/>
      <c r="IYN146" s="433"/>
      <c r="IYO146" s="433"/>
      <c r="IYP146" s="433"/>
      <c r="IYQ146" s="433"/>
      <c r="IYR146" s="433"/>
      <c r="IYS146" s="433"/>
      <c r="IYT146" s="433"/>
      <c r="IYU146" s="433"/>
      <c r="IYV146" s="433"/>
      <c r="IYW146" s="433"/>
      <c r="IYX146" s="433"/>
      <c r="IYY146" s="433"/>
      <c r="IYZ146" s="433"/>
      <c r="IZA146" s="433"/>
      <c r="IZB146" s="433"/>
      <c r="IZC146" s="433"/>
      <c r="IZD146" s="433"/>
      <c r="IZE146" s="433"/>
      <c r="IZF146" s="433"/>
      <c r="IZG146" s="433"/>
      <c r="IZH146" s="433"/>
      <c r="IZI146" s="433"/>
      <c r="IZJ146" s="433"/>
      <c r="IZK146" s="433"/>
      <c r="IZL146" s="433"/>
      <c r="IZM146" s="433"/>
      <c r="IZN146" s="433"/>
      <c r="IZO146" s="433"/>
      <c r="IZP146" s="433"/>
      <c r="IZQ146" s="433"/>
      <c r="IZR146" s="433"/>
      <c r="IZS146" s="433"/>
      <c r="IZT146" s="433"/>
      <c r="IZU146" s="433"/>
      <c r="IZV146" s="433"/>
      <c r="IZW146" s="433"/>
      <c r="IZX146" s="433"/>
      <c r="IZY146" s="433"/>
      <c r="IZZ146" s="433"/>
      <c r="JAA146" s="433"/>
      <c r="JAB146" s="433"/>
      <c r="JAC146" s="433"/>
      <c r="JAD146" s="433"/>
      <c r="JAE146" s="433"/>
      <c r="JAF146" s="433"/>
      <c r="JAG146" s="433"/>
      <c r="JAH146" s="433"/>
      <c r="JAI146" s="433"/>
      <c r="JAJ146" s="433"/>
      <c r="JAK146" s="433"/>
      <c r="JAL146" s="433"/>
      <c r="JAM146" s="433"/>
      <c r="JAN146" s="433"/>
      <c r="JAO146" s="433"/>
      <c r="JAP146" s="433"/>
      <c r="JAQ146" s="433"/>
      <c r="JAR146" s="433"/>
      <c r="JAS146" s="433"/>
      <c r="JAT146" s="433"/>
      <c r="JAU146" s="433"/>
      <c r="JAV146" s="433"/>
      <c r="JAW146" s="433"/>
      <c r="JAX146" s="433"/>
      <c r="JAY146" s="433"/>
      <c r="JAZ146" s="433"/>
      <c r="JBA146" s="433"/>
      <c r="JBB146" s="433"/>
      <c r="JBC146" s="433"/>
      <c r="JBD146" s="433"/>
      <c r="JBE146" s="433"/>
      <c r="JBF146" s="433"/>
      <c r="JBG146" s="433"/>
      <c r="JBH146" s="433"/>
      <c r="JBI146" s="433"/>
      <c r="JBJ146" s="433"/>
      <c r="JBK146" s="433"/>
      <c r="JBL146" s="433"/>
      <c r="JBM146" s="433"/>
      <c r="JBN146" s="433"/>
      <c r="JBO146" s="433"/>
      <c r="JBP146" s="433"/>
      <c r="JBQ146" s="433"/>
      <c r="JBR146" s="433"/>
      <c r="JBS146" s="433"/>
      <c r="JBT146" s="433"/>
      <c r="JBU146" s="433"/>
      <c r="JBV146" s="433"/>
      <c r="JBW146" s="433"/>
      <c r="JBX146" s="433"/>
      <c r="JBY146" s="433"/>
      <c r="JBZ146" s="433"/>
      <c r="JCA146" s="433"/>
      <c r="JCB146" s="433"/>
      <c r="JCC146" s="433"/>
      <c r="JCD146" s="433"/>
      <c r="JCE146" s="433"/>
      <c r="JCF146" s="433"/>
      <c r="JCG146" s="433"/>
      <c r="JCH146" s="433"/>
      <c r="JCI146" s="433"/>
      <c r="JCJ146" s="433"/>
      <c r="JCK146" s="433"/>
      <c r="JCL146" s="433"/>
      <c r="JCM146" s="433"/>
      <c r="JCN146" s="433"/>
      <c r="JCO146" s="433"/>
      <c r="JCP146" s="433"/>
      <c r="JCQ146" s="433"/>
      <c r="JCR146" s="433"/>
      <c r="JCS146" s="433"/>
      <c r="JCT146" s="433"/>
      <c r="JCU146" s="433"/>
      <c r="JCV146" s="433"/>
      <c r="JCW146" s="433"/>
      <c r="JCX146" s="433"/>
      <c r="JCY146" s="433"/>
      <c r="JCZ146" s="433"/>
      <c r="JDA146" s="433"/>
      <c r="JDB146" s="433"/>
      <c r="JDC146" s="433"/>
      <c r="JDD146" s="433"/>
      <c r="JDE146" s="433"/>
      <c r="JDF146" s="433"/>
      <c r="JDG146" s="433"/>
      <c r="JDH146" s="433"/>
      <c r="JDI146" s="433"/>
      <c r="JDJ146" s="433"/>
      <c r="JDK146" s="433"/>
      <c r="JDL146" s="433"/>
      <c r="JDM146" s="433"/>
      <c r="JDN146" s="433"/>
      <c r="JDO146" s="433"/>
      <c r="JDP146" s="433"/>
      <c r="JDQ146" s="433"/>
      <c r="JDR146" s="433"/>
      <c r="JDS146" s="433"/>
      <c r="JDT146" s="433"/>
      <c r="JDU146" s="433"/>
      <c r="JDV146" s="433"/>
      <c r="JDW146" s="433"/>
      <c r="JDX146" s="433"/>
      <c r="JDY146" s="433"/>
      <c r="JDZ146" s="433"/>
      <c r="JEA146" s="433"/>
      <c r="JEB146" s="433"/>
      <c r="JEC146" s="433"/>
      <c r="JED146" s="433"/>
      <c r="JEE146" s="433"/>
      <c r="JEF146" s="433"/>
      <c r="JEG146" s="433"/>
      <c r="JEH146" s="433"/>
      <c r="JEI146" s="433"/>
      <c r="JEJ146" s="433"/>
      <c r="JEK146" s="433"/>
      <c r="JEL146" s="433"/>
      <c r="JEM146" s="433"/>
      <c r="JEN146" s="433"/>
      <c r="JEO146" s="433"/>
      <c r="JEP146" s="433"/>
      <c r="JEQ146" s="433"/>
      <c r="JER146" s="433"/>
      <c r="JES146" s="433"/>
      <c r="JET146" s="433"/>
      <c r="JEU146" s="433"/>
      <c r="JEV146" s="433"/>
      <c r="JEW146" s="433"/>
      <c r="JEX146" s="433"/>
      <c r="JEY146" s="433"/>
      <c r="JEZ146" s="433"/>
      <c r="JFA146" s="433"/>
      <c r="JFB146" s="433"/>
      <c r="JFC146" s="433"/>
      <c r="JFD146" s="433"/>
      <c r="JFE146" s="433"/>
      <c r="JFF146" s="433"/>
      <c r="JFG146" s="433"/>
      <c r="JFH146" s="433"/>
      <c r="JFI146" s="433"/>
      <c r="JFJ146" s="433"/>
      <c r="JFK146" s="433"/>
      <c r="JFL146" s="433"/>
      <c r="JFM146" s="433"/>
      <c r="JFN146" s="433"/>
      <c r="JFO146" s="433"/>
      <c r="JFP146" s="433"/>
      <c r="JFQ146" s="433"/>
      <c r="JFR146" s="433"/>
      <c r="JFS146" s="433"/>
      <c r="JFT146" s="433"/>
      <c r="JFU146" s="433"/>
      <c r="JFV146" s="433"/>
      <c r="JFW146" s="433"/>
      <c r="JFX146" s="433"/>
      <c r="JFY146" s="433"/>
      <c r="JFZ146" s="433"/>
      <c r="JGA146" s="433"/>
      <c r="JGB146" s="433"/>
      <c r="JGC146" s="433"/>
      <c r="JGD146" s="433"/>
      <c r="JGE146" s="433"/>
      <c r="JGF146" s="433"/>
      <c r="JGG146" s="433"/>
      <c r="JGH146" s="433"/>
      <c r="JGI146" s="433"/>
      <c r="JGJ146" s="433"/>
      <c r="JGK146" s="433"/>
      <c r="JGL146" s="433"/>
      <c r="JGM146" s="433"/>
      <c r="JGN146" s="433"/>
      <c r="JGO146" s="433"/>
      <c r="JGP146" s="433"/>
      <c r="JGQ146" s="433"/>
      <c r="JGR146" s="433"/>
      <c r="JGS146" s="433"/>
      <c r="JGT146" s="433"/>
      <c r="JGU146" s="433"/>
      <c r="JGV146" s="433"/>
      <c r="JGW146" s="433"/>
      <c r="JGX146" s="433"/>
      <c r="JGY146" s="433"/>
      <c r="JGZ146" s="433"/>
      <c r="JHA146" s="433"/>
      <c r="JHB146" s="433"/>
      <c r="JHC146" s="433"/>
      <c r="JHD146" s="433"/>
      <c r="JHE146" s="433"/>
      <c r="JHF146" s="433"/>
      <c r="JHG146" s="433"/>
      <c r="JHH146" s="433"/>
      <c r="JHI146" s="433"/>
      <c r="JHJ146" s="433"/>
      <c r="JHK146" s="433"/>
      <c r="JHL146" s="433"/>
      <c r="JHM146" s="433"/>
      <c r="JHN146" s="433"/>
      <c r="JHO146" s="433"/>
      <c r="JHP146" s="433"/>
      <c r="JHQ146" s="433"/>
      <c r="JHR146" s="433"/>
      <c r="JHS146" s="433"/>
      <c r="JHT146" s="433"/>
      <c r="JHU146" s="433"/>
      <c r="JHV146" s="433"/>
      <c r="JHW146" s="433"/>
      <c r="JHX146" s="433"/>
      <c r="JHY146" s="433"/>
      <c r="JHZ146" s="433"/>
      <c r="JIA146" s="433"/>
      <c r="JIB146" s="433"/>
      <c r="JIC146" s="433"/>
      <c r="JID146" s="433"/>
      <c r="JIE146" s="433"/>
      <c r="JIF146" s="433"/>
      <c r="JIG146" s="433"/>
      <c r="JIH146" s="433"/>
      <c r="JII146" s="433"/>
      <c r="JIJ146" s="433"/>
      <c r="JIK146" s="433"/>
      <c r="JIL146" s="433"/>
      <c r="JIM146" s="433"/>
      <c r="JIN146" s="433"/>
      <c r="JIO146" s="433"/>
      <c r="JIP146" s="433"/>
      <c r="JIQ146" s="433"/>
      <c r="JIR146" s="433"/>
      <c r="JIS146" s="433"/>
      <c r="JIT146" s="433"/>
      <c r="JIU146" s="433"/>
      <c r="JIV146" s="433"/>
      <c r="JIW146" s="433"/>
      <c r="JIX146" s="433"/>
      <c r="JIY146" s="433"/>
      <c r="JIZ146" s="433"/>
      <c r="JJA146" s="433"/>
      <c r="JJB146" s="433"/>
      <c r="JJC146" s="433"/>
      <c r="JJD146" s="433"/>
      <c r="JJE146" s="433"/>
      <c r="JJF146" s="433"/>
      <c r="JJG146" s="433"/>
      <c r="JJH146" s="433"/>
      <c r="JJI146" s="433"/>
      <c r="JJJ146" s="433"/>
      <c r="JJK146" s="433"/>
      <c r="JJL146" s="433"/>
      <c r="JJM146" s="433"/>
      <c r="JJN146" s="433"/>
      <c r="JJO146" s="433"/>
      <c r="JJP146" s="433"/>
      <c r="JJQ146" s="433"/>
      <c r="JJR146" s="433"/>
      <c r="JJS146" s="433"/>
      <c r="JJT146" s="433"/>
      <c r="JJU146" s="433"/>
      <c r="JJV146" s="433"/>
      <c r="JJW146" s="433"/>
      <c r="JJX146" s="433"/>
      <c r="JJY146" s="433"/>
      <c r="JJZ146" s="433"/>
      <c r="JKA146" s="433"/>
      <c r="JKB146" s="433"/>
      <c r="JKC146" s="433"/>
      <c r="JKD146" s="433"/>
      <c r="JKE146" s="433"/>
      <c r="JKF146" s="433"/>
      <c r="JKG146" s="433"/>
      <c r="JKH146" s="433"/>
      <c r="JKI146" s="433"/>
      <c r="JKJ146" s="433"/>
      <c r="JKK146" s="433"/>
      <c r="JKL146" s="433"/>
      <c r="JKM146" s="433"/>
      <c r="JKN146" s="433"/>
      <c r="JKO146" s="433"/>
      <c r="JKP146" s="433"/>
      <c r="JKQ146" s="433"/>
      <c r="JKR146" s="433"/>
      <c r="JKS146" s="433"/>
      <c r="JKT146" s="433"/>
      <c r="JKU146" s="433"/>
      <c r="JKV146" s="433"/>
      <c r="JKW146" s="433"/>
      <c r="JKX146" s="433"/>
      <c r="JKY146" s="433"/>
      <c r="JKZ146" s="433"/>
      <c r="JLA146" s="433"/>
      <c r="JLB146" s="433"/>
      <c r="JLC146" s="433"/>
      <c r="JLD146" s="433"/>
      <c r="JLE146" s="433"/>
      <c r="JLF146" s="433"/>
      <c r="JLG146" s="433"/>
      <c r="JLH146" s="433"/>
      <c r="JLI146" s="433"/>
      <c r="JLJ146" s="433"/>
      <c r="JLK146" s="433"/>
      <c r="JLL146" s="433"/>
      <c r="JLM146" s="433"/>
      <c r="JLN146" s="433"/>
      <c r="JLO146" s="433"/>
      <c r="JLP146" s="433"/>
      <c r="JLQ146" s="433"/>
      <c r="JLR146" s="433"/>
      <c r="JLS146" s="433"/>
      <c r="JLT146" s="433"/>
      <c r="JLU146" s="433"/>
      <c r="JLV146" s="433"/>
      <c r="JLW146" s="433"/>
      <c r="JLX146" s="433"/>
      <c r="JLY146" s="433"/>
      <c r="JLZ146" s="433"/>
      <c r="JMA146" s="433"/>
      <c r="JMB146" s="433"/>
      <c r="JMC146" s="433"/>
      <c r="JMD146" s="433"/>
      <c r="JME146" s="433"/>
      <c r="JMF146" s="433"/>
      <c r="JMG146" s="433"/>
      <c r="JMH146" s="433"/>
      <c r="JMI146" s="433"/>
      <c r="JMJ146" s="433"/>
      <c r="JMK146" s="433"/>
      <c r="JML146" s="433"/>
      <c r="JMM146" s="433"/>
      <c r="JMN146" s="433"/>
      <c r="JMO146" s="433"/>
      <c r="JMP146" s="433"/>
      <c r="JMQ146" s="433"/>
      <c r="JMR146" s="433"/>
      <c r="JMS146" s="433"/>
      <c r="JMT146" s="433"/>
      <c r="JMU146" s="433"/>
      <c r="JMV146" s="433"/>
      <c r="JMW146" s="433"/>
      <c r="JMX146" s="433"/>
      <c r="JMY146" s="433"/>
      <c r="JMZ146" s="433"/>
      <c r="JNA146" s="433"/>
      <c r="JNB146" s="433"/>
      <c r="JNC146" s="433"/>
      <c r="JND146" s="433"/>
      <c r="JNE146" s="433"/>
      <c r="JNF146" s="433"/>
      <c r="JNG146" s="433"/>
      <c r="JNH146" s="433"/>
      <c r="JNI146" s="433"/>
      <c r="JNJ146" s="433"/>
      <c r="JNK146" s="433"/>
      <c r="JNL146" s="433"/>
      <c r="JNM146" s="433"/>
      <c r="JNN146" s="433"/>
      <c r="JNO146" s="433"/>
      <c r="JNP146" s="433"/>
      <c r="JNQ146" s="433"/>
      <c r="JNR146" s="433"/>
      <c r="JNS146" s="433"/>
      <c r="JNT146" s="433"/>
      <c r="JNU146" s="433"/>
      <c r="JNV146" s="433"/>
      <c r="JNW146" s="433"/>
      <c r="JNX146" s="433"/>
      <c r="JNY146" s="433"/>
      <c r="JNZ146" s="433"/>
      <c r="JOA146" s="433"/>
      <c r="JOB146" s="433"/>
      <c r="JOC146" s="433"/>
      <c r="JOD146" s="433"/>
      <c r="JOE146" s="433"/>
      <c r="JOF146" s="433"/>
      <c r="JOG146" s="433"/>
      <c r="JOH146" s="433"/>
      <c r="JOI146" s="433"/>
      <c r="JOJ146" s="433"/>
      <c r="JOK146" s="433"/>
      <c r="JOL146" s="433"/>
      <c r="JOM146" s="433"/>
      <c r="JON146" s="433"/>
      <c r="JOO146" s="433"/>
      <c r="JOP146" s="433"/>
      <c r="JOQ146" s="433"/>
      <c r="JOR146" s="433"/>
      <c r="JOS146" s="433"/>
      <c r="JOT146" s="433"/>
      <c r="JOU146" s="433"/>
      <c r="JOV146" s="433"/>
      <c r="JOW146" s="433"/>
      <c r="JOX146" s="433"/>
      <c r="JOY146" s="433"/>
      <c r="JOZ146" s="433"/>
      <c r="JPA146" s="433"/>
      <c r="JPB146" s="433"/>
      <c r="JPC146" s="433"/>
      <c r="JPD146" s="433"/>
      <c r="JPE146" s="433"/>
      <c r="JPF146" s="433"/>
      <c r="JPG146" s="433"/>
      <c r="JPH146" s="433"/>
      <c r="JPI146" s="433"/>
      <c r="JPJ146" s="433"/>
      <c r="JPK146" s="433"/>
      <c r="JPL146" s="433"/>
      <c r="JPM146" s="433"/>
      <c r="JPN146" s="433"/>
      <c r="JPO146" s="433"/>
      <c r="JPP146" s="433"/>
      <c r="JPQ146" s="433"/>
      <c r="JPR146" s="433"/>
      <c r="JPS146" s="433"/>
      <c r="JPT146" s="433"/>
      <c r="JPU146" s="433"/>
      <c r="JPV146" s="433"/>
      <c r="JPW146" s="433"/>
      <c r="JPX146" s="433"/>
      <c r="JPY146" s="433"/>
      <c r="JPZ146" s="433"/>
      <c r="JQA146" s="433"/>
      <c r="JQB146" s="433"/>
      <c r="JQC146" s="433"/>
      <c r="JQD146" s="433"/>
      <c r="JQE146" s="433"/>
      <c r="JQF146" s="433"/>
      <c r="JQG146" s="433"/>
      <c r="JQH146" s="433"/>
      <c r="JQI146" s="433"/>
      <c r="JQJ146" s="433"/>
      <c r="JQK146" s="433"/>
      <c r="JQL146" s="433"/>
      <c r="JQM146" s="433"/>
      <c r="JQN146" s="433"/>
      <c r="JQO146" s="433"/>
      <c r="JQP146" s="433"/>
      <c r="JQQ146" s="433"/>
      <c r="JQR146" s="433"/>
      <c r="JQS146" s="433"/>
      <c r="JQT146" s="433"/>
      <c r="JQU146" s="433"/>
      <c r="JQV146" s="433"/>
      <c r="JQW146" s="433"/>
      <c r="JQX146" s="433"/>
      <c r="JQY146" s="433"/>
      <c r="JQZ146" s="433"/>
      <c r="JRA146" s="433"/>
      <c r="JRB146" s="433"/>
      <c r="JRC146" s="433"/>
      <c r="JRD146" s="433"/>
      <c r="JRE146" s="433"/>
      <c r="JRF146" s="433"/>
      <c r="JRG146" s="433"/>
      <c r="JRH146" s="433"/>
      <c r="JRI146" s="433"/>
      <c r="JRJ146" s="433"/>
      <c r="JRK146" s="433"/>
      <c r="JRL146" s="433"/>
      <c r="JRM146" s="433"/>
      <c r="JRN146" s="433"/>
      <c r="JRO146" s="433"/>
      <c r="JRP146" s="433"/>
      <c r="JRQ146" s="433"/>
      <c r="JRR146" s="433"/>
      <c r="JRS146" s="433"/>
      <c r="JRT146" s="433"/>
      <c r="JRU146" s="433"/>
      <c r="JRV146" s="433"/>
      <c r="JRW146" s="433"/>
      <c r="JRX146" s="433"/>
      <c r="JRY146" s="433"/>
      <c r="JRZ146" s="433"/>
      <c r="JSA146" s="433"/>
      <c r="JSB146" s="433"/>
      <c r="JSC146" s="433"/>
      <c r="JSD146" s="433"/>
      <c r="JSE146" s="433"/>
      <c r="JSF146" s="433"/>
      <c r="JSG146" s="433"/>
      <c r="JSH146" s="433"/>
      <c r="JSI146" s="433"/>
      <c r="JSJ146" s="433"/>
      <c r="JSK146" s="433"/>
      <c r="JSL146" s="433"/>
      <c r="JSM146" s="433"/>
      <c r="JSN146" s="433"/>
      <c r="JSO146" s="433"/>
      <c r="JSP146" s="433"/>
      <c r="JSQ146" s="433"/>
      <c r="JSR146" s="433"/>
      <c r="JSS146" s="433"/>
      <c r="JST146" s="433"/>
      <c r="JSU146" s="433"/>
      <c r="JSV146" s="433"/>
      <c r="JSW146" s="433"/>
      <c r="JSX146" s="433"/>
      <c r="JSY146" s="433"/>
      <c r="JSZ146" s="433"/>
      <c r="JTA146" s="433"/>
      <c r="JTB146" s="433"/>
      <c r="JTC146" s="433"/>
      <c r="JTD146" s="433"/>
      <c r="JTE146" s="433"/>
      <c r="JTF146" s="433"/>
      <c r="JTG146" s="433"/>
      <c r="JTH146" s="433"/>
      <c r="JTI146" s="433"/>
      <c r="JTJ146" s="433"/>
      <c r="JTK146" s="433"/>
      <c r="JTL146" s="433"/>
      <c r="JTM146" s="433"/>
      <c r="JTN146" s="433"/>
      <c r="JTO146" s="433"/>
      <c r="JTP146" s="433"/>
      <c r="JTQ146" s="433"/>
      <c r="JTR146" s="433"/>
      <c r="JTS146" s="433"/>
      <c r="JTT146" s="433"/>
      <c r="JTU146" s="433"/>
      <c r="JTV146" s="433"/>
      <c r="JTW146" s="433"/>
      <c r="JTX146" s="433"/>
      <c r="JTY146" s="433"/>
      <c r="JTZ146" s="433"/>
      <c r="JUA146" s="433"/>
      <c r="JUB146" s="433"/>
      <c r="JUC146" s="433"/>
      <c r="JUD146" s="433"/>
      <c r="JUE146" s="433"/>
      <c r="JUF146" s="433"/>
      <c r="JUG146" s="433"/>
      <c r="JUH146" s="433"/>
      <c r="JUI146" s="433"/>
      <c r="JUJ146" s="433"/>
      <c r="JUK146" s="433"/>
      <c r="JUL146" s="433"/>
      <c r="JUM146" s="433"/>
      <c r="JUN146" s="433"/>
      <c r="JUO146" s="433"/>
      <c r="JUP146" s="433"/>
      <c r="JUQ146" s="433"/>
      <c r="JUR146" s="433"/>
      <c r="JUS146" s="433"/>
      <c r="JUT146" s="433"/>
      <c r="JUU146" s="433"/>
      <c r="JUV146" s="433"/>
      <c r="JUW146" s="433"/>
      <c r="JUX146" s="433"/>
      <c r="JUY146" s="433"/>
      <c r="JUZ146" s="433"/>
      <c r="JVA146" s="433"/>
      <c r="JVB146" s="433"/>
      <c r="JVC146" s="433"/>
      <c r="JVD146" s="433"/>
      <c r="JVE146" s="433"/>
      <c r="JVF146" s="433"/>
      <c r="JVG146" s="433"/>
      <c r="JVH146" s="433"/>
      <c r="JVI146" s="433"/>
      <c r="JVJ146" s="433"/>
      <c r="JVK146" s="433"/>
      <c r="JVL146" s="433"/>
      <c r="JVM146" s="433"/>
      <c r="JVN146" s="433"/>
      <c r="JVO146" s="433"/>
      <c r="JVP146" s="433"/>
      <c r="JVQ146" s="433"/>
      <c r="JVR146" s="433"/>
      <c r="JVS146" s="433"/>
      <c r="JVT146" s="433"/>
      <c r="JVU146" s="433"/>
      <c r="JVV146" s="433"/>
      <c r="JVW146" s="433"/>
      <c r="JVX146" s="433"/>
      <c r="JVY146" s="433"/>
      <c r="JVZ146" s="433"/>
      <c r="JWA146" s="433"/>
      <c r="JWB146" s="433"/>
      <c r="JWC146" s="433"/>
      <c r="JWD146" s="433"/>
      <c r="JWE146" s="433"/>
      <c r="JWF146" s="433"/>
      <c r="JWG146" s="433"/>
      <c r="JWH146" s="433"/>
      <c r="JWI146" s="433"/>
      <c r="JWJ146" s="433"/>
      <c r="JWK146" s="433"/>
      <c r="JWL146" s="433"/>
      <c r="JWM146" s="433"/>
      <c r="JWN146" s="433"/>
      <c r="JWO146" s="433"/>
      <c r="JWP146" s="433"/>
      <c r="JWQ146" s="433"/>
      <c r="JWR146" s="433"/>
      <c r="JWS146" s="433"/>
      <c r="JWT146" s="433"/>
      <c r="JWU146" s="433"/>
      <c r="JWV146" s="433"/>
      <c r="JWW146" s="433"/>
      <c r="JWX146" s="433"/>
      <c r="JWY146" s="433"/>
      <c r="JWZ146" s="433"/>
      <c r="JXA146" s="433"/>
      <c r="JXB146" s="433"/>
      <c r="JXC146" s="433"/>
      <c r="JXD146" s="433"/>
      <c r="JXE146" s="433"/>
      <c r="JXF146" s="433"/>
      <c r="JXG146" s="433"/>
      <c r="JXH146" s="433"/>
      <c r="JXI146" s="433"/>
      <c r="JXJ146" s="433"/>
      <c r="JXK146" s="433"/>
      <c r="JXL146" s="433"/>
      <c r="JXM146" s="433"/>
      <c r="JXN146" s="433"/>
      <c r="JXO146" s="433"/>
      <c r="JXP146" s="433"/>
      <c r="JXQ146" s="433"/>
      <c r="JXR146" s="433"/>
      <c r="JXS146" s="433"/>
      <c r="JXT146" s="433"/>
      <c r="JXU146" s="433"/>
      <c r="JXV146" s="433"/>
      <c r="JXW146" s="433"/>
      <c r="JXX146" s="433"/>
      <c r="JXY146" s="433"/>
      <c r="JXZ146" s="433"/>
      <c r="JYA146" s="433"/>
      <c r="JYB146" s="433"/>
      <c r="JYC146" s="433"/>
      <c r="JYD146" s="433"/>
      <c r="JYE146" s="433"/>
      <c r="JYF146" s="433"/>
      <c r="JYG146" s="433"/>
      <c r="JYH146" s="433"/>
      <c r="JYI146" s="433"/>
      <c r="JYJ146" s="433"/>
      <c r="JYK146" s="433"/>
      <c r="JYL146" s="433"/>
      <c r="JYM146" s="433"/>
      <c r="JYN146" s="433"/>
      <c r="JYO146" s="433"/>
      <c r="JYP146" s="433"/>
      <c r="JYQ146" s="433"/>
      <c r="JYR146" s="433"/>
      <c r="JYS146" s="433"/>
      <c r="JYT146" s="433"/>
      <c r="JYU146" s="433"/>
      <c r="JYV146" s="433"/>
      <c r="JYW146" s="433"/>
      <c r="JYX146" s="433"/>
      <c r="JYY146" s="433"/>
      <c r="JYZ146" s="433"/>
      <c r="JZA146" s="433"/>
      <c r="JZB146" s="433"/>
      <c r="JZC146" s="433"/>
      <c r="JZD146" s="433"/>
      <c r="JZE146" s="433"/>
      <c r="JZF146" s="433"/>
      <c r="JZG146" s="433"/>
      <c r="JZH146" s="433"/>
      <c r="JZI146" s="433"/>
      <c r="JZJ146" s="433"/>
      <c r="JZK146" s="433"/>
      <c r="JZL146" s="433"/>
      <c r="JZM146" s="433"/>
      <c r="JZN146" s="433"/>
      <c r="JZO146" s="433"/>
      <c r="JZP146" s="433"/>
      <c r="JZQ146" s="433"/>
      <c r="JZR146" s="433"/>
      <c r="JZS146" s="433"/>
      <c r="JZT146" s="433"/>
      <c r="JZU146" s="433"/>
      <c r="JZV146" s="433"/>
      <c r="JZW146" s="433"/>
      <c r="JZX146" s="433"/>
      <c r="JZY146" s="433"/>
      <c r="JZZ146" s="433"/>
      <c r="KAA146" s="433"/>
      <c r="KAB146" s="433"/>
      <c r="KAC146" s="433"/>
      <c r="KAD146" s="433"/>
      <c r="KAE146" s="433"/>
      <c r="KAF146" s="433"/>
      <c r="KAG146" s="433"/>
      <c r="KAH146" s="433"/>
      <c r="KAI146" s="433"/>
      <c r="KAJ146" s="433"/>
      <c r="KAK146" s="433"/>
      <c r="KAL146" s="433"/>
      <c r="KAM146" s="433"/>
      <c r="KAN146" s="433"/>
      <c r="KAO146" s="433"/>
      <c r="KAP146" s="433"/>
      <c r="KAQ146" s="433"/>
      <c r="KAR146" s="433"/>
      <c r="KAS146" s="433"/>
      <c r="KAT146" s="433"/>
      <c r="KAU146" s="433"/>
      <c r="KAV146" s="433"/>
      <c r="KAW146" s="433"/>
      <c r="KAX146" s="433"/>
      <c r="KAY146" s="433"/>
      <c r="KAZ146" s="433"/>
      <c r="KBA146" s="433"/>
      <c r="KBB146" s="433"/>
      <c r="KBC146" s="433"/>
      <c r="KBD146" s="433"/>
      <c r="KBE146" s="433"/>
      <c r="KBF146" s="433"/>
      <c r="KBG146" s="433"/>
      <c r="KBH146" s="433"/>
      <c r="KBI146" s="433"/>
      <c r="KBJ146" s="433"/>
      <c r="KBK146" s="433"/>
      <c r="KBL146" s="433"/>
      <c r="KBM146" s="433"/>
      <c r="KBN146" s="433"/>
      <c r="KBO146" s="433"/>
      <c r="KBP146" s="433"/>
      <c r="KBQ146" s="433"/>
      <c r="KBR146" s="433"/>
      <c r="KBS146" s="433"/>
      <c r="KBT146" s="433"/>
      <c r="KBU146" s="433"/>
      <c r="KBV146" s="433"/>
      <c r="KBW146" s="433"/>
      <c r="KBX146" s="433"/>
      <c r="KBY146" s="433"/>
      <c r="KBZ146" s="433"/>
      <c r="KCA146" s="433"/>
      <c r="KCB146" s="433"/>
      <c r="KCC146" s="433"/>
      <c r="KCD146" s="433"/>
      <c r="KCE146" s="433"/>
      <c r="KCF146" s="433"/>
      <c r="KCG146" s="433"/>
      <c r="KCH146" s="433"/>
      <c r="KCI146" s="433"/>
      <c r="KCJ146" s="433"/>
      <c r="KCK146" s="433"/>
      <c r="KCL146" s="433"/>
      <c r="KCM146" s="433"/>
      <c r="KCN146" s="433"/>
      <c r="KCO146" s="433"/>
      <c r="KCP146" s="433"/>
      <c r="KCQ146" s="433"/>
      <c r="KCR146" s="433"/>
      <c r="KCS146" s="433"/>
      <c r="KCT146" s="433"/>
      <c r="KCU146" s="433"/>
      <c r="KCV146" s="433"/>
      <c r="KCW146" s="433"/>
      <c r="KCX146" s="433"/>
      <c r="KCY146" s="433"/>
      <c r="KCZ146" s="433"/>
      <c r="KDA146" s="433"/>
      <c r="KDB146" s="433"/>
      <c r="KDC146" s="433"/>
      <c r="KDD146" s="433"/>
      <c r="KDE146" s="433"/>
      <c r="KDF146" s="433"/>
      <c r="KDG146" s="433"/>
      <c r="KDH146" s="433"/>
      <c r="KDI146" s="433"/>
      <c r="KDJ146" s="433"/>
      <c r="KDK146" s="433"/>
      <c r="KDL146" s="433"/>
      <c r="KDM146" s="433"/>
      <c r="KDN146" s="433"/>
      <c r="KDO146" s="433"/>
      <c r="KDP146" s="433"/>
      <c r="KDQ146" s="433"/>
      <c r="KDR146" s="433"/>
      <c r="KDS146" s="433"/>
      <c r="KDT146" s="433"/>
      <c r="KDU146" s="433"/>
      <c r="KDV146" s="433"/>
      <c r="KDW146" s="433"/>
      <c r="KDX146" s="433"/>
      <c r="KDY146" s="433"/>
      <c r="KDZ146" s="433"/>
      <c r="KEA146" s="433"/>
      <c r="KEB146" s="433"/>
      <c r="KEC146" s="433"/>
      <c r="KED146" s="433"/>
      <c r="KEE146" s="433"/>
      <c r="KEF146" s="433"/>
      <c r="KEG146" s="433"/>
      <c r="KEH146" s="433"/>
      <c r="KEI146" s="433"/>
      <c r="KEJ146" s="433"/>
      <c r="KEK146" s="433"/>
      <c r="KEL146" s="433"/>
      <c r="KEM146" s="433"/>
      <c r="KEN146" s="433"/>
      <c r="KEO146" s="433"/>
      <c r="KEP146" s="433"/>
      <c r="KEQ146" s="433"/>
      <c r="KER146" s="433"/>
      <c r="KES146" s="433"/>
      <c r="KET146" s="433"/>
      <c r="KEU146" s="433"/>
      <c r="KEV146" s="433"/>
      <c r="KEW146" s="433"/>
      <c r="KEX146" s="433"/>
      <c r="KEY146" s="433"/>
      <c r="KEZ146" s="433"/>
      <c r="KFA146" s="433"/>
      <c r="KFB146" s="433"/>
      <c r="KFC146" s="433"/>
      <c r="KFD146" s="433"/>
      <c r="KFE146" s="433"/>
      <c r="KFF146" s="433"/>
      <c r="KFG146" s="433"/>
      <c r="KFH146" s="433"/>
      <c r="KFI146" s="433"/>
      <c r="KFJ146" s="433"/>
      <c r="KFK146" s="433"/>
      <c r="KFL146" s="433"/>
      <c r="KFM146" s="433"/>
      <c r="KFN146" s="433"/>
      <c r="KFO146" s="433"/>
      <c r="KFP146" s="433"/>
      <c r="KFQ146" s="433"/>
      <c r="KFR146" s="433"/>
      <c r="KFS146" s="433"/>
      <c r="KFT146" s="433"/>
      <c r="KFU146" s="433"/>
      <c r="KFV146" s="433"/>
      <c r="KFW146" s="433"/>
      <c r="KFX146" s="433"/>
      <c r="KFY146" s="433"/>
      <c r="KFZ146" s="433"/>
      <c r="KGA146" s="433"/>
      <c r="KGB146" s="433"/>
      <c r="KGC146" s="433"/>
      <c r="KGD146" s="433"/>
      <c r="KGE146" s="433"/>
      <c r="KGF146" s="433"/>
      <c r="KGG146" s="433"/>
      <c r="KGH146" s="433"/>
      <c r="KGI146" s="433"/>
      <c r="KGJ146" s="433"/>
      <c r="KGK146" s="433"/>
      <c r="KGL146" s="433"/>
      <c r="KGM146" s="433"/>
      <c r="KGN146" s="433"/>
      <c r="KGO146" s="433"/>
      <c r="KGP146" s="433"/>
      <c r="KGQ146" s="433"/>
      <c r="KGR146" s="433"/>
      <c r="KGS146" s="433"/>
      <c r="KGT146" s="433"/>
      <c r="KGU146" s="433"/>
      <c r="KGV146" s="433"/>
      <c r="KGW146" s="433"/>
      <c r="KGX146" s="433"/>
      <c r="KGY146" s="433"/>
      <c r="KGZ146" s="433"/>
      <c r="KHA146" s="433"/>
      <c r="KHB146" s="433"/>
      <c r="KHC146" s="433"/>
      <c r="KHD146" s="433"/>
      <c r="KHE146" s="433"/>
      <c r="KHF146" s="433"/>
      <c r="KHG146" s="433"/>
      <c r="KHH146" s="433"/>
      <c r="KHI146" s="433"/>
      <c r="KHJ146" s="433"/>
      <c r="KHK146" s="433"/>
      <c r="KHL146" s="433"/>
      <c r="KHM146" s="433"/>
      <c r="KHN146" s="433"/>
      <c r="KHO146" s="433"/>
      <c r="KHP146" s="433"/>
      <c r="KHQ146" s="433"/>
      <c r="KHR146" s="433"/>
      <c r="KHS146" s="433"/>
      <c r="KHT146" s="433"/>
      <c r="KHU146" s="433"/>
      <c r="KHV146" s="433"/>
      <c r="KHW146" s="433"/>
      <c r="KHX146" s="433"/>
      <c r="KHY146" s="433"/>
      <c r="KHZ146" s="433"/>
      <c r="KIA146" s="433"/>
      <c r="KIB146" s="433"/>
      <c r="KIC146" s="433"/>
      <c r="KID146" s="433"/>
      <c r="KIE146" s="433"/>
      <c r="KIF146" s="433"/>
      <c r="KIG146" s="433"/>
      <c r="KIH146" s="433"/>
      <c r="KII146" s="433"/>
      <c r="KIJ146" s="433"/>
      <c r="KIK146" s="433"/>
      <c r="KIL146" s="433"/>
      <c r="KIM146" s="433"/>
      <c r="KIN146" s="433"/>
      <c r="KIO146" s="433"/>
      <c r="KIP146" s="433"/>
      <c r="KIQ146" s="433"/>
      <c r="KIR146" s="433"/>
      <c r="KIS146" s="433"/>
      <c r="KIT146" s="433"/>
      <c r="KIU146" s="433"/>
      <c r="KIV146" s="433"/>
      <c r="KIW146" s="433"/>
      <c r="KIX146" s="433"/>
      <c r="KIY146" s="433"/>
      <c r="KIZ146" s="433"/>
      <c r="KJA146" s="433"/>
      <c r="KJB146" s="433"/>
      <c r="KJC146" s="433"/>
      <c r="KJD146" s="433"/>
      <c r="KJE146" s="433"/>
      <c r="KJF146" s="433"/>
      <c r="KJG146" s="433"/>
      <c r="KJH146" s="433"/>
      <c r="KJI146" s="433"/>
      <c r="KJJ146" s="433"/>
      <c r="KJK146" s="433"/>
      <c r="KJL146" s="433"/>
      <c r="KJM146" s="433"/>
      <c r="KJN146" s="433"/>
      <c r="KJO146" s="433"/>
      <c r="KJP146" s="433"/>
      <c r="KJQ146" s="433"/>
      <c r="KJR146" s="433"/>
      <c r="KJS146" s="433"/>
      <c r="KJT146" s="433"/>
      <c r="KJU146" s="433"/>
      <c r="KJV146" s="433"/>
      <c r="KJW146" s="433"/>
      <c r="KJX146" s="433"/>
      <c r="KJY146" s="433"/>
      <c r="KJZ146" s="433"/>
      <c r="KKA146" s="433"/>
      <c r="KKB146" s="433"/>
      <c r="KKC146" s="433"/>
      <c r="KKD146" s="433"/>
      <c r="KKE146" s="433"/>
      <c r="KKF146" s="433"/>
      <c r="KKG146" s="433"/>
      <c r="KKH146" s="433"/>
      <c r="KKI146" s="433"/>
      <c r="KKJ146" s="433"/>
      <c r="KKK146" s="433"/>
      <c r="KKL146" s="433"/>
      <c r="KKM146" s="433"/>
      <c r="KKN146" s="433"/>
      <c r="KKO146" s="433"/>
      <c r="KKP146" s="433"/>
      <c r="KKQ146" s="433"/>
      <c r="KKR146" s="433"/>
      <c r="KKS146" s="433"/>
      <c r="KKT146" s="433"/>
      <c r="KKU146" s="433"/>
      <c r="KKV146" s="433"/>
      <c r="KKW146" s="433"/>
      <c r="KKX146" s="433"/>
      <c r="KKY146" s="433"/>
      <c r="KKZ146" s="433"/>
      <c r="KLA146" s="433"/>
      <c r="KLB146" s="433"/>
      <c r="KLC146" s="433"/>
      <c r="KLD146" s="433"/>
      <c r="KLE146" s="433"/>
      <c r="KLF146" s="433"/>
      <c r="KLG146" s="433"/>
      <c r="KLH146" s="433"/>
      <c r="KLI146" s="433"/>
      <c r="KLJ146" s="433"/>
      <c r="KLK146" s="433"/>
      <c r="KLL146" s="433"/>
      <c r="KLM146" s="433"/>
      <c r="KLN146" s="433"/>
      <c r="KLO146" s="433"/>
      <c r="KLP146" s="433"/>
      <c r="KLQ146" s="433"/>
      <c r="KLR146" s="433"/>
      <c r="KLS146" s="433"/>
      <c r="KLT146" s="433"/>
      <c r="KLU146" s="433"/>
      <c r="KLV146" s="433"/>
      <c r="KLW146" s="433"/>
      <c r="KLX146" s="433"/>
      <c r="KLY146" s="433"/>
      <c r="KLZ146" s="433"/>
      <c r="KMA146" s="433"/>
      <c r="KMB146" s="433"/>
      <c r="KMC146" s="433"/>
      <c r="KMD146" s="433"/>
      <c r="KME146" s="433"/>
      <c r="KMF146" s="433"/>
      <c r="KMG146" s="433"/>
      <c r="KMH146" s="433"/>
      <c r="KMI146" s="433"/>
      <c r="KMJ146" s="433"/>
      <c r="KMK146" s="433"/>
      <c r="KML146" s="433"/>
      <c r="KMM146" s="433"/>
      <c r="KMN146" s="433"/>
      <c r="KMO146" s="433"/>
      <c r="KMP146" s="433"/>
      <c r="KMQ146" s="433"/>
      <c r="KMR146" s="433"/>
      <c r="KMS146" s="433"/>
      <c r="KMT146" s="433"/>
      <c r="KMU146" s="433"/>
      <c r="KMV146" s="433"/>
      <c r="KMW146" s="433"/>
      <c r="KMX146" s="433"/>
      <c r="KMY146" s="433"/>
      <c r="KMZ146" s="433"/>
      <c r="KNA146" s="433"/>
      <c r="KNB146" s="433"/>
      <c r="KNC146" s="433"/>
      <c r="KND146" s="433"/>
      <c r="KNE146" s="433"/>
      <c r="KNF146" s="433"/>
      <c r="KNG146" s="433"/>
      <c r="KNH146" s="433"/>
      <c r="KNI146" s="433"/>
      <c r="KNJ146" s="433"/>
      <c r="KNK146" s="433"/>
      <c r="KNL146" s="433"/>
      <c r="KNM146" s="433"/>
      <c r="KNN146" s="433"/>
      <c r="KNO146" s="433"/>
      <c r="KNP146" s="433"/>
      <c r="KNQ146" s="433"/>
      <c r="KNR146" s="433"/>
      <c r="KNS146" s="433"/>
      <c r="KNT146" s="433"/>
      <c r="KNU146" s="433"/>
      <c r="KNV146" s="433"/>
      <c r="KNW146" s="433"/>
      <c r="KNX146" s="433"/>
      <c r="KNY146" s="433"/>
      <c r="KNZ146" s="433"/>
      <c r="KOA146" s="433"/>
      <c r="KOB146" s="433"/>
      <c r="KOC146" s="433"/>
      <c r="KOD146" s="433"/>
      <c r="KOE146" s="433"/>
      <c r="KOF146" s="433"/>
      <c r="KOG146" s="433"/>
      <c r="KOH146" s="433"/>
      <c r="KOI146" s="433"/>
      <c r="KOJ146" s="433"/>
      <c r="KOK146" s="433"/>
      <c r="KOL146" s="433"/>
      <c r="KOM146" s="433"/>
      <c r="KON146" s="433"/>
      <c r="KOO146" s="433"/>
      <c r="KOP146" s="433"/>
      <c r="KOQ146" s="433"/>
      <c r="KOR146" s="433"/>
      <c r="KOS146" s="433"/>
      <c r="KOT146" s="433"/>
      <c r="KOU146" s="433"/>
      <c r="KOV146" s="433"/>
      <c r="KOW146" s="433"/>
      <c r="KOX146" s="433"/>
      <c r="KOY146" s="433"/>
      <c r="KOZ146" s="433"/>
      <c r="KPA146" s="433"/>
      <c r="KPB146" s="433"/>
      <c r="KPC146" s="433"/>
      <c r="KPD146" s="433"/>
      <c r="KPE146" s="433"/>
      <c r="KPF146" s="433"/>
      <c r="KPG146" s="433"/>
      <c r="KPH146" s="433"/>
      <c r="KPI146" s="433"/>
      <c r="KPJ146" s="433"/>
      <c r="KPK146" s="433"/>
      <c r="KPL146" s="433"/>
      <c r="KPM146" s="433"/>
      <c r="KPN146" s="433"/>
      <c r="KPO146" s="433"/>
      <c r="KPP146" s="433"/>
      <c r="KPQ146" s="433"/>
      <c r="KPR146" s="433"/>
      <c r="KPS146" s="433"/>
      <c r="KPT146" s="433"/>
      <c r="KPU146" s="433"/>
      <c r="KPV146" s="433"/>
      <c r="KPW146" s="433"/>
      <c r="KPX146" s="433"/>
      <c r="KPY146" s="433"/>
      <c r="KPZ146" s="433"/>
      <c r="KQA146" s="433"/>
      <c r="KQB146" s="433"/>
      <c r="KQC146" s="433"/>
      <c r="KQD146" s="433"/>
      <c r="KQE146" s="433"/>
      <c r="KQF146" s="433"/>
      <c r="KQG146" s="433"/>
      <c r="KQH146" s="433"/>
      <c r="KQI146" s="433"/>
      <c r="KQJ146" s="433"/>
      <c r="KQK146" s="433"/>
      <c r="KQL146" s="433"/>
      <c r="KQM146" s="433"/>
      <c r="KQN146" s="433"/>
      <c r="KQO146" s="433"/>
      <c r="KQP146" s="433"/>
      <c r="KQQ146" s="433"/>
      <c r="KQR146" s="433"/>
      <c r="KQS146" s="433"/>
      <c r="KQT146" s="433"/>
      <c r="KQU146" s="433"/>
      <c r="KQV146" s="433"/>
      <c r="KQW146" s="433"/>
      <c r="KQX146" s="433"/>
      <c r="KQY146" s="433"/>
      <c r="KQZ146" s="433"/>
      <c r="KRA146" s="433"/>
      <c r="KRB146" s="433"/>
      <c r="KRC146" s="433"/>
      <c r="KRD146" s="433"/>
      <c r="KRE146" s="433"/>
      <c r="KRF146" s="433"/>
      <c r="KRG146" s="433"/>
      <c r="KRH146" s="433"/>
      <c r="KRI146" s="433"/>
      <c r="KRJ146" s="433"/>
      <c r="KRK146" s="433"/>
      <c r="KRL146" s="433"/>
      <c r="KRM146" s="433"/>
      <c r="KRN146" s="433"/>
      <c r="KRO146" s="433"/>
      <c r="KRP146" s="433"/>
      <c r="KRQ146" s="433"/>
      <c r="KRR146" s="433"/>
      <c r="KRS146" s="433"/>
      <c r="KRT146" s="433"/>
      <c r="KRU146" s="433"/>
      <c r="KRV146" s="433"/>
      <c r="KRW146" s="433"/>
      <c r="KRX146" s="433"/>
      <c r="KRY146" s="433"/>
      <c r="KRZ146" s="433"/>
      <c r="KSA146" s="433"/>
      <c r="KSB146" s="433"/>
      <c r="KSC146" s="433"/>
      <c r="KSD146" s="433"/>
      <c r="KSE146" s="433"/>
      <c r="KSF146" s="433"/>
      <c r="KSG146" s="433"/>
      <c r="KSH146" s="433"/>
      <c r="KSI146" s="433"/>
      <c r="KSJ146" s="433"/>
      <c r="KSK146" s="433"/>
      <c r="KSL146" s="433"/>
      <c r="KSM146" s="433"/>
      <c r="KSN146" s="433"/>
      <c r="KSO146" s="433"/>
      <c r="KSP146" s="433"/>
      <c r="KSQ146" s="433"/>
      <c r="KSR146" s="433"/>
      <c r="KSS146" s="433"/>
      <c r="KST146" s="433"/>
      <c r="KSU146" s="433"/>
      <c r="KSV146" s="433"/>
      <c r="KSW146" s="433"/>
      <c r="KSX146" s="433"/>
      <c r="KSY146" s="433"/>
      <c r="KSZ146" s="433"/>
      <c r="KTA146" s="433"/>
      <c r="KTB146" s="433"/>
      <c r="KTC146" s="433"/>
      <c r="KTD146" s="433"/>
      <c r="KTE146" s="433"/>
      <c r="KTF146" s="433"/>
      <c r="KTG146" s="433"/>
      <c r="KTH146" s="433"/>
      <c r="KTI146" s="433"/>
      <c r="KTJ146" s="433"/>
      <c r="KTK146" s="433"/>
      <c r="KTL146" s="433"/>
      <c r="KTM146" s="433"/>
      <c r="KTN146" s="433"/>
      <c r="KTO146" s="433"/>
      <c r="KTP146" s="433"/>
      <c r="KTQ146" s="433"/>
      <c r="KTR146" s="433"/>
      <c r="KTS146" s="433"/>
      <c r="KTT146" s="433"/>
      <c r="KTU146" s="433"/>
      <c r="KTV146" s="433"/>
      <c r="KTW146" s="433"/>
      <c r="KTX146" s="433"/>
      <c r="KTY146" s="433"/>
      <c r="KTZ146" s="433"/>
      <c r="KUA146" s="433"/>
      <c r="KUB146" s="433"/>
      <c r="KUC146" s="433"/>
      <c r="KUD146" s="433"/>
      <c r="KUE146" s="433"/>
      <c r="KUF146" s="433"/>
      <c r="KUG146" s="433"/>
      <c r="KUH146" s="433"/>
      <c r="KUI146" s="433"/>
      <c r="KUJ146" s="433"/>
      <c r="KUK146" s="433"/>
      <c r="KUL146" s="433"/>
      <c r="KUM146" s="433"/>
      <c r="KUN146" s="433"/>
      <c r="KUO146" s="433"/>
      <c r="KUP146" s="433"/>
      <c r="KUQ146" s="433"/>
      <c r="KUR146" s="433"/>
      <c r="KUS146" s="433"/>
      <c r="KUT146" s="433"/>
      <c r="KUU146" s="433"/>
      <c r="KUV146" s="433"/>
      <c r="KUW146" s="433"/>
      <c r="KUX146" s="433"/>
      <c r="KUY146" s="433"/>
      <c r="KUZ146" s="433"/>
      <c r="KVA146" s="433"/>
      <c r="KVB146" s="433"/>
      <c r="KVC146" s="433"/>
      <c r="KVD146" s="433"/>
      <c r="KVE146" s="433"/>
      <c r="KVF146" s="433"/>
      <c r="KVG146" s="433"/>
      <c r="KVH146" s="433"/>
      <c r="KVI146" s="433"/>
      <c r="KVJ146" s="433"/>
      <c r="KVK146" s="433"/>
      <c r="KVL146" s="433"/>
      <c r="KVM146" s="433"/>
      <c r="KVN146" s="433"/>
      <c r="KVO146" s="433"/>
      <c r="KVP146" s="433"/>
      <c r="KVQ146" s="433"/>
      <c r="KVR146" s="433"/>
      <c r="KVS146" s="433"/>
      <c r="KVT146" s="433"/>
      <c r="KVU146" s="433"/>
      <c r="KVV146" s="433"/>
      <c r="KVW146" s="433"/>
      <c r="KVX146" s="433"/>
      <c r="KVY146" s="433"/>
      <c r="KVZ146" s="433"/>
      <c r="KWA146" s="433"/>
      <c r="KWB146" s="433"/>
      <c r="KWC146" s="433"/>
      <c r="KWD146" s="433"/>
      <c r="KWE146" s="433"/>
      <c r="KWF146" s="433"/>
      <c r="KWG146" s="433"/>
      <c r="KWH146" s="433"/>
      <c r="KWI146" s="433"/>
      <c r="KWJ146" s="433"/>
      <c r="KWK146" s="433"/>
      <c r="KWL146" s="433"/>
      <c r="KWM146" s="433"/>
      <c r="KWN146" s="433"/>
      <c r="KWO146" s="433"/>
      <c r="KWP146" s="433"/>
      <c r="KWQ146" s="433"/>
      <c r="KWR146" s="433"/>
      <c r="KWS146" s="433"/>
      <c r="KWT146" s="433"/>
      <c r="KWU146" s="433"/>
      <c r="KWV146" s="433"/>
      <c r="KWW146" s="433"/>
      <c r="KWX146" s="433"/>
      <c r="KWY146" s="433"/>
      <c r="KWZ146" s="433"/>
      <c r="KXA146" s="433"/>
      <c r="KXB146" s="433"/>
      <c r="KXC146" s="433"/>
      <c r="KXD146" s="433"/>
      <c r="KXE146" s="433"/>
      <c r="KXF146" s="433"/>
      <c r="KXG146" s="433"/>
      <c r="KXH146" s="433"/>
      <c r="KXI146" s="433"/>
      <c r="KXJ146" s="433"/>
      <c r="KXK146" s="433"/>
      <c r="KXL146" s="433"/>
      <c r="KXM146" s="433"/>
      <c r="KXN146" s="433"/>
      <c r="KXO146" s="433"/>
      <c r="KXP146" s="433"/>
      <c r="KXQ146" s="433"/>
      <c r="KXR146" s="433"/>
      <c r="KXS146" s="433"/>
      <c r="KXT146" s="433"/>
      <c r="KXU146" s="433"/>
      <c r="KXV146" s="433"/>
      <c r="KXW146" s="433"/>
      <c r="KXX146" s="433"/>
      <c r="KXY146" s="433"/>
      <c r="KXZ146" s="433"/>
      <c r="KYA146" s="433"/>
      <c r="KYB146" s="433"/>
      <c r="KYC146" s="433"/>
      <c r="KYD146" s="433"/>
      <c r="KYE146" s="433"/>
      <c r="KYF146" s="433"/>
      <c r="KYG146" s="433"/>
      <c r="KYH146" s="433"/>
      <c r="KYI146" s="433"/>
      <c r="KYJ146" s="433"/>
      <c r="KYK146" s="433"/>
      <c r="KYL146" s="433"/>
      <c r="KYM146" s="433"/>
      <c r="KYN146" s="433"/>
      <c r="KYO146" s="433"/>
      <c r="KYP146" s="433"/>
      <c r="KYQ146" s="433"/>
      <c r="KYR146" s="433"/>
      <c r="KYS146" s="433"/>
      <c r="KYT146" s="433"/>
      <c r="KYU146" s="433"/>
      <c r="KYV146" s="433"/>
      <c r="KYW146" s="433"/>
      <c r="KYX146" s="433"/>
      <c r="KYY146" s="433"/>
      <c r="KYZ146" s="433"/>
      <c r="KZA146" s="433"/>
      <c r="KZB146" s="433"/>
      <c r="KZC146" s="433"/>
      <c r="KZD146" s="433"/>
      <c r="KZE146" s="433"/>
      <c r="KZF146" s="433"/>
      <c r="KZG146" s="433"/>
      <c r="KZH146" s="433"/>
      <c r="KZI146" s="433"/>
      <c r="KZJ146" s="433"/>
      <c r="KZK146" s="433"/>
      <c r="KZL146" s="433"/>
      <c r="KZM146" s="433"/>
      <c r="KZN146" s="433"/>
      <c r="KZO146" s="433"/>
      <c r="KZP146" s="433"/>
      <c r="KZQ146" s="433"/>
      <c r="KZR146" s="433"/>
      <c r="KZS146" s="433"/>
      <c r="KZT146" s="433"/>
      <c r="KZU146" s="433"/>
      <c r="KZV146" s="433"/>
      <c r="KZW146" s="433"/>
      <c r="KZX146" s="433"/>
      <c r="KZY146" s="433"/>
      <c r="KZZ146" s="433"/>
      <c r="LAA146" s="433"/>
      <c r="LAB146" s="433"/>
      <c r="LAC146" s="433"/>
      <c r="LAD146" s="433"/>
      <c r="LAE146" s="433"/>
      <c r="LAF146" s="433"/>
      <c r="LAG146" s="433"/>
      <c r="LAH146" s="433"/>
      <c r="LAI146" s="433"/>
      <c r="LAJ146" s="433"/>
      <c r="LAK146" s="433"/>
      <c r="LAL146" s="433"/>
      <c r="LAM146" s="433"/>
      <c r="LAN146" s="433"/>
      <c r="LAO146" s="433"/>
      <c r="LAP146" s="433"/>
      <c r="LAQ146" s="433"/>
      <c r="LAR146" s="433"/>
      <c r="LAS146" s="433"/>
      <c r="LAT146" s="433"/>
      <c r="LAU146" s="433"/>
      <c r="LAV146" s="433"/>
      <c r="LAW146" s="433"/>
      <c r="LAX146" s="433"/>
      <c r="LAY146" s="433"/>
      <c r="LAZ146" s="433"/>
      <c r="LBA146" s="433"/>
      <c r="LBB146" s="433"/>
      <c r="LBC146" s="433"/>
      <c r="LBD146" s="433"/>
      <c r="LBE146" s="433"/>
      <c r="LBF146" s="433"/>
      <c r="LBG146" s="433"/>
      <c r="LBH146" s="433"/>
      <c r="LBI146" s="433"/>
      <c r="LBJ146" s="433"/>
      <c r="LBK146" s="433"/>
      <c r="LBL146" s="433"/>
      <c r="LBM146" s="433"/>
      <c r="LBN146" s="433"/>
      <c r="LBO146" s="433"/>
      <c r="LBP146" s="433"/>
      <c r="LBQ146" s="433"/>
      <c r="LBR146" s="433"/>
      <c r="LBS146" s="433"/>
      <c r="LBT146" s="433"/>
      <c r="LBU146" s="433"/>
      <c r="LBV146" s="433"/>
      <c r="LBW146" s="433"/>
      <c r="LBX146" s="433"/>
      <c r="LBY146" s="433"/>
      <c r="LBZ146" s="433"/>
      <c r="LCA146" s="433"/>
      <c r="LCB146" s="433"/>
      <c r="LCC146" s="433"/>
      <c r="LCD146" s="433"/>
      <c r="LCE146" s="433"/>
      <c r="LCF146" s="433"/>
      <c r="LCG146" s="433"/>
      <c r="LCH146" s="433"/>
      <c r="LCI146" s="433"/>
      <c r="LCJ146" s="433"/>
      <c r="LCK146" s="433"/>
      <c r="LCL146" s="433"/>
      <c r="LCM146" s="433"/>
      <c r="LCN146" s="433"/>
      <c r="LCO146" s="433"/>
      <c r="LCP146" s="433"/>
      <c r="LCQ146" s="433"/>
      <c r="LCR146" s="433"/>
      <c r="LCS146" s="433"/>
      <c r="LCT146" s="433"/>
      <c r="LCU146" s="433"/>
      <c r="LCV146" s="433"/>
      <c r="LCW146" s="433"/>
      <c r="LCX146" s="433"/>
      <c r="LCY146" s="433"/>
      <c r="LCZ146" s="433"/>
      <c r="LDA146" s="433"/>
      <c r="LDB146" s="433"/>
      <c r="LDC146" s="433"/>
      <c r="LDD146" s="433"/>
      <c r="LDE146" s="433"/>
      <c r="LDF146" s="433"/>
      <c r="LDG146" s="433"/>
      <c r="LDH146" s="433"/>
      <c r="LDI146" s="433"/>
      <c r="LDJ146" s="433"/>
      <c r="LDK146" s="433"/>
      <c r="LDL146" s="433"/>
      <c r="LDM146" s="433"/>
      <c r="LDN146" s="433"/>
      <c r="LDO146" s="433"/>
      <c r="LDP146" s="433"/>
      <c r="LDQ146" s="433"/>
      <c r="LDR146" s="433"/>
      <c r="LDS146" s="433"/>
      <c r="LDT146" s="433"/>
      <c r="LDU146" s="433"/>
      <c r="LDV146" s="433"/>
      <c r="LDW146" s="433"/>
      <c r="LDX146" s="433"/>
      <c r="LDY146" s="433"/>
      <c r="LDZ146" s="433"/>
      <c r="LEA146" s="433"/>
      <c r="LEB146" s="433"/>
      <c r="LEC146" s="433"/>
      <c r="LED146" s="433"/>
      <c r="LEE146" s="433"/>
      <c r="LEF146" s="433"/>
      <c r="LEG146" s="433"/>
      <c r="LEH146" s="433"/>
      <c r="LEI146" s="433"/>
      <c r="LEJ146" s="433"/>
      <c r="LEK146" s="433"/>
      <c r="LEL146" s="433"/>
      <c r="LEM146" s="433"/>
      <c r="LEN146" s="433"/>
      <c r="LEO146" s="433"/>
      <c r="LEP146" s="433"/>
      <c r="LEQ146" s="433"/>
      <c r="LER146" s="433"/>
      <c r="LES146" s="433"/>
      <c r="LET146" s="433"/>
      <c r="LEU146" s="433"/>
      <c r="LEV146" s="433"/>
      <c r="LEW146" s="433"/>
      <c r="LEX146" s="433"/>
      <c r="LEY146" s="433"/>
      <c r="LEZ146" s="433"/>
      <c r="LFA146" s="433"/>
      <c r="LFB146" s="433"/>
      <c r="LFC146" s="433"/>
      <c r="LFD146" s="433"/>
      <c r="LFE146" s="433"/>
      <c r="LFF146" s="433"/>
      <c r="LFG146" s="433"/>
      <c r="LFH146" s="433"/>
      <c r="LFI146" s="433"/>
      <c r="LFJ146" s="433"/>
      <c r="LFK146" s="433"/>
      <c r="LFL146" s="433"/>
      <c r="LFM146" s="433"/>
      <c r="LFN146" s="433"/>
      <c r="LFO146" s="433"/>
      <c r="LFP146" s="433"/>
      <c r="LFQ146" s="433"/>
      <c r="LFR146" s="433"/>
      <c r="LFS146" s="433"/>
      <c r="LFT146" s="433"/>
      <c r="LFU146" s="433"/>
      <c r="LFV146" s="433"/>
      <c r="LFW146" s="433"/>
      <c r="LFX146" s="433"/>
      <c r="LFY146" s="433"/>
      <c r="LFZ146" s="433"/>
      <c r="LGA146" s="433"/>
      <c r="LGB146" s="433"/>
      <c r="LGC146" s="433"/>
      <c r="LGD146" s="433"/>
      <c r="LGE146" s="433"/>
      <c r="LGF146" s="433"/>
      <c r="LGG146" s="433"/>
      <c r="LGH146" s="433"/>
      <c r="LGI146" s="433"/>
      <c r="LGJ146" s="433"/>
      <c r="LGK146" s="433"/>
      <c r="LGL146" s="433"/>
      <c r="LGM146" s="433"/>
      <c r="LGN146" s="433"/>
      <c r="LGO146" s="433"/>
      <c r="LGP146" s="433"/>
      <c r="LGQ146" s="433"/>
      <c r="LGR146" s="433"/>
      <c r="LGS146" s="433"/>
      <c r="LGT146" s="433"/>
      <c r="LGU146" s="433"/>
      <c r="LGV146" s="433"/>
      <c r="LGW146" s="433"/>
      <c r="LGX146" s="433"/>
      <c r="LGY146" s="433"/>
      <c r="LGZ146" s="433"/>
      <c r="LHA146" s="433"/>
      <c r="LHB146" s="433"/>
      <c r="LHC146" s="433"/>
      <c r="LHD146" s="433"/>
      <c r="LHE146" s="433"/>
      <c r="LHF146" s="433"/>
      <c r="LHG146" s="433"/>
      <c r="LHH146" s="433"/>
      <c r="LHI146" s="433"/>
      <c r="LHJ146" s="433"/>
      <c r="LHK146" s="433"/>
      <c r="LHL146" s="433"/>
      <c r="LHM146" s="433"/>
      <c r="LHN146" s="433"/>
      <c r="LHO146" s="433"/>
      <c r="LHP146" s="433"/>
      <c r="LHQ146" s="433"/>
      <c r="LHR146" s="433"/>
      <c r="LHS146" s="433"/>
      <c r="LHT146" s="433"/>
      <c r="LHU146" s="433"/>
      <c r="LHV146" s="433"/>
      <c r="LHW146" s="433"/>
      <c r="LHX146" s="433"/>
      <c r="LHY146" s="433"/>
      <c r="LHZ146" s="433"/>
      <c r="LIA146" s="433"/>
      <c r="LIB146" s="433"/>
      <c r="LIC146" s="433"/>
      <c r="LID146" s="433"/>
      <c r="LIE146" s="433"/>
      <c r="LIF146" s="433"/>
      <c r="LIG146" s="433"/>
      <c r="LIH146" s="433"/>
      <c r="LII146" s="433"/>
      <c r="LIJ146" s="433"/>
      <c r="LIK146" s="433"/>
      <c r="LIL146" s="433"/>
      <c r="LIM146" s="433"/>
      <c r="LIN146" s="433"/>
      <c r="LIO146" s="433"/>
      <c r="LIP146" s="433"/>
      <c r="LIQ146" s="433"/>
      <c r="LIR146" s="433"/>
      <c r="LIS146" s="433"/>
      <c r="LIT146" s="433"/>
      <c r="LIU146" s="433"/>
      <c r="LIV146" s="433"/>
      <c r="LIW146" s="433"/>
      <c r="LIX146" s="433"/>
      <c r="LIY146" s="433"/>
      <c r="LIZ146" s="433"/>
      <c r="LJA146" s="433"/>
      <c r="LJB146" s="433"/>
      <c r="LJC146" s="433"/>
      <c r="LJD146" s="433"/>
      <c r="LJE146" s="433"/>
      <c r="LJF146" s="433"/>
      <c r="LJG146" s="433"/>
      <c r="LJH146" s="433"/>
      <c r="LJI146" s="433"/>
      <c r="LJJ146" s="433"/>
      <c r="LJK146" s="433"/>
      <c r="LJL146" s="433"/>
      <c r="LJM146" s="433"/>
      <c r="LJN146" s="433"/>
      <c r="LJO146" s="433"/>
      <c r="LJP146" s="433"/>
      <c r="LJQ146" s="433"/>
      <c r="LJR146" s="433"/>
      <c r="LJS146" s="433"/>
      <c r="LJT146" s="433"/>
      <c r="LJU146" s="433"/>
      <c r="LJV146" s="433"/>
      <c r="LJW146" s="433"/>
      <c r="LJX146" s="433"/>
      <c r="LJY146" s="433"/>
      <c r="LJZ146" s="433"/>
      <c r="LKA146" s="433"/>
      <c r="LKB146" s="433"/>
      <c r="LKC146" s="433"/>
      <c r="LKD146" s="433"/>
      <c r="LKE146" s="433"/>
      <c r="LKF146" s="433"/>
      <c r="LKG146" s="433"/>
      <c r="LKH146" s="433"/>
      <c r="LKI146" s="433"/>
      <c r="LKJ146" s="433"/>
      <c r="LKK146" s="433"/>
      <c r="LKL146" s="433"/>
      <c r="LKM146" s="433"/>
      <c r="LKN146" s="433"/>
      <c r="LKO146" s="433"/>
      <c r="LKP146" s="433"/>
      <c r="LKQ146" s="433"/>
      <c r="LKR146" s="433"/>
      <c r="LKS146" s="433"/>
      <c r="LKT146" s="433"/>
      <c r="LKU146" s="433"/>
      <c r="LKV146" s="433"/>
      <c r="LKW146" s="433"/>
      <c r="LKX146" s="433"/>
      <c r="LKY146" s="433"/>
      <c r="LKZ146" s="433"/>
      <c r="LLA146" s="433"/>
      <c r="LLB146" s="433"/>
      <c r="LLC146" s="433"/>
      <c r="LLD146" s="433"/>
      <c r="LLE146" s="433"/>
      <c r="LLF146" s="433"/>
      <c r="LLG146" s="433"/>
      <c r="LLH146" s="433"/>
      <c r="LLI146" s="433"/>
      <c r="LLJ146" s="433"/>
      <c r="LLK146" s="433"/>
      <c r="LLL146" s="433"/>
      <c r="LLM146" s="433"/>
      <c r="LLN146" s="433"/>
      <c r="LLO146" s="433"/>
      <c r="LLP146" s="433"/>
      <c r="LLQ146" s="433"/>
      <c r="LLR146" s="433"/>
      <c r="LLS146" s="433"/>
      <c r="LLT146" s="433"/>
      <c r="LLU146" s="433"/>
      <c r="LLV146" s="433"/>
      <c r="LLW146" s="433"/>
      <c r="LLX146" s="433"/>
      <c r="LLY146" s="433"/>
      <c r="LLZ146" s="433"/>
      <c r="LMA146" s="433"/>
      <c r="LMB146" s="433"/>
      <c r="LMC146" s="433"/>
      <c r="LMD146" s="433"/>
      <c r="LME146" s="433"/>
      <c r="LMF146" s="433"/>
      <c r="LMG146" s="433"/>
      <c r="LMH146" s="433"/>
      <c r="LMI146" s="433"/>
      <c r="LMJ146" s="433"/>
      <c r="LMK146" s="433"/>
      <c r="LML146" s="433"/>
      <c r="LMM146" s="433"/>
      <c r="LMN146" s="433"/>
      <c r="LMO146" s="433"/>
      <c r="LMP146" s="433"/>
      <c r="LMQ146" s="433"/>
      <c r="LMR146" s="433"/>
      <c r="LMS146" s="433"/>
      <c r="LMT146" s="433"/>
      <c r="LMU146" s="433"/>
      <c r="LMV146" s="433"/>
      <c r="LMW146" s="433"/>
      <c r="LMX146" s="433"/>
      <c r="LMY146" s="433"/>
      <c r="LMZ146" s="433"/>
      <c r="LNA146" s="433"/>
      <c r="LNB146" s="433"/>
      <c r="LNC146" s="433"/>
      <c r="LND146" s="433"/>
      <c r="LNE146" s="433"/>
      <c r="LNF146" s="433"/>
      <c r="LNG146" s="433"/>
      <c r="LNH146" s="433"/>
      <c r="LNI146" s="433"/>
      <c r="LNJ146" s="433"/>
      <c r="LNK146" s="433"/>
      <c r="LNL146" s="433"/>
      <c r="LNM146" s="433"/>
      <c r="LNN146" s="433"/>
      <c r="LNO146" s="433"/>
      <c r="LNP146" s="433"/>
      <c r="LNQ146" s="433"/>
      <c r="LNR146" s="433"/>
      <c r="LNS146" s="433"/>
      <c r="LNT146" s="433"/>
      <c r="LNU146" s="433"/>
      <c r="LNV146" s="433"/>
      <c r="LNW146" s="433"/>
      <c r="LNX146" s="433"/>
      <c r="LNY146" s="433"/>
      <c r="LNZ146" s="433"/>
      <c r="LOA146" s="433"/>
      <c r="LOB146" s="433"/>
      <c r="LOC146" s="433"/>
      <c r="LOD146" s="433"/>
      <c r="LOE146" s="433"/>
      <c r="LOF146" s="433"/>
      <c r="LOG146" s="433"/>
      <c r="LOH146" s="433"/>
      <c r="LOI146" s="433"/>
      <c r="LOJ146" s="433"/>
      <c r="LOK146" s="433"/>
      <c r="LOL146" s="433"/>
      <c r="LOM146" s="433"/>
      <c r="LON146" s="433"/>
      <c r="LOO146" s="433"/>
      <c r="LOP146" s="433"/>
      <c r="LOQ146" s="433"/>
      <c r="LOR146" s="433"/>
      <c r="LOS146" s="433"/>
      <c r="LOT146" s="433"/>
      <c r="LOU146" s="433"/>
      <c r="LOV146" s="433"/>
      <c r="LOW146" s="433"/>
      <c r="LOX146" s="433"/>
      <c r="LOY146" s="433"/>
      <c r="LOZ146" s="433"/>
      <c r="LPA146" s="433"/>
      <c r="LPB146" s="433"/>
      <c r="LPC146" s="433"/>
      <c r="LPD146" s="433"/>
      <c r="LPE146" s="433"/>
      <c r="LPF146" s="433"/>
      <c r="LPG146" s="433"/>
      <c r="LPH146" s="433"/>
      <c r="LPI146" s="433"/>
      <c r="LPJ146" s="433"/>
      <c r="LPK146" s="433"/>
      <c r="LPL146" s="433"/>
      <c r="LPM146" s="433"/>
      <c r="LPN146" s="433"/>
      <c r="LPO146" s="433"/>
      <c r="LPP146" s="433"/>
      <c r="LPQ146" s="433"/>
      <c r="LPR146" s="433"/>
      <c r="LPS146" s="433"/>
      <c r="LPT146" s="433"/>
      <c r="LPU146" s="433"/>
      <c r="LPV146" s="433"/>
      <c r="LPW146" s="433"/>
      <c r="LPX146" s="433"/>
      <c r="LPY146" s="433"/>
      <c r="LPZ146" s="433"/>
      <c r="LQA146" s="433"/>
      <c r="LQB146" s="433"/>
      <c r="LQC146" s="433"/>
      <c r="LQD146" s="433"/>
      <c r="LQE146" s="433"/>
      <c r="LQF146" s="433"/>
      <c r="LQG146" s="433"/>
      <c r="LQH146" s="433"/>
      <c r="LQI146" s="433"/>
      <c r="LQJ146" s="433"/>
      <c r="LQK146" s="433"/>
      <c r="LQL146" s="433"/>
      <c r="LQM146" s="433"/>
      <c r="LQN146" s="433"/>
      <c r="LQO146" s="433"/>
      <c r="LQP146" s="433"/>
      <c r="LQQ146" s="433"/>
      <c r="LQR146" s="433"/>
      <c r="LQS146" s="433"/>
      <c r="LQT146" s="433"/>
      <c r="LQU146" s="433"/>
      <c r="LQV146" s="433"/>
      <c r="LQW146" s="433"/>
      <c r="LQX146" s="433"/>
      <c r="LQY146" s="433"/>
      <c r="LQZ146" s="433"/>
      <c r="LRA146" s="433"/>
      <c r="LRB146" s="433"/>
      <c r="LRC146" s="433"/>
      <c r="LRD146" s="433"/>
      <c r="LRE146" s="433"/>
      <c r="LRF146" s="433"/>
      <c r="LRG146" s="433"/>
      <c r="LRH146" s="433"/>
      <c r="LRI146" s="433"/>
      <c r="LRJ146" s="433"/>
      <c r="LRK146" s="433"/>
      <c r="LRL146" s="433"/>
      <c r="LRM146" s="433"/>
      <c r="LRN146" s="433"/>
      <c r="LRO146" s="433"/>
      <c r="LRP146" s="433"/>
      <c r="LRQ146" s="433"/>
      <c r="LRR146" s="433"/>
      <c r="LRS146" s="433"/>
      <c r="LRT146" s="433"/>
      <c r="LRU146" s="433"/>
      <c r="LRV146" s="433"/>
      <c r="LRW146" s="433"/>
      <c r="LRX146" s="433"/>
      <c r="LRY146" s="433"/>
      <c r="LRZ146" s="433"/>
      <c r="LSA146" s="433"/>
      <c r="LSB146" s="433"/>
      <c r="LSC146" s="433"/>
      <c r="LSD146" s="433"/>
      <c r="LSE146" s="433"/>
      <c r="LSF146" s="433"/>
      <c r="LSG146" s="433"/>
      <c r="LSH146" s="433"/>
      <c r="LSI146" s="433"/>
      <c r="LSJ146" s="433"/>
      <c r="LSK146" s="433"/>
      <c r="LSL146" s="433"/>
      <c r="LSM146" s="433"/>
      <c r="LSN146" s="433"/>
      <c r="LSO146" s="433"/>
      <c r="LSP146" s="433"/>
      <c r="LSQ146" s="433"/>
      <c r="LSR146" s="433"/>
      <c r="LSS146" s="433"/>
      <c r="LST146" s="433"/>
      <c r="LSU146" s="433"/>
      <c r="LSV146" s="433"/>
      <c r="LSW146" s="433"/>
      <c r="LSX146" s="433"/>
      <c r="LSY146" s="433"/>
      <c r="LSZ146" s="433"/>
      <c r="LTA146" s="433"/>
      <c r="LTB146" s="433"/>
      <c r="LTC146" s="433"/>
      <c r="LTD146" s="433"/>
      <c r="LTE146" s="433"/>
      <c r="LTF146" s="433"/>
      <c r="LTG146" s="433"/>
      <c r="LTH146" s="433"/>
      <c r="LTI146" s="433"/>
      <c r="LTJ146" s="433"/>
      <c r="LTK146" s="433"/>
      <c r="LTL146" s="433"/>
      <c r="LTM146" s="433"/>
      <c r="LTN146" s="433"/>
      <c r="LTO146" s="433"/>
      <c r="LTP146" s="433"/>
      <c r="LTQ146" s="433"/>
      <c r="LTR146" s="433"/>
      <c r="LTS146" s="433"/>
      <c r="LTT146" s="433"/>
      <c r="LTU146" s="433"/>
      <c r="LTV146" s="433"/>
      <c r="LTW146" s="433"/>
      <c r="LTX146" s="433"/>
      <c r="LTY146" s="433"/>
      <c r="LTZ146" s="433"/>
      <c r="LUA146" s="433"/>
      <c r="LUB146" s="433"/>
      <c r="LUC146" s="433"/>
      <c r="LUD146" s="433"/>
      <c r="LUE146" s="433"/>
      <c r="LUF146" s="433"/>
      <c r="LUG146" s="433"/>
      <c r="LUH146" s="433"/>
      <c r="LUI146" s="433"/>
      <c r="LUJ146" s="433"/>
      <c r="LUK146" s="433"/>
      <c r="LUL146" s="433"/>
      <c r="LUM146" s="433"/>
      <c r="LUN146" s="433"/>
      <c r="LUO146" s="433"/>
      <c r="LUP146" s="433"/>
      <c r="LUQ146" s="433"/>
      <c r="LUR146" s="433"/>
      <c r="LUS146" s="433"/>
      <c r="LUT146" s="433"/>
      <c r="LUU146" s="433"/>
      <c r="LUV146" s="433"/>
      <c r="LUW146" s="433"/>
      <c r="LUX146" s="433"/>
      <c r="LUY146" s="433"/>
      <c r="LUZ146" s="433"/>
      <c r="LVA146" s="433"/>
      <c r="LVB146" s="433"/>
      <c r="LVC146" s="433"/>
      <c r="LVD146" s="433"/>
      <c r="LVE146" s="433"/>
      <c r="LVF146" s="433"/>
      <c r="LVG146" s="433"/>
      <c r="LVH146" s="433"/>
      <c r="LVI146" s="433"/>
      <c r="LVJ146" s="433"/>
      <c r="LVK146" s="433"/>
      <c r="LVL146" s="433"/>
      <c r="LVM146" s="433"/>
      <c r="LVN146" s="433"/>
      <c r="LVO146" s="433"/>
      <c r="LVP146" s="433"/>
      <c r="LVQ146" s="433"/>
      <c r="LVR146" s="433"/>
      <c r="LVS146" s="433"/>
      <c r="LVT146" s="433"/>
      <c r="LVU146" s="433"/>
      <c r="LVV146" s="433"/>
      <c r="LVW146" s="433"/>
      <c r="LVX146" s="433"/>
      <c r="LVY146" s="433"/>
      <c r="LVZ146" s="433"/>
      <c r="LWA146" s="433"/>
      <c r="LWB146" s="433"/>
      <c r="LWC146" s="433"/>
      <c r="LWD146" s="433"/>
      <c r="LWE146" s="433"/>
      <c r="LWF146" s="433"/>
      <c r="LWG146" s="433"/>
      <c r="LWH146" s="433"/>
      <c r="LWI146" s="433"/>
      <c r="LWJ146" s="433"/>
      <c r="LWK146" s="433"/>
      <c r="LWL146" s="433"/>
      <c r="LWM146" s="433"/>
      <c r="LWN146" s="433"/>
      <c r="LWO146" s="433"/>
      <c r="LWP146" s="433"/>
      <c r="LWQ146" s="433"/>
      <c r="LWR146" s="433"/>
      <c r="LWS146" s="433"/>
      <c r="LWT146" s="433"/>
      <c r="LWU146" s="433"/>
      <c r="LWV146" s="433"/>
      <c r="LWW146" s="433"/>
      <c r="LWX146" s="433"/>
      <c r="LWY146" s="433"/>
      <c r="LWZ146" s="433"/>
      <c r="LXA146" s="433"/>
      <c r="LXB146" s="433"/>
      <c r="LXC146" s="433"/>
      <c r="LXD146" s="433"/>
      <c r="LXE146" s="433"/>
      <c r="LXF146" s="433"/>
      <c r="LXG146" s="433"/>
      <c r="LXH146" s="433"/>
      <c r="LXI146" s="433"/>
      <c r="LXJ146" s="433"/>
      <c r="LXK146" s="433"/>
      <c r="LXL146" s="433"/>
      <c r="LXM146" s="433"/>
      <c r="LXN146" s="433"/>
      <c r="LXO146" s="433"/>
      <c r="LXP146" s="433"/>
      <c r="LXQ146" s="433"/>
      <c r="LXR146" s="433"/>
      <c r="LXS146" s="433"/>
      <c r="LXT146" s="433"/>
      <c r="LXU146" s="433"/>
      <c r="LXV146" s="433"/>
      <c r="LXW146" s="433"/>
      <c r="LXX146" s="433"/>
      <c r="LXY146" s="433"/>
      <c r="LXZ146" s="433"/>
      <c r="LYA146" s="433"/>
      <c r="LYB146" s="433"/>
      <c r="LYC146" s="433"/>
      <c r="LYD146" s="433"/>
      <c r="LYE146" s="433"/>
      <c r="LYF146" s="433"/>
      <c r="LYG146" s="433"/>
      <c r="LYH146" s="433"/>
      <c r="LYI146" s="433"/>
      <c r="LYJ146" s="433"/>
      <c r="LYK146" s="433"/>
      <c r="LYL146" s="433"/>
      <c r="LYM146" s="433"/>
      <c r="LYN146" s="433"/>
      <c r="LYO146" s="433"/>
      <c r="LYP146" s="433"/>
      <c r="LYQ146" s="433"/>
      <c r="LYR146" s="433"/>
      <c r="LYS146" s="433"/>
      <c r="LYT146" s="433"/>
      <c r="LYU146" s="433"/>
      <c r="LYV146" s="433"/>
      <c r="LYW146" s="433"/>
      <c r="LYX146" s="433"/>
      <c r="LYY146" s="433"/>
      <c r="LYZ146" s="433"/>
      <c r="LZA146" s="433"/>
      <c r="LZB146" s="433"/>
      <c r="LZC146" s="433"/>
      <c r="LZD146" s="433"/>
      <c r="LZE146" s="433"/>
      <c r="LZF146" s="433"/>
      <c r="LZG146" s="433"/>
      <c r="LZH146" s="433"/>
      <c r="LZI146" s="433"/>
      <c r="LZJ146" s="433"/>
      <c r="LZK146" s="433"/>
      <c r="LZL146" s="433"/>
      <c r="LZM146" s="433"/>
      <c r="LZN146" s="433"/>
      <c r="LZO146" s="433"/>
      <c r="LZP146" s="433"/>
      <c r="LZQ146" s="433"/>
      <c r="LZR146" s="433"/>
      <c r="LZS146" s="433"/>
      <c r="LZT146" s="433"/>
      <c r="LZU146" s="433"/>
      <c r="LZV146" s="433"/>
      <c r="LZW146" s="433"/>
      <c r="LZX146" s="433"/>
      <c r="LZY146" s="433"/>
      <c r="LZZ146" s="433"/>
      <c r="MAA146" s="433"/>
      <c r="MAB146" s="433"/>
      <c r="MAC146" s="433"/>
      <c r="MAD146" s="433"/>
      <c r="MAE146" s="433"/>
      <c r="MAF146" s="433"/>
      <c r="MAG146" s="433"/>
      <c r="MAH146" s="433"/>
      <c r="MAI146" s="433"/>
      <c r="MAJ146" s="433"/>
      <c r="MAK146" s="433"/>
      <c r="MAL146" s="433"/>
      <c r="MAM146" s="433"/>
      <c r="MAN146" s="433"/>
      <c r="MAO146" s="433"/>
      <c r="MAP146" s="433"/>
      <c r="MAQ146" s="433"/>
      <c r="MAR146" s="433"/>
      <c r="MAS146" s="433"/>
      <c r="MAT146" s="433"/>
      <c r="MAU146" s="433"/>
      <c r="MAV146" s="433"/>
      <c r="MAW146" s="433"/>
      <c r="MAX146" s="433"/>
      <c r="MAY146" s="433"/>
      <c r="MAZ146" s="433"/>
      <c r="MBA146" s="433"/>
      <c r="MBB146" s="433"/>
      <c r="MBC146" s="433"/>
      <c r="MBD146" s="433"/>
      <c r="MBE146" s="433"/>
      <c r="MBF146" s="433"/>
      <c r="MBG146" s="433"/>
      <c r="MBH146" s="433"/>
      <c r="MBI146" s="433"/>
      <c r="MBJ146" s="433"/>
      <c r="MBK146" s="433"/>
      <c r="MBL146" s="433"/>
      <c r="MBM146" s="433"/>
      <c r="MBN146" s="433"/>
      <c r="MBO146" s="433"/>
      <c r="MBP146" s="433"/>
      <c r="MBQ146" s="433"/>
      <c r="MBR146" s="433"/>
      <c r="MBS146" s="433"/>
      <c r="MBT146" s="433"/>
      <c r="MBU146" s="433"/>
      <c r="MBV146" s="433"/>
      <c r="MBW146" s="433"/>
      <c r="MBX146" s="433"/>
      <c r="MBY146" s="433"/>
      <c r="MBZ146" s="433"/>
      <c r="MCA146" s="433"/>
      <c r="MCB146" s="433"/>
      <c r="MCC146" s="433"/>
      <c r="MCD146" s="433"/>
      <c r="MCE146" s="433"/>
      <c r="MCF146" s="433"/>
      <c r="MCG146" s="433"/>
      <c r="MCH146" s="433"/>
      <c r="MCI146" s="433"/>
      <c r="MCJ146" s="433"/>
      <c r="MCK146" s="433"/>
      <c r="MCL146" s="433"/>
      <c r="MCM146" s="433"/>
      <c r="MCN146" s="433"/>
      <c r="MCO146" s="433"/>
      <c r="MCP146" s="433"/>
      <c r="MCQ146" s="433"/>
      <c r="MCR146" s="433"/>
      <c r="MCS146" s="433"/>
      <c r="MCT146" s="433"/>
      <c r="MCU146" s="433"/>
      <c r="MCV146" s="433"/>
      <c r="MCW146" s="433"/>
      <c r="MCX146" s="433"/>
      <c r="MCY146" s="433"/>
      <c r="MCZ146" s="433"/>
      <c r="MDA146" s="433"/>
      <c r="MDB146" s="433"/>
      <c r="MDC146" s="433"/>
      <c r="MDD146" s="433"/>
      <c r="MDE146" s="433"/>
      <c r="MDF146" s="433"/>
      <c r="MDG146" s="433"/>
      <c r="MDH146" s="433"/>
      <c r="MDI146" s="433"/>
      <c r="MDJ146" s="433"/>
      <c r="MDK146" s="433"/>
      <c r="MDL146" s="433"/>
      <c r="MDM146" s="433"/>
      <c r="MDN146" s="433"/>
      <c r="MDO146" s="433"/>
      <c r="MDP146" s="433"/>
      <c r="MDQ146" s="433"/>
      <c r="MDR146" s="433"/>
      <c r="MDS146" s="433"/>
      <c r="MDT146" s="433"/>
      <c r="MDU146" s="433"/>
      <c r="MDV146" s="433"/>
      <c r="MDW146" s="433"/>
      <c r="MDX146" s="433"/>
      <c r="MDY146" s="433"/>
      <c r="MDZ146" s="433"/>
      <c r="MEA146" s="433"/>
      <c r="MEB146" s="433"/>
      <c r="MEC146" s="433"/>
      <c r="MED146" s="433"/>
      <c r="MEE146" s="433"/>
      <c r="MEF146" s="433"/>
      <c r="MEG146" s="433"/>
      <c r="MEH146" s="433"/>
      <c r="MEI146" s="433"/>
      <c r="MEJ146" s="433"/>
      <c r="MEK146" s="433"/>
      <c r="MEL146" s="433"/>
      <c r="MEM146" s="433"/>
      <c r="MEN146" s="433"/>
      <c r="MEO146" s="433"/>
      <c r="MEP146" s="433"/>
      <c r="MEQ146" s="433"/>
      <c r="MER146" s="433"/>
      <c r="MES146" s="433"/>
      <c r="MET146" s="433"/>
      <c r="MEU146" s="433"/>
      <c r="MEV146" s="433"/>
      <c r="MEW146" s="433"/>
      <c r="MEX146" s="433"/>
      <c r="MEY146" s="433"/>
      <c r="MEZ146" s="433"/>
      <c r="MFA146" s="433"/>
      <c r="MFB146" s="433"/>
      <c r="MFC146" s="433"/>
      <c r="MFD146" s="433"/>
      <c r="MFE146" s="433"/>
      <c r="MFF146" s="433"/>
      <c r="MFG146" s="433"/>
      <c r="MFH146" s="433"/>
      <c r="MFI146" s="433"/>
      <c r="MFJ146" s="433"/>
      <c r="MFK146" s="433"/>
      <c r="MFL146" s="433"/>
      <c r="MFM146" s="433"/>
      <c r="MFN146" s="433"/>
      <c r="MFO146" s="433"/>
      <c r="MFP146" s="433"/>
      <c r="MFQ146" s="433"/>
      <c r="MFR146" s="433"/>
      <c r="MFS146" s="433"/>
      <c r="MFT146" s="433"/>
      <c r="MFU146" s="433"/>
      <c r="MFV146" s="433"/>
      <c r="MFW146" s="433"/>
      <c r="MFX146" s="433"/>
      <c r="MFY146" s="433"/>
      <c r="MFZ146" s="433"/>
      <c r="MGA146" s="433"/>
      <c r="MGB146" s="433"/>
      <c r="MGC146" s="433"/>
      <c r="MGD146" s="433"/>
      <c r="MGE146" s="433"/>
      <c r="MGF146" s="433"/>
      <c r="MGG146" s="433"/>
      <c r="MGH146" s="433"/>
      <c r="MGI146" s="433"/>
      <c r="MGJ146" s="433"/>
      <c r="MGK146" s="433"/>
      <c r="MGL146" s="433"/>
      <c r="MGM146" s="433"/>
      <c r="MGN146" s="433"/>
      <c r="MGO146" s="433"/>
      <c r="MGP146" s="433"/>
      <c r="MGQ146" s="433"/>
      <c r="MGR146" s="433"/>
      <c r="MGS146" s="433"/>
      <c r="MGT146" s="433"/>
      <c r="MGU146" s="433"/>
      <c r="MGV146" s="433"/>
      <c r="MGW146" s="433"/>
      <c r="MGX146" s="433"/>
      <c r="MGY146" s="433"/>
      <c r="MGZ146" s="433"/>
      <c r="MHA146" s="433"/>
      <c r="MHB146" s="433"/>
      <c r="MHC146" s="433"/>
      <c r="MHD146" s="433"/>
      <c r="MHE146" s="433"/>
      <c r="MHF146" s="433"/>
      <c r="MHG146" s="433"/>
      <c r="MHH146" s="433"/>
      <c r="MHI146" s="433"/>
      <c r="MHJ146" s="433"/>
      <c r="MHK146" s="433"/>
      <c r="MHL146" s="433"/>
      <c r="MHM146" s="433"/>
      <c r="MHN146" s="433"/>
      <c r="MHO146" s="433"/>
      <c r="MHP146" s="433"/>
      <c r="MHQ146" s="433"/>
      <c r="MHR146" s="433"/>
      <c r="MHS146" s="433"/>
      <c r="MHT146" s="433"/>
      <c r="MHU146" s="433"/>
      <c r="MHV146" s="433"/>
      <c r="MHW146" s="433"/>
      <c r="MHX146" s="433"/>
      <c r="MHY146" s="433"/>
      <c r="MHZ146" s="433"/>
      <c r="MIA146" s="433"/>
      <c r="MIB146" s="433"/>
      <c r="MIC146" s="433"/>
      <c r="MID146" s="433"/>
      <c r="MIE146" s="433"/>
      <c r="MIF146" s="433"/>
      <c r="MIG146" s="433"/>
      <c r="MIH146" s="433"/>
      <c r="MII146" s="433"/>
      <c r="MIJ146" s="433"/>
      <c r="MIK146" s="433"/>
      <c r="MIL146" s="433"/>
      <c r="MIM146" s="433"/>
      <c r="MIN146" s="433"/>
      <c r="MIO146" s="433"/>
      <c r="MIP146" s="433"/>
      <c r="MIQ146" s="433"/>
      <c r="MIR146" s="433"/>
      <c r="MIS146" s="433"/>
      <c r="MIT146" s="433"/>
      <c r="MIU146" s="433"/>
      <c r="MIV146" s="433"/>
      <c r="MIW146" s="433"/>
      <c r="MIX146" s="433"/>
      <c r="MIY146" s="433"/>
      <c r="MIZ146" s="433"/>
      <c r="MJA146" s="433"/>
      <c r="MJB146" s="433"/>
      <c r="MJC146" s="433"/>
      <c r="MJD146" s="433"/>
      <c r="MJE146" s="433"/>
      <c r="MJF146" s="433"/>
      <c r="MJG146" s="433"/>
      <c r="MJH146" s="433"/>
      <c r="MJI146" s="433"/>
      <c r="MJJ146" s="433"/>
      <c r="MJK146" s="433"/>
      <c r="MJL146" s="433"/>
      <c r="MJM146" s="433"/>
      <c r="MJN146" s="433"/>
      <c r="MJO146" s="433"/>
      <c r="MJP146" s="433"/>
      <c r="MJQ146" s="433"/>
      <c r="MJR146" s="433"/>
      <c r="MJS146" s="433"/>
      <c r="MJT146" s="433"/>
      <c r="MJU146" s="433"/>
      <c r="MJV146" s="433"/>
      <c r="MJW146" s="433"/>
      <c r="MJX146" s="433"/>
      <c r="MJY146" s="433"/>
      <c r="MJZ146" s="433"/>
      <c r="MKA146" s="433"/>
      <c r="MKB146" s="433"/>
      <c r="MKC146" s="433"/>
      <c r="MKD146" s="433"/>
      <c r="MKE146" s="433"/>
      <c r="MKF146" s="433"/>
      <c r="MKG146" s="433"/>
      <c r="MKH146" s="433"/>
      <c r="MKI146" s="433"/>
      <c r="MKJ146" s="433"/>
      <c r="MKK146" s="433"/>
      <c r="MKL146" s="433"/>
      <c r="MKM146" s="433"/>
      <c r="MKN146" s="433"/>
      <c r="MKO146" s="433"/>
      <c r="MKP146" s="433"/>
      <c r="MKQ146" s="433"/>
      <c r="MKR146" s="433"/>
      <c r="MKS146" s="433"/>
      <c r="MKT146" s="433"/>
      <c r="MKU146" s="433"/>
      <c r="MKV146" s="433"/>
      <c r="MKW146" s="433"/>
      <c r="MKX146" s="433"/>
      <c r="MKY146" s="433"/>
      <c r="MKZ146" s="433"/>
      <c r="MLA146" s="433"/>
      <c r="MLB146" s="433"/>
      <c r="MLC146" s="433"/>
      <c r="MLD146" s="433"/>
      <c r="MLE146" s="433"/>
      <c r="MLF146" s="433"/>
      <c r="MLG146" s="433"/>
      <c r="MLH146" s="433"/>
      <c r="MLI146" s="433"/>
      <c r="MLJ146" s="433"/>
      <c r="MLK146" s="433"/>
      <c r="MLL146" s="433"/>
      <c r="MLM146" s="433"/>
      <c r="MLN146" s="433"/>
      <c r="MLO146" s="433"/>
      <c r="MLP146" s="433"/>
      <c r="MLQ146" s="433"/>
      <c r="MLR146" s="433"/>
      <c r="MLS146" s="433"/>
      <c r="MLT146" s="433"/>
      <c r="MLU146" s="433"/>
      <c r="MLV146" s="433"/>
      <c r="MLW146" s="433"/>
      <c r="MLX146" s="433"/>
      <c r="MLY146" s="433"/>
      <c r="MLZ146" s="433"/>
      <c r="MMA146" s="433"/>
      <c r="MMB146" s="433"/>
      <c r="MMC146" s="433"/>
      <c r="MMD146" s="433"/>
      <c r="MME146" s="433"/>
      <c r="MMF146" s="433"/>
      <c r="MMG146" s="433"/>
      <c r="MMH146" s="433"/>
      <c r="MMI146" s="433"/>
      <c r="MMJ146" s="433"/>
      <c r="MMK146" s="433"/>
      <c r="MML146" s="433"/>
      <c r="MMM146" s="433"/>
      <c r="MMN146" s="433"/>
      <c r="MMO146" s="433"/>
      <c r="MMP146" s="433"/>
      <c r="MMQ146" s="433"/>
      <c r="MMR146" s="433"/>
      <c r="MMS146" s="433"/>
      <c r="MMT146" s="433"/>
      <c r="MMU146" s="433"/>
      <c r="MMV146" s="433"/>
      <c r="MMW146" s="433"/>
      <c r="MMX146" s="433"/>
      <c r="MMY146" s="433"/>
      <c r="MMZ146" s="433"/>
      <c r="MNA146" s="433"/>
      <c r="MNB146" s="433"/>
      <c r="MNC146" s="433"/>
      <c r="MND146" s="433"/>
      <c r="MNE146" s="433"/>
      <c r="MNF146" s="433"/>
      <c r="MNG146" s="433"/>
      <c r="MNH146" s="433"/>
      <c r="MNI146" s="433"/>
      <c r="MNJ146" s="433"/>
      <c r="MNK146" s="433"/>
      <c r="MNL146" s="433"/>
      <c r="MNM146" s="433"/>
      <c r="MNN146" s="433"/>
      <c r="MNO146" s="433"/>
      <c r="MNP146" s="433"/>
      <c r="MNQ146" s="433"/>
      <c r="MNR146" s="433"/>
      <c r="MNS146" s="433"/>
      <c r="MNT146" s="433"/>
      <c r="MNU146" s="433"/>
      <c r="MNV146" s="433"/>
      <c r="MNW146" s="433"/>
      <c r="MNX146" s="433"/>
      <c r="MNY146" s="433"/>
      <c r="MNZ146" s="433"/>
      <c r="MOA146" s="433"/>
      <c r="MOB146" s="433"/>
      <c r="MOC146" s="433"/>
      <c r="MOD146" s="433"/>
      <c r="MOE146" s="433"/>
      <c r="MOF146" s="433"/>
      <c r="MOG146" s="433"/>
      <c r="MOH146" s="433"/>
      <c r="MOI146" s="433"/>
      <c r="MOJ146" s="433"/>
      <c r="MOK146" s="433"/>
      <c r="MOL146" s="433"/>
      <c r="MOM146" s="433"/>
      <c r="MON146" s="433"/>
      <c r="MOO146" s="433"/>
      <c r="MOP146" s="433"/>
      <c r="MOQ146" s="433"/>
      <c r="MOR146" s="433"/>
      <c r="MOS146" s="433"/>
      <c r="MOT146" s="433"/>
      <c r="MOU146" s="433"/>
      <c r="MOV146" s="433"/>
      <c r="MOW146" s="433"/>
      <c r="MOX146" s="433"/>
      <c r="MOY146" s="433"/>
      <c r="MOZ146" s="433"/>
      <c r="MPA146" s="433"/>
      <c r="MPB146" s="433"/>
      <c r="MPC146" s="433"/>
      <c r="MPD146" s="433"/>
      <c r="MPE146" s="433"/>
      <c r="MPF146" s="433"/>
      <c r="MPG146" s="433"/>
      <c r="MPH146" s="433"/>
      <c r="MPI146" s="433"/>
      <c r="MPJ146" s="433"/>
      <c r="MPK146" s="433"/>
      <c r="MPL146" s="433"/>
      <c r="MPM146" s="433"/>
      <c r="MPN146" s="433"/>
      <c r="MPO146" s="433"/>
      <c r="MPP146" s="433"/>
      <c r="MPQ146" s="433"/>
      <c r="MPR146" s="433"/>
      <c r="MPS146" s="433"/>
      <c r="MPT146" s="433"/>
      <c r="MPU146" s="433"/>
      <c r="MPV146" s="433"/>
      <c r="MPW146" s="433"/>
      <c r="MPX146" s="433"/>
      <c r="MPY146" s="433"/>
      <c r="MPZ146" s="433"/>
      <c r="MQA146" s="433"/>
      <c r="MQB146" s="433"/>
      <c r="MQC146" s="433"/>
      <c r="MQD146" s="433"/>
      <c r="MQE146" s="433"/>
      <c r="MQF146" s="433"/>
      <c r="MQG146" s="433"/>
      <c r="MQH146" s="433"/>
      <c r="MQI146" s="433"/>
      <c r="MQJ146" s="433"/>
      <c r="MQK146" s="433"/>
      <c r="MQL146" s="433"/>
      <c r="MQM146" s="433"/>
      <c r="MQN146" s="433"/>
      <c r="MQO146" s="433"/>
      <c r="MQP146" s="433"/>
      <c r="MQQ146" s="433"/>
      <c r="MQR146" s="433"/>
      <c r="MQS146" s="433"/>
      <c r="MQT146" s="433"/>
      <c r="MQU146" s="433"/>
      <c r="MQV146" s="433"/>
      <c r="MQW146" s="433"/>
      <c r="MQX146" s="433"/>
      <c r="MQY146" s="433"/>
      <c r="MQZ146" s="433"/>
      <c r="MRA146" s="433"/>
      <c r="MRB146" s="433"/>
      <c r="MRC146" s="433"/>
      <c r="MRD146" s="433"/>
      <c r="MRE146" s="433"/>
      <c r="MRF146" s="433"/>
      <c r="MRG146" s="433"/>
      <c r="MRH146" s="433"/>
      <c r="MRI146" s="433"/>
      <c r="MRJ146" s="433"/>
      <c r="MRK146" s="433"/>
      <c r="MRL146" s="433"/>
      <c r="MRM146" s="433"/>
      <c r="MRN146" s="433"/>
      <c r="MRO146" s="433"/>
      <c r="MRP146" s="433"/>
      <c r="MRQ146" s="433"/>
      <c r="MRR146" s="433"/>
      <c r="MRS146" s="433"/>
      <c r="MRT146" s="433"/>
      <c r="MRU146" s="433"/>
      <c r="MRV146" s="433"/>
      <c r="MRW146" s="433"/>
      <c r="MRX146" s="433"/>
      <c r="MRY146" s="433"/>
      <c r="MRZ146" s="433"/>
      <c r="MSA146" s="433"/>
      <c r="MSB146" s="433"/>
      <c r="MSC146" s="433"/>
      <c r="MSD146" s="433"/>
      <c r="MSE146" s="433"/>
      <c r="MSF146" s="433"/>
      <c r="MSG146" s="433"/>
      <c r="MSH146" s="433"/>
      <c r="MSI146" s="433"/>
      <c r="MSJ146" s="433"/>
      <c r="MSK146" s="433"/>
      <c r="MSL146" s="433"/>
      <c r="MSM146" s="433"/>
      <c r="MSN146" s="433"/>
      <c r="MSO146" s="433"/>
      <c r="MSP146" s="433"/>
      <c r="MSQ146" s="433"/>
      <c r="MSR146" s="433"/>
      <c r="MSS146" s="433"/>
      <c r="MST146" s="433"/>
      <c r="MSU146" s="433"/>
      <c r="MSV146" s="433"/>
      <c r="MSW146" s="433"/>
      <c r="MSX146" s="433"/>
      <c r="MSY146" s="433"/>
      <c r="MSZ146" s="433"/>
      <c r="MTA146" s="433"/>
      <c r="MTB146" s="433"/>
      <c r="MTC146" s="433"/>
      <c r="MTD146" s="433"/>
      <c r="MTE146" s="433"/>
      <c r="MTF146" s="433"/>
      <c r="MTG146" s="433"/>
      <c r="MTH146" s="433"/>
      <c r="MTI146" s="433"/>
      <c r="MTJ146" s="433"/>
      <c r="MTK146" s="433"/>
      <c r="MTL146" s="433"/>
      <c r="MTM146" s="433"/>
      <c r="MTN146" s="433"/>
      <c r="MTO146" s="433"/>
      <c r="MTP146" s="433"/>
      <c r="MTQ146" s="433"/>
      <c r="MTR146" s="433"/>
      <c r="MTS146" s="433"/>
      <c r="MTT146" s="433"/>
      <c r="MTU146" s="433"/>
      <c r="MTV146" s="433"/>
      <c r="MTW146" s="433"/>
      <c r="MTX146" s="433"/>
      <c r="MTY146" s="433"/>
      <c r="MTZ146" s="433"/>
      <c r="MUA146" s="433"/>
      <c r="MUB146" s="433"/>
      <c r="MUC146" s="433"/>
      <c r="MUD146" s="433"/>
      <c r="MUE146" s="433"/>
      <c r="MUF146" s="433"/>
      <c r="MUG146" s="433"/>
      <c r="MUH146" s="433"/>
      <c r="MUI146" s="433"/>
      <c r="MUJ146" s="433"/>
      <c r="MUK146" s="433"/>
      <c r="MUL146" s="433"/>
      <c r="MUM146" s="433"/>
      <c r="MUN146" s="433"/>
      <c r="MUO146" s="433"/>
      <c r="MUP146" s="433"/>
      <c r="MUQ146" s="433"/>
      <c r="MUR146" s="433"/>
      <c r="MUS146" s="433"/>
      <c r="MUT146" s="433"/>
      <c r="MUU146" s="433"/>
      <c r="MUV146" s="433"/>
      <c r="MUW146" s="433"/>
      <c r="MUX146" s="433"/>
      <c r="MUY146" s="433"/>
      <c r="MUZ146" s="433"/>
      <c r="MVA146" s="433"/>
      <c r="MVB146" s="433"/>
      <c r="MVC146" s="433"/>
      <c r="MVD146" s="433"/>
      <c r="MVE146" s="433"/>
      <c r="MVF146" s="433"/>
      <c r="MVG146" s="433"/>
      <c r="MVH146" s="433"/>
      <c r="MVI146" s="433"/>
      <c r="MVJ146" s="433"/>
      <c r="MVK146" s="433"/>
      <c r="MVL146" s="433"/>
      <c r="MVM146" s="433"/>
      <c r="MVN146" s="433"/>
      <c r="MVO146" s="433"/>
      <c r="MVP146" s="433"/>
      <c r="MVQ146" s="433"/>
      <c r="MVR146" s="433"/>
      <c r="MVS146" s="433"/>
      <c r="MVT146" s="433"/>
      <c r="MVU146" s="433"/>
      <c r="MVV146" s="433"/>
      <c r="MVW146" s="433"/>
      <c r="MVX146" s="433"/>
      <c r="MVY146" s="433"/>
      <c r="MVZ146" s="433"/>
      <c r="MWA146" s="433"/>
      <c r="MWB146" s="433"/>
      <c r="MWC146" s="433"/>
      <c r="MWD146" s="433"/>
      <c r="MWE146" s="433"/>
      <c r="MWF146" s="433"/>
      <c r="MWG146" s="433"/>
      <c r="MWH146" s="433"/>
      <c r="MWI146" s="433"/>
      <c r="MWJ146" s="433"/>
      <c r="MWK146" s="433"/>
      <c r="MWL146" s="433"/>
      <c r="MWM146" s="433"/>
      <c r="MWN146" s="433"/>
      <c r="MWO146" s="433"/>
      <c r="MWP146" s="433"/>
      <c r="MWQ146" s="433"/>
      <c r="MWR146" s="433"/>
      <c r="MWS146" s="433"/>
      <c r="MWT146" s="433"/>
      <c r="MWU146" s="433"/>
      <c r="MWV146" s="433"/>
      <c r="MWW146" s="433"/>
      <c r="MWX146" s="433"/>
      <c r="MWY146" s="433"/>
      <c r="MWZ146" s="433"/>
      <c r="MXA146" s="433"/>
      <c r="MXB146" s="433"/>
      <c r="MXC146" s="433"/>
      <c r="MXD146" s="433"/>
      <c r="MXE146" s="433"/>
      <c r="MXF146" s="433"/>
      <c r="MXG146" s="433"/>
      <c r="MXH146" s="433"/>
      <c r="MXI146" s="433"/>
      <c r="MXJ146" s="433"/>
      <c r="MXK146" s="433"/>
      <c r="MXL146" s="433"/>
      <c r="MXM146" s="433"/>
      <c r="MXN146" s="433"/>
      <c r="MXO146" s="433"/>
      <c r="MXP146" s="433"/>
      <c r="MXQ146" s="433"/>
      <c r="MXR146" s="433"/>
      <c r="MXS146" s="433"/>
      <c r="MXT146" s="433"/>
      <c r="MXU146" s="433"/>
      <c r="MXV146" s="433"/>
      <c r="MXW146" s="433"/>
      <c r="MXX146" s="433"/>
      <c r="MXY146" s="433"/>
      <c r="MXZ146" s="433"/>
      <c r="MYA146" s="433"/>
      <c r="MYB146" s="433"/>
      <c r="MYC146" s="433"/>
      <c r="MYD146" s="433"/>
      <c r="MYE146" s="433"/>
      <c r="MYF146" s="433"/>
      <c r="MYG146" s="433"/>
      <c r="MYH146" s="433"/>
      <c r="MYI146" s="433"/>
      <c r="MYJ146" s="433"/>
      <c r="MYK146" s="433"/>
      <c r="MYL146" s="433"/>
      <c r="MYM146" s="433"/>
      <c r="MYN146" s="433"/>
      <c r="MYO146" s="433"/>
      <c r="MYP146" s="433"/>
      <c r="MYQ146" s="433"/>
      <c r="MYR146" s="433"/>
      <c r="MYS146" s="433"/>
      <c r="MYT146" s="433"/>
      <c r="MYU146" s="433"/>
      <c r="MYV146" s="433"/>
      <c r="MYW146" s="433"/>
      <c r="MYX146" s="433"/>
      <c r="MYY146" s="433"/>
      <c r="MYZ146" s="433"/>
      <c r="MZA146" s="433"/>
      <c r="MZB146" s="433"/>
      <c r="MZC146" s="433"/>
      <c r="MZD146" s="433"/>
      <c r="MZE146" s="433"/>
      <c r="MZF146" s="433"/>
      <c r="MZG146" s="433"/>
      <c r="MZH146" s="433"/>
      <c r="MZI146" s="433"/>
      <c r="MZJ146" s="433"/>
      <c r="MZK146" s="433"/>
      <c r="MZL146" s="433"/>
      <c r="MZM146" s="433"/>
      <c r="MZN146" s="433"/>
      <c r="MZO146" s="433"/>
      <c r="MZP146" s="433"/>
      <c r="MZQ146" s="433"/>
      <c r="MZR146" s="433"/>
      <c r="MZS146" s="433"/>
      <c r="MZT146" s="433"/>
      <c r="MZU146" s="433"/>
      <c r="MZV146" s="433"/>
      <c r="MZW146" s="433"/>
      <c r="MZX146" s="433"/>
      <c r="MZY146" s="433"/>
      <c r="MZZ146" s="433"/>
      <c r="NAA146" s="433"/>
      <c r="NAB146" s="433"/>
      <c r="NAC146" s="433"/>
      <c r="NAD146" s="433"/>
      <c r="NAE146" s="433"/>
      <c r="NAF146" s="433"/>
      <c r="NAG146" s="433"/>
      <c r="NAH146" s="433"/>
      <c r="NAI146" s="433"/>
      <c r="NAJ146" s="433"/>
      <c r="NAK146" s="433"/>
      <c r="NAL146" s="433"/>
      <c r="NAM146" s="433"/>
      <c r="NAN146" s="433"/>
      <c r="NAO146" s="433"/>
      <c r="NAP146" s="433"/>
      <c r="NAQ146" s="433"/>
      <c r="NAR146" s="433"/>
      <c r="NAS146" s="433"/>
      <c r="NAT146" s="433"/>
      <c r="NAU146" s="433"/>
      <c r="NAV146" s="433"/>
      <c r="NAW146" s="433"/>
      <c r="NAX146" s="433"/>
      <c r="NAY146" s="433"/>
      <c r="NAZ146" s="433"/>
      <c r="NBA146" s="433"/>
      <c r="NBB146" s="433"/>
      <c r="NBC146" s="433"/>
      <c r="NBD146" s="433"/>
      <c r="NBE146" s="433"/>
      <c r="NBF146" s="433"/>
      <c r="NBG146" s="433"/>
      <c r="NBH146" s="433"/>
      <c r="NBI146" s="433"/>
      <c r="NBJ146" s="433"/>
      <c r="NBK146" s="433"/>
      <c r="NBL146" s="433"/>
      <c r="NBM146" s="433"/>
      <c r="NBN146" s="433"/>
      <c r="NBO146" s="433"/>
      <c r="NBP146" s="433"/>
      <c r="NBQ146" s="433"/>
      <c r="NBR146" s="433"/>
      <c r="NBS146" s="433"/>
      <c r="NBT146" s="433"/>
      <c r="NBU146" s="433"/>
      <c r="NBV146" s="433"/>
      <c r="NBW146" s="433"/>
      <c r="NBX146" s="433"/>
      <c r="NBY146" s="433"/>
      <c r="NBZ146" s="433"/>
      <c r="NCA146" s="433"/>
      <c r="NCB146" s="433"/>
      <c r="NCC146" s="433"/>
      <c r="NCD146" s="433"/>
      <c r="NCE146" s="433"/>
      <c r="NCF146" s="433"/>
      <c r="NCG146" s="433"/>
      <c r="NCH146" s="433"/>
      <c r="NCI146" s="433"/>
      <c r="NCJ146" s="433"/>
      <c r="NCK146" s="433"/>
      <c r="NCL146" s="433"/>
      <c r="NCM146" s="433"/>
      <c r="NCN146" s="433"/>
      <c r="NCO146" s="433"/>
      <c r="NCP146" s="433"/>
      <c r="NCQ146" s="433"/>
      <c r="NCR146" s="433"/>
      <c r="NCS146" s="433"/>
      <c r="NCT146" s="433"/>
      <c r="NCU146" s="433"/>
      <c r="NCV146" s="433"/>
      <c r="NCW146" s="433"/>
      <c r="NCX146" s="433"/>
      <c r="NCY146" s="433"/>
      <c r="NCZ146" s="433"/>
      <c r="NDA146" s="433"/>
      <c r="NDB146" s="433"/>
      <c r="NDC146" s="433"/>
      <c r="NDD146" s="433"/>
      <c r="NDE146" s="433"/>
      <c r="NDF146" s="433"/>
      <c r="NDG146" s="433"/>
      <c r="NDH146" s="433"/>
      <c r="NDI146" s="433"/>
      <c r="NDJ146" s="433"/>
      <c r="NDK146" s="433"/>
      <c r="NDL146" s="433"/>
      <c r="NDM146" s="433"/>
      <c r="NDN146" s="433"/>
      <c r="NDO146" s="433"/>
      <c r="NDP146" s="433"/>
      <c r="NDQ146" s="433"/>
      <c r="NDR146" s="433"/>
      <c r="NDS146" s="433"/>
      <c r="NDT146" s="433"/>
      <c r="NDU146" s="433"/>
      <c r="NDV146" s="433"/>
      <c r="NDW146" s="433"/>
      <c r="NDX146" s="433"/>
      <c r="NDY146" s="433"/>
      <c r="NDZ146" s="433"/>
      <c r="NEA146" s="433"/>
      <c r="NEB146" s="433"/>
      <c r="NEC146" s="433"/>
      <c r="NED146" s="433"/>
      <c r="NEE146" s="433"/>
      <c r="NEF146" s="433"/>
      <c r="NEG146" s="433"/>
      <c r="NEH146" s="433"/>
      <c r="NEI146" s="433"/>
      <c r="NEJ146" s="433"/>
      <c r="NEK146" s="433"/>
      <c r="NEL146" s="433"/>
      <c r="NEM146" s="433"/>
      <c r="NEN146" s="433"/>
      <c r="NEO146" s="433"/>
      <c r="NEP146" s="433"/>
      <c r="NEQ146" s="433"/>
      <c r="NER146" s="433"/>
      <c r="NES146" s="433"/>
      <c r="NET146" s="433"/>
      <c r="NEU146" s="433"/>
      <c r="NEV146" s="433"/>
      <c r="NEW146" s="433"/>
      <c r="NEX146" s="433"/>
      <c r="NEY146" s="433"/>
      <c r="NEZ146" s="433"/>
      <c r="NFA146" s="433"/>
      <c r="NFB146" s="433"/>
      <c r="NFC146" s="433"/>
      <c r="NFD146" s="433"/>
      <c r="NFE146" s="433"/>
      <c r="NFF146" s="433"/>
      <c r="NFG146" s="433"/>
      <c r="NFH146" s="433"/>
      <c r="NFI146" s="433"/>
      <c r="NFJ146" s="433"/>
      <c r="NFK146" s="433"/>
      <c r="NFL146" s="433"/>
      <c r="NFM146" s="433"/>
      <c r="NFN146" s="433"/>
      <c r="NFO146" s="433"/>
      <c r="NFP146" s="433"/>
      <c r="NFQ146" s="433"/>
      <c r="NFR146" s="433"/>
      <c r="NFS146" s="433"/>
      <c r="NFT146" s="433"/>
      <c r="NFU146" s="433"/>
      <c r="NFV146" s="433"/>
      <c r="NFW146" s="433"/>
      <c r="NFX146" s="433"/>
      <c r="NFY146" s="433"/>
      <c r="NFZ146" s="433"/>
      <c r="NGA146" s="433"/>
      <c r="NGB146" s="433"/>
      <c r="NGC146" s="433"/>
      <c r="NGD146" s="433"/>
      <c r="NGE146" s="433"/>
      <c r="NGF146" s="433"/>
      <c r="NGG146" s="433"/>
      <c r="NGH146" s="433"/>
      <c r="NGI146" s="433"/>
      <c r="NGJ146" s="433"/>
      <c r="NGK146" s="433"/>
      <c r="NGL146" s="433"/>
      <c r="NGM146" s="433"/>
      <c r="NGN146" s="433"/>
      <c r="NGO146" s="433"/>
      <c r="NGP146" s="433"/>
      <c r="NGQ146" s="433"/>
      <c r="NGR146" s="433"/>
      <c r="NGS146" s="433"/>
      <c r="NGT146" s="433"/>
      <c r="NGU146" s="433"/>
      <c r="NGV146" s="433"/>
      <c r="NGW146" s="433"/>
      <c r="NGX146" s="433"/>
      <c r="NGY146" s="433"/>
      <c r="NGZ146" s="433"/>
      <c r="NHA146" s="433"/>
      <c r="NHB146" s="433"/>
      <c r="NHC146" s="433"/>
      <c r="NHD146" s="433"/>
      <c r="NHE146" s="433"/>
      <c r="NHF146" s="433"/>
      <c r="NHG146" s="433"/>
      <c r="NHH146" s="433"/>
      <c r="NHI146" s="433"/>
      <c r="NHJ146" s="433"/>
      <c r="NHK146" s="433"/>
      <c r="NHL146" s="433"/>
      <c r="NHM146" s="433"/>
      <c r="NHN146" s="433"/>
      <c r="NHO146" s="433"/>
      <c r="NHP146" s="433"/>
      <c r="NHQ146" s="433"/>
      <c r="NHR146" s="433"/>
      <c r="NHS146" s="433"/>
      <c r="NHT146" s="433"/>
      <c r="NHU146" s="433"/>
      <c r="NHV146" s="433"/>
      <c r="NHW146" s="433"/>
      <c r="NHX146" s="433"/>
      <c r="NHY146" s="433"/>
      <c r="NHZ146" s="433"/>
      <c r="NIA146" s="433"/>
      <c r="NIB146" s="433"/>
      <c r="NIC146" s="433"/>
      <c r="NID146" s="433"/>
      <c r="NIE146" s="433"/>
      <c r="NIF146" s="433"/>
      <c r="NIG146" s="433"/>
      <c r="NIH146" s="433"/>
      <c r="NII146" s="433"/>
      <c r="NIJ146" s="433"/>
      <c r="NIK146" s="433"/>
      <c r="NIL146" s="433"/>
      <c r="NIM146" s="433"/>
      <c r="NIN146" s="433"/>
      <c r="NIO146" s="433"/>
      <c r="NIP146" s="433"/>
      <c r="NIQ146" s="433"/>
      <c r="NIR146" s="433"/>
      <c r="NIS146" s="433"/>
      <c r="NIT146" s="433"/>
      <c r="NIU146" s="433"/>
      <c r="NIV146" s="433"/>
      <c r="NIW146" s="433"/>
      <c r="NIX146" s="433"/>
      <c r="NIY146" s="433"/>
      <c r="NIZ146" s="433"/>
      <c r="NJA146" s="433"/>
      <c r="NJB146" s="433"/>
      <c r="NJC146" s="433"/>
      <c r="NJD146" s="433"/>
      <c r="NJE146" s="433"/>
      <c r="NJF146" s="433"/>
      <c r="NJG146" s="433"/>
      <c r="NJH146" s="433"/>
      <c r="NJI146" s="433"/>
      <c r="NJJ146" s="433"/>
      <c r="NJK146" s="433"/>
      <c r="NJL146" s="433"/>
      <c r="NJM146" s="433"/>
      <c r="NJN146" s="433"/>
      <c r="NJO146" s="433"/>
      <c r="NJP146" s="433"/>
      <c r="NJQ146" s="433"/>
      <c r="NJR146" s="433"/>
      <c r="NJS146" s="433"/>
      <c r="NJT146" s="433"/>
      <c r="NJU146" s="433"/>
      <c r="NJV146" s="433"/>
      <c r="NJW146" s="433"/>
      <c r="NJX146" s="433"/>
      <c r="NJY146" s="433"/>
      <c r="NJZ146" s="433"/>
      <c r="NKA146" s="433"/>
      <c r="NKB146" s="433"/>
      <c r="NKC146" s="433"/>
      <c r="NKD146" s="433"/>
      <c r="NKE146" s="433"/>
      <c r="NKF146" s="433"/>
      <c r="NKG146" s="433"/>
      <c r="NKH146" s="433"/>
      <c r="NKI146" s="433"/>
      <c r="NKJ146" s="433"/>
      <c r="NKK146" s="433"/>
      <c r="NKL146" s="433"/>
      <c r="NKM146" s="433"/>
      <c r="NKN146" s="433"/>
      <c r="NKO146" s="433"/>
      <c r="NKP146" s="433"/>
      <c r="NKQ146" s="433"/>
      <c r="NKR146" s="433"/>
      <c r="NKS146" s="433"/>
      <c r="NKT146" s="433"/>
      <c r="NKU146" s="433"/>
      <c r="NKV146" s="433"/>
      <c r="NKW146" s="433"/>
      <c r="NKX146" s="433"/>
      <c r="NKY146" s="433"/>
      <c r="NKZ146" s="433"/>
      <c r="NLA146" s="433"/>
      <c r="NLB146" s="433"/>
      <c r="NLC146" s="433"/>
      <c r="NLD146" s="433"/>
      <c r="NLE146" s="433"/>
      <c r="NLF146" s="433"/>
      <c r="NLG146" s="433"/>
      <c r="NLH146" s="433"/>
      <c r="NLI146" s="433"/>
      <c r="NLJ146" s="433"/>
      <c r="NLK146" s="433"/>
      <c r="NLL146" s="433"/>
      <c r="NLM146" s="433"/>
      <c r="NLN146" s="433"/>
      <c r="NLO146" s="433"/>
      <c r="NLP146" s="433"/>
      <c r="NLQ146" s="433"/>
      <c r="NLR146" s="433"/>
      <c r="NLS146" s="433"/>
      <c r="NLT146" s="433"/>
      <c r="NLU146" s="433"/>
      <c r="NLV146" s="433"/>
      <c r="NLW146" s="433"/>
      <c r="NLX146" s="433"/>
      <c r="NLY146" s="433"/>
      <c r="NLZ146" s="433"/>
      <c r="NMA146" s="433"/>
      <c r="NMB146" s="433"/>
      <c r="NMC146" s="433"/>
      <c r="NMD146" s="433"/>
      <c r="NME146" s="433"/>
      <c r="NMF146" s="433"/>
      <c r="NMG146" s="433"/>
      <c r="NMH146" s="433"/>
      <c r="NMI146" s="433"/>
      <c r="NMJ146" s="433"/>
      <c r="NMK146" s="433"/>
      <c r="NML146" s="433"/>
      <c r="NMM146" s="433"/>
      <c r="NMN146" s="433"/>
      <c r="NMO146" s="433"/>
      <c r="NMP146" s="433"/>
      <c r="NMQ146" s="433"/>
      <c r="NMR146" s="433"/>
      <c r="NMS146" s="433"/>
      <c r="NMT146" s="433"/>
      <c r="NMU146" s="433"/>
      <c r="NMV146" s="433"/>
      <c r="NMW146" s="433"/>
      <c r="NMX146" s="433"/>
      <c r="NMY146" s="433"/>
      <c r="NMZ146" s="433"/>
      <c r="NNA146" s="433"/>
      <c r="NNB146" s="433"/>
      <c r="NNC146" s="433"/>
      <c r="NND146" s="433"/>
      <c r="NNE146" s="433"/>
      <c r="NNF146" s="433"/>
      <c r="NNG146" s="433"/>
      <c r="NNH146" s="433"/>
      <c r="NNI146" s="433"/>
      <c r="NNJ146" s="433"/>
      <c r="NNK146" s="433"/>
      <c r="NNL146" s="433"/>
      <c r="NNM146" s="433"/>
      <c r="NNN146" s="433"/>
      <c r="NNO146" s="433"/>
      <c r="NNP146" s="433"/>
      <c r="NNQ146" s="433"/>
      <c r="NNR146" s="433"/>
      <c r="NNS146" s="433"/>
      <c r="NNT146" s="433"/>
      <c r="NNU146" s="433"/>
      <c r="NNV146" s="433"/>
      <c r="NNW146" s="433"/>
      <c r="NNX146" s="433"/>
      <c r="NNY146" s="433"/>
      <c r="NNZ146" s="433"/>
      <c r="NOA146" s="433"/>
      <c r="NOB146" s="433"/>
      <c r="NOC146" s="433"/>
      <c r="NOD146" s="433"/>
      <c r="NOE146" s="433"/>
      <c r="NOF146" s="433"/>
      <c r="NOG146" s="433"/>
      <c r="NOH146" s="433"/>
      <c r="NOI146" s="433"/>
      <c r="NOJ146" s="433"/>
      <c r="NOK146" s="433"/>
      <c r="NOL146" s="433"/>
      <c r="NOM146" s="433"/>
      <c r="NON146" s="433"/>
      <c r="NOO146" s="433"/>
      <c r="NOP146" s="433"/>
      <c r="NOQ146" s="433"/>
      <c r="NOR146" s="433"/>
      <c r="NOS146" s="433"/>
      <c r="NOT146" s="433"/>
      <c r="NOU146" s="433"/>
      <c r="NOV146" s="433"/>
      <c r="NOW146" s="433"/>
      <c r="NOX146" s="433"/>
      <c r="NOY146" s="433"/>
      <c r="NOZ146" s="433"/>
      <c r="NPA146" s="433"/>
      <c r="NPB146" s="433"/>
      <c r="NPC146" s="433"/>
      <c r="NPD146" s="433"/>
      <c r="NPE146" s="433"/>
      <c r="NPF146" s="433"/>
      <c r="NPG146" s="433"/>
      <c r="NPH146" s="433"/>
      <c r="NPI146" s="433"/>
      <c r="NPJ146" s="433"/>
      <c r="NPK146" s="433"/>
      <c r="NPL146" s="433"/>
      <c r="NPM146" s="433"/>
      <c r="NPN146" s="433"/>
      <c r="NPO146" s="433"/>
      <c r="NPP146" s="433"/>
      <c r="NPQ146" s="433"/>
      <c r="NPR146" s="433"/>
      <c r="NPS146" s="433"/>
      <c r="NPT146" s="433"/>
      <c r="NPU146" s="433"/>
      <c r="NPV146" s="433"/>
      <c r="NPW146" s="433"/>
      <c r="NPX146" s="433"/>
      <c r="NPY146" s="433"/>
      <c r="NPZ146" s="433"/>
      <c r="NQA146" s="433"/>
      <c r="NQB146" s="433"/>
      <c r="NQC146" s="433"/>
      <c r="NQD146" s="433"/>
      <c r="NQE146" s="433"/>
      <c r="NQF146" s="433"/>
      <c r="NQG146" s="433"/>
      <c r="NQH146" s="433"/>
      <c r="NQI146" s="433"/>
      <c r="NQJ146" s="433"/>
      <c r="NQK146" s="433"/>
      <c r="NQL146" s="433"/>
      <c r="NQM146" s="433"/>
      <c r="NQN146" s="433"/>
      <c r="NQO146" s="433"/>
      <c r="NQP146" s="433"/>
      <c r="NQQ146" s="433"/>
      <c r="NQR146" s="433"/>
      <c r="NQS146" s="433"/>
      <c r="NQT146" s="433"/>
      <c r="NQU146" s="433"/>
      <c r="NQV146" s="433"/>
      <c r="NQW146" s="433"/>
      <c r="NQX146" s="433"/>
      <c r="NQY146" s="433"/>
      <c r="NQZ146" s="433"/>
      <c r="NRA146" s="433"/>
      <c r="NRB146" s="433"/>
      <c r="NRC146" s="433"/>
      <c r="NRD146" s="433"/>
      <c r="NRE146" s="433"/>
      <c r="NRF146" s="433"/>
      <c r="NRG146" s="433"/>
      <c r="NRH146" s="433"/>
      <c r="NRI146" s="433"/>
      <c r="NRJ146" s="433"/>
      <c r="NRK146" s="433"/>
      <c r="NRL146" s="433"/>
      <c r="NRM146" s="433"/>
      <c r="NRN146" s="433"/>
      <c r="NRO146" s="433"/>
      <c r="NRP146" s="433"/>
      <c r="NRQ146" s="433"/>
      <c r="NRR146" s="433"/>
      <c r="NRS146" s="433"/>
      <c r="NRT146" s="433"/>
      <c r="NRU146" s="433"/>
      <c r="NRV146" s="433"/>
      <c r="NRW146" s="433"/>
      <c r="NRX146" s="433"/>
      <c r="NRY146" s="433"/>
      <c r="NRZ146" s="433"/>
      <c r="NSA146" s="433"/>
      <c r="NSB146" s="433"/>
      <c r="NSC146" s="433"/>
      <c r="NSD146" s="433"/>
      <c r="NSE146" s="433"/>
      <c r="NSF146" s="433"/>
      <c r="NSG146" s="433"/>
      <c r="NSH146" s="433"/>
      <c r="NSI146" s="433"/>
      <c r="NSJ146" s="433"/>
      <c r="NSK146" s="433"/>
      <c r="NSL146" s="433"/>
      <c r="NSM146" s="433"/>
      <c r="NSN146" s="433"/>
      <c r="NSO146" s="433"/>
      <c r="NSP146" s="433"/>
      <c r="NSQ146" s="433"/>
      <c r="NSR146" s="433"/>
      <c r="NSS146" s="433"/>
      <c r="NST146" s="433"/>
      <c r="NSU146" s="433"/>
      <c r="NSV146" s="433"/>
      <c r="NSW146" s="433"/>
      <c r="NSX146" s="433"/>
      <c r="NSY146" s="433"/>
      <c r="NSZ146" s="433"/>
      <c r="NTA146" s="433"/>
      <c r="NTB146" s="433"/>
      <c r="NTC146" s="433"/>
      <c r="NTD146" s="433"/>
      <c r="NTE146" s="433"/>
      <c r="NTF146" s="433"/>
      <c r="NTG146" s="433"/>
      <c r="NTH146" s="433"/>
      <c r="NTI146" s="433"/>
      <c r="NTJ146" s="433"/>
      <c r="NTK146" s="433"/>
      <c r="NTL146" s="433"/>
      <c r="NTM146" s="433"/>
      <c r="NTN146" s="433"/>
      <c r="NTO146" s="433"/>
      <c r="NTP146" s="433"/>
      <c r="NTQ146" s="433"/>
      <c r="NTR146" s="433"/>
      <c r="NTS146" s="433"/>
      <c r="NTT146" s="433"/>
      <c r="NTU146" s="433"/>
      <c r="NTV146" s="433"/>
      <c r="NTW146" s="433"/>
      <c r="NTX146" s="433"/>
      <c r="NTY146" s="433"/>
      <c r="NTZ146" s="433"/>
      <c r="NUA146" s="433"/>
      <c r="NUB146" s="433"/>
      <c r="NUC146" s="433"/>
      <c r="NUD146" s="433"/>
      <c r="NUE146" s="433"/>
      <c r="NUF146" s="433"/>
      <c r="NUG146" s="433"/>
      <c r="NUH146" s="433"/>
      <c r="NUI146" s="433"/>
      <c r="NUJ146" s="433"/>
      <c r="NUK146" s="433"/>
      <c r="NUL146" s="433"/>
      <c r="NUM146" s="433"/>
      <c r="NUN146" s="433"/>
      <c r="NUO146" s="433"/>
      <c r="NUP146" s="433"/>
      <c r="NUQ146" s="433"/>
      <c r="NUR146" s="433"/>
      <c r="NUS146" s="433"/>
      <c r="NUT146" s="433"/>
      <c r="NUU146" s="433"/>
      <c r="NUV146" s="433"/>
      <c r="NUW146" s="433"/>
      <c r="NUX146" s="433"/>
      <c r="NUY146" s="433"/>
      <c r="NUZ146" s="433"/>
      <c r="NVA146" s="433"/>
      <c r="NVB146" s="433"/>
      <c r="NVC146" s="433"/>
      <c r="NVD146" s="433"/>
      <c r="NVE146" s="433"/>
      <c r="NVF146" s="433"/>
      <c r="NVG146" s="433"/>
      <c r="NVH146" s="433"/>
      <c r="NVI146" s="433"/>
      <c r="NVJ146" s="433"/>
      <c r="NVK146" s="433"/>
      <c r="NVL146" s="433"/>
      <c r="NVM146" s="433"/>
      <c r="NVN146" s="433"/>
      <c r="NVO146" s="433"/>
      <c r="NVP146" s="433"/>
      <c r="NVQ146" s="433"/>
      <c r="NVR146" s="433"/>
      <c r="NVS146" s="433"/>
      <c r="NVT146" s="433"/>
      <c r="NVU146" s="433"/>
      <c r="NVV146" s="433"/>
      <c r="NVW146" s="433"/>
      <c r="NVX146" s="433"/>
      <c r="NVY146" s="433"/>
      <c r="NVZ146" s="433"/>
      <c r="NWA146" s="433"/>
      <c r="NWB146" s="433"/>
      <c r="NWC146" s="433"/>
      <c r="NWD146" s="433"/>
      <c r="NWE146" s="433"/>
      <c r="NWF146" s="433"/>
      <c r="NWG146" s="433"/>
      <c r="NWH146" s="433"/>
      <c r="NWI146" s="433"/>
      <c r="NWJ146" s="433"/>
      <c r="NWK146" s="433"/>
      <c r="NWL146" s="433"/>
      <c r="NWM146" s="433"/>
      <c r="NWN146" s="433"/>
      <c r="NWO146" s="433"/>
      <c r="NWP146" s="433"/>
      <c r="NWQ146" s="433"/>
      <c r="NWR146" s="433"/>
      <c r="NWS146" s="433"/>
      <c r="NWT146" s="433"/>
      <c r="NWU146" s="433"/>
      <c r="NWV146" s="433"/>
      <c r="NWW146" s="433"/>
      <c r="NWX146" s="433"/>
      <c r="NWY146" s="433"/>
      <c r="NWZ146" s="433"/>
      <c r="NXA146" s="433"/>
      <c r="NXB146" s="433"/>
      <c r="NXC146" s="433"/>
      <c r="NXD146" s="433"/>
      <c r="NXE146" s="433"/>
      <c r="NXF146" s="433"/>
      <c r="NXG146" s="433"/>
      <c r="NXH146" s="433"/>
      <c r="NXI146" s="433"/>
      <c r="NXJ146" s="433"/>
      <c r="NXK146" s="433"/>
      <c r="NXL146" s="433"/>
      <c r="NXM146" s="433"/>
      <c r="NXN146" s="433"/>
      <c r="NXO146" s="433"/>
      <c r="NXP146" s="433"/>
      <c r="NXQ146" s="433"/>
      <c r="NXR146" s="433"/>
      <c r="NXS146" s="433"/>
      <c r="NXT146" s="433"/>
      <c r="NXU146" s="433"/>
      <c r="NXV146" s="433"/>
      <c r="NXW146" s="433"/>
      <c r="NXX146" s="433"/>
      <c r="NXY146" s="433"/>
      <c r="NXZ146" s="433"/>
      <c r="NYA146" s="433"/>
      <c r="NYB146" s="433"/>
      <c r="NYC146" s="433"/>
      <c r="NYD146" s="433"/>
      <c r="NYE146" s="433"/>
      <c r="NYF146" s="433"/>
      <c r="NYG146" s="433"/>
      <c r="NYH146" s="433"/>
      <c r="NYI146" s="433"/>
      <c r="NYJ146" s="433"/>
      <c r="NYK146" s="433"/>
      <c r="NYL146" s="433"/>
      <c r="NYM146" s="433"/>
      <c r="NYN146" s="433"/>
      <c r="NYO146" s="433"/>
      <c r="NYP146" s="433"/>
      <c r="NYQ146" s="433"/>
      <c r="NYR146" s="433"/>
      <c r="NYS146" s="433"/>
      <c r="NYT146" s="433"/>
      <c r="NYU146" s="433"/>
      <c r="NYV146" s="433"/>
      <c r="NYW146" s="433"/>
      <c r="NYX146" s="433"/>
      <c r="NYY146" s="433"/>
      <c r="NYZ146" s="433"/>
      <c r="NZA146" s="433"/>
      <c r="NZB146" s="433"/>
      <c r="NZC146" s="433"/>
      <c r="NZD146" s="433"/>
      <c r="NZE146" s="433"/>
      <c r="NZF146" s="433"/>
      <c r="NZG146" s="433"/>
      <c r="NZH146" s="433"/>
      <c r="NZI146" s="433"/>
      <c r="NZJ146" s="433"/>
      <c r="NZK146" s="433"/>
      <c r="NZL146" s="433"/>
      <c r="NZM146" s="433"/>
      <c r="NZN146" s="433"/>
      <c r="NZO146" s="433"/>
      <c r="NZP146" s="433"/>
      <c r="NZQ146" s="433"/>
      <c r="NZR146" s="433"/>
      <c r="NZS146" s="433"/>
      <c r="NZT146" s="433"/>
      <c r="NZU146" s="433"/>
      <c r="NZV146" s="433"/>
      <c r="NZW146" s="433"/>
      <c r="NZX146" s="433"/>
      <c r="NZY146" s="433"/>
      <c r="NZZ146" s="433"/>
      <c r="OAA146" s="433"/>
      <c r="OAB146" s="433"/>
      <c r="OAC146" s="433"/>
      <c r="OAD146" s="433"/>
      <c r="OAE146" s="433"/>
      <c r="OAF146" s="433"/>
      <c r="OAG146" s="433"/>
      <c r="OAH146" s="433"/>
      <c r="OAI146" s="433"/>
      <c r="OAJ146" s="433"/>
      <c r="OAK146" s="433"/>
      <c r="OAL146" s="433"/>
      <c r="OAM146" s="433"/>
      <c r="OAN146" s="433"/>
      <c r="OAO146" s="433"/>
      <c r="OAP146" s="433"/>
      <c r="OAQ146" s="433"/>
      <c r="OAR146" s="433"/>
      <c r="OAS146" s="433"/>
      <c r="OAT146" s="433"/>
      <c r="OAU146" s="433"/>
      <c r="OAV146" s="433"/>
      <c r="OAW146" s="433"/>
      <c r="OAX146" s="433"/>
      <c r="OAY146" s="433"/>
      <c r="OAZ146" s="433"/>
      <c r="OBA146" s="433"/>
      <c r="OBB146" s="433"/>
      <c r="OBC146" s="433"/>
      <c r="OBD146" s="433"/>
      <c r="OBE146" s="433"/>
      <c r="OBF146" s="433"/>
      <c r="OBG146" s="433"/>
      <c r="OBH146" s="433"/>
      <c r="OBI146" s="433"/>
      <c r="OBJ146" s="433"/>
      <c r="OBK146" s="433"/>
      <c r="OBL146" s="433"/>
      <c r="OBM146" s="433"/>
      <c r="OBN146" s="433"/>
      <c r="OBO146" s="433"/>
      <c r="OBP146" s="433"/>
      <c r="OBQ146" s="433"/>
      <c r="OBR146" s="433"/>
      <c r="OBS146" s="433"/>
      <c r="OBT146" s="433"/>
      <c r="OBU146" s="433"/>
      <c r="OBV146" s="433"/>
      <c r="OBW146" s="433"/>
      <c r="OBX146" s="433"/>
      <c r="OBY146" s="433"/>
      <c r="OBZ146" s="433"/>
      <c r="OCA146" s="433"/>
      <c r="OCB146" s="433"/>
      <c r="OCC146" s="433"/>
      <c r="OCD146" s="433"/>
      <c r="OCE146" s="433"/>
      <c r="OCF146" s="433"/>
      <c r="OCG146" s="433"/>
      <c r="OCH146" s="433"/>
      <c r="OCI146" s="433"/>
      <c r="OCJ146" s="433"/>
      <c r="OCK146" s="433"/>
      <c r="OCL146" s="433"/>
      <c r="OCM146" s="433"/>
      <c r="OCN146" s="433"/>
      <c r="OCO146" s="433"/>
      <c r="OCP146" s="433"/>
      <c r="OCQ146" s="433"/>
      <c r="OCR146" s="433"/>
      <c r="OCS146" s="433"/>
      <c r="OCT146" s="433"/>
      <c r="OCU146" s="433"/>
      <c r="OCV146" s="433"/>
      <c r="OCW146" s="433"/>
      <c r="OCX146" s="433"/>
      <c r="OCY146" s="433"/>
      <c r="OCZ146" s="433"/>
      <c r="ODA146" s="433"/>
      <c r="ODB146" s="433"/>
      <c r="ODC146" s="433"/>
      <c r="ODD146" s="433"/>
      <c r="ODE146" s="433"/>
      <c r="ODF146" s="433"/>
      <c r="ODG146" s="433"/>
      <c r="ODH146" s="433"/>
      <c r="ODI146" s="433"/>
      <c r="ODJ146" s="433"/>
      <c r="ODK146" s="433"/>
      <c r="ODL146" s="433"/>
      <c r="ODM146" s="433"/>
      <c r="ODN146" s="433"/>
      <c r="ODO146" s="433"/>
      <c r="ODP146" s="433"/>
      <c r="ODQ146" s="433"/>
      <c r="ODR146" s="433"/>
      <c r="ODS146" s="433"/>
      <c r="ODT146" s="433"/>
      <c r="ODU146" s="433"/>
      <c r="ODV146" s="433"/>
      <c r="ODW146" s="433"/>
      <c r="ODX146" s="433"/>
      <c r="ODY146" s="433"/>
      <c r="ODZ146" s="433"/>
      <c r="OEA146" s="433"/>
      <c r="OEB146" s="433"/>
      <c r="OEC146" s="433"/>
      <c r="OED146" s="433"/>
      <c r="OEE146" s="433"/>
      <c r="OEF146" s="433"/>
      <c r="OEG146" s="433"/>
      <c r="OEH146" s="433"/>
      <c r="OEI146" s="433"/>
      <c r="OEJ146" s="433"/>
      <c r="OEK146" s="433"/>
      <c r="OEL146" s="433"/>
      <c r="OEM146" s="433"/>
      <c r="OEN146" s="433"/>
      <c r="OEO146" s="433"/>
      <c r="OEP146" s="433"/>
      <c r="OEQ146" s="433"/>
      <c r="OER146" s="433"/>
      <c r="OES146" s="433"/>
      <c r="OET146" s="433"/>
      <c r="OEU146" s="433"/>
      <c r="OEV146" s="433"/>
      <c r="OEW146" s="433"/>
      <c r="OEX146" s="433"/>
      <c r="OEY146" s="433"/>
      <c r="OEZ146" s="433"/>
      <c r="OFA146" s="433"/>
      <c r="OFB146" s="433"/>
      <c r="OFC146" s="433"/>
      <c r="OFD146" s="433"/>
      <c r="OFE146" s="433"/>
      <c r="OFF146" s="433"/>
      <c r="OFG146" s="433"/>
      <c r="OFH146" s="433"/>
      <c r="OFI146" s="433"/>
      <c r="OFJ146" s="433"/>
      <c r="OFK146" s="433"/>
      <c r="OFL146" s="433"/>
      <c r="OFM146" s="433"/>
      <c r="OFN146" s="433"/>
      <c r="OFO146" s="433"/>
      <c r="OFP146" s="433"/>
      <c r="OFQ146" s="433"/>
      <c r="OFR146" s="433"/>
      <c r="OFS146" s="433"/>
      <c r="OFT146" s="433"/>
      <c r="OFU146" s="433"/>
      <c r="OFV146" s="433"/>
      <c r="OFW146" s="433"/>
      <c r="OFX146" s="433"/>
      <c r="OFY146" s="433"/>
      <c r="OFZ146" s="433"/>
      <c r="OGA146" s="433"/>
      <c r="OGB146" s="433"/>
      <c r="OGC146" s="433"/>
      <c r="OGD146" s="433"/>
      <c r="OGE146" s="433"/>
      <c r="OGF146" s="433"/>
      <c r="OGG146" s="433"/>
      <c r="OGH146" s="433"/>
      <c r="OGI146" s="433"/>
      <c r="OGJ146" s="433"/>
      <c r="OGK146" s="433"/>
      <c r="OGL146" s="433"/>
      <c r="OGM146" s="433"/>
      <c r="OGN146" s="433"/>
      <c r="OGO146" s="433"/>
      <c r="OGP146" s="433"/>
      <c r="OGQ146" s="433"/>
      <c r="OGR146" s="433"/>
      <c r="OGS146" s="433"/>
      <c r="OGT146" s="433"/>
      <c r="OGU146" s="433"/>
      <c r="OGV146" s="433"/>
      <c r="OGW146" s="433"/>
      <c r="OGX146" s="433"/>
      <c r="OGY146" s="433"/>
      <c r="OGZ146" s="433"/>
      <c r="OHA146" s="433"/>
      <c r="OHB146" s="433"/>
      <c r="OHC146" s="433"/>
      <c r="OHD146" s="433"/>
      <c r="OHE146" s="433"/>
      <c r="OHF146" s="433"/>
      <c r="OHG146" s="433"/>
      <c r="OHH146" s="433"/>
      <c r="OHI146" s="433"/>
      <c r="OHJ146" s="433"/>
      <c r="OHK146" s="433"/>
      <c r="OHL146" s="433"/>
      <c r="OHM146" s="433"/>
      <c r="OHN146" s="433"/>
      <c r="OHO146" s="433"/>
      <c r="OHP146" s="433"/>
      <c r="OHQ146" s="433"/>
      <c r="OHR146" s="433"/>
      <c r="OHS146" s="433"/>
      <c r="OHT146" s="433"/>
      <c r="OHU146" s="433"/>
      <c r="OHV146" s="433"/>
      <c r="OHW146" s="433"/>
      <c r="OHX146" s="433"/>
      <c r="OHY146" s="433"/>
      <c r="OHZ146" s="433"/>
      <c r="OIA146" s="433"/>
      <c r="OIB146" s="433"/>
      <c r="OIC146" s="433"/>
      <c r="OID146" s="433"/>
      <c r="OIE146" s="433"/>
      <c r="OIF146" s="433"/>
      <c r="OIG146" s="433"/>
      <c r="OIH146" s="433"/>
      <c r="OII146" s="433"/>
      <c r="OIJ146" s="433"/>
      <c r="OIK146" s="433"/>
      <c r="OIL146" s="433"/>
      <c r="OIM146" s="433"/>
      <c r="OIN146" s="433"/>
      <c r="OIO146" s="433"/>
      <c r="OIP146" s="433"/>
      <c r="OIQ146" s="433"/>
      <c r="OIR146" s="433"/>
      <c r="OIS146" s="433"/>
      <c r="OIT146" s="433"/>
      <c r="OIU146" s="433"/>
      <c r="OIV146" s="433"/>
      <c r="OIW146" s="433"/>
      <c r="OIX146" s="433"/>
      <c r="OIY146" s="433"/>
      <c r="OIZ146" s="433"/>
      <c r="OJA146" s="433"/>
      <c r="OJB146" s="433"/>
      <c r="OJC146" s="433"/>
      <c r="OJD146" s="433"/>
      <c r="OJE146" s="433"/>
      <c r="OJF146" s="433"/>
      <c r="OJG146" s="433"/>
      <c r="OJH146" s="433"/>
      <c r="OJI146" s="433"/>
      <c r="OJJ146" s="433"/>
      <c r="OJK146" s="433"/>
      <c r="OJL146" s="433"/>
      <c r="OJM146" s="433"/>
      <c r="OJN146" s="433"/>
      <c r="OJO146" s="433"/>
      <c r="OJP146" s="433"/>
      <c r="OJQ146" s="433"/>
      <c r="OJR146" s="433"/>
      <c r="OJS146" s="433"/>
      <c r="OJT146" s="433"/>
      <c r="OJU146" s="433"/>
      <c r="OJV146" s="433"/>
      <c r="OJW146" s="433"/>
      <c r="OJX146" s="433"/>
      <c r="OJY146" s="433"/>
      <c r="OJZ146" s="433"/>
      <c r="OKA146" s="433"/>
      <c r="OKB146" s="433"/>
      <c r="OKC146" s="433"/>
      <c r="OKD146" s="433"/>
      <c r="OKE146" s="433"/>
      <c r="OKF146" s="433"/>
      <c r="OKG146" s="433"/>
      <c r="OKH146" s="433"/>
      <c r="OKI146" s="433"/>
      <c r="OKJ146" s="433"/>
      <c r="OKK146" s="433"/>
      <c r="OKL146" s="433"/>
      <c r="OKM146" s="433"/>
      <c r="OKN146" s="433"/>
      <c r="OKO146" s="433"/>
      <c r="OKP146" s="433"/>
      <c r="OKQ146" s="433"/>
      <c r="OKR146" s="433"/>
      <c r="OKS146" s="433"/>
      <c r="OKT146" s="433"/>
      <c r="OKU146" s="433"/>
      <c r="OKV146" s="433"/>
      <c r="OKW146" s="433"/>
      <c r="OKX146" s="433"/>
      <c r="OKY146" s="433"/>
      <c r="OKZ146" s="433"/>
      <c r="OLA146" s="433"/>
      <c r="OLB146" s="433"/>
      <c r="OLC146" s="433"/>
      <c r="OLD146" s="433"/>
      <c r="OLE146" s="433"/>
      <c r="OLF146" s="433"/>
      <c r="OLG146" s="433"/>
      <c r="OLH146" s="433"/>
      <c r="OLI146" s="433"/>
      <c r="OLJ146" s="433"/>
      <c r="OLK146" s="433"/>
      <c r="OLL146" s="433"/>
      <c r="OLM146" s="433"/>
      <c r="OLN146" s="433"/>
      <c r="OLO146" s="433"/>
      <c r="OLP146" s="433"/>
      <c r="OLQ146" s="433"/>
      <c r="OLR146" s="433"/>
      <c r="OLS146" s="433"/>
      <c r="OLT146" s="433"/>
      <c r="OLU146" s="433"/>
      <c r="OLV146" s="433"/>
      <c r="OLW146" s="433"/>
      <c r="OLX146" s="433"/>
      <c r="OLY146" s="433"/>
      <c r="OLZ146" s="433"/>
      <c r="OMA146" s="433"/>
      <c r="OMB146" s="433"/>
      <c r="OMC146" s="433"/>
      <c r="OMD146" s="433"/>
      <c r="OME146" s="433"/>
      <c r="OMF146" s="433"/>
      <c r="OMG146" s="433"/>
      <c r="OMH146" s="433"/>
      <c r="OMI146" s="433"/>
      <c r="OMJ146" s="433"/>
      <c r="OMK146" s="433"/>
      <c r="OML146" s="433"/>
      <c r="OMM146" s="433"/>
      <c r="OMN146" s="433"/>
      <c r="OMO146" s="433"/>
      <c r="OMP146" s="433"/>
      <c r="OMQ146" s="433"/>
      <c r="OMR146" s="433"/>
      <c r="OMS146" s="433"/>
      <c r="OMT146" s="433"/>
      <c r="OMU146" s="433"/>
      <c r="OMV146" s="433"/>
      <c r="OMW146" s="433"/>
      <c r="OMX146" s="433"/>
      <c r="OMY146" s="433"/>
      <c r="OMZ146" s="433"/>
      <c r="ONA146" s="433"/>
      <c r="ONB146" s="433"/>
      <c r="ONC146" s="433"/>
      <c r="OND146" s="433"/>
      <c r="ONE146" s="433"/>
      <c r="ONF146" s="433"/>
      <c r="ONG146" s="433"/>
      <c r="ONH146" s="433"/>
      <c r="ONI146" s="433"/>
      <c r="ONJ146" s="433"/>
      <c r="ONK146" s="433"/>
      <c r="ONL146" s="433"/>
      <c r="ONM146" s="433"/>
      <c r="ONN146" s="433"/>
      <c r="ONO146" s="433"/>
      <c r="ONP146" s="433"/>
      <c r="ONQ146" s="433"/>
      <c r="ONR146" s="433"/>
      <c r="ONS146" s="433"/>
      <c r="ONT146" s="433"/>
      <c r="ONU146" s="433"/>
      <c r="ONV146" s="433"/>
      <c r="ONW146" s="433"/>
      <c r="ONX146" s="433"/>
      <c r="ONY146" s="433"/>
      <c r="ONZ146" s="433"/>
      <c r="OOA146" s="433"/>
      <c r="OOB146" s="433"/>
      <c r="OOC146" s="433"/>
      <c r="OOD146" s="433"/>
      <c r="OOE146" s="433"/>
      <c r="OOF146" s="433"/>
      <c r="OOG146" s="433"/>
      <c r="OOH146" s="433"/>
      <c r="OOI146" s="433"/>
      <c r="OOJ146" s="433"/>
      <c r="OOK146" s="433"/>
      <c r="OOL146" s="433"/>
      <c r="OOM146" s="433"/>
      <c r="OON146" s="433"/>
      <c r="OOO146" s="433"/>
      <c r="OOP146" s="433"/>
      <c r="OOQ146" s="433"/>
      <c r="OOR146" s="433"/>
      <c r="OOS146" s="433"/>
      <c r="OOT146" s="433"/>
      <c r="OOU146" s="433"/>
      <c r="OOV146" s="433"/>
      <c r="OOW146" s="433"/>
      <c r="OOX146" s="433"/>
      <c r="OOY146" s="433"/>
      <c r="OOZ146" s="433"/>
      <c r="OPA146" s="433"/>
      <c r="OPB146" s="433"/>
      <c r="OPC146" s="433"/>
      <c r="OPD146" s="433"/>
      <c r="OPE146" s="433"/>
      <c r="OPF146" s="433"/>
      <c r="OPG146" s="433"/>
      <c r="OPH146" s="433"/>
      <c r="OPI146" s="433"/>
      <c r="OPJ146" s="433"/>
      <c r="OPK146" s="433"/>
      <c r="OPL146" s="433"/>
      <c r="OPM146" s="433"/>
      <c r="OPN146" s="433"/>
      <c r="OPO146" s="433"/>
      <c r="OPP146" s="433"/>
      <c r="OPQ146" s="433"/>
      <c r="OPR146" s="433"/>
      <c r="OPS146" s="433"/>
      <c r="OPT146" s="433"/>
      <c r="OPU146" s="433"/>
      <c r="OPV146" s="433"/>
      <c r="OPW146" s="433"/>
      <c r="OPX146" s="433"/>
      <c r="OPY146" s="433"/>
      <c r="OPZ146" s="433"/>
      <c r="OQA146" s="433"/>
      <c r="OQB146" s="433"/>
      <c r="OQC146" s="433"/>
      <c r="OQD146" s="433"/>
      <c r="OQE146" s="433"/>
      <c r="OQF146" s="433"/>
      <c r="OQG146" s="433"/>
      <c r="OQH146" s="433"/>
      <c r="OQI146" s="433"/>
      <c r="OQJ146" s="433"/>
      <c r="OQK146" s="433"/>
      <c r="OQL146" s="433"/>
      <c r="OQM146" s="433"/>
      <c r="OQN146" s="433"/>
      <c r="OQO146" s="433"/>
      <c r="OQP146" s="433"/>
      <c r="OQQ146" s="433"/>
      <c r="OQR146" s="433"/>
      <c r="OQS146" s="433"/>
      <c r="OQT146" s="433"/>
      <c r="OQU146" s="433"/>
      <c r="OQV146" s="433"/>
      <c r="OQW146" s="433"/>
      <c r="OQX146" s="433"/>
      <c r="OQY146" s="433"/>
      <c r="OQZ146" s="433"/>
      <c r="ORA146" s="433"/>
      <c r="ORB146" s="433"/>
      <c r="ORC146" s="433"/>
      <c r="ORD146" s="433"/>
      <c r="ORE146" s="433"/>
      <c r="ORF146" s="433"/>
      <c r="ORG146" s="433"/>
      <c r="ORH146" s="433"/>
      <c r="ORI146" s="433"/>
      <c r="ORJ146" s="433"/>
      <c r="ORK146" s="433"/>
      <c r="ORL146" s="433"/>
      <c r="ORM146" s="433"/>
      <c r="ORN146" s="433"/>
      <c r="ORO146" s="433"/>
      <c r="ORP146" s="433"/>
      <c r="ORQ146" s="433"/>
      <c r="ORR146" s="433"/>
      <c r="ORS146" s="433"/>
      <c r="ORT146" s="433"/>
      <c r="ORU146" s="433"/>
      <c r="ORV146" s="433"/>
      <c r="ORW146" s="433"/>
      <c r="ORX146" s="433"/>
      <c r="ORY146" s="433"/>
      <c r="ORZ146" s="433"/>
      <c r="OSA146" s="433"/>
      <c r="OSB146" s="433"/>
      <c r="OSC146" s="433"/>
      <c r="OSD146" s="433"/>
      <c r="OSE146" s="433"/>
      <c r="OSF146" s="433"/>
      <c r="OSG146" s="433"/>
      <c r="OSH146" s="433"/>
      <c r="OSI146" s="433"/>
      <c r="OSJ146" s="433"/>
      <c r="OSK146" s="433"/>
      <c r="OSL146" s="433"/>
      <c r="OSM146" s="433"/>
      <c r="OSN146" s="433"/>
      <c r="OSO146" s="433"/>
      <c r="OSP146" s="433"/>
      <c r="OSQ146" s="433"/>
      <c r="OSR146" s="433"/>
      <c r="OSS146" s="433"/>
      <c r="OST146" s="433"/>
      <c r="OSU146" s="433"/>
      <c r="OSV146" s="433"/>
      <c r="OSW146" s="433"/>
      <c r="OSX146" s="433"/>
      <c r="OSY146" s="433"/>
      <c r="OSZ146" s="433"/>
      <c r="OTA146" s="433"/>
      <c r="OTB146" s="433"/>
      <c r="OTC146" s="433"/>
      <c r="OTD146" s="433"/>
      <c r="OTE146" s="433"/>
      <c r="OTF146" s="433"/>
      <c r="OTG146" s="433"/>
      <c r="OTH146" s="433"/>
      <c r="OTI146" s="433"/>
      <c r="OTJ146" s="433"/>
      <c r="OTK146" s="433"/>
      <c r="OTL146" s="433"/>
      <c r="OTM146" s="433"/>
      <c r="OTN146" s="433"/>
      <c r="OTO146" s="433"/>
      <c r="OTP146" s="433"/>
      <c r="OTQ146" s="433"/>
      <c r="OTR146" s="433"/>
      <c r="OTS146" s="433"/>
      <c r="OTT146" s="433"/>
      <c r="OTU146" s="433"/>
      <c r="OTV146" s="433"/>
      <c r="OTW146" s="433"/>
      <c r="OTX146" s="433"/>
      <c r="OTY146" s="433"/>
      <c r="OTZ146" s="433"/>
      <c r="OUA146" s="433"/>
      <c r="OUB146" s="433"/>
      <c r="OUC146" s="433"/>
      <c r="OUD146" s="433"/>
      <c r="OUE146" s="433"/>
      <c r="OUF146" s="433"/>
      <c r="OUG146" s="433"/>
      <c r="OUH146" s="433"/>
      <c r="OUI146" s="433"/>
      <c r="OUJ146" s="433"/>
      <c r="OUK146" s="433"/>
      <c r="OUL146" s="433"/>
      <c r="OUM146" s="433"/>
      <c r="OUN146" s="433"/>
      <c r="OUO146" s="433"/>
      <c r="OUP146" s="433"/>
      <c r="OUQ146" s="433"/>
      <c r="OUR146" s="433"/>
      <c r="OUS146" s="433"/>
      <c r="OUT146" s="433"/>
      <c r="OUU146" s="433"/>
      <c r="OUV146" s="433"/>
      <c r="OUW146" s="433"/>
      <c r="OUX146" s="433"/>
      <c r="OUY146" s="433"/>
      <c r="OUZ146" s="433"/>
      <c r="OVA146" s="433"/>
      <c r="OVB146" s="433"/>
      <c r="OVC146" s="433"/>
      <c r="OVD146" s="433"/>
      <c r="OVE146" s="433"/>
      <c r="OVF146" s="433"/>
      <c r="OVG146" s="433"/>
      <c r="OVH146" s="433"/>
      <c r="OVI146" s="433"/>
      <c r="OVJ146" s="433"/>
      <c r="OVK146" s="433"/>
      <c r="OVL146" s="433"/>
      <c r="OVM146" s="433"/>
      <c r="OVN146" s="433"/>
      <c r="OVO146" s="433"/>
      <c r="OVP146" s="433"/>
      <c r="OVQ146" s="433"/>
      <c r="OVR146" s="433"/>
      <c r="OVS146" s="433"/>
      <c r="OVT146" s="433"/>
      <c r="OVU146" s="433"/>
      <c r="OVV146" s="433"/>
      <c r="OVW146" s="433"/>
      <c r="OVX146" s="433"/>
      <c r="OVY146" s="433"/>
      <c r="OVZ146" s="433"/>
      <c r="OWA146" s="433"/>
      <c r="OWB146" s="433"/>
      <c r="OWC146" s="433"/>
      <c r="OWD146" s="433"/>
      <c r="OWE146" s="433"/>
      <c r="OWF146" s="433"/>
      <c r="OWG146" s="433"/>
      <c r="OWH146" s="433"/>
      <c r="OWI146" s="433"/>
      <c r="OWJ146" s="433"/>
      <c r="OWK146" s="433"/>
      <c r="OWL146" s="433"/>
      <c r="OWM146" s="433"/>
      <c r="OWN146" s="433"/>
      <c r="OWO146" s="433"/>
      <c r="OWP146" s="433"/>
      <c r="OWQ146" s="433"/>
      <c r="OWR146" s="433"/>
      <c r="OWS146" s="433"/>
      <c r="OWT146" s="433"/>
      <c r="OWU146" s="433"/>
      <c r="OWV146" s="433"/>
      <c r="OWW146" s="433"/>
      <c r="OWX146" s="433"/>
      <c r="OWY146" s="433"/>
      <c r="OWZ146" s="433"/>
      <c r="OXA146" s="433"/>
      <c r="OXB146" s="433"/>
      <c r="OXC146" s="433"/>
      <c r="OXD146" s="433"/>
      <c r="OXE146" s="433"/>
      <c r="OXF146" s="433"/>
      <c r="OXG146" s="433"/>
      <c r="OXH146" s="433"/>
      <c r="OXI146" s="433"/>
      <c r="OXJ146" s="433"/>
      <c r="OXK146" s="433"/>
      <c r="OXL146" s="433"/>
      <c r="OXM146" s="433"/>
      <c r="OXN146" s="433"/>
      <c r="OXO146" s="433"/>
      <c r="OXP146" s="433"/>
      <c r="OXQ146" s="433"/>
      <c r="OXR146" s="433"/>
      <c r="OXS146" s="433"/>
      <c r="OXT146" s="433"/>
      <c r="OXU146" s="433"/>
      <c r="OXV146" s="433"/>
      <c r="OXW146" s="433"/>
      <c r="OXX146" s="433"/>
      <c r="OXY146" s="433"/>
      <c r="OXZ146" s="433"/>
      <c r="OYA146" s="433"/>
      <c r="OYB146" s="433"/>
      <c r="OYC146" s="433"/>
      <c r="OYD146" s="433"/>
      <c r="OYE146" s="433"/>
      <c r="OYF146" s="433"/>
      <c r="OYG146" s="433"/>
      <c r="OYH146" s="433"/>
      <c r="OYI146" s="433"/>
      <c r="OYJ146" s="433"/>
      <c r="OYK146" s="433"/>
      <c r="OYL146" s="433"/>
      <c r="OYM146" s="433"/>
      <c r="OYN146" s="433"/>
      <c r="OYO146" s="433"/>
      <c r="OYP146" s="433"/>
      <c r="OYQ146" s="433"/>
      <c r="OYR146" s="433"/>
      <c r="OYS146" s="433"/>
      <c r="OYT146" s="433"/>
      <c r="OYU146" s="433"/>
      <c r="OYV146" s="433"/>
      <c r="OYW146" s="433"/>
      <c r="OYX146" s="433"/>
      <c r="OYY146" s="433"/>
      <c r="OYZ146" s="433"/>
      <c r="OZA146" s="433"/>
      <c r="OZB146" s="433"/>
      <c r="OZC146" s="433"/>
      <c r="OZD146" s="433"/>
      <c r="OZE146" s="433"/>
      <c r="OZF146" s="433"/>
      <c r="OZG146" s="433"/>
      <c r="OZH146" s="433"/>
      <c r="OZI146" s="433"/>
      <c r="OZJ146" s="433"/>
      <c r="OZK146" s="433"/>
      <c r="OZL146" s="433"/>
      <c r="OZM146" s="433"/>
      <c r="OZN146" s="433"/>
      <c r="OZO146" s="433"/>
      <c r="OZP146" s="433"/>
      <c r="OZQ146" s="433"/>
      <c r="OZR146" s="433"/>
      <c r="OZS146" s="433"/>
      <c r="OZT146" s="433"/>
      <c r="OZU146" s="433"/>
      <c r="OZV146" s="433"/>
      <c r="OZW146" s="433"/>
      <c r="OZX146" s="433"/>
      <c r="OZY146" s="433"/>
      <c r="OZZ146" s="433"/>
      <c r="PAA146" s="433"/>
      <c r="PAB146" s="433"/>
      <c r="PAC146" s="433"/>
      <c r="PAD146" s="433"/>
      <c r="PAE146" s="433"/>
      <c r="PAF146" s="433"/>
      <c r="PAG146" s="433"/>
      <c r="PAH146" s="433"/>
      <c r="PAI146" s="433"/>
      <c r="PAJ146" s="433"/>
      <c r="PAK146" s="433"/>
      <c r="PAL146" s="433"/>
      <c r="PAM146" s="433"/>
      <c r="PAN146" s="433"/>
      <c r="PAO146" s="433"/>
      <c r="PAP146" s="433"/>
      <c r="PAQ146" s="433"/>
      <c r="PAR146" s="433"/>
      <c r="PAS146" s="433"/>
      <c r="PAT146" s="433"/>
      <c r="PAU146" s="433"/>
      <c r="PAV146" s="433"/>
      <c r="PAW146" s="433"/>
      <c r="PAX146" s="433"/>
      <c r="PAY146" s="433"/>
      <c r="PAZ146" s="433"/>
      <c r="PBA146" s="433"/>
      <c r="PBB146" s="433"/>
      <c r="PBC146" s="433"/>
      <c r="PBD146" s="433"/>
      <c r="PBE146" s="433"/>
      <c r="PBF146" s="433"/>
      <c r="PBG146" s="433"/>
      <c r="PBH146" s="433"/>
      <c r="PBI146" s="433"/>
      <c r="PBJ146" s="433"/>
      <c r="PBK146" s="433"/>
      <c r="PBL146" s="433"/>
      <c r="PBM146" s="433"/>
      <c r="PBN146" s="433"/>
      <c r="PBO146" s="433"/>
      <c r="PBP146" s="433"/>
      <c r="PBQ146" s="433"/>
      <c r="PBR146" s="433"/>
      <c r="PBS146" s="433"/>
      <c r="PBT146" s="433"/>
      <c r="PBU146" s="433"/>
      <c r="PBV146" s="433"/>
      <c r="PBW146" s="433"/>
      <c r="PBX146" s="433"/>
      <c r="PBY146" s="433"/>
      <c r="PBZ146" s="433"/>
      <c r="PCA146" s="433"/>
      <c r="PCB146" s="433"/>
      <c r="PCC146" s="433"/>
      <c r="PCD146" s="433"/>
      <c r="PCE146" s="433"/>
      <c r="PCF146" s="433"/>
      <c r="PCG146" s="433"/>
      <c r="PCH146" s="433"/>
      <c r="PCI146" s="433"/>
      <c r="PCJ146" s="433"/>
      <c r="PCK146" s="433"/>
      <c r="PCL146" s="433"/>
      <c r="PCM146" s="433"/>
      <c r="PCN146" s="433"/>
      <c r="PCO146" s="433"/>
      <c r="PCP146" s="433"/>
      <c r="PCQ146" s="433"/>
      <c r="PCR146" s="433"/>
      <c r="PCS146" s="433"/>
      <c r="PCT146" s="433"/>
      <c r="PCU146" s="433"/>
      <c r="PCV146" s="433"/>
      <c r="PCW146" s="433"/>
      <c r="PCX146" s="433"/>
      <c r="PCY146" s="433"/>
      <c r="PCZ146" s="433"/>
      <c r="PDA146" s="433"/>
      <c r="PDB146" s="433"/>
      <c r="PDC146" s="433"/>
      <c r="PDD146" s="433"/>
      <c r="PDE146" s="433"/>
      <c r="PDF146" s="433"/>
      <c r="PDG146" s="433"/>
      <c r="PDH146" s="433"/>
      <c r="PDI146" s="433"/>
      <c r="PDJ146" s="433"/>
      <c r="PDK146" s="433"/>
      <c r="PDL146" s="433"/>
      <c r="PDM146" s="433"/>
      <c r="PDN146" s="433"/>
      <c r="PDO146" s="433"/>
      <c r="PDP146" s="433"/>
      <c r="PDQ146" s="433"/>
      <c r="PDR146" s="433"/>
      <c r="PDS146" s="433"/>
      <c r="PDT146" s="433"/>
      <c r="PDU146" s="433"/>
      <c r="PDV146" s="433"/>
      <c r="PDW146" s="433"/>
      <c r="PDX146" s="433"/>
      <c r="PDY146" s="433"/>
      <c r="PDZ146" s="433"/>
      <c r="PEA146" s="433"/>
      <c r="PEB146" s="433"/>
      <c r="PEC146" s="433"/>
      <c r="PED146" s="433"/>
      <c r="PEE146" s="433"/>
      <c r="PEF146" s="433"/>
      <c r="PEG146" s="433"/>
      <c r="PEH146" s="433"/>
      <c r="PEI146" s="433"/>
      <c r="PEJ146" s="433"/>
      <c r="PEK146" s="433"/>
      <c r="PEL146" s="433"/>
      <c r="PEM146" s="433"/>
      <c r="PEN146" s="433"/>
      <c r="PEO146" s="433"/>
      <c r="PEP146" s="433"/>
      <c r="PEQ146" s="433"/>
      <c r="PER146" s="433"/>
      <c r="PES146" s="433"/>
      <c r="PET146" s="433"/>
      <c r="PEU146" s="433"/>
      <c r="PEV146" s="433"/>
      <c r="PEW146" s="433"/>
      <c r="PEX146" s="433"/>
      <c r="PEY146" s="433"/>
      <c r="PEZ146" s="433"/>
      <c r="PFA146" s="433"/>
      <c r="PFB146" s="433"/>
      <c r="PFC146" s="433"/>
      <c r="PFD146" s="433"/>
      <c r="PFE146" s="433"/>
      <c r="PFF146" s="433"/>
      <c r="PFG146" s="433"/>
      <c r="PFH146" s="433"/>
      <c r="PFI146" s="433"/>
      <c r="PFJ146" s="433"/>
      <c r="PFK146" s="433"/>
      <c r="PFL146" s="433"/>
      <c r="PFM146" s="433"/>
      <c r="PFN146" s="433"/>
      <c r="PFO146" s="433"/>
      <c r="PFP146" s="433"/>
      <c r="PFQ146" s="433"/>
      <c r="PFR146" s="433"/>
      <c r="PFS146" s="433"/>
      <c r="PFT146" s="433"/>
      <c r="PFU146" s="433"/>
      <c r="PFV146" s="433"/>
      <c r="PFW146" s="433"/>
      <c r="PFX146" s="433"/>
      <c r="PFY146" s="433"/>
      <c r="PFZ146" s="433"/>
      <c r="PGA146" s="433"/>
      <c r="PGB146" s="433"/>
      <c r="PGC146" s="433"/>
      <c r="PGD146" s="433"/>
      <c r="PGE146" s="433"/>
      <c r="PGF146" s="433"/>
      <c r="PGG146" s="433"/>
      <c r="PGH146" s="433"/>
      <c r="PGI146" s="433"/>
      <c r="PGJ146" s="433"/>
      <c r="PGK146" s="433"/>
      <c r="PGL146" s="433"/>
      <c r="PGM146" s="433"/>
      <c r="PGN146" s="433"/>
      <c r="PGO146" s="433"/>
      <c r="PGP146" s="433"/>
      <c r="PGQ146" s="433"/>
      <c r="PGR146" s="433"/>
      <c r="PGS146" s="433"/>
      <c r="PGT146" s="433"/>
      <c r="PGU146" s="433"/>
      <c r="PGV146" s="433"/>
      <c r="PGW146" s="433"/>
      <c r="PGX146" s="433"/>
      <c r="PGY146" s="433"/>
      <c r="PGZ146" s="433"/>
      <c r="PHA146" s="433"/>
      <c r="PHB146" s="433"/>
      <c r="PHC146" s="433"/>
      <c r="PHD146" s="433"/>
      <c r="PHE146" s="433"/>
      <c r="PHF146" s="433"/>
      <c r="PHG146" s="433"/>
      <c r="PHH146" s="433"/>
      <c r="PHI146" s="433"/>
      <c r="PHJ146" s="433"/>
      <c r="PHK146" s="433"/>
      <c r="PHL146" s="433"/>
      <c r="PHM146" s="433"/>
      <c r="PHN146" s="433"/>
      <c r="PHO146" s="433"/>
      <c r="PHP146" s="433"/>
      <c r="PHQ146" s="433"/>
      <c r="PHR146" s="433"/>
      <c r="PHS146" s="433"/>
      <c r="PHT146" s="433"/>
      <c r="PHU146" s="433"/>
      <c r="PHV146" s="433"/>
      <c r="PHW146" s="433"/>
      <c r="PHX146" s="433"/>
      <c r="PHY146" s="433"/>
      <c r="PHZ146" s="433"/>
      <c r="PIA146" s="433"/>
      <c r="PIB146" s="433"/>
      <c r="PIC146" s="433"/>
      <c r="PID146" s="433"/>
      <c r="PIE146" s="433"/>
      <c r="PIF146" s="433"/>
      <c r="PIG146" s="433"/>
      <c r="PIH146" s="433"/>
      <c r="PII146" s="433"/>
      <c r="PIJ146" s="433"/>
      <c r="PIK146" s="433"/>
      <c r="PIL146" s="433"/>
      <c r="PIM146" s="433"/>
      <c r="PIN146" s="433"/>
      <c r="PIO146" s="433"/>
      <c r="PIP146" s="433"/>
      <c r="PIQ146" s="433"/>
      <c r="PIR146" s="433"/>
      <c r="PIS146" s="433"/>
      <c r="PIT146" s="433"/>
      <c r="PIU146" s="433"/>
      <c r="PIV146" s="433"/>
      <c r="PIW146" s="433"/>
      <c r="PIX146" s="433"/>
      <c r="PIY146" s="433"/>
      <c r="PIZ146" s="433"/>
      <c r="PJA146" s="433"/>
      <c r="PJB146" s="433"/>
      <c r="PJC146" s="433"/>
      <c r="PJD146" s="433"/>
      <c r="PJE146" s="433"/>
      <c r="PJF146" s="433"/>
      <c r="PJG146" s="433"/>
      <c r="PJH146" s="433"/>
      <c r="PJI146" s="433"/>
      <c r="PJJ146" s="433"/>
      <c r="PJK146" s="433"/>
      <c r="PJL146" s="433"/>
      <c r="PJM146" s="433"/>
      <c r="PJN146" s="433"/>
      <c r="PJO146" s="433"/>
      <c r="PJP146" s="433"/>
      <c r="PJQ146" s="433"/>
      <c r="PJR146" s="433"/>
      <c r="PJS146" s="433"/>
      <c r="PJT146" s="433"/>
      <c r="PJU146" s="433"/>
      <c r="PJV146" s="433"/>
      <c r="PJW146" s="433"/>
      <c r="PJX146" s="433"/>
      <c r="PJY146" s="433"/>
      <c r="PJZ146" s="433"/>
      <c r="PKA146" s="433"/>
      <c r="PKB146" s="433"/>
      <c r="PKC146" s="433"/>
      <c r="PKD146" s="433"/>
      <c r="PKE146" s="433"/>
      <c r="PKF146" s="433"/>
      <c r="PKG146" s="433"/>
      <c r="PKH146" s="433"/>
      <c r="PKI146" s="433"/>
      <c r="PKJ146" s="433"/>
      <c r="PKK146" s="433"/>
      <c r="PKL146" s="433"/>
      <c r="PKM146" s="433"/>
      <c r="PKN146" s="433"/>
      <c r="PKO146" s="433"/>
      <c r="PKP146" s="433"/>
      <c r="PKQ146" s="433"/>
      <c r="PKR146" s="433"/>
      <c r="PKS146" s="433"/>
      <c r="PKT146" s="433"/>
      <c r="PKU146" s="433"/>
      <c r="PKV146" s="433"/>
      <c r="PKW146" s="433"/>
      <c r="PKX146" s="433"/>
      <c r="PKY146" s="433"/>
      <c r="PKZ146" s="433"/>
      <c r="PLA146" s="433"/>
      <c r="PLB146" s="433"/>
      <c r="PLC146" s="433"/>
      <c r="PLD146" s="433"/>
      <c r="PLE146" s="433"/>
      <c r="PLF146" s="433"/>
      <c r="PLG146" s="433"/>
      <c r="PLH146" s="433"/>
      <c r="PLI146" s="433"/>
      <c r="PLJ146" s="433"/>
      <c r="PLK146" s="433"/>
      <c r="PLL146" s="433"/>
      <c r="PLM146" s="433"/>
      <c r="PLN146" s="433"/>
      <c r="PLO146" s="433"/>
      <c r="PLP146" s="433"/>
      <c r="PLQ146" s="433"/>
      <c r="PLR146" s="433"/>
      <c r="PLS146" s="433"/>
      <c r="PLT146" s="433"/>
      <c r="PLU146" s="433"/>
      <c r="PLV146" s="433"/>
      <c r="PLW146" s="433"/>
      <c r="PLX146" s="433"/>
      <c r="PLY146" s="433"/>
      <c r="PLZ146" s="433"/>
      <c r="PMA146" s="433"/>
      <c r="PMB146" s="433"/>
      <c r="PMC146" s="433"/>
      <c r="PMD146" s="433"/>
      <c r="PME146" s="433"/>
      <c r="PMF146" s="433"/>
      <c r="PMG146" s="433"/>
      <c r="PMH146" s="433"/>
      <c r="PMI146" s="433"/>
      <c r="PMJ146" s="433"/>
      <c r="PMK146" s="433"/>
      <c r="PML146" s="433"/>
      <c r="PMM146" s="433"/>
      <c r="PMN146" s="433"/>
      <c r="PMO146" s="433"/>
      <c r="PMP146" s="433"/>
      <c r="PMQ146" s="433"/>
      <c r="PMR146" s="433"/>
      <c r="PMS146" s="433"/>
      <c r="PMT146" s="433"/>
      <c r="PMU146" s="433"/>
      <c r="PMV146" s="433"/>
      <c r="PMW146" s="433"/>
      <c r="PMX146" s="433"/>
      <c r="PMY146" s="433"/>
      <c r="PMZ146" s="433"/>
      <c r="PNA146" s="433"/>
      <c r="PNB146" s="433"/>
      <c r="PNC146" s="433"/>
      <c r="PND146" s="433"/>
      <c r="PNE146" s="433"/>
      <c r="PNF146" s="433"/>
      <c r="PNG146" s="433"/>
      <c r="PNH146" s="433"/>
      <c r="PNI146" s="433"/>
      <c r="PNJ146" s="433"/>
      <c r="PNK146" s="433"/>
      <c r="PNL146" s="433"/>
      <c r="PNM146" s="433"/>
      <c r="PNN146" s="433"/>
      <c r="PNO146" s="433"/>
      <c r="PNP146" s="433"/>
      <c r="PNQ146" s="433"/>
      <c r="PNR146" s="433"/>
      <c r="PNS146" s="433"/>
      <c r="PNT146" s="433"/>
      <c r="PNU146" s="433"/>
      <c r="PNV146" s="433"/>
      <c r="PNW146" s="433"/>
      <c r="PNX146" s="433"/>
      <c r="PNY146" s="433"/>
      <c r="PNZ146" s="433"/>
      <c r="POA146" s="433"/>
      <c r="POB146" s="433"/>
      <c r="POC146" s="433"/>
      <c r="POD146" s="433"/>
      <c r="POE146" s="433"/>
      <c r="POF146" s="433"/>
      <c r="POG146" s="433"/>
      <c r="POH146" s="433"/>
      <c r="POI146" s="433"/>
      <c r="POJ146" s="433"/>
      <c r="POK146" s="433"/>
      <c r="POL146" s="433"/>
      <c r="POM146" s="433"/>
      <c r="PON146" s="433"/>
      <c r="POO146" s="433"/>
      <c r="POP146" s="433"/>
      <c r="POQ146" s="433"/>
      <c r="POR146" s="433"/>
      <c r="POS146" s="433"/>
      <c r="POT146" s="433"/>
      <c r="POU146" s="433"/>
      <c r="POV146" s="433"/>
      <c r="POW146" s="433"/>
      <c r="POX146" s="433"/>
      <c r="POY146" s="433"/>
      <c r="POZ146" s="433"/>
      <c r="PPA146" s="433"/>
      <c r="PPB146" s="433"/>
      <c r="PPC146" s="433"/>
      <c r="PPD146" s="433"/>
      <c r="PPE146" s="433"/>
      <c r="PPF146" s="433"/>
      <c r="PPG146" s="433"/>
      <c r="PPH146" s="433"/>
      <c r="PPI146" s="433"/>
      <c r="PPJ146" s="433"/>
      <c r="PPK146" s="433"/>
      <c r="PPL146" s="433"/>
      <c r="PPM146" s="433"/>
      <c r="PPN146" s="433"/>
      <c r="PPO146" s="433"/>
      <c r="PPP146" s="433"/>
      <c r="PPQ146" s="433"/>
      <c r="PPR146" s="433"/>
      <c r="PPS146" s="433"/>
      <c r="PPT146" s="433"/>
      <c r="PPU146" s="433"/>
      <c r="PPV146" s="433"/>
      <c r="PPW146" s="433"/>
      <c r="PPX146" s="433"/>
      <c r="PPY146" s="433"/>
      <c r="PPZ146" s="433"/>
      <c r="PQA146" s="433"/>
      <c r="PQB146" s="433"/>
      <c r="PQC146" s="433"/>
      <c r="PQD146" s="433"/>
      <c r="PQE146" s="433"/>
      <c r="PQF146" s="433"/>
      <c r="PQG146" s="433"/>
      <c r="PQH146" s="433"/>
      <c r="PQI146" s="433"/>
      <c r="PQJ146" s="433"/>
      <c r="PQK146" s="433"/>
      <c r="PQL146" s="433"/>
      <c r="PQM146" s="433"/>
      <c r="PQN146" s="433"/>
      <c r="PQO146" s="433"/>
      <c r="PQP146" s="433"/>
      <c r="PQQ146" s="433"/>
      <c r="PQR146" s="433"/>
      <c r="PQS146" s="433"/>
      <c r="PQT146" s="433"/>
      <c r="PQU146" s="433"/>
      <c r="PQV146" s="433"/>
      <c r="PQW146" s="433"/>
      <c r="PQX146" s="433"/>
      <c r="PQY146" s="433"/>
      <c r="PQZ146" s="433"/>
      <c r="PRA146" s="433"/>
      <c r="PRB146" s="433"/>
      <c r="PRC146" s="433"/>
      <c r="PRD146" s="433"/>
      <c r="PRE146" s="433"/>
      <c r="PRF146" s="433"/>
      <c r="PRG146" s="433"/>
      <c r="PRH146" s="433"/>
      <c r="PRI146" s="433"/>
      <c r="PRJ146" s="433"/>
      <c r="PRK146" s="433"/>
      <c r="PRL146" s="433"/>
      <c r="PRM146" s="433"/>
      <c r="PRN146" s="433"/>
      <c r="PRO146" s="433"/>
      <c r="PRP146" s="433"/>
      <c r="PRQ146" s="433"/>
      <c r="PRR146" s="433"/>
      <c r="PRS146" s="433"/>
      <c r="PRT146" s="433"/>
      <c r="PRU146" s="433"/>
      <c r="PRV146" s="433"/>
      <c r="PRW146" s="433"/>
      <c r="PRX146" s="433"/>
      <c r="PRY146" s="433"/>
      <c r="PRZ146" s="433"/>
      <c r="PSA146" s="433"/>
      <c r="PSB146" s="433"/>
      <c r="PSC146" s="433"/>
      <c r="PSD146" s="433"/>
      <c r="PSE146" s="433"/>
      <c r="PSF146" s="433"/>
      <c r="PSG146" s="433"/>
      <c r="PSH146" s="433"/>
      <c r="PSI146" s="433"/>
      <c r="PSJ146" s="433"/>
      <c r="PSK146" s="433"/>
      <c r="PSL146" s="433"/>
      <c r="PSM146" s="433"/>
      <c r="PSN146" s="433"/>
      <c r="PSO146" s="433"/>
      <c r="PSP146" s="433"/>
      <c r="PSQ146" s="433"/>
      <c r="PSR146" s="433"/>
      <c r="PSS146" s="433"/>
      <c r="PST146" s="433"/>
      <c r="PSU146" s="433"/>
      <c r="PSV146" s="433"/>
      <c r="PSW146" s="433"/>
      <c r="PSX146" s="433"/>
      <c r="PSY146" s="433"/>
      <c r="PSZ146" s="433"/>
      <c r="PTA146" s="433"/>
      <c r="PTB146" s="433"/>
      <c r="PTC146" s="433"/>
      <c r="PTD146" s="433"/>
      <c r="PTE146" s="433"/>
      <c r="PTF146" s="433"/>
      <c r="PTG146" s="433"/>
      <c r="PTH146" s="433"/>
      <c r="PTI146" s="433"/>
      <c r="PTJ146" s="433"/>
      <c r="PTK146" s="433"/>
      <c r="PTL146" s="433"/>
      <c r="PTM146" s="433"/>
      <c r="PTN146" s="433"/>
      <c r="PTO146" s="433"/>
      <c r="PTP146" s="433"/>
      <c r="PTQ146" s="433"/>
      <c r="PTR146" s="433"/>
      <c r="PTS146" s="433"/>
      <c r="PTT146" s="433"/>
      <c r="PTU146" s="433"/>
      <c r="PTV146" s="433"/>
      <c r="PTW146" s="433"/>
      <c r="PTX146" s="433"/>
      <c r="PTY146" s="433"/>
      <c r="PTZ146" s="433"/>
      <c r="PUA146" s="433"/>
      <c r="PUB146" s="433"/>
      <c r="PUC146" s="433"/>
      <c r="PUD146" s="433"/>
      <c r="PUE146" s="433"/>
      <c r="PUF146" s="433"/>
      <c r="PUG146" s="433"/>
      <c r="PUH146" s="433"/>
      <c r="PUI146" s="433"/>
      <c r="PUJ146" s="433"/>
      <c r="PUK146" s="433"/>
      <c r="PUL146" s="433"/>
      <c r="PUM146" s="433"/>
      <c r="PUN146" s="433"/>
      <c r="PUO146" s="433"/>
      <c r="PUP146" s="433"/>
      <c r="PUQ146" s="433"/>
      <c r="PUR146" s="433"/>
      <c r="PUS146" s="433"/>
      <c r="PUT146" s="433"/>
      <c r="PUU146" s="433"/>
      <c r="PUV146" s="433"/>
      <c r="PUW146" s="433"/>
      <c r="PUX146" s="433"/>
      <c r="PUY146" s="433"/>
      <c r="PUZ146" s="433"/>
      <c r="PVA146" s="433"/>
      <c r="PVB146" s="433"/>
      <c r="PVC146" s="433"/>
      <c r="PVD146" s="433"/>
      <c r="PVE146" s="433"/>
      <c r="PVF146" s="433"/>
      <c r="PVG146" s="433"/>
      <c r="PVH146" s="433"/>
      <c r="PVI146" s="433"/>
      <c r="PVJ146" s="433"/>
      <c r="PVK146" s="433"/>
      <c r="PVL146" s="433"/>
      <c r="PVM146" s="433"/>
      <c r="PVN146" s="433"/>
      <c r="PVO146" s="433"/>
      <c r="PVP146" s="433"/>
      <c r="PVQ146" s="433"/>
      <c r="PVR146" s="433"/>
      <c r="PVS146" s="433"/>
      <c r="PVT146" s="433"/>
      <c r="PVU146" s="433"/>
      <c r="PVV146" s="433"/>
      <c r="PVW146" s="433"/>
      <c r="PVX146" s="433"/>
      <c r="PVY146" s="433"/>
      <c r="PVZ146" s="433"/>
      <c r="PWA146" s="433"/>
      <c r="PWB146" s="433"/>
      <c r="PWC146" s="433"/>
      <c r="PWD146" s="433"/>
      <c r="PWE146" s="433"/>
      <c r="PWF146" s="433"/>
      <c r="PWG146" s="433"/>
      <c r="PWH146" s="433"/>
      <c r="PWI146" s="433"/>
      <c r="PWJ146" s="433"/>
      <c r="PWK146" s="433"/>
      <c r="PWL146" s="433"/>
      <c r="PWM146" s="433"/>
      <c r="PWN146" s="433"/>
      <c r="PWO146" s="433"/>
      <c r="PWP146" s="433"/>
      <c r="PWQ146" s="433"/>
      <c r="PWR146" s="433"/>
      <c r="PWS146" s="433"/>
      <c r="PWT146" s="433"/>
      <c r="PWU146" s="433"/>
      <c r="PWV146" s="433"/>
      <c r="PWW146" s="433"/>
      <c r="PWX146" s="433"/>
      <c r="PWY146" s="433"/>
      <c r="PWZ146" s="433"/>
      <c r="PXA146" s="433"/>
      <c r="PXB146" s="433"/>
      <c r="PXC146" s="433"/>
      <c r="PXD146" s="433"/>
      <c r="PXE146" s="433"/>
      <c r="PXF146" s="433"/>
      <c r="PXG146" s="433"/>
      <c r="PXH146" s="433"/>
      <c r="PXI146" s="433"/>
      <c r="PXJ146" s="433"/>
      <c r="PXK146" s="433"/>
      <c r="PXL146" s="433"/>
      <c r="PXM146" s="433"/>
      <c r="PXN146" s="433"/>
      <c r="PXO146" s="433"/>
      <c r="PXP146" s="433"/>
      <c r="PXQ146" s="433"/>
      <c r="PXR146" s="433"/>
      <c r="PXS146" s="433"/>
      <c r="PXT146" s="433"/>
      <c r="PXU146" s="433"/>
      <c r="PXV146" s="433"/>
      <c r="PXW146" s="433"/>
      <c r="PXX146" s="433"/>
      <c r="PXY146" s="433"/>
      <c r="PXZ146" s="433"/>
      <c r="PYA146" s="433"/>
      <c r="PYB146" s="433"/>
      <c r="PYC146" s="433"/>
      <c r="PYD146" s="433"/>
      <c r="PYE146" s="433"/>
      <c r="PYF146" s="433"/>
      <c r="PYG146" s="433"/>
      <c r="PYH146" s="433"/>
      <c r="PYI146" s="433"/>
      <c r="PYJ146" s="433"/>
      <c r="PYK146" s="433"/>
      <c r="PYL146" s="433"/>
      <c r="PYM146" s="433"/>
      <c r="PYN146" s="433"/>
      <c r="PYO146" s="433"/>
      <c r="PYP146" s="433"/>
      <c r="PYQ146" s="433"/>
      <c r="PYR146" s="433"/>
      <c r="PYS146" s="433"/>
      <c r="PYT146" s="433"/>
      <c r="PYU146" s="433"/>
      <c r="PYV146" s="433"/>
      <c r="PYW146" s="433"/>
      <c r="PYX146" s="433"/>
      <c r="PYY146" s="433"/>
      <c r="PYZ146" s="433"/>
      <c r="PZA146" s="433"/>
      <c r="PZB146" s="433"/>
      <c r="PZC146" s="433"/>
      <c r="PZD146" s="433"/>
      <c r="PZE146" s="433"/>
      <c r="PZF146" s="433"/>
      <c r="PZG146" s="433"/>
      <c r="PZH146" s="433"/>
      <c r="PZI146" s="433"/>
      <c r="PZJ146" s="433"/>
      <c r="PZK146" s="433"/>
      <c r="PZL146" s="433"/>
      <c r="PZM146" s="433"/>
      <c r="PZN146" s="433"/>
      <c r="PZO146" s="433"/>
      <c r="PZP146" s="433"/>
      <c r="PZQ146" s="433"/>
      <c r="PZR146" s="433"/>
      <c r="PZS146" s="433"/>
      <c r="PZT146" s="433"/>
      <c r="PZU146" s="433"/>
      <c r="PZV146" s="433"/>
      <c r="PZW146" s="433"/>
      <c r="PZX146" s="433"/>
      <c r="PZY146" s="433"/>
      <c r="PZZ146" s="433"/>
      <c r="QAA146" s="433"/>
      <c r="QAB146" s="433"/>
      <c r="QAC146" s="433"/>
      <c r="QAD146" s="433"/>
      <c r="QAE146" s="433"/>
      <c r="QAF146" s="433"/>
      <c r="QAG146" s="433"/>
      <c r="QAH146" s="433"/>
      <c r="QAI146" s="433"/>
      <c r="QAJ146" s="433"/>
      <c r="QAK146" s="433"/>
      <c r="QAL146" s="433"/>
      <c r="QAM146" s="433"/>
      <c r="QAN146" s="433"/>
      <c r="QAO146" s="433"/>
      <c r="QAP146" s="433"/>
      <c r="QAQ146" s="433"/>
      <c r="QAR146" s="433"/>
      <c r="QAS146" s="433"/>
      <c r="QAT146" s="433"/>
      <c r="QAU146" s="433"/>
      <c r="QAV146" s="433"/>
      <c r="QAW146" s="433"/>
      <c r="QAX146" s="433"/>
      <c r="QAY146" s="433"/>
      <c r="QAZ146" s="433"/>
      <c r="QBA146" s="433"/>
      <c r="QBB146" s="433"/>
      <c r="QBC146" s="433"/>
      <c r="QBD146" s="433"/>
      <c r="QBE146" s="433"/>
      <c r="QBF146" s="433"/>
      <c r="QBG146" s="433"/>
      <c r="QBH146" s="433"/>
      <c r="QBI146" s="433"/>
      <c r="QBJ146" s="433"/>
      <c r="QBK146" s="433"/>
      <c r="QBL146" s="433"/>
      <c r="QBM146" s="433"/>
      <c r="QBN146" s="433"/>
      <c r="QBO146" s="433"/>
      <c r="QBP146" s="433"/>
      <c r="QBQ146" s="433"/>
      <c r="QBR146" s="433"/>
      <c r="QBS146" s="433"/>
      <c r="QBT146" s="433"/>
      <c r="QBU146" s="433"/>
      <c r="QBV146" s="433"/>
      <c r="QBW146" s="433"/>
      <c r="QBX146" s="433"/>
      <c r="QBY146" s="433"/>
      <c r="QBZ146" s="433"/>
      <c r="QCA146" s="433"/>
      <c r="QCB146" s="433"/>
      <c r="QCC146" s="433"/>
      <c r="QCD146" s="433"/>
      <c r="QCE146" s="433"/>
      <c r="QCF146" s="433"/>
      <c r="QCG146" s="433"/>
      <c r="QCH146" s="433"/>
      <c r="QCI146" s="433"/>
      <c r="QCJ146" s="433"/>
      <c r="QCK146" s="433"/>
      <c r="QCL146" s="433"/>
      <c r="QCM146" s="433"/>
      <c r="QCN146" s="433"/>
      <c r="QCO146" s="433"/>
      <c r="QCP146" s="433"/>
      <c r="QCQ146" s="433"/>
      <c r="QCR146" s="433"/>
      <c r="QCS146" s="433"/>
      <c r="QCT146" s="433"/>
      <c r="QCU146" s="433"/>
      <c r="QCV146" s="433"/>
      <c r="QCW146" s="433"/>
      <c r="QCX146" s="433"/>
      <c r="QCY146" s="433"/>
      <c r="QCZ146" s="433"/>
      <c r="QDA146" s="433"/>
      <c r="QDB146" s="433"/>
      <c r="QDC146" s="433"/>
      <c r="QDD146" s="433"/>
      <c r="QDE146" s="433"/>
      <c r="QDF146" s="433"/>
      <c r="QDG146" s="433"/>
      <c r="QDH146" s="433"/>
      <c r="QDI146" s="433"/>
      <c r="QDJ146" s="433"/>
      <c r="QDK146" s="433"/>
      <c r="QDL146" s="433"/>
      <c r="QDM146" s="433"/>
      <c r="QDN146" s="433"/>
      <c r="QDO146" s="433"/>
      <c r="QDP146" s="433"/>
      <c r="QDQ146" s="433"/>
      <c r="QDR146" s="433"/>
      <c r="QDS146" s="433"/>
      <c r="QDT146" s="433"/>
      <c r="QDU146" s="433"/>
      <c r="QDV146" s="433"/>
      <c r="QDW146" s="433"/>
      <c r="QDX146" s="433"/>
      <c r="QDY146" s="433"/>
      <c r="QDZ146" s="433"/>
      <c r="QEA146" s="433"/>
      <c r="QEB146" s="433"/>
      <c r="QEC146" s="433"/>
      <c r="QED146" s="433"/>
      <c r="QEE146" s="433"/>
      <c r="QEF146" s="433"/>
      <c r="QEG146" s="433"/>
      <c r="QEH146" s="433"/>
      <c r="QEI146" s="433"/>
      <c r="QEJ146" s="433"/>
      <c r="QEK146" s="433"/>
      <c r="QEL146" s="433"/>
      <c r="QEM146" s="433"/>
      <c r="QEN146" s="433"/>
      <c r="QEO146" s="433"/>
      <c r="QEP146" s="433"/>
      <c r="QEQ146" s="433"/>
      <c r="QER146" s="433"/>
      <c r="QES146" s="433"/>
      <c r="QET146" s="433"/>
      <c r="QEU146" s="433"/>
      <c r="QEV146" s="433"/>
      <c r="QEW146" s="433"/>
      <c r="QEX146" s="433"/>
      <c r="QEY146" s="433"/>
      <c r="QEZ146" s="433"/>
      <c r="QFA146" s="433"/>
      <c r="QFB146" s="433"/>
      <c r="QFC146" s="433"/>
      <c r="QFD146" s="433"/>
      <c r="QFE146" s="433"/>
      <c r="QFF146" s="433"/>
      <c r="QFG146" s="433"/>
      <c r="QFH146" s="433"/>
      <c r="QFI146" s="433"/>
      <c r="QFJ146" s="433"/>
      <c r="QFK146" s="433"/>
      <c r="QFL146" s="433"/>
      <c r="QFM146" s="433"/>
      <c r="QFN146" s="433"/>
      <c r="QFO146" s="433"/>
      <c r="QFP146" s="433"/>
      <c r="QFQ146" s="433"/>
      <c r="QFR146" s="433"/>
      <c r="QFS146" s="433"/>
      <c r="QFT146" s="433"/>
      <c r="QFU146" s="433"/>
      <c r="QFV146" s="433"/>
      <c r="QFW146" s="433"/>
      <c r="QFX146" s="433"/>
      <c r="QFY146" s="433"/>
      <c r="QFZ146" s="433"/>
      <c r="QGA146" s="433"/>
      <c r="QGB146" s="433"/>
      <c r="QGC146" s="433"/>
      <c r="QGD146" s="433"/>
      <c r="QGE146" s="433"/>
      <c r="QGF146" s="433"/>
      <c r="QGG146" s="433"/>
      <c r="QGH146" s="433"/>
      <c r="QGI146" s="433"/>
      <c r="QGJ146" s="433"/>
      <c r="QGK146" s="433"/>
      <c r="QGL146" s="433"/>
      <c r="QGM146" s="433"/>
      <c r="QGN146" s="433"/>
      <c r="QGO146" s="433"/>
      <c r="QGP146" s="433"/>
      <c r="QGQ146" s="433"/>
      <c r="QGR146" s="433"/>
      <c r="QGS146" s="433"/>
      <c r="QGT146" s="433"/>
      <c r="QGU146" s="433"/>
      <c r="QGV146" s="433"/>
      <c r="QGW146" s="433"/>
      <c r="QGX146" s="433"/>
      <c r="QGY146" s="433"/>
      <c r="QGZ146" s="433"/>
      <c r="QHA146" s="433"/>
      <c r="QHB146" s="433"/>
      <c r="QHC146" s="433"/>
      <c r="QHD146" s="433"/>
      <c r="QHE146" s="433"/>
      <c r="QHF146" s="433"/>
      <c r="QHG146" s="433"/>
      <c r="QHH146" s="433"/>
      <c r="QHI146" s="433"/>
      <c r="QHJ146" s="433"/>
      <c r="QHK146" s="433"/>
      <c r="QHL146" s="433"/>
      <c r="QHM146" s="433"/>
      <c r="QHN146" s="433"/>
      <c r="QHO146" s="433"/>
      <c r="QHP146" s="433"/>
      <c r="QHQ146" s="433"/>
      <c r="QHR146" s="433"/>
      <c r="QHS146" s="433"/>
      <c r="QHT146" s="433"/>
      <c r="QHU146" s="433"/>
      <c r="QHV146" s="433"/>
      <c r="QHW146" s="433"/>
      <c r="QHX146" s="433"/>
      <c r="QHY146" s="433"/>
      <c r="QHZ146" s="433"/>
      <c r="QIA146" s="433"/>
      <c r="QIB146" s="433"/>
      <c r="QIC146" s="433"/>
      <c r="QID146" s="433"/>
      <c r="QIE146" s="433"/>
      <c r="QIF146" s="433"/>
      <c r="QIG146" s="433"/>
      <c r="QIH146" s="433"/>
      <c r="QII146" s="433"/>
      <c r="QIJ146" s="433"/>
      <c r="QIK146" s="433"/>
      <c r="QIL146" s="433"/>
      <c r="QIM146" s="433"/>
      <c r="QIN146" s="433"/>
      <c r="QIO146" s="433"/>
      <c r="QIP146" s="433"/>
      <c r="QIQ146" s="433"/>
      <c r="QIR146" s="433"/>
      <c r="QIS146" s="433"/>
      <c r="QIT146" s="433"/>
      <c r="QIU146" s="433"/>
      <c r="QIV146" s="433"/>
      <c r="QIW146" s="433"/>
      <c r="QIX146" s="433"/>
      <c r="QIY146" s="433"/>
      <c r="QIZ146" s="433"/>
      <c r="QJA146" s="433"/>
      <c r="QJB146" s="433"/>
      <c r="QJC146" s="433"/>
      <c r="QJD146" s="433"/>
      <c r="QJE146" s="433"/>
      <c r="QJF146" s="433"/>
      <c r="QJG146" s="433"/>
      <c r="QJH146" s="433"/>
      <c r="QJI146" s="433"/>
      <c r="QJJ146" s="433"/>
      <c r="QJK146" s="433"/>
      <c r="QJL146" s="433"/>
      <c r="QJM146" s="433"/>
      <c r="QJN146" s="433"/>
      <c r="QJO146" s="433"/>
      <c r="QJP146" s="433"/>
      <c r="QJQ146" s="433"/>
      <c r="QJR146" s="433"/>
      <c r="QJS146" s="433"/>
      <c r="QJT146" s="433"/>
      <c r="QJU146" s="433"/>
      <c r="QJV146" s="433"/>
      <c r="QJW146" s="433"/>
      <c r="QJX146" s="433"/>
      <c r="QJY146" s="433"/>
      <c r="QJZ146" s="433"/>
      <c r="QKA146" s="433"/>
      <c r="QKB146" s="433"/>
      <c r="QKC146" s="433"/>
      <c r="QKD146" s="433"/>
      <c r="QKE146" s="433"/>
      <c r="QKF146" s="433"/>
      <c r="QKG146" s="433"/>
      <c r="QKH146" s="433"/>
      <c r="QKI146" s="433"/>
      <c r="QKJ146" s="433"/>
      <c r="QKK146" s="433"/>
      <c r="QKL146" s="433"/>
      <c r="QKM146" s="433"/>
      <c r="QKN146" s="433"/>
      <c r="QKO146" s="433"/>
      <c r="QKP146" s="433"/>
      <c r="QKQ146" s="433"/>
      <c r="QKR146" s="433"/>
      <c r="QKS146" s="433"/>
      <c r="QKT146" s="433"/>
      <c r="QKU146" s="433"/>
      <c r="QKV146" s="433"/>
      <c r="QKW146" s="433"/>
      <c r="QKX146" s="433"/>
      <c r="QKY146" s="433"/>
      <c r="QKZ146" s="433"/>
      <c r="QLA146" s="433"/>
      <c r="QLB146" s="433"/>
      <c r="QLC146" s="433"/>
      <c r="QLD146" s="433"/>
      <c r="QLE146" s="433"/>
      <c r="QLF146" s="433"/>
      <c r="QLG146" s="433"/>
      <c r="QLH146" s="433"/>
      <c r="QLI146" s="433"/>
      <c r="QLJ146" s="433"/>
      <c r="QLK146" s="433"/>
      <c r="QLL146" s="433"/>
      <c r="QLM146" s="433"/>
      <c r="QLN146" s="433"/>
      <c r="QLO146" s="433"/>
      <c r="QLP146" s="433"/>
      <c r="QLQ146" s="433"/>
      <c r="QLR146" s="433"/>
      <c r="QLS146" s="433"/>
      <c r="QLT146" s="433"/>
      <c r="QLU146" s="433"/>
      <c r="QLV146" s="433"/>
      <c r="QLW146" s="433"/>
      <c r="QLX146" s="433"/>
      <c r="QLY146" s="433"/>
      <c r="QLZ146" s="433"/>
      <c r="QMA146" s="433"/>
      <c r="QMB146" s="433"/>
      <c r="QMC146" s="433"/>
      <c r="QMD146" s="433"/>
      <c r="QME146" s="433"/>
      <c r="QMF146" s="433"/>
      <c r="QMG146" s="433"/>
      <c r="QMH146" s="433"/>
      <c r="QMI146" s="433"/>
      <c r="QMJ146" s="433"/>
      <c r="QMK146" s="433"/>
      <c r="QML146" s="433"/>
      <c r="QMM146" s="433"/>
      <c r="QMN146" s="433"/>
      <c r="QMO146" s="433"/>
      <c r="QMP146" s="433"/>
      <c r="QMQ146" s="433"/>
      <c r="QMR146" s="433"/>
      <c r="QMS146" s="433"/>
      <c r="QMT146" s="433"/>
      <c r="QMU146" s="433"/>
      <c r="QMV146" s="433"/>
      <c r="QMW146" s="433"/>
      <c r="QMX146" s="433"/>
      <c r="QMY146" s="433"/>
      <c r="QMZ146" s="433"/>
      <c r="QNA146" s="433"/>
      <c r="QNB146" s="433"/>
      <c r="QNC146" s="433"/>
      <c r="QND146" s="433"/>
      <c r="QNE146" s="433"/>
      <c r="QNF146" s="433"/>
      <c r="QNG146" s="433"/>
      <c r="QNH146" s="433"/>
      <c r="QNI146" s="433"/>
      <c r="QNJ146" s="433"/>
      <c r="QNK146" s="433"/>
      <c r="QNL146" s="433"/>
      <c r="QNM146" s="433"/>
      <c r="QNN146" s="433"/>
      <c r="QNO146" s="433"/>
      <c r="QNP146" s="433"/>
      <c r="QNQ146" s="433"/>
      <c r="QNR146" s="433"/>
      <c r="QNS146" s="433"/>
      <c r="QNT146" s="433"/>
      <c r="QNU146" s="433"/>
      <c r="QNV146" s="433"/>
      <c r="QNW146" s="433"/>
      <c r="QNX146" s="433"/>
      <c r="QNY146" s="433"/>
      <c r="QNZ146" s="433"/>
      <c r="QOA146" s="433"/>
      <c r="QOB146" s="433"/>
      <c r="QOC146" s="433"/>
      <c r="QOD146" s="433"/>
      <c r="QOE146" s="433"/>
      <c r="QOF146" s="433"/>
      <c r="QOG146" s="433"/>
      <c r="QOH146" s="433"/>
      <c r="QOI146" s="433"/>
      <c r="QOJ146" s="433"/>
      <c r="QOK146" s="433"/>
      <c r="QOL146" s="433"/>
      <c r="QOM146" s="433"/>
      <c r="QON146" s="433"/>
      <c r="QOO146" s="433"/>
      <c r="QOP146" s="433"/>
      <c r="QOQ146" s="433"/>
      <c r="QOR146" s="433"/>
      <c r="QOS146" s="433"/>
      <c r="QOT146" s="433"/>
      <c r="QOU146" s="433"/>
      <c r="QOV146" s="433"/>
      <c r="QOW146" s="433"/>
      <c r="QOX146" s="433"/>
      <c r="QOY146" s="433"/>
      <c r="QOZ146" s="433"/>
      <c r="QPA146" s="433"/>
      <c r="QPB146" s="433"/>
      <c r="QPC146" s="433"/>
      <c r="QPD146" s="433"/>
      <c r="QPE146" s="433"/>
      <c r="QPF146" s="433"/>
      <c r="QPG146" s="433"/>
      <c r="QPH146" s="433"/>
      <c r="QPI146" s="433"/>
      <c r="QPJ146" s="433"/>
      <c r="QPK146" s="433"/>
      <c r="QPL146" s="433"/>
      <c r="QPM146" s="433"/>
      <c r="QPN146" s="433"/>
      <c r="QPO146" s="433"/>
      <c r="QPP146" s="433"/>
      <c r="QPQ146" s="433"/>
      <c r="QPR146" s="433"/>
      <c r="QPS146" s="433"/>
      <c r="QPT146" s="433"/>
      <c r="QPU146" s="433"/>
      <c r="QPV146" s="433"/>
      <c r="QPW146" s="433"/>
      <c r="QPX146" s="433"/>
      <c r="QPY146" s="433"/>
      <c r="QPZ146" s="433"/>
      <c r="QQA146" s="433"/>
      <c r="QQB146" s="433"/>
      <c r="QQC146" s="433"/>
      <c r="QQD146" s="433"/>
      <c r="QQE146" s="433"/>
      <c r="QQF146" s="433"/>
      <c r="QQG146" s="433"/>
      <c r="QQH146" s="433"/>
      <c r="QQI146" s="433"/>
      <c r="QQJ146" s="433"/>
      <c r="QQK146" s="433"/>
      <c r="QQL146" s="433"/>
      <c r="QQM146" s="433"/>
      <c r="QQN146" s="433"/>
      <c r="QQO146" s="433"/>
      <c r="QQP146" s="433"/>
      <c r="QQQ146" s="433"/>
      <c r="QQR146" s="433"/>
      <c r="QQS146" s="433"/>
      <c r="QQT146" s="433"/>
      <c r="QQU146" s="433"/>
      <c r="QQV146" s="433"/>
      <c r="QQW146" s="433"/>
      <c r="QQX146" s="433"/>
      <c r="QQY146" s="433"/>
      <c r="QQZ146" s="433"/>
      <c r="QRA146" s="433"/>
      <c r="QRB146" s="433"/>
      <c r="QRC146" s="433"/>
      <c r="QRD146" s="433"/>
      <c r="QRE146" s="433"/>
      <c r="QRF146" s="433"/>
      <c r="QRG146" s="433"/>
      <c r="QRH146" s="433"/>
      <c r="QRI146" s="433"/>
      <c r="QRJ146" s="433"/>
      <c r="QRK146" s="433"/>
      <c r="QRL146" s="433"/>
      <c r="QRM146" s="433"/>
      <c r="QRN146" s="433"/>
      <c r="QRO146" s="433"/>
      <c r="QRP146" s="433"/>
      <c r="QRQ146" s="433"/>
      <c r="QRR146" s="433"/>
      <c r="QRS146" s="433"/>
      <c r="QRT146" s="433"/>
      <c r="QRU146" s="433"/>
      <c r="QRV146" s="433"/>
      <c r="QRW146" s="433"/>
      <c r="QRX146" s="433"/>
      <c r="QRY146" s="433"/>
      <c r="QRZ146" s="433"/>
      <c r="QSA146" s="433"/>
      <c r="QSB146" s="433"/>
      <c r="QSC146" s="433"/>
      <c r="QSD146" s="433"/>
      <c r="QSE146" s="433"/>
      <c r="QSF146" s="433"/>
      <c r="QSG146" s="433"/>
      <c r="QSH146" s="433"/>
      <c r="QSI146" s="433"/>
      <c r="QSJ146" s="433"/>
      <c r="QSK146" s="433"/>
      <c r="QSL146" s="433"/>
      <c r="QSM146" s="433"/>
      <c r="QSN146" s="433"/>
      <c r="QSO146" s="433"/>
      <c r="QSP146" s="433"/>
      <c r="QSQ146" s="433"/>
      <c r="QSR146" s="433"/>
      <c r="QSS146" s="433"/>
      <c r="QST146" s="433"/>
      <c r="QSU146" s="433"/>
      <c r="QSV146" s="433"/>
      <c r="QSW146" s="433"/>
      <c r="QSX146" s="433"/>
      <c r="QSY146" s="433"/>
      <c r="QSZ146" s="433"/>
      <c r="QTA146" s="433"/>
      <c r="QTB146" s="433"/>
      <c r="QTC146" s="433"/>
      <c r="QTD146" s="433"/>
      <c r="QTE146" s="433"/>
      <c r="QTF146" s="433"/>
      <c r="QTG146" s="433"/>
      <c r="QTH146" s="433"/>
      <c r="QTI146" s="433"/>
      <c r="QTJ146" s="433"/>
      <c r="QTK146" s="433"/>
      <c r="QTL146" s="433"/>
      <c r="QTM146" s="433"/>
      <c r="QTN146" s="433"/>
      <c r="QTO146" s="433"/>
      <c r="QTP146" s="433"/>
      <c r="QTQ146" s="433"/>
      <c r="QTR146" s="433"/>
      <c r="QTS146" s="433"/>
      <c r="QTT146" s="433"/>
      <c r="QTU146" s="433"/>
      <c r="QTV146" s="433"/>
      <c r="QTW146" s="433"/>
      <c r="QTX146" s="433"/>
      <c r="QTY146" s="433"/>
      <c r="QTZ146" s="433"/>
      <c r="QUA146" s="433"/>
      <c r="QUB146" s="433"/>
      <c r="QUC146" s="433"/>
      <c r="QUD146" s="433"/>
      <c r="QUE146" s="433"/>
      <c r="QUF146" s="433"/>
      <c r="QUG146" s="433"/>
      <c r="QUH146" s="433"/>
      <c r="QUI146" s="433"/>
      <c r="QUJ146" s="433"/>
      <c r="QUK146" s="433"/>
      <c r="QUL146" s="433"/>
      <c r="QUM146" s="433"/>
      <c r="QUN146" s="433"/>
      <c r="QUO146" s="433"/>
      <c r="QUP146" s="433"/>
      <c r="QUQ146" s="433"/>
      <c r="QUR146" s="433"/>
      <c r="QUS146" s="433"/>
      <c r="QUT146" s="433"/>
      <c r="QUU146" s="433"/>
      <c r="QUV146" s="433"/>
      <c r="QUW146" s="433"/>
      <c r="QUX146" s="433"/>
      <c r="QUY146" s="433"/>
      <c r="QUZ146" s="433"/>
      <c r="QVA146" s="433"/>
      <c r="QVB146" s="433"/>
      <c r="QVC146" s="433"/>
      <c r="QVD146" s="433"/>
      <c r="QVE146" s="433"/>
      <c r="QVF146" s="433"/>
      <c r="QVG146" s="433"/>
      <c r="QVH146" s="433"/>
      <c r="QVI146" s="433"/>
      <c r="QVJ146" s="433"/>
      <c r="QVK146" s="433"/>
      <c r="QVL146" s="433"/>
      <c r="QVM146" s="433"/>
      <c r="QVN146" s="433"/>
      <c r="QVO146" s="433"/>
      <c r="QVP146" s="433"/>
      <c r="QVQ146" s="433"/>
      <c r="QVR146" s="433"/>
      <c r="QVS146" s="433"/>
      <c r="QVT146" s="433"/>
      <c r="QVU146" s="433"/>
      <c r="QVV146" s="433"/>
      <c r="QVW146" s="433"/>
      <c r="QVX146" s="433"/>
      <c r="QVY146" s="433"/>
      <c r="QVZ146" s="433"/>
      <c r="QWA146" s="433"/>
      <c r="QWB146" s="433"/>
      <c r="QWC146" s="433"/>
      <c r="QWD146" s="433"/>
      <c r="QWE146" s="433"/>
      <c r="QWF146" s="433"/>
      <c r="QWG146" s="433"/>
      <c r="QWH146" s="433"/>
      <c r="QWI146" s="433"/>
      <c r="QWJ146" s="433"/>
      <c r="QWK146" s="433"/>
      <c r="QWL146" s="433"/>
      <c r="QWM146" s="433"/>
      <c r="QWN146" s="433"/>
      <c r="QWO146" s="433"/>
      <c r="QWP146" s="433"/>
      <c r="QWQ146" s="433"/>
      <c r="QWR146" s="433"/>
      <c r="QWS146" s="433"/>
      <c r="QWT146" s="433"/>
      <c r="QWU146" s="433"/>
      <c r="QWV146" s="433"/>
      <c r="QWW146" s="433"/>
      <c r="QWX146" s="433"/>
      <c r="QWY146" s="433"/>
      <c r="QWZ146" s="433"/>
      <c r="QXA146" s="433"/>
      <c r="QXB146" s="433"/>
      <c r="QXC146" s="433"/>
      <c r="QXD146" s="433"/>
      <c r="QXE146" s="433"/>
      <c r="QXF146" s="433"/>
      <c r="QXG146" s="433"/>
      <c r="QXH146" s="433"/>
      <c r="QXI146" s="433"/>
      <c r="QXJ146" s="433"/>
      <c r="QXK146" s="433"/>
      <c r="QXL146" s="433"/>
      <c r="QXM146" s="433"/>
      <c r="QXN146" s="433"/>
      <c r="QXO146" s="433"/>
      <c r="QXP146" s="433"/>
      <c r="QXQ146" s="433"/>
      <c r="QXR146" s="433"/>
      <c r="QXS146" s="433"/>
      <c r="QXT146" s="433"/>
      <c r="QXU146" s="433"/>
      <c r="QXV146" s="433"/>
      <c r="QXW146" s="433"/>
      <c r="QXX146" s="433"/>
      <c r="QXY146" s="433"/>
      <c r="QXZ146" s="433"/>
      <c r="QYA146" s="433"/>
      <c r="QYB146" s="433"/>
      <c r="QYC146" s="433"/>
      <c r="QYD146" s="433"/>
      <c r="QYE146" s="433"/>
      <c r="QYF146" s="433"/>
      <c r="QYG146" s="433"/>
      <c r="QYH146" s="433"/>
      <c r="QYI146" s="433"/>
      <c r="QYJ146" s="433"/>
      <c r="QYK146" s="433"/>
      <c r="QYL146" s="433"/>
      <c r="QYM146" s="433"/>
      <c r="QYN146" s="433"/>
      <c r="QYO146" s="433"/>
      <c r="QYP146" s="433"/>
      <c r="QYQ146" s="433"/>
      <c r="QYR146" s="433"/>
      <c r="QYS146" s="433"/>
      <c r="QYT146" s="433"/>
      <c r="QYU146" s="433"/>
      <c r="QYV146" s="433"/>
      <c r="QYW146" s="433"/>
      <c r="QYX146" s="433"/>
      <c r="QYY146" s="433"/>
      <c r="QYZ146" s="433"/>
      <c r="QZA146" s="433"/>
      <c r="QZB146" s="433"/>
      <c r="QZC146" s="433"/>
      <c r="QZD146" s="433"/>
      <c r="QZE146" s="433"/>
      <c r="QZF146" s="433"/>
      <c r="QZG146" s="433"/>
      <c r="QZH146" s="433"/>
      <c r="QZI146" s="433"/>
      <c r="QZJ146" s="433"/>
      <c r="QZK146" s="433"/>
      <c r="QZL146" s="433"/>
      <c r="QZM146" s="433"/>
      <c r="QZN146" s="433"/>
      <c r="QZO146" s="433"/>
      <c r="QZP146" s="433"/>
      <c r="QZQ146" s="433"/>
      <c r="QZR146" s="433"/>
      <c r="QZS146" s="433"/>
      <c r="QZT146" s="433"/>
      <c r="QZU146" s="433"/>
      <c r="QZV146" s="433"/>
      <c r="QZW146" s="433"/>
      <c r="QZX146" s="433"/>
      <c r="QZY146" s="433"/>
      <c r="QZZ146" s="433"/>
      <c r="RAA146" s="433"/>
      <c r="RAB146" s="433"/>
      <c r="RAC146" s="433"/>
      <c r="RAD146" s="433"/>
      <c r="RAE146" s="433"/>
      <c r="RAF146" s="433"/>
      <c r="RAG146" s="433"/>
      <c r="RAH146" s="433"/>
      <c r="RAI146" s="433"/>
      <c r="RAJ146" s="433"/>
      <c r="RAK146" s="433"/>
      <c r="RAL146" s="433"/>
      <c r="RAM146" s="433"/>
      <c r="RAN146" s="433"/>
      <c r="RAO146" s="433"/>
      <c r="RAP146" s="433"/>
      <c r="RAQ146" s="433"/>
      <c r="RAR146" s="433"/>
      <c r="RAS146" s="433"/>
      <c r="RAT146" s="433"/>
      <c r="RAU146" s="433"/>
      <c r="RAV146" s="433"/>
      <c r="RAW146" s="433"/>
      <c r="RAX146" s="433"/>
      <c r="RAY146" s="433"/>
      <c r="RAZ146" s="433"/>
      <c r="RBA146" s="433"/>
      <c r="RBB146" s="433"/>
      <c r="RBC146" s="433"/>
      <c r="RBD146" s="433"/>
      <c r="RBE146" s="433"/>
      <c r="RBF146" s="433"/>
      <c r="RBG146" s="433"/>
      <c r="RBH146" s="433"/>
      <c r="RBI146" s="433"/>
      <c r="RBJ146" s="433"/>
      <c r="RBK146" s="433"/>
      <c r="RBL146" s="433"/>
      <c r="RBM146" s="433"/>
      <c r="RBN146" s="433"/>
      <c r="RBO146" s="433"/>
      <c r="RBP146" s="433"/>
      <c r="RBQ146" s="433"/>
      <c r="RBR146" s="433"/>
      <c r="RBS146" s="433"/>
      <c r="RBT146" s="433"/>
      <c r="RBU146" s="433"/>
      <c r="RBV146" s="433"/>
      <c r="RBW146" s="433"/>
      <c r="RBX146" s="433"/>
      <c r="RBY146" s="433"/>
      <c r="RBZ146" s="433"/>
      <c r="RCA146" s="433"/>
      <c r="RCB146" s="433"/>
      <c r="RCC146" s="433"/>
      <c r="RCD146" s="433"/>
      <c r="RCE146" s="433"/>
      <c r="RCF146" s="433"/>
      <c r="RCG146" s="433"/>
      <c r="RCH146" s="433"/>
      <c r="RCI146" s="433"/>
      <c r="RCJ146" s="433"/>
      <c r="RCK146" s="433"/>
      <c r="RCL146" s="433"/>
      <c r="RCM146" s="433"/>
      <c r="RCN146" s="433"/>
      <c r="RCO146" s="433"/>
      <c r="RCP146" s="433"/>
      <c r="RCQ146" s="433"/>
      <c r="RCR146" s="433"/>
      <c r="RCS146" s="433"/>
      <c r="RCT146" s="433"/>
      <c r="RCU146" s="433"/>
      <c r="RCV146" s="433"/>
      <c r="RCW146" s="433"/>
      <c r="RCX146" s="433"/>
      <c r="RCY146" s="433"/>
      <c r="RCZ146" s="433"/>
      <c r="RDA146" s="433"/>
      <c r="RDB146" s="433"/>
      <c r="RDC146" s="433"/>
      <c r="RDD146" s="433"/>
      <c r="RDE146" s="433"/>
      <c r="RDF146" s="433"/>
      <c r="RDG146" s="433"/>
      <c r="RDH146" s="433"/>
      <c r="RDI146" s="433"/>
      <c r="RDJ146" s="433"/>
      <c r="RDK146" s="433"/>
      <c r="RDL146" s="433"/>
      <c r="RDM146" s="433"/>
      <c r="RDN146" s="433"/>
      <c r="RDO146" s="433"/>
      <c r="RDP146" s="433"/>
      <c r="RDQ146" s="433"/>
      <c r="RDR146" s="433"/>
      <c r="RDS146" s="433"/>
      <c r="RDT146" s="433"/>
      <c r="RDU146" s="433"/>
      <c r="RDV146" s="433"/>
      <c r="RDW146" s="433"/>
      <c r="RDX146" s="433"/>
      <c r="RDY146" s="433"/>
      <c r="RDZ146" s="433"/>
      <c r="REA146" s="433"/>
      <c r="REB146" s="433"/>
      <c r="REC146" s="433"/>
      <c r="RED146" s="433"/>
      <c r="REE146" s="433"/>
      <c r="REF146" s="433"/>
      <c r="REG146" s="433"/>
      <c r="REH146" s="433"/>
      <c r="REI146" s="433"/>
      <c r="REJ146" s="433"/>
      <c r="REK146" s="433"/>
      <c r="REL146" s="433"/>
      <c r="REM146" s="433"/>
      <c r="REN146" s="433"/>
      <c r="REO146" s="433"/>
      <c r="REP146" s="433"/>
      <c r="REQ146" s="433"/>
      <c r="RER146" s="433"/>
      <c r="RES146" s="433"/>
      <c r="RET146" s="433"/>
      <c r="REU146" s="433"/>
      <c r="REV146" s="433"/>
      <c r="REW146" s="433"/>
      <c r="REX146" s="433"/>
      <c r="REY146" s="433"/>
      <c r="REZ146" s="433"/>
      <c r="RFA146" s="433"/>
      <c r="RFB146" s="433"/>
      <c r="RFC146" s="433"/>
      <c r="RFD146" s="433"/>
      <c r="RFE146" s="433"/>
      <c r="RFF146" s="433"/>
      <c r="RFG146" s="433"/>
      <c r="RFH146" s="433"/>
      <c r="RFI146" s="433"/>
      <c r="RFJ146" s="433"/>
      <c r="RFK146" s="433"/>
      <c r="RFL146" s="433"/>
      <c r="RFM146" s="433"/>
      <c r="RFN146" s="433"/>
      <c r="RFO146" s="433"/>
      <c r="RFP146" s="433"/>
      <c r="RFQ146" s="433"/>
      <c r="RFR146" s="433"/>
      <c r="RFS146" s="433"/>
      <c r="RFT146" s="433"/>
      <c r="RFU146" s="433"/>
      <c r="RFV146" s="433"/>
      <c r="RFW146" s="433"/>
      <c r="RFX146" s="433"/>
      <c r="RFY146" s="433"/>
      <c r="RFZ146" s="433"/>
      <c r="RGA146" s="433"/>
      <c r="RGB146" s="433"/>
      <c r="RGC146" s="433"/>
      <c r="RGD146" s="433"/>
      <c r="RGE146" s="433"/>
      <c r="RGF146" s="433"/>
      <c r="RGG146" s="433"/>
      <c r="RGH146" s="433"/>
      <c r="RGI146" s="433"/>
      <c r="RGJ146" s="433"/>
      <c r="RGK146" s="433"/>
      <c r="RGL146" s="433"/>
      <c r="RGM146" s="433"/>
      <c r="RGN146" s="433"/>
      <c r="RGO146" s="433"/>
      <c r="RGP146" s="433"/>
      <c r="RGQ146" s="433"/>
      <c r="RGR146" s="433"/>
      <c r="RGS146" s="433"/>
      <c r="RGT146" s="433"/>
      <c r="RGU146" s="433"/>
      <c r="RGV146" s="433"/>
      <c r="RGW146" s="433"/>
      <c r="RGX146" s="433"/>
      <c r="RGY146" s="433"/>
      <c r="RGZ146" s="433"/>
      <c r="RHA146" s="433"/>
      <c r="RHB146" s="433"/>
      <c r="RHC146" s="433"/>
      <c r="RHD146" s="433"/>
      <c r="RHE146" s="433"/>
      <c r="RHF146" s="433"/>
      <c r="RHG146" s="433"/>
      <c r="RHH146" s="433"/>
      <c r="RHI146" s="433"/>
      <c r="RHJ146" s="433"/>
      <c r="RHK146" s="433"/>
      <c r="RHL146" s="433"/>
      <c r="RHM146" s="433"/>
      <c r="RHN146" s="433"/>
      <c r="RHO146" s="433"/>
      <c r="RHP146" s="433"/>
      <c r="RHQ146" s="433"/>
      <c r="RHR146" s="433"/>
      <c r="RHS146" s="433"/>
      <c r="RHT146" s="433"/>
      <c r="RHU146" s="433"/>
      <c r="RHV146" s="433"/>
      <c r="RHW146" s="433"/>
      <c r="RHX146" s="433"/>
      <c r="RHY146" s="433"/>
      <c r="RHZ146" s="433"/>
      <c r="RIA146" s="433"/>
      <c r="RIB146" s="433"/>
      <c r="RIC146" s="433"/>
      <c r="RID146" s="433"/>
      <c r="RIE146" s="433"/>
      <c r="RIF146" s="433"/>
      <c r="RIG146" s="433"/>
      <c r="RIH146" s="433"/>
      <c r="RII146" s="433"/>
      <c r="RIJ146" s="433"/>
      <c r="RIK146" s="433"/>
      <c r="RIL146" s="433"/>
      <c r="RIM146" s="433"/>
      <c r="RIN146" s="433"/>
      <c r="RIO146" s="433"/>
      <c r="RIP146" s="433"/>
      <c r="RIQ146" s="433"/>
      <c r="RIR146" s="433"/>
      <c r="RIS146" s="433"/>
      <c r="RIT146" s="433"/>
      <c r="RIU146" s="433"/>
      <c r="RIV146" s="433"/>
      <c r="RIW146" s="433"/>
      <c r="RIX146" s="433"/>
      <c r="RIY146" s="433"/>
      <c r="RIZ146" s="433"/>
      <c r="RJA146" s="433"/>
      <c r="RJB146" s="433"/>
      <c r="RJC146" s="433"/>
      <c r="RJD146" s="433"/>
      <c r="RJE146" s="433"/>
      <c r="RJF146" s="433"/>
      <c r="RJG146" s="433"/>
      <c r="RJH146" s="433"/>
      <c r="RJI146" s="433"/>
      <c r="RJJ146" s="433"/>
      <c r="RJK146" s="433"/>
      <c r="RJL146" s="433"/>
      <c r="RJM146" s="433"/>
      <c r="RJN146" s="433"/>
      <c r="RJO146" s="433"/>
      <c r="RJP146" s="433"/>
      <c r="RJQ146" s="433"/>
      <c r="RJR146" s="433"/>
      <c r="RJS146" s="433"/>
      <c r="RJT146" s="433"/>
      <c r="RJU146" s="433"/>
      <c r="RJV146" s="433"/>
      <c r="RJW146" s="433"/>
      <c r="RJX146" s="433"/>
      <c r="RJY146" s="433"/>
      <c r="RJZ146" s="433"/>
      <c r="RKA146" s="433"/>
      <c r="RKB146" s="433"/>
      <c r="RKC146" s="433"/>
      <c r="RKD146" s="433"/>
      <c r="RKE146" s="433"/>
      <c r="RKF146" s="433"/>
      <c r="RKG146" s="433"/>
      <c r="RKH146" s="433"/>
      <c r="RKI146" s="433"/>
      <c r="RKJ146" s="433"/>
      <c r="RKK146" s="433"/>
      <c r="RKL146" s="433"/>
      <c r="RKM146" s="433"/>
      <c r="RKN146" s="433"/>
      <c r="RKO146" s="433"/>
      <c r="RKP146" s="433"/>
      <c r="RKQ146" s="433"/>
      <c r="RKR146" s="433"/>
      <c r="RKS146" s="433"/>
      <c r="RKT146" s="433"/>
      <c r="RKU146" s="433"/>
      <c r="RKV146" s="433"/>
      <c r="RKW146" s="433"/>
      <c r="RKX146" s="433"/>
      <c r="RKY146" s="433"/>
      <c r="RKZ146" s="433"/>
      <c r="RLA146" s="433"/>
      <c r="RLB146" s="433"/>
      <c r="RLC146" s="433"/>
      <c r="RLD146" s="433"/>
      <c r="RLE146" s="433"/>
      <c r="RLF146" s="433"/>
      <c r="RLG146" s="433"/>
      <c r="RLH146" s="433"/>
      <c r="RLI146" s="433"/>
      <c r="RLJ146" s="433"/>
      <c r="RLK146" s="433"/>
      <c r="RLL146" s="433"/>
      <c r="RLM146" s="433"/>
      <c r="RLN146" s="433"/>
      <c r="RLO146" s="433"/>
      <c r="RLP146" s="433"/>
      <c r="RLQ146" s="433"/>
      <c r="RLR146" s="433"/>
      <c r="RLS146" s="433"/>
      <c r="RLT146" s="433"/>
      <c r="RLU146" s="433"/>
      <c r="RLV146" s="433"/>
      <c r="RLW146" s="433"/>
      <c r="RLX146" s="433"/>
      <c r="RLY146" s="433"/>
      <c r="RLZ146" s="433"/>
      <c r="RMA146" s="433"/>
      <c r="RMB146" s="433"/>
      <c r="RMC146" s="433"/>
      <c r="RMD146" s="433"/>
      <c r="RME146" s="433"/>
      <c r="RMF146" s="433"/>
      <c r="RMG146" s="433"/>
      <c r="RMH146" s="433"/>
      <c r="RMI146" s="433"/>
      <c r="RMJ146" s="433"/>
      <c r="RMK146" s="433"/>
      <c r="RML146" s="433"/>
      <c r="RMM146" s="433"/>
      <c r="RMN146" s="433"/>
      <c r="RMO146" s="433"/>
      <c r="RMP146" s="433"/>
      <c r="RMQ146" s="433"/>
      <c r="RMR146" s="433"/>
      <c r="RMS146" s="433"/>
      <c r="RMT146" s="433"/>
      <c r="RMU146" s="433"/>
      <c r="RMV146" s="433"/>
      <c r="RMW146" s="433"/>
      <c r="RMX146" s="433"/>
      <c r="RMY146" s="433"/>
      <c r="RMZ146" s="433"/>
      <c r="RNA146" s="433"/>
      <c r="RNB146" s="433"/>
      <c r="RNC146" s="433"/>
      <c r="RND146" s="433"/>
      <c r="RNE146" s="433"/>
      <c r="RNF146" s="433"/>
      <c r="RNG146" s="433"/>
      <c r="RNH146" s="433"/>
      <c r="RNI146" s="433"/>
      <c r="RNJ146" s="433"/>
      <c r="RNK146" s="433"/>
      <c r="RNL146" s="433"/>
      <c r="RNM146" s="433"/>
      <c r="RNN146" s="433"/>
      <c r="RNO146" s="433"/>
      <c r="RNP146" s="433"/>
      <c r="RNQ146" s="433"/>
      <c r="RNR146" s="433"/>
      <c r="RNS146" s="433"/>
      <c r="RNT146" s="433"/>
      <c r="RNU146" s="433"/>
      <c r="RNV146" s="433"/>
      <c r="RNW146" s="433"/>
      <c r="RNX146" s="433"/>
      <c r="RNY146" s="433"/>
      <c r="RNZ146" s="433"/>
      <c r="ROA146" s="433"/>
      <c r="ROB146" s="433"/>
      <c r="ROC146" s="433"/>
      <c r="ROD146" s="433"/>
      <c r="ROE146" s="433"/>
      <c r="ROF146" s="433"/>
      <c r="ROG146" s="433"/>
      <c r="ROH146" s="433"/>
      <c r="ROI146" s="433"/>
      <c r="ROJ146" s="433"/>
      <c r="ROK146" s="433"/>
      <c r="ROL146" s="433"/>
      <c r="ROM146" s="433"/>
      <c r="RON146" s="433"/>
      <c r="ROO146" s="433"/>
      <c r="ROP146" s="433"/>
      <c r="ROQ146" s="433"/>
      <c r="ROR146" s="433"/>
      <c r="ROS146" s="433"/>
      <c r="ROT146" s="433"/>
      <c r="ROU146" s="433"/>
      <c r="ROV146" s="433"/>
      <c r="ROW146" s="433"/>
      <c r="ROX146" s="433"/>
      <c r="ROY146" s="433"/>
      <c r="ROZ146" s="433"/>
      <c r="RPA146" s="433"/>
      <c r="RPB146" s="433"/>
      <c r="RPC146" s="433"/>
      <c r="RPD146" s="433"/>
      <c r="RPE146" s="433"/>
      <c r="RPF146" s="433"/>
      <c r="RPG146" s="433"/>
      <c r="RPH146" s="433"/>
      <c r="RPI146" s="433"/>
      <c r="RPJ146" s="433"/>
      <c r="RPK146" s="433"/>
      <c r="RPL146" s="433"/>
      <c r="RPM146" s="433"/>
      <c r="RPN146" s="433"/>
      <c r="RPO146" s="433"/>
      <c r="RPP146" s="433"/>
      <c r="RPQ146" s="433"/>
      <c r="RPR146" s="433"/>
      <c r="RPS146" s="433"/>
      <c r="RPT146" s="433"/>
      <c r="RPU146" s="433"/>
      <c r="RPV146" s="433"/>
      <c r="RPW146" s="433"/>
      <c r="RPX146" s="433"/>
      <c r="RPY146" s="433"/>
      <c r="RPZ146" s="433"/>
      <c r="RQA146" s="433"/>
      <c r="RQB146" s="433"/>
      <c r="RQC146" s="433"/>
      <c r="RQD146" s="433"/>
      <c r="RQE146" s="433"/>
      <c r="RQF146" s="433"/>
      <c r="RQG146" s="433"/>
      <c r="RQH146" s="433"/>
      <c r="RQI146" s="433"/>
      <c r="RQJ146" s="433"/>
      <c r="RQK146" s="433"/>
      <c r="RQL146" s="433"/>
      <c r="RQM146" s="433"/>
      <c r="RQN146" s="433"/>
      <c r="RQO146" s="433"/>
      <c r="RQP146" s="433"/>
      <c r="RQQ146" s="433"/>
      <c r="RQR146" s="433"/>
      <c r="RQS146" s="433"/>
      <c r="RQT146" s="433"/>
      <c r="RQU146" s="433"/>
      <c r="RQV146" s="433"/>
      <c r="RQW146" s="433"/>
      <c r="RQX146" s="433"/>
      <c r="RQY146" s="433"/>
      <c r="RQZ146" s="433"/>
      <c r="RRA146" s="433"/>
      <c r="RRB146" s="433"/>
      <c r="RRC146" s="433"/>
      <c r="RRD146" s="433"/>
      <c r="RRE146" s="433"/>
      <c r="RRF146" s="433"/>
      <c r="RRG146" s="433"/>
      <c r="RRH146" s="433"/>
      <c r="RRI146" s="433"/>
      <c r="RRJ146" s="433"/>
      <c r="RRK146" s="433"/>
      <c r="RRL146" s="433"/>
      <c r="RRM146" s="433"/>
      <c r="RRN146" s="433"/>
      <c r="RRO146" s="433"/>
      <c r="RRP146" s="433"/>
      <c r="RRQ146" s="433"/>
      <c r="RRR146" s="433"/>
      <c r="RRS146" s="433"/>
      <c r="RRT146" s="433"/>
      <c r="RRU146" s="433"/>
      <c r="RRV146" s="433"/>
      <c r="RRW146" s="433"/>
      <c r="RRX146" s="433"/>
      <c r="RRY146" s="433"/>
      <c r="RRZ146" s="433"/>
      <c r="RSA146" s="433"/>
      <c r="RSB146" s="433"/>
      <c r="RSC146" s="433"/>
      <c r="RSD146" s="433"/>
      <c r="RSE146" s="433"/>
      <c r="RSF146" s="433"/>
      <c r="RSG146" s="433"/>
      <c r="RSH146" s="433"/>
      <c r="RSI146" s="433"/>
      <c r="RSJ146" s="433"/>
      <c r="RSK146" s="433"/>
      <c r="RSL146" s="433"/>
      <c r="RSM146" s="433"/>
      <c r="RSN146" s="433"/>
      <c r="RSO146" s="433"/>
      <c r="RSP146" s="433"/>
      <c r="RSQ146" s="433"/>
      <c r="RSR146" s="433"/>
      <c r="RSS146" s="433"/>
      <c r="RST146" s="433"/>
      <c r="RSU146" s="433"/>
      <c r="RSV146" s="433"/>
      <c r="RSW146" s="433"/>
      <c r="RSX146" s="433"/>
      <c r="RSY146" s="433"/>
      <c r="RSZ146" s="433"/>
      <c r="RTA146" s="433"/>
      <c r="RTB146" s="433"/>
      <c r="RTC146" s="433"/>
      <c r="RTD146" s="433"/>
      <c r="RTE146" s="433"/>
      <c r="RTF146" s="433"/>
      <c r="RTG146" s="433"/>
      <c r="RTH146" s="433"/>
      <c r="RTI146" s="433"/>
      <c r="RTJ146" s="433"/>
      <c r="RTK146" s="433"/>
      <c r="RTL146" s="433"/>
      <c r="RTM146" s="433"/>
      <c r="RTN146" s="433"/>
      <c r="RTO146" s="433"/>
      <c r="RTP146" s="433"/>
      <c r="RTQ146" s="433"/>
      <c r="RTR146" s="433"/>
      <c r="RTS146" s="433"/>
      <c r="RTT146" s="433"/>
      <c r="RTU146" s="433"/>
      <c r="RTV146" s="433"/>
      <c r="RTW146" s="433"/>
      <c r="RTX146" s="433"/>
      <c r="RTY146" s="433"/>
      <c r="RTZ146" s="433"/>
      <c r="RUA146" s="433"/>
      <c r="RUB146" s="433"/>
      <c r="RUC146" s="433"/>
      <c r="RUD146" s="433"/>
      <c r="RUE146" s="433"/>
      <c r="RUF146" s="433"/>
      <c r="RUG146" s="433"/>
      <c r="RUH146" s="433"/>
      <c r="RUI146" s="433"/>
      <c r="RUJ146" s="433"/>
      <c r="RUK146" s="433"/>
      <c r="RUL146" s="433"/>
      <c r="RUM146" s="433"/>
      <c r="RUN146" s="433"/>
      <c r="RUO146" s="433"/>
      <c r="RUP146" s="433"/>
      <c r="RUQ146" s="433"/>
      <c r="RUR146" s="433"/>
      <c r="RUS146" s="433"/>
      <c r="RUT146" s="433"/>
      <c r="RUU146" s="433"/>
      <c r="RUV146" s="433"/>
      <c r="RUW146" s="433"/>
      <c r="RUX146" s="433"/>
      <c r="RUY146" s="433"/>
      <c r="RUZ146" s="433"/>
      <c r="RVA146" s="433"/>
      <c r="RVB146" s="433"/>
      <c r="RVC146" s="433"/>
      <c r="RVD146" s="433"/>
      <c r="RVE146" s="433"/>
      <c r="RVF146" s="433"/>
      <c r="RVG146" s="433"/>
      <c r="RVH146" s="433"/>
      <c r="RVI146" s="433"/>
      <c r="RVJ146" s="433"/>
      <c r="RVK146" s="433"/>
      <c r="RVL146" s="433"/>
      <c r="RVM146" s="433"/>
      <c r="RVN146" s="433"/>
      <c r="RVO146" s="433"/>
      <c r="RVP146" s="433"/>
      <c r="RVQ146" s="433"/>
      <c r="RVR146" s="433"/>
      <c r="RVS146" s="433"/>
      <c r="RVT146" s="433"/>
      <c r="RVU146" s="433"/>
      <c r="RVV146" s="433"/>
      <c r="RVW146" s="433"/>
      <c r="RVX146" s="433"/>
      <c r="RVY146" s="433"/>
      <c r="RVZ146" s="433"/>
      <c r="RWA146" s="433"/>
      <c r="RWB146" s="433"/>
      <c r="RWC146" s="433"/>
      <c r="RWD146" s="433"/>
      <c r="RWE146" s="433"/>
      <c r="RWF146" s="433"/>
      <c r="RWG146" s="433"/>
      <c r="RWH146" s="433"/>
      <c r="RWI146" s="433"/>
      <c r="RWJ146" s="433"/>
      <c r="RWK146" s="433"/>
      <c r="RWL146" s="433"/>
      <c r="RWM146" s="433"/>
      <c r="RWN146" s="433"/>
      <c r="RWO146" s="433"/>
      <c r="RWP146" s="433"/>
      <c r="RWQ146" s="433"/>
      <c r="RWR146" s="433"/>
      <c r="RWS146" s="433"/>
      <c r="RWT146" s="433"/>
      <c r="RWU146" s="433"/>
      <c r="RWV146" s="433"/>
      <c r="RWW146" s="433"/>
      <c r="RWX146" s="433"/>
      <c r="RWY146" s="433"/>
      <c r="RWZ146" s="433"/>
      <c r="RXA146" s="433"/>
      <c r="RXB146" s="433"/>
      <c r="RXC146" s="433"/>
      <c r="RXD146" s="433"/>
      <c r="RXE146" s="433"/>
      <c r="RXF146" s="433"/>
      <c r="RXG146" s="433"/>
      <c r="RXH146" s="433"/>
      <c r="RXI146" s="433"/>
      <c r="RXJ146" s="433"/>
      <c r="RXK146" s="433"/>
      <c r="RXL146" s="433"/>
      <c r="RXM146" s="433"/>
      <c r="RXN146" s="433"/>
      <c r="RXO146" s="433"/>
      <c r="RXP146" s="433"/>
      <c r="RXQ146" s="433"/>
      <c r="RXR146" s="433"/>
      <c r="RXS146" s="433"/>
      <c r="RXT146" s="433"/>
      <c r="RXU146" s="433"/>
      <c r="RXV146" s="433"/>
      <c r="RXW146" s="433"/>
      <c r="RXX146" s="433"/>
      <c r="RXY146" s="433"/>
      <c r="RXZ146" s="433"/>
      <c r="RYA146" s="433"/>
      <c r="RYB146" s="433"/>
      <c r="RYC146" s="433"/>
      <c r="RYD146" s="433"/>
      <c r="RYE146" s="433"/>
      <c r="RYF146" s="433"/>
      <c r="RYG146" s="433"/>
      <c r="RYH146" s="433"/>
      <c r="RYI146" s="433"/>
      <c r="RYJ146" s="433"/>
      <c r="RYK146" s="433"/>
      <c r="RYL146" s="433"/>
      <c r="RYM146" s="433"/>
      <c r="RYN146" s="433"/>
      <c r="RYO146" s="433"/>
      <c r="RYP146" s="433"/>
      <c r="RYQ146" s="433"/>
      <c r="RYR146" s="433"/>
      <c r="RYS146" s="433"/>
      <c r="RYT146" s="433"/>
      <c r="RYU146" s="433"/>
      <c r="RYV146" s="433"/>
      <c r="RYW146" s="433"/>
      <c r="RYX146" s="433"/>
      <c r="RYY146" s="433"/>
      <c r="RYZ146" s="433"/>
      <c r="RZA146" s="433"/>
      <c r="RZB146" s="433"/>
      <c r="RZC146" s="433"/>
      <c r="RZD146" s="433"/>
      <c r="RZE146" s="433"/>
      <c r="RZF146" s="433"/>
      <c r="RZG146" s="433"/>
      <c r="RZH146" s="433"/>
      <c r="RZI146" s="433"/>
      <c r="RZJ146" s="433"/>
      <c r="RZK146" s="433"/>
      <c r="RZL146" s="433"/>
      <c r="RZM146" s="433"/>
      <c r="RZN146" s="433"/>
      <c r="RZO146" s="433"/>
      <c r="RZP146" s="433"/>
      <c r="RZQ146" s="433"/>
      <c r="RZR146" s="433"/>
      <c r="RZS146" s="433"/>
      <c r="RZT146" s="433"/>
      <c r="RZU146" s="433"/>
      <c r="RZV146" s="433"/>
      <c r="RZW146" s="433"/>
      <c r="RZX146" s="433"/>
      <c r="RZY146" s="433"/>
      <c r="RZZ146" s="433"/>
      <c r="SAA146" s="433"/>
      <c r="SAB146" s="433"/>
      <c r="SAC146" s="433"/>
      <c r="SAD146" s="433"/>
      <c r="SAE146" s="433"/>
      <c r="SAF146" s="433"/>
      <c r="SAG146" s="433"/>
      <c r="SAH146" s="433"/>
      <c r="SAI146" s="433"/>
      <c r="SAJ146" s="433"/>
      <c r="SAK146" s="433"/>
      <c r="SAL146" s="433"/>
      <c r="SAM146" s="433"/>
      <c r="SAN146" s="433"/>
      <c r="SAO146" s="433"/>
      <c r="SAP146" s="433"/>
      <c r="SAQ146" s="433"/>
      <c r="SAR146" s="433"/>
      <c r="SAS146" s="433"/>
      <c r="SAT146" s="433"/>
      <c r="SAU146" s="433"/>
      <c r="SAV146" s="433"/>
      <c r="SAW146" s="433"/>
      <c r="SAX146" s="433"/>
      <c r="SAY146" s="433"/>
      <c r="SAZ146" s="433"/>
      <c r="SBA146" s="433"/>
      <c r="SBB146" s="433"/>
      <c r="SBC146" s="433"/>
      <c r="SBD146" s="433"/>
      <c r="SBE146" s="433"/>
      <c r="SBF146" s="433"/>
      <c r="SBG146" s="433"/>
      <c r="SBH146" s="433"/>
      <c r="SBI146" s="433"/>
      <c r="SBJ146" s="433"/>
      <c r="SBK146" s="433"/>
      <c r="SBL146" s="433"/>
      <c r="SBM146" s="433"/>
      <c r="SBN146" s="433"/>
      <c r="SBO146" s="433"/>
      <c r="SBP146" s="433"/>
      <c r="SBQ146" s="433"/>
      <c r="SBR146" s="433"/>
      <c r="SBS146" s="433"/>
      <c r="SBT146" s="433"/>
      <c r="SBU146" s="433"/>
      <c r="SBV146" s="433"/>
      <c r="SBW146" s="433"/>
      <c r="SBX146" s="433"/>
      <c r="SBY146" s="433"/>
      <c r="SBZ146" s="433"/>
      <c r="SCA146" s="433"/>
      <c r="SCB146" s="433"/>
      <c r="SCC146" s="433"/>
      <c r="SCD146" s="433"/>
      <c r="SCE146" s="433"/>
      <c r="SCF146" s="433"/>
      <c r="SCG146" s="433"/>
      <c r="SCH146" s="433"/>
      <c r="SCI146" s="433"/>
      <c r="SCJ146" s="433"/>
      <c r="SCK146" s="433"/>
      <c r="SCL146" s="433"/>
      <c r="SCM146" s="433"/>
      <c r="SCN146" s="433"/>
      <c r="SCO146" s="433"/>
      <c r="SCP146" s="433"/>
      <c r="SCQ146" s="433"/>
      <c r="SCR146" s="433"/>
      <c r="SCS146" s="433"/>
      <c r="SCT146" s="433"/>
      <c r="SCU146" s="433"/>
      <c r="SCV146" s="433"/>
      <c r="SCW146" s="433"/>
      <c r="SCX146" s="433"/>
      <c r="SCY146" s="433"/>
      <c r="SCZ146" s="433"/>
      <c r="SDA146" s="433"/>
      <c r="SDB146" s="433"/>
      <c r="SDC146" s="433"/>
      <c r="SDD146" s="433"/>
      <c r="SDE146" s="433"/>
      <c r="SDF146" s="433"/>
      <c r="SDG146" s="433"/>
      <c r="SDH146" s="433"/>
      <c r="SDI146" s="433"/>
      <c r="SDJ146" s="433"/>
      <c r="SDK146" s="433"/>
      <c r="SDL146" s="433"/>
      <c r="SDM146" s="433"/>
      <c r="SDN146" s="433"/>
      <c r="SDO146" s="433"/>
      <c r="SDP146" s="433"/>
      <c r="SDQ146" s="433"/>
      <c r="SDR146" s="433"/>
      <c r="SDS146" s="433"/>
      <c r="SDT146" s="433"/>
      <c r="SDU146" s="433"/>
      <c r="SDV146" s="433"/>
      <c r="SDW146" s="433"/>
      <c r="SDX146" s="433"/>
      <c r="SDY146" s="433"/>
      <c r="SDZ146" s="433"/>
      <c r="SEA146" s="433"/>
      <c r="SEB146" s="433"/>
      <c r="SEC146" s="433"/>
      <c r="SED146" s="433"/>
      <c r="SEE146" s="433"/>
      <c r="SEF146" s="433"/>
      <c r="SEG146" s="433"/>
      <c r="SEH146" s="433"/>
      <c r="SEI146" s="433"/>
      <c r="SEJ146" s="433"/>
      <c r="SEK146" s="433"/>
      <c r="SEL146" s="433"/>
      <c r="SEM146" s="433"/>
      <c r="SEN146" s="433"/>
      <c r="SEO146" s="433"/>
      <c r="SEP146" s="433"/>
      <c r="SEQ146" s="433"/>
      <c r="SER146" s="433"/>
      <c r="SES146" s="433"/>
      <c r="SET146" s="433"/>
      <c r="SEU146" s="433"/>
      <c r="SEV146" s="433"/>
      <c r="SEW146" s="433"/>
      <c r="SEX146" s="433"/>
      <c r="SEY146" s="433"/>
      <c r="SEZ146" s="433"/>
      <c r="SFA146" s="433"/>
      <c r="SFB146" s="433"/>
      <c r="SFC146" s="433"/>
      <c r="SFD146" s="433"/>
      <c r="SFE146" s="433"/>
      <c r="SFF146" s="433"/>
      <c r="SFG146" s="433"/>
      <c r="SFH146" s="433"/>
      <c r="SFI146" s="433"/>
      <c r="SFJ146" s="433"/>
      <c r="SFK146" s="433"/>
      <c r="SFL146" s="433"/>
      <c r="SFM146" s="433"/>
      <c r="SFN146" s="433"/>
      <c r="SFO146" s="433"/>
      <c r="SFP146" s="433"/>
      <c r="SFQ146" s="433"/>
      <c r="SFR146" s="433"/>
      <c r="SFS146" s="433"/>
      <c r="SFT146" s="433"/>
      <c r="SFU146" s="433"/>
      <c r="SFV146" s="433"/>
      <c r="SFW146" s="433"/>
      <c r="SFX146" s="433"/>
      <c r="SFY146" s="433"/>
      <c r="SFZ146" s="433"/>
      <c r="SGA146" s="433"/>
      <c r="SGB146" s="433"/>
      <c r="SGC146" s="433"/>
      <c r="SGD146" s="433"/>
      <c r="SGE146" s="433"/>
      <c r="SGF146" s="433"/>
      <c r="SGG146" s="433"/>
      <c r="SGH146" s="433"/>
      <c r="SGI146" s="433"/>
      <c r="SGJ146" s="433"/>
      <c r="SGK146" s="433"/>
      <c r="SGL146" s="433"/>
      <c r="SGM146" s="433"/>
      <c r="SGN146" s="433"/>
      <c r="SGO146" s="433"/>
      <c r="SGP146" s="433"/>
      <c r="SGQ146" s="433"/>
      <c r="SGR146" s="433"/>
      <c r="SGS146" s="433"/>
      <c r="SGT146" s="433"/>
      <c r="SGU146" s="433"/>
      <c r="SGV146" s="433"/>
      <c r="SGW146" s="433"/>
      <c r="SGX146" s="433"/>
      <c r="SGY146" s="433"/>
      <c r="SGZ146" s="433"/>
      <c r="SHA146" s="433"/>
      <c r="SHB146" s="433"/>
      <c r="SHC146" s="433"/>
      <c r="SHD146" s="433"/>
      <c r="SHE146" s="433"/>
      <c r="SHF146" s="433"/>
      <c r="SHG146" s="433"/>
      <c r="SHH146" s="433"/>
      <c r="SHI146" s="433"/>
      <c r="SHJ146" s="433"/>
      <c r="SHK146" s="433"/>
      <c r="SHL146" s="433"/>
      <c r="SHM146" s="433"/>
      <c r="SHN146" s="433"/>
      <c r="SHO146" s="433"/>
      <c r="SHP146" s="433"/>
      <c r="SHQ146" s="433"/>
      <c r="SHR146" s="433"/>
      <c r="SHS146" s="433"/>
      <c r="SHT146" s="433"/>
      <c r="SHU146" s="433"/>
      <c r="SHV146" s="433"/>
      <c r="SHW146" s="433"/>
      <c r="SHX146" s="433"/>
      <c r="SHY146" s="433"/>
      <c r="SHZ146" s="433"/>
      <c r="SIA146" s="433"/>
      <c r="SIB146" s="433"/>
      <c r="SIC146" s="433"/>
      <c r="SID146" s="433"/>
      <c r="SIE146" s="433"/>
      <c r="SIF146" s="433"/>
      <c r="SIG146" s="433"/>
      <c r="SIH146" s="433"/>
      <c r="SII146" s="433"/>
      <c r="SIJ146" s="433"/>
      <c r="SIK146" s="433"/>
      <c r="SIL146" s="433"/>
      <c r="SIM146" s="433"/>
      <c r="SIN146" s="433"/>
      <c r="SIO146" s="433"/>
      <c r="SIP146" s="433"/>
      <c r="SIQ146" s="433"/>
      <c r="SIR146" s="433"/>
      <c r="SIS146" s="433"/>
      <c r="SIT146" s="433"/>
      <c r="SIU146" s="433"/>
      <c r="SIV146" s="433"/>
      <c r="SIW146" s="433"/>
      <c r="SIX146" s="433"/>
      <c r="SIY146" s="433"/>
      <c r="SIZ146" s="433"/>
      <c r="SJA146" s="433"/>
      <c r="SJB146" s="433"/>
      <c r="SJC146" s="433"/>
      <c r="SJD146" s="433"/>
      <c r="SJE146" s="433"/>
      <c r="SJF146" s="433"/>
      <c r="SJG146" s="433"/>
      <c r="SJH146" s="433"/>
      <c r="SJI146" s="433"/>
      <c r="SJJ146" s="433"/>
      <c r="SJK146" s="433"/>
      <c r="SJL146" s="433"/>
      <c r="SJM146" s="433"/>
      <c r="SJN146" s="433"/>
      <c r="SJO146" s="433"/>
      <c r="SJP146" s="433"/>
      <c r="SJQ146" s="433"/>
      <c r="SJR146" s="433"/>
      <c r="SJS146" s="433"/>
      <c r="SJT146" s="433"/>
      <c r="SJU146" s="433"/>
      <c r="SJV146" s="433"/>
      <c r="SJW146" s="433"/>
      <c r="SJX146" s="433"/>
      <c r="SJY146" s="433"/>
      <c r="SJZ146" s="433"/>
      <c r="SKA146" s="433"/>
      <c r="SKB146" s="433"/>
      <c r="SKC146" s="433"/>
      <c r="SKD146" s="433"/>
      <c r="SKE146" s="433"/>
      <c r="SKF146" s="433"/>
      <c r="SKG146" s="433"/>
      <c r="SKH146" s="433"/>
      <c r="SKI146" s="433"/>
      <c r="SKJ146" s="433"/>
      <c r="SKK146" s="433"/>
      <c r="SKL146" s="433"/>
      <c r="SKM146" s="433"/>
      <c r="SKN146" s="433"/>
      <c r="SKO146" s="433"/>
      <c r="SKP146" s="433"/>
      <c r="SKQ146" s="433"/>
      <c r="SKR146" s="433"/>
      <c r="SKS146" s="433"/>
      <c r="SKT146" s="433"/>
      <c r="SKU146" s="433"/>
      <c r="SKV146" s="433"/>
      <c r="SKW146" s="433"/>
      <c r="SKX146" s="433"/>
      <c r="SKY146" s="433"/>
      <c r="SKZ146" s="433"/>
      <c r="SLA146" s="433"/>
      <c r="SLB146" s="433"/>
      <c r="SLC146" s="433"/>
      <c r="SLD146" s="433"/>
      <c r="SLE146" s="433"/>
      <c r="SLF146" s="433"/>
      <c r="SLG146" s="433"/>
      <c r="SLH146" s="433"/>
      <c r="SLI146" s="433"/>
      <c r="SLJ146" s="433"/>
      <c r="SLK146" s="433"/>
      <c r="SLL146" s="433"/>
      <c r="SLM146" s="433"/>
      <c r="SLN146" s="433"/>
      <c r="SLO146" s="433"/>
      <c r="SLP146" s="433"/>
      <c r="SLQ146" s="433"/>
      <c r="SLR146" s="433"/>
      <c r="SLS146" s="433"/>
      <c r="SLT146" s="433"/>
      <c r="SLU146" s="433"/>
      <c r="SLV146" s="433"/>
      <c r="SLW146" s="433"/>
      <c r="SLX146" s="433"/>
      <c r="SLY146" s="433"/>
      <c r="SLZ146" s="433"/>
      <c r="SMA146" s="433"/>
      <c r="SMB146" s="433"/>
      <c r="SMC146" s="433"/>
      <c r="SMD146" s="433"/>
      <c r="SME146" s="433"/>
      <c r="SMF146" s="433"/>
      <c r="SMG146" s="433"/>
      <c r="SMH146" s="433"/>
      <c r="SMI146" s="433"/>
      <c r="SMJ146" s="433"/>
      <c r="SMK146" s="433"/>
      <c r="SML146" s="433"/>
      <c r="SMM146" s="433"/>
      <c r="SMN146" s="433"/>
      <c r="SMO146" s="433"/>
      <c r="SMP146" s="433"/>
      <c r="SMQ146" s="433"/>
      <c r="SMR146" s="433"/>
      <c r="SMS146" s="433"/>
      <c r="SMT146" s="433"/>
      <c r="SMU146" s="433"/>
      <c r="SMV146" s="433"/>
      <c r="SMW146" s="433"/>
      <c r="SMX146" s="433"/>
      <c r="SMY146" s="433"/>
      <c r="SMZ146" s="433"/>
      <c r="SNA146" s="433"/>
      <c r="SNB146" s="433"/>
      <c r="SNC146" s="433"/>
      <c r="SND146" s="433"/>
      <c r="SNE146" s="433"/>
      <c r="SNF146" s="433"/>
      <c r="SNG146" s="433"/>
      <c r="SNH146" s="433"/>
      <c r="SNI146" s="433"/>
      <c r="SNJ146" s="433"/>
      <c r="SNK146" s="433"/>
      <c r="SNL146" s="433"/>
      <c r="SNM146" s="433"/>
      <c r="SNN146" s="433"/>
      <c r="SNO146" s="433"/>
      <c r="SNP146" s="433"/>
      <c r="SNQ146" s="433"/>
      <c r="SNR146" s="433"/>
      <c r="SNS146" s="433"/>
      <c r="SNT146" s="433"/>
      <c r="SNU146" s="433"/>
      <c r="SNV146" s="433"/>
      <c r="SNW146" s="433"/>
      <c r="SNX146" s="433"/>
      <c r="SNY146" s="433"/>
      <c r="SNZ146" s="433"/>
      <c r="SOA146" s="433"/>
      <c r="SOB146" s="433"/>
      <c r="SOC146" s="433"/>
      <c r="SOD146" s="433"/>
      <c r="SOE146" s="433"/>
      <c r="SOF146" s="433"/>
      <c r="SOG146" s="433"/>
      <c r="SOH146" s="433"/>
      <c r="SOI146" s="433"/>
      <c r="SOJ146" s="433"/>
      <c r="SOK146" s="433"/>
      <c r="SOL146" s="433"/>
      <c r="SOM146" s="433"/>
      <c r="SON146" s="433"/>
      <c r="SOO146" s="433"/>
      <c r="SOP146" s="433"/>
      <c r="SOQ146" s="433"/>
      <c r="SOR146" s="433"/>
      <c r="SOS146" s="433"/>
      <c r="SOT146" s="433"/>
      <c r="SOU146" s="433"/>
      <c r="SOV146" s="433"/>
      <c r="SOW146" s="433"/>
      <c r="SOX146" s="433"/>
      <c r="SOY146" s="433"/>
      <c r="SOZ146" s="433"/>
      <c r="SPA146" s="433"/>
      <c r="SPB146" s="433"/>
      <c r="SPC146" s="433"/>
      <c r="SPD146" s="433"/>
      <c r="SPE146" s="433"/>
      <c r="SPF146" s="433"/>
      <c r="SPG146" s="433"/>
      <c r="SPH146" s="433"/>
      <c r="SPI146" s="433"/>
      <c r="SPJ146" s="433"/>
      <c r="SPK146" s="433"/>
      <c r="SPL146" s="433"/>
      <c r="SPM146" s="433"/>
      <c r="SPN146" s="433"/>
      <c r="SPO146" s="433"/>
      <c r="SPP146" s="433"/>
      <c r="SPQ146" s="433"/>
      <c r="SPR146" s="433"/>
      <c r="SPS146" s="433"/>
      <c r="SPT146" s="433"/>
      <c r="SPU146" s="433"/>
      <c r="SPV146" s="433"/>
      <c r="SPW146" s="433"/>
      <c r="SPX146" s="433"/>
      <c r="SPY146" s="433"/>
      <c r="SPZ146" s="433"/>
      <c r="SQA146" s="433"/>
      <c r="SQB146" s="433"/>
      <c r="SQC146" s="433"/>
      <c r="SQD146" s="433"/>
      <c r="SQE146" s="433"/>
      <c r="SQF146" s="433"/>
      <c r="SQG146" s="433"/>
      <c r="SQH146" s="433"/>
      <c r="SQI146" s="433"/>
      <c r="SQJ146" s="433"/>
      <c r="SQK146" s="433"/>
      <c r="SQL146" s="433"/>
      <c r="SQM146" s="433"/>
      <c r="SQN146" s="433"/>
      <c r="SQO146" s="433"/>
      <c r="SQP146" s="433"/>
      <c r="SQQ146" s="433"/>
      <c r="SQR146" s="433"/>
      <c r="SQS146" s="433"/>
      <c r="SQT146" s="433"/>
      <c r="SQU146" s="433"/>
      <c r="SQV146" s="433"/>
      <c r="SQW146" s="433"/>
      <c r="SQX146" s="433"/>
      <c r="SQY146" s="433"/>
      <c r="SQZ146" s="433"/>
      <c r="SRA146" s="433"/>
      <c r="SRB146" s="433"/>
      <c r="SRC146" s="433"/>
      <c r="SRD146" s="433"/>
      <c r="SRE146" s="433"/>
      <c r="SRF146" s="433"/>
      <c r="SRG146" s="433"/>
      <c r="SRH146" s="433"/>
      <c r="SRI146" s="433"/>
      <c r="SRJ146" s="433"/>
      <c r="SRK146" s="433"/>
      <c r="SRL146" s="433"/>
      <c r="SRM146" s="433"/>
      <c r="SRN146" s="433"/>
      <c r="SRO146" s="433"/>
      <c r="SRP146" s="433"/>
      <c r="SRQ146" s="433"/>
      <c r="SRR146" s="433"/>
      <c r="SRS146" s="433"/>
      <c r="SRT146" s="433"/>
      <c r="SRU146" s="433"/>
      <c r="SRV146" s="433"/>
      <c r="SRW146" s="433"/>
      <c r="SRX146" s="433"/>
      <c r="SRY146" s="433"/>
      <c r="SRZ146" s="433"/>
      <c r="SSA146" s="433"/>
      <c r="SSB146" s="433"/>
      <c r="SSC146" s="433"/>
      <c r="SSD146" s="433"/>
      <c r="SSE146" s="433"/>
      <c r="SSF146" s="433"/>
      <c r="SSG146" s="433"/>
      <c r="SSH146" s="433"/>
      <c r="SSI146" s="433"/>
      <c r="SSJ146" s="433"/>
      <c r="SSK146" s="433"/>
      <c r="SSL146" s="433"/>
      <c r="SSM146" s="433"/>
      <c r="SSN146" s="433"/>
      <c r="SSO146" s="433"/>
      <c r="SSP146" s="433"/>
      <c r="SSQ146" s="433"/>
      <c r="SSR146" s="433"/>
      <c r="SSS146" s="433"/>
      <c r="SST146" s="433"/>
      <c r="SSU146" s="433"/>
      <c r="SSV146" s="433"/>
      <c r="SSW146" s="433"/>
      <c r="SSX146" s="433"/>
      <c r="SSY146" s="433"/>
      <c r="SSZ146" s="433"/>
      <c r="STA146" s="433"/>
      <c r="STB146" s="433"/>
      <c r="STC146" s="433"/>
      <c r="STD146" s="433"/>
      <c r="STE146" s="433"/>
      <c r="STF146" s="433"/>
      <c r="STG146" s="433"/>
      <c r="STH146" s="433"/>
      <c r="STI146" s="433"/>
      <c r="STJ146" s="433"/>
      <c r="STK146" s="433"/>
      <c r="STL146" s="433"/>
      <c r="STM146" s="433"/>
      <c r="STN146" s="433"/>
      <c r="STO146" s="433"/>
      <c r="STP146" s="433"/>
      <c r="STQ146" s="433"/>
      <c r="STR146" s="433"/>
      <c r="STS146" s="433"/>
      <c r="STT146" s="433"/>
      <c r="STU146" s="433"/>
      <c r="STV146" s="433"/>
      <c r="STW146" s="433"/>
      <c r="STX146" s="433"/>
      <c r="STY146" s="433"/>
      <c r="STZ146" s="433"/>
      <c r="SUA146" s="433"/>
      <c r="SUB146" s="433"/>
      <c r="SUC146" s="433"/>
      <c r="SUD146" s="433"/>
      <c r="SUE146" s="433"/>
      <c r="SUF146" s="433"/>
      <c r="SUG146" s="433"/>
      <c r="SUH146" s="433"/>
      <c r="SUI146" s="433"/>
      <c r="SUJ146" s="433"/>
      <c r="SUK146" s="433"/>
      <c r="SUL146" s="433"/>
      <c r="SUM146" s="433"/>
      <c r="SUN146" s="433"/>
      <c r="SUO146" s="433"/>
      <c r="SUP146" s="433"/>
      <c r="SUQ146" s="433"/>
      <c r="SUR146" s="433"/>
      <c r="SUS146" s="433"/>
      <c r="SUT146" s="433"/>
      <c r="SUU146" s="433"/>
      <c r="SUV146" s="433"/>
      <c r="SUW146" s="433"/>
      <c r="SUX146" s="433"/>
      <c r="SUY146" s="433"/>
      <c r="SUZ146" s="433"/>
      <c r="SVA146" s="433"/>
      <c r="SVB146" s="433"/>
      <c r="SVC146" s="433"/>
      <c r="SVD146" s="433"/>
      <c r="SVE146" s="433"/>
      <c r="SVF146" s="433"/>
      <c r="SVG146" s="433"/>
      <c r="SVH146" s="433"/>
      <c r="SVI146" s="433"/>
      <c r="SVJ146" s="433"/>
      <c r="SVK146" s="433"/>
      <c r="SVL146" s="433"/>
      <c r="SVM146" s="433"/>
      <c r="SVN146" s="433"/>
      <c r="SVO146" s="433"/>
      <c r="SVP146" s="433"/>
      <c r="SVQ146" s="433"/>
      <c r="SVR146" s="433"/>
      <c r="SVS146" s="433"/>
      <c r="SVT146" s="433"/>
      <c r="SVU146" s="433"/>
      <c r="SVV146" s="433"/>
      <c r="SVW146" s="433"/>
      <c r="SVX146" s="433"/>
      <c r="SVY146" s="433"/>
      <c r="SVZ146" s="433"/>
      <c r="SWA146" s="433"/>
      <c r="SWB146" s="433"/>
      <c r="SWC146" s="433"/>
      <c r="SWD146" s="433"/>
      <c r="SWE146" s="433"/>
      <c r="SWF146" s="433"/>
      <c r="SWG146" s="433"/>
      <c r="SWH146" s="433"/>
      <c r="SWI146" s="433"/>
      <c r="SWJ146" s="433"/>
      <c r="SWK146" s="433"/>
      <c r="SWL146" s="433"/>
      <c r="SWM146" s="433"/>
      <c r="SWN146" s="433"/>
      <c r="SWO146" s="433"/>
      <c r="SWP146" s="433"/>
      <c r="SWQ146" s="433"/>
      <c r="SWR146" s="433"/>
      <c r="SWS146" s="433"/>
      <c r="SWT146" s="433"/>
      <c r="SWU146" s="433"/>
      <c r="SWV146" s="433"/>
      <c r="SWW146" s="433"/>
      <c r="SWX146" s="433"/>
      <c r="SWY146" s="433"/>
      <c r="SWZ146" s="433"/>
      <c r="SXA146" s="433"/>
      <c r="SXB146" s="433"/>
      <c r="SXC146" s="433"/>
      <c r="SXD146" s="433"/>
      <c r="SXE146" s="433"/>
      <c r="SXF146" s="433"/>
      <c r="SXG146" s="433"/>
      <c r="SXH146" s="433"/>
      <c r="SXI146" s="433"/>
      <c r="SXJ146" s="433"/>
      <c r="SXK146" s="433"/>
      <c r="SXL146" s="433"/>
      <c r="SXM146" s="433"/>
      <c r="SXN146" s="433"/>
      <c r="SXO146" s="433"/>
      <c r="SXP146" s="433"/>
      <c r="SXQ146" s="433"/>
      <c r="SXR146" s="433"/>
      <c r="SXS146" s="433"/>
      <c r="SXT146" s="433"/>
      <c r="SXU146" s="433"/>
      <c r="SXV146" s="433"/>
      <c r="SXW146" s="433"/>
      <c r="SXX146" s="433"/>
      <c r="SXY146" s="433"/>
      <c r="SXZ146" s="433"/>
      <c r="SYA146" s="433"/>
      <c r="SYB146" s="433"/>
      <c r="SYC146" s="433"/>
      <c r="SYD146" s="433"/>
      <c r="SYE146" s="433"/>
      <c r="SYF146" s="433"/>
      <c r="SYG146" s="433"/>
      <c r="SYH146" s="433"/>
      <c r="SYI146" s="433"/>
      <c r="SYJ146" s="433"/>
      <c r="SYK146" s="433"/>
      <c r="SYL146" s="433"/>
      <c r="SYM146" s="433"/>
      <c r="SYN146" s="433"/>
      <c r="SYO146" s="433"/>
      <c r="SYP146" s="433"/>
      <c r="SYQ146" s="433"/>
      <c r="SYR146" s="433"/>
      <c r="SYS146" s="433"/>
      <c r="SYT146" s="433"/>
      <c r="SYU146" s="433"/>
      <c r="SYV146" s="433"/>
      <c r="SYW146" s="433"/>
      <c r="SYX146" s="433"/>
      <c r="SYY146" s="433"/>
      <c r="SYZ146" s="433"/>
      <c r="SZA146" s="433"/>
      <c r="SZB146" s="433"/>
      <c r="SZC146" s="433"/>
      <c r="SZD146" s="433"/>
      <c r="SZE146" s="433"/>
      <c r="SZF146" s="433"/>
      <c r="SZG146" s="433"/>
      <c r="SZH146" s="433"/>
      <c r="SZI146" s="433"/>
      <c r="SZJ146" s="433"/>
      <c r="SZK146" s="433"/>
      <c r="SZL146" s="433"/>
      <c r="SZM146" s="433"/>
      <c r="SZN146" s="433"/>
      <c r="SZO146" s="433"/>
      <c r="SZP146" s="433"/>
      <c r="SZQ146" s="433"/>
      <c r="SZR146" s="433"/>
      <c r="SZS146" s="433"/>
      <c r="SZT146" s="433"/>
      <c r="SZU146" s="433"/>
      <c r="SZV146" s="433"/>
      <c r="SZW146" s="433"/>
      <c r="SZX146" s="433"/>
      <c r="SZY146" s="433"/>
      <c r="SZZ146" s="433"/>
      <c r="TAA146" s="433"/>
      <c r="TAB146" s="433"/>
      <c r="TAC146" s="433"/>
      <c r="TAD146" s="433"/>
      <c r="TAE146" s="433"/>
      <c r="TAF146" s="433"/>
      <c r="TAG146" s="433"/>
      <c r="TAH146" s="433"/>
      <c r="TAI146" s="433"/>
      <c r="TAJ146" s="433"/>
      <c r="TAK146" s="433"/>
      <c r="TAL146" s="433"/>
      <c r="TAM146" s="433"/>
      <c r="TAN146" s="433"/>
      <c r="TAO146" s="433"/>
      <c r="TAP146" s="433"/>
      <c r="TAQ146" s="433"/>
      <c r="TAR146" s="433"/>
      <c r="TAS146" s="433"/>
      <c r="TAT146" s="433"/>
      <c r="TAU146" s="433"/>
      <c r="TAV146" s="433"/>
      <c r="TAW146" s="433"/>
      <c r="TAX146" s="433"/>
      <c r="TAY146" s="433"/>
      <c r="TAZ146" s="433"/>
      <c r="TBA146" s="433"/>
      <c r="TBB146" s="433"/>
      <c r="TBC146" s="433"/>
      <c r="TBD146" s="433"/>
      <c r="TBE146" s="433"/>
      <c r="TBF146" s="433"/>
      <c r="TBG146" s="433"/>
      <c r="TBH146" s="433"/>
      <c r="TBI146" s="433"/>
      <c r="TBJ146" s="433"/>
      <c r="TBK146" s="433"/>
      <c r="TBL146" s="433"/>
      <c r="TBM146" s="433"/>
      <c r="TBN146" s="433"/>
      <c r="TBO146" s="433"/>
      <c r="TBP146" s="433"/>
      <c r="TBQ146" s="433"/>
      <c r="TBR146" s="433"/>
      <c r="TBS146" s="433"/>
      <c r="TBT146" s="433"/>
      <c r="TBU146" s="433"/>
      <c r="TBV146" s="433"/>
      <c r="TBW146" s="433"/>
      <c r="TBX146" s="433"/>
      <c r="TBY146" s="433"/>
      <c r="TBZ146" s="433"/>
      <c r="TCA146" s="433"/>
      <c r="TCB146" s="433"/>
      <c r="TCC146" s="433"/>
      <c r="TCD146" s="433"/>
      <c r="TCE146" s="433"/>
      <c r="TCF146" s="433"/>
      <c r="TCG146" s="433"/>
      <c r="TCH146" s="433"/>
      <c r="TCI146" s="433"/>
      <c r="TCJ146" s="433"/>
      <c r="TCK146" s="433"/>
      <c r="TCL146" s="433"/>
      <c r="TCM146" s="433"/>
      <c r="TCN146" s="433"/>
      <c r="TCO146" s="433"/>
      <c r="TCP146" s="433"/>
      <c r="TCQ146" s="433"/>
      <c r="TCR146" s="433"/>
      <c r="TCS146" s="433"/>
      <c r="TCT146" s="433"/>
      <c r="TCU146" s="433"/>
      <c r="TCV146" s="433"/>
      <c r="TCW146" s="433"/>
      <c r="TCX146" s="433"/>
      <c r="TCY146" s="433"/>
      <c r="TCZ146" s="433"/>
      <c r="TDA146" s="433"/>
      <c r="TDB146" s="433"/>
      <c r="TDC146" s="433"/>
      <c r="TDD146" s="433"/>
      <c r="TDE146" s="433"/>
      <c r="TDF146" s="433"/>
      <c r="TDG146" s="433"/>
      <c r="TDH146" s="433"/>
      <c r="TDI146" s="433"/>
      <c r="TDJ146" s="433"/>
      <c r="TDK146" s="433"/>
      <c r="TDL146" s="433"/>
      <c r="TDM146" s="433"/>
      <c r="TDN146" s="433"/>
      <c r="TDO146" s="433"/>
      <c r="TDP146" s="433"/>
      <c r="TDQ146" s="433"/>
      <c r="TDR146" s="433"/>
      <c r="TDS146" s="433"/>
      <c r="TDT146" s="433"/>
      <c r="TDU146" s="433"/>
      <c r="TDV146" s="433"/>
      <c r="TDW146" s="433"/>
      <c r="TDX146" s="433"/>
      <c r="TDY146" s="433"/>
      <c r="TDZ146" s="433"/>
      <c r="TEA146" s="433"/>
      <c r="TEB146" s="433"/>
      <c r="TEC146" s="433"/>
      <c r="TED146" s="433"/>
      <c r="TEE146" s="433"/>
      <c r="TEF146" s="433"/>
      <c r="TEG146" s="433"/>
      <c r="TEH146" s="433"/>
      <c r="TEI146" s="433"/>
      <c r="TEJ146" s="433"/>
      <c r="TEK146" s="433"/>
      <c r="TEL146" s="433"/>
      <c r="TEM146" s="433"/>
      <c r="TEN146" s="433"/>
      <c r="TEO146" s="433"/>
      <c r="TEP146" s="433"/>
      <c r="TEQ146" s="433"/>
      <c r="TER146" s="433"/>
      <c r="TES146" s="433"/>
      <c r="TET146" s="433"/>
      <c r="TEU146" s="433"/>
      <c r="TEV146" s="433"/>
      <c r="TEW146" s="433"/>
      <c r="TEX146" s="433"/>
      <c r="TEY146" s="433"/>
      <c r="TEZ146" s="433"/>
      <c r="TFA146" s="433"/>
      <c r="TFB146" s="433"/>
      <c r="TFC146" s="433"/>
      <c r="TFD146" s="433"/>
      <c r="TFE146" s="433"/>
      <c r="TFF146" s="433"/>
      <c r="TFG146" s="433"/>
      <c r="TFH146" s="433"/>
      <c r="TFI146" s="433"/>
      <c r="TFJ146" s="433"/>
      <c r="TFK146" s="433"/>
      <c r="TFL146" s="433"/>
      <c r="TFM146" s="433"/>
      <c r="TFN146" s="433"/>
      <c r="TFO146" s="433"/>
      <c r="TFP146" s="433"/>
      <c r="TFQ146" s="433"/>
      <c r="TFR146" s="433"/>
      <c r="TFS146" s="433"/>
      <c r="TFT146" s="433"/>
      <c r="TFU146" s="433"/>
      <c r="TFV146" s="433"/>
      <c r="TFW146" s="433"/>
      <c r="TFX146" s="433"/>
      <c r="TFY146" s="433"/>
      <c r="TFZ146" s="433"/>
      <c r="TGA146" s="433"/>
      <c r="TGB146" s="433"/>
      <c r="TGC146" s="433"/>
      <c r="TGD146" s="433"/>
      <c r="TGE146" s="433"/>
      <c r="TGF146" s="433"/>
      <c r="TGG146" s="433"/>
      <c r="TGH146" s="433"/>
      <c r="TGI146" s="433"/>
      <c r="TGJ146" s="433"/>
      <c r="TGK146" s="433"/>
      <c r="TGL146" s="433"/>
      <c r="TGM146" s="433"/>
      <c r="TGN146" s="433"/>
      <c r="TGO146" s="433"/>
      <c r="TGP146" s="433"/>
      <c r="TGQ146" s="433"/>
      <c r="TGR146" s="433"/>
      <c r="TGS146" s="433"/>
      <c r="TGT146" s="433"/>
      <c r="TGU146" s="433"/>
      <c r="TGV146" s="433"/>
      <c r="TGW146" s="433"/>
      <c r="TGX146" s="433"/>
      <c r="TGY146" s="433"/>
      <c r="TGZ146" s="433"/>
      <c r="THA146" s="433"/>
      <c r="THB146" s="433"/>
      <c r="THC146" s="433"/>
      <c r="THD146" s="433"/>
      <c r="THE146" s="433"/>
      <c r="THF146" s="433"/>
      <c r="THG146" s="433"/>
      <c r="THH146" s="433"/>
      <c r="THI146" s="433"/>
      <c r="THJ146" s="433"/>
      <c r="THK146" s="433"/>
      <c r="THL146" s="433"/>
      <c r="THM146" s="433"/>
      <c r="THN146" s="433"/>
      <c r="THO146" s="433"/>
      <c r="THP146" s="433"/>
      <c r="THQ146" s="433"/>
      <c r="THR146" s="433"/>
      <c r="THS146" s="433"/>
      <c r="THT146" s="433"/>
      <c r="THU146" s="433"/>
      <c r="THV146" s="433"/>
      <c r="THW146" s="433"/>
      <c r="THX146" s="433"/>
      <c r="THY146" s="433"/>
      <c r="THZ146" s="433"/>
      <c r="TIA146" s="433"/>
      <c r="TIB146" s="433"/>
      <c r="TIC146" s="433"/>
      <c r="TID146" s="433"/>
      <c r="TIE146" s="433"/>
      <c r="TIF146" s="433"/>
      <c r="TIG146" s="433"/>
      <c r="TIH146" s="433"/>
      <c r="TII146" s="433"/>
      <c r="TIJ146" s="433"/>
      <c r="TIK146" s="433"/>
      <c r="TIL146" s="433"/>
      <c r="TIM146" s="433"/>
      <c r="TIN146" s="433"/>
      <c r="TIO146" s="433"/>
      <c r="TIP146" s="433"/>
      <c r="TIQ146" s="433"/>
      <c r="TIR146" s="433"/>
      <c r="TIS146" s="433"/>
      <c r="TIT146" s="433"/>
      <c r="TIU146" s="433"/>
      <c r="TIV146" s="433"/>
      <c r="TIW146" s="433"/>
      <c r="TIX146" s="433"/>
      <c r="TIY146" s="433"/>
      <c r="TIZ146" s="433"/>
      <c r="TJA146" s="433"/>
      <c r="TJB146" s="433"/>
      <c r="TJC146" s="433"/>
      <c r="TJD146" s="433"/>
      <c r="TJE146" s="433"/>
      <c r="TJF146" s="433"/>
      <c r="TJG146" s="433"/>
      <c r="TJH146" s="433"/>
      <c r="TJI146" s="433"/>
      <c r="TJJ146" s="433"/>
      <c r="TJK146" s="433"/>
      <c r="TJL146" s="433"/>
      <c r="TJM146" s="433"/>
      <c r="TJN146" s="433"/>
      <c r="TJO146" s="433"/>
      <c r="TJP146" s="433"/>
      <c r="TJQ146" s="433"/>
      <c r="TJR146" s="433"/>
      <c r="TJS146" s="433"/>
      <c r="TJT146" s="433"/>
      <c r="TJU146" s="433"/>
      <c r="TJV146" s="433"/>
      <c r="TJW146" s="433"/>
      <c r="TJX146" s="433"/>
      <c r="TJY146" s="433"/>
      <c r="TJZ146" s="433"/>
      <c r="TKA146" s="433"/>
      <c r="TKB146" s="433"/>
      <c r="TKC146" s="433"/>
      <c r="TKD146" s="433"/>
      <c r="TKE146" s="433"/>
      <c r="TKF146" s="433"/>
      <c r="TKG146" s="433"/>
      <c r="TKH146" s="433"/>
      <c r="TKI146" s="433"/>
      <c r="TKJ146" s="433"/>
      <c r="TKK146" s="433"/>
      <c r="TKL146" s="433"/>
      <c r="TKM146" s="433"/>
      <c r="TKN146" s="433"/>
      <c r="TKO146" s="433"/>
      <c r="TKP146" s="433"/>
      <c r="TKQ146" s="433"/>
      <c r="TKR146" s="433"/>
      <c r="TKS146" s="433"/>
      <c r="TKT146" s="433"/>
      <c r="TKU146" s="433"/>
      <c r="TKV146" s="433"/>
      <c r="TKW146" s="433"/>
      <c r="TKX146" s="433"/>
      <c r="TKY146" s="433"/>
      <c r="TKZ146" s="433"/>
      <c r="TLA146" s="433"/>
      <c r="TLB146" s="433"/>
      <c r="TLC146" s="433"/>
      <c r="TLD146" s="433"/>
      <c r="TLE146" s="433"/>
      <c r="TLF146" s="433"/>
      <c r="TLG146" s="433"/>
      <c r="TLH146" s="433"/>
      <c r="TLI146" s="433"/>
      <c r="TLJ146" s="433"/>
      <c r="TLK146" s="433"/>
      <c r="TLL146" s="433"/>
      <c r="TLM146" s="433"/>
      <c r="TLN146" s="433"/>
      <c r="TLO146" s="433"/>
      <c r="TLP146" s="433"/>
      <c r="TLQ146" s="433"/>
      <c r="TLR146" s="433"/>
      <c r="TLS146" s="433"/>
      <c r="TLT146" s="433"/>
      <c r="TLU146" s="433"/>
      <c r="TLV146" s="433"/>
      <c r="TLW146" s="433"/>
      <c r="TLX146" s="433"/>
      <c r="TLY146" s="433"/>
      <c r="TLZ146" s="433"/>
      <c r="TMA146" s="433"/>
      <c r="TMB146" s="433"/>
      <c r="TMC146" s="433"/>
      <c r="TMD146" s="433"/>
      <c r="TME146" s="433"/>
      <c r="TMF146" s="433"/>
      <c r="TMG146" s="433"/>
      <c r="TMH146" s="433"/>
      <c r="TMI146" s="433"/>
      <c r="TMJ146" s="433"/>
      <c r="TMK146" s="433"/>
      <c r="TML146" s="433"/>
      <c r="TMM146" s="433"/>
      <c r="TMN146" s="433"/>
      <c r="TMO146" s="433"/>
      <c r="TMP146" s="433"/>
      <c r="TMQ146" s="433"/>
      <c r="TMR146" s="433"/>
      <c r="TMS146" s="433"/>
      <c r="TMT146" s="433"/>
      <c r="TMU146" s="433"/>
      <c r="TMV146" s="433"/>
      <c r="TMW146" s="433"/>
      <c r="TMX146" s="433"/>
      <c r="TMY146" s="433"/>
      <c r="TMZ146" s="433"/>
      <c r="TNA146" s="433"/>
      <c r="TNB146" s="433"/>
      <c r="TNC146" s="433"/>
      <c r="TND146" s="433"/>
      <c r="TNE146" s="433"/>
      <c r="TNF146" s="433"/>
      <c r="TNG146" s="433"/>
      <c r="TNH146" s="433"/>
      <c r="TNI146" s="433"/>
      <c r="TNJ146" s="433"/>
      <c r="TNK146" s="433"/>
      <c r="TNL146" s="433"/>
      <c r="TNM146" s="433"/>
      <c r="TNN146" s="433"/>
      <c r="TNO146" s="433"/>
      <c r="TNP146" s="433"/>
      <c r="TNQ146" s="433"/>
      <c r="TNR146" s="433"/>
      <c r="TNS146" s="433"/>
      <c r="TNT146" s="433"/>
      <c r="TNU146" s="433"/>
      <c r="TNV146" s="433"/>
      <c r="TNW146" s="433"/>
      <c r="TNX146" s="433"/>
      <c r="TNY146" s="433"/>
      <c r="TNZ146" s="433"/>
      <c r="TOA146" s="433"/>
      <c r="TOB146" s="433"/>
      <c r="TOC146" s="433"/>
      <c r="TOD146" s="433"/>
      <c r="TOE146" s="433"/>
      <c r="TOF146" s="433"/>
      <c r="TOG146" s="433"/>
      <c r="TOH146" s="433"/>
      <c r="TOI146" s="433"/>
      <c r="TOJ146" s="433"/>
      <c r="TOK146" s="433"/>
      <c r="TOL146" s="433"/>
      <c r="TOM146" s="433"/>
      <c r="TON146" s="433"/>
      <c r="TOO146" s="433"/>
      <c r="TOP146" s="433"/>
      <c r="TOQ146" s="433"/>
      <c r="TOR146" s="433"/>
      <c r="TOS146" s="433"/>
      <c r="TOT146" s="433"/>
      <c r="TOU146" s="433"/>
      <c r="TOV146" s="433"/>
      <c r="TOW146" s="433"/>
      <c r="TOX146" s="433"/>
      <c r="TOY146" s="433"/>
      <c r="TOZ146" s="433"/>
      <c r="TPA146" s="433"/>
      <c r="TPB146" s="433"/>
      <c r="TPC146" s="433"/>
      <c r="TPD146" s="433"/>
      <c r="TPE146" s="433"/>
      <c r="TPF146" s="433"/>
      <c r="TPG146" s="433"/>
      <c r="TPH146" s="433"/>
      <c r="TPI146" s="433"/>
      <c r="TPJ146" s="433"/>
      <c r="TPK146" s="433"/>
      <c r="TPL146" s="433"/>
      <c r="TPM146" s="433"/>
      <c r="TPN146" s="433"/>
      <c r="TPO146" s="433"/>
      <c r="TPP146" s="433"/>
      <c r="TPQ146" s="433"/>
      <c r="TPR146" s="433"/>
      <c r="TPS146" s="433"/>
      <c r="TPT146" s="433"/>
      <c r="TPU146" s="433"/>
      <c r="TPV146" s="433"/>
      <c r="TPW146" s="433"/>
      <c r="TPX146" s="433"/>
      <c r="TPY146" s="433"/>
      <c r="TPZ146" s="433"/>
      <c r="TQA146" s="433"/>
      <c r="TQB146" s="433"/>
      <c r="TQC146" s="433"/>
      <c r="TQD146" s="433"/>
      <c r="TQE146" s="433"/>
      <c r="TQF146" s="433"/>
      <c r="TQG146" s="433"/>
      <c r="TQH146" s="433"/>
      <c r="TQI146" s="433"/>
      <c r="TQJ146" s="433"/>
      <c r="TQK146" s="433"/>
      <c r="TQL146" s="433"/>
      <c r="TQM146" s="433"/>
      <c r="TQN146" s="433"/>
      <c r="TQO146" s="433"/>
      <c r="TQP146" s="433"/>
      <c r="TQQ146" s="433"/>
      <c r="TQR146" s="433"/>
      <c r="TQS146" s="433"/>
      <c r="TQT146" s="433"/>
      <c r="TQU146" s="433"/>
      <c r="TQV146" s="433"/>
      <c r="TQW146" s="433"/>
      <c r="TQX146" s="433"/>
      <c r="TQY146" s="433"/>
      <c r="TQZ146" s="433"/>
      <c r="TRA146" s="433"/>
      <c r="TRB146" s="433"/>
      <c r="TRC146" s="433"/>
      <c r="TRD146" s="433"/>
      <c r="TRE146" s="433"/>
      <c r="TRF146" s="433"/>
      <c r="TRG146" s="433"/>
      <c r="TRH146" s="433"/>
      <c r="TRI146" s="433"/>
      <c r="TRJ146" s="433"/>
      <c r="TRK146" s="433"/>
      <c r="TRL146" s="433"/>
      <c r="TRM146" s="433"/>
      <c r="TRN146" s="433"/>
      <c r="TRO146" s="433"/>
      <c r="TRP146" s="433"/>
      <c r="TRQ146" s="433"/>
      <c r="TRR146" s="433"/>
      <c r="TRS146" s="433"/>
      <c r="TRT146" s="433"/>
      <c r="TRU146" s="433"/>
      <c r="TRV146" s="433"/>
      <c r="TRW146" s="433"/>
      <c r="TRX146" s="433"/>
      <c r="TRY146" s="433"/>
      <c r="TRZ146" s="433"/>
      <c r="TSA146" s="433"/>
      <c r="TSB146" s="433"/>
      <c r="TSC146" s="433"/>
      <c r="TSD146" s="433"/>
      <c r="TSE146" s="433"/>
      <c r="TSF146" s="433"/>
      <c r="TSG146" s="433"/>
      <c r="TSH146" s="433"/>
      <c r="TSI146" s="433"/>
      <c r="TSJ146" s="433"/>
      <c r="TSK146" s="433"/>
      <c r="TSL146" s="433"/>
      <c r="TSM146" s="433"/>
      <c r="TSN146" s="433"/>
      <c r="TSO146" s="433"/>
      <c r="TSP146" s="433"/>
      <c r="TSQ146" s="433"/>
      <c r="TSR146" s="433"/>
      <c r="TSS146" s="433"/>
      <c r="TST146" s="433"/>
      <c r="TSU146" s="433"/>
      <c r="TSV146" s="433"/>
      <c r="TSW146" s="433"/>
      <c r="TSX146" s="433"/>
      <c r="TSY146" s="433"/>
      <c r="TSZ146" s="433"/>
      <c r="TTA146" s="433"/>
      <c r="TTB146" s="433"/>
      <c r="TTC146" s="433"/>
      <c r="TTD146" s="433"/>
      <c r="TTE146" s="433"/>
      <c r="TTF146" s="433"/>
      <c r="TTG146" s="433"/>
      <c r="TTH146" s="433"/>
      <c r="TTI146" s="433"/>
      <c r="TTJ146" s="433"/>
      <c r="TTK146" s="433"/>
      <c r="TTL146" s="433"/>
      <c r="TTM146" s="433"/>
      <c r="TTN146" s="433"/>
      <c r="TTO146" s="433"/>
      <c r="TTP146" s="433"/>
      <c r="TTQ146" s="433"/>
      <c r="TTR146" s="433"/>
      <c r="TTS146" s="433"/>
      <c r="TTT146" s="433"/>
      <c r="TTU146" s="433"/>
      <c r="TTV146" s="433"/>
      <c r="TTW146" s="433"/>
      <c r="TTX146" s="433"/>
      <c r="TTY146" s="433"/>
      <c r="TTZ146" s="433"/>
      <c r="TUA146" s="433"/>
      <c r="TUB146" s="433"/>
      <c r="TUC146" s="433"/>
      <c r="TUD146" s="433"/>
      <c r="TUE146" s="433"/>
      <c r="TUF146" s="433"/>
      <c r="TUG146" s="433"/>
      <c r="TUH146" s="433"/>
      <c r="TUI146" s="433"/>
      <c r="TUJ146" s="433"/>
      <c r="TUK146" s="433"/>
      <c r="TUL146" s="433"/>
      <c r="TUM146" s="433"/>
      <c r="TUN146" s="433"/>
      <c r="TUO146" s="433"/>
      <c r="TUP146" s="433"/>
      <c r="TUQ146" s="433"/>
      <c r="TUR146" s="433"/>
      <c r="TUS146" s="433"/>
      <c r="TUT146" s="433"/>
      <c r="TUU146" s="433"/>
      <c r="TUV146" s="433"/>
      <c r="TUW146" s="433"/>
      <c r="TUX146" s="433"/>
      <c r="TUY146" s="433"/>
      <c r="TUZ146" s="433"/>
      <c r="TVA146" s="433"/>
      <c r="TVB146" s="433"/>
      <c r="TVC146" s="433"/>
      <c r="TVD146" s="433"/>
      <c r="TVE146" s="433"/>
      <c r="TVF146" s="433"/>
      <c r="TVG146" s="433"/>
      <c r="TVH146" s="433"/>
      <c r="TVI146" s="433"/>
      <c r="TVJ146" s="433"/>
      <c r="TVK146" s="433"/>
      <c r="TVL146" s="433"/>
      <c r="TVM146" s="433"/>
      <c r="TVN146" s="433"/>
      <c r="TVO146" s="433"/>
      <c r="TVP146" s="433"/>
      <c r="TVQ146" s="433"/>
      <c r="TVR146" s="433"/>
      <c r="TVS146" s="433"/>
      <c r="TVT146" s="433"/>
      <c r="TVU146" s="433"/>
      <c r="TVV146" s="433"/>
      <c r="TVW146" s="433"/>
      <c r="TVX146" s="433"/>
      <c r="TVY146" s="433"/>
      <c r="TVZ146" s="433"/>
      <c r="TWA146" s="433"/>
      <c r="TWB146" s="433"/>
      <c r="TWC146" s="433"/>
      <c r="TWD146" s="433"/>
      <c r="TWE146" s="433"/>
      <c r="TWF146" s="433"/>
      <c r="TWG146" s="433"/>
      <c r="TWH146" s="433"/>
      <c r="TWI146" s="433"/>
      <c r="TWJ146" s="433"/>
      <c r="TWK146" s="433"/>
      <c r="TWL146" s="433"/>
      <c r="TWM146" s="433"/>
      <c r="TWN146" s="433"/>
      <c r="TWO146" s="433"/>
      <c r="TWP146" s="433"/>
      <c r="TWQ146" s="433"/>
      <c r="TWR146" s="433"/>
      <c r="TWS146" s="433"/>
      <c r="TWT146" s="433"/>
      <c r="TWU146" s="433"/>
      <c r="TWV146" s="433"/>
      <c r="TWW146" s="433"/>
      <c r="TWX146" s="433"/>
      <c r="TWY146" s="433"/>
      <c r="TWZ146" s="433"/>
      <c r="TXA146" s="433"/>
      <c r="TXB146" s="433"/>
      <c r="TXC146" s="433"/>
      <c r="TXD146" s="433"/>
      <c r="TXE146" s="433"/>
      <c r="TXF146" s="433"/>
      <c r="TXG146" s="433"/>
      <c r="TXH146" s="433"/>
      <c r="TXI146" s="433"/>
      <c r="TXJ146" s="433"/>
      <c r="TXK146" s="433"/>
      <c r="TXL146" s="433"/>
      <c r="TXM146" s="433"/>
      <c r="TXN146" s="433"/>
      <c r="TXO146" s="433"/>
      <c r="TXP146" s="433"/>
      <c r="TXQ146" s="433"/>
      <c r="TXR146" s="433"/>
      <c r="TXS146" s="433"/>
      <c r="TXT146" s="433"/>
      <c r="TXU146" s="433"/>
      <c r="TXV146" s="433"/>
      <c r="TXW146" s="433"/>
      <c r="TXX146" s="433"/>
      <c r="TXY146" s="433"/>
      <c r="TXZ146" s="433"/>
      <c r="TYA146" s="433"/>
      <c r="TYB146" s="433"/>
      <c r="TYC146" s="433"/>
      <c r="TYD146" s="433"/>
      <c r="TYE146" s="433"/>
      <c r="TYF146" s="433"/>
      <c r="TYG146" s="433"/>
      <c r="TYH146" s="433"/>
      <c r="TYI146" s="433"/>
      <c r="TYJ146" s="433"/>
      <c r="TYK146" s="433"/>
      <c r="TYL146" s="433"/>
      <c r="TYM146" s="433"/>
      <c r="TYN146" s="433"/>
      <c r="TYO146" s="433"/>
      <c r="TYP146" s="433"/>
      <c r="TYQ146" s="433"/>
      <c r="TYR146" s="433"/>
      <c r="TYS146" s="433"/>
      <c r="TYT146" s="433"/>
      <c r="TYU146" s="433"/>
      <c r="TYV146" s="433"/>
      <c r="TYW146" s="433"/>
      <c r="TYX146" s="433"/>
      <c r="TYY146" s="433"/>
      <c r="TYZ146" s="433"/>
      <c r="TZA146" s="433"/>
      <c r="TZB146" s="433"/>
      <c r="TZC146" s="433"/>
      <c r="TZD146" s="433"/>
      <c r="TZE146" s="433"/>
      <c r="TZF146" s="433"/>
      <c r="TZG146" s="433"/>
      <c r="TZH146" s="433"/>
      <c r="TZI146" s="433"/>
      <c r="TZJ146" s="433"/>
      <c r="TZK146" s="433"/>
      <c r="TZL146" s="433"/>
      <c r="TZM146" s="433"/>
      <c r="TZN146" s="433"/>
      <c r="TZO146" s="433"/>
      <c r="TZP146" s="433"/>
      <c r="TZQ146" s="433"/>
      <c r="TZR146" s="433"/>
      <c r="TZS146" s="433"/>
      <c r="TZT146" s="433"/>
      <c r="TZU146" s="433"/>
      <c r="TZV146" s="433"/>
      <c r="TZW146" s="433"/>
      <c r="TZX146" s="433"/>
      <c r="TZY146" s="433"/>
      <c r="TZZ146" s="433"/>
      <c r="UAA146" s="433"/>
      <c r="UAB146" s="433"/>
      <c r="UAC146" s="433"/>
      <c r="UAD146" s="433"/>
      <c r="UAE146" s="433"/>
      <c r="UAF146" s="433"/>
      <c r="UAG146" s="433"/>
      <c r="UAH146" s="433"/>
      <c r="UAI146" s="433"/>
      <c r="UAJ146" s="433"/>
      <c r="UAK146" s="433"/>
      <c r="UAL146" s="433"/>
      <c r="UAM146" s="433"/>
      <c r="UAN146" s="433"/>
      <c r="UAO146" s="433"/>
      <c r="UAP146" s="433"/>
      <c r="UAQ146" s="433"/>
      <c r="UAR146" s="433"/>
      <c r="UAS146" s="433"/>
      <c r="UAT146" s="433"/>
      <c r="UAU146" s="433"/>
      <c r="UAV146" s="433"/>
      <c r="UAW146" s="433"/>
      <c r="UAX146" s="433"/>
      <c r="UAY146" s="433"/>
      <c r="UAZ146" s="433"/>
      <c r="UBA146" s="433"/>
      <c r="UBB146" s="433"/>
      <c r="UBC146" s="433"/>
      <c r="UBD146" s="433"/>
      <c r="UBE146" s="433"/>
      <c r="UBF146" s="433"/>
      <c r="UBG146" s="433"/>
      <c r="UBH146" s="433"/>
      <c r="UBI146" s="433"/>
      <c r="UBJ146" s="433"/>
      <c r="UBK146" s="433"/>
      <c r="UBL146" s="433"/>
      <c r="UBM146" s="433"/>
      <c r="UBN146" s="433"/>
      <c r="UBO146" s="433"/>
      <c r="UBP146" s="433"/>
      <c r="UBQ146" s="433"/>
      <c r="UBR146" s="433"/>
      <c r="UBS146" s="433"/>
      <c r="UBT146" s="433"/>
      <c r="UBU146" s="433"/>
      <c r="UBV146" s="433"/>
      <c r="UBW146" s="433"/>
      <c r="UBX146" s="433"/>
      <c r="UBY146" s="433"/>
      <c r="UBZ146" s="433"/>
      <c r="UCA146" s="433"/>
      <c r="UCB146" s="433"/>
      <c r="UCC146" s="433"/>
      <c r="UCD146" s="433"/>
      <c r="UCE146" s="433"/>
      <c r="UCF146" s="433"/>
      <c r="UCG146" s="433"/>
      <c r="UCH146" s="433"/>
      <c r="UCI146" s="433"/>
      <c r="UCJ146" s="433"/>
      <c r="UCK146" s="433"/>
      <c r="UCL146" s="433"/>
      <c r="UCM146" s="433"/>
      <c r="UCN146" s="433"/>
      <c r="UCO146" s="433"/>
      <c r="UCP146" s="433"/>
      <c r="UCQ146" s="433"/>
      <c r="UCR146" s="433"/>
      <c r="UCS146" s="433"/>
      <c r="UCT146" s="433"/>
      <c r="UCU146" s="433"/>
      <c r="UCV146" s="433"/>
      <c r="UCW146" s="433"/>
      <c r="UCX146" s="433"/>
      <c r="UCY146" s="433"/>
      <c r="UCZ146" s="433"/>
      <c r="UDA146" s="433"/>
      <c r="UDB146" s="433"/>
      <c r="UDC146" s="433"/>
      <c r="UDD146" s="433"/>
      <c r="UDE146" s="433"/>
      <c r="UDF146" s="433"/>
      <c r="UDG146" s="433"/>
      <c r="UDH146" s="433"/>
      <c r="UDI146" s="433"/>
      <c r="UDJ146" s="433"/>
      <c r="UDK146" s="433"/>
      <c r="UDL146" s="433"/>
      <c r="UDM146" s="433"/>
      <c r="UDN146" s="433"/>
      <c r="UDO146" s="433"/>
      <c r="UDP146" s="433"/>
      <c r="UDQ146" s="433"/>
      <c r="UDR146" s="433"/>
      <c r="UDS146" s="433"/>
      <c r="UDT146" s="433"/>
      <c r="UDU146" s="433"/>
      <c r="UDV146" s="433"/>
      <c r="UDW146" s="433"/>
      <c r="UDX146" s="433"/>
      <c r="UDY146" s="433"/>
      <c r="UDZ146" s="433"/>
      <c r="UEA146" s="433"/>
      <c r="UEB146" s="433"/>
      <c r="UEC146" s="433"/>
      <c r="UED146" s="433"/>
      <c r="UEE146" s="433"/>
      <c r="UEF146" s="433"/>
      <c r="UEG146" s="433"/>
      <c r="UEH146" s="433"/>
      <c r="UEI146" s="433"/>
      <c r="UEJ146" s="433"/>
      <c r="UEK146" s="433"/>
      <c r="UEL146" s="433"/>
      <c r="UEM146" s="433"/>
      <c r="UEN146" s="433"/>
      <c r="UEO146" s="433"/>
      <c r="UEP146" s="433"/>
      <c r="UEQ146" s="433"/>
      <c r="UER146" s="433"/>
      <c r="UES146" s="433"/>
      <c r="UET146" s="433"/>
      <c r="UEU146" s="433"/>
      <c r="UEV146" s="433"/>
      <c r="UEW146" s="433"/>
      <c r="UEX146" s="433"/>
      <c r="UEY146" s="433"/>
      <c r="UEZ146" s="433"/>
      <c r="UFA146" s="433"/>
      <c r="UFB146" s="433"/>
      <c r="UFC146" s="433"/>
      <c r="UFD146" s="433"/>
      <c r="UFE146" s="433"/>
      <c r="UFF146" s="433"/>
      <c r="UFG146" s="433"/>
      <c r="UFH146" s="433"/>
      <c r="UFI146" s="433"/>
      <c r="UFJ146" s="433"/>
      <c r="UFK146" s="433"/>
      <c r="UFL146" s="433"/>
      <c r="UFM146" s="433"/>
      <c r="UFN146" s="433"/>
      <c r="UFO146" s="433"/>
      <c r="UFP146" s="433"/>
      <c r="UFQ146" s="433"/>
      <c r="UFR146" s="433"/>
      <c r="UFS146" s="433"/>
      <c r="UFT146" s="433"/>
      <c r="UFU146" s="433"/>
      <c r="UFV146" s="433"/>
      <c r="UFW146" s="433"/>
      <c r="UFX146" s="433"/>
      <c r="UFY146" s="433"/>
      <c r="UFZ146" s="433"/>
      <c r="UGA146" s="433"/>
      <c r="UGB146" s="433"/>
      <c r="UGC146" s="433"/>
      <c r="UGD146" s="433"/>
      <c r="UGE146" s="433"/>
      <c r="UGF146" s="433"/>
      <c r="UGG146" s="433"/>
      <c r="UGH146" s="433"/>
      <c r="UGI146" s="433"/>
      <c r="UGJ146" s="433"/>
      <c r="UGK146" s="433"/>
      <c r="UGL146" s="433"/>
      <c r="UGM146" s="433"/>
      <c r="UGN146" s="433"/>
      <c r="UGO146" s="433"/>
      <c r="UGP146" s="433"/>
      <c r="UGQ146" s="433"/>
      <c r="UGR146" s="433"/>
      <c r="UGS146" s="433"/>
      <c r="UGT146" s="433"/>
      <c r="UGU146" s="433"/>
      <c r="UGV146" s="433"/>
      <c r="UGW146" s="433"/>
      <c r="UGX146" s="433"/>
      <c r="UGY146" s="433"/>
      <c r="UGZ146" s="433"/>
      <c r="UHA146" s="433"/>
      <c r="UHB146" s="433"/>
      <c r="UHC146" s="433"/>
      <c r="UHD146" s="433"/>
      <c r="UHE146" s="433"/>
      <c r="UHF146" s="433"/>
      <c r="UHG146" s="433"/>
      <c r="UHH146" s="433"/>
      <c r="UHI146" s="433"/>
      <c r="UHJ146" s="433"/>
      <c r="UHK146" s="433"/>
      <c r="UHL146" s="433"/>
      <c r="UHM146" s="433"/>
      <c r="UHN146" s="433"/>
      <c r="UHO146" s="433"/>
      <c r="UHP146" s="433"/>
      <c r="UHQ146" s="433"/>
      <c r="UHR146" s="433"/>
      <c r="UHS146" s="433"/>
      <c r="UHT146" s="433"/>
      <c r="UHU146" s="433"/>
      <c r="UHV146" s="433"/>
      <c r="UHW146" s="433"/>
      <c r="UHX146" s="433"/>
      <c r="UHY146" s="433"/>
      <c r="UHZ146" s="433"/>
      <c r="UIA146" s="433"/>
      <c r="UIB146" s="433"/>
      <c r="UIC146" s="433"/>
      <c r="UID146" s="433"/>
      <c r="UIE146" s="433"/>
      <c r="UIF146" s="433"/>
      <c r="UIG146" s="433"/>
      <c r="UIH146" s="433"/>
      <c r="UII146" s="433"/>
      <c r="UIJ146" s="433"/>
      <c r="UIK146" s="433"/>
      <c r="UIL146" s="433"/>
      <c r="UIM146" s="433"/>
      <c r="UIN146" s="433"/>
      <c r="UIO146" s="433"/>
      <c r="UIP146" s="433"/>
      <c r="UIQ146" s="433"/>
      <c r="UIR146" s="433"/>
      <c r="UIS146" s="433"/>
      <c r="UIT146" s="433"/>
      <c r="UIU146" s="433"/>
      <c r="UIV146" s="433"/>
      <c r="UIW146" s="433"/>
      <c r="UIX146" s="433"/>
      <c r="UIY146" s="433"/>
      <c r="UIZ146" s="433"/>
      <c r="UJA146" s="433"/>
      <c r="UJB146" s="433"/>
      <c r="UJC146" s="433"/>
      <c r="UJD146" s="433"/>
      <c r="UJE146" s="433"/>
      <c r="UJF146" s="433"/>
      <c r="UJG146" s="433"/>
      <c r="UJH146" s="433"/>
      <c r="UJI146" s="433"/>
      <c r="UJJ146" s="433"/>
      <c r="UJK146" s="433"/>
      <c r="UJL146" s="433"/>
      <c r="UJM146" s="433"/>
      <c r="UJN146" s="433"/>
      <c r="UJO146" s="433"/>
      <c r="UJP146" s="433"/>
      <c r="UJQ146" s="433"/>
      <c r="UJR146" s="433"/>
      <c r="UJS146" s="433"/>
      <c r="UJT146" s="433"/>
      <c r="UJU146" s="433"/>
      <c r="UJV146" s="433"/>
      <c r="UJW146" s="433"/>
      <c r="UJX146" s="433"/>
      <c r="UJY146" s="433"/>
      <c r="UJZ146" s="433"/>
      <c r="UKA146" s="433"/>
      <c r="UKB146" s="433"/>
      <c r="UKC146" s="433"/>
      <c r="UKD146" s="433"/>
      <c r="UKE146" s="433"/>
      <c r="UKF146" s="433"/>
      <c r="UKG146" s="433"/>
      <c r="UKH146" s="433"/>
      <c r="UKI146" s="433"/>
      <c r="UKJ146" s="433"/>
      <c r="UKK146" s="433"/>
      <c r="UKL146" s="433"/>
      <c r="UKM146" s="433"/>
      <c r="UKN146" s="433"/>
      <c r="UKO146" s="433"/>
      <c r="UKP146" s="433"/>
      <c r="UKQ146" s="433"/>
      <c r="UKR146" s="433"/>
      <c r="UKS146" s="433"/>
      <c r="UKT146" s="433"/>
      <c r="UKU146" s="433"/>
      <c r="UKV146" s="433"/>
      <c r="UKW146" s="433"/>
      <c r="UKX146" s="433"/>
      <c r="UKY146" s="433"/>
      <c r="UKZ146" s="433"/>
      <c r="ULA146" s="433"/>
      <c r="ULB146" s="433"/>
      <c r="ULC146" s="433"/>
      <c r="ULD146" s="433"/>
      <c r="ULE146" s="433"/>
      <c r="ULF146" s="433"/>
      <c r="ULG146" s="433"/>
      <c r="ULH146" s="433"/>
      <c r="ULI146" s="433"/>
      <c r="ULJ146" s="433"/>
      <c r="ULK146" s="433"/>
      <c r="ULL146" s="433"/>
      <c r="ULM146" s="433"/>
      <c r="ULN146" s="433"/>
      <c r="ULO146" s="433"/>
      <c r="ULP146" s="433"/>
      <c r="ULQ146" s="433"/>
      <c r="ULR146" s="433"/>
      <c r="ULS146" s="433"/>
      <c r="ULT146" s="433"/>
      <c r="ULU146" s="433"/>
      <c r="ULV146" s="433"/>
      <c r="ULW146" s="433"/>
      <c r="ULX146" s="433"/>
      <c r="ULY146" s="433"/>
      <c r="ULZ146" s="433"/>
      <c r="UMA146" s="433"/>
      <c r="UMB146" s="433"/>
      <c r="UMC146" s="433"/>
      <c r="UMD146" s="433"/>
      <c r="UME146" s="433"/>
      <c r="UMF146" s="433"/>
      <c r="UMG146" s="433"/>
      <c r="UMH146" s="433"/>
      <c r="UMI146" s="433"/>
      <c r="UMJ146" s="433"/>
      <c r="UMK146" s="433"/>
      <c r="UML146" s="433"/>
      <c r="UMM146" s="433"/>
      <c r="UMN146" s="433"/>
      <c r="UMO146" s="433"/>
      <c r="UMP146" s="433"/>
      <c r="UMQ146" s="433"/>
      <c r="UMR146" s="433"/>
      <c r="UMS146" s="433"/>
      <c r="UMT146" s="433"/>
      <c r="UMU146" s="433"/>
      <c r="UMV146" s="433"/>
      <c r="UMW146" s="433"/>
      <c r="UMX146" s="433"/>
      <c r="UMY146" s="433"/>
      <c r="UMZ146" s="433"/>
      <c r="UNA146" s="433"/>
      <c r="UNB146" s="433"/>
      <c r="UNC146" s="433"/>
      <c r="UND146" s="433"/>
      <c r="UNE146" s="433"/>
      <c r="UNF146" s="433"/>
      <c r="UNG146" s="433"/>
      <c r="UNH146" s="433"/>
      <c r="UNI146" s="433"/>
      <c r="UNJ146" s="433"/>
      <c r="UNK146" s="433"/>
      <c r="UNL146" s="433"/>
      <c r="UNM146" s="433"/>
      <c r="UNN146" s="433"/>
      <c r="UNO146" s="433"/>
      <c r="UNP146" s="433"/>
      <c r="UNQ146" s="433"/>
      <c r="UNR146" s="433"/>
      <c r="UNS146" s="433"/>
      <c r="UNT146" s="433"/>
      <c r="UNU146" s="433"/>
      <c r="UNV146" s="433"/>
      <c r="UNW146" s="433"/>
      <c r="UNX146" s="433"/>
      <c r="UNY146" s="433"/>
      <c r="UNZ146" s="433"/>
      <c r="UOA146" s="433"/>
      <c r="UOB146" s="433"/>
      <c r="UOC146" s="433"/>
      <c r="UOD146" s="433"/>
      <c r="UOE146" s="433"/>
      <c r="UOF146" s="433"/>
      <c r="UOG146" s="433"/>
      <c r="UOH146" s="433"/>
      <c r="UOI146" s="433"/>
      <c r="UOJ146" s="433"/>
      <c r="UOK146" s="433"/>
      <c r="UOL146" s="433"/>
      <c r="UOM146" s="433"/>
      <c r="UON146" s="433"/>
      <c r="UOO146" s="433"/>
      <c r="UOP146" s="433"/>
      <c r="UOQ146" s="433"/>
      <c r="UOR146" s="433"/>
      <c r="UOS146" s="433"/>
      <c r="UOT146" s="433"/>
      <c r="UOU146" s="433"/>
      <c r="UOV146" s="433"/>
      <c r="UOW146" s="433"/>
      <c r="UOX146" s="433"/>
      <c r="UOY146" s="433"/>
      <c r="UOZ146" s="433"/>
      <c r="UPA146" s="433"/>
      <c r="UPB146" s="433"/>
      <c r="UPC146" s="433"/>
      <c r="UPD146" s="433"/>
      <c r="UPE146" s="433"/>
      <c r="UPF146" s="433"/>
      <c r="UPG146" s="433"/>
      <c r="UPH146" s="433"/>
      <c r="UPI146" s="433"/>
      <c r="UPJ146" s="433"/>
      <c r="UPK146" s="433"/>
      <c r="UPL146" s="433"/>
      <c r="UPM146" s="433"/>
      <c r="UPN146" s="433"/>
      <c r="UPO146" s="433"/>
      <c r="UPP146" s="433"/>
      <c r="UPQ146" s="433"/>
      <c r="UPR146" s="433"/>
      <c r="UPS146" s="433"/>
      <c r="UPT146" s="433"/>
      <c r="UPU146" s="433"/>
      <c r="UPV146" s="433"/>
      <c r="UPW146" s="433"/>
      <c r="UPX146" s="433"/>
      <c r="UPY146" s="433"/>
      <c r="UPZ146" s="433"/>
      <c r="UQA146" s="433"/>
      <c r="UQB146" s="433"/>
      <c r="UQC146" s="433"/>
      <c r="UQD146" s="433"/>
      <c r="UQE146" s="433"/>
      <c r="UQF146" s="433"/>
      <c r="UQG146" s="433"/>
      <c r="UQH146" s="433"/>
      <c r="UQI146" s="433"/>
      <c r="UQJ146" s="433"/>
      <c r="UQK146" s="433"/>
      <c r="UQL146" s="433"/>
      <c r="UQM146" s="433"/>
      <c r="UQN146" s="433"/>
      <c r="UQO146" s="433"/>
      <c r="UQP146" s="433"/>
      <c r="UQQ146" s="433"/>
      <c r="UQR146" s="433"/>
      <c r="UQS146" s="433"/>
      <c r="UQT146" s="433"/>
      <c r="UQU146" s="433"/>
      <c r="UQV146" s="433"/>
      <c r="UQW146" s="433"/>
      <c r="UQX146" s="433"/>
      <c r="UQY146" s="433"/>
      <c r="UQZ146" s="433"/>
      <c r="URA146" s="433"/>
      <c r="URB146" s="433"/>
      <c r="URC146" s="433"/>
      <c r="URD146" s="433"/>
      <c r="URE146" s="433"/>
      <c r="URF146" s="433"/>
      <c r="URG146" s="433"/>
      <c r="URH146" s="433"/>
      <c r="URI146" s="433"/>
      <c r="URJ146" s="433"/>
      <c r="URK146" s="433"/>
      <c r="URL146" s="433"/>
      <c r="URM146" s="433"/>
      <c r="URN146" s="433"/>
      <c r="URO146" s="433"/>
      <c r="URP146" s="433"/>
      <c r="URQ146" s="433"/>
      <c r="URR146" s="433"/>
      <c r="URS146" s="433"/>
      <c r="URT146" s="433"/>
      <c r="URU146" s="433"/>
      <c r="URV146" s="433"/>
      <c r="URW146" s="433"/>
      <c r="URX146" s="433"/>
      <c r="URY146" s="433"/>
      <c r="URZ146" s="433"/>
      <c r="USA146" s="433"/>
      <c r="USB146" s="433"/>
      <c r="USC146" s="433"/>
      <c r="USD146" s="433"/>
      <c r="USE146" s="433"/>
      <c r="USF146" s="433"/>
      <c r="USG146" s="433"/>
      <c r="USH146" s="433"/>
      <c r="USI146" s="433"/>
      <c r="USJ146" s="433"/>
      <c r="USK146" s="433"/>
      <c r="USL146" s="433"/>
      <c r="USM146" s="433"/>
      <c r="USN146" s="433"/>
      <c r="USO146" s="433"/>
      <c r="USP146" s="433"/>
      <c r="USQ146" s="433"/>
      <c r="USR146" s="433"/>
      <c r="USS146" s="433"/>
      <c r="UST146" s="433"/>
      <c r="USU146" s="433"/>
      <c r="USV146" s="433"/>
      <c r="USW146" s="433"/>
      <c r="USX146" s="433"/>
      <c r="USY146" s="433"/>
      <c r="USZ146" s="433"/>
      <c r="UTA146" s="433"/>
      <c r="UTB146" s="433"/>
      <c r="UTC146" s="433"/>
      <c r="UTD146" s="433"/>
      <c r="UTE146" s="433"/>
      <c r="UTF146" s="433"/>
      <c r="UTG146" s="433"/>
      <c r="UTH146" s="433"/>
      <c r="UTI146" s="433"/>
      <c r="UTJ146" s="433"/>
      <c r="UTK146" s="433"/>
      <c r="UTL146" s="433"/>
      <c r="UTM146" s="433"/>
      <c r="UTN146" s="433"/>
      <c r="UTO146" s="433"/>
      <c r="UTP146" s="433"/>
      <c r="UTQ146" s="433"/>
      <c r="UTR146" s="433"/>
      <c r="UTS146" s="433"/>
      <c r="UTT146" s="433"/>
      <c r="UTU146" s="433"/>
      <c r="UTV146" s="433"/>
      <c r="UTW146" s="433"/>
      <c r="UTX146" s="433"/>
      <c r="UTY146" s="433"/>
      <c r="UTZ146" s="433"/>
      <c r="UUA146" s="433"/>
      <c r="UUB146" s="433"/>
      <c r="UUC146" s="433"/>
      <c r="UUD146" s="433"/>
      <c r="UUE146" s="433"/>
      <c r="UUF146" s="433"/>
      <c r="UUG146" s="433"/>
      <c r="UUH146" s="433"/>
      <c r="UUI146" s="433"/>
      <c r="UUJ146" s="433"/>
      <c r="UUK146" s="433"/>
      <c r="UUL146" s="433"/>
      <c r="UUM146" s="433"/>
      <c r="UUN146" s="433"/>
      <c r="UUO146" s="433"/>
      <c r="UUP146" s="433"/>
      <c r="UUQ146" s="433"/>
      <c r="UUR146" s="433"/>
      <c r="UUS146" s="433"/>
      <c r="UUT146" s="433"/>
      <c r="UUU146" s="433"/>
      <c r="UUV146" s="433"/>
      <c r="UUW146" s="433"/>
      <c r="UUX146" s="433"/>
      <c r="UUY146" s="433"/>
      <c r="UUZ146" s="433"/>
      <c r="UVA146" s="433"/>
      <c r="UVB146" s="433"/>
      <c r="UVC146" s="433"/>
      <c r="UVD146" s="433"/>
      <c r="UVE146" s="433"/>
      <c r="UVF146" s="433"/>
      <c r="UVG146" s="433"/>
      <c r="UVH146" s="433"/>
      <c r="UVI146" s="433"/>
      <c r="UVJ146" s="433"/>
      <c r="UVK146" s="433"/>
      <c r="UVL146" s="433"/>
      <c r="UVM146" s="433"/>
      <c r="UVN146" s="433"/>
      <c r="UVO146" s="433"/>
      <c r="UVP146" s="433"/>
      <c r="UVQ146" s="433"/>
      <c r="UVR146" s="433"/>
      <c r="UVS146" s="433"/>
      <c r="UVT146" s="433"/>
      <c r="UVU146" s="433"/>
      <c r="UVV146" s="433"/>
      <c r="UVW146" s="433"/>
      <c r="UVX146" s="433"/>
      <c r="UVY146" s="433"/>
      <c r="UVZ146" s="433"/>
      <c r="UWA146" s="433"/>
      <c r="UWB146" s="433"/>
      <c r="UWC146" s="433"/>
      <c r="UWD146" s="433"/>
      <c r="UWE146" s="433"/>
      <c r="UWF146" s="433"/>
      <c r="UWG146" s="433"/>
      <c r="UWH146" s="433"/>
      <c r="UWI146" s="433"/>
      <c r="UWJ146" s="433"/>
      <c r="UWK146" s="433"/>
      <c r="UWL146" s="433"/>
      <c r="UWM146" s="433"/>
      <c r="UWN146" s="433"/>
      <c r="UWO146" s="433"/>
      <c r="UWP146" s="433"/>
      <c r="UWQ146" s="433"/>
      <c r="UWR146" s="433"/>
      <c r="UWS146" s="433"/>
      <c r="UWT146" s="433"/>
      <c r="UWU146" s="433"/>
      <c r="UWV146" s="433"/>
      <c r="UWW146" s="433"/>
      <c r="UWX146" s="433"/>
      <c r="UWY146" s="433"/>
      <c r="UWZ146" s="433"/>
      <c r="UXA146" s="433"/>
      <c r="UXB146" s="433"/>
      <c r="UXC146" s="433"/>
      <c r="UXD146" s="433"/>
      <c r="UXE146" s="433"/>
      <c r="UXF146" s="433"/>
      <c r="UXG146" s="433"/>
      <c r="UXH146" s="433"/>
      <c r="UXI146" s="433"/>
      <c r="UXJ146" s="433"/>
      <c r="UXK146" s="433"/>
      <c r="UXL146" s="433"/>
      <c r="UXM146" s="433"/>
      <c r="UXN146" s="433"/>
      <c r="UXO146" s="433"/>
      <c r="UXP146" s="433"/>
      <c r="UXQ146" s="433"/>
      <c r="UXR146" s="433"/>
      <c r="UXS146" s="433"/>
      <c r="UXT146" s="433"/>
      <c r="UXU146" s="433"/>
      <c r="UXV146" s="433"/>
      <c r="UXW146" s="433"/>
      <c r="UXX146" s="433"/>
      <c r="UXY146" s="433"/>
      <c r="UXZ146" s="433"/>
      <c r="UYA146" s="433"/>
      <c r="UYB146" s="433"/>
      <c r="UYC146" s="433"/>
      <c r="UYD146" s="433"/>
      <c r="UYE146" s="433"/>
      <c r="UYF146" s="433"/>
      <c r="UYG146" s="433"/>
      <c r="UYH146" s="433"/>
      <c r="UYI146" s="433"/>
      <c r="UYJ146" s="433"/>
      <c r="UYK146" s="433"/>
      <c r="UYL146" s="433"/>
      <c r="UYM146" s="433"/>
      <c r="UYN146" s="433"/>
      <c r="UYO146" s="433"/>
      <c r="UYP146" s="433"/>
      <c r="UYQ146" s="433"/>
      <c r="UYR146" s="433"/>
      <c r="UYS146" s="433"/>
      <c r="UYT146" s="433"/>
      <c r="UYU146" s="433"/>
      <c r="UYV146" s="433"/>
      <c r="UYW146" s="433"/>
      <c r="UYX146" s="433"/>
      <c r="UYY146" s="433"/>
      <c r="UYZ146" s="433"/>
      <c r="UZA146" s="433"/>
      <c r="UZB146" s="433"/>
      <c r="UZC146" s="433"/>
      <c r="UZD146" s="433"/>
      <c r="UZE146" s="433"/>
      <c r="UZF146" s="433"/>
      <c r="UZG146" s="433"/>
      <c r="UZH146" s="433"/>
      <c r="UZI146" s="433"/>
      <c r="UZJ146" s="433"/>
      <c r="UZK146" s="433"/>
      <c r="UZL146" s="433"/>
      <c r="UZM146" s="433"/>
      <c r="UZN146" s="433"/>
      <c r="UZO146" s="433"/>
      <c r="UZP146" s="433"/>
      <c r="UZQ146" s="433"/>
      <c r="UZR146" s="433"/>
      <c r="UZS146" s="433"/>
      <c r="UZT146" s="433"/>
      <c r="UZU146" s="433"/>
      <c r="UZV146" s="433"/>
      <c r="UZW146" s="433"/>
      <c r="UZX146" s="433"/>
      <c r="UZY146" s="433"/>
      <c r="UZZ146" s="433"/>
      <c r="VAA146" s="433"/>
      <c r="VAB146" s="433"/>
      <c r="VAC146" s="433"/>
      <c r="VAD146" s="433"/>
      <c r="VAE146" s="433"/>
      <c r="VAF146" s="433"/>
      <c r="VAG146" s="433"/>
      <c r="VAH146" s="433"/>
      <c r="VAI146" s="433"/>
      <c r="VAJ146" s="433"/>
      <c r="VAK146" s="433"/>
      <c r="VAL146" s="433"/>
      <c r="VAM146" s="433"/>
      <c r="VAN146" s="433"/>
      <c r="VAO146" s="433"/>
      <c r="VAP146" s="433"/>
      <c r="VAQ146" s="433"/>
      <c r="VAR146" s="433"/>
      <c r="VAS146" s="433"/>
      <c r="VAT146" s="433"/>
      <c r="VAU146" s="433"/>
      <c r="VAV146" s="433"/>
      <c r="VAW146" s="433"/>
      <c r="VAX146" s="433"/>
      <c r="VAY146" s="433"/>
      <c r="VAZ146" s="433"/>
      <c r="VBA146" s="433"/>
      <c r="VBB146" s="433"/>
      <c r="VBC146" s="433"/>
      <c r="VBD146" s="433"/>
      <c r="VBE146" s="433"/>
      <c r="VBF146" s="433"/>
      <c r="VBG146" s="433"/>
      <c r="VBH146" s="433"/>
      <c r="VBI146" s="433"/>
      <c r="VBJ146" s="433"/>
      <c r="VBK146" s="433"/>
      <c r="VBL146" s="433"/>
      <c r="VBM146" s="433"/>
      <c r="VBN146" s="433"/>
      <c r="VBO146" s="433"/>
      <c r="VBP146" s="433"/>
      <c r="VBQ146" s="433"/>
      <c r="VBR146" s="433"/>
      <c r="VBS146" s="433"/>
      <c r="VBT146" s="433"/>
      <c r="VBU146" s="433"/>
      <c r="VBV146" s="433"/>
      <c r="VBW146" s="433"/>
      <c r="VBX146" s="433"/>
      <c r="VBY146" s="433"/>
      <c r="VBZ146" s="433"/>
      <c r="VCA146" s="433"/>
      <c r="VCB146" s="433"/>
      <c r="VCC146" s="433"/>
      <c r="VCD146" s="433"/>
      <c r="VCE146" s="433"/>
      <c r="VCF146" s="433"/>
      <c r="VCG146" s="433"/>
      <c r="VCH146" s="433"/>
      <c r="VCI146" s="433"/>
      <c r="VCJ146" s="433"/>
      <c r="VCK146" s="433"/>
      <c r="VCL146" s="433"/>
      <c r="VCM146" s="433"/>
      <c r="VCN146" s="433"/>
      <c r="VCO146" s="433"/>
      <c r="VCP146" s="433"/>
      <c r="VCQ146" s="433"/>
      <c r="VCR146" s="433"/>
      <c r="VCS146" s="433"/>
      <c r="VCT146" s="433"/>
      <c r="VCU146" s="433"/>
      <c r="VCV146" s="433"/>
      <c r="VCW146" s="433"/>
      <c r="VCX146" s="433"/>
      <c r="VCY146" s="433"/>
      <c r="VCZ146" s="433"/>
      <c r="VDA146" s="433"/>
      <c r="VDB146" s="433"/>
      <c r="VDC146" s="433"/>
      <c r="VDD146" s="433"/>
      <c r="VDE146" s="433"/>
      <c r="VDF146" s="433"/>
      <c r="VDG146" s="433"/>
      <c r="VDH146" s="433"/>
      <c r="VDI146" s="433"/>
      <c r="VDJ146" s="433"/>
      <c r="VDK146" s="433"/>
      <c r="VDL146" s="433"/>
      <c r="VDM146" s="433"/>
      <c r="VDN146" s="433"/>
      <c r="VDO146" s="433"/>
      <c r="VDP146" s="433"/>
      <c r="VDQ146" s="433"/>
      <c r="VDR146" s="433"/>
      <c r="VDS146" s="433"/>
      <c r="VDT146" s="433"/>
      <c r="VDU146" s="433"/>
      <c r="VDV146" s="433"/>
      <c r="VDW146" s="433"/>
      <c r="VDX146" s="433"/>
      <c r="VDY146" s="433"/>
      <c r="VDZ146" s="433"/>
      <c r="VEA146" s="433"/>
      <c r="VEB146" s="433"/>
      <c r="VEC146" s="433"/>
      <c r="VED146" s="433"/>
      <c r="VEE146" s="433"/>
      <c r="VEF146" s="433"/>
      <c r="VEG146" s="433"/>
      <c r="VEH146" s="433"/>
      <c r="VEI146" s="433"/>
      <c r="VEJ146" s="433"/>
      <c r="VEK146" s="433"/>
      <c r="VEL146" s="433"/>
      <c r="VEM146" s="433"/>
      <c r="VEN146" s="433"/>
      <c r="VEO146" s="433"/>
      <c r="VEP146" s="433"/>
      <c r="VEQ146" s="433"/>
      <c r="VER146" s="433"/>
      <c r="VES146" s="433"/>
      <c r="VET146" s="433"/>
      <c r="VEU146" s="433"/>
      <c r="VEV146" s="433"/>
      <c r="VEW146" s="433"/>
      <c r="VEX146" s="433"/>
      <c r="VEY146" s="433"/>
      <c r="VEZ146" s="433"/>
      <c r="VFA146" s="433"/>
      <c r="VFB146" s="433"/>
      <c r="VFC146" s="433"/>
      <c r="VFD146" s="433"/>
      <c r="VFE146" s="433"/>
      <c r="VFF146" s="433"/>
      <c r="VFG146" s="433"/>
      <c r="VFH146" s="433"/>
      <c r="VFI146" s="433"/>
      <c r="VFJ146" s="433"/>
      <c r="VFK146" s="433"/>
      <c r="VFL146" s="433"/>
      <c r="VFM146" s="433"/>
      <c r="VFN146" s="433"/>
      <c r="VFO146" s="433"/>
      <c r="VFP146" s="433"/>
      <c r="VFQ146" s="433"/>
      <c r="VFR146" s="433"/>
      <c r="VFS146" s="433"/>
      <c r="VFT146" s="433"/>
      <c r="VFU146" s="433"/>
      <c r="VFV146" s="433"/>
      <c r="VFW146" s="433"/>
      <c r="VFX146" s="433"/>
      <c r="VFY146" s="433"/>
      <c r="VFZ146" s="433"/>
      <c r="VGA146" s="433"/>
      <c r="VGB146" s="433"/>
      <c r="VGC146" s="433"/>
      <c r="VGD146" s="433"/>
      <c r="VGE146" s="433"/>
      <c r="VGF146" s="433"/>
      <c r="VGG146" s="433"/>
      <c r="VGH146" s="433"/>
      <c r="VGI146" s="433"/>
      <c r="VGJ146" s="433"/>
      <c r="VGK146" s="433"/>
      <c r="VGL146" s="433"/>
      <c r="VGM146" s="433"/>
      <c r="VGN146" s="433"/>
      <c r="VGO146" s="433"/>
      <c r="VGP146" s="433"/>
      <c r="VGQ146" s="433"/>
      <c r="VGR146" s="433"/>
      <c r="VGS146" s="433"/>
      <c r="VGT146" s="433"/>
      <c r="VGU146" s="433"/>
      <c r="VGV146" s="433"/>
      <c r="VGW146" s="433"/>
      <c r="VGX146" s="433"/>
      <c r="VGY146" s="433"/>
      <c r="VGZ146" s="433"/>
      <c r="VHA146" s="433"/>
      <c r="VHB146" s="433"/>
      <c r="VHC146" s="433"/>
      <c r="VHD146" s="433"/>
      <c r="VHE146" s="433"/>
      <c r="VHF146" s="433"/>
      <c r="VHG146" s="433"/>
      <c r="VHH146" s="433"/>
      <c r="VHI146" s="433"/>
      <c r="VHJ146" s="433"/>
      <c r="VHK146" s="433"/>
      <c r="VHL146" s="433"/>
      <c r="VHM146" s="433"/>
      <c r="VHN146" s="433"/>
      <c r="VHO146" s="433"/>
      <c r="VHP146" s="433"/>
      <c r="VHQ146" s="433"/>
      <c r="VHR146" s="433"/>
      <c r="VHS146" s="433"/>
      <c r="VHT146" s="433"/>
      <c r="VHU146" s="433"/>
      <c r="VHV146" s="433"/>
      <c r="VHW146" s="433"/>
      <c r="VHX146" s="433"/>
      <c r="VHY146" s="433"/>
      <c r="VHZ146" s="433"/>
      <c r="VIA146" s="433"/>
      <c r="VIB146" s="433"/>
      <c r="VIC146" s="433"/>
      <c r="VID146" s="433"/>
      <c r="VIE146" s="433"/>
      <c r="VIF146" s="433"/>
      <c r="VIG146" s="433"/>
      <c r="VIH146" s="433"/>
      <c r="VII146" s="433"/>
      <c r="VIJ146" s="433"/>
      <c r="VIK146" s="433"/>
      <c r="VIL146" s="433"/>
      <c r="VIM146" s="433"/>
      <c r="VIN146" s="433"/>
      <c r="VIO146" s="433"/>
      <c r="VIP146" s="433"/>
      <c r="VIQ146" s="433"/>
      <c r="VIR146" s="433"/>
      <c r="VIS146" s="433"/>
      <c r="VIT146" s="433"/>
      <c r="VIU146" s="433"/>
      <c r="VIV146" s="433"/>
      <c r="VIW146" s="433"/>
      <c r="VIX146" s="433"/>
      <c r="VIY146" s="433"/>
      <c r="VIZ146" s="433"/>
      <c r="VJA146" s="433"/>
      <c r="VJB146" s="433"/>
      <c r="VJC146" s="433"/>
      <c r="VJD146" s="433"/>
      <c r="VJE146" s="433"/>
      <c r="VJF146" s="433"/>
      <c r="VJG146" s="433"/>
      <c r="VJH146" s="433"/>
      <c r="VJI146" s="433"/>
      <c r="VJJ146" s="433"/>
      <c r="VJK146" s="433"/>
      <c r="VJL146" s="433"/>
      <c r="VJM146" s="433"/>
      <c r="VJN146" s="433"/>
      <c r="VJO146" s="433"/>
      <c r="VJP146" s="433"/>
      <c r="VJQ146" s="433"/>
      <c r="VJR146" s="433"/>
      <c r="VJS146" s="433"/>
      <c r="VJT146" s="433"/>
      <c r="VJU146" s="433"/>
      <c r="VJV146" s="433"/>
      <c r="VJW146" s="433"/>
      <c r="VJX146" s="433"/>
      <c r="VJY146" s="433"/>
      <c r="VJZ146" s="433"/>
      <c r="VKA146" s="433"/>
      <c r="VKB146" s="433"/>
      <c r="VKC146" s="433"/>
      <c r="VKD146" s="433"/>
      <c r="VKE146" s="433"/>
      <c r="VKF146" s="433"/>
      <c r="VKG146" s="433"/>
      <c r="VKH146" s="433"/>
      <c r="VKI146" s="433"/>
      <c r="VKJ146" s="433"/>
      <c r="VKK146" s="433"/>
      <c r="VKL146" s="433"/>
      <c r="VKM146" s="433"/>
      <c r="VKN146" s="433"/>
      <c r="VKO146" s="433"/>
      <c r="VKP146" s="433"/>
      <c r="VKQ146" s="433"/>
      <c r="VKR146" s="433"/>
      <c r="VKS146" s="433"/>
      <c r="VKT146" s="433"/>
      <c r="VKU146" s="433"/>
      <c r="VKV146" s="433"/>
      <c r="VKW146" s="433"/>
      <c r="VKX146" s="433"/>
      <c r="VKY146" s="433"/>
      <c r="VKZ146" s="433"/>
      <c r="VLA146" s="433"/>
      <c r="VLB146" s="433"/>
      <c r="VLC146" s="433"/>
      <c r="VLD146" s="433"/>
      <c r="VLE146" s="433"/>
      <c r="VLF146" s="433"/>
      <c r="VLG146" s="433"/>
      <c r="VLH146" s="433"/>
      <c r="VLI146" s="433"/>
      <c r="VLJ146" s="433"/>
      <c r="VLK146" s="433"/>
      <c r="VLL146" s="433"/>
      <c r="VLM146" s="433"/>
      <c r="VLN146" s="433"/>
      <c r="VLO146" s="433"/>
      <c r="VLP146" s="433"/>
      <c r="VLQ146" s="433"/>
      <c r="VLR146" s="433"/>
      <c r="VLS146" s="433"/>
      <c r="VLT146" s="433"/>
      <c r="VLU146" s="433"/>
      <c r="VLV146" s="433"/>
      <c r="VLW146" s="433"/>
      <c r="VLX146" s="433"/>
      <c r="VLY146" s="433"/>
      <c r="VLZ146" s="433"/>
      <c r="VMA146" s="433"/>
      <c r="VMB146" s="433"/>
      <c r="VMC146" s="433"/>
      <c r="VMD146" s="433"/>
      <c r="VME146" s="433"/>
      <c r="VMF146" s="433"/>
      <c r="VMG146" s="433"/>
      <c r="VMH146" s="433"/>
      <c r="VMI146" s="433"/>
      <c r="VMJ146" s="433"/>
      <c r="VMK146" s="433"/>
      <c r="VML146" s="433"/>
      <c r="VMM146" s="433"/>
      <c r="VMN146" s="433"/>
      <c r="VMO146" s="433"/>
      <c r="VMP146" s="433"/>
      <c r="VMQ146" s="433"/>
      <c r="VMR146" s="433"/>
      <c r="VMS146" s="433"/>
      <c r="VMT146" s="433"/>
      <c r="VMU146" s="433"/>
      <c r="VMV146" s="433"/>
      <c r="VMW146" s="433"/>
      <c r="VMX146" s="433"/>
      <c r="VMY146" s="433"/>
      <c r="VMZ146" s="433"/>
      <c r="VNA146" s="433"/>
      <c r="VNB146" s="433"/>
      <c r="VNC146" s="433"/>
      <c r="VND146" s="433"/>
      <c r="VNE146" s="433"/>
      <c r="VNF146" s="433"/>
      <c r="VNG146" s="433"/>
      <c r="VNH146" s="433"/>
      <c r="VNI146" s="433"/>
      <c r="VNJ146" s="433"/>
      <c r="VNK146" s="433"/>
      <c r="VNL146" s="433"/>
      <c r="VNM146" s="433"/>
      <c r="VNN146" s="433"/>
      <c r="VNO146" s="433"/>
      <c r="VNP146" s="433"/>
      <c r="VNQ146" s="433"/>
      <c r="VNR146" s="433"/>
      <c r="VNS146" s="433"/>
      <c r="VNT146" s="433"/>
      <c r="VNU146" s="433"/>
      <c r="VNV146" s="433"/>
      <c r="VNW146" s="433"/>
      <c r="VNX146" s="433"/>
      <c r="VNY146" s="433"/>
      <c r="VNZ146" s="433"/>
      <c r="VOA146" s="433"/>
      <c r="VOB146" s="433"/>
      <c r="VOC146" s="433"/>
      <c r="VOD146" s="433"/>
      <c r="VOE146" s="433"/>
      <c r="VOF146" s="433"/>
      <c r="VOG146" s="433"/>
      <c r="VOH146" s="433"/>
      <c r="VOI146" s="433"/>
      <c r="VOJ146" s="433"/>
      <c r="VOK146" s="433"/>
      <c r="VOL146" s="433"/>
      <c r="VOM146" s="433"/>
      <c r="VON146" s="433"/>
      <c r="VOO146" s="433"/>
      <c r="VOP146" s="433"/>
      <c r="VOQ146" s="433"/>
      <c r="VOR146" s="433"/>
      <c r="VOS146" s="433"/>
      <c r="VOT146" s="433"/>
      <c r="VOU146" s="433"/>
      <c r="VOV146" s="433"/>
      <c r="VOW146" s="433"/>
      <c r="VOX146" s="433"/>
      <c r="VOY146" s="433"/>
      <c r="VOZ146" s="433"/>
      <c r="VPA146" s="433"/>
      <c r="VPB146" s="433"/>
      <c r="VPC146" s="433"/>
      <c r="VPD146" s="433"/>
      <c r="VPE146" s="433"/>
      <c r="VPF146" s="433"/>
      <c r="VPG146" s="433"/>
      <c r="VPH146" s="433"/>
      <c r="VPI146" s="433"/>
      <c r="VPJ146" s="433"/>
      <c r="VPK146" s="433"/>
      <c r="VPL146" s="433"/>
      <c r="VPM146" s="433"/>
      <c r="VPN146" s="433"/>
      <c r="VPO146" s="433"/>
      <c r="VPP146" s="433"/>
      <c r="VPQ146" s="433"/>
      <c r="VPR146" s="433"/>
      <c r="VPS146" s="433"/>
      <c r="VPT146" s="433"/>
      <c r="VPU146" s="433"/>
      <c r="VPV146" s="433"/>
      <c r="VPW146" s="433"/>
      <c r="VPX146" s="433"/>
      <c r="VPY146" s="433"/>
      <c r="VPZ146" s="433"/>
      <c r="VQA146" s="433"/>
      <c r="VQB146" s="433"/>
      <c r="VQC146" s="433"/>
      <c r="VQD146" s="433"/>
      <c r="VQE146" s="433"/>
      <c r="VQF146" s="433"/>
      <c r="VQG146" s="433"/>
      <c r="VQH146" s="433"/>
      <c r="VQI146" s="433"/>
      <c r="VQJ146" s="433"/>
      <c r="VQK146" s="433"/>
      <c r="VQL146" s="433"/>
      <c r="VQM146" s="433"/>
      <c r="VQN146" s="433"/>
      <c r="VQO146" s="433"/>
      <c r="VQP146" s="433"/>
      <c r="VQQ146" s="433"/>
      <c r="VQR146" s="433"/>
      <c r="VQS146" s="433"/>
      <c r="VQT146" s="433"/>
      <c r="VQU146" s="433"/>
      <c r="VQV146" s="433"/>
      <c r="VQW146" s="433"/>
      <c r="VQX146" s="433"/>
      <c r="VQY146" s="433"/>
      <c r="VQZ146" s="433"/>
      <c r="VRA146" s="433"/>
      <c r="VRB146" s="433"/>
      <c r="VRC146" s="433"/>
      <c r="VRD146" s="433"/>
      <c r="VRE146" s="433"/>
      <c r="VRF146" s="433"/>
      <c r="VRG146" s="433"/>
      <c r="VRH146" s="433"/>
      <c r="VRI146" s="433"/>
      <c r="VRJ146" s="433"/>
      <c r="VRK146" s="433"/>
      <c r="VRL146" s="433"/>
      <c r="VRM146" s="433"/>
      <c r="VRN146" s="433"/>
      <c r="VRO146" s="433"/>
      <c r="VRP146" s="433"/>
      <c r="VRQ146" s="433"/>
      <c r="VRR146" s="433"/>
      <c r="VRS146" s="433"/>
      <c r="VRT146" s="433"/>
      <c r="VRU146" s="433"/>
      <c r="VRV146" s="433"/>
      <c r="VRW146" s="433"/>
      <c r="VRX146" s="433"/>
      <c r="VRY146" s="433"/>
      <c r="VRZ146" s="433"/>
      <c r="VSA146" s="433"/>
      <c r="VSB146" s="433"/>
      <c r="VSC146" s="433"/>
      <c r="VSD146" s="433"/>
      <c r="VSE146" s="433"/>
      <c r="VSF146" s="433"/>
      <c r="VSG146" s="433"/>
      <c r="VSH146" s="433"/>
      <c r="VSI146" s="433"/>
      <c r="VSJ146" s="433"/>
      <c r="VSK146" s="433"/>
      <c r="VSL146" s="433"/>
      <c r="VSM146" s="433"/>
      <c r="VSN146" s="433"/>
      <c r="VSO146" s="433"/>
      <c r="VSP146" s="433"/>
      <c r="VSQ146" s="433"/>
      <c r="VSR146" s="433"/>
      <c r="VSS146" s="433"/>
      <c r="VST146" s="433"/>
      <c r="VSU146" s="433"/>
      <c r="VSV146" s="433"/>
      <c r="VSW146" s="433"/>
      <c r="VSX146" s="433"/>
      <c r="VSY146" s="433"/>
      <c r="VSZ146" s="433"/>
      <c r="VTA146" s="433"/>
      <c r="VTB146" s="433"/>
      <c r="VTC146" s="433"/>
      <c r="VTD146" s="433"/>
      <c r="VTE146" s="433"/>
      <c r="VTF146" s="433"/>
      <c r="VTG146" s="433"/>
      <c r="VTH146" s="433"/>
      <c r="VTI146" s="433"/>
      <c r="VTJ146" s="433"/>
      <c r="VTK146" s="433"/>
      <c r="VTL146" s="433"/>
      <c r="VTM146" s="433"/>
      <c r="VTN146" s="433"/>
      <c r="VTO146" s="433"/>
      <c r="VTP146" s="433"/>
      <c r="VTQ146" s="433"/>
      <c r="VTR146" s="433"/>
      <c r="VTS146" s="433"/>
      <c r="VTT146" s="433"/>
      <c r="VTU146" s="433"/>
      <c r="VTV146" s="433"/>
      <c r="VTW146" s="433"/>
      <c r="VTX146" s="433"/>
      <c r="VTY146" s="433"/>
      <c r="VTZ146" s="433"/>
      <c r="VUA146" s="433"/>
      <c r="VUB146" s="433"/>
      <c r="VUC146" s="433"/>
      <c r="VUD146" s="433"/>
      <c r="VUE146" s="433"/>
      <c r="VUF146" s="433"/>
      <c r="VUG146" s="433"/>
      <c r="VUH146" s="433"/>
      <c r="VUI146" s="433"/>
      <c r="VUJ146" s="433"/>
      <c r="VUK146" s="433"/>
      <c r="VUL146" s="433"/>
      <c r="VUM146" s="433"/>
      <c r="VUN146" s="433"/>
      <c r="VUO146" s="433"/>
      <c r="VUP146" s="433"/>
      <c r="VUQ146" s="433"/>
      <c r="VUR146" s="433"/>
      <c r="VUS146" s="433"/>
      <c r="VUT146" s="433"/>
      <c r="VUU146" s="433"/>
      <c r="VUV146" s="433"/>
      <c r="VUW146" s="433"/>
      <c r="VUX146" s="433"/>
      <c r="VUY146" s="433"/>
      <c r="VUZ146" s="433"/>
      <c r="VVA146" s="433"/>
      <c r="VVB146" s="433"/>
      <c r="VVC146" s="433"/>
      <c r="VVD146" s="433"/>
      <c r="VVE146" s="433"/>
      <c r="VVF146" s="433"/>
      <c r="VVG146" s="433"/>
      <c r="VVH146" s="433"/>
      <c r="VVI146" s="433"/>
      <c r="VVJ146" s="433"/>
      <c r="VVK146" s="433"/>
      <c r="VVL146" s="433"/>
      <c r="VVM146" s="433"/>
      <c r="VVN146" s="433"/>
      <c r="VVO146" s="433"/>
      <c r="VVP146" s="433"/>
      <c r="VVQ146" s="433"/>
      <c r="VVR146" s="433"/>
      <c r="VVS146" s="433"/>
      <c r="VVT146" s="433"/>
      <c r="VVU146" s="433"/>
      <c r="VVV146" s="433"/>
      <c r="VVW146" s="433"/>
      <c r="VVX146" s="433"/>
      <c r="VVY146" s="433"/>
      <c r="VVZ146" s="433"/>
      <c r="VWA146" s="433"/>
      <c r="VWB146" s="433"/>
      <c r="VWC146" s="433"/>
      <c r="VWD146" s="433"/>
      <c r="VWE146" s="433"/>
      <c r="VWF146" s="433"/>
      <c r="VWG146" s="433"/>
      <c r="VWH146" s="433"/>
      <c r="VWI146" s="433"/>
      <c r="VWJ146" s="433"/>
      <c r="VWK146" s="433"/>
      <c r="VWL146" s="433"/>
      <c r="VWM146" s="433"/>
      <c r="VWN146" s="433"/>
      <c r="VWO146" s="433"/>
      <c r="VWP146" s="433"/>
      <c r="VWQ146" s="433"/>
      <c r="VWR146" s="433"/>
      <c r="VWS146" s="433"/>
      <c r="VWT146" s="433"/>
      <c r="VWU146" s="433"/>
      <c r="VWV146" s="433"/>
      <c r="VWW146" s="433"/>
      <c r="VWX146" s="433"/>
      <c r="VWY146" s="433"/>
      <c r="VWZ146" s="433"/>
      <c r="VXA146" s="433"/>
      <c r="VXB146" s="433"/>
      <c r="VXC146" s="433"/>
      <c r="VXD146" s="433"/>
      <c r="VXE146" s="433"/>
      <c r="VXF146" s="433"/>
      <c r="VXG146" s="433"/>
      <c r="VXH146" s="433"/>
      <c r="VXI146" s="433"/>
      <c r="VXJ146" s="433"/>
      <c r="VXK146" s="433"/>
      <c r="VXL146" s="433"/>
      <c r="VXM146" s="433"/>
      <c r="VXN146" s="433"/>
      <c r="VXO146" s="433"/>
      <c r="VXP146" s="433"/>
      <c r="VXQ146" s="433"/>
      <c r="VXR146" s="433"/>
      <c r="VXS146" s="433"/>
      <c r="VXT146" s="433"/>
      <c r="VXU146" s="433"/>
      <c r="VXV146" s="433"/>
      <c r="VXW146" s="433"/>
      <c r="VXX146" s="433"/>
      <c r="VXY146" s="433"/>
      <c r="VXZ146" s="433"/>
      <c r="VYA146" s="433"/>
      <c r="VYB146" s="433"/>
      <c r="VYC146" s="433"/>
      <c r="VYD146" s="433"/>
      <c r="VYE146" s="433"/>
      <c r="VYF146" s="433"/>
      <c r="VYG146" s="433"/>
      <c r="VYH146" s="433"/>
      <c r="VYI146" s="433"/>
      <c r="VYJ146" s="433"/>
      <c r="VYK146" s="433"/>
      <c r="VYL146" s="433"/>
      <c r="VYM146" s="433"/>
      <c r="VYN146" s="433"/>
      <c r="VYO146" s="433"/>
      <c r="VYP146" s="433"/>
      <c r="VYQ146" s="433"/>
      <c r="VYR146" s="433"/>
      <c r="VYS146" s="433"/>
      <c r="VYT146" s="433"/>
      <c r="VYU146" s="433"/>
      <c r="VYV146" s="433"/>
      <c r="VYW146" s="433"/>
      <c r="VYX146" s="433"/>
      <c r="VYY146" s="433"/>
      <c r="VYZ146" s="433"/>
      <c r="VZA146" s="433"/>
      <c r="VZB146" s="433"/>
      <c r="VZC146" s="433"/>
      <c r="VZD146" s="433"/>
      <c r="VZE146" s="433"/>
      <c r="VZF146" s="433"/>
      <c r="VZG146" s="433"/>
      <c r="VZH146" s="433"/>
      <c r="VZI146" s="433"/>
      <c r="VZJ146" s="433"/>
      <c r="VZK146" s="433"/>
      <c r="VZL146" s="433"/>
      <c r="VZM146" s="433"/>
      <c r="VZN146" s="433"/>
      <c r="VZO146" s="433"/>
      <c r="VZP146" s="433"/>
      <c r="VZQ146" s="433"/>
      <c r="VZR146" s="433"/>
      <c r="VZS146" s="433"/>
      <c r="VZT146" s="433"/>
      <c r="VZU146" s="433"/>
      <c r="VZV146" s="433"/>
      <c r="VZW146" s="433"/>
      <c r="VZX146" s="433"/>
      <c r="VZY146" s="433"/>
      <c r="VZZ146" s="433"/>
      <c r="WAA146" s="433"/>
      <c r="WAB146" s="433"/>
      <c r="WAC146" s="433"/>
      <c r="WAD146" s="433"/>
      <c r="WAE146" s="433"/>
      <c r="WAF146" s="433"/>
      <c r="WAG146" s="433"/>
      <c r="WAH146" s="433"/>
      <c r="WAI146" s="433"/>
      <c r="WAJ146" s="433"/>
      <c r="WAK146" s="433"/>
      <c r="WAL146" s="433"/>
      <c r="WAM146" s="433"/>
      <c r="WAN146" s="433"/>
      <c r="WAO146" s="433"/>
      <c r="WAP146" s="433"/>
      <c r="WAQ146" s="433"/>
      <c r="WAR146" s="433"/>
      <c r="WAS146" s="433"/>
      <c r="WAT146" s="433"/>
      <c r="WAU146" s="433"/>
      <c r="WAV146" s="433"/>
      <c r="WAW146" s="433"/>
      <c r="WAX146" s="433"/>
      <c r="WAY146" s="433"/>
      <c r="WAZ146" s="433"/>
      <c r="WBA146" s="433"/>
      <c r="WBB146" s="433"/>
      <c r="WBC146" s="433"/>
      <c r="WBD146" s="433"/>
      <c r="WBE146" s="433"/>
      <c r="WBF146" s="433"/>
      <c r="WBG146" s="433"/>
      <c r="WBH146" s="433"/>
      <c r="WBI146" s="433"/>
      <c r="WBJ146" s="433"/>
      <c r="WBK146" s="433"/>
      <c r="WBL146" s="433"/>
      <c r="WBM146" s="433"/>
      <c r="WBN146" s="433"/>
      <c r="WBO146" s="433"/>
      <c r="WBP146" s="433"/>
      <c r="WBQ146" s="433"/>
      <c r="WBR146" s="433"/>
      <c r="WBS146" s="433"/>
      <c r="WBT146" s="433"/>
      <c r="WBU146" s="433"/>
      <c r="WBV146" s="433"/>
      <c r="WBW146" s="433"/>
      <c r="WBX146" s="433"/>
      <c r="WBY146" s="433"/>
      <c r="WBZ146" s="433"/>
      <c r="WCA146" s="433"/>
      <c r="WCB146" s="433"/>
      <c r="WCC146" s="433"/>
      <c r="WCD146" s="433"/>
      <c r="WCE146" s="433"/>
      <c r="WCF146" s="433"/>
      <c r="WCG146" s="433"/>
      <c r="WCH146" s="433"/>
      <c r="WCI146" s="433"/>
      <c r="WCJ146" s="433"/>
      <c r="WCK146" s="433"/>
      <c r="WCL146" s="433"/>
      <c r="WCM146" s="433"/>
      <c r="WCN146" s="433"/>
      <c r="WCO146" s="433"/>
      <c r="WCP146" s="433"/>
      <c r="WCQ146" s="433"/>
      <c r="WCR146" s="433"/>
      <c r="WCS146" s="433"/>
      <c r="WCT146" s="433"/>
      <c r="WCU146" s="433"/>
      <c r="WCV146" s="433"/>
      <c r="WCW146" s="433"/>
      <c r="WCX146" s="433"/>
      <c r="WCY146" s="433"/>
      <c r="WCZ146" s="433"/>
      <c r="WDA146" s="433"/>
      <c r="WDB146" s="433"/>
      <c r="WDC146" s="433"/>
      <c r="WDD146" s="433"/>
      <c r="WDE146" s="433"/>
      <c r="WDF146" s="433"/>
      <c r="WDG146" s="433"/>
      <c r="WDH146" s="433"/>
      <c r="WDI146" s="433"/>
      <c r="WDJ146" s="433"/>
      <c r="WDK146" s="433"/>
      <c r="WDL146" s="433"/>
      <c r="WDM146" s="433"/>
      <c r="WDN146" s="433"/>
      <c r="WDO146" s="433"/>
      <c r="WDP146" s="433"/>
      <c r="WDQ146" s="433"/>
      <c r="WDR146" s="433"/>
      <c r="WDS146" s="433"/>
      <c r="WDT146" s="433"/>
      <c r="WDU146" s="433"/>
      <c r="WDV146" s="433"/>
      <c r="WDW146" s="433"/>
      <c r="WDX146" s="433"/>
      <c r="WDY146" s="433"/>
      <c r="WDZ146" s="433"/>
      <c r="WEA146" s="433"/>
      <c r="WEB146" s="433"/>
      <c r="WEC146" s="433"/>
      <c r="WED146" s="433"/>
      <c r="WEE146" s="433"/>
      <c r="WEF146" s="433"/>
      <c r="WEG146" s="433"/>
      <c r="WEH146" s="433"/>
      <c r="WEI146" s="433"/>
      <c r="WEJ146" s="433"/>
      <c r="WEK146" s="433"/>
      <c r="WEL146" s="433"/>
      <c r="WEM146" s="433"/>
      <c r="WEN146" s="433"/>
      <c r="WEO146" s="433"/>
      <c r="WEP146" s="433"/>
      <c r="WEQ146" s="433"/>
      <c r="WER146" s="433"/>
      <c r="WES146" s="433"/>
      <c r="WET146" s="433"/>
      <c r="WEU146" s="433"/>
      <c r="WEV146" s="433"/>
      <c r="WEW146" s="433"/>
      <c r="WEX146" s="433"/>
      <c r="WEY146" s="433"/>
      <c r="WEZ146" s="433"/>
      <c r="WFA146" s="433"/>
      <c r="WFB146" s="433"/>
      <c r="WFC146" s="433"/>
      <c r="WFD146" s="433"/>
      <c r="WFE146" s="433"/>
      <c r="WFF146" s="433"/>
      <c r="WFG146" s="433"/>
      <c r="WFH146" s="433"/>
      <c r="WFI146" s="433"/>
      <c r="WFJ146" s="433"/>
      <c r="WFK146" s="433"/>
      <c r="WFL146" s="433"/>
      <c r="WFM146" s="433"/>
      <c r="WFN146" s="433"/>
      <c r="WFO146" s="433"/>
      <c r="WFP146" s="433"/>
      <c r="WFQ146" s="433"/>
      <c r="WFR146" s="433"/>
      <c r="WFS146" s="433"/>
      <c r="WFT146" s="433"/>
      <c r="WFU146" s="433"/>
      <c r="WFV146" s="433"/>
      <c r="WFW146" s="433"/>
      <c r="WFX146" s="433"/>
      <c r="WFY146" s="433"/>
      <c r="WFZ146" s="433"/>
      <c r="WGA146" s="433"/>
      <c r="WGB146" s="433"/>
      <c r="WGC146" s="433"/>
      <c r="WGD146" s="433"/>
      <c r="WGE146" s="433"/>
      <c r="WGF146" s="433"/>
      <c r="WGG146" s="433"/>
      <c r="WGH146" s="433"/>
      <c r="WGI146" s="433"/>
      <c r="WGJ146" s="433"/>
      <c r="WGK146" s="433"/>
      <c r="WGL146" s="433"/>
      <c r="WGM146" s="433"/>
      <c r="WGN146" s="433"/>
      <c r="WGO146" s="433"/>
      <c r="WGP146" s="433"/>
      <c r="WGQ146" s="433"/>
      <c r="WGR146" s="433"/>
      <c r="WGS146" s="433"/>
      <c r="WGT146" s="433"/>
      <c r="WGU146" s="433"/>
      <c r="WGV146" s="433"/>
      <c r="WGW146" s="433"/>
      <c r="WGX146" s="433"/>
      <c r="WGY146" s="433"/>
      <c r="WGZ146" s="433"/>
      <c r="WHA146" s="433"/>
      <c r="WHB146" s="433"/>
      <c r="WHC146" s="433"/>
      <c r="WHD146" s="433"/>
      <c r="WHE146" s="433"/>
      <c r="WHF146" s="433"/>
      <c r="WHG146" s="433"/>
      <c r="WHH146" s="433"/>
      <c r="WHI146" s="433"/>
      <c r="WHJ146" s="433"/>
      <c r="WHK146" s="433"/>
      <c r="WHL146" s="433"/>
      <c r="WHM146" s="433"/>
      <c r="WHN146" s="433"/>
      <c r="WHO146" s="433"/>
      <c r="WHP146" s="433"/>
      <c r="WHQ146" s="433"/>
      <c r="WHR146" s="433"/>
      <c r="WHS146" s="433"/>
      <c r="WHT146" s="433"/>
      <c r="WHU146" s="433"/>
      <c r="WHV146" s="433"/>
      <c r="WHW146" s="433"/>
      <c r="WHX146" s="433"/>
      <c r="WHY146" s="433"/>
      <c r="WHZ146" s="433"/>
      <c r="WIA146" s="433"/>
      <c r="WIB146" s="433"/>
      <c r="WIC146" s="433"/>
      <c r="WID146" s="433"/>
      <c r="WIE146" s="433"/>
      <c r="WIF146" s="433"/>
      <c r="WIG146" s="433"/>
      <c r="WIH146" s="433"/>
      <c r="WII146" s="433"/>
      <c r="WIJ146" s="433"/>
      <c r="WIK146" s="433"/>
      <c r="WIL146" s="433"/>
      <c r="WIM146" s="433"/>
      <c r="WIN146" s="433"/>
      <c r="WIO146" s="433"/>
      <c r="WIP146" s="433"/>
      <c r="WIQ146" s="433"/>
      <c r="WIR146" s="433"/>
      <c r="WIS146" s="433"/>
      <c r="WIT146" s="433"/>
      <c r="WIU146" s="433"/>
      <c r="WIV146" s="433"/>
      <c r="WIW146" s="433"/>
      <c r="WIX146" s="433"/>
      <c r="WIY146" s="433"/>
      <c r="WIZ146" s="433"/>
      <c r="WJA146" s="433"/>
      <c r="WJB146" s="433"/>
      <c r="WJC146" s="433"/>
      <c r="WJD146" s="433"/>
      <c r="WJE146" s="433"/>
      <c r="WJF146" s="433"/>
      <c r="WJG146" s="433"/>
      <c r="WJH146" s="433"/>
      <c r="WJI146" s="433"/>
      <c r="WJJ146" s="433"/>
      <c r="WJK146" s="433"/>
      <c r="WJL146" s="433"/>
      <c r="WJM146" s="433"/>
      <c r="WJN146" s="433"/>
      <c r="WJO146" s="433"/>
      <c r="WJP146" s="433"/>
      <c r="WJQ146" s="433"/>
      <c r="WJR146" s="433"/>
      <c r="WJS146" s="433"/>
      <c r="WJT146" s="433"/>
      <c r="WJU146" s="433"/>
      <c r="WJV146" s="433"/>
      <c r="WJW146" s="433"/>
      <c r="WJX146" s="433"/>
      <c r="WJY146" s="433"/>
      <c r="WJZ146" s="433"/>
      <c r="WKA146" s="433"/>
      <c r="WKB146" s="433"/>
      <c r="WKC146" s="433"/>
      <c r="WKD146" s="433"/>
      <c r="WKE146" s="433"/>
      <c r="WKF146" s="433"/>
      <c r="WKG146" s="433"/>
      <c r="WKH146" s="433"/>
      <c r="WKI146" s="433"/>
      <c r="WKJ146" s="433"/>
      <c r="WKK146" s="433"/>
      <c r="WKL146" s="433"/>
      <c r="WKM146" s="433"/>
      <c r="WKN146" s="433"/>
      <c r="WKO146" s="433"/>
      <c r="WKP146" s="433"/>
      <c r="WKQ146" s="433"/>
      <c r="WKR146" s="433"/>
      <c r="WKS146" s="433"/>
      <c r="WKT146" s="433"/>
      <c r="WKU146" s="433"/>
      <c r="WKV146" s="433"/>
      <c r="WKW146" s="433"/>
      <c r="WKX146" s="433"/>
      <c r="WKY146" s="433"/>
      <c r="WKZ146" s="433"/>
      <c r="WLA146" s="433"/>
      <c r="WLB146" s="433"/>
      <c r="WLC146" s="433"/>
      <c r="WLD146" s="433"/>
      <c r="WLE146" s="433"/>
      <c r="WLF146" s="433"/>
      <c r="WLG146" s="433"/>
      <c r="WLH146" s="433"/>
      <c r="WLI146" s="433"/>
      <c r="WLJ146" s="433"/>
      <c r="WLK146" s="433"/>
      <c r="WLL146" s="433"/>
      <c r="WLM146" s="433"/>
      <c r="WLN146" s="433"/>
      <c r="WLO146" s="433"/>
      <c r="WLP146" s="433"/>
      <c r="WLQ146" s="433"/>
      <c r="WLR146" s="433"/>
      <c r="WLS146" s="433"/>
      <c r="WLT146" s="433"/>
      <c r="WLU146" s="433"/>
      <c r="WLV146" s="433"/>
      <c r="WLW146" s="433"/>
      <c r="WLX146" s="433"/>
      <c r="WLY146" s="433"/>
      <c r="WLZ146" s="433"/>
      <c r="WMA146" s="433"/>
      <c r="WMB146" s="433"/>
      <c r="WMC146" s="433"/>
      <c r="WMD146" s="433"/>
      <c r="WME146" s="433"/>
      <c r="WMF146" s="433"/>
      <c r="WMG146" s="433"/>
      <c r="WMH146" s="433"/>
      <c r="WMI146" s="433"/>
      <c r="WMJ146" s="433"/>
      <c r="WMK146" s="433"/>
      <c r="WML146" s="433"/>
      <c r="WMM146" s="433"/>
      <c r="WMN146" s="433"/>
      <c r="WMO146" s="433"/>
      <c r="WMP146" s="433"/>
      <c r="WMQ146" s="433"/>
      <c r="WMR146" s="433"/>
      <c r="WMS146" s="433"/>
      <c r="WMT146" s="433"/>
      <c r="WMU146" s="433"/>
      <c r="WMV146" s="433"/>
      <c r="WMW146" s="433"/>
      <c r="WMX146" s="433"/>
      <c r="WMY146" s="433"/>
      <c r="WMZ146" s="433"/>
      <c r="WNA146" s="433"/>
      <c r="WNB146" s="433"/>
      <c r="WNC146" s="433"/>
      <c r="WND146" s="433"/>
      <c r="WNE146" s="433"/>
      <c r="WNF146" s="433"/>
      <c r="WNG146" s="433"/>
      <c r="WNH146" s="433"/>
      <c r="WNI146" s="433"/>
      <c r="WNJ146" s="433"/>
      <c r="WNK146" s="433"/>
      <c r="WNL146" s="433"/>
      <c r="WNM146" s="433"/>
      <c r="WNN146" s="433"/>
      <c r="WNO146" s="433"/>
      <c r="WNP146" s="433"/>
      <c r="WNQ146" s="433"/>
      <c r="WNR146" s="433"/>
      <c r="WNS146" s="433"/>
      <c r="WNT146" s="433"/>
      <c r="WNU146" s="433"/>
      <c r="WNV146" s="433"/>
      <c r="WNW146" s="433"/>
      <c r="WNX146" s="433"/>
      <c r="WNY146" s="433"/>
      <c r="WNZ146" s="433"/>
      <c r="WOA146" s="433"/>
      <c r="WOB146" s="433"/>
      <c r="WOC146" s="433"/>
      <c r="WOD146" s="433"/>
      <c r="WOE146" s="433"/>
      <c r="WOF146" s="433"/>
      <c r="WOG146" s="433"/>
      <c r="WOH146" s="433"/>
      <c r="WOI146" s="433"/>
      <c r="WOJ146" s="433"/>
      <c r="WOK146" s="433"/>
      <c r="WOL146" s="433"/>
      <c r="WOM146" s="433"/>
      <c r="WON146" s="433"/>
      <c r="WOO146" s="433"/>
      <c r="WOP146" s="433"/>
      <c r="WOQ146" s="433"/>
      <c r="WOR146" s="433"/>
      <c r="WOS146" s="433"/>
      <c r="WOT146" s="433"/>
      <c r="WOU146" s="433"/>
      <c r="WOV146" s="433"/>
      <c r="WOW146" s="433"/>
      <c r="WOX146" s="433"/>
      <c r="WOY146" s="433"/>
      <c r="WOZ146" s="433"/>
      <c r="WPA146" s="433"/>
      <c r="WPB146" s="433"/>
      <c r="WPC146" s="433"/>
      <c r="WPD146" s="433"/>
      <c r="WPE146" s="433"/>
      <c r="WPF146" s="433"/>
      <c r="WPG146" s="433"/>
      <c r="WPH146" s="433"/>
      <c r="WPI146" s="433"/>
      <c r="WPJ146" s="433"/>
      <c r="WPK146" s="433"/>
      <c r="WPL146" s="433"/>
      <c r="WPM146" s="433"/>
      <c r="WPN146" s="433"/>
      <c r="WPO146" s="433"/>
      <c r="WPP146" s="433"/>
      <c r="WPQ146" s="433"/>
      <c r="WPR146" s="433"/>
      <c r="WPS146" s="433"/>
      <c r="WPT146" s="433"/>
      <c r="WPU146" s="433"/>
      <c r="WPV146" s="433"/>
      <c r="WPW146" s="433"/>
      <c r="WPX146" s="433"/>
      <c r="WPY146" s="433"/>
      <c r="WPZ146" s="433"/>
      <c r="WQA146" s="433"/>
      <c r="WQB146" s="433"/>
      <c r="WQC146" s="433"/>
      <c r="WQD146" s="433"/>
      <c r="WQE146" s="433"/>
      <c r="WQF146" s="433"/>
      <c r="WQG146" s="433"/>
      <c r="WQH146" s="433"/>
      <c r="WQI146" s="433"/>
      <c r="WQJ146" s="433"/>
      <c r="WQK146" s="433"/>
      <c r="WQL146" s="433"/>
      <c r="WQM146" s="433"/>
      <c r="WQN146" s="433"/>
      <c r="WQO146" s="433"/>
      <c r="WQP146" s="433"/>
      <c r="WQQ146" s="433"/>
      <c r="WQR146" s="433"/>
      <c r="WQS146" s="433"/>
      <c r="WQT146" s="433"/>
      <c r="WQU146" s="433"/>
      <c r="WQV146" s="433"/>
      <c r="WQW146" s="433"/>
      <c r="WQX146" s="433"/>
      <c r="WQY146" s="433"/>
      <c r="WQZ146" s="433"/>
      <c r="WRA146" s="433"/>
      <c r="WRB146" s="433"/>
      <c r="WRC146" s="433"/>
      <c r="WRD146" s="433"/>
      <c r="WRE146" s="433"/>
      <c r="WRF146" s="433"/>
      <c r="WRG146" s="433"/>
      <c r="WRH146" s="433"/>
      <c r="WRI146" s="433"/>
      <c r="WRJ146" s="433"/>
      <c r="WRK146" s="433"/>
      <c r="WRL146" s="433"/>
      <c r="WRM146" s="433"/>
      <c r="WRN146" s="433"/>
      <c r="WRO146" s="433"/>
      <c r="WRP146" s="433"/>
      <c r="WRQ146" s="433"/>
      <c r="WRR146" s="433"/>
      <c r="WRS146" s="433"/>
      <c r="WRT146" s="433"/>
      <c r="WRU146" s="433"/>
      <c r="WRV146" s="433"/>
      <c r="WRW146" s="433"/>
      <c r="WRX146" s="433"/>
      <c r="WRY146" s="433"/>
      <c r="WRZ146" s="433"/>
      <c r="WSA146" s="433"/>
      <c r="WSB146" s="433"/>
      <c r="WSC146" s="433"/>
      <c r="WSD146" s="433"/>
      <c r="WSE146" s="433"/>
      <c r="WSF146" s="433"/>
      <c r="WSG146" s="433"/>
      <c r="WSH146" s="433"/>
      <c r="WSI146" s="433"/>
      <c r="WSJ146" s="433"/>
      <c r="WSK146" s="433"/>
      <c r="WSL146" s="433"/>
      <c r="WSM146" s="433"/>
      <c r="WSN146" s="433"/>
      <c r="WSO146" s="433"/>
      <c r="WSP146" s="433"/>
      <c r="WSQ146" s="433"/>
      <c r="WSR146" s="433"/>
      <c r="WSS146" s="433"/>
      <c r="WST146" s="433"/>
      <c r="WSU146" s="433"/>
      <c r="WSV146" s="433"/>
      <c r="WSW146" s="433"/>
      <c r="WSX146" s="433"/>
      <c r="WSY146" s="433"/>
      <c r="WSZ146" s="433"/>
      <c r="WTA146" s="433"/>
      <c r="WTB146" s="433"/>
      <c r="WTC146" s="433"/>
      <c r="WTD146" s="433"/>
      <c r="WTE146" s="433"/>
      <c r="WTF146" s="433"/>
      <c r="WTG146" s="433"/>
      <c r="WTH146" s="433"/>
      <c r="WTI146" s="433"/>
      <c r="WTJ146" s="433"/>
      <c r="WTK146" s="433"/>
      <c r="WTL146" s="433"/>
      <c r="WTM146" s="433"/>
      <c r="WTN146" s="433"/>
      <c r="WTO146" s="433"/>
      <c r="WTP146" s="433"/>
      <c r="WTQ146" s="433"/>
      <c r="WTR146" s="433"/>
      <c r="WTS146" s="433"/>
      <c r="WTT146" s="433"/>
      <c r="WTU146" s="433"/>
      <c r="WTV146" s="433"/>
      <c r="WTW146" s="433"/>
      <c r="WTX146" s="433"/>
      <c r="WTY146" s="433"/>
      <c r="WTZ146" s="433"/>
      <c r="WUA146" s="433"/>
      <c r="WUB146" s="433"/>
      <c r="WUC146" s="433"/>
      <c r="WUD146" s="433"/>
      <c r="WUE146" s="433"/>
      <c r="WUF146" s="433"/>
      <c r="WUG146" s="433"/>
      <c r="WUH146" s="433"/>
      <c r="WUI146" s="433"/>
      <c r="WUJ146" s="433"/>
      <c r="WUK146" s="433"/>
      <c r="WUL146" s="433"/>
      <c r="WUM146" s="433"/>
      <c r="WUN146" s="433"/>
      <c r="WUO146" s="433"/>
      <c r="WUP146" s="433"/>
      <c r="WUQ146" s="433"/>
      <c r="WUR146" s="433"/>
      <c r="WUS146" s="433"/>
      <c r="WUT146" s="433"/>
      <c r="WUU146" s="433"/>
      <c r="WUV146" s="433"/>
      <c r="WUW146" s="433"/>
      <c r="WUX146" s="433"/>
      <c r="WUY146" s="433"/>
      <c r="WUZ146" s="433"/>
      <c r="WVA146" s="433"/>
      <c r="WVB146" s="433"/>
      <c r="WVC146" s="433"/>
      <c r="WVD146" s="433"/>
      <c r="WVE146" s="433"/>
      <c r="WVF146" s="433"/>
      <c r="WVG146" s="433"/>
      <c r="WVH146" s="433"/>
      <c r="WVI146" s="433"/>
      <c r="WVJ146" s="433"/>
      <c r="WVK146" s="433"/>
      <c r="WVL146" s="433"/>
      <c r="WVM146" s="433"/>
      <c r="WVN146" s="433"/>
      <c r="WVO146" s="433"/>
      <c r="WVP146" s="433"/>
      <c r="WVQ146" s="433"/>
      <c r="WVR146" s="433"/>
      <c r="WVS146" s="433"/>
      <c r="WVT146" s="433"/>
      <c r="WVU146" s="433"/>
      <c r="WVV146" s="433"/>
      <c r="WVW146" s="433"/>
      <c r="WVX146" s="433"/>
      <c r="WVY146" s="433"/>
      <c r="WVZ146" s="433"/>
      <c r="WWA146" s="433"/>
      <c r="WWB146" s="433"/>
      <c r="WWC146" s="433"/>
      <c r="WWD146" s="433"/>
      <c r="WWE146" s="433"/>
      <c r="WWF146" s="433"/>
      <c r="WWG146" s="433"/>
      <c r="WWH146" s="433"/>
      <c r="WWI146" s="433"/>
      <c r="WWJ146" s="433"/>
      <c r="WWK146" s="433"/>
      <c r="WWL146" s="433"/>
      <c r="WWM146" s="433"/>
      <c r="WWN146" s="433"/>
      <c r="WWO146" s="433"/>
      <c r="WWP146" s="433"/>
      <c r="WWQ146" s="433"/>
      <c r="WWR146" s="433"/>
      <c r="WWS146" s="433"/>
      <c r="WWT146" s="433"/>
      <c r="WWU146" s="433"/>
      <c r="WWV146" s="433"/>
      <c r="WWW146" s="433"/>
      <c r="WWX146" s="433"/>
      <c r="WWY146" s="433"/>
      <c r="WWZ146" s="433"/>
      <c r="WXA146" s="433"/>
      <c r="WXB146" s="433"/>
      <c r="WXC146" s="433"/>
      <c r="WXD146" s="433"/>
      <c r="WXE146" s="433"/>
      <c r="WXF146" s="433"/>
      <c r="WXG146" s="433"/>
      <c r="WXH146" s="433"/>
      <c r="WXI146" s="433"/>
      <c r="WXJ146" s="433"/>
      <c r="WXK146" s="433"/>
      <c r="WXL146" s="433"/>
      <c r="WXM146" s="433"/>
      <c r="WXN146" s="433"/>
      <c r="WXO146" s="433"/>
      <c r="WXP146" s="433"/>
      <c r="WXQ146" s="433"/>
      <c r="WXR146" s="433"/>
      <c r="WXS146" s="433"/>
      <c r="WXT146" s="433"/>
      <c r="WXU146" s="433"/>
      <c r="WXV146" s="433"/>
      <c r="WXW146" s="433"/>
      <c r="WXX146" s="433"/>
      <c r="WXY146" s="433"/>
      <c r="WXZ146" s="433"/>
      <c r="WYA146" s="433"/>
      <c r="WYB146" s="433"/>
      <c r="WYC146" s="433"/>
      <c r="WYD146" s="433"/>
      <c r="WYE146" s="433"/>
      <c r="WYF146" s="433"/>
      <c r="WYG146" s="433"/>
      <c r="WYH146" s="433"/>
      <c r="WYI146" s="433"/>
      <c r="WYJ146" s="433"/>
      <c r="WYK146" s="433"/>
      <c r="WYL146" s="433"/>
      <c r="WYM146" s="433"/>
      <c r="WYN146" s="433"/>
      <c r="WYO146" s="433"/>
      <c r="WYP146" s="433"/>
      <c r="WYQ146" s="433"/>
      <c r="WYR146" s="433"/>
      <c r="WYS146" s="433"/>
      <c r="WYT146" s="433"/>
      <c r="WYU146" s="433"/>
      <c r="WYV146" s="433"/>
      <c r="WYW146" s="433"/>
      <c r="WYX146" s="433"/>
      <c r="WYY146" s="433"/>
      <c r="WYZ146" s="433"/>
      <c r="WZA146" s="433"/>
      <c r="WZB146" s="433"/>
      <c r="WZC146" s="433"/>
      <c r="WZD146" s="433"/>
      <c r="WZE146" s="433"/>
      <c r="WZF146" s="433"/>
      <c r="WZG146" s="433"/>
      <c r="WZH146" s="433"/>
      <c r="WZI146" s="433"/>
      <c r="WZJ146" s="433"/>
      <c r="WZK146" s="433"/>
      <c r="WZL146" s="433"/>
      <c r="WZM146" s="433"/>
      <c r="WZN146" s="433"/>
      <c r="WZO146" s="433"/>
      <c r="WZP146" s="433"/>
      <c r="WZQ146" s="433"/>
      <c r="WZR146" s="433"/>
      <c r="WZS146" s="433"/>
      <c r="WZT146" s="433"/>
      <c r="WZU146" s="433"/>
      <c r="WZV146" s="433"/>
      <c r="WZW146" s="433"/>
      <c r="WZX146" s="433"/>
      <c r="WZY146" s="433"/>
      <c r="WZZ146" s="433"/>
      <c r="XAA146" s="433"/>
      <c r="XAB146" s="433"/>
      <c r="XAC146" s="433"/>
      <c r="XAD146" s="433"/>
      <c r="XAE146" s="433"/>
      <c r="XAF146" s="433"/>
      <c r="XAG146" s="433"/>
      <c r="XAH146" s="433"/>
      <c r="XAI146" s="433"/>
      <c r="XAJ146" s="433"/>
      <c r="XAK146" s="433"/>
      <c r="XAL146" s="433"/>
      <c r="XAM146" s="433"/>
      <c r="XAN146" s="433"/>
      <c r="XAO146" s="433"/>
      <c r="XAP146" s="433"/>
      <c r="XAQ146" s="433"/>
      <c r="XAR146" s="433"/>
      <c r="XAS146" s="433"/>
      <c r="XAT146" s="433"/>
      <c r="XAU146" s="433"/>
      <c r="XAV146" s="433"/>
      <c r="XAW146" s="433"/>
      <c r="XAX146" s="433"/>
      <c r="XAY146" s="433"/>
      <c r="XAZ146" s="433"/>
      <c r="XBA146" s="433"/>
      <c r="XBB146" s="433"/>
      <c r="XBC146" s="433"/>
      <c r="XBD146" s="433"/>
      <c r="XBE146" s="433"/>
      <c r="XBF146" s="433"/>
      <c r="XBG146" s="433"/>
      <c r="XBH146" s="433"/>
      <c r="XBI146" s="433"/>
      <c r="XBJ146" s="433"/>
      <c r="XBK146" s="433"/>
      <c r="XBL146" s="433"/>
      <c r="XBM146" s="433"/>
      <c r="XBN146" s="433"/>
      <c r="XBO146" s="433"/>
      <c r="XBP146" s="433"/>
      <c r="XBQ146" s="433"/>
      <c r="XBR146" s="433"/>
      <c r="XBS146" s="433"/>
      <c r="XBT146" s="433"/>
      <c r="XBU146" s="433"/>
      <c r="XBV146" s="433"/>
      <c r="XBW146" s="433"/>
      <c r="XBX146" s="433"/>
      <c r="XBY146" s="433"/>
      <c r="XBZ146" s="433"/>
      <c r="XCA146" s="433"/>
      <c r="XCB146" s="433"/>
      <c r="XCC146" s="433"/>
      <c r="XCD146" s="433"/>
      <c r="XCE146" s="433"/>
      <c r="XCF146" s="433"/>
      <c r="XCG146" s="433"/>
      <c r="XCH146" s="433"/>
      <c r="XCI146" s="433"/>
      <c r="XCJ146" s="433"/>
      <c r="XCK146" s="433"/>
      <c r="XCL146" s="433"/>
      <c r="XCM146" s="433"/>
      <c r="XCN146" s="433"/>
      <c r="XCO146" s="433"/>
      <c r="XCP146" s="433"/>
      <c r="XCQ146" s="433"/>
      <c r="XCR146" s="433"/>
      <c r="XCS146" s="433"/>
      <c r="XCT146" s="433"/>
      <c r="XCU146" s="433"/>
      <c r="XCV146" s="433"/>
      <c r="XCW146" s="433"/>
      <c r="XCX146" s="433"/>
      <c r="XCY146" s="433"/>
      <c r="XCZ146" s="433"/>
      <c r="XDA146" s="433"/>
      <c r="XDB146" s="433"/>
      <c r="XDC146" s="433"/>
      <c r="XDD146" s="433"/>
      <c r="XDE146" s="433"/>
      <c r="XDF146" s="433"/>
      <c r="XDG146" s="433"/>
      <c r="XDH146" s="433"/>
      <c r="XDI146" s="433"/>
      <c r="XDJ146" s="433"/>
      <c r="XDK146" s="433"/>
      <c r="XDL146" s="433"/>
      <c r="XDM146" s="433"/>
      <c r="XDN146" s="433"/>
      <c r="XDO146" s="433"/>
      <c r="XDP146" s="433"/>
      <c r="XDQ146" s="433"/>
      <c r="XDR146" s="433"/>
      <c r="XDS146" s="433"/>
      <c r="XDT146" s="433"/>
      <c r="XDU146" s="433"/>
      <c r="XDV146" s="433"/>
      <c r="XDW146" s="433"/>
      <c r="XDX146" s="433"/>
      <c r="XDY146" s="433"/>
      <c r="XDZ146" s="433"/>
      <c r="XEA146" s="433"/>
      <c r="XEB146" s="433"/>
      <c r="XEC146" s="433"/>
      <c r="XED146" s="433"/>
      <c r="XEE146" s="433"/>
      <c r="XEF146" s="433"/>
      <c r="XEG146" s="433"/>
      <c r="XEH146" s="433"/>
      <c r="XEI146" s="433"/>
      <c r="XEJ146" s="433"/>
      <c r="XEK146" s="433"/>
      <c r="XEL146" s="433"/>
      <c r="XEM146" s="433"/>
      <c r="XEN146" s="433"/>
      <c r="XEO146" s="433"/>
      <c r="XEP146" s="433"/>
      <c r="XEQ146" s="433"/>
      <c r="XER146" s="433"/>
      <c r="XES146" s="433"/>
      <c r="XET146" s="433"/>
      <c r="XEU146" s="433"/>
      <c r="XEV146" s="433"/>
      <c r="XEW146" s="433"/>
      <c r="XEX146" s="433"/>
    </row>
    <row r="147" spans="1:16378" ht="50.1" customHeight="1" x14ac:dyDescent="0.2">
      <c r="A147" s="435">
        <v>4600050894</v>
      </c>
      <c r="B147" s="435" t="s">
        <v>1091</v>
      </c>
      <c r="C147" s="435">
        <v>102145</v>
      </c>
      <c r="D147" s="435" t="s">
        <v>569</v>
      </c>
      <c r="E147" s="435">
        <v>60</v>
      </c>
      <c r="F147" s="435" t="s">
        <v>1695</v>
      </c>
      <c r="G147" s="435" t="s">
        <v>1581</v>
      </c>
      <c r="H147" s="437" t="s">
        <v>710</v>
      </c>
      <c r="I147" s="437" t="s">
        <v>38</v>
      </c>
      <c r="J147" s="437" t="s">
        <v>1989</v>
      </c>
      <c r="K147" s="340">
        <v>51135933.450000003</v>
      </c>
      <c r="L147" s="437" t="s">
        <v>19</v>
      </c>
      <c r="M147" s="441">
        <v>43409</v>
      </c>
      <c r="N147" s="441">
        <v>46022</v>
      </c>
      <c r="O147" s="437" t="s">
        <v>22</v>
      </c>
      <c r="P147" s="435" t="s">
        <v>204</v>
      </c>
      <c r="Q147" s="445" t="str">
        <f>UPPER(P147:P147)</f>
        <v>PEDRO ANTONIO PERIASSU</v>
      </c>
      <c r="R147" s="437" t="s">
        <v>559</v>
      </c>
      <c r="S147" s="422" t="str">
        <f>UPPER(R147:R147)</f>
        <v>LUIZ PAULO</v>
      </c>
      <c r="T147" s="422"/>
      <c r="U147" s="422"/>
      <c r="V147" s="422"/>
      <c r="W147" s="422"/>
      <c r="X147" s="428"/>
      <c r="Y147" s="443" t="s">
        <v>1699</v>
      </c>
    </row>
    <row r="148" spans="1:16378" ht="50.1" customHeight="1" x14ac:dyDescent="0.2">
      <c r="A148" s="435">
        <v>4600060080</v>
      </c>
      <c r="B148" s="435" t="s">
        <v>2112</v>
      </c>
      <c r="C148" s="435">
        <v>3047982</v>
      </c>
      <c r="D148" s="435" t="s">
        <v>1880</v>
      </c>
      <c r="E148" s="435">
        <v>1</v>
      </c>
      <c r="F148" s="435" t="s">
        <v>1575</v>
      </c>
      <c r="G148" s="435" t="s">
        <v>1575</v>
      </c>
      <c r="H148" s="437" t="s">
        <v>709</v>
      </c>
      <c r="I148" s="437" t="s">
        <v>18</v>
      </c>
      <c r="J148" s="437" t="s">
        <v>2113</v>
      </c>
      <c r="K148" s="340">
        <v>103990</v>
      </c>
      <c r="L148" s="437" t="s">
        <v>19</v>
      </c>
      <c r="M148" s="441">
        <v>46010</v>
      </c>
      <c r="N148" s="441">
        <v>46374</v>
      </c>
      <c r="O148" s="437" t="s">
        <v>208</v>
      </c>
      <c r="P148" s="435" t="s">
        <v>876</v>
      </c>
      <c r="Q148" s="445" t="str">
        <f>UPPER(P148:P148)</f>
        <v xml:space="preserve">GLAUBER HENRIQUE DOS SANTOS </v>
      </c>
      <c r="R148" s="437" t="s">
        <v>263</v>
      </c>
      <c r="S148" s="422"/>
      <c r="T148" s="422"/>
      <c r="U148" s="422"/>
      <c r="V148" s="422"/>
      <c r="W148" s="422"/>
      <c r="X148" s="428"/>
      <c r="Y148" s="443"/>
    </row>
    <row r="149" spans="1:16378" ht="50.1" customHeight="1" x14ac:dyDescent="0.2">
      <c r="A149" s="435">
        <v>4600060079</v>
      </c>
      <c r="B149" s="435" t="s">
        <v>2117</v>
      </c>
      <c r="C149" s="435">
        <v>304798</v>
      </c>
      <c r="D149" s="435" t="s">
        <v>1880</v>
      </c>
      <c r="E149" s="435">
        <v>1</v>
      </c>
      <c r="F149" s="435" t="s">
        <v>1575</v>
      </c>
      <c r="G149" s="435" t="s">
        <v>1575</v>
      </c>
      <c r="H149" s="437" t="s">
        <v>709</v>
      </c>
      <c r="I149" s="437" t="s">
        <v>18</v>
      </c>
      <c r="J149" s="437" t="s">
        <v>2116</v>
      </c>
      <c r="K149" s="340">
        <v>1260000</v>
      </c>
      <c r="L149" s="437" t="s">
        <v>19</v>
      </c>
      <c r="M149" s="441">
        <v>46010</v>
      </c>
      <c r="N149" s="441">
        <v>46374</v>
      </c>
      <c r="O149" s="437" t="s">
        <v>208</v>
      </c>
      <c r="P149" s="435" t="s">
        <v>876</v>
      </c>
      <c r="Q149" s="445" t="str">
        <f t="shared" ref="Q149:Q151" si="2">UPPER(P149:P149)</f>
        <v xml:space="preserve">GLAUBER HENRIQUE DOS SANTOS </v>
      </c>
      <c r="R149" s="437" t="s">
        <v>263</v>
      </c>
      <c r="S149" s="422"/>
      <c r="T149" s="422"/>
      <c r="U149" s="422"/>
      <c r="V149" s="422"/>
      <c r="W149" s="422"/>
      <c r="X149" s="428"/>
      <c r="Y149" s="443"/>
    </row>
    <row r="150" spans="1:16378" ht="50.1" customHeight="1" x14ac:dyDescent="0.2">
      <c r="A150" s="435">
        <v>4600060078</v>
      </c>
      <c r="B150" s="435" t="s">
        <v>2114</v>
      </c>
      <c r="C150" s="435">
        <v>3047983</v>
      </c>
      <c r="D150" s="435" t="s">
        <v>1880</v>
      </c>
      <c r="E150" s="435">
        <v>1</v>
      </c>
      <c r="F150" s="435" t="s">
        <v>1575</v>
      </c>
      <c r="G150" s="435" t="s">
        <v>1575</v>
      </c>
      <c r="H150" s="437" t="s">
        <v>709</v>
      </c>
      <c r="I150" s="437" t="s">
        <v>18</v>
      </c>
      <c r="J150" s="437" t="s">
        <v>2115</v>
      </c>
      <c r="K150" s="340">
        <v>100900</v>
      </c>
      <c r="L150" s="437" t="s">
        <v>19</v>
      </c>
      <c r="M150" s="441">
        <v>46010</v>
      </c>
      <c r="N150" s="441">
        <v>46374</v>
      </c>
      <c r="O150" s="437" t="s">
        <v>208</v>
      </c>
      <c r="P150" s="435" t="s">
        <v>876</v>
      </c>
      <c r="Q150" s="445" t="str">
        <f t="shared" si="2"/>
        <v xml:space="preserve">GLAUBER HENRIQUE DOS SANTOS </v>
      </c>
      <c r="R150" s="437" t="s">
        <v>263</v>
      </c>
      <c r="S150" s="422"/>
      <c r="T150" s="422"/>
      <c r="U150" s="422"/>
      <c r="V150" s="422"/>
      <c r="W150" s="422"/>
      <c r="X150" s="428"/>
      <c r="Y150" s="421"/>
    </row>
    <row r="151" spans="1:16378" ht="50.1" customHeight="1" x14ac:dyDescent="0.2">
      <c r="A151" s="420">
        <v>4600060082</v>
      </c>
      <c r="B151" s="420" t="s">
        <v>2118</v>
      </c>
      <c r="C151" s="420">
        <v>3023736</v>
      </c>
      <c r="D151" s="420" t="s">
        <v>1880</v>
      </c>
      <c r="E151" s="420">
        <v>1</v>
      </c>
      <c r="F151" s="420" t="s">
        <v>1575</v>
      </c>
      <c r="G151" s="420" t="s">
        <v>1575</v>
      </c>
      <c r="H151" s="422" t="s">
        <v>709</v>
      </c>
      <c r="I151" s="422" t="s">
        <v>18</v>
      </c>
      <c r="J151" s="422" t="s">
        <v>2119</v>
      </c>
      <c r="K151" s="424">
        <v>180600</v>
      </c>
      <c r="L151" s="422" t="s">
        <v>19</v>
      </c>
      <c r="M151" s="425">
        <v>46020</v>
      </c>
      <c r="N151" s="425">
        <v>46384</v>
      </c>
      <c r="O151" s="422" t="s">
        <v>142</v>
      </c>
      <c r="P151" s="420" t="s">
        <v>143</v>
      </c>
      <c r="Q151" s="484" t="str">
        <f t="shared" si="2"/>
        <v>LUCIANA DE OLIVEIRA CARMO</v>
      </c>
      <c r="R151" s="485" t="s">
        <v>143</v>
      </c>
      <c r="S151" s="422"/>
      <c r="T151" s="422"/>
      <c r="U151" s="422"/>
      <c r="V151" s="422"/>
      <c r="W151" s="422"/>
      <c r="X151" s="428"/>
      <c r="Y151" s="486"/>
    </row>
    <row r="152" spans="1:16378" ht="27.75" customHeight="1" x14ac:dyDescent="0.25">
      <c r="A152" s="494">
        <v>4600059954</v>
      </c>
      <c r="B152" s="495" t="s">
        <v>2120</v>
      </c>
      <c r="C152" s="494">
        <v>185532</v>
      </c>
      <c r="D152" s="494" t="s">
        <v>2121</v>
      </c>
      <c r="E152" s="494">
        <v>30</v>
      </c>
      <c r="F152" s="494" t="s">
        <v>2122</v>
      </c>
      <c r="G152" s="494" t="s">
        <v>2122</v>
      </c>
      <c r="H152" s="494" t="s">
        <v>2123</v>
      </c>
      <c r="I152" s="494" t="s">
        <v>38</v>
      </c>
      <c r="J152" s="494" t="s">
        <v>2124</v>
      </c>
      <c r="K152" s="496">
        <v>178783.11</v>
      </c>
      <c r="L152" s="494" t="s">
        <v>19</v>
      </c>
      <c r="M152" s="497">
        <v>45869</v>
      </c>
      <c r="N152" s="497">
        <v>46233</v>
      </c>
      <c r="O152" s="494" t="s">
        <v>22</v>
      </c>
      <c r="P152" s="498" t="s">
        <v>2126</v>
      </c>
      <c r="Q152" s="498" t="s">
        <v>2126</v>
      </c>
      <c r="R152" s="499" t="s">
        <v>2126</v>
      </c>
      <c r="S152" s="500" t="s">
        <v>2125</v>
      </c>
      <c r="T152" s="494"/>
      <c r="U152" s="494"/>
      <c r="V152" s="494"/>
      <c r="W152" s="494"/>
      <c r="X152" s="501"/>
      <c r="Y152" s="502"/>
    </row>
    <row r="153" spans="1:16378" x14ac:dyDescent="0.2">
      <c r="A153" s="494">
        <v>4600060077</v>
      </c>
      <c r="B153" s="440" t="s">
        <v>2128</v>
      </c>
      <c r="C153" s="440">
        <v>3007753</v>
      </c>
      <c r="D153" s="420" t="s">
        <v>1880</v>
      </c>
      <c r="E153" s="420">
        <v>1</v>
      </c>
      <c r="F153" s="435" t="s">
        <v>1575</v>
      </c>
      <c r="G153" s="435" t="s">
        <v>1575</v>
      </c>
      <c r="H153" s="422" t="s">
        <v>709</v>
      </c>
      <c r="I153" s="440" t="s">
        <v>18</v>
      </c>
      <c r="J153" s="439" t="s">
        <v>2133</v>
      </c>
      <c r="K153" s="496">
        <v>246600</v>
      </c>
      <c r="L153" s="494" t="s">
        <v>19</v>
      </c>
      <c r="M153" s="455">
        <v>46021</v>
      </c>
      <c r="N153" s="455">
        <v>46202</v>
      </c>
      <c r="O153" s="494" t="s">
        <v>22</v>
      </c>
      <c r="P153" s="437" t="s">
        <v>211</v>
      </c>
      <c r="Q153" s="446" t="s">
        <v>2020</v>
      </c>
      <c r="R153" s="437" t="str">
        <f>UPPER(Q153:Q336)</f>
        <v>TIAGO GONZALES</v>
      </c>
      <c r="S153" s="439" t="s">
        <v>2134</v>
      </c>
      <c r="T153" s="439" t="s">
        <v>2135</v>
      </c>
      <c r="U153" s="439"/>
      <c r="V153" s="439"/>
      <c r="W153" s="439"/>
      <c r="X153" s="440"/>
      <c r="Y153" s="439"/>
    </row>
    <row r="154" spans="1:16378" x14ac:dyDescent="0.2">
      <c r="A154" s="440">
        <v>4600060088</v>
      </c>
      <c r="B154" s="440" t="s">
        <v>2129</v>
      </c>
      <c r="C154" s="440"/>
      <c r="D154" s="435" t="s">
        <v>1880</v>
      </c>
      <c r="E154" s="440" t="s">
        <v>2131</v>
      </c>
      <c r="F154" s="435" t="s">
        <v>1575</v>
      </c>
      <c r="G154" s="435" t="s">
        <v>1575</v>
      </c>
      <c r="H154" s="440" t="s">
        <v>709</v>
      </c>
      <c r="I154" s="440" t="s">
        <v>18</v>
      </c>
      <c r="J154" s="439" t="s">
        <v>2132</v>
      </c>
      <c r="K154" s="439">
        <v>0</v>
      </c>
      <c r="L154" s="437" t="s">
        <v>19</v>
      </c>
      <c r="M154" s="455">
        <v>46038</v>
      </c>
      <c r="N154" s="455">
        <v>46402</v>
      </c>
      <c r="O154" s="437" t="s">
        <v>29</v>
      </c>
      <c r="P154" s="437" t="s">
        <v>30</v>
      </c>
      <c r="Q154" s="445" t="str">
        <f>UPPER(P154:P154)</f>
        <v>MANFREDO SAHB CARCUTE</v>
      </c>
      <c r="R154" s="437" t="s">
        <v>265</v>
      </c>
      <c r="S154" s="437"/>
      <c r="T154" s="439"/>
      <c r="U154" s="439"/>
      <c r="V154" s="439"/>
      <c r="W154" s="439"/>
      <c r="X154" s="440"/>
      <c r="Y154" s="439"/>
    </row>
  </sheetData>
  <autoFilter ref="A2:X154"/>
  <mergeCells count="1">
    <mergeCell ref="D1:F1"/>
  </mergeCells>
  <conditionalFormatting sqref="B120">
    <cfRule type="duplicateValues" dxfId="270" priority="6"/>
  </conditionalFormatting>
  <conditionalFormatting sqref="B120">
    <cfRule type="duplicateValues" dxfId="269" priority="7"/>
  </conditionalFormatting>
  <conditionalFormatting sqref="B121">
    <cfRule type="duplicateValues" dxfId="268" priority="4"/>
  </conditionalFormatting>
  <conditionalFormatting sqref="B121">
    <cfRule type="duplicateValues" dxfId="267" priority="5"/>
  </conditionalFormatting>
  <conditionalFormatting sqref="B122">
    <cfRule type="duplicateValues" dxfId="266" priority="2"/>
  </conditionalFormatting>
  <conditionalFormatting sqref="B122">
    <cfRule type="duplicateValues" dxfId="265" priority="3"/>
  </conditionalFormatting>
  <conditionalFormatting sqref="A16:A146">
    <cfRule type="duplicateValues" dxfId="264" priority="646"/>
  </conditionalFormatting>
  <hyperlinks>
    <hyperlink ref="V12" r:id="rId1"/>
    <hyperlink ref="V15" r:id="rId2"/>
    <hyperlink ref="V5" r:id="rId3"/>
    <hyperlink ref="V98" r:id="rId4" display="mailto:glamynjain@uber.com"/>
    <hyperlink ref="V96" r:id="rId5" display="mailto:sandra.antunes@2clix.cx"/>
    <hyperlink ref="V71" r:id="rId6"/>
    <hyperlink ref="W62" r:id="rId7"/>
    <hyperlink ref="V62" r:id="rId8"/>
    <hyperlink ref="V92" r:id="rId9"/>
    <hyperlink ref="V61" r:id="rId10"/>
    <hyperlink ref="V83" r:id="rId11"/>
    <hyperlink ref="V39" r:id="rId12"/>
    <hyperlink ref="V65" r:id="rId13"/>
    <hyperlink ref="V58" r:id="rId14"/>
    <hyperlink ref="V30" r:id="rId15"/>
    <hyperlink ref="V46" r:id="rId16"/>
    <hyperlink ref="V113" r:id="rId17"/>
    <hyperlink ref="V115" r:id="rId18"/>
    <hyperlink ref="V131" r:id="rId19"/>
  </hyperlinks>
  <pageMargins left="0.511811024" right="0.511811024" top="0.78740157499999996" bottom="0.78740157499999996" header="0.31496062000000002" footer="0.31496062000000002"/>
  <pageSetup paperSize="9" orientation="portrait" r:id="rId20"/>
  <legacyDrawing r:id="rId2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16" sqref="C16"/>
    </sheetView>
  </sheetViews>
  <sheetFormatPr defaultRowHeight="15" x14ac:dyDescent="0.25"/>
  <cols>
    <col min="1" max="1" width="17.42578125" customWidth="1"/>
    <col min="2" max="2" width="19.5703125" customWidth="1"/>
    <col min="3" max="3" width="19.28515625" bestFit="1" customWidth="1"/>
    <col min="4" max="4" width="20.42578125" customWidth="1"/>
  </cols>
  <sheetData>
    <row r="1" spans="1:4" ht="30" x14ac:dyDescent="0.25">
      <c r="A1" s="474" t="s">
        <v>2097</v>
      </c>
      <c r="B1" s="475" t="s">
        <v>2098</v>
      </c>
      <c r="C1" s="476" t="s">
        <v>2099</v>
      </c>
      <c r="D1" s="477" t="s">
        <v>2100</v>
      </c>
    </row>
    <row r="2" spans="1:4" x14ac:dyDescent="0.25">
      <c r="A2" s="478">
        <v>509</v>
      </c>
      <c r="B2" s="472">
        <v>45930</v>
      </c>
      <c r="C2" s="473" t="s">
        <v>2103</v>
      </c>
      <c r="D2" s="479" t="s">
        <v>2102</v>
      </c>
    </row>
    <row r="3" spans="1:4" x14ac:dyDescent="0.25">
      <c r="A3" s="478">
        <v>510</v>
      </c>
      <c r="B3" s="472">
        <v>45930</v>
      </c>
      <c r="C3" s="473" t="s">
        <v>2108</v>
      </c>
      <c r="D3" s="479" t="s">
        <v>2102</v>
      </c>
    </row>
    <row r="4" spans="1:4" x14ac:dyDescent="0.25">
      <c r="A4" s="478">
        <v>511</v>
      </c>
      <c r="B4" s="472">
        <v>45943</v>
      </c>
      <c r="C4" s="473" t="s">
        <v>2106</v>
      </c>
      <c r="D4" s="479" t="s">
        <v>2102</v>
      </c>
    </row>
    <row r="5" spans="1:4" x14ac:dyDescent="0.25">
      <c r="A5" s="478">
        <v>512</v>
      </c>
      <c r="B5" s="472">
        <v>45930</v>
      </c>
      <c r="C5" s="473" t="s">
        <v>2101</v>
      </c>
      <c r="D5" s="479" t="s">
        <v>2102</v>
      </c>
    </row>
    <row r="6" spans="1:4" x14ac:dyDescent="0.25">
      <c r="A6" s="478">
        <v>513</v>
      </c>
      <c r="B6" s="472">
        <v>45943</v>
      </c>
      <c r="C6" s="473" t="s">
        <v>2111</v>
      </c>
      <c r="D6" s="479" t="s">
        <v>2110</v>
      </c>
    </row>
    <row r="7" spans="1:4" x14ac:dyDescent="0.25">
      <c r="A7" s="478">
        <v>514</v>
      </c>
      <c r="B7" s="472">
        <v>45943</v>
      </c>
      <c r="C7" s="473" t="s">
        <v>2104</v>
      </c>
      <c r="D7" s="479" t="s">
        <v>2105</v>
      </c>
    </row>
    <row r="8" spans="1:4" x14ac:dyDescent="0.25">
      <c r="A8" s="478">
        <v>515</v>
      </c>
      <c r="B8" s="472">
        <v>45943</v>
      </c>
      <c r="C8" s="473" t="s">
        <v>2109</v>
      </c>
      <c r="D8" s="479" t="s">
        <v>2110</v>
      </c>
    </row>
    <row r="9" spans="1:4" ht="15.75" thickBot="1" x14ac:dyDescent="0.3">
      <c r="A9" s="480">
        <v>516</v>
      </c>
      <c r="B9" s="481">
        <v>45950</v>
      </c>
      <c r="C9" s="482" t="s">
        <v>2107</v>
      </c>
      <c r="D9" s="483" t="s">
        <v>2102</v>
      </c>
    </row>
  </sheetData>
  <sortState ref="A2:D9">
    <sortCondition ref="A2:A9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theme="0"/>
  </sheetPr>
  <dimension ref="A1:XEY111"/>
  <sheetViews>
    <sheetView showGridLines="0" zoomScale="80" zoomScaleNormal="80" workbookViewId="0">
      <pane ySplit="2" topLeftCell="A3" activePane="bottomLeft" state="frozen"/>
      <selection activeCell="F1" sqref="F1"/>
      <selection pane="bottomLeft" activeCell="A2" sqref="A2:XFD2"/>
    </sheetView>
  </sheetViews>
  <sheetFormatPr defaultColWidth="9.140625" defaultRowHeight="12.75" x14ac:dyDescent="0.2"/>
  <cols>
    <col min="1" max="1" width="19.5703125" style="353" customWidth="1"/>
    <col min="2" max="2" width="60.5703125" style="349" customWidth="1"/>
    <col min="3" max="3" width="19.28515625" style="351" customWidth="1"/>
    <col min="4" max="4" width="16" style="351" customWidth="1"/>
    <col min="5" max="5" width="16.5703125" style="351" bestFit="1" customWidth="1"/>
    <col min="6" max="6" width="32.140625" style="387" customWidth="1"/>
    <col min="7" max="7" width="33.5703125" style="387" customWidth="1"/>
    <col min="8" max="8" width="9.28515625" style="351" hidden="1" customWidth="1"/>
    <col min="9" max="9" width="8.7109375" style="351" hidden="1" customWidth="1"/>
    <col min="10" max="10" width="63.140625" style="349" hidden="1" customWidth="1"/>
    <col min="11" max="11" width="18.5703125" style="349" hidden="1" customWidth="1"/>
    <col min="12" max="12" width="7" style="387" hidden="1" customWidth="1"/>
    <col min="13" max="13" width="11.28515625" style="351" hidden="1" customWidth="1"/>
    <col min="14" max="14" width="16.28515625" style="351" bestFit="1" customWidth="1"/>
    <col min="15" max="15" width="26.42578125" style="349" customWidth="1"/>
    <col min="16" max="16" width="29.7109375" style="349" customWidth="1"/>
    <col min="17" max="17" width="24.42578125" style="349" customWidth="1"/>
    <col min="18" max="18" width="32.85546875" style="349" customWidth="1"/>
    <col min="19" max="19" width="19.7109375" style="349" customWidth="1"/>
    <col min="20" max="20" width="16.140625" style="349" customWidth="1"/>
    <col min="21" max="21" width="29" style="349" bestFit="1" customWidth="1"/>
    <col min="22" max="22" width="34.85546875" style="349" customWidth="1"/>
    <col min="23" max="23" width="38.28515625" style="349" customWidth="1"/>
    <col min="24" max="24" width="30.28515625" style="351" customWidth="1"/>
    <col min="25" max="16384" width="9.140625" style="349"/>
  </cols>
  <sheetData>
    <row r="1" spans="1:24" ht="79.5" customHeight="1" x14ac:dyDescent="0.2">
      <c r="A1" s="350" t="s">
        <v>592</v>
      </c>
      <c r="D1" s="504" t="s">
        <v>1621</v>
      </c>
      <c r="E1" s="504"/>
      <c r="F1" s="504"/>
    </row>
    <row r="2" spans="1:24" s="352" customFormat="1" ht="58.5" customHeight="1" x14ac:dyDescent="0.2">
      <c r="A2" s="354" t="s">
        <v>0</v>
      </c>
      <c r="B2" s="354" t="s">
        <v>1</v>
      </c>
      <c r="C2" s="354" t="s">
        <v>2</v>
      </c>
      <c r="D2" s="354" t="s">
        <v>566</v>
      </c>
      <c r="E2" s="354" t="s">
        <v>4</v>
      </c>
      <c r="F2" s="354" t="s">
        <v>633</v>
      </c>
      <c r="G2" s="354" t="s">
        <v>5</v>
      </c>
      <c r="H2" s="354" t="s">
        <v>1615</v>
      </c>
      <c r="I2" s="354" t="s">
        <v>6</v>
      </c>
      <c r="J2" s="354" t="s">
        <v>7</v>
      </c>
      <c r="K2" s="355" t="s">
        <v>1566</v>
      </c>
      <c r="L2" s="354" t="s">
        <v>9</v>
      </c>
      <c r="M2" s="354" t="s">
        <v>10</v>
      </c>
      <c r="N2" s="354" t="s">
        <v>11</v>
      </c>
      <c r="O2" s="354" t="s">
        <v>16</v>
      </c>
      <c r="P2" s="354" t="s">
        <v>201</v>
      </c>
      <c r="Q2" s="354" t="s">
        <v>202</v>
      </c>
      <c r="R2" s="354" t="s">
        <v>257</v>
      </c>
      <c r="S2" s="354" t="s">
        <v>301</v>
      </c>
      <c r="T2" s="354" t="s">
        <v>299</v>
      </c>
      <c r="U2" s="354" t="s">
        <v>300</v>
      </c>
      <c r="V2" s="354" t="s">
        <v>298</v>
      </c>
      <c r="W2" s="354" t="s">
        <v>17</v>
      </c>
      <c r="X2" s="354" t="s">
        <v>278</v>
      </c>
    </row>
    <row r="3" spans="1:24" s="326" customFormat="1" ht="35.1" hidden="1" customHeight="1" x14ac:dyDescent="0.25">
      <c r="A3" s="329">
        <v>4600053335</v>
      </c>
      <c r="B3" s="329" t="s">
        <v>61</v>
      </c>
      <c r="C3" s="329">
        <v>188451</v>
      </c>
      <c r="D3" s="329" t="s">
        <v>1880</v>
      </c>
      <c r="E3" s="329">
        <v>60</v>
      </c>
      <c r="F3" s="331" t="s">
        <v>1575</v>
      </c>
      <c r="G3" s="331" t="s">
        <v>1575</v>
      </c>
      <c r="H3" s="329" t="s">
        <v>710</v>
      </c>
      <c r="I3" s="329" t="s">
        <v>18</v>
      </c>
      <c r="J3" s="358" t="s">
        <v>1471</v>
      </c>
      <c r="K3" s="359">
        <v>1991529</v>
      </c>
      <c r="L3" s="329" t="s">
        <v>19</v>
      </c>
      <c r="M3" s="360">
        <v>44287</v>
      </c>
      <c r="N3" s="360">
        <v>46295</v>
      </c>
      <c r="O3" s="331" t="s">
        <v>85</v>
      </c>
      <c r="P3" s="362" t="s">
        <v>2017</v>
      </c>
      <c r="Q3" s="362" t="str">
        <f>UPPER(P3:P100)</f>
        <v>LILIAN MOURA DA SILVA</v>
      </c>
      <c r="R3" s="331" t="str">
        <f>UPPER(Q3:Q97)</f>
        <v>LILIAN MOURA DA SILVA</v>
      </c>
      <c r="S3" s="331" t="s">
        <v>965</v>
      </c>
      <c r="T3" s="331" t="s">
        <v>741</v>
      </c>
      <c r="U3" s="331" t="s">
        <v>740</v>
      </c>
      <c r="V3" s="331" t="s">
        <v>742</v>
      </c>
      <c r="W3" s="331"/>
      <c r="X3" s="330"/>
    </row>
    <row r="4" spans="1:24" s="326" customFormat="1" ht="35.1" hidden="1" customHeight="1" x14ac:dyDescent="0.25">
      <c r="A4" s="331">
        <v>4600057534</v>
      </c>
      <c r="B4" s="331" t="s">
        <v>182</v>
      </c>
      <c r="C4" s="331">
        <v>102369</v>
      </c>
      <c r="D4" s="329" t="s">
        <v>1880</v>
      </c>
      <c r="E4" s="331">
        <v>60</v>
      </c>
      <c r="F4" s="437" t="s">
        <v>1575</v>
      </c>
      <c r="G4" s="437" t="s">
        <v>1575</v>
      </c>
      <c r="H4" s="329" t="s">
        <v>710</v>
      </c>
      <c r="I4" s="331" t="s">
        <v>18</v>
      </c>
      <c r="J4" s="365" t="s">
        <v>1885</v>
      </c>
      <c r="K4" s="340">
        <v>1155397.68</v>
      </c>
      <c r="L4" s="331" t="s">
        <v>19</v>
      </c>
      <c r="M4" s="344">
        <v>45141</v>
      </c>
      <c r="N4" s="360">
        <v>46236</v>
      </c>
      <c r="O4" s="331" t="s">
        <v>22</v>
      </c>
      <c r="P4" s="331" t="s">
        <v>211</v>
      </c>
      <c r="Q4" s="362" t="str">
        <f>UPPER(P4:P102)</f>
        <v>WALDEMAR JUNIOR</v>
      </c>
      <c r="R4" s="331" t="str">
        <f>UPPER(Q4:Q98)</f>
        <v>WALDEMAR JUNIOR</v>
      </c>
      <c r="S4" s="331" t="s">
        <v>1005</v>
      </c>
      <c r="T4" s="331" t="s">
        <v>1007</v>
      </c>
      <c r="U4" s="331" t="s">
        <v>432</v>
      </c>
      <c r="V4" s="331" t="s">
        <v>1006</v>
      </c>
      <c r="W4" s="331"/>
      <c r="X4" s="330"/>
    </row>
    <row r="5" spans="1:24" s="326" customFormat="1" ht="35.1" hidden="1" customHeight="1" x14ac:dyDescent="0.25">
      <c r="A5" s="331">
        <v>4600057638</v>
      </c>
      <c r="B5" s="331" t="s">
        <v>182</v>
      </c>
      <c r="C5" s="331">
        <v>102369</v>
      </c>
      <c r="D5" s="331" t="s">
        <v>1881</v>
      </c>
      <c r="E5" s="331">
        <v>60</v>
      </c>
      <c r="F5" s="437" t="s">
        <v>1575</v>
      </c>
      <c r="G5" s="437" t="s">
        <v>1575</v>
      </c>
      <c r="H5" s="329" t="s">
        <v>710</v>
      </c>
      <c r="I5" s="331" t="s">
        <v>18</v>
      </c>
      <c r="J5" s="365" t="s">
        <v>1886</v>
      </c>
      <c r="K5" s="340">
        <v>250000</v>
      </c>
      <c r="L5" s="331" t="s">
        <v>19</v>
      </c>
      <c r="M5" s="344">
        <v>45204</v>
      </c>
      <c r="N5" s="360">
        <v>46301</v>
      </c>
      <c r="O5" s="331" t="s">
        <v>22</v>
      </c>
      <c r="P5" s="331" t="s">
        <v>211</v>
      </c>
      <c r="Q5" s="362" t="str">
        <f>UPPER(P5:P102)</f>
        <v>WALDEMAR JUNIOR</v>
      </c>
      <c r="R5" s="331" t="str">
        <f>UPPER(Q5:Q99)</f>
        <v>WALDEMAR JUNIOR</v>
      </c>
      <c r="S5" s="331" t="s">
        <v>1005</v>
      </c>
      <c r="T5" s="331" t="s">
        <v>1007</v>
      </c>
      <c r="U5" s="331" t="s">
        <v>432</v>
      </c>
      <c r="V5" s="331" t="s">
        <v>1006</v>
      </c>
      <c r="W5" s="331"/>
      <c r="X5" s="330"/>
    </row>
    <row r="6" spans="1:24" s="326" customFormat="1" ht="35.1" hidden="1" customHeight="1" x14ac:dyDescent="0.25">
      <c r="A6" s="331">
        <v>4600057680</v>
      </c>
      <c r="B6" s="331" t="s">
        <v>182</v>
      </c>
      <c r="C6" s="331">
        <v>102369</v>
      </c>
      <c r="D6" s="331" t="s">
        <v>1881</v>
      </c>
      <c r="E6" s="331">
        <v>60</v>
      </c>
      <c r="F6" s="437" t="s">
        <v>1575</v>
      </c>
      <c r="G6" s="437" t="s">
        <v>1575</v>
      </c>
      <c r="H6" s="329" t="s">
        <v>710</v>
      </c>
      <c r="I6" s="331" t="s">
        <v>18</v>
      </c>
      <c r="J6" s="365" t="s">
        <v>1887</v>
      </c>
      <c r="K6" s="340">
        <v>316958.76</v>
      </c>
      <c r="L6" s="331" t="s">
        <v>19</v>
      </c>
      <c r="M6" s="344">
        <v>45161</v>
      </c>
      <c r="N6" s="360">
        <v>46258</v>
      </c>
      <c r="O6" s="331" t="s">
        <v>22</v>
      </c>
      <c r="P6" s="331" t="s">
        <v>211</v>
      </c>
      <c r="Q6" s="362" t="str">
        <f>UPPER(P6:P103)</f>
        <v>WALDEMAR JUNIOR</v>
      </c>
      <c r="R6" s="331" t="str">
        <f>UPPER(Q6:Q100)</f>
        <v>WALDEMAR JUNIOR</v>
      </c>
      <c r="S6" s="331" t="s">
        <v>1005</v>
      </c>
      <c r="T6" s="331" t="s">
        <v>1007</v>
      </c>
      <c r="U6" s="331" t="s">
        <v>432</v>
      </c>
      <c r="V6" s="331" t="s">
        <v>1006</v>
      </c>
      <c r="W6" s="331"/>
      <c r="X6" s="330"/>
    </row>
    <row r="7" spans="1:24" s="326" customFormat="1" ht="35.1" hidden="1" customHeight="1" x14ac:dyDescent="0.25">
      <c r="A7" s="331">
        <v>4600057700</v>
      </c>
      <c r="B7" s="331" t="s">
        <v>61</v>
      </c>
      <c r="C7" s="329">
        <v>188451</v>
      </c>
      <c r="D7" s="329" t="s">
        <v>1881</v>
      </c>
      <c r="E7" s="331">
        <v>45</v>
      </c>
      <c r="F7" s="437" t="s">
        <v>1575</v>
      </c>
      <c r="G7" s="437" t="s">
        <v>1575</v>
      </c>
      <c r="H7" s="331" t="s">
        <v>710</v>
      </c>
      <c r="I7" s="331" t="s">
        <v>18</v>
      </c>
      <c r="J7" s="365" t="s">
        <v>1888</v>
      </c>
      <c r="K7" s="340">
        <v>700000</v>
      </c>
      <c r="L7" s="331" t="s">
        <v>19</v>
      </c>
      <c r="M7" s="344">
        <v>45251</v>
      </c>
      <c r="N7" s="360">
        <v>46348</v>
      </c>
      <c r="O7" s="331" t="s">
        <v>22</v>
      </c>
      <c r="P7" s="331" t="s">
        <v>204</v>
      </c>
      <c r="Q7" s="362" t="str">
        <f>UPPER(P7:P104)</f>
        <v>PEDRO ANTONIO PERIASSU</v>
      </c>
      <c r="R7" s="331" t="str">
        <f>UPPER(Q7:Q101)</f>
        <v>PEDRO ANTONIO PERIASSU</v>
      </c>
      <c r="S7" s="331" t="s">
        <v>965</v>
      </c>
      <c r="T7" s="331" t="s">
        <v>741</v>
      </c>
      <c r="U7" s="331" t="s">
        <v>740</v>
      </c>
      <c r="V7" s="331" t="s">
        <v>742</v>
      </c>
      <c r="W7" s="331"/>
      <c r="X7" s="330"/>
    </row>
    <row r="8" spans="1:24" s="326" customFormat="1" ht="35.1" hidden="1" customHeight="1" x14ac:dyDescent="0.25">
      <c r="A8" s="329">
        <v>4600057919</v>
      </c>
      <c r="B8" s="329" t="s">
        <v>64</v>
      </c>
      <c r="C8" s="329">
        <v>3029701</v>
      </c>
      <c r="D8" s="335" t="s">
        <v>1881</v>
      </c>
      <c r="E8" s="329">
        <v>45</v>
      </c>
      <c r="F8" s="437" t="s">
        <v>1575</v>
      </c>
      <c r="G8" s="437" t="s">
        <v>1575</v>
      </c>
      <c r="H8" s="329" t="s">
        <v>709</v>
      </c>
      <c r="I8" s="329" t="s">
        <v>18</v>
      </c>
      <c r="J8" s="358" t="s">
        <v>65</v>
      </c>
      <c r="K8" s="359">
        <v>677772</v>
      </c>
      <c r="L8" s="329" t="s">
        <v>19</v>
      </c>
      <c r="M8" s="360">
        <v>45337</v>
      </c>
      <c r="N8" s="360">
        <v>46072</v>
      </c>
      <c r="O8" s="331" t="s">
        <v>208</v>
      </c>
      <c r="P8" s="331" t="s">
        <v>876</v>
      </c>
      <c r="Q8" s="362" t="str">
        <f>UPPER(P8:P109)</f>
        <v xml:space="preserve">GLAUBER HENRIQUE DOS SANTOS </v>
      </c>
      <c r="R8" s="331" t="str">
        <f>UPPER(Q8:Q105)</f>
        <v xml:space="preserve">GLAUBER HENRIQUE DOS SANTOS </v>
      </c>
      <c r="S8" s="335" t="s">
        <v>746</v>
      </c>
      <c r="T8" s="331" t="s">
        <v>344</v>
      </c>
      <c r="U8" s="331" t="s">
        <v>308</v>
      </c>
      <c r="V8" s="331" t="s">
        <v>343</v>
      </c>
      <c r="W8" s="331"/>
      <c r="X8" s="332">
        <v>45342</v>
      </c>
    </row>
    <row r="9" spans="1:24" s="326" customFormat="1" ht="35.1" hidden="1" customHeight="1" x14ac:dyDescent="0.25">
      <c r="A9" s="331">
        <v>4600057921</v>
      </c>
      <c r="B9" s="437" t="s">
        <v>182</v>
      </c>
      <c r="C9" s="331">
        <v>102369</v>
      </c>
      <c r="D9" s="331" t="s">
        <v>1880</v>
      </c>
      <c r="E9" s="331">
        <v>60</v>
      </c>
      <c r="F9" s="437" t="s">
        <v>1575</v>
      </c>
      <c r="G9" s="437" t="s">
        <v>1575</v>
      </c>
      <c r="H9" s="331" t="s">
        <v>709</v>
      </c>
      <c r="I9" s="331" t="s">
        <v>18</v>
      </c>
      <c r="J9" s="331" t="s">
        <v>1890</v>
      </c>
      <c r="K9" s="340">
        <v>496509.92</v>
      </c>
      <c r="L9" s="331" t="s">
        <v>19</v>
      </c>
      <c r="M9" s="344">
        <v>45342</v>
      </c>
      <c r="N9" s="449">
        <v>45708</v>
      </c>
      <c r="O9" s="331" t="s">
        <v>22</v>
      </c>
      <c r="P9" s="331" t="s">
        <v>204</v>
      </c>
      <c r="Q9" s="362" t="str">
        <f>UPPER(P9:P110)</f>
        <v>PEDRO ANTONIO PERIASSU</v>
      </c>
      <c r="R9" s="331" t="str">
        <f>UPPER(Q9:Q106)</f>
        <v>PEDRO ANTONIO PERIASSU</v>
      </c>
      <c r="S9" s="331" t="s">
        <v>1005</v>
      </c>
      <c r="T9" s="331" t="s">
        <v>1007</v>
      </c>
      <c r="U9" s="331" t="s">
        <v>432</v>
      </c>
      <c r="V9" s="331" t="s">
        <v>1006</v>
      </c>
      <c r="W9" s="331" t="s">
        <v>293</v>
      </c>
      <c r="X9" s="330"/>
    </row>
    <row r="10" spans="1:24" s="326" customFormat="1" ht="35.1" hidden="1" customHeight="1" x14ac:dyDescent="0.25">
      <c r="A10" s="331">
        <v>4600058110</v>
      </c>
      <c r="B10" s="329" t="s">
        <v>180</v>
      </c>
      <c r="C10" s="329">
        <v>190612</v>
      </c>
      <c r="D10" s="329" t="s">
        <v>1881</v>
      </c>
      <c r="E10" s="331">
        <v>45</v>
      </c>
      <c r="F10" s="437" t="s">
        <v>1575</v>
      </c>
      <c r="G10" s="437" t="s">
        <v>1575</v>
      </c>
      <c r="H10" s="331" t="s">
        <v>709</v>
      </c>
      <c r="I10" s="331" t="s">
        <v>18</v>
      </c>
      <c r="J10" s="331" t="s">
        <v>1894</v>
      </c>
      <c r="K10" s="340">
        <v>96000</v>
      </c>
      <c r="L10" s="331" t="s">
        <v>19</v>
      </c>
      <c r="M10" s="344">
        <v>45012</v>
      </c>
      <c r="N10" s="360">
        <v>46213</v>
      </c>
      <c r="O10" s="331" t="s">
        <v>29</v>
      </c>
      <c r="P10" s="331" t="s">
        <v>30</v>
      </c>
      <c r="Q10" s="362" t="str">
        <f>UPPER(P10:P115)</f>
        <v>MANFREDO SAHB CARCUTE</v>
      </c>
      <c r="R10" s="331" t="str">
        <f>UPPER(Q10:Q111)</f>
        <v>MANFREDO SAHB CARCUTE</v>
      </c>
      <c r="S10" s="331" t="s">
        <v>578</v>
      </c>
      <c r="T10" s="331" t="s">
        <v>456</v>
      </c>
      <c r="U10" s="331" t="s">
        <v>579</v>
      </c>
      <c r="V10" s="367" t="s">
        <v>580</v>
      </c>
      <c r="W10" s="331"/>
      <c r="X10" s="330"/>
    </row>
    <row r="11" spans="1:24" s="326" customFormat="1" ht="35.1" hidden="1" customHeight="1" x14ac:dyDescent="0.25">
      <c r="A11" s="331">
        <v>4600058163</v>
      </c>
      <c r="B11" s="358" t="s">
        <v>157</v>
      </c>
      <c r="C11" s="329">
        <v>3042135</v>
      </c>
      <c r="D11" s="331" t="s">
        <v>1880</v>
      </c>
      <c r="E11" s="329">
        <v>45</v>
      </c>
      <c r="F11" s="437" t="s">
        <v>1575</v>
      </c>
      <c r="G11" s="437" t="s">
        <v>1575</v>
      </c>
      <c r="H11" s="331" t="s">
        <v>709</v>
      </c>
      <c r="I11" s="331" t="s">
        <v>18</v>
      </c>
      <c r="J11" s="331" t="s">
        <v>158</v>
      </c>
      <c r="K11" s="366">
        <v>14070</v>
      </c>
      <c r="L11" s="331" t="s">
        <v>19</v>
      </c>
      <c r="M11" s="344">
        <v>45545</v>
      </c>
      <c r="N11" s="360">
        <v>46274</v>
      </c>
      <c r="O11" s="331" t="s">
        <v>29</v>
      </c>
      <c r="P11" s="362" t="s">
        <v>30</v>
      </c>
      <c r="Q11" s="362" t="str">
        <f>UPPER(P11:P117)</f>
        <v>MANFREDO SAHB CARCUTE</v>
      </c>
      <c r="R11" s="331" t="str">
        <f>UPPER(Q11:Q113)</f>
        <v>MANFREDO SAHB CARCUTE</v>
      </c>
      <c r="S11" s="331" t="s">
        <v>627</v>
      </c>
      <c r="T11" s="331" t="s">
        <v>437</v>
      </c>
      <c r="U11" s="331" t="s">
        <v>626</v>
      </c>
      <c r="V11" s="331" t="s">
        <v>436</v>
      </c>
      <c r="W11" s="331" t="s">
        <v>745</v>
      </c>
      <c r="X11" s="330"/>
    </row>
    <row r="12" spans="1:24" s="326" customFormat="1" ht="35.1" hidden="1" customHeight="1" x14ac:dyDescent="0.25">
      <c r="A12" s="331" t="s">
        <v>2046</v>
      </c>
      <c r="B12" s="331" t="s">
        <v>61</v>
      </c>
      <c r="C12" s="329">
        <v>188451</v>
      </c>
      <c r="D12" s="329" t="s">
        <v>1879</v>
      </c>
      <c r="E12" s="331">
        <v>45</v>
      </c>
      <c r="F12" s="437" t="s">
        <v>1575</v>
      </c>
      <c r="G12" s="437" t="s">
        <v>1575</v>
      </c>
      <c r="H12" s="331" t="s">
        <v>710</v>
      </c>
      <c r="I12" s="331" t="s">
        <v>18</v>
      </c>
      <c r="J12" s="331" t="s">
        <v>1895</v>
      </c>
      <c r="K12" s="340">
        <v>1116108.8</v>
      </c>
      <c r="L12" s="331" t="s">
        <v>19</v>
      </c>
      <c r="M12" s="344">
        <v>44998</v>
      </c>
      <c r="N12" s="360">
        <v>46387</v>
      </c>
      <c r="O12" s="331" t="s">
        <v>85</v>
      </c>
      <c r="P12" s="362" t="s">
        <v>2017</v>
      </c>
      <c r="Q12" s="362" t="str">
        <f>UPPER(P12:P118)</f>
        <v>LILIAN MOURA DA SILVA</v>
      </c>
      <c r="R12" s="331" t="s">
        <v>2047</v>
      </c>
      <c r="S12" s="331" t="s">
        <v>965</v>
      </c>
      <c r="T12" s="331" t="s">
        <v>741</v>
      </c>
      <c r="U12" s="331" t="s">
        <v>740</v>
      </c>
      <c r="V12" s="331" t="s">
        <v>742</v>
      </c>
      <c r="W12" s="331"/>
      <c r="X12" s="330"/>
    </row>
    <row r="13" spans="1:24" s="326" customFormat="1" ht="35.1" hidden="1" customHeight="1" x14ac:dyDescent="0.25">
      <c r="A13" s="335" t="s">
        <v>2033</v>
      </c>
      <c r="B13" s="335" t="s">
        <v>61</v>
      </c>
      <c r="C13" s="329">
        <v>188451</v>
      </c>
      <c r="D13" s="335" t="s">
        <v>1881</v>
      </c>
      <c r="E13" s="335">
        <v>45</v>
      </c>
      <c r="F13" s="437" t="s">
        <v>1575</v>
      </c>
      <c r="G13" s="437" t="s">
        <v>1575</v>
      </c>
      <c r="H13" s="335" t="s">
        <v>710</v>
      </c>
      <c r="I13" s="335" t="s">
        <v>18</v>
      </c>
      <c r="J13" s="368" t="s">
        <v>1896</v>
      </c>
      <c r="K13" s="369">
        <f>1689802.36+47656+17600.76+180000+79402.31</f>
        <v>2014461.4300000002</v>
      </c>
      <c r="L13" s="335" t="s">
        <v>19</v>
      </c>
      <c r="M13" s="370">
        <v>44699</v>
      </c>
      <c r="N13" s="360">
        <v>46205</v>
      </c>
      <c r="O13" s="335" t="s">
        <v>29</v>
      </c>
      <c r="P13" s="335" t="s">
        <v>30</v>
      </c>
      <c r="Q13" s="362" t="str">
        <f>UPPER(P13:P121)</f>
        <v>MANFREDO SAHB CARCUTE</v>
      </c>
      <c r="R13" s="331" t="str">
        <f>UPPER(Q13:Q117)</f>
        <v>MANFREDO SAHB CARCUTE</v>
      </c>
      <c r="S13" s="331" t="s">
        <v>965</v>
      </c>
      <c r="T13" s="331" t="s">
        <v>741</v>
      </c>
      <c r="U13" s="331" t="s">
        <v>740</v>
      </c>
      <c r="V13" s="331" t="s">
        <v>742</v>
      </c>
      <c r="W13" s="335"/>
      <c r="X13" s="333"/>
    </row>
    <row r="14" spans="1:24" s="326" customFormat="1" ht="35.1" hidden="1" customHeight="1" x14ac:dyDescent="0.25">
      <c r="A14" s="335">
        <v>4600057902</v>
      </c>
      <c r="B14" s="335" t="s">
        <v>64</v>
      </c>
      <c r="C14" s="335">
        <v>3029701</v>
      </c>
      <c r="D14" s="335" t="s">
        <v>1880</v>
      </c>
      <c r="E14" s="335">
        <v>30</v>
      </c>
      <c r="F14" s="437" t="s">
        <v>1575</v>
      </c>
      <c r="G14" s="437" t="s">
        <v>1575</v>
      </c>
      <c r="H14" s="335" t="s">
        <v>709</v>
      </c>
      <c r="I14" s="335" t="s">
        <v>18</v>
      </c>
      <c r="J14" s="368" t="s">
        <v>90</v>
      </c>
      <c r="K14" s="369">
        <v>46650</v>
      </c>
      <c r="L14" s="335" t="s">
        <v>19</v>
      </c>
      <c r="M14" s="370">
        <v>44419</v>
      </c>
      <c r="N14" s="360">
        <v>46032</v>
      </c>
      <c r="O14" s="335" t="s">
        <v>29</v>
      </c>
      <c r="P14" s="371" t="s">
        <v>30</v>
      </c>
      <c r="Q14" s="362" t="str">
        <f>UPPER(P14:P122)</f>
        <v>MANFREDO SAHB CARCUTE</v>
      </c>
      <c r="R14" s="331" t="str">
        <f>UPPER(Q14:Q118)</f>
        <v>MANFREDO SAHB CARCUTE</v>
      </c>
      <c r="S14" s="335" t="s">
        <v>746</v>
      </c>
      <c r="T14" s="335" t="s">
        <v>344</v>
      </c>
      <c r="U14" s="335" t="s">
        <v>308</v>
      </c>
      <c r="V14" s="335" t="s">
        <v>343</v>
      </c>
      <c r="W14" s="335">
        <v>4600053874</v>
      </c>
      <c r="X14" s="333"/>
    </row>
    <row r="15" spans="1:24" s="326" customFormat="1" ht="35.1" hidden="1" customHeight="1" x14ac:dyDescent="0.25">
      <c r="A15" s="335">
        <v>4600058232</v>
      </c>
      <c r="B15" s="335" t="s">
        <v>195</v>
      </c>
      <c r="C15" s="335">
        <v>3043839</v>
      </c>
      <c r="D15" s="335" t="s">
        <v>1881</v>
      </c>
      <c r="E15" s="335">
        <v>10</v>
      </c>
      <c r="F15" s="437" t="s">
        <v>1575</v>
      </c>
      <c r="G15" s="437" t="s">
        <v>1575</v>
      </c>
      <c r="H15" s="335" t="s">
        <v>710</v>
      </c>
      <c r="I15" s="335" t="s">
        <v>18</v>
      </c>
      <c r="J15" s="368" t="s">
        <v>1897</v>
      </c>
      <c r="K15" s="369">
        <v>2374148.7000000002</v>
      </c>
      <c r="L15" s="335" t="s">
        <v>19</v>
      </c>
      <c r="M15" s="370">
        <v>45536</v>
      </c>
      <c r="N15" s="360">
        <v>46446</v>
      </c>
      <c r="O15" s="335" t="s">
        <v>208</v>
      </c>
      <c r="P15" s="331" t="s">
        <v>876</v>
      </c>
      <c r="Q15" s="362" t="str">
        <f>UPPER(P15:P123)</f>
        <v xml:space="preserve">GLAUBER HENRIQUE DOS SANTOS </v>
      </c>
      <c r="R15" s="331" t="str">
        <f>UPPER(Q15:Q119)</f>
        <v xml:space="preserve">GLAUBER HENRIQUE DOS SANTOS </v>
      </c>
      <c r="S15" s="335" t="s">
        <v>941</v>
      </c>
      <c r="T15" s="335" t="s">
        <v>466</v>
      </c>
      <c r="U15" s="335" t="s">
        <v>308</v>
      </c>
      <c r="V15" s="335" t="s">
        <v>465</v>
      </c>
      <c r="W15" s="335" t="s">
        <v>197</v>
      </c>
      <c r="X15" s="333"/>
    </row>
    <row r="16" spans="1:24" s="326" customFormat="1" ht="35.1" hidden="1" customHeight="1" x14ac:dyDescent="0.25">
      <c r="A16" s="335">
        <v>4600057824</v>
      </c>
      <c r="B16" s="335" t="s">
        <v>195</v>
      </c>
      <c r="C16" s="335">
        <v>3043839</v>
      </c>
      <c r="D16" s="335" t="s">
        <v>1881</v>
      </c>
      <c r="E16" s="335">
        <v>10</v>
      </c>
      <c r="F16" s="437" t="s">
        <v>1575</v>
      </c>
      <c r="G16" s="437" t="s">
        <v>1575</v>
      </c>
      <c r="H16" s="335" t="s">
        <v>710</v>
      </c>
      <c r="I16" s="335" t="s">
        <v>18</v>
      </c>
      <c r="J16" s="368" t="s">
        <v>1898</v>
      </c>
      <c r="K16" s="369">
        <v>1848617.82</v>
      </c>
      <c r="L16" s="335" t="s">
        <v>19</v>
      </c>
      <c r="M16" s="370">
        <v>45536</v>
      </c>
      <c r="N16" s="360">
        <v>46752</v>
      </c>
      <c r="O16" s="335" t="s">
        <v>208</v>
      </c>
      <c r="P16" s="331" t="s">
        <v>876</v>
      </c>
      <c r="Q16" s="362" t="str">
        <f>UPPER(P16:P124)</f>
        <v xml:space="preserve">GLAUBER HENRIQUE DOS SANTOS </v>
      </c>
      <c r="R16" s="331" t="str">
        <f>UPPER(Q16:Q120)</f>
        <v xml:space="preserve">GLAUBER HENRIQUE DOS SANTOS </v>
      </c>
      <c r="S16" s="335" t="s">
        <v>941</v>
      </c>
      <c r="T16" s="335" t="s">
        <v>466</v>
      </c>
      <c r="U16" s="335" t="s">
        <v>308</v>
      </c>
      <c r="V16" s="335" t="s">
        <v>465</v>
      </c>
      <c r="W16" s="335" t="s">
        <v>197</v>
      </c>
      <c r="X16" s="333"/>
    </row>
    <row r="17" spans="1:24" s="326" customFormat="1" ht="35.1" hidden="1" customHeight="1" x14ac:dyDescent="0.25">
      <c r="A17" s="331">
        <v>4600058250</v>
      </c>
      <c r="B17" s="331" t="s">
        <v>61</v>
      </c>
      <c r="C17" s="329">
        <v>188451</v>
      </c>
      <c r="D17" s="329" t="s">
        <v>1879</v>
      </c>
      <c r="E17" s="331">
        <v>60</v>
      </c>
      <c r="F17" s="437" t="s">
        <v>1575</v>
      </c>
      <c r="G17" s="437" t="s">
        <v>1575</v>
      </c>
      <c r="H17" s="329" t="s">
        <v>709</v>
      </c>
      <c r="I17" s="331" t="s">
        <v>18</v>
      </c>
      <c r="J17" s="331" t="s">
        <v>1899</v>
      </c>
      <c r="K17" s="340">
        <v>1306918.8700000001</v>
      </c>
      <c r="L17" s="331" t="s">
        <v>19</v>
      </c>
      <c r="M17" s="344">
        <v>44501</v>
      </c>
      <c r="N17" s="449">
        <v>45961</v>
      </c>
      <c r="O17" s="331" t="s">
        <v>22</v>
      </c>
      <c r="P17" s="331" t="s">
        <v>204</v>
      </c>
      <c r="Q17" s="362" t="str">
        <f>UPPER(P17:P126)</f>
        <v>PEDRO ANTONIO PERIASSU</v>
      </c>
      <c r="R17" s="331" t="str">
        <f>UPPER(Q17:Q122)</f>
        <v>PEDRO ANTONIO PERIASSU</v>
      </c>
      <c r="S17" s="331" t="s">
        <v>965</v>
      </c>
      <c r="T17" s="331" t="s">
        <v>741</v>
      </c>
      <c r="U17" s="331" t="s">
        <v>740</v>
      </c>
      <c r="V17" s="331" t="s">
        <v>742</v>
      </c>
      <c r="W17" s="331"/>
      <c r="X17" s="330"/>
    </row>
    <row r="18" spans="1:24" s="326" customFormat="1" ht="35.1" hidden="1" customHeight="1" x14ac:dyDescent="0.25">
      <c r="A18" s="331">
        <v>4600058167</v>
      </c>
      <c r="B18" s="335" t="s">
        <v>61</v>
      </c>
      <c r="C18" s="329">
        <v>188451</v>
      </c>
      <c r="D18" s="329" t="s">
        <v>1879</v>
      </c>
      <c r="E18" s="331">
        <v>60</v>
      </c>
      <c r="F18" s="437" t="s">
        <v>1575</v>
      </c>
      <c r="G18" s="437" t="s">
        <v>1575</v>
      </c>
      <c r="H18" s="331" t="s">
        <v>709</v>
      </c>
      <c r="I18" s="331" t="s">
        <v>18</v>
      </c>
      <c r="J18" s="365" t="s">
        <v>1900</v>
      </c>
      <c r="K18" s="340">
        <v>1659840</v>
      </c>
      <c r="L18" s="331" t="s">
        <v>19</v>
      </c>
      <c r="M18" s="344">
        <v>45453</v>
      </c>
      <c r="N18" s="360">
        <v>46182</v>
      </c>
      <c r="O18" s="335" t="s">
        <v>22</v>
      </c>
      <c r="P18" s="335" t="s">
        <v>204</v>
      </c>
      <c r="Q18" s="362" t="str">
        <f>UPPER(P18:P127)</f>
        <v>PEDRO ANTONIO PERIASSU</v>
      </c>
      <c r="R18" s="331" t="str">
        <f>UPPER(Q18:Q123)</f>
        <v>PEDRO ANTONIO PERIASSU</v>
      </c>
      <c r="S18" s="331" t="s">
        <v>965</v>
      </c>
      <c r="T18" s="331" t="s">
        <v>741</v>
      </c>
      <c r="U18" s="331" t="s">
        <v>740</v>
      </c>
      <c r="V18" s="331" t="s">
        <v>742</v>
      </c>
      <c r="W18" s="331"/>
      <c r="X18" s="330"/>
    </row>
    <row r="19" spans="1:24" s="326" customFormat="1" ht="35.1" hidden="1" customHeight="1" x14ac:dyDescent="0.25">
      <c r="A19" s="331">
        <v>4600058255</v>
      </c>
      <c r="B19" s="329" t="s">
        <v>1579</v>
      </c>
      <c r="C19" s="329">
        <v>3045476</v>
      </c>
      <c r="D19" s="329" t="s">
        <v>1879</v>
      </c>
      <c r="E19" s="331">
        <v>120</v>
      </c>
      <c r="F19" s="437" t="s">
        <v>1575</v>
      </c>
      <c r="G19" s="437" t="s">
        <v>1575</v>
      </c>
      <c r="H19" s="331" t="s">
        <v>1580</v>
      </c>
      <c r="I19" s="331" t="s">
        <v>38</v>
      </c>
      <c r="J19" s="331" t="s">
        <v>1901</v>
      </c>
      <c r="K19" s="340">
        <v>1542823.2</v>
      </c>
      <c r="L19" s="331" t="s">
        <v>19</v>
      </c>
      <c r="M19" s="344">
        <v>45435</v>
      </c>
      <c r="N19" s="360">
        <v>46164</v>
      </c>
      <c r="O19" s="331" t="s">
        <v>22</v>
      </c>
      <c r="P19" s="331" t="s">
        <v>204</v>
      </c>
      <c r="Q19" s="362" t="str">
        <f>UPPER(P19:P128)</f>
        <v>PEDRO ANTONIO PERIASSU</v>
      </c>
      <c r="R19" s="331" t="str">
        <f>UPPER(Q19:Q124)</f>
        <v>PEDRO ANTONIO PERIASSU</v>
      </c>
      <c r="S19" s="331" t="s">
        <v>555</v>
      </c>
      <c r="T19" s="331" t="s">
        <v>554</v>
      </c>
      <c r="U19" s="331" t="s">
        <v>556</v>
      </c>
      <c r="V19" s="367" t="s">
        <v>557</v>
      </c>
      <c r="W19" s="331" t="s">
        <v>564</v>
      </c>
      <c r="X19" s="330"/>
    </row>
    <row r="20" spans="1:24" s="326" customFormat="1" ht="35.1" hidden="1" customHeight="1" x14ac:dyDescent="0.25">
      <c r="A20" s="329">
        <v>4600058179</v>
      </c>
      <c r="B20" s="329" t="s">
        <v>2080</v>
      </c>
      <c r="C20" s="329">
        <v>3006454</v>
      </c>
      <c r="D20" s="329" t="s">
        <v>1880</v>
      </c>
      <c r="E20" s="329">
        <v>45</v>
      </c>
      <c r="F20" s="437" t="s">
        <v>1575</v>
      </c>
      <c r="G20" s="437" t="s">
        <v>1575</v>
      </c>
      <c r="H20" s="329" t="s">
        <v>710</v>
      </c>
      <c r="I20" s="329" t="s">
        <v>18</v>
      </c>
      <c r="J20" s="358" t="s">
        <v>1905</v>
      </c>
      <c r="K20" s="359">
        <v>1036105.98</v>
      </c>
      <c r="L20" s="329" t="s">
        <v>19</v>
      </c>
      <c r="M20" s="360">
        <v>42736</v>
      </c>
      <c r="N20" s="449">
        <v>46022</v>
      </c>
      <c r="O20" s="331" t="s">
        <v>152</v>
      </c>
      <c r="P20" s="331" t="s">
        <v>30</v>
      </c>
      <c r="Q20" s="362" t="str">
        <f>UPPER(P20:P136)</f>
        <v>MANFREDO SAHB CARCUTE</v>
      </c>
      <c r="R20" s="331" t="str">
        <f>UPPER(Q20:Q132)</f>
        <v>MANFREDO SAHB CARCUTE</v>
      </c>
      <c r="S20" s="331" t="s">
        <v>1016</v>
      </c>
      <c r="T20" s="331" t="s">
        <v>1017</v>
      </c>
      <c r="U20" s="331" t="s">
        <v>1018</v>
      </c>
      <c r="V20" s="331" t="s">
        <v>1019</v>
      </c>
      <c r="W20" s="331"/>
      <c r="X20" s="330"/>
    </row>
    <row r="21" spans="1:24" s="326" customFormat="1" ht="35.1" hidden="1" customHeight="1" x14ac:dyDescent="0.25">
      <c r="A21" s="329">
        <v>4600049327</v>
      </c>
      <c r="B21" s="329" t="s">
        <v>49</v>
      </c>
      <c r="C21" s="329">
        <v>3007020</v>
      </c>
      <c r="D21" s="329" t="s">
        <v>1879</v>
      </c>
      <c r="E21" s="329">
        <v>60</v>
      </c>
      <c r="F21" s="437" t="s">
        <v>1575</v>
      </c>
      <c r="G21" s="437" t="s">
        <v>1575</v>
      </c>
      <c r="H21" s="329" t="s">
        <v>710</v>
      </c>
      <c r="I21" s="329" t="s">
        <v>18</v>
      </c>
      <c r="J21" s="358" t="s">
        <v>1906</v>
      </c>
      <c r="K21" s="359">
        <v>146877.96</v>
      </c>
      <c r="L21" s="329" t="s">
        <v>19</v>
      </c>
      <c r="M21" s="360">
        <v>45140</v>
      </c>
      <c r="N21" s="360">
        <v>46235</v>
      </c>
      <c r="O21" s="331" t="s">
        <v>29</v>
      </c>
      <c r="P21" s="362" t="s">
        <v>30</v>
      </c>
      <c r="Q21" s="362" t="str">
        <f>UPPER(P21:P137)</f>
        <v>MANFREDO SAHB CARCUTE</v>
      </c>
      <c r="R21" s="331" t="str">
        <f>UPPER(Q21:Q133)</f>
        <v>MANFREDO SAHB CARCUTE</v>
      </c>
      <c r="S21" s="331"/>
      <c r="T21" s="331" t="s">
        <v>323</v>
      </c>
      <c r="U21" s="331" t="s">
        <v>324</v>
      </c>
      <c r="V21" s="331" t="s">
        <v>322</v>
      </c>
      <c r="W21" s="331"/>
      <c r="X21" s="330"/>
    </row>
    <row r="22" spans="1:24" s="326" customFormat="1" ht="35.1" hidden="1" customHeight="1" x14ac:dyDescent="0.25">
      <c r="A22" s="329" t="s">
        <v>1602</v>
      </c>
      <c r="B22" s="329" t="s">
        <v>747</v>
      </c>
      <c r="C22" s="329">
        <v>3000854</v>
      </c>
      <c r="D22" s="329" t="s">
        <v>1880</v>
      </c>
      <c r="E22" s="329">
        <v>30</v>
      </c>
      <c r="F22" s="437" t="s">
        <v>1575</v>
      </c>
      <c r="G22" s="437" t="s">
        <v>1575</v>
      </c>
      <c r="H22" s="329" t="s">
        <v>710</v>
      </c>
      <c r="I22" s="329" t="s">
        <v>18</v>
      </c>
      <c r="J22" s="358" t="s">
        <v>60</v>
      </c>
      <c r="K22" s="359">
        <v>550729.28</v>
      </c>
      <c r="L22" s="329" t="s">
        <v>19</v>
      </c>
      <c r="M22" s="360">
        <v>43504</v>
      </c>
      <c r="N22" s="360">
        <v>46061</v>
      </c>
      <c r="O22" s="331" t="s">
        <v>208</v>
      </c>
      <c r="P22" s="331" t="s">
        <v>876</v>
      </c>
      <c r="Q22" s="362" t="str">
        <f>UPPER(P22:P138)</f>
        <v xml:space="preserve">GLAUBER HENRIQUE DOS SANTOS </v>
      </c>
      <c r="R22" s="331" t="str">
        <f>UPPER(Q22:Q134)</f>
        <v xml:space="preserve">GLAUBER HENRIQUE DOS SANTOS </v>
      </c>
      <c r="S22" s="331" t="s">
        <v>339</v>
      </c>
      <c r="T22" s="331" t="s">
        <v>337</v>
      </c>
      <c r="U22" s="331" t="s">
        <v>338</v>
      </c>
      <c r="V22" s="331" t="s">
        <v>336</v>
      </c>
      <c r="W22" s="331"/>
      <c r="X22" s="330"/>
    </row>
    <row r="23" spans="1:24" s="326" customFormat="1" ht="35.1" hidden="1" customHeight="1" x14ac:dyDescent="0.25">
      <c r="A23" s="329">
        <v>4600058082</v>
      </c>
      <c r="B23" s="329" t="s">
        <v>68</v>
      </c>
      <c r="C23" s="329">
        <v>191036</v>
      </c>
      <c r="D23" s="329" t="s">
        <v>1880</v>
      </c>
      <c r="E23" s="329">
        <v>30</v>
      </c>
      <c r="F23" s="437" t="s">
        <v>1575</v>
      </c>
      <c r="G23" s="437" t="s">
        <v>1575</v>
      </c>
      <c r="H23" s="329" t="s">
        <v>710</v>
      </c>
      <c r="I23" s="329" t="s">
        <v>18</v>
      </c>
      <c r="J23" s="358" t="s">
        <v>69</v>
      </c>
      <c r="K23" s="340">
        <v>970912</v>
      </c>
      <c r="L23" s="329" t="s">
        <v>37</v>
      </c>
      <c r="M23" s="360">
        <v>43941</v>
      </c>
      <c r="N23" s="360">
        <v>46126</v>
      </c>
      <c r="O23" s="331" t="s">
        <v>29</v>
      </c>
      <c r="P23" s="331" t="s">
        <v>30</v>
      </c>
      <c r="Q23" s="362" t="str">
        <f>UPPER(P23:P139)</f>
        <v>MANFREDO SAHB CARCUTE</v>
      </c>
      <c r="R23" s="331" t="str">
        <f>UPPER(Q23:Q135)</f>
        <v>MANFREDO SAHB CARCUTE</v>
      </c>
      <c r="S23" s="331"/>
      <c r="T23" s="331" t="s">
        <v>308</v>
      </c>
      <c r="U23" s="331" t="s">
        <v>308</v>
      </c>
      <c r="V23" s="331" t="s">
        <v>351</v>
      </c>
      <c r="W23" s="331" t="s">
        <v>287</v>
      </c>
      <c r="X23" s="332">
        <v>45393</v>
      </c>
    </row>
    <row r="24" spans="1:24" s="326" customFormat="1" ht="35.1" hidden="1" customHeight="1" x14ac:dyDescent="0.25">
      <c r="A24" s="329">
        <v>4600052818</v>
      </c>
      <c r="B24" s="329" t="s">
        <v>77</v>
      </c>
      <c r="C24" s="329">
        <v>189992</v>
      </c>
      <c r="D24" s="329" t="s">
        <v>1879</v>
      </c>
      <c r="E24" s="329">
        <v>1</v>
      </c>
      <c r="F24" s="437" t="s">
        <v>1575</v>
      </c>
      <c r="G24" s="437" t="s">
        <v>1575</v>
      </c>
      <c r="H24" s="329" t="s">
        <v>710</v>
      </c>
      <c r="I24" s="329" t="s">
        <v>18</v>
      </c>
      <c r="J24" s="358" t="s">
        <v>78</v>
      </c>
      <c r="K24" s="359">
        <v>11999</v>
      </c>
      <c r="L24" s="372" t="s">
        <v>79</v>
      </c>
      <c r="M24" s="360">
        <v>44869</v>
      </c>
      <c r="N24" s="360">
        <v>46258</v>
      </c>
      <c r="O24" s="331" t="s">
        <v>29</v>
      </c>
      <c r="P24" s="331" t="s">
        <v>30</v>
      </c>
      <c r="Q24" s="362" t="str">
        <f>UPPER(P24:P141)</f>
        <v>MANFREDO SAHB CARCUTE</v>
      </c>
      <c r="R24" s="331" t="str">
        <f>UPPER(Q24:Q137)</f>
        <v>MANFREDO SAHB CARCUTE</v>
      </c>
      <c r="S24" s="331"/>
      <c r="T24" s="331" t="s">
        <v>362</v>
      </c>
      <c r="U24" s="331" t="s">
        <v>363</v>
      </c>
      <c r="V24" s="331" t="s">
        <v>361</v>
      </c>
      <c r="W24" s="331"/>
      <c r="X24" s="330"/>
    </row>
    <row r="25" spans="1:24" s="326" customFormat="1" ht="35.1" hidden="1" customHeight="1" x14ac:dyDescent="0.25">
      <c r="A25" s="329">
        <v>4600056881</v>
      </c>
      <c r="B25" s="329" t="s">
        <v>166</v>
      </c>
      <c r="C25" s="331">
        <v>102369</v>
      </c>
      <c r="D25" s="329" t="s">
        <v>1880</v>
      </c>
      <c r="E25" s="329">
        <v>90</v>
      </c>
      <c r="F25" s="437" t="s">
        <v>1575</v>
      </c>
      <c r="G25" s="437" t="s">
        <v>1575</v>
      </c>
      <c r="H25" s="329" t="s">
        <v>710</v>
      </c>
      <c r="I25" s="329" t="s">
        <v>18</v>
      </c>
      <c r="J25" s="358" t="s">
        <v>167</v>
      </c>
      <c r="K25" s="359">
        <v>416648</v>
      </c>
      <c r="L25" s="329" t="s">
        <v>19</v>
      </c>
      <c r="M25" s="360">
        <v>44911</v>
      </c>
      <c r="N25" s="449">
        <v>46007</v>
      </c>
      <c r="O25" s="331" t="s">
        <v>22</v>
      </c>
      <c r="P25" s="331" t="s">
        <v>211</v>
      </c>
      <c r="Q25" s="362" t="str">
        <f>UPPER(P25:P149)</f>
        <v>WALDEMAR JUNIOR</v>
      </c>
      <c r="R25" s="331" t="str">
        <f>UPPER(Q25:Q145)</f>
        <v>WALDEMAR JUNIOR</v>
      </c>
      <c r="S25" s="331" t="s">
        <v>1005</v>
      </c>
      <c r="T25" s="331" t="s">
        <v>1007</v>
      </c>
      <c r="U25" s="331" t="s">
        <v>432</v>
      </c>
      <c r="V25" s="331" t="s">
        <v>1006</v>
      </c>
      <c r="W25" s="331"/>
      <c r="X25" s="330"/>
    </row>
    <row r="26" spans="1:24" s="326" customFormat="1" ht="35.1" hidden="1" customHeight="1" x14ac:dyDescent="0.25">
      <c r="A26" s="329">
        <v>4600059336</v>
      </c>
      <c r="B26" s="329" t="s">
        <v>170</v>
      </c>
      <c r="C26" s="329">
        <v>3038407</v>
      </c>
      <c r="D26" s="329" t="s">
        <v>1880</v>
      </c>
      <c r="E26" s="329">
        <v>30</v>
      </c>
      <c r="F26" s="437" t="s">
        <v>1575</v>
      </c>
      <c r="G26" s="437" t="s">
        <v>1575</v>
      </c>
      <c r="H26" s="329" t="s">
        <v>709</v>
      </c>
      <c r="I26" s="329" t="s">
        <v>18</v>
      </c>
      <c r="J26" s="331" t="s">
        <v>1909</v>
      </c>
      <c r="K26" s="359">
        <v>374459</v>
      </c>
      <c r="L26" s="329" t="s">
        <v>19</v>
      </c>
      <c r="M26" s="360">
        <v>45017</v>
      </c>
      <c r="N26" s="360">
        <v>46479</v>
      </c>
      <c r="O26" s="331" t="s">
        <v>171</v>
      </c>
      <c r="P26" s="362" t="s">
        <v>172</v>
      </c>
      <c r="Q26" s="362" t="str">
        <f>UPPER(P26:P150)</f>
        <v>GLAUBER LIMA DE MEDEIROS</v>
      </c>
      <c r="R26" s="331" t="str">
        <f>UPPER(Q26:Q146)</f>
        <v>GLAUBER LIMA DE MEDEIROS</v>
      </c>
      <c r="S26" s="331" t="s">
        <v>1082</v>
      </c>
      <c r="T26" s="331" t="s">
        <v>443</v>
      </c>
      <c r="U26" s="331" t="s">
        <v>1083</v>
      </c>
      <c r="V26" s="375" t="s">
        <v>448</v>
      </c>
      <c r="W26" s="331"/>
      <c r="X26" s="330"/>
    </row>
    <row r="27" spans="1:24" s="326" customFormat="1" ht="35.1" hidden="1" customHeight="1" x14ac:dyDescent="0.25">
      <c r="A27" s="329" t="s">
        <v>1642</v>
      </c>
      <c r="B27" s="329" t="s">
        <v>174</v>
      </c>
      <c r="C27" s="329">
        <v>3043664</v>
      </c>
      <c r="D27" s="329" t="s">
        <v>1880</v>
      </c>
      <c r="E27" s="329">
        <v>45</v>
      </c>
      <c r="F27" s="437" t="s">
        <v>1575</v>
      </c>
      <c r="G27" s="437" t="s">
        <v>1575</v>
      </c>
      <c r="H27" s="329" t="s">
        <v>710</v>
      </c>
      <c r="I27" s="329" t="s">
        <v>18</v>
      </c>
      <c r="J27" s="358" t="s">
        <v>1910</v>
      </c>
      <c r="K27" s="359">
        <v>9867.6</v>
      </c>
      <c r="L27" s="329" t="s">
        <v>19</v>
      </c>
      <c r="M27" s="360">
        <v>45089</v>
      </c>
      <c r="N27" s="360">
        <v>46665</v>
      </c>
      <c r="O27" s="331" t="s">
        <v>22</v>
      </c>
      <c r="P27" s="331" t="s">
        <v>204</v>
      </c>
      <c r="Q27" s="362" t="str">
        <f>UPPER(P27:P151)</f>
        <v>PEDRO ANTONIO PERIASSU</v>
      </c>
      <c r="R27" s="331" t="str">
        <f>UPPER(Q27:Q147)</f>
        <v>PEDRO ANTONIO PERIASSU</v>
      </c>
      <c r="S27" s="331"/>
      <c r="T27" s="331" t="s">
        <v>450</v>
      </c>
      <c r="U27" s="331" t="s">
        <v>308</v>
      </c>
      <c r="V27" s="367" t="s">
        <v>449</v>
      </c>
      <c r="W27" s="331"/>
      <c r="X27" s="330"/>
    </row>
    <row r="28" spans="1:24" s="326" customFormat="1" ht="35.1" hidden="1" customHeight="1" x14ac:dyDescent="0.25">
      <c r="A28" s="331" t="s">
        <v>1648</v>
      </c>
      <c r="B28" s="331" t="s">
        <v>178</v>
      </c>
      <c r="C28" s="331">
        <v>3026972</v>
      </c>
      <c r="D28" s="331" t="s">
        <v>1881</v>
      </c>
      <c r="E28" s="331">
        <v>30</v>
      </c>
      <c r="F28" s="437" t="s">
        <v>1575</v>
      </c>
      <c r="G28" s="437" t="s">
        <v>1575</v>
      </c>
      <c r="H28" s="329" t="s">
        <v>710</v>
      </c>
      <c r="I28" s="331" t="s">
        <v>18</v>
      </c>
      <c r="J28" s="365" t="s">
        <v>1911</v>
      </c>
      <c r="K28" s="340">
        <v>839437.92</v>
      </c>
      <c r="L28" s="331" t="s">
        <v>19</v>
      </c>
      <c r="M28" s="344">
        <v>45105</v>
      </c>
      <c r="N28" s="360">
        <v>46453</v>
      </c>
      <c r="O28" s="331" t="s">
        <v>22</v>
      </c>
      <c r="P28" s="362" t="s">
        <v>204</v>
      </c>
      <c r="Q28" s="362" t="str">
        <f>UPPER(P28:P153)</f>
        <v>PEDRO ANTONIO PERIASSU</v>
      </c>
      <c r="R28" s="331" t="str">
        <f>UPPER(Q28:Q149)</f>
        <v>PEDRO ANTONIO PERIASSU</v>
      </c>
      <c r="S28" s="331" t="s">
        <v>1236</v>
      </c>
      <c r="T28" s="331" t="s">
        <v>1234</v>
      </c>
      <c r="U28" s="331" t="s">
        <v>1237</v>
      </c>
      <c r="V28" s="375" t="s">
        <v>1235</v>
      </c>
      <c r="W28" s="331" t="s">
        <v>454</v>
      </c>
      <c r="X28" s="330"/>
    </row>
    <row r="29" spans="1:24" s="326" customFormat="1" ht="35.1" hidden="1" customHeight="1" x14ac:dyDescent="0.25">
      <c r="A29" s="331">
        <v>4600060060</v>
      </c>
      <c r="B29" s="331" t="s">
        <v>219</v>
      </c>
      <c r="C29" s="331">
        <v>3044684</v>
      </c>
      <c r="D29" s="329" t="s">
        <v>1879</v>
      </c>
      <c r="E29" s="331">
        <v>1</v>
      </c>
      <c r="F29" s="437" t="s">
        <v>1575</v>
      </c>
      <c r="G29" s="437" t="s">
        <v>1575</v>
      </c>
      <c r="H29" s="331" t="s">
        <v>710</v>
      </c>
      <c r="I29" s="331" t="s">
        <v>18</v>
      </c>
      <c r="J29" s="331" t="s">
        <v>1917</v>
      </c>
      <c r="K29" s="340">
        <v>0.01</v>
      </c>
      <c r="L29" s="331" t="s">
        <v>19</v>
      </c>
      <c r="M29" s="344">
        <v>45250</v>
      </c>
      <c r="N29" s="444">
        <v>46345</v>
      </c>
      <c r="O29" s="331" t="s">
        <v>152</v>
      </c>
      <c r="P29" s="331" t="s">
        <v>30</v>
      </c>
      <c r="Q29" s="362" t="str">
        <f>UPPER(P29:P160)</f>
        <v>MANFREDO SAHB CARCUTE</v>
      </c>
      <c r="R29" s="331" t="str">
        <f>UPPER(Q29:Q156)</f>
        <v>MANFREDO SAHB CARCUTE</v>
      </c>
      <c r="S29" s="331" t="s">
        <v>476</v>
      </c>
      <c r="T29" s="331" t="s">
        <v>479</v>
      </c>
      <c r="U29" s="331" t="s">
        <v>308</v>
      </c>
      <c r="V29" s="331" t="s">
        <v>475</v>
      </c>
      <c r="W29" s="331"/>
      <c r="X29" s="330"/>
    </row>
    <row r="30" spans="1:24" s="326" customFormat="1" ht="35.1" hidden="1" customHeight="1" x14ac:dyDescent="0.25">
      <c r="A30" s="331">
        <v>4600057906</v>
      </c>
      <c r="B30" s="331" t="s">
        <v>230</v>
      </c>
      <c r="C30" s="331">
        <v>3041254</v>
      </c>
      <c r="D30" s="331" t="s">
        <v>1881</v>
      </c>
      <c r="E30" s="331">
        <v>60</v>
      </c>
      <c r="F30" s="437" t="s">
        <v>1575</v>
      </c>
      <c r="G30" s="437" t="s">
        <v>1575</v>
      </c>
      <c r="H30" s="331" t="s">
        <v>709</v>
      </c>
      <c r="I30" s="331" t="s">
        <v>18</v>
      </c>
      <c r="J30" s="331" t="s">
        <v>1919</v>
      </c>
      <c r="K30" s="340">
        <v>100425.48</v>
      </c>
      <c r="L30" s="331" t="s">
        <v>19</v>
      </c>
      <c r="M30" s="344">
        <v>45170</v>
      </c>
      <c r="N30" s="360">
        <v>46295</v>
      </c>
      <c r="O30" s="331" t="s">
        <v>52</v>
      </c>
      <c r="P30" s="331" t="s">
        <v>204</v>
      </c>
      <c r="Q30" s="362" t="str">
        <f>UPPER(P30:P163)</f>
        <v>PEDRO ANTONIO PERIASSU</v>
      </c>
      <c r="R30" s="331" t="str">
        <f>UPPER(Q30:Q159)</f>
        <v>PEDRO ANTONIO PERIASSU</v>
      </c>
      <c r="S30" s="331" t="s">
        <v>1011</v>
      </c>
      <c r="T30" s="331" t="s">
        <v>495</v>
      </c>
      <c r="U30" s="331" t="s">
        <v>496</v>
      </c>
      <c r="V30" s="331" t="s">
        <v>1012</v>
      </c>
      <c r="W30" s="331"/>
      <c r="X30" s="330"/>
    </row>
    <row r="31" spans="1:24" s="326" customFormat="1" ht="35.1" hidden="1" customHeight="1" x14ac:dyDescent="0.25">
      <c r="A31" s="331">
        <v>4600059516</v>
      </c>
      <c r="B31" s="331" t="s">
        <v>267</v>
      </c>
      <c r="C31" s="331">
        <v>186055</v>
      </c>
      <c r="D31" s="329" t="s">
        <v>1880</v>
      </c>
      <c r="E31" s="331">
        <v>30</v>
      </c>
      <c r="F31" s="437" t="s">
        <v>1575</v>
      </c>
      <c r="G31" s="437" t="s">
        <v>1575</v>
      </c>
      <c r="H31" s="331" t="s">
        <v>710</v>
      </c>
      <c r="I31" s="331" t="s">
        <v>18</v>
      </c>
      <c r="J31" s="331" t="s">
        <v>1920</v>
      </c>
      <c r="K31" s="340">
        <v>96770</v>
      </c>
      <c r="L31" s="331" t="s">
        <v>19</v>
      </c>
      <c r="M31" s="344">
        <v>45065</v>
      </c>
      <c r="N31" s="444">
        <v>46526</v>
      </c>
      <c r="O31" s="331" t="s">
        <v>152</v>
      </c>
      <c r="P31" s="331" t="s">
        <v>30</v>
      </c>
      <c r="Q31" s="362" t="str">
        <f>UPPER(P31:P164)</f>
        <v>MANFREDO SAHB CARCUTE</v>
      </c>
      <c r="R31" s="331" t="str">
        <f>UPPER(Q31:Q160)</f>
        <v>MANFREDO SAHB CARCUTE</v>
      </c>
      <c r="S31" s="331"/>
      <c r="T31" s="331" t="s">
        <v>500</v>
      </c>
      <c r="U31" s="331" t="s">
        <v>501</v>
      </c>
      <c r="V31" s="331" t="s">
        <v>499</v>
      </c>
      <c r="W31" s="331"/>
      <c r="X31" s="332">
        <v>45299</v>
      </c>
    </row>
    <row r="32" spans="1:24" s="326" customFormat="1" ht="35.1" hidden="1" customHeight="1" x14ac:dyDescent="0.25">
      <c r="A32" s="331">
        <v>4600057500</v>
      </c>
      <c r="B32" s="331" t="s">
        <v>984</v>
      </c>
      <c r="C32" s="331">
        <v>3035927</v>
      </c>
      <c r="D32" s="329" t="s">
        <v>1879</v>
      </c>
      <c r="E32" s="331">
        <v>75</v>
      </c>
      <c r="F32" s="437" t="s">
        <v>1575</v>
      </c>
      <c r="G32" s="437" t="s">
        <v>1575</v>
      </c>
      <c r="H32" s="329" t="s">
        <v>710</v>
      </c>
      <c r="I32" s="331" t="s">
        <v>18</v>
      </c>
      <c r="J32" s="331" t="s">
        <v>1923</v>
      </c>
      <c r="K32" s="340">
        <v>0.01</v>
      </c>
      <c r="L32" s="331" t="s">
        <v>19</v>
      </c>
      <c r="M32" s="344">
        <v>45170</v>
      </c>
      <c r="N32" s="360">
        <v>46265</v>
      </c>
      <c r="O32" s="331" t="s">
        <v>152</v>
      </c>
      <c r="P32" s="331" t="s">
        <v>30</v>
      </c>
      <c r="Q32" s="362" t="str">
        <f>UPPER(P32:P167)</f>
        <v>MANFREDO SAHB CARCUTE</v>
      </c>
      <c r="R32" s="331" t="str">
        <f>UPPER(Q32:Q163)</f>
        <v>MANFREDO SAHB CARCUTE</v>
      </c>
      <c r="S32" s="331" t="s">
        <v>516</v>
      </c>
      <c r="T32" s="331" t="s">
        <v>515</v>
      </c>
      <c r="U32" s="331" t="s">
        <v>308</v>
      </c>
      <c r="V32" s="331" t="s">
        <v>514</v>
      </c>
      <c r="W32" s="331"/>
      <c r="X32" s="332">
        <v>45299</v>
      </c>
    </row>
    <row r="33" spans="1:24" s="326" customFormat="1" ht="35.1" hidden="1" customHeight="1" x14ac:dyDescent="0.25">
      <c r="A33" s="331">
        <v>4600057836</v>
      </c>
      <c r="B33" s="331" t="s">
        <v>266</v>
      </c>
      <c r="C33" s="331">
        <v>3045044</v>
      </c>
      <c r="D33" s="329" t="s">
        <v>1879</v>
      </c>
      <c r="E33" s="331">
        <v>30</v>
      </c>
      <c r="F33" s="437" t="s">
        <v>1575</v>
      </c>
      <c r="G33" s="437" t="s">
        <v>1575</v>
      </c>
      <c r="H33" s="329" t="s">
        <v>710</v>
      </c>
      <c r="I33" s="331" t="s">
        <v>18</v>
      </c>
      <c r="J33" s="331" t="s">
        <v>1924</v>
      </c>
      <c r="K33" s="340">
        <v>284911.11</v>
      </c>
      <c r="L33" s="331" t="s">
        <v>19</v>
      </c>
      <c r="M33" s="344">
        <v>45288</v>
      </c>
      <c r="N33" s="449">
        <v>45991</v>
      </c>
      <c r="O33" s="331" t="s">
        <v>152</v>
      </c>
      <c r="P33" s="331" t="s">
        <v>30</v>
      </c>
      <c r="Q33" s="362" t="str">
        <f>UPPER(P33:P168)</f>
        <v>MANFREDO SAHB CARCUTE</v>
      </c>
      <c r="R33" s="331" t="str">
        <f>UPPER(Q33:Q164)</f>
        <v>MANFREDO SAHB CARCUTE</v>
      </c>
      <c r="S33" s="331"/>
      <c r="T33" s="331" t="s">
        <v>523</v>
      </c>
      <c r="U33" s="331" t="s">
        <v>524</v>
      </c>
      <c r="V33" s="331" t="s">
        <v>522</v>
      </c>
      <c r="W33" s="331"/>
      <c r="X33" s="332">
        <v>45327</v>
      </c>
    </row>
    <row r="34" spans="1:24" s="326" customFormat="1" ht="35.1" hidden="1" customHeight="1" x14ac:dyDescent="0.25">
      <c r="A34" s="339">
        <v>4600058510</v>
      </c>
      <c r="B34" s="339" t="s">
        <v>268</v>
      </c>
      <c r="C34" s="339">
        <v>185651</v>
      </c>
      <c r="D34" s="376" t="s">
        <v>1880</v>
      </c>
      <c r="E34" s="339">
        <v>15</v>
      </c>
      <c r="F34" s="437" t="s">
        <v>1575</v>
      </c>
      <c r="G34" s="437" t="s">
        <v>1575</v>
      </c>
      <c r="H34" s="329" t="s">
        <v>709</v>
      </c>
      <c r="I34" s="339" t="s">
        <v>18</v>
      </c>
      <c r="J34" s="339" t="s">
        <v>1925</v>
      </c>
      <c r="K34" s="377">
        <v>3669327.16</v>
      </c>
      <c r="L34" s="339" t="s">
        <v>19</v>
      </c>
      <c r="M34" s="378">
        <v>44512</v>
      </c>
      <c r="N34" s="379">
        <v>46336</v>
      </c>
      <c r="O34" s="339" t="s">
        <v>93</v>
      </c>
      <c r="P34" s="339" t="s">
        <v>30</v>
      </c>
      <c r="Q34" s="362" t="str">
        <f>UPPER(P34:P169)</f>
        <v>MANFREDO SAHB CARCUTE</v>
      </c>
      <c r="R34" s="331" t="str">
        <f>UPPER(Q34:Q165)</f>
        <v>MANFREDO SAHB CARCUTE</v>
      </c>
      <c r="S34" s="339" t="s">
        <v>377</v>
      </c>
      <c r="T34" s="339" t="s">
        <v>375</v>
      </c>
      <c r="U34" s="339" t="s">
        <v>376</v>
      </c>
      <c r="V34" s="339" t="s">
        <v>374</v>
      </c>
      <c r="W34" s="339" t="s">
        <v>839</v>
      </c>
      <c r="X34" s="338"/>
    </row>
    <row r="35" spans="1:24" s="326" customFormat="1" ht="35.1" hidden="1" customHeight="1" x14ac:dyDescent="0.25">
      <c r="A35" s="331">
        <v>4600057964</v>
      </c>
      <c r="B35" s="331" t="s">
        <v>102</v>
      </c>
      <c r="C35" s="331">
        <v>189602</v>
      </c>
      <c r="D35" s="329" t="s">
        <v>1880</v>
      </c>
      <c r="E35" s="331">
        <v>30</v>
      </c>
      <c r="F35" s="437" t="s">
        <v>1575</v>
      </c>
      <c r="G35" s="437" t="s">
        <v>1575</v>
      </c>
      <c r="H35" s="329" t="s">
        <v>709</v>
      </c>
      <c r="I35" s="331" t="s">
        <v>18</v>
      </c>
      <c r="J35" s="331" t="s">
        <v>1928</v>
      </c>
      <c r="K35" s="340">
        <v>285695.12</v>
      </c>
      <c r="L35" s="331" t="s">
        <v>19</v>
      </c>
      <c r="M35" s="344">
        <v>43902</v>
      </c>
      <c r="N35" s="360">
        <v>46092</v>
      </c>
      <c r="O35" s="331" t="s">
        <v>208</v>
      </c>
      <c r="P35" s="331" t="s">
        <v>876</v>
      </c>
      <c r="Q35" s="362" t="str">
        <f>UPPER(P35:P173)</f>
        <v xml:space="preserve">GLAUBER HENRIQUE DOS SANTOS </v>
      </c>
      <c r="R35" s="331" t="str">
        <f>UPPER(Q35:Q169)</f>
        <v xml:space="preserve">GLAUBER HENRIQUE DOS SANTOS </v>
      </c>
      <c r="S35" s="331" t="s">
        <v>386</v>
      </c>
      <c r="T35" s="331" t="s">
        <v>384</v>
      </c>
      <c r="U35" s="331" t="s">
        <v>541</v>
      </c>
      <c r="V35" s="331" t="s">
        <v>383</v>
      </c>
      <c r="W35" s="331" t="s">
        <v>289</v>
      </c>
      <c r="X35" s="332">
        <v>45378</v>
      </c>
    </row>
    <row r="36" spans="1:24" s="326" customFormat="1" ht="35.1" hidden="1" customHeight="1" x14ac:dyDescent="0.25">
      <c r="A36" s="329" t="s">
        <v>1638</v>
      </c>
      <c r="B36" s="329" t="s">
        <v>87</v>
      </c>
      <c r="C36" s="329">
        <v>3037927</v>
      </c>
      <c r="D36" s="329" t="s">
        <v>1880</v>
      </c>
      <c r="E36" s="329">
        <v>30</v>
      </c>
      <c r="F36" s="437" t="s">
        <v>1575</v>
      </c>
      <c r="G36" s="437" t="s">
        <v>1575</v>
      </c>
      <c r="H36" s="329" t="s">
        <v>709</v>
      </c>
      <c r="I36" s="329" t="s">
        <v>18</v>
      </c>
      <c r="J36" s="358" t="s">
        <v>88</v>
      </c>
      <c r="K36" s="359">
        <v>765211</v>
      </c>
      <c r="L36" s="331" t="s">
        <v>19</v>
      </c>
      <c r="M36" s="360">
        <v>45292</v>
      </c>
      <c r="N36" s="360">
        <v>46387</v>
      </c>
      <c r="O36" s="331" t="s">
        <v>1078</v>
      </c>
      <c r="P36" s="331" t="s">
        <v>1079</v>
      </c>
      <c r="Q36" s="362" t="str">
        <f>UPPER(P36:P174)</f>
        <v>MANFREDO SAHB CARCUTE/FELIPE DE ANDRADE MOURA/ GRAZIELA DE CASSIA CAPRARA</v>
      </c>
      <c r="R36" s="331" t="str">
        <f>UPPER(Q36:Q170)</f>
        <v>MANFREDO SAHB CARCUTE/FELIPE DE ANDRADE MOURA/ GRAZIELA DE CASSIA CAPRARA</v>
      </c>
      <c r="S36" s="331" t="s">
        <v>296</v>
      </c>
      <c r="T36" s="344">
        <v>45656</v>
      </c>
      <c r="U36" s="331" t="s">
        <v>308</v>
      </c>
      <c r="V36" s="331" t="s">
        <v>368</v>
      </c>
      <c r="W36" s="331" t="s">
        <v>296</v>
      </c>
      <c r="X36" s="332">
        <v>45656</v>
      </c>
    </row>
    <row r="37" spans="1:24" s="326" customFormat="1" ht="35.1" hidden="1" customHeight="1" x14ac:dyDescent="0.25">
      <c r="A37" s="329">
        <v>4600058154</v>
      </c>
      <c r="B37" s="329" t="s">
        <v>70</v>
      </c>
      <c r="C37" s="329">
        <v>3035932</v>
      </c>
      <c r="D37" s="329" t="s">
        <v>1880</v>
      </c>
      <c r="E37" s="329">
        <v>30</v>
      </c>
      <c r="F37" s="437" t="s">
        <v>1575</v>
      </c>
      <c r="G37" s="437" t="s">
        <v>1575</v>
      </c>
      <c r="H37" s="329" t="s">
        <v>709</v>
      </c>
      <c r="I37" s="329" t="s">
        <v>18</v>
      </c>
      <c r="J37" s="358" t="s">
        <v>71</v>
      </c>
      <c r="K37" s="340">
        <v>2456474.79</v>
      </c>
      <c r="L37" s="329" t="s">
        <v>19</v>
      </c>
      <c r="M37" s="360">
        <v>45443</v>
      </c>
      <c r="N37" s="360">
        <v>46172</v>
      </c>
      <c r="O37" s="331" t="s">
        <v>208</v>
      </c>
      <c r="P37" s="331" t="s">
        <v>876</v>
      </c>
      <c r="Q37" s="362" t="str">
        <f>UPPER(P37:P177)</f>
        <v xml:space="preserve">GLAUBER HENRIQUE DOS SANTOS </v>
      </c>
      <c r="R37" s="331" t="str">
        <f>UPPER(Q37:Q173)</f>
        <v xml:space="preserve">GLAUBER HENRIQUE DOS SANTOS </v>
      </c>
      <c r="S37" s="331"/>
      <c r="T37" s="331" t="s">
        <v>353</v>
      </c>
      <c r="U37" s="331" t="s">
        <v>354</v>
      </c>
      <c r="V37" s="331" t="s">
        <v>352</v>
      </c>
      <c r="W37" s="331" t="s">
        <v>593</v>
      </c>
      <c r="X37" s="330"/>
    </row>
    <row r="38" spans="1:24" s="326" customFormat="1" ht="35.1" hidden="1" customHeight="1" x14ac:dyDescent="0.25">
      <c r="A38" s="329">
        <v>4600058160</v>
      </c>
      <c r="B38" s="329" t="s">
        <v>44</v>
      </c>
      <c r="C38" s="329">
        <v>106872</v>
      </c>
      <c r="D38" s="329" t="s">
        <v>1879</v>
      </c>
      <c r="E38" s="329">
        <v>60</v>
      </c>
      <c r="F38" s="437" t="s">
        <v>1575</v>
      </c>
      <c r="G38" s="437" t="s">
        <v>1575</v>
      </c>
      <c r="H38" s="329" t="s">
        <v>709</v>
      </c>
      <c r="I38" s="329" t="s">
        <v>18</v>
      </c>
      <c r="J38" s="358" t="s">
        <v>54</v>
      </c>
      <c r="K38" s="359">
        <v>79198.5</v>
      </c>
      <c r="L38" s="329" t="s">
        <v>19</v>
      </c>
      <c r="M38" s="360">
        <v>45446</v>
      </c>
      <c r="N38" s="449">
        <v>45784</v>
      </c>
      <c r="O38" s="331" t="s">
        <v>29</v>
      </c>
      <c r="P38" s="331" t="s">
        <v>30</v>
      </c>
      <c r="Q38" s="362" t="str">
        <f>UPPER(P38:P178)</f>
        <v>MANFREDO SAHB CARCUTE</v>
      </c>
      <c r="R38" s="331" t="str">
        <f>UPPER(Q38:Q174)</f>
        <v>MANFREDO SAHB CARCUTE</v>
      </c>
      <c r="S38" s="331" t="s">
        <v>329</v>
      </c>
      <c r="T38" s="331" t="s">
        <v>328</v>
      </c>
      <c r="U38" s="331" t="s">
        <v>308</v>
      </c>
      <c r="V38" s="331" t="s">
        <v>327</v>
      </c>
      <c r="W38" s="331"/>
      <c r="X38" s="330"/>
    </row>
    <row r="39" spans="1:24" s="326" customFormat="1" ht="35.1" hidden="1" customHeight="1" x14ac:dyDescent="0.25">
      <c r="A39" s="329">
        <v>4600058252</v>
      </c>
      <c r="B39" s="329" t="s">
        <v>1723</v>
      </c>
      <c r="C39" s="329">
        <v>3045223</v>
      </c>
      <c r="D39" s="329" t="s">
        <v>1879</v>
      </c>
      <c r="E39" s="329">
        <v>1</v>
      </c>
      <c r="F39" s="437" t="s">
        <v>1575</v>
      </c>
      <c r="G39" s="437" t="s">
        <v>1575</v>
      </c>
      <c r="H39" s="331" t="s">
        <v>709</v>
      </c>
      <c r="I39" s="331" t="s">
        <v>18</v>
      </c>
      <c r="J39" s="331" t="s">
        <v>1931</v>
      </c>
      <c r="K39" s="340">
        <v>0.01</v>
      </c>
      <c r="L39" s="331" t="s">
        <v>19</v>
      </c>
      <c r="M39" s="360">
        <v>45386</v>
      </c>
      <c r="N39" s="360">
        <v>46115</v>
      </c>
      <c r="O39" s="331" t="s">
        <v>142</v>
      </c>
      <c r="P39" s="331" t="s">
        <v>143</v>
      </c>
      <c r="Q39" s="362" t="str">
        <f>UPPER(P39:P183)</f>
        <v>LUCIANA DE OLIVEIRA CARMO</v>
      </c>
      <c r="R39" s="331" t="str">
        <f>UPPER(Q39:Q179)</f>
        <v>LUCIANA DE OLIVEIRA CARMO</v>
      </c>
      <c r="S39" s="331"/>
      <c r="T39" s="331"/>
      <c r="U39" s="331"/>
      <c r="V39" s="331"/>
      <c r="W39" s="331"/>
      <c r="X39" s="330"/>
    </row>
    <row r="40" spans="1:24" s="326" customFormat="1" ht="35.1" hidden="1" customHeight="1" x14ac:dyDescent="0.25">
      <c r="A40" s="329">
        <v>4600058239</v>
      </c>
      <c r="B40" s="329" t="s">
        <v>237</v>
      </c>
      <c r="C40" s="329">
        <v>146625</v>
      </c>
      <c r="D40" s="329" t="s">
        <v>1880</v>
      </c>
      <c r="E40" s="329">
        <v>1</v>
      </c>
      <c r="F40" s="437" t="s">
        <v>1575</v>
      </c>
      <c r="G40" s="437" t="s">
        <v>1575</v>
      </c>
      <c r="H40" s="329" t="s">
        <v>709</v>
      </c>
      <c r="I40" s="331" t="s">
        <v>18</v>
      </c>
      <c r="J40" s="331" t="s">
        <v>236</v>
      </c>
      <c r="K40" s="340">
        <v>35650</v>
      </c>
      <c r="L40" s="331" t="s">
        <v>19</v>
      </c>
      <c r="M40" s="344">
        <v>45149</v>
      </c>
      <c r="N40" s="360">
        <v>46244</v>
      </c>
      <c r="O40" s="331" t="s">
        <v>152</v>
      </c>
      <c r="P40" s="331" t="s">
        <v>30</v>
      </c>
      <c r="Q40" s="362" t="str">
        <f>UPPER(P40:P185)</f>
        <v>MANFREDO SAHB CARCUTE</v>
      </c>
      <c r="R40" s="331" t="str">
        <f>UPPER(Q40:Q181)</f>
        <v>MANFREDO SAHB CARCUTE</v>
      </c>
      <c r="S40" s="331" t="s">
        <v>638</v>
      </c>
      <c r="T40" s="331" t="s">
        <v>505</v>
      </c>
      <c r="U40" s="331" t="s">
        <v>506</v>
      </c>
      <c r="V40" s="367" t="s">
        <v>639</v>
      </c>
      <c r="W40" s="331"/>
      <c r="X40" s="332">
        <v>45299</v>
      </c>
    </row>
    <row r="41" spans="1:24" s="326" customFormat="1" ht="35.1" hidden="1" customHeight="1" x14ac:dyDescent="0.25">
      <c r="A41" s="329">
        <v>4600057701</v>
      </c>
      <c r="B41" s="329" t="s">
        <v>214</v>
      </c>
      <c r="C41" s="329">
        <v>3044363</v>
      </c>
      <c r="D41" s="329" t="s">
        <v>1880</v>
      </c>
      <c r="E41" s="329">
        <v>45</v>
      </c>
      <c r="F41" s="437" t="s">
        <v>1575</v>
      </c>
      <c r="G41" s="437" t="s">
        <v>1575</v>
      </c>
      <c r="H41" s="329" t="s">
        <v>710</v>
      </c>
      <c r="I41" s="329" t="s">
        <v>18</v>
      </c>
      <c r="J41" s="331" t="s">
        <v>1933</v>
      </c>
      <c r="K41" s="340">
        <v>700000</v>
      </c>
      <c r="L41" s="331" t="s">
        <v>19</v>
      </c>
      <c r="M41" s="344">
        <v>45237</v>
      </c>
      <c r="N41" s="360">
        <v>46334</v>
      </c>
      <c r="O41" s="331" t="s">
        <v>22</v>
      </c>
      <c r="P41" s="331" t="s">
        <v>204</v>
      </c>
      <c r="Q41" s="362" t="str">
        <f>UPPER(P41:P189)</f>
        <v>PEDRO ANTONIO PERIASSU</v>
      </c>
      <c r="R41" s="331" t="str">
        <f>UPPER(Q41:Q185)</f>
        <v>PEDRO ANTONIO PERIASSU</v>
      </c>
      <c r="S41" s="331"/>
      <c r="T41" s="331" t="s">
        <v>468</v>
      </c>
      <c r="U41" s="331" t="s">
        <v>468</v>
      </c>
      <c r="V41" s="331" t="s">
        <v>467</v>
      </c>
      <c r="W41" s="331"/>
      <c r="X41" s="330"/>
    </row>
    <row r="42" spans="1:24" s="326" customFormat="1" ht="35.1" hidden="1" customHeight="1" x14ac:dyDescent="0.25">
      <c r="A42" s="329">
        <v>4600058132</v>
      </c>
      <c r="B42" s="329" t="s">
        <v>50</v>
      </c>
      <c r="C42" s="329">
        <v>1018338</v>
      </c>
      <c r="D42" s="329" t="s">
        <v>1879</v>
      </c>
      <c r="E42" s="329">
        <v>45</v>
      </c>
      <c r="F42" s="437" t="s">
        <v>1575</v>
      </c>
      <c r="G42" s="437" t="s">
        <v>1575</v>
      </c>
      <c r="H42" s="335" t="s">
        <v>709</v>
      </c>
      <c r="I42" s="335" t="s">
        <v>18</v>
      </c>
      <c r="J42" s="368" t="s">
        <v>51</v>
      </c>
      <c r="K42" s="369">
        <v>542464</v>
      </c>
      <c r="L42" s="335" t="s">
        <v>19</v>
      </c>
      <c r="M42" s="370">
        <v>42979</v>
      </c>
      <c r="N42" s="360">
        <v>46053</v>
      </c>
      <c r="O42" s="335" t="s">
        <v>29</v>
      </c>
      <c r="P42" s="331" t="s">
        <v>30</v>
      </c>
      <c r="Q42" s="362" t="str">
        <f>UPPER(P42:P191)</f>
        <v>MANFREDO SAHB CARCUTE</v>
      </c>
      <c r="R42" s="331" t="str">
        <f>UPPER(Q42:Q187)</f>
        <v>MANFREDO SAHB CARCUTE</v>
      </c>
      <c r="S42" s="335" t="s">
        <v>350</v>
      </c>
      <c r="T42" s="335" t="s">
        <v>326</v>
      </c>
      <c r="U42" s="335" t="s">
        <v>308</v>
      </c>
      <c r="V42" s="335" t="s">
        <v>325</v>
      </c>
      <c r="W42" s="335" t="s">
        <v>565</v>
      </c>
      <c r="X42" s="333"/>
    </row>
    <row r="43" spans="1:24" s="326" customFormat="1" ht="35.1" hidden="1" customHeight="1" x14ac:dyDescent="0.25">
      <c r="A43" s="329">
        <v>4600058125</v>
      </c>
      <c r="B43" s="329" t="s">
        <v>1035</v>
      </c>
      <c r="C43" s="329">
        <v>168322</v>
      </c>
      <c r="D43" s="329" t="s">
        <v>1881</v>
      </c>
      <c r="E43" s="329">
        <v>10</v>
      </c>
      <c r="F43" s="437" t="s">
        <v>1575</v>
      </c>
      <c r="G43" s="437" t="s">
        <v>1575</v>
      </c>
      <c r="H43" s="335" t="s">
        <v>709</v>
      </c>
      <c r="I43" s="335" t="s">
        <v>18</v>
      </c>
      <c r="J43" s="368" t="s">
        <v>109</v>
      </c>
      <c r="K43" s="369">
        <v>1821000.69</v>
      </c>
      <c r="L43" s="335" t="s">
        <v>19</v>
      </c>
      <c r="M43" s="370">
        <v>44708</v>
      </c>
      <c r="N43" s="360">
        <v>46387</v>
      </c>
      <c r="O43" s="335" t="s">
        <v>29</v>
      </c>
      <c r="P43" s="331" t="s">
        <v>30</v>
      </c>
      <c r="Q43" s="362" t="str">
        <f>UPPER(P43:P193)</f>
        <v>MANFREDO SAHB CARCUTE</v>
      </c>
      <c r="R43" s="331" t="str">
        <f>UPPER(Q43:Q189)</f>
        <v>MANFREDO SAHB CARCUTE</v>
      </c>
      <c r="S43" s="335" t="s">
        <v>1036</v>
      </c>
      <c r="T43" s="335" t="s">
        <v>1037</v>
      </c>
      <c r="U43" s="335" t="s">
        <v>308</v>
      </c>
      <c r="V43" s="375" t="s">
        <v>1038</v>
      </c>
      <c r="W43" s="335"/>
      <c r="X43" s="336">
        <v>45674</v>
      </c>
    </row>
    <row r="44" spans="1:24" s="326" customFormat="1" ht="35.1" hidden="1" customHeight="1" x14ac:dyDescent="0.25">
      <c r="A44" s="329">
        <v>4600057874</v>
      </c>
      <c r="B44" s="329" t="s">
        <v>253</v>
      </c>
      <c r="C44" s="329">
        <v>141965</v>
      </c>
      <c r="D44" s="329" t="s">
        <v>1881</v>
      </c>
      <c r="E44" s="329">
        <v>30</v>
      </c>
      <c r="F44" s="437" t="s">
        <v>1575</v>
      </c>
      <c r="G44" s="437" t="s">
        <v>1575</v>
      </c>
      <c r="H44" s="335" t="s">
        <v>709</v>
      </c>
      <c r="I44" s="335" t="s">
        <v>18</v>
      </c>
      <c r="J44" s="335" t="s">
        <v>1935</v>
      </c>
      <c r="K44" s="369">
        <v>400000</v>
      </c>
      <c r="L44" s="335" t="s">
        <v>19</v>
      </c>
      <c r="M44" s="370">
        <v>44970</v>
      </c>
      <c r="N44" s="360">
        <v>46066</v>
      </c>
      <c r="O44" s="335" t="s">
        <v>259</v>
      </c>
      <c r="P44" s="331" t="s">
        <v>255</v>
      </c>
      <c r="Q44" s="362" t="str">
        <f>UPPER(P44:P195)</f>
        <v>RENATA BARREIRA DE OLIM GUISELLI</v>
      </c>
      <c r="R44" s="331" t="str">
        <f>UPPER(Q44:Q191)</f>
        <v>RENATA BARREIRA DE OLIM GUISELLI</v>
      </c>
      <c r="S44" s="335" t="s">
        <v>1064</v>
      </c>
      <c r="T44" s="335" t="s">
        <v>520</v>
      </c>
      <c r="U44" s="335" t="s">
        <v>521</v>
      </c>
      <c r="V44" s="375" t="s">
        <v>1065</v>
      </c>
      <c r="W44" s="375" t="s">
        <v>1066</v>
      </c>
      <c r="X44" s="337" t="s">
        <v>1069</v>
      </c>
    </row>
    <row r="45" spans="1:24" s="326" customFormat="1" ht="35.1" hidden="1" customHeight="1" x14ac:dyDescent="0.25">
      <c r="A45" s="329">
        <v>4600057908</v>
      </c>
      <c r="B45" s="329" t="s">
        <v>717</v>
      </c>
      <c r="C45" s="329">
        <v>3045179</v>
      </c>
      <c r="D45" s="329" t="s">
        <v>1879</v>
      </c>
      <c r="E45" s="329">
        <v>60</v>
      </c>
      <c r="F45" s="437" t="s">
        <v>1575</v>
      </c>
      <c r="G45" s="437" t="s">
        <v>1575</v>
      </c>
      <c r="H45" s="329" t="s">
        <v>710</v>
      </c>
      <c r="I45" s="331" t="s">
        <v>18</v>
      </c>
      <c r="J45" s="331" t="s">
        <v>1938</v>
      </c>
      <c r="K45" s="340">
        <v>160854</v>
      </c>
      <c r="L45" s="331" t="s">
        <v>19</v>
      </c>
      <c r="M45" s="344">
        <v>45331</v>
      </c>
      <c r="N45" s="360">
        <v>46061</v>
      </c>
      <c r="O45" s="331" t="s">
        <v>22</v>
      </c>
      <c r="P45" s="331" t="s">
        <v>204</v>
      </c>
      <c r="Q45" s="362" t="str">
        <f>UPPER(P45:P198)</f>
        <v>PEDRO ANTONIO PERIASSU</v>
      </c>
      <c r="R45" s="331" t="str">
        <f>UPPER(Q45:Q194)</f>
        <v>PEDRO ANTONIO PERIASSU</v>
      </c>
      <c r="S45" s="331"/>
      <c r="T45" s="331"/>
      <c r="U45" s="331"/>
      <c r="V45" s="331"/>
      <c r="W45" s="331"/>
      <c r="X45" s="330"/>
    </row>
    <row r="46" spans="1:24" s="326" customFormat="1" ht="35.1" hidden="1" customHeight="1" x14ac:dyDescent="0.25">
      <c r="A46" s="329">
        <v>4600058183</v>
      </c>
      <c r="B46" s="329" t="s">
        <v>723</v>
      </c>
      <c r="C46" s="329">
        <v>3045317</v>
      </c>
      <c r="D46" s="329" t="s">
        <v>1879</v>
      </c>
      <c r="E46" s="329">
        <v>120</v>
      </c>
      <c r="F46" s="437" t="s">
        <v>1575</v>
      </c>
      <c r="G46" s="437" t="s">
        <v>1575</v>
      </c>
      <c r="H46" s="331" t="s">
        <v>709</v>
      </c>
      <c r="I46" s="331" t="s">
        <v>18</v>
      </c>
      <c r="J46" s="366" t="s">
        <v>1942</v>
      </c>
      <c r="K46" s="340">
        <v>99360</v>
      </c>
      <c r="L46" s="331" t="s">
        <v>19</v>
      </c>
      <c r="M46" s="344">
        <v>45443</v>
      </c>
      <c r="N46" s="360">
        <v>46172</v>
      </c>
      <c r="O46" s="331" t="s">
        <v>142</v>
      </c>
      <c r="P46" s="331" t="s">
        <v>143</v>
      </c>
      <c r="Q46" s="362" t="str">
        <f>UPPER(P46:P202)</f>
        <v>LUCIANA DE OLIVEIRA CARMO</v>
      </c>
      <c r="R46" s="331" t="str">
        <f>UPPER(Q46:Q198)</f>
        <v>LUCIANA DE OLIVEIRA CARMO</v>
      </c>
      <c r="S46" s="331"/>
      <c r="T46" s="331"/>
      <c r="U46" s="331"/>
      <c r="V46" s="331"/>
      <c r="W46" s="331"/>
      <c r="X46" s="330"/>
    </row>
    <row r="47" spans="1:24" s="326" customFormat="1" ht="35.1" hidden="1" customHeight="1" x14ac:dyDescent="0.25">
      <c r="A47" s="435">
        <v>4600058164</v>
      </c>
      <c r="B47" s="329" t="s">
        <v>733</v>
      </c>
      <c r="C47" s="329">
        <v>3044102</v>
      </c>
      <c r="D47" s="329" t="s">
        <v>1880</v>
      </c>
      <c r="E47" s="329">
        <v>90</v>
      </c>
      <c r="F47" s="437" t="s">
        <v>1575</v>
      </c>
      <c r="G47" s="437" t="s">
        <v>1575</v>
      </c>
      <c r="H47" s="331" t="s">
        <v>709</v>
      </c>
      <c r="I47" s="331" t="s">
        <v>18</v>
      </c>
      <c r="J47" s="331" t="s">
        <v>1943</v>
      </c>
      <c r="K47" s="340">
        <v>81800</v>
      </c>
      <c r="L47" s="331" t="s">
        <v>19</v>
      </c>
      <c r="M47" s="344">
        <v>45483</v>
      </c>
      <c r="N47" s="360">
        <v>46212</v>
      </c>
      <c r="O47" s="331" t="s">
        <v>93</v>
      </c>
      <c r="P47" s="331" t="s">
        <v>212</v>
      </c>
      <c r="Q47" s="362" t="str">
        <f>UPPER(P47:P203)</f>
        <v>FELIPE DE ANDRADE MOURA</v>
      </c>
      <c r="R47" s="331" t="str">
        <f>UPPER(Q47:Q199)</f>
        <v>FELIPE DE ANDRADE MOURA</v>
      </c>
      <c r="S47" s="331" t="s">
        <v>736</v>
      </c>
      <c r="T47" s="331" t="s">
        <v>737</v>
      </c>
      <c r="U47" s="331" t="s">
        <v>735</v>
      </c>
      <c r="V47" s="331" t="s">
        <v>738</v>
      </c>
      <c r="W47" s="331"/>
      <c r="X47" s="330"/>
    </row>
    <row r="48" spans="1:24" s="326" customFormat="1" ht="35.1" customHeight="1" x14ac:dyDescent="0.25">
      <c r="A48" s="329">
        <v>4600055243</v>
      </c>
      <c r="B48" s="329" t="s">
        <v>1724</v>
      </c>
      <c r="C48" s="329">
        <v>115644</v>
      </c>
      <c r="D48" s="329" t="s">
        <v>1881</v>
      </c>
      <c r="E48" s="329">
        <v>20</v>
      </c>
      <c r="F48" s="437" t="s">
        <v>1575</v>
      </c>
      <c r="G48" s="437" t="s">
        <v>1575</v>
      </c>
      <c r="H48" s="335" t="s">
        <v>710</v>
      </c>
      <c r="I48" s="335" t="s">
        <v>18</v>
      </c>
      <c r="J48" s="335" t="s">
        <v>1944</v>
      </c>
      <c r="K48" s="369">
        <v>0.01</v>
      </c>
      <c r="L48" s="335" t="s">
        <v>19</v>
      </c>
      <c r="M48" s="370">
        <v>44621</v>
      </c>
      <c r="N48" s="384">
        <v>45351</v>
      </c>
      <c r="O48" s="335" t="s">
        <v>152</v>
      </c>
      <c r="P48" s="331" t="s">
        <v>30</v>
      </c>
      <c r="Q48" s="362" t="str">
        <f>UPPER(P48:P204)</f>
        <v>MANFREDO SAHB CARCUTE</v>
      </c>
      <c r="R48" s="331" t="str">
        <f>UPPER(Q48:Q200)</f>
        <v>MANFREDO SAHB CARCUTE</v>
      </c>
      <c r="S48" s="335" t="s">
        <v>489</v>
      </c>
      <c r="T48" s="335" t="s">
        <v>488</v>
      </c>
      <c r="U48" s="335" t="s">
        <v>308</v>
      </c>
      <c r="V48" s="335" t="s">
        <v>487</v>
      </c>
      <c r="W48" s="335"/>
      <c r="X48" s="333"/>
    </row>
    <row r="49" spans="1:24" s="326" customFormat="1" ht="35.1" hidden="1" customHeight="1" x14ac:dyDescent="0.25">
      <c r="A49" s="329">
        <v>4600057978</v>
      </c>
      <c r="B49" s="329" t="s">
        <v>743</v>
      </c>
      <c r="C49" s="329">
        <v>127179</v>
      </c>
      <c r="D49" s="329" t="s">
        <v>1881</v>
      </c>
      <c r="E49" s="329">
        <v>1</v>
      </c>
      <c r="F49" s="437" t="s">
        <v>1575</v>
      </c>
      <c r="G49" s="437" t="s">
        <v>1575</v>
      </c>
      <c r="H49" s="331" t="s">
        <v>710</v>
      </c>
      <c r="I49" s="331" t="s">
        <v>18</v>
      </c>
      <c r="J49" s="331" t="s">
        <v>1945</v>
      </c>
      <c r="K49" s="340">
        <v>897888</v>
      </c>
      <c r="L49" s="331" t="s">
        <v>19</v>
      </c>
      <c r="M49" s="344">
        <v>45383</v>
      </c>
      <c r="N49" s="360">
        <v>46295</v>
      </c>
      <c r="O49" s="335" t="s">
        <v>152</v>
      </c>
      <c r="P49" s="331" t="s">
        <v>30</v>
      </c>
      <c r="Q49" s="362" t="str">
        <f>UPPER(P49:P205)</f>
        <v>MANFREDO SAHB CARCUTE</v>
      </c>
      <c r="R49" s="331" t="str">
        <f>UPPER(Q49:Q201)</f>
        <v>MANFREDO SAHB CARCUTE</v>
      </c>
      <c r="S49" s="331"/>
      <c r="T49" s="331"/>
      <c r="U49" s="331"/>
      <c r="V49" s="331"/>
      <c r="W49" s="335"/>
      <c r="X49" s="333"/>
    </row>
    <row r="50" spans="1:24" s="326" customFormat="1" ht="35.1" hidden="1" customHeight="1" x14ac:dyDescent="0.25">
      <c r="A50" s="329">
        <v>4600058366</v>
      </c>
      <c r="B50" s="329" t="s">
        <v>769</v>
      </c>
      <c r="C50" s="329">
        <v>3045876</v>
      </c>
      <c r="D50" s="329" t="s">
        <v>1881</v>
      </c>
      <c r="E50" s="329">
        <v>1</v>
      </c>
      <c r="F50" s="437" t="s">
        <v>1575</v>
      </c>
      <c r="G50" s="437" t="s">
        <v>1575</v>
      </c>
      <c r="H50" s="331" t="s">
        <v>709</v>
      </c>
      <c r="I50" s="331" t="s">
        <v>18</v>
      </c>
      <c r="J50" s="331" t="s">
        <v>1949</v>
      </c>
      <c r="K50" s="340">
        <v>2203800</v>
      </c>
      <c r="L50" s="331" t="s">
        <v>19</v>
      </c>
      <c r="M50" s="344">
        <v>45505</v>
      </c>
      <c r="N50" s="360">
        <v>46234</v>
      </c>
      <c r="O50" s="335" t="s">
        <v>208</v>
      </c>
      <c r="P50" s="331" t="s">
        <v>876</v>
      </c>
      <c r="Q50" s="362" t="str">
        <f>UPPER(P50:P209)</f>
        <v xml:space="preserve">GLAUBER HENRIQUE DOS SANTOS </v>
      </c>
      <c r="R50" s="331" t="str">
        <f>UPPER(Q50:Q205)</f>
        <v xml:space="preserve">GLAUBER HENRIQUE DOS SANTOS </v>
      </c>
      <c r="S50" s="331" t="s">
        <v>765</v>
      </c>
      <c r="T50" s="331" t="s">
        <v>766</v>
      </c>
      <c r="U50" s="331" t="s">
        <v>767</v>
      </c>
      <c r="V50" s="331" t="s">
        <v>768</v>
      </c>
      <c r="W50" s="331" t="s">
        <v>1061</v>
      </c>
      <c r="X50" s="330"/>
    </row>
    <row r="51" spans="1:24" s="326" customFormat="1" ht="35.1" hidden="1" customHeight="1" x14ac:dyDescent="0.25">
      <c r="A51" s="329">
        <v>4600058490</v>
      </c>
      <c r="B51" s="329" t="s">
        <v>788</v>
      </c>
      <c r="C51" s="329" t="s">
        <v>960</v>
      </c>
      <c r="D51" s="329" t="s">
        <v>1881</v>
      </c>
      <c r="E51" s="329">
        <v>1</v>
      </c>
      <c r="F51" s="437" t="s">
        <v>1575</v>
      </c>
      <c r="G51" s="437" t="s">
        <v>1575</v>
      </c>
      <c r="H51" s="331" t="s">
        <v>709</v>
      </c>
      <c r="I51" s="331" t="s">
        <v>18</v>
      </c>
      <c r="J51" s="331" t="s">
        <v>1950</v>
      </c>
      <c r="K51" s="340">
        <v>27000000</v>
      </c>
      <c r="L51" s="331" t="s">
        <v>19</v>
      </c>
      <c r="M51" s="344">
        <v>45597</v>
      </c>
      <c r="N51" s="360">
        <v>46691</v>
      </c>
      <c r="O51" s="335" t="s">
        <v>208</v>
      </c>
      <c r="P51" s="331" t="s">
        <v>876</v>
      </c>
      <c r="Q51" s="362" t="str">
        <f>UPPER(P51:P210)</f>
        <v xml:space="preserve">GLAUBER HENRIQUE DOS SANTOS </v>
      </c>
      <c r="R51" s="331" t="str">
        <f>UPPER(Q51:Q206)</f>
        <v xml:space="preserve">GLAUBER HENRIQUE DOS SANTOS </v>
      </c>
      <c r="S51" s="331" t="s">
        <v>772</v>
      </c>
      <c r="T51" s="331" t="s">
        <v>773</v>
      </c>
      <c r="U51" s="331" t="s">
        <v>774</v>
      </c>
      <c r="V51" s="331" t="s">
        <v>775</v>
      </c>
      <c r="W51" s="331"/>
      <c r="X51" s="330"/>
    </row>
    <row r="52" spans="1:24" s="326" customFormat="1" ht="35.1" hidden="1" customHeight="1" x14ac:dyDescent="0.25">
      <c r="A52" s="329">
        <v>4600058303</v>
      </c>
      <c r="B52" s="329" t="s">
        <v>779</v>
      </c>
      <c r="C52" s="329">
        <v>3043914</v>
      </c>
      <c r="D52" s="329" t="s">
        <v>1881</v>
      </c>
      <c r="E52" s="329">
        <v>45</v>
      </c>
      <c r="F52" s="437" t="s">
        <v>1575</v>
      </c>
      <c r="G52" s="437" t="s">
        <v>1575</v>
      </c>
      <c r="H52" s="331" t="s">
        <v>709</v>
      </c>
      <c r="I52" s="331" t="s">
        <v>18</v>
      </c>
      <c r="J52" s="331" t="s">
        <v>1952</v>
      </c>
      <c r="K52" s="340">
        <v>370680</v>
      </c>
      <c r="L52" s="331" t="s">
        <v>19</v>
      </c>
      <c r="M52" s="344">
        <v>45487</v>
      </c>
      <c r="N52" s="360">
        <v>46219</v>
      </c>
      <c r="O52" s="331" t="s">
        <v>52</v>
      </c>
      <c r="P52" s="331" t="s">
        <v>204</v>
      </c>
      <c r="Q52" s="362" t="str">
        <f>UPPER(P52:P212)</f>
        <v>PEDRO ANTONIO PERIASSU</v>
      </c>
      <c r="R52" s="331" t="str">
        <f>UPPER(Q52:Q208)</f>
        <v>PEDRO ANTONIO PERIASSU</v>
      </c>
      <c r="S52" s="331" t="s">
        <v>781</v>
      </c>
      <c r="T52" s="331" t="s">
        <v>478</v>
      </c>
      <c r="U52" s="331" t="s">
        <v>480</v>
      </c>
      <c r="V52" s="331" t="s">
        <v>477</v>
      </c>
      <c r="W52" s="331"/>
      <c r="X52" s="330"/>
    </row>
    <row r="53" spans="1:24" s="326" customFormat="1" ht="35.1" hidden="1" customHeight="1" x14ac:dyDescent="0.25">
      <c r="A53" s="329">
        <v>4600058493</v>
      </c>
      <c r="B53" s="329" t="s">
        <v>786</v>
      </c>
      <c r="C53" s="329">
        <v>190044</v>
      </c>
      <c r="D53" s="329" t="s">
        <v>1879</v>
      </c>
      <c r="E53" s="329" t="s">
        <v>855</v>
      </c>
      <c r="F53" s="437" t="s">
        <v>1575</v>
      </c>
      <c r="G53" s="437" t="s">
        <v>1575</v>
      </c>
      <c r="H53" s="329" t="s">
        <v>709</v>
      </c>
      <c r="I53" s="340" t="s">
        <v>18</v>
      </c>
      <c r="J53" s="331" t="s">
        <v>1953</v>
      </c>
      <c r="K53" s="340">
        <v>1736908</v>
      </c>
      <c r="L53" s="331" t="s">
        <v>19</v>
      </c>
      <c r="M53" s="360">
        <v>45574</v>
      </c>
      <c r="N53" s="360">
        <v>46940</v>
      </c>
      <c r="O53" s="331" t="s">
        <v>22</v>
      </c>
      <c r="P53" s="331" t="s">
        <v>2019</v>
      </c>
      <c r="Q53" s="362" t="str">
        <f>UPPER(P53:P213)</f>
        <v>PEDRO PERIASSU/ TIAGO GONZALES</v>
      </c>
      <c r="R53" s="331" t="str">
        <f>UPPER(Q53:Q209)</f>
        <v>PEDRO PERIASSU/ TIAGO GONZALES</v>
      </c>
      <c r="S53" s="331" t="s">
        <v>1071</v>
      </c>
      <c r="T53" s="331"/>
      <c r="U53" s="331"/>
      <c r="V53" s="375" t="s">
        <v>1072</v>
      </c>
      <c r="W53" s="331"/>
      <c r="X53" s="330"/>
    </row>
    <row r="54" spans="1:24" s="326" customFormat="1" ht="35.1" hidden="1" customHeight="1" x14ac:dyDescent="0.25">
      <c r="A54" s="329">
        <v>4600058560</v>
      </c>
      <c r="B54" s="329" t="s">
        <v>1039</v>
      </c>
      <c r="C54" s="329" t="s">
        <v>973</v>
      </c>
      <c r="D54" s="329" t="s">
        <v>1881</v>
      </c>
      <c r="E54" s="329" t="s">
        <v>856</v>
      </c>
      <c r="F54" s="437" t="s">
        <v>1575</v>
      </c>
      <c r="G54" s="437" t="s">
        <v>1575</v>
      </c>
      <c r="H54" s="329" t="s">
        <v>709</v>
      </c>
      <c r="I54" s="329" t="s">
        <v>18</v>
      </c>
      <c r="J54" s="358" t="s">
        <v>1954</v>
      </c>
      <c r="K54" s="340">
        <v>505469.7</v>
      </c>
      <c r="L54" s="331" t="s">
        <v>19</v>
      </c>
      <c r="M54" s="360">
        <v>45610</v>
      </c>
      <c r="N54" s="360">
        <v>46304</v>
      </c>
      <c r="O54" s="331" t="s">
        <v>617</v>
      </c>
      <c r="P54" s="331" t="s">
        <v>618</v>
      </c>
      <c r="Q54" s="362" t="str">
        <f>UPPER(P54:P214)</f>
        <v>MANFREDO SAHB CARCUTE/ PEDRO PERIASSU</v>
      </c>
      <c r="R54" s="331" t="str">
        <f>UPPER(Q54:Q210)</f>
        <v>MANFREDO SAHB CARCUTE/ PEDRO PERIASSU</v>
      </c>
      <c r="S54" s="331"/>
      <c r="T54" s="331" t="s">
        <v>442</v>
      </c>
      <c r="U54" s="331" t="s">
        <v>443</v>
      </c>
      <c r="V54" s="331" t="s">
        <v>441</v>
      </c>
      <c r="W54" s="331">
        <v>4600056681</v>
      </c>
      <c r="X54" s="330" t="s">
        <v>832</v>
      </c>
    </row>
    <row r="55" spans="1:24" s="326" customFormat="1" ht="35.1" hidden="1" customHeight="1" x14ac:dyDescent="0.25">
      <c r="A55" s="329">
        <v>4600058466</v>
      </c>
      <c r="B55" s="329" t="s">
        <v>790</v>
      </c>
      <c r="C55" s="329" t="s">
        <v>974</v>
      </c>
      <c r="D55" s="329" t="s">
        <v>1880</v>
      </c>
      <c r="E55" s="329" t="s">
        <v>855</v>
      </c>
      <c r="F55" s="437" t="s">
        <v>1575</v>
      </c>
      <c r="G55" s="437" t="s">
        <v>1575</v>
      </c>
      <c r="H55" s="329" t="s">
        <v>709</v>
      </c>
      <c r="I55" s="329" t="s">
        <v>18</v>
      </c>
      <c r="J55" s="331" t="s">
        <v>1955</v>
      </c>
      <c r="K55" s="340">
        <v>1200000</v>
      </c>
      <c r="L55" s="331" t="s">
        <v>19</v>
      </c>
      <c r="M55" s="360">
        <v>45561</v>
      </c>
      <c r="N55" s="360">
        <v>46295</v>
      </c>
      <c r="O55" s="331" t="s">
        <v>29</v>
      </c>
      <c r="P55" s="331" t="s">
        <v>30</v>
      </c>
      <c r="Q55" s="362" t="str">
        <f>UPPER(P55:P215)</f>
        <v>MANFREDO SAHB CARCUTE</v>
      </c>
      <c r="R55" s="331" t="str">
        <f>UPPER(Q55:Q211)</f>
        <v>MANFREDO SAHB CARCUTE</v>
      </c>
      <c r="S55" s="331"/>
      <c r="T55" s="331"/>
      <c r="U55" s="331"/>
      <c r="V55" s="331"/>
      <c r="W55" s="331"/>
      <c r="X55" s="330"/>
    </row>
    <row r="56" spans="1:24" s="326" customFormat="1" ht="35.1" hidden="1" customHeight="1" x14ac:dyDescent="0.25">
      <c r="A56" s="329">
        <v>4600058221</v>
      </c>
      <c r="B56" s="329" t="s">
        <v>792</v>
      </c>
      <c r="C56" s="329" t="s">
        <v>976</v>
      </c>
      <c r="D56" s="329" t="s">
        <v>1880</v>
      </c>
      <c r="E56" s="329" t="s">
        <v>858</v>
      </c>
      <c r="F56" s="437" t="s">
        <v>1575</v>
      </c>
      <c r="G56" s="437" t="s">
        <v>1575</v>
      </c>
      <c r="H56" s="329" t="s">
        <v>709</v>
      </c>
      <c r="I56" s="340" t="s">
        <v>18</v>
      </c>
      <c r="J56" s="331" t="s">
        <v>1957</v>
      </c>
      <c r="K56" s="340">
        <v>100000</v>
      </c>
      <c r="L56" s="331" t="s">
        <v>19</v>
      </c>
      <c r="M56" s="360">
        <v>45503</v>
      </c>
      <c r="N56" s="360">
        <v>46232</v>
      </c>
      <c r="O56" s="331" t="s">
        <v>93</v>
      </c>
      <c r="P56" s="331" t="s">
        <v>878</v>
      </c>
      <c r="Q56" s="362" t="str">
        <f>UPPER(P56:P217)</f>
        <v>FELIPE DE ANDRADE MOURA/ GRAZIELA DE CASSIA CAPRARA</v>
      </c>
      <c r="R56" s="331" t="str">
        <f>UPPER(Q56:Q213)</f>
        <v>FELIPE DE ANDRADE MOURA/ GRAZIELA DE CASSIA CAPRARA</v>
      </c>
      <c r="S56" s="331"/>
      <c r="T56" s="331"/>
      <c r="U56" s="331"/>
      <c r="V56" s="331"/>
      <c r="W56" s="331"/>
      <c r="X56" s="330"/>
    </row>
    <row r="57" spans="1:24" s="326" customFormat="1" ht="35.1" hidden="1" customHeight="1" x14ac:dyDescent="0.25">
      <c r="A57" s="329">
        <v>4600058323</v>
      </c>
      <c r="B57" s="329" t="s">
        <v>793</v>
      </c>
      <c r="C57" s="329">
        <v>3043657</v>
      </c>
      <c r="D57" s="329" t="s">
        <v>1880</v>
      </c>
      <c r="E57" s="329" t="s">
        <v>857</v>
      </c>
      <c r="F57" s="437" t="s">
        <v>1575</v>
      </c>
      <c r="G57" s="437" t="s">
        <v>1575</v>
      </c>
      <c r="H57" s="329" t="s">
        <v>709</v>
      </c>
      <c r="I57" s="340" t="s">
        <v>18</v>
      </c>
      <c r="J57" s="331" t="s">
        <v>1958</v>
      </c>
      <c r="K57" s="340">
        <v>2654.16</v>
      </c>
      <c r="L57" s="331" t="s">
        <v>19</v>
      </c>
      <c r="M57" s="360">
        <v>45518</v>
      </c>
      <c r="N57" s="449">
        <v>46199</v>
      </c>
      <c r="O57" s="331" t="s">
        <v>93</v>
      </c>
      <c r="P57" s="331" t="s">
        <v>878</v>
      </c>
      <c r="Q57" s="362" t="str">
        <f>UPPER(P57:P218)</f>
        <v>FELIPE DE ANDRADE MOURA/ GRAZIELA DE CASSIA CAPRARA</v>
      </c>
      <c r="R57" s="331" t="str">
        <f>UPPER(Q57:Q214)</f>
        <v>FELIPE DE ANDRADE MOURA/ GRAZIELA DE CASSIA CAPRARA</v>
      </c>
      <c r="S57" s="331" t="s">
        <v>978</v>
      </c>
      <c r="T57" s="331"/>
      <c r="U57" s="331"/>
      <c r="V57" s="331"/>
      <c r="W57" s="331"/>
      <c r="X57" s="330"/>
    </row>
    <row r="58" spans="1:24" s="326" customFormat="1" ht="35.1" hidden="1" customHeight="1" x14ac:dyDescent="0.25">
      <c r="A58" s="329">
        <v>4600058477</v>
      </c>
      <c r="B58" s="329" t="s">
        <v>796</v>
      </c>
      <c r="C58" s="329" t="s">
        <v>982</v>
      </c>
      <c r="D58" s="329" t="s">
        <v>1880</v>
      </c>
      <c r="E58" s="329" t="s">
        <v>855</v>
      </c>
      <c r="F58" s="437" t="s">
        <v>1575</v>
      </c>
      <c r="G58" s="437" t="s">
        <v>1575</v>
      </c>
      <c r="H58" s="329" t="s">
        <v>709</v>
      </c>
      <c r="I58" s="340" t="s">
        <v>18</v>
      </c>
      <c r="J58" s="331" t="s">
        <v>1955</v>
      </c>
      <c r="K58" s="340">
        <v>1200000</v>
      </c>
      <c r="L58" s="331" t="s">
        <v>19</v>
      </c>
      <c r="M58" s="360">
        <v>45568</v>
      </c>
      <c r="N58" s="360">
        <v>46297</v>
      </c>
      <c r="O58" s="331" t="s">
        <v>29</v>
      </c>
      <c r="P58" s="331" t="s">
        <v>30</v>
      </c>
      <c r="Q58" s="362" t="str">
        <f>UPPER(P58:P219)</f>
        <v>MANFREDO SAHB CARCUTE</v>
      </c>
      <c r="R58" s="331" t="str">
        <f>UPPER(Q58:Q215)</f>
        <v>MANFREDO SAHB CARCUTE</v>
      </c>
      <c r="S58" s="331"/>
      <c r="T58" s="331"/>
      <c r="U58" s="331"/>
      <c r="V58" s="331"/>
      <c r="W58" s="331"/>
      <c r="X58" s="330"/>
    </row>
    <row r="59" spans="1:24" s="326" customFormat="1" ht="35.1" hidden="1" customHeight="1" x14ac:dyDescent="0.25">
      <c r="A59" s="329" t="s">
        <v>819</v>
      </c>
      <c r="B59" s="329" t="s">
        <v>140</v>
      </c>
      <c r="C59" s="329" t="s">
        <v>985</v>
      </c>
      <c r="D59" s="329" t="s">
        <v>1880</v>
      </c>
      <c r="E59" s="329" t="s">
        <v>855</v>
      </c>
      <c r="F59" s="437" t="s">
        <v>1575</v>
      </c>
      <c r="G59" s="437" t="s">
        <v>1575</v>
      </c>
      <c r="H59" s="329" t="s">
        <v>709</v>
      </c>
      <c r="I59" s="340" t="s">
        <v>18</v>
      </c>
      <c r="J59" s="358" t="s">
        <v>141</v>
      </c>
      <c r="K59" s="340">
        <v>120000</v>
      </c>
      <c r="L59" s="331" t="s">
        <v>19</v>
      </c>
      <c r="M59" s="360">
        <v>45515</v>
      </c>
      <c r="N59" s="360">
        <v>46244</v>
      </c>
      <c r="O59" s="331" t="s">
        <v>142</v>
      </c>
      <c r="P59" s="331" t="s">
        <v>143</v>
      </c>
      <c r="Q59" s="362" t="str">
        <f>UPPER(P59:P220)</f>
        <v>LUCIANA DE OLIVEIRA CARMO</v>
      </c>
      <c r="R59" s="331" t="str">
        <f>UPPER(Q59:Q216)</f>
        <v>LUCIANA DE OLIVEIRA CARMO</v>
      </c>
      <c r="S59" s="331" t="s">
        <v>417</v>
      </c>
      <c r="T59" s="331" t="s">
        <v>415</v>
      </c>
      <c r="U59" s="331" t="s">
        <v>308</v>
      </c>
      <c r="V59" s="331" t="s">
        <v>414</v>
      </c>
      <c r="W59" s="331"/>
      <c r="X59" s="330"/>
    </row>
    <row r="60" spans="1:24" s="326" customFormat="1" ht="35.1" hidden="1" customHeight="1" x14ac:dyDescent="0.25">
      <c r="A60" s="329">
        <v>4600058404</v>
      </c>
      <c r="B60" s="329" t="s">
        <v>798</v>
      </c>
      <c r="C60" s="329" t="s">
        <v>987</v>
      </c>
      <c r="D60" s="329" t="s">
        <v>1880</v>
      </c>
      <c r="E60" s="329" t="s">
        <v>855</v>
      </c>
      <c r="F60" s="437" t="s">
        <v>1575</v>
      </c>
      <c r="G60" s="437" t="s">
        <v>1575</v>
      </c>
      <c r="H60" s="329" t="s">
        <v>709</v>
      </c>
      <c r="I60" s="340" t="s">
        <v>18</v>
      </c>
      <c r="J60" s="331" t="s">
        <v>1960</v>
      </c>
      <c r="K60" s="340">
        <v>219979.2</v>
      </c>
      <c r="L60" s="331" t="s">
        <v>19</v>
      </c>
      <c r="M60" s="360">
        <v>45555</v>
      </c>
      <c r="N60" s="449">
        <v>45919</v>
      </c>
      <c r="O60" s="331" t="s">
        <v>208</v>
      </c>
      <c r="P60" s="331" t="s">
        <v>876</v>
      </c>
      <c r="Q60" s="362" t="str">
        <f>UPPER(P60:P222)</f>
        <v xml:space="preserve">GLAUBER HENRIQUE DOS SANTOS </v>
      </c>
      <c r="R60" s="331" t="str">
        <f>UPPER(Q60:Q218)</f>
        <v xml:space="preserve">GLAUBER HENRIQUE DOS SANTOS </v>
      </c>
      <c r="S60" s="331"/>
      <c r="T60" s="331"/>
      <c r="U60" s="331"/>
      <c r="V60" s="331"/>
      <c r="W60" s="331"/>
      <c r="X60" s="330"/>
    </row>
    <row r="61" spans="1:24" s="326" customFormat="1" ht="35.1" hidden="1" customHeight="1" x14ac:dyDescent="0.25">
      <c r="A61" s="329">
        <v>4600058408</v>
      </c>
      <c r="B61" s="329" t="s">
        <v>799</v>
      </c>
      <c r="C61" s="329">
        <v>3046134</v>
      </c>
      <c r="D61" s="329" t="s">
        <v>1880</v>
      </c>
      <c r="E61" s="329" t="s">
        <v>854</v>
      </c>
      <c r="F61" s="437" t="s">
        <v>1575</v>
      </c>
      <c r="G61" s="437" t="s">
        <v>1575</v>
      </c>
      <c r="H61" s="329" t="s">
        <v>709</v>
      </c>
      <c r="I61" s="340" t="s">
        <v>18</v>
      </c>
      <c r="J61" s="331" t="s">
        <v>1961</v>
      </c>
      <c r="K61" s="340">
        <v>960000</v>
      </c>
      <c r="L61" s="331" t="s">
        <v>19</v>
      </c>
      <c r="M61" s="360">
        <v>45547</v>
      </c>
      <c r="N61" s="360">
        <v>46290</v>
      </c>
      <c r="O61" s="331" t="s">
        <v>135</v>
      </c>
      <c r="P61" s="331" t="s">
        <v>136</v>
      </c>
      <c r="Q61" s="362" t="str">
        <f>UPPER(P61:P223)</f>
        <v>CARLOS EDUARDO FUHR</v>
      </c>
      <c r="R61" s="331" t="str">
        <f>UPPER(Q61:Q219)</f>
        <v>CARLOS EDUARDO FUHR</v>
      </c>
      <c r="S61" s="331"/>
      <c r="T61" s="331"/>
      <c r="U61" s="331"/>
      <c r="V61" s="331"/>
      <c r="W61" s="331"/>
      <c r="X61" s="330"/>
    </row>
    <row r="62" spans="1:24" s="326" customFormat="1" ht="35.1" hidden="1" customHeight="1" x14ac:dyDescent="0.25">
      <c r="A62" s="329">
        <v>4600058465</v>
      </c>
      <c r="B62" s="329" t="s">
        <v>800</v>
      </c>
      <c r="C62" s="329" t="s">
        <v>991</v>
      </c>
      <c r="D62" s="329" t="s">
        <v>1880</v>
      </c>
      <c r="E62" s="329" t="s">
        <v>855</v>
      </c>
      <c r="F62" s="437" t="s">
        <v>1575</v>
      </c>
      <c r="G62" s="437" t="s">
        <v>1575</v>
      </c>
      <c r="H62" s="329" t="s">
        <v>709</v>
      </c>
      <c r="I62" s="340" t="s">
        <v>18</v>
      </c>
      <c r="J62" s="331" t="s">
        <v>1962</v>
      </c>
      <c r="K62" s="340">
        <v>130000</v>
      </c>
      <c r="L62" s="331" t="s">
        <v>19</v>
      </c>
      <c r="M62" s="360">
        <v>45593</v>
      </c>
      <c r="N62" s="360">
        <v>46322</v>
      </c>
      <c r="O62" s="331" t="s">
        <v>208</v>
      </c>
      <c r="P62" s="331" t="s">
        <v>876</v>
      </c>
      <c r="Q62" s="362" t="str">
        <f>UPPER(P62:P224)</f>
        <v xml:space="preserve">GLAUBER HENRIQUE DOS SANTOS </v>
      </c>
      <c r="R62" s="331" t="str">
        <f>UPPER(Q62:Q220)</f>
        <v xml:space="preserve">GLAUBER HENRIQUE DOS SANTOS </v>
      </c>
      <c r="S62" s="331"/>
      <c r="T62" s="331"/>
      <c r="U62" s="331"/>
      <c r="V62" s="331"/>
      <c r="W62" s="331"/>
      <c r="X62" s="330"/>
    </row>
    <row r="63" spans="1:24" s="326" customFormat="1" ht="35.1" hidden="1" customHeight="1" x14ac:dyDescent="0.25">
      <c r="A63" s="329">
        <v>4600058310</v>
      </c>
      <c r="B63" s="329" t="s">
        <v>801</v>
      </c>
      <c r="C63" s="329" t="s">
        <v>993</v>
      </c>
      <c r="D63" s="329" t="s">
        <v>1880</v>
      </c>
      <c r="E63" s="329" t="s">
        <v>856</v>
      </c>
      <c r="F63" s="437" t="s">
        <v>1575</v>
      </c>
      <c r="G63" s="437" t="s">
        <v>1575</v>
      </c>
      <c r="H63" s="329" t="s">
        <v>709</v>
      </c>
      <c r="I63" s="340" t="s">
        <v>18</v>
      </c>
      <c r="J63" s="358" t="s">
        <v>1963</v>
      </c>
      <c r="K63" s="340">
        <v>15170.4</v>
      </c>
      <c r="L63" s="331" t="s">
        <v>19</v>
      </c>
      <c r="M63" s="360">
        <v>45527</v>
      </c>
      <c r="N63" s="360">
        <v>46241</v>
      </c>
      <c r="O63" s="331" t="s">
        <v>135</v>
      </c>
      <c r="P63" s="331" t="s">
        <v>281</v>
      </c>
      <c r="Q63" s="362" t="str">
        <f>UPPER(P63:P225)</f>
        <v>TATIANA MARILDA DA SILVA DE LYRA</v>
      </c>
      <c r="R63" s="331" t="str">
        <f>UPPER(Q63:Q221)</f>
        <v>TATIANA MARILDA DA SILVA DE LYRA</v>
      </c>
      <c r="S63" s="331"/>
      <c r="T63" s="331" t="s">
        <v>409</v>
      </c>
      <c r="U63" s="331" t="s">
        <v>410</v>
      </c>
      <c r="V63" s="331" t="s">
        <v>408</v>
      </c>
      <c r="W63" s="331"/>
      <c r="X63" s="330"/>
    </row>
    <row r="64" spans="1:24" s="326" customFormat="1" ht="35.1" hidden="1" customHeight="1" x14ac:dyDescent="0.25">
      <c r="A64" s="329" t="s">
        <v>821</v>
      </c>
      <c r="B64" s="329" t="s">
        <v>802</v>
      </c>
      <c r="C64" s="329" t="s">
        <v>994</v>
      </c>
      <c r="D64" s="329" t="s">
        <v>1880</v>
      </c>
      <c r="E64" s="329" t="s">
        <v>855</v>
      </c>
      <c r="F64" s="437" t="s">
        <v>1575</v>
      </c>
      <c r="G64" s="437" t="s">
        <v>1575</v>
      </c>
      <c r="H64" s="329" t="s">
        <v>709</v>
      </c>
      <c r="I64" s="340" t="s">
        <v>18</v>
      </c>
      <c r="J64" s="331" t="s">
        <v>1955</v>
      </c>
      <c r="K64" s="340">
        <v>1200000</v>
      </c>
      <c r="L64" s="331" t="s">
        <v>19</v>
      </c>
      <c r="M64" s="360">
        <v>45572</v>
      </c>
      <c r="N64" s="360">
        <v>46301</v>
      </c>
      <c r="O64" s="331" t="s">
        <v>152</v>
      </c>
      <c r="P64" s="331" t="s">
        <v>30</v>
      </c>
      <c r="Q64" s="362" t="str">
        <f>UPPER(P64:P226)</f>
        <v>MANFREDO SAHB CARCUTE</v>
      </c>
      <c r="R64" s="331" t="str">
        <f>UPPER(Q64:Q222)</f>
        <v>MANFREDO SAHB CARCUTE</v>
      </c>
      <c r="S64" s="331"/>
      <c r="T64" s="331"/>
      <c r="U64" s="331"/>
      <c r="V64" s="331"/>
      <c r="W64" s="331"/>
      <c r="X64" s="330"/>
    </row>
    <row r="65" spans="1:24" s="326" customFormat="1" ht="35.1" hidden="1" customHeight="1" x14ac:dyDescent="0.25">
      <c r="A65" s="329">
        <v>4600058340</v>
      </c>
      <c r="B65" s="329" t="s">
        <v>806</v>
      </c>
      <c r="C65" s="329" t="s">
        <v>1001</v>
      </c>
      <c r="D65" s="329" t="s">
        <v>1880</v>
      </c>
      <c r="E65" s="329" t="s">
        <v>855</v>
      </c>
      <c r="F65" s="437" t="s">
        <v>1575</v>
      </c>
      <c r="G65" s="437" t="s">
        <v>1575</v>
      </c>
      <c r="H65" s="329" t="s">
        <v>709</v>
      </c>
      <c r="I65" s="340" t="s">
        <v>18</v>
      </c>
      <c r="J65" s="331" t="s">
        <v>1966</v>
      </c>
      <c r="K65" s="340">
        <v>200000</v>
      </c>
      <c r="L65" s="331" t="s">
        <v>19</v>
      </c>
      <c r="M65" s="360">
        <v>45532</v>
      </c>
      <c r="N65" s="360">
        <v>46261</v>
      </c>
      <c r="O65" s="331" t="s">
        <v>93</v>
      </c>
      <c r="P65" s="331" t="s">
        <v>878</v>
      </c>
      <c r="Q65" s="362" t="str">
        <f>UPPER(P65:P229)</f>
        <v>FELIPE DE ANDRADE MOURA/ GRAZIELA DE CASSIA CAPRARA</v>
      </c>
      <c r="R65" s="331" t="str">
        <f>UPPER(Q65:Q225)</f>
        <v>FELIPE DE ANDRADE MOURA/ GRAZIELA DE CASSIA CAPRARA</v>
      </c>
      <c r="S65" s="331"/>
      <c r="T65" s="331"/>
      <c r="U65" s="331"/>
      <c r="V65" s="331"/>
      <c r="W65" s="331"/>
      <c r="X65" s="330"/>
    </row>
    <row r="66" spans="1:24" s="326" customFormat="1" ht="35.1" hidden="1" customHeight="1" x14ac:dyDescent="0.25">
      <c r="A66" s="329">
        <v>4600058299</v>
      </c>
      <c r="B66" s="329" t="s">
        <v>27</v>
      </c>
      <c r="C66" s="329">
        <v>193600</v>
      </c>
      <c r="D66" s="329" t="s">
        <v>1880</v>
      </c>
      <c r="E66" s="329">
        <v>45</v>
      </c>
      <c r="F66" s="437" t="s">
        <v>1575</v>
      </c>
      <c r="G66" s="437" t="s">
        <v>1575</v>
      </c>
      <c r="H66" s="329" t="s">
        <v>709</v>
      </c>
      <c r="I66" s="329" t="s">
        <v>18</v>
      </c>
      <c r="J66" s="358" t="s">
        <v>1967</v>
      </c>
      <c r="K66" s="359">
        <v>43104</v>
      </c>
      <c r="L66" s="329" t="s">
        <v>19</v>
      </c>
      <c r="M66" s="360">
        <v>41437</v>
      </c>
      <c r="N66" s="360">
        <v>46374</v>
      </c>
      <c r="O66" s="331" t="s">
        <v>208</v>
      </c>
      <c r="P66" s="331" t="s">
        <v>876</v>
      </c>
      <c r="Q66" s="362" t="str">
        <f>UPPER(P66:P230)</f>
        <v xml:space="preserve">GLAUBER HENRIQUE DOS SANTOS </v>
      </c>
      <c r="R66" s="331" t="str">
        <f>UPPER(Q66:Q226)</f>
        <v xml:space="preserve">GLAUBER HENRIQUE DOS SANTOS </v>
      </c>
      <c r="S66" s="331"/>
      <c r="T66" s="331" t="s">
        <v>302</v>
      </c>
      <c r="U66" s="331" t="s">
        <v>308</v>
      </c>
      <c r="V66" s="367" t="s">
        <v>761</v>
      </c>
      <c r="W66" s="331"/>
      <c r="X66" s="330" t="s">
        <v>762</v>
      </c>
    </row>
    <row r="67" spans="1:24" s="326" customFormat="1" ht="35.1" hidden="1" customHeight="1" x14ac:dyDescent="0.25">
      <c r="A67" s="329">
        <v>4600058523</v>
      </c>
      <c r="B67" s="329" t="s">
        <v>717</v>
      </c>
      <c r="C67" s="329">
        <v>3045179</v>
      </c>
      <c r="D67" s="329" t="s">
        <v>1879</v>
      </c>
      <c r="E67" s="329">
        <v>30</v>
      </c>
      <c r="F67" s="437" t="s">
        <v>1575</v>
      </c>
      <c r="G67" s="437" t="s">
        <v>1575</v>
      </c>
      <c r="H67" s="329" t="s">
        <v>709</v>
      </c>
      <c r="I67" s="331" t="s">
        <v>18</v>
      </c>
      <c r="J67" s="331" t="s">
        <v>1971</v>
      </c>
      <c r="K67" s="340">
        <v>750000</v>
      </c>
      <c r="L67" s="331" t="s">
        <v>19</v>
      </c>
      <c r="M67" s="344">
        <v>45608</v>
      </c>
      <c r="N67" s="360">
        <v>46337</v>
      </c>
      <c r="O67" s="331" t="s">
        <v>22</v>
      </c>
      <c r="P67" s="331" t="s">
        <v>204</v>
      </c>
      <c r="Q67" s="362" t="str">
        <f>UPPER(P67:P235)</f>
        <v>PEDRO ANTONIO PERIASSU</v>
      </c>
      <c r="R67" s="331" t="str">
        <f>UPPER(Q67:Q231)</f>
        <v>PEDRO ANTONIO PERIASSU</v>
      </c>
      <c r="S67" s="331"/>
      <c r="T67" s="331"/>
      <c r="U67" s="331"/>
      <c r="V67" s="331"/>
      <c r="W67" s="331"/>
      <c r="X67" s="330"/>
    </row>
    <row r="68" spans="1:24" s="326" customFormat="1" ht="35.1" customHeight="1" x14ac:dyDescent="0.25">
      <c r="A68" s="329">
        <v>4600055242</v>
      </c>
      <c r="B68" s="329" t="s">
        <v>1724</v>
      </c>
      <c r="C68" s="329">
        <v>115644</v>
      </c>
      <c r="D68" s="329" t="s">
        <v>1881</v>
      </c>
      <c r="E68" s="329">
        <v>15</v>
      </c>
      <c r="F68" s="437" t="s">
        <v>1575</v>
      </c>
      <c r="G68" s="437" t="s">
        <v>1575</v>
      </c>
      <c r="H68" s="335" t="s">
        <v>710</v>
      </c>
      <c r="I68" s="335" t="s">
        <v>18</v>
      </c>
      <c r="J68" s="331" t="s">
        <v>1972</v>
      </c>
      <c r="K68" s="369">
        <v>34976204.100000001</v>
      </c>
      <c r="L68" s="331" t="s">
        <v>19</v>
      </c>
      <c r="M68" s="344">
        <v>44075</v>
      </c>
      <c r="N68" s="449">
        <v>46022</v>
      </c>
      <c r="O68" s="335" t="s">
        <v>152</v>
      </c>
      <c r="P68" s="331" t="s">
        <v>30</v>
      </c>
      <c r="Q68" s="362" t="str">
        <f>UPPER(P68:P237)</f>
        <v>MANFREDO SAHB CARCUTE</v>
      </c>
      <c r="R68" s="331" t="str">
        <f>UPPER(Q68:Q233)</f>
        <v>MANFREDO SAHB CARCUTE</v>
      </c>
      <c r="S68" s="335"/>
      <c r="T68" s="335"/>
      <c r="U68" s="335" t="s">
        <v>308</v>
      </c>
      <c r="V68" s="335"/>
      <c r="W68" s="331"/>
      <c r="X68" s="330"/>
    </row>
    <row r="69" spans="1:24" s="326" customFormat="1" ht="35.1" customHeight="1" x14ac:dyDescent="0.25">
      <c r="A69" s="329">
        <v>4600055244</v>
      </c>
      <c r="B69" s="329" t="s">
        <v>1724</v>
      </c>
      <c r="C69" s="329">
        <v>115644</v>
      </c>
      <c r="D69" s="329" t="s">
        <v>1881</v>
      </c>
      <c r="E69" s="329">
        <v>15</v>
      </c>
      <c r="F69" s="437" t="s">
        <v>1575</v>
      </c>
      <c r="G69" s="437" t="s">
        <v>1575</v>
      </c>
      <c r="H69" s="335" t="s">
        <v>710</v>
      </c>
      <c r="I69" s="335" t="s">
        <v>18</v>
      </c>
      <c r="J69" s="331" t="s">
        <v>1973</v>
      </c>
      <c r="K69" s="340">
        <v>35539237.600000001</v>
      </c>
      <c r="L69" s="331" t="s">
        <v>19</v>
      </c>
      <c r="M69" s="344">
        <v>44075</v>
      </c>
      <c r="N69" s="449">
        <v>46022</v>
      </c>
      <c r="O69" s="335" t="s">
        <v>152</v>
      </c>
      <c r="P69" s="331" t="s">
        <v>30</v>
      </c>
      <c r="Q69" s="362" t="str">
        <f>UPPER(P69:P238)</f>
        <v>MANFREDO SAHB CARCUTE</v>
      </c>
      <c r="R69" s="331" t="str">
        <f>UPPER(Q69:Q234)</f>
        <v>MANFREDO SAHB CARCUTE</v>
      </c>
      <c r="S69" s="335"/>
      <c r="T69" s="335"/>
      <c r="U69" s="335" t="s">
        <v>308</v>
      </c>
      <c r="V69" s="335"/>
      <c r="W69" s="331"/>
      <c r="X69" s="330"/>
    </row>
    <row r="70" spans="1:24" s="327" customFormat="1" ht="35.1" hidden="1" customHeight="1" x14ac:dyDescent="0.25">
      <c r="A70" s="329">
        <v>4600058207</v>
      </c>
      <c r="B70" s="329" t="s">
        <v>910</v>
      </c>
      <c r="C70" s="329">
        <v>3045655</v>
      </c>
      <c r="D70" s="329" t="s">
        <v>1880</v>
      </c>
      <c r="E70" s="329">
        <v>60</v>
      </c>
      <c r="F70" s="437" t="s">
        <v>1575</v>
      </c>
      <c r="G70" s="437" t="s">
        <v>1575</v>
      </c>
      <c r="H70" s="329" t="s">
        <v>709</v>
      </c>
      <c r="I70" s="329" t="s">
        <v>18</v>
      </c>
      <c r="J70" s="358" t="s">
        <v>1974</v>
      </c>
      <c r="K70" s="359">
        <v>294646.03999999998</v>
      </c>
      <c r="L70" s="329" t="s">
        <v>19</v>
      </c>
      <c r="M70" s="360">
        <v>45467</v>
      </c>
      <c r="N70" s="373">
        <v>46196</v>
      </c>
      <c r="O70" s="331" t="s">
        <v>93</v>
      </c>
      <c r="P70" s="331" t="s">
        <v>878</v>
      </c>
      <c r="Q70" s="362" t="str">
        <f>UPPER(P70:P241)</f>
        <v>FELIPE DE ANDRADE MOURA/ GRAZIELA DE CASSIA CAPRARA</v>
      </c>
      <c r="R70" s="331" t="str">
        <f>UPPER(Q70:Q237)</f>
        <v>FELIPE DE ANDRADE MOURA/ GRAZIELA DE CASSIA CAPRARA</v>
      </c>
      <c r="S70" s="331" t="s">
        <v>943</v>
      </c>
      <c r="T70" s="331" t="s">
        <v>945</v>
      </c>
      <c r="U70" s="331" t="s">
        <v>946</v>
      </c>
      <c r="V70" s="331" t="s">
        <v>944</v>
      </c>
      <c r="W70" s="331"/>
      <c r="X70" s="330"/>
    </row>
    <row r="71" spans="1:24" s="327" customFormat="1" ht="35.1" hidden="1" customHeight="1" x14ac:dyDescent="0.25">
      <c r="A71" s="329" t="s">
        <v>1565</v>
      </c>
      <c r="B71" s="329" t="s">
        <v>980</v>
      </c>
      <c r="C71" s="329">
        <v>3043749</v>
      </c>
      <c r="D71" s="329" t="s">
        <v>1879</v>
      </c>
      <c r="E71" s="329">
        <v>1</v>
      </c>
      <c r="F71" s="437" t="s">
        <v>1575</v>
      </c>
      <c r="G71" s="437" t="s">
        <v>1575</v>
      </c>
      <c r="H71" s="331" t="s">
        <v>709</v>
      </c>
      <c r="I71" s="329" t="s">
        <v>18</v>
      </c>
      <c r="J71" s="329" t="s">
        <v>1975</v>
      </c>
      <c r="K71" s="359">
        <v>1290630</v>
      </c>
      <c r="L71" s="361" t="s">
        <v>19</v>
      </c>
      <c r="M71" s="360">
        <v>45098</v>
      </c>
      <c r="N71" s="373">
        <v>46558</v>
      </c>
      <c r="O71" s="331" t="s">
        <v>29</v>
      </c>
      <c r="P71" s="331" t="s">
        <v>30</v>
      </c>
      <c r="Q71" s="362" t="str">
        <f>UPPER(P71:P242)</f>
        <v>MANFREDO SAHB CARCUTE</v>
      </c>
      <c r="R71" s="331" t="str">
        <f>UPPER(Q71:Q238)</f>
        <v>MANFREDO SAHB CARCUTE</v>
      </c>
      <c r="S71" s="329" t="s">
        <v>948</v>
      </c>
      <c r="T71" s="331" t="s">
        <v>949</v>
      </c>
      <c r="U71" s="329"/>
      <c r="V71" s="329" t="s">
        <v>947</v>
      </c>
      <c r="W71" s="331"/>
      <c r="X71" s="328"/>
    </row>
    <row r="72" spans="1:24" s="327" customFormat="1" ht="35.1" hidden="1" customHeight="1" x14ac:dyDescent="0.25">
      <c r="A72" s="329">
        <v>4600058342</v>
      </c>
      <c r="B72" s="329" t="s">
        <v>910</v>
      </c>
      <c r="C72" s="329">
        <v>3045655</v>
      </c>
      <c r="D72" s="329" t="s">
        <v>1880</v>
      </c>
      <c r="E72" s="329">
        <v>60</v>
      </c>
      <c r="F72" s="437" t="s">
        <v>1575</v>
      </c>
      <c r="G72" s="437" t="s">
        <v>1575</v>
      </c>
      <c r="H72" s="329" t="s">
        <v>709</v>
      </c>
      <c r="I72" s="329" t="s">
        <v>18</v>
      </c>
      <c r="J72" s="358" t="s">
        <v>1976</v>
      </c>
      <c r="K72" s="359">
        <v>134880</v>
      </c>
      <c r="L72" s="329" t="s">
        <v>19</v>
      </c>
      <c r="M72" s="360">
        <v>45559</v>
      </c>
      <c r="N72" s="373">
        <v>46288</v>
      </c>
      <c r="O72" s="331" t="s">
        <v>93</v>
      </c>
      <c r="P72" s="331" t="s">
        <v>878</v>
      </c>
      <c r="Q72" s="362" t="str">
        <f>UPPER(P72:P243)</f>
        <v>FELIPE DE ANDRADE MOURA/ GRAZIELA DE CASSIA CAPRARA</v>
      </c>
      <c r="R72" s="331" t="str">
        <f>UPPER(Q72:Q239)</f>
        <v>FELIPE DE ANDRADE MOURA/ GRAZIELA DE CASSIA CAPRARA</v>
      </c>
      <c r="S72" s="331" t="s">
        <v>943</v>
      </c>
      <c r="T72" s="331" t="s">
        <v>945</v>
      </c>
      <c r="U72" s="331" t="s">
        <v>946</v>
      </c>
      <c r="V72" s="331" t="s">
        <v>944</v>
      </c>
      <c r="W72" s="331"/>
      <c r="X72" s="330"/>
    </row>
    <row r="73" spans="1:24" s="327" customFormat="1" ht="35.1" hidden="1" customHeight="1" x14ac:dyDescent="0.25">
      <c r="A73" s="329">
        <v>4600059158</v>
      </c>
      <c r="B73" s="329" t="s">
        <v>1047</v>
      </c>
      <c r="C73" s="329">
        <v>3046773</v>
      </c>
      <c r="D73" s="329" t="s">
        <v>1879</v>
      </c>
      <c r="E73" s="329">
        <v>30</v>
      </c>
      <c r="F73" s="437" t="s">
        <v>1575</v>
      </c>
      <c r="G73" s="437" t="s">
        <v>1575</v>
      </c>
      <c r="H73" s="331" t="s">
        <v>709</v>
      </c>
      <c r="I73" s="331" t="s">
        <v>18</v>
      </c>
      <c r="J73" s="331" t="s">
        <v>1978</v>
      </c>
      <c r="K73" s="340">
        <v>923923.2</v>
      </c>
      <c r="L73" s="331" t="s">
        <v>19</v>
      </c>
      <c r="M73" s="344">
        <v>45673</v>
      </c>
      <c r="N73" s="344">
        <v>46410</v>
      </c>
      <c r="O73" s="331" t="s">
        <v>29</v>
      </c>
      <c r="P73" s="331" t="s">
        <v>30</v>
      </c>
      <c r="Q73" s="362" t="str">
        <f>UPPER(P73:P246)</f>
        <v>MANFREDO SAHB CARCUTE</v>
      </c>
      <c r="R73" s="331" t="str">
        <f>UPPER(Q73:Q242)</f>
        <v>MANFREDO SAHB CARCUTE</v>
      </c>
      <c r="S73" s="331"/>
      <c r="T73" s="331"/>
      <c r="U73" s="331"/>
      <c r="V73" s="331"/>
      <c r="W73" s="331"/>
      <c r="X73" s="330"/>
    </row>
    <row r="74" spans="1:24" s="326" customFormat="1" ht="35.1" hidden="1" customHeight="1" x14ac:dyDescent="0.25">
      <c r="A74" s="329">
        <v>4600059192</v>
      </c>
      <c r="B74" s="329" t="s">
        <v>89</v>
      </c>
      <c r="C74" s="329">
        <v>3008003</v>
      </c>
      <c r="D74" s="329" t="s">
        <v>1879</v>
      </c>
      <c r="E74" s="329">
        <v>30</v>
      </c>
      <c r="F74" s="437" t="s">
        <v>1575</v>
      </c>
      <c r="G74" s="437" t="s">
        <v>1575</v>
      </c>
      <c r="H74" s="329" t="s">
        <v>709</v>
      </c>
      <c r="I74" s="331" t="s">
        <v>18</v>
      </c>
      <c r="J74" s="362" t="s">
        <v>1979</v>
      </c>
      <c r="K74" s="340">
        <v>240000</v>
      </c>
      <c r="L74" s="331" t="s">
        <v>19</v>
      </c>
      <c r="M74" s="344">
        <v>45658</v>
      </c>
      <c r="N74" s="360">
        <v>46387</v>
      </c>
      <c r="O74" s="331" t="s">
        <v>22</v>
      </c>
      <c r="P74" s="331" t="s">
        <v>204</v>
      </c>
      <c r="Q74" s="362" t="str">
        <f>UPPER(P74:P249)</f>
        <v>PEDRO ANTONIO PERIASSU</v>
      </c>
      <c r="R74" s="331" t="str">
        <f>UPPER(Q74:Q245)</f>
        <v>PEDRO ANTONIO PERIASSU</v>
      </c>
      <c r="S74" s="331" t="s">
        <v>1057</v>
      </c>
      <c r="T74" s="331" t="s">
        <v>1058</v>
      </c>
      <c r="U74" s="331"/>
      <c r="V74" s="367" t="s">
        <v>1056</v>
      </c>
      <c r="W74" s="331"/>
      <c r="X74" s="330"/>
    </row>
    <row r="75" spans="1:24" s="326" customFormat="1" ht="35.1" hidden="1" customHeight="1" x14ac:dyDescent="0.25">
      <c r="A75" s="329">
        <v>4600059281</v>
      </c>
      <c r="B75" s="329" t="s">
        <v>769</v>
      </c>
      <c r="C75" s="329">
        <v>3045876</v>
      </c>
      <c r="D75" s="329" t="s">
        <v>1881</v>
      </c>
      <c r="E75" s="329">
        <v>1</v>
      </c>
      <c r="F75" s="437" t="s">
        <v>1575</v>
      </c>
      <c r="G75" s="437" t="s">
        <v>1575</v>
      </c>
      <c r="H75" s="331" t="s">
        <v>709</v>
      </c>
      <c r="I75" s="331" t="s">
        <v>18</v>
      </c>
      <c r="J75" s="331" t="s">
        <v>1980</v>
      </c>
      <c r="K75" s="340">
        <f>(251640*60)</f>
        <v>15098400</v>
      </c>
      <c r="L75" s="331" t="s">
        <v>19</v>
      </c>
      <c r="M75" s="344">
        <v>45716</v>
      </c>
      <c r="N75" s="360">
        <v>47541</v>
      </c>
      <c r="O75" s="335" t="s">
        <v>208</v>
      </c>
      <c r="P75" s="331" t="s">
        <v>876</v>
      </c>
      <c r="Q75" s="362" t="str">
        <f>UPPER(P75:P250)</f>
        <v xml:space="preserve">GLAUBER HENRIQUE DOS SANTOS </v>
      </c>
      <c r="R75" s="331" t="str">
        <f>UPPER(Q75:Q246)</f>
        <v xml:space="preserve">GLAUBER HENRIQUE DOS SANTOS </v>
      </c>
      <c r="S75" s="331" t="s">
        <v>765</v>
      </c>
      <c r="T75" s="331" t="s">
        <v>766</v>
      </c>
      <c r="U75" s="331" t="s">
        <v>767</v>
      </c>
      <c r="V75" s="375" t="s">
        <v>1060</v>
      </c>
      <c r="W75" s="331"/>
      <c r="X75" s="330"/>
    </row>
    <row r="76" spans="1:24" s="326" customFormat="1" ht="35.1" hidden="1" customHeight="1" x14ac:dyDescent="0.25">
      <c r="A76" s="329">
        <v>4600059293</v>
      </c>
      <c r="B76" s="329" t="s">
        <v>769</v>
      </c>
      <c r="C76" s="329">
        <v>3045876</v>
      </c>
      <c r="D76" s="329" t="s">
        <v>1881</v>
      </c>
      <c r="E76" s="329">
        <v>1</v>
      </c>
      <c r="F76" s="437" t="s">
        <v>1575</v>
      </c>
      <c r="G76" s="437" t="s">
        <v>1575</v>
      </c>
      <c r="H76" s="331" t="s">
        <v>709</v>
      </c>
      <c r="I76" s="331" t="s">
        <v>18</v>
      </c>
      <c r="J76" s="331" t="s">
        <v>1981</v>
      </c>
      <c r="K76" s="340">
        <v>4185000</v>
      </c>
      <c r="L76" s="331" t="s">
        <v>19</v>
      </c>
      <c r="M76" s="344">
        <v>45658</v>
      </c>
      <c r="N76" s="360">
        <v>46752</v>
      </c>
      <c r="O76" s="335" t="s">
        <v>208</v>
      </c>
      <c r="P76" s="331" t="s">
        <v>876</v>
      </c>
      <c r="Q76" s="362" t="str">
        <f>UPPER(P76:P251)</f>
        <v xml:space="preserve">GLAUBER HENRIQUE DOS SANTOS </v>
      </c>
      <c r="R76" s="331" t="str">
        <f>UPPER(Q76:Q247)</f>
        <v xml:space="preserve">GLAUBER HENRIQUE DOS SANTOS </v>
      </c>
      <c r="S76" s="331" t="s">
        <v>765</v>
      </c>
      <c r="T76" s="331" t="s">
        <v>766</v>
      </c>
      <c r="U76" s="331" t="s">
        <v>767</v>
      </c>
      <c r="V76" s="375" t="s">
        <v>768</v>
      </c>
      <c r="W76" s="331" t="s">
        <v>1062</v>
      </c>
      <c r="X76" s="330"/>
    </row>
    <row r="77" spans="1:24" s="326" customFormat="1" ht="35.1" hidden="1" customHeight="1" x14ac:dyDescent="0.25">
      <c r="A77" s="329">
        <v>4600059292</v>
      </c>
      <c r="B77" s="329" t="s">
        <v>1727</v>
      </c>
      <c r="C77" s="329">
        <v>3045876</v>
      </c>
      <c r="D77" s="329" t="s">
        <v>1881</v>
      </c>
      <c r="E77" s="329">
        <v>1</v>
      </c>
      <c r="F77" s="437" t="s">
        <v>1575</v>
      </c>
      <c r="G77" s="437" t="s">
        <v>1575</v>
      </c>
      <c r="H77" s="331" t="s">
        <v>709</v>
      </c>
      <c r="I77" s="331" t="s">
        <v>18</v>
      </c>
      <c r="J77" s="331" t="s">
        <v>1982</v>
      </c>
      <c r="K77" s="340">
        <f>(312360*60)</f>
        <v>18741600</v>
      </c>
      <c r="L77" s="331" t="s">
        <v>19</v>
      </c>
      <c r="M77" s="344">
        <v>45579</v>
      </c>
      <c r="N77" s="360">
        <v>47769</v>
      </c>
      <c r="O77" s="335" t="s">
        <v>208</v>
      </c>
      <c r="P77" s="331" t="s">
        <v>876</v>
      </c>
      <c r="Q77" s="362" t="str">
        <f>UPPER(P77:P252)</f>
        <v xml:space="preserve">GLAUBER HENRIQUE DOS SANTOS </v>
      </c>
      <c r="R77" s="331" t="str">
        <f>UPPER(Q77:Q248)</f>
        <v xml:space="preserve">GLAUBER HENRIQUE DOS SANTOS </v>
      </c>
      <c r="S77" s="331" t="s">
        <v>765</v>
      </c>
      <c r="T77" s="331" t="s">
        <v>766</v>
      </c>
      <c r="U77" s="331" t="s">
        <v>767</v>
      </c>
      <c r="V77" s="375" t="s">
        <v>768</v>
      </c>
      <c r="W77" s="331" t="s">
        <v>1063</v>
      </c>
      <c r="X77" s="330"/>
    </row>
    <row r="78" spans="1:24" s="327" customFormat="1" ht="35.1" hidden="1" customHeight="1" x14ac:dyDescent="0.25">
      <c r="A78" s="329">
        <v>4600059809</v>
      </c>
      <c r="B78" s="329" t="s">
        <v>1652</v>
      </c>
      <c r="C78" s="329">
        <v>163222</v>
      </c>
      <c r="D78" s="329" t="s">
        <v>1879</v>
      </c>
      <c r="E78" s="329">
        <v>30</v>
      </c>
      <c r="F78" s="437" t="s">
        <v>1575</v>
      </c>
      <c r="G78" s="437" t="s">
        <v>1575</v>
      </c>
      <c r="H78" s="329" t="s">
        <v>709</v>
      </c>
      <c r="I78" s="331" t="s">
        <v>18</v>
      </c>
      <c r="J78" s="331" t="s">
        <v>1985</v>
      </c>
      <c r="K78" s="340">
        <v>30472</v>
      </c>
      <c r="L78" s="331" t="s">
        <v>19</v>
      </c>
      <c r="M78" s="344">
        <v>45840</v>
      </c>
      <c r="N78" s="344">
        <v>46204</v>
      </c>
      <c r="O78" s="331" t="s">
        <v>22</v>
      </c>
      <c r="P78" s="331" t="s">
        <v>869</v>
      </c>
      <c r="Q78" s="362" t="str">
        <f>UPPER(P78:P255)</f>
        <v>PEDRO PERIASSU</v>
      </c>
      <c r="R78" s="331" t="str">
        <f>UPPER(Q78:Q251)</f>
        <v>PEDRO PERIASSU</v>
      </c>
      <c r="S78" s="331"/>
      <c r="T78" s="331"/>
      <c r="U78" s="331"/>
      <c r="V78" s="331"/>
      <c r="W78" s="331"/>
      <c r="X78" s="330"/>
    </row>
    <row r="79" spans="1:24" s="327" customFormat="1" ht="35.1" hidden="1" customHeight="1" x14ac:dyDescent="0.25">
      <c r="A79" s="329">
        <v>4600059856</v>
      </c>
      <c r="B79" s="329" t="s">
        <v>131</v>
      </c>
      <c r="C79" s="329">
        <v>3041894</v>
      </c>
      <c r="D79" s="329" t="s">
        <v>1879</v>
      </c>
      <c r="E79" s="329">
        <v>60</v>
      </c>
      <c r="F79" s="437" t="s">
        <v>1575</v>
      </c>
      <c r="G79" s="437" t="s">
        <v>1575</v>
      </c>
      <c r="H79" s="331" t="s">
        <v>1630</v>
      </c>
      <c r="I79" s="331" t="s">
        <v>18</v>
      </c>
      <c r="J79" s="331" t="s">
        <v>1986</v>
      </c>
      <c r="K79" s="340">
        <v>410670</v>
      </c>
      <c r="L79" s="331" t="s">
        <v>19</v>
      </c>
      <c r="M79" s="344">
        <v>45137</v>
      </c>
      <c r="N79" s="344">
        <v>46597</v>
      </c>
      <c r="O79" s="335" t="s">
        <v>96</v>
      </c>
      <c r="P79" s="331" t="s">
        <v>2021</v>
      </c>
      <c r="Q79" s="362" t="str">
        <f>UPPER(P79:P256)</f>
        <v>GRAZIELLA DOURADO XAVIER</v>
      </c>
      <c r="R79" s="331" t="str">
        <f>UPPER(Q79:Q252)</f>
        <v>GRAZIELLA DOURADO XAVIER</v>
      </c>
      <c r="S79" s="331" t="s">
        <v>1008</v>
      </c>
      <c r="T79" s="331" t="s">
        <v>407</v>
      </c>
      <c r="U79" s="331" t="s">
        <v>1009</v>
      </c>
      <c r="V79" s="331" t="s">
        <v>1010</v>
      </c>
      <c r="W79" s="331"/>
      <c r="X79" s="330"/>
    </row>
    <row r="80" spans="1:24" s="327" customFormat="1" ht="35.1" hidden="1" customHeight="1" x14ac:dyDescent="0.25">
      <c r="A80" s="329">
        <v>4600058564</v>
      </c>
      <c r="B80" s="329" t="s">
        <v>1623</v>
      </c>
      <c r="C80" s="329">
        <v>3046500</v>
      </c>
      <c r="D80" s="329" t="s">
        <v>1880</v>
      </c>
      <c r="E80" s="329">
        <v>60</v>
      </c>
      <c r="F80" s="437" t="s">
        <v>1575</v>
      </c>
      <c r="G80" s="437" t="s">
        <v>1575</v>
      </c>
      <c r="H80" s="331" t="s">
        <v>710</v>
      </c>
      <c r="I80" s="331" t="s">
        <v>18</v>
      </c>
      <c r="J80" s="365" t="s">
        <v>1988</v>
      </c>
      <c r="K80" s="340">
        <v>800000</v>
      </c>
      <c r="L80" s="331" t="s">
        <v>19</v>
      </c>
      <c r="M80" s="344">
        <v>45628</v>
      </c>
      <c r="N80" s="344">
        <v>46357</v>
      </c>
      <c r="O80" s="331" t="s">
        <v>1620</v>
      </c>
      <c r="P80" s="331" t="s">
        <v>2018</v>
      </c>
      <c r="Q80" s="362" t="str">
        <f>UPPER(P80:P258)</f>
        <v>MARCELO ALBERTO PINTO</v>
      </c>
      <c r="R80" s="331" t="str">
        <f>UPPER(Q80:Q254)</f>
        <v>MARCELO ALBERTO PINTO</v>
      </c>
      <c r="S80" s="331" t="s">
        <v>1624</v>
      </c>
      <c r="T80" s="331"/>
      <c r="U80" s="331"/>
      <c r="V80" s="365" t="s">
        <v>1625</v>
      </c>
      <c r="W80" s="331"/>
      <c r="X80" s="330"/>
    </row>
    <row r="81" spans="1:24" s="326" customFormat="1" ht="35.1" hidden="1" customHeight="1" x14ac:dyDescent="0.25">
      <c r="A81" s="329">
        <v>4600059378</v>
      </c>
      <c r="B81" s="329" t="s">
        <v>640</v>
      </c>
      <c r="C81" s="329">
        <v>3022801</v>
      </c>
      <c r="D81" s="329" t="s">
        <v>1879</v>
      </c>
      <c r="E81" s="329">
        <v>1</v>
      </c>
      <c r="F81" s="437" t="s">
        <v>1575</v>
      </c>
      <c r="G81" s="437" t="s">
        <v>1575</v>
      </c>
      <c r="H81" s="331" t="s">
        <v>709</v>
      </c>
      <c r="I81" s="331" t="s">
        <v>18</v>
      </c>
      <c r="J81" s="331" t="s">
        <v>1990</v>
      </c>
      <c r="K81" s="340">
        <v>1675070.46</v>
      </c>
      <c r="L81" s="331" t="s">
        <v>19</v>
      </c>
      <c r="M81" s="344">
        <v>45077</v>
      </c>
      <c r="N81" s="344">
        <v>46903</v>
      </c>
      <c r="O81" s="331" t="s">
        <v>208</v>
      </c>
      <c r="P81" s="329" t="s">
        <v>876</v>
      </c>
      <c r="Q81" s="362" t="str">
        <f>UPPER(P81:P260)</f>
        <v xml:space="preserve">GLAUBER HENRIQUE DOS SANTOS </v>
      </c>
      <c r="R81" s="331" t="str">
        <f>UPPER(Q81:Q256)</f>
        <v xml:space="preserve">GLAUBER HENRIQUE DOS SANTOS </v>
      </c>
      <c r="S81" s="331" t="s">
        <v>1252</v>
      </c>
      <c r="T81" s="331"/>
      <c r="U81" s="331"/>
      <c r="V81" s="331" t="s">
        <v>1253</v>
      </c>
      <c r="W81" s="331"/>
      <c r="X81" s="330"/>
    </row>
    <row r="82" spans="1:24" ht="35.1" hidden="1" customHeight="1" x14ac:dyDescent="0.2">
      <c r="A82" s="329" t="s">
        <v>1641</v>
      </c>
      <c r="B82" s="329" t="s">
        <v>1233</v>
      </c>
      <c r="C82" s="329">
        <v>3047098</v>
      </c>
      <c r="D82" s="329" t="s">
        <v>1880</v>
      </c>
      <c r="E82" s="329">
        <v>30</v>
      </c>
      <c r="F82" s="437" t="s">
        <v>1575</v>
      </c>
      <c r="G82" s="437" t="s">
        <v>1575</v>
      </c>
      <c r="H82" s="329" t="s">
        <v>709</v>
      </c>
      <c r="I82" s="329" t="s">
        <v>18</v>
      </c>
      <c r="J82" s="329" t="s">
        <v>1992</v>
      </c>
      <c r="K82" s="340">
        <v>38000</v>
      </c>
      <c r="L82" s="329" t="s">
        <v>19</v>
      </c>
      <c r="M82" s="360">
        <v>45658</v>
      </c>
      <c r="N82" s="360">
        <v>46320</v>
      </c>
      <c r="O82" s="329" t="s">
        <v>1078</v>
      </c>
      <c r="P82" s="329" t="s">
        <v>1079</v>
      </c>
      <c r="Q82" s="362" t="str">
        <f>UPPER(P82:P262)</f>
        <v>MANFREDO SAHB CARCUTE/FELIPE DE ANDRADE MOURA/ GRAZIELA DE CASSIA CAPRARA</v>
      </c>
      <c r="R82" s="331" t="str">
        <f>UPPER(Q82:Q258)</f>
        <v>MANFREDO SAHB CARCUTE/FELIPE DE ANDRADE MOURA/ GRAZIELA DE CASSIA CAPRARA</v>
      </c>
      <c r="S82" s="329"/>
      <c r="T82" s="329"/>
      <c r="U82" s="329"/>
      <c r="V82" s="329"/>
      <c r="W82" s="329"/>
      <c r="X82" s="328"/>
    </row>
    <row r="83" spans="1:24" ht="35.1" hidden="1" customHeight="1" x14ac:dyDescent="0.2">
      <c r="A83" s="329">
        <v>4600059432</v>
      </c>
      <c r="B83" s="329" t="s">
        <v>720</v>
      </c>
      <c r="C83" s="329">
        <v>155439</v>
      </c>
      <c r="D83" s="329" t="s">
        <v>1880</v>
      </c>
      <c r="E83" s="329">
        <v>1</v>
      </c>
      <c r="F83" s="437" t="s">
        <v>1575</v>
      </c>
      <c r="G83" s="437" t="s">
        <v>1575</v>
      </c>
      <c r="H83" s="329" t="s">
        <v>709</v>
      </c>
      <c r="I83" s="329" t="s">
        <v>18</v>
      </c>
      <c r="J83" s="329" t="s">
        <v>1610</v>
      </c>
      <c r="K83" s="340">
        <v>1060000</v>
      </c>
      <c r="L83" s="329" t="s">
        <v>19</v>
      </c>
      <c r="M83" s="360">
        <v>45717</v>
      </c>
      <c r="N83" s="449">
        <v>46022</v>
      </c>
      <c r="O83" s="331" t="s">
        <v>93</v>
      </c>
      <c r="P83" s="331" t="s">
        <v>94</v>
      </c>
      <c r="Q83" s="362" t="str">
        <f>UPPER(P83:P265)</f>
        <v>GRAZIELA DE CASSIA CAPRARA</v>
      </c>
      <c r="R83" s="331" t="str">
        <f>UPPER(Q83:Q261)</f>
        <v>GRAZIELA DE CASSIA CAPRARA</v>
      </c>
      <c r="S83" s="329"/>
      <c r="T83" s="329"/>
      <c r="U83" s="329"/>
      <c r="V83" s="329"/>
      <c r="W83" s="329"/>
      <c r="X83" s="328"/>
    </row>
    <row r="84" spans="1:24" ht="35.1" hidden="1" customHeight="1" x14ac:dyDescent="0.2">
      <c r="A84" s="329">
        <v>4600059476</v>
      </c>
      <c r="B84" s="329" t="s">
        <v>1729</v>
      </c>
      <c r="C84" s="329">
        <v>147115</v>
      </c>
      <c r="D84" s="329" t="s">
        <v>1880</v>
      </c>
      <c r="E84" s="329">
        <v>30</v>
      </c>
      <c r="F84" s="437" t="s">
        <v>1575</v>
      </c>
      <c r="G84" s="437" t="s">
        <v>1575</v>
      </c>
      <c r="H84" s="329" t="s">
        <v>709</v>
      </c>
      <c r="I84" s="329" t="s">
        <v>18</v>
      </c>
      <c r="J84" s="329" t="s">
        <v>1247</v>
      </c>
      <c r="K84" s="340">
        <v>59990</v>
      </c>
      <c r="L84" s="329" t="s">
        <v>19</v>
      </c>
      <c r="M84" s="360">
        <v>45733</v>
      </c>
      <c r="N84" s="360">
        <v>46097</v>
      </c>
      <c r="O84" s="331" t="s">
        <v>29</v>
      </c>
      <c r="P84" s="329" t="s">
        <v>30</v>
      </c>
      <c r="Q84" s="362" t="str">
        <f>UPPER(P84:P266)</f>
        <v>MANFREDO SAHB CARCUTE</v>
      </c>
      <c r="R84" s="331" t="str">
        <f>UPPER(Q84:Q262)</f>
        <v>MANFREDO SAHB CARCUTE</v>
      </c>
      <c r="S84" s="329" t="s">
        <v>1250</v>
      </c>
      <c r="T84" s="329" t="s">
        <v>1249</v>
      </c>
      <c r="U84" s="329"/>
      <c r="V84" s="329" t="s">
        <v>1251</v>
      </c>
      <c r="W84" s="329"/>
      <c r="X84" s="328"/>
    </row>
    <row r="85" spans="1:24" ht="35.1" hidden="1" customHeight="1" x14ac:dyDescent="0.2">
      <c r="A85" s="331">
        <v>4600059783</v>
      </c>
      <c r="B85" s="331" t="s">
        <v>1608</v>
      </c>
      <c r="C85" s="331">
        <v>3047594</v>
      </c>
      <c r="D85" s="329" t="s">
        <v>1879</v>
      </c>
      <c r="E85" s="331">
        <v>30</v>
      </c>
      <c r="F85" s="437" t="s">
        <v>1575</v>
      </c>
      <c r="G85" s="437" t="s">
        <v>1575</v>
      </c>
      <c r="H85" s="331" t="s">
        <v>709</v>
      </c>
      <c r="I85" s="331" t="s">
        <v>18</v>
      </c>
      <c r="J85" s="331" t="s">
        <v>2000</v>
      </c>
      <c r="K85" s="340">
        <v>86400</v>
      </c>
      <c r="L85" s="331" t="s">
        <v>19</v>
      </c>
      <c r="M85" s="344">
        <v>45792</v>
      </c>
      <c r="N85" s="344">
        <v>46156</v>
      </c>
      <c r="O85" s="331" t="s">
        <v>208</v>
      </c>
      <c r="P85" s="331" t="s">
        <v>876</v>
      </c>
      <c r="Q85" s="362" t="str">
        <f>UPPER(P85:P273)</f>
        <v xml:space="preserve">GLAUBER HENRIQUE DOS SANTOS </v>
      </c>
      <c r="R85" s="331" t="str">
        <f>UPPER(Q85:Q269)</f>
        <v xml:space="preserve">GLAUBER HENRIQUE DOS SANTOS </v>
      </c>
      <c r="S85" s="331"/>
      <c r="T85" s="331"/>
      <c r="U85" s="331"/>
      <c r="V85" s="331"/>
      <c r="W85" s="331"/>
      <c r="X85" s="342"/>
    </row>
    <row r="86" spans="1:24" s="327" customFormat="1" ht="35.1" hidden="1" customHeight="1" x14ac:dyDescent="0.25">
      <c r="A86" s="331">
        <v>4600059923</v>
      </c>
      <c r="B86" s="331" t="s">
        <v>1614</v>
      </c>
      <c r="C86" s="331">
        <v>3047788</v>
      </c>
      <c r="D86" s="329" t="s">
        <v>1879</v>
      </c>
      <c r="E86" s="331">
        <v>1</v>
      </c>
      <c r="F86" s="437" t="s">
        <v>1575</v>
      </c>
      <c r="G86" s="437" t="s">
        <v>1575</v>
      </c>
      <c r="H86" s="331" t="s">
        <v>709</v>
      </c>
      <c r="I86" s="331" t="s">
        <v>18</v>
      </c>
      <c r="J86" s="331" t="s">
        <v>2001</v>
      </c>
      <c r="K86" s="340">
        <v>22200</v>
      </c>
      <c r="L86" s="331" t="s">
        <v>19</v>
      </c>
      <c r="M86" s="344">
        <v>45866</v>
      </c>
      <c r="N86" s="344">
        <v>46230</v>
      </c>
      <c r="O86" s="331" t="s">
        <v>208</v>
      </c>
      <c r="P86" s="331" t="s">
        <v>876</v>
      </c>
      <c r="Q86" s="362" t="str">
        <f>UPPER(P86:P274)</f>
        <v xml:space="preserve">GLAUBER HENRIQUE DOS SANTOS </v>
      </c>
      <c r="R86" s="331" t="str">
        <f>UPPER(Q86:Q270)</f>
        <v xml:space="preserve">GLAUBER HENRIQUE DOS SANTOS </v>
      </c>
      <c r="S86" s="331"/>
      <c r="T86" s="331"/>
      <c r="U86" s="331"/>
      <c r="V86" s="331"/>
      <c r="W86" s="331"/>
      <c r="X86" s="331"/>
    </row>
    <row r="87" spans="1:24" ht="35.1" hidden="1" customHeight="1" x14ac:dyDescent="0.2">
      <c r="A87" s="345">
        <v>4600059909</v>
      </c>
      <c r="B87" s="345" t="s">
        <v>1626</v>
      </c>
      <c r="C87" s="345">
        <v>1736685</v>
      </c>
      <c r="D87" s="345" t="s">
        <v>1879</v>
      </c>
      <c r="E87" s="345">
        <v>1</v>
      </c>
      <c r="F87" s="437" t="s">
        <v>1575</v>
      </c>
      <c r="G87" s="437" t="s">
        <v>1575</v>
      </c>
      <c r="H87" s="345" t="s">
        <v>709</v>
      </c>
      <c r="I87" s="345" t="s">
        <v>18</v>
      </c>
      <c r="J87" s="345" t="s">
        <v>2003</v>
      </c>
      <c r="K87" s="383">
        <v>4595</v>
      </c>
      <c r="L87" s="345" t="s">
        <v>19</v>
      </c>
      <c r="M87" s="346">
        <v>45874</v>
      </c>
      <c r="N87" s="346">
        <v>46238</v>
      </c>
      <c r="O87" s="345" t="s">
        <v>115</v>
      </c>
      <c r="P87" s="345" t="s">
        <v>116</v>
      </c>
      <c r="Q87" s="362" t="str">
        <f>UPPER(P87:P276)</f>
        <v>ROGER ALLAN MAIA MALHEIROS</v>
      </c>
      <c r="R87" s="331" t="str">
        <f>UPPER(Q87:Q272)</f>
        <v>ROGER ALLAN MAIA MALHEIROS</v>
      </c>
      <c r="S87" s="345"/>
      <c r="T87" s="345"/>
      <c r="U87" s="345"/>
      <c r="V87" s="345"/>
      <c r="W87" s="345"/>
      <c r="X87" s="347"/>
    </row>
    <row r="88" spans="1:24" ht="35.1" hidden="1" customHeight="1" x14ac:dyDescent="0.2">
      <c r="A88" s="345">
        <v>4600059956</v>
      </c>
      <c r="B88" s="345" t="s">
        <v>1629</v>
      </c>
      <c r="C88" s="345">
        <v>3047701</v>
      </c>
      <c r="D88" s="345" t="s">
        <v>1880</v>
      </c>
      <c r="E88" s="345">
        <v>14</v>
      </c>
      <c r="F88" s="437" t="s">
        <v>1575</v>
      </c>
      <c r="G88" s="437" t="s">
        <v>1575</v>
      </c>
      <c r="H88" s="345" t="s">
        <v>709</v>
      </c>
      <c r="I88" s="345" t="s">
        <v>18</v>
      </c>
      <c r="J88" s="345" t="s">
        <v>2005</v>
      </c>
      <c r="K88" s="383">
        <v>1800000</v>
      </c>
      <c r="L88" s="345" t="s">
        <v>19</v>
      </c>
      <c r="M88" s="346">
        <v>45877</v>
      </c>
      <c r="N88" s="346">
        <v>46606</v>
      </c>
      <c r="O88" s="345" t="s">
        <v>93</v>
      </c>
      <c r="P88" s="345" t="s">
        <v>94</v>
      </c>
      <c r="Q88" s="362" t="str">
        <f t="shared" ref="Q88:Q93" si="0">UPPER(P88:P278)</f>
        <v>GRAZIELA DE CASSIA CAPRARA</v>
      </c>
      <c r="R88" s="331" t="str">
        <f t="shared" ref="R88:R93" si="1">UPPER(Q88:Q274)</f>
        <v>GRAZIELA DE CASSIA CAPRARA</v>
      </c>
      <c r="S88" s="345"/>
      <c r="T88" s="345"/>
      <c r="U88" s="345"/>
      <c r="V88" s="345"/>
      <c r="W88" s="345"/>
      <c r="X88" s="347"/>
    </row>
    <row r="89" spans="1:24" s="326" customFormat="1" ht="35.1" hidden="1" customHeight="1" x14ac:dyDescent="0.25">
      <c r="A89" s="329">
        <v>4600059433</v>
      </c>
      <c r="B89" s="329" t="s">
        <v>1028</v>
      </c>
      <c r="C89" s="329">
        <v>102369</v>
      </c>
      <c r="D89" s="329" t="s">
        <v>1879</v>
      </c>
      <c r="E89" s="329">
        <v>60</v>
      </c>
      <c r="F89" s="437" t="s">
        <v>1575</v>
      </c>
      <c r="G89" s="437" t="s">
        <v>1575</v>
      </c>
      <c r="H89" s="331" t="s">
        <v>709</v>
      </c>
      <c r="I89" s="331" t="s">
        <v>18</v>
      </c>
      <c r="J89" s="331" t="s">
        <v>2006</v>
      </c>
      <c r="K89" s="366">
        <v>3405450.09</v>
      </c>
      <c r="L89" s="331" t="s">
        <v>19</v>
      </c>
      <c r="M89" s="344">
        <v>45261</v>
      </c>
      <c r="N89" s="449">
        <v>45716</v>
      </c>
      <c r="O89" s="331" t="s">
        <v>22</v>
      </c>
      <c r="P89" s="331" t="s">
        <v>204</v>
      </c>
      <c r="Q89" s="362" t="str">
        <f t="shared" si="0"/>
        <v>PEDRO ANTONIO PERIASSU</v>
      </c>
      <c r="R89" s="331" t="str">
        <f t="shared" si="1"/>
        <v>PEDRO ANTONIO PERIASSU</v>
      </c>
      <c r="S89" s="331" t="s">
        <v>1005</v>
      </c>
      <c r="T89" s="331" t="s">
        <v>1007</v>
      </c>
      <c r="U89" s="331" t="s">
        <v>432</v>
      </c>
      <c r="V89" s="331" t="s">
        <v>1006</v>
      </c>
      <c r="W89" s="331"/>
      <c r="X89" s="330"/>
    </row>
    <row r="90" spans="1:24" s="326" customFormat="1" ht="35.1" hidden="1" customHeight="1" x14ac:dyDescent="0.25">
      <c r="A90" s="331">
        <v>4600059952</v>
      </c>
      <c r="B90" s="331" t="s">
        <v>1633</v>
      </c>
      <c r="C90" s="331">
        <v>3047747</v>
      </c>
      <c r="D90" s="331" t="s">
        <v>1879</v>
      </c>
      <c r="E90" s="331">
        <v>1</v>
      </c>
      <c r="F90" s="437" t="s">
        <v>1575</v>
      </c>
      <c r="G90" s="437" t="s">
        <v>1575</v>
      </c>
      <c r="H90" s="331" t="s">
        <v>709</v>
      </c>
      <c r="I90" s="331" t="s">
        <v>18</v>
      </c>
      <c r="J90" s="331" t="s">
        <v>2007</v>
      </c>
      <c r="K90" s="340">
        <v>324224.06</v>
      </c>
      <c r="L90" s="331" t="s">
        <v>19</v>
      </c>
      <c r="M90" s="344">
        <v>45905</v>
      </c>
      <c r="N90" s="360">
        <v>46269</v>
      </c>
      <c r="O90" s="331" t="s">
        <v>1634</v>
      </c>
      <c r="P90" s="331" t="s">
        <v>1635</v>
      </c>
      <c r="Q90" s="362" t="str">
        <f t="shared" si="0"/>
        <v xml:space="preserve">ROGER ALLAN MAIA MALHEIROS/ LUCIANA </v>
      </c>
      <c r="R90" s="331" t="str">
        <f t="shared" si="1"/>
        <v xml:space="preserve">ROGER ALLAN MAIA MALHEIROS/ LUCIANA </v>
      </c>
      <c r="S90" s="331"/>
      <c r="T90" s="331"/>
      <c r="U90" s="331"/>
      <c r="V90" s="331"/>
      <c r="W90" s="331"/>
      <c r="X90" s="330"/>
    </row>
    <row r="91" spans="1:24" s="326" customFormat="1" ht="35.1" hidden="1" customHeight="1" x14ac:dyDescent="0.25">
      <c r="A91" s="331">
        <v>4600059817</v>
      </c>
      <c r="B91" s="331" t="s">
        <v>1637</v>
      </c>
      <c r="C91" s="331">
        <v>3047716</v>
      </c>
      <c r="D91" s="331" t="s">
        <v>1881</v>
      </c>
      <c r="E91" s="331">
        <v>30</v>
      </c>
      <c r="F91" s="437" t="s">
        <v>1575</v>
      </c>
      <c r="G91" s="437" t="s">
        <v>1575</v>
      </c>
      <c r="H91" s="331" t="s">
        <v>709</v>
      </c>
      <c r="I91" s="331" t="s">
        <v>18</v>
      </c>
      <c r="J91" s="331" t="s">
        <v>2008</v>
      </c>
      <c r="K91" s="340">
        <v>450000</v>
      </c>
      <c r="L91" s="331" t="s">
        <v>19</v>
      </c>
      <c r="M91" s="344">
        <v>45838</v>
      </c>
      <c r="N91" s="360">
        <v>46232</v>
      </c>
      <c r="O91" s="331" t="s">
        <v>22</v>
      </c>
      <c r="P91" s="331" t="s">
        <v>210</v>
      </c>
      <c r="Q91" s="362" t="str">
        <f t="shared" si="0"/>
        <v>PEDRO ANTONIO PERIASSU/ RICARDO BORDIM</v>
      </c>
      <c r="R91" s="331" t="str">
        <f t="shared" si="1"/>
        <v>PEDRO ANTONIO PERIASSU/ RICARDO BORDIM</v>
      </c>
      <c r="S91" s="331"/>
      <c r="T91" s="331"/>
      <c r="U91" s="331"/>
      <c r="V91" s="331"/>
      <c r="W91" s="331"/>
      <c r="X91" s="330"/>
    </row>
    <row r="92" spans="1:24" ht="35.1" hidden="1" customHeight="1" x14ac:dyDescent="0.2">
      <c r="A92" s="331">
        <v>4600059938</v>
      </c>
      <c r="B92" s="331" t="s">
        <v>1730</v>
      </c>
      <c r="C92" s="331">
        <v>3047785</v>
      </c>
      <c r="D92" s="331" t="s">
        <v>1879</v>
      </c>
      <c r="E92" s="331">
        <v>1</v>
      </c>
      <c r="F92" s="437" t="s">
        <v>1575</v>
      </c>
      <c r="G92" s="437" t="s">
        <v>1575</v>
      </c>
      <c r="H92" s="331" t="s">
        <v>709</v>
      </c>
      <c r="I92" s="331" t="s">
        <v>18</v>
      </c>
      <c r="J92" s="331" t="s">
        <v>2009</v>
      </c>
      <c r="K92" s="340">
        <v>22090.799999999999</v>
      </c>
      <c r="L92" s="331" t="s">
        <v>19</v>
      </c>
      <c r="M92" s="344">
        <v>45866</v>
      </c>
      <c r="N92" s="344">
        <v>46230</v>
      </c>
      <c r="O92" s="331" t="s">
        <v>22</v>
      </c>
      <c r="P92" s="331" t="s">
        <v>875</v>
      </c>
      <c r="Q92" s="362" t="str">
        <f t="shared" si="0"/>
        <v>LUIZ PAULO ARAUJO</v>
      </c>
      <c r="R92" s="331" t="str">
        <f t="shared" si="1"/>
        <v>LUIZ PAULO ARAUJO</v>
      </c>
      <c r="S92" s="331" t="s">
        <v>1639</v>
      </c>
      <c r="T92" s="331" t="s">
        <v>1640</v>
      </c>
      <c r="U92" s="331"/>
      <c r="V92" s="331"/>
      <c r="W92" s="331"/>
      <c r="X92" s="342"/>
    </row>
    <row r="93" spans="1:24" ht="35.1" hidden="1" customHeight="1" x14ac:dyDescent="0.2">
      <c r="A93" s="331" t="s">
        <v>1644</v>
      </c>
      <c r="B93" s="331" t="s">
        <v>1643</v>
      </c>
      <c r="C93" s="331">
        <v>3047310</v>
      </c>
      <c r="D93" s="331" t="s">
        <v>1879</v>
      </c>
      <c r="E93" s="331">
        <v>60</v>
      </c>
      <c r="F93" s="437" t="s">
        <v>1575</v>
      </c>
      <c r="G93" s="437" t="s">
        <v>1575</v>
      </c>
      <c r="H93" s="331" t="s">
        <v>709</v>
      </c>
      <c r="I93" s="331" t="s">
        <v>18</v>
      </c>
      <c r="J93" s="331" t="s">
        <v>2010</v>
      </c>
      <c r="K93" s="340">
        <v>215100</v>
      </c>
      <c r="L93" s="331" t="s">
        <v>19</v>
      </c>
      <c r="M93" s="344">
        <v>45889</v>
      </c>
      <c r="N93" s="344">
        <v>46253</v>
      </c>
      <c r="O93" s="331" t="s">
        <v>208</v>
      </c>
      <c r="P93" s="331" t="s">
        <v>876</v>
      </c>
      <c r="Q93" s="362" t="str">
        <f t="shared" si="0"/>
        <v xml:space="preserve">GLAUBER HENRIQUE DOS SANTOS </v>
      </c>
      <c r="R93" s="331" t="str">
        <f t="shared" si="1"/>
        <v xml:space="preserve">GLAUBER HENRIQUE DOS SANTOS </v>
      </c>
      <c r="S93" s="331"/>
      <c r="T93" s="331"/>
      <c r="U93" s="331"/>
      <c r="V93" s="331"/>
      <c r="W93" s="331"/>
      <c r="X93" s="342"/>
    </row>
    <row r="94" spans="1:24" s="326" customFormat="1" ht="35.1" hidden="1" customHeight="1" x14ac:dyDescent="0.25">
      <c r="A94" s="331">
        <v>4600059922</v>
      </c>
      <c r="B94" s="331" t="s">
        <v>1645</v>
      </c>
      <c r="C94" s="331">
        <v>157367</v>
      </c>
      <c r="D94" s="329" t="s">
        <v>1880</v>
      </c>
      <c r="E94" s="356">
        <v>75</v>
      </c>
      <c r="F94" s="437" t="s">
        <v>1575</v>
      </c>
      <c r="G94" s="437" t="s">
        <v>1575</v>
      </c>
      <c r="H94" s="331" t="s">
        <v>709</v>
      </c>
      <c r="I94" s="331" t="s">
        <v>18</v>
      </c>
      <c r="J94" s="331" t="s">
        <v>2012</v>
      </c>
      <c r="K94" s="340">
        <v>1200000</v>
      </c>
      <c r="L94" s="329" t="s">
        <v>19</v>
      </c>
      <c r="M94" s="344">
        <v>45870</v>
      </c>
      <c r="N94" s="344">
        <v>46598</v>
      </c>
      <c r="O94" s="331" t="s">
        <v>29</v>
      </c>
      <c r="P94" s="329" t="s">
        <v>30</v>
      </c>
      <c r="Q94" s="362" t="str">
        <f>UPPER(P94:P285)</f>
        <v>MANFREDO SAHB CARCUTE</v>
      </c>
      <c r="R94" s="331" t="str">
        <f>UPPER(Q94:Q281)</f>
        <v>MANFREDO SAHB CARCUTE</v>
      </c>
      <c r="S94" s="331"/>
      <c r="T94" s="331"/>
      <c r="U94" s="331"/>
      <c r="V94" s="331"/>
      <c r="W94" s="331"/>
      <c r="X94" s="330"/>
    </row>
    <row r="95" spans="1:24" ht="35.1" hidden="1" customHeight="1" x14ac:dyDescent="0.2">
      <c r="A95" s="331">
        <v>4600059934</v>
      </c>
      <c r="B95" s="331" t="s">
        <v>1658</v>
      </c>
      <c r="C95" s="331">
        <v>180909</v>
      </c>
      <c r="D95" s="329" t="s">
        <v>1880</v>
      </c>
      <c r="E95" s="356">
        <v>30</v>
      </c>
      <c r="F95" s="437" t="s">
        <v>1575</v>
      </c>
      <c r="G95" s="437" t="s">
        <v>1575</v>
      </c>
      <c r="H95" s="331" t="s">
        <v>709</v>
      </c>
      <c r="I95" s="331" t="s">
        <v>18</v>
      </c>
      <c r="J95" s="331" t="s">
        <v>2013</v>
      </c>
      <c r="K95" s="340">
        <v>93685.2</v>
      </c>
      <c r="L95" s="331" t="s">
        <v>19</v>
      </c>
      <c r="M95" s="344">
        <v>45945</v>
      </c>
      <c r="N95" s="344">
        <v>46309</v>
      </c>
      <c r="O95" s="331" t="s">
        <v>29</v>
      </c>
      <c r="P95" s="329" t="s">
        <v>2022</v>
      </c>
      <c r="Q95" s="362" t="str">
        <f>UPPER(P95:P286)</f>
        <v xml:space="preserve">DANIELLA PEREIRA DE ARAUJO </v>
      </c>
      <c r="R95" s="331" t="str">
        <f>UPPER(Q95:Q282)</f>
        <v xml:space="preserve">DANIELLA PEREIRA DE ARAUJO </v>
      </c>
      <c r="S95" s="417" t="s">
        <v>1660</v>
      </c>
      <c r="T95" s="418" t="s">
        <v>1661</v>
      </c>
      <c r="U95" s="418" t="s">
        <v>1662</v>
      </c>
      <c r="V95" s="419" t="s">
        <v>1663</v>
      </c>
      <c r="W95" s="331"/>
      <c r="X95" s="342"/>
    </row>
    <row r="96" spans="1:24" ht="35.1" hidden="1" customHeight="1" x14ac:dyDescent="0.2">
      <c r="A96" s="331">
        <v>4600059936</v>
      </c>
      <c r="B96" s="331" t="s">
        <v>1646</v>
      </c>
      <c r="C96" s="331">
        <v>3037416</v>
      </c>
      <c r="D96" s="329" t="s">
        <v>1880</v>
      </c>
      <c r="E96" s="416">
        <v>60</v>
      </c>
      <c r="F96" s="437" t="s">
        <v>1575</v>
      </c>
      <c r="G96" s="437" t="s">
        <v>1575</v>
      </c>
      <c r="H96" s="331" t="s">
        <v>709</v>
      </c>
      <c r="I96" s="331" t="s">
        <v>18</v>
      </c>
      <c r="J96" s="331" t="s">
        <v>2014</v>
      </c>
      <c r="K96" s="343">
        <v>50000</v>
      </c>
      <c r="L96" s="331" t="s">
        <v>19</v>
      </c>
      <c r="M96" s="344">
        <v>45866</v>
      </c>
      <c r="N96" s="344">
        <v>46230</v>
      </c>
      <c r="O96" s="414" t="s">
        <v>93</v>
      </c>
      <c r="P96" s="331" t="s">
        <v>94</v>
      </c>
      <c r="Q96" s="362" t="str">
        <f>UPPER(P96:P287)</f>
        <v>GRAZIELA DE CASSIA CAPRARA</v>
      </c>
      <c r="R96" s="331" t="str">
        <f>UPPER(Q96:Q283)</f>
        <v>GRAZIELA DE CASSIA CAPRARA</v>
      </c>
      <c r="S96" s="341"/>
      <c r="T96" s="341"/>
      <c r="U96" s="341"/>
      <c r="V96" s="341"/>
      <c r="W96" s="341"/>
      <c r="X96" s="342"/>
    </row>
    <row r="97" spans="1:16379" ht="35.1" hidden="1" customHeight="1" x14ac:dyDescent="0.2">
      <c r="A97" s="331">
        <v>4600059939</v>
      </c>
      <c r="B97" s="331" t="s">
        <v>1647</v>
      </c>
      <c r="C97" s="331">
        <v>3047807</v>
      </c>
      <c r="D97" s="331" t="s">
        <v>1879</v>
      </c>
      <c r="E97" s="356">
        <v>30</v>
      </c>
      <c r="F97" s="437" t="s">
        <v>1575</v>
      </c>
      <c r="G97" s="437" t="s">
        <v>1575</v>
      </c>
      <c r="H97" s="331" t="s">
        <v>709</v>
      </c>
      <c r="I97" s="331" t="s">
        <v>18</v>
      </c>
      <c r="J97" s="331" t="s">
        <v>2015</v>
      </c>
      <c r="K97" s="340">
        <v>25200</v>
      </c>
      <c r="L97" s="331" t="s">
        <v>19</v>
      </c>
      <c r="M97" s="344">
        <v>45944</v>
      </c>
      <c r="N97" s="344">
        <v>46308</v>
      </c>
      <c r="O97" s="331" t="s">
        <v>142</v>
      </c>
      <c r="P97" s="331" t="s">
        <v>143</v>
      </c>
      <c r="Q97" s="362" t="str">
        <f>UPPER(P97:P288)</f>
        <v>LUCIANA DE OLIVEIRA CARMO</v>
      </c>
      <c r="R97" s="331" t="str">
        <f>UPPER(Q97:Q284)</f>
        <v>LUCIANA DE OLIVEIRA CARMO</v>
      </c>
      <c r="S97" s="417" t="s">
        <v>1664</v>
      </c>
      <c r="T97" s="417" t="s">
        <v>1665</v>
      </c>
      <c r="U97" s="418"/>
      <c r="V97" s="419" t="s">
        <v>1666</v>
      </c>
      <c r="W97" s="341"/>
      <c r="X97" s="342"/>
    </row>
    <row r="98" spans="1:16379" ht="35.1" hidden="1" customHeight="1" x14ac:dyDescent="0.2">
      <c r="A98" s="331">
        <v>4600058385</v>
      </c>
      <c r="B98" s="331" t="s">
        <v>55</v>
      </c>
      <c r="C98" s="331">
        <v>3024898</v>
      </c>
      <c r="D98" s="329" t="s">
        <v>1880</v>
      </c>
      <c r="E98" s="362">
        <v>1</v>
      </c>
      <c r="F98" s="437" t="s">
        <v>1575</v>
      </c>
      <c r="G98" s="437" t="s">
        <v>1575</v>
      </c>
      <c r="H98" s="331" t="s">
        <v>709</v>
      </c>
      <c r="I98" s="331" t="s">
        <v>18</v>
      </c>
      <c r="J98" s="331" t="s">
        <v>2016</v>
      </c>
      <c r="K98" s="343">
        <v>738504.18</v>
      </c>
      <c r="L98" s="331" t="s">
        <v>19</v>
      </c>
      <c r="M98" s="344">
        <v>45960</v>
      </c>
      <c r="N98" s="385">
        <v>47785</v>
      </c>
      <c r="O98" s="331" t="s">
        <v>208</v>
      </c>
      <c r="P98" s="331" t="s">
        <v>876</v>
      </c>
      <c r="Q98" s="362" t="str">
        <f>UPPER(P98:P289)</f>
        <v xml:space="preserve">GLAUBER HENRIQUE DOS SANTOS </v>
      </c>
      <c r="R98" s="331" t="str">
        <f>UPPER(Q98:Q285)</f>
        <v xml:space="preserve">GLAUBER HENRIQUE DOS SANTOS </v>
      </c>
      <c r="S98" s="341"/>
      <c r="T98" s="341"/>
      <c r="U98" s="341"/>
      <c r="V98" s="341"/>
      <c r="W98" s="341"/>
      <c r="X98" s="342"/>
    </row>
    <row r="99" spans="1:16379" s="326" customFormat="1" ht="35.1" hidden="1" customHeight="1" x14ac:dyDescent="0.25">
      <c r="A99" s="329">
        <v>4600056630</v>
      </c>
      <c r="B99" s="329" t="s">
        <v>154</v>
      </c>
      <c r="C99" s="331">
        <v>102369</v>
      </c>
      <c r="D99" s="329" t="s">
        <v>1881</v>
      </c>
      <c r="E99" s="329">
        <v>90</v>
      </c>
      <c r="F99" s="437" t="s">
        <v>1575</v>
      </c>
      <c r="G99" s="437" t="s">
        <v>1575</v>
      </c>
      <c r="H99" s="329" t="s">
        <v>710</v>
      </c>
      <c r="I99" s="329" t="s">
        <v>18</v>
      </c>
      <c r="J99" s="358" t="s">
        <v>1907</v>
      </c>
      <c r="K99" s="359">
        <v>2645878.3199999998</v>
      </c>
      <c r="L99" s="329" t="s">
        <v>19</v>
      </c>
      <c r="M99" s="360">
        <v>44914</v>
      </c>
      <c r="N99" s="449">
        <v>46010</v>
      </c>
      <c r="O99" s="331" t="s">
        <v>22</v>
      </c>
      <c r="P99" s="331" t="s">
        <v>211</v>
      </c>
      <c r="Q99" s="362" t="str">
        <f>UPPER(P99:P279)</f>
        <v>WALDEMAR JUNIOR</v>
      </c>
      <c r="R99" s="331" t="str">
        <f>UPPER(Q99:Q275)</f>
        <v>WALDEMAR JUNIOR</v>
      </c>
      <c r="S99" s="331" t="s">
        <v>1005</v>
      </c>
      <c r="T99" s="331" t="s">
        <v>1007</v>
      </c>
      <c r="U99" s="331" t="s">
        <v>432</v>
      </c>
      <c r="V99" s="331" t="s">
        <v>1006</v>
      </c>
      <c r="W99" s="331"/>
      <c r="X99" s="330"/>
    </row>
    <row r="100" spans="1:16379" s="326" customFormat="1" ht="35.1" hidden="1" customHeight="1" x14ac:dyDescent="0.25">
      <c r="A100" s="331">
        <v>4600057761</v>
      </c>
      <c r="B100" s="331" t="s">
        <v>215</v>
      </c>
      <c r="C100" s="331">
        <v>3044243</v>
      </c>
      <c r="D100" s="329" t="s">
        <v>1880</v>
      </c>
      <c r="E100" s="331">
        <v>60</v>
      </c>
      <c r="F100" s="437" t="s">
        <v>1575</v>
      </c>
      <c r="G100" s="437" t="s">
        <v>1575</v>
      </c>
      <c r="H100" s="331" t="s">
        <v>710</v>
      </c>
      <c r="I100" s="331" t="s">
        <v>18</v>
      </c>
      <c r="J100" s="331" t="s">
        <v>1915</v>
      </c>
      <c r="K100" s="340">
        <v>226620</v>
      </c>
      <c r="L100" s="331" t="s">
        <v>19</v>
      </c>
      <c r="M100" s="344">
        <v>45257</v>
      </c>
      <c r="N100" s="360">
        <v>46352</v>
      </c>
      <c r="O100" s="331" t="s">
        <v>22</v>
      </c>
      <c r="P100" s="331" t="s">
        <v>204</v>
      </c>
      <c r="Q100" s="362" t="str">
        <f>UPPER(P100:P281)</f>
        <v>PEDRO ANTONIO PERIASSU</v>
      </c>
      <c r="R100" s="331" t="str">
        <f>UPPER(Q100:Q277)</f>
        <v>PEDRO ANTONIO PERIASSU</v>
      </c>
      <c r="S100" s="331" t="s">
        <v>472</v>
      </c>
      <c r="T100" s="331" t="s">
        <v>470</v>
      </c>
      <c r="U100" s="331" t="s">
        <v>471</v>
      </c>
      <c r="V100" s="331" t="s">
        <v>469</v>
      </c>
      <c r="W100" s="331"/>
      <c r="X100" s="330"/>
    </row>
    <row r="101" spans="1:16379" s="326" customFormat="1" ht="35.1" hidden="1" customHeight="1" x14ac:dyDescent="0.25">
      <c r="A101" s="329">
        <v>4600058428</v>
      </c>
      <c r="B101" s="329" t="s">
        <v>150</v>
      </c>
      <c r="C101" s="329">
        <v>3042063</v>
      </c>
      <c r="D101" s="329" t="s">
        <v>1879</v>
      </c>
      <c r="E101" s="329">
        <v>45</v>
      </c>
      <c r="F101" s="437" t="s">
        <v>1575</v>
      </c>
      <c r="G101" s="437" t="s">
        <v>1575</v>
      </c>
      <c r="H101" s="329" t="s">
        <v>709</v>
      </c>
      <c r="I101" s="329" t="s">
        <v>18</v>
      </c>
      <c r="J101" s="358" t="s">
        <v>151</v>
      </c>
      <c r="K101" s="359">
        <v>33141.5</v>
      </c>
      <c r="L101" s="329" t="s">
        <v>19</v>
      </c>
      <c r="M101" s="360">
        <v>44804</v>
      </c>
      <c r="N101" s="360">
        <v>46264</v>
      </c>
      <c r="O101" s="331" t="s">
        <v>152</v>
      </c>
      <c r="P101" s="331" t="s">
        <v>30</v>
      </c>
      <c r="Q101" s="362" t="str">
        <f>UPPER(P101:P281)</f>
        <v>MANFREDO SAHB CARCUTE</v>
      </c>
      <c r="R101" s="331" t="str">
        <f>UPPER(Q101:Q277)</f>
        <v>MANFREDO SAHB CARCUTE</v>
      </c>
      <c r="S101" s="331" t="s">
        <v>431</v>
      </c>
      <c r="T101" s="331" t="s">
        <v>429</v>
      </c>
      <c r="U101" s="331" t="s">
        <v>430</v>
      </c>
      <c r="V101" s="331" t="s">
        <v>428</v>
      </c>
      <c r="W101" s="331"/>
      <c r="X101" s="330" t="s">
        <v>829</v>
      </c>
    </row>
    <row r="102" spans="1:16379" s="326" customFormat="1" ht="50.1" hidden="1" customHeight="1" x14ac:dyDescent="0.25">
      <c r="A102" s="331" t="s">
        <v>2031</v>
      </c>
      <c r="B102" s="331" t="s">
        <v>997</v>
      </c>
      <c r="C102" s="331">
        <v>3045388</v>
      </c>
      <c r="D102" s="329" t="s">
        <v>1879</v>
      </c>
      <c r="E102" s="331">
        <v>90</v>
      </c>
      <c r="F102" s="437" t="s">
        <v>1575</v>
      </c>
      <c r="G102" s="437" t="s">
        <v>1575</v>
      </c>
      <c r="H102" s="331" t="s">
        <v>709</v>
      </c>
      <c r="I102" s="329" t="s">
        <v>18</v>
      </c>
      <c r="J102" s="331" t="s">
        <v>1891</v>
      </c>
      <c r="K102" s="340">
        <v>13163356.359999999</v>
      </c>
      <c r="L102" s="331" t="s">
        <v>19</v>
      </c>
      <c r="M102" s="344">
        <v>45412</v>
      </c>
      <c r="N102" s="360">
        <v>46507</v>
      </c>
      <c r="O102" s="331" t="s">
        <v>22</v>
      </c>
      <c r="P102" s="331" t="s">
        <v>204</v>
      </c>
      <c r="Q102" s="362" t="str">
        <f>UPPER(P102:P102)</f>
        <v>PEDRO ANTONIO PERIASSU</v>
      </c>
      <c r="R102" s="331" t="str">
        <f>UPPER(Q102:Q102)</f>
        <v>PEDRO ANTONIO PERIASSU</v>
      </c>
      <c r="S102" s="331" t="s">
        <v>622</v>
      </c>
      <c r="T102" s="331" t="s">
        <v>623</v>
      </c>
      <c r="U102" s="331" t="s">
        <v>624</v>
      </c>
      <c r="V102" s="331"/>
      <c r="W102" s="389" t="s">
        <v>2036</v>
      </c>
      <c r="X102" s="330"/>
    </row>
    <row r="103" spans="1:16379" s="434" customFormat="1" ht="16.5" hidden="1" customHeight="1" x14ac:dyDescent="0.25">
      <c r="A103" s="435">
        <v>4600060064</v>
      </c>
      <c r="B103" s="437" t="s">
        <v>2067</v>
      </c>
      <c r="C103" s="437">
        <v>3047963</v>
      </c>
      <c r="D103" s="435" t="s">
        <v>568</v>
      </c>
      <c r="E103" s="437">
        <v>1</v>
      </c>
      <c r="F103" s="437" t="s">
        <v>1575</v>
      </c>
      <c r="G103" s="437" t="s">
        <v>1575</v>
      </c>
      <c r="H103" s="437" t="s">
        <v>709</v>
      </c>
      <c r="I103" s="437" t="s">
        <v>18</v>
      </c>
      <c r="J103" s="452" t="s">
        <v>2068</v>
      </c>
      <c r="K103" s="343">
        <v>120000</v>
      </c>
      <c r="L103" s="437" t="s">
        <v>19</v>
      </c>
      <c r="M103" s="441">
        <v>45952</v>
      </c>
      <c r="N103" s="441">
        <v>46316</v>
      </c>
      <c r="O103" s="442" t="s">
        <v>115</v>
      </c>
      <c r="P103" s="442" t="s">
        <v>116</v>
      </c>
      <c r="Q103" s="446" t="str">
        <f>UPPER(P103:P291)</f>
        <v>ROGER ALLAN MAIA MALHEIROS</v>
      </c>
      <c r="R103" s="437" t="s">
        <v>263</v>
      </c>
      <c r="S103" s="452"/>
      <c r="T103" s="452"/>
      <c r="U103" s="452"/>
      <c r="V103" s="452"/>
      <c r="W103" s="452"/>
      <c r="X103" s="437"/>
    </row>
    <row r="104" spans="1:16379" s="433" customFormat="1" ht="35.1" hidden="1" customHeight="1" x14ac:dyDescent="0.25">
      <c r="A104" s="435">
        <v>4600059872</v>
      </c>
      <c r="B104" s="443" t="s">
        <v>76</v>
      </c>
      <c r="C104" s="435">
        <v>3036329</v>
      </c>
      <c r="D104" s="435" t="s">
        <v>1881</v>
      </c>
      <c r="E104" s="435">
        <v>60</v>
      </c>
      <c r="F104" s="437" t="s">
        <v>1575</v>
      </c>
      <c r="G104" s="437" t="s">
        <v>1575</v>
      </c>
      <c r="H104" s="435" t="s">
        <v>710</v>
      </c>
      <c r="I104" s="435" t="s">
        <v>18</v>
      </c>
      <c r="J104" s="447" t="s">
        <v>1932</v>
      </c>
      <c r="K104" s="359">
        <v>4429203.4800000004</v>
      </c>
      <c r="L104" s="435" t="s">
        <v>19</v>
      </c>
      <c r="M104" s="444">
        <v>44007</v>
      </c>
      <c r="N104" s="444">
        <v>46197</v>
      </c>
      <c r="O104" s="437" t="s">
        <v>29</v>
      </c>
      <c r="P104" s="437" t="s">
        <v>30</v>
      </c>
      <c r="Q104" s="446" t="str">
        <f>UPPER(P104:P204)</f>
        <v>MANFREDO SAHB CARCUTE</v>
      </c>
      <c r="R104" s="437" t="str">
        <f>UPPER(Q104:Q200)</f>
        <v>MANFREDO SAHB CARCUTE</v>
      </c>
      <c r="S104" s="437" t="s">
        <v>360</v>
      </c>
      <c r="T104" s="437" t="s">
        <v>359</v>
      </c>
      <c r="U104" s="437" t="s">
        <v>308</v>
      </c>
      <c r="V104" s="437" t="s">
        <v>358</v>
      </c>
      <c r="W104" s="437"/>
      <c r="X104" s="436"/>
    </row>
    <row r="105" spans="1:16379" ht="21" hidden="1" customHeight="1" x14ac:dyDescent="0.2">
      <c r="A105" s="435">
        <v>4600058139</v>
      </c>
      <c r="B105" s="435" t="s">
        <v>89</v>
      </c>
      <c r="C105" s="435">
        <v>3008003</v>
      </c>
      <c r="D105" s="435" t="s">
        <v>1881</v>
      </c>
      <c r="E105" s="437">
        <v>60</v>
      </c>
      <c r="F105" s="447" t="s">
        <v>1575</v>
      </c>
      <c r="G105" s="435" t="s">
        <v>1575</v>
      </c>
      <c r="H105" s="443" t="s">
        <v>1902</v>
      </c>
      <c r="I105" s="444">
        <v>46173</v>
      </c>
      <c r="J105" s="437" t="s">
        <v>22</v>
      </c>
      <c r="K105" s="437" t="s">
        <v>883</v>
      </c>
      <c r="L105" s="446" t="s">
        <v>883</v>
      </c>
      <c r="M105" s="437" t="s">
        <v>883</v>
      </c>
      <c r="N105" s="437" t="s">
        <v>928</v>
      </c>
      <c r="O105" s="437" t="s">
        <v>926</v>
      </c>
      <c r="P105" s="437"/>
      <c r="Q105" s="367" t="s">
        <v>927</v>
      </c>
      <c r="R105" s="437" t="s">
        <v>929</v>
      </c>
      <c r="S105" s="436" t="s">
        <v>879</v>
      </c>
      <c r="T105" s="433"/>
      <c r="U105" s="433"/>
      <c r="V105" s="433"/>
      <c r="W105" s="433"/>
      <c r="X105" s="433"/>
      <c r="Y105" s="433"/>
      <c r="Z105" s="433"/>
      <c r="AA105" s="433"/>
      <c r="AB105" s="433"/>
      <c r="AC105" s="433"/>
      <c r="AD105" s="433"/>
      <c r="AE105" s="433"/>
      <c r="AF105" s="433"/>
      <c r="AG105" s="433"/>
      <c r="AH105" s="433"/>
      <c r="AI105" s="433"/>
      <c r="AJ105" s="433"/>
      <c r="AK105" s="433"/>
      <c r="AL105" s="433"/>
      <c r="AM105" s="433"/>
      <c r="AN105" s="433"/>
      <c r="AO105" s="433"/>
      <c r="AP105" s="433"/>
      <c r="AQ105" s="433"/>
      <c r="AR105" s="433"/>
      <c r="AS105" s="433"/>
      <c r="AT105" s="433"/>
      <c r="AU105" s="433"/>
      <c r="AV105" s="433"/>
      <c r="AW105" s="433"/>
      <c r="AX105" s="433"/>
      <c r="AY105" s="433"/>
      <c r="AZ105" s="433"/>
      <c r="BA105" s="433"/>
      <c r="BB105" s="433"/>
      <c r="BC105" s="433"/>
      <c r="BD105" s="433"/>
      <c r="BE105" s="433"/>
      <c r="BF105" s="433"/>
      <c r="BG105" s="433"/>
      <c r="BH105" s="433"/>
      <c r="BI105" s="433"/>
      <c r="BJ105" s="433"/>
      <c r="BK105" s="433"/>
      <c r="BL105" s="433"/>
      <c r="BM105" s="433"/>
      <c r="BN105" s="433"/>
      <c r="BO105" s="433"/>
      <c r="BP105" s="433"/>
      <c r="BQ105" s="433"/>
      <c r="BR105" s="433"/>
      <c r="BS105" s="433"/>
      <c r="BT105" s="433"/>
      <c r="BU105" s="433"/>
      <c r="BV105" s="433"/>
      <c r="BW105" s="433"/>
      <c r="BX105" s="433"/>
      <c r="BY105" s="433"/>
      <c r="BZ105" s="433"/>
      <c r="CA105" s="433"/>
      <c r="CB105" s="433"/>
      <c r="CC105" s="433"/>
      <c r="CD105" s="433"/>
      <c r="CE105" s="433"/>
      <c r="CF105" s="433"/>
      <c r="CG105" s="433"/>
      <c r="CH105" s="433"/>
      <c r="CI105" s="433"/>
      <c r="CJ105" s="433"/>
      <c r="CK105" s="433"/>
      <c r="CL105" s="433"/>
      <c r="CM105" s="433"/>
      <c r="CN105" s="433"/>
      <c r="CO105" s="433"/>
      <c r="CP105" s="433"/>
      <c r="CQ105" s="433"/>
      <c r="CR105" s="433"/>
      <c r="CS105" s="433"/>
      <c r="CT105" s="433"/>
      <c r="CU105" s="433"/>
      <c r="CV105" s="433"/>
      <c r="CW105" s="433"/>
      <c r="CX105" s="433"/>
      <c r="CY105" s="433"/>
      <c r="CZ105" s="433"/>
      <c r="DA105" s="433"/>
      <c r="DB105" s="433"/>
      <c r="DC105" s="433"/>
      <c r="DD105" s="433"/>
      <c r="DE105" s="433"/>
      <c r="DF105" s="433"/>
      <c r="DG105" s="433"/>
      <c r="DH105" s="433"/>
      <c r="DI105" s="433"/>
      <c r="DJ105" s="433"/>
      <c r="DK105" s="433"/>
      <c r="DL105" s="433"/>
      <c r="DM105" s="433"/>
      <c r="DN105" s="433"/>
      <c r="DO105" s="433"/>
      <c r="DP105" s="433"/>
      <c r="DQ105" s="433"/>
      <c r="DR105" s="433"/>
      <c r="DS105" s="433"/>
      <c r="DT105" s="433"/>
      <c r="DU105" s="433"/>
      <c r="DV105" s="433"/>
      <c r="DW105" s="433"/>
      <c r="DX105" s="433"/>
      <c r="DY105" s="433"/>
      <c r="DZ105" s="433"/>
      <c r="EA105" s="433"/>
      <c r="EB105" s="433"/>
      <c r="EC105" s="433"/>
      <c r="ED105" s="433"/>
      <c r="EE105" s="433"/>
      <c r="EF105" s="433"/>
      <c r="EG105" s="433"/>
      <c r="EH105" s="433"/>
      <c r="EI105" s="433"/>
      <c r="EJ105" s="433"/>
      <c r="EK105" s="433"/>
      <c r="EL105" s="433"/>
      <c r="EM105" s="433"/>
      <c r="EN105" s="433"/>
      <c r="EO105" s="433"/>
      <c r="EP105" s="433"/>
      <c r="EQ105" s="433"/>
      <c r="ER105" s="433"/>
      <c r="ES105" s="433"/>
      <c r="ET105" s="433"/>
      <c r="EU105" s="433"/>
      <c r="EV105" s="433"/>
      <c r="EW105" s="433"/>
      <c r="EX105" s="433"/>
      <c r="EY105" s="433"/>
      <c r="EZ105" s="433"/>
      <c r="FA105" s="433"/>
      <c r="FB105" s="433"/>
      <c r="FC105" s="433"/>
      <c r="FD105" s="433"/>
      <c r="FE105" s="433"/>
      <c r="FF105" s="433"/>
      <c r="FG105" s="433"/>
      <c r="FH105" s="433"/>
      <c r="FI105" s="433"/>
      <c r="FJ105" s="433"/>
      <c r="FK105" s="433"/>
      <c r="FL105" s="433"/>
      <c r="FM105" s="433"/>
      <c r="FN105" s="433"/>
      <c r="FO105" s="433"/>
      <c r="FP105" s="433"/>
      <c r="FQ105" s="433"/>
      <c r="FR105" s="433"/>
      <c r="FS105" s="433"/>
      <c r="FT105" s="433"/>
      <c r="FU105" s="433"/>
      <c r="FV105" s="433"/>
      <c r="FW105" s="433"/>
      <c r="FX105" s="433"/>
      <c r="FY105" s="433"/>
      <c r="FZ105" s="433"/>
      <c r="GA105" s="433"/>
      <c r="GB105" s="433"/>
      <c r="GC105" s="433"/>
      <c r="GD105" s="433"/>
      <c r="GE105" s="433"/>
      <c r="GF105" s="433"/>
      <c r="GG105" s="433"/>
      <c r="GH105" s="433"/>
      <c r="GI105" s="433"/>
      <c r="GJ105" s="433"/>
      <c r="GK105" s="433"/>
      <c r="GL105" s="433"/>
      <c r="GM105" s="433"/>
      <c r="GN105" s="433"/>
      <c r="GO105" s="433"/>
      <c r="GP105" s="433"/>
      <c r="GQ105" s="433"/>
      <c r="GR105" s="433"/>
      <c r="GS105" s="433"/>
      <c r="GT105" s="433"/>
      <c r="GU105" s="433"/>
      <c r="GV105" s="433"/>
      <c r="GW105" s="433"/>
      <c r="GX105" s="433"/>
      <c r="GY105" s="433"/>
      <c r="GZ105" s="433"/>
      <c r="HA105" s="433"/>
      <c r="HB105" s="433"/>
      <c r="HC105" s="433"/>
      <c r="HD105" s="433"/>
      <c r="HE105" s="433"/>
      <c r="HF105" s="433"/>
      <c r="HG105" s="433"/>
      <c r="HH105" s="433"/>
      <c r="HI105" s="433"/>
      <c r="HJ105" s="433"/>
      <c r="HK105" s="433"/>
      <c r="HL105" s="433"/>
      <c r="HM105" s="433"/>
      <c r="HN105" s="433"/>
      <c r="HO105" s="433"/>
      <c r="HP105" s="433"/>
      <c r="HQ105" s="433"/>
      <c r="HR105" s="433"/>
      <c r="HS105" s="433"/>
      <c r="HT105" s="433"/>
      <c r="HU105" s="433"/>
      <c r="HV105" s="433"/>
      <c r="HW105" s="433"/>
      <c r="HX105" s="433"/>
      <c r="HY105" s="433"/>
      <c r="HZ105" s="433"/>
      <c r="IA105" s="433"/>
      <c r="IB105" s="433"/>
      <c r="IC105" s="433"/>
      <c r="ID105" s="433"/>
      <c r="IE105" s="433"/>
      <c r="IF105" s="433"/>
      <c r="IG105" s="433"/>
      <c r="IH105" s="433"/>
      <c r="II105" s="433"/>
      <c r="IJ105" s="433"/>
      <c r="IK105" s="433"/>
      <c r="IL105" s="433"/>
      <c r="IM105" s="433"/>
      <c r="IN105" s="433"/>
      <c r="IO105" s="433"/>
      <c r="IP105" s="433"/>
      <c r="IQ105" s="433"/>
      <c r="IR105" s="433"/>
      <c r="IS105" s="433"/>
      <c r="IT105" s="433"/>
      <c r="IU105" s="433"/>
      <c r="IV105" s="433"/>
      <c r="IW105" s="433"/>
      <c r="IX105" s="433"/>
      <c r="IY105" s="433"/>
      <c r="IZ105" s="433"/>
      <c r="JA105" s="433"/>
      <c r="JB105" s="433"/>
      <c r="JC105" s="433"/>
      <c r="JD105" s="433"/>
      <c r="JE105" s="433"/>
      <c r="JF105" s="433"/>
      <c r="JG105" s="433"/>
      <c r="JH105" s="433"/>
      <c r="JI105" s="433"/>
      <c r="JJ105" s="433"/>
      <c r="JK105" s="433"/>
      <c r="JL105" s="433"/>
      <c r="JM105" s="433"/>
      <c r="JN105" s="433"/>
      <c r="JO105" s="433"/>
      <c r="JP105" s="433"/>
      <c r="JQ105" s="433"/>
      <c r="JR105" s="433"/>
      <c r="JS105" s="433"/>
      <c r="JT105" s="433"/>
      <c r="JU105" s="433"/>
      <c r="JV105" s="433"/>
      <c r="JW105" s="433"/>
      <c r="JX105" s="433"/>
      <c r="JY105" s="433"/>
      <c r="JZ105" s="433"/>
      <c r="KA105" s="433"/>
      <c r="KB105" s="433"/>
      <c r="KC105" s="433"/>
      <c r="KD105" s="433"/>
      <c r="KE105" s="433"/>
      <c r="KF105" s="433"/>
      <c r="KG105" s="433"/>
      <c r="KH105" s="433"/>
      <c r="KI105" s="433"/>
      <c r="KJ105" s="433"/>
      <c r="KK105" s="433"/>
      <c r="KL105" s="433"/>
      <c r="KM105" s="433"/>
      <c r="KN105" s="433"/>
      <c r="KO105" s="433"/>
      <c r="KP105" s="433"/>
      <c r="KQ105" s="433"/>
      <c r="KR105" s="433"/>
      <c r="KS105" s="433"/>
      <c r="KT105" s="433"/>
      <c r="KU105" s="433"/>
      <c r="KV105" s="433"/>
      <c r="KW105" s="433"/>
      <c r="KX105" s="433"/>
      <c r="KY105" s="433"/>
      <c r="KZ105" s="433"/>
      <c r="LA105" s="433"/>
      <c r="LB105" s="433"/>
      <c r="LC105" s="433"/>
      <c r="LD105" s="433"/>
      <c r="LE105" s="433"/>
      <c r="LF105" s="433"/>
      <c r="LG105" s="433"/>
      <c r="LH105" s="433"/>
      <c r="LI105" s="433"/>
      <c r="LJ105" s="433"/>
      <c r="LK105" s="433"/>
      <c r="LL105" s="433"/>
      <c r="LM105" s="433"/>
      <c r="LN105" s="433"/>
      <c r="LO105" s="433"/>
      <c r="LP105" s="433"/>
      <c r="LQ105" s="433"/>
      <c r="LR105" s="433"/>
      <c r="LS105" s="433"/>
      <c r="LT105" s="433"/>
      <c r="LU105" s="433"/>
      <c r="LV105" s="433"/>
      <c r="LW105" s="433"/>
      <c r="LX105" s="433"/>
      <c r="LY105" s="433"/>
      <c r="LZ105" s="433"/>
      <c r="MA105" s="433"/>
      <c r="MB105" s="433"/>
      <c r="MC105" s="433"/>
      <c r="MD105" s="433"/>
      <c r="ME105" s="433"/>
      <c r="MF105" s="433"/>
      <c r="MG105" s="433"/>
      <c r="MH105" s="433"/>
      <c r="MI105" s="433"/>
      <c r="MJ105" s="433"/>
      <c r="MK105" s="433"/>
      <c r="ML105" s="433"/>
      <c r="MM105" s="433"/>
      <c r="MN105" s="433"/>
      <c r="MO105" s="433"/>
      <c r="MP105" s="433"/>
      <c r="MQ105" s="433"/>
      <c r="MR105" s="433"/>
      <c r="MS105" s="433"/>
      <c r="MT105" s="433"/>
      <c r="MU105" s="433"/>
      <c r="MV105" s="433"/>
      <c r="MW105" s="433"/>
      <c r="MX105" s="433"/>
      <c r="MY105" s="433"/>
      <c r="MZ105" s="433"/>
      <c r="NA105" s="433"/>
      <c r="NB105" s="433"/>
      <c r="NC105" s="433"/>
      <c r="ND105" s="433"/>
      <c r="NE105" s="433"/>
      <c r="NF105" s="433"/>
      <c r="NG105" s="433"/>
      <c r="NH105" s="433"/>
      <c r="NI105" s="433"/>
      <c r="NJ105" s="433"/>
      <c r="NK105" s="433"/>
      <c r="NL105" s="433"/>
      <c r="NM105" s="433"/>
      <c r="NN105" s="433"/>
      <c r="NO105" s="433"/>
      <c r="NP105" s="433"/>
      <c r="NQ105" s="433"/>
      <c r="NR105" s="433"/>
      <c r="NS105" s="433"/>
      <c r="NT105" s="433"/>
      <c r="NU105" s="433"/>
      <c r="NV105" s="433"/>
      <c r="NW105" s="433"/>
      <c r="NX105" s="433"/>
      <c r="NY105" s="433"/>
      <c r="NZ105" s="433"/>
      <c r="OA105" s="433"/>
      <c r="OB105" s="433"/>
      <c r="OC105" s="433"/>
      <c r="OD105" s="433"/>
      <c r="OE105" s="433"/>
      <c r="OF105" s="433"/>
      <c r="OG105" s="433"/>
      <c r="OH105" s="433"/>
      <c r="OI105" s="433"/>
      <c r="OJ105" s="433"/>
      <c r="OK105" s="433"/>
      <c r="OL105" s="433"/>
      <c r="OM105" s="433"/>
      <c r="ON105" s="433"/>
      <c r="OO105" s="433"/>
      <c r="OP105" s="433"/>
      <c r="OQ105" s="433"/>
      <c r="OR105" s="433"/>
      <c r="OS105" s="433"/>
      <c r="OT105" s="433"/>
      <c r="OU105" s="433"/>
      <c r="OV105" s="433"/>
      <c r="OW105" s="433"/>
      <c r="OX105" s="433"/>
      <c r="OY105" s="433"/>
      <c r="OZ105" s="433"/>
      <c r="PA105" s="433"/>
      <c r="PB105" s="433"/>
      <c r="PC105" s="433"/>
      <c r="PD105" s="433"/>
      <c r="PE105" s="433"/>
      <c r="PF105" s="433"/>
      <c r="PG105" s="433"/>
      <c r="PH105" s="433"/>
      <c r="PI105" s="433"/>
      <c r="PJ105" s="433"/>
      <c r="PK105" s="433"/>
      <c r="PL105" s="433"/>
      <c r="PM105" s="433"/>
      <c r="PN105" s="433"/>
      <c r="PO105" s="433"/>
      <c r="PP105" s="433"/>
      <c r="PQ105" s="433"/>
      <c r="PR105" s="433"/>
      <c r="PS105" s="433"/>
      <c r="PT105" s="433"/>
      <c r="PU105" s="433"/>
      <c r="PV105" s="433"/>
      <c r="PW105" s="433"/>
      <c r="PX105" s="433"/>
      <c r="PY105" s="433"/>
      <c r="PZ105" s="433"/>
      <c r="QA105" s="433"/>
      <c r="QB105" s="433"/>
      <c r="QC105" s="433"/>
      <c r="QD105" s="433"/>
      <c r="QE105" s="433"/>
      <c r="QF105" s="433"/>
      <c r="QG105" s="433"/>
      <c r="QH105" s="433"/>
      <c r="QI105" s="433"/>
      <c r="QJ105" s="433"/>
      <c r="QK105" s="433"/>
      <c r="QL105" s="433"/>
      <c r="QM105" s="433"/>
      <c r="QN105" s="433"/>
      <c r="QO105" s="433"/>
      <c r="QP105" s="433"/>
      <c r="QQ105" s="433"/>
      <c r="QR105" s="433"/>
      <c r="QS105" s="433"/>
      <c r="QT105" s="433"/>
      <c r="QU105" s="433"/>
      <c r="QV105" s="433"/>
      <c r="QW105" s="433"/>
      <c r="QX105" s="433"/>
      <c r="QY105" s="433"/>
      <c r="QZ105" s="433"/>
      <c r="RA105" s="433"/>
      <c r="RB105" s="433"/>
      <c r="RC105" s="433"/>
      <c r="RD105" s="433"/>
      <c r="RE105" s="433"/>
      <c r="RF105" s="433"/>
      <c r="RG105" s="433"/>
      <c r="RH105" s="433"/>
      <c r="RI105" s="433"/>
      <c r="RJ105" s="433"/>
      <c r="RK105" s="433"/>
      <c r="RL105" s="433"/>
      <c r="RM105" s="433"/>
      <c r="RN105" s="433"/>
      <c r="RO105" s="433"/>
      <c r="RP105" s="433"/>
      <c r="RQ105" s="433"/>
      <c r="RR105" s="433"/>
      <c r="RS105" s="433"/>
      <c r="RT105" s="433"/>
      <c r="RU105" s="433"/>
      <c r="RV105" s="433"/>
      <c r="RW105" s="433"/>
      <c r="RX105" s="433"/>
      <c r="RY105" s="433"/>
      <c r="RZ105" s="433"/>
      <c r="SA105" s="433"/>
      <c r="SB105" s="433"/>
      <c r="SC105" s="433"/>
      <c r="SD105" s="433"/>
      <c r="SE105" s="433"/>
      <c r="SF105" s="433"/>
      <c r="SG105" s="433"/>
      <c r="SH105" s="433"/>
      <c r="SI105" s="433"/>
      <c r="SJ105" s="433"/>
      <c r="SK105" s="433"/>
      <c r="SL105" s="433"/>
      <c r="SM105" s="433"/>
      <c r="SN105" s="433"/>
      <c r="SO105" s="433"/>
      <c r="SP105" s="433"/>
      <c r="SQ105" s="433"/>
      <c r="SR105" s="433"/>
      <c r="SS105" s="433"/>
      <c r="ST105" s="433"/>
      <c r="SU105" s="433"/>
      <c r="SV105" s="433"/>
      <c r="SW105" s="433"/>
      <c r="SX105" s="433"/>
      <c r="SY105" s="433"/>
      <c r="SZ105" s="433"/>
      <c r="TA105" s="433"/>
      <c r="TB105" s="433"/>
      <c r="TC105" s="433"/>
      <c r="TD105" s="433"/>
      <c r="TE105" s="433"/>
      <c r="TF105" s="433"/>
      <c r="TG105" s="433"/>
      <c r="TH105" s="433"/>
      <c r="TI105" s="433"/>
      <c r="TJ105" s="433"/>
      <c r="TK105" s="433"/>
      <c r="TL105" s="433"/>
      <c r="TM105" s="433"/>
      <c r="TN105" s="433"/>
      <c r="TO105" s="433"/>
      <c r="TP105" s="433"/>
      <c r="TQ105" s="433"/>
      <c r="TR105" s="433"/>
      <c r="TS105" s="433"/>
      <c r="TT105" s="433"/>
      <c r="TU105" s="433"/>
      <c r="TV105" s="433"/>
      <c r="TW105" s="433"/>
      <c r="TX105" s="433"/>
      <c r="TY105" s="433"/>
      <c r="TZ105" s="433"/>
      <c r="UA105" s="433"/>
      <c r="UB105" s="433"/>
      <c r="UC105" s="433"/>
      <c r="UD105" s="433"/>
      <c r="UE105" s="433"/>
      <c r="UF105" s="433"/>
      <c r="UG105" s="433"/>
      <c r="UH105" s="433"/>
      <c r="UI105" s="433"/>
      <c r="UJ105" s="433"/>
      <c r="UK105" s="433"/>
      <c r="UL105" s="433"/>
      <c r="UM105" s="433"/>
      <c r="UN105" s="433"/>
      <c r="UO105" s="433"/>
      <c r="UP105" s="433"/>
      <c r="UQ105" s="433"/>
      <c r="UR105" s="433"/>
      <c r="US105" s="433"/>
      <c r="UT105" s="433"/>
      <c r="UU105" s="433"/>
      <c r="UV105" s="433"/>
      <c r="UW105" s="433"/>
      <c r="UX105" s="433"/>
      <c r="UY105" s="433"/>
      <c r="UZ105" s="433"/>
      <c r="VA105" s="433"/>
      <c r="VB105" s="433"/>
      <c r="VC105" s="433"/>
      <c r="VD105" s="433"/>
      <c r="VE105" s="433"/>
      <c r="VF105" s="433"/>
      <c r="VG105" s="433"/>
      <c r="VH105" s="433"/>
      <c r="VI105" s="433"/>
      <c r="VJ105" s="433"/>
      <c r="VK105" s="433"/>
      <c r="VL105" s="433"/>
      <c r="VM105" s="433"/>
      <c r="VN105" s="433"/>
      <c r="VO105" s="433"/>
      <c r="VP105" s="433"/>
      <c r="VQ105" s="433"/>
      <c r="VR105" s="433"/>
      <c r="VS105" s="433"/>
      <c r="VT105" s="433"/>
      <c r="VU105" s="433"/>
      <c r="VV105" s="433"/>
      <c r="VW105" s="433"/>
      <c r="VX105" s="433"/>
      <c r="VY105" s="433"/>
      <c r="VZ105" s="433"/>
      <c r="WA105" s="433"/>
      <c r="WB105" s="433"/>
      <c r="WC105" s="433"/>
      <c r="WD105" s="433"/>
      <c r="WE105" s="433"/>
      <c r="WF105" s="433"/>
      <c r="WG105" s="433"/>
      <c r="WH105" s="433"/>
      <c r="WI105" s="433"/>
      <c r="WJ105" s="433"/>
      <c r="WK105" s="433"/>
      <c r="WL105" s="433"/>
      <c r="WM105" s="433"/>
      <c r="WN105" s="433"/>
      <c r="WO105" s="433"/>
      <c r="WP105" s="433"/>
      <c r="WQ105" s="433"/>
      <c r="WR105" s="433"/>
      <c r="WS105" s="433"/>
      <c r="WT105" s="433"/>
      <c r="WU105" s="433"/>
      <c r="WV105" s="433"/>
      <c r="WW105" s="433"/>
      <c r="WX105" s="433"/>
      <c r="WY105" s="433"/>
      <c r="WZ105" s="433"/>
      <c r="XA105" s="433"/>
      <c r="XB105" s="433"/>
      <c r="XC105" s="433"/>
      <c r="XD105" s="433"/>
      <c r="XE105" s="433"/>
      <c r="XF105" s="433"/>
      <c r="XG105" s="433"/>
      <c r="XH105" s="433"/>
      <c r="XI105" s="433"/>
      <c r="XJ105" s="433"/>
      <c r="XK105" s="433"/>
      <c r="XL105" s="433"/>
      <c r="XM105" s="433"/>
      <c r="XN105" s="433"/>
      <c r="XO105" s="433"/>
      <c r="XP105" s="433"/>
      <c r="XQ105" s="433"/>
      <c r="XR105" s="433"/>
      <c r="XS105" s="433"/>
      <c r="XT105" s="433"/>
      <c r="XU105" s="433"/>
      <c r="XV105" s="433"/>
      <c r="XW105" s="433"/>
      <c r="XX105" s="433"/>
      <c r="XY105" s="433"/>
      <c r="XZ105" s="433"/>
      <c r="YA105" s="433"/>
      <c r="YB105" s="433"/>
      <c r="YC105" s="433"/>
      <c r="YD105" s="433"/>
      <c r="YE105" s="433"/>
      <c r="YF105" s="433"/>
      <c r="YG105" s="433"/>
      <c r="YH105" s="433"/>
      <c r="YI105" s="433"/>
      <c r="YJ105" s="433"/>
      <c r="YK105" s="433"/>
      <c r="YL105" s="433"/>
      <c r="YM105" s="433"/>
      <c r="YN105" s="433"/>
      <c r="YO105" s="433"/>
      <c r="YP105" s="433"/>
      <c r="YQ105" s="433"/>
      <c r="YR105" s="433"/>
      <c r="YS105" s="433"/>
      <c r="YT105" s="433"/>
      <c r="YU105" s="433"/>
      <c r="YV105" s="433"/>
      <c r="YW105" s="433"/>
      <c r="YX105" s="433"/>
      <c r="YY105" s="433"/>
      <c r="YZ105" s="433"/>
      <c r="ZA105" s="433"/>
      <c r="ZB105" s="433"/>
      <c r="ZC105" s="433"/>
      <c r="ZD105" s="433"/>
      <c r="ZE105" s="433"/>
      <c r="ZF105" s="433"/>
      <c r="ZG105" s="433"/>
      <c r="ZH105" s="433"/>
      <c r="ZI105" s="433"/>
      <c r="ZJ105" s="433"/>
      <c r="ZK105" s="433"/>
      <c r="ZL105" s="433"/>
      <c r="ZM105" s="433"/>
      <c r="ZN105" s="433"/>
      <c r="ZO105" s="433"/>
      <c r="ZP105" s="433"/>
      <c r="ZQ105" s="433"/>
      <c r="ZR105" s="433"/>
      <c r="ZS105" s="433"/>
      <c r="ZT105" s="433"/>
      <c r="ZU105" s="433"/>
      <c r="ZV105" s="433"/>
      <c r="ZW105" s="433"/>
      <c r="ZX105" s="433"/>
      <c r="ZY105" s="433"/>
      <c r="ZZ105" s="433"/>
      <c r="AAA105" s="433"/>
      <c r="AAB105" s="433"/>
      <c r="AAC105" s="433"/>
      <c r="AAD105" s="433"/>
      <c r="AAE105" s="433"/>
      <c r="AAF105" s="433"/>
      <c r="AAG105" s="433"/>
      <c r="AAH105" s="433"/>
      <c r="AAI105" s="433"/>
      <c r="AAJ105" s="433"/>
      <c r="AAK105" s="433"/>
      <c r="AAL105" s="433"/>
      <c r="AAM105" s="433"/>
      <c r="AAN105" s="433"/>
      <c r="AAO105" s="433"/>
      <c r="AAP105" s="433"/>
      <c r="AAQ105" s="433"/>
      <c r="AAR105" s="433"/>
      <c r="AAS105" s="433"/>
      <c r="AAT105" s="433"/>
      <c r="AAU105" s="433"/>
      <c r="AAV105" s="433"/>
      <c r="AAW105" s="433"/>
      <c r="AAX105" s="433"/>
      <c r="AAY105" s="433"/>
      <c r="AAZ105" s="433"/>
      <c r="ABA105" s="433"/>
      <c r="ABB105" s="433"/>
      <c r="ABC105" s="433"/>
      <c r="ABD105" s="433"/>
      <c r="ABE105" s="433"/>
      <c r="ABF105" s="433"/>
      <c r="ABG105" s="433"/>
      <c r="ABH105" s="433"/>
      <c r="ABI105" s="433"/>
      <c r="ABJ105" s="433"/>
      <c r="ABK105" s="433"/>
      <c r="ABL105" s="433"/>
      <c r="ABM105" s="433"/>
      <c r="ABN105" s="433"/>
      <c r="ABO105" s="433"/>
      <c r="ABP105" s="433"/>
      <c r="ABQ105" s="433"/>
      <c r="ABR105" s="433"/>
      <c r="ABS105" s="433"/>
      <c r="ABT105" s="433"/>
      <c r="ABU105" s="433"/>
      <c r="ABV105" s="433"/>
      <c r="ABW105" s="433"/>
      <c r="ABX105" s="433"/>
      <c r="ABY105" s="433"/>
      <c r="ABZ105" s="433"/>
      <c r="ACA105" s="433"/>
      <c r="ACB105" s="433"/>
      <c r="ACC105" s="433"/>
      <c r="ACD105" s="433"/>
      <c r="ACE105" s="433"/>
      <c r="ACF105" s="433"/>
      <c r="ACG105" s="433"/>
      <c r="ACH105" s="433"/>
      <c r="ACI105" s="433"/>
      <c r="ACJ105" s="433"/>
      <c r="ACK105" s="433"/>
      <c r="ACL105" s="433"/>
      <c r="ACM105" s="433"/>
      <c r="ACN105" s="433"/>
      <c r="ACO105" s="433"/>
      <c r="ACP105" s="433"/>
      <c r="ACQ105" s="433"/>
      <c r="ACR105" s="433"/>
      <c r="ACS105" s="433"/>
      <c r="ACT105" s="433"/>
      <c r="ACU105" s="433"/>
      <c r="ACV105" s="433"/>
      <c r="ACW105" s="433"/>
      <c r="ACX105" s="433"/>
      <c r="ACY105" s="433"/>
      <c r="ACZ105" s="433"/>
      <c r="ADA105" s="433"/>
      <c r="ADB105" s="433"/>
      <c r="ADC105" s="433"/>
      <c r="ADD105" s="433"/>
      <c r="ADE105" s="433"/>
      <c r="ADF105" s="433"/>
      <c r="ADG105" s="433"/>
      <c r="ADH105" s="433"/>
      <c r="ADI105" s="433"/>
      <c r="ADJ105" s="433"/>
      <c r="ADK105" s="433"/>
      <c r="ADL105" s="433"/>
      <c r="ADM105" s="433"/>
      <c r="ADN105" s="433"/>
      <c r="ADO105" s="433"/>
      <c r="ADP105" s="433"/>
      <c r="ADQ105" s="433"/>
      <c r="ADR105" s="433"/>
      <c r="ADS105" s="433"/>
      <c r="ADT105" s="433"/>
      <c r="ADU105" s="433"/>
      <c r="ADV105" s="433"/>
      <c r="ADW105" s="433"/>
      <c r="ADX105" s="433"/>
      <c r="ADY105" s="433"/>
      <c r="ADZ105" s="433"/>
      <c r="AEA105" s="433"/>
      <c r="AEB105" s="433"/>
      <c r="AEC105" s="433"/>
      <c r="AED105" s="433"/>
      <c r="AEE105" s="433"/>
      <c r="AEF105" s="433"/>
      <c r="AEG105" s="433"/>
      <c r="AEH105" s="433"/>
      <c r="AEI105" s="433"/>
      <c r="AEJ105" s="433"/>
      <c r="AEK105" s="433"/>
      <c r="AEL105" s="433"/>
      <c r="AEM105" s="433"/>
      <c r="AEN105" s="433"/>
      <c r="AEO105" s="433"/>
      <c r="AEP105" s="433"/>
      <c r="AEQ105" s="433"/>
      <c r="AER105" s="433"/>
      <c r="AES105" s="433"/>
      <c r="AET105" s="433"/>
      <c r="AEU105" s="433"/>
      <c r="AEV105" s="433"/>
      <c r="AEW105" s="433"/>
      <c r="AEX105" s="433"/>
      <c r="AEY105" s="433"/>
      <c r="AEZ105" s="433"/>
      <c r="AFA105" s="433"/>
      <c r="AFB105" s="433"/>
      <c r="AFC105" s="433"/>
      <c r="AFD105" s="433"/>
      <c r="AFE105" s="433"/>
      <c r="AFF105" s="433"/>
      <c r="AFG105" s="433"/>
      <c r="AFH105" s="433"/>
      <c r="AFI105" s="433"/>
      <c r="AFJ105" s="433"/>
      <c r="AFK105" s="433"/>
      <c r="AFL105" s="433"/>
      <c r="AFM105" s="433"/>
      <c r="AFN105" s="433"/>
      <c r="AFO105" s="433"/>
      <c r="AFP105" s="433"/>
      <c r="AFQ105" s="433"/>
      <c r="AFR105" s="433"/>
      <c r="AFS105" s="433"/>
      <c r="AFT105" s="433"/>
      <c r="AFU105" s="433"/>
      <c r="AFV105" s="433"/>
      <c r="AFW105" s="433"/>
      <c r="AFX105" s="433"/>
      <c r="AFY105" s="433"/>
      <c r="AFZ105" s="433"/>
      <c r="AGA105" s="433"/>
      <c r="AGB105" s="433"/>
      <c r="AGC105" s="433"/>
      <c r="AGD105" s="433"/>
      <c r="AGE105" s="433"/>
      <c r="AGF105" s="433"/>
      <c r="AGG105" s="433"/>
      <c r="AGH105" s="433"/>
      <c r="AGI105" s="433"/>
      <c r="AGJ105" s="433"/>
      <c r="AGK105" s="433"/>
      <c r="AGL105" s="433"/>
      <c r="AGM105" s="433"/>
      <c r="AGN105" s="433"/>
      <c r="AGO105" s="433"/>
      <c r="AGP105" s="433"/>
      <c r="AGQ105" s="433"/>
      <c r="AGR105" s="433"/>
      <c r="AGS105" s="433"/>
      <c r="AGT105" s="433"/>
      <c r="AGU105" s="433"/>
      <c r="AGV105" s="433"/>
      <c r="AGW105" s="433"/>
      <c r="AGX105" s="433"/>
      <c r="AGY105" s="433"/>
      <c r="AGZ105" s="433"/>
      <c r="AHA105" s="433"/>
      <c r="AHB105" s="433"/>
      <c r="AHC105" s="433"/>
      <c r="AHD105" s="433"/>
      <c r="AHE105" s="433"/>
      <c r="AHF105" s="433"/>
      <c r="AHG105" s="433"/>
      <c r="AHH105" s="433"/>
      <c r="AHI105" s="433"/>
      <c r="AHJ105" s="433"/>
      <c r="AHK105" s="433"/>
      <c r="AHL105" s="433"/>
      <c r="AHM105" s="433"/>
      <c r="AHN105" s="433"/>
      <c r="AHO105" s="433"/>
      <c r="AHP105" s="433"/>
      <c r="AHQ105" s="433"/>
      <c r="AHR105" s="433"/>
      <c r="AHS105" s="433"/>
      <c r="AHT105" s="433"/>
      <c r="AHU105" s="433"/>
      <c r="AHV105" s="433"/>
      <c r="AHW105" s="433"/>
      <c r="AHX105" s="433"/>
      <c r="AHY105" s="433"/>
      <c r="AHZ105" s="433"/>
      <c r="AIA105" s="433"/>
      <c r="AIB105" s="433"/>
      <c r="AIC105" s="433"/>
      <c r="AID105" s="433"/>
      <c r="AIE105" s="433"/>
      <c r="AIF105" s="433"/>
      <c r="AIG105" s="433"/>
      <c r="AIH105" s="433"/>
      <c r="AII105" s="433"/>
      <c r="AIJ105" s="433"/>
      <c r="AIK105" s="433"/>
      <c r="AIL105" s="433"/>
      <c r="AIM105" s="433"/>
      <c r="AIN105" s="433"/>
      <c r="AIO105" s="433"/>
      <c r="AIP105" s="433"/>
      <c r="AIQ105" s="433"/>
      <c r="AIR105" s="433"/>
      <c r="AIS105" s="433"/>
      <c r="AIT105" s="433"/>
      <c r="AIU105" s="433"/>
      <c r="AIV105" s="433"/>
      <c r="AIW105" s="433"/>
      <c r="AIX105" s="433"/>
      <c r="AIY105" s="433"/>
      <c r="AIZ105" s="433"/>
      <c r="AJA105" s="433"/>
      <c r="AJB105" s="433"/>
      <c r="AJC105" s="433"/>
      <c r="AJD105" s="433"/>
      <c r="AJE105" s="433"/>
      <c r="AJF105" s="433"/>
      <c r="AJG105" s="433"/>
      <c r="AJH105" s="433"/>
      <c r="AJI105" s="433"/>
      <c r="AJJ105" s="433"/>
      <c r="AJK105" s="433"/>
      <c r="AJL105" s="433"/>
      <c r="AJM105" s="433"/>
      <c r="AJN105" s="433"/>
      <c r="AJO105" s="433"/>
      <c r="AJP105" s="433"/>
      <c r="AJQ105" s="433"/>
      <c r="AJR105" s="433"/>
      <c r="AJS105" s="433"/>
      <c r="AJT105" s="433"/>
      <c r="AJU105" s="433"/>
      <c r="AJV105" s="433"/>
      <c r="AJW105" s="433"/>
      <c r="AJX105" s="433"/>
      <c r="AJY105" s="433"/>
      <c r="AJZ105" s="433"/>
      <c r="AKA105" s="433"/>
      <c r="AKB105" s="433"/>
      <c r="AKC105" s="433"/>
      <c r="AKD105" s="433"/>
      <c r="AKE105" s="433"/>
      <c r="AKF105" s="433"/>
      <c r="AKG105" s="433"/>
      <c r="AKH105" s="433"/>
      <c r="AKI105" s="433"/>
      <c r="AKJ105" s="433"/>
      <c r="AKK105" s="433"/>
      <c r="AKL105" s="433"/>
      <c r="AKM105" s="433"/>
      <c r="AKN105" s="433"/>
      <c r="AKO105" s="433"/>
      <c r="AKP105" s="433"/>
      <c r="AKQ105" s="433"/>
      <c r="AKR105" s="433"/>
      <c r="AKS105" s="433"/>
      <c r="AKT105" s="433"/>
      <c r="AKU105" s="433"/>
      <c r="AKV105" s="433"/>
      <c r="AKW105" s="433"/>
      <c r="AKX105" s="433"/>
      <c r="AKY105" s="433"/>
      <c r="AKZ105" s="433"/>
      <c r="ALA105" s="433"/>
      <c r="ALB105" s="433"/>
      <c r="ALC105" s="433"/>
      <c r="ALD105" s="433"/>
      <c r="ALE105" s="433"/>
      <c r="ALF105" s="433"/>
      <c r="ALG105" s="433"/>
      <c r="ALH105" s="433"/>
      <c r="ALI105" s="433"/>
      <c r="ALJ105" s="433"/>
      <c r="ALK105" s="433"/>
      <c r="ALL105" s="433"/>
      <c r="ALM105" s="433"/>
      <c r="ALN105" s="433"/>
      <c r="ALO105" s="433"/>
      <c r="ALP105" s="433"/>
      <c r="ALQ105" s="433"/>
      <c r="ALR105" s="433"/>
      <c r="ALS105" s="433"/>
      <c r="ALT105" s="433"/>
      <c r="ALU105" s="433"/>
      <c r="ALV105" s="433"/>
      <c r="ALW105" s="433"/>
      <c r="ALX105" s="433"/>
      <c r="ALY105" s="433"/>
      <c r="ALZ105" s="433"/>
      <c r="AMA105" s="433"/>
      <c r="AMB105" s="433"/>
      <c r="AMC105" s="433"/>
      <c r="AMD105" s="433"/>
      <c r="AME105" s="433"/>
      <c r="AMF105" s="433"/>
      <c r="AMG105" s="433"/>
      <c r="AMH105" s="433"/>
      <c r="AMI105" s="433"/>
      <c r="AMJ105" s="433"/>
      <c r="AMK105" s="433"/>
      <c r="AML105" s="433"/>
      <c r="AMM105" s="433"/>
      <c r="AMN105" s="433"/>
      <c r="AMO105" s="433"/>
      <c r="AMP105" s="433"/>
      <c r="AMQ105" s="433"/>
      <c r="AMR105" s="433"/>
      <c r="AMS105" s="433"/>
      <c r="AMT105" s="433"/>
      <c r="AMU105" s="433"/>
      <c r="AMV105" s="433"/>
      <c r="AMW105" s="433"/>
      <c r="AMX105" s="433"/>
      <c r="AMY105" s="433"/>
      <c r="AMZ105" s="433"/>
      <c r="ANA105" s="433"/>
      <c r="ANB105" s="433"/>
      <c r="ANC105" s="433"/>
      <c r="AND105" s="433"/>
      <c r="ANE105" s="433"/>
      <c r="ANF105" s="433"/>
      <c r="ANG105" s="433"/>
      <c r="ANH105" s="433"/>
      <c r="ANI105" s="433"/>
      <c r="ANJ105" s="433"/>
      <c r="ANK105" s="433"/>
      <c r="ANL105" s="433"/>
      <c r="ANM105" s="433"/>
      <c r="ANN105" s="433"/>
      <c r="ANO105" s="433"/>
      <c r="ANP105" s="433"/>
      <c r="ANQ105" s="433"/>
      <c r="ANR105" s="433"/>
      <c r="ANS105" s="433"/>
      <c r="ANT105" s="433"/>
      <c r="ANU105" s="433"/>
      <c r="ANV105" s="433"/>
      <c r="ANW105" s="433"/>
      <c r="ANX105" s="433"/>
      <c r="ANY105" s="433"/>
      <c r="ANZ105" s="433"/>
      <c r="AOA105" s="433"/>
      <c r="AOB105" s="433"/>
      <c r="AOC105" s="433"/>
      <c r="AOD105" s="433"/>
      <c r="AOE105" s="433"/>
      <c r="AOF105" s="433"/>
      <c r="AOG105" s="433"/>
      <c r="AOH105" s="433"/>
      <c r="AOI105" s="433"/>
      <c r="AOJ105" s="433"/>
      <c r="AOK105" s="433"/>
      <c r="AOL105" s="433"/>
      <c r="AOM105" s="433"/>
      <c r="AON105" s="433"/>
      <c r="AOO105" s="433"/>
      <c r="AOP105" s="433"/>
      <c r="AOQ105" s="433"/>
      <c r="AOR105" s="433"/>
      <c r="AOS105" s="433"/>
      <c r="AOT105" s="433"/>
      <c r="AOU105" s="433"/>
      <c r="AOV105" s="433"/>
      <c r="AOW105" s="433"/>
      <c r="AOX105" s="433"/>
      <c r="AOY105" s="433"/>
      <c r="AOZ105" s="433"/>
      <c r="APA105" s="433"/>
      <c r="APB105" s="433"/>
      <c r="APC105" s="433"/>
      <c r="APD105" s="433"/>
      <c r="APE105" s="433"/>
      <c r="APF105" s="433"/>
      <c r="APG105" s="433"/>
      <c r="APH105" s="433"/>
      <c r="API105" s="433"/>
      <c r="APJ105" s="433"/>
      <c r="APK105" s="433"/>
      <c r="APL105" s="433"/>
      <c r="APM105" s="433"/>
      <c r="APN105" s="433"/>
      <c r="APO105" s="433"/>
      <c r="APP105" s="433"/>
      <c r="APQ105" s="433"/>
      <c r="APR105" s="433"/>
      <c r="APS105" s="433"/>
      <c r="APT105" s="433"/>
      <c r="APU105" s="433"/>
      <c r="APV105" s="433"/>
      <c r="APW105" s="433"/>
      <c r="APX105" s="433"/>
      <c r="APY105" s="433"/>
      <c r="APZ105" s="433"/>
      <c r="AQA105" s="433"/>
      <c r="AQB105" s="433"/>
      <c r="AQC105" s="433"/>
      <c r="AQD105" s="433"/>
      <c r="AQE105" s="433"/>
      <c r="AQF105" s="433"/>
      <c r="AQG105" s="433"/>
      <c r="AQH105" s="433"/>
      <c r="AQI105" s="433"/>
      <c r="AQJ105" s="433"/>
      <c r="AQK105" s="433"/>
      <c r="AQL105" s="433"/>
      <c r="AQM105" s="433"/>
      <c r="AQN105" s="433"/>
      <c r="AQO105" s="433"/>
      <c r="AQP105" s="433"/>
      <c r="AQQ105" s="433"/>
      <c r="AQR105" s="433"/>
      <c r="AQS105" s="433"/>
      <c r="AQT105" s="433"/>
      <c r="AQU105" s="433"/>
      <c r="AQV105" s="433"/>
      <c r="AQW105" s="433"/>
      <c r="AQX105" s="433"/>
      <c r="AQY105" s="433"/>
      <c r="AQZ105" s="433"/>
      <c r="ARA105" s="433"/>
      <c r="ARB105" s="433"/>
      <c r="ARC105" s="433"/>
      <c r="ARD105" s="433"/>
      <c r="ARE105" s="433"/>
      <c r="ARF105" s="433"/>
      <c r="ARG105" s="433"/>
      <c r="ARH105" s="433"/>
      <c r="ARI105" s="433"/>
      <c r="ARJ105" s="433"/>
      <c r="ARK105" s="433"/>
      <c r="ARL105" s="433"/>
      <c r="ARM105" s="433"/>
      <c r="ARN105" s="433"/>
      <c r="ARO105" s="433"/>
      <c r="ARP105" s="433"/>
      <c r="ARQ105" s="433"/>
      <c r="ARR105" s="433"/>
      <c r="ARS105" s="433"/>
      <c r="ART105" s="433"/>
      <c r="ARU105" s="433"/>
      <c r="ARV105" s="433"/>
      <c r="ARW105" s="433"/>
      <c r="ARX105" s="433"/>
      <c r="ARY105" s="433"/>
      <c r="ARZ105" s="433"/>
      <c r="ASA105" s="433"/>
      <c r="ASB105" s="433"/>
      <c r="ASC105" s="433"/>
      <c r="ASD105" s="433"/>
      <c r="ASE105" s="433"/>
      <c r="ASF105" s="433"/>
      <c r="ASG105" s="433"/>
      <c r="ASH105" s="433"/>
      <c r="ASI105" s="433"/>
      <c r="ASJ105" s="433"/>
      <c r="ASK105" s="433"/>
      <c r="ASL105" s="433"/>
      <c r="ASM105" s="433"/>
      <c r="ASN105" s="433"/>
      <c r="ASO105" s="433"/>
      <c r="ASP105" s="433"/>
      <c r="ASQ105" s="433"/>
      <c r="ASR105" s="433"/>
      <c r="ASS105" s="433"/>
      <c r="AST105" s="433"/>
      <c r="ASU105" s="433"/>
      <c r="ASV105" s="433"/>
      <c r="ASW105" s="433"/>
      <c r="ASX105" s="433"/>
      <c r="ASY105" s="433"/>
      <c r="ASZ105" s="433"/>
      <c r="ATA105" s="433"/>
      <c r="ATB105" s="433"/>
      <c r="ATC105" s="433"/>
      <c r="ATD105" s="433"/>
      <c r="ATE105" s="433"/>
      <c r="ATF105" s="433"/>
      <c r="ATG105" s="433"/>
      <c r="ATH105" s="433"/>
      <c r="ATI105" s="433"/>
      <c r="ATJ105" s="433"/>
      <c r="ATK105" s="433"/>
      <c r="ATL105" s="433"/>
      <c r="ATM105" s="433"/>
      <c r="ATN105" s="433"/>
      <c r="ATO105" s="433"/>
      <c r="ATP105" s="433"/>
      <c r="ATQ105" s="433"/>
      <c r="ATR105" s="433"/>
      <c r="ATS105" s="433"/>
      <c r="ATT105" s="433"/>
      <c r="ATU105" s="433"/>
      <c r="ATV105" s="433"/>
      <c r="ATW105" s="433"/>
      <c r="ATX105" s="433"/>
      <c r="ATY105" s="433"/>
      <c r="ATZ105" s="433"/>
      <c r="AUA105" s="433"/>
      <c r="AUB105" s="433"/>
      <c r="AUC105" s="433"/>
      <c r="AUD105" s="433"/>
      <c r="AUE105" s="433"/>
      <c r="AUF105" s="433"/>
      <c r="AUG105" s="433"/>
      <c r="AUH105" s="433"/>
      <c r="AUI105" s="433"/>
      <c r="AUJ105" s="433"/>
      <c r="AUK105" s="433"/>
      <c r="AUL105" s="433"/>
      <c r="AUM105" s="433"/>
      <c r="AUN105" s="433"/>
      <c r="AUO105" s="433"/>
      <c r="AUP105" s="433"/>
      <c r="AUQ105" s="433"/>
      <c r="AUR105" s="433"/>
      <c r="AUS105" s="433"/>
      <c r="AUT105" s="433"/>
      <c r="AUU105" s="433"/>
      <c r="AUV105" s="433"/>
      <c r="AUW105" s="433"/>
      <c r="AUX105" s="433"/>
      <c r="AUY105" s="433"/>
      <c r="AUZ105" s="433"/>
      <c r="AVA105" s="433"/>
      <c r="AVB105" s="433"/>
      <c r="AVC105" s="433"/>
      <c r="AVD105" s="433"/>
      <c r="AVE105" s="433"/>
      <c r="AVF105" s="433"/>
      <c r="AVG105" s="433"/>
      <c r="AVH105" s="433"/>
      <c r="AVI105" s="433"/>
      <c r="AVJ105" s="433"/>
      <c r="AVK105" s="433"/>
      <c r="AVL105" s="433"/>
      <c r="AVM105" s="433"/>
      <c r="AVN105" s="433"/>
      <c r="AVO105" s="433"/>
      <c r="AVP105" s="433"/>
      <c r="AVQ105" s="433"/>
      <c r="AVR105" s="433"/>
      <c r="AVS105" s="433"/>
      <c r="AVT105" s="433"/>
      <c r="AVU105" s="433"/>
      <c r="AVV105" s="433"/>
      <c r="AVW105" s="433"/>
      <c r="AVX105" s="433"/>
      <c r="AVY105" s="433"/>
      <c r="AVZ105" s="433"/>
      <c r="AWA105" s="433"/>
      <c r="AWB105" s="433"/>
      <c r="AWC105" s="433"/>
      <c r="AWD105" s="433"/>
      <c r="AWE105" s="433"/>
      <c r="AWF105" s="433"/>
      <c r="AWG105" s="433"/>
      <c r="AWH105" s="433"/>
      <c r="AWI105" s="433"/>
      <c r="AWJ105" s="433"/>
      <c r="AWK105" s="433"/>
      <c r="AWL105" s="433"/>
      <c r="AWM105" s="433"/>
      <c r="AWN105" s="433"/>
      <c r="AWO105" s="433"/>
      <c r="AWP105" s="433"/>
      <c r="AWQ105" s="433"/>
      <c r="AWR105" s="433"/>
      <c r="AWS105" s="433"/>
      <c r="AWT105" s="433"/>
      <c r="AWU105" s="433"/>
      <c r="AWV105" s="433"/>
      <c r="AWW105" s="433"/>
      <c r="AWX105" s="433"/>
      <c r="AWY105" s="433"/>
      <c r="AWZ105" s="433"/>
      <c r="AXA105" s="433"/>
      <c r="AXB105" s="433"/>
      <c r="AXC105" s="433"/>
      <c r="AXD105" s="433"/>
      <c r="AXE105" s="433"/>
      <c r="AXF105" s="433"/>
      <c r="AXG105" s="433"/>
      <c r="AXH105" s="433"/>
      <c r="AXI105" s="433"/>
      <c r="AXJ105" s="433"/>
      <c r="AXK105" s="433"/>
      <c r="AXL105" s="433"/>
      <c r="AXM105" s="433"/>
      <c r="AXN105" s="433"/>
      <c r="AXO105" s="433"/>
      <c r="AXP105" s="433"/>
      <c r="AXQ105" s="433"/>
      <c r="AXR105" s="433"/>
      <c r="AXS105" s="433"/>
      <c r="AXT105" s="433"/>
      <c r="AXU105" s="433"/>
      <c r="AXV105" s="433"/>
      <c r="AXW105" s="433"/>
      <c r="AXX105" s="433"/>
      <c r="AXY105" s="433"/>
      <c r="AXZ105" s="433"/>
      <c r="AYA105" s="433"/>
      <c r="AYB105" s="433"/>
      <c r="AYC105" s="433"/>
      <c r="AYD105" s="433"/>
      <c r="AYE105" s="433"/>
      <c r="AYF105" s="433"/>
      <c r="AYG105" s="433"/>
      <c r="AYH105" s="433"/>
      <c r="AYI105" s="433"/>
      <c r="AYJ105" s="433"/>
      <c r="AYK105" s="433"/>
      <c r="AYL105" s="433"/>
      <c r="AYM105" s="433"/>
      <c r="AYN105" s="433"/>
      <c r="AYO105" s="433"/>
      <c r="AYP105" s="433"/>
      <c r="AYQ105" s="433"/>
      <c r="AYR105" s="433"/>
      <c r="AYS105" s="433"/>
      <c r="AYT105" s="433"/>
      <c r="AYU105" s="433"/>
      <c r="AYV105" s="433"/>
      <c r="AYW105" s="433"/>
      <c r="AYX105" s="433"/>
      <c r="AYY105" s="433"/>
      <c r="AYZ105" s="433"/>
      <c r="AZA105" s="433"/>
      <c r="AZB105" s="433"/>
      <c r="AZC105" s="433"/>
      <c r="AZD105" s="433"/>
      <c r="AZE105" s="433"/>
      <c r="AZF105" s="433"/>
      <c r="AZG105" s="433"/>
      <c r="AZH105" s="433"/>
      <c r="AZI105" s="433"/>
      <c r="AZJ105" s="433"/>
      <c r="AZK105" s="433"/>
      <c r="AZL105" s="433"/>
      <c r="AZM105" s="433"/>
      <c r="AZN105" s="433"/>
      <c r="AZO105" s="433"/>
      <c r="AZP105" s="433"/>
      <c r="AZQ105" s="433"/>
      <c r="AZR105" s="433"/>
      <c r="AZS105" s="433"/>
      <c r="AZT105" s="433"/>
      <c r="AZU105" s="433"/>
      <c r="AZV105" s="433"/>
      <c r="AZW105" s="433"/>
      <c r="AZX105" s="433"/>
      <c r="AZY105" s="433"/>
      <c r="AZZ105" s="433"/>
      <c r="BAA105" s="433"/>
      <c r="BAB105" s="433"/>
      <c r="BAC105" s="433"/>
      <c r="BAD105" s="433"/>
      <c r="BAE105" s="433"/>
      <c r="BAF105" s="433"/>
      <c r="BAG105" s="433"/>
      <c r="BAH105" s="433"/>
      <c r="BAI105" s="433"/>
      <c r="BAJ105" s="433"/>
      <c r="BAK105" s="433"/>
      <c r="BAL105" s="433"/>
      <c r="BAM105" s="433"/>
      <c r="BAN105" s="433"/>
      <c r="BAO105" s="433"/>
      <c r="BAP105" s="433"/>
      <c r="BAQ105" s="433"/>
      <c r="BAR105" s="433"/>
      <c r="BAS105" s="433"/>
      <c r="BAT105" s="433"/>
      <c r="BAU105" s="433"/>
      <c r="BAV105" s="433"/>
      <c r="BAW105" s="433"/>
      <c r="BAX105" s="433"/>
      <c r="BAY105" s="433"/>
      <c r="BAZ105" s="433"/>
      <c r="BBA105" s="433"/>
      <c r="BBB105" s="433"/>
      <c r="BBC105" s="433"/>
      <c r="BBD105" s="433"/>
      <c r="BBE105" s="433"/>
      <c r="BBF105" s="433"/>
      <c r="BBG105" s="433"/>
      <c r="BBH105" s="433"/>
      <c r="BBI105" s="433"/>
      <c r="BBJ105" s="433"/>
      <c r="BBK105" s="433"/>
      <c r="BBL105" s="433"/>
      <c r="BBM105" s="433"/>
      <c r="BBN105" s="433"/>
      <c r="BBO105" s="433"/>
      <c r="BBP105" s="433"/>
      <c r="BBQ105" s="433"/>
      <c r="BBR105" s="433"/>
      <c r="BBS105" s="433"/>
      <c r="BBT105" s="433"/>
      <c r="BBU105" s="433"/>
      <c r="BBV105" s="433"/>
      <c r="BBW105" s="433"/>
      <c r="BBX105" s="433"/>
      <c r="BBY105" s="433"/>
      <c r="BBZ105" s="433"/>
      <c r="BCA105" s="433"/>
      <c r="BCB105" s="433"/>
      <c r="BCC105" s="433"/>
      <c r="BCD105" s="433"/>
      <c r="BCE105" s="433"/>
      <c r="BCF105" s="433"/>
      <c r="BCG105" s="433"/>
      <c r="BCH105" s="433"/>
      <c r="BCI105" s="433"/>
      <c r="BCJ105" s="433"/>
      <c r="BCK105" s="433"/>
      <c r="BCL105" s="433"/>
      <c r="BCM105" s="433"/>
      <c r="BCN105" s="433"/>
      <c r="BCO105" s="433"/>
      <c r="BCP105" s="433"/>
      <c r="BCQ105" s="433"/>
      <c r="BCR105" s="433"/>
      <c r="BCS105" s="433"/>
      <c r="BCT105" s="433"/>
      <c r="BCU105" s="433"/>
      <c r="BCV105" s="433"/>
      <c r="BCW105" s="433"/>
      <c r="BCX105" s="433"/>
      <c r="BCY105" s="433"/>
      <c r="BCZ105" s="433"/>
      <c r="BDA105" s="433"/>
      <c r="BDB105" s="433"/>
      <c r="BDC105" s="433"/>
      <c r="BDD105" s="433"/>
      <c r="BDE105" s="433"/>
      <c r="BDF105" s="433"/>
      <c r="BDG105" s="433"/>
      <c r="BDH105" s="433"/>
      <c r="BDI105" s="433"/>
      <c r="BDJ105" s="433"/>
      <c r="BDK105" s="433"/>
      <c r="BDL105" s="433"/>
      <c r="BDM105" s="433"/>
      <c r="BDN105" s="433"/>
      <c r="BDO105" s="433"/>
      <c r="BDP105" s="433"/>
      <c r="BDQ105" s="433"/>
      <c r="BDR105" s="433"/>
      <c r="BDS105" s="433"/>
      <c r="BDT105" s="433"/>
      <c r="BDU105" s="433"/>
      <c r="BDV105" s="433"/>
      <c r="BDW105" s="433"/>
      <c r="BDX105" s="433"/>
      <c r="BDY105" s="433"/>
      <c r="BDZ105" s="433"/>
      <c r="BEA105" s="433"/>
      <c r="BEB105" s="433"/>
      <c r="BEC105" s="433"/>
      <c r="BED105" s="433"/>
      <c r="BEE105" s="433"/>
      <c r="BEF105" s="433"/>
      <c r="BEG105" s="433"/>
      <c r="BEH105" s="433"/>
      <c r="BEI105" s="433"/>
      <c r="BEJ105" s="433"/>
      <c r="BEK105" s="433"/>
      <c r="BEL105" s="433"/>
      <c r="BEM105" s="433"/>
      <c r="BEN105" s="433"/>
      <c r="BEO105" s="433"/>
      <c r="BEP105" s="433"/>
      <c r="BEQ105" s="433"/>
      <c r="BER105" s="433"/>
      <c r="BES105" s="433"/>
      <c r="BET105" s="433"/>
      <c r="BEU105" s="433"/>
      <c r="BEV105" s="433"/>
      <c r="BEW105" s="433"/>
      <c r="BEX105" s="433"/>
      <c r="BEY105" s="433"/>
      <c r="BEZ105" s="433"/>
      <c r="BFA105" s="433"/>
      <c r="BFB105" s="433"/>
      <c r="BFC105" s="433"/>
      <c r="BFD105" s="433"/>
      <c r="BFE105" s="433"/>
      <c r="BFF105" s="433"/>
      <c r="BFG105" s="433"/>
      <c r="BFH105" s="433"/>
      <c r="BFI105" s="433"/>
      <c r="BFJ105" s="433"/>
      <c r="BFK105" s="433"/>
      <c r="BFL105" s="433"/>
      <c r="BFM105" s="433"/>
      <c r="BFN105" s="433"/>
      <c r="BFO105" s="433"/>
      <c r="BFP105" s="433"/>
      <c r="BFQ105" s="433"/>
      <c r="BFR105" s="433"/>
      <c r="BFS105" s="433"/>
      <c r="BFT105" s="433"/>
      <c r="BFU105" s="433"/>
      <c r="BFV105" s="433"/>
      <c r="BFW105" s="433"/>
      <c r="BFX105" s="433"/>
      <c r="BFY105" s="433"/>
      <c r="BFZ105" s="433"/>
      <c r="BGA105" s="433"/>
      <c r="BGB105" s="433"/>
      <c r="BGC105" s="433"/>
      <c r="BGD105" s="433"/>
      <c r="BGE105" s="433"/>
      <c r="BGF105" s="433"/>
      <c r="BGG105" s="433"/>
      <c r="BGH105" s="433"/>
      <c r="BGI105" s="433"/>
      <c r="BGJ105" s="433"/>
      <c r="BGK105" s="433"/>
      <c r="BGL105" s="433"/>
      <c r="BGM105" s="433"/>
      <c r="BGN105" s="433"/>
      <c r="BGO105" s="433"/>
      <c r="BGP105" s="433"/>
      <c r="BGQ105" s="433"/>
      <c r="BGR105" s="433"/>
      <c r="BGS105" s="433"/>
      <c r="BGT105" s="433"/>
      <c r="BGU105" s="433"/>
      <c r="BGV105" s="433"/>
      <c r="BGW105" s="433"/>
      <c r="BGX105" s="433"/>
      <c r="BGY105" s="433"/>
      <c r="BGZ105" s="433"/>
      <c r="BHA105" s="433"/>
      <c r="BHB105" s="433"/>
      <c r="BHC105" s="433"/>
      <c r="BHD105" s="433"/>
      <c r="BHE105" s="433"/>
      <c r="BHF105" s="433"/>
      <c r="BHG105" s="433"/>
      <c r="BHH105" s="433"/>
      <c r="BHI105" s="433"/>
      <c r="BHJ105" s="433"/>
      <c r="BHK105" s="433"/>
      <c r="BHL105" s="433"/>
      <c r="BHM105" s="433"/>
      <c r="BHN105" s="433"/>
      <c r="BHO105" s="433"/>
      <c r="BHP105" s="433"/>
      <c r="BHQ105" s="433"/>
      <c r="BHR105" s="433"/>
      <c r="BHS105" s="433"/>
      <c r="BHT105" s="433"/>
      <c r="BHU105" s="433"/>
      <c r="BHV105" s="433"/>
      <c r="BHW105" s="433"/>
      <c r="BHX105" s="433"/>
      <c r="BHY105" s="433"/>
      <c r="BHZ105" s="433"/>
      <c r="BIA105" s="433"/>
      <c r="BIB105" s="433"/>
      <c r="BIC105" s="433"/>
      <c r="BID105" s="433"/>
      <c r="BIE105" s="433"/>
      <c r="BIF105" s="433"/>
      <c r="BIG105" s="433"/>
      <c r="BIH105" s="433"/>
      <c r="BII105" s="433"/>
      <c r="BIJ105" s="433"/>
      <c r="BIK105" s="433"/>
      <c r="BIL105" s="433"/>
      <c r="BIM105" s="433"/>
      <c r="BIN105" s="433"/>
      <c r="BIO105" s="433"/>
      <c r="BIP105" s="433"/>
      <c r="BIQ105" s="433"/>
      <c r="BIR105" s="433"/>
      <c r="BIS105" s="433"/>
      <c r="BIT105" s="433"/>
      <c r="BIU105" s="433"/>
      <c r="BIV105" s="433"/>
      <c r="BIW105" s="433"/>
      <c r="BIX105" s="433"/>
      <c r="BIY105" s="433"/>
      <c r="BIZ105" s="433"/>
      <c r="BJA105" s="433"/>
      <c r="BJB105" s="433"/>
      <c r="BJC105" s="433"/>
      <c r="BJD105" s="433"/>
      <c r="BJE105" s="433"/>
      <c r="BJF105" s="433"/>
      <c r="BJG105" s="433"/>
      <c r="BJH105" s="433"/>
      <c r="BJI105" s="433"/>
      <c r="BJJ105" s="433"/>
      <c r="BJK105" s="433"/>
      <c r="BJL105" s="433"/>
      <c r="BJM105" s="433"/>
      <c r="BJN105" s="433"/>
      <c r="BJO105" s="433"/>
      <c r="BJP105" s="433"/>
      <c r="BJQ105" s="433"/>
      <c r="BJR105" s="433"/>
      <c r="BJS105" s="433"/>
      <c r="BJT105" s="433"/>
      <c r="BJU105" s="433"/>
      <c r="BJV105" s="433"/>
      <c r="BJW105" s="433"/>
      <c r="BJX105" s="433"/>
      <c r="BJY105" s="433"/>
      <c r="BJZ105" s="433"/>
      <c r="BKA105" s="433"/>
      <c r="BKB105" s="433"/>
      <c r="BKC105" s="433"/>
      <c r="BKD105" s="433"/>
      <c r="BKE105" s="433"/>
      <c r="BKF105" s="433"/>
      <c r="BKG105" s="433"/>
      <c r="BKH105" s="433"/>
      <c r="BKI105" s="433"/>
      <c r="BKJ105" s="433"/>
      <c r="BKK105" s="433"/>
      <c r="BKL105" s="433"/>
      <c r="BKM105" s="433"/>
      <c r="BKN105" s="433"/>
      <c r="BKO105" s="433"/>
      <c r="BKP105" s="433"/>
      <c r="BKQ105" s="433"/>
      <c r="BKR105" s="433"/>
      <c r="BKS105" s="433"/>
      <c r="BKT105" s="433"/>
      <c r="BKU105" s="433"/>
      <c r="BKV105" s="433"/>
      <c r="BKW105" s="433"/>
      <c r="BKX105" s="433"/>
      <c r="BKY105" s="433"/>
      <c r="BKZ105" s="433"/>
      <c r="BLA105" s="433"/>
      <c r="BLB105" s="433"/>
      <c r="BLC105" s="433"/>
      <c r="BLD105" s="433"/>
      <c r="BLE105" s="433"/>
      <c r="BLF105" s="433"/>
      <c r="BLG105" s="433"/>
      <c r="BLH105" s="433"/>
      <c r="BLI105" s="433"/>
      <c r="BLJ105" s="433"/>
      <c r="BLK105" s="433"/>
      <c r="BLL105" s="433"/>
      <c r="BLM105" s="433"/>
      <c r="BLN105" s="433"/>
      <c r="BLO105" s="433"/>
      <c r="BLP105" s="433"/>
      <c r="BLQ105" s="433"/>
      <c r="BLR105" s="433"/>
      <c r="BLS105" s="433"/>
      <c r="BLT105" s="433"/>
      <c r="BLU105" s="433"/>
      <c r="BLV105" s="433"/>
      <c r="BLW105" s="433"/>
      <c r="BLX105" s="433"/>
      <c r="BLY105" s="433"/>
      <c r="BLZ105" s="433"/>
      <c r="BMA105" s="433"/>
      <c r="BMB105" s="433"/>
      <c r="BMC105" s="433"/>
      <c r="BMD105" s="433"/>
      <c r="BME105" s="433"/>
      <c r="BMF105" s="433"/>
      <c r="BMG105" s="433"/>
      <c r="BMH105" s="433"/>
      <c r="BMI105" s="433"/>
      <c r="BMJ105" s="433"/>
      <c r="BMK105" s="433"/>
      <c r="BML105" s="433"/>
      <c r="BMM105" s="433"/>
      <c r="BMN105" s="433"/>
      <c r="BMO105" s="433"/>
      <c r="BMP105" s="433"/>
      <c r="BMQ105" s="433"/>
      <c r="BMR105" s="433"/>
      <c r="BMS105" s="433"/>
      <c r="BMT105" s="433"/>
      <c r="BMU105" s="433"/>
      <c r="BMV105" s="433"/>
      <c r="BMW105" s="433"/>
      <c r="BMX105" s="433"/>
      <c r="BMY105" s="433"/>
      <c r="BMZ105" s="433"/>
      <c r="BNA105" s="433"/>
      <c r="BNB105" s="433"/>
      <c r="BNC105" s="433"/>
      <c r="BND105" s="433"/>
      <c r="BNE105" s="433"/>
      <c r="BNF105" s="433"/>
      <c r="BNG105" s="433"/>
      <c r="BNH105" s="433"/>
      <c r="BNI105" s="433"/>
      <c r="BNJ105" s="433"/>
      <c r="BNK105" s="433"/>
      <c r="BNL105" s="433"/>
      <c r="BNM105" s="433"/>
      <c r="BNN105" s="433"/>
      <c r="BNO105" s="433"/>
      <c r="BNP105" s="433"/>
      <c r="BNQ105" s="433"/>
      <c r="BNR105" s="433"/>
      <c r="BNS105" s="433"/>
      <c r="BNT105" s="433"/>
      <c r="BNU105" s="433"/>
      <c r="BNV105" s="433"/>
      <c r="BNW105" s="433"/>
      <c r="BNX105" s="433"/>
      <c r="BNY105" s="433"/>
      <c r="BNZ105" s="433"/>
      <c r="BOA105" s="433"/>
      <c r="BOB105" s="433"/>
      <c r="BOC105" s="433"/>
      <c r="BOD105" s="433"/>
      <c r="BOE105" s="433"/>
      <c r="BOF105" s="433"/>
      <c r="BOG105" s="433"/>
      <c r="BOH105" s="433"/>
      <c r="BOI105" s="433"/>
      <c r="BOJ105" s="433"/>
      <c r="BOK105" s="433"/>
      <c r="BOL105" s="433"/>
      <c r="BOM105" s="433"/>
      <c r="BON105" s="433"/>
      <c r="BOO105" s="433"/>
      <c r="BOP105" s="433"/>
      <c r="BOQ105" s="433"/>
      <c r="BOR105" s="433"/>
      <c r="BOS105" s="433"/>
      <c r="BOT105" s="433"/>
      <c r="BOU105" s="433"/>
      <c r="BOV105" s="433"/>
      <c r="BOW105" s="433"/>
      <c r="BOX105" s="433"/>
      <c r="BOY105" s="433"/>
      <c r="BOZ105" s="433"/>
      <c r="BPA105" s="433"/>
      <c r="BPB105" s="433"/>
      <c r="BPC105" s="433"/>
      <c r="BPD105" s="433"/>
      <c r="BPE105" s="433"/>
      <c r="BPF105" s="433"/>
      <c r="BPG105" s="433"/>
      <c r="BPH105" s="433"/>
      <c r="BPI105" s="433"/>
      <c r="BPJ105" s="433"/>
      <c r="BPK105" s="433"/>
      <c r="BPL105" s="433"/>
      <c r="BPM105" s="433"/>
      <c r="BPN105" s="433"/>
      <c r="BPO105" s="433"/>
      <c r="BPP105" s="433"/>
      <c r="BPQ105" s="433"/>
      <c r="BPR105" s="433"/>
      <c r="BPS105" s="433"/>
      <c r="BPT105" s="433"/>
      <c r="BPU105" s="433"/>
      <c r="BPV105" s="433"/>
      <c r="BPW105" s="433"/>
      <c r="BPX105" s="433"/>
      <c r="BPY105" s="433"/>
      <c r="BPZ105" s="433"/>
      <c r="BQA105" s="433"/>
      <c r="BQB105" s="433"/>
      <c r="BQC105" s="433"/>
      <c r="BQD105" s="433"/>
      <c r="BQE105" s="433"/>
      <c r="BQF105" s="433"/>
      <c r="BQG105" s="433"/>
      <c r="BQH105" s="433"/>
      <c r="BQI105" s="433"/>
      <c r="BQJ105" s="433"/>
      <c r="BQK105" s="433"/>
      <c r="BQL105" s="433"/>
      <c r="BQM105" s="433"/>
      <c r="BQN105" s="433"/>
      <c r="BQO105" s="433"/>
      <c r="BQP105" s="433"/>
      <c r="BQQ105" s="433"/>
      <c r="BQR105" s="433"/>
      <c r="BQS105" s="433"/>
      <c r="BQT105" s="433"/>
      <c r="BQU105" s="433"/>
      <c r="BQV105" s="433"/>
      <c r="BQW105" s="433"/>
      <c r="BQX105" s="433"/>
      <c r="BQY105" s="433"/>
      <c r="BQZ105" s="433"/>
      <c r="BRA105" s="433"/>
      <c r="BRB105" s="433"/>
      <c r="BRC105" s="433"/>
      <c r="BRD105" s="433"/>
      <c r="BRE105" s="433"/>
      <c r="BRF105" s="433"/>
      <c r="BRG105" s="433"/>
      <c r="BRH105" s="433"/>
      <c r="BRI105" s="433"/>
      <c r="BRJ105" s="433"/>
      <c r="BRK105" s="433"/>
      <c r="BRL105" s="433"/>
      <c r="BRM105" s="433"/>
      <c r="BRN105" s="433"/>
      <c r="BRO105" s="433"/>
      <c r="BRP105" s="433"/>
      <c r="BRQ105" s="433"/>
      <c r="BRR105" s="433"/>
      <c r="BRS105" s="433"/>
      <c r="BRT105" s="433"/>
      <c r="BRU105" s="433"/>
      <c r="BRV105" s="433"/>
      <c r="BRW105" s="433"/>
      <c r="BRX105" s="433"/>
      <c r="BRY105" s="433"/>
      <c r="BRZ105" s="433"/>
      <c r="BSA105" s="433"/>
      <c r="BSB105" s="433"/>
      <c r="BSC105" s="433"/>
      <c r="BSD105" s="433"/>
      <c r="BSE105" s="433"/>
      <c r="BSF105" s="433"/>
      <c r="BSG105" s="433"/>
      <c r="BSH105" s="433"/>
      <c r="BSI105" s="433"/>
      <c r="BSJ105" s="433"/>
      <c r="BSK105" s="433"/>
      <c r="BSL105" s="433"/>
      <c r="BSM105" s="433"/>
      <c r="BSN105" s="433"/>
      <c r="BSO105" s="433"/>
      <c r="BSP105" s="433"/>
      <c r="BSQ105" s="433"/>
      <c r="BSR105" s="433"/>
      <c r="BSS105" s="433"/>
      <c r="BST105" s="433"/>
      <c r="BSU105" s="433"/>
      <c r="BSV105" s="433"/>
      <c r="BSW105" s="433"/>
      <c r="BSX105" s="433"/>
      <c r="BSY105" s="433"/>
      <c r="BSZ105" s="433"/>
      <c r="BTA105" s="433"/>
      <c r="BTB105" s="433"/>
      <c r="BTC105" s="433"/>
      <c r="BTD105" s="433"/>
      <c r="BTE105" s="433"/>
      <c r="BTF105" s="433"/>
      <c r="BTG105" s="433"/>
      <c r="BTH105" s="433"/>
      <c r="BTI105" s="433"/>
      <c r="BTJ105" s="433"/>
      <c r="BTK105" s="433"/>
      <c r="BTL105" s="433"/>
      <c r="BTM105" s="433"/>
      <c r="BTN105" s="433"/>
      <c r="BTO105" s="433"/>
      <c r="BTP105" s="433"/>
      <c r="BTQ105" s="433"/>
      <c r="BTR105" s="433"/>
      <c r="BTS105" s="433"/>
      <c r="BTT105" s="433"/>
      <c r="BTU105" s="433"/>
      <c r="BTV105" s="433"/>
      <c r="BTW105" s="433"/>
      <c r="BTX105" s="433"/>
      <c r="BTY105" s="433"/>
      <c r="BTZ105" s="433"/>
      <c r="BUA105" s="433"/>
      <c r="BUB105" s="433"/>
      <c r="BUC105" s="433"/>
      <c r="BUD105" s="433"/>
      <c r="BUE105" s="433"/>
      <c r="BUF105" s="433"/>
      <c r="BUG105" s="433"/>
      <c r="BUH105" s="433"/>
      <c r="BUI105" s="433"/>
      <c r="BUJ105" s="433"/>
      <c r="BUK105" s="433"/>
      <c r="BUL105" s="433"/>
      <c r="BUM105" s="433"/>
      <c r="BUN105" s="433"/>
      <c r="BUO105" s="433"/>
      <c r="BUP105" s="433"/>
      <c r="BUQ105" s="433"/>
      <c r="BUR105" s="433"/>
      <c r="BUS105" s="433"/>
      <c r="BUT105" s="433"/>
      <c r="BUU105" s="433"/>
      <c r="BUV105" s="433"/>
      <c r="BUW105" s="433"/>
      <c r="BUX105" s="433"/>
      <c r="BUY105" s="433"/>
      <c r="BUZ105" s="433"/>
      <c r="BVA105" s="433"/>
      <c r="BVB105" s="433"/>
      <c r="BVC105" s="433"/>
      <c r="BVD105" s="433"/>
      <c r="BVE105" s="433"/>
      <c r="BVF105" s="433"/>
      <c r="BVG105" s="433"/>
      <c r="BVH105" s="433"/>
      <c r="BVI105" s="433"/>
      <c r="BVJ105" s="433"/>
      <c r="BVK105" s="433"/>
      <c r="BVL105" s="433"/>
      <c r="BVM105" s="433"/>
      <c r="BVN105" s="433"/>
      <c r="BVO105" s="433"/>
      <c r="BVP105" s="433"/>
      <c r="BVQ105" s="433"/>
      <c r="BVR105" s="433"/>
      <c r="BVS105" s="433"/>
      <c r="BVT105" s="433"/>
      <c r="BVU105" s="433"/>
      <c r="BVV105" s="433"/>
      <c r="BVW105" s="433"/>
      <c r="BVX105" s="433"/>
      <c r="BVY105" s="433"/>
      <c r="BVZ105" s="433"/>
      <c r="BWA105" s="433"/>
      <c r="BWB105" s="433"/>
      <c r="BWC105" s="433"/>
      <c r="BWD105" s="433"/>
      <c r="BWE105" s="433"/>
      <c r="BWF105" s="433"/>
      <c r="BWG105" s="433"/>
      <c r="BWH105" s="433"/>
      <c r="BWI105" s="433"/>
      <c r="BWJ105" s="433"/>
      <c r="BWK105" s="433"/>
      <c r="BWL105" s="433"/>
      <c r="BWM105" s="433"/>
      <c r="BWN105" s="433"/>
      <c r="BWO105" s="433"/>
      <c r="BWP105" s="433"/>
      <c r="BWQ105" s="433"/>
      <c r="BWR105" s="433"/>
      <c r="BWS105" s="433"/>
      <c r="BWT105" s="433"/>
      <c r="BWU105" s="433"/>
      <c r="BWV105" s="433"/>
      <c r="BWW105" s="433"/>
      <c r="BWX105" s="433"/>
      <c r="BWY105" s="433"/>
      <c r="BWZ105" s="433"/>
      <c r="BXA105" s="433"/>
      <c r="BXB105" s="433"/>
      <c r="BXC105" s="433"/>
      <c r="BXD105" s="433"/>
      <c r="BXE105" s="433"/>
      <c r="BXF105" s="433"/>
      <c r="BXG105" s="433"/>
      <c r="BXH105" s="433"/>
      <c r="BXI105" s="433"/>
      <c r="BXJ105" s="433"/>
      <c r="BXK105" s="433"/>
      <c r="BXL105" s="433"/>
      <c r="BXM105" s="433"/>
      <c r="BXN105" s="433"/>
      <c r="BXO105" s="433"/>
      <c r="BXP105" s="433"/>
      <c r="BXQ105" s="433"/>
      <c r="BXR105" s="433"/>
      <c r="BXS105" s="433"/>
      <c r="BXT105" s="433"/>
      <c r="BXU105" s="433"/>
      <c r="BXV105" s="433"/>
      <c r="BXW105" s="433"/>
      <c r="BXX105" s="433"/>
      <c r="BXY105" s="433"/>
      <c r="BXZ105" s="433"/>
      <c r="BYA105" s="433"/>
      <c r="BYB105" s="433"/>
      <c r="BYC105" s="433"/>
      <c r="BYD105" s="433"/>
      <c r="BYE105" s="433"/>
      <c r="BYF105" s="433"/>
      <c r="BYG105" s="433"/>
      <c r="BYH105" s="433"/>
      <c r="BYI105" s="433"/>
      <c r="BYJ105" s="433"/>
      <c r="BYK105" s="433"/>
      <c r="BYL105" s="433"/>
      <c r="BYM105" s="433"/>
      <c r="BYN105" s="433"/>
      <c r="BYO105" s="433"/>
      <c r="BYP105" s="433"/>
      <c r="BYQ105" s="433"/>
      <c r="BYR105" s="433"/>
      <c r="BYS105" s="433"/>
      <c r="BYT105" s="433"/>
      <c r="BYU105" s="433"/>
      <c r="BYV105" s="433"/>
      <c r="BYW105" s="433"/>
      <c r="BYX105" s="433"/>
      <c r="BYY105" s="433"/>
      <c r="BYZ105" s="433"/>
      <c r="BZA105" s="433"/>
      <c r="BZB105" s="433"/>
      <c r="BZC105" s="433"/>
      <c r="BZD105" s="433"/>
      <c r="BZE105" s="433"/>
      <c r="BZF105" s="433"/>
      <c r="BZG105" s="433"/>
      <c r="BZH105" s="433"/>
      <c r="BZI105" s="433"/>
      <c r="BZJ105" s="433"/>
      <c r="BZK105" s="433"/>
      <c r="BZL105" s="433"/>
      <c r="BZM105" s="433"/>
      <c r="BZN105" s="433"/>
      <c r="BZO105" s="433"/>
      <c r="BZP105" s="433"/>
      <c r="BZQ105" s="433"/>
      <c r="BZR105" s="433"/>
      <c r="BZS105" s="433"/>
      <c r="BZT105" s="433"/>
      <c r="BZU105" s="433"/>
      <c r="BZV105" s="433"/>
      <c r="BZW105" s="433"/>
      <c r="BZX105" s="433"/>
      <c r="BZY105" s="433"/>
      <c r="BZZ105" s="433"/>
      <c r="CAA105" s="433"/>
      <c r="CAB105" s="433"/>
      <c r="CAC105" s="433"/>
      <c r="CAD105" s="433"/>
      <c r="CAE105" s="433"/>
      <c r="CAF105" s="433"/>
      <c r="CAG105" s="433"/>
      <c r="CAH105" s="433"/>
      <c r="CAI105" s="433"/>
      <c r="CAJ105" s="433"/>
      <c r="CAK105" s="433"/>
      <c r="CAL105" s="433"/>
      <c r="CAM105" s="433"/>
      <c r="CAN105" s="433"/>
      <c r="CAO105" s="433"/>
      <c r="CAP105" s="433"/>
      <c r="CAQ105" s="433"/>
      <c r="CAR105" s="433"/>
      <c r="CAS105" s="433"/>
      <c r="CAT105" s="433"/>
      <c r="CAU105" s="433"/>
      <c r="CAV105" s="433"/>
      <c r="CAW105" s="433"/>
      <c r="CAX105" s="433"/>
      <c r="CAY105" s="433"/>
      <c r="CAZ105" s="433"/>
      <c r="CBA105" s="433"/>
      <c r="CBB105" s="433"/>
      <c r="CBC105" s="433"/>
      <c r="CBD105" s="433"/>
      <c r="CBE105" s="433"/>
      <c r="CBF105" s="433"/>
      <c r="CBG105" s="433"/>
      <c r="CBH105" s="433"/>
      <c r="CBI105" s="433"/>
      <c r="CBJ105" s="433"/>
      <c r="CBK105" s="433"/>
      <c r="CBL105" s="433"/>
      <c r="CBM105" s="433"/>
      <c r="CBN105" s="433"/>
      <c r="CBO105" s="433"/>
      <c r="CBP105" s="433"/>
      <c r="CBQ105" s="433"/>
      <c r="CBR105" s="433"/>
      <c r="CBS105" s="433"/>
      <c r="CBT105" s="433"/>
      <c r="CBU105" s="433"/>
      <c r="CBV105" s="433"/>
      <c r="CBW105" s="433"/>
      <c r="CBX105" s="433"/>
      <c r="CBY105" s="433"/>
      <c r="CBZ105" s="433"/>
      <c r="CCA105" s="433"/>
      <c r="CCB105" s="433"/>
      <c r="CCC105" s="433"/>
      <c r="CCD105" s="433"/>
      <c r="CCE105" s="433"/>
      <c r="CCF105" s="433"/>
      <c r="CCG105" s="433"/>
      <c r="CCH105" s="433"/>
      <c r="CCI105" s="433"/>
      <c r="CCJ105" s="433"/>
      <c r="CCK105" s="433"/>
      <c r="CCL105" s="433"/>
      <c r="CCM105" s="433"/>
      <c r="CCN105" s="433"/>
      <c r="CCO105" s="433"/>
      <c r="CCP105" s="433"/>
      <c r="CCQ105" s="433"/>
      <c r="CCR105" s="433"/>
      <c r="CCS105" s="433"/>
      <c r="CCT105" s="433"/>
      <c r="CCU105" s="433"/>
      <c r="CCV105" s="433"/>
      <c r="CCW105" s="433"/>
      <c r="CCX105" s="433"/>
      <c r="CCY105" s="433"/>
      <c r="CCZ105" s="433"/>
      <c r="CDA105" s="433"/>
      <c r="CDB105" s="433"/>
      <c r="CDC105" s="433"/>
      <c r="CDD105" s="433"/>
      <c r="CDE105" s="433"/>
      <c r="CDF105" s="433"/>
      <c r="CDG105" s="433"/>
      <c r="CDH105" s="433"/>
      <c r="CDI105" s="433"/>
      <c r="CDJ105" s="433"/>
      <c r="CDK105" s="433"/>
      <c r="CDL105" s="433"/>
      <c r="CDM105" s="433"/>
      <c r="CDN105" s="433"/>
      <c r="CDO105" s="433"/>
      <c r="CDP105" s="433"/>
      <c r="CDQ105" s="433"/>
      <c r="CDR105" s="433"/>
      <c r="CDS105" s="433"/>
      <c r="CDT105" s="433"/>
      <c r="CDU105" s="433"/>
      <c r="CDV105" s="433"/>
      <c r="CDW105" s="433"/>
      <c r="CDX105" s="433"/>
      <c r="CDY105" s="433"/>
      <c r="CDZ105" s="433"/>
      <c r="CEA105" s="433"/>
      <c r="CEB105" s="433"/>
      <c r="CEC105" s="433"/>
      <c r="CED105" s="433"/>
      <c r="CEE105" s="433"/>
      <c r="CEF105" s="433"/>
      <c r="CEG105" s="433"/>
      <c r="CEH105" s="433"/>
      <c r="CEI105" s="433"/>
      <c r="CEJ105" s="433"/>
      <c r="CEK105" s="433"/>
      <c r="CEL105" s="433"/>
      <c r="CEM105" s="433"/>
      <c r="CEN105" s="433"/>
      <c r="CEO105" s="433"/>
      <c r="CEP105" s="433"/>
      <c r="CEQ105" s="433"/>
      <c r="CER105" s="433"/>
      <c r="CES105" s="433"/>
      <c r="CET105" s="433"/>
      <c r="CEU105" s="433"/>
      <c r="CEV105" s="433"/>
      <c r="CEW105" s="433"/>
      <c r="CEX105" s="433"/>
      <c r="CEY105" s="433"/>
      <c r="CEZ105" s="433"/>
      <c r="CFA105" s="433"/>
      <c r="CFB105" s="433"/>
      <c r="CFC105" s="433"/>
      <c r="CFD105" s="433"/>
      <c r="CFE105" s="433"/>
      <c r="CFF105" s="433"/>
      <c r="CFG105" s="433"/>
      <c r="CFH105" s="433"/>
      <c r="CFI105" s="433"/>
      <c r="CFJ105" s="433"/>
      <c r="CFK105" s="433"/>
      <c r="CFL105" s="433"/>
      <c r="CFM105" s="433"/>
      <c r="CFN105" s="433"/>
      <c r="CFO105" s="433"/>
      <c r="CFP105" s="433"/>
      <c r="CFQ105" s="433"/>
      <c r="CFR105" s="433"/>
      <c r="CFS105" s="433"/>
      <c r="CFT105" s="433"/>
      <c r="CFU105" s="433"/>
      <c r="CFV105" s="433"/>
      <c r="CFW105" s="433"/>
      <c r="CFX105" s="433"/>
      <c r="CFY105" s="433"/>
      <c r="CFZ105" s="433"/>
      <c r="CGA105" s="433"/>
      <c r="CGB105" s="433"/>
      <c r="CGC105" s="433"/>
      <c r="CGD105" s="433"/>
      <c r="CGE105" s="433"/>
      <c r="CGF105" s="433"/>
      <c r="CGG105" s="433"/>
      <c r="CGH105" s="433"/>
      <c r="CGI105" s="433"/>
      <c r="CGJ105" s="433"/>
      <c r="CGK105" s="433"/>
      <c r="CGL105" s="433"/>
      <c r="CGM105" s="433"/>
      <c r="CGN105" s="433"/>
      <c r="CGO105" s="433"/>
      <c r="CGP105" s="433"/>
      <c r="CGQ105" s="433"/>
      <c r="CGR105" s="433"/>
      <c r="CGS105" s="433"/>
      <c r="CGT105" s="433"/>
      <c r="CGU105" s="433"/>
      <c r="CGV105" s="433"/>
      <c r="CGW105" s="433"/>
      <c r="CGX105" s="433"/>
      <c r="CGY105" s="433"/>
      <c r="CGZ105" s="433"/>
      <c r="CHA105" s="433"/>
      <c r="CHB105" s="433"/>
      <c r="CHC105" s="433"/>
      <c r="CHD105" s="433"/>
      <c r="CHE105" s="433"/>
      <c r="CHF105" s="433"/>
      <c r="CHG105" s="433"/>
      <c r="CHH105" s="433"/>
      <c r="CHI105" s="433"/>
      <c r="CHJ105" s="433"/>
      <c r="CHK105" s="433"/>
      <c r="CHL105" s="433"/>
      <c r="CHM105" s="433"/>
      <c r="CHN105" s="433"/>
      <c r="CHO105" s="433"/>
      <c r="CHP105" s="433"/>
      <c r="CHQ105" s="433"/>
      <c r="CHR105" s="433"/>
      <c r="CHS105" s="433"/>
      <c r="CHT105" s="433"/>
      <c r="CHU105" s="433"/>
      <c r="CHV105" s="433"/>
      <c r="CHW105" s="433"/>
      <c r="CHX105" s="433"/>
      <c r="CHY105" s="433"/>
      <c r="CHZ105" s="433"/>
      <c r="CIA105" s="433"/>
      <c r="CIB105" s="433"/>
      <c r="CIC105" s="433"/>
      <c r="CID105" s="433"/>
      <c r="CIE105" s="433"/>
      <c r="CIF105" s="433"/>
      <c r="CIG105" s="433"/>
      <c r="CIH105" s="433"/>
      <c r="CII105" s="433"/>
      <c r="CIJ105" s="433"/>
      <c r="CIK105" s="433"/>
      <c r="CIL105" s="433"/>
      <c r="CIM105" s="433"/>
      <c r="CIN105" s="433"/>
      <c r="CIO105" s="433"/>
      <c r="CIP105" s="433"/>
      <c r="CIQ105" s="433"/>
      <c r="CIR105" s="433"/>
      <c r="CIS105" s="433"/>
      <c r="CIT105" s="433"/>
      <c r="CIU105" s="433"/>
      <c r="CIV105" s="433"/>
      <c r="CIW105" s="433"/>
      <c r="CIX105" s="433"/>
      <c r="CIY105" s="433"/>
      <c r="CIZ105" s="433"/>
      <c r="CJA105" s="433"/>
      <c r="CJB105" s="433"/>
      <c r="CJC105" s="433"/>
      <c r="CJD105" s="433"/>
      <c r="CJE105" s="433"/>
      <c r="CJF105" s="433"/>
      <c r="CJG105" s="433"/>
      <c r="CJH105" s="433"/>
      <c r="CJI105" s="433"/>
      <c r="CJJ105" s="433"/>
      <c r="CJK105" s="433"/>
      <c r="CJL105" s="433"/>
      <c r="CJM105" s="433"/>
      <c r="CJN105" s="433"/>
      <c r="CJO105" s="433"/>
      <c r="CJP105" s="433"/>
      <c r="CJQ105" s="433"/>
      <c r="CJR105" s="433"/>
      <c r="CJS105" s="433"/>
      <c r="CJT105" s="433"/>
      <c r="CJU105" s="433"/>
      <c r="CJV105" s="433"/>
      <c r="CJW105" s="433"/>
      <c r="CJX105" s="433"/>
      <c r="CJY105" s="433"/>
      <c r="CJZ105" s="433"/>
      <c r="CKA105" s="433"/>
      <c r="CKB105" s="433"/>
      <c r="CKC105" s="433"/>
      <c r="CKD105" s="433"/>
      <c r="CKE105" s="433"/>
      <c r="CKF105" s="433"/>
      <c r="CKG105" s="433"/>
      <c r="CKH105" s="433"/>
      <c r="CKI105" s="433"/>
      <c r="CKJ105" s="433"/>
      <c r="CKK105" s="433"/>
      <c r="CKL105" s="433"/>
      <c r="CKM105" s="433"/>
      <c r="CKN105" s="433"/>
      <c r="CKO105" s="433"/>
      <c r="CKP105" s="433"/>
      <c r="CKQ105" s="433"/>
      <c r="CKR105" s="433"/>
      <c r="CKS105" s="433"/>
      <c r="CKT105" s="433"/>
      <c r="CKU105" s="433"/>
      <c r="CKV105" s="433"/>
      <c r="CKW105" s="433"/>
      <c r="CKX105" s="433"/>
      <c r="CKY105" s="433"/>
      <c r="CKZ105" s="433"/>
      <c r="CLA105" s="433"/>
      <c r="CLB105" s="433"/>
      <c r="CLC105" s="433"/>
      <c r="CLD105" s="433"/>
      <c r="CLE105" s="433"/>
      <c r="CLF105" s="433"/>
      <c r="CLG105" s="433"/>
      <c r="CLH105" s="433"/>
      <c r="CLI105" s="433"/>
      <c r="CLJ105" s="433"/>
      <c r="CLK105" s="433"/>
      <c r="CLL105" s="433"/>
      <c r="CLM105" s="433"/>
      <c r="CLN105" s="433"/>
      <c r="CLO105" s="433"/>
      <c r="CLP105" s="433"/>
      <c r="CLQ105" s="433"/>
      <c r="CLR105" s="433"/>
      <c r="CLS105" s="433"/>
      <c r="CLT105" s="433"/>
      <c r="CLU105" s="433"/>
      <c r="CLV105" s="433"/>
      <c r="CLW105" s="433"/>
      <c r="CLX105" s="433"/>
      <c r="CLY105" s="433"/>
      <c r="CLZ105" s="433"/>
      <c r="CMA105" s="433"/>
      <c r="CMB105" s="433"/>
      <c r="CMC105" s="433"/>
      <c r="CMD105" s="433"/>
      <c r="CME105" s="433"/>
      <c r="CMF105" s="433"/>
      <c r="CMG105" s="433"/>
      <c r="CMH105" s="433"/>
      <c r="CMI105" s="433"/>
      <c r="CMJ105" s="433"/>
      <c r="CMK105" s="433"/>
      <c r="CML105" s="433"/>
      <c r="CMM105" s="433"/>
      <c r="CMN105" s="433"/>
      <c r="CMO105" s="433"/>
      <c r="CMP105" s="433"/>
      <c r="CMQ105" s="433"/>
      <c r="CMR105" s="433"/>
      <c r="CMS105" s="433"/>
      <c r="CMT105" s="433"/>
      <c r="CMU105" s="433"/>
      <c r="CMV105" s="433"/>
      <c r="CMW105" s="433"/>
      <c r="CMX105" s="433"/>
      <c r="CMY105" s="433"/>
      <c r="CMZ105" s="433"/>
      <c r="CNA105" s="433"/>
      <c r="CNB105" s="433"/>
      <c r="CNC105" s="433"/>
      <c r="CND105" s="433"/>
      <c r="CNE105" s="433"/>
      <c r="CNF105" s="433"/>
      <c r="CNG105" s="433"/>
      <c r="CNH105" s="433"/>
      <c r="CNI105" s="433"/>
      <c r="CNJ105" s="433"/>
      <c r="CNK105" s="433"/>
      <c r="CNL105" s="433"/>
      <c r="CNM105" s="433"/>
      <c r="CNN105" s="433"/>
      <c r="CNO105" s="433"/>
      <c r="CNP105" s="433"/>
      <c r="CNQ105" s="433"/>
      <c r="CNR105" s="433"/>
      <c r="CNS105" s="433"/>
      <c r="CNT105" s="433"/>
      <c r="CNU105" s="433"/>
      <c r="CNV105" s="433"/>
      <c r="CNW105" s="433"/>
      <c r="CNX105" s="433"/>
      <c r="CNY105" s="433"/>
      <c r="CNZ105" s="433"/>
      <c r="COA105" s="433"/>
      <c r="COB105" s="433"/>
      <c r="COC105" s="433"/>
      <c r="COD105" s="433"/>
      <c r="COE105" s="433"/>
      <c r="COF105" s="433"/>
      <c r="COG105" s="433"/>
      <c r="COH105" s="433"/>
      <c r="COI105" s="433"/>
      <c r="COJ105" s="433"/>
      <c r="COK105" s="433"/>
      <c r="COL105" s="433"/>
      <c r="COM105" s="433"/>
      <c r="CON105" s="433"/>
      <c r="COO105" s="433"/>
      <c r="COP105" s="433"/>
      <c r="COQ105" s="433"/>
      <c r="COR105" s="433"/>
      <c r="COS105" s="433"/>
      <c r="COT105" s="433"/>
      <c r="COU105" s="433"/>
      <c r="COV105" s="433"/>
      <c r="COW105" s="433"/>
      <c r="COX105" s="433"/>
      <c r="COY105" s="433"/>
      <c r="COZ105" s="433"/>
      <c r="CPA105" s="433"/>
      <c r="CPB105" s="433"/>
      <c r="CPC105" s="433"/>
      <c r="CPD105" s="433"/>
      <c r="CPE105" s="433"/>
      <c r="CPF105" s="433"/>
      <c r="CPG105" s="433"/>
      <c r="CPH105" s="433"/>
      <c r="CPI105" s="433"/>
      <c r="CPJ105" s="433"/>
      <c r="CPK105" s="433"/>
      <c r="CPL105" s="433"/>
      <c r="CPM105" s="433"/>
      <c r="CPN105" s="433"/>
      <c r="CPO105" s="433"/>
      <c r="CPP105" s="433"/>
      <c r="CPQ105" s="433"/>
      <c r="CPR105" s="433"/>
      <c r="CPS105" s="433"/>
      <c r="CPT105" s="433"/>
      <c r="CPU105" s="433"/>
      <c r="CPV105" s="433"/>
      <c r="CPW105" s="433"/>
      <c r="CPX105" s="433"/>
      <c r="CPY105" s="433"/>
      <c r="CPZ105" s="433"/>
      <c r="CQA105" s="433"/>
      <c r="CQB105" s="433"/>
      <c r="CQC105" s="433"/>
      <c r="CQD105" s="433"/>
      <c r="CQE105" s="433"/>
      <c r="CQF105" s="433"/>
      <c r="CQG105" s="433"/>
      <c r="CQH105" s="433"/>
      <c r="CQI105" s="433"/>
      <c r="CQJ105" s="433"/>
      <c r="CQK105" s="433"/>
      <c r="CQL105" s="433"/>
      <c r="CQM105" s="433"/>
      <c r="CQN105" s="433"/>
      <c r="CQO105" s="433"/>
      <c r="CQP105" s="433"/>
      <c r="CQQ105" s="433"/>
      <c r="CQR105" s="433"/>
      <c r="CQS105" s="433"/>
      <c r="CQT105" s="433"/>
      <c r="CQU105" s="433"/>
      <c r="CQV105" s="433"/>
      <c r="CQW105" s="433"/>
      <c r="CQX105" s="433"/>
      <c r="CQY105" s="433"/>
      <c r="CQZ105" s="433"/>
      <c r="CRA105" s="433"/>
      <c r="CRB105" s="433"/>
      <c r="CRC105" s="433"/>
      <c r="CRD105" s="433"/>
      <c r="CRE105" s="433"/>
      <c r="CRF105" s="433"/>
      <c r="CRG105" s="433"/>
      <c r="CRH105" s="433"/>
      <c r="CRI105" s="433"/>
      <c r="CRJ105" s="433"/>
      <c r="CRK105" s="433"/>
      <c r="CRL105" s="433"/>
      <c r="CRM105" s="433"/>
      <c r="CRN105" s="433"/>
      <c r="CRO105" s="433"/>
      <c r="CRP105" s="433"/>
      <c r="CRQ105" s="433"/>
      <c r="CRR105" s="433"/>
      <c r="CRS105" s="433"/>
      <c r="CRT105" s="433"/>
      <c r="CRU105" s="433"/>
      <c r="CRV105" s="433"/>
      <c r="CRW105" s="433"/>
      <c r="CRX105" s="433"/>
      <c r="CRY105" s="433"/>
      <c r="CRZ105" s="433"/>
      <c r="CSA105" s="433"/>
      <c r="CSB105" s="433"/>
      <c r="CSC105" s="433"/>
      <c r="CSD105" s="433"/>
      <c r="CSE105" s="433"/>
      <c r="CSF105" s="433"/>
      <c r="CSG105" s="433"/>
      <c r="CSH105" s="433"/>
      <c r="CSI105" s="433"/>
      <c r="CSJ105" s="433"/>
      <c r="CSK105" s="433"/>
      <c r="CSL105" s="433"/>
      <c r="CSM105" s="433"/>
      <c r="CSN105" s="433"/>
      <c r="CSO105" s="433"/>
      <c r="CSP105" s="433"/>
      <c r="CSQ105" s="433"/>
      <c r="CSR105" s="433"/>
      <c r="CSS105" s="433"/>
      <c r="CST105" s="433"/>
      <c r="CSU105" s="433"/>
      <c r="CSV105" s="433"/>
      <c r="CSW105" s="433"/>
      <c r="CSX105" s="433"/>
      <c r="CSY105" s="433"/>
      <c r="CSZ105" s="433"/>
      <c r="CTA105" s="433"/>
      <c r="CTB105" s="433"/>
      <c r="CTC105" s="433"/>
      <c r="CTD105" s="433"/>
      <c r="CTE105" s="433"/>
      <c r="CTF105" s="433"/>
      <c r="CTG105" s="433"/>
      <c r="CTH105" s="433"/>
      <c r="CTI105" s="433"/>
      <c r="CTJ105" s="433"/>
      <c r="CTK105" s="433"/>
      <c r="CTL105" s="433"/>
      <c r="CTM105" s="433"/>
      <c r="CTN105" s="433"/>
      <c r="CTO105" s="433"/>
      <c r="CTP105" s="433"/>
      <c r="CTQ105" s="433"/>
      <c r="CTR105" s="433"/>
      <c r="CTS105" s="433"/>
      <c r="CTT105" s="433"/>
      <c r="CTU105" s="433"/>
      <c r="CTV105" s="433"/>
      <c r="CTW105" s="433"/>
      <c r="CTX105" s="433"/>
      <c r="CTY105" s="433"/>
      <c r="CTZ105" s="433"/>
      <c r="CUA105" s="433"/>
      <c r="CUB105" s="433"/>
      <c r="CUC105" s="433"/>
      <c r="CUD105" s="433"/>
      <c r="CUE105" s="433"/>
      <c r="CUF105" s="433"/>
      <c r="CUG105" s="433"/>
      <c r="CUH105" s="433"/>
      <c r="CUI105" s="433"/>
      <c r="CUJ105" s="433"/>
      <c r="CUK105" s="433"/>
      <c r="CUL105" s="433"/>
      <c r="CUM105" s="433"/>
      <c r="CUN105" s="433"/>
      <c r="CUO105" s="433"/>
      <c r="CUP105" s="433"/>
      <c r="CUQ105" s="433"/>
      <c r="CUR105" s="433"/>
      <c r="CUS105" s="433"/>
      <c r="CUT105" s="433"/>
      <c r="CUU105" s="433"/>
      <c r="CUV105" s="433"/>
      <c r="CUW105" s="433"/>
      <c r="CUX105" s="433"/>
      <c r="CUY105" s="433"/>
      <c r="CUZ105" s="433"/>
      <c r="CVA105" s="433"/>
      <c r="CVB105" s="433"/>
      <c r="CVC105" s="433"/>
      <c r="CVD105" s="433"/>
      <c r="CVE105" s="433"/>
      <c r="CVF105" s="433"/>
      <c r="CVG105" s="433"/>
      <c r="CVH105" s="433"/>
      <c r="CVI105" s="433"/>
      <c r="CVJ105" s="433"/>
      <c r="CVK105" s="433"/>
      <c r="CVL105" s="433"/>
      <c r="CVM105" s="433"/>
      <c r="CVN105" s="433"/>
      <c r="CVO105" s="433"/>
      <c r="CVP105" s="433"/>
      <c r="CVQ105" s="433"/>
      <c r="CVR105" s="433"/>
      <c r="CVS105" s="433"/>
      <c r="CVT105" s="433"/>
      <c r="CVU105" s="433"/>
      <c r="CVV105" s="433"/>
      <c r="CVW105" s="433"/>
      <c r="CVX105" s="433"/>
      <c r="CVY105" s="433"/>
      <c r="CVZ105" s="433"/>
      <c r="CWA105" s="433"/>
      <c r="CWB105" s="433"/>
      <c r="CWC105" s="433"/>
      <c r="CWD105" s="433"/>
      <c r="CWE105" s="433"/>
      <c r="CWF105" s="433"/>
      <c r="CWG105" s="433"/>
      <c r="CWH105" s="433"/>
      <c r="CWI105" s="433"/>
      <c r="CWJ105" s="433"/>
      <c r="CWK105" s="433"/>
      <c r="CWL105" s="433"/>
      <c r="CWM105" s="433"/>
      <c r="CWN105" s="433"/>
      <c r="CWO105" s="433"/>
      <c r="CWP105" s="433"/>
      <c r="CWQ105" s="433"/>
      <c r="CWR105" s="433"/>
      <c r="CWS105" s="433"/>
      <c r="CWT105" s="433"/>
      <c r="CWU105" s="433"/>
      <c r="CWV105" s="433"/>
      <c r="CWW105" s="433"/>
      <c r="CWX105" s="433"/>
      <c r="CWY105" s="433"/>
      <c r="CWZ105" s="433"/>
      <c r="CXA105" s="433"/>
      <c r="CXB105" s="433"/>
      <c r="CXC105" s="433"/>
      <c r="CXD105" s="433"/>
      <c r="CXE105" s="433"/>
      <c r="CXF105" s="433"/>
      <c r="CXG105" s="433"/>
      <c r="CXH105" s="433"/>
      <c r="CXI105" s="433"/>
      <c r="CXJ105" s="433"/>
      <c r="CXK105" s="433"/>
      <c r="CXL105" s="433"/>
      <c r="CXM105" s="433"/>
      <c r="CXN105" s="433"/>
      <c r="CXO105" s="433"/>
      <c r="CXP105" s="433"/>
      <c r="CXQ105" s="433"/>
      <c r="CXR105" s="433"/>
      <c r="CXS105" s="433"/>
      <c r="CXT105" s="433"/>
      <c r="CXU105" s="433"/>
      <c r="CXV105" s="433"/>
      <c r="CXW105" s="433"/>
      <c r="CXX105" s="433"/>
      <c r="CXY105" s="433"/>
      <c r="CXZ105" s="433"/>
      <c r="CYA105" s="433"/>
      <c r="CYB105" s="433"/>
      <c r="CYC105" s="433"/>
      <c r="CYD105" s="433"/>
      <c r="CYE105" s="433"/>
      <c r="CYF105" s="433"/>
      <c r="CYG105" s="433"/>
      <c r="CYH105" s="433"/>
      <c r="CYI105" s="433"/>
      <c r="CYJ105" s="433"/>
      <c r="CYK105" s="433"/>
      <c r="CYL105" s="433"/>
      <c r="CYM105" s="433"/>
      <c r="CYN105" s="433"/>
      <c r="CYO105" s="433"/>
      <c r="CYP105" s="433"/>
      <c r="CYQ105" s="433"/>
      <c r="CYR105" s="433"/>
      <c r="CYS105" s="433"/>
      <c r="CYT105" s="433"/>
      <c r="CYU105" s="433"/>
      <c r="CYV105" s="433"/>
      <c r="CYW105" s="433"/>
      <c r="CYX105" s="433"/>
      <c r="CYY105" s="433"/>
      <c r="CYZ105" s="433"/>
      <c r="CZA105" s="433"/>
      <c r="CZB105" s="433"/>
      <c r="CZC105" s="433"/>
      <c r="CZD105" s="433"/>
      <c r="CZE105" s="433"/>
      <c r="CZF105" s="433"/>
      <c r="CZG105" s="433"/>
      <c r="CZH105" s="433"/>
      <c r="CZI105" s="433"/>
      <c r="CZJ105" s="433"/>
      <c r="CZK105" s="433"/>
      <c r="CZL105" s="433"/>
      <c r="CZM105" s="433"/>
      <c r="CZN105" s="433"/>
      <c r="CZO105" s="433"/>
      <c r="CZP105" s="433"/>
      <c r="CZQ105" s="433"/>
      <c r="CZR105" s="433"/>
      <c r="CZS105" s="433"/>
      <c r="CZT105" s="433"/>
      <c r="CZU105" s="433"/>
      <c r="CZV105" s="433"/>
      <c r="CZW105" s="433"/>
      <c r="CZX105" s="433"/>
      <c r="CZY105" s="433"/>
      <c r="CZZ105" s="433"/>
      <c r="DAA105" s="433"/>
      <c r="DAB105" s="433"/>
      <c r="DAC105" s="433"/>
      <c r="DAD105" s="433"/>
      <c r="DAE105" s="433"/>
      <c r="DAF105" s="433"/>
      <c r="DAG105" s="433"/>
      <c r="DAH105" s="433"/>
      <c r="DAI105" s="433"/>
      <c r="DAJ105" s="433"/>
      <c r="DAK105" s="433"/>
      <c r="DAL105" s="433"/>
      <c r="DAM105" s="433"/>
      <c r="DAN105" s="433"/>
      <c r="DAO105" s="433"/>
      <c r="DAP105" s="433"/>
      <c r="DAQ105" s="433"/>
      <c r="DAR105" s="433"/>
      <c r="DAS105" s="433"/>
      <c r="DAT105" s="433"/>
      <c r="DAU105" s="433"/>
      <c r="DAV105" s="433"/>
      <c r="DAW105" s="433"/>
      <c r="DAX105" s="433"/>
      <c r="DAY105" s="433"/>
      <c r="DAZ105" s="433"/>
      <c r="DBA105" s="433"/>
      <c r="DBB105" s="433"/>
      <c r="DBC105" s="433"/>
      <c r="DBD105" s="433"/>
      <c r="DBE105" s="433"/>
      <c r="DBF105" s="433"/>
      <c r="DBG105" s="433"/>
      <c r="DBH105" s="433"/>
      <c r="DBI105" s="433"/>
      <c r="DBJ105" s="433"/>
      <c r="DBK105" s="433"/>
      <c r="DBL105" s="433"/>
      <c r="DBM105" s="433"/>
      <c r="DBN105" s="433"/>
      <c r="DBO105" s="433"/>
      <c r="DBP105" s="433"/>
      <c r="DBQ105" s="433"/>
      <c r="DBR105" s="433"/>
      <c r="DBS105" s="433"/>
      <c r="DBT105" s="433"/>
      <c r="DBU105" s="433"/>
      <c r="DBV105" s="433"/>
      <c r="DBW105" s="433"/>
      <c r="DBX105" s="433"/>
      <c r="DBY105" s="433"/>
      <c r="DBZ105" s="433"/>
      <c r="DCA105" s="433"/>
      <c r="DCB105" s="433"/>
      <c r="DCC105" s="433"/>
      <c r="DCD105" s="433"/>
      <c r="DCE105" s="433"/>
      <c r="DCF105" s="433"/>
      <c r="DCG105" s="433"/>
      <c r="DCH105" s="433"/>
      <c r="DCI105" s="433"/>
      <c r="DCJ105" s="433"/>
      <c r="DCK105" s="433"/>
      <c r="DCL105" s="433"/>
      <c r="DCM105" s="433"/>
      <c r="DCN105" s="433"/>
      <c r="DCO105" s="433"/>
      <c r="DCP105" s="433"/>
      <c r="DCQ105" s="433"/>
      <c r="DCR105" s="433"/>
      <c r="DCS105" s="433"/>
      <c r="DCT105" s="433"/>
      <c r="DCU105" s="433"/>
      <c r="DCV105" s="433"/>
      <c r="DCW105" s="433"/>
      <c r="DCX105" s="433"/>
      <c r="DCY105" s="433"/>
      <c r="DCZ105" s="433"/>
      <c r="DDA105" s="433"/>
      <c r="DDB105" s="433"/>
      <c r="DDC105" s="433"/>
      <c r="DDD105" s="433"/>
      <c r="DDE105" s="433"/>
      <c r="DDF105" s="433"/>
      <c r="DDG105" s="433"/>
      <c r="DDH105" s="433"/>
      <c r="DDI105" s="433"/>
      <c r="DDJ105" s="433"/>
      <c r="DDK105" s="433"/>
      <c r="DDL105" s="433"/>
      <c r="DDM105" s="433"/>
      <c r="DDN105" s="433"/>
      <c r="DDO105" s="433"/>
      <c r="DDP105" s="433"/>
      <c r="DDQ105" s="433"/>
      <c r="DDR105" s="433"/>
      <c r="DDS105" s="433"/>
      <c r="DDT105" s="433"/>
      <c r="DDU105" s="433"/>
      <c r="DDV105" s="433"/>
      <c r="DDW105" s="433"/>
      <c r="DDX105" s="433"/>
      <c r="DDY105" s="433"/>
      <c r="DDZ105" s="433"/>
      <c r="DEA105" s="433"/>
      <c r="DEB105" s="433"/>
      <c r="DEC105" s="433"/>
      <c r="DED105" s="433"/>
      <c r="DEE105" s="433"/>
      <c r="DEF105" s="433"/>
      <c r="DEG105" s="433"/>
      <c r="DEH105" s="433"/>
      <c r="DEI105" s="433"/>
      <c r="DEJ105" s="433"/>
      <c r="DEK105" s="433"/>
      <c r="DEL105" s="433"/>
      <c r="DEM105" s="433"/>
      <c r="DEN105" s="433"/>
      <c r="DEO105" s="433"/>
      <c r="DEP105" s="433"/>
      <c r="DEQ105" s="433"/>
      <c r="DER105" s="433"/>
      <c r="DES105" s="433"/>
      <c r="DET105" s="433"/>
      <c r="DEU105" s="433"/>
      <c r="DEV105" s="433"/>
      <c r="DEW105" s="433"/>
      <c r="DEX105" s="433"/>
      <c r="DEY105" s="433"/>
      <c r="DEZ105" s="433"/>
      <c r="DFA105" s="433"/>
      <c r="DFB105" s="433"/>
      <c r="DFC105" s="433"/>
      <c r="DFD105" s="433"/>
      <c r="DFE105" s="433"/>
      <c r="DFF105" s="433"/>
      <c r="DFG105" s="433"/>
      <c r="DFH105" s="433"/>
      <c r="DFI105" s="433"/>
      <c r="DFJ105" s="433"/>
      <c r="DFK105" s="433"/>
      <c r="DFL105" s="433"/>
      <c r="DFM105" s="433"/>
      <c r="DFN105" s="433"/>
      <c r="DFO105" s="433"/>
      <c r="DFP105" s="433"/>
      <c r="DFQ105" s="433"/>
      <c r="DFR105" s="433"/>
      <c r="DFS105" s="433"/>
      <c r="DFT105" s="433"/>
      <c r="DFU105" s="433"/>
      <c r="DFV105" s="433"/>
      <c r="DFW105" s="433"/>
      <c r="DFX105" s="433"/>
      <c r="DFY105" s="433"/>
      <c r="DFZ105" s="433"/>
      <c r="DGA105" s="433"/>
      <c r="DGB105" s="433"/>
      <c r="DGC105" s="433"/>
      <c r="DGD105" s="433"/>
      <c r="DGE105" s="433"/>
      <c r="DGF105" s="433"/>
      <c r="DGG105" s="433"/>
      <c r="DGH105" s="433"/>
      <c r="DGI105" s="433"/>
      <c r="DGJ105" s="433"/>
      <c r="DGK105" s="433"/>
      <c r="DGL105" s="433"/>
      <c r="DGM105" s="433"/>
      <c r="DGN105" s="433"/>
      <c r="DGO105" s="433"/>
      <c r="DGP105" s="433"/>
      <c r="DGQ105" s="433"/>
      <c r="DGR105" s="433"/>
      <c r="DGS105" s="433"/>
      <c r="DGT105" s="433"/>
      <c r="DGU105" s="433"/>
      <c r="DGV105" s="433"/>
      <c r="DGW105" s="433"/>
      <c r="DGX105" s="433"/>
      <c r="DGY105" s="433"/>
      <c r="DGZ105" s="433"/>
      <c r="DHA105" s="433"/>
      <c r="DHB105" s="433"/>
      <c r="DHC105" s="433"/>
      <c r="DHD105" s="433"/>
      <c r="DHE105" s="433"/>
      <c r="DHF105" s="433"/>
      <c r="DHG105" s="433"/>
      <c r="DHH105" s="433"/>
      <c r="DHI105" s="433"/>
      <c r="DHJ105" s="433"/>
      <c r="DHK105" s="433"/>
      <c r="DHL105" s="433"/>
      <c r="DHM105" s="433"/>
      <c r="DHN105" s="433"/>
      <c r="DHO105" s="433"/>
      <c r="DHP105" s="433"/>
      <c r="DHQ105" s="433"/>
      <c r="DHR105" s="433"/>
      <c r="DHS105" s="433"/>
      <c r="DHT105" s="433"/>
      <c r="DHU105" s="433"/>
      <c r="DHV105" s="433"/>
      <c r="DHW105" s="433"/>
      <c r="DHX105" s="433"/>
      <c r="DHY105" s="433"/>
      <c r="DHZ105" s="433"/>
      <c r="DIA105" s="433"/>
      <c r="DIB105" s="433"/>
      <c r="DIC105" s="433"/>
      <c r="DID105" s="433"/>
      <c r="DIE105" s="433"/>
      <c r="DIF105" s="433"/>
      <c r="DIG105" s="433"/>
      <c r="DIH105" s="433"/>
      <c r="DII105" s="433"/>
      <c r="DIJ105" s="433"/>
      <c r="DIK105" s="433"/>
      <c r="DIL105" s="433"/>
      <c r="DIM105" s="433"/>
      <c r="DIN105" s="433"/>
      <c r="DIO105" s="433"/>
      <c r="DIP105" s="433"/>
      <c r="DIQ105" s="433"/>
      <c r="DIR105" s="433"/>
      <c r="DIS105" s="433"/>
      <c r="DIT105" s="433"/>
      <c r="DIU105" s="433"/>
      <c r="DIV105" s="433"/>
      <c r="DIW105" s="433"/>
      <c r="DIX105" s="433"/>
      <c r="DIY105" s="433"/>
      <c r="DIZ105" s="433"/>
      <c r="DJA105" s="433"/>
      <c r="DJB105" s="433"/>
      <c r="DJC105" s="433"/>
      <c r="DJD105" s="433"/>
      <c r="DJE105" s="433"/>
      <c r="DJF105" s="433"/>
      <c r="DJG105" s="433"/>
      <c r="DJH105" s="433"/>
      <c r="DJI105" s="433"/>
      <c r="DJJ105" s="433"/>
      <c r="DJK105" s="433"/>
      <c r="DJL105" s="433"/>
      <c r="DJM105" s="433"/>
      <c r="DJN105" s="433"/>
      <c r="DJO105" s="433"/>
      <c r="DJP105" s="433"/>
      <c r="DJQ105" s="433"/>
      <c r="DJR105" s="433"/>
      <c r="DJS105" s="433"/>
      <c r="DJT105" s="433"/>
      <c r="DJU105" s="433"/>
      <c r="DJV105" s="433"/>
      <c r="DJW105" s="433"/>
      <c r="DJX105" s="433"/>
      <c r="DJY105" s="433"/>
      <c r="DJZ105" s="433"/>
      <c r="DKA105" s="433"/>
      <c r="DKB105" s="433"/>
      <c r="DKC105" s="433"/>
      <c r="DKD105" s="433"/>
      <c r="DKE105" s="433"/>
      <c r="DKF105" s="433"/>
      <c r="DKG105" s="433"/>
      <c r="DKH105" s="433"/>
      <c r="DKI105" s="433"/>
      <c r="DKJ105" s="433"/>
      <c r="DKK105" s="433"/>
      <c r="DKL105" s="433"/>
      <c r="DKM105" s="433"/>
      <c r="DKN105" s="433"/>
      <c r="DKO105" s="433"/>
      <c r="DKP105" s="433"/>
      <c r="DKQ105" s="433"/>
      <c r="DKR105" s="433"/>
      <c r="DKS105" s="433"/>
      <c r="DKT105" s="433"/>
      <c r="DKU105" s="433"/>
      <c r="DKV105" s="433"/>
      <c r="DKW105" s="433"/>
      <c r="DKX105" s="433"/>
      <c r="DKY105" s="433"/>
      <c r="DKZ105" s="433"/>
      <c r="DLA105" s="433"/>
      <c r="DLB105" s="433"/>
      <c r="DLC105" s="433"/>
      <c r="DLD105" s="433"/>
      <c r="DLE105" s="433"/>
      <c r="DLF105" s="433"/>
      <c r="DLG105" s="433"/>
      <c r="DLH105" s="433"/>
      <c r="DLI105" s="433"/>
      <c r="DLJ105" s="433"/>
      <c r="DLK105" s="433"/>
      <c r="DLL105" s="433"/>
      <c r="DLM105" s="433"/>
      <c r="DLN105" s="433"/>
      <c r="DLO105" s="433"/>
      <c r="DLP105" s="433"/>
      <c r="DLQ105" s="433"/>
      <c r="DLR105" s="433"/>
      <c r="DLS105" s="433"/>
      <c r="DLT105" s="433"/>
      <c r="DLU105" s="433"/>
      <c r="DLV105" s="433"/>
      <c r="DLW105" s="433"/>
      <c r="DLX105" s="433"/>
      <c r="DLY105" s="433"/>
      <c r="DLZ105" s="433"/>
      <c r="DMA105" s="433"/>
      <c r="DMB105" s="433"/>
      <c r="DMC105" s="433"/>
      <c r="DMD105" s="433"/>
      <c r="DME105" s="433"/>
      <c r="DMF105" s="433"/>
      <c r="DMG105" s="433"/>
      <c r="DMH105" s="433"/>
      <c r="DMI105" s="433"/>
      <c r="DMJ105" s="433"/>
      <c r="DMK105" s="433"/>
      <c r="DML105" s="433"/>
      <c r="DMM105" s="433"/>
      <c r="DMN105" s="433"/>
      <c r="DMO105" s="433"/>
      <c r="DMP105" s="433"/>
      <c r="DMQ105" s="433"/>
      <c r="DMR105" s="433"/>
      <c r="DMS105" s="433"/>
      <c r="DMT105" s="433"/>
      <c r="DMU105" s="433"/>
      <c r="DMV105" s="433"/>
      <c r="DMW105" s="433"/>
      <c r="DMX105" s="433"/>
      <c r="DMY105" s="433"/>
      <c r="DMZ105" s="433"/>
      <c r="DNA105" s="433"/>
      <c r="DNB105" s="433"/>
      <c r="DNC105" s="433"/>
      <c r="DND105" s="433"/>
      <c r="DNE105" s="433"/>
      <c r="DNF105" s="433"/>
      <c r="DNG105" s="433"/>
      <c r="DNH105" s="433"/>
      <c r="DNI105" s="433"/>
      <c r="DNJ105" s="433"/>
      <c r="DNK105" s="433"/>
      <c r="DNL105" s="433"/>
      <c r="DNM105" s="433"/>
      <c r="DNN105" s="433"/>
      <c r="DNO105" s="433"/>
      <c r="DNP105" s="433"/>
      <c r="DNQ105" s="433"/>
      <c r="DNR105" s="433"/>
      <c r="DNS105" s="433"/>
      <c r="DNT105" s="433"/>
      <c r="DNU105" s="433"/>
      <c r="DNV105" s="433"/>
      <c r="DNW105" s="433"/>
      <c r="DNX105" s="433"/>
      <c r="DNY105" s="433"/>
      <c r="DNZ105" s="433"/>
      <c r="DOA105" s="433"/>
      <c r="DOB105" s="433"/>
      <c r="DOC105" s="433"/>
      <c r="DOD105" s="433"/>
      <c r="DOE105" s="433"/>
      <c r="DOF105" s="433"/>
      <c r="DOG105" s="433"/>
      <c r="DOH105" s="433"/>
      <c r="DOI105" s="433"/>
      <c r="DOJ105" s="433"/>
      <c r="DOK105" s="433"/>
      <c r="DOL105" s="433"/>
      <c r="DOM105" s="433"/>
      <c r="DON105" s="433"/>
      <c r="DOO105" s="433"/>
      <c r="DOP105" s="433"/>
      <c r="DOQ105" s="433"/>
      <c r="DOR105" s="433"/>
      <c r="DOS105" s="433"/>
      <c r="DOT105" s="433"/>
      <c r="DOU105" s="433"/>
      <c r="DOV105" s="433"/>
      <c r="DOW105" s="433"/>
      <c r="DOX105" s="433"/>
      <c r="DOY105" s="433"/>
      <c r="DOZ105" s="433"/>
      <c r="DPA105" s="433"/>
      <c r="DPB105" s="433"/>
      <c r="DPC105" s="433"/>
      <c r="DPD105" s="433"/>
      <c r="DPE105" s="433"/>
      <c r="DPF105" s="433"/>
      <c r="DPG105" s="433"/>
      <c r="DPH105" s="433"/>
      <c r="DPI105" s="433"/>
      <c r="DPJ105" s="433"/>
      <c r="DPK105" s="433"/>
      <c r="DPL105" s="433"/>
      <c r="DPM105" s="433"/>
      <c r="DPN105" s="433"/>
      <c r="DPO105" s="433"/>
      <c r="DPP105" s="433"/>
      <c r="DPQ105" s="433"/>
      <c r="DPR105" s="433"/>
      <c r="DPS105" s="433"/>
      <c r="DPT105" s="433"/>
      <c r="DPU105" s="433"/>
      <c r="DPV105" s="433"/>
      <c r="DPW105" s="433"/>
      <c r="DPX105" s="433"/>
      <c r="DPY105" s="433"/>
      <c r="DPZ105" s="433"/>
      <c r="DQA105" s="433"/>
      <c r="DQB105" s="433"/>
      <c r="DQC105" s="433"/>
      <c r="DQD105" s="433"/>
      <c r="DQE105" s="433"/>
      <c r="DQF105" s="433"/>
      <c r="DQG105" s="433"/>
      <c r="DQH105" s="433"/>
      <c r="DQI105" s="433"/>
      <c r="DQJ105" s="433"/>
      <c r="DQK105" s="433"/>
      <c r="DQL105" s="433"/>
      <c r="DQM105" s="433"/>
      <c r="DQN105" s="433"/>
      <c r="DQO105" s="433"/>
      <c r="DQP105" s="433"/>
      <c r="DQQ105" s="433"/>
      <c r="DQR105" s="433"/>
      <c r="DQS105" s="433"/>
      <c r="DQT105" s="433"/>
      <c r="DQU105" s="433"/>
      <c r="DQV105" s="433"/>
      <c r="DQW105" s="433"/>
      <c r="DQX105" s="433"/>
      <c r="DQY105" s="433"/>
      <c r="DQZ105" s="433"/>
      <c r="DRA105" s="433"/>
      <c r="DRB105" s="433"/>
      <c r="DRC105" s="433"/>
      <c r="DRD105" s="433"/>
      <c r="DRE105" s="433"/>
      <c r="DRF105" s="433"/>
      <c r="DRG105" s="433"/>
      <c r="DRH105" s="433"/>
      <c r="DRI105" s="433"/>
      <c r="DRJ105" s="433"/>
      <c r="DRK105" s="433"/>
      <c r="DRL105" s="433"/>
      <c r="DRM105" s="433"/>
      <c r="DRN105" s="433"/>
      <c r="DRO105" s="433"/>
      <c r="DRP105" s="433"/>
      <c r="DRQ105" s="433"/>
      <c r="DRR105" s="433"/>
      <c r="DRS105" s="433"/>
      <c r="DRT105" s="433"/>
      <c r="DRU105" s="433"/>
      <c r="DRV105" s="433"/>
      <c r="DRW105" s="433"/>
      <c r="DRX105" s="433"/>
      <c r="DRY105" s="433"/>
      <c r="DRZ105" s="433"/>
      <c r="DSA105" s="433"/>
      <c r="DSB105" s="433"/>
      <c r="DSC105" s="433"/>
      <c r="DSD105" s="433"/>
      <c r="DSE105" s="433"/>
      <c r="DSF105" s="433"/>
      <c r="DSG105" s="433"/>
      <c r="DSH105" s="433"/>
      <c r="DSI105" s="433"/>
      <c r="DSJ105" s="433"/>
      <c r="DSK105" s="433"/>
      <c r="DSL105" s="433"/>
      <c r="DSM105" s="433"/>
      <c r="DSN105" s="433"/>
      <c r="DSO105" s="433"/>
      <c r="DSP105" s="433"/>
      <c r="DSQ105" s="433"/>
      <c r="DSR105" s="433"/>
      <c r="DSS105" s="433"/>
      <c r="DST105" s="433"/>
      <c r="DSU105" s="433"/>
      <c r="DSV105" s="433"/>
      <c r="DSW105" s="433"/>
      <c r="DSX105" s="433"/>
      <c r="DSY105" s="433"/>
      <c r="DSZ105" s="433"/>
      <c r="DTA105" s="433"/>
      <c r="DTB105" s="433"/>
      <c r="DTC105" s="433"/>
      <c r="DTD105" s="433"/>
      <c r="DTE105" s="433"/>
      <c r="DTF105" s="433"/>
      <c r="DTG105" s="433"/>
      <c r="DTH105" s="433"/>
      <c r="DTI105" s="433"/>
      <c r="DTJ105" s="433"/>
      <c r="DTK105" s="433"/>
      <c r="DTL105" s="433"/>
      <c r="DTM105" s="433"/>
      <c r="DTN105" s="433"/>
      <c r="DTO105" s="433"/>
      <c r="DTP105" s="433"/>
      <c r="DTQ105" s="433"/>
      <c r="DTR105" s="433"/>
      <c r="DTS105" s="433"/>
      <c r="DTT105" s="433"/>
      <c r="DTU105" s="433"/>
      <c r="DTV105" s="433"/>
      <c r="DTW105" s="433"/>
      <c r="DTX105" s="433"/>
      <c r="DTY105" s="433"/>
      <c r="DTZ105" s="433"/>
      <c r="DUA105" s="433"/>
      <c r="DUB105" s="433"/>
      <c r="DUC105" s="433"/>
      <c r="DUD105" s="433"/>
      <c r="DUE105" s="433"/>
      <c r="DUF105" s="433"/>
      <c r="DUG105" s="433"/>
      <c r="DUH105" s="433"/>
      <c r="DUI105" s="433"/>
      <c r="DUJ105" s="433"/>
      <c r="DUK105" s="433"/>
      <c r="DUL105" s="433"/>
      <c r="DUM105" s="433"/>
      <c r="DUN105" s="433"/>
      <c r="DUO105" s="433"/>
      <c r="DUP105" s="433"/>
      <c r="DUQ105" s="433"/>
      <c r="DUR105" s="433"/>
      <c r="DUS105" s="433"/>
      <c r="DUT105" s="433"/>
      <c r="DUU105" s="433"/>
      <c r="DUV105" s="433"/>
      <c r="DUW105" s="433"/>
      <c r="DUX105" s="433"/>
      <c r="DUY105" s="433"/>
      <c r="DUZ105" s="433"/>
      <c r="DVA105" s="433"/>
      <c r="DVB105" s="433"/>
      <c r="DVC105" s="433"/>
      <c r="DVD105" s="433"/>
      <c r="DVE105" s="433"/>
      <c r="DVF105" s="433"/>
      <c r="DVG105" s="433"/>
      <c r="DVH105" s="433"/>
      <c r="DVI105" s="433"/>
      <c r="DVJ105" s="433"/>
      <c r="DVK105" s="433"/>
      <c r="DVL105" s="433"/>
      <c r="DVM105" s="433"/>
      <c r="DVN105" s="433"/>
      <c r="DVO105" s="433"/>
      <c r="DVP105" s="433"/>
      <c r="DVQ105" s="433"/>
      <c r="DVR105" s="433"/>
      <c r="DVS105" s="433"/>
      <c r="DVT105" s="433"/>
      <c r="DVU105" s="433"/>
      <c r="DVV105" s="433"/>
      <c r="DVW105" s="433"/>
      <c r="DVX105" s="433"/>
      <c r="DVY105" s="433"/>
      <c r="DVZ105" s="433"/>
      <c r="DWA105" s="433"/>
      <c r="DWB105" s="433"/>
      <c r="DWC105" s="433"/>
      <c r="DWD105" s="433"/>
      <c r="DWE105" s="433"/>
      <c r="DWF105" s="433"/>
      <c r="DWG105" s="433"/>
      <c r="DWH105" s="433"/>
      <c r="DWI105" s="433"/>
      <c r="DWJ105" s="433"/>
      <c r="DWK105" s="433"/>
      <c r="DWL105" s="433"/>
      <c r="DWM105" s="433"/>
      <c r="DWN105" s="433"/>
      <c r="DWO105" s="433"/>
      <c r="DWP105" s="433"/>
      <c r="DWQ105" s="433"/>
      <c r="DWR105" s="433"/>
      <c r="DWS105" s="433"/>
      <c r="DWT105" s="433"/>
      <c r="DWU105" s="433"/>
      <c r="DWV105" s="433"/>
      <c r="DWW105" s="433"/>
      <c r="DWX105" s="433"/>
      <c r="DWY105" s="433"/>
      <c r="DWZ105" s="433"/>
      <c r="DXA105" s="433"/>
      <c r="DXB105" s="433"/>
      <c r="DXC105" s="433"/>
      <c r="DXD105" s="433"/>
      <c r="DXE105" s="433"/>
      <c r="DXF105" s="433"/>
      <c r="DXG105" s="433"/>
      <c r="DXH105" s="433"/>
      <c r="DXI105" s="433"/>
      <c r="DXJ105" s="433"/>
      <c r="DXK105" s="433"/>
      <c r="DXL105" s="433"/>
      <c r="DXM105" s="433"/>
      <c r="DXN105" s="433"/>
      <c r="DXO105" s="433"/>
      <c r="DXP105" s="433"/>
      <c r="DXQ105" s="433"/>
      <c r="DXR105" s="433"/>
      <c r="DXS105" s="433"/>
      <c r="DXT105" s="433"/>
      <c r="DXU105" s="433"/>
      <c r="DXV105" s="433"/>
      <c r="DXW105" s="433"/>
      <c r="DXX105" s="433"/>
      <c r="DXY105" s="433"/>
      <c r="DXZ105" s="433"/>
      <c r="DYA105" s="433"/>
      <c r="DYB105" s="433"/>
      <c r="DYC105" s="433"/>
      <c r="DYD105" s="433"/>
      <c r="DYE105" s="433"/>
      <c r="DYF105" s="433"/>
      <c r="DYG105" s="433"/>
      <c r="DYH105" s="433"/>
      <c r="DYI105" s="433"/>
      <c r="DYJ105" s="433"/>
      <c r="DYK105" s="433"/>
      <c r="DYL105" s="433"/>
      <c r="DYM105" s="433"/>
      <c r="DYN105" s="433"/>
      <c r="DYO105" s="433"/>
      <c r="DYP105" s="433"/>
      <c r="DYQ105" s="433"/>
      <c r="DYR105" s="433"/>
      <c r="DYS105" s="433"/>
      <c r="DYT105" s="433"/>
      <c r="DYU105" s="433"/>
      <c r="DYV105" s="433"/>
      <c r="DYW105" s="433"/>
      <c r="DYX105" s="433"/>
      <c r="DYY105" s="433"/>
      <c r="DYZ105" s="433"/>
      <c r="DZA105" s="433"/>
      <c r="DZB105" s="433"/>
      <c r="DZC105" s="433"/>
      <c r="DZD105" s="433"/>
      <c r="DZE105" s="433"/>
      <c r="DZF105" s="433"/>
      <c r="DZG105" s="433"/>
      <c r="DZH105" s="433"/>
      <c r="DZI105" s="433"/>
      <c r="DZJ105" s="433"/>
      <c r="DZK105" s="433"/>
      <c r="DZL105" s="433"/>
      <c r="DZM105" s="433"/>
      <c r="DZN105" s="433"/>
      <c r="DZO105" s="433"/>
      <c r="DZP105" s="433"/>
      <c r="DZQ105" s="433"/>
      <c r="DZR105" s="433"/>
      <c r="DZS105" s="433"/>
      <c r="DZT105" s="433"/>
      <c r="DZU105" s="433"/>
      <c r="DZV105" s="433"/>
      <c r="DZW105" s="433"/>
      <c r="DZX105" s="433"/>
      <c r="DZY105" s="433"/>
      <c r="DZZ105" s="433"/>
      <c r="EAA105" s="433"/>
      <c r="EAB105" s="433"/>
      <c r="EAC105" s="433"/>
      <c r="EAD105" s="433"/>
      <c r="EAE105" s="433"/>
      <c r="EAF105" s="433"/>
      <c r="EAG105" s="433"/>
      <c r="EAH105" s="433"/>
      <c r="EAI105" s="433"/>
      <c r="EAJ105" s="433"/>
      <c r="EAK105" s="433"/>
      <c r="EAL105" s="433"/>
      <c r="EAM105" s="433"/>
      <c r="EAN105" s="433"/>
      <c r="EAO105" s="433"/>
      <c r="EAP105" s="433"/>
      <c r="EAQ105" s="433"/>
      <c r="EAR105" s="433"/>
      <c r="EAS105" s="433"/>
      <c r="EAT105" s="433"/>
      <c r="EAU105" s="433"/>
      <c r="EAV105" s="433"/>
      <c r="EAW105" s="433"/>
      <c r="EAX105" s="433"/>
      <c r="EAY105" s="433"/>
      <c r="EAZ105" s="433"/>
      <c r="EBA105" s="433"/>
      <c r="EBB105" s="433"/>
      <c r="EBC105" s="433"/>
      <c r="EBD105" s="433"/>
      <c r="EBE105" s="433"/>
      <c r="EBF105" s="433"/>
      <c r="EBG105" s="433"/>
      <c r="EBH105" s="433"/>
      <c r="EBI105" s="433"/>
      <c r="EBJ105" s="433"/>
      <c r="EBK105" s="433"/>
      <c r="EBL105" s="433"/>
      <c r="EBM105" s="433"/>
      <c r="EBN105" s="433"/>
      <c r="EBO105" s="433"/>
      <c r="EBP105" s="433"/>
      <c r="EBQ105" s="433"/>
      <c r="EBR105" s="433"/>
      <c r="EBS105" s="433"/>
      <c r="EBT105" s="433"/>
      <c r="EBU105" s="433"/>
      <c r="EBV105" s="433"/>
      <c r="EBW105" s="433"/>
      <c r="EBX105" s="433"/>
      <c r="EBY105" s="433"/>
      <c r="EBZ105" s="433"/>
      <c r="ECA105" s="433"/>
      <c r="ECB105" s="433"/>
      <c r="ECC105" s="433"/>
      <c r="ECD105" s="433"/>
      <c r="ECE105" s="433"/>
      <c r="ECF105" s="433"/>
      <c r="ECG105" s="433"/>
      <c r="ECH105" s="433"/>
      <c r="ECI105" s="433"/>
      <c r="ECJ105" s="433"/>
      <c r="ECK105" s="433"/>
      <c r="ECL105" s="433"/>
      <c r="ECM105" s="433"/>
      <c r="ECN105" s="433"/>
      <c r="ECO105" s="433"/>
      <c r="ECP105" s="433"/>
      <c r="ECQ105" s="433"/>
      <c r="ECR105" s="433"/>
      <c r="ECS105" s="433"/>
      <c r="ECT105" s="433"/>
      <c r="ECU105" s="433"/>
      <c r="ECV105" s="433"/>
      <c r="ECW105" s="433"/>
      <c r="ECX105" s="433"/>
      <c r="ECY105" s="433"/>
      <c r="ECZ105" s="433"/>
      <c r="EDA105" s="433"/>
      <c r="EDB105" s="433"/>
      <c r="EDC105" s="433"/>
      <c r="EDD105" s="433"/>
      <c r="EDE105" s="433"/>
      <c r="EDF105" s="433"/>
      <c r="EDG105" s="433"/>
      <c r="EDH105" s="433"/>
      <c r="EDI105" s="433"/>
      <c r="EDJ105" s="433"/>
      <c r="EDK105" s="433"/>
      <c r="EDL105" s="433"/>
      <c r="EDM105" s="433"/>
      <c r="EDN105" s="433"/>
      <c r="EDO105" s="433"/>
      <c r="EDP105" s="433"/>
      <c r="EDQ105" s="433"/>
      <c r="EDR105" s="433"/>
      <c r="EDS105" s="433"/>
      <c r="EDT105" s="433"/>
      <c r="EDU105" s="433"/>
      <c r="EDV105" s="433"/>
      <c r="EDW105" s="433"/>
      <c r="EDX105" s="433"/>
      <c r="EDY105" s="433"/>
      <c r="EDZ105" s="433"/>
      <c r="EEA105" s="433"/>
      <c r="EEB105" s="433"/>
      <c r="EEC105" s="433"/>
      <c r="EED105" s="433"/>
      <c r="EEE105" s="433"/>
      <c r="EEF105" s="433"/>
      <c r="EEG105" s="433"/>
      <c r="EEH105" s="433"/>
      <c r="EEI105" s="433"/>
      <c r="EEJ105" s="433"/>
      <c r="EEK105" s="433"/>
      <c r="EEL105" s="433"/>
      <c r="EEM105" s="433"/>
      <c r="EEN105" s="433"/>
      <c r="EEO105" s="433"/>
      <c r="EEP105" s="433"/>
      <c r="EEQ105" s="433"/>
      <c r="EER105" s="433"/>
      <c r="EES105" s="433"/>
      <c r="EET105" s="433"/>
      <c r="EEU105" s="433"/>
      <c r="EEV105" s="433"/>
      <c r="EEW105" s="433"/>
      <c r="EEX105" s="433"/>
      <c r="EEY105" s="433"/>
      <c r="EEZ105" s="433"/>
      <c r="EFA105" s="433"/>
      <c r="EFB105" s="433"/>
      <c r="EFC105" s="433"/>
      <c r="EFD105" s="433"/>
      <c r="EFE105" s="433"/>
      <c r="EFF105" s="433"/>
      <c r="EFG105" s="433"/>
      <c r="EFH105" s="433"/>
      <c r="EFI105" s="433"/>
      <c r="EFJ105" s="433"/>
      <c r="EFK105" s="433"/>
      <c r="EFL105" s="433"/>
      <c r="EFM105" s="433"/>
      <c r="EFN105" s="433"/>
      <c r="EFO105" s="433"/>
      <c r="EFP105" s="433"/>
      <c r="EFQ105" s="433"/>
      <c r="EFR105" s="433"/>
      <c r="EFS105" s="433"/>
      <c r="EFT105" s="433"/>
      <c r="EFU105" s="433"/>
      <c r="EFV105" s="433"/>
      <c r="EFW105" s="433"/>
      <c r="EFX105" s="433"/>
      <c r="EFY105" s="433"/>
      <c r="EFZ105" s="433"/>
      <c r="EGA105" s="433"/>
      <c r="EGB105" s="433"/>
      <c r="EGC105" s="433"/>
      <c r="EGD105" s="433"/>
      <c r="EGE105" s="433"/>
      <c r="EGF105" s="433"/>
      <c r="EGG105" s="433"/>
      <c r="EGH105" s="433"/>
      <c r="EGI105" s="433"/>
      <c r="EGJ105" s="433"/>
      <c r="EGK105" s="433"/>
      <c r="EGL105" s="433"/>
      <c r="EGM105" s="433"/>
      <c r="EGN105" s="433"/>
      <c r="EGO105" s="433"/>
      <c r="EGP105" s="433"/>
      <c r="EGQ105" s="433"/>
      <c r="EGR105" s="433"/>
      <c r="EGS105" s="433"/>
      <c r="EGT105" s="433"/>
      <c r="EGU105" s="433"/>
      <c r="EGV105" s="433"/>
      <c r="EGW105" s="433"/>
      <c r="EGX105" s="433"/>
      <c r="EGY105" s="433"/>
      <c r="EGZ105" s="433"/>
      <c r="EHA105" s="433"/>
      <c r="EHB105" s="433"/>
      <c r="EHC105" s="433"/>
      <c r="EHD105" s="433"/>
      <c r="EHE105" s="433"/>
      <c r="EHF105" s="433"/>
      <c r="EHG105" s="433"/>
      <c r="EHH105" s="433"/>
      <c r="EHI105" s="433"/>
      <c r="EHJ105" s="433"/>
      <c r="EHK105" s="433"/>
      <c r="EHL105" s="433"/>
      <c r="EHM105" s="433"/>
      <c r="EHN105" s="433"/>
      <c r="EHO105" s="433"/>
      <c r="EHP105" s="433"/>
      <c r="EHQ105" s="433"/>
      <c r="EHR105" s="433"/>
      <c r="EHS105" s="433"/>
      <c r="EHT105" s="433"/>
      <c r="EHU105" s="433"/>
      <c r="EHV105" s="433"/>
      <c r="EHW105" s="433"/>
      <c r="EHX105" s="433"/>
      <c r="EHY105" s="433"/>
      <c r="EHZ105" s="433"/>
      <c r="EIA105" s="433"/>
      <c r="EIB105" s="433"/>
      <c r="EIC105" s="433"/>
      <c r="EID105" s="433"/>
      <c r="EIE105" s="433"/>
      <c r="EIF105" s="433"/>
      <c r="EIG105" s="433"/>
      <c r="EIH105" s="433"/>
      <c r="EII105" s="433"/>
      <c r="EIJ105" s="433"/>
      <c r="EIK105" s="433"/>
      <c r="EIL105" s="433"/>
      <c r="EIM105" s="433"/>
      <c r="EIN105" s="433"/>
      <c r="EIO105" s="433"/>
      <c r="EIP105" s="433"/>
      <c r="EIQ105" s="433"/>
      <c r="EIR105" s="433"/>
      <c r="EIS105" s="433"/>
      <c r="EIT105" s="433"/>
      <c r="EIU105" s="433"/>
      <c r="EIV105" s="433"/>
      <c r="EIW105" s="433"/>
      <c r="EIX105" s="433"/>
      <c r="EIY105" s="433"/>
      <c r="EIZ105" s="433"/>
      <c r="EJA105" s="433"/>
      <c r="EJB105" s="433"/>
      <c r="EJC105" s="433"/>
      <c r="EJD105" s="433"/>
      <c r="EJE105" s="433"/>
      <c r="EJF105" s="433"/>
      <c r="EJG105" s="433"/>
      <c r="EJH105" s="433"/>
      <c r="EJI105" s="433"/>
      <c r="EJJ105" s="433"/>
      <c r="EJK105" s="433"/>
      <c r="EJL105" s="433"/>
      <c r="EJM105" s="433"/>
      <c r="EJN105" s="433"/>
      <c r="EJO105" s="433"/>
      <c r="EJP105" s="433"/>
      <c r="EJQ105" s="433"/>
      <c r="EJR105" s="433"/>
      <c r="EJS105" s="433"/>
      <c r="EJT105" s="433"/>
      <c r="EJU105" s="433"/>
      <c r="EJV105" s="433"/>
      <c r="EJW105" s="433"/>
      <c r="EJX105" s="433"/>
      <c r="EJY105" s="433"/>
      <c r="EJZ105" s="433"/>
      <c r="EKA105" s="433"/>
      <c r="EKB105" s="433"/>
      <c r="EKC105" s="433"/>
      <c r="EKD105" s="433"/>
      <c r="EKE105" s="433"/>
      <c r="EKF105" s="433"/>
      <c r="EKG105" s="433"/>
      <c r="EKH105" s="433"/>
      <c r="EKI105" s="433"/>
      <c r="EKJ105" s="433"/>
      <c r="EKK105" s="433"/>
      <c r="EKL105" s="433"/>
      <c r="EKM105" s="433"/>
      <c r="EKN105" s="433"/>
      <c r="EKO105" s="433"/>
      <c r="EKP105" s="433"/>
      <c r="EKQ105" s="433"/>
      <c r="EKR105" s="433"/>
      <c r="EKS105" s="433"/>
      <c r="EKT105" s="433"/>
      <c r="EKU105" s="433"/>
      <c r="EKV105" s="433"/>
      <c r="EKW105" s="433"/>
      <c r="EKX105" s="433"/>
      <c r="EKY105" s="433"/>
      <c r="EKZ105" s="433"/>
      <c r="ELA105" s="433"/>
      <c r="ELB105" s="433"/>
      <c r="ELC105" s="433"/>
      <c r="ELD105" s="433"/>
      <c r="ELE105" s="433"/>
      <c r="ELF105" s="433"/>
      <c r="ELG105" s="433"/>
      <c r="ELH105" s="433"/>
      <c r="ELI105" s="433"/>
      <c r="ELJ105" s="433"/>
      <c r="ELK105" s="433"/>
      <c r="ELL105" s="433"/>
      <c r="ELM105" s="433"/>
      <c r="ELN105" s="433"/>
      <c r="ELO105" s="433"/>
      <c r="ELP105" s="433"/>
      <c r="ELQ105" s="433"/>
      <c r="ELR105" s="433"/>
      <c r="ELS105" s="433"/>
      <c r="ELT105" s="433"/>
      <c r="ELU105" s="433"/>
      <c r="ELV105" s="433"/>
      <c r="ELW105" s="433"/>
      <c r="ELX105" s="433"/>
      <c r="ELY105" s="433"/>
      <c r="ELZ105" s="433"/>
      <c r="EMA105" s="433"/>
      <c r="EMB105" s="433"/>
      <c r="EMC105" s="433"/>
      <c r="EMD105" s="433"/>
      <c r="EME105" s="433"/>
      <c r="EMF105" s="433"/>
      <c r="EMG105" s="433"/>
      <c r="EMH105" s="433"/>
      <c r="EMI105" s="433"/>
      <c r="EMJ105" s="433"/>
      <c r="EMK105" s="433"/>
      <c r="EML105" s="433"/>
      <c r="EMM105" s="433"/>
      <c r="EMN105" s="433"/>
      <c r="EMO105" s="433"/>
      <c r="EMP105" s="433"/>
      <c r="EMQ105" s="433"/>
      <c r="EMR105" s="433"/>
      <c r="EMS105" s="433"/>
      <c r="EMT105" s="433"/>
      <c r="EMU105" s="433"/>
      <c r="EMV105" s="433"/>
      <c r="EMW105" s="433"/>
      <c r="EMX105" s="433"/>
      <c r="EMY105" s="433"/>
      <c r="EMZ105" s="433"/>
      <c r="ENA105" s="433"/>
      <c r="ENB105" s="433"/>
      <c r="ENC105" s="433"/>
      <c r="END105" s="433"/>
      <c r="ENE105" s="433"/>
      <c r="ENF105" s="433"/>
      <c r="ENG105" s="433"/>
      <c r="ENH105" s="433"/>
      <c r="ENI105" s="433"/>
      <c r="ENJ105" s="433"/>
      <c r="ENK105" s="433"/>
      <c r="ENL105" s="433"/>
      <c r="ENM105" s="433"/>
      <c r="ENN105" s="433"/>
      <c r="ENO105" s="433"/>
      <c r="ENP105" s="433"/>
      <c r="ENQ105" s="433"/>
      <c r="ENR105" s="433"/>
      <c r="ENS105" s="433"/>
      <c r="ENT105" s="433"/>
      <c r="ENU105" s="433"/>
      <c r="ENV105" s="433"/>
      <c r="ENW105" s="433"/>
      <c r="ENX105" s="433"/>
      <c r="ENY105" s="433"/>
      <c r="ENZ105" s="433"/>
      <c r="EOA105" s="433"/>
      <c r="EOB105" s="433"/>
      <c r="EOC105" s="433"/>
      <c r="EOD105" s="433"/>
      <c r="EOE105" s="433"/>
      <c r="EOF105" s="433"/>
      <c r="EOG105" s="433"/>
      <c r="EOH105" s="433"/>
      <c r="EOI105" s="433"/>
      <c r="EOJ105" s="433"/>
      <c r="EOK105" s="433"/>
      <c r="EOL105" s="433"/>
      <c r="EOM105" s="433"/>
      <c r="EON105" s="433"/>
      <c r="EOO105" s="433"/>
      <c r="EOP105" s="433"/>
      <c r="EOQ105" s="433"/>
      <c r="EOR105" s="433"/>
      <c r="EOS105" s="433"/>
      <c r="EOT105" s="433"/>
      <c r="EOU105" s="433"/>
      <c r="EOV105" s="433"/>
      <c r="EOW105" s="433"/>
      <c r="EOX105" s="433"/>
      <c r="EOY105" s="433"/>
      <c r="EOZ105" s="433"/>
      <c r="EPA105" s="433"/>
      <c r="EPB105" s="433"/>
      <c r="EPC105" s="433"/>
      <c r="EPD105" s="433"/>
      <c r="EPE105" s="433"/>
      <c r="EPF105" s="433"/>
      <c r="EPG105" s="433"/>
      <c r="EPH105" s="433"/>
      <c r="EPI105" s="433"/>
      <c r="EPJ105" s="433"/>
      <c r="EPK105" s="433"/>
      <c r="EPL105" s="433"/>
      <c r="EPM105" s="433"/>
      <c r="EPN105" s="433"/>
      <c r="EPO105" s="433"/>
      <c r="EPP105" s="433"/>
      <c r="EPQ105" s="433"/>
      <c r="EPR105" s="433"/>
      <c r="EPS105" s="433"/>
      <c r="EPT105" s="433"/>
      <c r="EPU105" s="433"/>
      <c r="EPV105" s="433"/>
      <c r="EPW105" s="433"/>
      <c r="EPX105" s="433"/>
      <c r="EPY105" s="433"/>
      <c r="EPZ105" s="433"/>
      <c r="EQA105" s="433"/>
      <c r="EQB105" s="433"/>
      <c r="EQC105" s="433"/>
      <c r="EQD105" s="433"/>
      <c r="EQE105" s="433"/>
      <c r="EQF105" s="433"/>
      <c r="EQG105" s="433"/>
      <c r="EQH105" s="433"/>
      <c r="EQI105" s="433"/>
      <c r="EQJ105" s="433"/>
      <c r="EQK105" s="433"/>
      <c r="EQL105" s="433"/>
      <c r="EQM105" s="433"/>
      <c r="EQN105" s="433"/>
      <c r="EQO105" s="433"/>
      <c r="EQP105" s="433"/>
      <c r="EQQ105" s="433"/>
      <c r="EQR105" s="433"/>
      <c r="EQS105" s="433"/>
      <c r="EQT105" s="433"/>
      <c r="EQU105" s="433"/>
      <c r="EQV105" s="433"/>
      <c r="EQW105" s="433"/>
      <c r="EQX105" s="433"/>
      <c r="EQY105" s="433"/>
      <c r="EQZ105" s="433"/>
      <c r="ERA105" s="433"/>
      <c r="ERB105" s="433"/>
      <c r="ERC105" s="433"/>
      <c r="ERD105" s="433"/>
      <c r="ERE105" s="433"/>
      <c r="ERF105" s="433"/>
      <c r="ERG105" s="433"/>
      <c r="ERH105" s="433"/>
      <c r="ERI105" s="433"/>
      <c r="ERJ105" s="433"/>
      <c r="ERK105" s="433"/>
      <c r="ERL105" s="433"/>
      <c r="ERM105" s="433"/>
      <c r="ERN105" s="433"/>
      <c r="ERO105" s="433"/>
      <c r="ERP105" s="433"/>
      <c r="ERQ105" s="433"/>
      <c r="ERR105" s="433"/>
      <c r="ERS105" s="433"/>
      <c r="ERT105" s="433"/>
      <c r="ERU105" s="433"/>
      <c r="ERV105" s="433"/>
      <c r="ERW105" s="433"/>
      <c r="ERX105" s="433"/>
      <c r="ERY105" s="433"/>
      <c r="ERZ105" s="433"/>
      <c r="ESA105" s="433"/>
      <c r="ESB105" s="433"/>
      <c r="ESC105" s="433"/>
      <c r="ESD105" s="433"/>
      <c r="ESE105" s="433"/>
      <c r="ESF105" s="433"/>
      <c r="ESG105" s="433"/>
      <c r="ESH105" s="433"/>
      <c r="ESI105" s="433"/>
      <c r="ESJ105" s="433"/>
      <c r="ESK105" s="433"/>
      <c r="ESL105" s="433"/>
      <c r="ESM105" s="433"/>
      <c r="ESN105" s="433"/>
      <c r="ESO105" s="433"/>
      <c r="ESP105" s="433"/>
      <c r="ESQ105" s="433"/>
      <c r="ESR105" s="433"/>
      <c r="ESS105" s="433"/>
      <c r="EST105" s="433"/>
      <c r="ESU105" s="433"/>
      <c r="ESV105" s="433"/>
      <c r="ESW105" s="433"/>
      <c r="ESX105" s="433"/>
      <c r="ESY105" s="433"/>
      <c r="ESZ105" s="433"/>
      <c r="ETA105" s="433"/>
      <c r="ETB105" s="433"/>
      <c r="ETC105" s="433"/>
      <c r="ETD105" s="433"/>
      <c r="ETE105" s="433"/>
      <c r="ETF105" s="433"/>
      <c r="ETG105" s="433"/>
      <c r="ETH105" s="433"/>
      <c r="ETI105" s="433"/>
      <c r="ETJ105" s="433"/>
      <c r="ETK105" s="433"/>
      <c r="ETL105" s="433"/>
      <c r="ETM105" s="433"/>
      <c r="ETN105" s="433"/>
      <c r="ETO105" s="433"/>
      <c r="ETP105" s="433"/>
      <c r="ETQ105" s="433"/>
      <c r="ETR105" s="433"/>
      <c r="ETS105" s="433"/>
      <c r="ETT105" s="433"/>
      <c r="ETU105" s="433"/>
      <c r="ETV105" s="433"/>
      <c r="ETW105" s="433"/>
      <c r="ETX105" s="433"/>
      <c r="ETY105" s="433"/>
      <c r="ETZ105" s="433"/>
      <c r="EUA105" s="433"/>
      <c r="EUB105" s="433"/>
      <c r="EUC105" s="433"/>
      <c r="EUD105" s="433"/>
      <c r="EUE105" s="433"/>
      <c r="EUF105" s="433"/>
      <c r="EUG105" s="433"/>
      <c r="EUH105" s="433"/>
      <c r="EUI105" s="433"/>
      <c r="EUJ105" s="433"/>
      <c r="EUK105" s="433"/>
      <c r="EUL105" s="433"/>
      <c r="EUM105" s="433"/>
      <c r="EUN105" s="433"/>
      <c r="EUO105" s="433"/>
      <c r="EUP105" s="433"/>
      <c r="EUQ105" s="433"/>
      <c r="EUR105" s="433"/>
      <c r="EUS105" s="433"/>
      <c r="EUT105" s="433"/>
      <c r="EUU105" s="433"/>
      <c r="EUV105" s="433"/>
      <c r="EUW105" s="433"/>
      <c r="EUX105" s="433"/>
      <c r="EUY105" s="433"/>
      <c r="EUZ105" s="433"/>
      <c r="EVA105" s="433"/>
      <c r="EVB105" s="433"/>
      <c r="EVC105" s="433"/>
      <c r="EVD105" s="433"/>
      <c r="EVE105" s="433"/>
      <c r="EVF105" s="433"/>
      <c r="EVG105" s="433"/>
      <c r="EVH105" s="433"/>
      <c r="EVI105" s="433"/>
      <c r="EVJ105" s="433"/>
      <c r="EVK105" s="433"/>
      <c r="EVL105" s="433"/>
      <c r="EVM105" s="433"/>
      <c r="EVN105" s="433"/>
      <c r="EVO105" s="433"/>
      <c r="EVP105" s="433"/>
      <c r="EVQ105" s="433"/>
      <c r="EVR105" s="433"/>
      <c r="EVS105" s="433"/>
      <c r="EVT105" s="433"/>
      <c r="EVU105" s="433"/>
      <c r="EVV105" s="433"/>
      <c r="EVW105" s="433"/>
      <c r="EVX105" s="433"/>
      <c r="EVY105" s="433"/>
      <c r="EVZ105" s="433"/>
      <c r="EWA105" s="433"/>
      <c r="EWB105" s="433"/>
      <c r="EWC105" s="433"/>
      <c r="EWD105" s="433"/>
      <c r="EWE105" s="433"/>
      <c r="EWF105" s="433"/>
      <c r="EWG105" s="433"/>
      <c r="EWH105" s="433"/>
      <c r="EWI105" s="433"/>
      <c r="EWJ105" s="433"/>
      <c r="EWK105" s="433"/>
      <c r="EWL105" s="433"/>
      <c r="EWM105" s="433"/>
      <c r="EWN105" s="433"/>
      <c r="EWO105" s="433"/>
      <c r="EWP105" s="433"/>
      <c r="EWQ105" s="433"/>
      <c r="EWR105" s="433"/>
      <c r="EWS105" s="433"/>
      <c r="EWT105" s="433"/>
      <c r="EWU105" s="433"/>
      <c r="EWV105" s="433"/>
      <c r="EWW105" s="433"/>
      <c r="EWX105" s="433"/>
      <c r="EWY105" s="433"/>
      <c r="EWZ105" s="433"/>
      <c r="EXA105" s="433"/>
      <c r="EXB105" s="433"/>
      <c r="EXC105" s="433"/>
      <c r="EXD105" s="433"/>
      <c r="EXE105" s="433"/>
      <c r="EXF105" s="433"/>
      <c r="EXG105" s="433"/>
      <c r="EXH105" s="433"/>
      <c r="EXI105" s="433"/>
      <c r="EXJ105" s="433"/>
      <c r="EXK105" s="433"/>
      <c r="EXL105" s="433"/>
      <c r="EXM105" s="433"/>
      <c r="EXN105" s="433"/>
      <c r="EXO105" s="433"/>
      <c r="EXP105" s="433"/>
      <c r="EXQ105" s="433"/>
      <c r="EXR105" s="433"/>
      <c r="EXS105" s="433"/>
      <c r="EXT105" s="433"/>
      <c r="EXU105" s="433"/>
      <c r="EXV105" s="433"/>
      <c r="EXW105" s="433"/>
      <c r="EXX105" s="433"/>
      <c r="EXY105" s="433"/>
      <c r="EXZ105" s="433"/>
      <c r="EYA105" s="433"/>
      <c r="EYB105" s="433"/>
      <c r="EYC105" s="433"/>
      <c r="EYD105" s="433"/>
      <c r="EYE105" s="433"/>
      <c r="EYF105" s="433"/>
      <c r="EYG105" s="433"/>
      <c r="EYH105" s="433"/>
      <c r="EYI105" s="433"/>
      <c r="EYJ105" s="433"/>
      <c r="EYK105" s="433"/>
      <c r="EYL105" s="433"/>
      <c r="EYM105" s="433"/>
      <c r="EYN105" s="433"/>
      <c r="EYO105" s="433"/>
      <c r="EYP105" s="433"/>
      <c r="EYQ105" s="433"/>
      <c r="EYR105" s="433"/>
      <c r="EYS105" s="433"/>
      <c r="EYT105" s="433"/>
      <c r="EYU105" s="433"/>
      <c r="EYV105" s="433"/>
      <c r="EYW105" s="433"/>
      <c r="EYX105" s="433"/>
      <c r="EYY105" s="433"/>
      <c r="EYZ105" s="433"/>
      <c r="EZA105" s="433"/>
      <c r="EZB105" s="433"/>
      <c r="EZC105" s="433"/>
      <c r="EZD105" s="433"/>
      <c r="EZE105" s="433"/>
      <c r="EZF105" s="433"/>
      <c r="EZG105" s="433"/>
      <c r="EZH105" s="433"/>
      <c r="EZI105" s="433"/>
      <c r="EZJ105" s="433"/>
      <c r="EZK105" s="433"/>
      <c r="EZL105" s="433"/>
      <c r="EZM105" s="433"/>
      <c r="EZN105" s="433"/>
      <c r="EZO105" s="433"/>
      <c r="EZP105" s="433"/>
      <c r="EZQ105" s="433"/>
      <c r="EZR105" s="433"/>
      <c r="EZS105" s="433"/>
      <c r="EZT105" s="433"/>
      <c r="EZU105" s="433"/>
      <c r="EZV105" s="433"/>
      <c r="EZW105" s="433"/>
      <c r="EZX105" s="433"/>
      <c r="EZY105" s="433"/>
      <c r="EZZ105" s="433"/>
      <c r="FAA105" s="433"/>
      <c r="FAB105" s="433"/>
      <c r="FAC105" s="433"/>
      <c r="FAD105" s="433"/>
      <c r="FAE105" s="433"/>
      <c r="FAF105" s="433"/>
      <c r="FAG105" s="433"/>
      <c r="FAH105" s="433"/>
      <c r="FAI105" s="433"/>
      <c r="FAJ105" s="433"/>
      <c r="FAK105" s="433"/>
      <c r="FAL105" s="433"/>
      <c r="FAM105" s="433"/>
      <c r="FAN105" s="433"/>
      <c r="FAO105" s="433"/>
      <c r="FAP105" s="433"/>
      <c r="FAQ105" s="433"/>
      <c r="FAR105" s="433"/>
      <c r="FAS105" s="433"/>
      <c r="FAT105" s="433"/>
      <c r="FAU105" s="433"/>
      <c r="FAV105" s="433"/>
      <c r="FAW105" s="433"/>
      <c r="FAX105" s="433"/>
      <c r="FAY105" s="433"/>
      <c r="FAZ105" s="433"/>
      <c r="FBA105" s="433"/>
      <c r="FBB105" s="433"/>
      <c r="FBC105" s="433"/>
      <c r="FBD105" s="433"/>
      <c r="FBE105" s="433"/>
      <c r="FBF105" s="433"/>
      <c r="FBG105" s="433"/>
      <c r="FBH105" s="433"/>
      <c r="FBI105" s="433"/>
      <c r="FBJ105" s="433"/>
      <c r="FBK105" s="433"/>
      <c r="FBL105" s="433"/>
      <c r="FBM105" s="433"/>
      <c r="FBN105" s="433"/>
      <c r="FBO105" s="433"/>
      <c r="FBP105" s="433"/>
      <c r="FBQ105" s="433"/>
      <c r="FBR105" s="433"/>
      <c r="FBS105" s="433"/>
      <c r="FBT105" s="433"/>
      <c r="FBU105" s="433"/>
      <c r="FBV105" s="433"/>
      <c r="FBW105" s="433"/>
      <c r="FBX105" s="433"/>
      <c r="FBY105" s="433"/>
      <c r="FBZ105" s="433"/>
      <c r="FCA105" s="433"/>
      <c r="FCB105" s="433"/>
      <c r="FCC105" s="433"/>
      <c r="FCD105" s="433"/>
      <c r="FCE105" s="433"/>
      <c r="FCF105" s="433"/>
      <c r="FCG105" s="433"/>
      <c r="FCH105" s="433"/>
      <c r="FCI105" s="433"/>
      <c r="FCJ105" s="433"/>
      <c r="FCK105" s="433"/>
      <c r="FCL105" s="433"/>
      <c r="FCM105" s="433"/>
      <c r="FCN105" s="433"/>
      <c r="FCO105" s="433"/>
      <c r="FCP105" s="433"/>
      <c r="FCQ105" s="433"/>
      <c r="FCR105" s="433"/>
      <c r="FCS105" s="433"/>
      <c r="FCT105" s="433"/>
      <c r="FCU105" s="433"/>
      <c r="FCV105" s="433"/>
      <c r="FCW105" s="433"/>
      <c r="FCX105" s="433"/>
      <c r="FCY105" s="433"/>
      <c r="FCZ105" s="433"/>
      <c r="FDA105" s="433"/>
      <c r="FDB105" s="433"/>
      <c r="FDC105" s="433"/>
      <c r="FDD105" s="433"/>
      <c r="FDE105" s="433"/>
      <c r="FDF105" s="433"/>
      <c r="FDG105" s="433"/>
      <c r="FDH105" s="433"/>
      <c r="FDI105" s="433"/>
      <c r="FDJ105" s="433"/>
      <c r="FDK105" s="433"/>
      <c r="FDL105" s="433"/>
      <c r="FDM105" s="433"/>
      <c r="FDN105" s="433"/>
      <c r="FDO105" s="433"/>
      <c r="FDP105" s="433"/>
      <c r="FDQ105" s="433"/>
      <c r="FDR105" s="433"/>
      <c r="FDS105" s="433"/>
      <c r="FDT105" s="433"/>
      <c r="FDU105" s="433"/>
      <c r="FDV105" s="433"/>
      <c r="FDW105" s="433"/>
      <c r="FDX105" s="433"/>
      <c r="FDY105" s="433"/>
      <c r="FDZ105" s="433"/>
      <c r="FEA105" s="433"/>
      <c r="FEB105" s="433"/>
      <c r="FEC105" s="433"/>
      <c r="FED105" s="433"/>
      <c r="FEE105" s="433"/>
      <c r="FEF105" s="433"/>
      <c r="FEG105" s="433"/>
      <c r="FEH105" s="433"/>
      <c r="FEI105" s="433"/>
      <c r="FEJ105" s="433"/>
      <c r="FEK105" s="433"/>
      <c r="FEL105" s="433"/>
      <c r="FEM105" s="433"/>
      <c r="FEN105" s="433"/>
      <c r="FEO105" s="433"/>
      <c r="FEP105" s="433"/>
      <c r="FEQ105" s="433"/>
      <c r="FER105" s="433"/>
      <c r="FES105" s="433"/>
      <c r="FET105" s="433"/>
      <c r="FEU105" s="433"/>
      <c r="FEV105" s="433"/>
      <c r="FEW105" s="433"/>
      <c r="FEX105" s="433"/>
      <c r="FEY105" s="433"/>
      <c r="FEZ105" s="433"/>
      <c r="FFA105" s="433"/>
      <c r="FFB105" s="433"/>
      <c r="FFC105" s="433"/>
      <c r="FFD105" s="433"/>
      <c r="FFE105" s="433"/>
      <c r="FFF105" s="433"/>
      <c r="FFG105" s="433"/>
      <c r="FFH105" s="433"/>
      <c r="FFI105" s="433"/>
      <c r="FFJ105" s="433"/>
      <c r="FFK105" s="433"/>
      <c r="FFL105" s="433"/>
      <c r="FFM105" s="433"/>
      <c r="FFN105" s="433"/>
      <c r="FFO105" s="433"/>
      <c r="FFP105" s="433"/>
      <c r="FFQ105" s="433"/>
      <c r="FFR105" s="433"/>
      <c r="FFS105" s="433"/>
      <c r="FFT105" s="433"/>
      <c r="FFU105" s="433"/>
      <c r="FFV105" s="433"/>
      <c r="FFW105" s="433"/>
      <c r="FFX105" s="433"/>
      <c r="FFY105" s="433"/>
      <c r="FFZ105" s="433"/>
      <c r="FGA105" s="433"/>
      <c r="FGB105" s="433"/>
      <c r="FGC105" s="433"/>
      <c r="FGD105" s="433"/>
      <c r="FGE105" s="433"/>
      <c r="FGF105" s="433"/>
      <c r="FGG105" s="433"/>
      <c r="FGH105" s="433"/>
      <c r="FGI105" s="433"/>
      <c r="FGJ105" s="433"/>
      <c r="FGK105" s="433"/>
      <c r="FGL105" s="433"/>
      <c r="FGM105" s="433"/>
      <c r="FGN105" s="433"/>
      <c r="FGO105" s="433"/>
      <c r="FGP105" s="433"/>
      <c r="FGQ105" s="433"/>
      <c r="FGR105" s="433"/>
      <c r="FGS105" s="433"/>
      <c r="FGT105" s="433"/>
      <c r="FGU105" s="433"/>
      <c r="FGV105" s="433"/>
      <c r="FGW105" s="433"/>
      <c r="FGX105" s="433"/>
      <c r="FGY105" s="433"/>
      <c r="FGZ105" s="433"/>
      <c r="FHA105" s="433"/>
      <c r="FHB105" s="433"/>
      <c r="FHC105" s="433"/>
      <c r="FHD105" s="433"/>
      <c r="FHE105" s="433"/>
      <c r="FHF105" s="433"/>
      <c r="FHG105" s="433"/>
      <c r="FHH105" s="433"/>
      <c r="FHI105" s="433"/>
      <c r="FHJ105" s="433"/>
      <c r="FHK105" s="433"/>
      <c r="FHL105" s="433"/>
      <c r="FHM105" s="433"/>
      <c r="FHN105" s="433"/>
      <c r="FHO105" s="433"/>
      <c r="FHP105" s="433"/>
      <c r="FHQ105" s="433"/>
      <c r="FHR105" s="433"/>
      <c r="FHS105" s="433"/>
      <c r="FHT105" s="433"/>
      <c r="FHU105" s="433"/>
      <c r="FHV105" s="433"/>
      <c r="FHW105" s="433"/>
      <c r="FHX105" s="433"/>
      <c r="FHY105" s="433"/>
      <c r="FHZ105" s="433"/>
      <c r="FIA105" s="433"/>
      <c r="FIB105" s="433"/>
      <c r="FIC105" s="433"/>
      <c r="FID105" s="433"/>
      <c r="FIE105" s="433"/>
      <c r="FIF105" s="433"/>
      <c r="FIG105" s="433"/>
      <c r="FIH105" s="433"/>
      <c r="FII105" s="433"/>
      <c r="FIJ105" s="433"/>
      <c r="FIK105" s="433"/>
      <c r="FIL105" s="433"/>
      <c r="FIM105" s="433"/>
      <c r="FIN105" s="433"/>
      <c r="FIO105" s="433"/>
      <c r="FIP105" s="433"/>
      <c r="FIQ105" s="433"/>
      <c r="FIR105" s="433"/>
      <c r="FIS105" s="433"/>
      <c r="FIT105" s="433"/>
      <c r="FIU105" s="433"/>
      <c r="FIV105" s="433"/>
      <c r="FIW105" s="433"/>
      <c r="FIX105" s="433"/>
      <c r="FIY105" s="433"/>
      <c r="FIZ105" s="433"/>
      <c r="FJA105" s="433"/>
      <c r="FJB105" s="433"/>
      <c r="FJC105" s="433"/>
      <c r="FJD105" s="433"/>
      <c r="FJE105" s="433"/>
      <c r="FJF105" s="433"/>
      <c r="FJG105" s="433"/>
      <c r="FJH105" s="433"/>
      <c r="FJI105" s="433"/>
      <c r="FJJ105" s="433"/>
      <c r="FJK105" s="433"/>
      <c r="FJL105" s="433"/>
      <c r="FJM105" s="433"/>
      <c r="FJN105" s="433"/>
      <c r="FJO105" s="433"/>
      <c r="FJP105" s="433"/>
      <c r="FJQ105" s="433"/>
      <c r="FJR105" s="433"/>
      <c r="FJS105" s="433"/>
      <c r="FJT105" s="433"/>
      <c r="FJU105" s="433"/>
      <c r="FJV105" s="433"/>
      <c r="FJW105" s="433"/>
      <c r="FJX105" s="433"/>
      <c r="FJY105" s="433"/>
      <c r="FJZ105" s="433"/>
      <c r="FKA105" s="433"/>
      <c r="FKB105" s="433"/>
      <c r="FKC105" s="433"/>
      <c r="FKD105" s="433"/>
      <c r="FKE105" s="433"/>
      <c r="FKF105" s="433"/>
      <c r="FKG105" s="433"/>
      <c r="FKH105" s="433"/>
      <c r="FKI105" s="433"/>
      <c r="FKJ105" s="433"/>
      <c r="FKK105" s="433"/>
      <c r="FKL105" s="433"/>
      <c r="FKM105" s="433"/>
      <c r="FKN105" s="433"/>
      <c r="FKO105" s="433"/>
      <c r="FKP105" s="433"/>
      <c r="FKQ105" s="433"/>
      <c r="FKR105" s="433"/>
      <c r="FKS105" s="433"/>
      <c r="FKT105" s="433"/>
      <c r="FKU105" s="433"/>
      <c r="FKV105" s="433"/>
      <c r="FKW105" s="433"/>
      <c r="FKX105" s="433"/>
      <c r="FKY105" s="433"/>
      <c r="FKZ105" s="433"/>
      <c r="FLA105" s="433"/>
      <c r="FLB105" s="433"/>
      <c r="FLC105" s="433"/>
      <c r="FLD105" s="433"/>
      <c r="FLE105" s="433"/>
      <c r="FLF105" s="433"/>
      <c r="FLG105" s="433"/>
      <c r="FLH105" s="433"/>
      <c r="FLI105" s="433"/>
      <c r="FLJ105" s="433"/>
      <c r="FLK105" s="433"/>
      <c r="FLL105" s="433"/>
      <c r="FLM105" s="433"/>
      <c r="FLN105" s="433"/>
      <c r="FLO105" s="433"/>
      <c r="FLP105" s="433"/>
      <c r="FLQ105" s="433"/>
      <c r="FLR105" s="433"/>
      <c r="FLS105" s="433"/>
      <c r="FLT105" s="433"/>
      <c r="FLU105" s="433"/>
      <c r="FLV105" s="433"/>
      <c r="FLW105" s="433"/>
      <c r="FLX105" s="433"/>
      <c r="FLY105" s="433"/>
      <c r="FLZ105" s="433"/>
      <c r="FMA105" s="433"/>
      <c r="FMB105" s="433"/>
      <c r="FMC105" s="433"/>
      <c r="FMD105" s="433"/>
      <c r="FME105" s="433"/>
      <c r="FMF105" s="433"/>
      <c r="FMG105" s="433"/>
      <c r="FMH105" s="433"/>
      <c r="FMI105" s="433"/>
      <c r="FMJ105" s="433"/>
      <c r="FMK105" s="433"/>
      <c r="FML105" s="433"/>
      <c r="FMM105" s="433"/>
      <c r="FMN105" s="433"/>
      <c r="FMO105" s="433"/>
      <c r="FMP105" s="433"/>
      <c r="FMQ105" s="433"/>
      <c r="FMR105" s="433"/>
      <c r="FMS105" s="433"/>
      <c r="FMT105" s="433"/>
      <c r="FMU105" s="433"/>
      <c r="FMV105" s="433"/>
      <c r="FMW105" s="433"/>
      <c r="FMX105" s="433"/>
      <c r="FMY105" s="433"/>
      <c r="FMZ105" s="433"/>
      <c r="FNA105" s="433"/>
      <c r="FNB105" s="433"/>
      <c r="FNC105" s="433"/>
      <c r="FND105" s="433"/>
      <c r="FNE105" s="433"/>
      <c r="FNF105" s="433"/>
      <c r="FNG105" s="433"/>
      <c r="FNH105" s="433"/>
      <c r="FNI105" s="433"/>
      <c r="FNJ105" s="433"/>
      <c r="FNK105" s="433"/>
      <c r="FNL105" s="433"/>
      <c r="FNM105" s="433"/>
      <c r="FNN105" s="433"/>
      <c r="FNO105" s="433"/>
      <c r="FNP105" s="433"/>
      <c r="FNQ105" s="433"/>
      <c r="FNR105" s="433"/>
      <c r="FNS105" s="433"/>
      <c r="FNT105" s="433"/>
      <c r="FNU105" s="433"/>
      <c r="FNV105" s="433"/>
      <c r="FNW105" s="433"/>
      <c r="FNX105" s="433"/>
      <c r="FNY105" s="433"/>
      <c r="FNZ105" s="433"/>
      <c r="FOA105" s="433"/>
      <c r="FOB105" s="433"/>
      <c r="FOC105" s="433"/>
      <c r="FOD105" s="433"/>
      <c r="FOE105" s="433"/>
      <c r="FOF105" s="433"/>
      <c r="FOG105" s="433"/>
      <c r="FOH105" s="433"/>
      <c r="FOI105" s="433"/>
      <c r="FOJ105" s="433"/>
      <c r="FOK105" s="433"/>
      <c r="FOL105" s="433"/>
      <c r="FOM105" s="433"/>
      <c r="FON105" s="433"/>
      <c r="FOO105" s="433"/>
      <c r="FOP105" s="433"/>
      <c r="FOQ105" s="433"/>
      <c r="FOR105" s="433"/>
      <c r="FOS105" s="433"/>
      <c r="FOT105" s="433"/>
      <c r="FOU105" s="433"/>
      <c r="FOV105" s="433"/>
      <c r="FOW105" s="433"/>
      <c r="FOX105" s="433"/>
      <c r="FOY105" s="433"/>
      <c r="FOZ105" s="433"/>
      <c r="FPA105" s="433"/>
      <c r="FPB105" s="433"/>
      <c r="FPC105" s="433"/>
      <c r="FPD105" s="433"/>
      <c r="FPE105" s="433"/>
      <c r="FPF105" s="433"/>
      <c r="FPG105" s="433"/>
      <c r="FPH105" s="433"/>
      <c r="FPI105" s="433"/>
      <c r="FPJ105" s="433"/>
      <c r="FPK105" s="433"/>
      <c r="FPL105" s="433"/>
      <c r="FPM105" s="433"/>
      <c r="FPN105" s="433"/>
      <c r="FPO105" s="433"/>
      <c r="FPP105" s="433"/>
      <c r="FPQ105" s="433"/>
      <c r="FPR105" s="433"/>
      <c r="FPS105" s="433"/>
      <c r="FPT105" s="433"/>
      <c r="FPU105" s="433"/>
      <c r="FPV105" s="433"/>
      <c r="FPW105" s="433"/>
      <c r="FPX105" s="433"/>
      <c r="FPY105" s="433"/>
      <c r="FPZ105" s="433"/>
      <c r="FQA105" s="433"/>
      <c r="FQB105" s="433"/>
      <c r="FQC105" s="433"/>
      <c r="FQD105" s="433"/>
      <c r="FQE105" s="433"/>
      <c r="FQF105" s="433"/>
      <c r="FQG105" s="433"/>
      <c r="FQH105" s="433"/>
      <c r="FQI105" s="433"/>
      <c r="FQJ105" s="433"/>
      <c r="FQK105" s="433"/>
      <c r="FQL105" s="433"/>
      <c r="FQM105" s="433"/>
      <c r="FQN105" s="433"/>
      <c r="FQO105" s="433"/>
      <c r="FQP105" s="433"/>
      <c r="FQQ105" s="433"/>
      <c r="FQR105" s="433"/>
      <c r="FQS105" s="433"/>
      <c r="FQT105" s="433"/>
      <c r="FQU105" s="433"/>
      <c r="FQV105" s="433"/>
      <c r="FQW105" s="433"/>
      <c r="FQX105" s="433"/>
      <c r="FQY105" s="433"/>
      <c r="FQZ105" s="433"/>
      <c r="FRA105" s="433"/>
      <c r="FRB105" s="433"/>
      <c r="FRC105" s="433"/>
      <c r="FRD105" s="433"/>
      <c r="FRE105" s="433"/>
      <c r="FRF105" s="433"/>
      <c r="FRG105" s="433"/>
      <c r="FRH105" s="433"/>
      <c r="FRI105" s="433"/>
      <c r="FRJ105" s="433"/>
      <c r="FRK105" s="433"/>
      <c r="FRL105" s="433"/>
      <c r="FRM105" s="433"/>
      <c r="FRN105" s="433"/>
      <c r="FRO105" s="433"/>
      <c r="FRP105" s="433"/>
      <c r="FRQ105" s="433"/>
      <c r="FRR105" s="433"/>
      <c r="FRS105" s="433"/>
      <c r="FRT105" s="433"/>
      <c r="FRU105" s="433"/>
      <c r="FRV105" s="433"/>
      <c r="FRW105" s="433"/>
      <c r="FRX105" s="433"/>
      <c r="FRY105" s="433"/>
      <c r="FRZ105" s="433"/>
      <c r="FSA105" s="433"/>
      <c r="FSB105" s="433"/>
      <c r="FSC105" s="433"/>
      <c r="FSD105" s="433"/>
      <c r="FSE105" s="433"/>
      <c r="FSF105" s="433"/>
      <c r="FSG105" s="433"/>
      <c r="FSH105" s="433"/>
      <c r="FSI105" s="433"/>
      <c r="FSJ105" s="433"/>
      <c r="FSK105" s="433"/>
      <c r="FSL105" s="433"/>
      <c r="FSM105" s="433"/>
      <c r="FSN105" s="433"/>
      <c r="FSO105" s="433"/>
      <c r="FSP105" s="433"/>
      <c r="FSQ105" s="433"/>
      <c r="FSR105" s="433"/>
      <c r="FSS105" s="433"/>
      <c r="FST105" s="433"/>
      <c r="FSU105" s="433"/>
      <c r="FSV105" s="433"/>
      <c r="FSW105" s="433"/>
      <c r="FSX105" s="433"/>
      <c r="FSY105" s="433"/>
      <c r="FSZ105" s="433"/>
      <c r="FTA105" s="433"/>
      <c r="FTB105" s="433"/>
      <c r="FTC105" s="433"/>
      <c r="FTD105" s="433"/>
      <c r="FTE105" s="433"/>
      <c r="FTF105" s="433"/>
      <c r="FTG105" s="433"/>
      <c r="FTH105" s="433"/>
      <c r="FTI105" s="433"/>
      <c r="FTJ105" s="433"/>
      <c r="FTK105" s="433"/>
      <c r="FTL105" s="433"/>
      <c r="FTM105" s="433"/>
      <c r="FTN105" s="433"/>
      <c r="FTO105" s="433"/>
      <c r="FTP105" s="433"/>
      <c r="FTQ105" s="433"/>
      <c r="FTR105" s="433"/>
      <c r="FTS105" s="433"/>
      <c r="FTT105" s="433"/>
      <c r="FTU105" s="433"/>
      <c r="FTV105" s="433"/>
      <c r="FTW105" s="433"/>
      <c r="FTX105" s="433"/>
      <c r="FTY105" s="433"/>
      <c r="FTZ105" s="433"/>
      <c r="FUA105" s="433"/>
      <c r="FUB105" s="433"/>
      <c r="FUC105" s="433"/>
      <c r="FUD105" s="433"/>
      <c r="FUE105" s="433"/>
      <c r="FUF105" s="433"/>
      <c r="FUG105" s="433"/>
      <c r="FUH105" s="433"/>
      <c r="FUI105" s="433"/>
      <c r="FUJ105" s="433"/>
      <c r="FUK105" s="433"/>
      <c r="FUL105" s="433"/>
      <c r="FUM105" s="433"/>
      <c r="FUN105" s="433"/>
      <c r="FUO105" s="433"/>
      <c r="FUP105" s="433"/>
      <c r="FUQ105" s="433"/>
      <c r="FUR105" s="433"/>
      <c r="FUS105" s="433"/>
      <c r="FUT105" s="433"/>
      <c r="FUU105" s="433"/>
      <c r="FUV105" s="433"/>
      <c r="FUW105" s="433"/>
      <c r="FUX105" s="433"/>
      <c r="FUY105" s="433"/>
      <c r="FUZ105" s="433"/>
      <c r="FVA105" s="433"/>
      <c r="FVB105" s="433"/>
      <c r="FVC105" s="433"/>
      <c r="FVD105" s="433"/>
      <c r="FVE105" s="433"/>
      <c r="FVF105" s="433"/>
      <c r="FVG105" s="433"/>
      <c r="FVH105" s="433"/>
      <c r="FVI105" s="433"/>
      <c r="FVJ105" s="433"/>
      <c r="FVK105" s="433"/>
      <c r="FVL105" s="433"/>
      <c r="FVM105" s="433"/>
      <c r="FVN105" s="433"/>
      <c r="FVO105" s="433"/>
      <c r="FVP105" s="433"/>
      <c r="FVQ105" s="433"/>
      <c r="FVR105" s="433"/>
      <c r="FVS105" s="433"/>
      <c r="FVT105" s="433"/>
      <c r="FVU105" s="433"/>
      <c r="FVV105" s="433"/>
      <c r="FVW105" s="433"/>
      <c r="FVX105" s="433"/>
      <c r="FVY105" s="433"/>
      <c r="FVZ105" s="433"/>
      <c r="FWA105" s="433"/>
      <c r="FWB105" s="433"/>
      <c r="FWC105" s="433"/>
      <c r="FWD105" s="433"/>
      <c r="FWE105" s="433"/>
      <c r="FWF105" s="433"/>
      <c r="FWG105" s="433"/>
      <c r="FWH105" s="433"/>
      <c r="FWI105" s="433"/>
      <c r="FWJ105" s="433"/>
      <c r="FWK105" s="433"/>
      <c r="FWL105" s="433"/>
      <c r="FWM105" s="433"/>
      <c r="FWN105" s="433"/>
      <c r="FWO105" s="433"/>
      <c r="FWP105" s="433"/>
      <c r="FWQ105" s="433"/>
      <c r="FWR105" s="433"/>
      <c r="FWS105" s="433"/>
      <c r="FWT105" s="433"/>
      <c r="FWU105" s="433"/>
      <c r="FWV105" s="433"/>
      <c r="FWW105" s="433"/>
      <c r="FWX105" s="433"/>
      <c r="FWY105" s="433"/>
      <c r="FWZ105" s="433"/>
      <c r="FXA105" s="433"/>
      <c r="FXB105" s="433"/>
      <c r="FXC105" s="433"/>
      <c r="FXD105" s="433"/>
      <c r="FXE105" s="433"/>
      <c r="FXF105" s="433"/>
      <c r="FXG105" s="433"/>
      <c r="FXH105" s="433"/>
      <c r="FXI105" s="433"/>
      <c r="FXJ105" s="433"/>
      <c r="FXK105" s="433"/>
      <c r="FXL105" s="433"/>
      <c r="FXM105" s="433"/>
      <c r="FXN105" s="433"/>
      <c r="FXO105" s="433"/>
      <c r="FXP105" s="433"/>
      <c r="FXQ105" s="433"/>
      <c r="FXR105" s="433"/>
      <c r="FXS105" s="433"/>
      <c r="FXT105" s="433"/>
      <c r="FXU105" s="433"/>
      <c r="FXV105" s="433"/>
      <c r="FXW105" s="433"/>
      <c r="FXX105" s="433"/>
      <c r="FXY105" s="433"/>
      <c r="FXZ105" s="433"/>
      <c r="FYA105" s="433"/>
      <c r="FYB105" s="433"/>
      <c r="FYC105" s="433"/>
      <c r="FYD105" s="433"/>
      <c r="FYE105" s="433"/>
      <c r="FYF105" s="433"/>
      <c r="FYG105" s="433"/>
      <c r="FYH105" s="433"/>
      <c r="FYI105" s="433"/>
      <c r="FYJ105" s="433"/>
      <c r="FYK105" s="433"/>
      <c r="FYL105" s="433"/>
      <c r="FYM105" s="433"/>
      <c r="FYN105" s="433"/>
      <c r="FYO105" s="433"/>
      <c r="FYP105" s="433"/>
      <c r="FYQ105" s="433"/>
      <c r="FYR105" s="433"/>
      <c r="FYS105" s="433"/>
      <c r="FYT105" s="433"/>
      <c r="FYU105" s="433"/>
      <c r="FYV105" s="433"/>
      <c r="FYW105" s="433"/>
      <c r="FYX105" s="433"/>
      <c r="FYY105" s="433"/>
      <c r="FYZ105" s="433"/>
      <c r="FZA105" s="433"/>
      <c r="FZB105" s="433"/>
      <c r="FZC105" s="433"/>
      <c r="FZD105" s="433"/>
      <c r="FZE105" s="433"/>
      <c r="FZF105" s="433"/>
      <c r="FZG105" s="433"/>
      <c r="FZH105" s="433"/>
      <c r="FZI105" s="433"/>
      <c r="FZJ105" s="433"/>
      <c r="FZK105" s="433"/>
      <c r="FZL105" s="433"/>
      <c r="FZM105" s="433"/>
      <c r="FZN105" s="433"/>
      <c r="FZO105" s="433"/>
      <c r="FZP105" s="433"/>
      <c r="FZQ105" s="433"/>
      <c r="FZR105" s="433"/>
      <c r="FZS105" s="433"/>
      <c r="FZT105" s="433"/>
      <c r="FZU105" s="433"/>
      <c r="FZV105" s="433"/>
      <c r="FZW105" s="433"/>
      <c r="FZX105" s="433"/>
      <c r="FZY105" s="433"/>
      <c r="FZZ105" s="433"/>
      <c r="GAA105" s="433"/>
      <c r="GAB105" s="433"/>
      <c r="GAC105" s="433"/>
      <c r="GAD105" s="433"/>
      <c r="GAE105" s="433"/>
      <c r="GAF105" s="433"/>
      <c r="GAG105" s="433"/>
      <c r="GAH105" s="433"/>
      <c r="GAI105" s="433"/>
      <c r="GAJ105" s="433"/>
      <c r="GAK105" s="433"/>
      <c r="GAL105" s="433"/>
      <c r="GAM105" s="433"/>
      <c r="GAN105" s="433"/>
      <c r="GAO105" s="433"/>
      <c r="GAP105" s="433"/>
      <c r="GAQ105" s="433"/>
      <c r="GAR105" s="433"/>
      <c r="GAS105" s="433"/>
      <c r="GAT105" s="433"/>
      <c r="GAU105" s="433"/>
      <c r="GAV105" s="433"/>
      <c r="GAW105" s="433"/>
      <c r="GAX105" s="433"/>
      <c r="GAY105" s="433"/>
      <c r="GAZ105" s="433"/>
      <c r="GBA105" s="433"/>
      <c r="GBB105" s="433"/>
      <c r="GBC105" s="433"/>
      <c r="GBD105" s="433"/>
      <c r="GBE105" s="433"/>
      <c r="GBF105" s="433"/>
      <c r="GBG105" s="433"/>
      <c r="GBH105" s="433"/>
      <c r="GBI105" s="433"/>
      <c r="GBJ105" s="433"/>
      <c r="GBK105" s="433"/>
      <c r="GBL105" s="433"/>
      <c r="GBM105" s="433"/>
      <c r="GBN105" s="433"/>
      <c r="GBO105" s="433"/>
      <c r="GBP105" s="433"/>
      <c r="GBQ105" s="433"/>
      <c r="GBR105" s="433"/>
      <c r="GBS105" s="433"/>
      <c r="GBT105" s="433"/>
      <c r="GBU105" s="433"/>
      <c r="GBV105" s="433"/>
      <c r="GBW105" s="433"/>
      <c r="GBX105" s="433"/>
      <c r="GBY105" s="433"/>
      <c r="GBZ105" s="433"/>
      <c r="GCA105" s="433"/>
      <c r="GCB105" s="433"/>
      <c r="GCC105" s="433"/>
      <c r="GCD105" s="433"/>
      <c r="GCE105" s="433"/>
      <c r="GCF105" s="433"/>
      <c r="GCG105" s="433"/>
      <c r="GCH105" s="433"/>
      <c r="GCI105" s="433"/>
      <c r="GCJ105" s="433"/>
      <c r="GCK105" s="433"/>
      <c r="GCL105" s="433"/>
      <c r="GCM105" s="433"/>
      <c r="GCN105" s="433"/>
      <c r="GCO105" s="433"/>
      <c r="GCP105" s="433"/>
      <c r="GCQ105" s="433"/>
      <c r="GCR105" s="433"/>
      <c r="GCS105" s="433"/>
      <c r="GCT105" s="433"/>
      <c r="GCU105" s="433"/>
      <c r="GCV105" s="433"/>
      <c r="GCW105" s="433"/>
      <c r="GCX105" s="433"/>
      <c r="GCY105" s="433"/>
      <c r="GCZ105" s="433"/>
      <c r="GDA105" s="433"/>
      <c r="GDB105" s="433"/>
      <c r="GDC105" s="433"/>
      <c r="GDD105" s="433"/>
      <c r="GDE105" s="433"/>
      <c r="GDF105" s="433"/>
      <c r="GDG105" s="433"/>
      <c r="GDH105" s="433"/>
      <c r="GDI105" s="433"/>
      <c r="GDJ105" s="433"/>
      <c r="GDK105" s="433"/>
      <c r="GDL105" s="433"/>
      <c r="GDM105" s="433"/>
      <c r="GDN105" s="433"/>
      <c r="GDO105" s="433"/>
      <c r="GDP105" s="433"/>
      <c r="GDQ105" s="433"/>
      <c r="GDR105" s="433"/>
      <c r="GDS105" s="433"/>
      <c r="GDT105" s="433"/>
      <c r="GDU105" s="433"/>
      <c r="GDV105" s="433"/>
      <c r="GDW105" s="433"/>
      <c r="GDX105" s="433"/>
      <c r="GDY105" s="433"/>
      <c r="GDZ105" s="433"/>
      <c r="GEA105" s="433"/>
      <c r="GEB105" s="433"/>
      <c r="GEC105" s="433"/>
      <c r="GED105" s="433"/>
      <c r="GEE105" s="433"/>
      <c r="GEF105" s="433"/>
      <c r="GEG105" s="433"/>
      <c r="GEH105" s="433"/>
      <c r="GEI105" s="433"/>
      <c r="GEJ105" s="433"/>
      <c r="GEK105" s="433"/>
      <c r="GEL105" s="433"/>
      <c r="GEM105" s="433"/>
      <c r="GEN105" s="433"/>
      <c r="GEO105" s="433"/>
      <c r="GEP105" s="433"/>
      <c r="GEQ105" s="433"/>
      <c r="GER105" s="433"/>
      <c r="GES105" s="433"/>
      <c r="GET105" s="433"/>
      <c r="GEU105" s="433"/>
      <c r="GEV105" s="433"/>
      <c r="GEW105" s="433"/>
      <c r="GEX105" s="433"/>
      <c r="GEY105" s="433"/>
      <c r="GEZ105" s="433"/>
      <c r="GFA105" s="433"/>
      <c r="GFB105" s="433"/>
      <c r="GFC105" s="433"/>
      <c r="GFD105" s="433"/>
      <c r="GFE105" s="433"/>
      <c r="GFF105" s="433"/>
      <c r="GFG105" s="433"/>
      <c r="GFH105" s="433"/>
      <c r="GFI105" s="433"/>
      <c r="GFJ105" s="433"/>
      <c r="GFK105" s="433"/>
      <c r="GFL105" s="433"/>
      <c r="GFM105" s="433"/>
      <c r="GFN105" s="433"/>
      <c r="GFO105" s="433"/>
      <c r="GFP105" s="433"/>
      <c r="GFQ105" s="433"/>
      <c r="GFR105" s="433"/>
      <c r="GFS105" s="433"/>
      <c r="GFT105" s="433"/>
      <c r="GFU105" s="433"/>
      <c r="GFV105" s="433"/>
      <c r="GFW105" s="433"/>
      <c r="GFX105" s="433"/>
      <c r="GFY105" s="433"/>
      <c r="GFZ105" s="433"/>
      <c r="GGA105" s="433"/>
      <c r="GGB105" s="433"/>
      <c r="GGC105" s="433"/>
      <c r="GGD105" s="433"/>
      <c r="GGE105" s="433"/>
      <c r="GGF105" s="433"/>
      <c r="GGG105" s="433"/>
      <c r="GGH105" s="433"/>
      <c r="GGI105" s="433"/>
      <c r="GGJ105" s="433"/>
      <c r="GGK105" s="433"/>
      <c r="GGL105" s="433"/>
      <c r="GGM105" s="433"/>
      <c r="GGN105" s="433"/>
      <c r="GGO105" s="433"/>
      <c r="GGP105" s="433"/>
      <c r="GGQ105" s="433"/>
      <c r="GGR105" s="433"/>
      <c r="GGS105" s="433"/>
      <c r="GGT105" s="433"/>
      <c r="GGU105" s="433"/>
      <c r="GGV105" s="433"/>
      <c r="GGW105" s="433"/>
      <c r="GGX105" s="433"/>
      <c r="GGY105" s="433"/>
      <c r="GGZ105" s="433"/>
      <c r="GHA105" s="433"/>
      <c r="GHB105" s="433"/>
      <c r="GHC105" s="433"/>
      <c r="GHD105" s="433"/>
      <c r="GHE105" s="433"/>
      <c r="GHF105" s="433"/>
      <c r="GHG105" s="433"/>
      <c r="GHH105" s="433"/>
      <c r="GHI105" s="433"/>
      <c r="GHJ105" s="433"/>
      <c r="GHK105" s="433"/>
      <c r="GHL105" s="433"/>
      <c r="GHM105" s="433"/>
      <c r="GHN105" s="433"/>
      <c r="GHO105" s="433"/>
      <c r="GHP105" s="433"/>
      <c r="GHQ105" s="433"/>
      <c r="GHR105" s="433"/>
      <c r="GHS105" s="433"/>
      <c r="GHT105" s="433"/>
      <c r="GHU105" s="433"/>
      <c r="GHV105" s="433"/>
      <c r="GHW105" s="433"/>
      <c r="GHX105" s="433"/>
      <c r="GHY105" s="433"/>
      <c r="GHZ105" s="433"/>
      <c r="GIA105" s="433"/>
      <c r="GIB105" s="433"/>
      <c r="GIC105" s="433"/>
      <c r="GID105" s="433"/>
      <c r="GIE105" s="433"/>
      <c r="GIF105" s="433"/>
      <c r="GIG105" s="433"/>
      <c r="GIH105" s="433"/>
      <c r="GII105" s="433"/>
      <c r="GIJ105" s="433"/>
      <c r="GIK105" s="433"/>
      <c r="GIL105" s="433"/>
      <c r="GIM105" s="433"/>
      <c r="GIN105" s="433"/>
      <c r="GIO105" s="433"/>
      <c r="GIP105" s="433"/>
      <c r="GIQ105" s="433"/>
      <c r="GIR105" s="433"/>
      <c r="GIS105" s="433"/>
      <c r="GIT105" s="433"/>
      <c r="GIU105" s="433"/>
      <c r="GIV105" s="433"/>
      <c r="GIW105" s="433"/>
      <c r="GIX105" s="433"/>
      <c r="GIY105" s="433"/>
      <c r="GIZ105" s="433"/>
      <c r="GJA105" s="433"/>
      <c r="GJB105" s="433"/>
      <c r="GJC105" s="433"/>
      <c r="GJD105" s="433"/>
      <c r="GJE105" s="433"/>
      <c r="GJF105" s="433"/>
      <c r="GJG105" s="433"/>
      <c r="GJH105" s="433"/>
      <c r="GJI105" s="433"/>
      <c r="GJJ105" s="433"/>
      <c r="GJK105" s="433"/>
      <c r="GJL105" s="433"/>
      <c r="GJM105" s="433"/>
      <c r="GJN105" s="433"/>
      <c r="GJO105" s="433"/>
      <c r="GJP105" s="433"/>
      <c r="GJQ105" s="433"/>
      <c r="GJR105" s="433"/>
      <c r="GJS105" s="433"/>
      <c r="GJT105" s="433"/>
      <c r="GJU105" s="433"/>
      <c r="GJV105" s="433"/>
      <c r="GJW105" s="433"/>
      <c r="GJX105" s="433"/>
      <c r="GJY105" s="433"/>
      <c r="GJZ105" s="433"/>
      <c r="GKA105" s="433"/>
      <c r="GKB105" s="433"/>
      <c r="GKC105" s="433"/>
      <c r="GKD105" s="433"/>
      <c r="GKE105" s="433"/>
      <c r="GKF105" s="433"/>
      <c r="GKG105" s="433"/>
      <c r="GKH105" s="433"/>
      <c r="GKI105" s="433"/>
      <c r="GKJ105" s="433"/>
      <c r="GKK105" s="433"/>
      <c r="GKL105" s="433"/>
      <c r="GKM105" s="433"/>
      <c r="GKN105" s="433"/>
      <c r="GKO105" s="433"/>
      <c r="GKP105" s="433"/>
      <c r="GKQ105" s="433"/>
      <c r="GKR105" s="433"/>
      <c r="GKS105" s="433"/>
      <c r="GKT105" s="433"/>
      <c r="GKU105" s="433"/>
      <c r="GKV105" s="433"/>
      <c r="GKW105" s="433"/>
      <c r="GKX105" s="433"/>
      <c r="GKY105" s="433"/>
      <c r="GKZ105" s="433"/>
      <c r="GLA105" s="433"/>
      <c r="GLB105" s="433"/>
      <c r="GLC105" s="433"/>
      <c r="GLD105" s="433"/>
      <c r="GLE105" s="433"/>
      <c r="GLF105" s="433"/>
      <c r="GLG105" s="433"/>
      <c r="GLH105" s="433"/>
      <c r="GLI105" s="433"/>
      <c r="GLJ105" s="433"/>
      <c r="GLK105" s="433"/>
      <c r="GLL105" s="433"/>
      <c r="GLM105" s="433"/>
      <c r="GLN105" s="433"/>
      <c r="GLO105" s="433"/>
      <c r="GLP105" s="433"/>
      <c r="GLQ105" s="433"/>
      <c r="GLR105" s="433"/>
      <c r="GLS105" s="433"/>
      <c r="GLT105" s="433"/>
      <c r="GLU105" s="433"/>
      <c r="GLV105" s="433"/>
      <c r="GLW105" s="433"/>
      <c r="GLX105" s="433"/>
      <c r="GLY105" s="433"/>
      <c r="GLZ105" s="433"/>
      <c r="GMA105" s="433"/>
      <c r="GMB105" s="433"/>
      <c r="GMC105" s="433"/>
      <c r="GMD105" s="433"/>
      <c r="GME105" s="433"/>
      <c r="GMF105" s="433"/>
      <c r="GMG105" s="433"/>
      <c r="GMH105" s="433"/>
      <c r="GMI105" s="433"/>
      <c r="GMJ105" s="433"/>
      <c r="GMK105" s="433"/>
      <c r="GML105" s="433"/>
      <c r="GMM105" s="433"/>
      <c r="GMN105" s="433"/>
      <c r="GMO105" s="433"/>
      <c r="GMP105" s="433"/>
      <c r="GMQ105" s="433"/>
      <c r="GMR105" s="433"/>
      <c r="GMS105" s="433"/>
      <c r="GMT105" s="433"/>
      <c r="GMU105" s="433"/>
      <c r="GMV105" s="433"/>
      <c r="GMW105" s="433"/>
      <c r="GMX105" s="433"/>
      <c r="GMY105" s="433"/>
      <c r="GMZ105" s="433"/>
      <c r="GNA105" s="433"/>
      <c r="GNB105" s="433"/>
      <c r="GNC105" s="433"/>
      <c r="GND105" s="433"/>
      <c r="GNE105" s="433"/>
      <c r="GNF105" s="433"/>
      <c r="GNG105" s="433"/>
      <c r="GNH105" s="433"/>
      <c r="GNI105" s="433"/>
      <c r="GNJ105" s="433"/>
      <c r="GNK105" s="433"/>
      <c r="GNL105" s="433"/>
      <c r="GNM105" s="433"/>
      <c r="GNN105" s="433"/>
      <c r="GNO105" s="433"/>
      <c r="GNP105" s="433"/>
      <c r="GNQ105" s="433"/>
      <c r="GNR105" s="433"/>
      <c r="GNS105" s="433"/>
      <c r="GNT105" s="433"/>
      <c r="GNU105" s="433"/>
      <c r="GNV105" s="433"/>
      <c r="GNW105" s="433"/>
      <c r="GNX105" s="433"/>
      <c r="GNY105" s="433"/>
      <c r="GNZ105" s="433"/>
      <c r="GOA105" s="433"/>
      <c r="GOB105" s="433"/>
      <c r="GOC105" s="433"/>
      <c r="GOD105" s="433"/>
      <c r="GOE105" s="433"/>
      <c r="GOF105" s="433"/>
      <c r="GOG105" s="433"/>
      <c r="GOH105" s="433"/>
      <c r="GOI105" s="433"/>
      <c r="GOJ105" s="433"/>
      <c r="GOK105" s="433"/>
      <c r="GOL105" s="433"/>
      <c r="GOM105" s="433"/>
      <c r="GON105" s="433"/>
      <c r="GOO105" s="433"/>
      <c r="GOP105" s="433"/>
      <c r="GOQ105" s="433"/>
      <c r="GOR105" s="433"/>
      <c r="GOS105" s="433"/>
      <c r="GOT105" s="433"/>
      <c r="GOU105" s="433"/>
      <c r="GOV105" s="433"/>
      <c r="GOW105" s="433"/>
      <c r="GOX105" s="433"/>
      <c r="GOY105" s="433"/>
      <c r="GOZ105" s="433"/>
      <c r="GPA105" s="433"/>
      <c r="GPB105" s="433"/>
      <c r="GPC105" s="433"/>
      <c r="GPD105" s="433"/>
      <c r="GPE105" s="433"/>
      <c r="GPF105" s="433"/>
      <c r="GPG105" s="433"/>
      <c r="GPH105" s="433"/>
      <c r="GPI105" s="433"/>
      <c r="GPJ105" s="433"/>
      <c r="GPK105" s="433"/>
      <c r="GPL105" s="433"/>
      <c r="GPM105" s="433"/>
      <c r="GPN105" s="433"/>
      <c r="GPO105" s="433"/>
      <c r="GPP105" s="433"/>
      <c r="GPQ105" s="433"/>
      <c r="GPR105" s="433"/>
      <c r="GPS105" s="433"/>
      <c r="GPT105" s="433"/>
      <c r="GPU105" s="433"/>
      <c r="GPV105" s="433"/>
      <c r="GPW105" s="433"/>
      <c r="GPX105" s="433"/>
      <c r="GPY105" s="433"/>
      <c r="GPZ105" s="433"/>
      <c r="GQA105" s="433"/>
      <c r="GQB105" s="433"/>
      <c r="GQC105" s="433"/>
      <c r="GQD105" s="433"/>
      <c r="GQE105" s="433"/>
      <c r="GQF105" s="433"/>
      <c r="GQG105" s="433"/>
      <c r="GQH105" s="433"/>
      <c r="GQI105" s="433"/>
      <c r="GQJ105" s="433"/>
      <c r="GQK105" s="433"/>
      <c r="GQL105" s="433"/>
      <c r="GQM105" s="433"/>
      <c r="GQN105" s="433"/>
      <c r="GQO105" s="433"/>
      <c r="GQP105" s="433"/>
      <c r="GQQ105" s="433"/>
      <c r="GQR105" s="433"/>
      <c r="GQS105" s="433"/>
      <c r="GQT105" s="433"/>
      <c r="GQU105" s="433"/>
      <c r="GQV105" s="433"/>
      <c r="GQW105" s="433"/>
      <c r="GQX105" s="433"/>
      <c r="GQY105" s="433"/>
      <c r="GQZ105" s="433"/>
      <c r="GRA105" s="433"/>
      <c r="GRB105" s="433"/>
      <c r="GRC105" s="433"/>
      <c r="GRD105" s="433"/>
      <c r="GRE105" s="433"/>
      <c r="GRF105" s="433"/>
      <c r="GRG105" s="433"/>
      <c r="GRH105" s="433"/>
      <c r="GRI105" s="433"/>
      <c r="GRJ105" s="433"/>
      <c r="GRK105" s="433"/>
      <c r="GRL105" s="433"/>
      <c r="GRM105" s="433"/>
      <c r="GRN105" s="433"/>
      <c r="GRO105" s="433"/>
      <c r="GRP105" s="433"/>
      <c r="GRQ105" s="433"/>
      <c r="GRR105" s="433"/>
      <c r="GRS105" s="433"/>
      <c r="GRT105" s="433"/>
      <c r="GRU105" s="433"/>
      <c r="GRV105" s="433"/>
      <c r="GRW105" s="433"/>
      <c r="GRX105" s="433"/>
      <c r="GRY105" s="433"/>
      <c r="GRZ105" s="433"/>
      <c r="GSA105" s="433"/>
      <c r="GSB105" s="433"/>
      <c r="GSC105" s="433"/>
      <c r="GSD105" s="433"/>
      <c r="GSE105" s="433"/>
      <c r="GSF105" s="433"/>
      <c r="GSG105" s="433"/>
      <c r="GSH105" s="433"/>
      <c r="GSI105" s="433"/>
      <c r="GSJ105" s="433"/>
      <c r="GSK105" s="433"/>
      <c r="GSL105" s="433"/>
      <c r="GSM105" s="433"/>
      <c r="GSN105" s="433"/>
      <c r="GSO105" s="433"/>
      <c r="GSP105" s="433"/>
      <c r="GSQ105" s="433"/>
      <c r="GSR105" s="433"/>
      <c r="GSS105" s="433"/>
      <c r="GST105" s="433"/>
      <c r="GSU105" s="433"/>
      <c r="GSV105" s="433"/>
      <c r="GSW105" s="433"/>
      <c r="GSX105" s="433"/>
      <c r="GSY105" s="433"/>
      <c r="GSZ105" s="433"/>
      <c r="GTA105" s="433"/>
      <c r="GTB105" s="433"/>
      <c r="GTC105" s="433"/>
      <c r="GTD105" s="433"/>
      <c r="GTE105" s="433"/>
      <c r="GTF105" s="433"/>
      <c r="GTG105" s="433"/>
      <c r="GTH105" s="433"/>
      <c r="GTI105" s="433"/>
      <c r="GTJ105" s="433"/>
      <c r="GTK105" s="433"/>
      <c r="GTL105" s="433"/>
      <c r="GTM105" s="433"/>
      <c r="GTN105" s="433"/>
      <c r="GTO105" s="433"/>
      <c r="GTP105" s="433"/>
      <c r="GTQ105" s="433"/>
      <c r="GTR105" s="433"/>
      <c r="GTS105" s="433"/>
      <c r="GTT105" s="433"/>
      <c r="GTU105" s="433"/>
      <c r="GTV105" s="433"/>
      <c r="GTW105" s="433"/>
      <c r="GTX105" s="433"/>
      <c r="GTY105" s="433"/>
      <c r="GTZ105" s="433"/>
      <c r="GUA105" s="433"/>
      <c r="GUB105" s="433"/>
      <c r="GUC105" s="433"/>
      <c r="GUD105" s="433"/>
      <c r="GUE105" s="433"/>
      <c r="GUF105" s="433"/>
      <c r="GUG105" s="433"/>
      <c r="GUH105" s="433"/>
      <c r="GUI105" s="433"/>
      <c r="GUJ105" s="433"/>
      <c r="GUK105" s="433"/>
      <c r="GUL105" s="433"/>
      <c r="GUM105" s="433"/>
      <c r="GUN105" s="433"/>
      <c r="GUO105" s="433"/>
      <c r="GUP105" s="433"/>
      <c r="GUQ105" s="433"/>
      <c r="GUR105" s="433"/>
      <c r="GUS105" s="433"/>
      <c r="GUT105" s="433"/>
      <c r="GUU105" s="433"/>
      <c r="GUV105" s="433"/>
      <c r="GUW105" s="433"/>
      <c r="GUX105" s="433"/>
      <c r="GUY105" s="433"/>
      <c r="GUZ105" s="433"/>
      <c r="GVA105" s="433"/>
      <c r="GVB105" s="433"/>
      <c r="GVC105" s="433"/>
      <c r="GVD105" s="433"/>
      <c r="GVE105" s="433"/>
      <c r="GVF105" s="433"/>
      <c r="GVG105" s="433"/>
      <c r="GVH105" s="433"/>
      <c r="GVI105" s="433"/>
      <c r="GVJ105" s="433"/>
      <c r="GVK105" s="433"/>
      <c r="GVL105" s="433"/>
      <c r="GVM105" s="433"/>
      <c r="GVN105" s="433"/>
      <c r="GVO105" s="433"/>
      <c r="GVP105" s="433"/>
      <c r="GVQ105" s="433"/>
      <c r="GVR105" s="433"/>
      <c r="GVS105" s="433"/>
      <c r="GVT105" s="433"/>
      <c r="GVU105" s="433"/>
      <c r="GVV105" s="433"/>
      <c r="GVW105" s="433"/>
      <c r="GVX105" s="433"/>
      <c r="GVY105" s="433"/>
      <c r="GVZ105" s="433"/>
      <c r="GWA105" s="433"/>
      <c r="GWB105" s="433"/>
      <c r="GWC105" s="433"/>
      <c r="GWD105" s="433"/>
      <c r="GWE105" s="433"/>
      <c r="GWF105" s="433"/>
      <c r="GWG105" s="433"/>
      <c r="GWH105" s="433"/>
      <c r="GWI105" s="433"/>
      <c r="GWJ105" s="433"/>
      <c r="GWK105" s="433"/>
      <c r="GWL105" s="433"/>
      <c r="GWM105" s="433"/>
      <c r="GWN105" s="433"/>
      <c r="GWO105" s="433"/>
      <c r="GWP105" s="433"/>
      <c r="GWQ105" s="433"/>
      <c r="GWR105" s="433"/>
      <c r="GWS105" s="433"/>
      <c r="GWT105" s="433"/>
      <c r="GWU105" s="433"/>
      <c r="GWV105" s="433"/>
      <c r="GWW105" s="433"/>
      <c r="GWX105" s="433"/>
      <c r="GWY105" s="433"/>
      <c r="GWZ105" s="433"/>
      <c r="GXA105" s="433"/>
      <c r="GXB105" s="433"/>
      <c r="GXC105" s="433"/>
      <c r="GXD105" s="433"/>
      <c r="GXE105" s="433"/>
      <c r="GXF105" s="433"/>
      <c r="GXG105" s="433"/>
      <c r="GXH105" s="433"/>
      <c r="GXI105" s="433"/>
      <c r="GXJ105" s="433"/>
      <c r="GXK105" s="433"/>
      <c r="GXL105" s="433"/>
      <c r="GXM105" s="433"/>
      <c r="GXN105" s="433"/>
      <c r="GXO105" s="433"/>
      <c r="GXP105" s="433"/>
      <c r="GXQ105" s="433"/>
      <c r="GXR105" s="433"/>
      <c r="GXS105" s="433"/>
      <c r="GXT105" s="433"/>
      <c r="GXU105" s="433"/>
      <c r="GXV105" s="433"/>
      <c r="GXW105" s="433"/>
      <c r="GXX105" s="433"/>
      <c r="GXY105" s="433"/>
      <c r="GXZ105" s="433"/>
      <c r="GYA105" s="433"/>
      <c r="GYB105" s="433"/>
      <c r="GYC105" s="433"/>
      <c r="GYD105" s="433"/>
      <c r="GYE105" s="433"/>
      <c r="GYF105" s="433"/>
      <c r="GYG105" s="433"/>
      <c r="GYH105" s="433"/>
      <c r="GYI105" s="433"/>
      <c r="GYJ105" s="433"/>
      <c r="GYK105" s="433"/>
      <c r="GYL105" s="433"/>
      <c r="GYM105" s="433"/>
      <c r="GYN105" s="433"/>
      <c r="GYO105" s="433"/>
      <c r="GYP105" s="433"/>
      <c r="GYQ105" s="433"/>
      <c r="GYR105" s="433"/>
      <c r="GYS105" s="433"/>
      <c r="GYT105" s="433"/>
      <c r="GYU105" s="433"/>
      <c r="GYV105" s="433"/>
      <c r="GYW105" s="433"/>
      <c r="GYX105" s="433"/>
      <c r="GYY105" s="433"/>
      <c r="GYZ105" s="433"/>
      <c r="GZA105" s="433"/>
      <c r="GZB105" s="433"/>
      <c r="GZC105" s="433"/>
      <c r="GZD105" s="433"/>
      <c r="GZE105" s="433"/>
      <c r="GZF105" s="433"/>
      <c r="GZG105" s="433"/>
      <c r="GZH105" s="433"/>
      <c r="GZI105" s="433"/>
      <c r="GZJ105" s="433"/>
      <c r="GZK105" s="433"/>
      <c r="GZL105" s="433"/>
      <c r="GZM105" s="433"/>
      <c r="GZN105" s="433"/>
      <c r="GZO105" s="433"/>
      <c r="GZP105" s="433"/>
      <c r="GZQ105" s="433"/>
      <c r="GZR105" s="433"/>
      <c r="GZS105" s="433"/>
      <c r="GZT105" s="433"/>
      <c r="GZU105" s="433"/>
      <c r="GZV105" s="433"/>
      <c r="GZW105" s="433"/>
      <c r="GZX105" s="433"/>
      <c r="GZY105" s="433"/>
      <c r="GZZ105" s="433"/>
      <c r="HAA105" s="433"/>
      <c r="HAB105" s="433"/>
      <c r="HAC105" s="433"/>
      <c r="HAD105" s="433"/>
      <c r="HAE105" s="433"/>
      <c r="HAF105" s="433"/>
      <c r="HAG105" s="433"/>
      <c r="HAH105" s="433"/>
      <c r="HAI105" s="433"/>
      <c r="HAJ105" s="433"/>
      <c r="HAK105" s="433"/>
      <c r="HAL105" s="433"/>
      <c r="HAM105" s="433"/>
      <c r="HAN105" s="433"/>
      <c r="HAO105" s="433"/>
      <c r="HAP105" s="433"/>
      <c r="HAQ105" s="433"/>
      <c r="HAR105" s="433"/>
      <c r="HAS105" s="433"/>
      <c r="HAT105" s="433"/>
      <c r="HAU105" s="433"/>
      <c r="HAV105" s="433"/>
      <c r="HAW105" s="433"/>
      <c r="HAX105" s="433"/>
      <c r="HAY105" s="433"/>
      <c r="HAZ105" s="433"/>
      <c r="HBA105" s="433"/>
      <c r="HBB105" s="433"/>
      <c r="HBC105" s="433"/>
      <c r="HBD105" s="433"/>
      <c r="HBE105" s="433"/>
      <c r="HBF105" s="433"/>
      <c r="HBG105" s="433"/>
      <c r="HBH105" s="433"/>
      <c r="HBI105" s="433"/>
      <c r="HBJ105" s="433"/>
      <c r="HBK105" s="433"/>
      <c r="HBL105" s="433"/>
      <c r="HBM105" s="433"/>
      <c r="HBN105" s="433"/>
      <c r="HBO105" s="433"/>
      <c r="HBP105" s="433"/>
      <c r="HBQ105" s="433"/>
      <c r="HBR105" s="433"/>
      <c r="HBS105" s="433"/>
      <c r="HBT105" s="433"/>
      <c r="HBU105" s="433"/>
      <c r="HBV105" s="433"/>
      <c r="HBW105" s="433"/>
      <c r="HBX105" s="433"/>
      <c r="HBY105" s="433"/>
      <c r="HBZ105" s="433"/>
      <c r="HCA105" s="433"/>
      <c r="HCB105" s="433"/>
      <c r="HCC105" s="433"/>
      <c r="HCD105" s="433"/>
      <c r="HCE105" s="433"/>
      <c r="HCF105" s="433"/>
      <c r="HCG105" s="433"/>
      <c r="HCH105" s="433"/>
      <c r="HCI105" s="433"/>
      <c r="HCJ105" s="433"/>
      <c r="HCK105" s="433"/>
      <c r="HCL105" s="433"/>
      <c r="HCM105" s="433"/>
      <c r="HCN105" s="433"/>
      <c r="HCO105" s="433"/>
      <c r="HCP105" s="433"/>
      <c r="HCQ105" s="433"/>
      <c r="HCR105" s="433"/>
      <c r="HCS105" s="433"/>
      <c r="HCT105" s="433"/>
      <c r="HCU105" s="433"/>
      <c r="HCV105" s="433"/>
      <c r="HCW105" s="433"/>
      <c r="HCX105" s="433"/>
      <c r="HCY105" s="433"/>
      <c r="HCZ105" s="433"/>
      <c r="HDA105" s="433"/>
      <c r="HDB105" s="433"/>
      <c r="HDC105" s="433"/>
      <c r="HDD105" s="433"/>
      <c r="HDE105" s="433"/>
      <c r="HDF105" s="433"/>
      <c r="HDG105" s="433"/>
      <c r="HDH105" s="433"/>
      <c r="HDI105" s="433"/>
      <c r="HDJ105" s="433"/>
      <c r="HDK105" s="433"/>
      <c r="HDL105" s="433"/>
      <c r="HDM105" s="433"/>
      <c r="HDN105" s="433"/>
      <c r="HDO105" s="433"/>
      <c r="HDP105" s="433"/>
      <c r="HDQ105" s="433"/>
      <c r="HDR105" s="433"/>
      <c r="HDS105" s="433"/>
      <c r="HDT105" s="433"/>
      <c r="HDU105" s="433"/>
      <c r="HDV105" s="433"/>
      <c r="HDW105" s="433"/>
      <c r="HDX105" s="433"/>
      <c r="HDY105" s="433"/>
      <c r="HDZ105" s="433"/>
      <c r="HEA105" s="433"/>
      <c r="HEB105" s="433"/>
      <c r="HEC105" s="433"/>
      <c r="HED105" s="433"/>
      <c r="HEE105" s="433"/>
      <c r="HEF105" s="433"/>
      <c r="HEG105" s="433"/>
      <c r="HEH105" s="433"/>
      <c r="HEI105" s="433"/>
      <c r="HEJ105" s="433"/>
      <c r="HEK105" s="433"/>
      <c r="HEL105" s="433"/>
      <c r="HEM105" s="433"/>
      <c r="HEN105" s="433"/>
      <c r="HEO105" s="433"/>
      <c r="HEP105" s="433"/>
      <c r="HEQ105" s="433"/>
      <c r="HER105" s="433"/>
      <c r="HES105" s="433"/>
      <c r="HET105" s="433"/>
      <c r="HEU105" s="433"/>
      <c r="HEV105" s="433"/>
      <c r="HEW105" s="433"/>
      <c r="HEX105" s="433"/>
      <c r="HEY105" s="433"/>
      <c r="HEZ105" s="433"/>
      <c r="HFA105" s="433"/>
      <c r="HFB105" s="433"/>
      <c r="HFC105" s="433"/>
      <c r="HFD105" s="433"/>
      <c r="HFE105" s="433"/>
      <c r="HFF105" s="433"/>
      <c r="HFG105" s="433"/>
      <c r="HFH105" s="433"/>
      <c r="HFI105" s="433"/>
      <c r="HFJ105" s="433"/>
      <c r="HFK105" s="433"/>
      <c r="HFL105" s="433"/>
      <c r="HFM105" s="433"/>
      <c r="HFN105" s="433"/>
      <c r="HFO105" s="433"/>
      <c r="HFP105" s="433"/>
      <c r="HFQ105" s="433"/>
      <c r="HFR105" s="433"/>
      <c r="HFS105" s="433"/>
      <c r="HFT105" s="433"/>
      <c r="HFU105" s="433"/>
      <c r="HFV105" s="433"/>
      <c r="HFW105" s="433"/>
      <c r="HFX105" s="433"/>
      <c r="HFY105" s="433"/>
      <c r="HFZ105" s="433"/>
      <c r="HGA105" s="433"/>
      <c r="HGB105" s="433"/>
      <c r="HGC105" s="433"/>
      <c r="HGD105" s="433"/>
      <c r="HGE105" s="433"/>
      <c r="HGF105" s="433"/>
      <c r="HGG105" s="433"/>
      <c r="HGH105" s="433"/>
      <c r="HGI105" s="433"/>
      <c r="HGJ105" s="433"/>
      <c r="HGK105" s="433"/>
      <c r="HGL105" s="433"/>
      <c r="HGM105" s="433"/>
      <c r="HGN105" s="433"/>
      <c r="HGO105" s="433"/>
      <c r="HGP105" s="433"/>
      <c r="HGQ105" s="433"/>
      <c r="HGR105" s="433"/>
      <c r="HGS105" s="433"/>
      <c r="HGT105" s="433"/>
      <c r="HGU105" s="433"/>
      <c r="HGV105" s="433"/>
      <c r="HGW105" s="433"/>
      <c r="HGX105" s="433"/>
      <c r="HGY105" s="433"/>
      <c r="HGZ105" s="433"/>
      <c r="HHA105" s="433"/>
      <c r="HHB105" s="433"/>
      <c r="HHC105" s="433"/>
      <c r="HHD105" s="433"/>
      <c r="HHE105" s="433"/>
      <c r="HHF105" s="433"/>
      <c r="HHG105" s="433"/>
      <c r="HHH105" s="433"/>
      <c r="HHI105" s="433"/>
      <c r="HHJ105" s="433"/>
      <c r="HHK105" s="433"/>
      <c r="HHL105" s="433"/>
      <c r="HHM105" s="433"/>
      <c r="HHN105" s="433"/>
      <c r="HHO105" s="433"/>
      <c r="HHP105" s="433"/>
      <c r="HHQ105" s="433"/>
      <c r="HHR105" s="433"/>
      <c r="HHS105" s="433"/>
      <c r="HHT105" s="433"/>
      <c r="HHU105" s="433"/>
      <c r="HHV105" s="433"/>
      <c r="HHW105" s="433"/>
      <c r="HHX105" s="433"/>
      <c r="HHY105" s="433"/>
      <c r="HHZ105" s="433"/>
      <c r="HIA105" s="433"/>
      <c r="HIB105" s="433"/>
      <c r="HIC105" s="433"/>
      <c r="HID105" s="433"/>
      <c r="HIE105" s="433"/>
      <c r="HIF105" s="433"/>
      <c r="HIG105" s="433"/>
      <c r="HIH105" s="433"/>
      <c r="HII105" s="433"/>
      <c r="HIJ105" s="433"/>
      <c r="HIK105" s="433"/>
      <c r="HIL105" s="433"/>
      <c r="HIM105" s="433"/>
      <c r="HIN105" s="433"/>
      <c r="HIO105" s="433"/>
      <c r="HIP105" s="433"/>
      <c r="HIQ105" s="433"/>
      <c r="HIR105" s="433"/>
      <c r="HIS105" s="433"/>
      <c r="HIT105" s="433"/>
      <c r="HIU105" s="433"/>
      <c r="HIV105" s="433"/>
      <c r="HIW105" s="433"/>
      <c r="HIX105" s="433"/>
      <c r="HIY105" s="433"/>
      <c r="HIZ105" s="433"/>
      <c r="HJA105" s="433"/>
      <c r="HJB105" s="433"/>
      <c r="HJC105" s="433"/>
      <c r="HJD105" s="433"/>
      <c r="HJE105" s="433"/>
      <c r="HJF105" s="433"/>
      <c r="HJG105" s="433"/>
      <c r="HJH105" s="433"/>
      <c r="HJI105" s="433"/>
      <c r="HJJ105" s="433"/>
      <c r="HJK105" s="433"/>
      <c r="HJL105" s="433"/>
      <c r="HJM105" s="433"/>
      <c r="HJN105" s="433"/>
      <c r="HJO105" s="433"/>
      <c r="HJP105" s="433"/>
      <c r="HJQ105" s="433"/>
      <c r="HJR105" s="433"/>
      <c r="HJS105" s="433"/>
      <c r="HJT105" s="433"/>
      <c r="HJU105" s="433"/>
      <c r="HJV105" s="433"/>
      <c r="HJW105" s="433"/>
      <c r="HJX105" s="433"/>
      <c r="HJY105" s="433"/>
      <c r="HJZ105" s="433"/>
      <c r="HKA105" s="433"/>
      <c r="HKB105" s="433"/>
      <c r="HKC105" s="433"/>
      <c r="HKD105" s="433"/>
      <c r="HKE105" s="433"/>
      <c r="HKF105" s="433"/>
      <c r="HKG105" s="433"/>
      <c r="HKH105" s="433"/>
      <c r="HKI105" s="433"/>
      <c r="HKJ105" s="433"/>
      <c r="HKK105" s="433"/>
      <c r="HKL105" s="433"/>
      <c r="HKM105" s="433"/>
      <c r="HKN105" s="433"/>
      <c r="HKO105" s="433"/>
      <c r="HKP105" s="433"/>
      <c r="HKQ105" s="433"/>
      <c r="HKR105" s="433"/>
      <c r="HKS105" s="433"/>
      <c r="HKT105" s="433"/>
      <c r="HKU105" s="433"/>
      <c r="HKV105" s="433"/>
      <c r="HKW105" s="433"/>
      <c r="HKX105" s="433"/>
      <c r="HKY105" s="433"/>
      <c r="HKZ105" s="433"/>
      <c r="HLA105" s="433"/>
      <c r="HLB105" s="433"/>
      <c r="HLC105" s="433"/>
      <c r="HLD105" s="433"/>
      <c r="HLE105" s="433"/>
      <c r="HLF105" s="433"/>
      <c r="HLG105" s="433"/>
      <c r="HLH105" s="433"/>
      <c r="HLI105" s="433"/>
      <c r="HLJ105" s="433"/>
      <c r="HLK105" s="433"/>
      <c r="HLL105" s="433"/>
      <c r="HLM105" s="433"/>
      <c r="HLN105" s="433"/>
      <c r="HLO105" s="433"/>
      <c r="HLP105" s="433"/>
      <c r="HLQ105" s="433"/>
      <c r="HLR105" s="433"/>
      <c r="HLS105" s="433"/>
      <c r="HLT105" s="433"/>
      <c r="HLU105" s="433"/>
      <c r="HLV105" s="433"/>
      <c r="HLW105" s="433"/>
      <c r="HLX105" s="433"/>
      <c r="HLY105" s="433"/>
      <c r="HLZ105" s="433"/>
      <c r="HMA105" s="433"/>
      <c r="HMB105" s="433"/>
      <c r="HMC105" s="433"/>
      <c r="HMD105" s="433"/>
      <c r="HME105" s="433"/>
      <c r="HMF105" s="433"/>
      <c r="HMG105" s="433"/>
      <c r="HMH105" s="433"/>
      <c r="HMI105" s="433"/>
      <c r="HMJ105" s="433"/>
      <c r="HMK105" s="433"/>
      <c r="HML105" s="433"/>
      <c r="HMM105" s="433"/>
      <c r="HMN105" s="433"/>
      <c r="HMO105" s="433"/>
      <c r="HMP105" s="433"/>
      <c r="HMQ105" s="433"/>
      <c r="HMR105" s="433"/>
      <c r="HMS105" s="433"/>
      <c r="HMT105" s="433"/>
      <c r="HMU105" s="433"/>
      <c r="HMV105" s="433"/>
      <c r="HMW105" s="433"/>
      <c r="HMX105" s="433"/>
      <c r="HMY105" s="433"/>
      <c r="HMZ105" s="433"/>
      <c r="HNA105" s="433"/>
      <c r="HNB105" s="433"/>
      <c r="HNC105" s="433"/>
      <c r="HND105" s="433"/>
      <c r="HNE105" s="433"/>
      <c r="HNF105" s="433"/>
      <c r="HNG105" s="433"/>
      <c r="HNH105" s="433"/>
      <c r="HNI105" s="433"/>
      <c r="HNJ105" s="433"/>
      <c r="HNK105" s="433"/>
      <c r="HNL105" s="433"/>
      <c r="HNM105" s="433"/>
      <c r="HNN105" s="433"/>
      <c r="HNO105" s="433"/>
      <c r="HNP105" s="433"/>
      <c r="HNQ105" s="433"/>
      <c r="HNR105" s="433"/>
      <c r="HNS105" s="433"/>
      <c r="HNT105" s="433"/>
      <c r="HNU105" s="433"/>
      <c r="HNV105" s="433"/>
      <c r="HNW105" s="433"/>
      <c r="HNX105" s="433"/>
      <c r="HNY105" s="433"/>
      <c r="HNZ105" s="433"/>
      <c r="HOA105" s="433"/>
      <c r="HOB105" s="433"/>
      <c r="HOC105" s="433"/>
      <c r="HOD105" s="433"/>
      <c r="HOE105" s="433"/>
      <c r="HOF105" s="433"/>
      <c r="HOG105" s="433"/>
      <c r="HOH105" s="433"/>
      <c r="HOI105" s="433"/>
      <c r="HOJ105" s="433"/>
      <c r="HOK105" s="433"/>
      <c r="HOL105" s="433"/>
      <c r="HOM105" s="433"/>
      <c r="HON105" s="433"/>
      <c r="HOO105" s="433"/>
      <c r="HOP105" s="433"/>
      <c r="HOQ105" s="433"/>
      <c r="HOR105" s="433"/>
      <c r="HOS105" s="433"/>
      <c r="HOT105" s="433"/>
      <c r="HOU105" s="433"/>
      <c r="HOV105" s="433"/>
      <c r="HOW105" s="433"/>
      <c r="HOX105" s="433"/>
      <c r="HOY105" s="433"/>
      <c r="HOZ105" s="433"/>
      <c r="HPA105" s="433"/>
      <c r="HPB105" s="433"/>
      <c r="HPC105" s="433"/>
      <c r="HPD105" s="433"/>
      <c r="HPE105" s="433"/>
      <c r="HPF105" s="433"/>
      <c r="HPG105" s="433"/>
      <c r="HPH105" s="433"/>
      <c r="HPI105" s="433"/>
      <c r="HPJ105" s="433"/>
      <c r="HPK105" s="433"/>
      <c r="HPL105" s="433"/>
      <c r="HPM105" s="433"/>
      <c r="HPN105" s="433"/>
      <c r="HPO105" s="433"/>
      <c r="HPP105" s="433"/>
      <c r="HPQ105" s="433"/>
      <c r="HPR105" s="433"/>
      <c r="HPS105" s="433"/>
      <c r="HPT105" s="433"/>
      <c r="HPU105" s="433"/>
      <c r="HPV105" s="433"/>
      <c r="HPW105" s="433"/>
      <c r="HPX105" s="433"/>
      <c r="HPY105" s="433"/>
      <c r="HPZ105" s="433"/>
      <c r="HQA105" s="433"/>
      <c r="HQB105" s="433"/>
      <c r="HQC105" s="433"/>
      <c r="HQD105" s="433"/>
      <c r="HQE105" s="433"/>
      <c r="HQF105" s="433"/>
      <c r="HQG105" s="433"/>
      <c r="HQH105" s="433"/>
      <c r="HQI105" s="433"/>
      <c r="HQJ105" s="433"/>
      <c r="HQK105" s="433"/>
      <c r="HQL105" s="433"/>
      <c r="HQM105" s="433"/>
      <c r="HQN105" s="433"/>
      <c r="HQO105" s="433"/>
      <c r="HQP105" s="433"/>
      <c r="HQQ105" s="433"/>
      <c r="HQR105" s="433"/>
      <c r="HQS105" s="433"/>
      <c r="HQT105" s="433"/>
      <c r="HQU105" s="433"/>
      <c r="HQV105" s="433"/>
      <c r="HQW105" s="433"/>
      <c r="HQX105" s="433"/>
      <c r="HQY105" s="433"/>
      <c r="HQZ105" s="433"/>
      <c r="HRA105" s="433"/>
      <c r="HRB105" s="433"/>
      <c r="HRC105" s="433"/>
      <c r="HRD105" s="433"/>
      <c r="HRE105" s="433"/>
      <c r="HRF105" s="433"/>
      <c r="HRG105" s="433"/>
      <c r="HRH105" s="433"/>
      <c r="HRI105" s="433"/>
      <c r="HRJ105" s="433"/>
      <c r="HRK105" s="433"/>
      <c r="HRL105" s="433"/>
      <c r="HRM105" s="433"/>
      <c r="HRN105" s="433"/>
      <c r="HRO105" s="433"/>
      <c r="HRP105" s="433"/>
      <c r="HRQ105" s="433"/>
      <c r="HRR105" s="433"/>
      <c r="HRS105" s="433"/>
      <c r="HRT105" s="433"/>
      <c r="HRU105" s="433"/>
      <c r="HRV105" s="433"/>
      <c r="HRW105" s="433"/>
      <c r="HRX105" s="433"/>
      <c r="HRY105" s="433"/>
      <c r="HRZ105" s="433"/>
      <c r="HSA105" s="433"/>
      <c r="HSB105" s="433"/>
      <c r="HSC105" s="433"/>
      <c r="HSD105" s="433"/>
      <c r="HSE105" s="433"/>
      <c r="HSF105" s="433"/>
      <c r="HSG105" s="433"/>
      <c r="HSH105" s="433"/>
      <c r="HSI105" s="433"/>
      <c r="HSJ105" s="433"/>
      <c r="HSK105" s="433"/>
      <c r="HSL105" s="433"/>
      <c r="HSM105" s="433"/>
      <c r="HSN105" s="433"/>
      <c r="HSO105" s="433"/>
      <c r="HSP105" s="433"/>
      <c r="HSQ105" s="433"/>
      <c r="HSR105" s="433"/>
      <c r="HSS105" s="433"/>
      <c r="HST105" s="433"/>
      <c r="HSU105" s="433"/>
      <c r="HSV105" s="433"/>
      <c r="HSW105" s="433"/>
      <c r="HSX105" s="433"/>
      <c r="HSY105" s="433"/>
      <c r="HSZ105" s="433"/>
      <c r="HTA105" s="433"/>
      <c r="HTB105" s="433"/>
      <c r="HTC105" s="433"/>
      <c r="HTD105" s="433"/>
      <c r="HTE105" s="433"/>
      <c r="HTF105" s="433"/>
      <c r="HTG105" s="433"/>
      <c r="HTH105" s="433"/>
      <c r="HTI105" s="433"/>
      <c r="HTJ105" s="433"/>
      <c r="HTK105" s="433"/>
      <c r="HTL105" s="433"/>
      <c r="HTM105" s="433"/>
      <c r="HTN105" s="433"/>
      <c r="HTO105" s="433"/>
      <c r="HTP105" s="433"/>
      <c r="HTQ105" s="433"/>
      <c r="HTR105" s="433"/>
      <c r="HTS105" s="433"/>
      <c r="HTT105" s="433"/>
      <c r="HTU105" s="433"/>
      <c r="HTV105" s="433"/>
      <c r="HTW105" s="433"/>
      <c r="HTX105" s="433"/>
      <c r="HTY105" s="433"/>
      <c r="HTZ105" s="433"/>
      <c r="HUA105" s="433"/>
      <c r="HUB105" s="433"/>
      <c r="HUC105" s="433"/>
      <c r="HUD105" s="433"/>
      <c r="HUE105" s="433"/>
      <c r="HUF105" s="433"/>
      <c r="HUG105" s="433"/>
      <c r="HUH105" s="433"/>
      <c r="HUI105" s="433"/>
      <c r="HUJ105" s="433"/>
      <c r="HUK105" s="433"/>
      <c r="HUL105" s="433"/>
      <c r="HUM105" s="433"/>
      <c r="HUN105" s="433"/>
      <c r="HUO105" s="433"/>
      <c r="HUP105" s="433"/>
      <c r="HUQ105" s="433"/>
      <c r="HUR105" s="433"/>
      <c r="HUS105" s="433"/>
      <c r="HUT105" s="433"/>
      <c r="HUU105" s="433"/>
      <c r="HUV105" s="433"/>
      <c r="HUW105" s="433"/>
      <c r="HUX105" s="433"/>
      <c r="HUY105" s="433"/>
      <c r="HUZ105" s="433"/>
      <c r="HVA105" s="433"/>
      <c r="HVB105" s="433"/>
      <c r="HVC105" s="433"/>
      <c r="HVD105" s="433"/>
      <c r="HVE105" s="433"/>
      <c r="HVF105" s="433"/>
      <c r="HVG105" s="433"/>
      <c r="HVH105" s="433"/>
      <c r="HVI105" s="433"/>
      <c r="HVJ105" s="433"/>
      <c r="HVK105" s="433"/>
      <c r="HVL105" s="433"/>
      <c r="HVM105" s="433"/>
      <c r="HVN105" s="433"/>
      <c r="HVO105" s="433"/>
      <c r="HVP105" s="433"/>
      <c r="HVQ105" s="433"/>
      <c r="HVR105" s="433"/>
      <c r="HVS105" s="433"/>
      <c r="HVT105" s="433"/>
      <c r="HVU105" s="433"/>
      <c r="HVV105" s="433"/>
      <c r="HVW105" s="433"/>
      <c r="HVX105" s="433"/>
      <c r="HVY105" s="433"/>
      <c r="HVZ105" s="433"/>
      <c r="HWA105" s="433"/>
      <c r="HWB105" s="433"/>
      <c r="HWC105" s="433"/>
      <c r="HWD105" s="433"/>
      <c r="HWE105" s="433"/>
      <c r="HWF105" s="433"/>
      <c r="HWG105" s="433"/>
      <c r="HWH105" s="433"/>
      <c r="HWI105" s="433"/>
      <c r="HWJ105" s="433"/>
      <c r="HWK105" s="433"/>
      <c r="HWL105" s="433"/>
      <c r="HWM105" s="433"/>
      <c r="HWN105" s="433"/>
      <c r="HWO105" s="433"/>
      <c r="HWP105" s="433"/>
      <c r="HWQ105" s="433"/>
      <c r="HWR105" s="433"/>
      <c r="HWS105" s="433"/>
      <c r="HWT105" s="433"/>
      <c r="HWU105" s="433"/>
      <c r="HWV105" s="433"/>
      <c r="HWW105" s="433"/>
      <c r="HWX105" s="433"/>
      <c r="HWY105" s="433"/>
      <c r="HWZ105" s="433"/>
      <c r="HXA105" s="433"/>
      <c r="HXB105" s="433"/>
      <c r="HXC105" s="433"/>
      <c r="HXD105" s="433"/>
      <c r="HXE105" s="433"/>
      <c r="HXF105" s="433"/>
      <c r="HXG105" s="433"/>
      <c r="HXH105" s="433"/>
      <c r="HXI105" s="433"/>
      <c r="HXJ105" s="433"/>
      <c r="HXK105" s="433"/>
      <c r="HXL105" s="433"/>
      <c r="HXM105" s="433"/>
      <c r="HXN105" s="433"/>
      <c r="HXO105" s="433"/>
      <c r="HXP105" s="433"/>
      <c r="HXQ105" s="433"/>
      <c r="HXR105" s="433"/>
      <c r="HXS105" s="433"/>
      <c r="HXT105" s="433"/>
      <c r="HXU105" s="433"/>
      <c r="HXV105" s="433"/>
      <c r="HXW105" s="433"/>
      <c r="HXX105" s="433"/>
      <c r="HXY105" s="433"/>
      <c r="HXZ105" s="433"/>
      <c r="HYA105" s="433"/>
      <c r="HYB105" s="433"/>
      <c r="HYC105" s="433"/>
      <c r="HYD105" s="433"/>
      <c r="HYE105" s="433"/>
      <c r="HYF105" s="433"/>
      <c r="HYG105" s="433"/>
      <c r="HYH105" s="433"/>
      <c r="HYI105" s="433"/>
      <c r="HYJ105" s="433"/>
      <c r="HYK105" s="433"/>
      <c r="HYL105" s="433"/>
      <c r="HYM105" s="433"/>
      <c r="HYN105" s="433"/>
      <c r="HYO105" s="433"/>
      <c r="HYP105" s="433"/>
      <c r="HYQ105" s="433"/>
      <c r="HYR105" s="433"/>
      <c r="HYS105" s="433"/>
      <c r="HYT105" s="433"/>
      <c r="HYU105" s="433"/>
      <c r="HYV105" s="433"/>
      <c r="HYW105" s="433"/>
      <c r="HYX105" s="433"/>
      <c r="HYY105" s="433"/>
      <c r="HYZ105" s="433"/>
      <c r="HZA105" s="433"/>
      <c r="HZB105" s="433"/>
      <c r="HZC105" s="433"/>
      <c r="HZD105" s="433"/>
      <c r="HZE105" s="433"/>
      <c r="HZF105" s="433"/>
      <c r="HZG105" s="433"/>
      <c r="HZH105" s="433"/>
      <c r="HZI105" s="433"/>
      <c r="HZJ105" s="433"/>
      <c r="HZK105" s="433"/>
      <c r="HZL105" s="433"/>
      <c r="HZM105" s="433"/>
      <c r="HZN105" s="433"/>
      <c r="HZO105" s="433"/>
      <c r="HZP105" s="433"/>
      <c r="HZQ105" s="433"/>
      <c r="HZR105" s="433"/>
      <c r="HZS105" s="433"/>
      <c r="HZT105" s="433"/>
      <c r="HZU105" s="433"/>
      <c r="HZV105" s="433"/>
      <c r="HZW105" s="433"/>
      <c r="HZX105" s="433"/>
      <c r="HZY105" s="433"/>
      <c r="HZZ105" s="433"/>
      <c r="IAA105" s="433"/>
      <c r="IAB105" s="433"/>
      <c r="IAC105" s="433"/>
      <c r="IAD105" s="433"/>
      <c r="IAE105" s="433"/>
      <c r="IAF105" s="433"/>
      <c r="IAG105" s="433"/>
      <c r="IAH105" s="433"/>
      <c r="IAI105" s="433"/>
      <c r="IAJ105" s="433"/>
      <c r="IAK105" s="433"/>
      <c r="IAL105" s="433"/>
      <c r="IAM105" s="433"/>
      <c r="IAN105" s="433"/>
      <c r="IAO105" s="433"/>
      <c r="IAP105" s="433"/>
      <c r="IAQ105" s="433"/>
      <c r="IAR105" s="433"/>
      <c r="IAS105" s="433"/>
      <c r="IAT105" s="433"/>
      <c r="IAU105" s="433"/>
      <c r="IAV105" s="433"/>
      <c r="IAW105" s="433"/>
      <c r="IAX105" s="433"/>
      <c r="IAY105" s="433"/>
      <c r="IAZ105" s="433"/>
      <c r="IBA105" s="433"/>
      <c r="IBB105" s="433"/>
      <c r="IBC105" s="433"/>
      <c r="IBD105" s="433"/>
      <c r="IBE105" s="433"/>
      <c r="IBF105" s="433"/>
      <c r="IBG105" s="433"/>
      <c r="IBH105" s="433"/>
      <c r="IBI105" s="433"/>
      <c r="IBJ105" s="433"/>
      <c r="IBK105" s="433"/>
      <c r="IBL105" s="433"/>
      <c r="IBM105" s="433"/>
      <c r="IBN105" s="433"/>
      <c r="IBO105" s="433"/>
      <c r="IBP105" s="433"/>
      <c r="IBQ105" s="433"/>
      <c r="IBR105" s="433"/>
      <c r="IBS105" s="433"/>
      <c r="IBT105" s="433"/>
      <c r="IBU105" s="433"/>
      <c r="IBV105" s="433"/>
      <c r="IBW105" s="433"/>
      <c r="IBX105" s="433"/>
      <c r="IBY105" s="433"/>
      <c r="IBZ105" s="433"/>
      <c r="ICA105" s="433"/>
      <c r="ICB105" s="433"/>
      <c r="ICC105" s="433"/>
      <c r="ICD105" s="433"/>
      <c r="ICE105" s="433"/>
      <c r="ICF105" s="433"/>
      <c r="ICG105" s="433"/>
      <c r="ICH105" s="433"/>
      <c r="ICI105" s="433"/>
      <c r="ICJ105" s="433"/>
      <c r="ICK105" s="433"/>
      <c r="ICL105" s="433"/>
      <c r="ICM105" s="433"/>
      <c r="ICN105" s="433"/>
      <c r="ICO105" s="433"/>
      <c r="ICP105" s="433"/>
      <c r="ICQ105" s="433"/>
      <c r="ICR105" s="433"/>
      <c r="ICS105" s="433"/>
      <c r="ICT105" s="433"/>
      <c r="ICU105" s="433"/>
      <c r="ICV105" s="433"/>
      <c r="ICW105" s="433"/>
      <c r="ICX105" s="433"/>
      <c r="ICY105" s="433"/>
      <c r="ICZ105" s="433"/>
      <c r="IDA105" s="433"/>
      <c r="IDB105" s="433"/>
      <c r="IDC105" s="433"/>
      <c r="IDD105" s="433"/>
      <c r="IDE105" s="433"/>
      <c r="IDF105" s="433"/>
      <c r="IDG105" s="433"/>
      <c r="IDH105" s="433"/>
      <c r="IDI105" s="433"/>
      <c r="IDJ105" s="433"/>
      <c r="IDK105" s="433"/>
      <c r="IDL105" s="433"/>
      <c r="IDM105" s="433"/>
      <c r="IDN105" s="433"/>
      <c r="IDO105" s="433"/>
      <c r="IDP105" s="433"/>
      <c r="IDQ105" s="433"/>
      <c r="IDR105" s="433"/>
      <c r="IDS105" s="433"/>
      <c r="IDT105" s="433"/>
      <c r="IDU105" s="433"/>
      <c r="IDV105" s="433"/>
      <c r="IDW105" s="433"/>
      <c r="IDX105" s="433"/>
      <c r="IDY105" s="433"/>
      <c r="IDZ105" s="433"/>
      <c r="IEA105" s="433"/>
      <c r="IEB105" s="433"/>
      <c r="IEC105" s="433"/>
      <c r="IED105" s="433"/>
      <c r="IEE105" s="433"/>
      <c r="IEF105" s="433"/>
      <c r="IEG105" s="433"/>
      <c r="IEH105" s="433"/>
      <c r="IEI105" s="433"/>
      <c r="IEJ105" s="433"/>
      <c r="IEK105" s="433"/>
      <c r="IEL105" s="433"/>
      <c r="IEM105" s="433"/>
      <c r="IEN105" s="433"/>
      <c r="IEO105" s="433"/>
      <c r="IEP105" s="433"/>
      <c r="IEQ105" s="433"/>
      <c r="IER105" s="433"/>
      <c r="IES105" s="433"/>
      <c r="IET105" s="433"/>
      <c r="IEU105" s="433"/>
      <c r="IEV105" s="433"/>
      <c r="IEW105" s="433"/>
      <c r="IEX105" s="433"/>
      <c r="IEY105" s="433"/>
      <c r="IEZ105" s="433"/>
      <c r="IFA105" s="433"/>
      <c r="IFB105" s="433"/>
      <c r="IFC105" s="433"/>
      <c r="IFD105" s="433"/>
      <c r="IFE105" s="433"/>
      <c r="IFF105" s="433"/>
      <c r="IFG105" s="433"/>
      <c r="IFH105" s="433"/>
      <c r="IFI105" s="433"/>
      <c r="IFJ105" s="433"/>
      <c r="IFK105" s="433"/>
      <c r="IFL105" s="433"/>
      <c r="IFM105" s="433"/>
      <c r="IFN105" s="433"/>
      <c r="IFO105" s="433"/>
      <c r="IFP105" s="433"/>
      <c r="IFQ105" s="433"/>
      <c r="IFR105" s="433"/>
      <c r="IFS105" s="433"/>
      <c r="IFT105" s="433"/>
      <c r="IFU105" s="433"/>
      <c r="IFV105" s="433"/>
      <c r="IFW105" s="433"/>
      <c r="IFX105" s="433"/>
      <c r="IFY105" s="433"/>
      <c r="IFZ105" s="433"/>
      <c r="IGA105" s="433"/>
      <c r="IGB105" s="433"/>
      <c r="IGC105" s="433"/>
      <c r="IGD105" s="433"/>
      <c r="IGE105" s="433"/>
      <c r="IGF105" s="433"/>
      <c r="IGG105" s="433"/>
      <c r="IGH105" s="433"/>
      <c r="IGI105" s="433"/>
      <c r="IGJ105" s="433"/>
      <c r="IGK105" s="433"/>
      <c r="IGL105" s="433"/>
      <c r="IGM105" s="433"/>
      <c r="IGN105" s="433"/>
      <c r="IGO105" s="433"/>
      <c r="IGP105" s="433"/>
      <c r="IGQ105" s="433"/>
      <c r="IGR105" s="433"/>
      <c r="IGS105" s="433"/>
      <c r="IGT105" s="433"/>
      <c r="IGU105" s="433"/>
      <c r="IGV105" s="433"/>
      <c r="IGW105" s="433"/>
      <c r="IGX105" s="433"/>
      <c r="IGY105" s="433"/>
      <c r="IGZ105" s="433"/>
      <c r="IHA105" s="433"/>
      <c r="IHB105" s="433"/>
      <c r="IHC105" s="433"/>
      <c r="IHD105" s="433"/>
      <c r="IHE105" s="433"/>
      <c r="IHF105" s="433"/>
      <c r="IHG105" s="433"/>
      <c r="IHH105" s="433"/>
      <c r="IHI105" s="433"/>
      <c r="IHJ105" s="433"/>
      <c r="IHK105" s="433"/>
      <c r="IHL105" s="433"/>
      <c r="IHM105" s="433"/>
      <c r="IHN105" s="433"/>
      <c r="IHO105" s="433"/>
      <c r="IHP105" s="433"/>
      <c r="IHQ105" s="433"/>
      <c r="IHR105" s="433"/>
      <c r="IHS105" s="433"/>
      <c r="IHT105" s="433"/>
      <c r="IHU105" s="433"/>
      <c r="IHV105" s="433"/>
      <c r="IHW105" s="433"/>
      <c r="IHX105" s="433"/>
      <c r="IHY105" s="433"/>
      <c r="IHZ105" s="433"/>
      <c r="IIA105" s="433"/>
      <c r="IIB105" s="433"/>
      <c r="IIC105" s="433"/>
      <c r="IID105" s="433"/>
      <c r="IIE105" s="433"/>
      <c r="IIF105" s="433"/>
      <c r="IIG105" s="433"/>
      <c r="IIH105" s="433"/>
      <c r="III105" s="433"/>
      <c r="IIJ105" s="433"/>
      <c r="IIK105" s="433"/>
      <c r="IIL105" s="433"/>
      <c r="IIM105" s="433"/>
      <c r="IIN105" s="433"/>
      <c r="IIO105" s="433"/>
      <c r="IIP105" s="433"/>
      <c r="IIQ105" s="433"/>
      <c r="IIR105" s="433"/>
      <c r="IIS105" s="433"/>
      <c r="IIT105" s="433"/>
      <c r="IIU105" s="433"/>
      <c r="IIV105" s="433"/>
      <c r="IIW105" s="433"/>
      <c r="IIX105" s="433"/>
      <c r="IIY105" s="433"/>
      <c r="IIZ105" s="433"/>
      <c r="IJA105" s="433"/>
      <c r="IJB105" s="433"/>
      <c r="IJC105" s="433"/>
      <c r="IJD105" s="433"/>
      <c r="IJE105" s="433"/>
      <c r="IJF105" s="433"/>
      <c r="IJG105" s="433"/>
      <c r="IJH105" s="433"/>
      <c r="IJI105" s="433"/>
      <c r="IJJ105" s="433"/>
      <c r="IJK105" s="433"/>
      <c r="IJL105" s="433"/>
      <c r="IJM105" s="433"/>
      <c r="IJN105" s="433"/>
      <c r="IJO105" s="433"/>
      <c r="IJP105" s="433"/>
      <c r="IJQ105" s="433"/>
      <c r="IJR105" s="433"/>
      <c r="IJS105" s="433"/>
      <c r="IJT105" s="433"/>
      <c r="IJU105" s="433"/>
      <c r="IJV105" s="433"/>
      <c r="IJW105" s="433"/>
      <c r="IJX105" s="433"/>
      <c r="IJY105" s="433"/>
      <c r="IJZ105" s="433"/>
      <c r="IKA105" s="433"/>
      <c r="IKB105" s="433"/>
      <c r="IKC105" s="433"/>
      <c r="IKD105" s="433"/>
      <c r="IKE105" s="433"/>
      <c r="IKF105" s="433"/>
      <c r="IKG105" s="433"/>
      <c r="IKH105" s="433"/>
      <c r="IKI105" s="433"/>
      <c r="IKJ105" s="433"/>
      <c r="IKK105" s="433"/>
      <c r="IKL105" s="433"/>
      <c r="IKM105" s="433"/>
      <c r="IKN105" s="433"/>
      <c r="IKO105" s="433"/>
      <c r="IKP105" s="433"/>
      <c r="IKQ105" s="433"/>
      <c r="IKR105" s="433"/>
      <c r="IKS105" s="433"/>
      <c r="IKT105" s="433"/>
      <c r="IKU105" s="433"/>
      <c r="IKV105" s="433"/>
      <c r="IKW105" s="433"/>
      <c r="IKX105" s="433"/>
      <c r="IKY105" s="433"/>
      <c r="IKZ105" s="433"/>
      <c r="ILA105" s="433"/>
      <c r="ILB105" s="433"/>
      <c r="ILC105" s="433"/>
      <c r="ILD105" s="433"/>
      <c r="ILE105" s="433"/>
      <c r="ILF105" s="433"/>
      <c r="ILG105" s="433"/>
      <c r="ILH105" s="433"/>
      <c r="ILI105" s="433"/>
      <c r="ILJ105" s="433"/>
      <c r="ILK105" s="433"/>
      <c r="ILL105" s="433"/>
      <c r="ILM105" s="433"/>
      <c r="ILN105" s="433"/>
      <c r="ILO105" s="433"/>
      <c r="ILP105" s="433"/>
      <c r="ILQ105" s="433"/>
      <c r="ILR105" s="433"/>
      <c r="ILS105" s="433"/>
      <c r="ILT105" s="433"/>
      <c r="ILU105" s="433"/>
      <c r="ILV105" s="433"/>
      <c r="ILW105" s="433"/>
      <c r="ILX105" s="433"/>
      <c r="ILY105" s="433"/>
      <c r="ILZ105" s="433"/>
      <c r="IMA105" s="433"/>
      <c r="IMB105" s="433"/>
      <c r="IMC105" s="433"/>
      <c r="IMD105" s="433"/>
      <c r="IME105" s="433"/>
      <c r="IMF105" s="433"/>
      <c r="IMG105" s="433"/>
      <c r="IMH105" s="433"/>
      <c r="IMI105" s="433"/>
      <c r="IMJ105" s="433"/>
      <c r="IMK105" s="433"/>
      <c r="IML105" s="433"/>
      <c r="IMM105" s="433"/>
      <c r="IMN105" s="433"/>
      <c r="IMO105" s="433"/>
      <c r="IMP105" s="433"/>
      <c r="IMQ105" s="433"/>
      <c r="IMR105" s="433"/>
      <c r="IMS105" s="433"/>
      <c r="IMT105" s="433"/>
      <c r="IMU105" s="433"/>
      <c r="IMV105" s="433"/>
      <c r="IMW105" s="433"/>
      <c r="IMX105" s="433"/>
      <c r="IMY105" s="433"/>
      <c r="IMZ105" s="433"/>
      <c r="INA105" s="433"/>
      <c r="INB105" s="433"/>
      <c r="INC105" s="433"/>
      <c r="IND105" s="433"/>
      <c r="INE105" s="433"/>
      <c r="INF105" s="433"/>
      <c r="ING105" s="433"/>
      <c r="INH105" s="433"/>
      <c r="INI105" s="433"/>
      <c r="INJ105" s="433"/>
      <c r="INK105" s="433"/>
      <c r="INL105" s="433"/>
      <c r="INM105" s="433"/>
      <c r="INN105" s="433"/>
      <c r="INO105" s="433"/>
      <c r="INP105" s="433"/>
      <c r="INQ105" s="433"/>
      <c r="INR105" s="433"/>
      <c r="INS105" s="433"/>
      <c r="INT105" s="433"/>
      <c r="INU105" s="433"/>
      <c r="INV105" s="433"/>
      <c r="INW105" s="433"/>
      <c r="INX105" s="433"/>
      <c r="INY105" s="433"/>
      <c r="INZ105" s="433"/>
      <c r="IOA105" s="433"/>
      <c r="IOB105" s="433"/>
      <c r="IOC105" s="433"/>
      <c r="IOD105" s="433"/>
      <c r="IOE105" s="433"/>
      <c r="IOF105" s="433"/>
      <c r="IOG105" s="433"/>
      <c r="IOH105" s="433"/>
      <c r="IOI105" s="433"/>
      <c r="IOJ105" s="433"/>
      <c r="IOK105" s="433"/>
      <c r="IOL105" s="433"/>
      <c r="IOM105" s="433"/>
      <c r="ION105" s="433"/>
      <c r="IOO105" s="433"/>
      <c r="IOP105" s="433"/>
      <c r="IOQ105" s="433"/>
      <c r="IOR105" s="433"/>
      <c r="IOS105" s="433"/>
      <c r="IOT105" s="433"/>
      <c r="IOU105" s="433"/>
      <c r="IOV105" s="433"/>
      <c r="IOW105" s="433"/>
      <c r="IOX105" s="433"/>
      <c r="IOY105" s="433"/>
      <c r="IOZ105" s="433"/>
      <c r="IPA105" s="433"/>
      <c r="IPB105" s="433"/>
      <c r="IPC105" s="433"/>
      <c r="IPD105" s="433"/>
      <c r="IPE105" s="433"/>
      <c r="IPF105" s="433"/>
      <c r="IPG105" s="433"/>
      <c r="IPH105" s="433"/>
      <c r="IPI105" s="433"/>
      <c r="IPJ105" s="433"/>
      <c r="IPK105" s="433"/>
      <c r="IPL105" s="433"/>
      <c r="IPM105" s="433"/>
      <c r="IPN105" s="433"/>
      <c r="IPO105" s="433"/>
      <c r="IPP105" s="433"/>
      <c r="IPQ105" s="433"/>
      <c r="IPR105" s="433"/>
      <c r="IPS105" s="433"/>
      <c r="IPT105" s="433"/>
      <c r="IPU105" s="433"/>
      <c r="IPV105" s="433"/>
      <c r="IPW105" s="433"/>
      <c r="IPX105" s="433"/>
      <c r="IPY105" s="433"/>
      <c r="IPZ105" s="433"/>
      <c r="IQA105" s="433"/>
      <c r="IQB105" s="433"/>
      <c r="IQC105" s="433"/>
      <c r="IQD105" s="433"/>
      <c r="IQE105" s="433"/>
      <c r="IQF105" s="433"/>
      <c r="IQG105" s="433"/>
      <c r="IQH105" s="433"/>
      <c r="IQI105" s="433"/>
      <c r="IQJ105" s="433"/>
      <c r="IQK105" s="433"/>
      <c r="IQL105" s="433"/>
      <c r="IQM105" s="433"/>
      <c r="IQN105" s="433"/>
      <c r="IQO105" s="433"/>
      <c r="IQP105" s="433"/>
      <c r="IQQ105" s="433"/>
      <c r="IQR105" s="433"/>
      <c r="IQS105" s="433"/>
      <c r="IQT105" s="433"/>
      <c r="IQU105" s="433"/>
      <c r="IQV105" s="433"/>
      <c r="IQW105" s="433"/>
      <c r="IQX105" s="433"/>
      <c r="IQY105" s="433"/>
      <c r="IQZ105" s="433"/>
      <c r="IRA105" s="433"/>
      <c r="IRB105" s="433"/>
      <c r="IRC105" s="433"/>
      <c r="IRD105" s="433"/>
      <c r="IRE105" s="433"/>
      <c r="IRF105" s="433"/>
      <c r="IRG105" s="433"/>
      <c r="IRH105" s="433"/>
      <c r="IRI105" s="433"/>
      <c r="IRJ105" s="433"/>
      <c r="IRK105" s="433"/>
      <c r="IRL105" s="433"/>
      <c r="IRM105" s="433"/>
      <c r="IRN105" s="433"/>
      <c r="IRO105" s="433"/>
      <c r="IRP105" s="433"/>
      <c r="IRQ105" s="433"/>
      <c r="IRR105" s="433"/>
      <c r="IRS105" s="433"/>
      <c r="IRT105" s="433"/>
      <c r="IRU105" s="433"/>
      <c r="IRV105" s="433"/>
      <c r="IRW105" s="433"/>
      <c r="IRX105" s="433"/>
      <c r="IRY105" s="433"/>
      <c r="IRZ105" s="433"/>
      <c r="ISA105" s="433"/>
      <c r="ISB105" s="433"/>
      <c r="ISC105" s="433"/>
      <c r="ISD105" s="433"/>
      <c r="ISE105" s="433"/>
      <c r="ISF105" s="433"/>
      <c r="ISG105" s="433"/>
      <c r="ISH105" s="433"/>
      <c r="ISI105" s="433"/>
      <c r="ISJ105" s="433"/>
      <c r="ISK105" s="433"/>
      <c r="ISL105" s="433"/>
      <c r="ISM105" s="433"/>
      <c r="ISN105" s="433"/>
      <c r="ISO105" s="433"/>
      <c r="ISP105" s="433"/>
      <c r="ISQ105" s="433"/>
      <c r="ISR105" s="433"/>
      <c r="ISS105" s="433"/>
      <c r="IST105" s="433"/>
      <c r="ISU105" s="433"/>
      <c r="ISV105" s="433"/>
      <c r="ISW105" s="433"/>
      <c r="ISX105" s="433"/>
      <c r="ISY105" s="433"/>
      <c r="ISZ105" s="433"/>
      <c r="ITA105" s="433"/>
      <c r="ITB105" s="433"/>
      <c r="ITC105" s="433"/>
      <c r="ITD105" s="433"/>
      <c r="ITE105" s="433"/>
      <c r="ITF105" s="433"/>
      <c r="ITG105" s="433"/>
      <c r="ITH105" s="433"/>
      <c r="ITI105" s="433"/>
      <c r="ITJ105" s="433"/>
      <c r="ITK105" s="433"/>
      <c r="ITL105" s="433"/>
      <c r="ITM105" s="433"/>
      <c r="ITN105" s="433"/>
      <c r="ITO105" s="433"/>
      <c r="ITP105" s="433"/>
      <c r="ITQ105" s="433"/>
      <c r="ITR105" s="433"/>
      <c r="ITS105" s="433"/>
      <c r="ITT105" s="433"/>
      <c r="ITU105" s="433"/>
      <c r="ITV105" s="433"/>
      <c r="ITW105" s="433"/>
      <c r="ITX105" s="433"/>
      <c r="ITY105" s="433"/>
      <c r="ITZ105" s="433"/>
      <c r="IUA105" s="433"/>
      <c r="IUB105" s="433"/>
      <c r="IUC105" s="433"/>
      <c r="IUD105" s="433"/>
      <c r="IUE105" s="433"/>
      <c r="IUF105" s="433"/>
      <c r="IUG105" s="433"/>
      <c r="IUH105" s="433"/>
      <c r="IUI105" s="433"/>
      <c r="IUJ105" s="433"/>
      <c r="IUK105" s="433"/>
      <c r="IUL105" s="433"/>
      <c r="IUM105" s="433"/>
      <c r="IUN105" s="433"/>
      <c r="IUO105" s="433"/>
      <c r="IUP105" s="433"/>
      <c r="IUQ105" s="433"/>
      <c r="IUR105" s="433"/>
      <c r="IUS105" s="433"/>
      <c r="IUT105" s="433"/>
      <c r="IUU105" s="433"/>
      <c r="IUV105" s="433"/>
      <c r="IUW105" s="433"/>
      <c r="IUX105" s="433"/>
      <c r="IUY105" s="433"/>
      <c r="IUZ105" s="433"/>
      <c r="IVA105" s="433"/>
      <c r="IVB105" s="433"/>
      <c r="IVC105" s="433"/>
      <c r="IVD105" s="433"/>
      <c r="IVE105" s="433"/>
      <c r="IVF105" s="433"/>
      <c r="IVG105" s="433"/>
      <c r="IVH105" s="433"/>
      <c r="IVI105" s="433"/>
      <c r="IVJ105" s="433"/>
      <c r="IVK105" s="433"/>
      <c r="IVL105" s="433"/>
      <c r="IVM105" s="433"/>
      <c r="IVN105" s="433"/>
      <c r="IVO105" s="433"/>
      <c r="IVP105" s="433"/>
      <c r="IVQ105" s="433"/>
      <c r="IVR105" s="433"/>
      <c r="IVS105" s="433"/>
      <c r="IVT105" s="433"/>
      <c r="IVU105" s="433"/>
      <c r="IVV105" s="433"/>
      <c r="IVW105" s="433"/>
      <c r="IVX105" s="433"/>
      <c r="IVY105" s="433"/>
      <c r="IVZ105" s="433"/>
      <c r="IWA105" s="433"/>
      <c r="IWB105" s="433"/>
      <c r="IWC105" s="433"/>
      <c r="IWD105" s="433"/>
      <c r="IWE105" s="433"/>
      <c r="IWF105" s="433"/>
      <c r="IWG105" s="433"/>
      <c r="IWH105" s="433"/>
      <c r="IWI105" s="433"/>
      <c r="IWJ105" s="433"/>
      <c r="IWK105" s="433"/>
      <c r="IWL105" s="433"/>
      <c r="IWM105" s="433"/>
      <c r="IWN105" s="433"/>
      <c r="IWO105" s="433"/>
      <c r="IWP105" s="433"/>
      <c r="IWQ105" s="433"/>
      <c r="IWR105" s="433"/>
      <c r="IWS105" s="433"/>
      <c r="IWT105" s="433"/>
      <c r="IWU105" s="433"/>
      <c r="IWV105" s="433"/>
      <c r="IWW105" s="433"/>
      <c r="IWX105" s="433"/>
      <c r="IWY105" s="433"/>
      <c r="IWZ105" s="433"/>
      <c r="IXA105" s="433"/>
      <c r="IXB105" s="433"/>
      <c r="IXC105" s="433"/>
      <c r="IXD105" s="433"/>
      <c r="IXE105" s="433"/>
      <c r="IXF105" s="433"/>
      <c r="IXG105" s="433"/>
      <c r="IXH105" s="433"/>
      <c r="IXI105" s="433"/>
      <c r="IXJ105" s="433"/>
      <c r="IXK105" s="433"/>
      <c r="IXL105" s="433"/>
      <c r="IXM105" s="433"/>
      <c r="IXN105" s="433"/>
      <c r="IXO105" s="433"/>
      <c r="IXP105" s="433"/>
      <c r="IXQ105" s="433"/>
      <c r="IXR105" s="433"/>
      <c r="IXS105" s="433"/>
      <c r="IXT105" s="433"/>
      <c r="IXU105" s="433"/>
      <c r="IXV105" s="433"/>
      <c r="IXW105" s="433"/>
      <c r="IXX105" s="433"/>
      <c r="IXY105" s="433"/>
      <c r="IXZ105" s="433"/>
      <c r="IYA105" s="433"/>
      <c r="IYB105" s="433"/>
      <c r="IYC105" s="433"/>
      <c r="IYD105" s="433"/>
      <c r="IYE105" s="433"/>
      <c r="IYF105" s="433"/>
      <c r="IYG105" s="433"/>
      <c r="IYH105" s="433"/>
      <c r="IYI105" s="433"/>
      <c r="IYJ105" s="433"/>
      <c r="IYK105" s="433"/>
      <c r="IYL105" s="433"/>
      <c r="IYM105" s="433"/>
      <c r="IYN105" s="433"/>
      <c r="IYO105" s="433"/>
      <c r="IYP105" s="433"/>
      <c r="IYQ105" s="433"/>
      <c r="IYR105" s="433"/>
      <c r="IYS105" s="433"/>
      <c r="IYT105" s="433"/>
      <c r="IYU105" s="433"/>
      <c r="IYV105" s="433"/>
      <c r="IYW105" s="433"/>
      <c r="IYX105" s="433"/>
      <c r="IYY105" s="433"/>
      <c r="IYZ105" s="433"/>
      <c r="IZA105" s="433"/>
      <c r="IZB105" s="433"/>
      <c r="IZC105" s="433"/>
      <c r="IZD105" s="433"/>
      <c r="IZE105" s="433"/>
      <c r="IZF105" s="433"/>
      <c r="IZG105" s="433"/>
      <c r="IZH105" s="433"/>
      <c r="IZI105" s="433"/>
      <c r="IZJ105" s="433"/>
      <c r="IZK105" s="433"/>
      <c r="IZL105" s="433"/>
      <c r="IZM105" s="433"/>
      <c r="IZN105" s="433"/>
      <c r="IZO105" s="433"/>
      <c r="IZP105" s="433"/>
      <c r="IZQ105" s="433"/>
      <c r="IZR105" s="433"/>
      <c r="IZS105" s="433"/>
      <c r="IZT105" s="433"/>
      <c r="IZU105" s="433"/>
      <c r="IZV105" s="433"/>
      <c r="IZW105" s="433"/>
      <c r="IZX105" s="433"/>
      <c r="IZY105" s="433"/>
      <c r="IZZ105" s="433"/>
      <c r="JAA105" s="433"/>
      <c r="JAB105" s="433"/>
      <c r="JAC105" s="433"/>
      <c r="JAD105" s="433"/>
      <c r="JAE105" s="433"/>
      <c r="JAF105" s="433"/>
      <c r="JAG105" s="433"/>
      <c r="JAH105" s="433"/>
      <c r="JAI105" s="433"/>
      <c r="JAJ105" s="433"/>
      <c r="JAK105" s="433"/>
      <c r="JAL105" s="433"/>
      <c r="JAM105" s="433"/>
      <c r="JAN105" s="433"/>
      <c r="JAO105" s="433"/>
      <c r="JAP105" s="433"/>
      <c r="JAQ105" s="433"/>
      <c r="JAR105" s="433"/>
      <c r="JAS105" s="433"/>
      <c r="JAT105" s="433"/>
      <c r="JAU105" s="433"/>
      <c r="JAV105" s="433"/>
      <c r="JAW105" s="433"/>
      <c r="JAX105" s="433"/>
      <c r="JAY105" s="433"/>
      <c r="JAZ105" s="433"/>
      <c r="JBA105" s="433"/>
      <c r="JBB105" s="433"/>
      <c r="JBC105" s="433"/>
      <c r="JBD105" s="433"/>
      <c r="JBE105" s="433"/>
      <c r="JBF105" s="433"/>
      <c r="JBG105" s="433"/>
      <c r="JBH105" s="433"/>
      <c r="JBI105" s="433"/>
      <c r="JBJ105" s="433"/>
      <c r="JBK105" s="433"/>
      <c r="JBL105" s="433"/>
      <c r="JBM105" s="433"/>
      <c r="JBN105" s="433"/>
      <c r="JBO105" s="433"/>
      <c r="JBP105" s="433"/>
      <c r="JBQ105" s="433"/>
      <c r="JBR105" s="433"/>
      <c r="JBS105" s="433"/>
      <c r="JBT105" s="433"/>
      <c r="JBU105" s="433"/>
      <c r="JBV105" s="433"/>
      <c r="JBW105" s="433"/>
      <c r="JBX105" s="433"/>
      <c r="JBY105" s="433"/>
      <c r="JBZ105" s="433"/>
      <c r="JCA105" s="433"/>
      <c r="JCB105" s="433"/>
      <c r="JCC105" s="433"/>
      <c r="JCD105" s="433"/>
      <c r="JCE105" s="433"/>
      <c r="JCF105" s="433"/>
      <c r="JCG105" s="433"/>
      <c r="JCH105" s="433"/>
      <c r="JCI105" s="433"/>
      <c r="JCJ105" s="433"/>
      <c r="JCK105" s="433"/>
      <c r="JCL105" s="433"/>
      <c r="JCM105" s="433"/>
      <c r="JCN105" s="433"/>
      <c r="JCO105" s="433"/>
      <c r="JCP105" s="433"/>
      <c r="JCQ105" s="433"/>
      <c r="JCR105" s="433"/>
      <c r="JCS105" s="433"/>
      <c r="JCT105" s="433"/>
      <c r="JCU105" s="433"/>
      <c r="JCV105" s="433"/>
      <c r="JCW105" s="433"/>
      <c r="JCX105" s="433"/>
      <c r="JCY105" s="433"/>
      <c r="JCZ105" s="433"/>
      <c r="JDA105" s="433"/>
      <c r="JDB105" s="433"/>
      <c r="JDC105" s="433"/>
      <c r="JDD105" s="433"/>
      <c r="JDE105" s="433"/>
      <c r="JDF105" s="433"/>
      <c r="JDG105" s="433"/>
      <c r="JDH105" s="433"/>
      <c r="JDI105" s="433"/>
      <c r="JDJ105" s="433"/>
      <c r="JDK105" s="433"/>
      <c r="JDL105" s="433"/>
      <c r="JDM105" s="433"/>
      <c r="JDN105" s="433"/>
      <c r="JDO105" s="433"/>
      <c r="JDP105" s="433"/>
      <c r="JDQ105" s="433"/>
      <c r="JDR105" s="433"/>
      <c r="JDS105" s="433"/>
      <c r="JDT105" s="433"/>
      <c r="JDU105" s="433"/>
      <c r="JDV105" s="433"/>
      <c r="JDW105" s="433"/>
      <c r="JDX105" s="433"/>
      <c r="JDY105" s="433"/>
      <c r="JDZ105" s="433"/>
      <c r="JEA105" s="433"/>
      <c r="JEB105" s="433"/>
      <c r="JEC105" s="433"/>
      <c r="JED105" s="433"/>
      <c r="JEE105" s="433"/>
      <c r="JEF105" s="433"/>
      <c r="JEG105" s="433"/>
      <c r="JEH105" s="433"/>
      <c r="JEI105" s="433"/>
      <c r="JEJ105" s="433"/>
      <c r="JEK105" s="433"/>
      <c r="JEL105" s="433"/>
      <c r="JEM105" s="433"/>
      <c r="JEN105" s="433"/>
      <c r="JEO105" s="433"/>
      <c r="JEP105" s="433"/>
      <c r="JEQ105" s="433"/>
      <c r="JER105" s="433"/>
      <c r="JES105" s="433"/>
      <c r="JET105" s="433"/>
      <c r="JEU105" s="433"/>
      <c r="JEV105" s="433"/>
      <c r="JEW105" s="433"/>
      <c r="JEX105" s="433"/>
      <c r="JEY105" s="433"/>
      <c r="JEZ105" s="433"/>
      <c r="JFA105" s="433"/>
      <c r="JFB105" s="433"/>
      <c r="JFC105" s="433"/>
      <c r="JFD105" s="433"/>
      <c r="JFE105" s="433"/>
      <c r="JFF105" s="433"/>
      <c r="JFG105" s="433"/>
      <c r="JFH105" s="433"/>
      <c r="JFI105" s="433"/>
      <c r="JFJ105" s="433"/>
      <c r="JFK105" s="433"/>
      <c r="JFL105" s="433"/>
      <c r="JFM105" s="433"/>
      <c r="JFN105" s="433"/>
      <c r="JFO105" s="433"/>
      <c r="JFP105" s="433"/>
      <c r="JFQ105" s="433"/>
      <c r="JFR105" s="433"/>
      <c r="JFS105" s="433"/>
      <c r="JFT105" s="433"/>
      <c r="JFU105" s="433"/>
      <c r="JFV105" s="433"/>
      <c r="JFW105" s="433"/>
      <c r="JFX105" s="433"/>
      <c r="JFY105" s="433"/>
      <c r="JFZ105" s="433"/>
      <c r="JGA105" s="433"/>
      <c r="JGB105" s="433"/>
      <c r="JGC105" s="433"/>
      <c r="JGD105" s="433"/>
      <c r="JGE105" s="433"/>
      <c r="JGF105" s="433"/>
      <c r="JGG105" s="433"/>
      <c r="JGH105" s="433"/>
      <c r="JGI105" s="433"/>
      <c r="JGJ105" s="433"/>
      <c r="JGK105" s="433"/>
      <c r="JGL105" s="433"/>
      <c r="JGM105" s="433"/>
      <c r="JGN105" s="433"/>
      <c r="JGO105" s="433"/>
      <c r="JGP105" s="433"/>
      <c r="JGQ105" s="433"/>
      <c r="JGR105" s="433"/>
      <c r="JGS105" s="433"/>
      <c r="JGT105" s="433"/>
      <c r="JGU105" s="433"/>
      <c r="JGV105" s="433"/>
      <c r="JGW105" s="433"/>
      <c r="JGX105" s="433"/>
      <c r="JGY105" s="433"/>
      <c r="JGZ105" s="433"/>
      <c r="JHA105" s="433"/>
      <c r="JHB105" s="433"/>
      <c r="JHC105" s="433"/>
      <c r="JHD105" s="433"/>
      <c r="JHE105" s="433"/>
      <c r="JHF105" s="433"/>
      <c r="JHG105" s="433"/>
      <c r="JHH105" s="433"/>
      <c r="JHI105" s="433"/>
      <c r="JHJ105" s="433"/>
      <c r="JHK105" s="433"/>
      <c r="JHL105" s="433"/>
      <c r="JHM105" s="433"/>
      <c r="JHN105" s="433"/>
      <c r="JHO105" s="433"/>
      <c r="JHP105" s="433"/>
      <c r="JHQ105" s="433"/>
      <c r="JHR105" s="433"/>
      <c r="JHS105" s="433"/>
      <c r="JHT105" s="433"/>
      <c r="JHU105" s="433"/>
      <c r="JHV105" s="433"/>
      <c r="JHW105" s="433"/>
      <c r="JHX105" s="433"/>
      <c r="JHY105" s="433"/>
      <c r="JHZ105" s="433"/>
      <c r="JIA105" s="433"/>
      <c r="JIB105" s="433"/>
      <c r="JIC105" s="433"/>
      <c r="JID105" s="433"/>
      <c r="JIE105" s="433"/>
      <c r="JIF105" s="433"/>
      <c r="JIG105" s="433"/>
      <c r="JIH105" s="433"/>
      <c r="JII105" s="433"/>
      <c r="JIJ105" s="433"/>
      <c r="JIK105" s="433"/>
      <c r="JIL105" s="433"/>
      <c r="JIM105" s="433"/>
      <c r="JIN105" s="433"/>
      <c r="JIO105" s="433"/>
      <c r="JIP105" s="433"/>
      <c r="JIQ105" s="433"/>
      <c r="JIR105" s="433"/>
      <c r="JIS105" s="433"/>
      <c r="JIT105" s="433"/>
      <c r="JIU105" s="433"/>
      <c r="JIV105" s="433"/>
      <c r="JIW105" s="433"/>
      <c r="JIX105" s="433"/>
      <c r="JIY105" s="433"/>
      <c r="JIZ105" s="433"/>
      <c r="JJA105" s="433"/>
      <c r="JJB105" s="433"/>
      <c r="JJC105" s="433"/>
      <c r="JJD105" s="433"/>
      <c r="JJE105" s="433"/>
      <c r="JJF105" s="433"/>
      <c r="JJG105" s="433"/>
      <c r="JJH105" s="433"/>
      <c r="JJI105" s="433"/>
      <c r="JJJ105" s="433"/>
      <c r="JJK105" s="433"/>
      <c r="JJL105" s="433"/>
      <c r="JJM105" s="433"/>
      <c r="JJN105" s="433"/>
      <c r="JJO105" s="433"/>
      <c r="JJP105" s="433"/>
      <c r="JJQ105" s="433"/>
      <c r="JJR105" s="433"/>
      <c r="JJS105" s="433"/>
      <c r="JJT105" s="433"/>
      <c r="JJU105" s="433"/>
      <c r="JJV105" s="433"/>
      <c r="JJW105" s="433"/>
      <c r="JJX105" s="433"/>
      <c r="JJY105" s="433"/>
      <c r="JJZ105" s="433"/>
      <c r="JKA105" s="433"/>
      <c r="JKB105" s="433"/>
      <c r="JKC105" s="433"/>
      <c r="JKD105" s="433"/>
      <c r="JKE105" s="433"/>
      <c r="JKF105" s="433"/>
      <c r="JKG105" s="433"/>
      <c r="JKH105" s="433"/>
      <c r="JKI105" s="433"/>
      <c r="JKJ105" s="433"/>
      <c r="JKK105" s="433"/>
      <c r="JKL105" s="433"/>
      <c r="JKM105" s="433"/>
      <c r="JKN105" s="433"/>
      <c r="JKO105" s="433"/>
      <c r="JKP105" s="433"/>
      <c r="JKQ105" s="433"/>
      <c r="JKR105" s="433"/>
      <c r="JKS105" s="433"/>
      <c r="JKT105" s="433"/>
      <c r="JKU105" s="433"/>
      <c r="JKV105" s="433"/>
      <c r="JKW105" s="433"/>
      <c r="JKX105" s="433"/>
      <c r="JKY105" s="433"/>
      <c r="JKZ105" s="433"/>
      <c r="JLA105" s="433"/>
      <c r="JLB105" s="433"/>
      <c r="JLC105" s="433"/>
      <c r="JLD105" s="433"/>
      <c r="JLE105" s="433"/>
      <c r="JLF105" s="433"/>
      <c r="JLG105" s="433"/>
      <c r="JLH105" s="433"/>
      <c r="JLI105" s="433"/>
      <c r="JLJ105" s="433"/>
      <c r="JLK105" s="433"/>
      <c r="JLL105" s="433"/>
      <c r="JLM105" s="433"/>
      <c r="JLN105" s="433"/>
      <c r="JLO105" s="433"/>
      <c r="JLP105" s="433"/>
      <c r="JLQ105" s="433"/>
      <c r="JLR105" s="433"/>
      <c r="JLS105" s="433"/>
      <c r="JLT105" s="433"/>
      <c r="JLU105" s="433"/>
      <c r="JLV105" s="433"/>
      <c r="JLW105" s="433"/>
      <c r="JLX105" s="433"/>
      <c r="JLY105" s="433"/>
      <c r="JLZ105" s="433"/>
      <c r="JMA105" s="433"/>
      <c r="JMB105" s="433"/>
      <c r="JMC105" s="433"/>
      <c r="JMD105" s="433"/>
      <c r="JME105" s="433"/>
      <c r="JMF105" s="433"/>
      <c r="JMG105" s="433"/>
      <c r="JMH105" s="433"/>
      <c r="JMI105" s="433"/>
      <c r="JMJ105" s="433"/>
      <c r="JMK105" s="433"/>
      <c r="JML105" s="433"/>
      <c r="JMM105" s="433"/>
      <c r="JMN105" s="433"/>
      <c r="JMO105" s="433"/>
      <c r="JMP105" s="433"/>
      <c r="JMQ105" s="433"/>
      <c r="JMR105" s="433"/>
      <c r="JMS105" s="433"/>
      <c r="JMT105" s="433"/>
      <c r="JMU105" s="433"/>
      <c r="JMV105" s="433"/>
      <c r="JMW105" s="433"/>
      <c r="JMX105" s="433"/>
      <c r="JMY105" s="433"/>
      <c r="JMZ105" s="433"/>
      <c r="JNA105" s="433"/>
      <c r="JNB105" s="433"/>
      <c r="JNC105" s="433"/>
      <c r="JND105" s="433"/>
      <c r="JNE105" s="433"/>
      <c r="JNF105" s="433"/>
      <c r="JNG105" s="433"/>
      <c r="JNH105" s="433"/>
      <c r="JNI105" s="433"/>
      <c r="JNJ105" s="433"/>
      <c r="JNK105" s="433"/>
      <c r="JNL105" s="433"/>
      <c r="JNM105" s="433"/>
      <c r="JNN105" s="433"/>
      <c r="JNO105" s="433"/>
      <c r="JNP105" s="433"/>
      <c r="JNQ105" s="433"/>
      <c r="JNR105" s="433"/>
      <c r="JNS105" s="433"/>
      <c r="JNT105" s="433"/>
      <c r="JNU105" s="433"/>
      <c r="JNV105" s="433"/>
      <c r="JNW105" s="433"/>
      <c r="JNX105" s="433"/>
      <c r="JNY105" s="433"/>
      <c r="JNZ105" s="433"/>
      <c r="JOA105" s="433"/>
      <c r="JOB105" s="433"/>
      <c r="JOC105" s="433"/>
      <c r="JOD105" s="433"/>
      <c r="JOE105" s="433"/>
      <c r="JOF105" s="433"/>
      <c r="JOG105" s="433"/>
      <c r="JOH105" s="433"/>
      <c r="JOI105" s="433"/>
      <c r="JOJ105" s="433"/>
      <c r="JOK105" s="433"/>
      <c r="JOL105" s="433"/>
      <c r="JOM105" s="433"/>
      <c r="JON105" s="433"/>
      <c r="JOO105" s="433"/>
      <c r="JOP105" s="433"/>
      <c r="JOQ105" s="433"/>
      <c r="JOR105" s="433"/>
      <c r="JOS105" s="433"/>
      <c r="JOT105" s="433"/>
      <c r="JOU105" s="433"/>
      <c r="JOV105" s="433"/>
      <c r="JOW105" s="433"/>
      <c r="JOX105" s="433"/>
      <c r="JOY105" s="433"/>
      <c r="JOZ105" s="433"/>
      <c r="JPA105" s="433"/>
      <c r="JPB105" s="433"/>
      <c r="JPC105" s="433"/>
      <c r="JPD105" s="433"/>
      <c r="JPE105" s="433"/>
      <c r="JPF105" s="433"/>
      <c r="JPG105" s="433"/>
      <c r="JPH105" s="433"/>
      <c r="JPI105" s="433"/>
      <c r="JPJ105" s="433"/>
      <c r="JPK105" s="433"/>
      <c r="JPL105" s="433"/>
      <c r="JPM105" s="433"/>
      <c r="JPN105" s="433"/>
      <c r="JPO105" s="433"/>
      <c r="JPP105" s="433"/>
      <c r="JPQ105" s="433"/>
      <c r="JPR105" s="433"/>
      <c r="JPS105" s="433"/>
      <c r="JPT105" s="433"/>
      <c r="JPU105" s="433"/>
      <c r="JPV105" s="433"/>
      <c r="JPW105" s="433"/>
      <c r="JPX105" s="433"/>
      <c r="JPY105" s="433"/>
      <c r="JPZ105" s="433"/>
      <c r="JQA105" s="433"/>
      <c r="JQB105" s="433"/>
      <c r="JQC105" s="433"/>
      <c r="JQD105" s="433"/>
      <c r="JQE105" s="433"/>
      <c r="JQF105" s="433"/>
      <c r="JQG105" s="433"/>
      <c r="JQH105" s="433"/>
      <c r="JQI105" s="433"/>
      <c r="JQJ105" s="433"/>
      <c r="JQK105" s="433"/>
      <c r="JQL105" s="433"/>
      <c r="JQM105" s="433"/>
      <c r="JQN105" s="433"/>
      <c r="JQO105" s="433"/>
      <c r="JQP105" s="433"/>
      <c r="JQQ105" s="433"/>
      <c r="JQR105" s="433"/>
      <c r="JQS105" s="433"/>
      <c r="JQT105" s="433"/>
      <c r="JQU105" s="433"/>
      <c r="JQV105" s="433"/>
      <c r="JQW105" s="433"/>
      <c r="JQX105" s="433"/>
      <c r="JQY105" s="433"/>
      <c r="JQZ105" s="433"/>
      <c r="JRA105" s="433"/>
      <c r="JRB105" s="433"/>
      <c r="JRC105" s="433"/>
      <c r="JRD105" s="433"/>
      <c r="JRE105" s="433"/>
      <c r="JRF105" s="433"/>
      <c r="JRG105" s="433"/>
      <c r="JRH105" s="433"/>
      <c r="JRI105" s="433"/>
      <c r="JRJ105" s="433"/>
      <c r="JRK105" s="433"/>
      <c r="JRL105" s="433"/>
      <c r="JRM105" s="433"/>
      <c r="JRN105" s="433"/>
      <c r="JRO105" s="433"/>
      <c r="JRP105" s="433"/>
      <c r="JRQ105" s="433"/>
      <c r="JRR105" s="433"/>
      <c r="JRS105" s="433"/>
      <c r="JRT105" s="433"/>
      <c r="JRU105" s="433"/>
      <c r="JRV105" s="433"/>
      <c r="JRW105" s="433"/>
      <c r="JRX105" s="433"/>
      <c r="JRY105" s="433"/>
      <c r="JRZ105" s="433"/>
      <c r="JSA105" s="433"/>
      <c r="JSB105" s="433"/>
      <c r="JSC105" s="433"/>
      <c r="JSD105" s="433"/>
      <c r="JSE105" s="433"/>
      <c r="JSF105" s="433"/>
      <c r="JSG105" s="433"/>
      <c r="JSH105" s="433"/>
      <c r="JSI105" s="433"/>
      <c r="JSJ105" s="433"/>
      <c r="JSK105" s="433"/>
      <c r="JSL105" s="433"/>
      <c r="JSM105" s="433"/>
      <c r="JSN105" s="433"/>
      <c r="JSO105" s="433"/>
      <c r="JSP105" s="433"/>
      <c r="JSQ105" s="433"/>
      <c r="JSR105" s="433"/>
      <c r="JSS105" s="433"/>
      <c r="JST105" s="433"/>
      <c r="JSU105" s="433"/>
      <c r="JSV105" s="433"/>
      <c r="JSW105" s="433"/>
      <c r="JSX105" s="433"/>
      <c r="JSY105" s="433"/>
      <c r="JSZ105" s="433"/>
      <c r="JTA105" s="433"/>
      <c r="JTB105" s="433"/>
      <c r="JTC105" s="433"/>
      <c r="JTD105" s="433"/>
      <c r="JTE105" s="433"/>
      <c r="JTF105" s="433"/>
      <c r="JTG105" s="433"/>
      <c r="JTH105" s="433"/>
      <c r="JTI105" s="433"/>
      <c r="JTJ105" s="433"/>
      <c r="JTK105" s="433"/>
      <c r="JTL105" s="433"/>
      <c r="JTM105" s="433"/>
      <c r="JTN105" s="433"/>
      <c r="JTO105" s="433"/>
      <c r="JTP105" s="433"/>
      <c r="JTQ105" s="433"/>
      <c r="JTR105" s="433"/>
      <c r="JTS105" s="433"/>
      <c r="JTT105" s="433"/>
      <c r="JTU105" s="433"/>
      <c r="JTV105" s="433"/>
      <c r="JTW105" s="433"/>
      <c r="JTX105" s="433"/>
      <c r="JTY105" s="433"/>
      <c r="JTZ105" s="433"/>
      <c r="JUA105" s="433"/>
      <c r="JUB105" s="433"/>
      <c r="JUC105" s="433"/>
      <c r="JUD105" s="433"/>
      <c r="JUE105" s="433"/>
      <c r="JUF105" s="433"/>
      <c r="JUG105" s="433"/>
      <c r="JUH105" s="433"/>
      <c r="JUI105" s="433"/>
      <c r="JUJ105" s="433"/>
      <c r="JUK105" s="433"/>
      <c r="JUL105" s="433"/>
      <c r="JUM105" s="433"/>
      <c r="JUN105" s="433"/>
      <c r="JUO105" s="433"/>
      <c r="JUP105" s="433"/>
      <c r="JUQ105" s="433"/>
      <c r="JUR105" s="433"/>
      <c r="JUS105" s="433"/>
      <c r="JUT105" s="433"/>
      <c r="JUU105" s="433"/>
      <c r="JUV105" s="433"/>
      <c r="JUW105" s="433"/>
      <c r="JUX105" s="433"/>
      <c r="JUY105" s="433"/>
      <c r="JUZ105" s="433"/>
      <c r="JVA105" s="433"/>
      <c r="JVB105" s="433"/>
      <c r="JVC105" s="433"/>
      <c r="JVD105" s="433"/>
      <c r="JVE105" s="433"/>
      <c r="JVF105" s="433"/>
      <c r="JVG105" s="433"/>
      <c r="JVH105" s="433"/>
      <c r="JVI105" s="433"/>
      <c r="JVJ105" s="433"/>
      <c r="JVK105" s="433"/>
      <c r="JVL105" s="433"/>
      <c r="JVM105" s="433"/>
      <c r="JVN105" s="433"/>
      <c r="JVO105" s="433"/>
      <c r="JVP105" s="433"/>
      <c r="JVQ105" s="433"/>
      <c r="JVR105" s="433"/>
      <c r="JVS105" s="433"/>
      <c r="JVT105" s="433"/>
      <c r="JVU105" s="433"/>
      <c r="JVV105" s="433"/>
      <c r="JVW105" s="433"/>
      <c r="JVX105" s="433"/>
      <c r="JVY105" s="433"/>
      <c r="JVZ105" s="433"/>
      <c r="JWA105" s="433"/>
      <c r="JWB105" s="433"/>
      <c r="JWC105" s="433"/>
      <c r="JWD105" s="433"/>
      <c r="JWE105" s="433"/>
      <c r="JWF105" s="433"/>
      <c r="JWG105" s="433"/>
      <c r="JWH105" s="433"/>
      <c r="JWI105" s="433"/>
      <c r="JWJ105" s="433"/>
      <c r="JWK105" s="433"/>
      <c r="JWL105" s="433"/>
      <c r="JWM105" s="433"/>
      <c r="JWN105" s="433"/>
      <c r="JWO105" s="433"/>
      <c r="JWP105" s="433"/>
      <c r="JWQ105" s="433"/>
      <c r="JWR105" s="433"/>
      <c r="JWS105" s="433"/>
      <c r="JWT105" s="433"/>
      <c r="JWU105" s="433"/>
      <c r="JWV105" s="433"/>
      <c r="JWW105" s="433"/>
      <c r="JWX105" s="433"/>
      <c r="JWY105" s="433"/>
      <c r="JWZ105" s="433"/>
      <c r="JXA105" s="433"/>
      <c r="JXB105" s="433"/>
      <c r="JXC105" s="433"/>
      <c r="JXD105" s="433"/>
      <c r="JXE105" s="433"/>
      <c r="JXF105" s="433"/>
      <c r="JXG105" s="433"/>
      <c r="JXH105" s="433"/>
      <c r="JXI105" s="433"/>
      <c r="JXJ105" s="433"/>
      <c r="JXK105" s="433"/>
      <c r="JXL105" s="433"/>
      <c r="JXM105" s="433"/>
      <c r="JXN105" s="433"/>
      <c r="JXO105" s="433"/>
      <c r="JXP105" s="433"/>
      <c r="JXQ105" s="433"/>
      <c r="JXR105" s="433"/>
      <c r="JXS105" s="433"/>
      <c r="JXT105" s="433"/>
      <c r="JXU105" s="433"/>
      <c r="JXV105" s="433"/>
      <c r="JXW105" s="433"/>
      <c r="JXX105" s="433"/>
      <c r="JXY105" s="433"/>
      <c r="JXZ105" s="433"/>
      <c r="JYA105" s="433"/>
      <c r="JYB105" s="433"/>
      <c r="JYC105" s="433"/>
      <c r="JYD105" s="433"/>
      <c r="JYE105" s="433"/>
      <c r="JYF105" s="433"/>
      <c r="JYG105" s="433"/>
      <c r="JYH105" s="433"/>
      <c r="JYI105" s="433"/>
      <c r="JYJ105" s="433"/>
      <c r="JYK105" s="433"/>
      <c r="JYL105" s="433"/>
      <c r="JYM105" s="433"/>
      <c r="JYN105" s="433"/>
      <c r="JYO105" s="433"/>
      <c r="JYP105" s="433"/>
      <c r="JYQ105" s="433"/>
      <c r="JYR105" s="433"/>
      <c r="JYS105" s="433"/>
      <c r="JYT105" s="433"/>
      <c r="JYU105" s="433"/>
      <c r="JYV105" s="433"/>
      <c r="JYW105" s="433"/>
      <c r="JYX105" s="433"/>
      <c r="JYY105" s="433"/>
      <c r="JYZ105" s="433"/>
      <c r="JZA105" s="433"/>
      <c r="JZB105" s="433"/>
      <c r="JZC105" s="433"/>
      <c r="JZD105" s="433"/>
      <c r="JZE105" s="433"/>
      <c r="JZF105" s="433"/>
      <c r="JZG105" s="433"/>
      <c r="JZH105" s="433"/>
      <c r="JZI105" s="433"/>
      <c r="JZJ105" s="433"/>
      <c r="JZK105" s="433"/>
      <c r="JZL105" s="433"/>
      <c r="JZM105" s="433"/>
      <c r="JZN105" s="433"/>
      <c r="JZO105" s="433"/>
      <c r="JZP105" s="433"/>
      <c r="JZQ105" s="433"/>
      <c r="JZR105" s="433"/>
      <c r="JZS105" s="433"/>
      <c r="JZT105" s="433"/>
      <c r="JZU105" s="433"/>
      <c r="JZV105" s="433"/>
      <c r="JZW105" s="433"/>
      <c r="JZX105" s="433"/>
      <c r="JZY105" s="433"/>
      <c r="JZZ105" s="433"/>
      <c r="KAA105" s="433"/>
      <c r="KAB105" s="433"/>
      <c r="KAC105" s="433"/>
      <c r="KAD105" s="433"/>
      <c r="KAE105" s="433"/>
      <c r="KAF105" s="433"/>
      <c r="KAG105" s="433"/>
      <c r="KAH105" s="433"/>
      <c r="KAI105" s="433"/>
      <c r="KAJ105" s="433"/>
      <c r="KAK105" s="433"/>
      <c r="KAL105" s="433"/>
      <c r="KAM105" s="433"/>
      <c r="KAN105" s="433"/>
      <c r="KAO105" s="433"/>
      <c r="KAP105" s="433"/>
      <c r="KAQ105" s="433"/>
      <c r="KAR105" s="433"/>
      <c r="KAS105" s="433"/>
      <c r="KAT105" s="433"/>
      <c r="KAU105" s="433"/>
      <c r="KAV105" s="433"/>
      <c r="KAW105" s="433"/>
      <c r="KAX105" s="433"/>
      <c r="KAY105" s="433"/>
      <c r="KAZ105" s="433"/>
      <c r="KBA105" s="433"/>
      <c r="KBB105" s="433"/>
      <c r="KBC105" s="433"/>
      <c r="KBD105" s="433"/>
      <c r="KBE105" s="433"/>
      <c r="KBF105" s="433"/>
      <c r="KBG105" s="433"/>
      <c r="KBH105" s="433"/>
      <c r="KBI105" s="433"/>
      <c r="KBJ105" s="433"/>
      <c r="KBK105" s="433"/>
      <c r="KBL105" s="433"/>
      <c r="KBM105" s="433"/>
      <c r="KBN105" s="433"/>
      <c r="KBO105" s="433"/>
      <c r="KBP105" s="433"/>
      <c r="KBQ105" s="433"/>
      <c r="KBR105" s="433"/>
      <c r="KBS105" s="433"/>
      <c r="KBT105" s="433"/>
      <c r="KBU105" s="433"/>
      <c r="KBV105" s="433"/>
      <c r="KBW105" s="433"/>
      <c r="KBX105" s="433"/>
      <c r="KBY105" s="433"/>
      <c r="KBZ105" s="433"/>
      <c r="KCA105" s="433"/>
      <c r="KCB105" s="433"/>
      <c r="KCC105" s="433"/>
      <c r="KCD105" s="433"/>
      <c r="KCE105" s="433"/>
      <c r="KCF105" s="433"/>
      <c r="KCG105" s="433"/>
      <c r="KCH105" s="433"/>
      <c r="KCI105" s="433"/>
      <c r="KCJ105" s="433"/>
      <c r="KCK105" s="433"/>
      <c r="KCL105" s="433"/>
      <c r="KCM105" s="433"/>
      <c r="KCN105" s="433"/>
      <c r="KCO105" s="433"/>
      <c r="KCP105" s="433"/>
      <c r="KCQ105" s="433"/>
      <c r="KCR105" s="433"/>
      <c r="KCS105" s="433"/>
      <c r="KCT105" s="433"/>
      <c r="KCU105" s="433"/>
      <c r="KCV105" s="433"/>
      <c r="KCW105" s="433"/>
      <c r="KCX105" s="433"/>
      <c r="KCY105" s="433"/>
      <c r="KCZ105" s="433"/>
      <c r="KDA105" s="433"/>
      <c r="KDB105" s="433"/>
      <c r="KDC105" s="433"/>
      <c r="KDD105" s="433"/>
      <c r="KDE105" s="433"/>
      <c r="KDF105" s="433"/>
      <c r="KDG105" s="433"/>
      <c r="KDH105" s="433"/>
      <c r="KDI105" s="433"/>
      <c r="KDJ105" s="433"/>
      <c r="KDK105" s="433"/>
      <c r="KDL105" s="433"/>
      <c r="KDM105" s="433"/>
      <c r="KDN105" s="433"/>
      <c r="KDO105" s="433"/>
      <c r="KDP105" s="433"/>
      <c r="KDQ105" s="433"/>
      <c r="KDR105" s="433"/>
      <c r="KDS105" s="433"/>
      <c r="KDT105" s="433"/>
      <c r="KDU105" s="433"/>
      <c r="KDV105" s="433"/>
      <c r="KDW105" s="433"/>
      <c r="KDX105" s="433"/>
      <c r="KDY105" s="433"/>
      <c r="KDZ105" s="433"/>
      <c r="KEA105" s="433"/>
      <c r="KEB105" s="433"/>
      <c r="KEC105" s="433"/>
      <c r="KED105" s="433"/>
      <c r="KEE105" s="433"/>
      <c r="KEF105" s="433"/>
      <c r="KEG105" s="433"/>
      <c r="KEH105" s="433"/>
      <c r="KEI105" s="433"/>
      <c r="KEJ105" s="433"/>
      <c r="KEK105" s="433"/>
      <c r="KEL105" s="433"/>
      <c r="KEM105" s="433"/>
      <c r="KEN105" s="433"/>
      <c r="KEO105" s="433"/>
      <c r="KEP105" s="433"/>
      <c r="KEQ105" s="433"/>
      <c r="KER105" s="433"/>
      <c r="KES105" s="433"/>
      <c r="KET105" s="433"/>
      <c r="KEU105" s="433"/>
      <c r="KEV105" s="433"/>
      <c r="KEW105" s="433"/>
      <c r="KEX105" s="433"/>
      <c r="KEY105" s="433"/>
      <c r="KEZ105" s="433"/>
      <c r="KFA105" s="433"/>
      <c r="KFB105" s="433"/>
      <c r="KFC105" s="433"/>
      <c r="KFD105" s="433"/>
      <c r="KFE105" s="433"/>
      <c r="KFF105" s="433"/>
      <c r="KFG105" s="433"/>
      <c r="KFH105" s="433"/>
      <c r="KFI105" s="433"/>
      <c r="KFJ105" s="433"/>
      <c r="KFK105" s="433"/>
      <c r="KFL105" s="433"/>
      <c r="KFM105" s="433"/>
      <c r="KFN105" s="433"/>
      <c r="KFO105" s="433"/>
      <c r="KFP105" s="433"/>
      <c r="KFQ105" s="433"/>
      <c r="KFR105" s="433"/>
      <c r="KFS105" s="433"/>
      <c r="KFT105" s="433"/>
      <c r="KFU105" s="433"/>
      <c r="KFV105" s="433"/>
      <c r="KFW105" s="433"/>
      <c r="KFX105" s="433"/>
      <c r="KFY105" s="433"/>
      <c r="KFZ105" s="433"/>
      <c r="KGA105" s="433"/>
      <c r="KGB105" s="433"/>
      <c r="KGC105" s="433"/>
      <c r="KGD105" s="433"/>
      <c r="KGE105" s="433"/>
      <c r="KGF105" s="433"/>
      <c r="KGG105" s="433"/>
      <c r="KGH105" s="433"/>
      <c r="KGI105" s="433"/>
      <c r="KGJ105" s="433"/>
      <c r="KGK105" s="433"/>
      <c r="KGL105" s="433"/>
      <c r="KGM105" s="433"/>
      <c r="KGN105" s="433"/>
      <c r="KGO105" s="433"/>
      <c r="KGP105" s="433"/>
      <c r="KGQ105" s="433"/>
      <c r="KGR105" s="433"/>
      <c r="KGS105" s="433"/>
      <c r="KGT105" s="433"/>
      <c r="KGU105" s="433"/>
      <c r="KGV105" s="433"/>
      <c r="KGW105" s="433"/>
      <c r="KGX105" s="433"/>
      <c r="KGY105" s="433"/>
      <c r="KGZ105" s="433"/>
      <c r="KHA105" s="433"/>
      <c r="KHB105" s="433"/>
      <c r="KHC105" s="433"/>
      <c r="KHD105" s="433"/>
      <c r="KHE105" s="433"/>
      <c r="KHF105" s="433"/>
      <c r="KHG105" s="433"/>
      <c r="KHH105" s="433"/>
      <c r="KHI105" s="433"/>
      <c r="KHJ105" s="433"/>
      <c r="KHK105" s="433"/>
      <c r="KHL105" s="433"/>
      <c r="KHM105" s="433"/>
      <c r="KHN105" s="433"/>
      <c r="KHO105" s="433"/>
      <c r="KHP105" s="433"/>
      <c r="KHQ105" s="433"/>
      <c r="KHR105" s="433"/>
      <c r="KHS105" s="433"/>
      <c r="KHT105" s="433"/>
      <c r="KHU105" s="433"/>
      <c r="KHV105" s="433"/>
      <c r="KHW105" s="433"/>
      <c r="KHX105" s="433"/>
      <c r="KHY105" s="433"/>
      <c r="KHZ105" s="433"/>
      <c r="KIA105" s="433"/>
      <c r="KIB105" s="433"/>
      <c r="KIC105" s="433"/>
      <c r="KID105" s="433"/>
      <c r="KIE105" s="433"/>
      <c r="KIF105" s="433"/>
      <c r="KIG105" s="433"/>
      <c r="KIH105" s="433"/>
      <c r="KII105" s="433"/>
      <c r="KIJ105" s="433"/>
      <c r="KIK105" s="433"/>
      <c r="KIL105" s="433"/>
      <c r="KIM105" s="433"/>
      <c r="KIN105" s="433"/>
      <c r="KIO105" s="433"/>
      <c r="KIP105" s="433"/>
      <c r="KIQ105" s="433"/>
      <c r="KIR105" s="433"/>
      <c r="KIS105" s="433"/>
      <c r="KIT105" s="433"/>
      <c r="KIU105" s="433"/>
      <c r="KIV105" s="433"/>
      <c r="KIW105" s="433"/>
      <c r="KIX105" s="433"/>
      <c r="KIY105" s="433"/>
      <c r="KIZ105" s="433"/>
      <c r="KJA105" s="433"/>
      <c r="KJB105" s="433"/>
      <c r="KJC105" s="433"/>
      <c r="KJD105" s="433"/>
      <c r="KJE105" s="433"/>
      <c r="KJF105" s="433"/>
      <c r="KJG105" s="433"/>
      <c r="KJH105" s="433"/>
      <c r="KJI105" s="433"/>
      <c r="KJJ105" s="433"/>
      <c r="KJK105" s="433"/>
      <c r="KJL105" s="433"/>
      <c r="KJM105" s="433"/>
      <c r="KJN105" s="433"/>
      <c r="KJO105" s="433"/>
      <c r="KJP105" s="433"/>
      <c r="KJQ105" s="433"/>
      <c r="KJR105" s="433"/>
      <c r="KJS105" s="433"/>
      <c r="KJT105" s="433"/>
      <c r="KJU105" s="433"/>
      <c r="KJV105" s="433"/>
      <c r="KJW105" s="433"/>
      <c r="KJX105" s="433"/>
      <c r="KJY105" s="433"/>
      <c r="KJZ105" s="433"/>
      <c r="KKA105" s="433"/>
      <c r="KKB105" s="433"/>
      <c r="KKC105" s="433"/>
      <c r="KKD105" s="433"/>
      <c r="KKE105" s="433"/>
      <c r="KKF105" s="433"/>
      <c r="KKG105" s="433"/>
      <c r="KKH105" s="433"/>
      <c r="KKI105" s="433"/>
      <c r="KKJ105" s="433"/>
      <c r="KKK105" s="433"/>
      <c r="KKL105" s="433"/>
      <c r="KKM105" s="433"/>
      <c r="KKN105" s="433"/>
      <c r="KKO105" s="433"/>
      <c r="KKP105" s="433"/>
      <c r="KKQ105" s="433"/>
      <c r="KKR105" s="433"/>
      <c r="KKS105" s="433"/>
      <c r="KKT105" s="433"/>
      <c r="KKU105" s="433"/>
      <c r="KKV105" s="433"/>
      <c r="KKW105" s="433"/>
      <c r="KKX105" s="433"/>
      <c r="KKY105" s="433"/>
      <c r="KKZ105" s="433"/>
      <c r="KLA105" s="433"/>
      <c r="KLB105" s="433"/>
      <c r="KLC105" s="433"/>
      <c r="KLD105" s="433"/>
      <c r="KLE105" s="433"/>
      <c r="KLF105" s="433"/>
      <c r="KLG105" s="433"/>
      <c r="KLH105" s="433"/>
      <c r="KLI105" s="433"/>
      <c r="KLJ105" s="433"/>
      <c r="KLK105" s="433"/>
      <c r="KLL105" s="433"/>
      <c r="KLM105" s="433"/>
      <c r="KLN105" s="433"/>
      <c r="KLO105" s="433"/>
      <c r="KLP105" s="433"/>
      <c r="KLQ105" s="433"/>
      <c r="KLR105" s="433"/>
      <c r="KLS105" s="433"/>
      <c r="KLT105" s="433"/>
      <c r="KLU105" s="433"/>
      <c r="KLV105" s="433"/>
      <c r="KLW105" s="433"/>
      <c r="KLX105" s="433"/>
      <c r="KLY105" s="433"/>
      <c r="KLZ105" s="433"/>
      <c r="KMA105" s="433"/>
      <c r="KMB105" s="433"/>
      <c r="KMC105" s="433"/>
      <c r="KMD105" s="433"/>
      <c r="KME105" s="433"/>
      <c r="KMF105" s="433"/>
      <c r="KMG105" s="433"/>
      <c r="KMH105" s="433"/>
      <c r="KMI105" s="433"/>
      <c r="KMJ105" s="433"/>
      <c r="KMK105" s="433"/>
      <c r="KML105" s="433"/>
      <c r="KMM105" s="433"/>
      <c r="KMN105" s="433"/>
      <c r="KMO105" s="433"/>
      <c r="KMP105" s="433"/>
      <c r="KMQ105" s="433"/>
      <c r="KMR105" s="433"/>
      <c r="KMS105" s="433"/>
      <c r="KMT105" s="433"/>
      <c r="KMU105" s="433"/>
      <c r="KMV105" s="433"/>
      <c r="KMW105" s="433"/>
      <c r="KMX105" s="433"/>
      <c r="KMY105" s="433"/>
      <c r="KMZ105" s="433"/>
      <c r="KNA105" s="433"/>
      <c r="KNB105" s="433"/>
      <c r="KNC105" s="433"/>
      <c r="KND105" s="433"/>
      <c r="KNE105" s="433"/>
      <c r="KNF105" s="433"/>
      <c r="KNG105" s="433"/>
      <c r="KNH105" s="433"/>
      <c r="KNI105" s="433"/>
      <c r="KNJ105" s="433"/>
      <c r="KNK105" s="433"/>
      <c r="KNL105" s="433"/>
      <c r="KNM105" s="433"/>
      <c r="KNN105" s="433"/>
      <c r="KNO105" s="433"/>
      <c r="KNP105" s="433"/>
      <c r="KNQ105" s="433"/>
      <c r="KNR105" s="433"/>
      <c r="KNS105" s="433"/>
      <c r="KNT105" s="433"/>
      <c r="KNU105" s="433"/>
      <c r="KNV105" s="433"/>
      <c r="KNW105" s="433"/>
      <c r="KNX105" s="433"/>
      <c r="KNY105" s="433"/>
      <c r="KNZ105" s="433"/>
      <c r="KOA105" s="433"/>
      <c r="KOB105" s="433"/>
      <c r="KOC105" s="433"/>
      <c r="KOD105" s="433"/>
      <c r="KOE105" s="433"/>
      <c r="KOF105" s="433"/>
      <c r="KOG105" s="433"/>
      <c r="KOH105" s="433"/>
      <c r="KOI105" s="433"/>
      <c r="KOJ105" s="433"/>
      <c r="KOK105" s="433"/>
      <c r="KOL105" s="433"/>
      <c r="KOM105" s="433"/>
      <c r="KON105" s="433"/>
      <c r="KOO105" s="433"/>
      <c r="KOP105" s="433"/>
      <c r="KOQ105" s="433"/>
      <c r="KOR105" s="433"/>
      <c r="KOS105" s="433"/>
      <c r="KOT105" s="433"/>
      <c r="KOU105" s="433"/>
      <c r="KOV105" s="433"/>
      <c r="KOW105" s="433"/>
      <c r="KOX105" s="433"/>
      <c r="KOY105" s="433"/>
      <c r="KOZ105" s="433"/>
      <c r="KPA105" s="433"/>
      <c r="KPB105" s="433"/>
      <c r="KPC105" s="433"/>
      <c r="KPD105" s="433"/>
      <c r="KPE105" s="433"/>
      <c r="KPF105" s="433"/>
      <c r="KPG105" s="433"/>
      <c r="KPH105" s="433"/>
      <c r="KPI105" s="433"/>
      <c r="KPJ105" s="433"/>
      <c r="KPK105" s="433"/>
      <c r="KPL105" s="433"/>
      <c r="KPM105" s="433"/>
      <c r="KPN105" s="433"/>
      <c r="KPO105" s="433"/>
      <c r="KPP105" s="433"/>
      <c r="KPQ105" s="433"/>
      <c r="KPR105" s="433"/>
      <c r="KPS105" s="433"/>
      <c r="KPT105" s="433"/>
      <c r="KPU105" s="433"/>
      <c r="KPV105" s="433"/>
      <c r="KPW105" s="433"/>
      <c r="KPX105" s="433"/>
      <c r="KPY105" s="433"/>
      <c r="KPZ105" s="433"/>
      <c r="KQA105" s="433"/>
      <c r="KQB105" s="433"/>
      <c r="KQC105" s="433"/>
      <c r="KQD105" s="433"/>
      <c r="KQE105" s="433"/>
      <c r="KQF105" s="433"/>
      <c r="KQG105" s="433"/>
      <c r="KQH105" s="433"/>
      <c r="KQI105" s="433"/>
      <c r="KQJ105" s="433"/>
      <c r="KQK105" s="433"/>
      <c r="KQL105" s="433"/>
      <c r="KQM105" s="433"/>
      <c r="KQN105" s="433"/>
      <c r="KQO105" s="433"/>
      <c r="KQP105" s="433"/>
      <c r="KQQ105" s="433"/>
      <c r="KQR105" s="433"/>
      <c r="KQS105" s="433"/>
      <c r="KQT105" s="433"/>
      <c r="KQU105" s="433"/>
      <c r="KQV105" s="433"/>
      <c r="KQW105" s="433"/>
      <c r="KQX105" s="433"/>
      <c r="KQY105" s="433"/>
      <c r="KQZ105" s="433"/>
      <c r="KRA105" s="433"/>
      <c r="KRB105" s="433"/>
      <c r="KRC105" s="433"/>
      <c r="KRD105" s="433"/>
      <c r="KRE105" s="433"/>
      <c r="KRF105" s="433"/>
      <c r="KRG105" s="433"/>
      <c r="KRH105" s="433"/>
      <c r="KRI105" s="433"/>
      <c r="KRJ105" s="433"/>
      <c r="KRK105" s="433"/>
      <c r="KRL105" s="433"/>
      <c r="KRM105" s="433"/>
      <c r="KRN105" s="433"/>
      <c r="KRO105" s="433"/>
      <c r="KRP105" s="433"/>
      <c r="KRQ105" s="433"/>
      <c r="KRR105" s="433"/>
      <c r="KRS105" s="433"/>
      <c r="KRT105" s="433"/>
      <c r="KRU105" s="433"/>
      <c r="KRV105" s="433"/>
      <c r="KRW105" s="433"/>
      <c r="KRX105" s="433"/>
      <c r="KRY105" s="433"/>
      <c r="KRZ105" s="433"/>
      <c r="KSA105" s="433"/>
      <c r="KSB105" s="433"/>
      <c r="KSC105" s="433"/>
      <c r="KSD105" s="433"/>
      <c r="KSE105" s="433"/>
      <c r="KSF105" s="433"/>
      <c r="KSG105" s="433"/>
      <c r="KSH105" s="433"/>
      <c r="KSI105" s="433"/>
      <c r="KSJ105" s="433"/>
      <c r="KSK105" s="433"/>
      <c r="KSL105" s="433"/>
      <c r="KSM105" s="433"/>
      <c r="KSN105" s="433"/>
      <c r="KSO105" s="433"/>
      <c r="KSP105" s="433"/>
      <c r="KSQ105" s="433"/>
      <c r="KSR105" s="433"/>
      <c r="KSS105" s="433"/>
      <c r="KST105" s="433"/>
      <c r="KSU105" s="433"/>
      <c r="KSV105" s="433"/>
      <c r="KSW105" s="433"/>
      <c r="KSX105" s="433"/>
      <c r="KSY105" s="433"/>
      <c r="KSZ105" s="433"/>
      <c r="KTA105" s="433"/>
      <c r="KTB105" s="433"/>
      <c r="KTC105" s="433"/>
      <c r="KTD105" s="433"/>
      <c r="KTE105" s="433"/>
      <c r="KTF105" s="433"/>
      <c r="KTG105" s="433"/>
      <c r="KTH105" s="433"/>
      <c r="KTI105" s="433"/>
      <c r="KTJ105" s="433"/>
      <c r="KTK105" s="433"/>
      <c r="KTL105" s="433"/>
      <c r="KTM105" s="433"/>
      <c r="KTN105" s="433"/>
      <c r="KTO105" s="433"/>
      <c r="KTP105" s="433"/>
      <c r="KTQ105" s="433"/>
      <c r="KTR105" s="433"/>
      <c r="KTS105" s="433"/>
      <c r="KTT105" s="433"/>
      <c r="KTU105" s="433"/>
      <c r="KTV105" s="433"/>
      <c r="KTW105" s="433"/>
      <c r="KTX105" s="433"/>
      <c r="KTY105" s="433"/>
      <c r="KTZ105" s="433"/>
      <c r="KUA105" s="433"/>
      <c r="KUB105" s="433"/>
      <c r="KUC105" s="433"/>
      <c r="KUD105" s="433"/>
      <c r="KUE105" s="433"/>
      <c r="KUF105" s="433"/>
      <c r="KUG105" s="433"/>
      <c r="KUH105" s="433"/>
      <c r="KUI105" s="433"/>
      <c r="KUJ105" s="433"/>
      <c r="KUK105" s="433"/>
      <c r="KUL105" s="433"/>
      <c r="KUM105" s="433"/>
      <c r="KUN105" s="433"/>
      <c r="KUO105" s="433"/>
      <c r="KUP105" s="433"/>
      <c r="KUQ105" s="433"/>
      <c r="KUR105" s="433"/>
      <c r="KUS105" s="433"/>
      <c r="KUT105" s="433"/>
      <c r="KUU105" s="433"/>
      <c r="KUV105" s="433"/>
      <c r="KUW105" s="433"/>
      <c r="KUX105" s="433"/>
      <c r="KUY105" s="433"/>
      <c r="KUZ105" s="433"/>
      <c r="KVA105" s="433"/>
      <c r="KVB105" s="433"/>
      <c r="KVC105" s="433"/>
      <c r="KVD105" s="433"/>
      <c r="KVE105" s="433"/>
      <c r="KVF105" s="433"/>
      <c r="KVG105" s="433"/>
      <c r="KVH105" s="433"/>
      <c r="KVI105" s="433"/>
      <c r="KVJ105" s="433"/>
      <c r="KVK105" s="433"/>
      <c r="KVL105" s="433"/>
      <c r="KVM105" s="433"/>
      <c r="KVN105" s="433"/>
      <c r="KVO105" s="433"/>
      <c r="KVP105" s="433"/>
      <c r="KVQ105" s="433"/>
      <c r="KVR105" s="433"/>
      <c r="KVS105" s="433"/>
      <c r="KVT105" s="433"/>
      <c r="KVU105" s="433"/>
      <c r="KVV105" s="433"/>
      <c r="KVW105" s="433"/>
      <c r="KVX105" s="433"/>
      <c r="KVY105" s="433"/>
      <c r="KVZ105" s="433"/>
      <c r="KWA105" s="433"/>
      <c r="KWB105" s="433"/>
      <c r="KWC105" s="433"/>
      <c r="KWD105" s="433"/>
      <c r="KWE105" s="433"/>
      <c r="KWF105" s="433"/>
      <c r="KWG105" s="433"/>
      <c r="KWH105" s="433"/>
      <c r="KWI105" s="433"/>
      <c r="KWJ105" s="433"/>
      <c r="KWK105" s="433"/>
      <c r="KWL105" s="433"/>
      <c r="KWM105" s="433"/>
      <c r="KWN105" s="433"/>
      <c r="KWO105" s="433"/>
      <c r="KWP105" s="433"/>
      <c r="KWQ105" s="433"/>
      <c r="KWR105" s="433"/>
      <c r="KWS105" s="433"/>
      <c r="KWT105" s="433"/>
      <c r="KWU105" s="433"/>
      <c r="KWV105" s="433"/>
      <c r="KWW105" s="433"/>
      <c r="KWX105" s="433"/>
      <c r="KWY105" s="433"/>
      <c r="KWZ105" s="433"/>
      <c r="KXA105" s="433"/>
      <c r="KXB105" s="433"/>
      <c r="KXC105" s="433"/>
      <c r="KXD105" s="433"/>
      <c r="KXE105" s="433"/>
      <c r="KXF105" s="433"/>
      <c r="KXG105" s="433"/>
      <c r="KXH105" s="433"/>
      <c r="KXI105" s="433"/>
      <c r="KXJ105" s="433"/>
      <c r="KXK105" s="433"/>
      <c r="KXL105" s="433"/>
      <c r="KXM105" s="433"/>
      <c r="KXN105" s="433"/>
      <c r="KXO105" s="433"/>
      <c r="KXP105" s="433"/>
      <c r="KXQ105" s="433"/>
      <c r="KXR105" s="433"/>
      <c r="KXS105" s="433"/>
      <c r="KXT105" s="433"/>
      <c r="KXU105" s="433"/>
      <c r="KXV105" s="433"/>
      <c r="KXW105" s="433"/>
      <c r="KXX105" s="433"/>
      <c r="KXY105" s="433"/>
      <c r="KXZ105" s="433"/>
      <c r="KYA105" s="433"/>
      <c r="KYB105" s="433"/>
      <c r="KYC105" s="433"/>
      <c r="KYD105" s="433"/>
      <c r="KYE105" s="433"/>
      <c r="KYF105" s="433"/>
      <c r="KYG105" s="433"/>
      <c r="KYH105" s="433"/>
      <c r="KYI105" s="433"/>
      <c r="KYJ105" s="433"/>
      <c r="KYK105" s="433"/>
      <c r="KYL105" s="433"/>
      <c r="KYM105" s="433"/>
      <c r="KYN105" s="433"/>
      <c r="KYO105" s="433"/>
      <c r="KYP105" s="433"/>
      <c r="KYQ105" s="433"/>
      <c r="KYR105" s="433"/>
      <c r="KYS105" s="433"/>
      <c r="KYT105" s="433"/>
      <c r="KYU105" s="433"/>
      <c r="KYV105" s="433"/>
      <c r="KYW105" s="433"/>
      <c r="KYX105" s="433"/>
      <c r="KYY105" s="433"/>
      <c r="KYZ105" s="433"/>
      <c r="KZA105" s="433"/>
      <c r="KZB105" s="433"/>
      <c r="KZC105" s="433"/>
      <c r="KZD105" s="433"/>
      <c r="KZE105" s="433"/>
      <c r="KZF105" s="433"/>
      <c r="KZG105" s="433"/>
      <c r="KZH105" s="433"/>
      <c r="KZI105" s="433"/>
      <c r="KZJ105" s="433"/>
      <c r="KZK105" s="433"/>
      <c r="KZL105" s="433"/>
      <c r="KZM105" s="433"/>
      <c r="KZN105" s="433"/>
      <c r="KZO105" s="433"/>
      <c r="KZP105" s="433"/>
      <c r="KZQ105" s="433"/>
      <c r="KZR105" s="433"/>
      <c r="KZS105" s="433"/>
      <c r="KZT105" s="433"/>
      <c r="KZU105" s="433"/>
      <c r="KZV105" s="433"/>
      <c r="KZW105" s="433"/>
      <c r="KZX105" s="433"/>
      <c r="KZY105" s="433"/>
      <c r="KZZ105" s="433"/>
      <c r="LAA105" s="433"/>
      <c r="LAB105" s="433"/>
      <c r="LAC105" s="433"/>
      <c r="LAD105" s="433"/>
      <c r="LAE105" s="433"/>
      <c r="LAF105" s="433"/>
      <c r="LAG105" s="433"/>
      <c r="LAH105" s="433"/>
      <c r="LAI105" s="433"/>
      <c r="LAJ105" s="433"/>
      <c r="LAK105" s="433"/>
      <c r="LAL105" s="433"/>
      <c r="LAM105" s="433"/>
      <c r="LAN105" s="433"/>
      <c r="LAO105" s="433"/>
      <c r="LAP105" s="433"/>
      <c r="LAQ105" s="433"/>
      <c r="LAR105" s="433"/>
      <c r="LAS105" s="433"/>
      <c r="LAT105" s="433"/>
      <c r="LAU105" s="433"/>
      <c r="LAV105" s="433"/>
      <c r="LAW105" s="433"/>
      <c r="LAX105" s="433"/>
      <c r="LAY105" s="433"/>
      <c r="LAZ105" s="433"/>
      <c r="LBA105" s="433"/>
      <c r="LBB105" s="433"/>
      <c r="LBC105" s="433"/>
      <c r="LBD105" s="433"/>
      <c r="LBE105" s="433"/>
      <c r="LBF105" s="433"/>
      <c r="LBG105" s="433"/>
      <c r="LBH105" s="433"/>
      <c r="LBI105" s="433"/>
      <c r="LBJ105" s="433"/>
      <c r="LBK105" s="433"/>
      <c r="LBL105" s="433"/>
      <c r="LBM105" s="433"/>
      <c r="LBN105" s="433"/>
      <c r="LBO105" s="433"/>
      <c r="LBP105" s="433"/>
      <c r="LBQ105" s="433"/>
      <c r="LBR105" s="433"/>
      <c r="LBS105" s="433"/>
      <c r="LBT105" s="433"/>
      <c r="LBU105" s="433"/>
      <c r="LBV105" s="433"/>
      <c r="LBW105" s="433"/>
      <c r="LBX105" s="433"/>
      <c r="LBY105" s="433"/>
      <c r="LBZ105" s="433"/>
      <c r="LCA105" s="433"/>
      <c r="LCB105" s="433"/>
      <c r="LCC105" s="433"/>
      <c r="LCD105" s="433"/>
      <c r="LCE105" s="433"/>
      <c r="LCF105" s="433"/>
      <c r="LCG105" s="433"/>
      <c r="LCH105" s="433"/>
      <c r="LCI105" s="433"/>
      <c r="LCJ105" s="433"/>
      <c r="LCK105" s="433"/>
      <c r="LCL105" s="433"/>
      <c r="LCM105" s="433"/>
      <c r="LCN105" s="433"/>
      <c r="LCO105" s="433"/>
      <c r="LCP105" s="433"/>
      <c r="LCQ105" s="433"/>
      <c r="LCR105" s="433"/>
      <c r="LCS105" s="433"/>
      <c r="LCT105" s="433"/>
      <c r="LCU105" s="433"/>
      <c r="LCV105" s="433"/>
      <c r="LCW105" s="433"/>
      <c r="LCX105" s="433"/>
      <c r="LCY105" s="433"/>
      <c r="LCZ105" s="433"/>
      <c r="LDA105" s="433"/>
      <c r="LDB105" s="433"/>
      <c r="LDC105" s="433"/>
      <c r="LDD105" s="433"/>
      <c r="LDE105" s="433"/>
      <c r="LDF105" s="433"/>
      <c r="LDG105" s="433"/>
      <c r="LDH105" s="433"/>
      <c r="LDI105" s="433"/>
      <c r="LDJ105" s="433"/>
      <c r="LDK105" s="433"/>
      <c r="LDL105" s="433"/>
      <c r="LDM105" s="433"/>
      <c r="LDN105" s="433"/>
      <c r="LDO105" s="433"/>
      <c r="LDP105" s="433"/>
      <c r="LDQ105" s="433"/>
      <c r="LDR105" s="433"/>
      <c r="LDS105" s="433"/>
      <c r="LDT105" s="433"/>
      <c r="LDU105" s="433"/>
      <c r="LDV105" s="433"/>
      <c r="LDW105" s="433"/>
      <c r="LDX105" s="433"/>
      <c r="LDY105" s="433"/>
      <c r="LDZ105" s="433"/>
      <c r="LEA105" s="433"/>
      <c r="LEB105" s="433"/>
      <c r="LEC105" s="433"/>
      <c r="LED105" s="433"/>
      <c r="LEE105" s="433"/>
      <c r="LEF105" s="433"/>
      <c r="LEG105" s="433"/>
      <c r="LEH105" s="433"/>
      <c r="LEI105" s="433"/>
      <c r="LEJ105" s="433"/>
      <c r="LEK105" s="433"/>
      <c r="LEL105" s="433"/>
      <c r="LEM105" s="433"/>
      <c r="LEN105" s="433"/>
      <c r="LEO105" s="433"/>
      <c r="LEP105" s="433"/>
      <c r="LEQ105" s="433"/>
      <c r="LER105" s="433"/>
      <c r="LES105" s="433"/>
      <c r="LET105" s="433"/>
      <c r="LEU105" s="433"/>
      <c r="LEV105" s="433"/>
      <c r="LEW105" s="433"/>
      <c r="LEX105" s="433"/>
      <c r="LEY105" s="433"/>
      <c r="LEZ105" s="433"/>
      <c r="LFA105" s="433"/>
      <c r="LFB105" s="433"/>
      <c r="LFC105" s="433"/>
      <c r="LFD105" s="433"/>
      <c r="LFE105" s="433"/>
      <c r="LFF105" s="433"/>
      <c r="LFG105" s="433"/>
      <c r="LFH105" s="433"/>
      <c r="LFI105" s="433"/>
      <c r="LFJ105" s="433"/>
      <c r="LFK105" s="433"/>
      <c r="LFL105" s="433"/>
      <c r="LFM105" s="433"/>
      <c r="LFN105" s="433"/>
      <c r="LFO105" s="433"/>
      <c r="LFP105" s="433"/>
      <c r="LFQ105" s="433"/>
      <c r="LFR105" s="433"/>
      <c r="LFS105" s="433"/>
      <c r="LFT105" s="433"/>
      <c r="LFU105" s="433"/>
      <c r="LFV105" s="433"/>
      <c r="LFW105" s="433"/>
      <c r="LFX105" s="433"/>
      <c r="LFY105" s="433"/>
      <c r="LFZ105" s="433"/>
      <c r="LGA105" s="433"/>
      <c r="LGB105" s="433"/>
      <c r="LGC105" s="433"/>
      <c r="LGD105" s="433"/>
      <c r="LGE105" s="433"/>
      <c r="LGF105" s="433"/>
      <c r="LGG105" s="433"/>
      <c r="LGH105" s="433"/>
      <c r="LGI105" s="433"/>
      <c r="LGJ105" s="433"/>
      <c r="LGK105" s="433"/>
      <c r="LGL105" s="433"/>
      <c r="LGM105" s="433"/>
      <c r="LGN105" s="433"/>
      <c r="LGO105" s="433"/>
      <c r="LGP105" s="433"/>
      <c r="LGQ105" s="433"/>
      <c r="LGR105" s="433"/>
      <c r="LGS105" s="433"/>
      <c r="LGT105" s="433"/>
      <c r="LGU105" s="433"/>
      <c r="LGV105" s="433"/>
      <c r="LGW105" s="433"/>
      <c r="LGX105" s="433"/>
      <c r="LGY105" s="433"/>
      <c r="LGZ105" s="433"/>
      <c r="LHA105" s="433"/>
      <c r="LHB105" s="433"/>
      <c r="LHC105" s="433"/>
      <c r="LHD105" s="433"/>
      <c r="LHE105" s="433"/>
      <c r="LHF105" s="433"/>
      <c r="LHG105" s="433"/>
      <c r="LHH105" s="433"/>
      <c r="LHI105" s="433"/>
      <c r="LHJ105" s="433"/>
      <c r="LHK105" s="433"/>
      <c r="LHL105" s="433"/>
      <c r="LHM105" s="433"/>
      <c r="LHN105" s="433"/>
      <c r="LHO105" s="433"/>
      <c r="LHP105" s="433"/>
      <c r="LHQ105" s="433"/>
      <c r="LHR105" s="433"/>
      <c r="LHS105" s="433"/>
      <c r="LHT105" s="433"/>
      <c r="LHU105" s="433"/>
      <c r="LHV105" s="433"/>
      <c r="LHW105" s="433"/>
      <c r="LHX105" s="433"/>
      <c r="LHY105" s="433"/>
      <c r="LHZ105" s="433"/>
      <c r="LIA105" s="433"/>
      <c r="LIB105" s="433"/>
      <c r="LIC105" s="433"/>
      <c r="LID105" s="433"/>
      <c r="LIE105" s="433"/>
      <c r="LIF105" s="433"/>
      <c r="LIG105" s="433"/>
      <c r="LIH105" s="433"/>
      <c r="LII105" s="433"/>
      <c r="LIJ105" s="433"/>
      <c r="LIK105" s="433"/>
      <c r="LIL105" s="433"/>
      <c r="LIM105" s="433"/>
      <c r="LIN105" s="433"/>
      <c r="LIO105" s="433"/>
      <c r="LIP105" s="433"/>
      <c r="LIQ105" s="433"/>
      <c r="LIR105" s="433"/>
      <c r="LIS105" s="433"/>
      <c r="LIT105" s="433"/>
      <c r="LIU105" s="433"/>
      <c r="LIV105" s="433"/>
      <c r="LIW105" s="433"/>
      <c r="LIX105" s="433"/>
      <c r="LIY105" s="433"/>
      <c r="LIZ105" s="433"/>
      <c r="LJA105" s="433"/>
      <c r="LJB105" s="433"/>
      <c r="LJC105" s="433"/>
      <c r="LJD105" s="433"/>
      <c r="LJE105" s="433"/>
      <c r="LJF105" s="433"/>
      <c r="LJG105" s="433"/>
      <c r="LJH105" s="433"/>
      <c r="LJI105" s="433"/>
      <c r="LJJ105" s="433"/>
      <c r="LJK105" s="433"/>
      <c r="LJL105" s="433"/>
      <c r="LJM105" s="433"/>
      <c r="LJN105" s="433"/>
      <c r="LJO105" s="433"/>
      <c r="LJP105" s="433"/>
      <c r="LJQ105" s="433"/>
      <c r="LJR105" s="433"/>
      <c r="LJS105" s="433"/>
      <c r="LJT105" s="433"/>
      <c r="LJU105" s="433"/>
      <c r="LJV105" s="433"/>
      <c r="LJW105" s="433"/>
      <c r="LJX105" s="433"/>
      <c r="LJY105" s="433"/>
      <c r="LJZ105" s="433"/>
      <c r="LKA105" s="433"/>
      <c r="LKB105" s="433"/>
      <c r="LKC105" s="433"/>
      <c r="LKD105" s="433"/>
      <c r="LKE105" s="433"/>
      <c r="LKF105" s="433"/>
      <c r="LKG105" s="433"/>
      <c r="LKH105" s="433"/>
      <c r="LKI105" s="433"/>
      <c r="LKJ105" s="433"/>
      <c r="LKK105" s="433"/>
      <c r="LKL105" s="433"/>
      <c r="LKM105" s="433"/>
      <c r="LKN105" s="433"/>
      <c r="LKO105" s="433"/>
      <c r="LKP105" s="433"/>
      <c r="LKQ105" s="433"/>
      <c r="LKR105" s="433"/>
      <c r="LKS105" s="433"/>
      <c r="LKT105" s="433"/>
      <c r="LKU105" s="433"/>
      <c r="LKV105" s="433"/>
      <c r="LKW105" s="433"/>
      <c r="LKX105" s="433"/>
      <c r="LKY105" s="433"/>
      <c r="LKZ105" s="433"/>
      <c r="LLA105" s="433"/>
      <c r="LLB105" s="433"/>
      <c r="LLC105" s="433"/>
      <c r="LLD105" s="433"/>
      <c r="LLE105" s="433"/>
      <c r="LLF105" s="433"/>
      <c r="LLG105" s="433"/>
      <c r="LLH105" s="433"/>
      <c r="LLI105" s="433"/>
      <c r="LLJ105" s="433"/>
      <c r="LLK105" s="433"/>
      <c r="LLL105" s="433"/>
      <c r="LLM105" s="433"/>
      <c r="LLN105" s="433"/>
      <c r="LLO105" s="433"/>
      <c r="LLP105" s="433"/>
      <c r="LLQ105" s="433"/>
      <c r="LLR105" s="433"/>
      <c r="LLS105" s="433"/>
      <c r="LLT105" s="433"/>
      <c r="LLU105" s="433"/>
      <c r="LLV105" s="433"/>
      <c r="LLW105" s="433"/>
      <c r="LLX105" s="433"/>
      <c r="LLY105" s="433"/>
      <c r="LLZ105" s="433"/>
      <c r="LMA105" s="433"/>
      <c r="LMB105" s="433"/>
      <c r="LMC105" s="433"/>
      <c r="LMD105" s="433"/>
      <c r="LME105" s="433"/>
      <c r="LMF105" s="433"/>
      <c r="LMG105" s="433"/>
      <c r="LMH105" s="433"/>
      <c r="LMI105" s="433"/>
      <c r="LMJ105" s="433"/>
      <c r="LMK105" s="433"/>
      <c r="LML105" s="433"/>
      <c r="LMM105" s="433"/>
      <c r="LMN105" s="433"/>
      <c r="LMO105" s="433"/>
      <c r="LMP105" s="433"/>
      <c r="LMQ105" s="433"/>
      <c r="LMR105" s="433"/>
      <c r="LMS105" s="433"/>
      <c r="LMT105" s="433"/>
      <c r="LMU105" s="433"/>
      <c r="LMV105" s="433"/>
      <c r="LMW105" s="433"/>
      <c r="LMX105" s="433"/>
      <c r="LMY105" s="433"/>
      <c r="LMZ105" s="433"/>
      <c r="LNA105" s="433"/>
      <c r="LNB105" s="433"/>
      <c r="LNC105" s="433"/>
      <c r="LND105" s="433"/>
      <c r="LNE105" s="433"/>
      <c r="LNF105" s="433"/>
      <c r="LNG105" s="433"/>
      <c r="LNH105" s="433"/>
      <c r="LNI105" s="433"/>
      <c r="LNJ105" s="433"/>
      <c r="LNK105" s="433"/>
      <c r="LNL105" s="433"/>
      <c r="LNM105" s="433"/>
      <c r="LNN105" s="433"/>
      <c r="LNO105" s="433"/>
      <c r="LNP105" s="433"/>
      <c r="LNQ105" s="433"/>
      <c r="LNR105" s="433"/>
      <c r="LNS105" s="433"/>
      <c r="LNT105" s="433"/>
      <c r="LNU105" s="433"/>
      <c r="LNV105" s="433"/>
      <c r="LNW105" s="433"/>
      <c r="LNX105" s="433"/>
      <c r="LNY105" s="433"/>
      <c r="LNZ105" s="433"/>
      <c r="LOA105" s="433"/>
      <c r="LOB105" s="433"/>
      <c r="LOC105" s="433"/>
      <c r="LOD105" s="433"/>
      <c r="LOE105" s="433"/>
      <c r="LOF105" s="433"/>
      <c r="LOG105" s="433"/>
      <c r="LOH105" s="433"/>
      <c r="LOI105" s="433"/>
      <c r="LOJ105" s="433"/>
      <c r="LOK105" s="433"/>
      <c r="LOL105" s="433"/>
      <c r="LOM105" s="433"/>
      <c r="LON105" s="433"/>
      <c r="LOO105" s="433"/>
      <c r="LOP105" s="433"/>
      <c r="LOQ105" s="433"/>
      <c r="LOR105" s="433"/>
      <c r="LOS105" s="433"/>
      <c r="LOT105" s="433"/>
      <c r="LOU105" s="433"/>
      <c r="LOV105" s="433"/>
      <c r="LOW105" s="433"/>
      <c r="LOX105" s="433"/>
      <c r="LOY105" s="433"/>
      <c r="LOZ105" s="433"/>
      <c r="LPA105" s="433"/>
      <c r="LPB105" s="433"/>
      <c r="LPC105" s="433"/>
      <c r="LPD105" s="433"/>
      <c r="LPE105" s="433"/>
      <c r="LPF105" s="433"/>
      <c r="LPG105" s="433"/>
      <c r="LPH105" s="433"/>
      <c r="LPI105" s="433"/>
      <c r="LPJ105" s="433"/>
      <c r="LPK105" s="433"/>
      <c r="LPL105" s="433"/>
      <c r="LPM105" s="433"/>
      <c r="LPN105" s="433"/>
      <c r="LPO105" s="433"/>
      <c r="LPP105" s="433"/>
      <c r="LPQ105" s="433"/>
      <c r="LPR105" s="433"/>
      <c r="LPS105" s="433"/>
      <c r="LPT105" s="433"/>
      <c r="LPU105" s="433"/>
      <c r="LPV105" s="433"/>
      <c r="LPW105" s="433"/>
      <c r="LPX105" s="433"/>
      <c r="LPY105" s="433"/>
      <c r="LPZ105" s="433"/>
      <c r="LQA105" s="433"/>
      <c r="LQB105" s="433"/>
      <c r="LQC105" s="433"/>
      <c r="LQD105" s="433"/>
      <c r="LQE105" s="433"/>
      <c r="LQF105" s="433"/>
      <c r="LQG105" s="433"/>
      <c r="LQH105" s="433"/>
      <c r="LQI105" s="433"/>
      <c r="LQJ105" s="433"/>
      <c r="LQK105" s="433"/>
      <c r="LQL105" s="433"/>
      <c r="LQM105" s="433"/>
      <c r="LQN105" s="433"/>
      <c r="LQO105" s="433"/>
      <c r="LQP105" s="433"/>
      <c r="LQQ105" s="433"/>
      <c r="LQR105" s="433"/>
      <c r="LQS105" s="433"/>
      <c r="LQT105" s="433"/>
      <c r="LQU105" s="433"/>
      <c r="LQV105" s="433"/>
      <c r="LQW105" s="433"/>
      <c r="LQX105" s="433"/>
      <c r="LQY105" s="433"/>
      <c r="LQZ105" s="433"/>
      <c r="LRA105" s="433"/>
      <c r="LRB105" s="433"/>
      <c r="LRC105" s="433"/>
      <c r="LRD105" s="433"/>
      <c r="LRE105" s="433"/>
      <c r="LRF105" s="433"/>
      <c r="LRG105" s="433"/>
      <c r="LRH105" s="433"/>
      <c r="LRI105" s="433"/>
      <c r="LRJ105" s="433"/>
      <c r="LRK105" s="433"/>
      <c r="LRL105" s="433"/>
      <c r="LRM105" s="433"/>
      <c r="LRN105" s="433"/>
      <c r="LRO105" s="433"/>
      <c r="LRP105" s="433"/>
      <c r="LRQ105" s="433"/>
      <c r="LRR105" s="433"/>
      <c r="LRS105" s="433"/>
      <c r="LRT105" s="433"/>
      <c r="LRU105" s="433"/>
      <c r="LRV105" s="433"/>
      <c r="LRW105" s="433"/>
      <c r="LRX105" s="433"/>
      <c r="LRY105" s="433"/>
      <c r="LRZ105" s="433"/>
      <c r="LSA105" s="433"/>
      <c r="LSB105" s="433"/>
      <c r="LSC105" s="433"/>
      <c r="LSD105" s="433"/>
      <c r="LSE105" s="433"/>
      <c r="LSF105" s="433"/>
      <c r="LSG105" s="433"/>
      <c r="LSH105" s="433"/>
      <c r="LSI105" s="433"/>
      <c r="LSJ105" s="433"/>
      <c r="LSK105" s="433"/>
      <c r="LSL105" s="433"/>
      <c r="LSM105" s="433"/>
      <c r="LSN105" s="433"/>
      <c r="LSO105" s="433"/>
      <c r="LSP105" s="433"/>
      <c r="LSQ105" s="433"/>
      <c r="LSR105" s="433"/>
      <c r="LSS105" s="433"/>
      <c r="LST105" s="433"/>
      <c r="LSU105" s="433"/>
      <c r="LSV105" s="433"/>
      <c r="LSW105" s="433"/>
      <c r="LSX105" s="433"/>
      <c r="LSY105" s="433"/>
      <c r="LSZ105" s="433"/>
      <c r="LTA105" s="433"/>
      <c r="LTB105" s="433"/>
      <c r="LTC105" s="433"/>
      <c r="LTD105" s="433"/>
      <c r="LTE105" s="433"/>
      <c r="LTF105" s="433"/>
      <c r="LTG105" s="433"/>
      <c r="LTH105" s="433"/>
      <c r="LTI105" s="433"/>
      <c r="LTJ105" s="433"/>
      <c r="LTK105" s="433"/>
      <c r="LTL105" s="433"/>
      <c r="LTM105" s="433"/>
      <c r="LTN105" s="433"/>
      <c r="LTO105" s="433"/>
      <c r="LTP105" s="433"/>
      <c r="LTQ105" s="433"/>
      <c r="LTR105" s="433"/>
      <c r="LTS105" s="433"/>
      <c r="LTT105" s="433"/>
      <c r="LTU105" s="433"/>
      <c r="LTV105" s="433"/>
      <c r="LTW105" s="433"/>
      <c r="LTX105" s="433"/>
      <c r="LTY105" s="433"/>
      <c r="LTZ105" s="433"/>
      <c r="LUA105" s="433"/>
      <c r="LUB105" s="433"/>
      <c r="LUC105" s="433"/>
      <c r="LUD105" s="433"/>
      <c r="LUE105" s="433"/>
      <c r="LUF105" s="433"/>
      <c r="LUG105" s="433"/>
      <c r="LUH105" s="433"/>
      <c r="LUI105" s="433"/>
      <c r="LUJ105" s="433"/>
      <c r="LUK105" s="433"/>
      <c r="LUL105" s="433"/>
      <c r="LUM105" s="433"/>
      <c r="LUN105" s="433"/>
      <c r="LUO105" s="433"/>
      <c r="LUP105" s="433"/>
      <c r="LUQ105" s="433"/>
      <c r="LUR105" s="433"/>
      <c r="LUS105" s="433"/>
      <c r="LUT105" s="433"/>
      <c r="LUU105" s="433"/>
      <c r="LUV105" s="433"/>
      <c r="LUW105" s="433"/>
      <c r="LUX105" s="433"/>
      <c r="LUY105" s="433"/>
      <c r="LUZ105" s="433"/>
      <c r="LVA105" s="433"/>
      <c r="LVB105" s="433"/>
      <c r="LVC105" s="433"/>
      <c r="LVD105" s="433"/>
      <c r="LVE105" s="433"/>
      <c r="LVF105" s="433"/>
      <c r="LVG105" s="433"/>
      <c r="LVH105" s="433"/>
      <c r="LVI105" s="433"/>
      <c r="LVJ105" s="433"/>
      <c r="LVK105" s="433"/>
      <c r="LVL105" s="433"/>
      <c r="LVM105" s="433"/>
      <c r="LVN105" s="433"/>
      <c r="LVO105" s="433"/>
      <c r="LVP105" s="433"/>
      <c r="LVQ105" s="433"/>
      <c r="LVR105" s="433"/>
      <c r="LVS105" s="433"/>
      <c r="LVT105" s="433"/>
      <c r="LVU105" s="433"/>
      <c r="LVV105" s="433"/>
      <c r="LVW105" s="433"/>
      <c r="LVX105" s="433"/>
      <c r="LVY105" s="433"/>
      <c r="LVZ105" s="433"/>
      <c r="LWA105" s="433"/>
      <c r="LWB105" s="433"/>
      <c r="LWC105" s="433"/>
      <c r="LWD105" s="433"/>
      <c r="LWE105" s="433"/>
      <c r="LWF105" s="433"/>
      <c r="LWG105" s="433"/>
      <c r="LWH105" s="433"/>
      <c r="LWI105" s="433"/>
      <c r="LWJ105" s="433"/>
      <c r="LWK105" s="433"/>
      <c r="LWL105" s="433"/>
      <c r="LWM105" s="433"/>
      <c r="LWN105" s="433"/>
      <c r="LWO105" s="433"/>
      <c r="LWP105" s="433"/>
      <c r="LWQ105" s="433"/>
      <c r="LWR105" s="433"/>
      <c r="LWS105" s="433"/>
      <c r="LWT105" s="433"/>
      <c r="LWU105" s="433"/>
      <c r="LWV105" s="433"/>
      <c r="LWW105" s="433"/>
      <c r="LWX105" s="433"/>
      <c r="LWY105" s="433"/>
      <c r="LWZ105" s="433"/>
      <c r="LXA105" s="433"/>
      <c r="LXB105" s="433"/>
      <c r="LXC105" s="433"/>
      <c r="LXD105" s="433"/>
      <c r="LXE105" s="433"/>
      <c r="LXF105" s="433"/>
      <c r="LXG105" s="433"/>
      <c r="LXH105" s="433"/>
      <c r="LXI105" s="433"/>
      <c r="LXJ105" s="433"/>
      <c r="LXK105" s="433"/>
      <c r="LXL105" s="433"/>
      <c r="LXM105" s="433"/>
      <c r="LXN105" s="433"/>
      <c r="LXO105" s="433"/>
      <c r="LXP105" s="433"/>
      <c r="LXQ105" s="433"/>
      <c r="LXR105" s="433"/>
      <c r="LXS105" s="433"/>
      <c r="LXT105" s="433"/>
      <c r="LXU105" s="433"/>
      <c r="LXV105" s="433"/>
      <c r="LXW105" s="433"/>
      <c r="LXX105" s="433"/>
      <c r="LXY105" s="433"/>
      <c r="LXZ105" s="433"/>
      <c r="LYA105" s="433"/>
      <c r="LYB105" s="433"/>
      <c r="LYC105" s="433"/>
      <c r="LYD105" s="433"/>
      <c r="LYE105" s="433"/>
      <c r="LYF105" s="433"/>
      <c r="LYG105" s="433"/>
      <c r="LYH105" s="433"/>
      <c r="LYI105" s="433"/>
      <c r="LYJ105" s="433"/>
      <c r="LYK105" s="433"/>
      <c r="LYL105" s="433"/>
      <c r="LYM105" s="433"/>
      <c r="LYN105" s="433"/>
      <c r="LYO105" s="433"/>
      <c r="LYP105" s="433"/>
      <c r="LYQ105" s="433"/>
      <c r="LYR105" s="433"/>
      <c r="LYS105" s="433"/>
      <c r="LYT105" s="433"/>
      <c r="LYU105" s="433"/>
      <c r="LYV105" s="433"/>
      <c r="LYW105" s="433"/>
      <c r="LYX105" s="433"/>
      <c r="LYY105" s="433"/>
      <c r="LYZ105" s="433"/>
      <c r="LZA105" s="433"/>
      <c r="LZB105" s="433"/>
      <c r="LZC105" s="433"/>
      <c r="LZD105" s="433"/>
      <c r="LZE105" s="433"/>
      <c r="LZF105" s="433"/>
      <c r="LZG105" s="433"/>
      <c r="LZH105" s="433"/>
      <c r="LZI105" s="433"/>
      <c r="LZJ105" s="433"/>
      <c r="LZK105" s="433"/>
      <c r="LZL105" s="433"/>
      <c r="LZM105" s="433"/>
      <c r="LZN105" s="433"/>
      <c r="LZO105" s="433"/>
      <c r="LZP105" s="433"/>
      <c r="LZQ105" s="433"/>
      <c r="LZR105" s="433"/>
      <c r="LZS105" s="433"/>
      <c r="LZT105" s="433"/>
      <c r="LZU105" s="433"/>
      <c r="LZV105" s="433"/>
      <c r="LZW105" s="433"/>
      <c r="LZX105" s="433"/>
      <c r="LZY105" s="433"/>
      <c r="LZZ105" s="433"/>
      <c r="MAA105" s="433"/>
      <c r="MAB105" s="433"/>
      <c r="MAC105" s="433"/>
      <c r="MAD105" s="433"/>
      <c r="MAE105" s="433"/>
      <c r="MAF105" s="433"/>
      <c r="MAG105" s="433"/>
      <c r="MAH105" s="433"/>
      <c r="MAI105" s="433"/>
      <c r="MAJ105" s="433"/>
      <c r="MAK105" s="433"/>
      <c r="MAL105" s="433"/>
      <c r="MAM105" s="433"/>
      <c r="MAN105" s="433"/>
      <c r="MAO105" s="433"/>
      <c r="MAP105" s="433"/>
      <c r="MAQ105" s="433"/>
      <c r="MAR105" s="433"/>
      <c r="MAS105" s="433"/>
      <c r="MAT105" s="433"/>
      <c r="MAU105" s="433"/>
      <c r="MAV105" s="433"/>
      <c r="MAW105" s="433"/>
      <c r="MAX105" s="433"/>
      <c r="MAY105" s="433"/>
      <c r="MAZ105" s="433"/>
      <c r="MBA105" s="433"/>
      <c r="MBB105" s="433"/>
      <c r="MBC105" s="433"/>
      <c r="MBD105" s="433"/>
      <c r="MBE105" s="433"/>
      <c r="MBF105" s="433"/>
      <c r="MBG105" s="433"/>
      <c r="MBH105" s="433"/>
      <c r="MBI105" s="433"/>
      <c r="MBJ105" s="433"/>
      <c r="MBK105" s="433"/>
      <c r="MBL105" s="433"/>
      <c r="MBM105" s="433"/>
      <c r="MBN105" s="433"/>
      <c r="MBO105" s="433"/>
      <c r="MBP105" s="433"/>
      <c r="MBQ105" s="433"/>
      <c r="MBR105" s="433"/>
      <c r="MBS105" s="433"/>
      <c r="MBT105" s="433"/>
      <c r="MBU105" s="433"/>
      <c r="MBV105" s="433"/>
      <c r="MBW105" s="433"/>
      <c r="MBX105" s="433"/>
      <c r="MBY105" s="433"/>
      <c r="MBZ105" s="433"/>
      <c r="MCA105" s="433"/>
      <c r="MCB105" s="433"/>
      <c r="MCC105" s="433"/>
      <c r="MCD105" s="433"/>
      <c r="MCE105" s="433"/>
      <c r="MCF105" s="433"/>
      <c r="MCG105" s="433"/>
      <c r="MCH105" s="433"/>
      <c r="MCI105" s="433"/>
      <c r="MCJ105" s="433"/>
      <c r="MCK105" s="433"/>
      <c r="MCL105" s="433"/>
      <c r="MCM105" s="433"/>
      <c r="MCN105" s="433"/>
      <c r="MCO105" s="433"/>
      <c r="MCP105" s="433"/>
      <c r="MCQ105" s="433"/>
      <c r="MCR105" s="433"/>
      <c r="MCS105" s="433"/>
      <c r="MCT105" s="433"/>
      <c r="MCU105" s="433"/>
      <c r="MCV105" s="433"/>
      <c r="MCW105" s="433"/>
      <c r="MCX105" s="433"/>
      <c r="MCY105" s="433"/>
      <c r="MCZ105" s="433"/>
      <c r="MDA105" s="433"/>
      <c r="MDB105" s="433"/>
      <c r="MDC105" s="433"/>
      <c r="MDD105" s="433"/>
      <c r="MDE105" s="433"/>
      <c r="MDF105" s="433"/>
      <c r="MDG105" s="433"/>
      <c r="MDH105" s="433"/>
      <c r="MDI105" s="433"/>
      <c r="MDJ105" s="433"/>
      <c r="MDK105" s="433"/>
      <c r="MDL105" s="433"/>
      <c r="MDM105" s="433"/>
      <c r="MDN105" s="433"/>
      <c r="MDO105" s="433"/>
      <c r="MDP105" s="433"/>
      <c r="MDQ105" s="433"/>
      <c r="MDR105" s="433"/>
      <c r="MDS105" s="433"/>
      <c r="MDT105" s="433"/>
      <c r="MDU105" s="433"/>
      <c r="MDV105" s="433"/>
      <c r="MDW105" s="433"/>
      <c r="MDX105" s="433"/>
      <c r="MDY105" s="433"/>
      <c r="MDZ105" s="433"/>
      <c r="MEA105" s="433"/>
      <c r="MEB105" s="433"/>
      <c r="MEC105" s="433"/>
      <c r="MED105" s="433"/>
      <c r="MEE105" s="433"/>
      <c r="MEF105" s="433"/>
      <c r="MEG105" s="433"/>
      <c r="MEH105" s="433"/>
      <c r="MEI105" s="433"/>
      <c r="MEJ105" s="433"/>
      <c r="MEK105" s="433"/>
      <c r="MEL105" s="433"/>
      <c r="MEM105" s="433"/>
      <c r="MEN105" s="433"/>
      <c r="MEO105" s="433"/>
      <c r="MEP105" s="433"/>
      <c r="MEQ105" s="433"/>
      <c r="MER105" s="433"/>
      <c r="MES105" s="433"/>
      <c r="MET105" s="433"/>
      <c r="MEU105" s="433"/>
      <c r="MEV105" s="433"/>
      <c r="MEW105" s="433"/>
      <c r="MEX105" s="433"/>
      <c r="MEY105" s="433"/>
      <c r="MEZ105" s="433"/>
      <c r="MFA105" s="433"/>
      <c r="MFB105" s="433"/>
      <c r="MFC105" s="433"/>
      <c r="MFD105" s="433"/>
      <c r="MFE105" s="433"/>
      <c r="MFF105" s="433"/>
      <c r="MFG105" s="433"/>
      <c r="MFH105" s="433"/>
      <c r="MFI105" s="433"/>
      <c r="MFJ105" s="433"/>
      <c r="MFK105" s="433"/>
      <c r="MFL105" s="433"/>
      <c r="MFM105" s="433"/>
      <c r="MFN105" s="433"/>
      <c r="MFO105" s="433"/>
      <c r="MFP105" s="433"/>
      <c r="MFQ105" s="433"/>
      <c r="MFR105" s="433"/>
      <c r="MFS105" s="433"/>
      <c r="MFT105" s="433"/>
      <c r="MFU105" s="433"/>
      <c r="MFV105" s="433"/>
      <c r="MFW105" s="433"/>
      <c r="MFX105" s="433"/>
      <c r="MFY105" s="433"/>
      <c r="MFZ105" s="433"/>
      <c r="MGA105" s="433"/>
      <c r="MGB105" s="433"/>
      <c r="MGC105" s="433"/>
      <c r="MGD105" s="433"/>
      <c r="MGE105" s="433"/>
      <c r="MGF105" s="433"/>
      <c r="MGG105" s="433"/>
      <c r="MGH105" s="433"/>
      <c r="MGI105" s="433"/>
      <c r="MGJ105" s="433"/>
      <c r="MGK105" s="433"/>
      <c r="MGL105" s="433"/>
      <c r="MGM105" s="433"/>
      <c r="MGN105" s="433"/>
      <c r="MGO105" s="433"/>
      <c r="MGP105" s="433"/>
      <c r="MGQ105" s="433"/>
      <c r="MGR105" s="433"/>
      <c r="MGS105" s="433"/>
      <c r="MGT105" s="433"/>
      <c r="MGU105" s="433"/>
      <c r="MGV105" s="433"/>
      <c r="MGW105" s="433"/>
      <c r="MGX105" s="433"/>
      <c r="MGY105" s="433"/>
      <c r="MGZ105" s="433"/>
      <c r="MHA105" s="433"/>
      <c r="MHB105" s="433"/>
      <c r="MHC105" s="433"/>
      <c r="MHD105" s="433"/>
      <c r="MHE105" s="433"/>
      <c r="MHF105" s="433"/>
      <c r="MHG105" s="433"/>
      <c r="MHH105" s="433"/>
      <c r="MHI105" s="433"/>
      <c r="MHJ105" s="433"/>
      <c r="MHK105" s="433"/>
      <c r="MHL105" s="433"/>
      <c r="MHM105" s="433"/>
      <c r="MHN105" s="433"/>
      <c r="MHO105" s="433"/>
      <c r="MHP105" s="433"/>
      <c r="MHQ105" s="433"/>
      <c r="MHR105" s="433"/>
      <c r="MHS105" s="433"/>
      <c r="MHT105" s="433"/>
      <c r="MHU105" s="433"/>
      <c r="MHV105" s="433"/>
      <c r="MHW105" s="433"/>
      <c r="MHX105" s="433"/>
      <c r="MHY105" s="433"/>
      <c r="MHZ105" s="433"/>
      <c r="MIA105" s="433"/>
      <c r="MIB105" s="433"/>
      <c r="MIC105" s="433"/>
      <c r="MID105" s="433"/>
      <c r="MIE105" s="433"/>
      <c r="MIF105" s="433"/>
      <c r="MIG105" s="433"/>
      <c r="MIH105" s="433"/>
      <c r="MII105" s="433"/>
      <c r="MIJ105" s="433"/>
      <c r="MIK105" s="433"/>
      <c r="MIL105" s="433"/>
      <c r="MIM105" s="433"/>
      <c r="MIN105" s="433"/>
      <c r="MIO105" s="433"/>
      <c r="MIP105" s="433"/>
      <c r="MIQ105" s="433"/>
      <c r="MIR105" s="433"/>
      <c r="MIS105" s="433"/>
      <c r="MIT105" s="433"/>
      <c r="MIU105" s="433"/>
      <c r="MIV105" s="433"/>
      <c r="MIW105" s="433"/>
      <c r="MIX105" s="433"/>
      <c r="MIY105" s="433"/>
      <c r="MIZ105" s="433"/>
      <c r="MJA105" s="433"/>
      <c r="MJB105" s="433"/>
      <c r="MJC105" s="433"/>
      <c r="MJD105" s="433"/>
      <c r="MJE105" s="433"/>
      <c r="MJF105" s="433"/>
      <c r="MJG105" s="433"/>
      <c r="MJH105" s="433"/>
      <c r="MJI105" s="433"/>
      <c r="MJJ105" s="433"/>
      <c r="MJK105" s="433"/>
      <c r="MJL105" s="433"/>
      <c r="MJM105" s="433"/>
      <c r="MJN105" s="433"/>
      <c r="MJO105" s="433"/>
      <c r="MJP105" s="433"/>
      <c r="MJQ105" s="433"/>
      <c r="MJR105" s="433"/>
      <c r="MJS105" s="433"/>
      <c r="MJT105" s="433"/>
      <c r="MJU105" s="433"/>
      <c r="MJV105" s="433"/>
      <c r="MJW105" s="433"/>
      <c r="MJX105" s="433"/>
      <c r="MJY105" s="433"/>
      <c r="MJZ105" s="433"/>
      <c r="MKA105" s="433"/>
      <c r="MKB105" s="433"/>
      <c r="MKC105" s="433"/>
      <c r="MKD105" s="433"/>
      <c r="MKE105" s="433"/>
      <c r="MKF105" s="433"/>
      <c r="MKG105" s="433"/>
      <c r="MKH105" s="433"/>
      <c r="MKI105" s="433"/>
      <c r="MKJ105" s="433"/>
      <c r="MKK105" s="433"/>
      <c r="MKL105" s="433"/>
      <c r="MKM105" s="433"/>
      <c r="MKN105" s="433"/>
      <c r="MKO105" s="433"/>
      <c r="MKP105" s="433"/>
      <c r="MKQ105" s="433"/>
      <c r="MKR105" s="433"/>
      <c r="MKS105" s="433"/>
      <c r="MKT105" s="433"/>
      <c r="MKU105" s="433"/>
      <c r="MKV105" s="433"/>
      <c r="MKW105" s="433"/>
      <c r="MKX105" s="433"/>
      <c r="MKY105" s="433"/>
      <c r="MKZ105" s="433"/>
      <c r="MLA105" s="433"/>
      <c r="MLB105" s="433"/>
      <c r="MLC105" s="433"/>
      <c r="MLD105" s="433"/>
      <c r="MLE105" s="433"/>
      <c r="MLF105" s="433"/>
      <c r="MLG105" s="433"/>
      <c r="MLH105" s="433"/>
      <c r="MLI105" s="433"/>
      <c r="MLJ105" s="433"/>
      <c r="MLK105" s="433"/>
      <c r="MLL105" s="433"/>
      <c r="MLM105" s="433"/>
      <c r="MLN105" s="433"/>
      <c r="MLO105" s="433"/>
      <c r="MLP105" s="433"/>
      <c r="MLQ105" s="433"/>
      <c r="MLR105" s="433"/>
      <c r="MLS105" s="433"/>
      <c r="MLT105" s="433"/>
      <c r="MLU105" s="433"/>
      <c r="MLV105" s="433"/>
      <c r="MLW105" s="433"/>
      <c r="MLX105" s="433"/>
      <c r="MLY105" s="433"/>
      <c r="MLZ105" s="433"/>
      <c r="MMA105" s="433"/>
      <c r="MMB105" s="433"/>
      <c r="MMC105" s="433"/>
      <c r="MMD105" s="433"/>
      <c r="MME105" s="433"/>
      <c r="MMF105" s="433"/>
      <c r="MMG105" s="433"/>
      <c r="MMH105" s="433"/>
      <c r="MMI105" s="433"/>
      <c r="MMJ105" s="433"/>
      <c r="MMK105" s="433"/>
      <c r="MML105" s="433"/>
      <c r="MMM105" s="433"/>
      <c r="MMN105" s="433"/>
      <c r="MMO105" s="433"/>
      <c r="MMP105" s="433"/>
      <c r="MMQ105" s="433"/>
      <c r="MMR105" s="433"/>
      <c r="MMS105" s="433"/>
      <c r="MMT105" s="433"/>
      <c r="MMU105" s="433"/>
      <c r="MMV105" s="433"/>
      <c r="MMW105" s="433"/>
      <c r="MMX105" s="433"/>
      <c r="MMY105" s="433"/>
      <c r="MMZ105" s="433"/>
      <c r="MNA105" s="433"/>
      <c r="MNB105" s="433"/>
      <c r="MNC105" s="433"/>
      <c r="MND105" s="433"/>
      <c r="MNE105" s="433"/>
      <c r="MNF105" s="433"/>
      <c r="MNG105" s="433"/>
      <c r="MNH105" s="433"/>
      <c r="MNI105" s="433"/>
      <c r="MNJ105" s="433"/>
      <c r="MNK105" s="433"/>
      <c r="MNL105" s="433"/>
      <c r="MNM105" s="433"/>
      <c r="MNN105" s="433"/>
      <c r="MNO105" s="433"/>
      <c r="MNP105" s="433"/>
      <c r="MNQ105" s="433"/>
      <c r="MNR105" s="433"/>
      <c r="MNS105" s="433"/>
      <c r="MNT105" s="433"/>
      <c r="MNU105" s="433"/>
      <c r="MNV105" s="433"/>
      <c r="MNW105" s="433"/>
      <c r="MNX105" s="433"/>
      <c r="MNY105" s="433"/>
      <c r="MNZ105" s="433"/>
      <c r="MOA105" s="433"/>
      <c r="MOB105" s="433"/>
      <c r="MOC105" s="433"/>
      <c r="MOD105" s="433"/>
      <c r="MOE105" s="433"/>
      <c r="MOF105" s="433"/>
      <c r="MOG105" s="433"/>
      <c r="MOH105" s="433"/>
      <c r="MOI105" s="433"/>
      <c r="MOJ105" s="433"/>
      <c r="MOK105" s="433"/>
      <c r="MOL105" s="433"/>
      <c r="MOM105" s="433"/>
      <c r="MON105" s="433"/>
      <c r="MOO105" s="433"/>
      <c r="MOP105" s="433"/>
      <c r="MOQ105" s="433"/>
      <c r="MOR105" s="433"/>
      <c r="MOS105" s="433"/>
      <c r="MOT105" s="433"/>
      <c r="MOU105" s="433"/>
      <c r="MOV105" s="433"/>
      <c r="MOW105" s="433"/>
      <c r="MOX105" s="433"/>
      <c r="MOY105" s="433"/>
      <c r="MOZ105" s="433"/>
      <c r="MPA105" s="433"/>
      <c r="MPB105" s="433"/>
      <c r="MPC105" s="433"/>
      <c r="MPD105" s="433"/>
      <c r="MPE105" s="433"/>
      <c r="MPF105" s="433"/>
      <c r="MPG105" s="433"/>
      <c r="MPH105" s="433"/>
      <c r="MPI105" s="433"/>
      <c r="MPJ105" s="433"/>
      <c r="MPK105" s="433"/>
      <c r="MPL105" s="433"/>
      <c r="MPM105" s="433"/>
      <c r="MPN105" s="433"/>
      <c r="MPO105" s="433"/>
      <c r="MPP105" s="433"/>
      <c r="MPQ105" s="433"/>
      <c r="MPR105" s="433"/>
      <c r="MPS105" s="433"/>
      <c r="MPT105" s="433"/>
      <c r="MPU105" s="433"/>
      <c r="MPV105" s="433"/>
      <c r="MPW105" s="433"/>
      <c r="MPX105" s="433"/>
      <c r="MPY105" s="433"/>
      <c r="MPZ105" s="433"/>
      <c r="MQA105" s="433"/>
      <c r="MQB105" s="433"/>
      <c r="MQC105" s="433"/>
      <c r="MQD105" s="433"/>
      <c r="MQE105" s="433"/>
      <c r="MQF105" s="433"/>
      <c r="MQG105" s="433"/>
      <c r="MQH105" s="433"/>
      <c r="MQI105" s="433"/>
      <c r="MQJ105" s="433"/>
      <c r="MQK105" s="433"/>
      <c r="MQL105" s="433"/>
      <c r="MQM105" s="433"/>
      <c r="MQN105" s="433"/>
      <c r="MQO105" s="433"/>
      <c r="MQP105" s="433"/>
      <c r="MQQ105" s="433"/>
      <c r="MQR105" s="433"/>
      <c r="MQS105" s="433"/>
      <c r="MQT105" s="433"/>
      <c r="MQU105" s="433"/>
      <c r="MQV105" s="433"/>
      <c r="MQW105" s="433"/>
      <c r="MQX105" s="433"/>
      <c r="MQY105" s="433"/>
      <c r="MQZ105" s="433"/>
      <c r="MRA105" s="433"/>
      <c r="MRB105" s="433"/>
      <c r="MRC105" s="433"/>
      <c r="MRD105" s="433"/>
      <c r="MRE105" s="433"/>
      <c r="MRF105" s="433"/>
      <c r="MRG105" s="433"/>
      <c r="MRH105" s="433"/>
      <c r="MRI105" s="433"/>
      <c r="MRJ105" s="433"/>
      <c r="MRK105" s="433"/>
      <c r="MRL105" s="433"/>
      <c r="MRM105" s="433"/>
      <c r="MRN105" s="433"/>
      <c r="MRO105" s="433"/>
      <c r="MRP105" s="433"/>
      <c r="MRQ105" s="433"/>
      <c r="MRR105" s="433"/>
      <c r="MRS105" s="433"/>
      <c r="MRT105" s="433"/>
      <c r="MRU105" s="433"/>
      <c r="MRV105" s="433"/>
      <c r="MRW105" s="433"/>
      <c r="MRX105" s="433"/>
      <c r="MRY105" s="433"/>
      <c r="MRZ105" s="433"/>
      <c r="MSA105" s="433"/>
      <c r="MSB105" s="433"/>
      <c r="MSC105" s="433"/>
      <c r="MSD105" s="433"/>
      <c r="MSE105" s="433"/>
      <c r="MSF105" s="433"/>
      <c r="MSG105" s="433"/>
      <c r="MSH105" s="433"/>
      <c r="MSI105" s="433"/>
      <c r="MSJ105" s="433"/>
      <c r="MSK105" s="433"/>
      <c r="MSL105" s="433"/>
      <c r="MSM105" s="433"/>
      <c r="MSN105" s="433"/>
      <c r="MSO105" s="433"/>
      <c r="MSP105" s="433"/>
      <c r="MSQ105" s="433"/>
      <c r="MSR105" s="433"/>
      <c r="MSS105" s="433"/>
      <c r="MST105" s="433"/>
      <c r="MSU105" s="433"/>
      <c r="MSV105" s="433"/>
      <c r="MSW105" s="433"/>
      <c r="MSX105" s="433"/>
      <c r="MSY105" s="433"/>
      <c r="MSZ105" s="433"/>
      <c r="MTA105" s="433"/>
      <c r="MTB105" s="433"/>
      <c r="MTC105" s="433"/>
      <c r="MTD105" s="433"/>
      <c r="MTE105" s="433"/>
      <c r="MTF105" s="433"/>
      <c r="MTG105" s="433"/>
      <c r="MTH105" s="433"/>
      <c r="MTI105" s="433"/>
      <c r="MTJ105" s="433"/>
      <c r="MTK105" s="433"/>
      <c r="MTL105" s="433"/>
      <c r="MTM105" s="433"/>
      <c r="MTN105" s="433"/>
      <c r="MTO105" s="433"/>
      <c r="MTP105" s="433"/>
      <c r="MTQ105" s="433"/>
      <c r="MTR105" s="433"/>
      <c r="MTS105" s="433"/>
      <c r="MTT105" s="433"/>
      <c r="MTU105" s="433"/>
      <c r="MTV105" s="433"/>
      <c r="MTW105" s="433"/>
      <c r="MTX105" s="433"/>
      <c r="MTY105" s="433"/>
      <c r="MTZ105" s="433"/>
      <c r="MUA105" s="433"/>
      <c r="MUB105" s="433"/>
      <c r="MUC105" s="433"/>
      <c r="MUD105" s="433"/>
      <c r="MUE105" s="433"/>
      <c r="MUF105" s="433"/>
      <c r="MUG105" s="433"/>
      <c r="MUH105" s="433"/>
      <c r="MUI105" s="433"/>
      <c r="MUJ105" s="433"/>
      <c r="MUK105" s="433"/>
      <c r="MUL105" s="433"/>
      <c r="MUM105" s="433"/>
      <c r="MUN105" s="433"/>
      <c r="MUO105" s="433"/>
      <c r="MUP105" s="433"/>
      <c r="MUQ105" s="433"/>
      <c r="MUR105" s="433"/>
      <c r="MUS105" s="433"/>
      <c r="MUT105" s="433"/>
      <c r="MUU105" s="433"/>
      <c r="MUV105" s="433"/>
      <c r="MUW105" s="433"/>
      <c r="MUX105" s="433"/>
      <c r="MUY105" s="433"/>
      <c r="MUZ105" s="433"/>
      <c r="MVA105" s="433"/>
      <c r="MVB105" s="433"/>
      <c r="MVC105" s="433"/>
      <c r="MVD105" s="433"/>
      <c r="MVE105" s="433"/>
      <c r="MVF105" s="433"/>
      <c r="MVG105" s="433"/>
      <c r="MVH105" s="433"/>
      <c r="MVI105" s="433"/>
      <c r="MVJ105" s="433"/>
      <c r="MVK105" s="433"/>
      <c r="MVL105" s="433"/>
      <c r="MVM105" s="433"/>
      <c r="MVN105" s="433"/>
      <c r="MVO105" s="433"/>
      <c r="MVP105" s="433"/>
      <c r="MVQ105" s="433"/>
      <c r="MVR105" s="433"/>
      <c r="MVS105" s="433"/>
      <c r="MVT105" s="433"/>
      <c r="MVU105" s="433"/>
      <c r="MVV105" s="433"/>
      <c r="MVW105" s="433"/>
      <c r="MVX105" s="433"/>
      <c r="MVY105" s="433"/>
      <c r="MVZ105" s="433"/>
      <c r="MWA105" s="433"/>
      <c r="MWB105" s="433"/>
      <c r="MWC105" s="433"/>
      <c r="MWD105" s="433"/>
      <c r="MWE105" s="433"/>
      <c r="MWF105" s="433"/>
      <c r="MWG105" s="433"/>
      <c r="MWH105" s="433"/>
      <c r="MWI105" s="433"/>
      <c r="MWJ105" s="433"/>
      <c r="MWK105" s="433"/>
      <c r="MWL105" s="433"/>
      <c r="MWM105" s="433"/>
      <c r="MWN105" s="433"/>
      <c r="MWO105" s="433"/>
      <c r="MWP105" s="433"/>
      <c r="MWQ105" s="433"/>
      <c r="MWR105" s="433"/>
      <c r="MWS105" s="433"/>
      <c r="MWT105" s="433"/>
      <c r="MWU105" s="433"/>
      <c r="MWV105" s="433"/>
      <c r="MWW105" s="433"/>
      <c r="MWX105" s="433"/>
      <c r="MWY105" s="433"/>
      <c r="MWZ105" s="433"/>
      <c r="MXA105" s="433"/>
      <c r="MXB105" s="433"/>
      <c r="MXC105" s="433"/>
      <c r="MXD105" s="433"/>
      <c r="MXE105" s="433"/>
      <c r="MXF105" s="433"/>
      <c r="MXG105" s="433"/>
      <c r="MXH105" s="433"/>
      <c r="MXI105" s="433"/>
      <c r="MXJ105" s="433"/>
      <c r="MXK105" s="433"/>
      <c r="MXL105" s="433"/>
      <c r="MXM105" s="433"/>
      <c r="MXN105" s="433"/>
      <c r="MXO105" s="433"/>
      <c r="MXP105" s="433"/>
      <c r="MXQ105" s="433"/>
      <c r="MXR105" s="433"/>
      <c r="MXS105" s="433"/>
      <c r="MXT105" s="433"/>
      <c r="MXU105" s="433"/>
      <c r="MXV105" s="433"/>
      <c r="MXW105" s="433"/>
      <c r="MXX105" s="433"/>
      <c r="MXY105" s="433"/>
      <c r="MXZ105" s="433"/>
      <c r="MYA105" s="433"/>
      <c r="MYB105" s="433"/>
      <c r="MYC105" s="433"/>
      <c r="MYD105" s="433"/>
      <c r="MYE105" s="433"/>
      <c r="MYF105" s="433"/>
      <c r="MYG105" s="433"/>
      <c r="MYH105" s="433"/>
      <c r="MYI105" s="433"/>
      <c r="MYJ105" s="433"/>
      <c r="MYK105" s="433"/>
      <c r="MYL105" s="433"/>
      <c r="MYM105" s="433"/>
      <c r="MYN105" s="433"/>
      <c r="MYO105" s="433"/>
      <c r="MYP105" s="433"/>
      <c r="MYQ105" s="433"/>
      <c r="MYR105" s="433"/>
      <c r="MYS105" s="433"/>
      <c r="MYT105" s="433"/>
      <c r="MYU105" s="433"/>
      <c r="MYV105" s="433"/>
      <c r="MYW105" s="433"/>
      <c r="MYX105" s="433"/>
      <c r="MYY105" s="433"/>
      <c r="MYZ105" s="433"/>
      <c r="MZA105" s="433"/>
      <c r="MZB105" s="433"/>
      <c r="MZC105" s="433"/>
      <c r="MZD105" s="433"/>
      <c r="MZE105" s="433"/>
      <c r="MZF105" s="433"/>
      <c r="MZG105" s="433"/>
      <c r="MZH105" s="433"/>
      <c r="MZI105" s="433"/>
      <c r="MZJ105" s="433"/>
      <c r="MZK105" s="433"/>
      <c r="MZL105" s="433"/>
      <c r="MZM105" s="433"/>
      <c r="MZN105" s="433"/>
      <c r="MZO105" s="433"/>
      <c r="MZP105" s="433"/>
      <c r="MZQ105" s="433"/>
      <c r="MZR105" s="433"/>
      <c r="MZS105" s="433"/>
      <c r="MZT105" s="433"/>
      <c r="MZU105" s="433"/>
      <c r="MZV105" s="433"/>
      <c r="MZW105" s="433"/>
      <c r="MZX105" s="433"/>
      <c r="MZY105" s="433"/>
      <c r="MZZ105" s="433"/>
      <c r="NAA105" s="433"/>
      <c r="NAB105" s="433"/>
      <c r="NAC105" s="433"/>
      <c r="NAD105" s="433"/>
      <c r="NAE105" s="433"/>
      <c r="NAF105" s="433"/>
      <c r="NAG105" s="433"/>
      <c r="NAH105" s="433"/>
      <c r="NAI105" s="433"/>
      <c r="NAJ105" s="433"/>
      <c r="NAK105" s="433"/>
      <c r="NAL105" s="433"/>
      <c r="NAM105" s="433"/>
      <c r="NAN105" s="433"/>
      <c r="NAO105" s="433"/>
      <c r="NAP105" s="433"/>
      <c r="NAQ105" s="433"/>
      <c r="NAR105" s="433"/>
      <c r="NAS105" s="433"/>
      <c r="NAT105" s="433"/>
      <c r="NAU105" s="433"/>
      <c r="NAV105" s="433"/>
      <c r="NAW105" s="433"/>
      <c r="NAX105" s="433"/>
      <c r="NAY105" s="433"/>
      <c r="NAZ105" s="433"/>
      <c r="NBA105" s="433"/>
      <c r="NBB105" s="433"/>
      <c r="NBC105" s="433"/>
      <c r="NBD105" s="433"/>
      <c r="NBE105" s="433"/>
      <c r="NBF105" s="433"/>
      <c r="NBG105" s="433"/>
      <c r="NBH105" s="433"/>
      <c r="NBI105" s="433"/>
      <c r="NBJ105" s="433"/>
      <c r="NBK105" s="433"/>
      <c r="NBL105" s="433"/>
      <c r="NBM105" s="433"/>
      <c r="NBN105" s="433"/>
      <c r="NBO105" s="433"/>
      <c r="NBP105" s="433"/>
      <c r="NBQ105" s="433"/>
      <c r="NBR105" s="433"/>
      <c r="NBS105" s="433"/>
      <c r="NBT105" s="433"/>
      <c r="NBU105" s="433"/>
      <c r="NBV105" s="433"/>
      <c r="NBW105" s="433"/>
      <c r="NBX105" s="433"/>
      <c r="NBY105" s="433"/>
      <c r="NBZ105" s="433"/>
      <c r="NCA105" s="433"/>
      <c r="NCB105" s="433"/>
      <c r="NCC105" s="433"/>
      <c r="NCD105" s="433"/>
      <c r="NCE105" s="433"/>
      <c r="NCF105" s="433"/>
      <c r="NCG105" s="433"/>
      <c r="NCH105" s="433"/>
      <c r="NCI105" s="433"/>
      <c r="NCJ105" s="433"/>
      <c r="NCK105" s="433"/>
      <c r="NCL105" s="433"/>
      <c r="NCM105" s="433"/>
      <c r="NCN105" s="433"/>
      <c r="NCO105" s="433"/>
      <c r="NCP105" s="433"/>
      <c r="NCQ105" s="433"/>
      <c r="NCR105" s="433"/>
      <c r="NCS105" s="433"/>
      <c r="NCT105" s="433"/>
      <c r="NCU105" s="433"/>
      <c r="NCV105" s="433"/>
      <c r="NCW105" s="433"/>
      <c r="NCX105" s="433"/>
      <c r="NCY105" s="433"/>
      <c r="NCZ105" s="433"/>
      <c r="NDA105" s="433"/>
      <c r="NDB105" s="433"/>
      <c r="NDC105" s="433"/>
      <c r="NDD105" s="433"/>
      <c r="NDE105" s="433"/>
      <c r="NDF105" s="433"/>
      <c r="NDG105" s="433"/>
      <c r="NDH105" s="433"/>
      <c r="NDI105" s="433"/>
      <c r="NDJ105" s="433"/>
      <c r="NDK105" s="433"/>
      <c r="NDL105" s="433"/>
      <c r="NDM105" s="433"/>
      <c r="NDN105" s="433"/>
      <c r="NDO105" s="433"/>
      <c r="NDP105" s="433"/>
      <c r="NDQ105" s="433"/>
      <c r="NDR105" s="433"/>
      <c r="NDS105" s="433"/>
      <c r="NDT105" s="433"/>
      <c r="NDU105" s="433"/>
      <c r="NDV105" s="433"/>
      <c r="NDW105" s="433"/>
      <c r="NDX105" s="433"/>
      <c r="NDY105" s="433"/>
      <c r="NDZ105" s="433"/>
      <c r="NEA105" s="433"/>
      <c r="NEB105" s="433"/>
      <c r="NEC105" s="433"/>
      <c r="NED105" s="433"/>
      <c r="NEE105" s="433"/>
      <c r="NEF105" s="433"/>
      <c r="NEG105" s="433"/>
      <c r="NEH105" s="433"/>
      <c r="NEI105" s="433"/>
      <c r="NEJ105" s="433"/>
      <c r="NEK105" s="433"/>
      <c r="NEL105" s="433"/>
      <c r="NEM105" s="433"/>
      <c r="NEN105" s="433"/>
      <c r="NEO105" s="433"/>
      <c r="NEP105" s="433"/>
      <c r="NEQ105" s="433"/>
      <c r="NER105" s="433"/>
      <c r="NES105" s="433"/>
      <c r="NET105" s="433"/>
      <c r="NEU105" s="433"/>
      <c r="NEV105" s="433"/>
      <c r="NEW105" s="433"/>
      <c r="NEX105" s="433"/>
      <c r="NEY105" s="433"/>
      <c r="NEZ105" s="433"/>
      <c r="NFA105" s="433"/>
      <c r="NFB105" s="433"/>
      <c r="NFC105" s="433"/>
      <c r="NFD105" s="433"/>
      <c r="NFE105" s="433"/>
      <c r="NFF105" s="433"/>
      <c r="NFG105" s="433"/>
      <c r="NFH105" s="433"/>
      <c r="NFI105" s="433"/>
      <c r="NFJ105" s="433"/>
      <c r="NFK105" s="433"/>
      <c r="NFL105" s="433"/>
      <c r="NFM105" s="433"/>
      <c r="NFN105" s="433"/>
      <c r="NFO105" s="433"/>
      <c r="NFP105" s="433"/>
      <c r="NFQ105" s="433"/>
      <c r="NFR105" s="433"/>
      <c r="NFS105" s="433"/>
      <c r="NFT105" s="433"/>
      <c r="NFU105" s="433"/>
      <c r="NFV105" s="433"/>
      <c r="NFW105" s="433"/>
      <c r="NFX105" s="433"/>
      <c r="NFY105" s="433"/>
      <c r="NFZ105" s="433"/>
      <c r="NGA105" s="433"/>
      <c r="NGB105" s="433"/>
      <c r="NGC105" s="433"/>
      <c r="NGD105" s="433"/>
      <c r="NGE105" s="433"/>
      <c r="NGF105" s="433"/>
      <c r="NGG105" s="433"/>
      <c r="NGH105" s="433"/>
      <c r="NGI105" s="433"/>
      <c r="NGJ105" s="433"/>
      <c r="NGK105" s="433"/>
      <c r="NGL105" s="433"/>
      <c r="NGM105" s="433"/>
      <c r="NGN105" s="433"/>
      <c r="NGO105" s="433"/>
      <c r="NGP105" s="433"/>
      <c r="NGQ105" s="433"/>
      <c r="NGR105" s="433"/>
      <c r="NGS105" s="433"/>
      <c r="NGT105" s="433"/>
      <c r="NGU105" s="433"/>
      <c r="NGV105" s="433"/>
      <c r="NGW105" s="433"/>
      <c r="NGX105" s="433"/>
      <c r="NGY105" s="433"/>
      <c r="NGZ105" s="433"/>
      <c r="NHA105" s="433"/>
      <c r="NHB105" s="433"/>
      <c r="NHC105" s="433"/>
      <c r="NHD105" s="433"/>
      <c r="NHE105" s="433"/>
      <c r="NHF105" s="433"/>
      <c r="NHG105" s="433"/>
      <c r="NHH105" s="433"/>
      <c r="NHI105" s="433"/>
      <c r="NHJ105" s="433"/>
      <c r="NHK105" s="433"/>
      <c r="NHL105" s="433"/>
      <c r="NHM105" s="433"/>
      <c r="NHN105" s="433"/>
      <c r="NHO105" s="433"/>
      <c r="NHP105" s="433"/>
      <c r="NHQ105" s="433"/>
      <c r="NHR105" s="433"/>
      <c r="NHS105" s="433"/>
      <c r="NHT105" s="433"/>
      <c r="NHU105" s="433"/>
      <c r="NHV105" s="433"/>
      <c r="NHW105" s="433"/>
      <c r="NHX105" s="433"/>
      <c r="NHY105" s="433"/>
      <c r="NHZ105" s="433"/>
      <c r="NIA105" s="433"/>
      <c r="NIB105" s="433"/>
      <c r="NIC105" s="433"/>
      <c r="NID105" s="433"/>
      <c r="NIE105" s="433"/>
      <c r="NIF105" s="433"/>
      <c r="NIG105" s="433"/>
      <c r="NIH105" s="433"/>
      <c r="NII105" s="433"/>
      <c r="NIJ105" s="433"/>
      <c r="NIK105" s="433"/>
      <c r="NIL105" s="433"/>
      <c r="NIM105" s="433"/>
      <c r="NIN105" s="433"/>
      <c r="NIO105" s="433"/>
      <c r="NIP105" s="433"/>
      <c r="NIQ105" s="433"/>
      <c r="NIR105" s="433"/>
      <c r="NIS105" s="433"/>
      <c r="NIT105" s="433"/>
      <c r="NIU105" s="433"/>
      <c r="NIV105" s="433"/>
      <c r="NIW105" s="433"/>
      <c r="NIX105" s="433"/>
      <c r="NIY105" s="433"/>
      <c r="NIZ105" s="433"/>
      <c r="NJA105" s="433"/>
      <c r="NJB105" s="433"/>
      <c r="NJC105" s="433"/>
      <c r="NJD105" s="433"/>
      <c r="NJE105" s="433"/>
      <c r="NJF105" s="433"/>
      <c r="NJG105" s="433"/>
      <c r="NJH105" s="433"/>
      <c r="NJI105" s="433"/>
      <c r="NJJ105" s="433"/>
      <c r="NJK105" s="433"/>
      <c r="NJL105" s="433"/>
      <c r="NJM105" s="433"/>
      <c r="NJN105" s="433"/>
      <c r="NJO105" s="433"/>
      <c r="NJP105" s="433"/>
      <c r="NJQ105" s="433"/>
      <c r="NJR105" s="433"/>
      <c r="NJS105" s="433"/>
      <c r="NJT105" s="433"/>
      <c r="NJU105" s="433"/>
      <c r="NJV105" s="433"/>
      <c r="NJW105" s="433"/>
      <c r="NJX105" s="433"/>
      <c r="NJY105" s="433"/>
      <c r="NJZ105" s="433"/>
      <c r="NKA105" s="433"/>
      <c r="NKB105" s="433"/>
      <c r="NKC105" s="433"/>
      <c r="NKD105" s="433"/>
      <c r="NKE105" s="433"/>
      <c r="NKF105" s="433"/>
      <c r="NKG105" s="433"/>
      <c r="NKH105" s="433"/>
      <c r="NKI105" s="433"/>
      <c r="NKJ105" s="433"/>
      <c r="NKK105" s="433"/>
      <c r="NKL105" s="433"/>
      <c r="NKM105" s="433"/>
      <c r="NKN105" s="433"/>
      <c r="NKO105" s="433"/>
      <c r="NKP105" s="433"/>
      <c r="NKQ105" s="433"/>
      <c r="NKR105" s="433"/>
      <c r="NKS105" s="433"/>
      <c r="NKT105" s="433"/>
      <c r="NKU105" s="433"/>
      <c r="NKV105" s="433"/>
      <c r="NKW105" s="433"/>
      <c r="NKX105" s="433"/>
      <c r="NKY105" s="433"/>
      <c r="NKZ105" s="433"/>
      <c r="NLA105" s="433"/>
      <c r="NLB105" s="433"/>
      <c r="NLC105" s="433"/>
      <c r="NLD105" s="433"/>
      <c r="NLE105" s="433"/>
      <c r="NLF105" s="433"/>
      <c r="NLG105" s="433"/>
      <c r="NLH105" s="433"/>
      <c r="NLI105" s="433"/>
      <c r="NLJ105" s="433"/>
      <c r="NLK105" s="433"/>
      <c r="NLL105" s="433"/>
      <c r="NLM105" s="433"/>
      <c r="NLN105" s="433"/>
      <c r="NLO105" s="433"/>
      <c r="NLP105" s="433"/>
      <c r="NLQ105" s="433"/>
      <c r="NLR105" s="433"/>
      <c r="NLS105" s="433"/>
      <c r="NLT105" s="433"/>
      <c r="NLU105" s="433"/>
      <c r="NLV105" s="433"/>
      <c r="NLW105" s="433"/>
      <c r="NLX105" s="433"/>
      <c r="NLY105" s="433"/>
      <c r="NLZ105" s="433"/>
      <c r="NMA105" s="433"/>
      <c r="NMB105" s="433"/>
      <c r="NMC105" s="433"/>
      <c r="NMD105" s="433"/>
      <c r="NME105" s="433"/>
      <c r="NMF105" s="433"/>
      <c r="NMG105" s="433"/>
      <c r="NMH105" s="433"/>
      <c r="NMI105" s="433"/>
      <c r="NMJ105" s="433"/>
      <c r="NMK105" s="433"/>
      <c r="NML105" s="433"/>
      <c r="NMM105" s="433"/>
      <c r="NMN105" s="433"/>
      <c r="NMO105" s="433"/>
      <c r="NMP105" s="433"/>
      <c r="NMQ105" s="433"/>
      <c r="NMR105" s="433"/>
      <c r="NMS105" s="433"/>
      <c r="NMT105" s="433"/>
      <c r="NMU105" s="433"/>
      <c r="NMV105" s="433"/>
      <c r="NMW105" s="433"/>
      <c r="NMX105" s="433"/>
      <c r="NMY105" s="433"/>
      <c r="NMZ105" s="433"/>
      <c r="NNA105" s="433"/>
      <c r="NNB105" s="433"/>
      <c r="NNC105" s="433"/>
      <c r="NND105" s="433"/>
      <c r="NNE105" s="433"/>
      <c r="NNF105" s="433"/>
      <c r="NNG105" s="433"/>
      <c r="NNH105" s="433"/>
      <c r="NNI105" s="433"/>
      <c r="NNJ105" s="433"/>
      <c r="NNK105" s="433"/>
      <c r="NNL105" s="433"/>
      <c r="NNM105" s="433"/>
      <c r="NNN105" s="433"/>
      <c r="NNO105" s="433"/>
      <c r="NNP105" s="433"/>
      <c r="NNQ105" s="433"/>
      <c r="NNR105" s="433"/>
      <c r="NNS105" s="433"/>
      <c r="NNT105" s="433"/>
      <c r="NNU105" s="433"/>
      <c r="NNV105" s="433"/>
      <c r="NNW105" s="433"/>
      <c r="NNX105" s="433"/>
      <c r="NNY105" s="433"/>
      <c r="NNZ105" s="433"/>
      <c r="NOA105" s="433"/>
      <c r="NOB105" s="433"/>
      <c r="NOC105" s="433"/>
      <c r="NOD105" s="433"/>
      <c r="NOE105" s="433"/>
      <c r="NOF105" s="433"/>
      <c r="NOG105" s="433"/>
      <c r="NOH105" s="433"/>
      <c r="NOI105" s="433"/>
      <c r="NOJ105" s="433"/>
      <c r="NOK105" s="433"/>
      <c r="NOL105" s="433"/>
      <c r="NOM105" s="433"/>
      <c r="NON105" s="433"/>
      <c r="NOO105" s="433"/>
      <c r="NOP105" s="433"/>
      <c r="NOQ105" s="433"/>
      <c r="NOR105" s="433"/>
      <c r="NOS105" s="433"/>
      <c r="NOT105" s="433"/>
      <c r="NOU105" s="433"/>
      <c r="NOV105" s="433"/>
      <c r="NOW105" s="433"/>
      <c r="NOX105" s="433"/>
      <c r="NOY105" s="433"/>
      <c r="NOZ105" s="433"/>
      <c r="NPA105" s="433"/>
      <c r="NPB105" s="433"/>
      <c r="NPC105" s="433"/>
      <c r="NPD105" s="433"/>
      <c r="NPE105" s="433"/>
      <c r="NPF105" s="433"/>
      <c r="NPG105" s="433"/>
      <c r="NPH105" s="433"/>
      <c r="NPI105" s="433"/>
      <c r="NPJ105" s="433"/>
      <c r="NPK105" s="433"/>
      <c r="NPL105" s="433"/>
      <c r="NPM105" s="433"/>
      <c r="NPN105" s="433"/>
      <c r="NPO105" s="433"/>
      <c r="NPP105" s="433"/>
      <c r="NPQ105" s="433"/>
      <c r="NPR105" s="433"/>
      <c r="NPS105" s="433"/>
      <c r="NPT105" s="433"/>
      <c r="NPU105" s="433"/>
      <c r="NPV105" s="433"/>
      <c r="NPW105" s="433"/>
      <c r="NPX105" s="433"/>
      <c r="NPY105" s="433"/>
      <c r="NPZ105" s="433"/>
      <c r="NQA105" s="433"/>
      <c r="NQB105" s="433"/>
      <c r="NQC105" s="433"/>
      <c r="NQD105" s="433"/>
      <c r="NQE105" s="433"/>
      <c r="NQF105" s="433"/>
      <c r="NQG105" s="433"/>
      <c r="NQH105" s="433"/>
      <c r="NQI105" s="433"/>
      <c r="NQJ105" s="433"/>
      <c r="NQK105" s="433"/>
      <c r="NQL105" s="433"/>
      <c r="NQM105" s="433"/>
      <c r="NQN105" s="433"/>
      <c r="NQO105" s="433"/>
      <c r="NQP105" s="433"/>
      <c r="NQQ105" s="433"/>
      <c r="NQR105" s="433"/>
      <c r="NQS105" s="433"/>
      <c r="NQT105" s="433"/>
      <c r="NQU105" s="433"/>
      <c r="NQV105" s="433"/>
      <c r="NQW105" s="433"/>
      <c r="NQX105" s="433"/>
      <c r="NQY105" s="433"/>
      <c r="NQZ105" s="433"/>
      <c r="NRA105" s="433"/>
      <c r="NRB105" s="433"/>
      <c r="NRC105" s="433"/>
      <c r="NRD105" s="433"/>
      <c r="NRE105" s="433"/>
      <c r="NRF105" s="433"/>
      <c r="NRG105" s="433"/>
      <c r="NRH105" s="433"/>
      <c r="NRI105" s="433"/>
      <c r="NRJ105" s="433"/>
      <c r="NRK105" s="433"/>
      <c r="NRL105" s="433"/>
      <c r="NRM105" s="433"/>
      <c r="NRN105" s="433"/>
      <c r="NRO105" s="433"/>
      <c r="NRP105" s="433"/>
      <c r="NRQ105" s="433"/>
      <c r="NRR105" s="433"/>
      <c r="NRS105" s="433"/>
      <c r="NRT105" s="433"/>
      <c r="NRU105" s="433"/>
      <c r="NRV105" s="433"/>
      <c r="NRW105" s="433"/>
      <c r="NRX105" s="433"/>
      <c r="NRY105" s="433"/>
      <c r="NRZ105" s="433"/>
      <c r="NSA105" s="433"/>
      <c r="NSB105" s="433"/>
      <c r="NSC105" s="433"/>
      <c r="NSD105" s="433"/>
      <c r="NSE105" s="433"/>
      <c r="NSF105" s="433"/>
      <c r="NSG105" s="433"/>
      <c r="NSH105" s="433"/>
      <c r="NSI105" s="433"/>
      <c r="NSJ105" s="433"/>
      <c r="NSK105" s="433"/>
      <c r="NSL105" s="433"/>
      <c r="NSM105" s="433"/>
      <c r="NSN105" s="433"/>
      <c r="NSO105" s="433"/>
      <c r="NSP105" s="433"/>
      <c r="NSQ105" s="433"/>
      <c r="NSR105" s="433"/>
      <c r="NSS105" s="433"/>
      <c r="NST105" s="433"/>
      <c r="NSU105" s="433"/>
      <c r="NSV105" s="433"/>
      <c r="NSW105" s="433"/>
      <c r="NSX105" s="433"/>
      <c r="NSY105" s="433"/>
      <c r="NSZ105" s="433"/>
      <c r="NTA105" s="433"/>
      <c r="NTB105" s="433"/>
      <c r="NTC105" s="433"/>
      <c r="NTD105" s="433"/>
      <c r="NTE105" s="433"/>
      <c r="NTF105" s="433"/>
      <c r="NTG105" s="433"/>
      <c r="NTH105" s="433"/>
      <c r="NTI105" s="433"/>
      <c r="NTJ105" s="433"/>
      <c r="NTK105" s="433"/>
      <c r="NTL105" s="433"/>
      <c r="NTM105" s="433"/>
      <c r="NTN105" s="433"/>
      <c r="NTO105" s="433"/>
      <c r="NTP105" s="433"/>
      <c r="NTQ105" s="433"/>
      <c r="NTR105" s="433"/>
      <c r="NTS105" s="433"/>
      <c r="NTT105" s="433"/>
      <c r="NTU105" s="433"/>
      <c r="NTV105" s="433"/>
      <c r="NTW105" s="433"/>
      <c r="NTX105" s="433"/>
      <c r="NTY105" s="433"/>
      <c r="NTZ105" s="433"/>
      <c r="NUA105" s="433"/>
      <c r="NUB105" s="433"/>
      <c r="NUC105" s="433"/>
      <c r="NUD105" s="433"/>
      <c r="NUE105" s="433"/>
      <c r="NUF105" s="433"/>
      <c r="NUG105" s="433"/>
      <c r="NUH105" s="433"/>
      <c r="NUI105" s="433"/>
      <c r="NUJ105" s="433"/>
      <c r="NUK105" s="433"/>
      <c r="NUL105" s="433"/>
      <c r="NUM105" s="433"/>
      <c r="NUN105" s="433"/>
      <c r="NUO105" s="433"/>
      <c r="NUP105" s="433"/>
      <c r="NUQ105" s="433"/>
      <c r="NUR105" s="433"/>
      <c r="NUS105" s="433"/>
      <c r="NUT105" s="433"/>
      <c r="NUU105" s="433"/>
      <c r="NUV105" s="433"/>
      <c r="NUW105" s="433"/>
      <c r="NUX105" s="433"/>
      <c r="NUY105" s="433"/>
      <c r="NUZ105" s="433"/>
      <c r="NVA105" s="433"/>
      <c r="NVB105" s="433"/>
      <c r="NVC105" s="433"/>
      <c r="NVD105" s="433"/>
      <c r="NVE105" s="433"/>
      <c r="NVF105" s="433"/>
      <c r="NVG105" s="433"/>
      <c r="NVH105" s="433"/>
      <c r="NVI105" s="433"/>
      <c r="NVJ105" s="433"/>
      <c r="NVK105" s="433"/>
      <c r="NVL105" s="433"/>
      <c r="NVM105" s="433"/>
      <c r="NVN105" s="433"/>
      <c r="NVO105" s="433"/>
      <c r="NVP105" s="433"/>
      <c r="NVQ105" s="433"/>
      <c r="NVR105" s="433"/>
      <c r="NVS105" s="433"/>
      <c r="NVT105" s="433"/>
      <c r="NVU105" s="433"/>
      <c r="NVV105" s="433"/>
      <c r="NVW105" s="433"/>
      <c r="NVX105" s="433"/>
      <c r="NVY105" s="433"/>
      <c r="NVZ105" s="433"/>
      <c r="NWA105" s="433"/>
      <c r="NWB105" s="433"/>
      <c r="NWC105" s="433"/>
      <c r="NWD105" s="433"/>
      <c r="NWE105" s="433"/>
      <c r="NWF105" s="433"/>
      <c r="NWG105" s="433"/>
      <c r="NWH105" s="433"/>
      <c r="NWI105" s="433"/>
      <c r="NWJ105" s="433"/>
      <c r="NWK105" s="433"/>
      <c r="NWL105" s="433"/>
      <c r="NWM105" s="433"/>
      <c r="NWN105" s="433"/>
      <c r="NWO105" s="433"/>
      <c r="NWP105" s="433"/>
      <c r="NWQ105" s="433"/>
      <c r="NWR105" s="433"/>
      <c r="NWS105" s="433"/>
      <c r="NWT105" s="433"/>
      <c r="NWU105" s="433"/>
      <c r="NWV105" s="433"/>
      <c r="NWW105" s="433"/>
      <c r="NWX105" s="433"/>
      <c r="NWY105" s="433"/>
      <c r="NWZ105" s="433"/>
      <c r="NXA105" s="433"/>
      <c r="NXB105" s="433"/>
      <c r="NXC105" s="433"/>
      <c r="NXD105" s="433"/>
      <c r="NXE105" s="433"/>
      <c r="NXF105" s="433"/>
      <c r="NXG105" s="433"/>
      <c r="NXH105" s="433"/>
      <c r="NXI105" s="433"/>
      <c r="NXJ105" s="433"/>
      <c r="NXK105" s="433"/>
      <c r="NXL105" s="433"/>
      <c r="NXM105" s="433"/>
      <c r="NXN105" s="433"/>
      <c r="NXO105" s="433"/>
      <c r="NXP105" s="433"/>
      <c r="NXQ105" s="433"/>
      <c r="NXR105" s="433"/>
      <c r="NXS105" s="433"/>
      <c r="NXT105" s="433"/>
      <c r="NXU105" s="433"/>
      <c r="NXV105" s="433"/>
      <c r="NXW105" s="433"/>
      <c r="NXX105" s="433"/>
      <c r="NXY105" s="433"/>
      <c r="NXZ105" s="433"/>
      <c r="NYA105" s="433"/>
      <c r="NYB105" s="433"/>
      <c r="NYC105" s="433"/>
      <c r="NYD105" s="433"/>
      <c r="NYE105" s="433"/>
      <c r="NYF105" s="433"/>
      <c r="NYG105" s="433"/>
      <c r="NYH105" s="433"/>
      <c r="NYI105" s="433"/>
      <c r="NYJ105" s="433"/>
      <c r="NYK105" s="433"/>
      <c r="NYL105" s="433"/>
      <c r="NYM105" s="433"/>
      <c r="NYN105" s="433"/>
      <c r="NYO105" s="433"/>
      <c r="NYP105" s="433"/>
      <c r="NYQ105" s="433"/>
      <c r="NYR105" s="433"/>
      <c r="NYS105" s="433"/>
      <c r="NYT105" s="433"/>
      <c r="NYU105" s="433"/>
      <c r="NYV105" s="433"/>
      <c r="NYW105" s="433"/>
      <c r="NYX105" s="433"/>
      <c r="NYY105" s="433"/>
      <c r="NYZ105" s="433"/>
      <c r="NZA105" s="433"/>
      <c r="NZB105" s="433"/>
      <c r="NZC105" s="433"/>
      <c r="NZD105" s="433"/>
      <c r="NZE105" s="433"/>
      <c r="NZF105" s="433"/>
      <c r="NZG105" s="433"/>
      <c r="NZH105" s="433"/>
      <c r="NZI105" s="433"/>
      <c r="NZJ105" s="433"/>
      <c r="NZK105" s="433"/>
      <c r="NZL105" s="433"/>
      <c r="NZM105" s="433"/>
      <c r="NZN105" s="433"/>
      <c r="NZO105" s="433"/>
      <c r="NZP105" s="433"/>
      <c r="NZQ105" s="433"/>
      <c r="NZR105" s="433"/>
      <c r="NZS105" s="433"/>
      <c r="NZT105" s="433"/>
      <c r="NZU105" s="433"/>
      <c r="NZV105" s="433"/>
      <c r="NZW105" s="433"/>
      <c r="NZX105" s="433"/>
      <c r="NZY105" s="433"/>
      <c r="NZZ105" s="433"/>
      <c r="OAA105" s="433"/>
      <c r="OAB105" s="433"/>
      <c r="OAC105" s="433"/>
      <c r="OAD105" s="433"/>
      <c r="OAE105" s="433"/>
      <c r="OAF105" s="433"/>
      <c r="OAG105" s="433"/>
      <c r="OAH105" s="433"/>
      <c r="OAI105" s="433"/>
      <c r="OAJ105" s="433"/>
      <c r="OAK105" s="433"/>
      <c r="OAL105" s="433"/>
      <c r="OAM105" s="433"/>
      <c r="OAN105" s="433"/>
      <c r="OAO105" s="433"/>
      <c r="OAP105" s="433"/>
      <c r="OAQ105" s="433"/>
      <c r="OAR105" s="433"/>
      <c r="OAS105" s="433"/>
      <c r="OAT105" s="433"/>
      <c r="OAU105" s="433"/>
      <c r="OAV105" s="433"/>
      <c r="OAW105" s="433"/>
      <c r="OAX105" s="433"/>
      <c r="OAY105" s="433"/>
      <c r="OAZ105" s="433"/>
      <c r="OBA105" s="433"/>
      <c r="OBB105" s="433"/>
      <c r="OBC105" s="433"/>
      <c r="OBD105" s="433"/>
      <c r="OBE105" s="433"/>
      <c r="OBF105" s="433"/>
      <c r="OBG105" s="433"/>
      <c r="OBH105" s="433"/>
      <c r="OBI105" s="433"/>
      <c r="OBJ105" s="433"/>
      <c r="OBK105" s="433"/>
      <c r="OBL105" s="433"/>
      <c r="OBM105" s="433"/>
      <c r="OBN105" s="433"/>
      <c r="OBO105" s="433"/>
      <c r="OBP105" s="433"/>
      <c r="OBQ105" s="433"/>
      <c r="OBR105" s="433"/>
      <c r="OBS105" s="433"/>
      <c r="OBT105" s="433"/>
      <c r="OBU105" s="433"/>
      <c r="OBV105" s="433"/>
      <c r="OBW105" s="433"/>
      <c r="OBX105" s="433"/>
      <c r="OBY105" s="433"/>
      <c r="OBZ105" s="433"/>
      <c r="OCA105" s="433"/>
      <c r="OCB105" s="433"/>
      <c r="OCC105" s="433"/>
      <c r="OCD105" s="433"/>
      <c r="OCE105" s="433"/>
      <c r="OCF105" s="433"/>
      <c r="OCG105" s="433"/>
      <c r="OCH105" s="433"/>
      <c r="OCI105" s="433"/>
      <c r="OCJ105" s="433"/>
      <c r="OCK105" s="433"/>
      <c r="OCL105" s="433"/>
      <c r="OCM105" s="433"/>
      <c r="OCN105" s="433"/>
      <c r="OCO105" s="433"/>
      <c r="OCP105" s="433"/>
      <c r="OCQ105" s="433"/>
      <c r="OCR105" s="433"/>
      <c r="OCS105" s="433"/>
      <c r="OCT105" s="433"/>
      <c r="OCU105" s="433"/>
      <c r="OCV105" s="433"/>
      <c r="OCW105" s="433"/>
      <c r="OCX105" s="433"/>
      <c r="OCY105" s="433"/>
      <c r="OCZ105" s="433"/>
      <c r="ODA105" s="433"/>
      <c r="ODB105" s="433"/>
      <c r="ODC105" s="433"/>
      <c r="ODD105" s="433"/>
      <c r="ODE105" s="433"/>
      <c r="ODF105" s="433"/>
      <c r="ODG105" s="433"/>
      <c r="ODH105" s="433"/>
      <c r="ODI105" s="433"/>
      <c r="ODJ105" s="433"/>
      <c r="ODK105" s="433"/>
      <c r="ODL105" s="433"/>
      <c r="ODM105" s="433"/>
      <c r="ODN105" s="433"/>
      <c r="ODO105" s="433"/>
      <c r="ODP105" s="433"/>
      <c r="ODQ105" s="433"/>
      <c r="ODR105" s="433"/>
      <c r="ODS105" s="433"/>
      <c r="ODT105" s="433"/>
      <c r="ODU105" s="433"/>
      <c r="ODV105" s="433"/>
      <c r="ODW105" s="433"/>
      <c r="ODX105" s="433"/>
      <c r="ODY105" s="433"/>
      <c r="ODZ105" s="433"/>
      <c r="OEA105" s="433"/>
      <c r="OEB105" s="433"/>
      <c r="OEC105" s="433"/>
      <c r="OED105" s="433"/>
      <c r="OEE105" s="433"/>
      <c r="OEF105" s="433"/>
      <c r="OEG105" s="433"/>
      <c r="OEH105" s="433"/>
      <c r="OEI105" s="433"/>
      <c r="OEJ105" s="433"/>
      <c r="OEK105" s="433"/>
      <c r="OEL105" s="433"/>
      <c r="OEM105" s="433"/>
      <c r="OEN105" s="433"/>
      <c r="OEO105" s="433"/>
      <c r="OEP105" s="433"/>
      <c r="OEQ105" s="433"/>
      <c r="OER105" s="433"/>
      <c r="OES105" s="433"/>
      <c r="OET105" s="433"/>
      <c r="OEU105" s="433"/>
      <c r="OEV105" s="433"/>
      <c r="OEW105" s="433"/>
      <c r="OEX105" s="433"/>
      <c r="OEY105" s="433"/>
      <c r="OEZ105" s="433"/>
      <c r="OFA105" s="433"/>
      <c r="OFB105" s="433"/>
      <c r="OFC105" s="433"/>
      <c r="OFD105" s="433"/>
      <c r="OFE105" s="433"/>
      <c r="OFF105" s="433"/>
      <c r="OFG105" s="433"/>
      <c r="OFH105" s="433"/>
      <c r="OFI105" s="433"/>
      <c r="OFJ105" s="433"/>
      <c r="OFK105" s="433"/>
      <c r="OFL105" s="433"/>
      <c r="OFM105" s="433"/>
      <c r="OFN105" s="433"/>
      <c r="OFO105" s="433"/>
      <c r="OFP105" s="433"/>
      <c r="OFQ105" s="433"/>
      <c r="OFR105" s="433"/>
      <c r="OFS105" s="433"/>
      <c r="OFT105" s="433"/>
      <c r="OFU105" s="433"/>
      <c r="OFV105" s="433"/>
      <c r="OFW105" s="433"/>
      <c r="OFX105" s="433"/>
      <c r="OFY105" s="433"/>
      <c r="OFZ105" s="433"/>
      <c r="OGA105" s="433"/>
      <c r="OGB105" s="433"/>
      <c r="OGC105" s="433"/>
      <c r="OGD105" s="433"/>
      <c r="OGE105" s="433"/>
      <c r="OGF105" s="433"/>
      <c r="OGG105" s="433"/>
      <c r="OGH105" s="433"/>
      <c r="OGI105" s="433"/>
      <c r="OGJ105" s="433"/>
      <c r="OGK105" s="433"/>
      <c r="OGL105" s="433"/>
      <c r="OGM105" s="433"/>
      <c r="OGN105" s="433"/>
      <c r="OGO105" s="433"/>
      <c r="OGP105" s="433"/>
      <c r="OGQ105" s="433"/>
      <c r="OGR105" s="433"/>
      <c r="OGS105" s="433"/>
      <c r="OGT105" s="433"/>
      <c r="OGU105" s="433"/>
      <c r="OGV105" s="433"/>
      <c r="OGW105" s="433"/>
      <c r="OGX105" s="433"/>
      <c r="OGY105" s="433"/>
      <c r="OGZ105" s="433"/>
      <c r="OHA105" s="433"/>
      <c r="OHB105" s="433"/>
      <c r="OHC105" s="433"/>
      <c r="OHD105" s="433"/>
      <c r="OHE105" s="433"/>
      <c r="OHF105" s="433"/>
      <c r="OHG105" s="433"/>
      <c r="OHH105" s="433"/>
      <c r="OHI105" s="433"/>
      <c r="OHJ105" s="433"/>
      <c r="OHK105" s="433"/>
      <c r="OHL105" s="433"/>
      <c r="OHM105" s="433"/>
      <c r="OHN105" s="433"/>
      <c r="OHO105" s="433"/>
      <c r="OHP105" s="433"/>
      <c r="OHQ105" s="433"/>
      <c r="OHR105" s="433"/>
      <c r="OHS105" s="433"/>
      <c r="OHT105" s="433"/>
      <c r="OHU105" s="433"/>
      <c r="OHV105" s="433"/>
      <c r="OHW105" s="433"/>
      <c r="OHX105" s="433"/>
      <c r="OHY105" s="433"/>
      <c r="OHZ105" s="433"/>
      <c r="OIA105" s="433"/>
      <c r="OIB105" s="433"/>
      <c r="OIC105" s="433"/>
      <c r="OID105" s="433"/>
      <c r="OIE105" s="433"/>
      <c r="OIF105" s="433"/>
      <c r="OIG105" s="433"/>
      <c r="OIH105" s="433"/>
      <c r="OII105" s="433"/>
      <c r="OIJ105" s="433"/>
      <c r="OIK105" s="433"/>
      <c r="OIL105" s="433"/>
      <c r="OIM105" s="433"/>
      <c r="OIN105" s="433"/>
      <c r="OIO105" s="433"/>
      <c r="OIP105" s="433"/>
      <c r="OIQ105" s="433"/>
      <c r="OIR105" s="433"/>
      <c r="OIS105" s="433"/>
      <c r="OIT105" s="433"/>
      <c r="OIU105" s="433"/>
      <c r="OIV105" s="433"/>
      <c r="OIW105" s="433"/>
      <c r="OIX105" s="433"/>
      <c r="OIY105" s="433"/>
      <c r="OIZ105" s="433"/>
      <c r="OJA105" s="433"/>
      <c r="OJB105" s="433"/>
      <c r="OJC105" s="433"/>
      <c r="OJD105" s="433"/>
      <c r="OJE105" s="433"/>
      <c r="OJF105" s="433"/>
      <c r="OJG105" s="433"/>
      <c r="OJH105" s="433"/>
      <c r="OJI105" s="433"/>
      <c r="OJJ105" s="433"/>
      <c r="OJK105" s="433"/>
      <c r="OJL105" s="433"/>
      <c r="OJM105" s="433"/>
      <c r="OJN105" s="433"/>
      <c r="OJO105" s="433"/>
      <c r="OJP105" s="433"/>
      <c r="OJQ105" s="433"/>
      <c r="OJR105" s="433"/>
      <c r="OJS105" s="433"/>
      <c r="OJT105" s="433"/>
      <c r="OJU105" s="433"/>
      <c r="OJV105" s="433"/>
      <c r="OJW105" s="433"/>
      <c r="OJX105" s="433"/>
      <c r="OJY105" s="433"/>
      <c r="OJZ105" s="433"/>
      <c r="OKA105" s="433"/>
      <c r="OKB105" s="433"/>
      <c r="OKC105" s="433"/>
      <c r="OKD105" s="433"/>
      <c r="OKE105" s="433"/>
      <c r="OKF105" s="433"/>
      <c r="OKG105" s="433"/>
      <c r="OKH105" s="433"/>
      <c r="OKI105" s="433"/>
      <c r="OKJ105" s="433"/>
      <c r="OKK105" s="433"/>
      <c r="OKL105" s="433"/>
      <c r="OKM105" s="433"/>
      <c r="OKN105" s="433"/>
      <c r="OKO105" s="433"/>
      <c r="OKP105" s="433"/>
      <c r="OKQ105" s="433"/>
      <c r="OKR105" s="433"/>
      <c r="OKS105" s="433"/>
      <c r="OKT105" s="433"/>
      <c r="OKU105" s="433"/>
      <c r="OKV105" s="433"/>
      <c r="OKW105" s="433"/>
      <c r="OKX105" s="433"/>
      <c r="OKY105" s="433"/>
      <c r="OKZ105" s="433"/>
      <c r="OLA105" s="433"/>
      <c r="OLB105" s="433"/>
      <c r="OLC105" s="433"/>
      <c r="OLD105" s="433"/>
      <c r="OLE105" s="433"/>
      <c r="OLF105" s="433"/>
      <c r="OLG105" s="433"/>
      <c r="OLH105" s="433"/>
      <c r="OLI105" s="433"/>
      <c r="OLJ105" s="433"/>
      <c r="OLK105" s="433"/>
      <c r="OLL105" s="433"/>
      <c r="OLM105" s="433"/>
      <c r="OLN105" s="433"/>
      <c r="OLO105" s="433"/>
      <c r="OLP105" s="433"/>
      <c r="OLQ105" s="433"/>
      <c r="OLR105" s="433"/>
      <c r="OLS105" s="433"/>
      <c r="OLT105" s="433"/>
      <c r="OLU105" s="433"/>
      <c r="OLV105" s="433"/>
      <c r="OLW105" s="433"/>
      <c r="OLX105" s="433"/>
      <c r="OLY105" s="433"/>
      <c r="OLZ105" s="433"/>
      <c r="OMA105" s="433"/>
      <c r="OMB105" s="433"/>
      <c r="OMC105" s="433"/>
      <c r="OMD105" s="433"/>
      <c r="OME105" s="433"/>
      <c r="OMF105" s="433"/>
      <c r="OMG105" s="433"/>
      <c r="OMH105" s="433"/>
      <c r="OMI105" s="433"/>
      <c r="OMJ105" s="433"/>
      <c r="OMK105" s="433"/>
      <c r="OML105" s="433"/>
      <c r="OMM105" s="433"/>
      <c r="OMN105" s="433"/>
      <c r="OMO105" s="433"/>
      <c r="OMP105" s="433"/>
      <c r="OMQ105" s="433"/>
      <c r="OMR105" s="433"/>
      <c r="OMS105" s="433"/>
      <c r="OMT105" s="433"/>
      <c r="OMU105" s="433"/>
      <c r="OMV105" s="433"/>
      <c r="OMW105" s="433"/>
      <c r="OMX105" s="433"/>
      <c r="OMY105" s="433"/>
      <c r="OMZ105" s="433"/>
      <c r="ONA105" s="433"/>
      <c r="ONB105" s="433"/>
      <c r="ONC105" s="433"/>
      <c r="OND105" s="433"/>
      <c r="ONE105" s="433"/>
      <c r="ONF105" s="433"/>
      <c r="ONG105" s="433"/>
      <c r="ONH105" s="433"/>
      <c r="ONI105" s="433"/>
      <c r="ONJ105" s="433"/>
      <c r="ONK105" s="433"/>
      <c r="ONL105" s="433"/>
      <c r="ONM105" s="433"/>
      <c r="ONN105" s="433"/>
      <c r="ONO105" s="433"/>
      <c r="ONP105" s="433"/>
      <c r="ONQ105" s="433"/>
      <c r="ONR105" s="433"/>
      <c r="ONS105" s="433"/>
      <c r="ONT105" s="433"/>
      <c r="ONU105" s="433"/>
      <c r="ONV105" s="433"/>
      <c r="ONW105" s="433"/>
      <c r="ONX105" s="433"/>
      <c r="ONY105" s="433"/>
      <c r="ONZ105" s="433"/>
      <c r="OOA105" s="433"/>
      <c r="OOB105" s="433"/>
      <c r="OOC105" s="433"/>
      <c r="OOD105" s="433"/>
      <c r="OOE105" s="433"/>
      <c r="OOF105" s="433"/>
      <c r="OOG105" s="433"/>
      <c r="OOH105" s="433"/>
      <c r="OOI105" s="433"/>
      <c r="OOJ105" s="433"/>
      <c r="OOK105" s="433"/>
      <c r="OOL105" s="433"/>
      <c r="OOM105" s="433"/>
      <c r="OON105" s="433"/>
      <c r="OOO105" s="433"/>
      <c r="OOP105" s="433"/>
      <c r="OOQ105" s="433"/>
      <c r="OOR105" s="433"/>
      <c r="OOS105" s="433"/>
      <c r="OOT105" s="433"/>
      <c r="OOU105" s="433"/>
      <c r="OOV105" s="433"/>
      <c r="OOW105" s="433"/>
      <c r="OOX105" s="433"/>
      <c r="OOY105" s="433"/>
      <c r="OOZ105" s="433"/>
      <c r="OPA105" s="433"/>
      <c r="OPB105" s="433"/>
      <c r="OPC105" s="433"/>
      <c r="OPD105" s="433"/>
      <c r="OPE105" s="433"/>
      <c r="OPF105" s="433"/>
      <c r="OPG105" s="433"/>
      <c r="OPH105" s="433"/>
      <c r="OPI105" s="433"/>
      <c r="OPJ105" s="433"/>
      <c r="OPK105" s="433"/>
      <c r="OPL105" s="433"/>
      <c r="OPM105" s="433"/>
      <c r="OPN105" s="433"/>
      <c r="OPO105" s="433"/>
      <c r="OPP105" s="433"/>
      <c r="OPQ105" s="433"/>
      <c r="OPR105" s="433"/>
      <c r="OPS105" s="433"/>
      <c r="OPT105" s="433"/>
      <c r="OPU105" s="433"/>
      <c r="OPV105" s="433"/>
      <c r="OPW105" s="433"/>
      <c r="OPX105" s="433"/>
      <c r="OPY105" s="433"/>
      <c r="OPZ105" s="433"/>
      <c r="OQA105" s="433"/>
      <c r="OQB105" s="433"/>
      <c r="OQC105" s="433"/>
      <c r="OQD105" s="433"/>
      <c r="OQE105" s="433"/>
      <c r="OQF105" s="433"/>
      <c r="OQG105" s="433"/>
      <c r="OQH105" s="433"/>
      <c r="OQI105" s="433"/>
      <c r="OQJ105" s="433"/>
      <c r="OQK105" s="433"/>
      <c r="OQL105" s="433"/>
      <c r="OQM105" s="433"/>
      <c r="OQN105" s="433"/>
      <c r="OQO105" s="433"/>
      <c r="OQP105" s="433"/>
      <c r="OQQ105" s="433"/>
      <c r="OQR105" s="433"/>
      <c r="OQS105" s="433"/>
      <c r="OQT105" s="433"/>
      <c r="OQU105" s="433"/>
      <c r="OQV105" s="433"/>
      <c r="OQW105" s="433"/>
      <c r="OQX105" s="433"/>
      <c r="OQY105" s="433"/>
      <c r="OQZ105" s="433"/>
      <c r="ORA105" s="433"/>
      <c r="ORB105" s="433"/>
      <c r="ORC105" s="433"/>
      <c r="ORD105" s="433"/>
      <c r="ORE105" s="433"/>
      <c r="ORF105" s="433"/>
      <c r="ORG105" s="433"/>
      <c r="ORH105" s="433"/>
      <c r="ORI105" s="433"/>
      <c r="ORJ105" s="433"/>
      <c r="ORK105" s="433"/>
      <c r="ORL105" s="433"/>
      <c r="ORM105" s="433"/>
      <c r="ORN105" s="433"/>
      <c r="ORO105" s="433"/>
      <c r="ORP105" s="433"/>
      <c r="ORQ105" s="433"/>
      <c r="ORR105" s="433"/>
      <c r="ORS105" s="433"/>
      <c r="ORT105" s="433"/>
      <c r="ORU105" s="433"/>
      <c r="ORV105" s="433"/>
      <c r="ORW105" s="433"/>
      <c r="ORX105" s="433"/>
      <c r="ORY105" s="433"/>
      <c r="ORZ105" s="433"/>
      <c r="OSA105" s="433"/>
      <c r="OSB105" s="433"/>
      <c r="OSC105" s="433"/>
      <c r="OSD105" s="433"/>
      <c r="OSE105" s="433"/>
      <c r="OSF105" s="433"/>
      <c r="OSG105" s="433"/>
      <c r="OSH105" s="433"/>
      <c r="OSI105" s="433"/>
      <c r="OSJ105" s="433"/>
      <c r="OSK105" s="433"/>
      <c r="OSL105" s="433"/>
      <c r="OSM105" s="433"/>
      <c r="OSN105" s="433"/>
      <c r="OSO105" s="433"/>
      <c r="OSP105" s="433"/>
      <c r="OSQ105" s="433"/>
      <c r="OSR105" s="433"/>
      <c r="OSS105" s="433"/>
      <c r="OST105" s="433"/>
      <c r="OSU105" s="433"/>
      <c r="OSV105" s="433"/>
      <c r="OSW105" s="433"/>
      <c r="OSX105" s="433"/>
      <c r="OSY105" s="433"/>
      <c r="OSZ105" s="433"/>
      <c r="OTA105" s="433"/>
      <c r="OTB105" s="433"/>
      <c r="OTC105" s="433"/>
      <c r="OTD105" s="433"/>
      <c r="OTE105" s="433"/>
      <c r="OTF105" s="433"/>
      <c r="OTG105" s="433"/>
      <c r="OTH105" s="433"/>
      <c r="OTI105" s="433"/>
      <c r="OTJ105" s="433"/>
      <c r="OTK105" s="433"/>
      <c r="OTL105" s="433"/>
      <c r="OTM105" s="433"/>
      <c r="OTN105" s="433"/>
      <c r="OTO105" s="433"/>
      <c r="OTP105" s="433"/>
      <c r="OTQ105" s="433"/>
      <c r="OTR105" s="433"/>
      <c r="OTS105" s="433"/>
      <c r="OTT105" s="433"/>
      <c r="OTU105" s="433"/>
      <c r="OTV105" s="433"/>
      <c r="OTW105" s="433"/>
      <c r="OTX105" s="433"/>
      <c r="OTY105" s="433"/>
      <c r="OTZ105" s="433"/>
      <c r="OUA105" s="433"/>
      <c r="OUB105" s="433"/>
      <c r="OUC105" s="433"/>
      <c r="OUD105" s="433"/>
      <c r="OUE105" s="433"/>
      <c r="OUF105" s="433"/>
      <c r="OUG105" s="433"/>
      <c r="OUH105" s="433"/>
      <c r="OUI105" s="433"/>
      <c r="OUJ105" s="433"/>
      <c r="OUK105" s="433"/>
      <c r="OUL105" s="433"/>
      <c r="OUM105" s="433"/>
      <c r="OUN105" s="433"/>
      <c r="OUO105" s="433"/>
      <c r="OUP105" s="433"/>
      <c r="OUQ105" s="433"/>
      <c r="OUR105" s="433"/>
      <c r="OUS105" s="433"/>
      <c r="OUT105" s="433"/>
      <c r="OUU105" s="433"/>
      <c r="OUV105" s="433"/>
      <c r="OUW105" s="433"/>
      <c r="OUX105" s="433"/>
      <c r="OUY105" s="433"/>
      <c r="OUZ105" s="433"/>
      <c r="OVA105" s="433"/>
      <c r="OVB105" s="433"/>
      <c r="OVC105" s="433"/>
      <c r="OVD105" s="433"/>
      <c r="OVE105" s="433"/>
      <c r="OVF105" s="433"/>
      <c r="OVG105" s="433"/>
      <c r="OVH105" s="433"/>
      <c r="OVI105" s="433"/>
      <c r="OVJ105" s="433"/>
      <c r="OVK105" s="433"/>
      <c r="OVL105" s="433"/>
      <c r="OVM105" s="433"/>
      <c r="OVN105" s="433"/>
      <c r="OVO105" s="433"/>
      <c r="OVP105" s="433"/>
      <c r="OVQ105" s="433"/>
      <c r="OVR105" s="433"/>
      <c r="OVS105" s="433"/>
      <c r="OVT105" s="433"/>
      <c r="OVU105" s="433"/>
      <c r="OVV105" s="433"/>
      <c r="OVW105" s="433"/>
      <c r="OVX105" s="433"/>
      <c r="OVY105" s="433"/>
      <c r="OVZ105" s="433"/>
      <c r="OWA105" s="433"/>
      <c r="OWB105" s="433"/>
      <c r="OWC105" s="433"/>
      <c r="OWD105" s="433"/>
      <c r="OWE105" s="433"/>
      <c r="OWF105" s="433"/>
      <c r="OWG105" s="433"/>
      <c r="OWH105" s="433"/>
      <c r="OWI105" s="433"/>
      <c r="OWJ105" s="433"/>
      <c r="OWK105" s="433"/>
      <c r="OWL105" s="433"/>
      <c r="OWM105" s="433"/>
      <c r="OWN105" s="433"/>
      <c r="OWO105" s="433"/>
      <c r="OWP105" s="433"/>
      <c r="OWQ105" s="433"/>
      <c r="OWR105" s="433"/>
      <c r="OWS105" s="433"/>
      <c r="OWT105" s="433"/>
      <c r="OWU105" s="433"/>
      <c r="OWV105" s="433"/>
      <c r="OWW105" s="433"/>
      <c r="OWX105" s="433"/>
      <c r="OWY105" s="433"/>
      <c r="OWZ105" s="433"/>
      <c r="OXA105" s="433"/>
      <c r="OXB105" s="433"/>
      <c r="OXC105" s="433"/>
      <c r="OXD105" s="433"/>
      <c r="OXE105" s="433"/>
      <c r="OXF105" s="433"/>
      <c r="OXG105" s="433"/>
      <c r="OXH105" s="433"/>
      <c r="OXI105" s="433"/>
      <c r="OXJ105" s="433"/>
      <c r="OXK105" s="433"/>
      <c r="OXL105" s="433"/>
      <c r="OXM105" s="433"/>
      <c r="OXN105" s="433"/>
      <c r="OXO105" s="433"/>
      <c r="OXP105" s="433"/>
      <c r="OXQ105" s="433"/>
      <c r="OXR105" s="433"/>
      <c r="OXS105" s="433"/>
      <c r="OXT105" s="433"/>
      <c r="OXU105" s="433"/>
      <c r="OXV105" s="433"/>
      <c r="OXW105" s="433"/>
      <c r="OXX105" s="433"/>
      <c r="OXY105" s="433"/>
      <c r="OXZ105" s="433"/>
      <c r="OYA105" s="433"/>
      <c r="OYB105" s="433"/>
      <c r="OYC105" s="433"/>
      <c r="OYD105" s="433"/>
      <c r="OYE105" s="433"/>
      <c r="OYF105" s="433"/>
      <c r="OYG105" s="433"/>
      <c r="OYH105" s="433"/>
      <c r="OYI105" s="433"/>
      <c r="OYJ105" s="433"/>
      <c r="OYK105" s="433"/>
      <c r="OYL105" s="433"/>
      <c r="OYM105" s="433"/>
      <c r="OYN105" s="433"/>
      <c r="OYO105" s="433"/>
      <c r="OYP105" s="433"/>
      <c r="OYQ105" s="433"/>
      <c r="OYR105" s="433"/>
      <c r="OYS105" s="433"/>
      <c r="OYT105" s="433"/>
      <c r="OYU105" s="433"/>
      <c r="OYV105" s="433"/>
      <c r="OYW105" s="433"/>
      <c r="OYX105" s="433"/>
      <c r="OYY105" s="433"/>
      <c r="OYZ105" s="433"/>
      <c r="OZA105" s="433"/>
      <c r="OZB105" s="433"/>
      <c r="OZC105" s="433"/>
      <c r="OZD105" s="433"/>
      <c r="OZE105" s="433"/>
      <c r="OZF105" s="433"/>
      <c r="OZG105" s="433"/>
      <c r="OZH105" s="433"/>
      <c r="OZI105" s="433"/>
      <c r="OZJ105" s="433"/>
      <c r="OZK105" s="433"/>
      <c r="OZL105" s="433"/>
      <c r="OZM105" s="433"/>
      <c r="OZN105" s="433"/>
      <c r="OZO105" s="433"/>
      <c r="OZP105" s="433"/>
      <c r="OZQ105" s="433"/>
      <c r="OZR105" s="433"/>
      <c r="OZS105" s="433"/>
      <c r="OZT105" s="433"/>
      <c r="OZU105" s="433"/>
      <c r="OZV105" s="433"/>
      <c r="OZW105" s="433"/>
      <c r="OZX105" s="433"/>
      <c r="OZY105" s="433"/>
      <c r="OZZ105" s="433"/>
      <c r="PAA105" s="433"/>
      <c r="PAB105" s="433"/>
      <c r="PAC105" s="433"/>
      <c r="PAD105" s="433"/>
      <c r="PAE105" s="433"/>
      <c r="PAF105" s="433"/>
      <c r="PAG105" s="433"/>
      <c r="PAH105" s="433"/>
      <c r="PAI105" s="433"/>
      <c r="PAJ105" s="433"/>
      <c r="PAK105" s="433"/>
      <c r="PAL105" s="433"/>
      <c r="PAM105" s="433"/>
      <c r="PAN105" s="433"/>
      <c r="PAO105" s="433"/>
      <c r="PAP105" s="433"/>
      <c r="PAQ105" s="433"/>
      <c r="PAR105" s="433"/>
      <c r="PAS105" s="433"/>
      <c r="PAT105" s="433"/>
      <c r="PAU105" s="433"/>
      <c r="PAV105" s="433"/>
      <c r="PAW105" s="433"/>
      <c r="PAX105" s="433"/>
      <c r="PAY105" s="433"/>
      <c r="PAZ105" s="433"/>
      <c r="PBA105" s="433"/>
      <c r="PBB105" s="433"/>
      <c r="PBC105" s="433"/>
      <c r="PBD105" s="433"/>
      <c r="PBE105" s="433"/>
      <c r="PBF105" s="433"/>
      <c r="PBG105" s="433"/>
      <c r="PBH105" s="433"/>
      <c r="PBI105" s="433"/>
      <c r="PBJ105" s="433"/>
      <c r="PBK105" s="433"/>
      <c r="PBL105" s="433"/>
      <c r="PBM105" s="433"/>
      <c r="PBN105" s="433"/>
      <c r="PBO105" s="433"/>
      <c r="PBP105" s="433"/>
      <c r="PBQ105" s="433"/>
      <c r="PBR105" s="433"/>
      <c r="PBS105" s="433"/>
      <c r="PBT105" s="433"/>
      <c r="PBU105" s="433"/>
      <c r="PBV105" s="433"/>
      <c r="PBW105" s="433"/>
      <c r="PBX105" s="433"/>
      <c r="PBY105" s="433"/>
      <c r="PBZ105" s="433"/>
      <c r="PCA105" s="433"/>
      <c r="PCB105" s="433"/>
      <c r="PCC105" s="433"/>
      <c r="PCD105" s="433"/>
      <c r="PCE105" s="433"/>
      <c r="PCF105" s="433"/>
      <c r="PCG105" s="433"/>
      <c r="PCH105" s="433"/>
      <c r="PCI105" s="433"/>
      <c r="PCJ105" s="433"/>
      <c r="PCK105" s="433"/>
      <c r="PCL105" s="433"/>
      <c r="PCM105" s="433"/>
      <c r="PCN105" s="433"/>
      <c r="PCO105" s="433"/>
      <c r="PCP105" s="433"/>
      <c r="PCQ105" s="433"/>
      <c r="PCR105" s="433"/>
      <c r="PCS105" s="433"/>
      <c r="PCT105" s="433"/>
      <c r="PCU105" s="433"/>
      <c r="PCV105" s="433"/>
      <c r="PCW105" s="433"/>
      <c r="PCX105" s="433"/>
      <c r="PCY105" s="433"/>
      <c r="PCZ105" s="433"/>
      <c r="PDA105" s="433"/>
      <c r="PDB105" s="433"/>
      <c r="PDC105" s="433"/>
      <c r="PDD105" s="433"/>
      <c r="PDE105" s="433"/>
      <c r="PDF105" s="433"/>
      <c r="PDG105" s="433"/>
      <c r="PDH105" s="433"/>
      <c r="PDI105" s="433"/>
      <c r="PDJ105" s="433"/>
      <c r="PDK105" s="433"/>
      <c r="PDL105" s="433"/>
      <c r="PDM105" s="433"/>
      <c r="PDN105" s="433"/>
      <c r="PDO105" s="433"/>
      <c r="PDP105" s="433"/>
      <c r="PDQ105" s="433"/>
      <c r="PDR105" s="433"/>
      <c r="PDS105" s="433"/>
      <c r="PDT105" s="433"/>
      <c r="PDU105" s="433"/>
      <c r="PDV105" s="433"/>
      <c r="PDW105" s="433"/>
      <c r="PDX105" s="433"/>
      <c r="PDY105" s="433"/>
      <c r="PDZ105" s="433"/>
      <c r="PEA105" s="433"/>
      <c r="PEB105" s="433"/>
      <c r="PEC105" s="433"/>
      <c r="PED105" s="433"/>
      <c r="PEE105" s="433"/>
      <c r="PEF105" s="433"/>
      <c r="PEG105" s="433"/>
      <c r="PEH105" s="433"/>
      <c r="PEI105" s="433"/>
      <c r="PEJ105" s="433"/>
      <c r="PEK105" s="433"/>
      <c r="PEL105" s="433"/>
      <c r="PEM105" s="433"/>
      <c r="PEN105" s="433"/>
      <c r="PEO105" s="433"/>
      <c r="PEP105" s="433"/>
      <c r="PEQ105" s="433"/>
      <c r="PER105" s="433"/>
      <c r="PES105" s="433"/>
      <c r="PET105" s="433"/>
      <c r="PEU105" s="433"/>
      <c r="PEV105" s="433"/>
      <c r="PEW105" s="433"/>
      <c r="PEX105" s="433"/>
      <c r="PEY105" s="433"/>
      <c r="PEZ105" s="433"/>
      <c r="PFA105" s="433"/>
      <c r="PFB105" s="433"/>
      <c r="PFC105" s="433"/>
      <c r="PFD105" s="433"/>
      <c r="PFE105" s="433"/>
      <c r="PFF105" s="433"/>
      <c r="PFG105" s="433"/>
      <c r="PFH105" s="433"/>
      <c r="PFI105" s="433"/>
      <c r="PFJ105" s="433"/>
      <c r="PFK105" s="433"/>
      <c r="PFL105" s="433"/>
      <c r="PFM105" s="433"/>
      <c r="PFN105" s="433"/>
      <c r="PFO105" s="433"/>
      <c r="PFP105" s="433"/>
      <c r="PFQ105" s="433"/>
      <c r="PFR105" s="433"/>
      <c r="PFS105" s="433"/>
      <c r="PFT105" s="433"/>
      <c r="PFU105" s="433"/>
      <c r="PFV105" s="433"/>
      <c r="PFW105" s="433"/>
      <c r="PFX105" s="433"/>
      <c r="PFY105" s="433"/>
      <c r="PFZ105" s="433"/>
      <c r="PGA105" s="433"/>
      <c r="PGB105" s="433"/>
      <c r="PGC105" s="433"/>
      <c r="PGD105" s="433"/>
      <c r="PGE105" s="433"/>
      <c r="PGF105" s="433"/>
      <c r="PGG105" s="433"/>
      <c r="PGH105" s="433"/>
      <c r="PGI105" s="433"/>
      <c r="PGJ105" s="433"/>
      <c r="PGK105" s="433"/>
      <c r="PGL105" s="433"/>
      <c r="PGM105" s="433"/>
      <c r="PGN105" s="433"/>
      <c r="PGO105" s="433"/>
      <c r="PGP105" s="433"/>
      <c r="PGQ105" s="433"/>
      <c r="PGR105" s="433"/>
      <c r="PGS105" s="433"/>
      <c r="PGT105" s="433"/>
      <c r="PGU105" s="433"/>
      <c r="PGV105" s="433"/>
      <c r="PGW105" s="433"/>
      <c r="PGX105" s="433"/>
      <c r="PGY105" s="433"/>
      <c r="PGZ105" s="433"/>
      <c r="PHA105" s="433"/>
      <c r="PHB105" s="433"/>
      <c r="PHC105" s="433"/>
      <c r="PHD105" s="433"/>
      <c r="PHE105" s="433"/>
      <c r="PHF105" s="433"/>
      <c r="PHG105" s="433"/>
      <c r="PHH105" s="433"/>
      <c r="PHI105" s="433"/>
      <c r="PHJ105" s="433"/>
      <c r="PHK105" s="433"/>
      <c r="PHL105" s="433"/>
      <c r="PHM105" s="433"/>
      <c r="PHN105" s="433"/>
      <c r="PHO105" s="433"/>
      <c r="PHP105" s="433"/>
      <c r="PHQ105" s="433"/>
      <c r="PHR105" s="433"/>
      <c r="PHS105" s="433"/>
      <c r="PHT105" s="433"/>
      <c r="PHU105" s="433"/>
      <c r="PHV105" s="433"/>
      <c r="PHW105" s="433"/>
      <c r="PHX105" s="433"/>
      <c r="PHY105" s="433"/>
      <c r="PHZ105" s="433"/>
      <c r="PIA105" s="433"/>
      <c r="PIB105" s="433"/>
      <c r="PIC105" s="433"/>
      <c r="PID105" s="433"/>
      <c r="PIE105" s="433"/>
      <c r="PIF105" s="433"/>
      <c r="PIG105" s="433"/>
      <c r="PIH105" s="433"/>
      <c r="PII105" s="433"/>
      <c r="PIJ105" s="433"/>
      <c r="PIK105" s="433"/>
      <c r="PIL105" s="433"/>
      <c r="PIM105" s="433"/>
      <c r="PIN105" s="433"/>
      <c r="PIO105" s="433"/>
      <c r="PIP105" s="433"/>
      <c r="PIQ105" s="433"/>
      <c r="PIR105" s="433"/>
      <c r="PIS105" s="433"/>
      <c r="PIT105" s="433"/>
      <c r="PIU105" s="433"/>
      <c r="PIV105" s="433"/>
      <c r="PIW105" s="433"/>
      <c r="PIX105" s="433"/>
      <c r="PIY105" s="433"/>
      <c r="PIZ105" s="433"/>
      <c r="PJA105" s="433"/>
      <c r="PJB105" s="433"/>
      <c r="PJC105" s="433"/>
      <c r="PJD105" s="433"/>
      <c r="PJE105" s="433"/>
      <c r="PJF105" s="433"/>
      <c r="PJG105" s="433"/>
      <c r="PJH105" s="433"/>
      <c r="PJI105" s="433"/>
      <c r="PJJ105" s="433"/>
      <c r="PJK105" s="433"/>
      <c r="PJL105" s="433"/>
      <c r="PJM105" s="433"/>
      <c r="PJN105" s="433"/>
      <c r="PJO105" s="433"/>
      <c r="PJP105" s="433"/>
      <c r="PJQ105" s="433"/>
      <c r="PJR105" s="433"/>
      <c r="PJS105" s="433"/>
      <c r="PJT105" s="433"/>
      <c r="PJU105" s="433"/>
      <c r="PJV105" s="433"/>
      <c r="PJW105" s="433"/>
      <c r="PJX105" s="433"/>
      <c r="PJY105" s="433"/>
      <c r="PJZ105" s="433"/>
      <c r="PKA105" s="433"/>
      <c r="PKB105" s="433"/>
      <c r="PKC105" s="433"/>
      <c r="PKD105" s="433"/>
      <c r="PKE105" s="433"/>
      <c r="PKF105" s="433"/>
      <c r="PKG105" s="433"/>
      <c r="PKH105" s="433"/>
      <c r="PKI105" s="433"/>
      <c r="PKJ105" s="433"/>
      <c r="PKK105" s="433"/>
      <c r="PKL105" s="433"/>
      <c r="PKM105" s="433"/>
      <c r="PKN105" s="433"/>
      <c r="PKO105" s="433"/>
      <c r="PKP105" s="433"/>
      <c r="PKQ105" s="433"/>
      <c r="PKR105" s="433"/>
      <c r="PKS105" s="433"/>
      <c r="PKT105" s="433"/>
      <c r="PKU105" s="433"/>
      <c r="PKV105" s="433"/>
      <c r="PKW105" s="433"/>
      <c r="PKX105" s="433"/>
      <c r="PKY105" s="433"/>
      <c r="PKZ105" s="433"/>
      <c r="PLA105" s="433"/>
      <c r="PLB105" s="433"/>
      <c r="PLC105" s="433"/>
      <c r="PLD105" s="433"/>
      <c r="PLE105" s="433"/>
      <c r="PLF105" s="433"/>
      <c r="PLG105" s="433"/>
      <c r="PLH105" s="433"/>
      <c r="PLI105" s="433"/>
      <c r="PLJ105" s="433"/>
      <c r="PLK105" s="433"/>
      <c r="PLL105" s="433"/>
      <c r="PLM105" s="433"/>
      <c r="PLN105" s="433"/>
      <c r="PLO105" s="433"/>
      <c r="PLP105" s="433"/>
      <c r="PLQ105" s="433"/>
      <c r="PLR105" s="433"/>
      <c r="PLS105" s="433"/>
      <c r="PLT105" s="433"/>
      <c r="PLU105" s="433"/>
      <c r="PLV105" s="433"/>
      <c r="PLW105" s="433"/>
      <c r="PLX105" s="433"/>
      <c r="PLY105" s="433"/>
      <c r="PLZ105" s="433"/>
      <c r="PMA105" s="433"/>
      <c r="PMB105" s="433"/>
      <c r="PMC105" s="433"/>
      <c r="PMD105" s="433"/>
      <c r="PME105" s="433"/>
      <c r="PMF105" s="433"/>
      <c r="PMG105" s="433"/>
      <c r="PMH105" s="433"/>
      <c r="PMI105" s="433"/>
      <c r="PMJ105" s="433"/>
      <c r="PMK105" s="433"/>
      <c r="PML105" s="433"/>
      <c r="PMM105" s="433"/>
      <c r="PMN105" s="433"/>
      <c r="PMO105" s="433"/>
      <c r="PMP105" s="433"/>
      <c r="PMQ105" s="433"/>
      <c r="PMR105" s="433"/>
      <c r="PMS105" s="433"/>
      <c r="PMT105" s="433"/>
      <c r="PMU105" s="433"/>
      <c r="PMV105" s="433"/>
      <c r="PMW105" s="433"/>
      <c r="PMX105" s="433"/>
      <c r="PMY105" s="433"/>
      <c r="PMZ105" s="433"/>
      <c r="PNA105" s="433"/>
      <c r="PNB105" s="433"/>
      <c r="PNC105" s="433"/>
      <c r="PND105" s="433"/>
      <c r="PNE105" s="433"/>
      <c r="PNF105" s="433"/>
      <c r="PNG105" s="433"/>
      <c r="PNH105" s="433"/>
      <c r="PNI105" s="433"/>
      <c r="PNJ105" s="433"/>
      <c r="PNK105" s="433"/>
      <c r="PNL105" s="433"/>
      <c r="PNM105" s="433"/>
      <c r="PNN105" s="433"/>
      <c r="PNO105" s="433"/>
      <c r="PNP105" s="433"/>
      <c r="PNQ105" s="433"/>
      <c r="PNR105" s="433"/>
      <c r="PNS105" s="433"/>
      <c r="PNT105" s="433"/>
      <c r="PNU105" s="433"/>
      <c r="PNV105" s="433"/>
      <c r="PNW105" s="433"/>
      <c r="PNX105" s="433"/>
      <c r="PNY105" s="433"/>
      <c r="PNZ105" s="433"/>
      <c r="POA105" s="433"/>
      <c r="POB105" s="433"/>
      <c r="POC105" s="433"/>
      <c r="POD105" s="433"/>
      <c r="POE105" s="433"/>
      <c r="POF105" s="433"/>
      <c r="POG105" s="433"/>
      <c r="POH105" s="433"/>
      <c r="POI105" s="433"/>
      <c r="POJ105" s="433"/>
      <c r="POK105" s="433"/>
      <c r="POL105" s="433"/>
      <c r="POM105" s="433"/>
      <c r="PON105" s="433"/>
      <c r="POO105" s="433"/>
      <c r="POP105" s="433"/>
      <c r="POQ105" s="433"/>
      <c r="POR105" s="433"/>
      <c r="POS105" s="433"/>
      <c r="POT105" s="433"/>
      <c r="POU105" s="433"/>
      <c r="POV105" s="433"/>
      <c r="POW105" s="433"/>
      <c r="POX105" s="433"/>
      <c r="POY105" s="433"/>
      <c r="POZ105" s="433"/>
      <c r="PPA105" s="433"/>
      <c r="PPB105" s="433"/>
      <c r="PPC105" s="433"/>
      <c r="PPD105" s="433"/>
      <c r="PPE105" s="433"/>
      <c r="PPF105" s="433"/>
      <c r="PPG105" s="433"/>
      <c r="PPH105" s="433"/>
      <c r="PPI105" s="433"/>
      <c r="PPJ105" s="433"/>
      <c r="PPK105" s="433"/>
      <c r="PPL105" s="433"/>
      <c r="PPM105" s="433"/>
      <c r="PPN105" s="433"/>
      <c r="PPO105" s="433"/>
      <c r="PPP105" s="433"/>
      <c r="PPQ105" s="433"/>
      <c r="PPR105" s="433"/>
      <c r="PPS105" s="433"/>
      <c r="PPT105" s="433"/>
      <c r="PPU105" s="433"/>
      <c r="PPV105" s="433"/>
      <c r="PPW105" s="433"/>
      <c r="PPX105" s="433"/>
      <c r="PPY105" s="433"/>
      <c r="PPZ105" s="433"/>
      <c r="PQA105" s="433"/>
      <c r="PQB105" s="433"/>
      <c r="PQC105" s="433"/>
      <c r="PQD105" s="433"/>
      <c r="PQE105" s="433"/>
      <c r="PQF105" s="433"/>
      <c r="PQG105" s="433"/>
      <c r="PQH105" s="433"/>
      <c r="PQI105" s="433"/>
      <c r="PQJ105" s="433"/>
      <c r="PQK105" s="433"/>
      <c r="PQL105" s="433"/>
      <c r="PQM105" s="433"/>
      <c r="PQN105" s="433"/>
      <c r="PQO105" s="433"/>
      <c r="PQP105" s="433"/>
      <c r="PQQ105" s="433"/>
      <c r="PQR105" s="433"/>
      <c r="PQS105" s="433"/>
      <c r="PQT105" s="433"/>
      <c r="PQU105" s="433"/>
      <c r="PQV105" s="433"/>
      <c r="PQW105" s="433"/>
      <c r="PQX105" s="433"/>
      <c r="PQY105" s="433"/>
      <c r="PQZ105" s="433"/>
      <c r="PRA105" s="433"/>
      <c r="PRB105" s="433"/>
      <c r="PRC105" s="433"/>
      <c r="PRD105" s="433"/>
      <c r="PRE105" s="433"/>
      <c r="PRF105" s="433"/>
      <c r="PRG105" s="433"/>
      <c r="PRH105" s="433"/>
      <c r="PRI105" s="433"/>
      <c r="PRJ105" s="433"/>
      <c r="PRK105" s="433"/>
      <c r="PRL105" s="433"/>
      <c r="PRM105" s="433"/>
      <c r="PRN105" s="433"/>
      <c r="PRO105" s="433"/>
      <c r="PRP105" s="433"/>
      <c r="PRQ105" s="433"/>
      <c r="PRR105" s="433"/>
      <c r="PRS105" s="433"/>
      <c r="PRT105" s="433"/>
      <c r="PRU105" s="433"/>
      <c r="PRV105" s="433"/>
      <c r="PRW105" s="433"/>
      <c r="PRX105" s="433"/>
      <c r="PRY105" s="433"/>
      <c r="PRZ105" s="433"/>
      <c r="PSA105" s="433"/>
      <c r="PSB105" s="433"/>
      <c r="PSC105" s="433"/>
      <c r="PSD105" s="433"/>
      <c r="PSE105" s="433"/>
      <c r="PSF105" s="433"/>
      <c r="PSG105" s="433"/>
      <c r="PSH105" s="433"/>
      <c r="PSI105" s="433"/>
      <c r="PSJ105" s="433"/>
      <c r="PSK105" s="433"/>
      <c r="PSL105" s="433"/>
      <c r="PSM105" s="433"/>
      <c r="PSN105" s="433"/>
      <c r="PSO105" s="433"/>
      <c r="PSP105" s="433"/>
      <c r="PSQ105" s="433"/>
      <c r="PSR105" s="433"/>
      <c r="PSS105" s="433"/>
      <c r="PST105" s="433"/>
      <c r="PSU105" s="433"/>
      <c r="PSV105" s="433"/>
      <c r="PSW105" s="433"/>
      <c r="PSX105" s="433"/>
      <c r="PSY105" s="433"/>
      <c r="PSZ105" s="433"/>
      <c r="PTA105" s="433"/>
      <c r="PTB105" s="433"/>
      <c r="PTC105" s="433"/>
      <c r="PTD105" s="433"/>
      <c r="PTE105" s="433"/>
      <c r="PTF105" s="433"/>
      <c r="PTG105" s="433"/>
      <c r="PTH105" s="433"/>
      <c r="PTI105" s="433"/>
      <c r="PTJ105" s="433"/>
      <c r="PTK105" s="433"/>
      <c r="PTL105" s="433"/>
      <c r="PTM105" s="433"/>
      <c r="PTN105" s="433"/>
      <c r="PTO105" s="433"/>
      <c r="PTP105" s="433"/>
      <c r="PTQ105" s="433"/>
      <c r="PTR105" s="433"/>
      <c r="PTS105" s="433"/>
      <c r="PTT105" s="433"/>
      <c r="PTU105" s="433"/>
      <c r="PTV105" s="433"/>
      <c r="PTW105" s="433"/>
      <c r="PTX105" s="433"/>
      <c r="PTY105" s="433"/>
      <c r="PTZ105" s="433"/>
      <c r="PUA105" s="433"/>
      <c r="PUB105" s="433"/>
      <c r="PUC105" s="433"/>
      <c r="PUD105" s="433"/>
      <c r="PUE105" s="433"/>
      <c r="PUF105" s="433"/>
      <c r="PUG105" s="433"/>
      <c r="PUH105" s="433"/>
      <c r="PUI105" s="433"/>
      <c r="PUJ105" s="433"/>
      <c r="PUK105" s="433"/>
      <c r="PUL105" s="433"/>
      <c r="PUM105" s="433"/>
      <c r="PUN105" s="433"/>
      <c r="PUO105" s="433"/>
      <c r="PUP105" s="433"/>
      <c r="PUQ105" s="433"/>
      <c r="PUR105" s="433"/>
      <c r="PUS105" s="433"/>
      <c r="PUT105" s="433"/>
      <c r="PUU105" s="433"/>
      <c r="PUV105" s="433"/>
      <c r="PUW105" s="433"/>
      <c r="PUX105" s="433"/>
      <c r="PUY105" s="433"/>
      <c r="PUZ105" s="433"/>
      <c r="PVA105" s="433"/>
      <c r="PVB105" s="433"/>
      <c r="PVC105" s="433"/>
      <c r="PVD105" s="433"/>
      <c r="PVE105" s="433"/>
      <c r="PVF105" s="433"/>
      <c r="PVG105" s="433"/>
      <c r="PVH105" s="433"/>
      <c r="PVI105" s="433"/>
      <c r="PVJ105" s="433"/>
      <c r="PVK105" s="433"/>
      <c r="PVL105" s="433"/>
      <c r="PVM105" s="433"/>
      <c r="PVN105" s="433"/>
      <c r="PVO105" s="433"/>
      <c r="PVP105" s="433"/>
      <c r="PVQ105" s="433"/>
      <c r="PVR105" s="433"/>
      <c r="PVS105" s="433"/>
      <c r="PVT105" s="433"/>
      <c r="PVU105" s="433"/>
      <c r="PVV105" s="433"/>
      <c r="PVW105" s="433"/>
      <c r="PVX105" s="433"/>
      <c r="PVY105" s="433"/>
      <c r="PVZ105" s="433"/>
      <c r="PWA105" s="433"/>
      <c r="PWB105" s="433"/>
      <c r="PWC105" s="433"/>
      <c r="PWD105" s="433"/>
      <c r="PWE105" s="433"/>
      <c r="PWF105" s="433"/>
      <c r="PWG105" s="433"/>
      <c r="PWH105" s="433"/>
      <c r="PWI105" s="433"/>
      <c r="PWJ105" s="433"/>
      <c r="PWK105" s="433"/>
      <c r="PWL105" s="433"/>
      <c r="PWM105" s="433"/>
      <c r="PWN105" s="433"/>
      <c r="PWO105" s="433"/>
      <c r="PWP105" s="433"/>
      <c r="PWQ105" s="433"/>
      <c r="PWR105" s="433"/>
      <c r="PWS105" s="433"/>
      <c r="PWT105" s="433"/>
      <c r="PWU105" s="433"/>
      <c r="PWV105" s="433"/>
      <c r="PWW105" s="433"/>
      <c r="PWX105" s="433"/>
      <c r="PWY105" s="433"/>
      <c r="PWZ105" s="433"/>
      <c r="PXA105" s="433"/>
      <c r="PXB105" s="433"/>
      <c r="PXC105" s="433"/>
      <c r="PXD105" s="433"/>
      <c r="PXE105" s="433"/>
      <c r="PXF105" s="433"/>
      <c r="PXG105" s="433"/>
      <c r="PXH105" s="433"/>
      <c r="PXI105" s="433"/>
      <c r="PXJ105" s="433"/>
      <c r="PXK105" s="433"/>
      <c r="PXL105" s="433"/>
      <c r="PXM105" s="433"/>
      <c r="PXN105" s="433"/>
      <c r="PXO105" s="433"/>
      <c r="PXP105" s="433"/>
      <c r="PXQ105" s="433"/>
      <c r="PXR105" s="433"/>
      <c r="PXS105" s="433"/>
      <c r="PXT105" s="433"/>
      <c r="PXU105" s="433"/>
      <c r="PXV105" s="433"/>
      <c r="PXW105" s="433"/>
      <c r="PXX105" s="433"/>
      <c r="PXY105" s="433"/>
      <c r="PXZ105" s="433"/>
      <c r="PYA105" s="433"/>
      <c r="PYB105" s="433"/>
      <c r="PYC105" s="433"/>
      <c r="PYD105" s="433"/>
      <c r="PYE105" s="433"/>
      <c r="PYF105" s="433"/>
      <c r="PYG105" s="433"/>
      <c r="PYH105" s="433"/>
      <c r="PYI105" s="433"/>
      <c r="PYJ105" s="433"/>
      <c r="PYK105" s="433"/>
      <c r="PYL105" s="433"/>
      <c r="PYM105" s="433"/>
      <c r="PYN105" s="433"/>
      <c r="PYO105" s="433"/>
      <c r="PYP105" s="433"/>
      <c r="PYQ105" s="433"/>
      <c r="PYR105" s="433"/>
      <c r="PYS105" s="433"/>
      <c r="PYT105" s="433"/>
      <c r="PYU105" s="433"/>
      <c r="PYV105" s="433"/>
      <c r="PYW105" s="433"/>
      <c r="PYX105" s="433"/>
      <c r="PYY105" s="433"/>
      <c r="PYZ105" s="433"/>
      <c r="PZA105" s="433"/>
      <c r="PZB105" s="433"/>
      <c r="PZC105" s="433"/>
      <c r="PZD105" s="433"/>
      <c r="PZE105" s="433"/>
      <c r="PZF105" s="433"/>
      <c r="PZG105" s="433"/>
      <c r="PZH105" s="433"/>
      <c r="PZI105" s="433"/>
      <c r="PZJ105" s="433"/>
      <c r="PZK105" s="433"/>
      <c r="PZL105" s="433"/>
      <c r="PZM105" s="433"/>
      <c r="PZN105" s="433"/>
      <c r="PZO105" s="433"/>
      <c r="PZP105" s="433"/>
      <c r="PZQ105" s="433"/>
      <c r="PZR105" s="433"/>
      <c r="PZS105" s="433"/>
      <c r="PZT105" s="433"/>
      <c r="PZU105" s="433"/>
      <c r="PZV105" s="433"/>
      <c r="PZW105" s="433"/>
      <c r="PZX105" s="433"/>
      <c r="PZY105" s="433"/>
      <c r="PZZ105" s="433"/>
      <c r="QAA105" s="433"/>
      <c r="QAB105" s="433"/>
      <c r="QAC105" s="433"/>
      <c r="QAD105" s="433"/>
      <c r="QAE105" s="433"/>
      <c r="QAF105" s="433"/>
      <c r="QAG105" s="433"/>
      <c r="QAH105" s="433"/>
      <c r="QAI105" s="433"/>
      <c r="QAJ105" s="433"/>
      <c r="QAK105" s="433"/>
      <c r="QAL105" s="433"/>
      <c r="QAM105" s="433"/>
      <c r="QAN105" s="433"/>
      <c r="QAO105" s="433"/>
      <c r="QAP105" s="433"/>
      <c r="QAQ105" s="433"/>
      <c r="QAR105" s="433"/>
      <c r="QAS105" s="433"/>
      <c r="QAT105" s="433"/>
      <c r="QAU105" s="433"/>
      <c r="QAV105" s="433"/>
      <c r="QAW105" s="433"/>
      <c r="QAX105" s="433"/>
      <c r="QAY105" s="433"/>
      <c r="QAZ105" s="433"/>
      <c r="QBA105" s="433"/>
      <c r="QBB105" s="433"/>
      <c r="QBC105" s="433"/>
      <c r="QBD105" s="433"/>
      <c r="QBE105" s="433"/>
      <c r="QBF105" s="433"/>
      <c r="QBG105" s="433"/>
      <c r="QBH105" s="433"/>
      <c r="QBI105" s="433"/>
      <c r="QBJ105" s="433"/>
      <c r="QBK105" s="433"/>
      <c r="QBL105" s="433"/>
      <c r="QBM105" s="433"/>
      <c r="QBN105" s="433"/>
      <c r="QBO105" s="433"/>
      <c r="QBP105" s="433"/>
      <c r="QBQ105" s="433"/>
      <c r="QBR105" s="433"/>
      <c r="QBS105" s="433"/>
      <c r="QBT105" s="433"/>
      <c r="QBU105" s="433"/>
      <c r="QBV105" s="433"/>
      <c r="QBW105" s="433"/>
      <c r="QBX105" s="433"/>
      <c r="QBY105" s="433"/>
      <c r="QBZ105" s="433"/>
      <c r="QCA105" s="433"/>
      <c r="QCB105" s="433"/>
      <c r="QCC105" s="433"/>
      <c r="QCD105" s="433"/>
      <c r="QCE105" s="433"/>
      <c r="QCF105" s="433"/>
      <c r="QCG105" s="433"/>
      <c r="QCH105" s="433"/>
      <c r="QCI105" s="433"/>
      <c r="QCJ105" s="433"/>
      <c r="QCK105" s="433"/>
      <c r="QCL105" s="433"/>
      <c r="QCM105" s="433"/>
      <c r="QCN105" s="433"/>
      <c r="QCO105" s="433"/>
      <c r="QCP105" s="433"/>
      <c r="QCQ105" s="433"/>
      <c r="QCR105" s="433"/>
      <c r="QCS105" s="433"/>
      <c r="QCT105" s="433"/>
      <c r="QCU105" s="433"/>
      <c r="QCV105" s="433"/>
      <c r="QCW105" s="433"/>
      <c r="QCX105" s="433"/>
      <c r="QCY105" s="433"/>
      <c r="QCZ105" s="433"/>
      <c r="QDA105" s="433"/>
      <c r="QDB105" s="433"/>
      <c r="QDC105" s="433"/>
      <c r="QDD105" s="433"/>
      <c r="QDE105" s="433"/>
      <c r="QDF105" s="433"/>
      <c r="QDG105" s="433"/>
      <c r="QDH105" s="433"/>
      <c r="QDI105" s="433"/>
      <c r="QDJ105" s="433"/>
      <c r="QDK105" s="433"/>
      <c r="QDL105" s="433"/>
      <c r="QDM105" s="433"/>
      <c r="QDN105" s="433"/>
      <c r="QDO105" s="433"/>
      <c r="QDP105" s="433"/>
      <c r="QDQ105" s="433"/>
      <c r="QDR105" s="433"/>
      <c r="QDS105" s="433"/>
      <c r="QDT105" s="433"/>
      <c r="QDU105" s="433"/>
      <c r="QDV105" s="433"/>
      <c r="QDW105" s="433"/>
      <c r="QDX105" s="433"/>
      <c r="QDY105" s="433"/>
      <c r="QDZ105" s="433"/>
      <c r="QEA105" s="433"/>
      <c r="QEB105" s="433"/>
      <c r="QEC105" s="433"/>
      <c r="QED105" s="433"/>
      <c r="QEE105" s="433"/>
      <c r="QEF105" s="433"/>
      <c r="QEG105" s="433"/>
      <c r="QEH105" s="433"/>
      <c r="QEI105" s="433"/>
      <c r="QEJ105" s="433"/>
      <c r="QEK105" s="433"/>
      <c r="QEL105" s="433"/>
      <c r="QEM105" s="433"/>
      <c r="QEN105" s="433"/>
      <c r="QEO105" s="433"/>
      <c r="QEP105" s="433"/>
      <c r="QEQ105" s="433"/>
      <c r="QER105" s="433"/>
      <c r="QES105" s="433"/>
      <c r="QET105" s="433"/>
      <c r="QEU105" s="433"/>
      <c r="QEV105" s="433"/>
      <c r="QEW105" s="433"/>
      <c r="QEX105" s="433"/>
      <c r="QEY105" s="433"/>
      <c r="QEZ105" s="433"/>
      <c r="QFA105" s="433"/>
      <c r="QFB105" s="433"/>
      <c r="QFC105" s="433"/>
      <c r="QFD105" s="433"/>
      <c r="QFE105" s="433"/>
      <c r="QFF105" s="433"/>
      <c r="QFG105" s="433"/>
      <c r="QFH105" s="433"/>
      <c r="QFI105" s="433"/>
      <c r="QFJ105" s="433"/>
      <c r="QFK105" s="433"/>
      <c r="QFL105" s="433"/>
      <c r="QFM105" s="433"/>
      <c r="QFN105" s="433"/>
      <c r="QFO105" s="433"/>
      <c r="QFP105" s="433"/>
      <c r="QFQ105" s="433"/>
      <c r="QFR105" s="433"/>
      <c r="QFS105" s="433"/>
      <c r="QFT105" s="433"/>
      <c r="QFU105" s="433"/>
      <c r="QFV105" s="433"/>
      <c r="QFW105" s="433"/>
      <c r="QFX105" s="433"/>
      <c r="QFY105" s="433"/>
      <c r="QFZ105" s="433"/>
      <c r="QGA105" s="433"/>
      <c r="QGB105" s="433"/>
      <c r="QGC105" s="433"/>
      <c r="QGD105" s="433"/>
      <c r="QGE105" s="433"/>
      <c r="QGF105" s="433"/>
      <c r="QGG105" s="433"/>
      <c r="QGH105" s="433"/>
      <c r="QGI105" s="433"/>
      <c r="QGJ105" s="433"/>
      <c r="QGK105" s="433"/>
      <c r="QGL105" s="433"/>
      <c r="QGM105" s="433"/>
      <c r="QGN105" s="433"/>
      <c r="QGO105" s="433"/>
      <c r="QGP105" s="433"/>
      <c r="QGQ105" s="433"/>
      <c r="QGR105" s="433"/>
      <c r="QGS105" s="433"/>
      <c r="QGT105" s="433"/>
      <c r="QGU105" s="433"/>
      <c r="QGV105" s="433"/>
      <c r="QGW105" s="433"/>
      <c r="QGX105" s="433"/>
      <c r="QGY105" s="433"/>
      <c r="QGZ105" s="433"/>
      <c r="QHA105" s="433"/>
      <c r="QHB105" s="433"/>
      <c r="QHC105" s="433"/>
      <c r="QHD105" s="433"/>
      <c r="QHE105" s="433"/>
      <c r="QHF105" s="433"/>
      <c r="QHG105" s="433"/>
      <c r="QHH105" s="433"/>
      <c r="QHI105" s="433"/>
      <c r="QHJ105" s="433"/>
      <c r="QHK105" s="433"/>
      <c r="QHL105" s="433"/>
      <c r="QHM105" s="433"/>
      <c r="QHN105" s="433"/>
      <c r="QHO105" s="433"/>
      <c r="QHP105" s="433"/>
      <c r="QHQ105" s="433"/>
      <c r="QHR105" s="433"/>
      <c r="QHS105" s="433"/>
      <c r="QHT105" s="433"/>
      <c r="QHU105" s="433"/>
      <c r="QHV105" s="433"/>
      <c r="QHW105" s="433"/>
      <c r="QHX105" s="433"/>
      <c r="QHY105" s="433"/>
      <c r="QHZ105" s="433"/>
      <c r="QIA105" s="433"/>
      <c r="QIB105" s="433"/>
      <c r="QIC105" s="433"/>
      <c r="QID105" s="433"/>
      <c r="QIE105" s="433"/>
      <c r="QIF105" s="433"/>
      <c r="QIG105" s="433"/>
      <c r="QIH105" s="433"/>
      <c r="QII105" s="433"/>
      <c r="QIJ105" s="433"/>
      <c r="QIK105" s="433"/>
      <c r="QIL105" s="433"/>
      <c r="QIM105" s="433"/>
      <c r="QIN105" s="433"/>
      <c r="QIO105" s="433"/>
      <c r="QIP105" s="433"/>
      <c r="QIQ105" s="433"/>
      <c r="QIR105" s="433"/>
      <c r="QIS105" s="433"/>
      <c r="QIT105" s="433"/>
      <c r="QIU105" s="433"/>
      <c r="QIV105" s="433"/>
      <c r="QIW105" s="433"/>
      <c r="QIX105" s="433"/>
      <c r="QIY105" s="433"/>
      <c r="QIZ105" s="433"/>
      <c r="QJA105" s="433"/>
      <c r="QJB105" s="433"/>
      <c r="QJC105" s="433"/>
      <c r="QJD105" s="433"/>
      <c r="QJE105" s="433"/>
      <c r="QJF105" s="433"/>
      <c r="QJG105" s="433"/>
      <c r="QJH105" s="433"/>
      <c r="QJI105" s="433"/>
      <c r="QJJ105" s="433"/>
      <c r="QJK105" s="433"/>
      <c r="QJL105" s="433"/>
      <c r="QJM105" s="433"/>
      <c r="QJN105" s="433"/>
      <c r="QJO105" s="433"/>
      <c r="QJP105" s="433"/>
      <c r="QJQ105" s="433"/>
      <c r="QJR105" s="433"/>
      <c r="QJS105" s="433"/>
      <c r="QJT105" s="433"/>
      <c r="QJU105" s="433"/>
      <c r="QJV105" s="433"/>
      <c r="QJW105" s="433"/>
      <c r="QJX105" s="433"/>
      <c r="QJY105" s="433"/>
      <c r="QJZ105" s="433"/>
      <c r="QKA105" s="433"/>
      <c r="QKB105" s="433"/>
      <c r="QKC105" s="433"/>
      <c r="QKD105" s="433"/>
      <c r="QKE105" s="433"/>
      <c r="QKF105" s="433"/>
      <c r="QKG105" s="433"/>
      <c r="QKH105" s="433"/>
      <c r="QKI105" s="433"/>
      <c r="QKJ105" s="433"/>
      <c r="QKK105" s="433"/>
      <c r="QKL105" s="433"/>
      <c r="QKM105" s="433"/>
      <c r="QKN105" s="433"/>
      <c r="QKO105" s="433"/>
      <c r="QKP105" s="433"/>
      <c r="QKQ105" s="433"/>
      <c r="QKR105" s="433"/>
      <c r="QKS105" s="433"/>
      <c r="QKT105" s="433"/>
      <c r="QKU105" s="433"/>
      <c r="QKV105" s="433"/>
      <c r="QKW105" s="433"/>
      <c r="QKX105" s="433"/>
      <c r="QKY105" s="433"/>
      <c r="QKZ105" s="433"/>
      <c r="QLA105" s="433"/>
      <c r="QLB105" s="433"/>
      <c r="QLC105" s="433"/>
      <c r="QLD105" s="433"/>
      <c r="QLE105" s="433"/>
      <c r="QLF105" s="433"/>
      <c r="QLG105" s="433"/>
      <c r="QLH105" s="433"/>
      <c r="QLI105" s="433"/>
      <c r="QLJ105" s="433"/>
      <c r="QLK105" s="433"/>
      <c r="QLL105" s="433"/>
      <c r="QLM105" s="433"/>
      <c r="QLN105" s="433"/>
      <c r="QLO105" s="433"/>
      <c r="QLP105" s="433"/>
      <c r="QLQ105" s="433"/>
      <c r="QLR105" s="433"/>
      <c r="QLS105" s="433"/>
      <c r="QLT105" s="433"/>
      <c r="QLU105" s="433"/>
      <c r="QLV105" s="433"/>
      <c r="QLW105" s="433"/>
      <c r="QLX105" s="433"/>
      <c r="QLY105" s="433"/>
      <c r="QLZ105" s="433"/>
      <c r="QMA105" s="433"/>
      <c r="QMB105" s="433"/>
      <c r="QMC105" s="433"/>
      <c r="QMD105" s="433"/>
      <c r="QME105" s="433"/>
      <c r="QMF105" s="433"/>
      <c r="QMG105" s="433"/>
      <c r="QMH105" s="433"/>
      <c r="QMI105" s="433"/>
      <c r="QMJ105" s="433"/>
      <c r="QMK105" s="433"/>
      <c r="QML105" s="433"/>
      <c r="QMM105" s="433"/>
      <c r="QMN105" s="433"/>
      <c r="QMO105" s="433"/>
      <c r="QMP105" s="433"/>
      <c r="QMQ105" s="433"/>
      <c r="QMR105" s="433"/>
      <c r="QMS105" s="433"/>
      <c r="QMT105" s="433"/>
      <c r="QMU105" s="433"/>
      <c r="QMV105" s="433"/>
      <c r="QMW105" s="433"/>
      <c r="QMX105" s="433"/>
      <c r="QMY105" s="433"/>
      <c r="QMZ105" s="433"/>
      <c r="QNA105" s="433"/>
      <c r="QNB105" s="433"/>
      <c r="QNC105" s="433"/>
      <c r="QND105" s="433"/>
      <c r="QNE105" s="433"/>
      <c r="QNF105" s="433"/>
      <c r="QNG105" s="433"/>
      <c r="QNH105" s="433"/>
      <c r="QNI105" s="433"/>
      <c r="QNJ105" s="433"/>
      <c r="QNK105" s="433"/>
      <c r="QNL105" s="433"/>
      <c r="QNM105" s="433"/>
      <c r="QNN105" s="433"/>
      <c r="QNO105" s="433"/>
      <c r="QNP105" s="433"/>
      <c r="QNQ105" s="433"/>
      <c r="QNR105" s="433"/>
      <c r="QNS105" s="433"/>
      <c r="QNT105" s="433"/>
      <c r="QNU105" s="433"/>
      <c r="QNV105" s="433"/>
      <c r="QNW105" s="433"/>
      <c r="QNX105" s="433"/>
      <c r="QNY105" s="433"/>
      <c r="QNZ105" s="433"/>
      <c r="QOA105" s="433"/>
      <c r="QOB105" s="433"/>
      <c r="QOC105" s="433"/>
      <c r="QOD105" s="433"/>
      <c r="QOE105" s="433"/>
      <c r="QOF105" s="433"/>
      <c r="QOG105" s="433"/>
      <c r="QOH105" s="433"/>
      <c r="QOI105" s="433"/>
      <c r="QOJ105" s="433"/>
      <c r="QOK105" s="433"/>
      <c r="QOL105" s="433"/>
      <c r="QOM105" s="433"/>
      <c r="QON105" s="433"/>
      <c r="QOO105" s="433"/>
      <c r="QOP105" s="433"/>
      <c r="QOQ105" s="433"/>
      <c r="QOR105" s="433"/>
      <c r="QOS105" s="433"/>
      <c r="QOT105" s="433"/>
      <c r="QOU105" s="433"/>
      <c r="QOV105" s="433"/>
      <c r="QOW105" s="433"/>
      <c r="QOX105" s="433"/>
      <c r="QOY105" s="433"/>
      <c r="QOZ105" s="433"/>
      <c r="QPA105" s="433"/>
      <c r="QPB105" s="433"/>
      <c r="QPC105" s="433"/>
      <c r="QPD105" s="433"/>
      <c r="QPE105" s="433"/>
      <c r="QPF105" s="433"/>
      <c r="QPG105" s="433"/>
      <c r="QPH105" s="433"/>
      <c r="QPI105" s="433"/>
      <c r="QPJ105" s="433"/>
      <c r="QPK105" s="433"/>
      <c r="QPL105" s="433"/>
      <c r="QPM105" s="433"/>
      <c r="QPN105" s="433"/>
      <c r="QPO105" s="433"/>
      <c r="QPP105" s="433"/>
      <c r="QPQ105" s="433"/>
      <c r="QPR105" s="433"/>
      <c r="QPS105" s="433"/>
      <c r="QPT105" s="433"/>
      <c r="QPU105" s="433"/>
      <c r="QPV105" s="433"/>
      <c r="QPW105" s="433"/>
      <c r="QPX105" s="433"/>
      <c r="QPY105" s="433"/>
      <c r="QPZ105" s="433"/>
      <c r="QQA105" s="433"/>
      <c r="QQB105" s="433"/>
      <c r="QQC105" s="433"/>
      <c r="QQD105" s="433"/>
      <c r="QQE105" s="433"/>
      <c r="QQF105" s="433"/>
      <c r="QQG105" s="433"/>
      <c r="QQH105" s="433"/>
      <c r="QQI105" s="433"/>
      <c r="QQJ105" s="433"/>
      <c r="QQK105" s="433"/>
      <c r="QQL105" s="433"/>
      <c r="QQM105" s="433"/>
      <c r="QQN105" s="433"/>
      <c r="QQO105" s="433"/>
      <c r="QQP105" s="433"/>
      <c r="QQQ105" s="433"/>
      <c r="QQR105" s="433"/>
      <c r="QQS105" s="433"/>
      <c r="QQT105" s="433"/>
      <c r="QQU105" s="433"/>
      <c r="QQV105" s="433"/>
      <c r="QQW105" s="433"/>
      <c r="QQX105" s="433"/>
      <c r="QQY105" s="433"/>
      <c r="QQZ105" s="433"/>
      <c r="QRA105" s="433"/>
      <c r="QRB105" s="433"/>
      <c r="QRC105" s="433"/>
      <c r="QRD105" s="433"/>
      <c r="QRE105" s="433"/>
      <c r="QRF105" s="433"/>
      <c r="QRG105" s="433"/>
      <c r="QRH105" s="433"/>
      <c r="QRI105" s="433"/>
      <c r="QRJ105" s="433"/>
      <c r="QRK105" s="433"/>
      <c r="QRL105" s="433"/>
      <c r="QRM105" s="433"/>
      <c r="QRN105" s="433"/>
      <c r="QRO105" s="433"/>
      <c r="QRP105" s="433"/>
      <c r="QRQ105" s="433"/>
      <c r="QRR105" s="433"/>
      <c r="QRS105" s="433"/>
      <c r="QRT105" s="433"/>
      <c r="QRU105" s="433"/>
      <c r="QRV105" s="433"/>
      <c r="QRW105" s="433"/>
      <c r="QRX105" s="433"/>
      <c r="QRY105" s="433"/>
      <c r="QRZ105" s="433"/>
      <c r="QSA105" s="433"/>
      <c r="QSB105" s="433"/>
      <c r="QSC105" s="433"/>
      <c r="QSD105" s="433"/>
      <c r="QSE105" s="433"/>
      <c r="QSF105" s="433"/>
      <c r="QSG105" s="433"/>
      <c r="QSH105" s="433"/>
      <c r="QSI105" s="433"/>
      <c r="QSJ105" s="433"/>
      <c r="QSK105" s="433"/>
      <c r="QSL105" s="433"/>
      <c r="QSM105" s="433"/>
      <c r="QSN105" s="433"/>
      <c r="QSO105" s="433"/>
      <c r="QSP105" s="433"/>
      <c r="QSQ105" s="433"/>
      <c r="QSR105" s="433"/>
      <c r="QSS105" s="433"/>
      <c r="QST105" s="433"/>
      <c r="QSU105" s="433"/>
      <c r="QSV105" s="433"/>
      <c r="QSW105" s="433"/>
      <c r="QSX105" s="433"/>
      <c r="QSY105" s="433"/>
      <c r="QSZ105" s="433"/>
      <c r="QTA105" s="433"/>
      <c r="QTB105" s="433"/>
      <c r="QTC105" s="433"/>
      <c r="QTD105" s="433"/>
      <c r="QTE105" s="433"/>
      <c r="QTF105" s="433"/>
      <c r="QTG105" s="433"/>
      <c r="QTH105" s="433"/>
      <c r="QTI105" s="433"/>
      <c r="QTJ105" s="433"/>
      <c r="QTK105" s="433"/>
      <c r="QTL105" s="433"/>
      <c r="QTM105" s="433"/>
      <c r="QTN105" s="433"/>
      <c r="QTO105" s="433"/>
      <c r="QTP105" s="433"/>
      <c r="QTQ105" s="433"/>
      <c r="QTR105" s="433"/>
      <c r="QTS105" s="433"/>
      <c r="QTT105" s="433"/>
      <c r="QTU105" s="433"/>
      <c r="QTV105" s="433"/>
      <c r="QTW105" s="433"/>
      <c r="QTX105" s="433"/>
      <c r="QTY105" s="433"/>
      <c r="QTZ105" s="433"/>
      <c r="QUA105" s="433"/>
      <c r="QUB105" s="433"/>
      <c r="QUC105" s="433"/>
      <c r="QUD105" s="433"/>
      <c r="QUE105" s="433"/>
      <c r="QUF105" s="433"/>
      <c r="QUG105" s="433"/>
      <c r="QUH105" s="433"/>
      <c r="QUI105" s="433"/>
      <c r="QUJ105" s="433"/>
      <c r="QUK105" s="433"/>
      <c r="QUL105" s="433"/>
      <c r="QUM105" s="433"/>
      <c r="QUN105" s="433"/>
      <c r="QUO105" s="433"/>
      <c r="QUP105" s="433"/>
      <c r="QUQ105" s="433"/>
      <c r="QUR105" s="433"/>
      <c r="QUS105" s="433"/>
      <c r="QUT105" s="433"/>
      <c r="QUU105" s="433"/>
      <c r="QUV105" s="433"/>
      <c r="QUW105" s="433"/>
      <c r="QUX105" s="433"/>
      <c r="QUY105" s="433"/>
      <c r="QUZ105" s="433"/>
      <c r="QVA105" s="433"/>
      <c r="QVB105" s="433"/>
      <c r="QVC105" s="433"/>
      <c r="QVD105" s="433"/>
      <c r="QVE105" s="433"/>
      <c r="QVF105" s="433"/>
      <c r="QVG105" s="433"/>
      <c r="QVH105" s="433"/>
      <c r="QVI105" s="433"/>
      <c r="QVJ105" s="433"/>
      <c r="QVK105" s="433"/>
      <c r="QVL105" s="433"/>
      <c r="QVM105" s="433"/>
      <c r="QVN105" s="433"/>
      <c r="QVO105" s="433"/>
      <c r="QVP105" s="433"/>
      <c r="QVQ105" s="433"/>
      <c r="QVR105" s="433"/>
      <c r="QVS105" s="433"/>
      <c r="QVT105" s="433"/>
      <c r="QVU105" s="433"/>
      <c r="QVV105" s="433"/>
      <c r="QVW105" s="433"/>
      <c r="QVX105" s="433"/>
      <c r="QVY105" s="433"/>
      <c r="QVZ105" s="433"/>
      <c r="QWA105" s="433"/>
      <c r="QWB105" s="433"/>
      <c r="QWC105" s="433"/>
      <c r="QWD105" s="433"/>
      <c r="QWE105" s="433"/>
      <c r="QWF105" s="433"/>
      <c r="QWG105" s="433"/>
      <c r="QWH105" s="433"/>
      <c r="QWI105" s="433"/>
      <c r="QWJ105" s="433"/>
      <c r="QWK105" s="433"/>
      <c r="QWL105" s="433"/>
      <c r="QWM105" s="433"/>
      <c r="QWN105" s="433"/>
      <c r="QWO105" s="433"/>
      <c r="QWP105" s="433"/>
      <c r="QWQ105" s="433"/>
      <c r="QWR105" s="433"/>
      <c r="QWS105" s="433"/>
      <c r="QWT105" s="433"/>
      <c r="QWU105" s="433"/>
      <c r="QWV105" s="433"/>
      <c r="QWW105" s="433"/>
      <c r="QWX105" s="433"/>
      <c r="QWY105" s="433"/>
      <c r="QWZ105" s="433"/>
      <c r="QXA105" s="433"/>
      <c r="QXB105" s="433"/>
      <c r="QXC105" s="433"/>
      <c r="QXD105" s="433"/>
      <c r="QXE105" s="433"/>
      <c r="QXF105" s="433"/>
      <c r="QXG105" s="433"/>
      <c r="QXH105" s="433"/>
      <c r="QXI105" s="433"/>
      <c r="QXJ105" s="433"/>
      <c r="QXK105" s="433"/>
      <c r="QXL105" s="433"/>
      <c r="QXM105" s="433"/>
      <c r="QXN105" s="433"/>
      <c r="QXO105" s="433"/>
      <c r="QXP105" s="433"/>
      <c r="QXQ105" s="433"/>
      <c r="QXR105" s="433"/>
      <c r="QXS105" s="433"/>
      <c r="QXT105" s="433"/>
      <c r="QXU105" s="433"/>
      <c r="QXV105" s="433"/>
      <c r="QXW105" s="433"/>
      <c r="QXX105" s="433"/>
      <c r="QXY105" s="433"/>
      <c r="QXZ105" s="433"/>
      <c r="QYA105" s="433"/>
      <c r="QYB105" s="433"/>
      <c r="QYC105" s="433"/>
      <c r="QYD105" s="433"/>
      <c r="QYE105" s="433"/>
      <c r="QYF105" s="433"/>
      <c r="QYG105" s="433"/>
      <c r="QYH105" s="433"/>
      <c r="QYI105" s="433"/>
      <c r="QYJ105" s="433"/>
      <c r="QYK105" s="433"/>
      <c r="QYL105" s="433"/>
      <c r="QYM105" s="433"/>
      <c r="QYN105" s="433"/>
      <c r="QYO105" s="433"/>
      <c r="QYP105" s="433"/>
      <c r="QYQ105" s="433"/>
      <c r="QYR105" s="433"/>
      <c r="QYS105" s="433"/>
      <c r="QYT105" s="433"/>
      <c r="QYU105" s="433"/>
      <c r="QYV105" s="433"/>
      <c r="QYW105" s="433"/>
      <c r="QYX105" s="433"/>
      <c r="QYY105" s="433"/>
      <c r="QYZ105" s="433"/>
      <c r="QZA105" s="433"/>
      <c r="QZB105" s="433"/>
      <c r="QZC105" s="433"/>
      <c r="QZD105" s="433"/>
      <c r="QZE105" s="433"/>
      <c r="QZF105" s="433"/>
      <c r="QZG105" s="433"/>
      <c r="QZH105" s="433"/>
      <c r="QZI105" s="433"/>
      <c r="QZJ105" s="433"/>
      <c r="QZK105" s="433"/>
      <c r="QZL105" s="433"/>
      <c r="QZM105" s="433"/>
      <c r="QZN105" s="433"/>
      <c r="QZO105" s="433"/>
      <c r="QZP105" s="433"/>
      <c r="QZQ105" s="433"/>
      <c r="QZR105" s="433"/>
      <c r="QZS105" s="433"/>
      <c r="QZT105" s="433"/>
      <c r="QZU105" s="433"/>
      <c r="QZV105" s="433"/>
      <c r="QZW105" s="433"/>
      <c r="QZX105" s="433"/>
      <c r="QZY105" s="433"/>
      <c r="QZZ105" s="433"/>
      <c r="RAA105" s="433"/>
      <c r="RAB105" s="433"/>
      <c r="RAC105" s="433"/>
      <c r="RAD105" s="433"/>
      <c r="RAE105" s="433"/>
      <c r="RAF105" s="433"/>
      <c r="RAG105" s="433"/>
      <c r="RAH105" s="433"/>
      <c r="RAI105" s="433"/>
      <c r="RAJ105" s="433"/>
      <c r="RAK105" s="433"/>
      <c r="RAL105" s="433"/>
      <c r="RAM105" s="433"/>
      <c r="RAN105" s="433"/>
      <c r="RAO105" s="433"/>
      <c r="RAP105" s="433"/>
      <c r="RAQ105" s="433"/>
      <c r="RAR105" s="433"/>
      <c r="RAS105" s="433"/>
      <c r="RAT105" s="433"/>
      <c r="RAU105" s="433"/>
      <c r="RAV105" s="433"/>
      <c r="RAW105" s="433"/>
      <c r="RAX105" s="433"/>
      <c r="RAY105" s="433"/>
      <c r="RAZ105" s="433"/>
      <c r="RBA105" s="433"/>
      <c r="RBB105" s="433"/>
      <c r="RBC105" s="433"/>
      <c r="RBD105" s="433"/>
      <c r="RBE105" s="433"/>
      <c r="RBF105" s="433"/>
      <c r="RBG105" s="433"/>
      <c r="RBH105" s="433"/>
      <c r="RBI105" s="433"/>
      <c r="RBJ105" s="433"/>
      <c r="RBK105" s="433"/>
      <c r="RBL105" s="433"/>
      <c r="RBM105" s="433"/>
      <c r="RBN105" s="433"/>
      <c r="RBO105" s="433"/>
      <c r="RBP105" s="433"/>
      <c r="RBQ105" s="433"/>
      <c r="RBR105" s="433"/>
      <c r="RBS105" s="433"/>
      <c r="RBT105" s="433"/>
      <c r="RBU105" s="433"/>
      <c r="RBV105" s="433"/>
      <c r="RBW105" s="433"/>
      <c r="RBX105" s="433"/>
      <c r="RBY105" s="433"/>
      <c r="RBZ105" s="433"/>
      <c r="RCA105" s="433"/>
      <c r="RCB105" s="433"/>
      <c r="RCC105" s="433"/>
      <c r="RCD105" s="433"/>
      <c r="RCE105" s="433"/>
      <c r="RCF105" s="433"/>
      <c r="RCG105" s="433"/>
      <c r="RCH105" s="433"/>
      <c r="RCI105" s="433"/>
      <c r="RCJ105" s="433"/>
      <c r="RCK105" s="433"/>
      <c r="RCL105" s="433"/>
      <c r="RCM105" s="433"/>
      <c r="RCN105" s="433"/>
      <c r="RCO105" s="433"/>
      <c r="RCP105" s="433"/>
      <c r="RCQ105" s="433"/>
      <c r="RCR105" s="433"/>
      <c r="RCS105" s="433"/>
      <c r="RCT105" s="433"/>
      <c r="RCU105" s="433"/>
      <c r="RCV105" s="433"/>
      <c r="RCW105" s="433"/>
      <c r="RCX105" s="433"/>
      <c r="RCY105" s="433"/>
      <c r="RCZ105" s="433"/>
      <c r="RDA105" s="433"/>
      <c r="RDB105" s="433"/>
      <c r="RDC105" s="433"/>
      <c r="RDD105" s="433"/>
      <c r="RDE105" s="433"/>
      <c r="RDF105" s="433"/>
      <c r="RDG105" s="433"/>
      <c r="RDH105" s="433"/>
      <c r="RDI105" s="433"/>
      <c r="RDJ105" s="433"/>
      <c r="RDK105" s="433"/>
      <c r="RDL105" s="433"/>
      <c r="RDM105" s="433"/>
      <c r="RDN105" s="433"/>
      <c r="RDO105" s="433"/>
      <c r="RDP105" s="433"/>
      <c r="RDQ105" s="433"/>
      <c r="RDR105" s="433"/>
      <c r="RDS105" s="433"/>
      <c r="RDT105" s="433"/>
      <c r="RDU105" s="433"/>
      <c r="RDV105" s="433"/>
      <c r="RDW105" s="433"/>
      <c r="RDX105" s="433"/>
      <c r="RDY105" s="433"/>
      <c r="RDZ105" s="433"/>
      <c r="REA105" s="433"/>
      <c r="REB105" s="433"/>
      <c r="REC105" s="433"/>
      <c r="RED105" s="433"/>
      <c r="REE105" s="433"/>
      <c r="REF105" s="433"/>
      <c r="REG105" s="433"/>
      <c r="REH105" s="433"/>
      <c r="REI105" s="433"/>
      <c r="REJ105" s="433"/>
      <c r="REK105" s="433"/>
      <c r="REL105" s="433"/>
      <c r="REM105" s="433"/>
      <c r="REN105" s="433"/>
      <c r="REO105" s="433"/>
      <c r="REP105" s="433"/>
      <c r="REQ105" s="433"/>
      <c r="RER105" s="433"/>
      <c r="RES105" s="433"/>
      <c r="RET105" s="433"/>
      <c r="REU105" s="433"/>
      <c r="REV105" s="433"/>
      <c r="REW105" s="433"/>
      <c r="REX105" s="433"/>
      <c r="REY105" s="433"/>
      <c r="REZ105" s="433"/>
      <c r="RFA105" s="433"/>
      <c r="RFB105" s="433"/>
      <c r="RFC105" s="433"/>
      <c r="RFD105" s="433"/>
      <c r="RFE105" s="433"/>
      <c r="RFF105" s="433"/>
      <c r="RFG105" s="433"/>
      <c r="RFH105" s="433"/>
      <c r="RFI105" s="433"/>
      <c r="RFJ105" s="433"/>
      <c r="RFK105" s="433"/>
      <c r="RFL105" s="433"/>
      <c r="RFM105" s="433"/>
      <c r="RFN105" s="433"/>
      <c r="RFO105" s="433"/>
      <c r="RFP105" s="433"/>
      <c r="RFQ105" s="433"/>
      <c r="RFR105" s="433"/>
      <c r="RFS105" s="433"/>
      <c r="RFT105" s="433"/>
      <c r="RFU105" s="433"/>
      <c r="RFV105" s="433"/>
      <c r="RFW105" s="433"/>
      <c r="RFX105" s="433"/>
      <c r="RFY105" s="433"/>
      <c r="RFZ105" s="433"/>
      <c r="RGA105" s="433"/>
      <c r="RGB105" s="433"/>
      <c r="RGC105" s="433"/>
      <c r="RGD105" s="433"/>
      <c r="RGE105" s="433"/>
      <c r="RGF105" s="433"/>
      <c r="RGG105" s="433"/>
      <c r="RGH105" s="433"/>
      <c r="RGI105" s="433"/>
      <c r="RGJ105" s="433"/>
      <c r="RGK105" s="433"/>
      <c r="RGL105" s="433"/>
      <c r="RGM105" s="433"/>
      <c r="RGN105" s="433"/>
      <c r="RGO105" s="433"/>
      <c r="RGP105" s="433"/>
      <c r="RGQ105" s="433"/>
      <c r="RGR105" s="433"/>
      <c r="RGS105" s="433"/>
      <c r="RGT105" s="433"/>
      <c r="RGU105" s="433"/>
      <c r="RGV105" s="433"/>
      <c r="RGW105" s="433"/>
      <c r="RGX105" s="433"/>
      <c r="RGY105" s="433"/>
      <c r="RGZ105" s="433"/>
      <c r="RHA105" s="433"/>
      <c r="RHB105" s="433"/>
      <c r="RHC105" s="433"/>
      <c r="RHD105" s="433"/>
      <c r="RHE105" s="433"/>
      <c r="RHF105" s="433"/>
      <c r="RHG105" s="433"/>
      <c r="RHH105" s="433"/>
      <c r="RHI105" s="433"/>
      <c r="RHJ105" s="433"/>
      <c r="RHK105" s="433"/>
      <c r="RHL105" s="433"/>
      <c r="RHM105" s="433"/>
      <c r="RHN105" s="433"/>
      <c r="RHO105" s="433"/>
      <c r="RHP105" s="433"/>
      <c r="RHQ105" s="433"/>
      <c r="RHR105" s="433"/>
      <c r="RHS105" s="433"/>
      <c r="RHT105" s="433"/>
      <c r="RHU105" s="433"/>
      <c r="RHV105" s="433"/>
      <c r="RHW105" s="433"/>
      <c r="RHX105" s="433"/>
      <c r="RHY105" s="433"/>
      <c r="RHZ105" s="433"/>
      <c r="RIA105" s="433"/>
      <c r="RIB105" s="433"/>
      <c r="RIC105" s="433"/>
      <c r="RID105" s="433"/>
      <c r="RIE105" s="433"/>
      <c r="RIF105" s="433"/>
      <c r="RIG105" s="433"/>
      <c r="RIH105" s="433"/>
      <c r="RII105" s="433"/>
      <c r="RIJ105" s="433"/>
      <c r="RIK105" s="433"/>
      <c r="RIL105" s="433"/>
      <c r="RIM105" s="433"/>
      <c r="RIN105" s="433"/>
      <c r="RIO105" s="433"/>
      <c r="RIP105" s="433"/>
      <c r="RIQ105" s="433"/>
      <c r="RIR105" s="433"/>
      <c r="RIS105" s="433"/>
      <c r="RIT105" s="433"/>
      <c r="RIU105" s="433"/>
      <c r="RIV105" s="433"/>
      <c r="RIW105" s="433"/>
      <c r="RIX105" s="433"/>
      <c r="RIY105" s="433"/>
      <c r="RIZ105" s="433"/>
      <c r="RJA105" s="433"/>
      <c r="RJB105" s="433"/>
      <c r="RJC105" s="433"/>
      <c r="RJD105" s="433"/>
      <c r="RJE105" s="433"/>
      <c r="RJF105" s="433"/>
      <c r="RJG105" s="433"/>
      <c r="RJH105" s="433"/>
      <c r="RJI105" s="433"/>
      <c r="RJJ105" s="433"/>
      <c r="RJK105" s="433"/>
      <c r="RJL105" s="433"/>
      <c r="RJM105" s="433"/>
      <c r="RJN105" s="433"/>
      <c r="RJO105" s="433"/>
      <c r="RJP105" s="433"/>
      <c r="RJQ105" s="433"/>
      <c r="RJR105" s="433"/>
      <c r="RJS105" s="433"/>
      <c r="RJT105" s="433"/>
      <c r="RJU105" s="433"/>
      <c r="RJV105" s="433"/>
      <c r="RJW105" s="433"/>
      <c r="RJX105" s="433"/>
      <c r="RJY105" s="433"/>
      <c r="RJZ105" s="433"/>
      <c r="RKA105" s="433"/>
      <c r="RKB105" s="433"/>
      <c r="RKC105" s="433"/>
      <c r="RKD105" s="433"/>
      <c r="RKE105" s="433"/>
      <c r="RKF105" s="433"/>
      <c r="RKG105" s="433"/>
      <c r="RKH105" s="433"/>
      <c r="RKI105" s="433"/>
      <c r="RKJ105" s="433"/>
      <c r="RKK105" s="433"/>
      <c r="RKL105" s="433"/>
      <c r="RKM105" s="433"/>
      <c r="RKN105" s="433"/>
      <c r="RKO105" s="433"/>
      <c r="RKP105" s="433"/>
      <c r="RKQ105" s="433"/>
      <c r="RKR105" s="433"/>
      <c r="RKS105" s="433"/>
      <c r="RKT105" s="433"/>
      <c r="RKU105" s="433"/>
      <c r="RKV105" s="433"/>
      <c r="RKW105" s="433"/>
      <c r="RKX105" s="433"/>
      <c r="RKY105" s="433"/>
      <c r="RKZ105" s="433"/>
      <c r="RLA105" s="433"/>
      <c r="RLB105" s="433"/>
      <c r="RLC105" s="433"/>
      <c r="RLD105" s="433"/>
      <c r="RLE105" s="433"/>
      <c r="RLF105" s="433"/>
      <c r="RLG105" s="433"/>
      <c r="RLH105" s="433"/>
      <c r="RLI105" s="433"/>
      <c r="RLJ105" s="433"/>
      <c r="RLK105" s="433"/>
      <c r="RLL105" s="433"/>
      <c r="RLM105" s="433"/>
      <c r="RLN105" s="433"/>
      <c r="RLO105" s="433"/>
      <c r="RLP105" s="433"/>
      <c r="RLQ105" s="433"/>
      <c r="RLR105" s="433"/>
      <c r="RLS105" s="433"/>
      <c r="RLT105" s="433"/>
      <c r="RLU105" s="433"/>
      <c r="RLV105" s="433"/>
      <c r="RLW105" s="433"/>
      <c r="RLX105" s="433"/>
      <c r="RLY105" s="433"/>
      <c r="RLZ105" s="433"/>
      <c r="RMA105" s="433"/>
      <c r="RMB105" s="433"/>
      <c r="RMC105" s="433"/>
      <c r="RMD105" s="433"/>
      <c r="RME105" s="433"/>
      <c r="RMF105" s="433"/>
      <c r="RMG105" s="433"/>
      <c r="RMH105" s="433"/>
      <c r="RMI105" s="433"/>
      <c r="RMJ105" s="433"/>
      <c r="RMK105" s="433"/>
      <c r="RML105" s="433"/>
      <c r="RMM105" s="433"/>
      <c r="RMN105" s="433"/>
      <c r="RMO105" s="433"/>
      <c r="RMP105" s="433"/>
      <c r="RMQ105" s="433"/>
      <c r="RMR105" s="433"/>
      <c r="RMS105" s="433"/>
      <c r="RMT105" s="433"/>
      <c r="RMU105" s="433"/>
      <c r="RMV105" s="433"/>
      <c r="RMW105" s="433"/>
      <c r="RMX105" s="433"/>
      <c r="RMY105" s="433"/>
      <c r="RMZ105" s="433"/>
      <c r="RNA105" s="433"/>
      <c r="RNB105" s="433"/>
      <c r="RNC105" s="433"/>
      <c r="RND105" s="433"/>
      <c r="RNE105" s="433"/>
      <c r="RNF105" s="433"/>
      <c r="RNG105" s="433"/>
      <c r="RNH105" s="433"/>
      <c r="RNI105" s="433"/>
      <c r="RNJ105" s="433"/>
      <c r="RNK105" s="433"/>
      <c r="RNL105" s="433"/>
      <c r="RNM105" s="433"/>
      <c r="RNN105" s="433"/>
      <c r="RNO105" s="433"/>
      <c r="RNP105" s="433"/>
      <c r="RNQ105" s="433"/>
      <c r="RNR105" s="433"/>
      <c r="RNS105" s="433"/>
      <c r="RNT105" s="433"/>
      <c r="RNU105" s="433"/>
      <c r="RNV105" s="433"/>
      <c r="RNW105" s="433"/>
      <c r="RNX105" s="433"/>
      <c r="RNY105" s="433"/>
      <c r="RNZ105" s="433"/>
      <c r="ROA105" s="433"/>
      <c r="ROB105" s="433"/>
      <c r="ROC105" s="433"/>
      <c r="ROD105" s="433"/>
      <c r="ROE105" s="433"/>
      <c r="ROF105" s="433"/>
      <c r="ROG105" s="433"/>
      <c r="ROH105" s="433"/>
      <c r="ROI105" s="433"/>
      <c r="ROJ105" s="433"/>
      <c r="ROK105" s="433"/>
      <c r="ROL105" s="433"/>
      <c r="ROM105" s="433"/>
      <c r="RON105" s="433"/>
      <c r="ROO105" s="433"/>
      <c r="ROP105" s="433"/>
      <c r="ROQ105" s="433"/>
      <c r="ROR105" s="433"/>
      <c r="ROS105" s="433"/>
      <c r="ROT105" s="433"/>
      <c r="ROU105" s="433"/>
      <c r="ROV105" s="433"/>
      <c r="ROW105" s="433"/>
      <c r="ROX105" s="433"/>
      <c r="ROY105" s="433"/>
      <c r="ROZ105" s="433"/>
      <c r="RPA105" s="433"/>
      <c r="RPB105" s="433"/>
      <c r="RPC105" s="433"/>
      <c r="RPD105" s="433"/>
      <c r="RPE105" s="433"/>
      <c r="RPF105" s="433"/>
      <c r="RPG105" s="433"/>
      <c r="RPH105" s="433"/>
      <c r="RPI105" s="433"/>
      <c r="RPJ105" s="433"/>
      <c r="RPK105" s="433"/>
      <c r="RPL105" s="433"/>
      <c r="RPM105" s="433"/>
      <c r="RPN105" s="433"/>
      <c r="RPO105" s="433"/>
      <c r="RPP105" s="433"/>
      <c r="RPQ105" s="433"/>
      <c r="RPR105" s="433"/>
      <c r="RPS105" s="433"/>
      <c r="RPT105" s="433"/>
      <c r="RPU105" s="433"/>
      <c r="RPV105" s="433"/>
      <c r="RPW105" s="433"/>
      <c r="RPX105" s="433"/>
      <c r="RPY105" s="433"/>
      <c r="RPZ105" s="433"/>
      <c r="RQA105" s="433"/>
      <c r="RQB105" s="433"/>
      <c r="RQC105" s="433"/>
      <c r="RQD105" s="433"/>
      <c r="RQE105" s="433"/>
      <c r="RQF105" s="433"/>
      <c r="RQG105" s="433"/>
      <c r="RQH105" s="433"/>
      <c r="RQI105" s="433"/>
      <c r="RQJ105" s="433"/>
      <c r="RQK105" s="433"/>
      <c r="RQL105" s="433"/>
      <c r="RQM105" s="433"/>
      <c r="RQN105" s="433"/>
      <c r="RQO105" s="433"/>
      <c r="RQP105" s="433"/>
      <c r="RQQ105" s="433"/>
      <c r="RQR105" s="433"/>
      <c r="RQS105" s="433"/>
      <c r="RQT105" s="433"/>
      <c r="RQU105" s="433"/>
      <c r="RQV105" s="433"/>
      <c r="RQW105" s="433"/>
      <c r="RQX105" s="433"/>
      <c r="RQY105" s="433"/>
      <c r="RQZ105" s="433"/>
      <c r="RRA105" s="433"/>
      <c r="RRB105" s="433"/>
      <c r="RRC105" s="433"/>
      <c r="RRD105" s="433"/>
      <c r="RRE105" s="433"/>
      <c r="RRF105" s="433"/>
      <c r="RRG105" s="433"/>
      <c r="RRH105" s="433"/>
      <c r="RRI105" s="433"/>
      <c r="RRJ105" s="433"/>
      <c r="RRK105" s="433"/>
      <c r="RRL105" s="433"/>
      <c r="RRM105" s="433"/>
      <c r="RRN105" s="433"/>
      <c r="RRO105" s="433"/>
      <c r="RRP105" s="433"/>
      <c r="RRQ105" s="433"/>
      <c r="RRR105" s="433"/>
      <c r="RRS105" s="433"/>
      <c r="RRT105" s="433"/>
      <c r="RRU105" s="433"/>
      <c r="RRV105" s="433"/>
      <c r="RRW105" s="433"/>
      <c r="RRX105" s="433"/>
      <c r="RRY105" s="433"/>
      <c r="RRZ105" s="433"/>
      <c r="RSA105" s="433"/>
      <c r="RSB105" s="433"/>
      <c r="RSC105" s="433"/>
      <c r="RSD105" s="433"/>
      <c r="RSE105" s="433"/>
      <c r="RSF105" s="433"/>
      <c r="RSG105" s="433"/>
      <c r="RSH105" s="433"/>
      <c r="RSI105" s="433"/>
      <c r="RSJ105" s="433"/>
      <c r="RSK105" s="433"/>
      <c r="RSL105" s="433"/>
      <c r="RSM105" s="433"/>
      <c r="RSN105" s="433"/>
      <c r="RSO105" s="433"/>
      <c r="RSP105" s="433"/>
      <c r="RSQ105" s="433"/>
      <c r="RSR105" s="433"/>
      <c r="RSS105" s="433"/>
      <c r="RST105" s="433"/>
      <c r="RSU105" s="433"/>
      <c r="RSV105" s="433"/>
      <c r="RSW105" s="433"/>
      <c r="RSX105" s="433"/>
      <c r="RSY105" s="433"/>
      <c r="RSZ105" s="433"/>
      <c r="RTA105" s="433"/>
      <c r="RTB105" s="433"/>
      <c r="RTC105" s="433"/>
      <c r="RTD105" s="433"/>
      <c r="RTE105" s="433"/>
      <c r="RTF105" s="433"/>
      <c r="RTG105" s="433"/>
      <c r="RTH105" s="433"/>
      <c r="RTI105" s="433"/>
      <c r="RTJ105" s="433"/>
      <c r="RTK105" s="433"/>
      <c r="RTL105" s="433"/>
      <c r="RTM105" s="433"/>
      <c r="RTN105" s="433"/>
      <c r="RTO105" s="433"/>
      <c r="RTP105" s="433"/>
      <c r="RTQ105" s="433"/>
      <c r="RTR105" s="433"/>
      <c r="RTS105" s="433"/>
      <c r="RTT105" s="433"/>
      <c r="RTU105" s="433"/>
      <c r="RTV105" s="433"/>
      <c r="RTW105" s="433"/>
      <c r="RTX105" s="433"/>
      <c r="RTY105" s="433"/>
      <c r="RTZ105" s="433"/>
      <c r="RUA105" s="433"/>
      <c r="RUB105" s="433"/>
      <c r="RUC105" s="433"/>
      <c r="RUD105" s="433"/>
      <c r="RUE105" s="433"/>
      <c r="RUF105" s="433"/>
      <c r="RUG105" s="433"/>
      <c r="RUH105" s="433"/>
      <c r="RUI105" s="433"/>
      <c r="RUJ105" s="433"/>
      <c r="RUK105" s="433"/>
      <c r="RUL105" s="433"/>
      <c r="RUM105" s="433"/>
      <c r="RUN105" s="433"/>
      <c r="RUO105" s="433"/>
      <c r="RUP105" s="433"/>
      <c r="RUQ105" s="433"/>
      <c r="RUR105" s="433"/>
      <c r="RUS105" s="433"/>
      <c r="RUT105" s="433"/>
      <c r="RUU105" s="433"/>
      <c r="RUV105" s="433"/>
      <c r="RUW105" s="433"/>
      <c r="RUX105" s="433"/>
      <c r="RUY105" s="433"/>
      <c r="RUZ105" s="433"/>
      <c r="RVA105" s="433"/>
      <c r="RVB105" s="433"/>
      <c r="RVC105" s="433"/>
      <c r="RVD105" s="433"/>
      <c r="RVE105" s="433"/>
      <c r="RVF105" s="433"/>
      <c r="RVG105" s="433"/>
      <c r="RVH105" s="433"/>
      <c r="RVI105" s="433"/>
      <c r="RVJ105" s="433"/>
      <c r="RVK105" s="433"/>
      <c r="RVL105" s="433"/>
      <c r="RVM105" s="433"/>
      <c r="RVN105" s="433"/>
      <c r="RVO105" s="433"/>
      <c r="RVP105" s="433"/>
      <c r="RVQ105" s="433"/>
      <c r="RVR105" s="433"/>
      <c r="RVS105" s="433"/>
      <c r="RVT105" s="433"/>
      <c r="RVU105" s="433"/>
      <c r="RVV105" s="433"/>
      <c r="RVW105" s="433"/>
      <c r="RVX105" s="433"/>
      <c r="RVY105" s="433"/>
      <c r="RVZ105" s="433"/>
      <c r="RWA105" s="433"/>
      <c r="RWB105" s="433"/>
      <c r="RWC105" s="433"/>
      <c r="RWD105" s="433"/>
      <c r="RWE105" s="433"/>
      <c r="RWF105" s="433"/>
      <c r="RWG105" s="433"/>
      <c r="RWH105" s="433"/>
      <c r="RWI105" s="433"/>
      <c r="RWJ105" s="433"/>
      <c r="RWK105" s="433"/>
      <c r="RWL105" s="433"/>
      <c r="RWM105" s="433"/>
      <c r="RWN105" s="433"/>
      <c r="RWO105" s="433"/>
      <c r="RWP105" s="433"/>
      <c r="RWQ105" s="433"/>
      <c r="RWR105" s="433"/>
      <c r="RWS105" s="433"/>
      <c r="RWT105" s="433"/>
      <c r="RWU105" s="433"/>
      <c r="RWV105" s="433"/>
      <c r="RWW105" s="433"/>
      <c r="RWX105" s="433"/>
      <c r="RWY105" s="433"/>
      <c r="RWZ105" s="433"/>
      <c r="RXA105" s="433"/>
      <c r="RXB105" s="433"/>
      <c r="RXC105" s="433"/>
      <c r="RXD105" s="433"/>
      <c r="RXE105" s="433"/>
      <c r="RXF105" s="433"/>
      <c r="RXG105" s="433"/>
      <c r="RXH105" s="433"/>
      <c r="RXI105" s="433"/>
      <c r="RXJ105" s="433"/>
      <c r="RXK105" s="433"/>
      <c r="RXL105" s="433"/>
      <c r="RXM105" s="433"/>
      <c r="RXN105" s="433"/>
      <c r="RXO105" s="433"/>
      <c r="RXP105" s="433"/>
      <c r="RXQ105" s="433"/>
      <c r="RXR105" s="433"/>
      <c r="RXS105" s="433"/>
      <c r="RXT105" s="433"/>
      <c r="RXU105" s="433"/>
      <c r="RXV105" s="433"/>
      <c r="RXW105" s="433"/>
      <c r="RXX105" s="433"/>
      <c r="RXY105" s="433"/>
      <c r="RXZ105" s="433"/>
      <c r="RYA105" s="433"/>
      <c r="RYB105" s="433"/>
      <c r="RYC105" s="433"/>
      <c r="RYD105" s="433"/>
      <c r="RYE105" s="433"/>
      <c r="RYF105" s="433"/>
      <c r="RYG105" s="433"/>
      <c r="RYH105" s="433"/>
      <c r="RYI105" s="433"/>
      <c r="RYJ105" s="433"/>
      <c r="RYK105" s="433"/>
      <c r="RYL105" s="433"/>
      <c r="RYM105" s="433"/>
      <c r="RYN105" s="433"/>
      <c r="RYO105" s="433"/>
      <c r="RYP105" s="433"/>
      <c r="RYQ105" s="433"/>
      <c r="RYR105" s="433"/>
      <c r="RYS105" s="433"/>
      <c r="RYT105" s="433"/>
      <c r="RYU105" s="433"/>
      <c r="RYV105" s="433"/>
      <c r="RYW105" s="433"/>
      <c r="RYX105" s="433"/>
      <c r="RYY105" s="433"/>
      <c r="RYZ105" s="433"/>
      <c r="RZA105" s="433"/>
      <c r="RZB105" s="433"/>
      <c r="RZC105" s="433"/>
      <c r="RZD105" s="433"/>
      <c r="RZE105" s="433"/>
      <c r="RZF105" s="433"/>
      <c r="RZG105" s="433"/>
      <c r="RZH105" s="433"/>
      <c r="RZI105" s="433"/>
      <c r="RZJ105" s="433"/>
      <c r="RZK105" s="433"/>
      <c r="RZL105" s="433"/>
      <c r="RZM105" s="433"/>
      <c r="RZN105" s="433"/>
      <c r="RZO105" s="433"/>
      <c r="RZP105" s="433"/>
      <c r="RZQ105" s="433"/>
      <c r="RZR105" s="433"/>
      <c r="RZS105" s="433"/>
      <c r="RZT105" s="433"/>
      <c r="RZU105" s="433"/>
      <c r="RZV105" s="433"/>
      <c r="RZW105" s="433"/>
      <c r="RZX105" s="433"/>
      <c r="RZY105" s="433"/>
      <c r="RZZ105" s="433"/>
      <c r="SAA105" s="433"/>
      <c r="SAB105" s="433"/>
      <c r="SAC105" s="433"/>
      <c r="SAD105" s="433"/>
      <c r="SAE105" s="433"/>
      <c r="SAF105" s="433"/>
      <c r="SAG105" s="433"/>
      <c r="SAH105" s="433"/>
      <c r="SAI105" s="433"/>
      <c r="SAJ105" s="433"/>
      <c r="SAK105" s="433"/>
      <c r="SAL105" s="433"/>
      <c r="SAM105" s="433"/>
      <c r="SAN105" s="433"/>
      <c r="SAO105" s="433"/>
      <c r="SAP105" s="433"/>
      <c r="SAQ105" s="433"/>
      <c r="SAR105" s="433"/>
      <c r="SAS105" s="433"/>
      <c r="SAT105" s="433"/>
      <c r="SAU105" s="433"/>
      <c r="SAV105" s="433"/>
      <c r="SAW105" s="433"/>
      <c r="SAX105" s="433"/>
      <c r="SAY105" s="433"/>
      <c r="SAZ105" s="433"/>
      <c r="SBA105" s="433"/>
      <c r="SBB105" s="433"/>
      <c r="SBC105" s="433"/>
      <c r="SBD105" s="433"/>
      <c r="SBE105" s="433"/>
      <c r="SBF105" s="433"/>
      <c r="SBG105" s="433"/>
      <c r="SBH105" s="433"/>
      <c r="SBI105" s="433"/>
      <c r="SBJ105" s="433"/>
      <c r="SBK105" s="433"/>
      <c r="SBL105" s="433"/>
      <c r="SBM105" s="433"/>
      <c r="SBN105" s="433"/>
      <c r="SBO105" s="433"/>
      <c r="SBP105" s="433"/>
      <c r="SBQ105" s="433"/>
      <c r="SBR105" s="433"/>
      <c r="SBS105" s="433"/>
      <c r="SBT105" s="433"/>
      <c r="SBU105" s="433"/>
      <c r="SBV105" s="433"/>
      <c r="SBW105" s="433"/>
      <c r="SBX105" s="433"/>
      <c r="SBY105" s="433"/>
      <c r="SBZ105" s="433"/>
      <c r="SCA105" s="433"/>
      <c r="SCB105" s="433"/>
      <c r="SCC105" s="433"/>
      <c r="SCD105" s="433"/>
      <c r="SCE105" s="433"/>
      <c r="SCF105" s="433"/>
      <c r="SCG105" s="433"/>
      <c r="SCH105" s="433"/>
      <c r="SCI105" s="433"/>
      <c r="SCJ105" s="433"/>
      <c r="SCK105" s="433"/>
      <c r="SCL105" s="433"/>
      <c r="SCM105" s="433"/>
      <c r="SCN105" s="433"/>
      <c r="SCO105" s="433"/>
      <c r="SCP105" s="433"/>
      <c r="SCQ105" s="433"/>
      <c r="SCR105" s="433"/>
      <c r="SCS105" s="433"/>
      <c r="SCT105" s="433"/>
      <c r="SCU105" s="433"/>
      <c r="SCV105" s="433"/>
      <c r="SCW105" s="433"/>
      <c r="SCX105" s="433"/>
      <c r="SCY105" s="433"/>
      <c r="SCZ105" s="433"/>
      <c r="SDA105" s="433"/>
      <c r="SDB105" s="433"/>
      <c r="SDC105" s="433"/>
      <c r="SDD105" s="433"/>
      <c r="SDE105" s="433"/>
      <c r="SDF105" s="433"/>
      <c r="SDG105" s="433"/>
      <c r="SDH105" s="433"/>
      <c r="SDI105" s="433"/>
      <c r="SDJ105" s="433"/>
      <c r="SDK105" s="433"/>
      <c r="SDL105" s="433"/>
      <c r="SDM105" s="433"/>
      <c r="SDN105" s="433"/>
      <c r="SDO105" s="433"/>
      <c r="SDP105" s="433"/>
      <c r="SDQ105" s="433"/>
      <c r="SDR105" s="433"/>
      <c r="SDS105" s="433"/>
      <c r="SDT105" s="433"/>
      <c r="SDU105" s="433"/>
      <c r="SDV105" s="433"/>
      <c r="SDW105" s="433"/>
      <c r="SDX105" s="433"/>
      <c r="SDY105" s="433"/>
      <c r="SDZ105" s="433"/>
      <c r="SEA105" s="433"/>
      <c r="SEB105" s="433"/>
      <c r="SEC105" s="433"/>
      <c r="SED105" s="433"/>
      <c r="SEE105" s="433"/>
      <c r="SEF105" s="433"/>
      <c r="SEG105" s="433"/>
      <c r="SEH105" s="433"/>
      <c r="SEI105" s="433"/>
      <c r="SEJ105" s="433"/>
      <c r="SEK105" s="433"/>
      <c r="SEL105" s="433"/>
      <c r="SEM105" s="433"/>
      <c r="SEN105" s="433"/>
      <c r="SEO105" s="433"/>
      <c r="SEP105" s="433"/>
      <c r="SEQ105" s="433"/>
      <c r="SER105" s="433"/>
      <c r="SES105" s="433"/>
      <c r="SET105" s="433"/>
      <c r="SEU105" s="433"/>
      <c r="SEV105" s="433"/>
      <c r="SEW105" s="433"/>
      <c r="SEX105" s="433"/>
      <c r="SEY105" s="433"/>
      <c r="SEZ105" s="433"/>
      <c r="SFA105" s="433"/>
      <c r="SFB105" s="433"/>
      <c r="SFC105" s="433"/>
      <c r="SFD105" s="433"/>
      <c r="SFE105" s="433"/>
      <c r="SFF105" s="433"/>
      <c r="SFG105" s="433"/>
      <c r="SFH105" s="433"/>
      <c r="SFI105" s="433"/>
      <c r="SFJ105" s="433"/>
      <c r="SFK105" s="433"/>
      <c r="SFL105" s="433"/>
      <c r="SFM105" s="433"/>
      <c r="SFN105" s="433"/>
      <c r="SFO105" s="433"/>
      <c r="SFP105" s="433"/>
      <c r="SFQ105" s="433"/>
      <c r="SFR105" s="433"/>
      <c r="SFS105" s="433"/>
      <c r="SFT105" s="433"/>
      <c r="SFU105" s="433"/>
      <c r="SFV105" s="433"/>
      <c r="SFW105" s="433"/>
      <c r="SFX105" s="433"/>
      <c r="SFY105" s="433"/>
      <c r="SFZ105" s="433"/>
      <c r="SGA105" s="433"/>
      <c r="SGB105" s="433"/>
      <c r="SGC105" s="433"/>
      <c r="SGD105" s="433"/>
      <c r="SGE105" s="433"/>
      <c r="SGF105" s="433"/>
      <c r="SGG105" s="433"/>
      <c r="SGH105" s="433"/>
      <c r="SGI105" s="433"/>
      <c r="SGJ105" s="433"/>
      <c r="SGK105" s="433"/>
      <c r="SGL105" s="433"/>
      <c r="SGM105" s="433"/>
      <c r="SGN105" s="433"/>
      <c r="SGO105" s="433"/>
      <c r="SGP105" s="433"/>
      <c r="SGQ105" s="433"/>
      <c r="SGR105" s="433"/>
      <c r="SGS105" s="433"/>
      <c r="SGT105" s="433"/>
      <c r="SGU105" s="433"/>
      <c r="SGV105" s="433"/>
      <c r="SGW105" s="433"/>
      <c r="SGX105" s="433"/>
      <c r="SGY105" s="433"/>
      <c r="SGZ105" s="433"/>
      <c r="SHA105" s="433"/>
      <c r="SHB105" s="433"/>
      <c r="SHC105" s="433"/>
      <c r="SHD105" s="433"/>
      <c r="SHE105" s="433"/>
      <c r="SHF105" s="433"/>
      <c r="SHG105" s="433"/>
      <c r="SHH105" s="433"/>
      <c r="SHI105" s="433"/>
      <c r="SHJ105" s="433"/>
      <c r="SHK105" s="433"/>
      <c r="SHL105" s="433"/>
      <c r="SHM105" s="433"/>
      <c r="SHN105" s="433"/>
      <c r="SHO105" s="433"/>
      <c r="SHP105" s="433"/>
      <c r="SHQ105" s="433"/>
      <c r="SHR105" s="433"/>
      <c r="SHS105" s="433"/>
      <c r="SHT105" s="433"/>
      <c r="SHU105" s="433"/>
      <c r="SHV105" s="433"/>
      <c r="SHW105" s="433"/>
      <c r="SHX105" s="433"/>
      <c r="SHY105" s="433"/>
      <c r="SHZ105" s="433"/>
      <c r="SIA105" s="433"/>
      <c r="SIB105" s="433"/>
      <c r="SIC105" s="433"/>
      <c r="SID105" s="433"/>
      <c r="SIE105" s="433"/>
      <c r="SIF105" s="433"/>
      <c r="SIG105" s="433"/>
      <c r="SIH105" s="433"/>
      <c r="SII105" s="433"/>
      <c r="SIJ105" s="433"/>
      <c r="SIK105" s="433"/>
      <c r="SIL105" s="433"/>
      <c r="SIM105" s="433"/>
      <c r="SIN105" s="433"/>
      <c r="SIO105" s="433"/>
      <c r="SIP105" s="433"/>
      <c r="SIQ105" s="433"/>
      <c r="SIR105" s="433"/>
      <c r="SIS105" s="433"/>
      <c r="SIT105" s="433"/>
      <c r="SIU105" s="433"/>
      <c r="SIV105" s="433"/>
      <c r="SIW105" s="433"/>
      <c r="SIX105" s="433"/>
      <c r="SIY105" s="433"/>
      <c r="SIZ105" s="433"/>
      <c r="SJA105" s="433"/>
      <c r="SJB105" s="433"/>
      <c r="SJC105" s="433"/>
      <c r="SJD105" s="433"/>
      <c r="SJE105" s="433"/>
      <c r="SJF105" s="433"/>
      <c r="SJG105" s="433"/>
      <c r="SJH105" s="433"/>
      <c r="SJI105" s="433"/>
      <c r="SJJ105" s="433"/>
      <c r="SJK105" s="433"/>
      <c r="SJL105" s="433"/>
      <c r="SJM105" s="433"/>
      <c r="SJN105" s="433"/>
      <c r="SJO105" s="433"/>
      <c r="SJP105" s="433"/>
      <c r="SJQ105" s="433"/>
      <c r="SJR105" s="433"/>
      <c r="SJS105" s="433"/>
      <c r="SJT105" s="433"/>
      <c r="SJU105" s="433"/>
      <c r="SJV105" s="433"/>
      <c r="SJW105" s="433"/>
      <c r="SJX105" s="433"/>
      <c r="SJY105" s="433"/>
      <c r="SJZ105" s="433"/>
      <c r="SKA105" s="433"/>
      <c r="SKB105" s="433"/>
      <c r="SKC105" s="433"/>
      <c r="SKD105" s="433"/>
      <c r="SKE105" s="433"/>
      <c r="SKF105" s="433"/>
      <c r="SKG105" s="433"/>
      <c r="SKH105" s="433"/>
      <c r="SKI105" s="433"/>
      <c r="SKJ105" s="433"/>
      <c r="SKK105" s="433"/>
      <c r="SKL105" s="433"/>
      <c r="SKM105" s="433"/>
      <c r="SKN105" s="433"/>
      <c r="SKO105" s="433"/>
      <c r="SKP105" s="433"/>
      <c r="SKQ105" s="433"/>
      <c r="SKR105" s="433"/>
      <c r="SKS105" s="433"/>
      <c r="SKT105" s="433"/>
      <c r="SKU105" s="433"/>
      <c r="SKV105" s="433"/>
      <c r="SKW105" s="433"/>
      <c r="SKX105" s="433"/>
      <c r="SKY105" s="433"/>
      <c r="SKZ105" s="433"/>
      <c r="SLA105" s="433"/>
      <c r="SLB105" s="433"/>
      <c r="SLC105" s="433"/>
      <c r="SLD105" s="433"/>
      <c r="SLE105" s="433"/>
      <c r="SLF105" s="433"/>
      <c r="SLG105" s="433"/>
      <c r="SLH105" s="433"/>
      <c r="SLI105" s="433"/>
      <c r="SLJ105" s="433"/>
      <c r="SLK105" s="433"/>
      <c r="SLL105" s="433"/>
      <c r="SLM105" s="433"/>
      <c r="SLN105" s="433"/>
      <c r="SLO105" s="433"/>
      <c r="SLP105" s="433"/>
      <c r="SLQ105" s="433"/>
      <c r="SLR105" s="433"/>
      <c r="SLS105" s="433"/>
      <c r="SLT105" s="433"/>
      <c r="SLU105" s="433"/>
      <c r="SLV105" s="433"/>
      <c r="SLW105" s="433"/>
      <c r="SLX105" s="433"/>
      <c r="SLY105" s="433"/>
      <c r="SLZ105" s="433"/>
      <c r="SMA105" s="433"/>
      <c r="SMB105" s="433"/>
      <c r="SMC105" s="433"/>
      <c r="SMD105" s="433"/>
      <c r="SME105" s="433"/>
      <c r="SMF105" s="433"/>
      <c r="SMG105" s="433"/>
      <c r="SMH105" s="433"/>
      <c r="SMI105" s="433"/>
      <c r="SMJ105" s="433"/>
      <c r="SMK105" s="433"/>
      <c r="SML105" s="433"/>
      <c r="SMM105" s="433"/>
      <c r="SMN105" s="433"/>
      <c r="SMO105" s="433"/>
      <c r="SMP105" s="433"/>
      <c r="SMQ105" s="433"/>
      <c r="SMR105" s="433"/>
      <c r="SMS105" s="433"/>
      <c r="SMT105" s="433"/>
      <c r="SMU105" s="433"/>
      <c r="SMV105" s="433"/>
      <c r="SMW105" s="433"/>
      <c r="SMX105" s="433"/>
      <c r="SMY105" s="433"/>
      <c r="SMZ105" s="433"/>
      <c r="SNA105" s="433"/>
      <c r="SNB105" s="433"/>
      <c r="SNC105" s="433"/>
      <c r="SND105" s="433"/>
      <c r="SNE105" s="433"/>
      <c r="SNF105" s="433"/>
      <c r="SNG105" s="433"/>
      <c r="SNH105" s="433"/>
      <c r="SNI105" s="433"/>
      <c r="SNJ105" s="433"/>
      <c r="SNK105" s="433"/>
      <c r="SNL105" s="433"/>
      <c r="SNM105" s="433"/>
      <c r="SNN105" s="433"/>
      <c r="SNO105" s="433"/>
      <c r="SNP105" s="433"/>
      <c r="SNQ105" s="433"/>
      <c r="SNR105" s="433"/>
      <c r="SNS105" s="433"/>
      <c r="SNT105" s="433"/>
      <c r="SNU105" s="433"/>
      <c r="SNV105" s="433"/>
      <c r="SNW105" s="433"/>
      <c r="SNX105" s="433"/>
      <c r="SNY105" s="433"/>
      <c r="SNZ105" s="433"/>
      <c r="SOA105" s="433"/>
      <c r="SOB105" s="433"/>
      <c r="SOC105" s="433"/>
      <c r="SOD105" s="433"/>
      <c r="SOE105" s="433"/>
      <c r="SOF105" s="433"/>
      <c r="SOG105" s="433"/>
      <c r="SOH105" s="433"/>
      <c r="SOI105" s="433"/>
      <c r="SOJ105" s="433"/>
      <c r="SOK105" s="433"/>
      <c r="SOL105" s="433"/>
      <c r="SOM105" s="433"/>
      <c r="SON105" s="433"/>
      <c r="SOO105" s="433"/>
      <c r="SOP105" s="433"/>
      <c r="SOQ105" s="433"/>
      <c r="SOR105" s="433"/>
      <c r="SOS105" s="433"/>
      <c r="SOT105" s="433"/>
      <c r="SOU105" s="433"/>
      <c r="SOV105" s="433"/>
      <c r="SOW105" s="433"/>
      <c r="SOX105" s="433"/>
      <c r="SOY105" s="433"/>
      <c r="SOZ105" s="433"/>
      <c r="SPA105" s="433"/>
      <c r="SPB105" s="433"/>
      <c r="SPC105" s="433"/>
      <c r="SPD105" s="433"/>
      <c r="SPE105" s="433"/>
      <c r="SPF105" s="433"/>
      <c r="SPG105" s="433"/>
      <c r="SPH105" s="433"/>
      <c r="SPI105" s="433"/>
      <c r="SPJ105" s="433"/>
      <c r="SPK105" s="433"/>
      <c r="SPL105" s="433"/>
      <c r="SPM105" s="433"/>
      <c r="SPN105" s="433"/>
      <c r="SPO105" s="433"/>
      <c r="SPP105" s="433"/>
      <c r="SPQ105" s="433"/>
      <c r="SPR105" s="433"/>
      <c r="SPS105" s="433"/>
      <c r="SPT105" s="433"/>
      <c r="SPU105" s="433"/>
      <c r="SPV105" s="433"/>
      <c r="SPW105" s="433"/>
      <c r="SPX105" s="433"/>
      <c r="SPY105" s="433"/>
      <c r="SPZ105" s="433"/>
      <c r="SQA105" s="433"/>
      <c r="SQB105" s="433"/>
      <c r="SQC105" s="433"/>
      <c r="SQD105" s="433"/>
      <c r="SQE105" s="433"/>
      <c r="SQF105" s="433"/>
      <c r="SQG105" s="433"/>
      <c r="SQH105" s="433"/>
      <c r="SQI105" s="433"/>
      <c r="SQJ105" s="433"/>
      <c r="SQK105" s="433"/>
      <c r="SQL105" s="433"/>
      <c r="SQM105" s="433"/>
      <c r="SQN105" s="433"/>
      <c r="SQO105" s="433"/>
      <c r="SQP105" s="433"/>
      <c r="SQQ105" s="433"/>
      <c r="SQR105" s="433"/>
      <c r="SQS105" s="433"/>
      <c r="SQT105" s="433"/>
      <c r="SQU105" s="433"/>
      <c r="SQV105" s="433"/>
      <c r="SQW105" s="433"/>
      <c r="SQX105" s="433"/>
      <c r="SQY105" s="433"/>
      <c r="SQZ105" s="433"/>
      <c r="SRA105" s="433"/>
      <c r="SRB105" s="433"/>
      <c r="SRC105" s="433"/>
      <c r="SRD105" s="433"/>
      <c r="SRE105" s="433"/>
      <c r="SRF105" s="433"/>
      <c r="SRG105" s="433"/>
      <c r="SRH105" s="433"/>
      <c r="SRI105" s="433"/>
      <c r="SRJ105" s="433"/>
      <c r="SRK105" s="433"/>
      <c r="SRL105" s="433"/>
      <c r="SRM105" s="433"/>
      <c r="SRN105" s="433"/>
      <c r="SRO105" s="433"/>
      <c r="SRP105" s="433"/>
      <c r="SRQ105" s="433"/>
      <c r="SRR105" s="433"/>
      <c r="SRS105" s="433"/>
      <c r="SRT105" s="433"/>
      <c r="SRU105" s="433"/>
      <c r="SRV105" s="433"/>
      <c r="SRW105" s="433"/>
      <c r="SRX105" s="433"/>
      <c r="SRY105" s="433"/>
      <c r="SRZ105" s="433"/>
      <c r="SSA105" s="433"/>
      <c r="SSB105" s="433"/>
      <c r="SSC105" s="433"/>
      <c r="SSD105" s="433"/>
      <c r="SSE105" s="433"/>
      <c r="SSF105" s="433"/>
      <c r="SSG105" s="433"/>
      <c r="SSH105" s="433"/>
      <c r="SSI105" s="433"/>
      <c r="SSJ105" s="433"/>
      <c r="SSK105" s="433"/>
      <c r="SSL105" s="433"/>
      <c r="SSM105" s="433"/>
      <c r="SSN105" s="433"/>
      <c r="SSO105" s="433"/>
      <c r="SSP105" s="433"/>
      <c r="SSQ105" s="433"/>
      <c r="SSR105" s="433"/>
      <c r="SSS105" s="433"/>
      <c r="SST105" s="433"/>
      <c r="SSU105" s="433"/>
      <c r="SSV105" s="433"/>
      <c r="SSW105" s="433"/>
      <c r="SSX105" s="433"/>
      <c r="SSY105" s="433"/>
      <c r="SSZ105" s="433"/>
      <c r="STA105" s="433"/>
      <c r="STB105" s="433"/>
      <c r="STC105" s="433"/>
      <c r="STD105" s="433"/>
      <c r="STE105" s="433"/>
      <c r="STF105" s="433"/>
      <c r="STG105" s="433"/>
      <c r="STH105" s="433"/>
      <c r="STI105" s="433"/>
      <c r="STJ105" s="433"/>
      <c r="STK105" s="433"/>
      <c r="STL105" s="433"/>
      <c r="STM105" s="433"/>
      <c r="STN105" s="433"/>
      <c r="STO105" s="433"/>
      <c r="STP105" s="433"/>
      <c r="STQ105" s="433"/>
      <c r="STR105" s="433"/>
      <c r="STS105" s="433"/>
      <c r="STT105" s="433"/>
      <c r="STU105" s="433"/>
      <c r="STV105" s="433"/>
      <c r="STW105" s="433"/>
      <c r="STX105" s="433"/>
      <c r="STY105" s="433"/>
      <c r="STZ105" s="433"/>
      <c r="SUA105" s="433"/>
      <c r="SUB105" s="433"/>
      <c r="SUC105" s="433"/>
      <c r="SUD105" s="433"/>
      <c r="SUE105" s="433"/>
      <c r="SUF105" s="433"/>
      <c r="SUG105" s="433"/>
      <c r="SUH105" s="433"/>
      <c r="SUI105" s="433"/>
      <c r="SUJ105" s="433"/>
      <c r="SUK105" s="433"/>
      <c r="SUL105" s="433"/>
      <c r="SUM105" s="433"/>
      <c r="SUN105" s="433"/>
      <c r="SUO105" s="433"/>
      <c r="SUP105" s="433"/>
      <c r="SUQ105" s="433"/>
      <c r="SUR105" s="433"/>
      <c r="SUS105" s="433"/>
      <c r="SUT105" s="433"/>
      <c r="SUU105" s="433"/>
      <c r="SUV105" s="433"/>
      <c r="SUW105" s="433"/>
      <c r="SUX105" s="433"/>
      <c r="SUY105" s="433"/>
      <c r="SUZ105" s="433"/>
      <c r="SVA105" s="433"/>
      <c r="SVB105" s="433"/>
      <c r="SVC105" s="433"/>
      <c r="SVD105" s="433"/>
      <c r="SVE105" s="433"/>
      <c r="SVF105" s="433"/>
      <c r="SVG105" s="433"/>
      <c r="SVH105" s="433"/>
      <c r="SVI105" s="433"/>
      <c r="SVJ105" s="433"/>
      <c r="SVK105" s="433"/>
      <c r="SVL105" s="433"/>
      <c r="SVM105" s="433"/>
      <c r="SVN105" s="433"/>
      <c r="SVO105" s="433"/>
      <c r="SVP105" s="433"/>
      <c r="SVQ105" s="433"/>
      <c r="SVR105" s="433"/>
      <c r="SVS105" s="433"/>
      <c r="SVT105" s="433"/>
      <c r="SVU105" s="433"/>
      <c r="SVV105" s="433"/>
      <c r="SVW105" s="433"/>
      <c r="SVX105" s="433"/>
      <c r="SVY105" s="433"/>
      <c r="SVZ105" s="433"/>
      <c r="SWA105" s="433"/>
      <c r="SWB105" s="433"/>
      <c r="SWC105" s="433"/>
      <c r="SWD105" s="433"/>
      <c r="SWE105" s="433"/>
      <c r="SWF105" s="433"/>
      <c r="SWG105" s="433"/>
      <c r="SWH105" s="433"/>
      <c r="SWI105" s="433"/>
      <c r="SWJ105" s="433"/>
      <c r="SWK105" s="433"/>
      <c r="SWL105" s="433"/>
      <c r="SWM105" s="433"/>
      <c r="SWN105" s="433"/>
      <c r="SWO105" s="433"/>
      <c r="SWP105" s="433"/>
      <c r="SWQ105" s="433"/>
      <c r="SWR105" s="433"/>
      <c r="SWS105" s="433"/>
      <c r="SWT105" s="433"/>
      <c r="SWU105" s="433"/>
      <c r="SWV105" s="433"/>
      <c r="SWW105" s="433"/>
      <c r="SWX105" s="433"/>
      <c r="SWY105" s="433"/>
      <c r="SWZ105" s="433"/>
      <c r="SXA105" s="433"/>
      <c r="SXB105" s="433"/>
      <c r="SXC105" s="433"/>
      <c r="SXD105" s="433"/>
      <c r="SXE105" s="433"/>
      <c r="SXF105" s="433"/>
      <c r="SXG105" s="433"/>
      <c r="SXH105" s="433"/>
      <c r="SXI105" s="433"/>
      <c r="SXJ105" s="433"/>
      <c r="SXK105" s="433"/>
      <c r="SXL105" s="433"/>
      <c r="SXM105" s="433"/>
      <c r="SXN105" s="433"/>
      <c r="SXO105" s="433"/>
      <c r="SXP105" s="433"/>
      <c r="SXQ105" s="433"/>
      <c r="SXR105" s="433"/>
      <c r="SXS105" s="433"/>
      <c r="SXT105" s="433"/>
      <c r="SXU105" s="433"/>
      <c r="SXV105" s="433"/>
      <c r="SXW105" s="433"/>
      <c r="SXX105" s="433"/>
      <c r="SXY105" s="433"/>
      <c r="SXZ105" s="433"/>
      <c r="SYA105" s="433"/>
      <c r="SYB105" s="433"/>
      <c r="SYC105" s="433"/>
      <c r="SYD105" s="433"/>
      <c r="SYE105" s="433"/>
      <c r="SYF105" s="433"/>
      <c r="SYG105" s="433"/>
      <c r="SYH105" s="433"/>
      <c r="SYI105" s="433"/>
      <c r="SYJ105" s="433"/>
      <c r="SYK105" s="433"/>
      <c r="SYL105" s="433"/>
      <c r="SYM105" s="433"/>
      <c r="SYN105" s="433"/>
      <c r="SYO105" s="433"/>
      <c r="SYP105" s="433"/>
      <c r="SYQ105" s="433"/>
      <c r="SYR105" s="433"/>
      <c r="SYS105" s="433"/>
      <c r="SYT105" s="433"/>
      <c r="SYU105" s="433"/>
      <c r="SYV105" s="433"/>
      <c r="SYW105" s="433"/>
      <c r="SYX105" s="433"/>
      <c r="SYY105" s="433"/>
      <c r="SYZ105" s="433"/>
      <c r="SZA105" s="433"/>
      <c r="SZB105" s="433"/>
      <c r="SZC105" s="433"/>
      <c r="SZD105" s="433"/>
      <c r="SZE105" s="433"/>
      <c r="SZF105" s="433"/>
      <c r="SZG105" s="433"/>
      <c r="SZH105" s="433"/>
      <c r="SZI105" s="433"/>
      <c r="SZJ105" s="433"/>
      <c r="SZK105" s="433"/>
      <c r="SZL105" s="433"/>
      <c r="SZM105" s="433"/>
      <c r="SZN105" s="433"/>
      <c r="SZO105" s="433"/>
      <c r="SZP105" s="433"/>
      <c r="SZQ105" s="433"/>
      <c r="SZR105" s="433"/>
      <c r="SZS105" s="433"/>
      <c r="SZT105" s="433"/>
      <c r="SZU105" s="433"/>
      <c r="SZV105" s="433"/>
      <c r="SZW105" s="433"/>
      <c r="SZX105" s="433"/>
      <c r="SZY105" s="433"/>
      <c r="SZZ105" s="433"/>
      <c r="TAA105" s="433"/>
      <c r="TAB105" s="433"/>
      <c r="TAC105" s="433"/>
      <c r="TAD105" s="433"/>
      <c r="TAE105" s="433"/>
      <c r="TAF105" s="433"/>
      <c r="TAG105" s="433"/>
      <c r="TAH105" s="433"/>
      <c r="TAI105" s="433"/>
      <c r="TAJ105" s="433"/>
      <c r="TAK105" s="433"/>
      <c r="TAL105" s="433"/>
      <c r="TAM105" s="433"/>
      <c r="TAN105" s="433"/>
      <c r="TAO105" s="433"/>
      <c r="TAP105" s="433"/>
      <c r="TAQ105" s="433"/>
      <c r="TAR105" s="433"/>
      <c r="TAS105" s="433"/>
      <c r="TAT105" s="433"/>
      <c r="TAU105" s="433"/>
      <c r="TAV105" s="433"/>
      <c r="TAW105" s="433"/>
      <c r="TAX105" s="433"/>
      <c r="TAY105" s="433"/>
      <c r="TAZ105" s="433"/>
      <c r="TBA105" s="433"/>
      <c r="TBB105" s="433"/>
      <c r="TBC105" s="433"/>
      <c r="TBD105" s="433"/>
      <c r="TBE105" s="433"/>
      <c r="TBF105" s="433"/>
      <c r="TBG105" s="433"/>
      <c r="TBH105" s="433"/>
      <c r="TBI105" s="433"/>
      <c r="TBJ105" s="433"/>
      <c r="TBK105" s="433"/>
      <c r="TBL105" s="433"/>
      <c r="TBM105" s="433"/>
      <c r="TBN105" s="433"/>
      <c r="TBO105" s="433"/>
      <c r="TBP105" s="433"/>
      <c r="TBQ105" s="433"/>
      <c r="TBR105" s="433"/>
      <c r="TBS105" s="433"/>
      <c r="TBT105" s="433"/>
      <c r="TBU105" s="433"/>
      <c r="TBV105" s="433"/>
      <c r="TBW105" s="433"/>
      <c r="TBX105" s="433"/>
      <c r="TBY105" s="433"/>
      <c r="TBZ105" s="433"/>
      <c r="TCA105" s="433"/>
      <c r="TCB105" s="433"/>
      <c r="TCC105" s="433"/>
      <c r="TCD105" s="433"/>
      <c r="TCE105" s="433"/>
      <c r="TCF105" s="433"/>
      <c r="TCG105" s="433"/>
      <c r="TCH105" s="433"/>
      <c r="TCI105" s="433"/>
      <c r="TCJ105" s="433"/>
      <c r="TCK105" s="433"/>
      <c r="TCL105" s="433"/>
      <c r="TCM105" s="433"/>
      <c r="TCN105" s="433"/>
      <c r="TCO105" s="433"/>
      <c r="TCP105" s="433"/>
      <c r="TCQ105" s="433"/>
      <c r="TCR105" s="433"/>
      <c r="TCS105" s="433"/>
      <c r="TCT105" s="433"/>
      <c r="TCU105" s="433"/>
      <c r="TCV105" s="433"/>
      <c r="TCW105" s="433"/>
      <c r="TCX105" s="433"/>
      <c r="TCY105" s="433"/>
      <c r="TCZ105" s="433"/>
      <c r="TDA105" s="433"/>
      <c r="TDB105" s="433"/>
      <c r="TDC105" s="433"/>
      <c r="TDD105" s="433"/>
      <c r="TDE105" s="433"/>
      <c r="TDF105" s="433"/>
      <c r="TDG105" s="433"/>
      <c r="TDH105" s="433"/>
      <c r="TDI105" s="433"/>
      <c r="TDJ105" s="433"/>
      <c r="TDK105" s="433"/>
      <c r="TDL105" s="433"/>
      <c r="TDM105" s="433"/>
      <c r="TDN105" s="433"/>
      <c r="TDO105" s="433"/>
      <c r="TDP105" s="433"/>
      <c r="TDQ105" s="433"/>
      <c r="TDR105" s="433"/>
      <c r="TDS105" s="433"/>
      <c r="TDT105" s="433"/>
      <c r="TDU105" s="433"/>
      <c r="TDV105" s="433"/>
      <c r="TDW105" s="433"/>
      <c r="TDX105" s="433"/>
      <c r="TDY105" s="433"/>
      <c r="TDZ105" s="433"/>
      <c r="TEA105" s="433"/>
      <c r="TEB105" s="433"/>
      <c r="TEC105" s="433"/>
      <c r="TED105" s="433"/>
      <c r="TEE105" s="433"/>
      <c r="TEF105" s="433"/>
      <c r="TEG105" s="433"/>
      <c r="TEH105" s="433"/>
      <c r="TEI105" s="433"/>
      <c r="TEJ105" s="433"/>
      <c r="TEK105" s="433"/>
      <c r="TEL105" s="433"/>
      <c r="TEM105" s="433"/>
      <c r="TEN105" s="433"/>
      <c r="TEO105" s="433"/>
      <c r="TEP105" s="433"/>
      <c r="TEQ105" s="433"/>
      <c r="TER105" s="433"/>
      <c r="TES105" s="433"/>
      <c r="TET105" s="433"/>
      <c r="TEU105" s="433"/>
      <c r="TEV105" s="433"/>
      <c r="TEW105" s="433"/>
      <c r="TEX105" s="433"/>
      <c r="TEY105" s="433"/>
      <c r="TEZ105" s="433"/>
      <c r="TFA105" s="433"/>
      <c r="TFB105" s="433"/>
      <c r="TFC105" s="433"/>
      <c r="TFD105" s="433"/>
      <c r="TFE105" s="433"/>
      <c r="TFF105" s="433"/>
      <c r="TFG105" s="433"/>
      <c r="TFH105" s="433"/>
      <c r="TFI105" s="433"/>
      <c r="TFJ105" s="433"/>
      <c r="TFK105" s="433"/>
      <c r="TFL105" s="433"/>
      <c r="TFM105" s="433"/>
      <c r="TFN105" s="433"/>
      <c r="TFO105" s="433"/>
      <c r="TFP105" s="433"/>
      <c r="TFQ105" s="433"/>
      <c r="TFR105" s="433"/>
      <c r="TFS105" s="433"/>
      <c r="TFT105" s="433"/>
      <c r="TFU105" s="433"/>
      <c r="TFV105" s="433"/>
      <c r="TFW105" s="433"/>
      <c r="TFX105" s="433"/>
      <c r="TFY105" s="433"/>
      <c r="TFZ105" s="433"/>
      <c r="TGA105" s="433"/>
      <c r="TGB105" s="433"/>
      <c r="TGC105" s="433"/>
      <c r="TGD105" s="433"/>
      <c r="TGE105" s="433"/>
      <c r="TGF105" s="433"/>
      <c r="TGG105" s="433"/>
      <c r="TGH105" s="433"/>
      <c r="TGI105" s="433"/>
      <c r="TGJ105" s="433"/>
      <c r="TGK105" s="433"/>
      <c r="TGL105" s="433"/>
      <c r="TGM105" s="433"/>
      <c r="TGN105" s="433"/>
      <c r="TGO105" s="433"/>
      <c r="TGP105" s="433"/>
      <c r="TGQ105" s="433"/>
      <c r="TGR105" s="433"/>
      <c r="TGS105" s="433"/>
      <c r="TGT105" s="433"/>
      <c r="TGU105" s="433"/>
      <c r="TGV105" s="433"/>
      <c r="TGW105" s="433"/>
      <c r="TGX105" s="433"/>
      <c r="TGY105" s="433"/>
      <c r="TGZ105" s="433"/>
      <c r="THA105" s="433"/>
      <c r="THB105" s="433"/>
      <c r="THC105" s="433"/>
      <c r="THD105" s="433"/>
      <c r="THE105" s="433"/>
      <c r="THF105" s="433"/>
      <c r="THG105" s="433"/>
      <c r="THH105" s="433"/>
      <c r="THI105" s="433"/>
      <c r="THJ105" s="433"/>
      <c r="THK105" s="433"/>
      <c r="THL105" s="433"/>
      <c r="THM105" s="433"/>
      <c r="THN105" s="433"/>
      <c r="THO105" s="433"/>
      <c r="THP105" s="433"/>
      <c r="THQ105" s="433"/>
      <c r="THR105" s="433"/>
      <c r="THS105" s="433"/>
      <c r="THT105" s="433"/>
      <c r="THU105" s="433"/>
      <c r="THV105" s="433"/>
      <c r="THW105" s="433"/>
      <c r="THX105" s="433"/>
      <c r="THY105" s="433"/>
      <c r="THZ105" s="433"/>
      <c r="TIA105" s="433"/>
      <c r="TIB105" s="433"/>
      <c r="TIC105" s="433"/>
      <c r="TID105" s="433"/>
      <c r="TIE105" s="433"/>
      <c r="TIF105" s="433"/>
      <c r="TIG105" s="433"/>
      <c r="TIH105" s="433"/>
      <c r="TII105" s="433"/>
      <c r="TIJ105" s="433"/>
      <c r="TIK105" s="433"/>
      <c r="TIL105" s="433"/>
      <c r="TIM105" s="433"/>
      <c r="TIN105" s="433"/>
      <c r="TIO105" s="433"/>
      <c r="TIP105" s="433"/>
      <c r="TIQ105" s="433"/>
      <c r="TIR105" s="433"/>
      <c r="TIS105" s="433"/>
      <c r="TIT105" s="433"/>
      <c r="TIU105" s="433"/>
      <c r="TIV105" s="433"/>
      <c r="TIW105" s="433"/>
      <c r="TIX105" s="433"/>
      <c r="TIY105" s="433"/>
      <c r="TIZ105" s="433"/>
      <c r="TJA105" s="433"/>
      <c r="TJB105" s="433"/>
      <c r="TJC105" s="433"/>
      <c r="TJD105" s="433"/>
      <c r="TJE105" s="433"/>
      <c r="TJF105" s="433"/>
      <c r="TJG105" s="433"/>
      <c r="TJH105" s="433"/>
      <c r="TJI105" s="433"/>
      <c r="TJJ105" s="433"/>
      <c r="TJK105" s="433"/>
      <c r="TJL105" s="433"/>
      <c r="TJM105" s="433"/>
      <c r="TJN105" s="433"/>
      <c r="TJO105" s="433"/>
      <c r="TJP105" s="433"/>
      <c r="TJQ105" s="433"/>
      <c r="TJR105" s="433"/>
      <c r="TJS105" s="433"/>
      <c r="TJT105" s="433"/>
      <c r="TJU105" s="433"/>
      <c r="TJV105" s="433"/>
      <c r="TJW105" s="433"/>
      <c r="TJX105" s="433"/>
      <c r="TJY105" s="433"/>
      <c r="TJZ105" s="433"/>
      <c r="TKA105" s="433"/>
      <c r="TKB105" s="433"/>
      <c r="TKC105" s="433"/>
      <c r="TKD105" s="433"/>
      <c r="TKE105" s="433"/>
      <c r="TKF105" s="433"/>
      <c r="TKG105" s="433"/>
      <c r="TKH105" s="433"/>
      <c r="TKI105" s="433"/>
      <c r="TKJ105" s="433"/>
      <c r="TKK105" s="433"/>
      <c r="TKL105" s="433"/>
      <c r="TKM105" s="433"/>
      <c r="TKN105" s="433"/>
      <c r="TKO105" s="433"/>
      <c r="TKP105" s="433"/>
      <c r="TKQ105" s="433"/>
      <c r="TKR105" s="433"/>
      <c r="TKS105" s="433"/>
      <c r="TKT105" s="433"/>
      <c r="TKU105" s="433"/>
      <c r="TKV105" s="433"/>
      <c r="TKW105" s="433"/>
      <c r="TKX105" s="433"/>
      <c r="TKY105" s="433"/>
      <c r="TKZ105" s="433"/>
      <c r="TLA105" s="433"/>
      <c r="TLB105" s="433"/>
      <c r="TLC105" s="433"/>
      <c r="TLD105" s="433"/>
      <c r="TLE105" s="433"/>
      <c r="TLF105" s="433"/>
      <c r="TLG105" s="433"/>
      <c r="TLH105" s="433"/>
      <c r="TLI105" s="433"/>
      <c r="TLJ105" s="433"/>
      <c r="TLK105" s="433"/>
      <c r="TLL105" s="433"/>
      <c r="TLM105" s="433"/>
      <c r="TLN105" s="433"/>
      <c r="TLO105" s="433"/>
      <c r="TLP105" s="433"/>
      <c r="TLQ105" s="433"/>
      <c r="TLR105" s="433"/>
      <c r="TLS105" s="433"/>
      <c r="TLT105" s="433"/>
      <c r="TLU105" s="433"/>
      <c r="TLV105" s="433"/>
      <c r="TLW105" s="433"/>
      <c r="TLX105" s="433"/>
      <c r="TLY105" s="433"/>
      <c r="TLZ105" s="433"/>
      <c r="TMA105" s="433"/>
      <c r="TMB105" s="433"/>
      <c r="TMC105" s="433"/>
      <c r="TMD105" s="433"/>
      <c r="TME105" s="433"/>
      <c r="TMF105" s="433"/>
      <c r="TMG105" s="433"/>
      <c r="TMH105" s="433"/>
      <c r="TMI105" s="433"/>
      <c r="TMJ105" s="433"/>
      <c r="TMK105" s="433"/>
      <c r="TML105" s="433"/>
      <c r="TMM105" s="433"/>
      <c r="TMN105" s="433"/>
      <c r="TMO105" s="433"/>
      <c r="TMP105" s="433"/>
      <c r="TMQ105" s="433"/>
      <c r="TMR105" s="433"/>
      <c r="TMS105" s="433"/>
      <c r="TMT105" s="433"/>
      <c r="TMU105" s="433"/>
      <c r="TMV105" s="433"/>
      <c r="TMW105" s="433"/>
      <c r="TMX105" s="433"/>
      <c r="TMY105" s="433"/>
      <c r="TMZ105" s="433"/>
      <c r="TNA105" s="433"/>
      <c r="TNB105" s="433"/>
      <c r="TNC105" s="433"/>
      <c r="TND105" s="433"/>
      <c r="TNE105" s="433"/>
      <c r="TNF105" s="433"/>
      <c r="TNG105" s="433"/>
      <c r="TNH105" s="433"/>
      <c r="TNI105" s="433"/>
      <c r="TNJ105" s="433"/>
      <c r="TNK105" s="433"/>
      <c r="TNL105" s="433"/>
      <c r="TNM105" s="433"/>
      <c r="TNN105" s="433"/>
      <c r="TNO105" s="433"/>
      <c r="TNP105" s="433"/>
      <c r="TNQ105" s="433"/>
      <c r="TNR105" s="433"/>
      <c r="TNS105" s="433"/>
      <c r="TNT105" s="433"/>
      <c r="TNU105" s="433"/>
      <c r="TNV105" s="433"/>
      <c r="TNW105" s="433"/>
      <c r="TNX105" s="433"/>
      <c r="TNY105" s="433"/>
      <c r="TNZ105" s="433"/>
      <c r="TOA105" s="433"/>
      <c r="TOB105" s="433"/>
      <c r="TOC105" s="433"/>
      <c r="TOD105" s="433"/>
      <c r="TOE105" s="433"/>
      <c r="TOF105" s="433"/>
      <c r="TOG105" s="433"/>
      <c r="TOH105" s="433"/>
      <c r="TOI105" s="433"/>
      <c r="TOJ105" s="433"/>
      <c r="TOK105" s="433"/>
      <c r="TOL105" s="433"/>
      <c r="TOM105" s="433"/>
      <c r="TON105" s="433"/>
      <c r="TOO105" s="433"/>
      <c r="TOP105" s="433"/>
      <c r="TOQ105" s="433"/>
      <c r="TOR105" s="433"/>
      <c r="TOS105" s="433"/>
      <c r="TOT105" s="433"/>
      <c r="TOU105" s="433"/>
      <c r="TOV105" s="433"/>
      <c r="TOW105" s="433"/>
      <c r="TOX105" s="433"/>
      <c r="TOY105" s="433"/>
      <c r="TOZ105" s="433"/>
      <c r="TPA105" s="433"/>
      <c r="TPB105" s="433"/>
      <c r="TPC105" s="433"/>
      <c r="TPD105" s="433"/>
      <c r="TPE105" s="433"/>
      <c r="TPF105" s="433"/>
      <c r="TPG105" s="433"/>
      <c r="TPH105" s="433"/>
      <c r="TPI105" s="433"/>
      <c r="TPJ105" s="433"/>
      <c r="TPK105" s="433"/>
      <c r="TPL105" s="433"/>
      <c r="TPM105" s="433"/>
      <c r="TPN105" s="433"/>
      <c r="TPO105" s="433"/>
      <c r="TPP105" s="433"/>
      <c r="TPQ105" s="433"/>
      <c r="TPR105" s="433"/>
      <c r="TPS105" s="433"/>
      <c r="TPT105" s="433"/>
      <c r="TPU105" s="433"/>
      <c r="TPV105" s="433"/>
      <c r="TPW105" s="433"/>
      <c r="TPX105" s="433"/>
      <c r="TPY105" s="433"/>
      <c r="TPZ105" s="433"/>
      <c r="TQA105" s="433"/>
      <c r="TQB105" s="433"/>
      <c r="TQC105" s="433"/>
      <c r="TQD105" s="433"/>
      <c r="TQE105" s="433"/>
      <c r="TQF105" s="433"/>
      <c r="TQG105" s="433"/>
      <c r="TQH105" s="433"/>
      <c r="TQI105" s="433"/>
      <c r="TQJ105" s="433"/>
      <c r="TQK105" s="433"/>
      <c r="TQL105" s="433"/>
      <c r="TQM105" s="433"/>
      <c r="TQN105" s="433"/>
      <c r="TQO105" s="433"/>
      <c r="TQP105" s="433"/>
      <c r="TQQ105" s="433"/>
      <c r="TQR105" s="433"/>
      <c r="TQS105" s="433"/>
      <c r="TQT105" s="433"/>
      <c r="TQU105" s="433"/>
      <c r="TQV105" s="433"/>
      <c r="TQW105" s="433"/>
      <c r="TQX105" s="433"/>
      <c r="TQY105" s="433"/>
      <c r="TQZ105" s="433"/>
      <c r="TRA105" s="433"/>
      <c r="TRB105" s="433"/>
      <c r="TRC105" s="433"/>
      <c r="TRD105" s="433"/>
      <c r="TRE105" s="433"/>
      <c r="TRF105" s="433"/>
      <c r="TRG105" s="433"/>
      <c r="TRH105" s="433"/>
      <c r="TRI105" s="433"/>
      <c r="TRJ105" s="433"/>
      <c r="TRK105" s="433"/>
      <c r="TRL105" s="433"/>
      <c r="TRM105" s="433"/>
      <c r="TRN105" s="433"/>
      <c r="TRO105" s="433"/>
      <c r="TRP105" s="433"/>
      <c r="TRQ105" s="433"/>
      <c r="TRR105" s="433"/>
      <c r="TRS105" s="433"/>
      <c r="TRT105" s="433"/>
      <c r="TRU105" s="433"/>
      <c r="TRV105" s="433"/>
      <c r="TRW105" s="433"/>
      <c r="TRX105" s="433"/>
      <c r="TRY105" s="433"/>
      <c r="TRZ105" s="433"/>
      <c r="TSA105" s="433"/>
      <c r="TSB105" s="433"/>
      <c r="TSC105" s="433"/>
      <c r="TSD105" s="433"/>
      <c r="TSE105" s="433"/>
      <c r="TSF105" s="433"/>
      <c r="TSG105" s="433"/>
      <c r="TSH105" s="433"/>
      <c r="TSI105" s="433"/>
      <c r="TSJ105" s="433"/>
      <c r="TSK105" s="433"/>
      <c r="TSL105" s="433"/>
      <c r="TSM105" s="433"/>
      <c r="TSN105" s="433"/>
      <c r="TSO105" s="433"/>
      <c r="TSP105" s="433"/>
      <c r="TSQ105" s="433"/>
      <c r="TSR105" s="433"/>
      <c r="TSS105" s="433"/>
      <c r="TST105" s="433"/>
      <c r="TSU105" s="433"/>
      <c r="TSV105" s="433"/>
      <c r="TSW105" s="433"/>
      <c r="TSX105" s="433"/>
      <c r="TSY105" s="433"/>
      <c r="TSZ105" s="433"/>
      <c r="TTA105" s="433"/>
      <c r="TTB105" s="433"/>
      <c r="TTC105" s="433"/>
      <c r="TTD105" s="433"/>
      <c r="TTE105" s="433"/>
      <c r="TTF105" s="433"/>
      <c r="TTG105" s="433"/>
      <c r="TTH105" s="433"/>
      <c r="TTI105" s="433"/>
      <c r="TTJ105" s="433"/>
      <c r="TTK105" s="433"/>
      <c r="TTL105" s="433"/>
      <c r="TTM105" s="433"/>
      <c r="TTN105" s="433"/>
      <c r="TTO105" s="433"/>
      <c r="TTP105" s="433"/>
      <c r="TTQ105" s="433"/>
      <c r="TTR105" s="433"/>
      <c r="TTS105" s="433"/>
      <c r="TTT105" s="433"/>
      <c r="TTU105" s="433"/>
      <c r="TTV105" s="433"/>
      <c r="TTW105" s="433"/>
      <c r="TTX105" s="433"/>
      <c r="TTY105" s="433"/>
      <c r="TTZ105" s="433"/>
      <c r="TUA105" s="433"/>
      <c r="TUB105" s="433"/>
      <c r="TUC105" s="433"/>
      <c r="TUD105" s="433"/>
      <c r="TUE105" s="433"/>
      <c r="TUF105" s="433"/>
      <c r="TUG105" s="433"/>
      <c r="TUH105" s="433"/>
      <c r="TUI105" s="433"/>
      <c r="TUJ105" s="433"/>
      <c r="TUK105" s="433"/>
      <c r="TUL105" s="433"/>
      <c r="TUM105" s="433"/>
      <c r="TUN105" s="433"/>
      <c r="TUO105" s="433"/>
      <c r="TUP105" s="433"/>
      <c r="TUQ105" s="433"/>
      <c r="TUR105" s="433"/>
      <c r="TUS105" s="433"/>
      <c r="TUT105" s="433"/>
      <c r="TUU105" s="433"/>
      <c r="TUV105" s="433"/>
      <c r="TUW105" s="433"/>
      <c r="TUX105" s="433"/>
      <c r="TUY105" s="433"/>
      <c r="TUZ105" s="433"/>
      <c r="TVA105" s="433"/>
      <c r="TVB105" s="433"/>
      <c r="TVC105" s="433"/>
      <c r="TVD105" s="433"/>
      <c r="TVE105" s="433"/>
      <c r="TVF105" s="433"/>
      <c r="TVG105" s="433"/>
      <c r="TVH105" s="433"/>
      <c r="TVI105" s="433"/>
      <c r="TVJ105" s="433"/>
      <c r="TVK105" s="433"/>
      <c r="TVL105" s="433"/>
      <c r="TVM105" s="433"/>
      <c r="TVN105" s="433"/>
      <c r="TVO105" s="433"/>
      <c r="TVP105" s="433"/>
      <c r="TVQ105" s="433"/>
      <c r="TVR105" s="433"/>
      <c r="TVS105" s="433"/>
      <c r="TVT105" s="433"/>
      <c r="TVU105" s="433"/>
      <c r="TVV105" s="433"/>
      <c r="TVW105" s="433"/>
      <c r="TVX105" s="433"/>
      <c r="TVY105" s="433"/>
      <c r="TVZ105" s="433"/>
      <c r="TWA105" s="433"/>
      <c r="TWB105" s="433"/>
      <c r="TWC105" s="433"/>
      <c r="TWD105" s="433"/>
      <c r="TWE105" s="433"/>
      <c r="TWF105" s="433"/>
      <c r="TWG105" s="433"/>
      <c r="TWH105" s="433"/>
      <c r="TWI105" s="433"/>
      <c r="TWJ105" s="433"/>
      <c r="TWK105" s="433"/>
      <c r="TWL105" s="433"/>
      <c r="TWM105" s="433"/>
      <c r="TWN105" s="433"/>
      <c r="TWO105" s="433"/>
      <c r="TWP105" s="433"/>
      <c r="TWQ105" s="433"/>
      <c r="TWR105" s="433"/>
      <c r="TWS105" s="433"/>
      <c r="TWT105" s="433"/>
      <c r="TWU105" s="433"/>
      <c r="TWV105" s="433"/>
      <c r="TWW105" s="433"/>
      <c r="TWX105" s="433"/>
      <c r="TWY105" s="433"/>
      <c r="TWZ105" s="433"/>
      <c r="TXA105" s="433"/>
      <c r="TXB105" s="433"/>
      <c r="TXC105" s="433"/>
      <c r="TXD105" s="433"/>
      <c r="TXE105" s="433"/>
      <c r="TXF105" s="433"/>
      <c r="TXG105" s="433"/>
      <c r="TXH105" s="433"/>
      <c r="TXI105" s="433"/>
      <c r="TXJ105" s="433"/>
      <c r="TXK105" s="433"/>
      <c r="TXL105" s="433"/>
      <c r="TXM105" s="433"/>
      <c r="TXN105" s="433"/>
      <c r="TXO105" s="433"/>
      <c r="TXP105" s="433"/>
      <c r="TXQ105" s="433"/>
      <c r="TXR105" s="433"/>
      <c r="TXS105" s="433"/>
      <c r="TXT105" s="433"/>
      <c r="TXU105" s="433"/>
      <c r="TXV105" s="433"/>
      <c r="TXW105" s="433"/>
      <c r="TXX105" s="433"/>
      <c r="TXY105" s="433"/>
      <c r="TXZ105" s="433"/>
      <c r="TYA105" s="433"/>
      <c r="TYB105" s="433"/>
      <c r="TYC105" s="433"/>
      <c r="TYD105" s="433"/>
      <c r="TYE105" s="433"/>
      <c r="TYF105" s="433"/>
      <c r="TYG105" s="433"/>
      <c r="TYH105" s="433"/>
      <c r="TYI105" s="433"/>
      <c r="TYJ105" s="433"/>
      <c r="TYK105" s="433"/>
      <c r="TYL105" s="433"/>
      <c r="TYM105" s="433"/>
      <c r="TYN105" s="433"/>
      <c r="TYO105" s="433"/>
      <c r="TYP105" s="433"/>
      <c r="TYQ105" s="433"/>
      <c r="TYR105" s="433"/>
      <c r="TYS105" s="433"/>
      <c r="TYT105" s="433"/>
      <c r="TYU105" s="433"/>
      <c r="TYV105" s="433"/>
      <c r="TYW105" s="433"/>
      <c r="TYX105" s="433"/>
      <c r="TYY105" s="433"/>
      <c r="TYZ105" s="433"/>
      <c r="TZA105" s="433"/>
      <c r="TZB105" s="433"/>
      <c r="TZC105" s="433"/>
      <c r="TZD105" s="433"/>
      <c r="TZE105" s="433"/>
      <c r="TZF105" s="433"/>
      <c r="TZG105" s="433"/>
      <c r="TZH105" s="433"/>
      <c r="TZI105" s="433"/>
      <c r="TZJ105" s="433"/>
      <c r="TZK105" s="433"/>
      <c r="TZL105" s="433"/>
      <c r="TZM105" s="433"/>
      <c r="TZN105" s="433"/>
      <c r="TZO105" s="433"/>
      <c r="TZP105" s="433"/>
      <c r="TZQ105" s="433"/>
      <c r="TZR105" s="433"/>
      <c r="TZS105" s="433"/>
      <c r="TZT105" s="433"/>
      <c r="TZU105" s="433"/>
      <c r="TZV105" s="433"/>
      <c r="TZW105" s="433"/>
      <c r="TZX105" s="433"/>
      <c r="TZY105" s="433"/>
      <c r="TZZ105" s="433"/>
      <c r="UAA105" s="433"/>
      <c r="UAB105" s="433"/>
      <c r="UAC105" s="433"/>
      <c r="UAD105" s="433"/>
      <c r="UAE105" s="433"/>
      <c r="UAF105" s="433"/>
      <c r="UAG105" s="433"/>
      <c r="UAH105" s="433"/>
      <c r="UAI105" s="433"/>
      <c r="UAJ105" s="433"/>
      <c r="UAK105" s="433"/>
      <c r="UAL105" s="433"/>
      <c r="UAM105" s="433"/>
      <c r="UAN105" s="433"/>
      <c r="UAO105" s="433"/>
      <c r="UAP105" s="433"/>
      <c r="UAQ105" s="433"/>
      <c r="UAR105" s="433"/>
      <c r="UAS105" s="433"/>
      <c r="UAT105" s="433"/>
      <c r="UAU105" s="433"/>
      <c r="UAV105" s="433"/>
      <c r="UAW105" s="433"/>
      <c r="UAX105" s="433"/>
      <c r="UAY105" s="433"/>
      <c r="UAZ105" s="433"/>
      <c r="UBA105" s="433"/>
      <c r="UBB105" s="433"/>
      <c r="UBC105" s="433"/>
      <c r="UBD105" s="433"/>
      <c r="UBE105" s="433"/>
      <c r="UBF105" s="433"/>
      <c r="UBG105" s="433"/>
      <c r="UBH105" s="433"/>
      <c r="UBI105" s="433"/>
      <c r="UBJ105" s="433"/>
      <c r="UBK105" s="433"/>
      <c r="UBL105" s="433"/>
      <c r="UBM105" s="433"/>
      <c r="UBN105" s="433"/>
      <c r="UBO105" s="433"/>
      <c r="UBP105" s="433"/>
      <c r="UBQ105" s="433"/>
      <c r="UBR105" s="433"/>
      <c r="UBS105" s="433"/>
      <c r="UBT105" s="433"/>
      <c r="UBU105" s="433"/>
      <c r="UBV105" s="433"/>
      <c r="UBW105" s="433"/>
      <c r="UBX105" s="433"/>
      <c r="UBY105" s="433"/>
      <c r="UBZ105" s="433"/>
      <c r="UCA105" s="433"/>
      <c r="UCB105" s="433"/>
      <c r="UCC105" s="433"/>
      <c r="UCD105" s="433"/>
      <c r="UCE105" s="433"/>
      <c r="UCF105" s="433"/>
      <c r="UCG105" s="433"/>
      <c r="UCH105" s="433"/>
      <c r="UCI105" s="433"/>
      <c r="UCJ105" s="433"/>
      <c r="UCK105" s="433"/>
      <c r="UCL105" s="433"/>
      <c r="UCM105" s="433"/>
      <c r="UCN105" s="433"/>
      <c r="UCO105" s="433"/>
      <c r="UCP105" s="433"/>
      <c r="UCQ105" s="433"/>
      <c r="UCR105" s="433"/>
      <c r="UCS105" s="433"/>
      <c r="UCT105" s="433"/>
      <c r="UCU105" s="433"/>
      <c r="UCV105" s="433"/>
      <c r="UCW105" s="433"/>
      <c r="UCX105" s="433"/>
      <c r="UCY105" s="433"/>
      <c r="UCZ105" s="433"/>
      <c r="UDA105" s="433"/>
      <c r="UDB105" s="433"/>
      <c r="UDC105" s="433"/>
      <c r="UDD105" s="433"/>
      <c r="UDE105" s="433"/>
      <c r="UDF105" s="433"/>
      <c r="UDG105" s="433"/>
      <c r="UDH105" s="433"/>
      <c r="UDI105" s="433"/>
      <c r="UDJ105" s="433"/>
      <c r="UDK105" s="433"/>
      <c r="UDL105" s="433"/>
      <c r="UDM105" s="433"/>
      <c r="UDN105" s="433"/>
      <c r="UDO105" s="433"/>
      <c r="UDP105" s="433"/>
      <c r="UDQ105" s="433"/>
      <c r="UDR105" s="433"/>
      <c r="UDS105" s="433"/>
      <c r="UDT105" s="433"/>
      <c r="UDU105" s="433"/>
      <c r="UDV105" s="433"/>
      <c r="UDW105" s="433"/>
      <c r="UDX105" s="433"/>
      <c r="UDY105" s="433"/>
      <c r="UDZ105" s="433"/>
      <c r="UEA105" s="433"/>
      <c r="UEB105" s="433"/>
      <c r="UEC105" s="433"/>
      <c r="UED105" s="433"/>
      <c r="UEE105" s="433"/>
      <c r="UEF105" s="433"/>
      <c r="UEG105" s="433"/>
      <c r="UEH105" s="433"/>
      <c r="UEI105" s="433"/>
      <c r="UEJ105" s="433"/>
      <c r="UEK105" s="433"/>
      <c r="UEL105" s="433"/>
      <c r="UEM105" s="433"/>
      <c r="UEN105" s="433"/>
      <c r="UEO105" s="433"/>
      <c r="UEP105" s="433"/>
      <c r="UEQ105" s="433"/>
      <c r="UER105" s="433"/>
      <c r="UES105" s="433"/>
      <c r="UET105" s="433"/>
      <c r="UEU105" s="433"/>
      <c r="UEV105" s="433"/>
      <c r="UEW105" s="433"/>
      <c r="UEX105" s="433"/>
      <c r="UEY105" s="433"/>
      <c r="UEZ105" s="433"/>
      <c r="UFA105" s="433"/>
      <c r="UFB105" s="433"/>
      <c r="UFC105" s="433"/>
      <c r="UFD105" s="433"/>
      <c r="UFE105" s="433"/>
      <c r="UFF105" s="433"/>
      <c r="UFG105" s="433"/>
      <c r="UFH105" s="433"/>
      <c r="UFI105" s="433"/>
      <c r="UFJ105" s="433"/>
      <c r="UFK105" s="433"/>
      <c r="UFL105" s="433"/>
      <c r="UFM105" s="433"/>
      <c r="UFN105" s="433"/>
      <c r="UFO105" s="433"/>
      <c r="UFP105" s="433"/>
      <c r="UFQ105" s="433"/>
      <c r="UFR105" s="433"/>
      <c r="UFS105" s="433"/>
      <c r="UFT105" s="433"/>
      <c r="UFU105" s="433"/>
      <c r="UFV105" s="433"/>
      <c r="UFW105" s="433"/>
      <c r="UFX105" s="433"/>
      <c r="UFY105" s="433"/>
      <c r="UFZ105" s="433"/>
      <c r="UGA105" s="433"/>
      <c r="UGB105" s="433"/>
      <c r="UGC105" s="433"/>
      <c r="UGD105" s="433"/>
      <c r="UGE105" s="433"/>
      <c r="UGF105" s="433"/>
      <c r="UGG105" s="433"/>
      <c r="UGH105" s="433"/>
      <c r="UGI105" s="433"/>
      <c r="UGJ105" s="433"/>
      <c r="UGK105" s="433"/>
      <c r="UGL105" s="433"/>
      <c r="UGM105" s="433"/>
      <c r="UGN105" s="433"/>
      <c r="UGO105" s="433"/>
      <c r="UGP105" s="433"/>
      <c r="UGQ105" s="433"/>
      <c r="UGR105" s="433"/>
      <c r="UGS105" s="433"/>
      <c r="UGT105" s="433"/>
      <c r="UGU105" s="433"/>
      <c r="UGV105" s="433"/>
      <c r="UGW105" s="433"/>
      <c r="UGX105" s="433"/>
      <c r="UGY105" s="433"/>
      <c r="UGZ105" s="433"/>
      <c r="UHA105" s="433"/>
      <c r="UHB105" s="433"/>
      <c r="UHC105" s="433"/>
      <c r="UHD105" s="433"/>
      <c r="UHE105" s="433"/>
      <c r="UHF105" s="433"/>
      <c r="UHG105" s="433"/>
      <c r="UHH105" s="433"/>
      <c r="UHI105" s="433"/>
      <c r="UHJ105" s="433"/>
      <c r="UHK105" s="433"/>
      <c r="UHL105" s="433"/>
      <c r="UHM105" s="433"/>
      <c r="UHN105" s="433"/>
      <c r="UHO105" s="433"/>
      <c r="UHP105" s="433"/>
      <c r="UHQ105" s="433"/>
      <c r="UHR105" s="433"/>
      <c r="UHS105" s="433"/>
      <c r="UHT105" s="433"/>
      <c r="UHU105" s="433"/>
      <c r="UHV105" s="433"/>
      <c r="UHW105" s="433"/>
      <c r="UHX105" s="433"/>
      <c r="UHY105" s="433"/>
      <c r="UHZ105" s="433"/>
      <c r="UIA105" s="433"/>
      <c r="UIB105" s="433"/>
      <c r="UIC105" s="433"/>
      <c r="UID105" s="433"/>
      <c r="UIE105" s="433"/>
      <c r="UIF105" s="433"/>
      <c r="UIG105" s="433"/>
      <c r="UIH105" s="433"/>
      <c r="UII105" s="433"/>
      <c r="UIJ105" s="433"/>
      <c r="UIK105" s="433"/>
      <c r="UIL105" s="433"/>
      <c r="UIM105" s="433"/>
      <c r="UIN105" s="433"/>
      <c r="UIO105" s="433"/>
      <c r="UIP105" s="433"/>
      <c r="UIQ105" s="433"/>
      <c r="UIR105" s="433"/>
      <c r="UIS105" s="433"/>
      <c r="UIT105" s="433"/>
      <c r="UIU105" s="433"/>
      <c r="UIV105" s="433"/>
      <c r="UIW105" s="433"/>
      <c r="UIX105" s="433"/>
      <c r="UIY105" s="433"/>
      <c r="UIZ105" s="433"/>
      <c r="UJA105" s="433"/>
      <c r="UJB105" s="433"/>
      <c r="UJC105" s="433"/>
      <c r="UJD105" s="433"/>
      <c r="UJE105" s="433"/>
      <c r="UJF105" s="433"/>
      <c r="UJG105" s="433"/>
      <c r="UJH105" s="433"/>
      <c r="UJI105" s="433"/>
      <c r="UJJ105" s="433"/>
      <c r="UJK105" s="433"/>
      <c r="UJL105" s="433"/>
      <c r="UJM105" s="433"/>
      <c r="UJN105" s="433"/>
      <c r="UJO105" s="433"/>
      <c r="UJP105" s="433"/>
      <c r="UJQ105" s="433"/>
      <c r="UJR105" s="433"/>
      <c r="UJS105" s="433"/>
      <c r="UJT105" s="433"/>
      <c r="UJU105" s="433"/>
      <c r="UJV105" s="433"/>
      <c r="UJW105" s="433"/>
      <c r="UJX105" s="433"/>
      <c r="UJY105" s="433"/>
      <c r="UJZ105" s="433"/>
      <c r="UKA105" s="433"/>
      <c r="UKB105" s="433"/>
      <c r="UKC105" s="433"/>
      <c r="UKD105" s="433"/>
      <c r="UKE105" s="433"/>
      <c r="UKF105" s="433"/>
      <c r="UKG105" s="433"/>
      <c r="UKH105" s="433"/>
      <c r="UKI105" s="433"/>
      <c r="UKJ105" s="433"/>
      <c r="UKK105" s="433"/>
      <c r="UKL105" s="433"/>
      <c r="UKM105" s="433"/>
      <c r="UKN105" s="433"/>
      <c r="UKO105" s="433"/>
      <c r="UKP105" s="433"/>
      <c r="UKQ105" s="433"/>
      <c r="UKR105" s="433"/>
      <c r="UKS105" s="433"/>
      <c r="UKT105" s="433"/>
      <c r="UKU105" s="433"/>
      <c r="UKV105" s="433"/>
      <c r="UKW105" s="433"/>
      <c r="UKX105" s="433"/>
      <c r="UKY105" s="433"/>
      <c r="UKZ105" s="433"/>
      <c r="ULA105" s="433"/>
      <c r="ULB105" s="433"/>
      <c r="ULC105" s="433"/>
      <c r="ULD105" s="433"/>
      <c r="ULE105" s="433"/>
      <c r="ULF105" s="433"/>
      <c r="ULG105" s="433"/>
      <c r="ULH105" s="433"/>
      <c r="ULI105" s="433"/>
      <c r="ULJ105" s="433"/>
      <c r="ULK105" s="433"/>
      <c r="ULL105" s="433"/>
      <c r="ULM105" s="433"/>
      <c r="ULN105" s="433"/>
      <c r="ULO105" s="433"/>
      <c r="ULP105" s="433"/>
      <c r="ULQ105" s="433"/>
      <c r="ULR105" s="433"/>
      <c r="ULS105" s="433"/>
      <c r="ULT105" s="433"/>
      <c r="ULU105" s="433"/>
      <c r="ULV105" s="433"/>
      <c r="ULW105" s="433"/>
      <c r="ULX105" s="433"/>
      <c r="ULY105" s="433"/>
      <c r="ULZ105" s="433"/>
      <c r="UMA105" s="433"/>
      <c r="UMB105" s="433"/>
      <c r="UMC105" s="433"/>
      <c r="UMD105" s="433"/>
      <c r="UME105" s="433"/>
      <c r="UMF105" s="433"/>
      <c r="UMG105" s="433"/>
      <c r="UMH105" s="433"/>
      <c r="UMI105" s="433"/>
      <c r="UMJ105" s="433"/>
      <c r="UMK105" s="433"/>
      <c r="UML105" s="433"/>
      <c r="UMM105" s="433"/>
      <c r="UMN105" s="433"/>
      <c r="UMO105" s="433"/>
      <c r="UMP105" s="433"/>
      <c r="UMQ105" s="433"/>
      <c r="UMR105" s="433"/>
      <c r="UMS105" s="433"/>
      <c r="UMT105" s="433"/>
      <c r="UMU105" s="433"/>
      <c r="UMV105" s="433"/>
      <c r="UMW105" s="433"/>
      <c r="UMX105" s="433"/>
      <c r="UMY105" s="433"/>
      <c r="UMZ105" s="433"/>
      <c r="UNA105" s="433"/>
      <c r="UNB105" s="433"/>
      <c r="UNC105" s="433"/>
      <c r="UND105" s="433"/>
      <c r="UNE105" s="433"/>
      <c r="UNF105" s="433"/>
      <c r="UNG105" s="433"/>
      <c r="UNH105" s="433"/>
      <c r="UNI105" s="433"/>
      <c r="UNJ105" s="433"/>
      <c r="UNK105" s="433"/>
      <c r="UNL105" s="433"/>
      <c r="UNM105" s="433"/>
      <c r="UNN105" s="433"/>
      <c r="UNO105" s="433"/>
      <c r="UNP105" s="433"/>
      <c r="UNQ105" s="433"/>
      <c r="UNR105" s="433"/>
      <c r="UNS105" s="433"/>
      <c r="UNT105" s="433"/>
      <c r="UNU105" s="433"/>
      <c r="UNV105" s="433"/>
      <c r="UNW105" s="433"/>
      <c r="UNX105" s="433"/>
      <c r="UNY105" s="433"/>
      <c r="UNZ105" s="433"/>
      <c r="UOA105" s="433"/>
      <c r="UOB105" s="433"/>
      <c r="UOC105" s="433"/>
      <c r="UOD105" s="433"/>
      <c r="UOE105" s="433"/>
      <c r="UOF105" s="433"/>
      <c r="UOG105" s="433"/>
      <c r="UOH105" s="433"/>
      <c r="UOI105" s="433"/>
      <c r="UOJ105" s="433"/>
      <c r="UOK105" s="433"/>
      <c r="UOL105" s="433"/>
      <c r="UOM105" s="433"/>
      <c r="UON105" s="433"/>
      <c r="UOO105" s="433"/>
      <c r="UOP105" s="433"/>
      <c r="UOQ105" s="433"/>
      <c r="UOR105" s="433"/>
      <c r="UOS105" s="433"/>
      <c r="UOT105" s="433"/>
      <c r="UOU105" s="433"/>
      <c r="UOV105" s="433"/>
      <c r="UOW105" s="433"/>
      <c r="UOX105" s="433"/>
      <c r="UOY105" s="433"/>
      <c r="UOZ105" s="433"/>
      <c r="UPA105" s="433"/>
      <c r="UPB105" s="433"/>
      <c r="UPC105" s="433"/>
      <c r="UPD105" s="433"/>
      <c r="UPE105" s="433"/>
      <c r="UPF105" s="433"/>
      <c r="UPG105" s="433"/>
      <c r="UPH105" s="433"/>
      <c r="UPI105" s="433"/>
      <c r="UPJ105" s="433"/>
      <c r="UPK105" s="433"/>
      <c r="UPL105" s="433"/>
      <c r="UPM105" s="433"/>
      <c r="UPN105" s="433"/>
      <c r="UPO105" s="433"/>
      <c r="UPP105" s="433"/>
      <c r="UPQ105" s="433"/>
      <c r="UPR105" s="433"/>
      <c r="UPS105" s="433"/>
      <c r="UPT105" s="433"/>
      <c r="UPU105" s="433"/>
      <c r="UPV105" s="433"/>
      <c r="UPW105" s="433"/>
      <c r="UPX105" s="433"/>
      <c r="UPY105" s="433"/>
      <c r="UPZ105" s="433"/>
      <c r="UQA105" s="433"/>
      <c r="UQB105" s="433"/>
      <c r="UQC105" s="433"/>
      <c r="UQD105" s="433"/>
      <c r="UQE105" s="433"/>
      <c r="UQF105" s="433"/>
      <c r="UQG105" s="433"/>
      <c r="UQH105" s="433"/>
      <c r="UQI105" s="433"/>
      <c r="UQJ105" s="433"/>
      <c r="UQK105" s="433"/>
      <c r="UQL105" s="433"/>
      <c r="UQM105" s="433"/>
      <c r="UQN105" s="433"/>
      <c r="UQO105" s="433"/>
      <c r="UQP105" s="433"/>
      <c r="UQQ105" s="433"/>
      <c r="UQR105" s="433"/>
      <c r="UQS105" s="433"/>
      <c r="UQT105" s="433"/>
      <c r="UQU105" s="433"/>
      <c r="UQV105" s="433"/>
      <c r="UQW105" s="433"/>
      <c r="UQX105" s="433"/>
      <c r="UQY105" s="433"/>
      <c r="UQZ105" s="433"/>
      <c r="URA105" s="433"/>
      <c r="URB105" s="433"/>
      <c r="URC105" s="433"/>
      <c r="URD105" s="433"/>
      <c r="URE105" s="433"/>
      <c r="URF105" s="433"/>
      <c r="URG105" s="433"/>
      <c r="URH105" s="433"/>
      <c r="URI105" s="433"/>
      <c r="URJ105" s="433"/>
      <c r="URK105" s="433"/>
      <c r="URL105" s="433"/>
      <c r="URM105" s="433"/>
      <c r="URN105" s="433"/>
      <c r="URO105" s="433"/>
      <c r="URP105" s="433"/>
      <c r="URQ105" s="433"/>
      <c r="URR105" s="433"/>
      <c r="URS105" s="433"/>
      <c r="URT105" s="433"/>
      <c r="URU105" s="433"/>
      <c r="URV105" s="433"/>
      <c r="URW105" s="433"/>
      <c r="URX105" s="433"/>
      <c r="URY105" s="433"/>
      <c r="URZ105" s="433"/>
      <c r="USA105" s="433"/>
      <c r="USB105" s="433"/>
      <c r="USC105" s="433"/>
      <c r="USD105" s="433"/>
      <c r="USE105" s="433"/>
      <c r="USF105" s="433"/>
      <c r="USG105" s="433"/>
      <c r="USH105" s="433"/>
      <c r="USI105" s="433"/>
      <c r="USJ105" s="433"/>
      <c r="USK105" s="433"/>
      <c r="USL105" s="433"/>
      <c r="USM105" s="433"/>
      <c r="USN105" s="433"/>
      <c r="USO105" s="433"/>
      <c r="USP105" s="433"/>
      <c r="USQ105" s="433"/>
      <c r="USR105" s="433"/>
      <c r="USS105" s="433"/>
      <c r="UST105" s="433"/>
      <c r="USU105" s="433"/>
      <c r="USV105" s="433"/>
      <c r="USW105" s="433"/>
      <c r="USX105" s="433"/>
      <c r="USY105" s="433"/>
      <c r="USZ105" s="433"/>
      <c r="UTA105" s="433"/>
      <c r="UTB105" s="433"/>
      <c r="UTC105" s="433"/>
      <c r="UTD105" s="433"/>
      <c r="UTE105" s="433"/>
      <c r="UTF105" s="433"/>
      <c r="UTG105" s="433"/>
      <c r="UTH105" s="433"/>
      <c r="UTI105" s="433"/>
      <c r="UTJ105" s="433"/>
      <c r="UTK105" s="433"/>
      <c r="UTL105" s="433"/>
      <c r="UTM105" s="433"/>
      <c r="UTN105" s="433"/>
      <c r="UTO105" s="433"/>
      <c r="UTP105" s="433"/>
      <c r="UTQ105" s="433"/>
      <c r="UTR105" s="433"/>
      <c r="UTS105" s="433"/>
      <c r="UTT105" s="433"/>
      <c r="UTU105" s="433"/>
      <c r="UTV105" s="433"/>
      <c r="UTW105" s="433"/>
      <c r="UTX105" s="433"/>
      <c r="UTY105" s="433"/>
      <c r="UTZ105" s="433"/>
      <c r="UUA105" s="433"/>
      <c r="UUB105" s="433"/>
      <c r="UUC105" s="433"/>
      <c r="UUD105" s="433"/>
      <c r="UUE105" s="433"/>
      <c r="UUF105" s="433"/>
      <c r="UUG105" s="433"/>
      <c r="UUH105" s="433"/>
      <c r="UUI105" s="433"/>
      <c r="UUJ105" s="433"/>
      <c r="UUK105" s="433"/>
      <c r="UUL105" s="433"/>
      <c r="UUM105" s="433"/>
      <c r="UUN105" s="433"/>
      <c r="UUO105" s="433"/>
      <c r="UUP105" s="433"/>
      <c r="UUQ105" s="433"/>
      <c r="UUR105" s="433"/>
      <c r="UUS105" s="433"/>
      <c r="UUT105" s="433"/>
      <c r="UUU105" s="433"/>
      <c r="UUV105" s="433"/>
      <c r="UUW105" s="433"/>
      <c r="UUX105" s="433"/>
      <c r="UUY105" s="433"/>
      <c r="UUZ105" s="433"/>
      <c r="UVA105" s="433"/>
      <c r="UVB105" s="433"/>
      <c r="UVC105" s="433"/>
      <c r="UVD105" s="433"/>
      <c r="UVE105" s="433"/>
      <c r="UVF105" s="433"/>
      <c r="UVG105" s="433"/>
      <c r="UVH105" s="433"/>
      <c r="UVI105" s="433"/>
      <c r="UVJ105" s="433"/>
      <c r="UVK105" s="433"/>
      <c r="UVL105" s="433"/>
      <c r="UVM105" s="433"/>
      <c r="UVN105" s="433"/>
      <c r="UVO105" s="433"/>
      <c r="UVP105" s="433"/>
      <c r="UVQ105" s="433"/>
      <c r="UVR105" s="433"/>
      <c r="UVS105" s="433"/>
      <c r="UVT105" s="433"/>
      <c r="UVU105" s="433"/>
      <c r="UVV105" s="433"/>
      <c r="UVW105" s="433"/>
      <c r="UVX105" s="433"/>
      <c r="UVY105" s="433"/>
      <c r="UVZ105" s="433"/>
      <c r="UWA105" s="433"/>
      <c r="UWB105" s="433"/>
      <c r="UWC105" s="433"/>
      <c r="UWD105" s="433"/>
      <c r="UWE105" s="433"/>
      <c r="UWF105" s="433"/>
      <c r="UWG105" s="433"/>
      <c r="UWH105" s="433"/>
      <c r="UWI105" s="433"/>
      <c r="UWJ105" s="433"/>
      <c r="UWK105" s="433"/>
      <c r="UWL105" s="433"/>
      <c r="UWM105" s="433"/>
      <c r="UWN105" s="433"/>
      <c r="UWO105" s="433"/>
      <c r="UWP105" s="433"/>
      <c r="UWQ105" s="433"/>
      <c r="UWR105" s="433"/>
      <c r="UWS105" s="433"/>
      <c r="UWT105" s="433"/>
      <c r="UWU105" s="433"/>
      <c r="UWV105" s="433"/>
      <c r="UWW105" s="433"/>
      <c r="UWX105" s="433"/>
      <c r="UWY105" s="433"/>
      <c r="UWZ105" s="433"/>
      <c r="UXA105" s="433"/>
      <c r="UXB105" s="433"/>
      <c r="UXC105" s="433"/>
      <c r="UXD105" s="433"/>
      <c r="UXE105" s="433"/>
      <c r="UXF105" s="433"/>
      <c r="UXG105" s="433"/>
      <c r="UXH105" s="433"/>
      <c r="UXI105" s="433"/>
      <c r="UXJ105" s="433"/>
      <c r="UXK105" s="433"/>
      <c r="UXL105" s="433"/>
      <c r="UXM105" s="433"/>
      <c r="UXN105" s="433"/>
      <c r="UXO105" s="433"/>
      <c r="UXP105" s="433"/>
      <c r="UXQ105" s="433"/>
      <c r="UXR105" s="433"/>
      <c r="UXS105" s="433"/>
      <c r="UXT105" s="433"/>
      <c r="UXU105" s="433"/>
      <c r="UXV105" s="433"/>
      <c r="UXW105" s="433"/>
      <c r="UXX105" s="433"/>
      <c r="UXY105" s="433"/>
      <c r="UXZ105" s="433"/>
      <c r="UYA105" s="433"/>
      <c r="UYB105" s="433"/>
      <c r="UYC105" s="433"/>
      <c r="UYD105" s="433"/>
      <c r="UYE105" s="433"/>
      <c r="UYF105" s="433"/>
      <c r="UYG105" s="433"/>
      <c r="UYH105" s="433"/>
      <c r="UYI105" s="433"/>
      <c r="UYJ105" s="433"/>
      <c r="UYK105" s="433"/>
      <c r="UYL105" s="433"/>
      <c r="UYM105" s="433"/>
      <c r="UYN105" s="433"/>
      <c r="UYO105" s="433"/>
      <c r="UYP105" s="433"/>
      <c r="UYQ105" s="433"/>
      <c r="UYR105" s="433"/>
      <c r="UYS105" s="433"/>
      <c r="UYT105" s="433"/>
      <c r="UYU105" s="433"/>
      <c r="UYV105" s="433"/>
      <c r="UYW105" s="433"/>
      <c r="UYX105" s="433"/>
      <c r="UYY105" s="433"/>
      <c r="UYZ105" s="433"/>
      <c r="UZA105" s="433"/>
      <c r="UZB105" s="433"/>
      <c r="UZC105" s="433"/>
      <c r="UZD105" s="433"/>
      <c r="UZE105" s="433"/>
      <c r="UZF105" s="433"/>
      <c r="UZG105" s="433"/>
      <c r="UZH105" s="433"/>
      <c r="UZI105" s="433"/>
      <c r="UZJ105" s="433"/>
      <c r="UZK105" s="433"/>
      <c r="UZL105" s="433"/>
      <c r="UZM105" s="433"/>
      <c r="UZN105" s="433"/>
      <c r="UZO105" s="433"/>
      <c r="UZP105" s="433"/>
      <c r="UZQ105" s="433"/>
      <c r="UZR105" s="433"/>
      <c r="UZS105" s="433"/>
      <c r="UZT105" s="433"/>
      <c r="UZU105" s="433"/>
      <c r="UZV105" s="433"/>
      <c r="UZW105" s="433"/>
      <c r="UZX105" s="433"/>
      <c r="UZY105" s="433"/>
      <c r="UZZ105" s="433"/>
      <c r="VAA105" s="433"/>
      <c r="VAB105" s="433"/>
      <c r="VAC105" s="433"/>
      <c r="VAD105" s="433"/>
      <c r="VAE105" s="433"/>
      <c r="VAF105" s="433"/>
      <c r="VAG105" s="433"/>
      <c r="VAH105" s="433"/>
      <c r="VAI105" s="433"/>
      <c r="VAJ105" s="433"/>
      <c r="VAK105" s="433"/>
      <c r="VAL105" s="433"/>
      <c r="VAM105" s="433"/>
      <c r="VAN105" s="433"/>
      <c r="VAO105" s="433"/>
      <c r="VAP105" s="433"/>
      <c r="VAQ105" s="433"/>
      <c r="VAR105" s="433"/>
      <c r="VAS105" s="433"/>
      <c r="VAT105" s="433"/>
      <c r="VAU105" s="433"/>
      <c r="VAV105" s="433"/>
      <c r="VAW105" s="433"/>
      <c r="VAX105" s="433"/>
      <c r="VAY105" s="433"/>
      <c r="VAZ105" s="433"/>
      <c r="VBA105" s="433"/>
      <c r="VBB105" s="433"/>
      <c r="VBC105" s="433"/>
      <c r="VBD105" s="433"/>
      <c r="VBE105" s="433"/>
      <c r="VBF105" s="433"/>
      <c r="VBG105" s="433"/>
      <c r="VBH105" s="433"/>
      <c r="VBI105" s="433"/>
      <c r="VBJ105" s="433"/>
      <c r="VBK105" s="433"/>
      <c r="VBL105" s="433"/>
      <c r="VBM105" s="433"/>
      <c r="VBN105" s="433"/>
      <c r="VBO105" s="433"/>
      <c r="VBP105" s="433"/>
      <c r="VBQ105" s="433"/>
      <c r="VBR105" s="433"/>
      <c r="VBS105" s="433"/>
      <c r="VBT105" s="433"/>
      <c r="VBU105" s="433"/>
      <c r="VBV105" s="433"/>
      <c r="VBW105" s="433"/>
      <c r="VBX105" s="433"/>
      <c r="VBY105" s="433"/>
      <c r="VBZ105" s="433"/>
      <c r="VCA105" s="433"/>
      <c r="VCB105" s="433"/>
      <c r="VCC105" s="433"/>
      <c r="VCD105" s="433"/>
      <c r="VCE105" s="433"/>
      <c r="VCF105" s="433"/>
      <c r="VCG105" s="433"/>
      <c r="VCH105" s="433"/>
      <c r="VCI105" s="433"/>
      <c r="VCJ105" s="433"/>
      <c r="VCK105" s="433"/>
      <c r="VCL105" s="433"/>
      <c r="VCM105" s="433"/>
      <c r="VCN105" s="433"/>
      <c r="VCO105" s="433"/>
      <c r="VCP105" s="433"/>
      <c r="VCQ105" s="433"/>
      <c r="VCR105" s="433"/>
      <c r="VCS105" s="433"/>
      <c r="VCT105" s="433"/>
      <c r="VCU105" s="433"/>
      <c r="VCV105" s="433"/>
      <c r="VCW105" s="433"/>
      <c r="VCX105" s="433"/>
      <c r="VCY105" s="433"/>
      <c r="VCZ105" s="433"/>
      <c r="VDA105" s="433"/>
      <c r="VDB105" s="433"/>
      <c r="VDC105" s="433"/>
      <c r="VDD105" s="433"/>
      <c r="VDE105" s="433"/>
      <c r="VDF105" s="433"/>
      <c r="VDG105" s="433"/>
      <c r="VDH105" s="433"/>
      <c r="VDI105" s="433"/>
      <c r="VDJ105" s="433"/>
      <c r="VDK105" s="433"/>
      <c r="VDL105" s="433"/>
      <c r="VDM105" s="433"/>
      <c r="VDN105" s="433"/>
      <c r="VDO105" s="433"/>
      <c r="VDP105" s="433"/>
      <c r="VDQ105" s="433"/>
      <c r="VDR105" s="433"/>
      <c r="VDS105" s="433"/>
      <c r="VDT105" s="433"/>
      <c r="VDU105" s="433"/>
      <c r="VDV105" s="433"/>
      <c r="VDW105" s="433"/>
      <c r="VDX105" s="433"/>
      <c r="VDY105" s="433"/>
      <c r="VDZ105" s="433"/>
      <c r="VEA105" s="433"/>
      <c r="VEB105" s="433"/>
      <c r="VEC105" s="433"/>
      <c r="VED105" s="433"/>
      <c r="VEE105" s="433"/>
      <c r="VEF105" s="433"/>
      <c r="VEG105" s="433"/>
      <c r="VEH105" s="433"/>
      <c r="VEI105" s="433"/>
      <c r="VEJ105" s="433"/>
      <c r="VEK105" s="433"/>
      <c r="VEL105" s="433"/>
      <c r="VEM105" s="433"/>
      <c r="VEN105" s="433"/>
      <c r="VEO105" s="433"/>
      <c r="VEP105" s="433"/>
      <c r="VEQ105" s="433"/>
      <c r="VER105" s="433"/>
      <c r="VES105" s="433"/>
      <c r="VET105" s="433"/>
      <c r="VEU105" s="433"/>
      <c r="VEV105" s="433"/>
      <c r="VEW105" s="433"/>
      <c r="VEX105" s="433"/>
      <c r="VEY105" s="433"/>
      <c r="VEZ105" s="433"/>
      <c r="VFA105" s="433"/>
      <c r="VFB105" s="433"/>
      <c r="VFC105" s="433"/>
      <c r="VFD105" s="433"/>
      <c r="VFE105" s="433"/>
      <c r="VFF105" s="433"/>
      <c r="VFG105" s="433"/>
      <c r="VFH105" s="433"/>
      <c r="VFI105" s="433"/>
      <c r="VFJ105" s="433"/>
      <c r="VFK105" s="433"/>
      <c r="VFL105" s="433"/>
      <c r="VFM105" s="433"/>
      <c r="VFN105" s="433"/>
      <c r="VFO105" s="433"/>
      <c r="VFP105" s="433"/>
      <c r="VFQ105" s="433"/>
      <c r="VFR105" s="433"/>
      <c r="VFS105" s="433"/>
      <c r="VFT105" s="433"/>
      <c r="VFU105" s="433"/>
      <c r="VFV105" s="433"/>
      <c r="VFW105" s="433"/>
      <c r="VFX105" s="433"/>
      <c r="VFY105" s="433"/>
      <c r="VFZ105" s="433"/>
      <c r="VGA105" s="433"/>
      <c r="VGB105" s="433"/>
      <c r="VGC105" s="433"/>
      <c r="VGD105" s="433"/>
      <c r="VGE105" s="433"/>
      <c r="VGF105" s="433"/>
      <c r="VGG105" s="433"/>
      <c r="VGH105" s="433"/>
      <c r="VGI105" s="433"/>
      <c r="VGJ105" s="433"/>
      <c r="VGK105" s="433"/>
      <c r="VGL105" s="433"/>
      <c r="VGM105" s="433"/>
      <c r="VGN105" s="433"/>
      <c r="VGO105" s="433"/>
      <c r="VGP105" s="433"/>
      <c r="VGQ105" s="433"/>
      <c r="VGR105" s="433"/>
      <c r="VGS105" s="433"/>
      <c r="VGT105" s="433"/>
      <c r="VGU105" s="433"/>
      <c r="VGV105" s="433"/>
      <c r="VGW105" s="433"/>
      <c r="VGX105" s="433"/>
      <c r="VGY105" s="433"/>
      <c r="VGZ105" s="433"/>
      <c r="VHA105" s="433"/>
      <c r="VHB105" s="433"/>
      <c r="VHC105" s="433"/>
      <c r="VHD105" s="433"/>
      <c r="VHE105" s="433"/>
      <c r="VHF105" s="433"/>
      <c r="VHG105" s="433"/>
      <c r="VHH105" s="433"/>
      <c r="VHI105" s="433"/>
      <c r="VHJ105" s="433"/>
      <c r="VHK105" s="433"/>
      <c r="VHL105" s="433"/>
      <c r="VHM105" s="433"/>
      <c r="VHN105" s="433"/>
      <c r="VHO105" s="433"/>
      <c r="VHP105" s="433"/>
      <c r="VHQ105" s="433"/>
      <c r="VHR105" s="433"/>
      <c r="VHS105" s="433"/>
      <c r="VHT105" s="433"/>
      <c r="VHU105" s="433"/>
      <c r="VHV105" s="433"/>
      <c r="VHW105" s="433"/>
      <c r="VHX105" s="433"/>
      <c r="VHY105" s="433"/>
      <c r="VHZ105" s="433"/>
      <c r="VIA105" s="433"/>
      <c r="VIB105" s="433"/>
      <c r="VIC105" s="433"/>
      <c r="VID105" s="433"/>
      <c r="VIE105" s="433"/>
      <c r="VIF105" s="433"/>
      <c r="VIG105" s="433"/>
      <c r="VIH105" s="433"/>
      <c r="VII105" s="433"/>
      <c r="VIJ105" s="433"/>
      <c r="VIK105" s="433"/>
      <c r="VIL105" s="433"/>
      <c r="VIM105" s="433"/>
      <c r="VIN105" s="433"/>
      <c r="VIO105" s="433"/>
      <c r="VIP105" s="433"/>
      <c r="VIQ105" s="433"/>
      <c r="VIR105" s="433"/>
      <c r="VIS105" s="433"/>
      <c r="VIT105" s="433"/>
      <c r="VIU105" s="433"/>
      <c r="VIV105" s="433"/>
      <c r="VIW105" s="433"/>
      <c r="VIX105" s="433"/>
      <c r="VIY105" s="433"/>
      <c r="VIZ105" s="433"/>
      <c r="VJA105" s="433"/>
      <c r="VJB105" s="433"/>
      <c r="VJC105" s="433"/>
      <c r="VJD105" s="433"/>
      <c r="VJE105" s="433"/>
      <c r="VJF105" s="433"/>
      <c r="VJG105" s="433"/>
      <c r="VJH105" s="433"/>
      <c r="VJI105" s="433"/>
      <c r="VJJ105" s="433"/>
      <c r="VJK105" s="433"/>
      <c r="VJL105" s="433"/>
      <c r="VJM105" s="433"/>
      <c r="VJN105" s="433"/>
      <c r="VJO105" s="433"/>
      <c r="VJP105" s="433"/>
      <c r="VJQ105" s="433"/>
      <c r="VJR105" s="433"/>
      <c r="VJS105" s="433"/>
      <c r="VJT105" s="433"/>
      <c r="VJU105" s="433"/>
      <c r="VJV105" s="433"/>
      <c r="VJW105" s="433"/>
      <c r="VJX105" s="433"/>
      <c r="VJY105" s="433"/>
      <c r="VJZ105" s="433"/>
      <c r="VKA105" s="433"/>
      <c r="VKB105" s="433"/>
      <c r="VKC105" s="433"/>
      <c r="VKD105" s="433"/>
      <c r="VKE105" s="433"/>
      <c r="VKF105" s="433"/>
      <c r="VKG105" s="433"/>
      <c r="VKH105" s="433"/>
      <c r="VKI105" s="433"/>
      <c r="VKJ105" s="433"/>
      <c r="VKK105" s="433"/>
      <c r="VKL105" s="433"/>
      <c r="VKM105" s="433"/>
      <c r="VKN105" s="433"/>
      <c r="VKO105" s="433"/>
      <c r="VKP105" s="433"/>
      <c r="VKQ105" s="433"/>
      <c r="VKR105" s="433"/>
      <c r="VKS105" s="433"/>
      <c r="VKT105" s="433"/>
      <c r="VKU105" s="433"/>
      <c r="VKV105" s="433"/>
      <c r="VKW105" s="433"/>
      <c r="VKX105" s="433"/>
      <c r="VKY105" s="433"/>
      <c r="VKZ105" s="433"/>
      <c r="VLA105" s="433"/>
      <c r="VLB105" s="433"/>
      <c r="VLC105" s="433"/>
      <c r="VLD105" s="433"/>
      <c r="VLE105" s="433"/>
      <c r="VLF105" s="433"/>
      <c r="VLG105" s="433"/>
      <c r="VLH105" s="433"/>
      <c r="VLI105" s="433"/>
      <c r="VLJ105" s="433"/>
      <c r="VLK105" s="433"/>
      <c r="VLL105" s="433"/>
      <c r="VLM105" s="433"/>
      <c r="VLN105" s="433"/>
      <c r="VLO105" s="433"/>
      <c r="VLP105" s="433"/>
      <c r="VLQ105" s="433"/>
      <c r="VLR105" s="433"/>
      <c r="VLS105" s="433"/>
      <c r="VLT105" s="433"/>
      <c r="VLU105" s="433"/>
      <c r="VLV105" s="433"/>
      <c r="VLW105" s="433"/>
      <c r="VLX105" s="433"/>
      <c r="VLY105" s="433"/>
      <c r="VLZ105" s="433"/>
      <c r="VMA105" s="433"/>
      <c r="VMB105" s="433"/>
      <c r="VMC105" s="433"/>
      <c r="VMD105" s="433"/>
      <c r="VME105" s="433"/>
      <c r="VMF105" s="433"/>
      <c r="VMG105" s="433"/>
      <c r="VMH105" s="433"/>
      <c r="VMI105" s="433"/>
      <c r="VMJ105" s="433"/>
      <c r="VMK105" s="433"/>
      <c r="VML105" s="433"/>
      <c r="VMM105" s="433"/>
      <c r="VMN105" s="433"/>
      <c r="VMO105" s="433"/>
      <c r="VMP105" s="433"/>
      <c r="VMQ105" s="433"/>
      <c r="VMR105" s="433"/>
      <c r="VMS105" s="433"/>
      <c r="VMT105" s="433"/>
      <c r="VMU105" s="433"/>
      <c r="VMV105" s="433"/>
      <c r="VMW105" s="433"/>
      <c r="VMX105" s="433"/>
      <c r="VMY105" s="433"/>
      <c r="VMZ105" s="433"/>
      <c r="VNA105" s="433"/>
      <c r="VNB105" s="433"/>
      <c r="VNC105" s="433"/>
      <c r="VND105" s="433"/>
      <c r="VNE105" s="433"/>
      <c r="VNF105" s="433"/>
      <c r="VNG105" s="433"/>
      <c r="VNH105" s="433"/>
      <c r="VNI105" s="433"/>
      <c r="VNJ105" s="433"/>
      <c r="VNK105" s="433"/>
      <c r="VNL105" s="433"/>
      <c r="VNM105" s="433"/>
      <c r="VNN105" s="433"/>
      <c r="VNO105" s="433"/>
      <c r="VNP105" s="433"/>
      <c r="VNQ105" s="433"/>
      <c r="VNR105" s="433"/>
      <c r="VNS105" s="433"/>
      <c r="VNT105" s="433"/>
      <c r="VNU105" s="433"/>
      <c r="VNV105" s="433"/>
      <c r="VNW105" s="433"/>
      <c r="VNX105" s="433"/>
      <c r="VNY105" s="433"/>
      <c r="VNZ105" s="433"/>
      <c r="VOA105" s="433"/>
      <c r="VOB105" s="433"/>
      <c r="VOC105" s="433"/>
      <c r="VOD105" s="433"/>
      <c r="VOE105" s="433"/>
      <c r="VOF105" s="433"/>
      <c r="VOG105" s="433"/>
      <c r="VOH105" s="433"/>
      <c r="VOI105" s="433"/>
      <c r="VOJ105" s="433"/>
      <c r="VOK105" s="433"/>
      <c r="VOL105" s="433"/>
      <c r="VOM105" s="433"/>
      <c r="VON105" s="433"/>
      <c r="VOO105" s="433"/>
      <c r="VOP105" s="433"/>
      <c r="VOQ105" s="433"/>
      <c r="VOR105" s="433"/>
      <c r="VOS105" s="433"/>
      <c r="VOT105" s="433"/>
      <c r="VOU105" s="433"/>
      <c r="VOV105" s="433"/>
      <c r="VOW105" s="433"/>
      <c r="VOX105" s="433"/>
      <c r="VOY105" s="433"/>
      <c r="VOZ105" s="433"/>
      <c r="VPA105" s="433"/>
      <c r="VPB105" s="433"/>
      <c r="VPC105" s="433"/>
      <c r="VPD105" s="433"/>
      <c r="VPE105" s="433"/>
      <c r="VPF105" s="433"/>
      <c r="VPG105" s="433"/>
      <c r="VPH105" s="433"/>
      <c r="VPI105" s="433"/>
      <c r="VPJ105" s="433"/>
      <c r="VPK105" s="433"/>
      <c r="VPL105" s="433"/>
      <c r="VPM105" s="433"/>
      <c r="VPN105" s="433"/>
      <c r="VPO105" s="433"/>
      <c r="VPP105" s="433"/>
      <c r="VPQ105" s="433"/>
      <c r="VPR105" s="433"/>
      <c r="VPS105" s="433"/>
      <c r="VPT105" s="433"/>
      <c r="VPU105" s="433"/>
      <c r="VPV105" s="433"/>
      <c r="VPW105" s="433"/>
      <c r="VPX105" s="433"/>
      <c r="VPY105" s="433"/>
      <c r="VPZ105" s="433"/>
      <c r="VQA105" s="433"/>
      <c r="VQB105" s="433"/>
      <c r="VQC105" s="433"/>
      <c r="VQD105" s="433"/>
      <c r="VQE105" s="433"/>
      <c r="VQF105" s="433"/>
      <c r="VQG105" s="433"/>
      <c r="VQH105" s="433"/>
      <c r="VQI105" s="433"/>
      <c r="VQJ105" s="433"/>
      <c r="VQK105" s="433"/>
      <c r="VQL105" s="433"/>
      <c r="VQM105" s="433"/>
      <c r="VQN105" s="433"/>
      <c r="VQO105" s="433"/>
      <c r="VQP105" s="433"/>
      <c r="VQQ105" s="433"/>
      <c r="VQR105" s="433"/>
      <c r="VQS105" s="433"/>
      <c r="VQT105" s="433"/>
      <c r="VQU105" s="433"/>
      <c r="VQV105" s="433"/>
      <c r="VQW105" s="433"/>
      <c r="VQX105" s="433"/>
      <c r="VQY105" s="433"/>
      <c r="VQZ105" s="433"/>
      <c r="VRA105" s="433"/>
      <c r="VRB105" s="433"/>
      <c r="VRC105" s="433"/>
      <c r="VRD105" s="433"/>
      <c r="VRE105" s="433"/>
      <c r="VRF105" s="433"/>
      <c r="VRG105" s="433"/>
      <c r="VRH105" s="433"/>
      <c r="VRI105" s="433"/>
      <c r="VRJ105" s="433"/>
      <c r="VRK105" s="433"/>
      <c r="VRL105" s="433"/>
      <c r="VRM105" s="433"/>
      <c r="VRN105" s="433"/>
      <c r="VRO105" s="433"/>
      <c r="VRP105" s="433"/>
      <c r="VRQ105" s="433"/>
      <c r="VRR105" s="433"/>
      <c r="VRS105" s="433"/>
      <c r="VRT105" s="433"/>
      <c r="VRU105" s="433"/>
      <c r="VRV105" s="433"/>
      <c r="VRW105" s="433"/>
      <c r="VRX105" s="433"/>
      <c r="VRY105" s="433"/>
      <c r="VRZ105" s="433"/>
      <c r="VSA105" s="433"/>
      <c r="VSB105" s="433"/>
      <c r="VSC105" s="433"/>
      <c r="VSD105" s="433"/>
      <c r="VSE105" s="433"/>
      <c r="VSF105" s="433"/>
      <c r="VSG105" s="433"/>
      <c r="VSH105" s="433"/>
      <c r="VSI105" s="433"/>
      <c r="VSJ105" s="433"/>
      <c r="VSK105" s="433"/>
      <c r="VSL105" s="433"/>
      <c r="VSM105" s="433"/>
      <c r="VSN105" s="433"/>
      <c r="VSO105" s="433"/>
      <c r="VSP105" s="433"/>
      <c r="VSQ105" s="433"/>
      <c r="VSR105" s="433"/>
      <c r="VSS105" s="433"/>
      <c r="VST105" s="433"/>
      <c r="VSU105" s="433"/>
      <c r="VSV105" s="433"/>
      <c r="VSW105" s="433"/>
      <c r="VSX105" s="433"/>
      <c r="VSY105" s="433"/>
      <c r="VSZ105" s="433"/>
      <c r="VTA105" s="433"/>
      <c r="VTB105" s="433"/>
      <c r="VTC105" s="433"/>
      <c r="VTD105" s="433"/>
      <c r="VTE105" s="433"/>
      <c r="VTF105" s="433"/>
      <c r="VTG105" s="433"/>
      <c r="VTH105" s="433"/>
      <c r="VTI105" s="433"/>
      <c r="VTJ105" s="433"/>
      <c r="VTK105" s="433"/>
      <c r="VTL105" s="433"/>
      <c r="VTM105" s="433"/>
      <c r="VTN105" s="433"/>
      <c r="VTO105" s="433"/>
      <c r="VTP105" s="433"/>
      <c r="VTQ105" s="433"/>
      <c r="VTR105" s="433"/>
      <c r="VTS105" s="433"/>
      <c r="VTT105" s="433"/>
      <c r="VTU105" s="433"/>
      <c r="VTV105" s="433"/>
      <c r="VTW105" s="433"/>
      <c r="VTX105" s="433"/>
      <c r="VTY105" s="433"/>
      <c r="VTZ105" s="433"/>
      <c r="VUA105" s="433"/>
      <c r="VUB105" s="433"/>
      <c r="VUC105" s="433"/>
      <c r="VUD105" s="433"/>
      <c r="VUE105" s="433"/>
      <c r="VUF105" s="433"/>
      <c r="VUG105" s="433"/>
      <c r="VUH105" s="433"/>
      <c r="VUI105" s="433"/>
      <c r="VUJ105" s="433"/>
      <c r="VUK105" s="433"/>
      <c r="VUL105" s="433"/>
      <c r="VUM105" s="433"/>
      <c r="VUN105" s="433"/>
      <c r="VUO105" s="433"/>
      <c r="VUP105" s="433"/>
      <c r="VUQ105" s="433"/>
      <c r="VUR105" s="433"/>
      <c r="VUS105" s="433"/>
      <c r="VUT105" s="433"/>
      <c r="VUU105" s="433"/>
      <c r="VUV105" s="433"/>
      <c r="VUW105" s="433"/>
      <c r="VUX105" s="433"/>
      <c r="VUY105" s="433"/>
      <c r="VUZ105" s="433"/>
      <c r="VVA105" s="433"/>
      <c r="VVB105" s="433"/>
      <c r="VVC105" s="433"/>
      <c r="VVD105" s="433"/>
      <c r="VVE105" s="433"/>
      <c r="VVF105" s="433"/>
      <c r="VVG105" s="433"/>
      <c r="VVH105" s="433"/>
      <c r="VVI105" s="433"/>
      <c r="VVJ105" s="433"/>
      <c r="VVK105" s="433"/>
      <c r="VVL105" s="433"/>
      <c r="VVM105" s="433"/>
      <c r="VVN105" s="433"/>
      <c r="VVO105" s="433"/>
      <c r="VVP105" s="433"/>
      <c r="VVQ105" s="433"/>
      <c r="VVR105" s="433"/>
      <c r="VVS105" s="433"/>
      <c r="VVT105" s="433"/>
      <c r="VVU105" s="433"/>
      <c r="VVV105" s="433"/>
      <c r="VVW105" s="433"/>
      <c r="VVX105" s="433"/>
      <c r="VVY105" s="433"/>
      <c r="VVZ105" s="433"/>
      <c r="VWA105" s="433"/>
      <c r="VWB105" s="433"/>
      <c r="VWC105" s="433"/>
      <c r="VWD105" s="433"/>
      <c r="VWE105" s="433"/>
      <c r="VWF105" s="433"/>
      <c r="VWG105" s="433"/>
      <c r="VWH105" s="433"/>
      <c r="VWI105" s="433"/>
      <c r="VWJ105" s="433"/>
      <c r="VWK105" s="433"/>
      <c r="VWL105" s="433"/>
      <c r="VWM105" s="433"/>
      <c r="VWN105" s="433"/>
      <c r="VWO105" s="433"/>
      <c r="VWP105" s="433"/>
      <c r="VWQ105" s="433"/>
      <c r="VWR105" s="433"/>
      <c r="VWS105" s="433"/>
      <c r="VWT105" s="433"/>
      <c r="VWU105" s="433"/>
      <c r="VWV105" s="433"/>
      <c r="VWW105" s="433"/>
      <c r="VWX105" s="433"/>
      <c r="VWY105" s="433"/>
      <c r="VWZ105" s="433"/>
      <c r="VXA105" s="433"/>
      <c r="VXB105" s="433"/>
      <c r="VXC105" s="433"/>
      <c r="VXD105" s="433"/>
      <c r="VXE105" s="433"/>
      <c r="VXF105" s="433"/>
      <c r="VXG105" s="433"/>
      <c r="VXH105" s="433"/>
      <c r="VXI105" s="433"/>
      <c r="VXJ105" s="433"/>
      <c r="VXK105" s="433"/>
      <c r="VXL105" s="433"/>
      <c r="VXM105" s="433"/>
      <c r="VXN105" s="433"/>
      <c r="VXO105" s="433"/>
      <c r="VXP105" s="433"/>
      <c r="VXQ105" s="433"/>
      <c r="VXR105" s="433"/>
      <c r="VXS105" s="433"/>
      <c r="VXT105" s="433"/>
      <c r="VXU105" s="433"/>
      <c r="VXV105" s="433"/>
      <c r="VXW105" s="433"/>
      <c r="VXX105" s="433"/>
      <c r="VXY105" s="433"/>
      <c r="VXZ105" s="433"/>
      <c r="VYA105" s="433"/>
      <c r="VYB105" s="433"/>
      <c r="VYC105" s="433"/>
      <c r="VYD105" s="433"/>
      <c r="VYE105" s="433"/>
      <c r="VYF105" s="433"/>
      <c r="VYG105" s="433"/>
      <c r="VYH105" s="433"/>
      <c r="VYI105" s="433"/>
      <c r="VYJ105" s="433"/>
      <c r="VYK105" s="433"/>
      <c r="VYL105" s="433"/>
      <c r="VYM105" s="433"/>
      <c r="VYN105" s="433"/>
      <c r="VYO105" s="433"/>
      <c r="VYP105" s="433"/>
      <c r="VYQ105" s="433"/>
      <c r="VYR105" s="433"/>
      <c r="VYS105" s="433"/>
      <c r="VYT105" s="433"/>
      <c r="VYU105" s="433"/>
      <c r="VYV105" s="433"/>
      <c r="VYW105" s="433"/>
      <c r="VYX105" s="433"/>
      <c r="VYY105" s="433"/>
      <c r="VYZ105" s="433"/>
      <c r="VZA105" s="433"/>
      <c r="VZB105" s="433"/>
      <c r="VZC105" s="433"/>
      <c r="VZD105" s="433"/>
      <c r="VZE105" s="433"/>
      <c r="VZF105" s="433"/>
      <c r="VZG105" s="433"/>
      <c r="VZH105" s="433"/>
      <c r="VZI105" s="433"/>
      <c r="VZJ105" s="433"/>
      <c r="VZK105" s="433"/>
      <c r="VZL105" s="433"/>
      <c r="VZM105" s="433"/>
      <c r="VZN105" s="433"/>
      <c r="VZO105" s="433"/>
      <c r="VZP105" s="433"/>
      <c r="VZQ105" s="433"/>
      <c r="VZR105" s="433"/>
      <c r="VZS105" s="433"/>
      <c r="VZT105" s="433"/>
      <c r="VZU105" s="433"/>
      <c r="VZV105" s="433"/>
      <c r="VZW105" s="433"/>
      <c r="VZX105" s="433"/>
      <c r="VZY105" s="433"/>
      <c r="VZZ105" s="433"/>
      <c r="WAA105" s="433"/>
      <c r="WAB105" s="433"/>
      <c r="WAC105" s="433"/>
      <c r="WAD105" s="433"/>
      <c r="WAE105" s="433"/>
      <c r="WAF105" s="433"/>
      <c r="WAG105" s="433"/>
      <c r="WAH105" s="433"/>
      <c r="WAI105" s="433"/>
      <c r="WAJ105" s="433"/>
      <c r="WAK105" s="433"/>
      <c r="WAL105" s="433"/>
      <c r="WAM105" s="433"/>
      <c r="WAN105" s="433"/>
      <c r="WAO105" s="433"/>
      <c r="WAP105" s="433"/>
      <c r="WAQ105" s="433"/>
      <c r="WAR105" s="433"/>
      <c r="WAS105" s="433"/>
      <c r="WAT105" s="433"/>
      <c r="WAU105" s="433"/>
      <c r="WAV105" s="433"/>
      <c r="WAW105" s="433"/>
      <c r="WAX105" s="433"/>
      <c r="WAY105" s="433"/>
      <c r="WAZ105" s="433"/>
      <c r="WBA105" s="433"/>
      <c r="WBB105" s="433"/>
      <c r="WBC105" s="433"/>
      <c r="WBD105" s="433"/>
      <c r="WBE105" s="433"/>
      <c r="WBF105" s="433"/>
      <c r="WBG105" s="433"/>
      <c r="WBH105" s="433"/>
      <c r="WBI105" s="433"/>
      <c r="WBJ105" s="433"/>
      <c r="WBK105" s="433"/>
      <c r="WBL105" s="433"/>
      <c r="WBM105" s="433"/>
      <c r="WBN105" s="433"/>
      <c r="WBO105" s="433"/>
      <c r="WBP105" s="433"/>
      <c r="WBQ105" s="433"/>
      <c r="WBR105" s="433"/>
      <c r="WBS105" s="433"/>
      <c r="WBT105" s="433"/>
      <c r="WBU105" s="433"/>
      <c r="WBV105" s="433"/>
      <c r="WBW105" s="433"/>
      <c r="WBX105" s="433"/>
      <c r="WBY105" s="433"/>
      <c r="WBZ105" s="433"/>
      <c r="WCA105" s="433"/>
      <c r="WCB105" s="433"/>
      <c r="WCC105" s="433"/>
      <c r="WCD105" s="433"/>
      <c r="WCE105" s="433"/>
      <c r="WCF105" s="433"/>
      <c r="WCG105" s="433"/>
      <c r="WCH105" s="433"/>
      <c r="WCI105" s="433"/>
      <c r="WCJ105" s="433"/>
      <c r="WCK105" s="433"/>
      <c r="WCL105" s="433"/>
      <c r="WCM105" s="433"/>
      <c r="WCN105" s="433"/>
      <c r="WCO105" s="433"/>
      <c r="WCP105" s="433"/>
      <c r="WCQ105" s="433"/>
      <c r="WCR105" s="433"/>
      <c r="WCS105" s="433"/>
      <c r="WCT105" s="433"/>
      <c r="WCU105" s="433"/>
      <c r="WCV105" s="433"/>
      <c r="WCW105" s="433"/>
      <c r="WCX105" s="433"/>
      <c r="WCY105" s="433"/>
      <c r="WCZ105" s="433"/>
      <c r="WDA105" s="433"/>
      <c r="WDB105" s="433"/>
      <c r="WDC105" s="433"/>
      <c r="WDD105" s="433"/>
      <c r="WDE105" s="433"/>
      <c r="WDF105" s="433"/>
      <c r="WDG105" s="433"/>
      <c r="WDH105" s="433"/>
      <c r="WDI105" s="433"/>
      <c r="WDJ105" s="433"/>
      <c r="WDK105" s="433"/>
      <c r="WDL105" s="433"/>
      <c r="WDM105" s="433"/>
      <c r="WDN105" s="433"/>
      <c r="WDO105" s="433"/>
      <c r="WDP105" s="433"/>
      <c r="WDQ105" s="433"/>
      <c r="WDR105" s="433"/>
      <c r="WDS105" s="433"/>
      <c r="WDT105" s="433"/>
      <c r="WDU105" s="433"/>
      <c r="WDV105" s="433"/>
      <c r="WDW105" s="433"/>
      <c r="WDX105" s="433"/>
      <c r="WDY105" s="433"/>
      <c r="WDZ105" s="433"/>
      <c r="WEA105" s="433"/>
      <c r="WEB105" s="433"/>
      <c r="WEC105" s="433"/>
      <c r="WED105" s="433"/>
      <c r="WEE105" s="433"/>
      <c r="WEF105" s="433"/>
      <c r="WEG105" s="433"/>
      <c r="WEH105" s="433"/>
      <c r="WEI105" s="433"/>
      <c r="WEJ105" s="433"/>
      <c r="WEK105" s="433"/>
      <c r="WEL105" s="433"/>
      <c r="WEM105" s="433"/>
      <c r="WEN105" s="433"/>
      <c r="WEO105" s="433"/>
      <c r="WEP105" s="433"/>
      <c r="WEQ105" s="433"/>
      <c r="WER105" s="433"/>
      <c r="WES105" s="433"/>
      <c r="WET105" s="433"/>
      <c r="WEU105" s="433"/>
      <c r="WEV105" s="433"/>
      <c r="WEW105" s="433"/>
      <c r="WEX105" s="433"/>
      <c r="WEY105" s="433"/>
      <c r="WEZ105" s="433"/>
      <c r="WFA105" s="433"/>
      <c r="WFB105" s="433"/>
      <c r="WFC105" s="433"/>
      <c r="WFD105" s="433"/>
      <c r="WFE105" s="433"/>
      <c r="WFF105" s="433"/>
      <c r="WFG105" s="433"/>
      <c r="WFH105" s="433"/>
      <c r="WFI105" s="433"/>
      <c r="WFJ105" s="433"/>
      <c r="WFK105" s="433"/>
      <c r="WFL105" s="433"/>
      <c r="WFM105" s="433"/>
      <c r="WFN105" s="433"/>
      <c r="WFO105" s="433"/>
      <c r="WFP105" s="433"/>
      <c r="WFQ105" s="433"/>
      <c r="WFR105" s="433"/>
      <c r="WFS105" s="433"/>
      <c r="WFT105" s="433"/>
      <c r="WFU105" s="433"/>
      <c r="WFV105" s="433"/>
      <c r="WFW105" s="433"/>
      <c r="WFX105" s="433"/>
      <c r="WFY105" s="433"/>
      <c r="WFZ105" s="433"/>
      <c r="WGA105" s="433"/>
      <c r="WGB105" s="433"/>
      <c r="WGC105" s="433"/>
      <c r="WGD105" s="433"/>
      <c r="WGE105" s="433"/>
      <c r="WGF105" s="433"/>
      <c r="WGG105" s="433"/>
      <c r="WGH105" s="433"/>
      <c r="WGI105" s="433"/>
      <c r="WGJ105" s="433"/>
      <c r="WGK105" s="433"/>
      <c r="WGL105" s="433"/>
      <c r="WGM105" s="433"/>
      <c r="WGN105" s="433"/>
      <c r="WGO105" s="433"/>
      <c r="WGP105" s="433"/>
      <c r="WGQ105" s="433"/>
      <c r="WGR105" s="433"/>
      <c r="WGS105" s="433"/>
      <c r="WGT105" s="433"/>
      <c r="WGU105" s="433"/>
      <c r="WGV105" s="433"/>
      <c r="WGW105" s="433"/>
      <c r="WGX105" s="433"/>
      <c r="WGY105" s="433"/>
      <c r="WGZ105" s="433"/>
      <c r="WHA105" s="433"/>
      <c r="WHB105" s="433"/>
      <c r="WHC105" s="433"/>
      <c r="WHD105" s="433"/>
      <c r="WHE105" s="433"/>
      <c r="WHF105" s="433"/>
      <c r="WHG105" s="433"/>
      <c r="WHH105" s="433"/>
      <c r="WHI105" s="433"/>
      <c r="WHJ105" s="433"/>
      <c r="WHK105" s="433"/>
      <c r="WHL105" s="433"/>
      <c r="WHM105" s="433"/>
      <c r="WHN105" s="433"/>
      <c r="WHO105" s="433"/>
      <c r="WHP105" s="433"/>
      <c r="WHQ105" s="433"/>
      <c r="WHR105" s="433"/>
      <c r="WHS105" s="433"/>
      <c r="WHT105" s="433"/>
      <c r="WHU105" s="433"/>
      <c r="WHV105" s="433"/>
      <c r="WHW105" s="433"/>
      <c r="WHX105" s="433"/>
      <c r="WHY105" s="433"/>
      <c r="WHZ105" s="433"/>
      <c r="WIA105" s="433"/>
      <c r="WIB105" s="433"/>
      <c r="WIC105" s="433"/>
      <c r="WID105" s="433"/>
      <c r="WIE105" s="433"/>
      <c r="WIF105" s="433"/>
      <c r="WIG105" s="433"/>
      <c r="WIH105" s="433"/>
      <c r="WII105" s="433"/>
      <c r="WIJ105" s="433"/>
      <c r="WIK105" s="433"/>
      <c r="WIL105" s="433"/>
      <c r="WIM105" s="433"/>
      <c r="WIN105" s="433"/>
      <c r="WIO105" s="433"/>
      <c r="WIP105" s="433"/>
      <c r="WIQ105" s="433"/>
      <c r="WIR105" s="433"/>
      <c r="WIS105" s="433"/>
      <c r="WIT105" s="433"/>
      <c r="WIU105" s="433"/>
      <c r="WIV105" s="433"/>
      <c r="WIW105" s="433"/>
      <c r="WIX105" s="433"/>
      <c r="WIY105" s="433"/>
      <c r="WIZ105" s="433"/>
      <c r="WJA105" s="433"/>
      <c r="WJB105" s="433"/>
      <c r="WJC105" s="433"/>
      <c r="WJD105" s="433"/>
      <c r="WJE105" s="433"/>
      <c r="WJF105" s="433"/>
      <c r="WJG105" s="433"/>
      <c r="WJH105" s="433"/>
      <c r="WJI105" s="433"/>
      <c r="WJJ105" s="433"/>
      <c r="WJK105" s="433"/>
      <c r="WJL105" s="433"/>
      <c r="WJM105" s="433"/>
      <c r="WJN105" s="433"/>
      <c r="WJO105" s="433"/>
      <c r="WJP105" s="433"/>
      <c r="WJQ105" s="433"/>
      <c r="WJR105" s="433"/>
      <c r="WJS105" s="433"/>
      <c r="WJT105" s="433"/>
      <c r="WJU105" s="433"/>
      <c r="WJV105" s="433"/>
      <c r="WJW105" s="433"/>
      <c r="WJX105" s="433"/>
      <c r="WJY105" s="433"/>
      <c r="WJZ105" s="433"/>
      <c r="WKA105" s="433"/>
      <c r="WKB105" s="433"/>
      <c r="WKC105" s="433"/>
      <c r="WKD105" s="433"/>
      <c r="WKE105" s="433"/>
      <c r="WKF105" s="433"/>
      <c r="WKG105" s="433"/>
      <c r="WKH105" s="433"/>
      <c r="WKI105" s="433"/>
      <c r="WKJ105" s="433"/>
      <c r="WKK105" s="433"/>
      <c r="WKL105" s="433"/>
      <c r="WKM105" s="433"/>
      <c r="WKN105" s="433"/>
      <c r="WKO105" s="433"/>
      <c r="WKP105" s="433"/>
      <c r="WKQ105" s="433"/>
      <c r="WKR105" s="433"/>
      <c r="WKS105" s="433"/>
      <c r="WKT105" s="433"/>
      <c r="WKU105" s="433"/>
      <c r="WKV105" s="433"/>
      <c r="WKW105" s="433"/>
      <c r="WKX105" s="433"/>
      <c r="WKY105" s="433"/>
      <c r="WKZ105" s="433"/>
      <c r="WLA105" s="433"/>
      <c r="WLB105" s="433"/>
      <c r="WLC105" s="433"/>
      <c r="WLD105" s="433"/>
      <c r="WLE105" s="433"/>
      <c r="WLF105" s="433"/>
      <c r="WLG105" s="433"/>
      <c r="WLH105" s="433"/>
      <c r="WLI105" s="433"/>
      <c r="WLJ105" s="433"/>
      <c r="WLK105" s="433"/>
      <c r="WLL105" s="433"/>
      <c r="WLM105" s="433"/>
      <c r="WLN105" s="433"/>
      <c r="WLO105" s="433"/>
      <c r="WLP105" s="433"/>
      <c r="WLQ105" s="433"/>
      <c r="WLR105" s="433"/>
      <c r="WLS105" s="433"/>
      <c r="WLT105" s="433"/>
      <c r="WLU105" s="433"/>
      <c r="WLV105" s="433"/>
      <c r="WLW105" s="433"/>
      <c r="WLX105" s="433"/>
      <c r="WLY105" s="433"/>
      <c r="WLZ105" s="433"/>
      <c r="WMA105" s="433"/>
      <c r="WMB105" s="433"/>
      <c r="WMC105" s="433"/>
      <c r="WMD105" s="433"/>
      <c r="WME105" s="433"/>
      <c r="WMF105" s="433"/>
      <c r="WMG105" s="433"/>
      <c r="WMH105" s="433"/>
      <c r="WMI105" s="433"/>
      <c r="WMJ105" s="433"/>
      <c r="WMK105" s="433"/>
      <c r="WML105" s="433"/>
      <c r="WMM105" s="433"/>
      <c r="WMN105" s="433"/>
      <c r="WMO105" s="433"/>
      <c r="WMP105" s="433"/>
      <c r="WMQ105" s="433"/>
      <c r="WMR105" s="433"/>
      <c r="WMS105" s="433"/>
      <c r="WMT105" s="433"/>
      <c r="WMU105" s="433"/>
      <c r="WMV105" s="433"/>
      <c r="WMW105" s="433"/>
      <c r="WMX105" s="433"/>
      <c r="WMY105" s="433"/>
      <c r="WMZ105" s="433"/>
      <c r="WNA105" s="433"/>
      <c r="WNB105" s="433"/>
      <c r="WNC105" s="433"/>
      <c r="WND105" s="433"/>
      <c r="WNE105" s="433"/>
      <c r="WNF105" s="433"/>
      <c r="WNG105" s="433"/>
      <c r="WNH105" s="433"/>
      <c r="WNI105" s="433"/>
      <c r="WNJ105" s="433"/>
      <c r="WNK105" s="433"/>
      <c r="WNL105" s="433"/>
      <c r="WNM105" s="433"/>
      <c r="WNN105" s="433"/>
      <c r="WNO105" s="433"/>
      <c r="WNP105" s="433"/>
      <c r="WNQ105" s="433"/>
      <c r="WNR105" s="433"/>
      <c r="WNS105" s="433"/>
      <c r="WNT105" s="433"/>
      <c r="WNU105" s="433"/>
      <c r="WNV105" s="433"/>
      <c r="WNW105" s="433"/>
      <c r="WNX105" s="433"/>
      <c r="WNY105" s="433"/>
      <c r="WNZ105" s="433"/>
      <c r="WOA105" s="433"/>
      <c r="WOB105" s="433"/>
      <c r="WOC105" s="433"/>
      <c r="WOD105" s="433"/>
      <c r="WOE105" s="433"/>
      <c r="WOF105" s="433"/>
      <c r="WOG105" s="433"/>
      <c r="WOH105" s="433"/>
      <c r="WOI105" s="433"/>
      <c r="WOJ105" s="433"/>
      <c r="WOK105" s="433"/>
      <c r="WOL105" s="433"/>
      <c r="WOM105" s="433"/>
      <c r="WON105" s="433"/>
      <c r="WOO105" s="433"/>
      <c r="WOP105" s="433"/>
      <c r="WOQ105" s="433"/>
      <c r="WOR105" s="433"/>
      <c r="WOS105" s="433"/>
      <c r="WOT105" s="433"/>
      <c r="WOU105" s="433"/>
      <c r="WOV105" s="433"/>
      <c r="WOW105" s="433"/>
      <c r="WOX105" s="433"/>
      <c r="WOY105" s="433"/>
      <c r="WOZ105" s="433"/>
      <c r="WPA105" s="433"/>
      <c r="WPB105" s="433"/>
      <c r="WPC105" s="433"/>
      <c r="WPD105" s="433"/>
      <c r="WPE105" s="433"/>
      <c r="WPF105" s="433"/>
      <c r="WPG105" s="433"/>
      <c r="WPH105" s="433"/>
      <c r="WPI105" s="433"/>
      <c r="WPJ105" s="433"/>
      <c r="WPK105" s="433"/>
      <c r="WPL105" s="433"/>
      <c r="WPM105" s="433"/>
      <c r="WPN105" s="433"/>
      <c r="WPO105" s="433"/>
      <c r="WPP105" s="433"/>
      <c r="WPQ105" s="433"/>
      <c r="WPR105" s="433"/>
      <c r="WPS105" s="433"/>
      <c r="WPT105" s="433"/>
      <c r="WPU105" s="433"/>
      <c r="WPV105" s="433"/>
      <c r="WPW105" s="433"/>
      <c r="WPX105" s="433"/>
      <c r="WPY105" s="433"/>
      <c r="WPZ105" s="433"/>
      <c r="WQA105" s="433"/>
      <c r="WQB105" s="433"/>
      <c r="WQC105" s="433"/>
      <c r="WQD105" s="433"/>
      <c r="WQE105" s="433"/>
      <c r="WQF105" s="433"/>
      <c r="WQG105" s="433"/>
      <c r="WQH105" s="433"/>
      <c r="WQI105" s="433"/>
      <c r="WQJ105" s="433"/>
      <c r="WQK105" s="433"/>
      <c r="WQL105" s="433"/>
      <c r="WQM105" s="433"/>
      <c r="WQN105" s="433"/>
      <c r="WQO105" s="433"/>
      <c r="WQP105" s="433"/>
      <c r="WQQ105" s="433"/>
      <c r="WQR105" s="433"/>
      <c r="WQS105" s="433"/>
      <c r="WQT105" s="433"/>
      <c r="WQU105" s="433"/>
      <c r="WQV105" s="433"/>
      <c r="WQW105" s="433"/>
      <c r="WQX105" s="433"/>
      <c r="WQY105" s="433"/>
      <c r="WQZ105" s="433"/>
      <c r="WRA105" s="433"/>
      <c r="WRB105" s="433"/>
      <c r="WRC105" s="433"/>
      <c r="WRD105" s="433"/>
      <c r="WRE105" s="433"/>
      <c r="WRF105" s="433"/>
      <c r="WRG105" s="433"/>
      <c r="WRH105" s="433"/>
      <c r="WRI105" s="433"/>
      <c r="WRJ105" s="433"/>
      <c r="WRK105" s="433"/>
      <c r="WRL105" s="433"/>
      <c r="WRM105" s="433"/>
      <c r="WRN105" s="433"/>
      <c r="WRO105" s="433"/>
      <c r="WRP105" s="433"/>
      <c r="WRQ105" s="433"/>
      <c r="WRR105" s="433"/>
      <c r="WRS105" s="433"/>
      <c r="WRT105" s="433"/>
      <c r="WRU105" s="433"/>
      <c r="WRV105" s="433"/>
      <c r="WRW105" s="433"/>
      <c r="WRX105" s="433"/>
      <c r="WRY105" s="433"/>
      <c r="WRZ105" s="433"/>
      <c r="WSA105" s="433"/>
      <c r="WSB105" s="433"/>
      <c r="WSC105" s="433"/>
      <c r="WSD105" s="433"/>
      <c r="WSE105" s="433"/>
      <c r="WSF105" s="433"/>
      <c r="WSG105" s="433"/>
      <c r="WSH105" s="433"/>
      <c r="WSI105" s="433"/>
      <c r="WSJ105" s="433"/>
      <c r="WSK105" s="433"/>
      <c r="WSL105" s="433"/>
      <c r="WSM105" s="433"/>
      <c r="WSN105" s="433"/>
      <c r="WSO105" s="433"/>
      <c r="WSP105" s="433"/>
      <c r="WSQ105" s="433"/>
      <c r="WSR105" s="433"/>
      <c r="WSS105" s="433"/>
      <c r="WST105" s="433"/>
      <c r="WSU105" s="433"/>
      <c r="WSV105" s="433"/>
      <c r="WSW105" s="433"/>
      <c r="WSX105" s="433"/>
      <c r="WSY105" s="433"/>
      <c r="WSZ105" s="433"/>
      <c r="WTA105" s="433"/>
      <c r="WTB105" s="433"/>
      <c r="WTC105" s="433"/>
      <c r="WTD105" s="433"/>
      <c r="WTE105" s="433"/>
      <c r="WTF105" s="433"/>
      <c r="WTG105" s="433"/>
      <c r="WTH105" s="433"/>
      <c r="WTI105" s="433"/>
      <c r="WTJ105" s="433"/>
      <c r="WTK105" s="433"/>
      <c r="WTL105" s="433"/>
      <c r="WTM105" s="433"/>
      <c r="WTN105" s="433"/>
      <c r="WTO105" s="433"/>
      <c r="WTP105" s="433"/>
      <c r="WTQ105" s="433"/>
      <c r="WTR105" s="433"/>
      <c r="WTS105" s="433"/>
      <c r="WTT105" s="433"/>
      <c r="WTU105" s="433"/>
      <c r="WTV105" s="433"/>
      <c r="WTW105" s="433"/>
      <c r="WTX105" s="433"/>
      <c r="WTY105" s="433"/>
      <c r="WTZ105" s="433"/>
      <c r="WUA105" s="433"/>
      <c r="WUB105" s="433"/>
      <c r="WUC105" s="433"/>
      <c r="WUD105" s="433"/>
      <c r="WUE105" s="433"/>
      <c r="WUF105" s="433"/>
      <c r="WUG105" s="433"/>
      <c r="WUH105" s="433"/>
      <c r="WUI105" s="433"/>
      <c r="WUJ105" s="433"/>
      <c r="WUK105" s="433"/>
      <c r="WUL105" s="433"/>
      <c r="WUM105" s="433"/>
      <c r="WUN105" s="433"/>
      <c r="WUO105" s="433"/>
      <c r="WUP105" s="433"/>
      <c r="WUQ105" s="433"/>
      <c r="WUR105" s="433"/>
      <c r="WUS105" s="433"/>
      <c r="WUT105" s="433"/>
      <c r="WUU105" s="433"/>
      <c r="WUV105" s="433"/>
      <c r="WUW105" s="433"/>
      <c r="WUX105" s="433"/>
      <c r="WUY105" s="433"/>
      <c r="WUZ105" s="433"/>
      <c r="WVA105" s="433"/>
      <c r="WVB105" s="433"/>
      <c r="WVC105" s="433"/>
      <c r="WVD105" s="433"/>
      <c r="WVE105" s="433"/>
      <c r="WVF105" s="433"/>
      <c r="WVG105" s="433"/>
      <c r="WVH105" s="433"/>
      <c r="WVI105" s="433"/>
      <c r="WVJ105" s="433"/>
      <c r="WVK105" s="433"/>
      <c r="WVL105" s="433"/>
      <c r="WVM105" s="433"/>
      <c r="WVN105" s="433"/>
      <c r="WVO105" s="433"/>
      <c r="WVP105" s="433"/>
      <c r="WVQ105" s="433"/>
      <c r="WVR105" s="433"/>
      <c r="WVS105" s="433"/>
      <c r="WVT105" s="433"/>
      <c r="WVU105" s="433"/>
      <c r="WVV105" s="433"/>
      <c r="WVW105" s="433"/>
      <c r="WVX105" s="433"/>
      <c r="WVY105" s="433"/>
      <c r="WVZ105" s="433"/>
      <c r="WWA105" s="433"/>
      <c r="WWB105" s="433"/>
      <c r="WWC105" s="433"/>
      <c r="WWD105" s="433"/>
      <c r="WWE105" s="433"/>
      <c r="WWF105" s="433"/>
      <c r="WWG105" s="433"/>
      <c r="WWH105" s="433"/>
      <c r="WWI105" s="433"/>
      <c r="WWJ105" s="433"/>
      <c r="WWK105" s="433"/>
      <c r="WWL105" s="433"/>
      <c r="WWM105" s="433"/>
      <c r="WWN105" s="433"/>
      <c r="WWO105" s="433"/>
      <c r="WWP105" s="433"/>
      <c r="WWQ105" s="433"/>
      <c r="WWR105" s="433"/>
      <c r="WWS105" s="433"/>
      <c r="WWT105" s="433"/>
      <c r="WWU105" s="433"/>
      <c r="WWV105" s="433"/>
      <c r="WWW105" s="433"/>
      <c r="WWX105" s="433"/>
      <c r="WWY105" s="433"/>
      <c r="WWZ105" s="433"/>
      <c r="WXA105" s="433"/>
      <c r="WXB105" s="433"/>
      <c r="WXC105" s="433"/>
      <c r="WXD105" s="433"/>
      <c r="WXE105" s="433"/>
      <c r="WXF105" s="433"/>
      <c r="WXG105" s="433"/>
      <c r="WXH105" s="433"/>
      <c r="WXI105" s="433"/>
      <c r="WXJ105" s="433"/>
      <c r="WXK105" s="433"/>
      <c r="WXL105" s="433"/>
      <c r="WXM105" s="433"/>
      <c r="WXN105" s="433"/>
      <c r="WXO105" s="433"/>
      <c r="WXP105" s="433"/>
      <c r="WXQ105" s="433"/>
      <c r="WXR105" s="433"/>
      <c r="WXS105" s="433"/>
      <c r="WXT105" s="433"/>
      <c r="WXU105" s="433"/>
      <c r="WXV105" s="433"/>
      <c r="WXW105" s="433"/>
      <c r="WXX105" s="433"/>
      <c r="WXY105" s="433"/>
      <c r="WXZ105" s="433"/>
      <c r="WYA105" s="433"/>
      <c r="WYB105" s="433"/>
      <c r="WYC105" s="433"/>
      <c r="WYD105" s="433"/>
      <c r="WYE105" s="433"/>
      <c r="WYF105" s="433"/>
      <c r="WYG105" s="433"/>
      <c r="WYH105" s="433"/>
      <c r="WYI105" s="433"/>
      <c r="WYJ105" s="433"/>
      <c r="WYK105" s="433"/>
      <c r="WYL105" s="433"/>
      <c r="WYM105" s="433"/>
      <c r="WYN105" s="433"/>
      <c r="WYO105" s="433"/>
      <c r="WYP105" s="433"/>
      <c r="WYQ105" s="433"/>
      <c r="WYR105" s="433"/>
      <c r="WYS105" s="433"/>
      <c r="WYT105" s="433"/>
      <c r="WYU105" s="433"/>
      <c r="WYV105" s="433"/>
      <c r="WYW105" s="433"/>
      <c r="WYX105" s="433"/>
      <c r="WYY105" s="433"/>
      <c r="WYZ105" s="433"/>
      <c r="WZA105" s="433"/>
      <c r="WZB105" s="433"/>
      <c r="WZC105" s="433"/>
      <c r="WZD105" s="433"/>
      <c r="WZE105" s="433"/>
      <c r="WZF105" s="433"/>
      <c r="WZG105" s="433"/>
      <c r="WZH105" s="433"/>
      <c r="WZI105" s="433"/>
      <c r="WZJ105" s="433"/>
      <c r="WZK105" s="433"/>
      <c r="WZL105" s="433"/>
      <c r="WZM105" s="433"/>
      <c r="WZN105" s="433"/>
      <c r="WZO105" s="433"/>
      <c r="WZP105" s="433"/>
      <c r="WZQ105" s="433"/>
      <c r="WZR105" s="433"/>
      <c r="WZS105" s="433"/>
      <c r="WZT105" s="433"/>
      <c r="WZU105" s="433"/>
      <c r="WZV105" s="433"/>
      <c r="WZW105" s="433"/>
      <c r="WZX105" s="433"/>
      <c r="WZY105" s="433"/>
      <c r="WZZ105" s="433"/>
      <c r="XAA105" s="433"/>
      <c r="XAB105" s="433"/>
      <c r="XAC105" s="433"/>
      <c r="XAD105" s="433"/>
      <c r="XAE105" s="433"/>
      <c r="XAF105" s="433"/>
      <c r="XAG105" s="433"/>
      <c r="XAH105" s="433"/>
      <c r="XAI105" s="433"/>
      <c r="XAJ105" s="433"/>
      <c r="XAK105" s="433"/>
      <c r="XAL105" s="433"/>
      <c r="XAM105" s="433"/>
      <c r="XAN105" s="433"/>
      <c r="XAO105" s="433"/>
      <c r="XAP105" s="433"/>
      <c r="XAQ105" s="433"/>
      <c r="XAR105" s="433"/>
      <c r="XAS105" s="433"/>
      <c r="XAT105" s="433"/>
      <c r="XAU105" s="433"/>
      <c r="XAV105" s="433"/>
      <c r="XAW105" s="433"/>
      <c r="XAX105" s="433"/>
      <c r="XAY105" s="433"/>
      <c r="XAZ105" s="433"/>
      <c r="XBA105" s="433"/>
      <c r="XBB105" s="433"/>
      <c r="XBC105" s="433"/>
      <c r="XBD105" s="433"/>
      <c r="XBE105" s="433"/>
      <c r="XBF105" s="433"/>
      <c r="XBG105" s="433"/>
      <c r="XBH105" s="433"/>
      <c r="XBI105" s="433"/>
      <c r="XBJ105" s="433"/>
      <c r="XBK105" s="433"/>
      <c r="XBL105" s="433"/>
      <c r="XBM105" s="433"/>
      <c r="XBN105" s="433"/>
      <c r="XBO105" s="433"/>
      <c r="XBP105" s="433"/>
      <c r="XBQ105" s="433"/>
      <c r="XBR105" s="433"/>
      <c r="XBS105" s="433"/>
      <c r="XBT105" s="433"/>
      <c r="XBU105" s="433"/>
      <c r="XBV105" s="433"/>
      <c r="XBW105" s="433"/>
      <c r="XBX105" s="433"/>
      <c r="XBY105" s="433"/>
      <c r="XBZ105" s="433"/>
      <c r="XCA105" s="433"/>
      <c r="XCB105" s="433"/>
      <c r="XCC105" s="433"/>
      <c r="XCD105" s="433"/>
      <c r="XCE105" s="433"/>
      <c r="XCF105" s="433"/>
      <c r="XCG105" s="433"/>
      <c r="XCH105" s="433"/>
      <c r="XCI105" s="433"/>
      <c r="XCJ105" s="433"/>
      <c r="XCK105" s="433"/>
      <c r="XCL105" s="433"/>
      <c r="XCM105" s="433"/>
      <c r="XCN105" s="433"/>
      <c r="XCO105" s="433"/>
      <c r="XCP105" s="433"/>
      <c r="XCQ105" s="433"/>
      <c r="XCR105" s="433"/>
      <c r="XCS105" s="433"/>
      <c r="XCT105" s="433"/>
      <c r="XCU105" s="433"/>
      <c r="XCV105" s="433"/>
      <c r="XCW105" s="433"/>
      <c r="XCX105" s="433"/>
      <c r="XCY105" s="433"/>
      <c r="XCZ105" s="433"/>
      <c r="XDA105" s="433"/>
      <c r="XDB105" s="433"/>
      <c r="XDC105" s="433"/>
      <c r="XDD105" s="433"/>
      <c r="XDE105" s="433"/>
      <c r="XDF105" s="433"/>
      <c r="XDG105" s="433"/>
      <c r="XDH105" s="433"/>
      <c r="XDI105" s="433"/>
      <c r="XDJ105" s="433"/>
      <c r="XDK105" s="433"/>
      <c r="XDL105" s="433"/>
      <c r="XDM105" s="433"/>
      <c r="XDN105" s="433"/>
      <c r="XDO105" s="433"/>
      <c r="XDP105" s="433"/>
      <c r="XDQ105" s="433"/>
      <c r="XDR105" s="433"/>
      <c r="XDS105" s="433"/>
      <c r="XDT105" s="433"/>
      <c r="XDU105" s="433"/>
      <c r="XDV105" s="433"/>
      <c r="XDW105" s="433"/>
      <c r="XDX105" s="433"/>
      <c r="XDY105" s="433"/>
      <c r="XDZ105" s="433"/>
      <c r="XEA105" s="433"/>
      <c r="XEB105" s="433"/>
      <c r="XEC105" s="433"/>
      <c r="XED105" s="433"/>
      <c r="XEE105" s="433"/>
      <c r="XEF105" s="433"/>
      <c r="XEG105" s="433"/>
      <c r="XEH105" s="433"/>
      <c r="XEI105" s="433"/>
      <c r="XEJ105" s="433"/>
      <c r="XEK105" s="433"/>
      <c r="XEL105" s="433"/>
      <c r="XEM105" s="433"/>
      <c r="XEN105" s="433"/>
      <c r="XEO105" s="433"/>
      <c r="XEP105" s="433"/>
      <c r="XEQ105" s="433"/>
      <c r="XER105" s="433"/>
      <c r="XES105" s="433"/>
      <c r="XET105" s="433"/>
      <c r="XEU105" s="433"/>
      <c r="XEV105" s="433"/>
      <c r="XEW105" s="433"/>
      <c r="XEX105" s="433"/>
      <c r="XEY105" s="433"/>
    </row>
    <row r="106" spans="1:16379" hidden="1" x14ac:dyDescent="0.2">
      <c r="A106" s="440">
        <v>4600060088</v>
      </c>
      <c r="B106" s="440" t="s">
        <v>2129</v>
      </c>
      <c r="C106" s="440"/>
      <c r="D106" s="435" t="s">
        <v>1880</v>
      </c>
      <c r="E106" s="440" t="s">
        <v>2131</v>
      </c>
      <c r="F106" s="435" t="s">
        <v>1575</v>
      </c>
      <c r="G106" s="435" t="s">
        <v>1575</v>
      </c>
      <c r="H106" s="440" t="s">
        <v>709</v>
      </c>
      <c r="I106" s="440" t="s">
        <v>18</v>
      </c>
      <c r="J106" s="439" t="s">
        <v>2132</v>
      </c>
      <c r="K106" s="439">
        <v>0</v>
      </c>
      <c r="L106" s="437" t="s">
        <v>19</v>
      </c>
      <c r="M106" s="455">
        <v>46038</v>
      </c>
      <c r="N106" s="455">
        <v>46402</v>
      </c>
      <c r="O106" s="437" t="s">
        <v>29</v>
      </c>
      <c r="P106" s="437" t="s">
        <v>30</v>
      </c>
      <c r="Q106" s="445" t="str">
        <f>UPPER(P106:P106)</f>
        <v>MANFREDO SAHB CARCUTE</v>
      </c>
      <c r="R106" s="437" t="s">
        <v>265</v>
      </c>
      <c r="S106" s="437" t="str">
        <f>UPPER(R106:R106)</f>
        <v>ULIANA MARIA NICKERSON DO PRADO PERES</v>
      </c>
      <c r="T106" s="439"/>
      <c r="U106" s="439"/>
      <c r="V106" s="439"/>
      <c r="W106" s="439"/>
      <c r="X106" s="440"/>
      <c r="Y106" s="439"/>
    </row>
    <row r="107" spans="1:16379" hidden="1" x14ac:dyDescent="0.2">
      <c r="A107" s="494">
        <v>4600060077</v>
      </c>
      <c r="B107" s="440" t="s">
        <v>2128</v>
      </c>
      <c r="C107" s="440">
        <v>3007753</v>
      </c>
      <c r="D107" s="420" t="s">
        <v>1880</v>
      </c>
      <c r="E107" s="420">
        <v>1</v>
      </c>
      <c r="F107" s="435" t="s">
        <v>1575</v>
      </c>
      <c r="G107" s="435" t="s">
        <v>1575</v>
      </c>
      <c r="H107" s="422" t="s">
        <v>709</v>
      </c>
      <c r="I107" s="440" t="s">
        <v>18</v>
      </c>
      <c r="J107" s="439" t="s">
        <v>2133</v>
      </c>
      <c r="K107" s="496">
        <v>246600</v>
      </c>
      <c r="L107" s="494" t="s">
        <v>19</v>
      </c>
      <c r="M107" s="455">
        <v>46021</v>
      </c>
      <c r="N107" s="455">
        <v>46202</v>
      </c>
      <c r="O107" s="494" t="s">
        <v>22</v>
      </c>
      <c r="P107" s="437" t="s">
        <v>211</v>
      </c>
      <c r="Q107" s="446" t="s">
        <v>2020</v>
      </c>
      <c r="R107" s="437" t="str">
        <f>UPPER(Q107:Q290)</f>
        <v>TIAGO GONZALES</v>
      </c>
      <c r="S107" s="439" t="s">
        <v>2134</v>
      </c>
      <c r="T107" s="439" t="s">
        <v>2135</v>
      </c>
      <c r="U107" s="439"/>
      <c r="V107" s="439"/>
      <c r="W107" s="439"/>
      <c r="X107" s="440"/>
      <c r="Y107" s="439"/>
    </row>
    <row r="108" spans="1:16379" ht="50.1" hidden="1" customHeight="1" x14ac:dyDescent="0.2">
      <c r="A108" s="420">
        <v>4600060082</v>
      </c>
      <c r="B108" s="420" t="s">
        <v>2118</v>
      </c>
      <c r="C108" s="420">
        <v>3023736</v>
      </c>
      <c r="D108" s="420" t="s">
        <v>1880</v>
      </c>
      <c r="E108" s="420">
        <v>1</v>
      </c>
      <c r="F108" s="420" t="s">
        <v>1575</v>
      </c>
      <c r="G108" s="420" t="s">
        <v>1575</v>
      </c>
      <c r="H108" s="422" t="s">
        <v>709</v>
      </c>
      <c r="I108" s="422" t="s">
        <v>18</v>
      </c>
      <c r="J108" s="422" t="s">
        <v>2119</v>
      </c>
      <c r="K108" s="424">
        <v>180600</v>
      </c>
      <c r="L108" s="422" t="s">
        <v>19</v>
      </c>
      <c r="M108" s="425">
        <v>46020</v>
      </c>
      <c r="N108" s="425">
        <v>46384</v>
      </c>
      <c r="O108" s="422" t="s">
        <v>142</v>
      </c>
      <c r="P108" s="420" t="s">
        <v>143</v>
      </c>
      <c r="Q108" s="484" t="str">
        <f t="shared" ref="Q108:Q110" si="2">UPPER(P108:P108)</f>
        <v>LUCIANA DE OLIVEIRA CARMO</v>
      </c>
      <c r="R108" s="485" t="s">
        <v>143</v>
      </c>
      <c r="S108" s="422"/>
      <c r="T108" s="422"/>
      <c r="U108" s="422"/>
      <c r="V108" s="422"/>
      <c r="W108" s="422"/>
      <c r="X108" s="428"/>
      <c r="Y108" s="486"/>
    </row>
    <row r="109" spans="1:16379" ht="50.1" hidden="1" customHeight="1" x14ac:dyDescent="0.2">
      <c r="A109" s="435">
        <v>4600060078</v>
      </c>
      <c r="B109" s="435" t="s">
        <v>2114</v>
      </c>
      <c r="C109" s="435">
        <v>3047983</v>
      </c>
      <c r="D109" s="435" t="s">
        <v>1880</v>
      </c>
      <c r="E109" s="435">
        <v>1</v>
      </c>
      <c r="F109" s="435" t="s">
        <v>1575</v>
      </c>
      <c r="G109" s="435" t="s">
        <v>1575</v>
      </c>
      <c r="H109" s="437" t="s">
        <v>709</v>
      </c>
      <c r="I109" s="437" t="s">
        <v>18</v>
      </c>
      <c r="J109" s="437" t="s">
        <v>2115</v>
      </c>
      <c r="K109" s="340">
        <v>100900</v>
      </c>
      <c r="L109" s="437" t="s">
        <v>19</v>
      </c>
      <c r="M109" s="441">
        <v>46010</v>
      </c>
      <c r="N109" s="441">
        <v>46374</v>
      </c>
      <c r="O109" s="437" t="s">
        <v>208</v>
      </c>
      <c r="P109" s="435" t="s">
        <v>876</v>
      </c>
      <c r="Q109" s="445" t="str">
        <f t="shared" si="2"/>
        <v xml:space="preserve">GLAUBER HENRIQUE DOS SANTOS </v>
      </c>
      <c r="R109" s="437" t="s">
        <v>263</v>
      </c>
      <c r="S109" s="422"/>
      <c r="T109" s="422"/>
      <c r="U109" s="422"/>
      <c r="V109" s="422"/>
      <c r="W109" s="422"/>
      <c r="X109" s="428"/>
      <c r="Y109" s="421"/>
    </row>
    <row r="110" spans="1:16379" ht="50.1" hidden="1" customHeight="1" x14ac:dyDescent="0.2">
      <c r="A110" s="435">
        <v>4600060079</v>
      </c>
      <c r="B110" s="435" t="s">
        <v>2117</v>
      </c>
      <c r="C110" s="435">
        <v>304798</v>
      </c>
      <c r="D110" s="435" t="s">
        <v>1880</v>
      </c>
      <c r="E110" s="435">
        <v>1</v>
      </c>
      <c r="F110" s="435" t="s">
        <v>1575</v>
      </c>
      <c r="G110" s="435" t="s">
        <v>1575</v>
      </c>
      <c r="H110" s="437" t="s">
        <v>709</v>
      </c>
      <c r="I110" s="437" t="s">
        <v>18</v>
      </c>
      <c r="J110" s="437" t="s">
        <v>2116</v>
      </c>
      <c r="K110" s="340">
        <v>1260000</v>
      </c>
      <c r="L110" s="437" t="s">
        <v>19</v>
      </c>
      <c r="M110" s="441">
        <v>46010</v>
      </c>
      <c r="N110" s="441">
        <v>46374</v>
      </c>
      <c r="O110" s="437" t="s">
        <v>208</v>
      </c>
      <c r="P110" s="435" t="s">
        <v>876</v>
      </c>
      <c r="Q110" s="445" t="str">
        <f t="shared" si="2"/>
        <v xml:space="preserve">GLAUBER HENRIQUE DOS SANTOS </v>
      </c>
      <c r="R110" s="437" t="s">
        <v>263</v>
      </c>
      <c r="S110" s="422"/>
      <c r="T110" s="422"/>
      <c r="U110" s="422"/>
      <c r="V110" s="422"/>
      <c r="W110" s="422"/>
      <c r="X110" s="428"/>
      <c r="Y110" s="443"/>
    </row>
    <row r="111" spans="1:16379" ht="50.1" hidden="1" customHeight="1" x14ac:dyDescent="0.2">
      <c r="A111" s="435">
        <v>4600060080</v>
      </c>
      <c r="B111" s="435" t="s">
        <v>2112</v>
      </c>
      <c r="C111" s="435">
        <v>3047982</v>
      </c>
      <c r="D111" s="435" t="s">
        <v>1880</v>
      </c>
      <c r="E111" s="435">
        <v>1</v>
      </c>
      <c r="F111" s="435" t="s">
        <v>1575</v>
      </c>
      <c r="G111" s="435" t="s">
        <v>1575</v>
      </c>
      <c r="H111" s="437" t="s">
        <v>709</v>
      </c>
      <c r="I111" s="437" t="s">
        <v>18</v>
      </c>
      <c r="J111" s="437" t="s">
        <v>2113</v>
      </c>
      <c r="K111" s="340">
        <v>103990</v>
      </c>
      <c r="L111" s="437" t="s">
        <v>19</v>
      </c>
      <c r="M111" s="441">
        <v>46010</v>
      </c>
      <c r="N111" s="441">
        <v>46374</v>
      </c>
      <c r="O111" s="437" t="s">
        <v>208</v>
      </c>
      <c r="P111" s="435" t="s">
        <v>876</v>
      </c>
      <c r="Q111" s="445" t="str">
        <f>UPPER(P111:P111)</f>
        <v xml:space="preserve">GLAUBER HENRIQUE DOS SANTOS </v>
      </c>
      <c r="R111" s="437" t="s">
        <v>263</v>
      </c>
      <c r="S111" s="422"/>
      <c r="T111" s="422"/>
      <c r="U111" s="422"/>
      <c r="V111" s="422"/>
      <c r="W111" s="422"/>
      <c r="X111" s="428"/>
      <c r="Y111" s="443"/>
    </row>
  </sheetData>
  <autoFilter ref="A2:X111">
    <filterColumn colId="1">
      <filters>
        <filter val="HAPVIDA ASSISTENCIA MEDICA LTDA"/>
      </filters>
    </filterColumn>
  </autoFilter>
  <mergeCells count="1">
    <mergeCell ref="D1:F1"/>
  </mergeCells>
  <conditionalFormatting sqref="B102">
    <cfRule type="duplicateValues" dxfId="263" priority="3"/>
  </conditionalFormatting>
  <conditionalFormatting sqref="A3:A104">
    <cfRule type="duplicateValues" dxfId="262" priority="652"/>
  </conditionalFormatting>
  <conditionalFormatting sqref="A105">
    <cfRule type="duplicateValues" dxfId="261" priority="1"/>
  </conditionalFormatting>
  <hyperlinks>
    <hyperlink ref="V81" r:id="rId1" display="mailto:glamynjain@uber.com"/>
    <hyperlink ref="V79" r:id="rId2" display="mailto:sandra.antunes@2clix.cx"/>
    <hyperlink ref="V26" r:id="rId3"/>
    <hyperlink ref="V53" r:id="rId4"/>
    <hyperlink ref="W44" r:id="rId5"/>
    <hyperlink ref="V44" r:id="rId6"/>
    <hyperlink ref="V75" r:id="rId7"/>
    <hyperlink ref="V43" r:id="rId8"/>
    <hyperlink ref="V66" r:id="rId9"/>
    <hyperlink ref="V19" r:id="rId10"/>
    <hyperlink ref="V47" r:id="rId11"/>
    <hyperlink ref="V40" r:id="rId12"/>
    <hyperlink ref="V10" r:id="rId13"/>
    <hyperlink ref="V27" r:id="rId14"/>
    <hyperlink ref="V95" r:id="rId15"/>
    <hyperlink ref="V97" r:id="rId16"/>
  </hyperlinks>
  <pageMargins left="0.511811024" right="0.511811024" top="0.78740157499999996" bottom="0.78740157499999996" header="0.31496062000000002" footer="0.31496062000000002"/>
  <pageSetup paperSize="9" orientation="portrait" r:id="rId17"/>
  <legacyDrawing r:id="rId18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Y17"/>
  <sheetViews>
    <sheetView showGridLines="0" zoomScale="80" zoomScaleNormal="80" workbookViewId="0">
      <selection activeCell="B7" sqref="B7"/>
    </sheetView>
  </sheetViews>
  <sheetFormatPr defaultColWidth="39.5703125" defaultRowHeight="15" x14ac:dyDescent="0.25"/>
  <cols>
    <col min="3" max="3" width="21.28515625" customWidth="1"/>
    <col min="4" max="4" width="23.7109375" customWidth="1"/>
    <col min="5" max="5" width="14.85546875" customWidth="1"/>
  </cols>
  <sheetData>
    <row r="1" spans="1:24" s="352" customFormat="1" ht="58.5" customHeight="1" x14ac:dyDescent="0.2">
      <c r="A1" s="354" t="s">
        <v>0</v>
      </c>
      <c r="B1" s="354" t="s">
        <v>1</v>
      </c>
      <c r="C1" s="354" t="s">
        <v>2</v>
      </c>
      <c r="D1" s="354" t="s">
        <v>566</v>
      </c>
      <c r="E1" s="354" t="s">
        <v>4</v>
      </c>
      <c r="F1" s="354" t="s">
        <v>633</v>
      </c>
      <c r="G1" s="354" t="s">
        <v>5</v>
      </c>
      <c r="H1" s="354" t="s">
        <v>1615</v>
      </c>
      <c r="I1" s="354" t="s">
        <v>6</v>
      </c>
      <c r="J1" s="354" t="s">
        <v>7</v>
      </c>
      <c r="K1" s="355" t="s">
        <v>1566</v>
      </c>
      <c r="L1" s="354" t="s">
        <v>9</v>
      </c>
      <c r="M1" s="354" t="s">
        <v>10</v>
      </c>
      <c r="N1" s="431" t="s">
        <v>11</v>
      </c>
      <c r="O1" s="354" t="s">
        <v>16</v>
      </c>
      <c r="P1" s="354" t="s">
        <v>201</v>
      </c>
      <c r="Q1" s="354" t="s">
        <v>202</v>
      </c>
      <c r="R1" s="354" t="s">
        <v>257</v>
      </c>
      <c r="S1" s="354" t="s">
        <v>301</v>
      </c>
      <c r="T1" s="354" t="s">
        <v>299</v>
      </c>
      <c r="U1" s="354" t="s">
        <v>300</v>
      </c>
      <c r="V1" s="354" t="s">
        <v>298</v>
      </c>
      <c r="W1" s="354" t="s">
        <v>17</v>
      </c>
      <c r="X1" s="354" t="s">
        <v>278</v>
      </c>
    </row>
    <row r="2" spans="1:24" s="326" customFormat="1" ht="50.1" customHeight="1" x14ac:dyDescent="0.25">
      <c r="A2" s="331" t="s">
        <v>2032</v>
      </c>
      <c r="B2" s="331" t="s">
        <v>574</v>
      </c>
      <c r="C2" s="331">
        <v>3045038</v>
      </c>
      <c r="D2" s="329" t="s">
        <v>1879</v>
      </c>
      <c r="E2" s="331">
        <v>60</v>
      </c>
      <c r="F2" s="365" t="s">
        <v>1574</v>
      </c>
      <c r="G2" s="331" t="s">
        <v>1575</v>
      </c>
      <c r="H2" s="331" t="s">
        <v>709</v>
      </c>
      <c r="I2" s="331" t="s">
        <v>18</v>
      </c>
      <c r="J2" s="331" t="s">
        <v>1893</v>
      </c>
      <c r="K2" s="340">
        <v>1800000</v>
      </c>
      <c r="L2" s="331" t="s">
        <v>19</v>
      </c>
      <c r="M2" s="344">
        <v>45460</v>
      </c>
      <c r="N2" s="360">
        <v>46554</v>
      </c>
      <c r="O2" s="331" t="s">
        <v>1620</v>
      </c>
      <c r="P2" s="331" t="s">
        <v>2018</v>
      </c>
      <c r="Q2" s="362" t="str">
        <f>UPPER(P2:P184)</f>
        <v>MARCELO ALBERTO PINTO</v>
      </c>
      <c r="R2" s="331" t="str">
        <f>UPPER(Q2:Q180)</f>
        <v>MARCELO ALBERTO PINTO</v>
      </c>
      <c r="S2" s="331" t="s">
        <v>544</v>
      </c>
      <c r="T2" s="331" t="s">
        <v>543</v>
      </c>
      <c r="U2" s="331" t="s">
        <v>547</v>
      </c>
      <c r="V2" s="331" t="s">
        <v>542</v>
      </c>
      <c r="W2" s="331"/>
      <c r="X2" s="330"/>
    </row>
    <row r="3" spans="1:24" s="326" customFormat="1" ht="57.75" customHeight="1" x14ac:dyDescent="0.25">
      <c r="A3" s="331" t="s">
        <v>2038</v>
      </c>
      <c r="B3" s="329" t="s">
        <v>1576</v>
      </c>
      <c r="C3" s="329">
        <v>3045405</v>
      </c>
      <c r="D3" s="329" t="s">
        <v>1879</v>
      </c>
      <c r="E3" s="331">
        <v>60</v>
      </c>
      <c r="F3" s="365" t="s">
        <v>2037</v>
      </c>
      <c r="G3" s="331" t="s">
        <v>1575</v>
      </c>
      <c r="H3" s="331" t="s">
        <v>710</v>
      </c>
      <c r="I3" s="331" t="s">
        <v>38</v>
      </c>
      <c r="J3" s="331" t="s">
        <v>1893</v>
      </c>
      <c r="K3" s="340">
        <v>1800000</v>
      </c>
      <c r="L3" s="331" t="s">
        <v>19</v>
      </c>
      <c r="M3" s="360">
        <v>45405</v>
      </c>
      <c r="N3" s="360">
        <v>46507</v>
      </c>
      <c r="O3" s="331" t="s">
        <v>1620</v>
      </c>
      <c r="P3" s="331" t="s">
        <v>2018</v>
      </c>
      <c r="Q3" s="362" t="str">
        <f>UPPER(P3:P185)</f>
        <v>MARCELO ALBERTO PINTO</v>
      </c>
      <c r="R3" s="331" t="str">
        <f>UPPER(Q3:Q181)</f>
        <v>MARCELO ALBERTO PINTO</v>
      </c>
      <c r="S3" s="331" t="s">
        <v>548</v>
      </c>
      <c r="T3" s="331" t="s">
        <v>546</v>
      </c>
      <c r="U3" s="331" t="s">
        <v>547</v>
      </c>
      <c r="V3" s="331" t="s">
        <v>545</v>
      </c>
      <c r="W3" s="331"/>
      <c r="X3" s="330"/>
    </row>
    <row r="4" spans="1:24" s="326" customFormat="1" ht="50.1" customHeight="1" x14ac:dyDescent="0.25">
      <c r="A4" s="331" t="s">
        <v>1649</v>
      </c>
      <c r="B4" s="331" t="s">
        <v>99</v>
      </c>
      <c r="C4" s="331">
        <v>3040241</v>
      </c>
      <c r="D4" s="329" t="s">
        <v>1880</v>
      </c>
      <c r="E4" s="331">
        <v>60</v>
      </c>
      <c r="F4" s="365" t="s">
        <v>1574</v>
      </c>
      <c r="G4" s="331" t="s">
        <v>1575</v>
      </c>
      <c r="H4" s="331" t="s">
        <v>710</v>
      </c>
      <c r="I4" s="329" t="s">
        <v>95</v>
      </c>
      <c r="J4" s="331" t="s">
        <v>1916</v>
      </c>
      <c r="K4" s="340">
        <v>870819.6</v>
      </c>
      <c r="L4" s="331" t="s">
        <v>19</v>
      </c>
      <c r="M4" s="344">
        <v>45260</v>
      </c>
      <c r="N4" s="360">
        <v>45990</v>
      </c>
      <c r="O4" s="331" t="s">
        <v>208</v>
      </c>
      <c r="P4" s="331" t="s">
        <v>876</v>
      </c>
      <c r="Q4" s="362" t="str">
        <f>UPPER(P4:P187)</f>
        <v xml:space="preserve">GLAUBER HENRIQUE DOS SANTOS </v>
      </c>
      <c r="R4" s="331" t="str">
        <f>UPPER(Q4:Q183)</f>
        <v xml:space="preserve">GLAUBER HENRIQUE DOS SANTOS </v>
      </c>
      <c r="S4" s="331"/>
      <c r="T4" s="331" t="s">
        <v>474</v>
      </c>
      <c r="U4" s="331" t="s">
        <v>308</v>
      </c>
      <c r="V4" s="331" t="s">
        <v>473</v>
      </c>
      <c r="W4" s="331"/>
      <c r="X4" s="330"/>
    </row>
    <row r="5" spans="1:24" s="326" customFormat="1" ht="50.1" customHeight="1" x14ac:dyDescent="0.25">
      <c r="A5" s="331" t="s">
        <v>2040</v>
      </c>
      <c r="B5" s="331" t="s">
        <v>222</v>
      </c>
      <c r="C5" s="331">
        <v>3043840</v>
      </c>
      <c r="D5" s="331" t="s">
        <v>1881</v>
      </c>
      <c r="E5" s="331">
        <v>45</v>
      </c>
      <c r="F5" s="365" t="s">
        <v>1574</v>
      </c>
      <c r="G5" s="331" t="s">
        <v>1575</v>
      </c>
      <c r="H5" s="331" t="s">
        <v>710</v>
      </c>
      <c r="I5" s="331" t="s">
        <v>38</v>
      </c>
      <c r="J5" s="331" t="s">
        <v>1918</v>
      </c>
      <c r="K5" s="340">
        <v>700000</v>
      </c>
      <c r="L5" s="331" t="s">
        <v>19</v>
      </c>
      <c r="M5" s="344">
        <v>45117</v>
      </c>
      <c r="N5" s="360">
        <v>46579</v>
      </c>
      <c r="O5" s="331" t="s">
        <v>22</v>
      </c>
      <c r="P5" s="331" t="s">
        <v>204</v>
      </c>
      <c r="Q5" s="362" t="str">
        <f>UPPER(P5:P188)</f>
        <v>PEDRO ANTONIO PERIASSU</v>
      </c>
      <c r="R5" s="331" t="str">
        <f>UPPER(Q5:Q184)</f>
        <v>PEDRO ANTONIO PERIASSU</v>
      </c>
      <c r="S5" s="331" t="s">
        <v>483</v>
      </c>
      <c r="T5" s="331" t="s">
        <v>482</v>
      </c>
      <c r="U5" s="331" t="s">
        <v>308</v>
      </c>
      <c r="V5" s="331" t="s">
        <v>481</v>
      </c>
      <c r="W5" s="331"/>
      <c r="X5" s="330"/>
    </row>
    <row r="6" spans="1:24" s="326" customFormat="1" ht="50.1" customHeight="1" x14ac:dyDescent="0.25">
      <c r="A6" s="331">
        <v>4600057283</v>
      </c>
      <c r="B6" s="331" t="s">
        <v>272</v>
      </c>
      <c r="C6" s="331">
        <v>3043549</v>
      </c>
      <c r="D6" s="329" t="s">
        <v>1880</v>
      </c>
      <c r="E6" s="331">
        <v>45</v>
      </c>
      <c r="F6" s="365" t="s">
        <v>1582</v>
      </c>
      <c r="G6" s="331" t="s">
        <v>1575</v>
      </c>
      <c r="H6" s="329" t="s">
        <v>710</v>
      </c>
      <c r="I6" s="331" t="s">
        <v>38</v>
      </c>
      <c r="J6" s="331" t="s">
        <v>1926</v>
      </c>
      <c r="K6" s="340">
        <v>2100000</v>
      </c>
      <c r="L6" s="331" t="s">
        <v>19</v>
      </c>
      <c r="M6" s="344">
        <v>45076</v>
      </c>
      <c r="N6" s="360">
        <v>46538</v>
      </c>
      <c r="O6" s="331" t="s">
        <v>1620</v>
      </c>
      <c r="P6" s="331" t="s">
        <v>2018</v>
      </c>
      <c r="Q6" s="362" t="str">
        <f>UPPER(P6:P191)</f>
        <v>MARCELO ALBERTO PINTO</v>
      </c>
      <c r="R6" s="331" t="str">
        <f>UPPER(Q6:Q187)</f>
        <v>MARCELO ALBERTO PINTO</v>
      </c>
      <c r="S6" s="331"/>
      <c r="T6" s="331" t="s">
        <v>530</v>
      </c>
      <c r="U6" s="331" t="s">
        <v>530</v>
      </c>
      <c r="V6" s="331" t="s">
        <v>529</v>
      </c>
      <c r="W6" s="331"/>
      <c r="X6" s="332">
        <v>45299</v>
      </c>
    </row>
    <row r="7" spans="1:24" s="326" customFormat="1" ht="50.1" customHeight="1" x14ac:dyDescent="0.25">
      <c r="A7" s="329">
        <v>4600057891</v>
      </c>
      <c r="B7" s="329" t="s">
        <v>97</v>
      </c>
      <c r="C7" s="329">
        <v>143950</v>
      </c>
      <c r="D7" s="329" t="s">
        <v>1879</v>
      </c>
      <c r="E7" s="329">
        <v>45</v>
      </c>
      <c r="F7" s="365" t="s">
        <v>2039</v>
      </c>
      <c r="G7" s="331" t="s">
        <v>1575</v>
      </c>
      <c r="H7" s="331" t="s">
        <v>710</v>
      </c>
      <c r="I7" s="329" t="s">
        <v>95</v>
      </c>
      <c r="J7" s="368" t="s">
        <v>98</v>
      </c>
      <c r="K7" s="369">
        <v>2559718</v>
      </c>
      <c r="L7" s="335" t="s">
        <v>19</v>
      </c>
      <c r="M7" s="370">
        <v>44876</v>
      </c>
      <c r="N7" s="360">
        <v>46569</v>
      </c>
      <c r="O7" s="335" t="s">
        <v>96</v>
      </c>
      <c r="P7" s="331" t="s">
        <v>86</v>
      </c>
      <c r="Q7" s="362" t="str">
        <f>UPPER(P7:P194)</f>
        <v>SHEILA SAITO SIMONE</v>
      </c>
      <c r="R7" s="331" t="str">
        <f>UPPER(Q7:Q190)</f>
        <v>SHEILA SAITO SIMONE</v>
      </c>
      <c r="S7" s="335"/>
      <c r="T7" s="335" t="s">
        <v>379</v>
      </c>
      <c r="U7" s="335" t="s">
        <v>308</v>
      </c>
      <c r="V7" s="335" t="s">
        <v>378</v>
      </c>
      <c r="W7" s="335"/>
      <c r="X7" s="333"/>
    </row>
    <row r="8" spans="1:24" s="326" customFormat="1" ht="50.1" customHeight="1" x14ac:dyDescent="0.25">
      <c r="A8" s="329">
        <v>4600058509</v>
      </c>
      <c r="B8" s="329" t="s">
        <v>777</v>
      </c>
      <c r="C8" s="329">
        <v>3046344</v>
      </c>
      <c r="D8" s="329" t="s">
        <v>1880</v>
      </c>
      <c r="E8" s="329">
        <v>30</v>
      </c>
      <c r="F8" s="365" t="s">
        <v>1574</v>
      </c>
      <c r="G8" s="331" t="s">
        <v>1575</v>
      </c>
      <c r="H8" s="331" t="s">
        <v>710</v>
      </c>
      <c r="I8" s="331" t="s">
        <v>38</v>
      </c>
      <c r="J8" s="331" t="s">
        <v>1951</v>
      </c>
      <c r="K8" s="340">
        <v>600000</v>
      </c>
      <c r="L8" s="331" t="s">
        <v>19</v>
      </c>
      <c r="M8" s="344">
        <v>45581</v>
      </c>
      <c r="N8" s="360">
        <v>46310</v>
      </c>
      <c r="O8" s="331" t="s">
        <v>1620</v>
      </c>
      <c r="P8" s="331" t="s">
        <v>2018</v>
      </c>
      <c r="Q8" s="362" t="str">
        <f>UPPER(P8:P197)</f>
        <v>MARCELO ALBERTO PINTO</v>
      </c>
      <c r="R8" s="331" t="str">
        <f>UPPER(Q8:Q193)</f>
        <v>MARCELO ALBERTO PINTO</v>
      </c>
      <c r="S8" s="331"/>
      <c r="T8" s="331"/>
      <c r="U8" s="331"/>
      <c r="V8" s="331"/>
      <c r="W8" s="331"/>
      <c r="X8" s="330"/>
    </row>
    <row r="9" spans="1:24" s="326" customFormat="1" ht="50.1" customHeight="1" x14ac:dyDescent="0.25">
      <c r="A9" s="329" t="s">
        <v>2041</v>
      </c>
      <c r="B9" s="329" t="s">
        <v>805</v>
      </c>
      <c r="C9" s="329">
        <v>3045790</v>
      </c>
      <c r="D9" s="329" t="s">
        <v>1880</v>
      </c>
      <c r="E9" s="329" t="s">
        <v>854</v>
      </c>
      <c r="F9" s="365" t="s">
        <v>1574</v>
      </c>
      <c r="G9" s="331" t="s">
        <v>1575</v>
      </c>
      <c r="H9" s="329" t="s">
        <v>710</v>
      </c>
      <c r="I9" s="340" t="s">
        <v>38</v>
      </c>
      <c r="J9" s="331" t="s">
        <v>1964</v>
      </c>
      <c r="K9" s="340">
        <v>600000</v>
      </c>
      <c r="L9" s="331" t="s">
        <v>19</v>
      </c>
      <c r="M9" s="360">
        <v>45526</v>
      </c>
      <c r="N9" s="360">
        <v>46266</v>
      </c>
      <c r="O9" s="331" t="s">
        <v>1620</v>
      </c>
      <c r="P9" s="331" t="s">
        <v>2018</v>
      </c>
      <c r="Q9" s="362" t="str">
        <f>UPPER(P9:P198)</f>
        <v>MARCELO ALBERTO PINTO</v>
      </c>
      <c r="R9" s="331" t="str">
        <f>UPPER(Q9:Q194)</f>
        <v>MARCELO ALBERTO PINTO</v>
      </c>
      <c r="S9" s="331"/>
      <c r="T9" s="331"/>
      <c r="U9" s="331"/>
      <c r="V9" s="331"/>
      <c r="W9" s="331"/>
      <c r="X9" s="330"/>
    </row>
    <row r="10" spans="1:24" s="326" customFormat="1" ht="50.1" customHeight="1" x14ac:dyDescent="0.25">
      <c r="A10" s="329" t="s">
        <v>2034</v>
      </c>
      <c r="B10" s="443" t="s">
        <v>2052</v>
      </c>
      <c r="C10" s="329">
        <v>3045807</v>
      </c>
      <c r="D10" s="329" t="s">
        <v>1880</v>
      </c>
      <c r="E10" s="329">
        <v>30</v>
      </c>
      <c r="F10" s="365" t="s">
        <v>1574</v>
      </c>
      <c r="G10" s="331" t="s">
        <v>1575</v>
      </c>
      <c r="H10" s="329" t="s">
        <v>709</v>
      </c>
      <c r="I10" s="329" t="s">
        <v>18</v>
      </c>
      <c r="J10" s="331" t="s">
        <v>1968</v>
      </c>
      <c r="K10" s="340">
        <v>1105928.67</v>
      </c>
      <c r="L10" s="331" t="s">
        <v>19</v>
      </c>
      <c r="M10" s="344">
        <v>45573</v>
      </c>
      <c r="N10" s="360">
        <v>46388</v>
      </c>
      <c r="O10" s="381" t="s">
        <v>22</v>
      </c>
      <c r="P10" s="331" t="s">
        <v>2020</v>
      </c>
      <c r="Q10" s="362" t="str">
        <f>UPPER(P10:P199)</f>
        <v>TIAGO GONZALES</v>
      </c>
      <c r="R10" s="331" t="str">
        <f>UPPER(Q10:Q195)</f>
        <v>TIAGO GONZALES</v>
      </c>
      <c r="S10" s="331"/>
      <c r="T10" s="331"/>
      <c r="U10" s="331"/>
      <c r="V10" s="331"/>
      <c r="W10" s="331"/>
      <c r="X10" s="330"/>
    </row>
    <row r="11" spans="1:24" s="326" customFormat="1" ht="50.1" customHeight="1" x14ac:dyDescent="0.25">
      <c r="A11" s="329">
        <v>4600058337</v>
      </c>
      <c r="B11" s="329" t="s">
        <v>89</v>
      </c>
      <c r="C11" s="329">
        <v>3008003</v>
      </c>
      <c r="D11" s="329" t="s">
        <v>1881</v>
      </c>
      <c r="E11" s="329">
        <v>30</v>
      </c>
      <c r="F11" s="365" t="s">
        <v>1574</v>
      </c>
      <c r="G11" s="331" t="s">
        <v>1575</v>
      </c>
      <c r="H11" s="331" t="s">
        <v>710</v>
      </c>
      <c r="I11" s="331" t="s">
        <v>38</v>
      </c>
      <c r="J11" s="362" t="s">
        <v>1970</v>
      </c>
      <c r="K11" s="340">
        <v>2432400</v>
      </c>
      <c r="L11" s="331" t="s">
        <v>19</v>
      </c>
      <c r="M11" s="331" t="s">
        <v>862</v>
      </c>
      <c r="N11" s="360">
        <v>46660</v>
      </c>
      <c r="O11" s="331" t="s">
        <v>22</v>
      </c>
      <c r="P11" s="331" t="s">
        <v>204</v>
      </c>
      <c r="Q11" s="362" t="str">
        <f>UPPER(P11:P200)</f>
        <v>PEDRO ANTONIO PERIASSU</v>
      </c>
      <c r="R11" s="331" t="str">
        <f>UPPER(Q11:Q196)</f>
        <v>PEDRO ANTONIO PERIASSU</v>
      </c>
      <c r="S11" s="331" t="s">
        <v>930</v>
      </c>
      <c r="T11" s="331" t="s">
        <v>585</v>
      </c>
      <c r="U11" s="331"/>
      <c r="V11" s="367" t="s">
        <v>586</v>
      </c>
      <c r="W11" s="331"/>
      <c r="X11" s="330"/>
    </row>
    <row r="12" spans="1:24" s="327" customFormat="1" ht="50.1" customHeight="1" x14ac:dyDescent="0.25">
      <c r="A12" s="329">
        <v>4600058563</v>
      </c>
      <c r="B12" s="329" t="s">
        <v>1073</v>
      </c>
      <c r="C12" s="329">
        <v>3045502</v>
      </c>
      <c r="D12" s="329" t="s">
        <v>1880</v>
      </c>
      <c r="E12" s="329">
        <v>60</v>
      </c>
      <c r="F12" s="365" t="s">
        <v>1574</v>
      </c>
      <c r="G12" s="331" t="s">
        <v>1575</v>
      </c>
      <c r="H12" s="331" t="s">
        <v>710</v>
      </c>
      <c r="I12" s="331" t="s">
        <v>38</v>
      </c>
      <c r="J12" s="331" t="s">
        <v>1984</v>
      </c>
      <c r="K12" s="340">
        <v>928592</v>
      </c>
      <c r="L12" s="331" t="s">
        <v>19</v>
      </c>
      <c r="M12" s="344">
        <v>45628</v>
      </c>
      <c r="N12" s="344">
        <v>46352</v>
      </c>
      <c r="O12" s="331" t="s">
        <v>22</v>
      </c>
      <c r="P12" s="331" t="s">
        <v>869</v>
      </c>
      <c r="Q12" s="362" t="str">
        <f>UPPER(P12:P202)</f>
        <v>PEDRO PERIASSU</v>
      </c>
      <c r="R12" s="331" t="str">
        <f>UPPER(Q12:Q198)</f>
        <v>PEDRO PERIASSU</v>
      </c>
      <c r="S12" s="331"/>
      <c r="T12" s="331"/>
      <c r="U12" s="331"/>
      <c r="V12" s="331"/>
      <c r="W12" s="331"/>
      <c r="X12" s="330"/>
    </row>
    <row r="13" spans="1:24" s="349" customFormat="1" ht="50.1" customHeight="1" x14ac:dyDescent="0.2">
      <c r="A13" s="329">
        <v>4600059760</v>
      </c>
      <c r="B13" s="443" t="s">
        <v>2078</v>
      </c>
      <c r="C13" s="329">
        <v>3047533</v>
      </c>
      <c r="D13" s="329" t="s">
        <v>1880</v>
      </c>
      <c r="E13" s="329">
        <v>60</v>
      </c>
      <c r="F13" s="365" t="s">
        <v>1574</v>
      </c>
      <c r="G13" s="331" t="s">
        <v>1575</v>
      </c>
      <c r="H13" s="329" t="s">
        <v>710</v>
      </c>
      <c r="I13" s="329" t="s">
        <v>38</v>
      </c>
      <c r="J13" s="329" t="s">
        <v>1995</v>
      </c>
      <c r="K13" s="340">
        <v>96000</v>
      </c>
      <c r="L13" s="329" t="s">
        <v>19</v>
      </c>
      <c r="M13" s="360">
        <v>45818</v>
      </c>
      <c r="N13" s="360">
        <v>45909</v>
      </c>
      <c r="O13" s="331" t="s">
        <v>22</v>
      </c>
      <c r="P13" s="331" t="s">
        <v>204</v>
      </c>
      <c r="Q13" s="362" t="str">
        <f>UPPER(P13:P204)</f>
        <v>PEDRO ANTONIO PERIASSU</v>
      </c>
      <c r="R13" s="331" t="str">
        <f>UPPER(Q13:Q200)</f>
        <v>PEDRO ANTONIO PERIASSU</v>
      </c>
      <c r="S13" s="329"/>
      <c r="T13" s="329"/>
      <c r="U13" s="329"/>
      <c r="V13" s="329"/>
      <c r="W13" s="329"/>
      <c r="X13" s="328"/>
    </row>
    <row r="14" spans="1:24" s="349" customFormat="1" ht="50.1" customHeight="1" x14ac:dyDescent="0.2">
      <c r="A14" s="331">
        <v>4600059651</v>
      </c>
      <c r="B14" s="459" t="s">
        <v>2079</v>
      </c>
      <c r="C14" s="331">
        <v>3046023</v>
      </c>
      <c r="D14" s="329" t="s">
        <v>1879</v>
      </c>
      <c r="E14" s="331">
        <v>30</v>
      </c>
      <c r="F14" s="365" t="s">
        <v>1574</v>
      </c>
      <c r="G14" s="331" t="s">
        <v>1575</v>
      </c>
      <c r="H14" s="331" t="s">
        <v>710</v>
      </c>
      <c r="I14" s="331" t="s">
        <v>38</v>
      </c>
      <c r="J14" s="459" t="s">
        <v>1999</v>
      </c>
      <c r="K14" s="340">
        <v>725662</v>
      </c>
      <c r="L14" s="331" t="s">
        <v>19</v>
      </c>
      <c r="M14" s="344">
        <v>45786</v>
      </c>
      <c r="N14" s="344">
        <v>46150</v>
      </c>
      <c r="O14" s="331" t="s">
        <v>22</v>
      </c>
      <c r="P14" s="331" t="s">
        <v>204</v>
      </c>
      <c r="Q14" s="362" t="str">
        <f>UPPER(P14:P205)</f>
        <v>PEDRO ANTONIO PERIASSU</v>
      </c>
      <c r="R14" s="331" t="str">
        <f>UPPER(Q14:Q201)</f>
        <v>PEDRO ANTONIO PERIASSU</v>
      </c>
      <c r="S14" s="331" t="s">
        <v>1600</v>
      </c>
      <c r="T14" s="331" t="s">
        <v>1601</v>
      </c>
      <c r="U14" s="331"/>
      <c r="V14" s="331"/>
      <c r="W14" s="331"/>
      <c r="X14" s="330"/>
    </row>
    <row r="15" spans="1:24" s="349" customFormat="1" ht="50.1" customHeight="1" x14ac:dyDescent="0.2">
      <c r="A15" s="365" t="s">
        <v>1616</v>
      </c>
      <c r="B15" s="345" t="s">
        <v>1617</v>
      </c>
      <c r="C15" s="345">
        <v>3000975</v>
      </c>
      <c r="D15" s="382" t="s">
        <v>1881</v>
      </c>
      <c r="E15" s="345">
        <v>60</v>
      </c>
      <c r="F15" s="345" t="s">
        <v>1574</v>
      </c>
      <c r="G15" s="345" t="s">
        <v>1575</v>
      </c>
      <c r="H15" s="345" t="s">
        <v>1618</v>
      </c>
      <c r="I15" s="345" t="s">
        <v>860</v>
      </c>
      <c r="J15" s="345" t="s">
        <v>2002</v>
      </c>
      <c r="K15" s="383">
        <v>8533230</v>
      </c>
      <c r="L15" s="345" t="s">
        <v>19</v>
      </c>
      <c r="M15" s="346">
        <v>45809</v>
      </c>
      <c r="N15" s="346">
        <v>46538</v>
      </c>
      <c r="O15" s="345" t="s">
        <v>22</v>
      </c>
      <c r="P15" s="345" t="s">
        <v>204</v>
      </c>
      <c r="Q15" s="362" t="str">
        <f t="shared" ref="Q15:Q16" si="0">UPPER(P15:P207)</f>
        <v>PEDRO ANTONIO PERIASSU</v>
      </c>
      <c r="R15" s="331" t="str">
        <f t="shared" ref="R15:R16" si="1">UPPER(Q15:Q203)</f>
        <v>PEDRO ANTONIO PERIASSU</v>
      </c>
      <c r="S15" s="345"/>
      <c r="T15" s="345"/>
      <c r="U15" s="345"/>
      <c r="V15" s="345"/>
      <c r="W15" s="345"/>
      <c r="X15" s="348"/>
    </row>
    <row r="16" spans="1:24" s="349" customFormat="1" ht="50.1" customHeight="1" x14ac:dyDescent="0.2">
      <c r="A16" s="331">
        <v>4600059762</v>
      </c>
      <c r="B16" s="460" t="s">
        <v>1627</v>
      </c>
      <c r="C16" s="345">
        <v>3047490</v>
      </c>
      <c r="D16" s="345" t="s">
        <v>1879</v>
      </c>
      <c r="E16" s="345">
        <v>30</v>
      </c>
      <c r="F16" s="345" t="s">
        <v>1574</v>
      </c>
      <c r="G16" s="345" t="s">
        <v>1575</v>
      </c>
      <c r="H16" s="345" t="s">
        <v>710</v>
      </c>
      <c r="I16" s="345" t="s">
        <v>1628</v>
      </c>
      <c r="J16" s="460" t="s">
        <v>2004</v>
      </c>
      <c r="K16" s="383">
        <v>296336</v>
      </c>
      <c r="L16" s="345" t="s">
        <v>19</v>
      </c>
      <c r="M16" s="346">
        <v>45820</v>
      </c>
      <c r="N16" s="346">
        <v>45819</v>
      </c>
      <c r="O16" s="345" t="s">
        <v>22</v>
      </c>
      <c r="P16" s="345" t="s">
        <v>204</v>
      </c>
      <c r="Q16" s="362" t="str">
        <f t="shared" si="0"/>
        <v>PEDRO ANTONIO PERIASSU</v>
      </c>
      <c r="R16" s="331" t="str">
        <f t="shared" si="1"/>
        <v>PEDRO ANTONIO PERIASSU</v>
      </c>
      <c r="S16" s="345"/>
      <c r="T16" s="345"/>
      <c r="U16" s="345"/>
      <c r="V16" s="345"/>
      <c r="W16" s="345"/>
      <c r="X16" s="347"/>
    </row>
    <row r="17" spans="1:25" s="326" customFormat="1" ht="50.1" customHeight="1" x14ac:dyDescent="0.25">
      <c r="A17" s="329">
        <v>4600058139</v>
      </c>
      <c r="B17" s="329" t="s">
        <v>89</v>
      </c>
      <c r="C17" s="329">
        <v>3008003</v>
      </c>
      <c r="D17" s="329" t="s">
        <v>1881</v>
      </c>
      <c r="E17" s="331">
        <v>60</v>
      </c>
      <c r="F17" s="365" t="s">
        <v>1574</v>
      </c>
      <c r="G17" s="331" t="s">
        <v>1575</v>
      </c>
      <c r="H17" s="329" t="s">
        <v>709</v>
      </c>
      <c r="I17" s="329" t="s">
        <v>18</v>
      </c>
      <c r="J17" s="358" t="s">
        <v>1902</v>
      </c>
      <c r="K17" s="359">
        <v>20484927.629999999</v>
      </c>
      <c r="L17" s="329" t="s">
        <v>19</v>
      </c>
      <c r="M17" s="360">
        <v>45444</v>
      </c>
      <c r="N17" s="360">
        <v>46173</v>
      </c>
      <c r="O17" s="331" t="s">
        <v>22</v>
      </c>
      <c r="P17" s="331" t="s">
        <v>883</v>
      </c>
      <c r="Q17" s="362" t="str">
        <f>UPPER(P17:P17)</f>
        <v>PEDRO ANTONIO PERIASSU/ CAMILA PEREIRA MARCELLINO</v>
      </c>
      <c r="R17" s="331" t="str">
        <f>UPPER(Q17:Q17)</f>
        <v>PEDRO ANTONIO PERIASSU/ CAMILA PEREIRA MARCELLINO</v>
      </c>
      <c r="S17" s="331" t="s">
        <v>928</v>
      </c>
      <c r="T17" s="331" t="s">
        <v>926</v>
      </c>
      <c r="U17" s="331"/>
      <c r="V17" s="367" t="s">
        <v>927</v>
      </c>
      <c r="W17" s="331" t="s">
        <v>929</v>
      </c>
      <c r="X17" s="330" t="s">
        <v>879</v>
      </c>
      <c r="Y17" s="326" t="s">
        <v>2051</v>
      </c>
    </row>
  </sheetData>
  <autoFilter ref="A1:X17"/>
  <conditionalFormatting sqref="B2">
    <cfRule type="duplicateValues" dxfId="260" priority="4"/>
  </conditionalFormatting>
  <conditionalFormatting sqref="B2">
    <cfRule type="duplicateValues" dxfId="259" priority="5"/>
  </conditionalFormatting>
  <conditionalFormatting sqref="B3">
    <cfRule type="duplicateValues" dxfId="258" priority="2"/>
  </conditionalFormatting>
  <conditionalFormatting sqref="B3">
    <cfRule type="duplicateValues" dxfId="257" priority="3"/>
  </conditionalFormatting>
  <conditionalFormatting sqref="A17">
    <cfRule type="duplicateValues" dxfId="256" priority="1"/>
  </conditionalFormatting>
  <hyperlinks>
    <hyperlink ref="V11" r:id="rId1"/>
  </hyperlinks>
  <pageMargins left="0.511811024" right="0.511811024" top="0.78740157499999996" bottom="0.78740157499999996" header="0.31496062000000002" footer="0.31496062000000002"/>
  <pageSetup paperSize="9" orientation="portrait"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Y29"/>
  <sheetViews>
    <sheetView showGridLines="0" zoomScaleNormal="100" workbookViewId="0">
      <pane ySplit="2" topLeftCell="A21" activePane="bottomLeft" state="frozen"/>
      <selection activeCell="F1" sqref="F1"/>
      <selection pane="bottomLeft" activeCell="C26" sqref="C26"/>
    </sheetView>
  </sheetViews>
  <sheetFormatPr defaultColWidth="9.140625" defaultRowHeight="12.75" x14ac:dyDescent="0.2"/>
  <cols>
    <col min="1" max="1" width="29" style="353" customWidth="1"/>
    <col min="2" max="2" width="44.7109375" style="349" customWidth="1"/>
    <col min="3" max="3" width="19.28515625" style="351" customWidth="1"/>
    <col min="4" max="4" width="16" style="351" hidden="1" customWidth="1"/>
    <col min="5" max="5" width="16.5703125" style="351" hidden="1" customWidth="1"/>
    <col min="6" max="6" width="42.5703125" style="387" hidden="1" customWidth="1"/>
    <col min="7" max="7" width="43.140625" style="387" hidden="1" customWidth="1"/>
    <col min="8" max="8" width="14.140625" style="351" hidden="1" customWidth="1"/>
    <col min="9" max="9" width="13.42578125" style="351" hidden="1" customWidth="1"/>
    <col min="10" max="10" width="44.7109375" style="349" customWidth="1"/>
    <col min="11" max="11" width="18.5703125" style="349" customWidth="1"/>
    <col min="12" max="12" width="7" style="387" customWidth="1"/>
    <col min="13" max="13" width="11.28515625" style="351" customWidth="1"/>
    <col min="14" max="14" width="16.28515625" style="351" bestFit="1" customWidth="1"/>
    <col min="15" max="15" width="26.42578125" style="349" customWidth="1"/>
    <col min="16" max="16" width="29.7109375" style="349" customWidth="1"/>
    <col min="17" max="17" width="24.42578125" style="349" customWidth="1"/>
    <col min="18" max="18" width="32.85546875" style="349" customWidth="1"/>
    <col min="19" max="19" width="19.7109375" style="349" customWidth="1"/>
    <col min="20" max="20" width="16.140625" style="349" customWidth="1"/>
    <col min="21" max="21" width="29" style="349" customWidth="1"/>
    <col min="22" max="22" width="34.85546875" style="349" customWidth="1"/>
    <col min="23" max="23" width="62.28515625" style="349" customWidth="1"/>
    <col min="24" max="24" width="30.28515625" style="351" customWidth="1"/>
    <col min="25" max="25" width="69.85546875" style="349" customWidth="1"/>
    <col min="26" max="16384" width="9.140625" style="349"/>
  </cols>
  <sheetData>
    <row r="1" spans="1:25" ht="45.75" customHeight="1" x14ac:dyDescent="0.2">
      <c r="A1" s="350" t="s">
        <v>592</v>
      </c>
      <c r="D1" s="507" t="s">
        <v>1621</v>
      </c>
      <c r="E1" s="507"/>
      <c r="F1" s="507"/>
    </row>
    <row r="2" spans="1:25" s="352" customFormat="1" ht="58.5" customHeight="1" x14ac:dyDescent="0.2">
      <c r="A2" s="354" t="s">
        <v>0</v>
      </c>
      <c r="B2" s="354" t="s">
        <v>1</v>
      </c>
      <c r="C2" s="354" t="s">
        <v>2</v>
      </c>
      <c r="D2" s="354" t="s">
        <v>566</v>
      </c>
      <c r="E2" s="354" t="s">
        <v>4</v>
      </c>
      <c r="F2" s="354" t="s">
        <v>633</v>
      </c>
      <c r="G2" s="354" t="s">
        <v>5</v>
      </c>
      <c r="H2" s="354" t="s">
        <v>1615</v>
      </c>
      <c r="I2" s="354" t="s">
        <v>6</v>
      </c>
      <c r="J2" s="354" t="s">
        <v>7</v>
      </c>
      <c r="K2" s="355" t="s">
        <v>1566</v>
      </c>
      <c r="L2" s="354" t="s">
        <v>9</v>
      </c>
      <c r="M2" s="354" t="s">
        <v>10</v>
      </c>
      <c r="N2" s="431" t="s">
        <v>11</v>
      </c>
      <c r="O2" s="354" t="s">
        <v>16</v>
      </c>
      <c r="P2" s="354" t="s">
        <v>201</v>
      </c>
      <c r="Q2" s="354" t="s">
        <v>202</v>
      </c>
      <c r="R2" s="354" t="s">
        <v>257</v>
      </c>
      <c r="S2" s="354" t="s">
        <v>301</v>
      </c>
      <c r="T2" s="354" t="s">
        <v>299</v>
      </c>
      <c r="U2" s="354" t="s">
        <v>300</v>
      </c>
      <c r="V2" s="354" t="s">
        <v>298</v>
      </c>
      <c r="W2" s="354" t="s">
        <v>17</v>
      </c>
      <c r="X2" s="354" t="s">
        <v>278</v>
      </c>
      <c r="Y2" s="354" t="s">
        <v>1667</v>
      </c>
    </row>
    <row r="3" spans="1:25" s="433" customFormat="1" ht="45" customHeight="1" x14ac:dyDescent="0.25">
      <c r="A3" s="435" t="s">
        <v>1572</v>
      </c>
      <c r="B3" s="435" t="s">
        <v>2053</v>
      </c>
      <c r="C3" s="435">
        <v>3037081</v>
      </c>
      <c r="D3" s="435" t="s">
        <v>569</v>
      </c>
      <c r="E3" s="435">
        <v>60</v>
      </c>
      <c r="F3" s="443" t="s">
        <v>1570</v>
      </c>
      <c r="G3" s="435" t="s">
        <v>1571</v>
      </c>
      <c r="H3" s="435" t="s">
        <v>710</v>
      </c>
      <c r="I3" s="435" t="s">
        <v>18</v>
      </c>
      <c r="J3" s="443" t="s">
        <v>1883</v>
      </c>
      <c r="K3" s="359">
        <v>922828.52</v>
      </c>
      <c r="L3" s="435" t="s">
        <v>19</v>
      </c>
      <c r="M3" s="444">
        <v>44217</v>
      </c>
      <c r="N3" s="444">
        <v>46132</v>
      </c>
      <c r="O3" s="437" t="s">
        <v>208</v>
      </c>
      <c r="P3" s="437" t="s">
        <v>876</v>
      </c>
      <c r="Q3" s="445" t="str">
        <f>UPPER(P3:P20)</f>
        <v xml:space="preserve">GLAUBER HENRIQUE DOS SANTOS </v>
      </c>
      <c r="R3" s="437" t="s">
        <v>263</v>
      </c>
      <c r="S3" s="437" t="str">
        <f>UPPER(R3:R20)</f>
        <v>BRUNO FANTAGUZZI LINCES</v>
      </c>
      <c r="T3" s="437" t="s">
        <v>367</v>
      </c>
      <c r="U3" s="437" t="s">
        <v>1003</v>
      </c>
      <c r="V3" s="437" t="s">
        <v>1004</v>
      </c>
      <c r="W3" s="437" t="s">
        <v>83</v>
      </c>
      <c r="X3" s="436"/>
      <c r="Y3" s="443"/>
    </row>
    <row r="4" spans="1:25" s="433" customFormat="1" ht="45" customHeight="1" x14ac:dyDescent="0.25">
      <c r="A4" s="435" t="s">
        <v>1669</v>
      </c>
      <c r="B4" s="443" t="s">
        <v>615</v>
      </c>
      <c r="C4" s="435">
        <v>185065</v>
      </c>
      <c r="D4" s="435" t="s">
        <v>567</v>
      </c>
      <c r="E4" s="437">
        <v>90</v>
      </c>
      <c r="F4" s="447" t="s">
        <v>1582</v>
      </c>
      <c r="G4" s="435" t="s">
        <v>1571</v>
      </c>
      <c r="H4" s="435" t="s">
        <v>709</v>
      </c>
      <c r="I4" s="435" t="s">
        <v>18</v>
      </c>
      <c r="J4" s="443" t="s">
        <v>616</v>
      </c>
      <c r="K4" s="359">
        <v>4959153.83</v>
      </c>
      <c r="L4" s="435" t="s">
        <v>19</v>
      </c>
      <c r="M4" s="444">
        <v>45444</v>
      </c>
      <c r="N4" s="444">
        <v>46173</v>
      </c>
      <c r="O4" s="437" t="s">
        <v>22</v>
      </c>
      <c r="P4" s="437" t="s">
        <v>204</v>
      </c>
      <c r="Q4" s="445" t="str">
        <f>UPPER(P4:P23)</f>
        <v>PEDRO ANTONIO PERIASSU</v>
      </c>
      <c r="R4" s="437" t="s">
        <v>206</v>
      </c>
      <c r="S4" s="437" t="str">
        <f>UPPER(R4:R22)</f>
        <v>RODRIGO CORREIA FURUKAWA</v>
      </c>
      <c r="T4" s="437" t="s">
        <v>919</v>
      </c>
      <c r="U4" s="437" t="s">
        <v>921</v>
      </c>
      <c r="V4" s="437" t="s">
        <v>920</v>
      </c>
      <c r="W4" s="437"/>
      <c r="X4" s="436"/>
      <c r="Y4" s="443" t="s">
        <v>1706</v>
      </c>
    </row>
    <row r="5" spans="1:25" s="433" customFormat="1" ht="45" customHeight="1" x14ac:dyDescent="0.25">
      <c r="A5" s="435">
        <v>4600044324</v>
      </c>
      <c r="B5" s="435" t="s">
        <v>2054</v>
      </c>
      <c r="C5" s="435">
        <v>101471</v>
      </c>
      <c r="D5" s="435" t="s">
        <v>567</v>
      </c>
      <c r="E5" s="435">
        <v>60</v>
      </c>
      <c r="F5" s="447" t="s">
        <v>1582</v>
      </c>
      <c r="G5" s="435" t="s">
        <v>1571</v>
      </c>
      <c r="H5" s="435" t="s">
        <v>710</v>
      </c>
      <c r="I5" s="435" t="s">
        <v>18</v>
      </c>
      <c r="J5" s="443" t="s">
        <v>2024</v>
      </c>
      <c r="K5" s="359">
        <v>18528828.879999999</v>
      </c>
      <c r="L5" s="435" t="s">
        <v>19</v>
      </c>
      <c r="M5" s="444">
        <v>45117</v>
      </c>
      <c r="N5" s="444">
        <v>46022</v>
      </c>
      <c r="O5" s="437" t="s">
        <v>29</v>
      </c>
      <c r="P5" s="437" t="s">
        <v>30</v>
      </c>
      <c r="Q5" s="445" t="str">
        <f>UPPER(P5:P23)</f>
        <v>MANFREDO SAHB CARCUTE</v>
      </c>
      <c r="R5" s="437" t="s">
        <v>265</v>
      </c>
      <c r="S5" s="437" t="str">
        <f>UPPER(R5:R23)</f>
        <v>ULIANA MARIA NICKERSON DO PRADO PERES</v>
      </c>
      <c r="T5" s="437" t="s">
        <v>952</v>
      </c>
      <c r="U5" s="437"/>
      <c r="V5" s="367" t="s">
        <v>953</v>
      </c>
      <c r="W5" s="437" t="s">
        <v>32</v>
      </c>
      <c r="X5" s="436"/>
      <c r="Y5" s="443" t="s">
        <v>1687</v>
      </c>
    </row>
    <row r="6" spans="1:25" s="433" customFormat="1" ht="45" customHeight="1" x14ac:dyDescent="0.25">
      <c r="A6" s="443" t="s">
        <v>1688</v>
      </c>
      <c r="B6" s="435" t="s">
        <v>2055</v>
      </c>
      <c r="C6" s="435">
        <v>101471</v>
      </c>
      <c r="D6" s="435" t="s">
        <v>569</v>
      </c>
      <c r="E6" s="435">
        <v>60</v>
      </c>
      <c r="F6" s="443" t="s">
        <v>2045</v>
      </c>
      <c r="G6" s="435" t="s">
        <v>1571</v>
      </c>
      <c r="H6" s="435" t="s">
        <v>710</v>
      </c>
      <c r="I6" s="435" t="s">
        <v>18</v>
      </c>
      <c r="J6" s="443" t="s">
        <v>63</v>
      </c>
      <c r="K6" s="359">
        <v>23691151.949999999</v>
      </c>
      <c r="L6" s="435" t="s">
        <v>19</v>
      </c>
      <c r="M6" s="444">
        <v>44927</v>
      </c>
      <c r="N6" s="444">
        <v>46022</v>
      </c>
      <c r="O6" s="437" t="s">
        <v>29</v>
      </c>
      <c r="P6" s="437" t="s">
        <v>30</v>
      </c>
      <c r="Q6" s="445" t="str">
        <f>UPPER(P6:P23)</f>
        <v>MANFREDO SAHB CARCUTE</v>
      </c>
      <c r="R6" s="437" t="s">
        <v>265</v>
      </c>
      <c r="S6" s="437" t="str">
        <f>UPPER(R6:R23)</f>
        <v>ULIANA MARIA NICKERSON DO PRADO PERES</v>
      </c>
      <c r="T6" s="437" t="s">
        <v>952</v>
      </c>
      <c r="U6" s="437"/>
      <c r="V6" s="367" t="s">
        <v>953</v>
      </c>
      <c r="W6" s="437" t="s">
        <v>1612</v>
      </c>
      <c r="X6" s="436"/>
      <c r="Y6" s="443" t="s">
        <v>1689</v>
      </c>
    </row>
    <row r="7" spans="1:25" s="433" customFormat="1" ht="45" customHeight="1" x14ac:dyDescent="0.25">
      <c r="A7" s="435">
        <v>4600047794</v>
      </c>
      <c r="B7" s="443" t="s">
        <v>2057</v>
      </c>
      <c r="C7" s="435">
        <v>3001565</v>
      </c>
      <c r="D7" s="435" t="s">
        <v>567</v>
      </c>
      <c r="E7" s="435">
        <v>30</v>
      </c>
      <c r="F7" s="447" t="s">
        <v>2056</v>
      </c>
      <c r="G7" s="435" t="s">
        <v>1571</v>
      </c>
      <c r="H7" s="435" t="s">
        <v>710</v>
      </c>
      <c r="I7" s="435" t="s">
        <v>18</v>
      </c>
      <c r="J7" s="443" t="s">
        <v>1904</v>
      </c>
      <c r="K7" s="359">
        <v>24272001.300000001</v>
      </c>
      <c r="L7" s="435" t="s">
        <v>19</v>
      </c>
      <c r="M7" s="444">
        <v>42522</v>
      </c>
      <c r="N7" s="444">
        <v>45959</v>
      </c>
      <c r="O7" s="437" t="s">
        <v>29</v>
      </c>
      <c r="P7" s="437" t="s">
        <v>30</v>
      </c>
      <c r="Q7" s="445" t="str">
        <f>UPPER(P7:P23)</f>
        <v>MANFREDO SAHB CARCUTE</v>
      </c>
      <c r="R7" s="437" t="s">
        <v>265</v>
      </c>
      <c r="S7" s="437" t="str">
        <f>UPPER(R7:R23)</f>
        <v>ULIANA MARIA NICKERSON DO PRADO PERES</v>
      </c>
      <c r="T7" s="437" t="s">
        <v>1013</v>
      </c>
      <c r="U7" s="437" t="s">
        <v>525</v>
      </c>
      <c r="V7" s="437" t="s">
        <v>1014</v>
      </c>
      <c r="W7" s="437"/>
      <c r="X7" s="436"/>
      <c r="Y7" s="443" t="s">
        <v>1673</v>
      </c>
    </row>
    <row r="8" spans="1:25" s="433" customFormat="1" ht="45" customHeight="1" x14ac:dyDescent="0.25">
      <c r="A8" s="435">
        <v>4600055284</v>
      </c>
      <c r="B8" s="435" t="s">
        <v>2058</v>
      </c>
      <c r="C8" s="435">
        <v>170647</v>
      </c>
      <c r="D8" s="435" t="s">
        <v>569</v>
      </c>
      <c r="E8" s="435">
        <v>5</v>
      </c>
      <c r="F8" s="443" t="s">
        <v>1585</v>
      </c>
      <c r="G8" s="435" t="s">
        <v>1571</v>
      </c>
      <c r="H8" s="435" t="s">
        <v>710</v>
      </c>
      <c r="I8" s="435" t="s">
        <v>18</v>
      </c>
      <c r="J8" s="443" t="s">
        <v>106</v>
      </c>
      <c r="K8" s="359">
        <v>934923922.88</v>
      </c>
      <c r="L8" s="435" t="s">
        <v>19</v>
      </c>
      <c r="M8" s="373">
        <v>41760</v>
      </c>
      <c r="N8" s="444">
        <v>46053</v>
      </c>
      <c r="O8" s="437" t="s">
        <v>29</v>
      </c>
      <c r="P8" s="437" t="s">
        <v>30</v>
      </c>
      <c r="Q8" s="445" t="str">
        <f>UPPER(P8:P24)</f>
        <v>MANFREDO SAHB CARCUTE</v>
      </c>
      <c r="R8" s="437" t="s">
        <v>265</v>
      </c>
      <c r="S8" s="437" t="str">
        <f>UPPER(R8:R23)</f>
        <v>ULIANA MARIA NICKERSON DO PRADO PERES</v>
      </c>
      <c r="T8" s="437" t="s">
        <v>388</v>
      </c>
      <c r="U8" s="437" t="s">
        <v>389</v>
      </c>
      <c r="V8" s="437" t="s">
        <v>387</v>
      </c>
      <c r="W8" s="437"/>
      <c r="X8" s="436"/>
      <c r="Y8" s="443"/>
    </row>
    <row r="9" spans="1:25" s="433" customFormat="1" ht="45" customHeight="1" x14ac:dyDescent="0.25">
      <c r="A9" s="435">
        <v>4600055494</v>
      </c>
      <c r="B9" s="443" t="s">
        <v>2059</v>
      </c>
      <c r="C9" s="435">
        <v>148663</v>
      </c>
      <c r="D9" s="435" t="s">
        <v>568</v>
      </c>
      <c r="E9" s="435">
        <v>15</v>
      </c>
      <c r="F9" s="443" t="s">
        <v>1674</v>
      </c>
      <c r="G9" s="435" t="s">
        <v>1571</v>
      </c>
      <c r="H9" s="435" t="s">
        <v>710</v>
      </c>
      <c r="I9" s="435" t="s">
        <v>18</v>
      </c>
      <c r="J9" s="443" t="s">
        <v>120</v>
      </c>
      <c r="K9" s="359">
        <v>58865904.490000002</v>
      </c>
      <c r="L9" s="435" t="s">
        <v>19</v>
      </c>
      <c r="M9" s="374" t="s">
        <v>121</v>
      </c>
      <c r="N9" s="444">
        <v>46142</v>
      </c>
      <c r="O9" s="437" t="s">
        <v>29</v>
      </c>
      <c r="P9" s="437" t="s">
        <v>30</v>
      </c>
      <c r="Q9" s="445" t="str">
        <f>UPPER(P9:P25)</f>
        <v>MANFREDO SAHB CARCUTE</v>
      </c>
      <c r="R9" s="437" t="s">
        <v>265</v>
      </c>
      <c r="S9" s="437" t="str">
        <f>UPPER(R9:R24)</f>
        <v>ULIANA MARIA NICKERSON DO PRADO PERES</v>
      </c>
      <c r="T9" s="437" t="s">
        <v>399</v>
      </c>
      <c r="U9" s="437" t="s">
        <v>400</v>
      </c>
      <c r="V9" s="437" t="s">
        <v>398</v>
      </c>
      <c r="W9" s="437"/>
      <c r="X9" s="436"/>
      <c r="Y9" s="443"/>
    </row>
    <row r="10" spans="1:25" s="433" customFormat="1" ht="45" customHeight="1" x14ac:dyDescent="0.25">
      <c r="A10" s="435">
        <v>4600055938</v>
      </c>
      <c r="B10" s="435" t="s">
        <v>127</v>
      </c>
      <c r="C10" s="435">
        <v>102440</v>
      </c>
      <c r="D10" s="435" t="s">
        <v>567</v>
      </c>
      <c r="E10" s="435" t="s">
        <v>189</v>
      </c>
      <c r="F10" s="443" t="s">
        <v>1674</v>
      </c>
      <c r="G10" s="435" t="s">
        <v>1571</v>
      </c>
      <c r="H10" s="435" t="s">
        <v>710</v>
      </c>
      <c r="I10" s="435" t="s">
        <v>18</v>
      </c>
      <c r="J10" s="443" t="s">
        <v>128</v>
      </c>
      <c r="K10" s="359">
        <v>2255256949.7199998</v>
      </c>
      <c r="L10" s="435" t="s">
        <v>19</v>
      </c>
      <c r="M10" s="444">
        <v>44805</v>
      </c>
      <c r="N10" s="444">
        <v>46417</v>
      </c>
      <c r="O10" s="437" t="s">
        <v>29</v>
      </c>
      <c r="P10" s="437" t="s">
        <v>30</v>
      </c>
      <c r="Q10" s="445" t="str">
        <f>UPPER(P10:P26)</f>
        <v>MANFREDO SAHB CARCUTE</v>
      </c>
      <c r="R10" s="437" t="s">
        <v>265</v>
      </c>
      <c r="S10" s="437" t="str">
        <f>UPPER(R10:R25)</f>
        <v>ULIANA MARIA NICKERSON DO PRADO PERES</v>
      </c>
      <c r="T10" s="437" t="s">
        <v>402</v>
      </c>
      <c r="U10" s="437" t="s">
        <v>403</v>
      </c>
      <c r="V10" s="367" t="s">
        <v>401</v>
      </c>
      <c r="W10" s="437"/>
      <c r="X10" s="436"/>
      <c r="Y10" s="443"/>
    </row>
    <row r="11" spans="1:25" s="433" customFormat="1" ht="45" customHeight="1" x14ac:dyDescent="0.25">
      <c r="A11" s="435">
        <v>4600057549</v>
      </c>
      <c r="B11" s="437" t="s">
        <v>2060</v>
      </c>
      <c r="C11" s="437">
        <v>3026695</v>
      </c>
      <c r="D11" s="437" t="s">
        <v>567</v>
      </c>
      <c r="E11" s="435">
        <v>60</v>
      </c>
      <c r="F11" s="443" t="s">
        <v>1583</v>
      </c>
      <c r="G11" s="435" t="s">
        <v>1571</v>
      </c>
      <c r="H11" s="435" t="s">
        <v>710</v>
      </c>
      <c r="I11" s="437" t="s">
        <v>18</v>
      </c>
      <c r="J11" s="443" t="s">
        <v>194</v>
      </c>
      <c r="K11" s="340">
        <v>2946500.37</v>
      </c>
      <c r="L11" s="435" t="s">
        <v>19</v>
      </c>
      <c r="M11" s="441">
        <v>45231</v>
      </c>
      <c r="N11" s="444">
        <v>45962</v>
      </c>
      <c r="O11" s="437" t="s">
        <v>208</v>
      </c>
      <c r="P11" s="437" t="s">
        <v>876</v>
      </c>
      <c r="Q11" s="445" t="str">
        <f>UPPER(P11:P28)</f>
        <v xml:space="preserve">GLAUBER HENRIQUE DOS SANTOS </v>
      </c>
      <c r="R11" s="437" t="s">
        <v>263</v>
      </c>
      <c r="S11" s="437" t="str">
        <f>UPPER(R11:R27)</f>
        <v>BRUNO FANTAGUZZI LINCES</v>
      </c>
      <c r="T11" s="437" t="s">
        <v>957</v>
      </c>
      <c r="U11" s="437" t="s">
        <v>308</v>
      </c>
      <c r="V11" s="437" t="s">
        <v>959</v>
      </c>
      <c r="W11" s="437"/>
      <c r="X11" s="436" t="s">
        <v>760</v>
      </c>
      <c r="Y11" s="443" t="s">
        <v>1701</v>
      </c>
    </row>
    <row r="12" spans="1:25" s="433" customFormat="1" ht="45" customHeight="1" x14ac:dyDescent="0.25">
      <c r="A12" s="437">
        <v>4600055381</v>
      </c>
      <c r="B12" s="447" t="s">
        <v>2063</v>
      </c>
      <c r="C12" s="437">
        <v>103605</v>
      </c>
      <c r="D12" s="435" t="s">
        <v>568</v>
      </c>
      <c r="E12" s="437">
        <v>30</v>
      </c>
      <c r="F12" s="447" t="s">
        <v>1574</v>
      </c>
      <c r="G12" s="435" t="s">
        <v>1571</v>
      </c>
      <c r="H12" s="435" t="s">
        <v>710</v>
      </c>
      <c r="I12" s="437" t="s">
        <v>18</v>
      </c>
      <c r="J12" s="437" t="s">
        <v>1927</v>
      </c>
      <c r="K12" s="340">
        <v>2848324</v>
      </c>
      <c r="L12" s="437" t="s">
        <v>19</v>
      </c>
      <c r="M12" s="441">
        <v>44635</v>
      </c>
      <c r="N12" s="444">
        <v>46022</v>
      </c>
      <c r="O12" s="437" t="s">
        <v>115</v>
      </c>
      <c r="P12" s="437" t="s">
        <v>116</v>
      </c>
      <c r="Q12" s="445" t="str">
        <f>UPPER(P12:P31)</f>
        <v>ROGER ALLAN MAIA MALHEIROS</v>
      </c>
      <c r="R12" s="437" t="s">
        <v>116</v>
      </c>
      <c r="S12" s="437" t="str">
        <f>UPPER(R12:R30)</f>
        <v>ROGER ALLAN MAIA MALHEIROS</v>
      </c>
      <c r="T12" s="437" t="s">
        <v>532</v>
      </c>
      <c r="U12" s="437" t="s">
        <v>533</v>
      </c>
      <c r="V12" s="437" t="s">
        <v>531</v>
      </c>
      <c r="W12" s="437"/>
      <c r="X12" s="438">
        <v>45327</v>
      </c>
      <c r="Y12" s="443"/>
    </row>
    <row r="13" spans="1:25" s="433" customFormat="1" ht="45" customHeight="1" x14ac:dyDescent="0.25">
      <c r="A13" s="435">
        <v>4600050030</v>
      </c>
      <c r="B13" s="443" t="s">
        <v>2064</v>
      </c>
      <c r="C13" s="435">
        <v>1749801</v>
      </c>
      <c r="D13" s="435" t="s">
        <v>569</v>
      </c>
      <c r="E13" s="435">
        <v>60</v>
      </c>
      <c r="F13" s="447" t="s">
        <v>1583</v>
      </c>
      <c r="G13" s="435" t="s">
        <v>1571</v>
      </c>
      <c r="H13" s="435" t="s">
        <v>710</v>
      </c>
      <c r="I13" s="437" t="s">
        <v>18</v>
      </c>
      <c r="J13" s="447" t="s">
        <v>1929</v>
      </c>
      <c r="K13" s="340">
        <v>34176</v>
      </c>
      <c r="L13" s="437" t="s">
        <v>19</v>
      </c>
      <c r="M13" s="441">
        <v>45328</v>
      </c>
      <c r="N13" s="444">
        <v>46058</v>
      </c>
      <c r="O13" s="437" t="s">
        <v>208</v>
      </c>
      <c r="P13" s="437" t="s">
        <v>281</v>
      </c>
      <c r="Q13" s="445" t="str">
        <f>UPPER(P13:P32)</f>
        <v>TATIANA MARILDA DA SILVA DE LYRA</v>
      </c>
      <c r="R13" s="437" t="s">
        <v>613</v>
      </c>
      <c r="S13" s="437" t="str">
        <f>UPPER(R13:R31)</f>
        <v xml:space="preserve"> RODRIGO DE AVILA OLIVEIRA</v>
      </c>
      <c r="T13" s="437" t="s">
        <v>595</v>
      </c>
      <c r="U13" s="437" t="s">
        <v>596</v>
      </c>
      <c r="V13" s="437" t="s">
        <v>597</v>
      </c>
      <c r="W13" s="437"/>
      <c r="X13" s="436"/>
      <c r="Y13" s="443"/>
    </row>
    <row r="14" spans="1:25" s="433" customFormat="1" ht="45" customHeight="1" x14ac:dyDescent="0.25">
      <c r="A14" s="435" t="s">
        <v>1584</v>
      </c>
      <c r="B14" s="443" t="s">
        <v>2065</v>
      </c>
      <c r="C14" s="435">
        <v>129169</v>
      </c>
      <c r="D14" s="435" t="s">
        <v>569</v>
      </c>
      <c r="E14" s="435">
        <v>60</v>
      </c>
      <c r="F14" s="443" t="s">
        <v>1684</v>
      </c>
      <c r="G14" s="435" t="s">
        <v>1571</v>
      </c>
      <c r="H14" s="435" t="s">
        <v>709</v>
      </c>
      <c r="I14" s="437" t="s">
        <v>18</v>
      </c>
      <c r="J14" s="447" t="s">
        <v>1930</v>
      </c>
      <c r="K14" s="340">
        <v>171925.4</v>
      </c>
      <c r="L14" s="437" t="s">
        <v>19</v>
      </c>
      <c r="M14" s="444">
        <v>45448</v>
      </c>
      <c r="N14" s="449">
        <v>46053</v>
      </c>
      <c r="O14" s="437" t="s">
        <v>22</v>
      </c>
      <c r="P14" s="437" t="s">
        <v>204</v>
      </c>
      <c r="Q14" s="445" t="str">
        <f>UPPER(P14:P33)</f>
        <v>PEDRO ANTONIO PERIASSU</v>
      </c>
      <c r="R14" s="437" t="s">
        <v>206</v>
      </c>
      <c r="S14" s="437" t="str">
        <f>UPPER(R14:R32)</f>
        <v>RODRIGO CORREIA FURUKAWA</v>
      </c>
      <c r="T14" s="437" t="s">
        <v>970</v>
      </c>
      <c r="U14" s="437"/>
      <c r="V14" s="437" t="s">
        <v>969</v>
      </c>
      <c r="W14" s="437"/>
      <c r="X14" s="436"/>
      <c r="Y14" s="443"/>
    </row>
    <row r="15" spans="1:25" s="433" customFormat="1" ht="45" customHeight="1" x14ac:dyDescent="0.25">
      <c r="A15" s="435">
        <v>4600055563</v>
      </c>
      <c r="B15" s="435" t="s">
        <v>721</v>
      </c>
      <c r="C15" s="435">
        <v>103474</v>
      </c>
      <c r="D15" s="435" t="s">
        <v>569</v>
      </c>
      <c r="E15" s="435">
        <v>30</v>
      </c>
      <c r="F15" s="447" t="s">
        <v>1691</v>
      </c>
      <c r="G15" s="435" t="s">
        <v>1571</v>
      </c>
      <c r="H15" s="435" t="s">
        <v>710</v>
      </c>
      <c r="I15" s="437" t="s">
        <v>18</v>
      </c>
      <c r="J15" s="437" t="s">
        <v>2081</v>
      </c>
      <c r="K15" s="340">
        <v>12005852.529999999</v>
      </c>
      <c r="L15" s="437" t="s">
        <v>19</v>
      </c>
      <c r="M15" s="441">
        <v>44712</v>
      </c>
      <c r="N15" s="444">
        <v>46538</v>
      </c>
      <c r="O15" s="437" t="s">
        <v>234</v>
      </c>
      <c r="P15" s="437" t="s">
        <v>126</v>
      </c>
      <c r="Q15" s="445" t="str">
        <f>UPPER(P15:P37)</f>
        <v>REILLA MARIA DE SOUZA</v>
      </c>
      <c r="R15" s="437" t="s">
        <v>207</v>
      </c>
      <c r="S15" s="437" t="str">
        <f>UPPER(R15:R36)</f>
        <v>PRISCILLA ANDREIA DE QUADROS</v>
      </c>
      <c r="T15" s="437"/>
      <c r="U15" s="437"/>
      <c r="V15" s="437"/>
      <c r="W15" s="437"/>
      <c r="X15" s="436"/>
      <c r="Y15" s="443"/>
    </row>
    <row r="16" spans="1:25" s="433" customFormat="1" ht="45" customHeight="1" x14ac:dyDescent="0.25">
      <c r="A16" s="435" t="s">
        <v>1607</v>
      </c>
      <c r="B16" s="448" t="s">
        <v>981</v>
      </c>
      <c r="C16" s="435">
        <v>3045756</v>
      </c>
      <c r="D16" s="435" t="s">
        <v>567</v>
      </c>
      <c r="E16" s="435">
        <v>30</v>
      </c>
      <c r="F16" s="447" t="s">
        <v>1583</v>
      </c>
      <c r="G16" s="435" t="s">
        <v>1571</v>
      </c>
      <c r="H16" s="437" t="s">
        <v>709</v>
      </c>
      <c r="I16" s="435" t="s">
        <v>18</v>
      </c>
      <c r="J16" s="447" t="s">
        <v>1948</v>
      </c>
      <c r="K16" s="340">
        <v>1000000</v>
      </c>
      <c r="L16" s="437" t="s">
        <v>19</v>
      </c>
      <c r="M16" s="444">
        <v>45526</v>
      </c>
      <c r="N16" s="444">
        <v>46080</v>
      </c>
      <c r="O16" s="437" t="s">
        <v>115</v>
      </c>
      <c r="P16" s="437" t="s">
        <v>116</v>
      </c>
      <c r="Q16" s="445" t="str">
        <f>UPPER(P16:P38)</f>
        <v>ROGER ALLAN MAIA MALHEIROS</v>
      </c>
      <c r="R16" s="437" t="s">
        <v>263</v>
      </c>
      <c r="S16" s="437" t="str">
        <f>UPPER(R16:R37)</f>
        <v>BRUNO FANTAGUZZI LINCES</v>
      </c>
      <c r="T16" s="437"/>
      <c r="U16" s="437"/>
      <c r="V16" s="437"/>
      <c r="W16" s="437"/>
      <c r="X16" s="436"/>
      <c r="Y16" s="443"/>
    </row>
    <row r="17" spans="1:25" s="433" customFormat="1" ht="45" customHeight="1" x14ac:dyDescent="0.25">
      <c r="A17" s="435">
        <v>4600058053</v>
      </c>
      <c r="B17" s="443" t="s">
        <v>1033</v>
      </c>
      <c r="C17" s="435">
        <v>3040507</v>
      </c>
      <c r="D17" s="435" t="s">
        <v>569</v>
      </c>
      <c r="E17" s="435">
        <v>60</v>
      </c>
      <c r="F17" s="443" t="s">
        <v>1693</v>
      </c>
      <c r="G17" s="435" t="s">
        <v>1581</v>
      </c>
      <c r="H17" s="435" t="s">
        <v>710</v>
      </c>
      <c r="I17" s="437" t="s">
        <v>38</v>
      </c>
      <c r="J17" s="447" t="s">
        <v>1977</v>
      </c>
      <c r="K17" s="340">
        <v>184322.52</v>
      </c>
      <c r="L17" s="437" t="s">
        <v>19</v>
      </c>
      <c r="M17" s="441">
        <v>44660</v>
      </c>
      <c r="N17" s="444">
        <v>46120</v>
      </c>
      <c r="O17" s="437" t="s">
        <v>22</v>
      </c>
      <c r="P17" s="437" t="s">
        <v>204</v>
      </c>
      <c r="Q17" s="445" t="str">
        <f>UPPER(P17:P41)</f>
        <v>PEDRO ANTONIO PERIASSU</v>
      </c>
      <c r="R17" s="437" t="s">
        <v>206</v>
      </c>
      <c r="S17" s="437" t="str">
        <f>UPPER(R17:R40)</f>
        <v>RODRIGO CORREIA FURUKAWA</v>
      </c>
      <c r="T17" s="437"/>
      <c r="U17" s="437"/>
      <c r="V17" s="437"/>
      <c r="W17" s="437"/>
      <c r="X17" s="436"/>
      <c r="Y17" s="443"/>
    </row>
    <row r="18" spans="1:25" s="434" customFormat="1" ht="45" customHeight="1" x14ac:dyDescent="0.25">
      <c r="A18" s="435">
        <v>4600059304</v>
      </c>
      <c r="B18" s="435" t="s">
        <v>2082</v>
      </c>
      <c r="C18" s="435">
        <v>164650</v>
      </c>
      <c r="D18" s="435" t="s">
        <v>568</v>
      </c>
      <c r="E18" s="435">
        <v>30</v>
      </c>
      <c r="F18" s="443" t="s">
        <v>1590</v>
      </c>
      <c r="G18" s="435" t="s">
        <v>1571</v>
      </c>
      <c r="H18" s="435" t="s">
        <v>709</v>
      </c>
      <c r="I18" s="437" t="s">
        <v>18</v>
      </c>
      <c r="J18" s="437" t="s">
        <v>1983</v>
      </c>
      <c r="K18" s="340">
        <v>2010520.07</v>
      </c>
      <c r="L18" s="437" t="s">
        <v>19</v>
      </c>
      <c r="M18" s="441">
        <v>44013</v>
      </c>
      <c r="N18" s="444">
        <v>46053</v>
      </c>
      <c r="O18" s="437" t="s">
        <v>234</v>
      </c>
      <c r="P18" s="437" t="s">
        <v>1067</v>
      </c>
      <c r="Q18" s="445" t="str">
        <f>UPPER(P18:P42)</f>
        <v>CLISTYEN DAYER PRADO RODRIGUES</v>
      </c>
      <c r="R18" s="437" t="s">
        <v>143</v>
      </c>
      <c r="S18" s="437" t="str">
        <f>UPPER(R18:R41)</f>
        <v>LUCIANA DE OLIVEIRA CARMO</v>
      </c>
      <c r="T18" s="437" t="s">
        <v>485</v>
      </c>
      <c r="U18" s="437" t="s">
        <v>486</v>
      </c>
      <c r="V18" s="437" t="s">
        <v>484</v>
      </c>
      <c r="W18" s="437"/>
      <c r="X18" s="436" t="s">
        <v>1232</v>
      </c>
      <c r="Y18" s="443"/>
    </row>
    <row r="19" spans="1:25" ht="45" customHeight="1" x14ac:dyDescent="0.2">
      <c r="A19" s="435">
        <v>4600055166</v>
      </c>
      <c r="B19" s="443" t="s">
        <v>2066</v>
      </c>
      <c r="C19" s="435">
        <v>181242</v>
      </c>
      <c r="D19" s="435" t="s">
        <v>567</v>
      </c>
      <c r="E19" s="435">
        <v>25</v>
      </c>
      <c r="F19" s="443" t="s">
        <v>1592</v>
      </c>
      <c r="G19" s="435" t="s">
        <v>1571</v>
      </c>
      <c r="H19" s="437" t="s">
        <v>710</v>
      </c>
      <c r="I19" s="435" t="s">
        <v>18</v>
      </c>
      <c r="J19" s="443" t="s">
        <v>1991</v>
      </c>
      <c r="K19" s="340">
        <v>387682253.54000002</v>
      </c>
      <c r="L19" s="435" t="s">
        <v>19</v>
      </c>
      <c r="M19" s="444">
        <v>41253</v>
      </c>
      <c r="N19" s="449">
        <v>45961</v>
      </c>
      <c r="O19" s="435" t="s">
        <v>29</v>
      </c>
      <c r="P19" s="435" t="s">
        <v>30</v>
      </c>
      <c r="Q19" s="445" t="str">
        <f>UPPER(P19:P44)</f>
        <v>MANFREDO SAHB CARCUTE</v>
      </c>
      <c r="R19" s="435" t="s">
        <v>265</v>
      </c>
      <c r="S19" s="437" t="str">
        <f>UPPER(R19:R43)</f>
        <v>ULIANA MARIA NICKERSON DO PRADO PERES</v>
      </c>
      <c r="T19" s="435"/>
      <c r="U19" s="435"/>
      <c r="V19" s="435"/>
      <c r="W19" s="435"/>
      <c r="X19" s="328"/>
      <c r="Y19" s="443" t="s">
        <v>1700</v>
      </c>
    </row>
    <row r="20" spans="1:25" s="433" customFormat="1" ht="45" customHeight="1" x14ac:dyDescent="0.25">
      <c r="A20" s="443" t="s">
        <v>1696</v>
      </c>
      <c r="B20" s="443" t="s">
        <v>1030</v>
      </c>
      <c r="C20" s="435">
        <v>185065</v>
      </c>
      <c r="D20" s="435" t="s">
        <v>567</v>
      </c>
      <c r="E20" s="435">
        <v>90</v>
      </c>
      <c r="F20" s="447" t="s">
        <v>1582</v>
      </c>
      <c r="G20" s="435" t="s">
        <v>1571</v>
      </c>
      <c r="H20" s="435" t="s">
        <v>710</v>
      </c>
      <c r="I20" s="435" t="s">
        <v>38</v>
      </c>
      <c r="J20" s="443" t="s">
        <v>1997</v>
      </c>
      <c r="K20" s="359">
        <v>9983994.75</v>
      </c>
      <c r="L20" s="435" t="s">
        <v>19</v>
      </c>
      <c r="M20" s="444">
        <v>45582</v>
      </c>
      <c r="N20" s="444">
        <v>46292</v>
      </c>
      <c r="O20" s="437" t="s">
        <v>22</v>
      </c>
      <c r="P20" s="437" t="s">
        <v>204</v>
      </c>
      <c r="Q20" s="445" t="str">
        <f>UPPER(P20:P45)</f>
        <v>PEDRO ANTONIO PERIASSU</v>
      </c>
      <c r="R20" s="437" t="s">
        <v>206</v>
      </c>
      <c r="S20" s="437" t="str">
        <f>UPPER(R20:R44)</f>
        <v>RODRIGO CORREIA FURUKAWA</v>
      </c>
      <c r="T20" s="437" t="s">
        <v>919</v>
      </c>
      <c r="U20" s="437" t="s">
        <v>921</v>
      </c>
      <c r="V20" s="437" t="s">
        <v>920</v>
      </c>
      <c r="W20" s="437"/>
      <c r="X20" s="436"/>
      <c r="Y20" s="443" t="s">
        <v>1706</v>
      </c>
    </row>
    <row r="21" spans="1:25" ht="45" customHeight="1" x14ac:dyDescent="0.2">
      <c r="A21" s="437">
        <v>4600059420</v>
      </c>
      <c r="B21" s="437" t="s">
        <v>2138</v>
      </c>
      <c r="C21" s="437">
        <v>183214</v>
      </c>
      <c r="D21" s="435" t="s">
        <v>1879</v>
      </c>
      <c r="E21" s="437">
        <v>60</v>
      </c>
      <c r="F21" s="437" t="s">
        <v>2044</v>
      </c>
      <c r="G21" s="447" t="s">
        <v>1059</v>
      </c>
      <c r="H21" s="437" t="s">
        <v>710</v>
      </c>
      <c r="I21" s="437" t="s">
        <v>18</v>
      </c>
      <c r="J21" s="447" t="s">
        <v>2083</v>
      </c>
      <c r="K21" s="340">
        <v>283819226.39999998</v>
      </c>
      <c r="L21" s="437" t="s">
        <v>19</v>
      </c>
      <c r="M21" s="441">
        <v>45713</v>
      </c>
      <c r="N21" s="441">
        <v>46387</v>
      </c>
      <c r="O21" s="437" t="s">
        <v>22</v>
      </c>
      <c r="P21" s="437" t="s">
        <v>204</v>
      </c>
      <c r="Q21" s="446" t="str">
        <f>UPPER(P21:P21)</f>
        <v>PEDRO ANTONIO PERIASSU</v>
      </c>
      <c r="R21" s="437" t="str">
        <f>UPPER(Q21:Q21)</f>
        <v>PEDRO ANTONIO PERIASSU</v>
      </c>
      <c r="S21" s="437"/>
      <c r="T21" s="437"/>
      <c r="U21" s="437"/>
      <c r="V21" s="437"/>
      <c r="W21" s="437"/>
      <c r="X21" s="440"/>
    </row>
    <row r="22" spans="1:25" s="433" customFormat="1" ht="45" customHeight="1" x14ac:dyDescent="0.25">
      <c r="A22" s="443" t="s">
        <v>2070</v>
      </c>
      <c r="B22" s="461" t="s">
        <v>2084</v>
      </c>
      <c r="C22" s="435">
        <v>3000082</v>
      </c>
      <c r="D22" s="435" t="s">
        <v>569</v>
      </c>
      <c r="E22" s="435">
        <v>60</v>
      </c>
      <c r="F22" s="447" t="s">
        <v>2062</v>
      </c>
      <c r="G22" s="435" t="s">
        <v>1571</v>
      </c>
      <c r="H22" s="435" t="s">
        <v>710</v>
      </c>
      <c r="I22" s="437" t="s">
        <v>18</v>
      </c>
      <c r="J22" s="447" t="s">
        <v>1937</v>
      </c>
      <c r="K22" s="340">
        <v>11640000</v>
      </c>
      <c r="L22" s="437" t="s">
        <v>19</v>
      </c>
      <c r="M22" s="444">
        <v>45274</v>
      </c>
      <c r="N22" s="444">
        <v>46446</v>
      </c>
      <c r="O22" s="437" t="s">
        <v>22</v>
      </c>
      <c r="P22" s="437" t="s">
        <v>204</v>
      </c>
      <c r="Q22" s="445" t="str">
        <f>UPPER(P22:P22)</f>
        <v>PEDRO ANTONIO PERIASSU</v>
      </c>
      <c r="R22" s="437" t="s">
        <v>206</v>
      </c>
      <c r="S22" s="437" t="str">
        <f>UPPER(R22:R22)</f>
        <v>RODRIGO CORREIA FURUKAWA</v>
      </c>
      <c r="T22" s="437"/>
      <c r="U22" s="437"/>
      <c r="V22" s="437"/>
      <c r="W22" s="437"/>
      <c r="X22" s="436"/>
      <c r="Y22" s="443"/>
    </row>
    <row r="23" spans="1:25" s="433" customFormat="1" ht="33.75" customHeight="1" x14ac:dyDescent="0.25">
      <c r="A23" s="435" t="s">
        <v>1598</v>
      </c>
      <c r="B23" s="435" t="s">
        <v>1720</v>
      </c>
      <c r="C23" s="435">
        <v>3036348</v>
      </c>
      <c r="D23" s="435" t="s">
        <v>1879</v>
      </c>
      <c r="E23" s="435">
        <v>60</v>
      </c>
      <c r="F23" s="443" t="s">
        <v>1597</v>
      </c>
      <c r="G23" s="435" t="s">
        <v>1571</v>
      </c>
      <c r="H23" s="435" t="s">
        <v>709</v>
      </c>
      <c r="I23" s="435" t="s">
        <v>18</v>
      </c>
      <c r="J23" s="443" t="s">
        <v>1908</v>
      </c>
      <c r="K23" s="359">
        <v>1377719.88</v>
      </c>
      <c r="L23" s="435" t="s">
        <v>19</v>
      </c>
      <c r="M23" s="444">
        <v>44812</v>
      </c>
      <c r="N23" s="444">
        <v>45778</v>
      </c>
      <c r="O23" s="437" t="s">
        <v>29</v>
      </c>
      <c r="P23" s="437" t="s">
        <v>30</v>
      </c>
      <c r="Q23" s="446" t="str">
        <f>UPPER(P23:P88)</f>
        <v>MANFREDO SAHB CARCUTE</v>
      </c>
      <c r="R23" s="437" t="str">
        <f>UPPER(Q23:Q84)</f>
        <v>MANFREDO SAHB CARCUTE</v>
      </c>
      <c r="S23" s="437" t="s">
        <v>435</v>
      </c>
      <c r="T23" s="437" t="s">
        <v>434</v>
      </c>
      <c r="U23" s="437" t="s">
        <v>308</v>
      </c>
      <c r="V23" s="437" t="s">
        <v>433</v>
      </c>
      <c r="W23" s="437"/>
      <c r="X23" s="436"/>
    </row>
    <row r="24" spans="1:25" ht="40.5" customHeight="1" x14ac:dyDescent="0.2">
      <c r="A24" s="443" t="s">
        <v>2048</v>
      </c>
      <c r="B24" s="443" t="s">
        <v>2049</v>
      </c>
      <c r="C24" s="440"/>
      <c r="D24" s="437" t="s">
        <v>1879</v>
      </c>
      <c r="E24" s="440"/>
      <c r="F24" s="447" t="s">
        <v>2087</v>
      </c>
      <c r="G24" s="443" t="s">
        <v>2042</v>
      </c>
      <c r="H24" s="437" t="s">
        <v>710</v>
      </c>
      <c r="I24" s="440"/>
      <c r="J24" s="437" t="s">
        <v>643</v>
      </c>
      <c r="K24" s="429">
        <v>39508882.009999998</v>
      </c>
      <c r="L24" s="437" t="s">
        <v>19</v>
      </c>
      <c r="M24" s="462">
        <v>44927</v>
      </c>
      <c r="N24" s="441">
        <v>46112</v>
      </c>
      <c r="O24" s="439"/>
      <c r="P24" s="439"/>
      <c r="Q24" s="439"/>
      <c r="R24" s="439"/>
      <c r="S24" s="439"/>
      <c r="T24" s="439"/>
      <c r="U24" s="439"/>
      <c r="V24" s="439"/>
      <c r="W24" s="439"/>
      <c r="X24" s="440"/>
    </row>
    <row r="26" spans="1:25" x14ac:dyDescent="0.2">
      <c r="N26" s="386"/>
    </row>
    <row r="27" spans="1:25" x14ac:dyDescent="0.2">
      <c r="N27" s="386"/>
    </row>
    <row r="28" spans="1:25" x14ac:dyDescent="0.2">
      <c r="N28" s="386"/>
    </row>
    <row r="29" spans="1:25" x14ac:dyDescent="0.2">
      <c r="N29" s="386"/>
    </row>
  </sheetData>
  <autoFilter ref="A2:Y24"/>
  <mergeCells count="1">
    <mergeCell ref="D1:F1"/>
  </mergeCells>
  <conditionalFormatting sqref="B21">
    <cfRule type="duplicateValues" dxfId="255" priority="1"/>
  </conditionalFormatting>
  <conditionalFormatting sqref="B21">
    <cfRule type="duplicateValues" dxfId="254" priority="2"/>
  </conditionalFormatting>
  <hyperlinks>
    <hyperlink ref="V11" r:id="rId1"/>
    <hyperlink ref="V6" r:id="rId2"/>
    <hyperlink ref="V5" r:id="rId3"/>
    <hyperlink ref="V10" r:id="rId4"/>
  </hyperlinks>
  <pageMargins left="0.511811024" right="0.511811024" top="0.78740157499999996" bottom="0.78740157499999996" header="0.31496062000000002" footer="0.31496062000000002"/>
  <pageSetup paperSize="9" orientation="portrait" r:id="rId5"/>
  <legacy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Y5"/>
  <sheetViews>
    <sheetView showGridLines="0" zoomScale="110" zoomScaleNormal="110" workbookViewId="0">
      <selection activeCell="J13" sqref="J13"/>
    </sheetView>
  </sheetViews>
  <sheetFormatPr defaultRowHeight="15" x14ac:dyDescent="0.25"/>
  <cols>
    <col min="1" max="1" width="47.7109375" bestFit="1" customWidth="1"/>
    <col min="2" max="2" width="36.5703125" bestFit="1" customWidth="1"/>
    <col min="3" max="3" width="11.7109375" hidden="1" customWidth="1"/>
    <col min="4" max="5" width="0" hidden="1" customWidth="1"/>
    <col min="6" max="6" width="37.7109375" bestFit="1" customWidth="1"/>
    <col min="7" max="7" width="30" hidden="1" customWidth="1"/>
    <col min="8" max="9" width="0" hidden="1" customWidth="1"/>
    <col min="10" max="10" width="36.140625" bestFit="1" customWidth="1"/>
    <col min="11" max="11" width="17.42578125" customWidth="1"/>
    <col min="12" max="12" width="9.140625" customWidth="1"/>
    <col min="13" max="13" width="17.28515625" customWidth="1"/>
    <col min="14" max="14" width="20.42578125" customWidth="1"/>
    <col min="15" max="15" width="27.85546875" bestFit="1" customWidth="1"/>
    <col min="16" max="17" width="27.42578125" bestFit="1" customWidth="1"/>
    <col min="18" max="19" width="36" bestFit="1" customWidth="1"/>
  </cols>
  <sheetData>
    <row r="1" spans="1:25" s="352" customFormat="1" ht="58.5" customHeight="1" x14ac:dyDescent="0.2">
      <c r="A1" s="354" t="s">
        <v>0</v>
      </c>
      <c r="B1" s="354" t="s">
        <v>1</v>
      </c>
      <c r="C1" s="354" t="s">
        <v>2</v>
      </c>
      <c r="D1" s="354" t="s">
        <v>566</v>
      </c>
      <c r="E1" s="354" t="s">
        <v>4</v>
      </c>
      <c r="F1" s="354" t="s">
        <v>633</v>
      </c>
      <c r="G1" s="354" t="s">
        <v>5</v>
      </c>
      <c r="H1" s="354" t="s">
        <v>1615</v>
      </c>
      <c r="I1" s="354" t="s">
        <v>6</v>
      </c>
      <c r="J1" s="354" t="s">
        <v>7</v>
      </c>
      <c r="K1" s="355" t="s">
        <v>1566</v>
      </c>
      <c r="L1" s="354" t="s">
        <v>9</v>
      </c>
      <c r="M1" s="354" t="s">
        <v>10</v>
      </c>
      <c r="N1" s="354" t="s">
        <v>11</v>
      </c>
      <c r="O1" s="354" t="s">
        <v>16</v>
      </c>
      <c r="P1" s="354" t="s">
        <v>201</v>
      </c>
      <c r="Q1" s="354" t="s">
        <v>202</v>
      </c>
      <c r="R1" s="354" t="s">
        <v>257</v>
      </c>
      <c r="S1" s="354" t="s">
        <v>301</v>
      </c>
      <c r="T1" s="354" t="s">
        <v>299</v>
      </c>
      <c r="U1" s="354" t="s">
        <v>300</v>
      </c>
      <c r="V1" s="354" t="s">
        <v>298</v>
      </c>
      <c r="W1" s="354" t="s">
        <v>17</v>
      </c>
      <c r="X1" s="354" t="s">
        <v>278</v>
      </c>
      <c r="Y1" s="354" t="s">
        <v>1667</v>
      </c>
    </row>
    <row r="2" spans="1:25" s="326" customFormat="1" ht="50.1" customHeight="1" x14ac:dyDescent="0.25">
      <c r="A2" s="329" t="s">
        <v>1680</v>
      </c>
      <c r="B2" s="329" t="s">
        <v>144</v>
      </c>
      <c r="C2" s="329">
        <v>102179</v>
      </c>
      <c r="D2" s="329" t="s">
        <v>569</v>
      </c>
      <c r="E2" s="329">
        <v>60</v>
      </c>
      <c r="F2" s="358" t="s">
        <v>1059</v>
      </c>
      <c r="G2" s="329" t="s">
        <v>1571</v>
      </c>
      <c r="H2" s="331" t="s">
        <v>709</v>
      </c>
      <c r="I2" s="331" t="s">
        <v>18</v>
      </c>
      <c r="J2" s="365" t="s">
        <v>2023</v>
      </c>
      <c r="K2" s="340">
        <v>11968</v>
      </c>
      <c r="L2" s="331" t="s">
        <v>19</v>
      </c>
      <c r="M2" s="344">
        <v>45406</v>
      </c>
      <c r="N2" s="360">
        <v>46221</v>
      </c>
      <c r="O2" s="331" t="s">
        <v>22</v>
      </c>
      <c r="P2" s="331" t="s">
        <v>204</v>
      </c>
      <c r="Q2" s="361" t="str">
        <f>UPPER(P2:P2)</f>
        <v>PEDRO ANTONIO PERIASSU</v>
      </c>
      <c r="R2" s="331" t="s">
        <v>559</v>
      </c>
      <c r="S2" s="331" t="str">
        <f>UPPER(R2:R2)</f>
        <v>LUIZ PAULO</v>
      </c>
      <c r="T2" s="331" t="s">
        <v>583</v>
      </c>
      <c r="U2" s="331"/>
      <c r="V2" s="331" t="s">
        <v>581</v>
      </c>
      <c r="W2" s="331" t="s">
        <v>562</v>
      </c>
      <c r="X2" s="330"/>
      <c r="Y2" s="358" t="s">
        <v>1681</v>
      </c>
    </row>
    <row r="3" spans="1:25" s="349" customFormat="1" ht="50.1" customHeight="1" x14ac:dyDescent="0.2">
      <c r="A3" s="329">
        <v>4600050894</v>
      </c>
      <c r="B3" s="329" t="s">
        <v>1091</v>
      </c>
      <c r="C3" s="329">
        <v>102145</v>
      </c>
      <c r="D3" s="329" t="s">
        <v>569</v>
      </c>
      <c r="E3" s="329">
        <v>60</v>
      </c>
      <c r="F3" s="329" t="s">
        <v>1695</v>
      </c>
      <c r="G3" s="329" t="s">
        <v>1581</v>
      </c>
      <c r="H3" s="331" t="s">
        <v>710</v>
      </c>
      <c r="I3" s="331" t="s">
        <v>38</v>
      </c>
      <c r="J3" s="331" t="s">
        <v>1989</v>
      </c>
      <c r="K3" s="340">
        <v>51135933.450000003</v>
      </c>
      <c r="L3" s="331" t="s">
        <v>19</v>
      </c>
      <c r="M3" s="344">
        <v>43409</v>
      </c>
      <c r="N3" s="344">
        <v>46022</v>
      </c>
      <c r="O3" s="331" t="s">
        <v>22</v>
      </c>
      <c r="P3" s="329" t="s">
        <v>204</v>
      </c>
      <c r="Q3" s="361" t="str">
        <f>UPPER(P3:P3)</f>
        <v>PEDRO ANTONIO PERIASSU</v>
      </c>
      <c r="R3" s="331" t="s">
        <v>559</v>
      </c>
      <c r="S3" s="331" t="str">
        <f>UPPER(R3:R3)</f>
        <v>LUIZ PAULO</v>
      </c>
      <c r="T3" s="331"/>
      <c r="U3" s="331"/>
      <c r="V3" s="331"/>
      <c r="W3" s="331"/>
      <c r="X3" s="330"/>
      <c r="Y3" s="358" t="s">
        <v>1699</v>
      </c>
    </row>
    <row r="4" spans="1:25" s="349" customFormat="1" ht="27.75" customHeight="1" x14ac:dyDescent="0.25">
      <c r="A4" s="487">
        <v>4600059954</v>
      </c>
      <c r="B4" s="487" t="s">
        <v>2120</v>
      </c>
      <c r="C4" s="487">
        <v>185532</v>
      </c>
      <c r="D4" s="487" t="s">
        <v>2121</v>
      </c>
      <c r="E4" s="487">
        <v>30</v>
      </c>
      <c r="F4" s="487" t="s">
        <v>2122</v>
      </c>
      <c r="G4" s="487" t="s">
        <v>2122</v>
      </c>
      <c r="H4" s="487" t="s">
        <v>2123</v>
      </c>
      <c r="I4" s="487" t="s">
        <v>38</v>
      </c>
      <c r="J4" s="487" t="s">
        <v>2124</v>
      </c>
      <c r="K4" s="491">
        <v>178783.11</v>
      </c>
      <c r="L4" s="487" t="s">
        <v>19</v>
      </c>
      <c r="M4" s="490">
        <v>45869</v>
      </c>
      <c r="N4" s="490">
        <v>46233</v>
      </c>
      <c r="O4" s="487" t="s">
        <v>22</v>
      </c>
      <c r="P4" s="492" t="s">
        <v>2126</v>
      </c>
      <c r="Q4" s="492" t="s">
        <v>2126</v>
      </c>
      <c r="R4" s="492" t="s">
        <v>2126</v>
      </c>
      <c r="S4" s="493" t="s">
        <v>2125</v>
      </c>
      <c r="T4" s="487"/>
      <c r="U4" s="487"/>
      <c r="V4" s="487"/>
      <c r="W4" s="487"/>
      <c r="X4" s="489"/>
      <c r="Y4" s="488"/>
    </row>
    <row r="5" spans="1:25" x14ac:dyDescent="0.25">
      <c r="B5" s="387" t="s">
        <v>2137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80"/>
  <sheetViews>
    <sheetView showGridLines="0" topLeftCell="A73" workbookViewId="0">
      <selection activeCell="A80" sqref="A80:XFD80"/>
    </sheetView>
  </sheetViews>
  <sheetFormatPr defaultRowHeight="15" x14ac:dyDescent="0.25"/>
  <cols>
    <col min="1" max="1" width="25.85546875" customWidth="1"/>
    <col min="2" max="2" width="50.5703125" customWidth="1"/>
    <col min="3" max="3" width="31.85546875" customWidth="1"/>
    <col min="4" max="4" width="18.28515625" customWidth="1"/>
    <col min="5" max="5" width="11.140625" customWidth="1"/>
    <col min="6" max="7" width="31.85546875" customWidth="1"/>
    <col min="8" max="8" width="26.7109375" customWidth="1"/>
    <col min="9" max="9" width="23.7109375" customWidth="1"/>
    <col min="10" max="24" width="31.85546875" customWidth="1"/>
  </cols>
  <sheetData>
    <row r="1" spans="1:25" s="352" customFormat="1" ht="58.5" customHeight="1" x14ac:dyDescent="0.2">
      <c r="A1" s="354" t="s">
        <v>0</v>
      </c>
      <c r="B1" s="354" t="s">
        <v>1</v>
      </c>
      <c r="C1" s="354" t="s">
        <v>2</v>
      </c>
      <c r="D1" s="354" t="s">
        <v>566</v>
      </c>
      <c r="E1" s="354" t="s">
        <v>4</v>
      </c>
      <c r="F1" s="354" t="s">
        <v>633</v>
      </c>
      <c r="G1" s="354" t="s">
        <v>5</v>
      </c>
      <c r="H1" s="354" t="s">
        <v>1615</v>
      </c>
      <c r="I1" s="354" t="s">
        <v>6</v>
      </c>
      <c r="J1" s="354" t="s">
        <v>7</v>
      </c>
      <c r="K1" s="355" t="s">
        <v>1566</v>
      </c>
      <c r="L1" s="354" t="s">
        <v>9</v>
      </c>
      <c r="M1" s="354" t="s">
        <v>10</v>
      </c>
      <c r="N1" s="354" t="s">
        <v>11</v>
      </c>
      <c r="O1" s="354" t="s">
        <v>16</v>
      </c>
      <c r="P1" s="354" t="s">
        <v>201</v>
      </c>
      <c r="Q1" s="354" t="s">
        <v>202</v>
      </c>
      <c r="R1" s="354" t="s">
        <v>257</v>
      </c>
      <c r="S1" s="354" t="s">
        <v>301</v>
      </c>
      <c r="T1" s="354" t="s">
        <v>299</v>
      </c>
      <c r="U1" s="354" t="s">
        <v>300</v>
      </c>
      <c r="V1" s="354" t="s">
        <v>298</v>
      </c>
      <c r="W1" s="354" t="s">
        <v>17</v>
      </c>
      <c r="X1" s="354" t="s">
        <v>278</v>
      </c>
    </row>
    <row r="2" spans="1:25" s="326" customFormat="1" ht="50.1" customHeight="1" x14ac:dyDescent="0.25">
      <c r="A2" s="432" t="s">
        <v>1568</v>
      </c>
      <c r="B2" s="329" t="s">
        <v>23</v>
      </c>
      <c r="C2" s="329">
        <v>189660</v>
      </c>
      <c r="D2" s="329" t="s">
        <v>567</v>
      </c>
      <c r="E2" s="329">
        <v>60</v>
      </c>
      <c r="F2" s="358" t="s">
        <v>1567</v>
      </c>
      <c r="G2" s="329" t="s">
        <v>1571</v>
      </c>
      <c r="H2" s="329" t="s">
        <v>710</v>
      </c>
      <c r="I2" s="329" t="s">
        <v>18</v>
      </c>
      <c r="J2" s="358" t="s">
        <v>25</v>
      </c>
      <c r="K2" s="359">
        <v>309407546.45999998</v>
      </c>
      <c r="L2" s="329" t="s">
        <v>19</v>
      </c>
      <c r="M2" s="360">
        <v>41061</v>
      </c>
      <c r="N2" s="360">
        <v>46142</v>
      </c>
      <c r="O2" s="331" t="s">
        <v>22</v>
      </c>
      <c r="P2" s="331" t="s">
        <v>204</v>
      </c>
      <c r="Q2" s="361" t="s">
        <v>53</v>
      </c>
      <c r="R2" s="331" t="s">
        <v>206</v>
      </c>
      <c r="S2" s="331" t="s">
        <v>932</v>
      </c>
      <c r="T2" s="331" t="s">
        <v>931</v>
      </c>
      <c r="U2" s="331" t="s">
        <v>933</v>
      </c>
      <c r="V2" s="331" t="s">
        <v>934</v>
      </c>
      <c r="W2" s="331" t="s">
        <v>26</v>
      </c>
      <c r="X2" s="330"/>
    </row>
    <row r="3" spans="1:25" s="326" customFormat="1" ht="50.1" customHeight="1" x14ac:dyDescent="0.25">
      <c r="A3" s="331">
        <v>4600057577</v>
      </c>
      <c r="B3" s="331" t="s">
        <v>190</v>
      </c>
      <c r="C3" s="331">
        <v>3008204</v>
      </c>
      <c r="D3" s="329" t="s">
        <v>568</v>
      </c>
      <c r="E3" s="331">
        <v>120</v>
      </c>
      <c r="F3" s="358" t="s">
        <v>1677</v>
      </c>
      <c r="G3" s="331" t="s">
        <v>1059</v>
      </c>
      <c r="H3" s="329" t="s">
        <v>710</v>
      </c>
      <c r="I3" s="331" t="s">
        <v>18</v>
      </c>
      <c r="J3" s="365" t="s">
        <v>191</v>
      </c>
      <c r="K3" s="340">
        <v>1028574</v>
      </c>
      <c r="L3" s="331" t="s">
        <v>19</v>
      </c>
      <c r="M3" s="344">
        <v>45105</v>
      </c>
      <c r="N3" s="384">
        <v>45835</v>
      </c>
      <c r="O3" s="331" t="s">
        <v>22</v>
      </c>
      <c r="P3" s="331" t="s">
        <v>204</v>
      </c>
      <c r="Q3" s="361" t="s">
        <v>875</v>
      </c>
      <c r="R3" s="331" t="s">
        <v>206</v>
      </c>
      <c r="S3" s="331"/>
      <c r="T3" s="331" t="s">
        <v>307</v>
      </c>
      <c r="U3" s="331" t="s">
        <v>308</v>
      </c>
      <c r="V3" s="331" t="s">
        <v>306</v>
      </c>
      <c r="W3" s="331"/>
      <c r="X3" s="330"/>
      <c r="Y3" s="388" t="s">
        <v>1678</v>
      </c>
    </row>
    <row r="4" spans="1:25" s="326" customFormat="1" ht="50.1" customHeight="1" x14ac:dyDescent="0.25">
      <c r="A4" s="331">
        <v>4600057292</v>
      </c>
      <c r="B4" s="329" t="s">
        <v>168</v>
      </c>
      <c r="C4" s="331">
        <v>146222</v>
      </c>
      <c r="D4" s="329" t="s">
        <v>569</v>
      </c>
      <c r="E4" s="331">
        <v>60</v>
      </c>
      <c r="F4" s="365" t="s">
        <v>1574</v>
      </c>
      <c r="G4" s="331" t="s">
        <v>1059</v>
      </c>
      <c r="H4" s="329" t="s">
        <v>710</v>
      </c>
      <c r="I4" s="329" t="s">
        <v>18</v>
      </c>
      <c r="J4" s="365" t="s">
        <v>1603</v>
      </c>
      <c r="K4" s="340">
        <v>4650130.8</v>
      </c>
      <c r="L4" s="331" t="s">
        <v>19</v>
      </c>
      <c r="M4" s="344">
        <v>45047</v>
      </c>
      <c r="N4" s="360">
        <v>45961</v>
      </c>
      <c r="O4" s="331" t="s">
        <v>208</v>
      </c>
      <c r="P4" s="331" t="s">
        <v>876</v>
      </c>
      <c r="Q4" s="331" t="s">
        <v>20</v>
      </c>
      <c r="R4" s="331" t="s">
        <v>263</v>
      </c>
      <c r="S4" s="331" t="s">
        <v>938</v>
      </c>
      <c r="T4" s="331" t="s">
        <v>940</v>
      </c>
      <c r="U4" s="331" t="s">
        <v>447</v>
      </c>
      <c r="V4" s="331" t="s">
        <v>939</v>
      </c>
      <c r="W4" s="331"/>
      <c r="X4" s="330"/>
      <c r="Y4" s="358" t="s">
        <v>1679</v>
      </c>
    </row>
    <row r="5" spans="1:25" s="326" customFormat="1" ht="50.1" customHeight="1" x14ac:dyDescent="0.25">
      <c r="A5" s="329" t="s">
        <v>1588</v>
      </c>
      <c r="B5" s="329" t="s">
        <v>168</v>
      </c>
      <c r="C5" s="329">
        <v>146222</v>
      </c>
      <c r="D5" s="329" t="s">
        <v>569</v>
      </c>
      <c r="E5" s="329">
        <v>1</v>
      </c>
      <c r="F5" s="365" t="s">
        <v>1574</v>
      </c>
      <c r="G5" s="331" t="s">
        <v>1059</v>
      </c>
      <c r="H5" s="329" t="s">
        <v>709</v>
      </c>
      <c r="I5" s="329" t="s">
        <v>18</v>
      </c>
      <c r="J5" s="365" t="s">
        <v>885</v>
      </c>
      <c r="K5" s="340">
        <v>648957.48</v>
      </c>
      <c r="L5" s="331" t="s">
        <v>19</v>
      </c>
      <c r="M5" s="344">
        <v>45658</v>
      </c>
      <c r="N5" s="344">
        <v>46568</v>
      </c>
      <c r="O5" s="331" t="s">
        <v>208</v>
      </c>
      <c r="P5" s="331" t="s">
        <v>876</v>
      </c>
      <c r="Q5" s="331" t="s">
        <v>20</v>
      </c>
      <c r="R5" s="331" t="s">
        <v>263</v>
      </c>
      <c r="S5" s="331" t="s">
        <v>938</v>
      </c>
      <c r="T5" s="331" t="s">
        <v>940</v>
      </c>
      <c r="U5" s="331" t="s">
        <v>447</v>
      </c>
      <c r="V5" s="331" t="s">
        <v>939</v>
      </c>
      <c r="W5" s="331"/>
      <c r="X5" s="330"/>
      <c r="Y5" s="358"/>
    </row>
    <row r="6" spans="1:25" s="326" customFormat="1" ht="50.1" customHeight="1" x14ac:dyDescent="0.25">
      <c r="A6" s="329" t="s">
        <v>1568</v>
      </c>
      <c r="B6" s="329" t="s">
        <v>584</v>
      </c>
      <c r="C6" s="329">
        <v>189660</v>
      </c>
      <c r="D6" s="329" t="s">
        <v>569</v>
      </c>
      <c r="E6" s="329">
        <v>90</v>
      </c>
      <c r="F6" s="358" t="s">
        <v>1682</v>
      </c>
      <c r="G6" s="331" t="s">
        <v>1059</v>
      </c>
      <c r="H6" s="331" t="s">
        <v>709</v>
      </c>
      <c r="I6" s="331" t="s">
        <v>18</v>
      </c>
      <c r="J6" s="331" t="s">
        <v>561</v>
      </c>
      <c r="K6" s="340">
        <v>39100</v>
      </c>
      <c r="L6" s="331" t="s">
        <v>19</v>
      </c>
      <c r="M6" s="344">
        <v>45406</v>
      </c>
      <c r="N6" s="384">
        <v>45770</v>
      </c>
      <c r="O6" s="331" t="s">
        <v>22</v>
      </c>
      <c r="P6" s="331" t="s">
        <v>204</v>
      </c>
      <c r="Q6" s="331" t="s">
        <v>53</v>
      </c>
      <c r="R6" s="331" t="s">
        <v>559</v>
      </c>
      <c r="S6" s="331" t="s">
        <v>932</v>
      </c>
      <c r="T6" s="331" t="s">
        <v>931</v>
      </c>
      <c r="U6" s="331" t="s">
        <v>933</v>
      </c>
      <c r="V6" s="331" t="s">
        <v>934</v>
      </c>
      <c r="W6" s="331" t="s">
        <v>563</v>
      </c>
      <c r="X6" s="330"/>
      <c r="Y6" s="388" t="s">
        <v>1683</v>
      </c>
    </row>
    <row r="7" spans="1:25" s="391" customFormat="1" ht="50.1" customHeight="1" x14ac:dyDescent="0.25">
      <c r="A7" s="380">
        <v>4600057702</v>
      </c>
      <c r="B7" s="380" t="s">
        <v>628</v>
      </c>
      <c r="C7" s="380">
        <v>3044408</v>
      </c>
      <c r="D7" s="380" t="s">
        <v>567</v>
      </c>
      <c r="E7" s="380">
        <v>90</v>
      </c>
      <c r="F7" s="392" t="s">
        <v>1582</v>
      </c>
      <c r="G7" s="389" t="s">
        <v>1059</v>
      </c>
      <c r="H7" s="389" t="s">
        <v>710</v>
      </c>
      <c r="I7" s="389" t="s">
        <v>38</v>
      </c>
      <c r="J7" s="389" t="s">
        <v>1685</v>
      </c>
      <c r="K7" s="393">
        <v>5000000</v>
      </c>
      <c r="L7" s="389" t="s">
        <v>19</v>
      </c>
      <c r="M7" s="385">
        <v>45231</v>
      </c>
      <c r="N7" s="384">
        <v>45961</v>
      </c>
      <c r="O7" s="389" t="s">
        <v>22</v>
      </c>
      <c r="P7" s="389" t="s">
        <v>630</v>
      </c>
      <c r="Q7" s="389" t="s">
        <v>631</v>
      </c>
      <c r="R7" s="389" t="s">
        <v>206</v>
      </c>
      <c r="S7" s="389"/>
      <c r="T7" s="389"/>
      <c r="U7" s="389"/>
      <c r="V7" s="389"/>
      <c r="W7" s="389"/>
      <c r="X7" s="390" t="s">
        <v>1622</v>
      </c>
      <c r="Y7" s="388" t="s">
        <v>1622</v>
      </c>
    </row>
    <row r="8" spans="1:25" s="326" customFormat="1" ht="50.1" customHeight="1" x14ac:dyDescent="0.25">
      <c r="A8" s="329">
        <v>4600050465</v>
      </c>
      <c r="B8" s="329" t="s">
        <v>58</v>
      </c>
      <c r="C8" s="329">
        <v>3026577</v>
      </c>
      <c r="D8" s="329" t="s">
        <v>568</v>
      </c>
      <c r="E8" s="329">
        <v>30</v>
      </c>
      <c r="F8" s="365" t="s">
        <v>1574</v>
      </c>
      <c r="G8" s="331" t="s">
        <v>1059</v>
      </c>
      <c r="H8" s="329" t="s">
        <v>710</v>
      </c>
      <c r="I8" s="329" t="s">
        <v>18</v>
      </c>
      <c r="J8" s="358" t="s">
        <v>59</v>
      </c>
      <c r="K8" s="359">
        <v>1805567.96</v>
      </c>
      <c r="L8" s="329" t="s">
        <v>19</v>
      </c>
      <c r="M8" s="360">
        <v>43270</v>
      </c>
      <c r="N8" s="384">
        <v>45716</v>
      </c>
      <c r="O8" s="331" t="s">
        <v>135</v>
      </c>
      <c r="P8" s="331" t="s">
        <v>606</v>
      </c>
      <c r="Q8" s="331" t="s">
        <v>607</v>
      </c>
      <c r="R8" s="331" t="s">
        <v>1654</v>
      </c>
      <c r="S8" s="331"/>
      <c r="T8" s="331" t="s">
        <v>334</v>
      </c>
      <c r="U8" s="331" t="s">
        <v>335</v>
      </c>
      <c r="V8" s="331" t="s">
        <v>333</v>
      </c>
      <c r="W8" s="331"/>
      <c r="X8" s="330"/>
      <c r="Y8" s="358" t="s">
        <v>1686</v>
      </c>
    </row>
    <row r="9" spans="1:25" s="326" customFormat="1" ht="50.1" customHeight="1" x14ac:dyDescent="0.25">
      <c r="A9" s="329">
        <v>4600057172</v>
      </c>
      <c r="B9" s="358" t="s">
        <v>787</v>
      </c>
      <c r="C9" s="329" t="s">
        <v>972</v>
      </c>
      <c r="D9" s="329" t="s">
        <v>568</v>
      </c>
      <c r="E9" s="329" t="s">
        <v>848</v>
      </c>
      <c r="F9" s="331" t="s">
        <v>1059</v>
      </c>
      <c r="G9" s="331" t="s">
        <v>1059</v>
      </c>
      <c r="H9" s="340" t="s">
        <v>710</v>
      </c>
      <c r="I9" s="329" t="s">
        <v>38</v>
      </c>
      <c r="J9" s="331" t="s">
        <v>847</v>
      </c>
      <c r="K9" s="340">
        <v>844400</v>
      </c>
      <c r="L9" s="331" t="s">
        <v>19</v>
      </c>
      <c r="M9" s="360">
        <v>45383</v>
      </c>
      <c r="N9" s="360">
        <v>46021</v>
      </c>
      <c r="O9" s="331" t="s">
        <v>617</v>
      </c>
      <c r="P9" s="331" t="s">
        <v>30</v>
      </c>
      <c r="Q9" s="331" t="s">
        <v>203</v>
      </c>
      <c r="R9" s="331" t="s">
        <v>265</v>
      </c>
      <c r="S9" s="331"/>
      <c r="T9" s="331"/>
      <c r="U9" s="331"/>
      <c r="V9" s="331"/>
      <c r="W9" s="331"/>
      <c r="X9" s="330"/>
      <c r="Y9" s="358" t="s">
        <v>1692</v>
      </c>
    </row>
    <row r="10" spans="1:25" s="327" customFormat="1" ht="50.1" customHeight="1" x14ac:dyDescent="0.25">
      <c r="A10" s="432">
        <v>4600046786</v>
      </c>
      <c r="B10" s="329" t="s">
        <v>1040</v>
      </c>
      <c r="C10" s="329">
        <v>155157</v>
      </c>
      <c r="D10" s="329" t="s">
        <v>569</v>
      </c>
      <c r="E10" s="329">
        <v>30</v>
      </c>
      <c r="F10" s="365" t="s">
        <v>1574</v>
      </c>
      <c r="G10" s="331" t="s">
        <v>1059</v>
      </c>
      <c r="H10" s="331" t="s">
        <v>710</v>
      </c>
      <c r="I10" s="331" t="s">
        <v>38</v>
      </c>
      <c r="J10" s="365" t="s">
        <v>1046</v>
      </c>
      <c r="K10" s="340">
        <v>772714.91</v>
      </c>
      <c r="L10" s="331" t="s">
        <v>19</v>
      </c>
      <c r="M10" s="344">
        <v>42276</v>
      </c>
      <c r="N10" s="385">
        <v>45930</v>
      </c>
      <c r="O10" s="331" t="s">
        <v>22</v>
      </c>
      <c r="P10" s="331" t="s">
        <v>211</v>
      </c>
      <c r="Q10" s="331" t="s">
        <v>553</v>
      </c>
      <c r="R10" s="331" t="s">
        <v>206</v>
      </c>
      <c r="S10" s="331" t="s">
        <v>1041</v>
      </c>
      <c r="T10" s="331" t="s">
        <v>1042</v>
      </c>
      <c r="U10" s="331"/>
      <c r="V10" s="331" t="s">
        <v>1043</v>
      </c>
      <c r="W10" s="331"/>
      <c r="X10" s="330"/>
      <c r="Y10" s="388" t="s">
        <v>1694</v>
      </c>
    </row>
    <row r="11" spans="1:25" s="326" customFormat="1" ht="50.1" customHeight="1" x14ac:dyDescent="0.25">
      <c r="A11" s="331">
        <v>4600057564</v>
      </c>
      <c r="B11" s="331" t="s">
        <v>188</v>
      </c>
      <c r="C11" s="331">
        <v>140124</v>
      </c>
      <c r="D11" s="329" t="s">
        <v>567</v>
      </c>
      <c r="E11" s="331" t="s">
        <v>189</v>
      </c>
      <c r="F11" s="365" t="s">
        <v>1574</v>
      </c>
      <c r="G11" s="331" t="s">
        <v>1059</v>
      </c>
      <c r="H11" s="329" t="s">
        <v>710</v>
      </c>
      <c r="I11" s="331" t="s">
        <v>18</v>
      </c>
      <c r="J11" s="365" t="s">
        <v>834</v>
      </c>
      <c r="K11" s="340">
        <v>603435.19999999995</v>
      </c>
      <c r="L11" s="331" t="s">
        <v>19</v>
      </c>
      <c r="M11" s="344">
        <v>45194</v>
      </c>
      <c r="N11" s="384">
        <v>45777</v>
      </c>
      <c r="O11" s="331" t="s">
        <v>29</v>
      </c>
      <c r="P11" s="331" t="s">
        <v>30</v>
      </c>
      <c r="Q11" s="361" t="s">
        <v>203</v>
      </c>
      <c r="R11" s="331" t="s">
        <v>265</v>
      </c>
      <c r="S11" s="331" t="s">
        <v>464</v>
      </c>
      <c r="T11" s="331" t="s">
        <v>462</v>
      </c>
      <c r="U11" s="331" t="s">
        <v>463</v>
      </c>
      <c r="V11" s="331" t="s">
        <v>461</v>
      </c>
      <c r="W11" s="331"/>
      <c r="X11" s="330"/>
      <c r="Y11" s="358" t="s">
        <v>1676</v>
      </c>
    </row>
    <row r="12" spans="1:25" s="326" customFormat="1" ht="50.1" customHeight="1" x14ac:dyDescent="0.25">
      <c r="A12" s="329">
        <v>4600059174</v>
      </c>
      <c r="B12" s="329" t="s">
        <v>718</v>
      </c>
      <c r="C12" s="329">
        <v>133831</v>
      </c>
      <c r="D12" s="329" t="s">
        <v>569</v>
      </c>
      <c r="E12" s="329">
        <v>60</v>
      </c>
      <c r="F12" s="365" t="s">
        <v>1574</v>
      </c>
      <c r="G12" s="329" t="s">
        <v>1571</v>
      </c>
      <c r="H12" s="331" t="s">
        <v>709</v>
      </c>
      <c r="I12" s="331" t="s">
        <v>18</v>
      </c>
      <c r="J12" s="331" t="s">
        <v>728</v>
      </c>
      <c r="K12" s="340">
        <v>87599.72</v>
      </c>
      <c r="L12" s="331" t="s">
        <v>19</v>
      </c>
      <c r="M12" s="344">
        <v>45668</v>
      </c>
      <c r="N12" s="344">
        <v>46568</v>
      </c>
      <c r="O12" s="335" t="s">
        <v>208</v>
      </c>
      <c r="P12" s="331" t="s">
        <v>876</v>
      </c>
      <c r="Q12" s="331" t="s">
        <v>20</v>
      </c>
      <c r="R12" s="331" t="s">
        <v>263</v>
      </c>
      <c r="S12" s="331" t="s">
        <v>725</v>
      </c>
      <c r="T12" s="331" t="s">
        <v>735</v>
      </c>
      <c r="U12" s="331" t="s">
        <v>735</v>
      </c>
      <c r="V12" s="331" t="s">
        <v>726</v>
      </c>
      <c r="W12" s="331"/>
      <c r="X12" s="330"/>
    </row>
    <row r="13" spans="1:25" s="326" customFormat="1" ht="50.1" customHeight="1" x14ac:dyDescent="0.25">
      <c r="A13" s="329">
        <v>4600058988</v>
      </c>
      <c r="B13" s="329" t="s">
        <v>230</v>
      </c>
      <c r="C13" s="329">
        <v>3041254</v>
      </c>
      <c r="D13" s="329" t="s">
        <v>567</v>
      </c>
      <c r="E13" s="329">
        <v>45</v>
      </c>
      <c r="F13" s="331" t="s">
        <v>1059</v>
      </c>
      <c r="G13" s="329" t="s">
        <v>1571</v>
      </c>
      <c r="H13" s="331" t="s">
        <v>710</v>
      </c>
      <c r="I13" s="331" t="s">
        <v>38</v>
      </c>
      <c r="J13" s="331" t="s">
        <v>866</v>
      </c>
      <c r="K13" s="340">
        <v>1794188.97</v>
      </c>
      <c r="L13" s="331" t="s">
        <v>19</v>
      </c>
      <c r="M13" s="344">
        <v>44676</v>
      </c>
      <c r="N13" s="360">
        <v>45930</v>
      </c>
      <c r="O13" s="331" t="s">
        <v>52</v>
      </c>
      <c r="P13" s="331" t="s">
        <v>204</v>
      </c>
      <c r="Q13" s="331" t="s">
        <v>875</v>
      </c>
      <c r="R13" s="331" t="s">
        <v>206</v>
      </c>
      <c r="S13" s="331" t="s">
        <v>1011</v>
      </c>
      <c r="T13" s="331" t="s">
        <v>495</v>
      </c>
      <c r="U13" s="331" t="s">
        <v>496</v>
      </c>
      <c r="V13" s="331" t="s">
        <v>1012</v>
      </c>
      <c r="W13" s="331"/>
      <c r="X13" s="330"/>
    </row>
    <row r="14" spans="1:25" s="326" customFormat="1" ht="50.1" customHeight="1" x14ac:dyDescent="0.25">
      <c r="A14" s="329">
        <v>4600057690</v>
      </c>
      <c r="B14" s="331" t="s">
        <v>241</v>
      </c>
      <c r="C14" s="331">
        <v>152962</v>
      </c>
      <c r="D14" s="329" t="s">
        <v>568</v>
      </c>
      <c r="E14" s="331">
        <v>60</v>
      </c>
      <c r="F14" s="365" t="s">
        <v>1574</v>
      </c>
      <c r="G14" s="329" t="s">
        <v>1571</v>
      </c>
      <c r="H14" s="331" t="s">
        <v>710</v>
      </c>
      <c r="I14" s="331" t="s">
        <v>18</v>
      </c>
      <c r="J14" s="331" t="s">
        <v>239</v>
      </c>
      <c r="K14" s="340">
        <v>1519158.19</v>
      </c>
      <c r="L14" s="331" t="s">
        <v>19</v>
      </c>
      <c r="M14" s="344">
        <v>45200</v>
      </c>
      <c r="N14" s="360">
        <v>46295</v>
      </c>
      <c r="O14" s="331" t="s">
        <v>208</v>
      </c>
      <c r="P14" s="331" t="s">
        <v>876</v>
      </c>
      <c r="Q14" s="362" t="s">
        <v>20</v>
      </c>
      <c r="R14" s="331" t="s">
        <v>263</v>
      </c>
      <c r="S14" s="331" t="s">
        <v>954</v>
      </c>
      <c r="T14" s="331" t="s">
        <v>956</v>
      </c>
      <c r="U14" s="331"/>
      <c r="V14" s="331" t="s">
        <v>955</v>
      </c>
      <c r="W14" s="362" t="s">
        <v>240</v>
      </c>
      <c r="X14" s="332">
        <v>45299</v>
      </c>
    </row>
    <row r="15" spans="1:25" s="391" customFormat="1" ht="50.1" customHeight="1" x14ac:dyDescent="0.25">
      <c r="A15" s="380" t="s">
        <v>1672</v>
      </c>
      <c r="B15" s="389" t="s">
        <v>241</v>
      </c>
      <c r="C15" s="389">
        <v>152962</v>
      </c>
      <c r="D15" s="380" t="s">
        <v>568</v>
      </c>
      <c r="E15" s="389">
        <v>60</v>
      </c>
      <c r="F15" s="392" t="s">
        <v>1574</v>
      </c>
      <c r="G15" s="389" t="s">
        <v>1059</v>
      </c>
      <c r="H15" s="389" t="s">
        <v>710</v>
      </c>
      <c r="I15" s="389" t="s">
        <v>18</v>
      </c>
      <c r="J15" s="389" t="s">
        <v>1668</v>
      </c>
      <c r="K15" s="393">
        <v>1519158.19</v>
      </c>
      <c r="L15" s="389" t="s">
        <v>19</v>
      </c>
      <c r="M15" s="385">
        <v>45200</v>
      </c>
      <c r="N15" s="384">
        <v>46295</v>
      </c>
      <c r="O15" s="389" t="s">
        <v>208</v>
      </c>
      <c r="P15" s="389" t="s">
        <v>876</v>
      </c>
      <c r="Q15" s="394" t="s">
        <v>20</v>
      </c>
      <c r="R15" s="389" t="s">
        <v>263</v>
      </c>
      <c r="S15" s="389" t="s">
        <v>954</v>
      </c>
      <c r="T15" s="389" t="s">
        <v>956</v>
      </c>
      <c r="U15" s="389"/>
      <c r="V15" s="389" t="s">
        <v>955</v>
      </c>
      <c r="W15" s="394" t="s">
        <v>240</v>
      </c>
      <c r="X15" s="395">
        <v>45299</v>
      </c>
      <c r="Y15" s="388" t="s">
        <v>1697</v>
      </c>
    </row>
    <row r="16" spans="1:25" s="326" customFormat="1" ht="50.1" customHeight="1" x14ac:dyDescent="0.25">
      <c r="A16" s="331">
        <v>4600057921</v>
      </c>
      <c r="B16" s="331" t="s">
        <v>182</v>
      </c>
      <c r="C16" s="331">
        <v>102369</v>
      </c>
      <c r="D16" s="331" t="s">
        <v>568</v>
      </c>
      <c r="E16" s="331">
        <v>60</v>
      </c>
      <c r="F16" s="331" t="s">
        <v>1575</v>
      </c>
      <c r="G16" s="329" t="s">
        <v>1569</v>
      </c>
      <c r="H16" s="331" t="s">
        <v>709</v>
      </c>
      <c r="I16" s="331" t="s">
        <v>18</v>
      </c>
      <c r="J16" s="331" t="s">
        <v>292</v>
      </c>
      <c r="K16" s="340">
        <v>496509.92</v>
      </c>
      <c r="L16" s="331" t="s">
        <v>19</v>
      </c>
      <c r="M16" s="344">
        <v>45342</v>
      </c>
      <c r="N16" s="360">
        <v>45708</v>
      </c>
      <c r="O16" s="331" t="s">
        <v>22</v>
      </c>
      <c r="P16" s="331" t="s">
        <v>204</v>
      </c>
      <c r="Q16" s="361" t="s">
        <v>53</v>
      </c>
      <c r="R16" s="331" t="s">
        <v>206</v>
      </c>
      <c r="S16" s="331" t="s">
        <v>1005</v>
      </c>
      <c r="T16" s="331" t="s">
        <v>1007</v>
      </c>
      <c r="U16" s="331" t="s">
        <v>432</v>
      </c>
      <c r="V16" s="331" t="s">
        <v>1006</v>
      </c>
      <c r="W16" s="331" t="s">
        <v>293</v>
      </c>
      <c r="X16" s="330"/>
    </row>
    <row r="17" spans="1:24" s="326" customFormat="1" ht="50.1" customHeight="1" x14ac:dyDescent="0.25">
      <c r="A17" s="331">
        <v>4600057099</v>
      </c>
      <c r="B17" s="331" t="s">
        <v>247</v>
      </c>
      <c r="C17" s="331">
        <v>1746544</v>
      </c>
      <c r="D17" s="329" t="s">
        <v>568</v>
      </c>
      <c r="E17" s="331">
        <v>45</v>
      </c>
      <c r="F17" s="331" t="s">
        <v>1575</v>
      </c>
      <c r="G17" s="329" t="s">
        <v>1569</v>
      </c>
      <c r="H17" s="329" t="s">
        <v>710</v>
      </c>
      <c r="I17" s="331" t="s">
        <v>18</v>
      </c>
      <c r="J17" s="331" t="s">
        <v>248</v>
      </c>
      <c r="K17" s="340">
        <v>1389600.48</v>
      </c>
      <c r="L17" s="331" t="s">
        <v>19</v>
      </c>
      <c r="M17" s="344">
        <v>44998</v>
      </c>
      <c r="N17" s="360">
        <v>45730</v>
      </c>
      <c r="O17" s="331" t="s">
        <v>152</v>
      </c>
      <c r="P17" s="331" t="s">
        <v>30</v>
      </c>
      <c r="Q17" s="331" t="s">
        <v>203</v>
      </c>
      <c r="R17" s="331" t="s">
        <v>265</v>
      </c>
      <c r="S17" s="331"/>
      <c r="T17" s="331" t="s">
        <v>503</v>
      </c>
      <c r="U17" s="331" t="s">
        <v>308</v>
      </c>
      <c r="V17" s="331" t="s">
        <v>502</v>
      </c>
      <c r="W17" s="331"/>
      <c r="X17" s="332">
        <v>45299</v>
      </c>
    </row>
    <row r="18" spans="1:24" s="326" customFormat="1" ht="50.1" customHeight="1" x14ac:dyDescent="0.25">
      <c r="A18" s="329">
        <v>4600059433</v>
      </c>
      <c r="B18" s="329" t="s">
        <v>1028</v>
      </c>
      <c r="C18" s="329">
        <v>102369</v>
      </c>
      <c r="D18" s="329" t="s">
        <v>569</v>
      </c>
      <c r="E18" s="329">
        <v>60</v>
      </c>
      <c r="F18" s="365" t="s">
        <v>1575</v>
      </c>
      <c r="G18" s="329" t="s">
        <v>1569</v>
      </c>
      <c r="H18" s="331" t="s">
        <v>709</v>
      </c>
      <c r="I18" s="331" t="s">
        <v>18</v>
      </c>
      <c r="J18" s="331" t="s">
        <v>1254</v>
      </c>
      <c r="K18" s="366">
        <v>3405450.09</v>
      </c>
      <c r="L18" s="331" t="s">
        <v>19</v>
      </c>
      <c r="M18" s="344">
        <v>45261</v>
      </c>
      <c r="N18" s="360">
        <v>45716</v>
      </c>
      <c r="O18" s="331" t="s">
        <v>22</v>
      </c>
      <c r="P18" s="331" t="s">
        <v>204</v>
      </c>
      <c r="Q18" s="331" t="s">
        <v>875</v>
      </c>
      <c r="R18" s="331" t="s">
        <v>206</v>
      </c>
      <c r="S18" s="331" t="s">
        <v>1005</v>
      </c>
      <c r="T18" s="331" t="s">
        <v>1007</v>
      </c>
      <c r="U18" s="331" t="s">
        <v>432</v>
      </c>
      <c r="V18" s="331" t="s">
        <v>1006</v>
      </c>
      <c r="W18" s="331"/>
      <c r="X18" s="330"/>
    </row>
    <row r="19" spans="1:24" s="326" customFormat="1" ht="50.1" customHeight="1" x14ac:dyDescent="0.25">
      <c r="A19" s="329">
        <v>4600057879</v>
      </c>
      <c r="B19" s="329" t="s">
        <v>137</v>
      </c>
      <c r="C19" s="329">
        <v>3002173</v>
      </c>
      <c r="D19" s="329" t="s">
        <v>568</v>
      </c>
      <c r="E19" s="329">
        <v>120</v>
      </c>
      <c r="F19" s="331" t="s">
        <v>1575</v>
      </c>
      <c r="G19" s="329" t="s">
        <v>1569</v>
      </c>
      <c r="H19" s="329" t="s">
        <v>709</v>
      </c>
      <c r="I19" s="329" t="s">
        <v>18</v>
      </c>
      <c r="J19" s="358" t="s">
        <v>138</v>
      </c>
      <c r="K19" s="359">
        <v>984000</v>
      </c>
      <c r="L19" s="329" t="s">
        <v>19</v>
      </c>
      <c r="M19" s="360">
        <v>45324</v>
      </c>
      <c r="N19" s="360">
        <v>45932</v>
      </c>
      <c r="O19" s="331" t="s">
        <v>135</v>
      </c>
      <c r="P19" s="362" t="s">
        <v>136</v>
      </c>
      <c r="Q19" s="362" t="s">
        <v>136</v>
      </c>
      <c r="R19" s="331" t="s">
        <v>263</v>
      </c>
      <c r="S19" s="331" t="s">
        <v>416</v>
      </c>
      <c r="T19" s="331" t="s">
        <v>412</v>
      </c>
      <c r="U19" s="331" t="s">
        <v>413</v>
      </c>
      <c r="V19" s="331" t="s">
        <v>411</v>
      </c>
      <c r="W19" s="331"/>
      <c r="X19" s="332">
        <v>45324</v>
      </c>
    </row>
    <row r="20" spans="1:24" s="326" customFormat="1" ht="50.1" customHeight="1" x14ac:dyDescent="0.25">
      <c r="A20" s="329">
        <v>4600052345</v>
      </c>
      <c r="B20" s="329" t="s">
        <v>72</v>
      </c>
      <c r="C20" s="329">
        <v>3036204</v>
      </c>
      <c r="D20" s="329" t="s">
        <v>568</v>
      </c>
      <c r="E20" s="329">
        <v>90</v>
      </c>
      <c r="F20" s="331" t="s">
        <v>1575</v>
      </c>
      <c r="G20" s="329" t="s">
        <v>1569</v>
      </c>
      <c r="H20" s="329" t="s">
        <v>710</v>
      </c>
      <c r="I20" s="329" t="s">
        <v>18</v>
      </c>
      <c r="J20" s="358" t="s">
        <v>73</v>
      </c>
      <c r="K20" s="340">
        <f>5327326.56+6840344.16</f>
        <v>12167670.719999999</v>
      </c>
      <c r="L20" s="329" t="s">
        <v>19</v>
      </c>
      <c r="M20" s="360">
        <v>44708</v>
      </c>
      <c r="N20" s="360">
        <v>45803</v>
      </c>
      <c r="O20" s="331" t="s">
        <v>259</v>
      </c>
      <c r="P20" s="362" t="s">
        <v>74</v>
      </c>
      <c r="Q20" s="362" t="s">
        <v>74</v>
      </c>
      <c r="R20" s="331" t="s">
        <v>262</v>
      </c>
      <c r="S20" s="331"/>
      <c r="T20" s="331" t="s">
        <v>356</v>
      </c>
      <c r="U20" s="331" t="s">
        <v>357</v>
      </c>
      <c r="V20" s="331" t="s">
        <v>355</v>
      </c>
      <c r="W20" s="331"/>
      <c r="X20" s="330"/>
    </row>
    <row r="21" spans="1:24" s="326" customFormat="1" ht="50.1" customHeight="1" x14ac:dyDescent="0.25">
      <c r="A21" s="329">
        <v>4600057264</v>
      </c>
      <c r="B21" s="329" t="s">
        <v>146</v>
      </c>
      <c r="C21" s="329">
        <v>3037146</v>
      </c>
      <c r="D21" s="329" t="s">
        <v>568</v>
      </c>
      <c r="E21" s="329">
        <v>45</v>
      </c>
      <c r="F21" s="365" t="s">
        <v>1574</v>
      </c>
      <c r="G21" s="329" t="s">
        <v>1569</v>
      </c>
      <c r="H21" s="329" t="s">
        <v>710</v>
      </c>
      <c r="I21" s="335" t="s">
        <v>38</v>
      </c>
      <c r="J21" s="335" t="s">
        <v>258</v>
      </c>
      <c r="K21" s="369">
        <v>2100000</v>
      </c>
      <c r="L21" s="335" t="s">
        <v>19</v>
      </c>
      <c r="M21" s="370">
        <v>45008</v>
      </c>
      <c r="N21" s="360">
        <v>45793</v>
      </c>
      <c r="O21" s="335" t="s">
        <v>259</v>
      </c>
      <c r="P21" s="331" t="s">
        <v>74</v>
      </c>
      <c r="Q21" s="331" t="s">
        <v>74</v>
      </c>
      <c r="R21" s="331" t="s">
        <v>262</v>
      </c>
      <c r="S21" s="335" t="s">
        <v>423</v>
      </c>
      <c r="T21" s="335" t="s">
        <v>424</v>
      </c>
      <c r="U21" s="335" t="s">
        <v>425</v>
      </c>
      <c r="V21" s="335" t="s">
        <v>422</v>
      </c>
      <c r="W21" s="335" t="s">
        <v>260</v>
      </c>
      <c r="X21" s="336" t="s">
        <v>828</v>
      </c>
    </row>
    <row r="22" spans="1:24" s="326" customFormat="1" ht="50.1" customHeight="1" x14ac:dyDescent="0.25">
      <c r="A22" s="329">
        <v>4600058160</v>
      </c>
      <c r="B22" s="329" t="s">
        <v>44</v>
      </c>
      <c r="C22" s="329">
        <v>106872</v>
      </c>
      <c r="D22" s="329" t="s">
        <v>569</v>
      </c>
      <c r="E22" s="329">
        <v>60</v>
      </c>
      <c r="F22" s="331" t="s">
        <v>1575</v>
      </c>
      <c r="G22" s="329" t="s">
        <v>1569</v>
      </c>
      <c r="H22" s="329" t="s">
        <v>709</v>
      </c>
      <c r="I22" s="329" t="s">
        <v>18</v>
      </c>
      <c r="J22" s="358" t="s">
        <v>54</v>
      </c>
      <c r="K22" s="359">
        <v>79198.5</v>
      </c>
      <c r="L22" s="329" t="s">
        <v>19</v>
      </c>
      <c r="M22" s="360">
        <v>45446</v>
      </c>
      <c r="N22" s="360">
        <v>45784</v>
      </c>
      <c r="O22" s="331" t="s">
        <v>29</v>
      </c>
      <c r="P22" s="331" t="s">
        <v>30</v>
      </c>
      <c r="Q22" s="331" t="s">
        <v>203</v>
      </c>
      <c r="R22" s="331" t="s">
        <v>265</v>
      </c>
      <c r="S22" s="331" t="s">
        <v>329</v>
      </c>
      <c r="T22" s="331" t="s">
        <v>328</v>
      </c>
      <c r="U22" s="331" t="s">
        <v>308</v>
      </c>
      <c r="V22" s="331" t="s">
        <v>327</v>
      </c>
      <c r="W22" s="331"/>
      <c r="X22" s="330"/>
    </row>
    <row r="23" spans="1:24" s="326" customFormat="1" ht="50.1" customHeight="1" x14ac:dyDescent="0.25">
      <c r="A23" s="329">
        <v>4600057927</v>
      </c>
      <c r="B23" s="329" t="s">
        <v>41</v>
      </c>
      <c r="C23" s="329">
        <v>1015876</v>
      </c>
      <c r="D23" s="329" t="s">
        <v>568</v>
      </c>
      <c r="E23" s="329">
        <v>45</v>
      </c>
      <c r="F23" s="331" t="s">
        <v>1575</v>
      </c>
      <c r="G23" s="329" t="s">
        <v>1569</v>
      </c>
      <c r="H23" s="335" t="s">
        <v>709</v>
      </c>
      <c r="I23" s="335" t="s">
        <v>18</v>
      </c>
      <c r="J23" s="368" t="s">
        <v>42</v>
      </c>
      <c r="K23" s="369">
        <v>665098.52</v>
      </c>
      <c r="L23" s="335" t="s">
        <v>19</v>
      </c>
      <c r="M23" s="370">
        <v>42529</v>
      </c>
      <c r="N23" s="360">
        <v>45818</v>
      </c>
      <c r="O23" s="335" t="s">
        <v>29</v>
      </c>
      <c r="P23" s="331" t="s">
        <v>30</v>
      </c>
      <c r="Q23" s="331" t="s">
        <v>75</v>
      </c>
      <c r="R23" s="331" t="s">
        <v>265</v>
      </c>
      <c r="S23" s="335"/>
      <c r="T23" s="335" t="s">
        <v>313</v>
      </c>
      <c r="U23" s="335" t="s">
        <v>314</v>
      </c>
      <c r="V23" s="335" t="s">
        <v>312</v>
      </c>
      <c r="W23" s="335" t="s">
        <v>291</v>
      </c>
      <c r="X23" s="333"/>
    </row>
    <row r="24" spans="1:24" s="326" customFormat="1" ht="50.1" customHeight="1" x14ac:dyDescent="0.25">
      <c r="A24" s="329">
        <v>4600057373</v>
      </c>
      <c r="B24" s="329" t="s">
        <v>176</v>
      </c>
      <c r="C24" s="329">
        <v>3043452</v>
      </c>
      <c r="D24" s="329" t="s">
        <v>567</v>
      </c>
      <c r="E24" s="329">
        <v>45</v>
      </c>
      <c r="F24" s="365" t="s">
        <v>1574</v>
      </c>
      <c r="G24" s="329" t="s">
        <v>1569</v>
      </c>
      <c r="H24" s="331" t="s">
        <v>710</v>
      </c>
      <c r="I24" s="329" t="s">
        <v>38</v>
      </c>
      <c r="J24" s="358" t="s">
        <v>177</v>
      </c>
      <c r="K24" s="359">
        <v>2100000</v>
      </c>
      <c r="L24" s="329" t="s">
        <v>19</v>
      </c>
      <c r="M24" s="360">
        <v>45096</v>
      </c>
      <c r="N24" s="360">
        <v>45827</v>
      </c>
      <c r="O24" s="331" t="s">
        <v>1620</v>
      </c>
      <c r="P24" s="331" t="s">
        <v>1619</v>
      </c>
      <c r="Q24" s="331" t="s">
        <v>1619</v>
      </c>
      <c r="R24" s="331" t="s">
        <v>261</v>
      </c>
      <c r="S24" s="331" t="s">
        <v>455</v>
      </c>
      <c r="T24" s="331" t="s">
        <v>452</v>
      </c>
      <c r="U24" s="331" t="s">
        <v>453</v>
      </c>
      <c r="V24" s="331" t="s">
        <v>451</v>
      </c>
      <c r="W24" s="331"/>
      <c r="X24" s="330"/>
    </row>
    <row r="25" spans="1:24" s="326" customFormat="1" ht="50.1" customHeight="1" x14ac:dyDescent="0.25">
      <c r="A25" s="329">
        <v>4600058275</v>
      </c>
      <c r="B25" s="329" t="s">
        <v>804</v>
      </c>
      <c r="C25" s="329" t="s">
        <v>995</v>
      </c>
      <c r="D25" s="329" t="s">
        <v>569</v>
      </c>
      <c r="E25" s="329">
        <v>30</v>
      </c>
      <c r="F25" s="331" t="s">
        <v>1575</v>
      </c>
      <c r="G25" s="329" t="s">
        <v>1569</v>
      </c>
      <c r="H25" s="331" t="s">
        <v>709</v>
      </c>
      <c r="I25" s="331" t="s">
        <v>18</v>
      </c>
      <c r="J25" s="331" t="s">
        <v>1613</v>
      </c>
      <c r="K25" s="340">
        <v>25200</v>
      </c>
      <c r="L25" s="331" t="s">
        <v>749</v>
      </c>
      <c r="M25" s="344">
        <v>45503</v>
      </c>
      <c r="N25" s="360">
        <v>45868</v>
      </c>
      <c r="O25" s="331" t="s">
        <v>22</v>
      </c>
      <c r="P25" s="331" t="s">
        <v>876</v>
      </c>
      <c r="Q25" s="331" t="s">
        <v>53</v>
      </c>
      <c r="R25" s="331" t="s">
        <v>206</v>
      </c>
      <c r="S25" s="331" t="s">
        <v>750</v>
      </c>
      <c r="T25" s="331" t="s">
        <v>751</v>
      </c>
      <c r="U25" s="331"/>
      <c r="V25" s="331" t="s">
        <v>752</v>
      </c>
      <c r="W25" s="331" t="s">
        <v>753</v>
      </c>
      <c r="X25" s="330"/>
    </row>
    <row r="26" spans="1:24" s="326" customFormat="1" ht="50.1" customHeight="1" x14ac:dyDescent="0.25">
      <c r="A26" s="331">
        <v>4600057540</v>
      </c>
      <c r="B26" s="329" t="s">
        <v>184</v>
      </c>
      <c r="C26" s="331">
        <v>3044008</v>
      </c>
      <c r="D26" s="329" t="s">
        <v>569</v>
      </c>
      <c r="E26" s="331">
        <v>60</v>
      </c>
      <c r="F26" s="331" t="s">
        <v>1575</v>
      </c>
      <c r="G26" s="329" t="s">
        <v>1569</v>
      </c>
      <c r="H26" s="329" t="s">
        <v>710</v>
      </c>
      <c r="I26" s="331" t="s">
        <v>18</v>
      </c>
      <c r="J26" s="365" t="s">
        <v>185</v>
      </c>
      <c r="K26" s="340">
        <v>591561.55000000005</v>
      </c>
      <c r="L26" s="331" t="s">
        <v>19</v>
      </c>
      <c r="M26" s="344">
        <v>45148</v>
      </c>
      <c r="N26" s="360">
        <v>45878</v>
      </c>
      <c r="O26" s="331" t="s">
        <v>22</v>
      </c>
      <c r="P26" s="331" t="s">
        <v>204</v>
      </c>
      <c r="Q26" s="361" t="s">
        <v>875</v>
      </c>
      <c r="R26" s="331" t="s">
        <v>206</v>
      </c>
      <c r="S26" s="331" t="s">
        <v>935</v>
      </c>
      <c r="T26" s="331" t="s">
        <v>936</v>
      </c>
      <c r="U26" s="331" t="s">
        <v>308</v>
      </c>
      <c r="V26" s="331" t="s">
        <v>457</v>
      </c>
      <c r="W26" s="331"/>
      <c r="X26" s="330"/>
    </row>
    <row r="27" spans="1:24" s="326" customFormat="1" ht="50.1" customHeight="1" x14ac:dyDescent="0.25">
      <c r="A27" s="396">
        <v>4600058285</v>
      </c>
      <c r="B27" s="329" t="s">
        <v>754</v>
      </c>
      <c r="C27" s="329">
        <v>3045861</v>
      </c>
      <c r="D27" s="329" t="s">
        <v>568</v>
      </c>
      <c r="E27" s="329">
        <v>30</v>
      </c>
      <c r="F27" s="331" t="s">
        <v>1575</v>
      </c>
      <c r="G27" s="329" t="s">
        <v>1569</v>
      </c>
      <c r="H27" s="331" t="s">
        <v>709</v>
      </c>
      <c r="I27" s="331" t="s">
        <v>18</v>
      </c>
      <c r="J27" s="331" t="s">
        <v>755</v>
      </c>
      <c r="K27" s="340">
        <v>45000</v>
      </c>
      <c r="L27" s="331" t="s">
        <v>749</v>
      </c>
      <c r="M27" s="344">
        <v>45505</v>
      </c>
      <c r="N27" s="360">
        <v>45870</v>
      </c>
      <c r="O27" s="335" t="s">
        <v>29</v>
      </c>
      <c r="P27" s="331" t="s">
        <v>30</v>
      </c>
      <c r="Q27" s="331" t="s">
        <v>203</v>
      </c>
      <c r="R27" s="331" t="s">
        <v>265</v>
      </c>
      <c r="S27" s="331" t="s">
        <v>758</v>
      </c>
      <c r="T27" s="331" t="s">
        <v>756</v>
      </c>
      <c r="U27" s="331"/>
      <c r="V27" s="331" t="s">
        <v>757</v>
      </c>
      <c r="W27" s="331"/>
      <c r="X27" s="330"/>
    </row>
    <row r="28" spans="1:24" s="326" customFormat="1" ht="50.1" customHeight="1" x14ac:dyDescent="0.25">
      <c r="A28" s="396">
        <v>4600058362</v>
      </c>
      <c r="B28" s="329" t="s">
        <v>797</v>
      </c>
      <c r="C28" s="329" t="s">
        <v>986</v>
      </c>
      <c r="D28" s="329" t="s">
        <v>568</v>
      </c>
      <c r="E28" s="329" t="s">
        <v>855</v>
      </c>
      <c r="F28" s="331" t="s">
        <v>1575</v>
      </c>
      <c r="G28" s="329" t="s">
        <v>1569</v>
      </c>
      <c r="H28" s="329" t="s">
        <v>709</v>
      </c>
      <c r="I28" s="340" t="s">
        <v>18</v>
      </c>
      <c r="J28" s="331" t="s">
        <v>850</v>
      </c>
      <c r="K28" s="340">
        <v>54050</v>
      </c>
      <c r="L28" s="331" t="s">
        <v>19</v>
      </c>
      <c r="M28" s="360">
        <v>45547</v>
      </c>
      <c r="N28" s="360">
        <v>45911</v>
      </c>
      <c r="O28" s="331" t="s">
        <v>617</v>
      </c>
      <c r="P28" s="331" t="s">
        <v>30</v>
      </c>
      <c r="Q28" s="331" t="s">
        <v>203</v>
      </c>
      <c r="R28" s="331" t="s">
        <v>265</v>
      </c>
      <c r="S28" s="331"/>
      <c r="T28" s="331"/>
      <c r="U28" s="331"/>
      <c r="V28" s="331"/>
      <c r="W28" s="331"/>
      <c r="X28" s="330"/>
    </row>
    <row r="29" spans="1:24" s="326" customFormat="1" ht="50.1" customHeight="1" x14ac:dyDescent="0.25">
      <c r="A29" s="396">
        <v>4600058404</v>
      </c>
      <c r="B29" s="329" t="s">
        <v>798</v>
      </c>
      <c r="C29" s="329" t="s">
        <v>987</v>
      </c>
      <c r="D29" s="329" t="s">
        <v>568</v>
      </c>
      <c r="E29" s="329" t="s">
        <v>855</v>
      </c>
      <c r="F29" s="331" t="s">
        <v>1575</v>
      </c>
      <c r="G29" s="329" t="s">
        <v>1569</v>
      </c>
      <c r="H29" s="329" t="s">
        <v>709</v>
      </c>
      <c r="I29" s="340" t="s">
        <v>18</v>
      </c>
      <c r="J29" s="331" t="s">
        <v>872</v>
      </c>
      <c r="K29" s="340">
        <v>219979.2</v>
      </c>
      <c r="L29" s="331" t="s">
        <v>19</v>
      </c>
      <c r="M29" s="360">
        <v>45555</v>
      </c>
      <c r="N29" s="360">
        <v>45919</v>
      </c>
      <c r="O29" s="331" t="s">
        <v>208</v>
      </c>
      <c r="P29" s="331" t="s">
        <v>876</v>
      </c>
      <c r="Q29" s="331" t="s">
        <v>20</v>
      </c>
      <c r="R29" s="331" t="s">
        <v>263</v>
      </c>
      <c r="S29" s="331"/>
      <c r="T29" s="331"/>
      <c r="U29" s="331"/>
      <c r="V29" s="331"/>
      <c r="W29" s="331"/>
      <c r="X29" s="330"/>
    </row>
    <row r="30" spans="1:24" s="349" customFormat="1" ht="50.1" customHeight="1" x14ac:dyDescent="0.2">
      <c r="A30" s="396">
        <v>4600059760</v>
      </c>
      <c r="B30" s="329" t="s">
        <v>1650</v>
      </c>
      <c r="C30" s="329">
        <v>3047533</v>
      </c>
      <c r="D30" s="329" t="s">
        <v>568</v>
      </c>
      <c r="E30" s="329">
        <v>60</v>
      </c>
      <c r="F30" s="365" t="s">
        <v>1574</v>
      </c>
      <c r="G30" s="329" t="s">
        <v>1569</v>
      </c>
      <c r="H30" s="329" t="s">
        <v>710</v>
      </c>
      <c r="I30" s="329" t="s">
        <v>38</v>
      </c>
      <c r="J30" s="329" t="s">
        <v>1651</v>
      </c>
      <c r="K30" s="340">
        <v>96000</v>
      </c>
      <c r="L30" s="329" t="s">
        <v>19</v>
      </c>
      <c r="M30" s="360">
        <v>45818</v>
      </c>
      <c r="N30" s="360">
        <v>45909</v>
      </c>
      <c r="O30" s="331" t="s">
        <v>22</v>
      </c>
      <c r="P30" s="331" t="s">
        <v>204</v>
      </c>
      <c r="Q30" s="331" t="s">
        <v>553</v>
      </c>
      <c r="R30" s="331" t="s">
        <v>206</v>
      </c>
      <c r="S30" s="329"/>
      <c r="T30" s="329"/>
      <c r="U30" s="329"/>
      <c r="V30" s="329"/>
      <c r="W30" s="329"/>
      <c r="X30" s="328"/>
    </row>
    <row r="31" spans="1:24" s="326" customFormat="1" ht="50.1" customHeight="1" x14ac:dyDescent="0.25">
      <c r="A31" s="396">
        <v>4600058180</v>
      </c>
      <c r="B31" s="329" t="s">
        <v>1051</v>
      </c>
      <c r="C31" s="329">
        <v>3044034</v>
      </c>
      <c r="D31" s="329" t="s">
        <v>568</v>
      </c>
      <c r="E31" s="329" t="s">
        <v>854</v>
      </c>
      <c r="F31" s="331" t="s">
        <v>1575</v>
      </c>
      <c r="G31" s="329" t="s">
        <v>1569</v>
      </c>
      <c r="H31" s="329" t="s">
        <v>709</v>
      </c>
      <c r="I31" s="340" t="s">
        <v>18</v>
      </c>
      <c r="J31" s="365" t="s">
        <v>1050</v>
      </c>
      <c r="K31" s="340">
        <v>189288</v>
      </c>
      <c r="L31" s="331" t="s">
        <v>19</v>
      </c>
      <c r="M31" s="360">
        <v>45449</v>
      </c>
      <c r="N31" s="360">
        <v>45879</v>
      </c>
      <c r="O31" s="331" t="s">
        <v>22</v>
      </c>
      <c r="P31" s="331" t="s">
        <v>204</v>
      </c>
      <c r="Q31" s="331" t="s">
        <v>875</v>
      </c>
      <c r="R31" s="331" t="s">
        <v>206</v>
      </c>
      <c r="S31" s="331"/>
      <c r="T31" s="331" t="s">
        <v>459</v>
      </c>
      <c r="U31" s="331" t="s">
        <v>460</v>
      </c>
      <c r="V31" s="331" t="s">
        <v>458</v>
      </c>
      <c r="W31" s="331" t="s">
        <v>1052</v>
      </c>
      <c r="X31" s="330" t="s">
        <v>833</v>
      </c>
    </row>
    <row r="32" spans="1:24" s="326" customFormat="1" ht="50.1" customHeight="1" x14ac:dyDescent="0.25">
      <c r="A32" s="363">
        <v>4600058250</v>
      </c>
      <c r="B32" s="329" t="s">
        <v>61</v>
      </c>
      <c r="C32" s="329">
        <v>188451</v>
      </c>
      <c r="D32" s="329" t="s">
        <v>569</v>
      </c>
      <c r="E32" s="331">
        <v>60</v>
      </c>
      <c r="F32" s="331" t="s">
        <v>1575</v>
      </c>
      <c r="G32" s="329" t="s">
        <v>1569</v>
      </c>
      <c r="H32" s="329" t="s">
        <v>709</v>
      </c>
      <c r="I32" s="331" t="s">
        <v>18</v>
      </c>
      <c r="J32" s="331" t="s">
        <v>715</v>
      </c>
      <c r="K32" s="340">
        <v>1306918.8700000001</v>
      </c>
      <c r="L32" s="331" t="s">
        <v>19</v>
      </c>
      <c r="M32" s="344">
        <v>44501</v>
      </c>
      <c r="N32" s="360">
        <v>45961</v>
      </c>
      <c r="O32" s="331" t="s">
        <v>22</v>
      </c>
      <c r="P32" s="331" t="s">
        <v>204</v>
      </c>
      <c r="Q32" s="362" t="s">
        <v>53</v>
      </c>
      <c r="R32" s="331" t="s">
        <v>206</v>
      </c>
      <c r="S32" s="331" t="s">
        <v>965</v>
      </c>
      <c r="T32" s="331" t="s">
        <v>741</v>
      </c>
      <c r="U32" s="331" t="s">
        <v>740</v>
      </c>
      <c r="V32" s="331" t="s">
        <v>742</v>
      </c>
      <c r="W32" s="331"/>
      <c r="X32" s="330"/>
    </row>
    <row r="33" spans="1:25" s="326" customFormat="1" ht="50.1" customHeight="1" x14ac:dyDescent="0.25">
      <c r="A33" s="396">
        <v>4600058024</v>
      </c>
      <c r="B33" s="329" t="s">
        <v>722</v>
      </c>
      <c r="C33" s="329">
        <v>164689</v>
      </c>
      <c r="D33" s="329" t="s">
        <v>569</v>
      </c>
      <c r="E33" s="329">
        <v>60</v>
      </c>
      <c r="F33" s="365" t="s">
        <v>1574</v>
      </c>
      <c r="G33" s="329" t="s">
        <v>1569</v>
      </c>
      <c r="H33" s="329" t="s">
        <v>710</v>
      </c>
      <c r="I33" s="331" t="s">
        <v>18</v>
      </c>
      <c r="J33" s="331" t="s">
        <v>731</v>
      </c>
      <c r="K33" s="340">
        <v>14679.4</v>
      </c>
      <c r="L33" s="331" t="s">
        <v>19</v>
      </c>
      <c r="M33" s="344">
        <v>44865</v>
      </c>
      <c r="N33" s="360">
        <v>45960</v>
      </c>
      <c r="O33" s="335" t="s">
        <v>208</v>
      </c>
      <c r="P33" s="331" t="s">
        <v>876</v>
      </c>
      <c r="Q33" s="331" t="s">
        <v>20</v>
      </c>
      <c r="R33" s="331" t="s">
        <v>263</v>
      </c>
      <c r="S33" s="331"/>
      <c r="T33" s="331"/>
      <c r="U33" s="331"/>
      <c r="V33" s="331"/>
      <c r="W33" s="331"/>
      <c r="X33" s="330"/>
    </row>
    <row r="34" spans="1:25" s="326" customFormat="1" ht="50.1" customHeight="1" x14ac:dyDescent="0.25">
      <c r="A34" s="396">
        <v>4600058431</v>
      </c>
      <c r="B34" s="329" t="s">
        <v>791</v>
      </c>
      <c r="C34" s="329" t="s">
        <v>975</v>
      </c>
      <c r="D34" s="329" t="s">
        <v>568</v>
      </c>
      <c r="E34" s="329" t="s">
        <v>854</v>
      </c>
      <c r="F34" s="331" t="s">
        <v>1575</v>
      </c>
      <c r="G34" s="329" t="s">
        <v>1569</v>
      </c>
      <c r="H34" s="329" t="s">
        <v>709</v>
      </c>
      <c r="I34" s="329" t="s">
        <v>18</v>
      </c>
      <c r="J34" s="331" t="s">
        <v>870</v>
      </c>
      <c r="K34" s="340">
        <v>80000</v>
      </c>
      <c r="L34" s="331" t="s">
        <v>19</v>
      </c>
      <c r="M34" s="360">
        <v>45583</v>
      </c>
      <c r="N34" s="360">
        <v>45946</v>
      </c>
      <c r="O34" s="331" t="s">
        <v>93</v>
      </c>
      <c r="P34" s="331" t="s">
        <v>878</v>
      </c>
      <c r="Q34" s="331" t="s">
        <v>878</v>
      </c>
      <c r="R34" s="331" t="s">
        <v>877</v>
      </c>
      <c r="S34" s="331"/>
      <c r="T34" s="331"/>
      <c r="U34" s="331"/>
      <c r="V34" s="331"/>
      <c r="W34" s="331"/>
      <c r="X34" s="330"/>
    </row>
    <row r="35" spans="1:25" s="327" customFormat="1" ht="50.1" customHeight="1" x14ac:dyDescent="0.25">
      <c r="A35" s="329">
        <v>4600058306</v>
      </c>
      <c r="B35" s="329" t="s">
        <v>1053</v>
      </c>
      <c r="C35" s="329">
        <v>3043795</v>
      </c>
      <c r="D35" s="329" t="s">
        <v>569</v>
      </c>
      <c r="E35" s="329">
        <v>30</v>
      </c>
      <c r="F35" s="331" t="s">
        <v>1575</v>
      </c>
      <c r="G35" s="329" t="s">
        <v>1569</v>
      </c>
      <c r="H35" s="329" t="s">
        <v>709</v>
      </c>
      <c r="I35" s="329" t="s">
        <v>18</v>
      </c>
      <c r="J35" s="331" t="s">
        <v>236</v>
      </c>
      <c r="K35" s="340">
        <v>66000</v>
      </c>
      <c r="L35" s="329" t="s">
        <v>19</v>
      </c>
      <c r="M35" s="344">
        <v>45591</v>
      </c>
      <c r="N35" s="344">
        <v>45955</v>
      </c>
      <c r="O35" s="331" t="s">
        <v>93</v>
      </c>
      <c r="P35" s="331" t="s">
        <v>94</v>
      </c>
      <c r="Q35" s="331" t="s">
        <v>94</v>
      </c>
      <c r="R35" s="331" t="s">
        <v>877</v>
      </c>
      <c r="S35" s="331"/>
      <c r="T35" s="331"/>
      <c r="U35" s="331"/>
      <c r="V35" s="331"/>
      <c r="W35" s="331"/>
      <c r="X35" s="330"/>
    </row>
    <row r="36" spans="1:25" s="326" customFormat="1" ht="50.1" customHeight="1" x14ac:dyDescent="0.25">
      <c r="A36" s="329">
        <v>4600058523</v>
      </c>
      <c r="B36" s="329" t="s">
        <v>717</v>
      </c>
      <c r="C36" s="329">
        <v>3045179</v>
      </c>
      <c r="D36" s="329" t="s">
        <v>569</v>
      </c>
      <c r="E36" s="329">
        <v>30</v>
      </c>
      <c r="F36" s="331" t="s">
        <v>1575</v>
      </c>
      <c r="G36" s="329" t="s">
        <v>1569</v>
      </c>
      <c r="H36" s="329" t="s">
        <v>709</v>
      </c>
      <c r="I36" s="331" t="s">
        <v>18</v>
      </c>
      <c r="J36" s="331" t="s">
        <v>864</v>
      </c>
      <c r="K36" s="340">
        <v>750000</v>
      </c>
      <c r="L36" s="331" t="s">
        <v>19</v>
      </c>
      <c r="M36" s="344">
        <v>45608</v>
      </c>
      <c r="N36" s="360">
        <v>45972</v>
      </c>
      <c r="O36" s="331" t="s">
        <v>22</v>
      </c>
      <c r="P36" s="331" t="s">
        <v>204</v>
      </c>
      <c r="Q36" s="331" t="s">
        <v>875</v>
      </c>
      <c r="R36" s="331" t="s">
        <v>206</v>
      </c>
      <c r="S36" s="331"/>
      <c r="T36" s="331"/>
      <c r="U36" s="331"/>
      <c r="V36" s="331"/>
      <c r="W36" s="331"/>
      <c r="X36" s="330"/>
    </row>
    <row r="37" spans="1:25" s="327" customFormat="1" ht="50.1" customHeight="1" x14ac:dyDescent="0.25">
      <c r="A37" s="329" t="s">
        <v>1088</v>
      </c>
      <c r="B37" s="358" t="s">
        <v>1596</v>
      </c>
      <c r="C37" s="329">
        <v>3038493</v>
      </c>
      <c r="D37" s="329" t="s">
        <v>568</v>
      </c>
      <c r="E37" s="329">
        <v>1</v>
      </c>
      <c r="F37" s="365" t="s">
        <v>1574</v>
      </c>
      <c r="G37" s="329" t="s">
        <v>1571</v>
      </c>
      <c r="H37" s="331" t="s">
        <v>710</v>
      </c>
      <c r="I37" s="331" t="s">
        <v>18</v>
      </c>
      <c r="J37" s="365" t="s">
        <v>1092</v>
      </c>
      <c r="K37" s="331" t="s">
        <v>1089</v>
      </c>
      <c r="L37" s="331" t="s">
        <v>19</v>
      </c>
      <c r="M37" s="344">
        <v>44327</v>
      </c>
      <c r="N37" s="331" t="s">
        <v>1090</v>
      </c>
      <c r="O37" s="331" t="s">
        <v>29</v>
      </c>
      <c r="P37" s="331" t="s">
        <v>30</v>
      </c>
      <c r="Q37" s="331" t="s">
        <v>203</v>
      </c>
      <c r="R37" s="331" t="s">
        <v>265</v>
      </c>
      <c r="S37" s="331"/>
      <c r="T37" s="331"/>
      <c r="U37" s="331"/>
      <c r="V37" s="331"/>
      <c r="W37" s="331"/>
      <c r="X37" s="330"/>
      <c r="Y37" s="388" t="s">
        <v>1705</v>
      </c>
    </row>
    <row r="38" spans="1:25" s="327" customFormat="1" ht="50.1" customHeight="1" x14ac:dyDescent="0.25">
      <c r="A38" s="358" t="s">
        <v>1604</v>
      </c>
      <c r="B38" s="358" t="s">
        <v>2030</v>
      </c>
      <c r="C38" s="329">
        <v>3043270</v>
      </c>
      <c r="D38" s="329" t="s">
        <v>1880</v>
      </c>
      <c r="E38" s="329">
        <v>60</v>
      </c>
      <c r="F38" s="365" t="s">
        <v>1574</v>
      </c>
      <c r="G38" s="331" t="s">
        <v>1575</v>
      </c>
      <c r="H38" s="329" t="s">
        <v>710</v>
      </c>
      <c r="I38" s="329" t="s">
        <v>95</v>
      </c>
      <c r="J38" s="331" t="s">
        <v>2011</v>
      </c>
      <c r="K38" s="340">
        <v>8109405.2400000002</v>
      </c>
      <c r="L38" s="329" t="s">
        <v>19</v>
      </c>
      <c r="M38" s="344">
        <v>45047</v>
      </c>
      <c r="N38" s="344">
        <v>46142</v>
      </c>
      <c r="O38" s="331" t="s">
        <v>208</v>
      </c>
      <c r="P38" s="331" t="s">
        <v>876</v>
      </c>
      <c r="Q38" s="362" t="str">
        <f t="shared" ref="Q38:R43" si="0">UPPER(P38:P38)</f>
        <v xml:space="preserve">GLAUBER HENRIQUE DOS SANTOS </v>
      </c>
      <c r="R38" s="331" t="str">
        <f t="shared" si="0"/>
        <v xml:space="preserve">GLAUBER HENRIQUE DOS SANTOS </v>
      </c>
      <c r="S38" s="331" t="s">
        <v>1086</v>
      </c>
      <c r="T38" s="331"/>
      <c r="U38" s="331"/>
      <c r="V38" s="331"/>
      <c r="W38" s="331"/>
      <c r="X38" s="330"/>
    </row>
    <row r="39" spans="1:25" s="326" customFormat="1" ht="50.1" customHeight="1" x14ac:dyDescent="0.25">
      <c r="A39" s="329">
        <v>4600057373</v>
      </c>
      <c r="B39" s="329" t="s">
        <v>176</v>
      </c>
      <c r="C39" s="329">
        <v>3043452</v>
      </c>
      <c r="D39" s="329" t="s">
        <v>1881</v>
      </c>
      <c r="E39" s="329">
        <v>45</v>
      </c>
      <c r="F39" s="365" t="s">
        <v>1574</v>
      </c>
      <c r="G39" s="331" t="s">
        <v>1575</v>
      </c>
      <c r="H39" s="331" t="s">
        <v>710</v>
      </c>
      <c r="I39" s="329" t="s">
        <v>38</v>
      </c>
      <c r="J39" s="358" t="s">
        <v>177</v>
      </c>
      <c r="K39" s="359">
        <v>2100000</v>
      </c>
      <c r="L39" s="329" t="s">
        <v>19</v>
      </c>
      <c r="M39" s="360">
        <v>45096</v>
      </c>
      <c r="N39" s="360">
        <v>45827</v>
      </c>
      <c r="O39" s="331" t="s">
        <v>1620</v>
      </c>
      <c r="P39" s="331" t="s">
        <v>2018</v>
      </c>
      <c r="Q39" s="362" t="str">
        <f t="shared" si="0"/>
        <v>MARCELO ALBERTO PINTO</v>
      </c>
      <c r="R39" s="331" t="str">
        <f t="shared" si="0"/>
        <v>MARCELO ALBERTO PINTO</v>
      </c>
      <c r="S39" s="331" t="s">
        <v>455</v>
      </c>
      <c r="T39" s="331" t="s">
        <v>452</v>
      </c>
      <c r="U39" s="331" t="s">
        <v>453</v>
      </c>
      <c r="V39" s="331" t="s">
        <v>451</v>
      </c>
      <c r="W39" s="331"/>
      <c r="X39" s="330"/>
    </row>
    <row r="40" spans="1:25" s="326" customFormat="1" ht="50.1" customHeight="1" x14ac:dyDescent="0.25">
      <c r="A40" s="331">
        <v>4600057284</v>
      </c>
      <c r="B40" s="331" t="s">
        <v>271</v>
      </c>
      <c r="C40" s="331">
        <v>181937</v>
      </c>
      <c r="D40" s="329" t="s">
        <v>1880</v>
      </c>
      <c r="E40" s="331">
        <v>45</v>
      </c>
      <c r="F40" s="365" t="s">
        <v>1582</v>
      </c>
      <c r="G40" s="331" t="s">
        <v>1575</v>
      </c>
      <c r="H40" s="329" t="s">
        <v>710</v>
      </c>
      <c r="I40" s="331" t="s">
        <v>38</v>
      </c>
      <c r="J40" s="331" t="s">
        <v>1926</v>
      </c>
      <c r="K40" s="340">
        <v>2100000</v>
      </c>
      <c r="L40" s="331" t="s">
        <v>19</v>
      </c>
      <c r="M40" s="344">
        <v>45063</v>
      </c>
      <c r="N40" s="360">
        <v>45793</v>
      </c>
      <c r="O40" s="331" t="s">
        <v>1620</v>
      </c>
      <c r="P40" s="331" t="s">
        <v>2018</v>
      </c>
      <c r="Q40" s="362" t="str">
        <f t="shared" si="0"/>
        <v>MARCELO ALBERTO PINTO</v>
      </c>
      <c r="R40" s="331" t="str">
        <f t="shared" si="0"/>
        <v>MARCELO ALBERTO PINTO</v>
      </c>
      <c r="S40" s="331"/>
      <c r="T40" s="331" t="s">
        <v>527</v>
      </c>
      <c r="U40" s="331" t="s">
        <v>528</v>
      </c>
      <c r="V40" s="331" t="s">
        <v>526</v>
      </c>
      <c r="W40" s="331"/>
      <c r="X40" s="332">
        <v>45299</v>
      </c>
    </row>
    <row r="41" spans="1:25" s="326" customFormat="1" ht="50.1" customHeight="1" x14ac:dyDescent="0.25">
      <c r="A41" s="329">
        <v>4600057264</v>
      </c>
      <c r="B41" s="329" t="s">
        <v>146</v>
      </c>
      <c r="C41" s="329">
        <v>3037146</v>
      </c>
      <c r="D41" s="329" t="s">
        <v>1880</v>
      </c>
      <c r="E41" s="329">
        <v>45</v>
      </c>
      <c r="F41" s="365" t="s">
        <v>1574</v>
      </c>
      <c r="G41" s="331" t="s">
        <v>1575</v>
      </c>
      <c r="H41" s="329" t="s">
        <v>710</v>
      </c>
      <c r="I41" s="335" t="s">
        <v>38</v>
      </c>
      <c r="J41" s="335" t="s">
        <v>1936</v>
      </c>
      <c r="K41" s="369">
        <v>2100000</v>
      </c>
      <c r="L41" s="335" t="s">
        <v>19</v>
      </c>
      <c r="M41" s="370">
        <v>45008</v>
      </c>
      <c r="N41" s="360">
        <v>45793</v>
      </c>
      <c r="O41" s="335" t="s">
        <v>259</v>
      </c>
      <c r="P41" s="331" t="s">
        <v>74</v>
      </c>
      <c r="Q41" s="362" t="str">
        <f t="shared" si="0"/>
        <v>CINTIA SOARES ANCHIETA</v>
      </c>
      <c r="R41" s="331" t="str">
        <f t="shared" si="0"/>
        <v>CINTIA SOARES ANCHIETA</v>
      </c>
      <c r="S41" s="335" t="s">
        <v>423</v>
      </c>
      <c r="T41" s="335" t="s">
        <v>424</v>
      </c>
      <c r="U41" s="335" t="s">
        <v>425</v>
      </c>
      <c r="V41" s="335" t="s">
        <v>422</v>
      </c>
      <c r="W41" s="335" t="s">
        <v>260</v>
      </c>
      <c r="X41" s="336" t="s">
        <v>828</v>
      </c>
    </row>
    <row r="42" spans="1:25" s="326" customFormat="1" ht="50.1" customHeight="1" x14ac:dyDescent="0.25">
      <c r="A42" s="329">
        <v>4600058024</v>
      </c>
      <c r="B42" s="358" t="s">
        <v>2029</v>
      </c>
      <c r="C42" s="329">
        <v>164689</v>
      </c>
      <c r="D42" s="329" t="s">
        <v>1879</v>
      </c>
      <c r="E42" s="329">
        <v>60</v>
      </c>
      <c r="F42" s="415" t="s">
        <v>1575</v>
      </c>
      <c r="G42" s="331" t="s">
        <v>1575</v>
      </c>
      <c r="H42" s="329" t="s">
        <v>710</v>
      </c>
      <c r="I42" s="331" t="s">
        <v>18</v>
      </c>
      <c r="J42" s="331" t="s">
        <v>1941</v>
      </c>
      <c r="K42" s="340">
        <v>14679.4</v>
      </c>
      <c r="L42" s="331" t="s">
        <v>19</v>
      </c>
      <c r="M42" s="344">
        <v>44865</v>
      </c>
      <c r="N42" s="360">
        <v>45960</v>
      </c>
      <c r="O42" s="335" t="s">
        <v>208</v>
      </c>
      <c r="P42" s="331" t="s">
        <v>876</v>
      </c>
      <c r="Q42" s="362" t="str">
        <f t="shared" si="0"/>
        <v xml:space="preserve">GLAUBER HENRIQUE DOS SANTOS </v>
      </c>
      <c r="R42" s="331" t="str">
        <f t="shared" si="0"/>
        <v xml:space="preserve">GLAUBER HENRIQUE DOS SANTOS </v>
      </c>
      <c r="S42" s="331"/>
      <c r="T42" s="331"/>
      <c r="U42" s="331"/>
      <c r="V42" s="331"/>
      <c r="W42" s="331"/>
      <c r="X42" s="330"/>
    </row>
    <row r="43" spans="1:25" s="349" customFormat="1" ht="50.1" customHeight="1" x14ac:dyDescent="0.2">
      <c r="A43" s="329" t="s">
        <v>107</v>
      </c>
      <c r="B43" s="329" t="s">
        <v>1238</v>
      </c>
      <c r="C43" s="329">
        <v>3047148</v>
      </c>
      <c r="D43" s="329" t="s">
        <v>1879</v>
      </c>
      <c r="E43" s="329" t="s">
        <v>1239</v>
      </c>
      <c r="F43" s="365" t="s">
        <v>1574</v>
      </c>
      <c r="G43" s="331" t="s">
        <v>1575</v>
      </c>
      <c r="H43" s="331" t="s">
        <v>710</v>
      </c>
      <c r="I43" s="329" t="s">
        <v>38</v>
      </c>
      <c r="J43" s="329" t="s">
        <v>1993</v>
      </c>
      <c r="K43" s="340">
        <v>21050.400000000001</v>
      </c>
      <c r="L43" s="329" t="s">
        <v>19</v>
      </c>
      <c r="M43" s="360">
        <v>45715</v>
      </c>
      <c r="N43" s="360">
        <v>46079</v>
      </c>
      <c r="O43" s="329" t="s">
        <v>22</v>
      </c>
      <c r="P43" s="329" t="s">
        <v>1240</v>
      </c>
      <c r="Q43" s="362" t="str">
        <f t="shared" si="0"/>
        <v xml:space="preserve"> THIAGO NEPOMOCENO ALVES</v>
      </c>
      <c r="R43" s="331" t="str">
        <f t="shared" si="0"/>
        <v xml:space="preserve"> THIAGO NEPOMOCENO ALVES</v>
      </c>
      <c r="S43" s="329" t="s">
        <v>1241</v>
      </c>
      <c r="T43" s="329" t="s">
        <v>1243</v>
      </c>
      <c r="U43" s="329" t="s">
        <v>1244</v>
      </c>
      <c r="V43" s="329" t="s">
        <v>1242</v>
      </c>
      <c r="W43" s="329" t="s">
        <v>1245</v>
      </c>
      <c r="X43" s="328"/>
    </row>
    <row r="44" spans="1:25" s="349" customFormat="1" ht="50.1" customHeight="1" x14ac:dyDescent="0.2">
      <c r="A44" s="331">
        <v>4600058545</v>
      </c>
      <c r="B44" s="331" t="s">
        <v>1270</v>
      </c>
      <c r="C44" s="331" t="s">
        <v>1269</v>
      </c>
      <c r="D44" s="329" t="s">
        <v>569</v>
      </c>
      <c r="E44" s="331" t="s">
        <v>808</v>
      </c>
      <c r="F44" s="331" t="s">
        <v>1059</v>
      </c>
      <c r="G44" s="329" t="s">
        <v>1571</v>
      </c>
      <c r="H44" s="331" t="s">
        <v>710</v>
      </c>
      <c r="I44" s="331" t="s">
        <v>38</v>
      </c>
      <c r="J44" s="331" t="s">
        <v>1998</v>
      </c>
      <c r="K44" s="340">
        <v>563502.68999999994</v>
      </c>
      <c r="L44" s="329" t="s">
        <v>19</v>
      </c>
      <c r="M44" s="344">
        <v>45601</v>
      </c>
      <c r="N44" s="344">
        <v>46695</v>
      </c>
      <c r="O44" s="331" t="s">
        <v>22</v>
      </c>
      <c r="P44" s="331" t="s">
        <v>204</v>
      </c>
      <c r="Q44" s="361" t="str">
        <f>UPPER(P44:P44)</f>
        <v>PEDRO ANTONIO PERIASSU</v>
      </c>
      <c r="R44" s="331" t="s">
        <v>206</v>
      </c>
      <c r="S44" s="331" t="str">
        <f>UPPER(R44:R44)</f>
        <v>RODRIGO CORREIA FURUKAWA</v>
      </c>
      <c r="T44" s="331"/>
      <c r="U44" s="331"/>
      <c r="V44" s="331"/>
      <c r="W44" s="331"/>
      <c r="X44" s="330"/>
      <c r="Y44" s="358"/>
    </row>
    <row r="45" spans="1:25" s="326" customFormat="1" ht="45" customHeight="1" x14ac:dyDescent="0.25">
      <c r="A45" s="331">
        <v>4600055645</v>
      </c>
      <c r="B45" s="389" t="s">
        <v>2061</v>
      </c>
      <c r="C45" s="331">
        <v>104143</v>
      </c>
      <c r="D45" s="331" t="s">
        <v>567</v>
      </c>
      <c r="E45" s="331">
        <v>7</v>
      </c>
      <c r="F45" s="365" t="s">
        <v>2043</v>
      </c>
      <c r="G45" s="329" t="s">
        <v>1571</v>
      </c>
      <c r="H45" s="329" t="s">
        <v>710</v>
      </c>
      <c r="I45" s="331" t="s">
        <v>18</v>
      </c>
      <c r="J45" s="331" t="s">
        <v>1922</v>
      </c>
      <c r="K45" s="340">
        <v>0.01</v>
      </c>
      <c r="L45" s="331" t="s">
        <v>19</v>
      </c>
      <c r="M45" s="344">
        <v>40299</v>
      </c>
      <c r="N45" s="384">
        <v>45777</v>
      </c>
      <c r="O45" s="331" t="s">
        <v>152</v>
      </c>
      <c r="P45" s="331" t="s">
        <v>30</v>
      </c>
      <c r="Q45" s="361" t="str">
        <f>UPPER(P45:P45)</f>
        <v>MANFREDO SAHB CARCUTE</v>
      </c>
      <c r="R45" s="331" t="s">
        <v>265</v>
      </c>
      <c r="S45" s="331" t="str">
        <f>UPPER(R45:R45)</f>
        <v>ULIANA MARIA NICKERSON DO PRADO PERES</v>
      </c>
      <c r="T45" s="331" t="s">
        <v>513</v>
      </c>
      <c r="U45" s="331" t="s">
        <v>308</v>
      </c>
      <c r="V45" s="331" t="s">
        <v>512</v>
      </c>
      <c r="W45" s="331"/>
      <c r="X45" s="332">
        <v>45299</v>
      </c>
      <c r="Y45" s="358" t="s">
        <v>1698</v>
      </c>
    </row>
    <row r="46" spans="1:25" x14ac:dyDescent="0.25">
      <c r="A46" s="457">
        <v>4600055381</v>
      </c>
      <c r="B46" s="457" t="s">
        <v>113</v>
      </c>
      <c r="C46" s="458">
        <v>103605</v>
      </c>
      <c r="D46" s="435" t="s">
        <v>569</v>
      </c>
      <c r="E46" s="453">
        <v>30</v>
      </c>
      <c r="F46" s="453"/>
      <c r="G46" s="453"/>
      <c r="H46" s="453"/>
      <c r="I46" s="453"/>
      <c r="J46" s="453" t="s">
        <v>2069</v>
      </c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</row>
    <row r="47" spans="1:25" s="326" customFormat="1" ht="35.1" customHeight="1" x14ac:dyDescent="0.25">
      <c r="A47" s="331">
        <v>4600057577</v>
      </c>
      <c r="B47" s="331" t="s">
        <v>190</v>
      </c>
      <c r="C47" s="331">
        <v>3008204</v>
      </c>
      <c r="D47" s="329" t="s">
        <v>1880</v>
      </c>
      <c r="E47" s="331">
        <v>120</v>
      </c>
      <c r="F47" s="358" t="s">
        <v>1586</v>
      </c>
      <c r="G47" s="329" t="s">
        <v>1571</v>
      </c>
      <c r="H47" s="329" t="s">
        <v>710</v>
      </c>
      <c r="I47" s="331" t="s">
        <v>18</v>
      </c>
      <c r="J47" s="365" t="s">
        <v>1914</v>
      </c>
      <c r="K47" s="340">
        <v>1028574</v>
      </c>
      <c r="L47" s="331" t="s">
        <v>19</v>
      </c>
      <c r="M47" s="344">
        <v>45105</v>
      </c>
      <c r="N47" s="360">
        <v>45835</v>
      </c>
      <c r="O47" s="331" t="s">
        <v>22</v>
      </c>
      <c r="P47" s="331" t="s">
        <v>204</v>
      </c>
      <c r="Q47" s="362" t="str">
        <f t="shared" ref="Q47:R78" si="1">UPPER(P47:P47)</f>
        <v>PEDRO ANTONIO PERIASSU</v>
      </c>
      <c r="R47" s="331" t="str">
        <f t="shared" si="1"/>
        <v>PEDRO ANTONIO PERIASSU</v>
      </c>
      <c r="S47" s="331"/>
      <c r="T47" s="331" t="s">
        <v>307</v>
      </c>
      <c r="U47" s="331" t="s">
        <v>308</v>
      </c>
      <c r="V47" s="331" t="s">
        <v>306</v>
      </c>
      <c r="W47" s="331"/>
      <c r="X47" s="330"/>
    </row>
    <row r="48" spans="1:25" s="327" customFormat="1" ht="35.1" customHeight="1" x14ac:dyDescent="0.25">
      <c r="A48" s="329" t="s">
        <v>1088</v>
      </c>
      <c r="B48" s="329" t="s">
        <v>1728</v>
      </c>
      <c r="C48" s="329">
        <v>3038493</v>
      </c>
      <c r="D48" s="329" t="s">
        <v>1880</v>
      </c>
      <c r="E48" s="329">
        <v>1</v>
      </c>
      <c r="F48" s="365" t="s">
        <v>1574</v>
      </c>
      <c r="G48" s="329" t="s">
        <v>1571</v>
      </c>
      <c r="H48" s="331" t="s">
        <v>710</v>
      </c>
      <c r="I48" s="331" t="s">
        <v>18</v>
      </c>
      <c r="J48" s="365" t="s">
        <v>1987</v>
      </c>
      <c r="K48" s="331" t="s">
        <v>1089</v>
      </c>
      <c r="L48" s="331" t="s">
        <v>19</v>
      </c>
      <c r="M48" s="344">
        <v>44327</v>
      </c>
      <c r="N48" s="331" t="s">
        <v>1090</v>
      </c>
      <c r="O48" s="331" t="s">
        <v>29</v>
      </c>
      <c r="P48" s="331" t="s">
        <v>30</v>
      </c>
      <c r="Q48" s="362" t="str">
        <f t="shared" si="1"/>
        <v>MANFREDO SAHB CARCUTE</v>
      </c>
      <c r="R48" s="331" t="str">
        <f t="shared" si="1"/>
        <v>MANFREDO SAHB CARCUTE</v>
      </c>
      <c r="S48" s="331"/>
      <c r="T48" s="331"/>
      <c r="U48" s="331"/>
      <c r="V48" s="331"/>
      <c r="W48" s="331"/>
      <c r="X48" s="330"/>
    </row>
    <row r="49" spans="1:24" s="326" customFormat="1" ht="35.1" customHeight="1" x14ac:dyDescent="0.25">
      <c r="A49" s="329">
        <v>4600048432</v>
      </c>
      <c r="B49" s="329" t="s">
        <v>47</v>
      </c>
      <c r="C49" s="329">
        <v>192963</v>
      </c>
      <c r="D49" s="329" t="s">
        <v>1879</v>
      </c>
      <c r="E49" s="329">
        <v>30</v>
      </c>
      <c r="F49" s="331" t="s">
        <v>1575</v>
      </c>
      <c r="G49" s="331" t="s">
        <v>1575</v>
      </c>
      <c r="H49" s="329" t="s">
        <v>710</v>
      </c>
      <c r="I49" s="329" t="s">
        <v>18</v>
      </c>
      <c r="J49" s="358" t="s">
        <v>1882</v>
      </c>
      <c r="K49" s="359">
        <v>0</v>
      </c>
      <c r="L49" s="329" t="s">
        <v>19</v>
      </c>
      <c r="M49" s="360">
        <v>44927</v>
      </c>
      <c r="N49" s="360">
        <v>46022</v>
      </c>
      <c r="O49" s="331" t="s">
        <v>29</v>
      </c>
      <c r="P49" s="362" t="s">
        <v>30</v>
      </c>
      <c r="Q49" s="362" t="str">
        <f t="shared" si="1"/>
        <v>MANFREDO SAHB CARCUTE</v>
      </c>
      <c r="R49" s="331" t="str">
        <f t="shared" si="1"/>
        <v>MANFREDO SAHB CARCUTE</v>
      </c>
      <c r="S49" s="331" t="s">
        <v>319</v>
      </c>
      <c r="T49" s="331" t="s">
        <v>320</v>
      </c>
      <c r="U49" s="331" t="s">
        <v>321</v>
      </c>
      <c r="V49" s="331" t="s">
        <v>317</v>
      </c>
      <c r="W49" s="363" t="s">
        <v>776</v>
      </c>
      <c r="X49" s="330"/>
    </row>
    <row r="50" spans="1:24" s="326" customFormat="1" ht="35.1" customHeight="1" x14ac:dyDescent="0.25">
      <c r="A50" s="329">
        <v>4600057514</v>
      </c>
      <c r="B50" s="331" t="s">
        <v>273</v>
      </c>
      <c r="C50" s="331">
        <v>3042510</v>
      </c>
      <c r="D50" s="331" t="s">
        <v>1881</v>
      </c>
      <c r="E50" s="331">
        <v>45</v>
      </c>
      <c r="F50" s="331" t="s">
        <v>1575</v>
      </c>
      <c r="G50" s="331" t="s">
        <v>1575</v>
      </c>
      <c r="H50" s="331" t="s">
        <v>710</v>
      </c>
      <c r="I50" s="331" t="s">
        <v>18</v>
      </c>
      <c r="J50" s="331" t="s">
        <v>1889</v>
      </c>
      <c r="K50" s="340">
        <v>187935</v>
      </c>
      <c r="L50" s="331" t="s">
        <v>19</v>
      </c>
      <c r="M50" s="344">
        <v>45133</v>
      </c>
      <c r="N50" s="360">
        <v>45863</v>
      </c>
      <c r="O50" s="331" t="s">
        <v>259</v>
      </c>
      <c r="P50" s="331" t="s">
        <v>74</v>
      </c>
      <c r="Q50" s="362" t="str">
        <f t="shared" si="1"/>
        <v>CINTIA SOARES ANCHIETA</v>
      </c>
      <c r="R50" s="331" t="str">
        <f t="shared" si="1"/>
        <v>CINTIA SOARES ANCHIETA</v>
      </c>
      <c r="S50" s="331" t="s">
        <v>1021</v>
      </c>
      <c r="T50" s="331" t="s">
        <v>1022</v>
      </c>
      <c r="U50" s="331"/>
      <c r="V50" s="331" t="s">
        <v>1020</v>
      </c>
      <c r="W50" s="331"/>
      <c r="X50" s="332">
        <v>45299</v>
      </c>
    </row>
    <row r="51" spans="1:24" s="326" customFormat="1" ht="35.1" customHeight="1" x14ac:dyDescent="0.25">
      <c r="A51" s="329">
        <v>4600057879</v>
      </c>
      <c r="B51" s="329" t="s">
        <v>137</v>
      </c>
      <c r="C51" s="329">
        <v>3002173</v>
      </c>
      <c r="D51" s="329" t="s">
        <v>1880</v>
      </c>
      <c r="E51" s="329">
        <v>120</v>
      </c>
      <c r="F51" s="331" t="s">
        <v>1575</v>
      </c>
      <c r="G51" s="331" t="s">
        <v>1575</v>
      </c>
      <c r="H51" s="329" t="s">
        <v>709</v>
      </c>
      <c r="I51" s="329" t="s">
        <v>18</v>
      </c>
      <c r="J51" s="358" t="s">
        <v>138</v>
      </c>
      <c r="K51" s="359">
        <v>984000</v>
      </c>
      <c r="L51" s="329" t="s">
        <v>19</v>
      </c>
      <c r="M51" s="360">
        <v>45324</v>
      </c>
      <c r="N51" s="360">
        <v>45749</v>
      </c>
      <c r="O51" s="331" t="s">
        <v>135</v>
      </c>
      <c r="P51" s="362" t="s">
        <v>136</v>
      </c>
      <c r="Q51" s="362" t="str">
        <f t="shared" si="1"/>
        <v>CARLOS EDUARDO FUHR</v>
      </c>
      <c r="R51" s="331" t="str">
        <f t="shared" si="1"/>
        <v>CARLOS EDUARDO FUHR</v>
      </c>
      <c r="S51" s="331" t="s">
        <v>416</v>
      </c>
      <c r="T51" s="331" t="s">
        <v>412</v>
      </c>
      <c r="U51" s="331" t="s">
        <v>413</v>
      </c>
      <c r="V51" s="331" t="s">
        <v>411</v>
      </c>
      <c r="W51" s="331"/>
      <c r="X51" s="332">
        <v>45324</v>
      </c>
    </row>
    <row r="52" spans="1:24" s="326" customFormat="1" ht="35.1" customHeight="1" x14ac:dyDescent="0.25">
      <c r="A52" s="331">
        <v>4600058064</v>
      </c>
      <c r="B52" s="331" t="s">
        <v>294</v>
      </c>
      <c r="C52" s="331">
        <v>193614</v>
      </c>
      <c r="D52" s="329" t="s">
        <v>1880</v>
      </c>
      <c r="E52" s="331">
        <v>60</v>
      </c>
      <c r="F52" s="331" t="s">
        <v>1575</v>
      </c>
      <c r="G52" s="331" t="s">
        <v>1575</v>
      </c>
      <c r="H52" s="331" t="s">
        <v>709</v>
      </c>
      <c r="I52" s="331" t="s">
        <v>18</v>
      </c>
      <c r="J52" s="331" t="s">
        <v>1892</v>
      </c>
      <c r="K52" s="340">
        <v>237325.01</v>
      </c>
      <c r="L52" s="331" t="s">
        <v>19</v>
      </c>
      <c r="M52" s="344">
        <v>42142</v>
      </c>
      <c r="N52" s="360">
        <v>46009</v>
      </c>
      <c r="O52" s="331" t="s">
        <v>208</v>
      </c>
      <c r="P52" s="331" t="s">
        <v>876</v>
      </c>
      <c r="Q52" s="362" t="str">
        <f t="shared" si="1"/>
        <v xml:space="preserve">GLAUBER HENRIQUE DOS SANTOS </v>
      </c>
      <c r="R52" s="331" t="str">
        <f t="shared" si="1"/>
        <v xml:space="preserve">GLAUBER HENRIQUE DOS SANTOS </v>
      </c>
      <c r="S52" s="331" t="s">
        <v>540</v>
      </c>
      <c r="T52" s="331" t="s">
        <v>538</v>
      </c>
      <c r="U52" s="331" t="s">
        <v>539</v>
      </c>
      <c r="V52" s="331" t="s">
        <v>537</v>
      </c>
      <c r="W52" s="331" t="s">
        <v>295</v>
      </c>
      <c r="X52" s="332">
        <v>45411</v>
      </c>
    </row>
    <row r="53" spans="1:24" s="326" customFormat="1" ht="35.1" customHeight="1" x14ac:dyDescent="0.25">
      <c r="A53" s="331">
        <v>4600058316</v>
      </c>
      <c r="B53" s="331" t="s">
        <v>273</v>
      </c>
      <c r="C53" s="331">
        <v>3042510</v>
      </c>
      <c r="D53" s="331" t="s">
        <v>1881</v>
      </c>
      <c r="E53" s="331">
        <v>45</v>
      </c>
      <c r="F53" s="331" t="s">
        <v>1575</v>
      </c>
      <c r="G53" s="331" t="s">
        <v>1575</v>
      </c>
      <c r="H53" s="331" t="s">
        <v>709</v>
      </c>
      <c r="I53" s="331" t="s">
        <v>18</v>
      </c>
      <c r="J53" s="331" t="s">
        <v>1889</v>
      </c>
      <c r="K53" s="340">
        <v>256935</v>
      </c>
      <c r="L53" s="331" t="s">
        <v>19</v>
      </c>
      <c r="M53" s="344">
        <v>45133</v>
      </c>
      <c r="N53" s="360">
        <v>45863</v>
      </c>
      <c r="O53" s="331" t="s">
        <v>259</v>
      </c>
      <c r="P53" s="331" t="s">
        <v>74</v>
      </c>
      <c r="Q53" s="362" t="str">
        <f t="shared" si="1"/>
        <v>CINTIA SOARES ANCHIETA</v>
      </c>
      <c r="R53" s="331" t="str">
        <f t="shared" si="1"/>
        <v>CINTIA SOARES ANCHIETA</v>
      </c>
      <c r="S53" s="331" t="s">
        <v>1021</v>
      </c>
      <c r="T53" s="331" t="s">
        <v>1022</v>
      </c>
      <c r="U53" s="331"/>
      <c r="V53" s="331" t="s">
        <v>1020</v>
      </c>
      <c r="W53" s="331"/>
      <c r="X53" s="332">
        <v>45299</v>
      </c>
    </row>
    <row r="54" spans="1:24" s="326" customFormat="1" ht="35.1" customHeight="1" x14ac:dyDescent="0.25">
      <c r="A54" s="329">
        <v>4600054099</v>
      </c>
      <c r="B54" s="329" t="s">
        <v>91</v>
      </c>
      <c r="C54" s="329">
        <v>179234</v>
      </c>
      <c r="D54" s="329" t="s">
        <v>1879</v>
      </c>
      <c r="E54" s="329">
        <v>45</v>
      </c>
      <c r="F54" s="331" t="s">
        <v>1575</v>
      </c>
      <c r="G54" s="331" t="s">
        <v>1575</v>
      </c>
      <c r="H54" s="329" t="s">
        <v>710</v>
      </c>
      <c r="I54" s="329" t="s">
        <v>18</v>
      </c>
      <c r="J54" s="358" t="s">
        <v>92</v>
      </c>
      <c r="K54" s="359">
        <v>4780016.6399999997</v>
      </c>
      <c r="L54" s="329" t="s">
        <v>19</v>
      </c>
      <c r="M54" s="360">
        <v>45017</v>
      </c>
      <c r="N54" s="360">
        <v>45749</v>
      </c>
      <c r="O54" s="331" t="s">
        <v>93</v>
      </c>
      <c r="P54" s="362" t="s">
        <v>30</v>
      </c>
      <c r="Q54" s="362" t="str">
        <f t="shared" si="1"/>
        <v>MANFREDO SAHB CARCUTE</v>
      </c>
      <c r="R54" s="331" t="str">
        <f t="shared" si="1"/>
        <v>MANFREDO SAHB CARCUTE</v>
      </c>
      <c r="S54" s="331" t="s">
        <v>373</v>
      </c>
      <c r="T54" s="331" t="s">
        <v>371</v>
      </c>
      <c r="U54" s="331" t="s">
        <v>372</v>
      </c>
      <c r="V54" s="331" t="s">
        <v>370</v>
      </c>
      <c r="W54" s="331"/>
      <c r="X54" s="330"/>
    </row>
    <row r="55" spans="1:24" s="326" customFormat="1" ht="35.1" customHeight="1" x14ac:dyDescent="0.25">
      <c r="A55" s="329">
        <v>4600059336</v>
      </c>
      <c r="B55" s="329" t="s">
        <v>170</v>
      </c>
      <c r="C55" s="329">
        <v>3038407</v>
      </c>
      <c r="D55" s="329" t="s">
        <v>1880</v>
      </c>
      <c r="E55" s="329">
        <v>30</v>
      </c>
      <c r="F55" s="331" t="s">
        <v>1575</v>
      </c>
      <c r="G55" s="331" t="s">
        <v>1575</v>
      </c>
      <c r="H55" s="329" t="s">
        <v>709</v>
      </c>
      <c r="I55" s="329" t="s">
        <v>18</v>
      </c>
      <c r="J55" s="331" t="s">
        <v>1909</v>
      </c>
      <c r="K55" s="359">
        <v>374459</v>
      </c>
      <c r="L55" s="329" t="s">
        <v>19</v>
      </c>
      <c r="M55" s="360">
        <v>45017</v>
      </c>
      <c r="N55" s="360">
        <v>45749</v>
      </c>
      <c r="O55" s="331" t="s">
        <v>171</v>
      </c>
      <c r="P55" s="362" t="s">
        <v>172</v>
      </c>
      <c r="Q55" s="362" t="str">
        <f t="shared" si="1"/>
        <v>GLAUBER LIMA DE MEDEIROS</v>
      </c>
      <c r="R55" s="331" t="str">
        <f t="shared" si="1"/>
        <v>GLAUBER LIMA DE MEDEIROS</v>
      </c>
      <c r="S55" s="331" t="s">
        <v>1082</v>
      </c>
      <c r="T55" s="331" t="s">
        <v>443</v>
      </c>
      <c r="U55" s="331" t="s">
        <v>1083</v>
      </c>
      <c r="V55" s="375" t="s">
        <v>448</v>
      </c>
      <c r="W55" s="331"/>
      <c r="X55" s="330"/>
    </row>
    <row r="56" spans="1:24" s="326" customFormat="1" ht="35.1" customHeight="1" x14ac:dyDescent="0.25">
      <c r="A56" s="331">
        <v>4600057540</v>
      </c>
      <c r="B56" s="331" t="s">
        <v>184</v>
      </c>
      <c r="C56" s="331">
        <v>3044008</v>
      </c>
      <c r="D56" s="329" t="s">
        <v>1879</v>
      </c>
      <c r="E56" s="331">
        <v>60</v>
      </c>
      <c r="F56" s="331" t="s">
        <v>1575</v>
      </c>
      <c r="G56" s="331" t="s">
        <v>1575</v>
      </c>
      <c r="H56" s="329" t="s">
        <v>710</v>
      </c>
      <c r="I56" s="331" t="s">
        <v>18</v>
      </c>
      <c r="J56" s="365" t="s">
        <v>1912</v>
      </c>
      <c r="K56" s="340">
        <v>591561.55000000005</v>
      </c>
      <c r="L56" s="331" t="s">
        <v>19</v>
      </c>
      <c r="M56" s="344">
        <v>45148</v>
      </c>
      <c r="N56" s="360">
        <v>45878</v>
      </c>
      <c r="O56" s="331" t="s">
        <v>22</v>
      </c>
      <c r="P56" s="331" t="s">
        <v>204</v>
      </c>
      <c r="Q56" s="362" t="str">
        <f t="shared" si="1"/>
        <v>PEDRO ANTONIO PERIASSU</v>
      </c>
      <c r="R56" s="331" t="str">
        <f t="shared" si="1"/>
        <v>PEDRO ANTONIO PERIASSU</v>
      </c>
      <c r="S56" s="331" t="s">
        <v>935</v>
      </c>
      <c r="T56" s="331" t="s">
        <v>936</v>
      </c>
      <c r="U56" s="331" t="s">
        <v>308</v>
      </c>
      <c r="V56" s="331" t="s">
        <v>457</v>
      </c>
      <c r="W56" s="331"/>
      <c r="X56" s="330"/>
    </row>
    <row r="57" spans="1:24" s="326" customFormat="1" ht="35.1" customHeight="1" x14ac:dyDescent="0.25">
      <c r="A57" s="331">
        <v>4600057099</v>
      </c>
      <c r="B57" s="331" t="s">
        <v>247</v>
      </c>
      <c r="C57" s="331">
        <v>1746544</v>
      </c>
      <c r="D57" s="329" t="s">
        <v>1880</v>
      </c>
      <c r="E57" s="331">
        <v>45</v>
      </c>
      <c r="F57" s="331" t="s">
        <v>1575</v>
      </c>
      <c r="G57" s="331" t="s">
        <v>1575</v>
      </c>
      <c r="H57" s="329" t="s">
        <v>710</v>
      </c>
      <c r="I57" s="331" t="s">
        <v>18</v>
      </c>
      <c r="J57" s="331" t="s">
        <v>1921</v>
      </c>
      <c r="K57" s="340">
        <v>1389600.48</v>
      </c>
      <c r="L57" s="331" t="s">
        <v>19</v>
      </c>
      <c r="M57" s="344">
        <v>44998</v>
      </c>
      <c r="N57" s="360">
        <v>45730</v>
      </c>
      <c r="O57" s="331" t="s">
        <v>152</v>
      </c>
      <c r="P57" s="331" t="s">
        <v>30</v>
      </c>
      <c r="Q57" s="362" t="str">
        <f t="shared" si="1"/>
        <v>MANFREDO SAHB CARCUTE</v>
      </c>
      <c r="R57" s="331" t="str">
        <f t="shared" si="1"/>
        <v>MANFREDO SAHB CARCUTE</v>
      </c>
      <c r="S57" s="331"/>
      <c r="T57" s="331" t="s">
        <v>503</v>
      </c>
      <c r="U57" s="331" t="s">
        <v>308</v>
      </c>
      <c r="V57" s="331" t="s">
        <v>502</v>
      </c>
      <c r="W57" s="331"/>
      <c r="X57" s="332">
        <v>45299</v>
      </c>
    </row>
    <row r="58" spans="1:24" s="326" customFormat="1" ht="35.1" customHeight="1" x14ac:dyDescent="0.25">
      <c r="A58" s="329">
        <v>4600058107</v>
      </c>
      <c r="B58" s="329" t="s">
        <v>1722</v>
      </c>
      <c r="C58" s="329">
        <v>3045524</v>
      </c>
      <c r="D58" s="329" t="s">
        <v>1879</v>
      </c>
      <c r="E58" s="329">
        <v>1</v>
      </c>
      <c r="F58" s="331" t="s">
        <v>1575</v>
      </c>
      <c r="G58" s="331" t="s">
        <v>1575</v>
      </c>
      <c r="H58" s="331" t="s">
        <v>709</v>
      </c>
      <c r="I58" s="331" t="s">
        <v>18</v>
      </c>
      <c r="J58" s="331" t="s">
        <v>1476</v>
      </c>
      <c r="K58" s="340">
        <v>336634.5</v>
      </c>
      <c r="L58" s="331" t="s">
        <v>19</v>
      </c>
      <c r="M58" s="360">
        <v>45552</v>
      </c>
      <c r="N58" s="360">
        <v>45746</v>
      </c>
      <c r="O58" s="331" t="s">
        <v>22</v>
      </c>
      <c r="P58" s="331" t="s">
        <v>206</v>
      </c>
      <c r="Q58" s="362" t="str">
        <f t="shared" si="1"/>
        <v>RODRIGO CORREIA FURUKAWA</v>
      </c>
      <c r="R58" s="331" t="str">
        <f t="shared" si="1"/>
        <v>RODRIGO CORREIA FURUKAWA</v>
      </c>
      <c r="S58" s="331"/>
      <c r="T58" s="331"/>
      <c r="U58" s="331"/>
      <c r="V58" s="331"/>
      <c r="W58" s="331"/>
      <c r="X58" s="330"/>
    </row>
    <row r="59" spans="1:24" s="326" customFormat="1" ht="35.1" customHeight="1" x14ac:dyDescent="0.25">
      <c r="A59" s="329">
        <v>4600055067</v>
      </c>
      <c r="B59" s="329" t="s">
        <v>110</v>
      </c>
      <c r="C59" s="329">
        <v>3040840</v>
      </c>
      <c r="D59" s="329" t="s">
        <v>1881</v>
      </c>
      <c r="E59" s="329">
        <v>60</v>
      </c>
      <c r="F59" s="331" t="s">
        <v>1575</v>
      </c>
      <c r="G59" s="331" t="s">
        <v>1575</v>
      </c>
      <c r="H59" s="335" t="s">
        <v>710</v>
      </c>
      <c r="I59" s="335" t="s">
        <v>18</v>
      </c>
      <c r="J59" s="368" t="s">
        <v>1934</v>
      </c>
      <c r="K59" s="369">
        <v>536809</v>
      </c>
      <c r="L59" s="335" t="s">
        <v>19</v>
      </c>
      <c r="M59" s="370">
        <v>44617</v>
      </c>
      <c r="N59" s="360">
        <v>46022</v>
      </c>
      <c r="O59" s="335" t="s">
        <v>29</v>
      </c>
      <c r="P59" s="331" t="s">
        <v>30</v>
      </c>
      <c r="Q59" s="362" t="str">
        <f t="shared" si="1"/>
        <v>MANFREDO SAHB CARCUTE</v>
      </c>
      <c r="R59" s="331" t="str">
        <f t="shared" si="1"/>
        <v>MANFREDO SAHB CARCUTE</v>
      </c>
      <c r="S59" s="335"/>
      <c r="T59" s="335" t="s">
        <v>393</v>
      </c>
      <c r="U59" s="335" t="s">
        <v>394</v>
      </c>
      <c r="V59" s="335" t="s">
        <v>391</v>
      </c>
      <c r="W59" s="335" t="s">
        <v>112</v>
      </c>
      <c r="X59" s="333"/>
    </row>
    <row r="60" spans="1:24" s="326" customFormat="1" ht="35.1" customHeight="1" x14ac:dyDescent="0.25">
      <c r="A60" s="329">
        <v>4600058275</v>
      </c>
      <c r="B60" s="329" t="s">
        <v>804</v>
      </c>
      <c r="C60" s="329" t="s">
        <v>995</v>
      </c>
      <c r="D60" s="329" t="s">
        <v>1879</v>
      </c>
      <c r="E60" s="329">
        <v>30</v>
      </c>
      <c r="F60" s="331" t="s">
        <v>1575</v>
      </c>
      <c r="G60" s="331" t="s">
        <v>1575</v>
      </c>
      <c r="H60" s="331" t="s">
        <v>709</v>
      </c>
      <c r="I60" s="331" t="s">
        <v>18</v>
      </c>
      <c r="J60" s="331" t="s">
        <v>1946</v>
      </c>
      <c r="K60" s="340">
        <v>25200</v>
      </c>
      <c r="L60" s="331" t="s">
        <v>749</v>
      </c>
      <c r="M60" s="344">
        <v>45503</v>
      </c>
      <c r="N60" s="360">
        <v>45868</v>
      </c>
      <c r="O60" s="331" t="s">
        <v>22</v>
      </c>
      <c r="P60" s="331" t="s">
        <v>876</v>
      </c>
      <c r="Q60" s="362" t="str">
        <f t="shared" si="1"/>
        <v xml:space="preserve">GLAUBER HENRIQUE DOS SANTOS </v>
      </c>
      <c r="R60" s="331" t="str">
        <f t="shared" si="1"/>
        <v xml:space="preserve">GLAUBER HENRIQUE DOS SANTOS </v>
      </c>
      <c r="S60" s="331" t="s">
        <v>750</v>
      </c>
      <c r="T60" s="331" t="s">
        <v>751</v>
      </c>
      <c r="U60" s="331"/>
      <c r="V60" s="331" t="s">
        <v>752</v>
      </c>
      <c r="W60" s="331" t="s">
        <v>753</v>
      </c>
      <c r="X60" s="330"/>
    </row>
    <row r="61" spans="1:24" s="326" customFormat="1" ht="35.1" customHeight="1" x14ac:dyDescent="0.25">
      <c r="A61" s="329">
        <v>4600058285</v>
      </c>
      <c r="B61" s="329" t="s">
        <v>754</v>
      </c>
      <c r="C61" s="329">
        <v>3045861</v>
      </c>
      <c r="D61" s="329" t="s">
        <v>1880</v>
      </c>
      <c r="E61" s="329">
        <v>30</v>
      </c>
      <c r="F61" s="331" t="s">
        <v>1575</v>
      </c>
      <c r="G61" s="331" t="s">
        <v>1575</v>
      </c>
      <c r="H61" s="331" t="s">
        <v>709</v>
      </c>
      <c r="I61" s="331" t="s">
        <v>18</v>
      </c>
      <c r="J61" s="331" t="s">
        <v>1947</v>
      </c>
      <c r="K61" s="340">
        <v>45000</v>
      </c>
      <c r="L61" s="331" t="s">
        <v>749</v>
      </c>
      <c r="M61" s="344">
        <v>45505</v>
      </c>
      <c r="N61" s="360">
        <v>45870</v>
      </c>
      <c r="O61" s="335" t="s">
        <v>29</v>
      </c>
      <c r="P61" s="331" t="s">
        <v>30</v>
      </c>
      <c r="Q61" s="362" t="str">
        <f t="shared" si="1"/>
        <v>MANFREDO SAHB CARCUTE</v>
      </c>
      <c r="R61" s="331" t="str">
        <f t="shared" si="1"/>
        <v>MANFREDO SAHB CARCUTE</v>
      </c>
      <c r="S61" s="331" t="s">
        <v>758</v>
      </c>
      <c r="T61" s="331" t="s">
        <v>756</v>
      </c>
      <c r="U61" s="331"/>
      <c r="V61" s="331" t="s">
        <v>757</v>
      </c>
      <c r="W61" s="331"/>
      <c r="X61" s="330"/>
    </row>
    <row r="62" spans="1:24" s="326" customFormat="1" ht="35.1" customHeight="1" x14ac:dyDescent="0.25">
      <c r="A62" s="329">
        <v>4600058431</v>
      </c>
      <c r="B62" s="329" t="s">
        <v>791</v>
      </c>
      <c r="C62" s="329" t="s">
        <v>975</v>
      </c>
      <c r="D62" s="329" t="s">
        <v>1880</v>
      </c>
      <c r="E62" s="329" t="s">
        <v>854</v>
      </c>
      <c r="F62" s="331" t="s">
        <v>1575</v>
      </c>
      <c r="G62" s="331" t="s">
        <v>1575</v>
      </c>
      <c r="H62" s="329" t="s">
        <v>709</v>
      </c>
      <c r="I62" s="329" t="s">
        <v>18</v>
      </c>
      <c r="J62" s="331" t="s">
        <v>1956</v>
      </c>
      <c r="K62" s="340">
        <v>80000</v>
      </c>
      <c r="L62" s="331" t="s">
        <v>19</v>
      </c>
      <c r="M62" s="360">
        <v>45583</v>
      </c>
      <c r="N62" s="360">
        <v>45946</v>
      </c>
      <c r="O62" s="331" t="s">
        <v>93</v>
      </c>
      <c r="P62" s="331" t="s">
        <v>878</v>
      </c>
      <c r="Q62" s="362" t="str">
        <f t="shared" si="1"/>
        <v>FELIPE DE ANDRADE MOURA/ GRAZIELA DE CASSIA CAPRARA</v>
      </c>
      <c r="R62" s="331" t="str">
        <f t="shared" si="1"/>
        <v>FELIPE DE ANDRADE MOURA/ GRAZIELA DE CASSIA CAPRARA</v>
      </c>
      <c r="S62" s="331"/>
      <c r="T62" s="331"/>
      <c r="U62" s="331"/>
      <c r="V62" s="331"/>
      <c r="W62" s="331"/>
      <c r="X62" s="330"/>
    </row>
    <row r="63" spans="1:24" s="326" customFormat="1" ht="35.1" customHeight="1" x14ac:dyDescent="0.25">
      <c r="A63" s="329">
        <v>4600058180</v>
      </c>
      <c r="B63" s="329" t="s">
        <v>1878</v>
      </c>
      <c r="C63" s="329" t="s">
        <v>1000</v>
      </c>
      <c r="D63" s="329" t="s">
        <v>1880</v>
      </c>
      <c r="E63" s="329" t="s">
        <v>854</v>
      </c>
      <c r="F63" s="331" t="s">
        <v>1575</v>
      </c>
      <c r="G63" s="331" t="s">
        <v>1575</v>
      </c>
      <c r="H63" s="329" t="s">
        <v>709</v>
      </c>
      <c r="I63" s="340" t="s">
        <v>18</v>
      </c>
      <c r="J63" s="365" t="s">
        <v>1965</v>
      </c>
      <c r="K63" s="340">
        <v>189288</v>
      </c>
      <c r="L63" s="331" t="s">
        <v>19</v>
      </c>
      <c r="M63" s="360">
        <v>45449</v>
      </c>
      <c r="N63" s="360">
        <v>45879</v>
      </c>
      <c r="O63" s="331" t="s">
        <v>22</v>
      </c>
      <c r="P63" s="331" t="s">
        <v>204</v>
      </c>
      <c r="Q63" s="362" t="str">
        <f t="shared" si="1"/>
        <v>PEDRO ANTONIO PERIASSU</v>
      </c>
      <c r="R63" s="331" t="str">
        <f t="shared" si="1"/>
        <v>PEDRO ANTONIO PERIASSU</v>
      </c>
      <c r="S63" s="331"/>
      <c r="T63" s="331" t="s">
        <v>459</v>
      </c>
      <c r="U63" s="331" t="s">
        <v>460</v>
      </c>
      <c r="V63" s="331" t="s">
        <v>458</v>
      </c>
      <c r="W63" s="331" t="s">
        <v>1052</v>
      </c>
      <c r="X63" s="330" t="s">
        <v>833</v>
      </c>
    </row>
    <row r="64" spans="1:24" s="327" customFormat="1" ht="35.1" customHeight="1" x14ac:dyDescent="0.25">
      <c r="A64" s="329">
        <v>4600058306</v>
      </c>
      <c r="B64" s="329" t="s">
        <v>1053</v>
      </c>
      <c r="C64" s="329">
        <v>3043795</v>
      </c>
      <c r="D64" s="329" t="s">
        <v>1879</v>
      </c>
      <c r="E64" s="329">
        <v>30</v>
      </c>
      <c r="F64" s="331" t="s">
        <v>1575</v>
      </c>
      <c r="G64" s="331" t="s">
        <v>1575</v>
      </c>
      <c r="H64" s="329" t="s">
        <v>709</v>
      </c>
      <c r="I64" s="329" t="s">
        <v>18</v>
      </c>
      <c r="J64" s="331" t="s">
        <v>236</v>
      </c>
      <c r="K64" s="340">
        <v>66000</v>
      </c>
      <c r="L64" s="329" t="s">
        <v>19</v>
      </c>
      <c r="M64" s="344">
        <v>45591</v>
      </c>
      <c r="N64" s="344">
        <v>45955</v>
      </c>
      <c r="O64" s="331" t="s">
        <v>93</v>
      </c>
      <c r="P64" s="331" t="s">
        <v>94</v>
      </c>
      <c r="Q64" s="362" t="str">
        <f t="shared" si="1"/>
        <v>GRAZIELA DE CASSIA CAPRARA</v>
      </c>
      <c r="R64" s="331" t="str">
        <f t="shared" si="1"/>
        <v>GRAZIELA DE CASSIA CAPRARA</v>
      </c>
      <c r="S64" s="331"/>
      <c r="T64" s="331"/>
      <c r="U64" s="331"/>
      <c r="V64" s="331"/>
      <c r="W64" s="331"/>
      <c r="X64" s="330"/>
    </row>
    <row r="65" spans="1:25" s="326" customFormat="1" ht="35.1" customHeight="1" x14ac:dyDescent="0.25">
      <c r="A65" s="329">
        <v>4600058362</v>
      </c>
      <c r="B65" s="329" t="s">
        <v>797</v>
      </c>
      <c r="C65" s="329" t="s">
        <v>986</v>
      </c>
      <c r="D65" s="329" t="s">
        <v>1880</v>
      </c>
      <c r="E65" s="329" t="s">
        <v>855</v>
      </c>
      <c r="F65" s="331" t="s">
        <v>1575</v>
      </c>
      <c r="G65" s="331" t="s">
        <v>1575</v>
      </c>
      <c r="H65" s="329" t="s">
        <v>709</v>
      </c>
      <c r="I65" s="340" t="s">
        <v>18</v>
      </c>
      <c r="J65" s="331" t="s">
        <v>1959</v>
      </c>
      <c r="K65" s="340">
        <v>54050</v>
      </c>
      <c r="L65" s="331" t="s">
        <v>19</v>
      </c>
      <c r="M65" s="360">
        <v>45547</v>
      </c>
      <c r="N65" s="360">
        <v>45911</v>
      </c>
      <c r="O65" s="331" t="s">
        <v>617</v>
      </c>
      <c r="P65" s="331" t="s">
        <v>30</v>
      </c>
      <c r="Q65" s="362" t="str">
        <f t="shared" si="1"/>
        <v>MANFREDO SAHB CARCUTE</v>
      </c>
      <c r="R65" s="331" t="str">
        <f t="shared" si="1"/>
        <v>MANFREDO SAHB CARCUTE</v>
      </c>
      <c r="S65" s="331"/>
      <c r="T65" s="331"/>
      <c r="U65" s="331"/>
      <c r="V65" s="331"/>
      <c r="W65" s="331"/>
      <c r="X65" s="330"/>
    </row>
    <row r="66" spans="1:25" s="349" customFormat="1" ht="35.1" customHeight="1" x14ac:dyDescent="0.2">
      <c r="A66" s="331">
        <v>4600058487</v>
      </c>
      <c r="B66" s="329" t="s">
        <v>910</v>
      </c>
      <c r="C66" s="329">
        <v>3045655</v>
      </c>
      <c r="D66" s="329" t="s">
        <v>1880</v>
      </c>
      <c r="E66" s="329">
        <v>1</v>
      </c>
      <c r="F66" s="331" t="s">
        <v>1575</v>
      </c>
      <c r="G66" s="331" t="s">
        <v>1575</v>
      </c>
      <c r="H66" s="329" t="s">
        <v>709</v>
      </c>
      <c r="I66" s="329" t="s">
        <v>18</v>
      </c>
      <c r="J66" s="358" t="s">
        <v>1996</v>
      </c>
      <c r="K66" s="340">
        <v>171580</v>
      </c>
      <c r="L66" s="329" t="s">
        <v>19</v>
      </c>
      <c r="M66" s="344">
        <v>45569</v>
      </c>
      <c r="N66" s="344">
        <v>45923</v>
      </c>
      <c r="O66" s="331" t="s">
        <v>93</v>
      </c>
      <c r="P66" s="331" t="s">
        <v>878</v>
      </c>
      <c r="Q66" s="362" t="str">
        <f t="shared" si="1"/>
        <v>FELIPE DE ANDRADE MOURA/ GRAZIELA DE CASSIA CAPRARA</v>
      </c>
      <c r="R66" s="331" t="str">
        <f t="shared" si="1"/>
        <v>FELIPE DE ANDRADE MOURA/ GRAZIELA DE CASSIA CAPRARA</v>
      </c>
      <c r="S66" s="331"/>
      <c r="T66" s="331"/>
      <c r="U66" s="331"/>
      <c r="V66" s="331"/>
      <c r="W66" s="331"/>
      <c r="X66" s="330"/>
    </row>
    <row r="67" spans="1:25" s="326" customFormat="1" ht="35.1" customHeight="1" x14ac:dyDescent="0.25">
      <c r="A67" s="329">
        <v>4600055067</v>
      </c>
      <c r="B67" s="329" t="s">
        <v>110</v>
      </c>
      <c r="C67" s="329">
        <v>3040840</v>
      </c>
      <c r="D67" s="329" t="s">
        <v>1881</v>
      </c>
      <c r="E67" s="329">
        <v>60</v>
      </c>
      <c r="F67" s="331" t="s">
        <v>1575</v>
      </c>
      <c r="G67" s="331" t="s">
        <v>1575</v>
      </c>
      <c r="H67" s="335" t="s">
        <v>710</v>
      </c>
      <c r="I67" s="335" t="s">
        <v>18</v>
      </c>
      <c r="J67" s="368" t="s">
        <v>1934</v>
      </c>
      <c r="K67" s="369">
        <v>536809</v>
      </c>
      <c r="L67" s="335" t="s">
        <v>19</v>
      </c>
      <c r="M67" s="370">
        <v>44617</v>
      </c>
      <c r="N67" s="449">
        <v>46022</v>
      </c>
      <c r="O67" s="335" t="s">
        <v>29</v>
      </c>
      <c r="P67" s="331" t="s">
        <v>30</v>
      </c>
      <c r="Q67" s="362" t="str">
        <f t="shared" si="1"/>
        <v>MANFREDO SAHB CARCUTE</v>
      </c>
      <c r="R67" s="331" t="str">
        <f t="shared" si="1"/>
        <v>MANFREDO SAHB CARCUTE</v>
      </c>
      <c r="S67" s="335"/>
      <c r="T67" s="335" t="s">
        <v>393</v>
      </c>
      <c r="U67" s="335" t="s">
        <v>394</v>
      </c>
      <c r="V67" s="335" t="s">
        <v>391</v>
      </c>
      <c r="W67" s="335" t="s">
        <v>112</v>
      </c>
      <c r="X67" s="333"/>
    </row>
    <row r="68" spans="1:25" s="326" customFormat="1" ht="35.1" customHeight="1" x14ac:dyDescent="0.25">
      <c r="A68" s="331">
        <v>4600057099</v>
      </c>
      <c r="B68" s="331" t="s">
        <v>247</v>
      </c>
      <c r="C68" s="331">
        <v>1746544</v>
      </c>
      <c r="D68" s="329" t="s">
        <v>1880</v>
      </c>
      <c r="E68" s="331">
        <v>45</v>
      </c>
      <c r="F68" s="331" t="s">
        <v>1575</v>
      </c>
      <c r="G68" s="331" t="s">
        <v>1575</v>
      </c>
      <c r="H68" s="329" t="s">
        <v>710</v>
      </c>
      <c r="I68" s="331" t="s">
        <v>18</v>
      </c>
      <c r="J68" s="331" t="s">
        <v>1921</v>
      </c>
      <c r="K68" s="340">
        <v>1389600.48</v>
      </c>
      <c r="L68" s="331" t="s">
        <v>19</v>
      </c>
      <c r="M68" s="344">
        <v>44998</v>
      </c>
      <c r="N68" s="449">
        <v>45730</v>
      </c>
      <c r="O68" s="331" t="s">
        <v>152</v>
      </c>
      <c r="P68" s="331" t="s">
        <v>30</v>
      </c>
      <c r="Q68" s="362" t="str">
        <f t="shared" si="1"/>
        <v>MANFREDO SAHB CARCUTE</v>
      </c>
      <c r="R68" s="331" t="str">
        <f t="shared" si="1"/>
        <v>MANFREDO SAHB CARCUTE</v>
      </c>
      <c r="S68" s="331"/>
      <c r="T68" s="331" t="s">
        <v>503</v>
      </c>
      <c r="U68" s="331" t="s">
        <v>308</v>
      </c>
      <c r="V68" s="331" t="s">
        <v>502</v>
      </c>
      <c r="W68" s="331"/>
      <c r="X68" s="332">
        <v>45299</v>
      </c>
    </row>
    <row r="69" spans="1:25" s="326" customFormat="1" ht="35.1" customHeight="1" x14ac:dyDescent="0.25">
      <c r="A69" s="329">
        <v>4600058180</v>
      </c>
      <c r="B69" s="329" t="s">
        <v>1878</v>
      </c>
      <c r="C69" s="329">
        <v>3044034</v>
      </c>
      <c r="D69" s="329" t="s">
        <v>1880</v>
      </c>
      <c r="E69" s="329" t="s">
        <v>854</v>
      </c>
      <c r="F69" s="331" t="s">
        <v>1575</v>
      </c>
      <c r="G69" s="331" t="s">
        <v>1575</v>
      </c>
      <c r="H69" s="329" t="s">
        <v>709</v>
      </c>
      <c r="I69" s="340" t="s">
        <v>18</v>
      </c>
      <c r="J69" s="365" t="s">
        <v>1965</v>
      </c>
      <c r="K69" s="340">
        <v>189288</v>
      </c>
      <c r="L69" s="331" t="s">
        <v>19</v>
      </c>
      <c r="M69" s="360">
        <v>45449</v>
      </c>
      <c r="N69" s="449">
        <v>45879</v>
      </c>
      <c r="O69" s="331" t="s">
        <v>22</v>
      </c>
      <c r="P69" s="331" t="s">
        <v>204</v>
      </c>
      <c r="Q69" s="362" t="str">
        <f t="shared" si="1"/>
        <v>PEDRO ANTONIO PERIASSU</v>
      </c>
      <c r="R69" s="331" t="str">
        <f t="shared" si="1"/>
        <v>PEDRO ANTONIO PERIASSU</v>
      </c>
      <c r="S69" s="331"/>
      <c r="T69" s="331" t="s">
        <v>459</v>
      </c>
      <c r="U69" s="331" t="s">
        <v>460</v>
      </c>
      <c r="V69" s="331" t="s">
        <v>458</v>
      </c>
      <c r="W69" s="331" t="s">
        <v>1052</v>
      </c>
      <c r="X69" s="330" t="s">
        <v>833</v>
      </c>
    </row>
    <row r="70" spans="1:25" s="326" customFormat="1" ht="50.1" customHeight="1" x14ac:dyDescent="0.25">
      <c r="A70" s="331">
        <v>4600055645</v>
      </c>
      <c r="B70" s="365" t="s">
        <v>1721</v>
      </c>
      <c r="C70" s="331">
        <v>104143</v>
      </c>
      <c r="D70" s="331" t="s">
        <v>1881</v>
      </c>
      <c r="E70" s="331">
        <v>7</v>
      </c>
      <c r="F70" s="365" t="s">
        <v>1059</v>
      </c>
      <c r="G70" s="329" t="s">
        <v>1571</v>
      </c>
      <c r="H70" s="329" t="s">
        <v>710</v>
      </c>
      <c r="I70" s="331" t="s">
        <v>18</v>
      </c>
      <c r="J70" s="331" t="s">
        <v>1922</v>
      </c>
      <c r="K70" s="340">
        <v>0.01</v>
      </c>
      <c r="L70" s="331" t="s">
        <v>19</v>
      </c>
      <c r="M70" s="344">
        <v>40299</v>
      </c>
      <c r="N70" s="360">
        <v>45777</v>
      </c>
      <c r="O70" s="331" t="s">
        <v>152</v>
      </c>
      <c r="P70" s="331" t="s">
        <v>30</v>
      </c>
      <c r="Q70" s="362" t="str">
        <f t="shared" si="1"/>
        <v>MANFREDO SAHB CARCUTE</v>
      </c>
      <c r="R70" s="331" t="str">
        <f t="shared" si="1"/>
        <v>MANFREDO SAHB CARCUTE</v>
      </c>
      <c r="S70" s="331" t="s">
        <v>406</v>
      </c>
      <c r="T70" s="331" t="s">
        <v>513</v>
      </c>
      <c r="U70" s="331" t="s">
        <v>308</v>
      </c>
      <c r="V70" s="331" t="s">
        <v>512</v>
      </c>
      <c r="W70" s="331"/>
      <c r="X70" s="332">
        <v>45299</v>
      </c>
    </row>
    <row r="71" spans="1:25" s="326" customFormat="1" ht="35.1" customHeight="1" x14ac:dyDescent="0.25">
      <c r="A71" s="329">
        <v>4600058275</v>
      </c>
      <c r="B71" s="329" t="s">
        <v>804</v>
      </c>
      <c r="C71" s="329" t="s">
        <v>995</v>
      </c>
      <c r="D71" s="329" t="s">
        <v>1879</v>
      </c>
      <c r="E71" s="329">
        <v>30</v>
      </c>
      <c r="F71" s="331" t="s">
        <v>1575</v>
      </c>
      <c r="G71" s="331" t="s">
        <v>1575</v>
      </c>
      <c r="H71" s="331" t="s">
        <v>709</v>
      </c>
      <c r="I71" s="331" t="s">
        <v>18</v>
      </c>
      <c r="J71" s="331" t="s">
        <v>1946</v>
      </c>
      <c r="K71" s="340">
        <v>25200</v>
      </c>
      <c r="L71" s="331" t="s">
        <v>749</v>
      </c>
      <c r="M71" s="344">
        <v>45503</v>
      </c>
      <c r="N71" s="449">
        <v>45868</v>
      </c>
      <c r="O71" s="331" t="s">
        <v>22</v>
      </c>
      <c r="P71" s="331" t="s">
        <v>876</v>
      </c>
      <c r="Q71" s="362" t="str">
        <f t="shared" si="1"/>
        <v xml:space="preserve">GLAUBER HENRIQUE DOS SANTOS </v>
      </c>
      <c r="R71" s="331" t="str">
        <f t="shared" si="1"/>
        <v xml:space="preserve">GLAUBER HENRIQUE DOS SANTOS </v>
      </c>
      <c r="S71" s="331" t="s">
        <v>750</v>
      </c>
      <c r="T71" s="331" t="s">
        <v>751</v>
      </c>
      <c r="U71" s="331"/>
      <c r="V71" s="331" t="s">
        <v>752</v>
      </c>
      <c r="W71" s="331" t="s">
        <v>753</v>
      </c>
      <c r="X71" s="330"/>
    </row>
    <row r="72" spans="1:25" s="326" customFormat="1" ht="35.1" customHeight="1" x14ac:dyDescent="0.25">
      <c r="A72" s="329">
        <v>4600058285</v>
      </c>
      <c r="B72" s="329" t="s">
        <v>754</v>
      </c>
      <c r="C72" s="329">
        <v>3045861</v>
      </c>
      <c r="D72" s="329" t="s">
        <v>1880</v>
      </c>
      <c r="E72" s="329">
        <v>30</v>
      </c>
      <c r="F72" s="331" t="s">
        <v>1575</v>
      </c>
      <c r="G72" s="331" t="s">
        <v>1575</v>
      </c>
      <c r="H72" s="331" t="s">
        <v>709</v>
      </c>
      <c r="I72" s="331" t="s">
        <v>18</v>
      </c>
      <c r="J72" s="331" t="s">
        <v>1947</v>
      </c>
      <c r="K72" s="340">
        <v>45000</v>
      </c>
      <c r="L72" s="331" t="s">
        <v>749</v>
      </c>
      <c r="M72" s="344">
        <v>45505</v>
      </c>
      <c r="N72" s="449">
        <v>45870</v>
      </c>
      <c r="O72" s="335" t="s">
        <v>29</v>
      </c>
      <c r="P72" s="331" t="s">
        <v>30</v>
      </c>
      <c r="Q72" s="362" t="str">
        <f t="shared" si="1"/>
        <v>MANFREDO SAHB CARCUTE</v>
      </c>
      <c r="R72" s="331" t="str">
        <f t="shared" si="1"/>
        <v>MANFREDO SAHB CARCUTE</v>
      </c>
      <c r="S72" s="331" t="s">
        <v>758</v>
      </c>
      <c r="T72" s="331" t="s">
        <v>756</v>
      </c>
      <c r="U72" s="331"/>
      <c r="V72" s="331" t="s">
        <v>757</v>
      </c>
      <c r="W72" s="331"/>
      <c r="X72" s="330"/>
    </row>
    <row r="73" spans="1:25" s="327" customFormat="1" ht="35.1" customHeight="1" x14ac:dyDescent="0.25">
      <c r="A73" s="329">
        <v>4600058306</v>
      </c>
      <c r="B73" s="329" t="s">
        <v>1053</v>
      </c>
      <c r="C73" s="329">
        <v>3043795</v>
      </c>
      <c r="D73" s="329" t="s">
        <v>1879</v>
      </c>
      <c r="E73" s="329">
        <v>30</v>
      </c>
      <c r="F73" s="331" t="s">
        <v>1575</v>
      </c>
      <c r="G73" s="331" t="s">
        <v>1575</v>
      </c>
      <c r="H73" s="329" t="s">
        <v>709</v>
      </c>
      <c r="I73" s="329" t="s">
        <v>18</v>
      </c>
      <c r="J73" s="331" t="s">
        <v>236</v>
      </c>
      <c r="K73" s="340">
        <v>66000</v>
      </c>
      <c r="L73" s="329" t="s">
        <v>19</v>
      </c>
      <c r="M73" s="344">
        <v>45591</v>
      </c>
      <c r="N73" s="450">
        <v>45955</v>
      </c>
      <c r="O73" s="331" t="s">
        <v>93</v>
      </c>
      <c r="P73" s="331" t="s">
        <v>94</v>
      </c>
      <c r="Q73" s="362" t="str">
        <f t="shared" si="1"/>
        <v>GRAZIELA DE CASSIA CAPRARA</v>
      </c>
      <c r="R73" s="331" t="str">
        <f t="shared" si="1"/>
        <v>GRAZIELA DE CASSIA CAPRARA</v>
      </c>
      <c r="S73" s="331"/>
      <c r="T73" s="331"/>
      <c r="U73" s="331"/>
      <c r="V73" s="331"/>
      <c r="W73" s="331"/>
      <c r="X73" s="330"/>
    </row>
    <row r="74" spans="1:25" s="326" customFormat="1" ht="35.1" customHeight="1" x14ac:dyDescent="0.25">
      <c r="A74" s="329">
        <v>4600058362</v>
      </c>
      <c r="B74" s="329" t="s">
        <v>797</v>
      </c>
      <c r="C74" s="329" t="s">
        <v>986</v>
      </c>
      <c r="D74" s="329" t="s">
        <v>1880</v>
      </c>
      <c r="E74" s="329" t="s">
        <v>855</v>
      </c>
      <c r="F74" s="331" t="s">
        <v>1575</v>
      </c>
      <c r="G74" s="331" t="s">
        <v>1575</v>
      </c>
      <c r="H74" s="329" t="s">
        <v>709</v>
      </c>
      <c r="I74" s="340" t="s">
        <v>18</v>
      </c>
      <c r="J74" s="331" t="s">
        <v>1959</v>
      </c>
      <c r="K74" s="340">
        <v>54050</v>
      </c>
      <c r="L74" s="331" t="s">
        <v>19</v>
      </c>
      <c r="M74" s="360">
        <v>45547</v>
      </c>
      <c r="N74" s="449">
        <v>45911</v>
      </c>
      <c r="O74" s="331" t="s">
        <v>617</v>
      </c>
      <c r="P74" s="331" t="s">
        <v>30</v>
      </c>
      <c r="Q74" s="362" t="str">
        <f t="shared" si="1"/>
        <v>MANFREDO SAHB CARCUTE</v>
      </c>
      <c r="R74" s="331" t="str">
        <f t="shared" si="1"/>
        <v>MANFREDO SAHB CARCUTE</v>
      </c>
      <c r="S74" s="331"/>
      <c r="T74" s="331"/>
      <c r="U74" s="331"/>
      <c r="V74" s="331"/>
      <c r="W74" s="331"/>
      <c r="X74" s="330"/>
    </row>
    <row r="75" spans="1:25" s="326" customFormat="1" ht="35.1" customHeight="1" x14ac:dyDescent="0.25">
      <c r="A75" s="329">
        <v>4600058431</v>
      </c>
      <c r="B75" s="329" t="s">
        <v>791</v>
      </c>
      <c r="C75" s="329" t="s">
        <v>975</v>
      </c>
      <c r="D75" s="329" t="s">
        <v>1880</v>
      </c>
      <c r="E75" s="329" t="s">
        <v>854</v>
      </c>
      <c r="F75" s="331" t="s">
        <v>1575</v>
      </c>
      <c r="G75" s="331" t="s">
        <v>1575</v>
      </c>
      <c r="H75" s="329" t="s">
        <v>709</v>
      </c>
      <c r="I75" s="329" t="s">
        <v>18</v>
      </c>
      <c r="J75" s="331" t="s">
        <v>1956</v>
      </c>
      <c r="K75" s="340">
        <v>80000</v>
      </c>
      <c r="L75" s="331" t="s">
        <v>19</v>
      </c>
      <c r="M75" s="360">
        <v>45583</v>
      </c>
      <c r="N75" s="449">
        <v>45946</v>
      </c>
      <c r="O75" s="331" t="s">
        <v>93</v>
      </c>
      <c r="P75" s="331" t="s">
        <v>878</v>
      </c>
      <c r="Q75" s="362" t="str">
        <f t="shared" si="1"/>
        <v>FELIPE DE ANDRADE MOURA/ GRAZIELA DE CASSIA CAPRARA</v>
      </c>
      <c r="R75" s="331" t="str">
        <f t="shared" si="1"/>
        <v>FELIPE DE ANDRADE MOURA/ GRAZIELA DE CASSIA CAPRARA</v>
      </c>
      <c r="S75" s="331"/>
      <c r="T75" s="331"/>
      <c r="U75" s="331"/>
      <c r="V75" s="331"/>
      <c r="W75" s="331"/>
      <c r="X75" s="330"/>
    </row>
    <row r="76" spans="1:25" s="326" customFormat="1" ht="35.1" customHeight="1" x14ac:dyDescent="0.25">
      <c r="A76" s="329">
        <v>4600058504</v>
      </c>
      <c r="B76" s="329" t="s">
        <v>47</v>
      </c>
      <c r="C76" s="329">
        <v>192963</v>
      </c>
      <c r="D76" s="329" t="s">
        <v>1879</v>
      </c>
      <c r="E76" s="329">
        <v>30</v>
      </c>
      <c r="F76" s="331" t="s">
        <v>1575</v>
      </c>
      <c r="G76" s="331" t="s">
        <v>1575</v>
      </c>
      <c r="H76" s="329" t="s">
        <v>709</v>
      </c>
      <c r="I76" s="329" t="s">
        <v>18</v>
      </c>
      <c r="J76" s="358" t="s">
        <v>1882</v>
      </c>
      <c r="K76" s="359">
        <v>23686598.609999999</v>
      </c>
      <c r="L76" s="329" t="s">
        <v>19</v>
      </c>
      <c r="M76" s="360">
        <v>44927</v>
      </c>
      <c r="N76" s="449">
        <v>46022</v>
      </c>
      <c r="O76" s="331" t="s">
        <v>29</v>
      </c>
      <c r="P76" s="362" t="s">
        <v>30</v>
      </c>
      <c r="Q76" s="362" t="str">
        <f t="shared" si="1"/>
        <v>MANFREDO SAHB CARCUTE</v>
      </c>
      <c r="R76" s="331" t="str">
        <f t="shared" si="1"/>
        <v>MANFREDO SAHB CARCUTE</v>
      </c>
      <c r="S76" s="331" t="s">
        <v>319</v>
      </c>
      <c r="T76" s="331" t="s">
        <v>320</v>
      </c>
      <c r="U76" s="331" t="s">
        <v>321</v>
      </c>
      <c r="V76" s="331" t="s">
        <v>317</v>
      </c>
      <c r="W76" s="331"/>
      <c r="X76" s="330"/>
    </row>
    <row r="77" spans="1:25" s="349" customFormat="1" ht="35.1" customHeight="1" x14ac:dyDescent="0.2">
      <c r="A77" s="331">
        <v>4600058487</v>
      </c>
      <c r="B77" s="329" t="s">
        <v>910</v>
      </c>
      <c r="C77" s="329">
        <v>3045655</v>
      </c>
      <c r="D77" s="329" t="s">
        <v>1880</v>
      </c>
      <c r="E77" s="329">
        <v>1</v>
      </c>
      <c r="F77" s="447" t="s">
        <v>1575</v>
      </c>
      <c r="G77" s="435" t="s">
        <v>1575</v>
      </c>
      <c r="H77" s="329" t="s">
        <v>709</v>
      </c>
      <c r="I77" s="329" t="s">
        <v>18</v>
      </c>
      <c r="J77" s="358" t="s">
        <v>1996</v>
      </c>
      <c r="K77" s="340">
        <v>171580</v>
      </c>
      <c r="L77" s="329" t="s">
        <v>19</v>
      </c>
      <c r="M77" s="344">
        <v>45569</v>
      </c>
      <c r="N77" s="344">
        <v>45923</v>
      </c>
      <c r="O77" s="331" t="s">
        <v>93</v>
      </c>
      <c r="P77" s="331" t="s">
        <v>878</v>
      </c>
      <c r="Q77" s="362" t="str">
        <f t="shared" si="1"/>
        <v>FELIPE DE ANDRADE MOURA/ GRAZIELA DE CASSIA CAPRARA</v>
      </c>
      <c r="R77" s="331" t="str">
        <f t="shared" si="1"/>
        <v>FELIPE DE ANDRADE MOURA/ GRAZIELA DE CASSIA CAPRARA</v>
      </c>
      <c r="S77" s="331"/>
      <c r="T77" s="331"/>
      <c r="U77" s="331"/>
      <c r="V77" s="331"/>
      <c r="W77" s="331"/>
      <c r="X77" s="330"/>
    </row>
    <row r="78" spans="1:25" s="326" customFormat="1" ht="35.1" customHeight="1" x14ac:dyDescent="0.25">
      <c r="A78" s="329">
        <v>4600058589</v>
      </c>
      <c r="B78" s="329" t="s">
        <v>1028</v>
      </c>
      <c r="C78" s="329">
        <v>102369</v>
      </c>
      <c r="D78" s="329" t="s">
        <v>1879</v>
      </c>
      <c r="E78" s="329">
        <v>1</v>
      </c>
      <c r="F78" s="365" t="s">
        <v>1574</v>
      </c>
      <c r="G78" s="435" t="s">
        <v>1575</v>
      </c>
      <c r="H78" s="331" t="s">
        <v>709</v>
      </c>
      <c r="I78" s="331" t="s">
        <v>18</v>
      </c>
      <c r="J78" s="331" t="s">
        <v>1969</v>
      </c>
      <c r="K78" s="366">
        <v>609683.84</v>
      </c>
      <c r="L78" s="331" t="s">
        <v>19</v>
      </c>
      <c r="M78" s="344">
        <v>45618</v>
      </c>
      <c r="N78" s="360">
        <v>45982</v>
      </c>
      <c r="O78" s="331" t="s">
        <v>22</v>
      </c>
      <c r="P78" s="331" t="s">
        <v>204</v>
      </c>
      <c r="Q78" s="362" t="str">
        <f t="shared" si="1"/>
        <v>PEDRO ANTONIO PERIASSU</v>
      </c>
      <c r="R78" s="331" t="str">
        <f t="shared" si="1"/>
        <v>PEDRO ANTONIO PERIASSU</v>
      </c>
      <c r="S78" s="331" t="s">
        <v>1005</v>
      </c>
      <c r="T78" s="331" t="s">
        <v>1007</v>
      </c>
      <c r="U78" s="331" t="s">
        <v>432</v>
      </c>
      <c r="V78" s="331" t="s">
        <v>1006</v>
      </c>
      <c r="W78" s="331"/>
      <c r="X78" s="330"/>
    </row>
    <row r="79" spans="1:25" s="391" customFormat="1" ht="50.1" customHeight="1" x14ac:dyDescent="0.25">
      <c r="A79" s="329" t="s">
        <v>1670</v>
      </c>
      <c r="B79" s="448" t="s">
        <v>2085</v>
      </c>
      <c r="C79" s="329">
        <v>102179</v>
      </c>
      <c r="D79" s="329" t="s">
        <v>568</v>
      </c>
      <c r="E79" s="329">
        <v>60</v>
      </c>
      <c r="F79" s="358" t="s">
        <v>1059</v>
      </c>
      <c r="G79" s="329" t="s">
        <v>1571</v>
      </c>
      <c r="H79" s="329" t="s">
        <v>710</v>
      </c>
      <c r="I79" s="329" t="s">
        <v>18</v>
      </c>
      <c r="J79" s="364" t="s">
        <v>1884</v>
      </c>
      <c r="K79" s="359">
        <v>55025645</v>
      </c>
      <c r="L79" s="329" t="s">
        <v>19</v>
      </c>
      <c r="M79" s="360">
        <v>45047</v>
      </c>
      <c r="N79" s="449">
        <v>46022</v>
      </c>
      <c r="O79" s="331" t="s">
        <v>29</v>
      </c>
      <c r="P79" s="331" t="s">
        <v>30</v>
      </c>
      <c r="Q79" s="361" t="str">
        <f>UPPER(P79:P79)</f>
        <v>MANFREDO SAHB CARCUTE</v>
      </c>
      <c r="R79" s="331" t="s">
        <v>265</v>
      </c>
      <c r="S79" s="331" t="str">
        <f>UPPER(R79:R79)</f>
        <v>ULIANA MARIA NICKERSON DO PRADO PERES</v>
      </c>
      <c r="T79" s="331" t="s">
        <v>420</v>
      </c>
      <c r="U79" s="331" t="s">
        <v>419</v>
      </c>
      <c r="V79" s="331" t="s">
        <v>418</v>
      </c>
      <c r="W79" s="331" t="s">
        <v>1611</v>
      </c>
      <c r="X79" s="390"/>
      <c r="Y79" s="358" t="s">
        <v>1671</v>
      </c>
    </row>
    <row r="80" spans="1:25" s="326" customFormat="1" ht="50.1" customHeight="1" x14ac:dyDescent="0.25">
      <c r="A80" s="329">
        <v>4600053912</v>
      </c>
      <c r="B80" s="451" t="s">
        <v>2086</v>
      </c>
      <c r="C80" s="329">
        <v>104922</v>
      </c>
      <c r="D80" s="329" t="s">
        <v>568</v>
      </c>
      <c r="E80" s="329">
        <v>1</v>
      </c>
      <c r="F80" s="331" t="s">
        <v>1059</v>
      </c>
      <c r="G80" s="329" t="s">
        <v>1571</v>
      </c>
      <c r="H80" s="329" t="s">
        <v>710</v>
      </c>
      <c r="I80" s="331" t="s">
        <v>38</v>
      </c>
      <c r="J80" s="331" t="s">
        <v>1939</v>
      </c>
      <c r="K80" s="340">
        <v>559408.13</v>
      </c>
      <c r="L80" s="331" t="s">
        <v>19</v>
      </c>
      <c r="M80" s="344">
        <v>41634</v>
      </c>
      <c r="N80" s="360">
        <v>48073</v>
      </c>
      <c r="O80" s="335" t="s">
        <v>208</v>
      </c>
      <c r="P80" s="331" t="s">
        <v>876</v>
      </c>
      <c r="Q80" s="361" t="str">
        <f>UPPER(P80:P80)</f>
        <v xml:space="preserve">GLAUBER HENRIQUE DOS SANTOS </v>
      </c>
      <c r="R80" s="331" t="s">
        <v>263</v>
      </c>
      <c r="S80" s="331" t="str">
        <f>UPPER(R80:R80)</f>
        <v>BRUNO FANTAGUZZI LINCES</v>
      </c>
      <c r="T80" s="331"/>
      <c r="U80" s="331"/>
      <c r="V80" s="331"/>
      <c r="W80" s="331" t="s">
        <v>1048</v>
      </c>
      <c r="X80" s="330"/>
      <c r="Y80" s="358"/>
    </row>
  </sheetData>
  <autoFilter ref="A1:X68"/>
  <conditionalFormatting sqref="B38">
    <cfRule type="duplicateValues" dxfId="253" priority="19"/>
  </conditionalFormatting>
  <conditionalFormatting sqref="B39">
    <cfRule type="duplicateValues" dxfId="252" priority="17"/>
  </conditionalFormatting>
  <conditionalFormatting sqref="B40">
    <cfRule type="duplicateValues" dxfId="251" priority="15"/>
  </conditionalFormatting>
  <conditionalFormatting sqref="B41">
    <cfRule type="duplicateValues" dxfId="250" priority="13"/>
  </conditionalFormatting>
  <conditionalFormatting sqref="B42">
    <cfRule type="duplicateValues" dxfId="249" priority="11"/>
  </conditionalFormatting>
  <conditionalFormatting sqref="B43">
    <cfRule type="duplicateValues" dxfId="248" priority="9"/>
  </conditionalFormatting>
  <conditionalFormatting sqref="A71">
    <cfRule type="duplicateValues" dxfId="247" priority="8"/>
  </conditionalFormatting>
  <conditionalFormatting sqref="A72">
    <cfRule type="duplicateValues" dxfId="246" priority="7"/>
  </conditionalFormatting>
  <conditionalFormatting sqref="A73">
    <cfRule type="duplicateValues" dxfId="245" priority="6"/>
  </conditionalFormatting>
  <conditionalFormatting sqref="A74">
    <cfRule type="duplicateValues" dxfId="244" priority="5"/>
  </conditionalFormatting>
  <conditionalFormatting sqref="A75">
    <cfRule type="duplicateValues" dxfId="243" priority="4"/>
  </conditionalFormatting>
  <conditionalFormatting sqref="A76">
    <cfRule type="duplicateValues" dxfId="242" priority="3"/>
  </conditionalFormatting>
  <conditionalFormatting sqref="A77">
    <cfRule type="duplicateValues" dxfId="241" priority="2"/>
  </conditionalFormatting>
  <conditionalFormatting sqref="A78">
    <cfRule type="duplicateValues" dxfId="240" priority="1"/>
  </conditionalFormatting>
  <hyperlinks>
    <hyperlink ref="V50" r:id="rId1" display="mailto:hugodosrr208@gmail.com"/>
    <hyperlink ref="V53" r:id="rId2" display="mailto:hugodosrr208@gmail.com"/>
    <hyperlink ref="V55" r:id="rId3"/>
  </hyperlinks>
  <pageMargins left="0.511811024" right="0.511811024" top="0.78740157499999996" bottom="0.78740157499999996" header="0.31496062000000002" footer="0.31496062000000002"/>
  <pageSetup paperSize="9" orientation="portrait"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26"/>
  <sheetViews>
    <sheetView showGridLines="0" tabSelected="1" zoomScale="110" zoomScaleNormal="110" workbookViewId="0">
      <selection activeCell="K19" sqref="K19"/>
    </sheetView>
  </sheetViews>
  <sheetFormatPr defaultRowHeight="15" x14ac:dyDescent="0.25"/>
  <cols>
    <col min="1" max="1" width="1.85546875" customWidth="1"/>
    <col min="2" max="2" width="33.85546875" bestFit="1" customWidth="1"/>
    <col min="3" max="3" width="13" customWidth="1"/>
    <col min="4" max="4" width="0.5703125" style="463" customWidth="1"/>
    <col min="5" max="5" width="18.28515625" customWidth="1"/>
    <col min="6" max="6" width="14.5703125" customWidth="1"/>
  </cols>
  <sheetData>
    <row r="2" spans="1:6" x14ac:dyDescent="0.25">
      <c r="B2" s="464" t="s">
        <v>2089</v>
      </c>
      <c r="C2" s="464" t="s">
        <v>2090</v>
      </c>
      <c r="E2" s="464" t="s">
        <v>2091</v>
      </c>
      <c r="F2" s="464" t="s">
        <v>2139</v>
      </c>
    </row>
    <row r="3" spans="1:6" ht="3" customHeight="1" x14ac:dyDescent="0.25">
      <c r="B3" s="465"/>
      <c r="C3" s="465"/>
      <c r="E3" s="465"/>
      <c r="F3" s="467"/>
    </row>
    <row r="4" spans="1:6" ht="13.5" customHeight="1" x14ac:dyDescent="0.25">
      <c r="B4" s="465" t="s">
        <v>2093</v>
      </c>
      <c r="C4" s="466">
        <v>150</v>
      </c>
      <c r="E4" s="466">
        <v>10</v>
      </c>
      <c r="F4" s="467"/>
    </row>
    <row r="5" spans="1:6" x14ac:dyDescent="0.25">
      <c r="B5" s="467" t="s">
        <v>34</v>
      </c>
      <c r="C5" s="468">
        <v>109</v>
      </c>
      <c r="E5" s="468" t="s">
        <v>735</v>
      </c>
      <c r="F5" s="467"/>
    </row>
    <row r="6" spans="1:6" x14ac:dyDescent="0.25">
      <c r="B6" s="467" t="s">
        <v>31</v>
      </c>
      <c r="C6" s="468">
        <v>4</v>
      </c>
      <c r="E6" s="468" t="s">
        <v>735</v>
      </c>
      <c r="F6" s="503">
        <v>2</v>
      </c>
    </row>
    <row r="7" spans="1:6" x14ac:dyDescent="0.25">
      <c r="A7" s="508"/>
      <c r="B7" s="467" t="s">
        <v>2092</v>
      </c>
      <c r="C7" s="468">
        <v>15</v>
      </c>
      <c r="E7" s="469" t="s">
        <v>2095</v>
      </c>
      <c r="F7" s="503">
        <v>13</v>
      </c>
    </row>
    <row r="8" spans="1:6" x14ac:dyDescent="0.25">
      <c r="A8" s="508"/>
      <c r="B8" s="467" t="s">
        <v>2094</v>
      </c>
      <c r="C8" s="468">
        <v>22</v>
      </c>
      <c r="E8" s="469" t="s">
        <v>2096</v>
      </c>
      <c r="F8" s="503">
        <v>16</v>
      </c>
    </row>
    <row r="9" spans="1:6" ht="9.75" customHeight="1" x14ac:dyDescent="0.25">
      <c r="E9" s="29"/>
    </row>
    <row r="10" spans="1:6" ht="11.25" customHeight="1" x14ac:dyDescent="0.25">
      <c r="B10" s="471" t="s">
        <v>2136</v>
      </c>
    </row>
    <row r="12" spans="1:6" x14ac:dyDescent="0.25">
      <c r="B12" s="470" t="s">
        <v>2095</v>
      </c>
    </row>
    <row r="13" spans="1:6" x14ac:dyDescent="0.25">
      <c r="B13" s="470" t="s">
        <v>2096</v>
      </c>
    </row>
    <row r="25" spans="3:3" hidden="1" x14ac:dyDescent="0.25">
      <c r="C25" t="s">
        <v>2127</v>
      </c>
    </row>
    <row r="26" spans="3:3" hidden="1" x14ac:dyDescent="0.25">
      <c r="C26" t="s">
        <v>2130</v>
      </c>
    </row>
  </sheetData>
  <mergeCells count="1">
    <mergeCell ref="A7:A8"/>
  </mergeCells>
  <conditionalFormatting sqref="C3:C8 E3:E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{025E562F-05E5-41BF-93C2-C7EE1A381602}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5E562F-05E5-41BF-93C2-C7EE1A3816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C3:C8 E3:E8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X31"/>
  <sheetViews>
    <sheetView showGridLines="0" topLeftCell="A31" workbookViewId="0">
      <selection activeCell="B31" sqref="B31"/>
    </sheetView>
  </sheetViews>
  <sheetFormatPr defaultRowHeight="15" x14ac:dyDescent="0.25"/>
  <cols>
    <col min="1" max="1" width="13.5703125" customWidth="1"/>
    <col min="2" max="2" width="37.85546875" customWidth="1"/>
    <col min="3" max="3" width="17.42578125" style="30" customWidth="1"/>
    <col min="4" max="4" width="18.140625" customWidth="1"/>
    <col min="5" max="5" width="9.140625" customWidth="1"/>
    <col min="6" max="6" width="20.42578125" customWidth="1"/>
    <col min="7" max="7" width="16.42578125" customWidth="1"/>
    <col min="8" max="8" width="11.5703125" customWidth="1"/>
    <col min="9" max="9" width="32.85546875" customWidth="1"/>
    <col min="10" max="10" width="17" customWidth="1"/>
    <col min="11" max="11" width="9.140625" customWidth="1"/>
    <col min="12" max="12" width="11.42578125" customWidth="1"/>
    <col min="13" max="13" width="10.42578125" customWidth="1"/>
    <col min="14" max="14" width="27.85546875" customWidth="1"/>
    <col min="15" max="15" width="25.28515625" customWidth="1"/>
    <col min="16" max="16" width="23.42578125" customWidth="1"/>
    <col min="17" max="17" width="26.140625" customWidth="1"/>
    <col min="18" max="18" width="26.140625" bestFit="1" customWidth="1"/>
    <col min="19" max="19" width="16.28515625" bestFit="1" customWidth="1"/>
    <col min="20" max="20" width="24.28515625" bestFit="1" customWidth="1"/>
    <col min="21" max="21" width="45" bestFit="1" customWidth="1"/>
    <col min="22" max="22" width="51.5703125" bestFit="1" customWidth="1"/>
    <col min="23" max="23" width="40.85546875" bestFit="1" customWidth="1"/>
  </cols>
  <sheetData>
    <row r="1" spans="1:24" s="256" customFormat="1" ht="35.25" customHeight="1" x14ac:dyDescent="0.25">
      <c r="A1" s="228" t="s">
        <v>0</v>
      </c>
      <c r="B1" s="228" t="s">
        <v>1</v>
      </c>
      <c r="C1" s="228" t="s">
        <v>2</v>
      </c>
      <c r="D1" s="228" t="s">
        <v>566</v>
      </c>
      <c r="E1" s="228" t="s">
        <v>4</v>
      </c>
      <c r="F1" s="228" t="s">
        <v>633</v>
      </c>
      <c r="G1" s="228" t="s">
        <v>5</v>
      </c>
      <c r="H1" s="228" t="s">
        <v>6</v>
      </c>
      <c r="I1" s="228" t="s">
        <v>7</v>
      </c>
      <c r="J1" s="229" t="s">
        <v>8</v>
      </c>
      <c r="K1" s="228" t="s">
        <v>9</v>
      </c>
      <c r="L1" s="228" t="s">
        <v>10</v>
      </c>
      <c r="M1" s="228" t="s">
        <v>11</v>
      </c>
      <c r="N1" s="228" t="s">
        <v>16</v>
      </c>
      <c r="O1" s="228" t="s">
        <v>201</v>
      </c>
      <c r="P1" s="228" t="s">
        <v>202</v>
      </c>
      <c r="Q1" s="228" t="s">
        <v>257</v>
      </c>
      <c r="R1" s="230" t="s">
        <v>301</v>
      </c>
      <c r="S1" s="230" t="s">
        <v>299</v>
      </c>
      <c r="T1" s="230" t="s">
        <v>300</v>
      </c>
      <c r="U1" s="230" t="s">
        <v>298</v>
      </c>
      <c r="V1" s="228" t="s">
        <v>17</v>
      </c>
      <c r="W1" s="228" t="s">
        <v>278</v>
      </c>
    </row>
    <row r="2" spans="1:24" s="251" customFormat="1" ht="24.95" customHeight="1" x14ac:dyDescent="0.25">
      <c r="A2" s="198">
        <v>4600058148</v>
      </c>
      <c r="B2" s="198" t="s">
        <v>615</v>
      </c>
      <c r="C2" s="185">
        <v>185065</v>
      </c>
      <c r="D2" s="185" t="s">
        <v>567</v>
      </c>
      <c r="E2" s="186">
        <v>90</v>
      </c>
      <c r="F2" s="185" t="s">
        <v>600</v>
      </c>
      <c r="G2" s="185" t="s">
        <v>31</v>
      </c>
      <c r="H2" s="185" t="s">
        <v>18</v>
      </c>
      <c r="I2" s="199" t="s">
        <v>616</v>
      </c>
      <c r="J2" s="235">
        <v>4959153.83</v>
      </c>
      <c r="K2" s="185" t="s">
        <v>19</v>
      </c>
      <c r="L2" s="236">
        <v>45444</v>
      </c>
      <c r="M2" s="240">
        <v>46173</v>
      </c>
      <c r="N2" s="183" t="s">
        <v>22</v>
      </c>
      <c r="O2" s="183" t="s">
        <v>204</v>
      </c>
      <c r="P2" s="242" t="s">
        <v>553</v>
      </c>
      <c r="Q2" s="183" t="s">
        <v>261</v>
      </c>
      <c r="R2" s="202" t="s">
        <v>922</v>
      </c>
      <c r="S2" s="202" t="s">
        <v>919</v>
      </c>
      <c r="T2" s="202" t="s">
        <v>921</v>
      </c>
      <c r="U2" s="183" t="s">
        <v>920</v>
      </c>
      <c r="V2" s="202"/>
      <c r="W2" s="202"/>
      <c r="X2" s="250"/>
    </row>
    <row r="3" spans="1:24" s="253" customFormat="1" ht="24.95" customHeight="1" x14ac:dyDescent="0.25">
      <c r="A3" s="189">
        <v>4600057891</v>
      </c>
      <c r="B3" s="189" t="s">
        <v>97</v>
      </c>
      <c r="C3" s="191">
        <v>143950</v>
      </c>
      <c r="D3" s="191" t="s">
        <v>569</v>
      </c>
      <c r="E3" s="191">
        <v>45</v>
      </c>
      <c r="F3" s="191" t="s">
        <v>21</v>
      </c>
      <c r="G3" s="191" t="s">
        <v>34</v>
      </c>
      <c r="H3" s="191" t="s">
        <v>95</v>
      </c>
      <c r="I3" s="220" t="s">
        <v>98</v>
      </c>
      <c r="J3" s="245">
        <v>2559718</v>
      </c>
      <c r="K3" s="191" t="s">
        <v>19</v>
      </c>
      <c r="L3" s="195">
        <v>44876</v>
      </c>
      <c r="M3" s="240">
        <v>46569</v>
      </c>
      <c r="N3" s="189" t="s">
        <v>96</v>
      </c>
      <c r="O3" s="246" t="s">
        <v>86</v>
      </c>
      <c r="P3" s="246" t="s">
        <v>86</v>
      </c>
      <c r="Q3" s="189" t="s">
        <v>86</v>
      </c>
      <c r="R3" s="189" t="s">
        <v>923</v>
      </c>
      <c r="S3" s="189" t="s">
        <v>924</v>
      </c>
      <c r="T3" s="189"/>
      <c r="U3" s="189" t="s">
        <v>925</v>
      </c>
      <c r="V3" s="189"/>
      <c r="W3" s="189"/>
      <c r="X3" s="252"/>
    </row>
    <row r="4" spans="1:24" s="255" customFormat="1" ht="24.95" customHeight="1" x14ac:dyDescent="0.25">
      <c r="A4" s="198">
        <v>4600058139</v>
      </c>
      <c r="B4" s="198" t="s">
        <v>89</v>
      </c>
      <c r="C4" s="185">
        <v>3008003</v>
      </c>
      <c r="D4" s="185" t="s">
        <v>567</v>
      </c>
      <c r="E4" s="186">
        <v>90</v>
      </c>
      <c r="F4" s="185" t="s">
        <v>21</v>
      </c>
      <c r="G4" s="185" t="s">
        <v>34</v>
      </c>
      <c r="H4" s="185" t="s">
        <v>18</v>
      </c>
      <c r="I4" s="199" t="s">
        <v>880</v>
      </c>
      <c r="J4" s="235">
        <v>20484927.629999999</v>
      </c>
      <c r="K4" s="185" t="s">
        <v>19</v>
      </c>
      <c r="L4" s="236">
        <v>45444</v>
      </c>
      <c r="M4" s="240">
        <v>45808</v>
      </c>
      <c r="N4" s="183" t="s">
        <v>22</v>
      </c>
      <c r="O4" s="183" t="s">
        <v>883</v>
      </c>
      <c r="P4" s="212" t="s">
        <v>882</v>
      </c>
      <c r="Q4" s="183" t="s">
        <v>881</v>
      </c>
      <c r="R4" s="202" t="s">
        <v>587</v>
      </c>
      <c r="S4" s="202" t="s">
        <v>585</v>
      </c>
      <c r="T4" s="202"/>
      <c r="U4" s="209" t="s">
        <v>586</v>
      </c>
      <c r="V4" s="202" t="s">
        <v>879</v>
      </c>
      <c r="W4" s="202"/>
      <c r="X4" s="254"/>
    </row>
    <row r="5" spans="1:24" s="251" customFormat="1" ht="24.95" customHeight="1" x14ac:dyDescent="0.25">
      <c r="A5" s="198">
        <v>4600049735</v>
      </c>
      <c r="B5" s="198" t="s">
        <v>23</v>
      </c>
      <c r="C5" s="185">
        <v>189660</v>
      </c>
      <c r="D5" s="185" t="s">
        <v>567</v>
      </c>
      <c r="E5" s="185">
        <v>60</v>
      </c>
      <c r="F5" s="185" t="s">
        <v>24</v>
      </c>
      <c r="G5" s="185" t="s">
        <v>31</v>
      </c>
      <c r="H5" s="185" t="s">
        <v>18</v>
      </c>
      <c r="I5" s="199" t="s">
        <v>25</v>
      </c>
      <c r="J5" s="235">
        <v>22722700</v>
      </c>
      <c r="K5" s="185" t="s">
        <v>19</v>
      </c>
      <c r="L5" s="236">
        <v>43040</v>
      </c>
      <c r="M5" s="240">
        <v>46142</v>
      </c>
      <c r="N5" s="183" t="s">
        <v>22</v>
      </c>
      <c r="O5" s="183" t="s">
        <v>232</v>
      </c>
      <c r="P5" s="222" t="s">
        <v>233</v>
      </c>
      <c r="Q5" s="183" t="s">
        <v>261</v>
      </c>
      <c r="R5" s="202" t="s">
        <v>932</v>
      </c>
      <c r="S5" s="202" t="s">
        <v>931</v>
      </c>
      <c r="T5" s="202" t="s">
        <v>933</v>
      </c>
      <c r="U5" s="183" t="s">
        <v>934</v>
      </c>
      <c r="V5" s="202"/>
      <c r="W5" s="202"/>
      <c r="X5" s="250"/>
    </row>
    <row r="6" spans="1:24" s="251" customFormat="1" ht="24.95" customHeight="1" x14ac:dyDescent="0.25">
      <c r="A6" s="198">
        <v>4600037429</v>
      </c>
      <c r="B6" s="198" t="s">
        <v>23</v>
      </c>
      <c r="C6" s="185">
        <v>189660</v>
      </c>
      <c r="D6" s="185" t="s">
        <v>567</v>
      </c>
      <c r="E6" s="185">
        <v>60</v>
      </c>
      <c r="F6" s="185" t="s">
        <v>24</v>
      </c>
      <c r="G6" s="185" t="s">
        <v>31</v>
      </c>
      <c r="H6" s="185" t="s">
        <v>18</v>
      </c>
      <c r="I6" s="199" t="s">
        <v>25</v>
      </c>
      <c r="J6" s="235">
        <v>309407546.45999998</v>
      </c>
      <c r="K6" s="185" t="s">
        <v>19</v>
      </c>
      <c r="L6" s="236">
        <v>41061</v>
      </c>
      <c r="M6" s="236">
        <v>46142</v>
      </c>
      <c r="N6" s="183" t="s">
        <v>22</v>
      </c>
      <c r="O6" s="183" t="s">
        <v>204</v>
      </c>
      <c r="P6" s="222" t="s">
        <v>53</v>
      </c>
      <c r="Q6" s="183" t="s">
        <v>261</v>
      </c>
      <c r="R6" s="202" t="s">
        <v>932</v>
      </c>
      <c r="S6" s="202" t="s">
        <v>931</v>
      </c>
      <c r="T6" s="202" t="s">
        <v>933</v>
      </c>
      <c r="U6" s="183" t="s">
        <v>934</v>
      </c>
      <c r="V6" s="202" t="s">
        <v>26</v>
      </c>
      <c r="W6" s="202"/>
      <c r="X6" s="250"/>
    </row>
    <row r="7" spans="1:24" s="253" customFormat="1" ht="24.95" customHeight="1" x14ac:dyDescent="0.25">
      <c r="A7" s="183">
        <v>4600057540</v>
      </c>
      <c r="B7" s="202" t="s">
        <v>184</v>
      </c>
      <c r="C7" s="210">
        <v>3044008</v>
      </c>
      <c r="D7" s="210" t="s">
        <v>569</v>
      </c>
      <c r="E7" s="210">
        <v>60</v>
      </c>
      <c r="F7" s="205" t="s">
        <v>34</v>
      </c>
      <c r="G7" s="205" t="s">
        <v>34</v>
      </c>
      <c r="H7" s="210" t="s">
        <v>18</v>
      </c>
      <c r="I7" s="211" t="s">
        <v>185</v>
      </c>
      <c r="J7" s="241">
        <v>591561.55000000005</v>
      </c>
      <c r="K7" s="210" t="s">
        <v>19</v>
      </c>
      <c r="L7" s="208">
        <v>45148</v>
      </c>
      <c r="M7" s="240">
        <v>45878</v>
      </c>
      <c r="N7" s="202" t="s">
        <v>22</v>
      </c>
      <c r="O7" s="202" t="s">
        <v>204</v>
      </c>
      <c r="P7" s="242" t="s">
        <v>875</v>
      </c>
      <c r="Q7" s="183" t="s">
        <v>261</v>
      </c>
      <c r="R7" s="202" t="s">
        <v>937</v>
      </c>
      <c r="S7" s="202" t="s">
        <v>936</v>
      </c>
      <c r="T7" s="202" t="s">
        <v>308</v>
      </c>
      <c r="U7" s="183" t="s">
        <v>457</v>
      </c>
      <c r="V7" s="202"/>
      <c r="W7" s="202"/>
      <c r="X7" s="252"/>
    </row>
    <row r="8" spans="1:24" s="253" customFormat="1" ht="24.95" customHeight="1" x14ac:dyDescent="0.25">
      <c r="A8" s="198">
        <v>4600056894</v>
      </c>
      <c r="B8" s="198" t="s">
        <v>168</v>
      </c>
      <c r="C8" s="185">
        <v>146222</v>
      </c>
      <c r="D8" s="185" t="s">
        <v>569</v>
      </c>
      <c r="E8" s="185">
        <v>30</v>
      </c>
      <c r="F8" s="185" t="s">
        <v>21</v>
      </c>
      <c r="G8" s="185" t="s">
        <v>31</v>
      </c>
      <c r="H8" s="185" t="s">
        <v>18</v>
      </c>
      <c r="I8" s="199" t="s">
        <v>169</v>
      </c>
      <c r="J8" s="235">
        <v>79286436.359999999</v>
      </c>
      <c r="K8" s="185" t="s">
        <v>37</v>
      </c>
      <c r="L8" s="236">
        <v>44937</v>
      </c>
      <c r="M8" s="240">
        <v>46033</v>
      </c>
      <c r="N8" s="183" t="s">
        <v>208</v>
      </c>
      <c r="O8" s="183" t="s">
        <v>876</v>
      </c>
      <c r="P8" s="222" t="s">
        <v>20</v>
      </c>
      <c r="Q8" s="183" t="s">
        <v>263</v>
      </c>
      <c r="R8" s="202" t="s">
        <v>938</v>
      </c>
      <c r="S8" s="202" t="s">
        <v>940</v>
      </c>
      <c r="T8" s="202" t="s">
        <v>447</v>
      </c>
      <c r="U8" s="266" t="s">
        <v>939</v>
      </c>
      <c r="V8" s="202"/>
      <c r="W8" s="202"/>
      <c r="X8" s="252"/>
    </row>
    <row r="9" spans="1:24" s="253" customFormat="1" ht="24.95" customHeight="1" x14ac:dyDescent="0.25">
      <c r="A9" s="183">
        <v>4600057292</v>
      </c>
      <c r="B9" s="183" t="s">
        <v>228</v>
      </c>
      <c r="C9" s="186">
        <v>146222</v>
      </c>
      <c r="D9" s="186" t="s">
        <v>569</v>
      </c>
      <c r="E9" s="186">
        <v>60</v>
      </c>
      <c r="F9" s="185" t="s">
        <v>21</v>
      </c>
      <c r="G9" s="185" t="s">
        <v>31</v>
      </c>
      <c r="H9" s="185" t="s">
        <v>18</v>
      </c>
      <c r="I9" s="183" t="s">
        <v>229</v>
      </c>
      <c r="J9" s="243">
        <v>4650130.8</v>
      </c>
      <c r="K9" s="186" t="s">
        <v>19</v>
      </c>
      <c r="L9" s="215">
        <v>45047</v>
      </c>
      <c r="M9" s="240">
        <v>45777</v>
      </c>
      <c r="N9" s="183" t="s">
        <v>208</v>
      </c>
      <c r="O9" s="183" t="s">
        <v>876</v>
      </c>
      <c r="P9" s="222" t="s">
        <v>20</v>
      </c>
      <c r="Q9" s="183" t="s">
        <v>263</v>
      </c>
      <c r="R9" s="202" t="s">
        <v>938</v>
      </c>
      <c r="S9" s="202" t="s">
        <v>940</v>
      </c>
      <c r="T9" s="202" t="s">
        <v>447</v>
      </c>
      <c r="U9" s="266" t="s">
        <v>939</v>
      </c>
      <c r="V9" s="183"/>
      <c r="W9" s="183"/>
      <c r="X9" s="252"/>
    </row>
    <row r="10" spans="1:24" s="251" customFormat="1" ht="24.95" customHeight="1" x14ac:dyDescent="0.25">
      <c r="A10" s="189">
        <v>4600058232</v>
      </c>
      <c r="B10" s="189" t="s">
        <v>195</v>
      </c>
      <c r="C10" s="191">
        <v>3043839</v>
      </c>
      <c r="D10" s="191" t="s">
        <v>567</v>
      </c>
      <c r="E10" s="191">
        <v>10</v>
      </c>
      <c r="F10" s="191" t="s">
        <v>21</v>
      </c>
      <c r="G10" s="191" t="s">
        <v>31</v>
      </c>
      <c r="H10" s="191" t="s">
        <v>18</v>
      </c>
      <c r="I10" s="220" t="s">
        <v>644</v>
      </c>
      <c r="J10" s="245">
        <v>2374148.7000000002</v>
      </c>
      <c r="K10" s="191" t="s">
        <v>19</v>
      </c>
      <c r="L10" s="195">
        <v>45536</v>
      </c>
      <c r="M10" s="240">
        <v>46446</v>
      </c>
      <c r="N10" s="189" t="s">
        <v>208</v>
      </c>
      <c r="O10" s="189" t="s">
        <v>784</v>
      </c>
      <c r="P10" s="246" t="s">
        <v>20</v>
      </c>
      <c r="Q10" s="189" t="s">
        <v>263</v>
      </c>
      <c r="R10" s="189" t="s">
        <v>941</v>
      </c>
      <c r="S10" s="189"/>
      <c r="T10" s="189" t="s">
        <v>466</v>
      </c>
      <c r="U10" s="189" t="s">
        <v>465</v>
      </c>
      <c r="V10" s="189" t="s">
        <v>197</v>
      </c>
      <c r="W10" s="189"/>
      <c r="X10" s="250"/>
    </row>
    <row r="11" spans="1:24" s="253" customFormat="1" ht="24.95" customHeight="1" x14ac:dyDescent="0.25">
      <c r="A11" s="198">
        <v>4600058504</v>
      </c>
      <c r="B11" s="204" t="s">
        <v>47</v>
      </c>
      <c r="C11" s="205">
        <v>192963</v>
      </c>
      <c r="D11" s="205" t="s">
        <v>569</v>
      </c>
      <c r="E11" s="205">
        <v>30</v>
      </c>
      <c r="F11" s="205" t="s">
        <v>34</v>
      </c>
      <c r="G11" s="205" t="s">
        <v>34</v>
      </c>
      <c r="H11" s="205" t="s">
        <v>18</v>
      </c>
      <c r="I11" s="206" t="s">
        <v>48</v>
      </c>
      <c r="J11" s="239">
        <v>23686598.609999999</v>
      </c>
      <c r="K11" s="205" t="s">
        <v>19</v>
      </c>
      <c r="L11" s="240">
        <v>44927</v>
      </c>
      <c r="M11" s="240">
        <v>46022</v>
      </c>
      <c r="N11" s="202" t="s">
        <v>29</v>
      </c>
      <c r="O11" s="212" t="s">
        <v>30</v>
      </c>
      <c r="P11" s="227" t="s">
        <v>203</v>
      </c>
      <c r="Q11" s="183" t="s">
        <v>265</v>
      </c>
      <c r="R11" s="202" t="s">
        <v>942</v>
      </c>
      <c r="S11" s="202" t="s">
        <v>320</v>
      </c>
      <c r="T11" s="202" t="s">
        <v>321</v>
      </c>
      <c r="U11" s="183" t="s">
        <v>317</v>
      </c>
      <c r="V11" s="202"/>
      <c r="W11" s="202"/>
      <c r="X11" s="252"/>
    </row>
    <row r="12" spans="1:24" s="262" customFormat="1" ht="24.95" customHeight="1" x14ac:dyDescent="0.25">
      <c r="A12" s="198">
        <v>4600058207</v>
      </c>
      <c r="B12" s="204" t="s">
        <v>910</v>
      </c>
      <c r="C12" s="205">
        <v>3045655</v>
      </c>
      <c r="D12" s="258" t="s">
        <v>568</v>
      </c>
      <c r="E12" s="205">
        <v>60</v>
      </c>
      <c r="F12" s="205" t="s">
        <v>34</v>
      </c>
      <c r="G12" s="205" t="s">
        <v>34</v>
      </c>
      <c r="H12" s="205" t="s">
        <v>18</v>
      </c>
      <c r="I12" s="206" t="s">
        <v>911</v>
      </c>
      <c r="J12" s="239">
        <v>294646.03999999998</v>
      </c>
      <c r="K12" s="205" t="s">
        <v>19</v>
      </c>
      <c r="L12" s="240">
        <v>45464</v>
      </c>
      <c r="M12" s="248">
        <v>45828</v>
      </c>
      <c r="N12" s="183" t="s">
        <v>93</v>
      </c>
      <c r="O12" s="183" t="s">
        <v>878</v>
      </c>
      <c r="P12" s="183" t="s">
        <v>878</v>
      </c>
      <c r="Q12" s="183" t="s">
        <v>877</v>
      </c>
      <c r="R12" s="202" t="s">
        <v>943</v>
      </c>
      <c r="S12" s="202" t="s">
        <v>945</v>
      </c>
      <c r="T12" s="202" t="s">
        <v>946</v>
      </c>
      <c r="U12" s="183" t="s">
        <v>944</v>
      </c>
      <c r="V12" s="259"/>
      <c r="W12" s="258"/>
      <c r="X12" s="261"/>
    </row>
    <row r="13" spans="1:24" s="262" customFormat="1" ht="24.95" customHeight="1" x14ac:dyDescent="0.25">
      <c r="A13" s="198">
        <v>4600058342</v>
      </c>
      <c r="B13" s="204" t="s">
        <v>910</v>
      </c>
      <c r="C13" s="205">
        <v>3045655</v>
      </c>
      <c r="D13" s="186" t="s">
        <v>568</v>
      </c>
      <c r="E13" s="205">
        <v>60</v>
      </c>
      <c r="F13" s="205" t="s">
        <v>34</v>
      </c>
      <c r="G13" s="205" t="s">
        <v>34</v>
      </c>
      <c r="H13" s="205" t="s">
        <v>18</v>
      </c>
      <c r="I13" s="206" t="s">
        <v>918</v>
      </c>
      <c r="J13" s="239">
        <v>134880</v>
      </c>
      <c r="K13" s="205" t="s">
        <v>19</v>
      </c>
      <c r="L13" s="240">
        <v>45559</v>
      </c>
      <c r="M13" s="248">
        <v>45923</v>
      </c>
      <c r="N13" s="183" t="s">
        <v>93</v>
      </c>
      <c r="O13" s="183" t="s">
        <v>878</v>
      </c>
      <c r="P13" s="183" t="s">
        <v>878</v>
      </c>
      <c r="Q13" s="183" t="s">
        <v>877</v>
      </c>
      <c r="R13" s="202" t="s">
        <v>943</v>
      </c>
      <c r="S13" s="202" t="s">
        <v>945</v>
      </c>
      <c r="T13" s="202" t="s">
        <v>946</v>
      </c>
      <c r="U13" s="183" t="s">
        <v>944</v>
      </c>
      <c r="V13" s="259"/>
      <c r="W13" s="258"/>
      <c r="X13" s="261"/>
    </row>
    <row r="14" spans="1:24" s="263" customFormat="1" ht="24.95" customHeight="1" x14ac:dyDescent="0.25">
      <c r="A14" s="198">
        <v>4600057379</v>
      </c>
      <c r="B14" s="204" t="s">
        <v>912</v>
      </c>
      <c r="C14" s="205">
        <v>3043749</v>
      </c>
      <c r="D14" s="186" t="s">
        <v>568</v>
      </c>
      <c r="E14" s="185">
        <v>1</v>
      </c>
      <c r="F14" s="205" t="s">
        <v>34</v>
      </c>
      <c r="G14" s="258" t="s">
        <v>34</v>
      </c>
      <c r="H14" s="185" t="s">
        <v>18</v>
      </c>
      <c r="I14" s="204" t="s">
        <v>251</v>
      </c>
      <c r="J14" s="239">
        <v>723600</v>
      </c>
      <c r="K14" s="249" t="s">
        <v>19</v>
      </c>
      <c r="L14" s="240">
        <v>45098</v>
      </c>
      <c r="M14" s="248">
        <v>45828</v>
      </c>
      <c r="N14" s="202" t="s">
        <v>29</v>
      </c>
      <c r="O14" s="212" t="s">
        <v>30</v>
      </c>
      <c r="P14" s="227" t="s">
        <v>203</v>
      </c>
      <c r="Q14" s="183" t="s">
        <v>265</v>
      </c>
      <c r="R14" s="204" t="s">
        <v>948</v>
      </c>
      <c r="S14" s="202" t="s">
        <v>949</v>
      </c>
      <c r="T14" s="198"/>
      <c r="U14" s="183" t="s">
        <v>950</v>
      </c>
      <c r="V14" s="258"/>
      <c r="W14" s="198"/>
    </row>
    <row r="15" spans="1:24" s="263" customFormat="1" ht="24.95" customHeight="1" x14ac:dyDescent="0.25">
      <c r="A15" s="198">
        <v>4600053335</v>
      </c>
      <c r="B15" s="204" t="s">
        <v>61</v>
      </c>
      <c r="C15" s="205">
        <v>188451</v>
      </c>
      <c r="D15" s="186" t="s">
        <v>568</v>
      </c>
      <c r="E15" s="185">
        <v>60</v>
      </c>
      <c r="F15" s="205" t="s">
        <v>34</v>
      </c>
      <c r="G15" s="258" t="s">
        <v>34</v>
      </c>
      <c r="H15" s="185" t="s">
        <v>18</v>
      </c>
      <c r="I15" s="204" t="s">
        <v>84</v>
      </c>
      <c r="J15" s="239">
        <v>1991529</v>
      </c>
      <c r="K15" s="249" t="s">
        <v>19</v>
      </c>
      <c r="L15" s="240">
        <v>44287</v>
      </c>
      <c r="M15" s="248">
        <v>45747</v>
      </c>
      <c r="N15" s="202" t="s">
        <v>85</v>
      </c>
      <c r="O15" s="212" t="s">
        <v>612</v>
      </c>
      <c r="P15" s="227" t="s">
        <v>86</v>
      </c>
      <c r="Q15" s="183" t="s">
        <v>86</v>
      </c>
      <c r="R15" s="202" t="s">
        <v>965</v>
      </c>
      <c r="S15" s="202" t="s">
        <v>741</v>
      </c>
      <c r="T15" s="198" t="s">
        <v>740</v>
      </c>
      <c r="U15" s="198" t="s">
        <v>742</v>
      </c>
      <c r="V15" s="258"/>
      <c r="W15" s="198"/>
    </row>
    <row r="16" spans="1:24" s="263" customFormat="1" ht="24.95" customHeight="1" x14ac:dyDescent="0.25">
      <c r="A16" s="198">
        <v>4600057025</v>
      </c>
      <c r="B16" s="204" t="s">
        <v>61</v>
      </c>
      <c r="C16" s="205">
        <v>188451</v>
      </c>
      <c r="D16" s="186" t="s">
        <v>569</v>
      </c>
      <c r="E16" s="185">
        <v>45</v>
      </c>
      <c r="F16" s="205" t="s">
        <v>34</v>
      </c>
      <c r="G16" s="258" t="s">
        <v>34</v>
      </c>
      <c r="H16" s="185" t="s">
        <v>18</v>
      </c>
      <c r="I16" s="204" t="s">
        <v>608</v>
      </c>
      <c r="J16" s="239">
        <v>956547.8</v>
      </c>
      <c r="K16" s="249" t="s">
        <v>19</v>
      </c>
      <c r="L16" s="240">
        <v>44998</v>
      </c>
      <c r="M16" s="248">
        <v>45720</v>
      </c>
      <c r="N16" s="202" t="s">
        <v>85</v>
      </c>
      <c r="O16" s="212" t="s">
        <v>612</v>
      </c>
      <c r="P16" s="227" t="s">
        <v>86</v>
      </c>
      <c r="Q16" s="183" t="s">
        <v>86</v>
      </c>
      <c r="R16" s="202" t="s">
        <v>965</v>
      </c>
      <c r="S16" s="202" t="s">
        <v>741</v>
      </c>
      <c r="T16" s="198" t="s">
        <v>740</v>
      </c>
      <c r="U16" s="198" t="s">
        <v>742</v>
      </c>
      <c r="V16" s="258"/>
      <c r="W16" s="198"/>
    </row>
    <row r="17" spans="1:24" s="263" customFormat="1" ht="24.95" customHeight="1" x14ac:dyDescent="0.25">
      <c r="A17" s="198">
        <v>4600058153</v>
      </c>
      <c r="B17" s="204" t="s">
        <v>61</v>
      </c>
      <c r="C17" s="205">
        <v>188451</v>
      </c>
      <c r="D17" s="186" t="s">
        <v>568</v>
      </c>
      <c r="E17" s="185">
        <v>60</v>
      </c>
      <c r="F17" s="205" t="s">
        <v>21</v>
      </c>
      <c r="G17" s="258" t="s">
        <v>34</v>
      </c>
      <c r="H17" s="185" t="s">
        <v>38</v>
      </c>
      <c r="I17" s="204" t="s">
        <v>909</v>
      </c>
      <c r="J17" s="239">
        <v>1688940.48</v>
      </c>
      <c r="K17" s="249" t="s">
        <v>19</v>
      </c>
      <c r="L17" s="240">
        <v>44984</v>
      </c>
      <c r="M17" s="248">
        <v>45839</v>
      </c>
      <c r="N17" s="202" t="s">
        <v>22</v>
      </c>
      <c r="O17" s="212" t="s">
        <v>204</v>
      </c>
      <c r="P17" s="227" t="s">
        <v>875</v>
      </c>
      <c r="Q17" s="183" t="s">
        <v>261</v>
      </c>
      <c r="R17" s="202" t="s">
        <v>965</v>
      </c>
      <c r="S17" s="202" t="s">
        <v>741</v>
      </c>
      <c r="T17" s="198" t="s">
        <v>740</v>
      </c>
      <c r="U17" s="198" t="s">
        <v>742</v>
      </c>
      <c r="V17" s="258"/>
      <c r="W17" s="198"/>
    </row>
    <row r="18" spans="1:24" s="263" customFormat="1" ht="24.95" customHeight="1" x14ac:dyDescent="0.25">
      <c r="A18" s="198">
        <v>4600058250</v>
      </c>
      <c r="B18" s="204" t="s">
        <v>61</v>
      </c>
      <c r="C18" s="205">
        <v>188451</v>
      </c>
      <c r="D18" s="186" t="s">
        <v>569</v>
      </c>
      <c r="E18" s="185">
        <v>60</v>
      </c>
      <c r="F18" s="205" t="s">
        <v>34</v>
      </c>
      <c r="G18" s="258" t="s">
        <v>34</v>
      </c>
      <c r="H18" s="185" t="s">
        <v>18</v>
      </c>
      <c r="I18" s="204" t="s">
        <v>715</v>
      </c>
      <c r="J18" s="239">
        <v>1306918.8700000001</v>
      </c>
      <c r="K18" s="249" t="s">
        <v>19</v>
      </c>
      <c r="L18" s="240">
        <v>44501</v>
      </c>
      <c r="M18" s="248">
        <v>45961</v>
      </c>
      <c r="N18" s="202" t="s">
        <v>22</v>
      </c>
      <c r="O18" s="212" t="s">
        <v>204</v>
      </c>
      <c r="P18" s="227" t="s">
        <v>53</v>
      </c>
      <c r="Q18" s="183" t="s">
        <v>261</v>
      </c>
      <c r="R18" s="202" t="s">
        <v>965</v>
      </c>
      <c r="S18" s="202" t="s">
        <v>741</v>
      </c>
      <c r="T18" s="198" t="s">
        <v>740</v>
      </c>
      <c r="U18" s="198" t="s">
        <v>742</v>
      </c>
      <c r="V18" s="258"/>
      <c r="W18" s="198"/>
    </row>
    <row r="19" spans="1:24" s="263" customFormat="1" ht="24.95" customHeight="1" x14ac:dyDescent="0.25">
      <c r="A19" s="198">
        <v>4600058167</v>
      </c>
      <c r="B19" s="204" t="s">
        <v>61</v>
      </c>
      <c r="C19" s="205">
        <v>188451</v>
      </c>
      <c r="D19" s="186" t="s">
        <v>569</v>
      </c>
      <c r="E19" s="185">
        <v>60</v>
      </c>
      <c r="F19" s="205" t="s">
        <v>34</v>
      </c>
      <c r="G19" s="258" t="s">
        <v>34</v>
      </c>
      <c r="H19" s="185" t="s">
        <v>18</v>
      </c>
      <c r="I19" s="204" t="s">
        <v>748</v>
      </c>
      <c r="J19" s="239">
        <v>1659840</v>
      </c>
      <c r="K19" s="249" t="s">
        <v>19</v>
      </c>
      <c r="L19" s="240">
        <v>45453</v>
      </c>
      <c r="M19" s="248">
        <v>46182</v>
      </c>
      <c r="N19" s="202" t="s">
        <v>22</v>
      </c>
      <c r="O19" s="212" t="s">
        <v>204</v>
      </c>
      <c r="P19" s="227" t="s">
        <v>53</v>
      </c>
      <c r="Q19" s="183" t="s">
        <v>261</v>
      </c>
      <c r="R19" s="202" t="s">
        <v>965</v>
      </c>
      <c r="S19" s="202" t="s">
        <v>741</v>
      </c>
      <c r="T19" s="198" t="s">
        <v>740</v>
      </c>
      <c r="U19" s="198" t="s">
        <v>742</v>
      </c>
      <c r="V19" s="258"/>
      <c r="W19" s="198"/>
    </row>
    <row r="20" spans="1:24" s="263" customFormat="1" ht="24.95" customHeight="1" x14ac:dyDescent="0.25">
      <c r="A20" s="198">
        <v>4600058049</v>
      </c>
      <c r="B20" s="204" t="s">
        <v>61</v>
      </c>
      <c r="C20" s="205">
        <v>188451</v>
      </c>
      <c r="D20" s="186" t="s">
        <v>567</v>
      </c>
      <c r="E20" s="185">
        <v>45</v>
      </c>
      <c r="F20" s="205" t="s">
        <v>21</v>
      </c>
      <c r="G20" s="258" t="s">
        <v>34</v>
      </c>
      <c r="H20" s="185" t="s">
        <v>18</v>
      </c>
      <c r="I20" s="204" t="s">
        <v>764</v>
      </c>
      <c r="J20" s="239">
        <v>2014461.4300000002</v>
      </c>
      <c r="K20" s="249" t="s">
        <v>19</v>
      </c>
      <c r="L20" s="240">
        <v>44699</v>
      </c>
      <c r="M20" s="248">
        <v>45840</v>
      </c>
      <c r="N20" s="202" t="s">
        <v>29</v>
      </c>
      <c r="O20" s="212" t="s">
        <v>30</v>
      </c>
      <c r="P20" s="227" t="s">
        <v>203</v>
      </c>
      <c r="Q20" s="183" t="s">
        <v>265</v>
      </c>
      <c r="R20" s="202" t="s">
        <v>965</v>
      </c>
      <c r="S20" s="202" t="s">
        <v>741</v>
      </c>
      <c r="T20" s="198" t="s">
        <v>740</v>
      </c>
      <c r="U20" s="198" t="s">
        <v>742</v>
      </c>
      <c r="V20" s="258"/>
      <c r="W20" s="198"/>
    </row>
    <row r="21" spans="1:24" s="253" customFormat="1" ht="24.95" customHeight="1" x14ac:dyDescent="0.25">
      <c r="A21" s="223">
        <v>4600044324</v>
      </c>
      <c r="B21" s="204" t="s">
        <v>907</v>
      </c>
      <c r="C21" s="205">
        <v>101471</v>
      </c>
      <c r="D21" s="185" t="s">
        <v>567</v>
      </c>
      <c r="E21" s="185">
        <v>60</v>
      </c>
      <c r="F21" s="185" t="s">
        <v>21</v>
      </c>
      <c r="G21" s="185" t="s">
        <v>31</v>
      </c>
      <c r="H21" s="185" t="s">
        <v>18</v>
      </c>
      <c r="I21" s="199" t="s">
        <v>908</v>
      </c>
      <c r="J21" s="235">
        <v>18528828.879999999</v>
      </c>
      <c r="K21" s="185" t="s">
        <v>19</v>
      </c>
      <c r="L21" s="236">
        <v>45117</v>
      </c>
      <c r="M21" s="240">
        <v>45828</v>
      </c>
      <c r="N21" s="183" t="s">
        <v>29</v>
      </c>
      <c r="O21" s="183" t="s">
        <v>30</v>
      </c>
      <c r="P21" s="183" t="s">
        <v>203</v>
      </c>
      <c r="Q21" s="183" t="s">
        <v>265</v>
      </c>
      <c r="R21" s="202" t="s">
        <v>951</v>
      </c>
      <c r="S21" s="202" t="s">
        <v>952</v>
      </c>
      <c r="T21" s="202"/>
      <c r="U21" s="266" t="s">
        <v>953</v>
      </c>
      <c r="V21" s="202" t="s">
        <v>32</v>
      </c>
      <c r="W21" s="202"/>
      <c r="X21" s="252"/>
    </row>
    <row r="22" spans="1:24" s="253" customFormat="1" ht="24.95" customHeight="1" x14ac:dyDescent="0.25">
      <c r="A22" s="223">
        <v>4600051952</v>
      </c>
      <c r="B22" s="204" t="s">
        <v>907</v>
      </c>
      <c r="C22" s="205">
        <v>101471</v>
      </c>
      <c r="D22" s="185" t="s">
        <v>569</v>
      </c>
      <c r="E22" s="205">
        <v>60</v>
      </c>
      <c r="F22" s="205" t="s">
        <v>34</v>
      </c>
      <c r="G22" s="205" t="s">
        <v>31</v>
      </c>
      <c r="H22" s="205" t="s">
        <v>18</v>
      </c>
      <c r="I22" s="206" t="s">
        <v>63</v>
      </c>
      <c r="J22" s="239">
        <v>20913810.93</v>
      </c>
      <c r="K22" s="205" t="s">
        <v>19</v>
      </c>
      <c r="L22" s="240">
        <v>44927</v>
      </c>
      <c r="M22" s="240">
        <v>45657</v>
      </c>
      <c r="N22" s="183" t="s">
        <v>29</v>
      </c>
      <c r="O22" s="227" t="s">
        <v>30</v>
      </c>
      <c r="P22" s="227" t="s">
        <v>203</v>
      </c>
      <c r="Q22" s="183" t="s">
        <v>265</v>
      </c>
      <c r="R22" s="202" t="s">
        <v>951</v>
      </c>
      <c r="S22" s="202" t="s">
        <v>952</v>
      </c>
      <c r="T22" s="202"/>
      <c r="U22" s="266" t="s">
        <v>953</v>
      </c>
      <c r="V22" s="202" t="s">
        <v>825</v>
      </c>
      <c r="W22" s="202"/>
      <c r="X22" s="252"/>
    </row>
    <row r="23" spans="1:24" s="251" customFormat="1" ht="24.95" customHeight="1" x14ac:dyDescent="0.25">
      <c r="A23" s="183">
        <v>4600057690</v>
      </c>
      <c r="B23" s="183" t="s">
        <v>241</v>
      </c>
      <c r="C23" s="186">
        <v>152962</v>
      </c>
      <c r="D23" s="205" t="s">
        <v>568</v>
      </c>
      <c r="E23" s="186">
        <v>60</v>
      </c>
      <c r="F23" s="186" t="s">
        <v>21</v>
      </c>
      <c r="G23" s="186" t="s">
        <v>31</v>
      </c>
      <c r="H23" s="186" t="s">
        <v>18</v>
      </c>
      <c r="I23" s="183" t="s">
        <v>239</v>
      </c>
      <c r="J23" s="243">
        <v>1519158.19</v>
      </c>
      <c r="K23" s="186" t="s">
        <v>19</v>
      </c>
      <c r="L23" s="215">
        <v>45200</v>
      </c>
      <c r="M23" s="240">
        <v>46295</v>
      </c>
      <c r="N23" s="183" t="s">
        <v>208</v>
      </c>
      <c r="O23" s="183" t="s">
        <v>205</v>
      </c>
      <c r="P23" s="212" t="s">
        <v>20</v>
      </c>
      <c r="Q23" s="183" t="s">
        <v>263</v>
      </c>
      <c r="R23" s="183" t="s">
        <v>954</v>
      </c>
      <c r="S23" s="183" t="s">
        <v>956</v>
      </c>
      <c r="T23" s="183"/>
      <c r="U23" s="183" t="s">
        <v>955</v>
      </c>
      <c r="V23" s="212" t="s">
        <v>240</v>
      </c>
      <c r="W23" s="215">
        <v>45299</v>
      </c>
      <c r="X23" s="250"/>
    </row>
    <row r="24" spans="1:24" s="251" customFormat="1" ht="24.95" customHeight="1" x14ac:dyDescent="0.25">
      <c r="A24" s="183">
        <v>4600057826</v>
      </c>
      <c r="B24" s="183" t="s">
        <v>241</v>
      </c>
      <c r="C24" s="186">
        <v>152962</v>
      </c>
      <c r="D24" s="205" t="s">
        <v>568</v>
      </c>
      <c r="E24" s="186">
        <v>60</v>
      </c>
      <c r="F24" s="186" t="s">
        <v>21</v>
      </c>
      <c r="G24" s="186" t="s">
        <v>31</v>
      </c>
      <c r="H24" s="186" t="s">
        <v>18</v>
      </c>
      <c r="I24" s="216" t="s">
        <v>242</v>
      </c>
      <c r="J24" s="243">
        <v>281994.71999999997</v>
      </c>
      <c r="K24" s="186" t="s">
        <v>19</v>
      </c>
      <c r="L24" s="215">
        <v>45281</v>
      </c>
      <c r="M24" s="240">
        <v>46022</v>
      </c>
      <c r="N24" s="183" t="s">
        <v>208</v>
      </c>
      <c r="O24" s="183" t="s">
        <v>876</v>
      </c>
      <c r="P24" s="212" t="s">
        <v>20</v>
      </c>
      <c r="Q24" s="183" t="s">
        <v>263</v>
      </c>
      <c r="R24" s="183" t="s">
        <v>954</v>
      </c>
      <c r="S24" s="183" t="s">
        <v>956</v>
      </c>
      <c r="T24" s="183"/>
      <c r="U24" s="183" t="s">
        <v>955</v>
      </c>
      <c r="V24" s="217" t="s">
        <v>243</v>
      </c>
      <c r="W24" s="215">
        <v>45299</v>
      </c>
      <c r="X24" s="250"/>
    </row>
    <row r="25" spans="1:24" s="253" customFormat="1" ht="24.95" customHeight="1" x14ac:dyDescent="0.25">
      <c r="A25" s="198">
        <v>4600057549</v>
      </c>
      <c r="B25" s="183" t="s">
        <v>193</v>
      </c>
      <c r="C25" s="186">
        <v>3026695</v>
      </c>
      <c r="D25" s="186" t="s">
        <v>567</v>
      </c>
      <c r="E25" s="185">
        <v>60</v>
      </c>
      <c r="F25" s="185" t="s">
        <v>24</v>
      </c>
      <c r="G25" s="185" t="s">
        <v>759</v>
      </c>
      <c r="H25" s="186" t="s">
        <v>18</v>
      </c>
      <c r="I25" s="199" t="s">
        <v>194</v>
      </c>
      <c r="J25" s="243">
        <v>2946500.37</v>
      </c>
      <c r="K25" s="185" t="s">
        <v>19</v>
      </c>
      <c r="L25" s="215">
        <v>45231</v>
      </c>
      <c r="M25" s="240">
        <v>45962</v>
      </c>
      <c r="N25" s="183" t="s">
        <v>208</v>
      </c>
      <c r="O25" s="183" t="s">
        <v>876</v>
      </c>
      <c r="P25" s="222" t="s">
        <v>20</v>
      </c>
      <c r="Q25" s="183" t="s">
        <v>263</v>
      </c>
      <c r="R25" s="202" t="s">
        <v>958</v>
      </c>
      <c r="S25" s="202" t="s">
        <v>957</v>
      </c>
      <c r="T25" s="202"/>
      <c r="U25" s="183" t="s">
        <v>959</v>
      </c>
      <c r="V25" s="202"/>
      <c r="W25" s="202" t="s">
        <v>760</v>
      </c>
      <c r="X25" s="252"/>
    </row>
    <row r="26" spans="1:24" s="251" customFormat="1" ht="24.95" customHeight="1" x14ac:dyDescent="0.25">
      <c r="A26" s="183">
        <v>4600058490</v>
      </c>
      <c r="B26" s="234" t="s">
        <v>788</v>
      </c>
      <c r="C26" s="224" t="s">
        <v>960</v>
      </c>
      <c r="D26" s="205" t="s">
        <v>567</v>
      </c>
      <c r="E26" s="186">
        <v>1</v>
      </c>
      <c r="F26" s="186" t="s">
        <v>34</v>
      </c>
      <c r="G26" s="186" t="s">
        <v>34</v>
      </c>
      <c r="H26" s="186" t="s">
        <v>18</v>
      </c>
      <c r="I26" s="183" t="s">
        <v>851</v>
      </c>
      <c r="J26" s="243">
        <v>27000000</v>
      </c>
      <c r="K26" s="186" t="s">
        <v>19</v>
      </c>
      <c r="L26" s="215">
        <v>45597</v>
      </c>
      <c r="M26" s="240">
        <v>46691</v>
      </c>
      <c r="N26" s="189" t="s">
        <v>208</v>
      </c>
      <c r="O26" s="183" t="s">
        <v>876</v>
      </c>
      <c r="P26" s="246" t="s">
        <v>20</v>
      </c>
      <c r="Q26" s="189" t="s">
        <v>263</v>
      </c>
      <c r="R26" s="183" t="s">
        <v>772</v>
      </c>
      <c r="S26" s="183" t="s">
        <v>773</v>
      </c>
      <c r="T26" s="183" t="s">
        <v>774</v>
      </c>
      <c r="U26" s="183" t="s">
        <v>775</v>
      </c>
      <c r="V26" s="183"/>
      <c r="W26" s="183"/>
      <c r="X26" s="250"/>
    </row>
    <row r="27" spans="1:24" s="265" customFormat="1" ht="24.95" customHeight="1" x14ac:dyDescent="0.25">
      <c r="A27" s="183">
        <v>4600057158</v>
      </c>
      <c r="B27" s="183" t="s">
        <v>913</v>
      </c>
      <c r="C27" s="186">
        <v>3043270</v>
      </c>
      <c r="D27" s="186" t="s">
        <v>568</v>
      </c>
      <c r="E27" s="186">
        <v>60</v>
      </c>
      <c r="F27" s="186" t="s">
        <v>34</v>
      </c>
      <c r="G27" s="186" t="s">
        <v>34</v>
      </c>
      <c r="H27" s="186" t="s">
        <v>18</v>
      </c>
      <c r="I27" s="184" t="s">
        <v>914</v>
      </c>
      <c r="J27" s="187">
        <v>6809252.1600000001</v>
      </c>
      <c r="K27" s="186" t="s">
        <v>19</v>
      </c>
      <c r="L27" s="188">
        <v>45047</v>
      </c>
      <c r="M27" s="188">
        <v>45777</v>
      </c>
      <c r="N27" s="189" t="s">
        <v>208</v>
      </c>
      <c r="O27" s="183" t="s">
        <v>876</v>
      </c>
      <c r="P27" s="246" t="s">
        <v>20</v>
      </c>
      <c r="Q27" s="189" t="s">
        <v>263</v>
      </c>
      <c r="R27" s="183" t="s">
        <v>962</v>
      </c>
      <c r="S27" s="184" t="s">
        <v>963</v>
      </c>
      <c r="T27" s="184" t="s">
        <v>964</v>
      </c>
      <c r="U27" s="184" t="s">
        <v>961</v>
      </c>
      <c r="V27" s="184"/>
      <c r="W27" s="186"/>
      <c r="X27" s="264"/>
    </row>
    <row r="28" spans="1:24" s="263" customFormat="1" ht="24.95" customHeight="1" x14ac:dyDescent="0.25">
      <c r="A28" s="259" t="s">
        <v>551</v>
      </c>
      <c r="B28" s="183" t="s">
        <v>915</v>
      </c>
      <c r="C28" s="186"/>
      <c r="D28" s="205" t="s">
        <v>567</v>
      </c>
      <c r="E28" s="186">
        <v>1</v>
      </c>
      <c r="F28" s="186" t="s">
        <v>34</v>
      </c>
      <c r="G28" s="186" t="s">
        <v>34</v>
      </c>
      <c r="H28" s="186" t="s">
        <v>18</v>
      </c>
      <c r="I28" s="259" t="s">
        <v>917</v>
      </c>
      <c r="J28" s="258" t="s">
        <v>735</v>
      </c>
      <c r="K28" s="258" t="s">
        <v>735</v>
      </c>
      <c r="L28" s="258" t="s">
        <v>735</v>
      </c>
      <c r="M28" s="258" t="s">
        <v>735</v>
      </c>
      <c r="N28" s="258" t="s">
        <v>735</v>
      </c>
      <c r="O28" s="258" t="s">
        <v>735</v>
      </c>
      <c r="P28" s="258" t="s">
        <v>735</v>
      </c>
      <c r="Q28" s="258" t="s">
        <v>735</v>
      </c>
      <c r="R28" s="272" t="s">
        <v>1044</v>
      </c>
      <c r="S28" s="259" t="s">
        <v>1045</v>
      </c>
      <c r="T28" s="259"/>
      <c r="U28" s="259"/>
      <c r="V28" s="259"/>
      <c r="W28" s="259"/>
    </row>
    <row r="29" spans="1:24" s="263" customFormat="1" ht="24.95" customHeight="1" x14ac:dyDescent="0.25">
      <c r="A29" s="259" t="s">
        <v>551</v>
      </c>
      <c r="B29" s="183" t="s">
        <v>916</v>
      </c>
      <c r="C29" s="186">
        <v>3024285</v>
      </c>
      <c r="D29" s="205" t="s">
        <v>567</v>
      </c>
      <c r="E29" s="186">
        <v>1</v>
      </c>
      <c r="F29" s="186" t="s">
        <v>34</v>
      </c>
      <c r="G29" s="186" t="s">
        <v>34</v>
      </c>
      <c r="H29" s="186" t="s">
        <v>18</v>
      </c>
      <c r="I29" s="259" t="s">
        <v>1023</v>
      </c>
      <c r="J29" s="258" t="s">
        <v>735</v>
      </c>
      <c r="K29" s="258" t="s">
        <v>735</v>
      </c>
      <c r="L29" s="258" t="s">
        <v>735</v>
      </c>
      <c r="M29" s="258" t="s">
        <v>735</v>
      </c>
      <c r="N29" s="258" t="s">
        <v>735</v>
      </c>
      <c r="O29" s="258" t="s">
        <v>735</v>
      </c>
      <c r="P29" s="258" t="s">
        <v>735</v>
      </c>
      <c r="Q29" s="258" t="s">
        <v>735</v>
      </c>
      <c r="R29" s="259" t="s">
        <v>1024</v>
      </c>
      <c r="S29" s="259" t="s">
        <v>1025</v>
      </c>
      <c r="T29" s="259" t="s">
        <v>1026</v>
      </c>
      <c r="U29" s="259" t="s">
        <v>1027</v>
      </c>
      <c r="V29" s="259"/>
      <c r="W29" s="259"/>
    </row>
    <row r="30" spans="1:24" s="33" customFormat="1" x14ac:dyDescent="0.25">
      <c r="A30" s="183" t="s">
        <v>966</v>
      </c>
      <c r="B30" s="183" t="s">
        <v>285</v>
      </c>
      <c r="C30" s="257">
        <v>3044271</v>
      </c>
      <c r="D30" s="205" t="s">
        <v>568</v>
      </c>
      <c r="E30" s="186">
        <v>30</v>
      </c>
      <c r="F30" s="186" t="s">
        <v>34</v>
      </c>
      <c r="G30" s="186" t="s">
        <v>34</v>
      </c>
      <c r="H30" s="260" t="s">
        <v>18</v>
      </c>
      <c r="I30" s="183" t="s">
        <v>286</v>
      </c>
      <c r="J30" s="243">
        <v>45740</v>
      </c>
      <c r="K30" s="186" t="s">
        <v>19</v>
      </c>
      <c r="L30" s="215">
        <v>45356</v>
      </c>
      <c r="M30" s="240">
        <v>46450</v>
      </c>
      <c r="N30" s="183" t="s">
        <v>152</v>
      </c>
      <c r="O30" s="183" t="s">
        <v>30</v>
      </c>
      <c r="P30" s="183" t="s">
        <v>203</v>
      </c>
      <c r="Q30" s="183" t="s">
        <v>265</v>
      </c>
      <c r="R30" s="183" t="s">
        <v>967</v>
      </c>
      <c r="S30" s="183" t="s">
        <v>534</v>
      </c>
      <c r="T30" s="183" t="s">
        <v>535</v>
      </c>
      <c r="U30" s="209" t="s">
        <v>536</v>
      </c>
      <c r="V30" s="238"/>
      <c r="W30" s="183"/>
    </row>
    <row r="31" spans="1:24" s="101" customFormat="1" ht="24.95" customHeight="1" x14ac:dyDescent="0.25">
      <c r="A31" s="183">
        <v>4600058174</v>
      </c>
      <c r="B31" s="183" t="s">
        <v>598</v>
      </c>
      <c r="C31" s="186">
        <v>129169</v>
      </c>
      <c r="D31" s="185" t="s">
        <v>569</v>
      </c>
      <c r="E31" s="186">
        <v>60</v>
      </c>
      <c r="F31" s="185" t="s">
        <v>21</v>
      </c>
      <c r="G31" s="185" t="s">
        <v>31</v>
      </c>
      <c r="H31" s="186" t="s">
        <v>18</v>
      </c>
      <c r="I31" s="183" t="s">
        <v>599</v>
      </c>
      <c r="J31" s="243">
        <v>171925.4</v>
      </c>
      <c r="K31" s="186" t="s">
        <v>19</v>
      </c>
      <c r="L31" s="244">
        <v>45448</v>
      </c>
      <c r="M31" s="240">
        <v>45688</v>
      </c>
      <c r="N31" s="183" t="s">
        <v>22</v>
      </c>
      <c r="O31" s="183" t="s">
        <v>204</v>
      </c>
      <c r="P31" s="212" t="s">
        <v>53</v>
      </c>
      <c r="Q31" s="183" t="s">
        <v>261</v>
      </c>
      <c r="R31" s="183" t="s">
        <v>968</v>
      </c>
      <c r="S31" s="183" t="s">
        <v>970</v>
      </c>
      <c r="T31" s="183"/>
      <c r="U31" s="183" t="s">
        <v>969</v>
      </c>
      <c r="V31" s="183"/>
      <c r="W31" s="183"/>
      <c r="X31" s="218"/>
    </row>
  </sheetData>
  <autoFilter ref="A1:W1"/>
  <conditionalFormatting sqref="A2">
    <cfRule type="duplicateValues" dxfId="239" priority="88"/>
  </conditionalFormatting>
  <conditionalFormatting sqref="A2">
    <cfRule type="duplicateValues" dxfId="238" priority="89"/>
  </conditionalFormatting>
  <conditionalFormatting sqref="A2">
    <cfRule type="duplicateValues" dxfId="237" priority="90"/>
  </conditionalFormatting>
  <conditionalFormatting sqref="A3">
    <cfRule type="duplicateValues" dxfId="236" priority="81"/>
  </conditionalFormatting>
  <conditionalFormatting sqref="A3">
    <cfRule type="duplicateValues" dxfId="235" priority="82"/>
    <cfRule type="duplicateValues" dxfId="234" priority="83"/>
  </conditionalFormatting>
  <conditionalFormatting sqref="A3">
    <cfRule type="duplicateValues" dxfId="233" priority="84"/>
  </conditionalFormatting>
  <conditionalFormatting sqref="A4">
    <cfRule type="duplicateValues" dxfId="232" priority="78"/>
  </conditionalFormatting>
  <conditionalFormatting sqref="A4">
    <cfRule type="duplicateValues" dxfId="231" priority="79"/>
  </conditionalFormatting>
  <conditionalFormatting sqref="A4">
    <cfRule type="duplicateValues" dxfId="230" priority="80"/>
  </conditionalFormatting>
  <conditionalFormatting sqref="A5">
    <cfRule type="duplicateValues" dxfId="229" priority="75"/>
  </conditionalFormatting>
  <conditionalFormatting sqref="A5">
    <cfRule type="duplicateValues" dxfId="228" priority="76"/>
  </conditionalFormatting>
  <conditionalFormatting sqref="A5">
    <cfRule type="duplicateValues" dxfId="227" priority="77"/>
  </conditionalFormatting>
  <conditionalFormatting sqref="A7">
    <cfRule type="duplicateValues" dxfId="226" priority="68"/>
  </conditionalFormatting>
  <conditionalFormatting sqref="A7">
    <cfRule type="duplicateValues" dxfId="225" priority="69"/>
  </conditionalFormatting>
  <conditionalFormatting sqref="A7">
    <cfRule type="duplicateValues" dxfId="224" priority="70"/>
  </conditionalFormatting>
  <conditionalFormatting sqref="A8">
    <cfRule type="duplicateValues" dxfId="223" priority="65"/>
  </conditionalFormatting>
  <conditionalFormatting sqref="A8">
    <cfRule type="duplicateValues" dxfId="222" priority="66"/>
  </conditionalFormatting>
  <conditionalFormatting sqref="A8">
    <cfRule type="duplicateValues" dxfId="221" priority="67"/>
  </conditionalFormatting>
  <conditionalFormatting sqref="A9">
    <cfRule type="duplicateValues" dxfId="220" priority="62"/>
  </conditionalFormatting>
  <conditionalFormatting sqref="A9">
    <cfRule type="duplicateValues" dxfId="219" priority="63"/>
  </conditionalFormatting>
  <conditionalFormatting sqref="A9">
    <cfRule type="duplicateValues" dxfId="218" priority="64"/>
  </conditionalFormatting>
  <conditionalFormatting sqref="A10">
    <cfRule type="duplicateValues" dxfId="217" priority="59"/>
  </conditionalFormatting>
  <conditionalFormatting sqref="A10">
    <cfRule type="duplicateValues" dxfId="216" priority="60"/>
  </conditionalFormatting>
  <conditionalFormatting sqref="A10">
    <cfRule type="duplicateValues" dxfId="215" priority="61"/>
  </conditionalFormatting>
  <conditionalFormatting sqref="A11">
    <cfRule type="duplicateValues" dxfId="214" priority="53"/>
  </conditionalFormatting>
  <conditionalFormatting sqref="A11">
    <cfRule type="duplicateValues" dxfId="213" priority="54"/>
  </conditionalFormatting>
  <conditionalFormatting sqref="A11">
    <cfRule type="duplicateValues" dxfId="212" priority="55"/>
  </conditionalFormatting>
  <conditionalFormatting sqref="A14 E14 H14 K14 T14 W14">
    <cfRule type="duplicateValues" dxfId="211" priority="47"/>
  </conditionalFormatting>
  <conditionalFormatting sqref="A14">
    <cfRule type="duplicateValues" dxfId="210" priority="48"/>
  </conditionalFormatting>
  <conditionalFormatting sqref="A14">
    <cfRule type="duplicateValues" dxfId="209" priority="49"/>
  </conditionalFormatting>
  <conditionalFormatting sqref="A21">
    <cfRule type="duplicateValues" dxfId="208" priority="41"/>
  </conditionalFormatting>
  <conditionalFormatting sqref="A21">
    <cfRule type="duplicateValues" dxfId="207" priority="42"/>
  </conditionalFormatting>
  <conditionalFormatting sqref="A21">
    <cfRule type="duplicateValues" dxfId="206" priority="43"/>
  </conditionalFormatting>
  <conditionalFormatting sqref="A22">
    <cfRule type="duplicateValues" dxfId="205" priority="39"/>
  </conditionalFormatting>
  <conditionalFormatting sqref="A22">
    <cfRule type="duplicateValues" dxfId="204" priority="40"/>
  </conditionalFormatting>
  <conditionalFormatting sqref="A6">
    <cfRule type="duplicateValues" dxfId="203" priority="36"/>
  </conditionalFormatting>
  <conditionalFormatting sqref="A6">
    <cfRule type="duplicateValues" dxfId="202" priority="37"/>
  </conditionalFormatting>
  <conditionalFormatting sqref="A6">
    <cfRule type="duplicateValues" dxfId="201" priority="38"/>
  </conditionalFormatting>
  <conditionalFormatting sqref="A23">
    <cfRule type="duplicateValues" dxfId="200" priority="26"/>
  </conditionalFormatting>
  <conditionalFormatting sqref="A23">
    <cfRule type="duplicateValues" dxfId="199" priority="27"/>
  </conditionalFormatting>
  <conditionalFormatting sqref="A23">
    <cfRule type="duplicateValues" dxfId="198" priority="28"/>
  </conditionalFormatting>
  <conditionalFormatting sqref="A24">
    <cfRule type="duplicateValues" dxfId="197" priority="23"/>
  </conditionalFormatting>
  <conditionalFormatting sqref="A24">
    <cfRule type="duplicateValues" dxfId="196" priority="24"/>
  </conditionalFormatting>
  <conditionalFormatting sqref="A24">
    <cfRule type="duplicateValues" dxfId="195" priority="25"/>
  </conditionalFormatting>
  <conditionalFormatting sqref="A25">
    <cfRule type="duplicateValues" dxfId="194" priority="20"/>
  </conditionalFormatting>
  <conditionalFormatting sqref="A25">
    <cfRule type="duplicateValues" dxfId="193" priority="21"/>
  </conditionalFormatting>
  <conditionalFormatting sqref="A25">
    <cfRule type="duplicateValues" dxfId="192" priority="22"/>
  </conditionalFormatting>
  <conditionalFormatting sqref="A26">
    <cfRule type="duplicateValues" dxfId="191" priority="18"/>
  </conditionalFormatting>
  <conditionalFormatting sqref="A26">
    <cfRule type="duplicateValues" dxfId="190" priority="19"/>
  </conditionalFormatting>
  <conditionalFormatting sqref="A31">
    <cfRule type="duplicateValues" dxfId="189" priority="14"/>
    <cfRule type="duplicateValues" dxfId="188" priority="15"/>
  </conditionalFormatting>
  <conditionalFormatting sqref="A31">
    <cfRule type="duplicateValues" dxfId="187" priority="16"/>
  </conditionalFormatting>
  <conditionalFormatting sqref="A31">
    <cfRule type="duplicateValues" dxfId="186" priority="17"/>
  </conditionalFormatting>
  <conditionalFormatting sqref="A15:A20">
    <cfRule type="duplicateValues" dxfId="185" priority="583"/>
  </conditionalFormatting>
  <conditionalFormatting sqref="A30">
    <cfRule type="duplicateValues" dxfId="184" priority="7"/>
  </conditionalFormatting>
  <conditionalFormatting sqref="A30">
    <cfRule type="duplicateValues" dxfId="183" priority="8"/>
  </conditionalFormatting>
  <conditionalFormatting sqref="A30">
    <cfRule type="duplicateValues" dxfId="182" priority="9"/>
  </conditionalFormatting>
  <conditionalFormatting sqref="A30">
    <cfRule type="duplicateValues" dxfId="181" priority="10"/>
  </conditionalFormatting>
  <conditionalFormatting sqref="A12">
    <cfRule type="duplicateValues" dxfId="180" priority="4"/>
  </conditionalFormatting>
  <conditionalFormatting sqref="A12">
    <cfRule type="duplicateValues" dxfId="179" priority="5"/>
  </conditionalFormatting>
  <conditionalFormatting sqref="A12">
    <cfRule type="duplicateValues" dxfId="178" priority="6"/>
  </conditionalFormatting>
  <conditionalFormatting sqref="A13">
    <cfRule type="duplicateValues" dxfId="177" priority="1"/>
  </conditionalFormatting>
  <conditionalFormatting sqref="A13">
    <cfRule type="duplicateValues" dxfId="176" priority="2"/>
  </conditionalFormatting>
  <conditionalFormatting sqref="A13">
    <cfRule type="duplicateValues" dxfId="175" priority="3"/>
  </conditionalFormatting>
  <hyperlinks>
    <hyperlink ref="U4" r:id="rId1"/>
    <hyperlink ref="U8" r:id="rId2"/>
    <hyperlink ref="U9" r:id="rId3"/>
    <hyperlink ref="U21" r:id="rId4"/>
    <hyperlink ref="U25" r:id="rId5"/>
    <hyperlink ref="U30" r:id="rId6"/>
    <hyperlink ref="U29" r:id="rId7" display="mailto:etcuritiba@markbuilding.com.br"/>
  </hyperlinks>
  <pageMargins left="0.511811024" right="0.511811024" top="0.78740157499999996" bottom="0.78740157499999996" header="0.31496062000000002" footer="0.31496062000000002"/>
  <pageSetup paperSize="9" orientation="portrait" r:id="rId8"/>
  <drawing r:id="rId9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9"/>
  <sheetViews>
    <sheetView workbookViewId="0">
      <selection sqref="A1:I1"/>
    </sheetView>
  </sheetViews>
  <sheetFormatPr defaultRowHeight="15" x14ac:dyDescent="0.25"/>
  <cols>
    <col min="1" max="1" width="11" bestFit="1" customWidth="1"/>
    <col min="2" max="2" width="15.42578125" customWidth="1"/>
    <col min="3" max="3" width="62.85546875" bestFit="1" customWidth="1"/>
    <col min="4" max="4" width="17.28515625" customWidth="1"/>
    <col min="5" max="5" width="17.7109375" customWidth="1"/>
    <col min="6" max="6" width="18.28515625" customWidth="1"/>
    <col min="7" max="7" width="18" customWidth="1"/>
    <col min="8" max="8" width="15.85546875" customWidth="1"/>
    <col min="9" max="9" width="11.140625" customWidth="1"/>
  </cols>
  <sheetData>
    <row r="1" spans="1:9" ht="30" x14ac:dyDescent="0.25">
      <c r="A1" s="279" t="s">
        <v>0</v>
      </c>
      <c r="B1" s="279" t="s">
        <v>2</v>
      </c>
      <c r="C1" s="279" t="s">
        <v>3</v>
      </c>
      <c r="D1" s="279" t="s">
        <v>1255</v>
      </c>
      <c r="E1" s="279" t="s">
        <v>1101</v>
      </c>
      <c r="F1" s="279" t="s">
        <v>1256</v>
      </c>
      <c r="G1" s="279" t="s">
        <v>1257</v>
      </c>
      <c r="H1" s="279" t="s">
        <v>1258</v>
      </c>
      <c r="I1" s="279" t="s">
        <v>1100</v>
      </c>
    </row>
    <row r="2" spans="1:9" ht="15" customHeight="1" x14ac:dyDescent="0.25">
      <c r="A2" s="302" t="s">
        <v>1093</v>
      </c>
      <c r="B2" s="303" t="s">
        <v>1094</v>
      </c>
      <c r="C2" s="302" t="s">
        <v>23</v>
      </c>
      <c r="D2" s="304">
        <v>41061</v>
      </c>
      <c r="E2" s="304">
        <v>46142</v>
      </c>
      <c r="F2" s="305">
        <v>157034232.74000001</v>
      </c>
      <c r="G2" s="305">
        <v>147481910.53</v>
      </c>
      <c r="H2" s="305">
        <v>9552322.2100000009</v>
      </c>
      <c r="I2" s="303" t="s">
        <v>809</v>
      </c>
    </row>
    <row r="3" spans="1:9" ht="15" customHeight="1" x14ac:dyDescent="0.25">
      <c r="A3" s="306" t="s">
        <v>1108</v>
      </c>
      <c r="B3" s="307" t="s">
        <v>1109</v>
      </c>
      <c r="C3" s="306" t="s">
        <v>1110</v>
      </c>
      <c r="D3" s="308">
        <v>45698</v>
      </c>
      <c r="E3" s="308">
        <v>46022</v>
      </c>
      <c r="F3" s="309">
        <v>11696113.300000001</v>
      </c>
      <c r="G3" s="309">
        <v>11667928.810000001</v>
      </c>
      <c r="H3" s="309">
        <v>28184.49</v>
      </c>
      <c r="I3" s="307" t="s">
        <v>809</v>
      </c>
    </row>
    <row r="4" spans="1:9" ht="15" customHeight="1" x14ac:dyDescent="0.25">
      <c r="A4" s="306" t="s">
        <v>1111</v>
      </c>
      <c r="B4" s="307" t="s">
        <v>1112</v>
      </c>
      <c r="C4" s="306" t="s">
        <v>1113</v>
      </c>
      <c r="D4" s="308">
        <v>42276</v>
      </c>
      <c r="E4" s="308">
        <v>45930</v>
      </c>
      <c r="F4" s="309">
        <v>4184245.66</v>
      </c>
      <c r="G4" s="309">
        <v>4184245.32</v>
      </c>
      <c r="H4" s="310">
        <v>0.34</v>
      </c>
      <c r="I4" s="307" t="s">
        <v>1095</v>
      </c>
    </row>
    <row r="5" spans="1:9" x14ac:dyDescent="0.25">
      <c r="A5" s="306" t="s">
        <v>1114</v>
      </c>
      <c r="B5" s="307" t="s">
        <v>1094</v>
      </c>
      <c r="C5" s="306" t="s">
        <v>23</v>
      </c>
      <c r="D5" s="308">
        <v>43040</v>
      </c>
      <c r="E5" s="308">
        <v>46142</v>
      </c>
      <c r="F5" s="309">
        <v>27137315.440000001</v>
      </c>
      <c r="G5" s="309">
        <v>23510262.940000001</v>
      </c>
      <c r="H5" s="309">
        <v>3627052.5</v>
      </c>
      <c r="I5" s="307" t="s">
        <v>809</v>
      </c>
    </row>
    <row r="6" spans="1:9" ht="15" customHeight="1" x14ac:dyDescent="0.25">
      <c r="A6" s="306" t="s">
        <v>1115</v>
      </c>
      <c r="B6" s="307" t="s">
        <v>1116</v>
      </c>
      <c r="C6" s="306" t="s">
        <v>58</v>
      </c>
      <c r="D6" s="308">
        <v>43270</v>
      </c>
      <c r="E6" s="308">
        <v>45716</v>
      </c>
      <c r="F6" s="309">
        <v>1424394.61</v>
      </c>
      <c r="G6" s="309">
        <v>1421108.93</v>
      </c>
      <c r="H6" s="309">
        <v>3285.68</v>
      </c>
      <c r="I6" s="307" t="s">
        <v>1095</v>
      </c>
    </row>
    <row r="7" spans="1:9" ht="15" customHeight="1" x14ac:dyDescent="0.25">
      <c r="A7" s="306" t="s">
        <v>1117</v>
      </c>
      <c r="B7" s="307" t="s">
        <v>1118</v>
      </c>
      <c r="C7" s="306" t="s">
        <v>1091</v>
      </c>
      <c r="D7" s="308">
        <v>43409</v>
      </c>
      <c r="E7" s="308">
        <v>46022</v>
      </c>
      <c r="F7" s="309">
        <v>47475669.829999998</v>
      </c>
      <c r="G7" s="309">
        <v>47475669.829999998</v>
      </c>
      <c r="H7" s="310">
        <v>0</v>
      </c>
      <c r="I7" s="307" t="s">
        <v>809</v>
      </c>
    </row>
    <row r="8" spans="1:9" ht="15" customHeight="1" x14ac:dyDescent="0.25">
      <c r="A8" s="306" t="s">
        <v>1119</v>
      </c>
      <c r="B8" s="307" t="s">
        <v>1097</v>
      </c>
      <c r="C8" s="306" t="s">
        <v>61</v>
      </c>
      <c r="D8" s="308">
        <v>44699</v>
      </c>
      <c r="E8" s="308">
        <v>45910</v>
      </c>
      <c r="F8" s="309">
        <v>2067661.43</v>
      </c>
      <c r="G8" s="309">
        <v>1916122.91</v>
      </c>
      <c r="H8" s="309">
        <v>151538.51999999999</v>
      </c>
      <c r="I8" s="307" t="s">
        <v>1102</v>
      </c>
    </row>
    <row r="9" spans="1:9" ht="15" customHeight="1" x14ac:dyDescent="0.25">
      <c r="A9" s="306" t="s">
        <v>1120</v>
      </c>
      <c r="B9" s="307" t="s">
        <v>1109</v>
      </c>
      <c r="C9" s="306" t="s">
        <v>1110</v>
      </c>
      <c r="D9" s="308">
        <v>43788</v>
      </c>
      <c r="E9" s="308">
        <v>46022</v>
      </c>
      <c r="F9" s="309">
        <v>4512303.29</v>
      </c>
      <c r="G9" s="309">
        <v>3621146.45</v>
      </c>
      <c r="H9" s="309">
        <v>891156.84</v>
      </c>
      <c r="I9" s="307" t="s">
        <v>809</v>
      </c>
    </row>
    <row r="10" spans="1:9" ht="15" customHeight="1" x14ac:dyDescent="0.25">
      <c r="A10" s="306" t="s">
        <v>1121</v>
      </c>
      <c r="B10" s="307" t="s">
        <v>1122</v>
      </c>
      <c r="C10" s="306" t="s">
        <v>68</v>
      </c>
      <c r="D10" s="308">
        <v>43941</v>
      </c>
      <c r="E10" s="308">
        <v>45716</v>
      </c>
      <c r="F10" s="309">
        <v>970912</v>
      </c>
      <c r="G10" s="309">
        <v>924152</v>
      </c>
      <c r="H10" s="309">
        <v>46760</v>
      </c>
      <c r="I10" s="307" t="s">
        <v>1095</v>
      </c>
    </row>
    <row r="11" spans="1:9" ht="15" customHeight="1" x14ac:dyDescent="0.25">
      <c r="A11" s="306" t="s">
        <v>1124</v>
      </c>
      <c r="B11" s="307" t="s">
        <v>1125</v>
      </c>
      <c r="C11" s="306" t="s">
        <v>1126</v>
      </c>
      <c r="D11" s="308">
        <v>44007</v>
      </c>
      <c r="E11" s="308">
        <v>45832</v>
      </c>
      <c r="F11" s="309">
        <v>5424818.4900000002</v>
      </c>
      <c r="G11" s="309">
        <v>5195818.1100000003</v>
      </c>
      <c r="H11" s="309">
        <v>229000.38</v>
      </c>
      <c r="I11" s="307" t="s">
        <v>809</v>
      </c>
    </row>
    <row r="12" spans="1:9" ht="15" customHeight="1" x14ac:dyDescent="0.25">
      <c r="A12" s="306" t="s">
        <v>1127</v>
      </c>
      <c r="B12" s="307" t="s">
        <v>1128</v>
      </c>
      <c r="C12" s="306" t="s">
        <v>155</v>
      </c>
      <c r="D12" s="308">
        <v>44040</v>
      </c>
      <c r="E12" s="308">
        <v>46234</v>
      </c>
      <c r="F12" s="309">
        <v>486165.34</v>
      </c>
      <c r="G12" s="309">
        <v>486165.34</v>
      </c>
      <c r="H12" s="310">
        <v>0</v>
      </c>
      <c r="I12" s="307" t="s">
        <v>809</v>
      </c>
    </row>
    <row r="13" spans="1:9" x14ac:dyDescent="0.25">
      <c r="A13" s="306" t="s">
        <v>1129</v>
      </c>
      <c r="B13" s="307" t="s">
        <v>1130</v>
      </c>
      <c r="C13" s="306" t="s">
        <v>77</v>
      </c>
      <c r="D13" s="308">
        <v>44130</v>
      </c>
      <c r="E13" s="308">
        <v>46258</v>
      </c>
      <c r="F13" s="309">
        <v>91639</v>
      </c>
      <c r="G13" s="309">
        <v>77694.45</v>
      </c>
      <c r="H13" s="309">
        <v>13944.55</v>
      </c>
      <c r="I13" s="307" t="s">
        <v>808</v>
      </c>
    </row>
    <row r="14" spans="1:9" ht="15" customHeight="1" x14ac:dyDescent="0.25">
      <c r="A14" s="306" t="s">
        <v>1096</v>
      </c>
      <c r="B14" s="307" t="s">
        <v>1097</v>
      </c>
      <c r="C14" s="306" t="s">
        <v>61</v>
      </c>
      <c r="D14" s="308">
        <v>44287</v>
      </c>
      <c r="E14" s="308">
        <v>45747</v>
      </c>
      <c r="F14" s="309">
        <v>1991529</v>
      </c>
      <c r="G14" s="309">
        <v>1401690.14</v>
      </c>
      <c r="H14" s="309">
        <v>589838.86</v>
      </c>
      <c r="I14" s="307" t="s">
        <v>809</v>
      </c>
    </row>
    <row r="15" spans="1:9" ht="15" customHeight="1" x14ac:dyDescent="0.25">
      <c r="A15" s="306" t="s">
        <v>1131</v>
      </c>
      <c r="B15" s="307" t="s">
        <v>1132</v>
      </c>
      <c r="C15" s="306" t="s">
        <v>1133</v>
      </c>
      <c r="D15" s="308">
        <v>44348</v>
      </c>
      <c r="E15" s="308">
        <v>46173</v>
      </c>
      <c r="F15" s="309">
        <v>89284633.810000002</v>
      </c>
      <c r="G15" s="309">
        <v>89284633.810000002</v>
      </c>
      <c r="H15" s="310">
        <v>0</v>
      </c>
      <c r="I15" s="307" t="s">
        <v>1123</v>
      </c>
    </row>
    <row r="16" spans="1:9" ht="15" customHeight="1" x14ac:dyDescent="0.25">
      <c r="A16" s="306" t="s">
        <v>1134</v>
      </c>
      <c r="B16" s="307" t="s">
        <v>1135</v>
      </c>
      <c r="C16" s="306" t="s">
        <v>1136</v>
      </c>
      <c r="D16" s="308">
        <v>44660</v>
      </c>
      <c r="E16" s="308">
        <v>46120</v>
      </c>
      <c r="F16" s="309">
        <v>4715471.1399999997</v>
      </c>
      <c r="G16" s="309">
        <v>4715471.1399999997</v>
      </c>
      <c r="H16" s="310">
        <v>0</v>
      </c>
      <c r="I16" s="307" t="s">
        <v>809</v>
      </c>
    </row>
    <row r="17" spans="1:9" ht="15" customHeight="1" x14ac:dyDescent="0.25">
      <c r="A17" s="306" t="s">
        <v>1137</v>
      </c>
      <c r="B17" s="307" t="s">
        <v>1132</v>
      </c>
      <c r="C17" s="306" t="s">
        <v>1133</v>
      </c>
      <c r="D17" s="308">
        <v>44663</v>
      </c>
      <c r="E17" s="308">
        <v>45747</v>
      </c>
      <c r="F17" s="309">
        <v>9737292.8000000007</v>
      </c>
      <c r="G17" s="309">
        <v>9737292.8000000007</v>
      </c>
      <c r="H17" s="310">
        <v>0</v>
      </c>
      <c r="I17" s="307" t="s">
        <v>1138</v>
      </c>
    </row>
    <row r="18" spans="1:9" ht="15" customHeight="1" x14ac:dyDescent="0.25">
      <c r="A18" s="306" t="s">
        <v>1139</v>
      </c>
      <c r="B18" s="307" t="s">
        <v>1140</v>
      </c>
      <c r="C18" s="306" t="s">
        <v>131</v>
      </c>
      <c r="D18" s="308">
        <v>45137</v>
      </c>
      <c r="E18" s="308">
        <v>45867</v>
      </c>
      <c r="F18" s="309">
        <v>410670</v>
      </c>
      <c r="G18" s="309">
        <v>284805.95</v>
      </c>
      <c r="H18" s="309">
        <v>125864.05</v>
      </c>
      <c r="I18" s="307" t="s">
        <v>809</v>
      </c>
    </row>
    <row r="19" spans="1:9" ht="15" customHeight="1" x14ac:dyDescent="0.25">
      <c r="A19" s="306" t="s">
        <v>1098</v>
      </c>
      <c r="B19" s="307" t="s">
        <v>1099</v>
      </c>
      <c r="C19" s="306" t="s">
        <v>144</v>
      </c>
      <c r="D19" s="308">
        <v>44682</v>
      </c>
      <c r="E19" s="308">
        <v>45777</v>
      </c>
      <c r="F19" s="309">
        <v>10004</v>
      </c>
      <c r="G19" s="309">
        <v>5308.5</v>
      </c>
      <c r="H19" s="309">
        <v>4695.5</v>
      </c>
      <c r="I19" s="307" t="s">
        <v>809</v>
      </c>
    </row>
    <row r="20" spans="1:9" x14ac:dyDescent="0.25">
      <c r="A20" s="306" t="s">
        <v>1141</v>
      </c>
      <c r="B20" s="307" t="s">
        <v>1104</v>
      </c>
      <c r="C20" s="306" t="s">
        <v>1105</v>
      </c>
      <c r="D20" s="308">
        <v>44914</v>
      </c>
      <c r="E20" s="308">
        <v>46009</v>
      </c>
      <c r="F20" s="309">
        <v>2645878.3199999998</v>
      </c>
      <c r="G20" s="310">
        <v>0</v>
      </c>
      <c r="H20" s="309">
        <v>2645878.3199999998</v>
      </c>
      <c r="I20" s="307" t="s">
        <v>1123</v>
      </c>
    </row>
    <row r="21" spans="1:9" ht="15" customHeight="1" x14ac:dyDescent="0.25">
      <c r="A21" s="306" t="s">
        <v>1142</v>
      </c>
      <c r="B21" s="307" t="s">
        <v>1128</v>
      </c>
      <c r="C21" s="306" t="s">
        <v>155</v>
      </c>
      <c r="D21" s="308">
        <v>44812</v>
      </c>
      <c r="E21" s="308">
        <v>45778</v>
      </c>
      <c r="F21" s="309">
        <v>272000</v>
      </c>
      <c r="G21" s="309">
        <v>248003</v>
      </c>
      <c r="H21" s="309">
        <v>23997</v>
      </c>
      <c r="I21" s="307" t="s">
        <v>809</v>
      </c>
    </row>
    <row r="22" spans="1:9" ht="15" customHeight="1" x14ac:dyDescent="0.25">
      <c r="A22" s="306" t="s">
        <v>1143</v>
      </c>
      <c r="B22" s="307" t="s">
        <v>1104</v>
      </c>
      <c r="C22" s="306" t="s">
        <v>1105</v>
      </c>
      <c r="D22" s="308">
        <v>44911</v>
      </c>
      <c r="E22" s="308">
        <v>45594</v>
      </c>
      <c r="F22" s="309">
        <v>416648</v>
      </c>
      <c r="G22" s="310">
        <v>0</v>
      </c>
      <c r="H22" s="309">
        <v>416648</v>
      </c>
      <c r="I22" s="307" t="s">
        <v>1123</v>
      </c>
    </row>
    <row r="23" spans="1:9" ht="15" customHeight="1" x14ac:dyDescent="0.25">
      <c r="A23" s="306" t="s">
        <v>1144</v>
      </c>
      <c r="B23" s="307" t="s">
        <v>1097</v>
      </c>
      <c r="C23" s="306" t="s">
        <v>61</v>
      </c>
      <c r="D23" s="308">
        <v>44998</v>
      </c>
      <c r="E23" s="308">
        <v>45720</v>
      </c>
      <c r="F23" s="309">
        <v>956547.8</v>
      </c>
      <c r="G23" s="309">
        <v>120375.36</v>
      </c>
      <c r="H23" s="309">
        <v>836172.44</v>
      </c>
      <c r="I23" s="307" t="s">
        <v>1102</v>
      </c>
    </row>
    <row r="24" spans="1:9" ht="15" customHeight="1" x14ac:dyDescent="0.25">
      <c r="A24" s="306" t="s">
        <v>1146</v>
      </c>
      <c r="B24" s="307" t="s">
        <v>1147</v>
      </c>
      <c r="C24" s="306" t="s">
        <v>146</v>
      </c>
      <c r="D24" s="308">
        <v>45063</v>
      </c>
      <c r="E24" s="308">
        <v>45793</v>
      </c>
      <c r="F24" s="309">
        <v>2100000</v>
      </c>
      <c r="G24" s="309">
        <v>256960</v>
      </c>
      <c r="H24" s="309">
        <v>1843040</v>
      </c>
      <c r="I24" s="307" t="s">
        <v>1102</v>
      </c>
    </row>
    <row r="25" spans="1:9" ht="15" customHeight="1" x14ac:dyDescent="0.25">
      <c r="A25" s="306" t="s">
        <v>1148</v>
      </c>
      <c r="B25" s="307" t="s">
        <v>1149</v>
      </c>
      <c r="C25" s="306" t="s">
        <v>272</v>
      </c>
      <c r="D25" s="308">
        <v>45076</v>
      </c>
      <c r="E25" s="308">
        <v>45808</v>
      </c>
      <c r="F25" s="309">
        <v>2100000</v>
      </c>
      <c r="G25" s="309">
        <v>1825610.33</v>
      </c>
      <c r="H25" s="309">
        <v>274389.67</v>
      </c>
      <c r="I25" s="307" t="s">
        <v>1102</v>
      </c>
    </row>
    <row r="26" spans="1:9" x14ac:dyDescent="0.25">
      <c r="A26" s="306" t="s">
        <v>1150</v>
      </c>
      <c r="B26" s="307" t="s">
        <v>1151</v>
      </c>
      <c r="C26" s="306" t="s">
        <v>1152</v>
      </c>
      <c r="D26" s="308">
        <v>45063</v>
      </c>
      <c r="E26" s="308">
        <v>45793</v>
      </c>
      <c r="F26" s="309">
        <v>2100000</v>
      </c>
      <c r="G26" s="309">
        <v>1108201.6000000001</v>
      </c>
      <c r="H26" s="309">
        <v>991798.4</v>
      </c>
      <c r="I26" s="307" t="s">
        <v>1102</v>
      </c>
    </row>
    <row r="27" spans="1:9" ht="15" customHeight="1" x14ac:dyDescent="0.25">
      <c r="A27" s="306" t="s">
        <v>1153</v>
      </c>
      <c r="B27" s="307" t="s">
        <v>1154</v>
      </c>
      <c r="C27" s="306" t="s">
        <v>174</v>
      </c>
      <c r="D27" s="308">
        <v>45089</v>
      </c>
      <c r="E27" s="308">
        <v>46218</v>
      </c>
      <c r="F27" s="309">
        <v>33867.599999999999</v>
      </c>
      <c r="G27" s="310">
        <v>0</v>
      </c>
      <c r="H27" s="309">
        <v>33867.599999999999</v>
      </c>
      <c r="I27" s="307" t="s">
        <v>1102</v>
      </c>
    </row>
    <row r="28" spans="1:9" ht="15" customHeight="1" x14ac:dyDescent="0.25">
      <c r="A28" s="306" t="s">
        <v>1155</v>
      </c>
      <c r="B28" s="307" t="s">
        <v>1156</v>
      </c>
      <c r="C28" s="306" t="s">
        <v>1157</v>
      </c>
      <c r="D28" s="308">
        <v>45096</v>
      </c>
      <c r="E28" s="308">
        <v>45827</v>
      </c>
      <c r="F28" s="309">
        <v>2100000</v>
      </c>
      <c r="G28" s="310">
        <v>0</v>
      </c>
      <c r="H28" s="309">
        <v>2100000</v>
      </c>
      <c r="I28" s="307" t="s">
        <v>1102</v>
      </c>
    </row>
    <row r="29" spans="1:9" x14ac:dyDescent="0.25">
      <c r="A29" s="306" t="s">
        <v>1158</v>
      </c>
      <c r="B29" s="307" t="s">
        <v>1159</v>
      </c>
      <c r="C29" s="306" t="s">
        <v>1259</v>
      </c>
      <c r="D29" s="308">
        <v>45105</v>
      </c>
      <c r="E29" s="308">
        <v>46200</v>
      </c>
      <c r="F29" s="309">
        <v>839437.92</v>
      </c>
      <c r="G29" s="310">
        <v>0</v>
      </c>
      <c r="H29" s="309">
        <v>839437.92</v>
      </c>
      <c r="I29" s="307" t="s">
        <v>1095</v>
      </c>
    </row>
    <row r="30" spans="1:9" ht="15" customHeight="1" x14ac:dyDescent="0.25">
      <c r="A30" s="306" t="s">
        <v>1160</v>
      </c>
      <c r="B30" s="307" t="s">
        <v>1161</v>
      </c>
      <c r="C30" s="306" t="s">
        <v>222</v>
      </c>
      <c r="D30" s="308">
        <v>45117</v>
      </c>
      <c r="E30" s="308">
        <v>46212</v>
      </c>
      <c r="F30" s="309">
        <v>1077328</v>
      </c>
      <c r="G30" s="309">
        <v>628916</v>
      </c>
      <c r="H30" s="309">
        <v>448412</v>
      </c>
      <c r="I30" s="307" t="s">
        <v>1102</v>
      </c>
    </row>
    <row r="31" spans="1:9" x14ac:dyDescent="0.25">
      <c r="A31" s="306" t="s">
        <v>1103</v>
      </c>
      <c r="B31" s="307" t="s">
        <v>1104</v>
      </c>
      <c r="C31" s="306" t="s">
        <v>1105</v>
      </c>
      <c r="D31" s="308">
        <v>45141</v>
      </c>
      <c r="E31" s="308">
        <v>46236</v>
      </c>
      <c r="F31" s="309">
        <v>1155397.68</v>
      </c>
      <c r="G31" s="310">
        <v>0</v>
      </c>
      <c r="H31" s="309">
        <v>1155397.68</v>
      </c>
      <c r="I31" s="307" t="s">
        <v>809</v>
      </c>
    </row>
    <row r="32" spans="1:9" x14ac:dyDescent="0.25">
      <c r="A32" s="306" t="s">
        <v>1260</v>
      </c>
      <c r="B32" s="307" t="s">
        <v>1261</v>
      </c>
      <c r="C32" s="306" t="s">
        <v>1262</v>
      </c>
      <c r="D32" s="308">
        <v>45141</v>
      </c>
      <c r="E32" s="308">
        <v>45610</v>
      </c>
      <c r="F32" s="309">
        <v>1882981.04</v>
      </c>
      <c r="G32" s="309">
        <v>1882981.04</v>
      </c>
      <c r="H32" s="310">
        <v>0</v>
      </c>
      <c r="I32" s="307" t="s">
        <v>1095</v>
      </c>
    </row>
    <row r="33" spans="1:9" x14ac:dyDescent="0.25">
      <c r="A33" s="306" t="s">
        <v>1162</v>
      </c>
      <c r="B33" s="307" t="s">
        <v>1163</v>
      </c>
      <c r="C33" s="306" t="s">
        <v>184</v>
      </c>
      <c r="D33" s="308">
        <v>45525</v>
      </c>
      <c r="E33" s="308">
        <v>45878</v>
      </c>
      <c r="F33" s="309">
        <v>591561.55000000005</v>
      </c>
      <c r="G33" s="309">
        <v>591561.55000000005</v>
      </c>
      <c r="H33" s="310">
        <v>0</v>
      </c>
      <c r="I33" s="307" t="s">
        <v>809</v>
      </c>
    </row>
    <row r="34" spans="1:9" x14ac:dyDescent="0.25">
      <c r="A34" s="306" t="s">
        <v>1164</v>
      </c>
      <c r="B34" s="307" t="s">
        <v>1165</v>
      </c>
      <c r="C34" s="306" t="s">
        <v>190</v>
      </c>
      <c r="D34" s="308">
        <v>45105</v>
      </c>
      <c r="E34" s="308">
        <v>45835</v>
      </c>
      <c r="F34" s="309">
        <v>1473990.06</v>
      </c>
      <c r="G34" s="309">
        <v>1473990.06</v>
      </c>
      <c r="H34" s="310">
        <v>0</v>
      </c>
      <c r="I34" s="307" t="s">
        <v>1138</v>
      </c>
    </row>
    <row r="35" spans="1:9" x14ac:dyDescent="0.25">
      <c r="A35" s="306" t="s">
        <v>1106</v>
      </c>
      <c r="B35" s="307" t="s">
        <v>1104</v>
      </c>
      <c r="C35" s="306" t="s">
        <v>1105</v>
      </c>
      <c r="D35" s="308">
        <v>45204</v>
      </c>
      <c r="E35" s="308">
        <v>45936</v>
      </c>
      <c r="F35" s="309">
        <v>250000</v>
      </c>
      <c r="G35" s="310">
        <v>0</v>
      </c>
      <c r="H35" s="309">
        <v>250000</v>
      </c>
      <c r="I35" s="307" t="s">
        <v>809</v>
      </c>
    </row>
    <row r="36" spans="1:9" x14ac:dyDescent="0.25">
      <c r="A36" s="306" t="s">
        <v>1107</v>
      </c>
      <c r="B36" s="307" t="s">
        <v>1104</v>
      </c>
      <c r="C36" s="306" t="s">
        <v>1105</v>
      </c>
      <c r="D36" s="308">
        <v>45161</v>
      </c>
      <c r="E36" s="308">
        <v>46258</v>
      </c>
      <c r="F36" s="309">
        <v>316958.76</v>
      </c>
      <c r="G36" s="310">
        <v>0</v>
      </c>
      <c r="H36" s="309">
        <v>316958.76</v>
      </c>
      <c r="I36" s="307" t="s">
        <v>809</v>
      </c>
    </row>
    <row r="37" spans="1:9" ht="15" customHeight="1" x14ac:dyDescent="0.25">
      <c r="A37" s="306" t="s">
        <v>1166</v>
      </c>
      <c r="B37" s="307" t="s">
        <v>1097</v>
      </c>
      <c r="C37" s="306" t="s">
        <v>61</v>
      </c>
      <c r="D37" s="308">
        <v>45251</v>
      </c>
      <c r="E37" s="308">
        <v>46348</v>
      </c>
      <c r="F37" s="309">
        <v>700000</v>
      </c>
      <c r="G37" s="310">
        <v>0</v>
      </c>
      <c r="H37" s="309">
        <v>700000</v>
      </c>
      <c r="I37" s="307" t="s">
        <v>1102</v>
      </c>
    </row>
    <row r="38" spans="1:9" x14ac:dyDescent="0.25">
      <c r="A38" s="306" t="s">
        <v>1167</v>
      </c>
      <c r="B38" s="307" t="s">
        <v>1168</v>
      </c>
      <c r="C38" s="306" t="s">
        <v>1169</v>
      </c>
      <c r="D38" s="308">
        <v>45237</v>
      </c>
      <c r="E38" s="308">
        <v>46334</v>
      </c>
      <c r="F38" s="309">
        <v>700000</v>
      </c>
      <c r="G38" s="310">
        <v>0</v>
      </c>
      <c r="H38" s="309">
        <v>700000</v>
      </c>
      <c r="I38" s="307" t="s">
        <v>1102</v>
      </c>
    </row>
    <row r="39" spans="1:9" x14ac:dyDescent="0.25">
      <c r="A39" s="306" t="s">
        <v>1170</v>
      </c>
      <c r="B39" s="307" t="s">
        <v>1171</v>
      </c>
      <c r="C39" s="306" t="s">
        <v>628</v>
      </c>
      <c r="D39" s="308">
        <v>45231</v>
      </c>
      <c r="E39" s="308">
        <v>45961</v>
      </c>
      <c r="F39" s="309">
        <v>5000000</v>
      </c>
      <c r="G39" s="309">
        <v>5000000</v>
      </c>
      <c r="H39" s="310">
        <v>0</v>
      </c>
      <c r="I39" s="307" t="s">
        <v>1123</v>
      </c>
    </row>
    <row r="40" spans="1:9" ht="15" customHeight="1" x14ac:dyDescent="0.25">
      <c r="A40" s="306" t="s">
        <v>1172</v>
      </c>
      <c r="B40" s="307" t="s">
        <v>1173</v>
      </c>
      <c r="C40" s="306" t="s">
        <v>215</v>
      </c>
      <c r="D40" s="308">
        <v>45257</v>
      </c>
      <c r="E40" s="308">
        <v>46352</v>
      </c>
      <c r="F40" s="309">
        <v>226620</v>
      </c>
      <c r="G40" s="309">
        <v>2195.48</v>
      </c>
      <c r="H40" s="309">
        <v>224424.52</v>
      </c>
      <c r="I40" s="307" t="s">
        <v>809</v>
      </c>
    </row>
    <row r="41" spans="1:9" x14ac:dyDescent="0.25">
      <c r="A41" s="306" t="s">
        <v>1174</v>
      </c>
      <c r="B41" s="307" t="s">
        <v>1175</v>
      </c>
      <c r="C41" s="306" t="s">
        <v>716</v>
      </c>
      <c r="D41" s="308">
        <v>45274</v>
      </c>
      <c r="E41" s="308">
        <v>46446</v>
      </c>
      <c r="F41" s="309">
        <v>4161412.54</v>
      </c>
      <c r="G41" s="309">
        <v>4161412.54</v>
      </c>
      <c r="H41" s="310">
        <v>0</v>
      </c>
      <c r="I41" s="307" t="s">
        <v>809</v>
      </c>
    </row>
    <row r="42" spans="1:9" ht="15" customHeight="1" x14ac:dyDescent="0.25">
      <c r="A42" s="306" t="s">
        <v>1176</v>
      </c>
      <c r="B42" s="307" t="s">
        <v>1177</v>
      </c>
      <c r="C42" s="306" t="s">
        <v>1178</v>
      </c>
      <c r="D42" s="308">
        <v>45324</v>
      </c>
      <c r="E42" s="308">
        <v>45749</v>
      </c>
      <c r="F42" s="309">
        <v>984000</v>
      </c>
      <c r="G42" s="309">
        <v>821407.26</v>
      </c>
      <c r="H42" s="309">
        <v>162592.74</v>
      </c>
      <c r="I42" s="307" t="s">
        <v>1138</v>
      </c>
    </row>
    <row r="43" spans="1:9" x14ac:dyDescent="0.25">
      <c r="A43" s="306" t="s">
        <v>1179</v>
      </c>
      <c r="B43" s="307" t="s">
        <v>1180</v>
      </c>
      <c r="C43" s="306" t="s">
        <v>1181</v>
      </c>
      <c r="D43" s="308">
        <v>45328</v>
      </c>
      <c r="E43" s="308">
        <v>46569</v>
      </c>
      <c r="F43" s="309">
        <v>14696000</v>
      </c>
      <c r="G43" s="309">
        <v>7763964.2000000002</v>
      </c>
      <c r="H43" s="309">
        <v>6932035.7999999998</v>
      </c>
      <c r="I43" s="307" t="s">
        <v>1102</v>
      </c>
    </row>
    <row r="44" spans="1:9" ht="15" customHeight="1" x14ac:dyDescent="0.25">
      <c r="A44" s="306" t="s">
        <v>1182</v>
      </c>
      <c r="B44" s="307" t="s">
        <v>1183</v>
      </c>
      <c r="C44" s="306" t="s">
        <v>230</v>
      </c>
      <c r="D44" s="308">
        <v>45170</v>
      </c>
      <c r="E44" s="308">
        <v>45900</v>
      </c>
      <c r="F44" s="309">
        <v>170800.56</v>
      </c>
      <c r="G44" s="309">
        <v>80043.13</v>
      </c>
      <c r="H44" s="309">
        <v>90757.43</v>
      </c>
      <c r="I44" s="307" t="s">
        <v>809</v>
      </c>
    </row>
    <row r="45" spans="1:9" ht="15" customHeight="1" x14ac:dyDescent="0.25">
      <c r="A45" s="306" t="s">
        <v>1184</v>
      </c>
      <c r="B45" s="307" t="s">
        <v>1185</v>
      </c>
      <c r="C45" s="306" t="s">
        <v>717</v>
      </c>
      <c r="D45" s="308">
        <v>45331</v>
      </c>
      <c r="E45" s="308">
        <v>46061</v>
      </c>
      <c r="F45" s="309">
        <v>316914</v>
      </c>
      <c r="G45" s="309">
        <v>161234</v>
      </c>
      <c r="H45" s="309">
        <v>155680</v>
      </c>
      <c r="I45" s="307" t="s">
        <v>809</v>
      </c>
    </row>
    <row r="46" spans="1:9" ht="15" customHeight="1" x14ac:dyDescent="0.25">
      <c r="A46" s="306" t="s">
        <v>1186</v>
      </c>
      <c r="B46" s="307" t="s">
        <v>1104</v>
      </c>
      <c r="C46" s="306" t="s">
        <v>1105</v>
      </c>
      <c r="D46" s="308">
        <v>45342</v>
      </c>
      <c r="E46" s="308">
        <v>45708</v>
      </c>
      <c r="F46" s="309">
        <v>496509.92</v>
      </c>
      <c r="G46" s="310">
        <v>0</v>
      </c>
      <c r="H46" s="309">
        <v>496509.92</v>
      </c>
      <c r="I46" s="307" t="s">
        <v>809</v>
      </c>
    </row>
    <row r="47" spans="1:9" ht="15" customHeight="1" x14ac:dyDescent="0.25">
      <c r="A47" s="306" t="s">
        <v>1187</v>
      </c>
      <c r="B47" s="307" t="s">
        <v>1188</v>
      </c>
      <c r="C47" s="306" t="s">
        <v>574</v>
      </c>
      <c r="D47" s="308">
        <v>45460</v>
      </c>
      <c r="E47" s="308">
        <v>46554</v>
      </c>
      <c r="F47" s="309">
        <v>1800000</v>
      </c>
      <c r="G47" s="310">
        <v>0</v>
      </c>
      <c r="H47" s="309">
        <v>1800000</v>
      </c>
      <c r="I47" s="307" t="s">
        <v>809</v>
      </c>
    </row>
    <row r="48" spans="1:9" ht="15" customHeight="1" x14ac:dyDescent="0.25">
      <c r="A48" s="306" t="s">
        <v>1189</v>
      </c>
      <c r="B48" s="307" t="s">
        <v>1190</v>
      </c>
      <c r="C48" s="306" t="s">
        <v>1191</v>
      </c>
      <c r="D48" s="308">
        <v>45405</v>
      </c>
      <c r="E48" s="308">
        <v>46507</v>
      </c>
      <c r="F48" s="309">
        <v>1800000</v>
      </c>
      <c r="G48" s="310">
        <v>0</v>
      </c>
      <c r="H48" s="309">
        <v>1800000</v>
      </c>
      <c r="I48" s="307" t="s">
        <v>809</v>
      </c>
    </row>
    <row r="49" spans="1:9" ht="15" customHeight="1" x14ac:dyDescent="0.25">
      <c r="A49" s="306" t="s">
        <v>1192</v>
      </c>
      <c r="B49" s="307" t="s">
        <v>1193</v>
      </c>
      <c r="C49" s="306" t="s">
        <v>1194</v>
      </c>
      <c r="D49" s="308">
        <v>45408</v>
      </c>
      <c r="E49" s="308">
        <v>46507</v>
      </c>
      <c r="F49" s="309">
        <v>13163356.359999999</v>
      </c>
      <c r="G49" s="310">
        <v>0</v>
      </c>
      <c r="H49" s="309">
        <v>13163356.359999999</v>
      </c>
      <c r="I49" s="307" t="s">
        <v>1123</v>
      </c>
    </row>
    <row r="50" spans="1:9" ht="15" customHeight="1" x14ac:dyDescent="0.25">
      <c r="A50" s="306" t="s">
        <v>1197</v>
      </c>
      <c r="B50" s="307" t="s">
        <v>1198</v>
      </c>
      <c r="C50" s="306" t="s">
        <v>1199</v>
      </c>
      <c r="D50" s="308">
        <v>45552</v>
      </c>
      <c r="E50" s="308">
        <v>45746</v>
      </c>
      <c r="F50" s="309">
        <v>336634.5</v>
      </c>
      <c r="G50" s="309">
        <v>336634.5</v>
      </c>
      <c r="H50" s="310">
        <v>0</v>
      </c>
      <c r="I50" s="307" t="s">
        <v>808</v>
      </c>
    </row>
    <row r="51" spans="1:9" ht="15" customHeight="1" x14ac:dyDescent="0.25">
      <c r="A51" s="306" t="s">
        <v>1200</v>
      </c>
      <c r="B51" s="307" t="s">
        <v>1201</v>
      </c>
      <c r="C51" s="306" t="s">
        <v>144</v>
      </c>
      <c r="D51" s="308">
        <v>45573</v>
      </c>
      <c r="E51" s="308">
        <v>45796</v>
      </c>
      <c r="F51" s="309">
        <v>11968</v>
      </c>
      <c r="G51" s="310">
        <v>0</v>
      </c>
      <c r="H51" s="309">
        <v>11968</v>
      </c>
      <c r="I51" s="307" t="s">
        <v>809</v>
      </c>
    </row>
    <row r="52" spans="1:9" x14ac:dyDescent="0.25">
      <c r="A52" s="306" t="s">
        <v>1202</v>
      </c>
      <c r="B52" s="307" t="s">
        <v>1094</v>
      </c>
      <c r="C52" s="306" t="s">
        <v>23</v>
      </c>
      <c r="D52" s="308">
        <v>45561</v>
      </c>
      <c r="E52" s="308">
        <v>45657</v>
      </c>
      <c r="F52" s="309">
        <v>39100</v>
      </c>
      <c r="G52" s="310">
        <v>0</v>
      </c>
      <c r="H52" s="309">
        <v>39100</v>
      </c>
      <c r="I52" s="307" t="s">
        <v>1123</v>
      </c>
    </row>
    <row r="53" spans="1:9" ht="15" customHeight="1" x14ac:dyDescent="0.25">
      <c r="A53" s="306" t="s">
        <v>1203</v>
      </c>
      <c r="B53" s="307" t="s">
        <v>1204</v>
      </c>
      <c r="C53" s="306" t="s">
        <v>89</v>
      </c>
      <c r="D53" s="308">
        <v>45444</v>
      </c>
      <c r="E53" s="308">
        <v>45808</v>
      </c>
      <c r="F53" s="309">
        <v>20484927.629999999</v>
      </c>
      <c r="G53" s="309">
        <v>1899321.36</v>
      </c>
      <c r="H53" s="309">
        <v>18585606.27</v>
      </c>
      <c r="I53" s="307" t="s">
        <v>1123</v>
      </c>
    </row>
    <row r="54" spans="1:9" ht="15" customHeight="1" x14ac:dyDescent="0.25">
      <c r="A54" s="306" t="s">
        <v>1205</v>
      </c>
      <c r="B54" s="307" t="s">
        <v>1097</v>
      </c>
      <c r="C54" s="306" t="s">
        <v>61</v>
      </c>
      <c r="D54" s="308">
        <v>45446</v>
      </c>
      <c r="E54" s="308">
        <v>46022</v>
      </c>
      <c r="F54" s="309">
        <v>1688940.48</v>
      </c>
      <c r="G54" s="309">
        <v>327353.46000000002</v>
      </c>
      <c r="H54" s="309">
        <v>1361587.02</v>
      </c>
      <c r="I54" s="307" t="s">
        <v>809</v>
      </c>
    </row>
    <row r="55" spans="1:9" ht="15" customHeight="1" x14ac:dyDescent="0.25">
      <c r="A55" s="306" t="s">
        <v>1206</v>
      </c>
      <c r="B55" s="307" t="s">
        <v>1097</v>
      </c>
      <c r="C55" s="306" t="s">
        <v>61</v>
      </c>
      <c r="D55" s="308">
        <v>45453</v>
      </c>
      <c r="E55" s="308">
        <v>46182</v>
      </c>
      <c r="F55" s="309">
        <v>1659840</v>
      </c>
      <c r="G55" s="309">
        <v>47748.61</v>
      </c>
      <c r="H55" s="309">
        <v>1612091.39</v>
      </c>
      <c r="I55" s="307" t="s">
        <v>809</v>
      </c>
    </row>
    <row r="56" spans="1:9" ht="15" customHeight="1" x14ac:dyDescent="0.25">
      <c r="A56" s="306" t="s">
        <v>823</v>
      </c>
      <c r="B56" s="307" t="s">
        <v>1000</v>
      </c>
      <c r="C56" s="306" t="s">
        <v>1209</v>
      </c>
      <c r="D56" s="308">
        <v>45449</v>
      </c>
      <c r="E56" s="308">
        <v>45879</v>
      </c>
      <c r="F56" s="309">
        <v>189288</v>
      </c>
      <c r="G56" s="310">
        <v>0</v>
      </c>
      <c r="H56" s="309">
        <v>189288</v>
      </c>
      <c r="I56" s="307" t="s">
        <v>809</v>
      </c>
    </row>
    <row r="57" spans="1:9" ht="15" customHeight="1" x14ac:dyDescent="0.25">
      <c r="A57" s="306" t="s">
        <v>1211</v>
      </c>
      <c r="B57" s="307" t="s">
        <v>1097</v>
      </c>
      <c r="C57" s="306" t="s">
        <v>61</v>
      </c>
      <c r="D57" s="308">
        <v>45481</v>
      </c>
      <c r="E57" s="308">
        <v>45961</v>
      </c>
      <c r="F57" s="309">
        <v>1306918.8700000001</v>
      </c>
      <c r="G57" s="309">
        <v>318760.7</v>
      </c>
      <c r="H57" s="309">
        <v>988158.17</v>
      </c>
      <c r="I57" s="307" t="s">
        <v>809</v>
      </c>
    </row>
    <row r="58" spans="1:9" ht="15" customHeight="1" x14ac:dyDescent="0.25">
      <c r="A58" s="306" t="s">
        <v>1212</v>
      </c>
      <c r="B58" s="307" t="s">
        <v>1195</v>
      </c>
      <c r="C58" s="306" t="s">
        <v>1196</v>
      </c>
      <c r="D58" s="308">
        <v>45435</v>
      </c>
      <c r="E58" s="308">
        <v>46164</v>
      </c>
      <c r="F58" s="309">
        <v>1542823.2</v>
      </c>
      <c r="G58" s="309">
        <v>464122.3</v>
      </c>
      <c r="H58" s="309">
        <v>1078700.8999999999</v>
      </c>
      <c r="I58" s="307" t="s">
        <v>1138</v>
      </c>
    </row>
    <row r="59" spans="1:9" ht="15" customHeight="1" x14ac:dyDescent="0.25">
      <c r="A59" s="306" t="s">
        <v>1213</v>
      </c>
      <c r="B59" s="307" t="s">
        <v>995</v>
      </c>
      <c r="C59" s="306" t="s">
        <v>804</v>
      </c>
      <c r="D59" s="308">
        <v>45503</v>
      </c>
      <c r="E59" s="308">
        <v>45868</v>
      </c>
      <c r="F59" s="310">
        <v>1</v>
      </c>
      <c r="G59" s="310">
        <v>0</v>
      </c>
      <c r="H59" s="310">
        <v>1</v>
      </c>
      <c r="I59" s="307" t="s">
        <v>1095</v>
      </c>
    </row>
    <row r="60" spans="1:9" ht="15" customHeight="1" x14ac:dyDescent="0.25">
      <c r="A60" s="306" t="s">
        <v>1214</v>
      </c>
      <c r="B60" s="307" t="s">
        <v>1215</v>
      </c>
      <c r="C60" s="306" t="s">
        <v>220</v>
      </c>
      <c r="D60" s="308">
        <v>45510</v>
      </c>
      <c r="E60" s="308">
        <v>45861</v>
      </c>
      <c r="F60" s="309">
        <v>178080</v>
      </c>
      <c r="G60" s="309">
        <v>65760</v>
      </c>
      <c r="H60" s="309">
        <v>112320</v>
      </c>
      <c r="I60" s="307" t="s">
        <v>1102</v>
      </c>
    </row>
    <row r="61" spans="1:9" ht="15" customHeight="1" x14ac:dyDescent="0.25">
      <c r="A61" s="306" t="s">
        <v>1216</v>
      </c>
      <c r="B61" s="307" t="s">
        <v>1204</v>
      </c>
      <c r="C61" s="306" t="s">
        <v>89</v>
      </c>
      <c r="D61" s="308">
        <v>45566</v>
      </c>
      <c r="E61" s="308">
        <v>46660</v>
      </c>
      <c r="F61" s="309">
        <v>2432400</v>
      </c>
      <c r="G61" s="309">
        <v>740400</v>
      </c>
      <c r="H61" s="309">
        <v>1692000</v>
      </c>
      <c r="I61" s="307" t="s">
        <v>1095</v>
      </c>
    </row>
    <row r="62" spans="1:9" ht="15" customHeight="1" x14ac:dyDescent="0.25">
      <c r="A62" s="306" t="s">
        <v>1217</v>
      </c>
      <c r="B62" s="307" t="s">
        <v>1210</v>
      </c>
      <c r="C62" s="306" t="s">
        <v>910</v>
      </c>
      <c r="D62" s="308">
        <v>45559</v>
      </c>
      <c r="E62" s="308">
        <v>45923</v>
      </c>
      <c r="F62" s="309">
        <v>134880</v>
      </c>
      <c r="G62" s="309">
        <v>69900</v>
      </c>
      <c r="H62" s="309">
        <v>64980</v>
      </c>
      <c r="I62" s="307" t="s">
        <v>809</v>
      </c>
    </row>
    <row r="63" spans="1:9" ht="15" customHeight="1" x14ac:dyDescent="0.25">
      <c r="A63" s="306" t="s">
        <v>1263</v>
      </c>
      <c r="B63" s="307" t="s">
        <v>999</v>
      </c>
      <c r="C63" s="306" t="s">
        <v>805</v>
      </c>
      <c r="D63" s="308">
        <v>45579</v>
      </c>
      <c r="E63" s="308">
        <v>46309</v>
      </c>
      <c r="F63" s="309">
        <v>600000</v>
      </c>
      <c r="G63" s="310">
        <v>0</v>
      </c>
      <c r="H63" s="309">
        <v>600000</v>
      </c>
      <c r="I63" s="307" t="s">
        <v>1102</v>
      </c>
    </row>
    <row r="64" spans="1:9" ht="15" customHeight="1" x14ac:dyDescent="0.25">
      <c r="A64" s="306" t="s">
        <v>820</v>
      </c>
      <c r="B64" s="307" t="s">
        <v>988</v>
      </c>
      <c r="C64" s="306" t="s">
        <v>1264</v>
      </c>
      <c r="D64" s="308">
        <v>45547</v>
      </c>
      <c r="E64" s="308">
        <v>46290</v>
      </c>
      <c r="F64" s="309">
        <v>960000</v>
      </c>
      <c r="G64" s="309">
        <v>171107</v>
      </c>
      <c r="H64" s="309">
        <v>788893</v>
      </c>
      <c r="I64" s="307" t="s">
        <v>809</v>
      </c>
    </row>
    <row r="65" spans="1:9" ht="15" customHeight="1" x14ac:dyDescent="0.25">
      <c r="A65" s="306" t="s">
        <v>1219</v>
      </c>
      <c r="B65" s="307" t="s">
        <v>1220</v>
      </c>
      <c r="C65" s="306" t="s">
        <v>1221</v>
      </c>
      <c r="D65" s="308">
        <v>45573</v>
      </c>
      <c r="E65" s="308">
        <v>46023</v>
      </c>
      <c r="F65" s="309">
        <v>449687.11</v>
      </c>
      <c r="G65" s="310">
        <v>0</v>
      </c>
      <c r="H65" s="309">
        <v>449687.11</v>
      </c>
      <c r="I65" s="307" t="s">
        <v>1095</v>
      </c>
    </row>
    <row r="66" spans="1:9" ht="15" customHeight="1" x14ac:dyDescent="0.25">
      <c r="A66" s="306" t="s">
        <v>810</v>
      </c>
      <c r="B66" s="307" t="s">
        <v>971</v>
      </c>
      <c r="C66" s="306" t="s">
        <v>786</v>
      </c>
      <c r="D66" s="308">
        <v>45574</v>
      </c>
      <c r="E66" s="308">
        <v>46668</v>
      </c>
      <c r="F66" s="309">
        <v>845276</v>
      </c>
      <c r="G66" s="309">
        <v>93814</v>
      </c>
      <c r="H66" s="309">
        <v>751462</v>
      </c>
      <c r="I66" s="307" t="s">
        <v>1095</v>
      </c>
    </row>
    <row r="67" spans="1:9" x14ac:dyDescent="0.25">
      <c r="A67" s="306" t="s">
        <v>1222</v>
      </c>
      <c r="B67" s="307" t="s">
        <v>1223</v>
      </c>
      <c r="C67" s="306" t="s">
        <v>1224</v>
      </c>
      <c r="D67" s="308">
        <v>45579</v>
      </c>
      <c r="E67" s="308">
        <v>46323</v>
      </c>
      <c r="F67" s="309">
        <v>600000</v>
      </c>
      <c r="G67" s="310">
        <v>0</v>
      </c>
      <c r="H67" s="309">
        <v>600000</v>
      </c>
      <c r="I67" s="307" t="s">
        <v>1095</v>
      </c>
    </row>
    <row r="68" spans="1:9" x14ac:dyDescent="0.25">
      <c r="A68" s="306" t="s">
        <v>1265</v>
      </c>
      <c r="B68" s="307" t="s">
        <v>1266</v>
      </c>
      <c r="C68" s="306" t="s">
        <v>1267</v>
      </c>
      <c r="D68" s="308">
        <v>45582</v>
      </c>
      <c r="E68" s="308">
        <v>46292</v>
      </c>
      <c r="F68" s="309">
        <v>1600397.75</v>
      </c>
      <c r="G68" s="309">
        <v>800198.87</v>
      </c>
      <c r="H68" s="309">
        <v>800198.88</v>
      </c>
      <c r="I68" s="307" t="s">
        <v>1123</v>
      </c>
    </row>
    <row r="69" spans="1:9" x14ac:dyDescent="0.25">
      <c r="A69" s="306" t="s">
        <v>1225</v>
      </c>
      <c r="B69" s="307" t="s">
        <v>1185</v>
      </c>
      <c r="C69" s="306" t="s">
        <v>717</v>
      </c>
      <c r="D69" s="308">
        <v>45608</v>
      </c>
      <c r="E69" s="308">
        <v>45972</v>
      </c>
      <c r="F69" s="309">
        <v>750000</v>
      </c>
      <c r="G69" s="310">
        <v>0</v>
      </c>
      <c r="H69" s="309">
        <v>750000</v>
      </c>
      <c r="I69" s="307" t="s">
        <v>1095</v>
      </c>
    </row>
    <row r="70" spans="1:9" ht="15" customHeight="1" x14ac:dyDescent="0.25">
      <c r="A70" s="306" t="s">
        <v>1268</v>
      </c>
      <c r="B70" s="307" t="s">
        <v>1269</v>
      </c>
      <c r="C70" s="306" t="s">
        <v>1270</v>
      </c>
      <c r="D70" s="308">
        <v>45601</v>
      </c>
      <c r="E70" s="308">
        <v>46695</v>
      </c>
      <c r="F70" s="309">
        <v>378113.44</v>
      </c>
      <c r="G70" s="309">
        <v>213025</v>
      </c>
      <c r="H70" s="309">
        <v>165088.44</v>
      </c>
      <c r="I70" s="307" t="s">
        <v>808</v>
      </c>
    </row>
    <row r="71" spans="1:9" x14ac:dyDescent="0.25">
      <c r="A71" s="306" t="s">
        <v>812</v>
      </c>
      <c r="B71" s="307" t="s">
        <v>973</v>
      </c>
      <c r="C71" s="306" t="s">
        <v>1226</v>
      </c>
      <c r="D71" s="308">
        <v>45610</v>
      </c>
      <c r="E71" s="308">
        <v>45939</v>
      </c>
      <c r="F71" s="309">
        <v>505469.7</v>
      </c>
      <c r="G71" s="310">
        <v>0</v>
      </c>
      <c r="H71" s="309">
        <v>505469.7</v>
      </c>
      <c r="I71" s="307" t="s">
        <v>1102</v>
      </c>
    </row>
    <row r="72" spans="1:9" ht="15" customHeight="1" x14ac:dyDescent="0.25">
      <c r="A72" s="306" t="s">
        <v>1227</v>
      </c>
      <c r="B72" s="307" t="s">
        <v>979</v>
      </c>
      <c r="C72" s="306" t="s">
        <v>795</v>
      </c>
      <c r="D72" s="308">
        <v>45628</v>
      </c>
      <c r="E72" s="308">
        <v>46352</v>
      </c>
      <c r="F72" s="309">
        <v>928592</v>
      </c>
      <c r="G72" s="310">
        <v>0</v>
      </c>
      <c r="H72" s="309">
        <v>928592</v>
      </c>
      <c r="I72" s="307" t="s">
        <v>809</v>
      </c>
    </row>
    <row r="73" spans="1:9" ht="15" customHeight="1" x14ac:dyDescent="0.25">
      <c r="A73" s="306" t="s">
        <v>1228</v>
      </c>
      <c r="B73" s="307" t="s">
        <v>1104</v>
      </c>
      <c r="C73" s="306" t="s">
        <v>1105</v>
      </c>
      <c r="D73" s="308">
        <v>45618</v>
      </c>
      <c r="E73" s="308">
        <v>45982</v>
      </c>
      <c r="F73" s="309">
        <v>609683.84</v>
      </c>
      <c r="G73" s="310">
        <v>0</v>
      </c>
      <c r="H73" s="309">
        <v>609683.84</v>
      </c>
      <c r="I73" s="307" t="s">
        <v>808</v>
      </c>
    </row>
    <row r="74" spans="1:9" x14ac:dyDescent="0.25">
      <c r="A74" s="306" t="s">
        <v>1271</v>
      </c>
      <c r="B74" s="307" t="s">
        <v>1207</v>
      </c>
      <c r="C74" s="306" t="s">
        <v>1208</v>
      </c>
      <c r="D74" s="308">
        <v>44593</v>
      </c>
      <c r="E74" s="308">
        <v>46053</v>
      </c>
      <c r="F74" s="309">
        <v>2079717.36</v>
      </c>
      <c r="G74" s="309">
        <v>2079717.36</v>
      </c>
      <c r="H74" s="310">
        <v>0</v>
      </c>
      <c r="I74" s="307" t="s">
        <v>809</v>
      </c>
    </row>
    <row r="75" spans="1:9" ht="15" customHeight="1" x14ac:dyDescent="0.25">
      <c r="A75" s="306" t="s">
        <v>1229</v>
      </c>
      <c r="B75" s="307" t="s">
        <v>1183</v>
      </c>
      <c r="C75" s="306" t="s">
        <v>230</v>
      </c>
      <c r="D75" s="308">
        <v>44676</v>
      </c>
      <c r="E75" s="308">
        <v>45930</v>
      </c>
      <c r="F75" s="309">
        <v>1794188.97</v>
      </c>
      <c r="G75" s="310">
        <v>0</v>
      </c>
      <c r="H75" s="309">
        <v>1794188.97</v>
      </c>
      <c r="I75" s="307" t="s">
        <v>1102</v>
      </c>
    </row>
    <row r="76" spans="1:9" ht="15" customHeight="1" x14ac:dyDescent="0.25">
      <c r="A76" s="311" t="s">
        <v>1272</v>
      </c>
      <c r="B76" s="312" t="s">
        <v>1145</v>
      </c>
      <c r="C76" s="311" t="s">
        <v>170</v>
      </c>
      <c r="D76" s="313">
        <v>45695</v>
      </c>
      <c r="E76" s="313">
        <v>46479</v>
      </c>
      <c r="F76" s="314">
        <v>288043.2</v>
      </c>
      <c r="G76" s="314">
        <v>128250.5</v>
      </c>
      <c r="H76" s="314">
        <v>159792.70000000001</v>
      </c>
      <c r="I76" s="312" t="s">
        <v>1095</v>
      </c>
    </row>
    <row r="77" spans="1:9" ht="15" customHeight="1" x14ac:dyDescent="0.25">
      <c r="A77" s="306" t="s">
        <v>1273</v>
      </c>
      <c r="B77" s="307" t="s">
        <v>1218</v>
      </c>
      <c r="C77" s="306" t="s">
        <v>558</v>
      </c>
      <c r="D77" s="308">
        <v>44927</v>
      </c>
      <c r="E77" s="308">
        <v>45657</v>
      </c>
      <c r="F77" s="309">
        <v>21622036.68</v>
      </c>
      <c r="G77" s="309">
        <v>21622036.68</v>
      </c>
      <c r="H77" s="310">
        <v>0</v>
      </c>
      <c r="I77" s="307" t="s">
        <v>1102</v>
      </c>
    </row>
    <row r="78" spans="1:9" ht="15" customHeight="1" x14ac:dyDescent="0.25"/>
    <row r="79" spans="1:9" ht="15" customHeight="1" x14ac:dyDescent="0.25"/>
    <row r="81" ht="15" customHeight="1" x14ac:dyDescent="0.25"/>
    <row r="82" ht="15" customHeight="1" x14ac:dyDescent="0.25"/>
    <row r="83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1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5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</sheetData>
  <autoFilter ref="A1:I189"/>
  <conditionalFormatting sqref="A2:A189">
    <cfRule type="duplicateValues" dxfId="174" priority="644"/>
  </conditionalFormatting>
  <conditionalFormatting sqref="A190 D190 G190">
    <cfRule type="duplicateValues" dxfId="173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opLeftCell="A10" workbookViewId="0">
      <selection activeCell="F21" sqref="F21"/>
    </sheetView>
  </sheetViews>
  <sheetFormatPr defaultRowHeight="15" x14ac:dyDescent="0.25"/>
  <cols>
    <col min="1" max="1" width="11" bestFit="1" customWidth="1"/>
    <col min="2" max="2" width="33.140625" bestFit="1" customWidth="1"/>
    <col min="23" max="23" width="39.42578125" bestFit="1" customWidth="1"/>
  </cols>
  <sheetData>
    <row r="1" spans="1:23" x14ac:dyDescent="0.25">
      <c r="A1" s="114">
        <v>4600049898</v>
      </c>
      <c r="B1" s="114" t="s">
        <v>55</v>
      </c>
      <c r="C1" s="115">
        <v>60</v>
      </c>
    </row>
    <row r="2" spans="1:23" x14ac:dyDescent="0.25">
      <c r="A2" s="138">
        <v>4600058385</v>
      </c>
      <c r="B2" s="114" t="s">
        <v>826</v>
      </c>
      <c r="C2" s="115">
        <v>30</v>
      </c>
    </row>
    <row r="4" spans="1:23" s="40" customFormat="1" ht="24.95" customHeight="1" x14ac:dyDescent="0.25">
      <c r="A4" s="151">
        <v>4600057264</v>
      </c>
      <c r="B4" s="151" t="s">
        <v>146</v>
      </c>
      <c r="C4" s="152" t="s">
        <v>568</v>
      </c>
      <c r="D4" s="152">
        <v>45</v>
      </c>
      <c r="E4" s="152" t="s">
        <v>21</v>
      </c>
      <c r="F4" s="152" t="s">
        <v>34</v>
      </c>
      <c r="G4" s="152" t="s">
        <v>18</v>
      </c>
      <c r="H4" s="151" t="s">
        <v>258</v>
      </c>
      <c r="I4" s="153">
        <v>2100000</v>
      </c>
      <c r="J4" s="152" t="s">
        <v>19</v>
      </c>
      <c r="K4" s="154">
        <v>45008</v>
      </c>
      <c r="L4" s="154">
        <v>45793</v>
      </c>
      <c r="M4" s="155" t="s">
        <v>259</v>
      </c>
      <c r="N4" s="155" t="s">
        <v>74</v>
      </c>
      <c r="O4" s="155" t="s">
        <v>74</v>
      </c>
      <c r="P4" s="151" t="s">
        <v>262</v>
      </c>
      <c r="Q4" s="151" t="s">
        <v>423</v>
      </c>
      <c r="R4" s="151" t="s">
        <v>424</v>
      </c>
      <c r="S4" s="151" t="s">
        <v>425</v>
      </c>
      <c r="T4" s="151" t="s">
        <v>422</v>
      </c>
      <c r="U4" s="151" t="s">
        <v>260</v>
      </c>
      <c r="V4" s="156" t="s">
        <v>828</v>
      </c>
      <c r="W4" s="107"/>
    </row>
    <row r="5" spans="1:23" ht="24.95" customHeight="1" x14ac:dyDescent="0.25">
      <c r="A5" s="157">
        <v>4600056819</v>
      </c>
      <c r="B5" s="158" t="s">
        <v>164</v>
      </c>
      <c r="C5" s="159" t="s">
        <v>568</v>
      </c>
      <c r="D5" s="159">
        <v>60</v>
      </c>
      <c r="E5" s="159" t="s">
        <v>34</v>
      </c>
      <c r="F5" s="159" t="s">
        <v>34</v>
      </c>
      <c r="G5" s="159" t="s">
        <v>18</v>
      </c>
      <c r="H5" s="160" t="s">
        <v>165</v>
      </c>
      <c r="I5" s="161">
        <v>188336.4</v>
      </c>
      <c r="J5" s="159" t="s">
        <v>19</v>
      </c>
      <c r="K5" s="162">
        <v>44910</v>
      </c>
      <c r="L5" s="162">
        <v>45625</v>
      </c>
      <c r="M5" s="163" t="s">
        <v>29</v>
      </c>
      <c r="N5" s="164" t="s">
        <v>30</v>
      </c>
      <c r="O5" s="164" t="s">
        <v>203</v>
      </c>
      <c r="P5" s="165" t="s">
        <v>265</v>
      </c>
      <c r="Q5" s="166"/>
      <c r="R5" s="166" t="s">
        <v>445</v>
      </c>
      <c r="S5" s="166" t="s">
        <v>446</v>
      </c>
      <c r="T5" s="166" t="s">
        <v>444</v>
      </c>
      <c r="U5" s="166"/>
      <c r="V5" s="166"/>
      <c r="W5" s="167" t="s">
        <v>837</v>
      </c>
    </row>
    <row r="6" spans="1:23" ht="24.95" customHeight="1" x14ac:dyDescent="0.25">
      <c r="A6" s="165">
        <v>4600057590</v>
      </c>
      <c r="B6" s="165" t="s">
        <v>230</v>
      </c>
      <c r="C6" s="170" t="s">
        <v>567</v>
      </c>
      <c r="D6" s="170">
        <v>60</v>
      </c>
      <c r="E6" s="170" t="s">
        <v>34</v>
      </c>
      <c r="F6" s="170" t="s">
        <v>34</v>
      </c>
      <c r="G6" s="170" t="s">
        <v>18</v>
      </c>
      <c r="H6" s="165" t="s">
        <v>231</v>
      </c>
      <c r="I6" s="171">
        <v>100425.48</v>
      </c>
      <c r="J6" s="170" t="s">
        <v>19</v>
      </c>
      <c r="K6" s="172">
        <v>45170</v>
      </c>
      <c r="L6" s="172">
        <v>45536</v>
      </c>
      <c r="M6" s="173" t="s">
        <v>52</v>
      </c>
      <c r="N6" s="163" t="s">
        <v>204</v>
      </c>
      <c r="O6" s="174" t="s">
        <v>553</v>
      </c>
      <c r="P6" s="165" t="s">
        <v>261</v>
      </c>
      <c r="Q6" s="165"/>
      <c r="R6" s="165" t="s">
        <v>495</v>
      </c>
      <c r="S6" s="165" t="s">
        <v>496</v>
      </c>
      <c r="T6" s="165" t="s">
        <v>494</v>
      </c>
      <c r="U6" s="165"/>
      <c r="V6" s="165"/>
      <c r="W6" s="167" t="s">
        <v>836</v>
      </c>
    </row>
    <row r="7" spans="1:23" s="40" customFormat="1" ht="24.95" customHeight="1" x14ac:dyDescent="0.25">
      <c r="A7" s="117">
        <v>4600057823</v>
      </c>
      <c r="B7" s="117" t="s">
        <v>244</v>
      </c>
      <c r="C7" s="121" t="s">
        <v>569</v>
      </c>
      <c r="D7" s="122">
        <v>30</v>
      </c>
      <c r="E7" s="122" t="s">
        <v>629</v>
      </c>
      <c r="F7" s="122" t="s">
        <v>31</v>
      </c>
      <c r="G7" s="122" t="s">
        <v>18</v>
      </c>
      <c r="H7" s="117" t="s">
        <v>245</v>
      </c>
      <c r="I7" s="139">
        <v>205163.61</v>
      </c>
      <c r="J7" s="122" t="s">
        <v>19</v>
      </c>
      <c r="K7" s="124">
        <v>44287</v>
      </c>
      <c r="L7" s="124">
        <v>45382</v>
      </c>
      <c r="M7" s="116" t="s">
        <v>208</v>
      </c>
      <c r="N7" s="116" t="s">
        <v>205</v>
      </c>
      <c r="O7" s="120" t="s">
        <v>20</v>
      </c>
      <c r="P7" s="117" t="s">
        <v>263</v>
      </c>
      <c r="Q7" s="117"/>
      <c r="R7" s="117" t="s">
        <v>518</v>
      </c>
      <c r="S7" s="117" t="s">
        <v>519</v>
      </c>
      <c r="T7" s="117" t="s">
        <v>517</v>
      </c>
      <c r="U7" s="127" t="s">
        <v>246</v>
      </c>
      <c r="V7" s="126">
        <v>45299</v>
      </c>
      <c r="W7" s="107"/>
    </row>
    <row r="9" spans="1:23" s="40" customFormat="1" ht="24.95" customHeight="1" x14ac:dyDescent="0.25">
      <c r="A9" s="117">
        <v>4600057964</v>
      </c>
      <c r="B9" s="117" t="s">
        <v>102</v>
      </c>
      <c r="C9" s="121" t="s">
        <v>568</v>
      </c>
      <c r="D9" s="176" t="s">
        <v>840</v>
      </c>
      <c r="E9" s="122" t="s">
        <v>34</v>
      </c>
      <c r="F9" s="122" t="s">
        <v>34</v>
      </c>
      <c r="G9" s="122" t="s">
        <v>18</v>
      </c>
      <c r="H9" s="117" t="s">
        <v>288</v>
      </c>
      <c r="I9" s="139">
        <v>285695.12</v>
      </c>
      <c r="J9" s="122" t="s">
        <v>19</v>
      </c>
      <c r="K9" s="124">
        <v>45362</v>
      </c>
      <c r="L9" s="124">
        <v>46092</v>
      </c>
      <c r="M9" s="116" t="s">
        <v>208</v>
      </c>
      <c r="N9" s="116" t="s">
        <v>205</v>
      </c>
      <c r="O9" s="119" t="s">
        <v>20</v>
      </c>
      <c r="P9" s="117" t="s">
        <v>263</v>
      </c>
      <c r="Q9" s="117" t="s">
        <v>386</v>
      </c>
      <c r="R9" s="117" t="s">
        <v>384</v>
      </c>
      <c r="S9" s="117" t="s">
        <v>541</v>
      </c>
      <c r="T9" s="117" t="s">
        <v>383</v>
      </c>
      <c r="U9" s="117" t="s">
        <v>289</v>
      </c>
      <c r="V9" s="126">
        <v>45378</v>
      </c>
      <c r="W9" s="107"/>
    </row>
    <row r="10" spans="1:23" s="40" customFormat="1" ht="24.95" customHeight="1" x14ac:dyDescent="0.25">
      <c r="A10" s="128">
        <v>4600057955</v>
      </c>
      <c r="B10" s="128" t="s">
        <v>102</v>
      </c>
      <c r="C10" s="133" t="s">
        <v>568</v>
      </c>
      <c r="D10" s="135">
        <v>40</v>
      </c>
      <c r="E10" s="133" t="s">
        <v>103</v>
      </c>
      <c r="F10" s="133" t="s">
        <v>34</v>
      </c>
      <c r="G10" s="133" t="s">
        <v>18</v>
      </c>
      <c r="H10" s="130" t="s">
        <v>104</v>
      </c>
      <c r="I10" s="136">
        <v>1952492.22</v>
      </c>
      <c r="J10" s="133" t="s">
        <v>19</v>
      </c>
      <c r="K10" s="134">
        <v>43951</v>
      </c>
      <c r="L10" s="134">
        <v>45441</v>
      </c>
      <c r="M10" s="131" t="s">
        <v>208</v>
      </c>
      <c r="N10" s="131" t="s">
        <v>205</v>
      </c>
      <c r="O10" s="132" t="s">
        <v>20</v>
      </c>
      <c r="P10" s="128" t="s">
        <v>263</v>
      </c>
      <c r="Q10" s="128" t="s">
        <v>386</v>
      </c>
      <c r="R10" s="128" t="s">
        <v>384</v>
      </c>
      <c r="S10" s="128" t="s">
        <v>385</v>
      </c>
      <c r="T10" s="128" t="s">
        <v>383</v>
      </c>
      <c r="U10" s="128" t="s">
        <v>290</v>
      </c>
      <c r="V10" s="128"/>
      <c r="W10" s="107"/>
    </row>
    <row r="11" spans="1:23" s="106" customFormat="1" ht="24.95" customHeight="1" x14ac:dyDescent="0.25">
      <c r="A11" s="128">
        <v>4600055189</v>
      </c>
      <c r="B11" s="128" t="s">
        <v>102</v>
      </c>
      <c r="C11" s="133" t="s">
        <v>568</v>
      </c>
      <c r="D11" s="122">
        <v>40</v>
      </c>
      <c r="E11" s="133" t="s">
        <v>103</v>
      </c>
      <c r="F11" s="133" t="s">
        <v>34</v>
      </c>
      <c r="G11" s="133" t="s">
        <v>18</v>
      </c>
      <c r="H11" s="130" t="s">
        <v>104</v>
      </c>
      <c r="I11" s="136">
        <v>1952492.22</v>
      </c>
      <c r="J11" s="133" t="s">
        <v>19</v>
      </c>
      <c r="K11" s="134">
        <v>43951</v>
      </c>
      <c r="L11" s="134">
        <v>45411</v>
      </c>
      <c r="M11" s="131" t="s">
        <v>208</v>
      </c>
      <c r="N11" s="131" t="s">
        <v>205</v>
      </c>
      <c r="O11" s="132" t="s">
        <v>20</v>
      </c>
      <c r="P11" s="128" t="s">
        <v>263</v>
      </c>
      <c r="Q11" s="128" t="s">
        <v>386</v>
      </c>
      <c r="R11" s="128" t="s">
        <v>384</v>
      </c>
      <c r="S11" s="128" t="s">
        <v>385</v>
      </c>
      <c r="T11" s="128" t="s">
        <v>383</v>
      </c>
      <c r="U11" s="128" t="s">
        <v>290</v>
      </c>
      <c r="V11" s="128"/>
      <c r="W11" s="108"/>
    </row>
    <row r="12" spans="1:23" s="146" customFormat="1" ht="24.95" customHeight="1" x14ac:dyDescent="0.25">
      <c r="A12" s="179">
        <v>4600057907</v>
      </c>
      <c r="B12" s="179" t="s">
        <v>720</v>
      </c>
      <c r="C12" s="150" t="s">
        <v>573</v>
      </c>
      <c r="D12" s="150">
        <v>30</v>
      </c>
      <c r="E12" s="150" t="s">
        <v>34</v>
      </c>
      <c r="F12" s="150" t="s">
        <v>34</v>
      </c>
      <c r="G12" s="150" t="s">
        <v>18</v>
      </c>
      <c r="H12" s="145" t="s">
        <v>729</v>
      </c>
      <c r="I12" s="147">
        <v>668000</v>
      </c>
      <c r="J12" s="150" t="s">
        <v>19</v>
      </c>
      <c r="K12" s="168">
        <v>45323</v>
      </c>
      <c r="L12" s="168">
        <v>45657</v>
      </c>
      <c r="M12" s="145" t="s">
        <v>93</v>
      </c>
      <c r="N12" s="145" t="s">
        <v>212</v>
      </c>
      <c r="O12" s="145" t="s">
        <v>74</v>
      </c>
      <c r="P12" s="129" t="s">
        <v>730</v>
      </c>
      <c r="Q12" s="145"/>
      <c r="R12" s="145"/>
      <c r="S12" s="145"/>
      <c r="T12" s="145"/>
      <c r="U12" s="145"/>
      <c r="V12" s="150"/>
    </row>
    <row r="14" spans="1:23" s="106" customFormat="1" ht="24.95" customHeight="1" x14ac:dyDescent="0.25">
      <c r="A14" s="128">
        <v>4600049631</v>
      </c>
      <c r="B14" s="128" t="s">
        <v>44</v>
      </c>
      <c r="C14" s="133" t="s">
        <v>569</v>
      </c>
      <c r="D14" s="180">
        <v>45</v>
      </c>
      <c r="E14" s="133" t="s">
        <v>34</v>
      </c>
      <c r="F14" s="133" t="s">
        <v>34</v>
      </c>
      <c r="G14" s="133" t="s">
        <v>18</v>
      </c>
      <c r="H14" s="130" t="s">
        <v>54</v>
      </c>
      <c r="I14" s="136">
        <v>1010496.14</v>
      </c>
      <c r="J14" s="133" t="s">
        <v>19</v>
      </c>
      <c r="K14" s="134">
        <v>42979</v>
      </c>
      <c r="L14" s="134">
        <v>45419</v>
      </c>
      <c r="M14" s="131" t="s">
        <v>29</v>
      </c>
      <c r="N14" s="132" t="s">
        <v>30</v>
      </c>
      <c r="O14" s="132" t="s">
        <v>203</v>
      </c>
      <c r="P14" s="128" t="s">
        <v>265</v>
      </c>
      <c r="Q14" s="128" t="s">
        <v>329</v>
      </c>
      <c r="R14" s="128" t="s">
        <v>328</v>
      </c>
      <c r="S14" s="128" t="s">
        <v>308</v>
      </c>
      <c r="T14" s="128" t="s">
        <v>327</v>
      </c>
      <c r="U14" s="128"/>
      <c r="V14" s="128"/>
      <c r="W14" s="108"/>
    </row>
    <row r="15" spans="1:23" s="144" customFormat="1" ht="24.95" customHeight="1" x14ac:dyDescent="0.25">
      <c r="A15" s="140" t="s">
        <v>813</v>
      </c>
      <c r="B15" s="140" t="s">
        <v>789</v>
      </c>
      <c r="C15" s="133" t="s">
        <v>569</v>
      </c>
      <c r="D15" s="181" t="s">
        <v>809</v>
      </c>
      <c r="E15" s="141" t="s">
        <v>34</v>
      </c>
      <c r="F15" s="133" t="s">
        <v>34</v>
      </c>
      <c r="G15" s="115" t="s">
        <v>18</v>
      </c>
      <c r="H15" s="116" t="s">
        <v>842</v>
      </c>
      <c r="I15" s="142">
        <v>79198.5</v>
      </c>
      <c r="J15" s="122" t="s">
        <v>19</v>
      </c>
      <c r="K15" s="143">
        <v>45446</v>
      </c>
      <c r="L15" s="143">
        <v>45784</v>
      </c>
      <c r="M15" s="116"/>
      <c r="N15" s="116"/>
      <c r="O15" s="116"/>
      <c r="P15" s="116"/>
      <c r="Q15" s="116"/>
      <c r="R15" s="116"/>
      <c r="S15" s="116"/>
      <c r="T15" s="116"/>
      <c r="U15" s="116"/>
      <c r="V15" s="116"/>
    </row>
    <row r="17" spans="1:23" s="106" customFormat="1" ht="24.95" customHeight="1" x14ac:dyDescent="0.25">
      <c r="A17" s="128">
        <v>4600057566</v>
      </c>
      <c r="B17" s="128" t="s">
        <v>195</v>
      </c>
      <c r="C17" s="133" t="s">
        <v>567</v>
      </c>
      <c r="D17" s="122">
        <v>10</v>
      </c>
      <c r="E17" s="133" t="s">
        <v>21</v>
      </c>
      <c r="F17" s="133" t="s">
        <v>31</v>
      </c>
      <c r="G17" s="133" t="s">
        <v>18</v>
      </c>
      <c r="H17" s="130" t="s">
        <v>196</v>
      </c>
      <c r="I17" s="136">
        <v>16168276.199999999</v>
      </c>
      <c r="J17" s="133" t="s">
        <v>19</v>
      </c>
      <c r="K17" s="134">
        <v>45170</v>
      </c>
      <c r="L17" s="134">
        <v>45350</v>
      </c>
      <c r="M17" s="131" t="s">
        <v>208</v>
      </c>
      <c r="N17" s="131" t="s">
        <v>784</v>
      </c>
      <c r="O17" s="132" t="s">
        <v>20</v>
      </c>
      <c r="P17" s="128" t="s">
        <v>263</v>
      </c>
      <c r="Q17" s="128"/>
      <c r="R17" s="128" t="s">
        <v>466</v>
      </c>
      <c r="S17" s="128" t="s">
        <v>308</v>
      </c>
      <c r="T17" s="128" t="s">
        <v>465</v>
      </c>
      <c r="U17" s="128" t="s">
        <v>197</v>
      </c>
      <c r="V17" s="128"/>
      <c r="W17" s="167" t="s">
        <v>837</v>
      </c>
    </row>
    <row r="18" spans="1:23" s="106" customFormat="1" ht="24.95" customHeight="1" x14ac:dyDescent="0.25">
      <c r="A18" s="128">
        <v>4600055533</v>
      </c>
      <c r="B18" s="128" t="s">
        <v>122</v>
      </c>
      <c r="C18" s="133" t="s">
        <v>567</v>
      </c>
      <c r="D18" s="122">
        <v>60</v>
      </c>
      <c r="E18" s="133" t="s">
        <v>21</v>
      </c>
      <c r="F18" s="133" t="s">
        <v>31</v>
      </c>
      <c r="G18" s="133" t="s">
        <v>18</v>
      </c>
      <c r="H18" s="128" t="s">
        <v>123</v>
      </c>
      <c r="I18" s="136">
        <v>8255509.8099999996</v>
      </c>
      <c r="J18" s="133" t="s">
        <v>19</v>
      </c>
      <c r="K18" s="134">
        <v>44986</v>
      </c>
      <c r="L18" s="134">
        <v>45350</v>
      </c>
      <c r="M18" s="131" t="s">
        <v>52</v>
      </c>
      <c r="N18" s="131" t="s">
        <v>204</v>
      </c>
      <c r="O18" s="132" t="s">
        <v>553</v>
      </c>
      <c r="P18" s="128" t="s">
        <v>261</v>
      </c>
      <c r="Q18" s="128" t="s">
        <v>493</v>
      </c>
      <c r="R18" s="128" t="s">
        <v>491</v>
      </c>
      <c r="S18" s="128" t="s">
        <v>492</v>
      </c>
      <c r="T18" s="128" t="s">
        <v>490</v>
      </c>
      <c r="U18" s="137" t="s">
        <v>224</v>
      </c>
      <c r="V18" s="128"/>
      <c r="W18" s="167" t="s">
        <v>844</v>
      </c>
    </row>
    <row r="19" spans="1:23" s="190" customFormat="1" ht="24.95" customHeight="1" x14ac:dyDescent="0.25">
      <c r="A19" s="183">
        <v>4600058464</v>
      </c>
      <c r="B19" s="184" t="s">
        <v>558</v>
      </c>
      <c r="C19" s="185" t="s">
        <v>569</v>
      </c>
      <c r="D19" s="186">
        <v>45</v>
      </c>
      <c r="E19" s="186" t="s">
        <v>21</v>
      </c>
      <c r="F19" s="186" t="s">
        <v>31</v>
      </c>
      <c r="G19" s="186" t="s">
        <v>18</v>
      </c>
      <c r="H19" s="184" t="s">
        <v>770</v>
      </c>
      <c r="I19" s="187">
        <v>180000</v>
      </c>
      <c r="J19" s="186" t="s">
        <v>19</v>
      </c>
      <c r="K19" s="188">
        <v>45545</v>
      </c>
      <c r="L19" s="188">
        <v>45657</v>
      </c>
      <c r="M19" s="184" t="s">
        <v>115</v>
      </c>
      <c r="N19" s="184" t="s">
        <v>771</v>
      </c>
      <c r="O19" s="184" t="s">
        <v>116</v>
      </c>
      <c r="P19" s="189" t="s">
        <v>263</v>
      </c>
      <c r="Q19" s="184"/>
      <c r="R19" s="184"/>
      <c r="S19" s="184"/>
      <c r="T19" s="184"/>
      <c r="U19" s="184"/>
      <c r="V19" s="186"/>
    </row>
    <row r="21" spans="1:23" x14ac:dyDescent="0.25">
      <c r="A21" s="198">
        <v>4600055726</v>
      </c>
      <c r="B21" s="198" t="s">
        <v>144</v>
      </c>
      <c r="C21" s="205" t="s">
        <v>568</v>
      </c>
      <c r="D21" s="185" t="s">
        <v>853</v>
      </c>
    </row>
  </sheetData>
  <conditionalFormatting sqref="B1:B2">
    <cfRule type="duplicateValues" dxfId="172" priority="53"/>
  </conditionalFormatting>
  <conditionalFormatting sqref="A1">
    <cfRule type="duplicateValues" dxfId="171" priority="54"/>
  </conditionalFormatting>
  <conditionalFormatting sqref="A1">
    <cfRule type="duplicateValues" dxfId="170" priority="55"/>
  </conditionalFormatting>
  <conditionalFormatting sqref="A2">
    <cfRule type="duplicateValues" dxfId="169" priority="51"/>
  </conditionalFormatting>
  <conditionalFormatting sqref="A2">
    <cfRule type="duplicateValues" dxfId="168" priority="52"/>
  </conditionalFormatting>
  <conditionalFormatting sqref="A4">
    <cfRule type="duplicateValues" dxfId="167" priority="46"/>
    <cfRule type="duplicateValues" dxfId="166" priority="47"/>
  </conditionalFormatting>
  <conditionalFormatting sqref="B4">
    <cfRule type="duplicateValues" dxfId="165" priority="48"/>
  </conditionalFormatting>
  <conditionalFormatting sqref="B4">
    <cfRule type="duplicateValues" dxfId="164" priority="49"/>
  </conditionalFormatting>
  <conditionalFormatting sqref="A4">
    <cfRule type="duplicateValues" dxfId="163" priority="50"/>
  </conditionalFormatting>
  <conditionalFormatting sqref="A5">
    <cfRule type="duplicateValues" dxfId="162" priority="43"/>
  </conditionalFormatting>
  <conditionalFormatting sqref="A5">
    <cfRule type="duplicateValues" dxfId="161" priority="44"/>
  </conditionalFormatting>
  <conditionalFormatting sqref="B5">
    <cfRule type="duplicateValues" dxfId="160" priority="45"/>
  </conditionalFormatting>
  <conditionalFormatting sqref="B6">
    <cfRule type="duplicateValues" dxfId="159" priority="40"/>
  </conditionalFormatting>
  <conditionalFormatting sqref="A6">
    <cfRule type="duplicateValues" dxfId="158" priority="41"/>
  </conditionalFormatting>
  <conditionalFormatting sqref="A6">
    <cfRule type="duplicateValues" dxfId="157" priority="42"/>
  </conditionalFormatting>
  <conditionalFormatting sqref="A7">
    <cfRule type="duplicateValues" dxfId="156" priority="36"/>
  </conditionalFormatting>
  <conditionalFormatting sqref="B7">
    <cfRule type="duplicateValues" dxfId="155" priority="37"/>
  </conditionalFormatting>
  <conditionalFormatting sqref="A7">
    <cfRule type="duplicateValues" dxfId="154" priority="38"/>
  </conditionalFormatting>
  <conditionalFormatting sqref="A7">
    <cfRule type="duplicateValues" dxfId="153" priority="39"/>
  </conditionalFormatting>
  <conditionalFormatting sqref="B9">
    <cfRule type="duplicateValues" dxfId="152" priority="33"/>
  </conditionalFormatting>
  <conditionalFormatting sqref="A9">
    <cfRule type="duplicateValues" dxfId="151" priority="34"/>
  </conditionalFormatting>
  <conditionalFormatting sqref="A9">
    <cfRule type="duplicateValues" dxfId="150" priority="35"/>
  </conditionalFormatting>
  <conditionalFormatting sqref="A10">
    <cfRule type="duplicateValues" dxfId="149" priority="28"/>
    <cfRule type="duplicateValues" dxfId="148" priority="29"/>
  </conditionalFormatting>
  <conditionalFormatting sqref="B10">
    <cfRule type="duplicateValues" dxfId="147" priority="30"/>
  </conditionalFormatting>
  <conditionalFormatting sqref="B10">
    <cfRule type="duplicateValues" dxfId="146" priority="31"/>
  </conditionalFormatting>
  <conditionalFormatting sqref="A10">
    <cfRule type="duplicateValues" dxfId="145" priority="32"/>
  </conditionalFormatting>
  <conditionalFormatting sqref="B11">
    <cfRule type="duplicateValues" dxfId="144" priority="25"/>
  </conditionalFormatting>
  <conditionalFormatting sqref="A11">
    <cfRule type="duplicateValues" dxfId="143" priority="26"/>
    <cfRule type="duplicateValues" dxfId="142" priority="27"/>
  </conditionalFormatting>
  <conditionalFormatting sqref="B12">
    <cfRule type="duplicateValues" dxfId="141" priority="19"/>
  </conditionalFormatting>
  <conditionalFormatting sqref="A12">
    <cfRule type="duplicateValues" dxfId="140" priority="16"/>
  </conditionalFormatting>
  <conditionalFormatting sqref="A12">
    <cfRule type="duplicateValues" dxfId="139" priority="17"/>
    <cfRule type="duplicateValues" dxfId="138" priority="18"/>
  </conditionalFormatting>
  <conditionalFormatting sqref="B14">
    <cfRule type="duplicateValues" dxfId="137" priority="13"/>
  </conditionalFormatting>
  <conditionalFormatting sqref="A14">
    <cfRule type="duplicateValues" dxfId="136" priority="14"/>
    <cfRule type="duplicateValues" dxfId="135" priority="15"/>
  </conditionalFormatting>
  <conditionalFormatting sqref="B15">
    <cfRule type="duplicateValues" dxfId="134" priority="11"/>
  </conditionalFormatting>
  <conditionalFormatting sqref="B15">
    <cfRule type="duplicateValues" dxfId="133" priority="12"/>
  </conditionalFormatting>
  <conditionalFormatting sqref="B17">
    <cfRule type="duplicateValues" dxfId="132" priority="8"/>
  </conditionalFormatting>
  <conditionalFormatting sqref="A17">
    <cfRule type="duplicateValues" dxfId="131" priority="9"/>
    <cfRule type="duplicateValues" dxfId="130" priority="10"/>
  </conditionalFormatting>
  <conditionalFormatting sqref="B18">
    <cfRule type="duplicateValues" dxfId="129" priority="5"/>
  </conditionalFormatting>
  <conditionalFormatting sqref="A18">
    <cfRule type="duplicateValues" dxfId="128" priority="6"/>
    <cfRule type="duplicateValues" dxfId="127" priority="7"/>
  </conditionalFormatting>
  <conditionalFormatting sqref="B19">
    <cfRule type="duplicateValues" dxfId="126" priority="4"/>
  </conditionalFormatting>
  <conditionalFormatting sqref="A21">
    <cfRule type="duplicateValues" dxfId="125" priority="1"/>
  </conditionalFormatting>
  <conditionalFormatting sqref="A21">
    <cfRule type="duplicateValues" dxfId="124" priority="2"/>
  </conditionalFormatting>
  <conditionalFormatting sqref="B21">
    <cfRule type="duplicateValues" dxfId="123" priority="3"/>
  </conditionalFormatting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16" sqref="A16"/>
    </sheetView>
  </sheetViews>
  <sheetFormatPr defaultRowHeight="15" x14ac:dyDescent="0.25"/>
  <cols>
    <col min="1" max="1" width="50.7109375" customWidth="1"/>
  </cols>
  <sheetData>
    <row r="1" spans="1:1" x14ac:dyDescent="0.25">
      <c r="A1" s="33" t="s">
        <v>570</v>
      </c>
    </row>
    <row r="2" spans="1:1" x14ac:dyDescent="0.25">
      <c r="A2" s="33" t="s">
        <v>571</v>
      </c>
    </row>
    <row r="3" spans="1:1" x14ac:dyDescent="0.25">
      <c r="A3" s="33" t="s">
        <v>572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9"/>
  <sheetViews>
    <sheetView workbookViewId="0">
      <selection activeCell="P19" sqref="P19"/>
    </sheetView>
  </sheetViews>
  <sheetFormatPr defaultRowHeight="15" x14ac:dyDescent="0.25"/>
  <cols>
    <col min="1" max="1" width="14.5703125" customWidth="1"/>
  </cols>
  <sheetData>
    <row r="1" spans="1:2" x14ac:dyDescent="0.25">
      <c r="A1" s="29" t="s">
        <v>549</v>
      </c>
      <c r="B1" s="30" t="s">
        <v>550</v>
      </c>
    </row>
    <row r="2" spans="1:2" x14ac:dyDescent="0.25">
      <c r="A2" s="30">
        <v>4600049314</v>
      </c>
      <c r="B2">
        <v>10093</v>
      </c>
    </row>
    <row r="3" spans="1:2" x14ac:dyDescent="0.25">
      <c r="A3" s="30">
        <v>4600049314</v>
      </c>
      <c r="B3">
        <v>18901</v>
      </c>
    </row>
    <row r="4" spans="1:2" x14ac:dyDescent="0.25">
      <c r="A4" s="30">
        <v>4600049314</v>
      </c>
      <c r="B4">
        <v>10143</v>
      </c>
    </row>
    <row r="5" spans="1:2" x14ac:dyDescent="0.25">
      <c r="A5" s="4">
        <v>4600037429</v>
      </c>
      <c r="B5">
        <v>10093</v>
      </c>
    </row>
    <row r="6" spans="1:2" x14ac:dyDescent="0.25">
      <c r="A6" s="31">
        <v>4600040933</v>
      </c>
      <c r="B6">
        <v>10562</v>
      </c>
    </row>
    <row r="7" spans="1:2" x14ac:dyDescent="0.25">
      <c r="A7" s="30">
        <v>4600040933</v>
      </c>
      <c r="B7">
        <v>11341</v>
      </c>
    </row>
    <row r="8" spans="1:2" x14ac:dyDescent="0.25">
      <c r="A8" s="30">
        <v>4600044324</v>
      </c>
      <c r="B8">
        <v>10211</v>
      </c>
    </row>
    <row r="9" spans="1:2" x14ac:dyDescent="0.25">
      <c r="A9" s="30">
        <v>4600044324</v>
      </c>
      <c r="B9">
        <v>10553</v>
      </c>
    </row>
    <row r="10" spans="1:2" x14ac:dyDescent="0.25">
      <c r="A10" s="30">
        <v>4600044324</v>
      </c>
      <c r="B10">
        <v>10235</v>
      </c>
    </row>
    <row r="11" spans="1:2" x14ac:dyDescent="0.25">
      <c r="A11" s="30">
        <v>4600044324</v>
      </c>
      <c r="B11">
        <v>10388</v>
      </c>
    </row>
    <row r="12" spans="1:2" x14ac:dyDescent="0.25">
      <c r="A12" s="30">
        <v>4600044324</v>
      </c>
      <c r="B12">
        <v>11684</v>
      </c>
    </row>
    <row r="13" spans="1:2" x14ac:dyDescent="0.25">
      <c r="A13" s="30">
        <v>4600045858</v>
      </c>
      <c r="B13">
        <v>80841</v>
      </c>
    </row>
    <row r="14" spans="1:2" x14ac:dyDescent="0.25">
      <c r="A14" s="30">
        <v>4600045858</v>
      </c>
      <c r="B14">
        <v>37669</v>
      </c>
    </row>
    <row r="15" spans="1:2" x14ac:dyDescent="0.25">
      <c r="A15" s="30">
        <v>4600046679</v>
      </c>
      <c r="B15">
        <v>10093</v>
      </c>
    </row>
    <row r="16" spans="1:2" x14ac:dyDescent="0.25">
      <c r="A16" s="30">
        <v>4600046679</v>
      </c>
      <c r="B16">
        <v>10143</v>
      </c>
    </row>
    <row r="17" spans="1:2" x14ac:dyDescent="0.25">
      <c r="A17" s="30">
        <v>4600046679</v>
      </c>
      <c r="B17">
        <v>10317</v>
      </c>
    </row>
    <row r="18" spans="1:2" x14ac:dyDescent="0.25">
      <c r="A18" s="30">
        <v>4600046679</v>
      </c>
      <c r="B18">
        <v>10318</v>
      </c>
    </row>
    <row r="19" spans="1:2" x14ac:dyDescent="0.25">
      <c r="A19" s="30">
        <v>4600046679</v>
      </c>
      <c r="B19">
        <v>10319</v>
      </c>
    </row>
    <row r="20" spans="1:2" x14ac:dyDescent="0.25">
      <c r="A20" s="30">
        <v>4600046679</v>
      </c>
      <c r="B20">
        <v>10320</v>
      </c>
    </row>
    <row r="21" spans="1:2" x14ac:dyDescent="0.25">
      <c r="A21" s="30">
        <v>4600046679</v>
      </c>
      <c r="B21">
        <v>10324</v>
      </c>
    </row>
    <row r="22" spans="1:2" x14ac:dyDescent="0.25">
      <c r="A22" s="30">
        <v>4600046679</v>
      </c>
      <c r="B22">
        <v>10325</v>
      </c>
    </row>
    <row r="23" spans="1:2" x14ac:dyDescent="0.25">
      <c r="A23" s="30">
        <v>4600046679</v>
      </c>
      <c r="B23">
        <v>10326</v>
      </c>
    </row>
    <row r="24" spans="1:2" x14ac:dyDescent="0.25">
      <c r="A24" s="30">
        <v>4600046679</v>
      </c>
      <c r="B24">
        <v>18872</v>
      </c>
    </row>
    <row r="25" spans="1:2" x14ac:dyDescent="0.25">
      <c r="A25" s="30">
        <v>4600046679</v>
      </c>
      <c r="B25">
        <v>18901</v>
      </c>
    </row>
    <row r="26" spans="1:2" x14ac:dyDescent="0.25">
      <c r="A26" s="30">
        <v>4600047323</v>
      </c>
      <c r="B26">
        <v>10031</v>
      </c>
    </row>
    <row r="27" spans="1:2" x14ac:dyDescent="0.25">
      <c r="A27" s="5">
        <v>4600047741</v>
      </c>
      <c r="B27">
        <v>13841</v>
      </c>
    </row>
    <row r="28" spans="1:2" x14ac:dyDescent="0.25">
      <c r="A28" s="5">
        <v>4600047741</v>
      </c>
      <c r="B28">
        <v>10038</v>
      </c>
    </row>
    <row r="29" spans="1:2" x14ac:dyDescent="0.25">
      <c r="A29" s="5">
        <v>4600047741</v>
      </c>
      <c r="B29">
        <v>13671</v>
      </c>
    </row>
    <row r="30" spans="1:2" x14ac:dyDescent="0.25">
      <c r="A30" s="30">
        <v>4600047794</v>
      </c>
      <c r="B30">
        <v>10023</v>
      </c>
    </row>
    <row r="31" spans="1:2" x14ac:dyDescent="0.25">
      <c r="A31" s="30">
        <v>4600047794</v>
      </c>
      <c r="B31">
        <v>10027</v>
      </c>
    </row>
    <row r="32" spans="1:2" x14ac:dyDescent="0.25">
      <c r="A32" s="30">
        <v>4600047794</v>
      </c>
      <c r="B32">
        <v>15256</v>
      </c>
    </row>
    <row r="33" spans="1:2" x14ac:dyDescent="0.25">
      <c r="A33" s="4">
        <v>4600047874</v>
      </c>
      <c r="B33">
        <v>10128</v>
      </c>
    </row>
    <row r="34" spans="1:2" x14ac:dyDescent="0.25">
      <c r="A34" s="30">
        <v>4600052324</v>
      </c>
      <c r="B34">
        <v>15242</v>
      </c>
    </row>
    <row r="35" spans="1:2" x14ac:dyDescent="0.25">
      <c r="A35" s="30">
        <v>4600048432</v>
      </c>
      <c r="B35">
        <v>10111</v>
      </c>
    </row>
    <row r="36" spans="1:2" x14ac:dyDescent="0.25">
      <c r="A36" s="30">
        <v>4600048475</v>
      </c>
      <c r="B36">
        <v>17132</v>
      </c>
    </row>
    <row r="37" spans="1:2" x14ac:dyDescent="0.25">
      <c r="A37" s="30">
        <v>4600048578</v>
      </c>
      <c r="B37">
        <v>15242</v>
      </c>
    </row>
    <row r="38" spans="1:2" x14ac:dyDescent="0.25">
      <c r="A38" s="30">
        <v>4600049327</v>
      </c>
      <c r="B38">
        <v>10203</v>
      </c>
    </row>
    <row r="39" spans="1:2" x14ac:dyDescent="0.25">
      <c r="A39" s="30">
        <v>4600049450</v>
      </c>
      <c r="B39">
        <v>10203</v>
      </c>
    </row>
    <row r="40" spans="1:2" x14ac:dyDescent="0.25">
      <c r="A40" s="30">
        <v>4600049631</v>
      </c>
      <c r="B40">
        <v>17132</v>
      </c>
    </row>
    <row r="41" spans="1:2" x14ac:dyDescent="0.25">
      <c r="A41" s="30">
        <v>4600049898</v>
      </c>
      <c r="B41">
        <v>10031</v>
      </c>
    </row>
    <row r="42" spans="1:2" x14ac:dyDescent="0.25">
      <c r="A42" s="30">
        <v>4600050465</v>
      </c>
      <c r="B42">
        <v>10093</v>
      </c>
    </row>
    <row r="43" spans="1:2" x14ac:dyDescent="0.25">
      <c r="A43" s="30">
        <v>4600051052</v>
      </c>
      <c r="B43">
        <v>35553</v>
      </c>
    </row>
    <row r="44" spans="1:2" x14ac:dyDescent="0.25">
      <c r="A44" s="30">
        <v>4600051835</v>
      </c>
      <c r="B44">
        <v>10093</v>
      </c>
    </row>
    <row r="45" spans="1:2" x14ac:dyDescent="0.25">
      <c r="A45" s="30">
        <v>4600051952</v>
      </c>
      <c r="B45">
        <v>10143</v>
      </c>
    </row>
    <row r="46" spans="1:2" x14ac:dyDescent="0.25">
      <c r="A46" s="30">
        <v>4600051952</v>
      </c>
      <c r="B46">
        <v>10093</v>
      </c>
    </row>
    <row r="47" spans="1:2" x14ac:dyDescent="0.25">
      <c r="A47" s="30">
        <v>4600051978</v>
      </c>
      <c r="B47">
        <v>10035</v>
      </c>
    </row>
    <row r="48" spans="1:2" x14ac:dyDescent="0.25">
      <c r="A48" s="30">
        <v>4600052083</v>
      </c>
      <c r="B48">
        <v>11341</v>
      </c>
    </row>
    <row r="49" spans="1:2" x14ac:dyDescent="0.25">
      <c r="A49" s="30">
        <v>4600052225</v>
      </c>
      <c r="B49">
        <v>16791</v>
      </c>
    </row>
    <row r="50" spans="1:2" x14ac:dyDescent="0.25">
      <c r="A50" s="30">
        <v>4600052321</v>
      </c>
      <c r="B50">
        <v>10035</v>
      </c>
    </row>
    <row r="51" spans="1:2" x14ac:dyDescent="0.25">
      <c r="A51" s="30">
        <v>4600052345</v>
      </c>
      <c r="B51">
        <v>10093</v>
      </c>
    </row>
    <row r="52" spans="1:2" x14ac:dyDescent="0.25">
      <c r="A52" s="30">
        <v>4600052391</v>
      </c>
      <c r="B52">
        <v>13671</v>
      </c>
    </row>
    <row r="53" spans="1:2" x14ac:dyDescent="0.25">
      <c r="A53" s="30">
        <v>4600052391</v>
      </c>
      <c r="B53">
        <v>32593</v>
      </c>
    </row>
    <row r="54" spans="1:2" x14ac:dyDescent="0.25">
      <c r="A54" s="30">
        <v>4600052391</v>
      </c>
      <c r="B54">
        <v>12421</v>
      </c>
    </row>
    <row r="55" spans="1:2" x14ac:dyDescent="0.25">
      <c r="A55" s="30">
        <v>4600052391</v>
      </c>
      <c r="B55">
        <v>11179</v>
      </c>
    </row>
    <row r="56" spans="1:2" x14ac:dyDescent="0.25">
      <c r="A56" s="30">
        <v>4600052414</v>
      </c>
      <c r="B56">
        <v>10143</v>
      </c>
    </row>
    <row r="57" spans="1:2" x14ac:dyDescent="0.25">
      <c r="A57" s="30">
        <v>4600052414</v>
      </c>
      <c r="B57">
        <v>15242</v>
      </c>
    </row>
    <row r="58" spans="1:2" x14ac:dyDescent="0.25">
      <c r="A58" s="30">
        <v>4600052818</v>
      </c>
      <c r="B58">
        <v>15242</v>
      </c>
    </row>
    <row r="59" spans="1:2" x14ac:dyDescent="0.25">
      <c r="A59" s="30">
        <v>4600052901</v>
      </c>
      <c r="B59">
        <v>10129</v>
      </c>
    </row>
    <row r="60" spans="1:2" x14ac:dyDescent="0.25">
      <c r="A60" s="30">
        <v>4600053045</v>
      </c>
      <c r="B60">
        <v>11124</v>
      </c>
    </row>
    <row r="61" spans="1:2" x14ac:dyDescent="0.25">
      <c r="A61" s="30">
        <v>4600053335</v>
      </c>
      <c r="B61">
        <v>10093</v>
      </c>
    </row>
    <row r="62" spans="1:2" x14ac:dyDescent="0.25">
      <c r="A62" s="30">
        <v>4600053388</v>
      </c>
      <c r="B62">
        <v>13671</v>
      </c>
    </row>
    <row r="63" spans="1:2" x14ac:dyDescent="0.25">
      <c r="A63" s="30">
        <v>4600053388</v>
      </c>
      <c r="B63">
        <v>11179</v>
      </c>
    </row>
    <row r="64" spans="1:2" x14ac:dyDescent="0.25">
      <c r="A64" s="30">
        <v>4600053388</v>
      </c>
      <c r="B64">
        <v>12708</v>
      </c>
    </row>
    <row r="65" spans="1:2" x14ac:dyDescent="0.25">
      <c r="A65" s="30">
        <v>4600053625</v>
      </c>
      <c r="B65">
        <v>11703</v>
      </c>
    </row>
    <row r="66" spans="1:2" x14ac:dyDescent="0.25">
      <c r="A66" s="30">
        <v>4600053625</v>
      </c>
      <c r="B66">
        <v>10093</v>
      </c>
    </row>
    <row r="67" spans="1:2" x14ac:dyDescent="0.25">
      <c r="A67" s="30">
        <v>4600053625</v>
      </c>
      <c r="B67">
        <v>10143</v>
      </c>
    </row>
    <row r="68" spans="1:2" x14ac:dyDescent="0.25">
      <c r="A68" s="30">
        <v>4600053869</v>
      </c>
      <c r="B68">
        <v>10093</v>
      </c>
    </row>
    <row r="69" spans="1:2" x14ac:dyDescent="0.25">
      <c r="A69" s="30">
        <v>4600053869</v>
      </c>
      <c r="B69">
        <v>10317</v>
      </c>
    </row>
    <row r="70" spans="1:2" x14ac:dyDescent="0.25">
      <c r="A70" s="30">
        <v>4600053869</v>
      </c>
      <c r="B70">
        <v>10318</v>
      </c>
    </row>
    <row r="71" spans="1:2" x14ac:dyDescent="0.25">
      <c r="A71" s="30">
        <v>4600053869</v>
      </c>
      <c r="B71">
        <v>10319</v>
      </c>
    </row>
    <row r="72" spans="1:2" x14ac:dyDescent="0.25">
      <c r="A72" s="30">
        <v>4600053869</v>
      </c>
      <c r="B72">
        <v>10320</v>
      </c>
    </row>
    <row r="73" spans="1:2" x14ac:dyDescent="0.25">
      <c r="A73" s="30">
        <v>4600053869</v>
      </c>
      <c r="B73">
        <v>10324</v>
      </c>
    </row>
    <row r="74" spans="1:2" x14ac:dyDescent="0.25">
      <c r="A74" s="30">
        <v>4600053869</v>
      </c>
      <c r="B74">
        <v>10325</v>
      </c>
    </row>
    <row r="75" spans="1:2" x14ac:dyDescent="0.25">
      <c r="A75" s="30">
        <v>4600053869</v>
      </c>
      <c r="B75">
        <v>10326</v>
      </c>
    </row>
    <row r="76" spans="1:2" x14ac:dyDescent="0.25">
      <c r="A76" s="30">
        <v>4600053874</v>
      </c>
      <c r="B76">
        <v>13671</v>
      </c>
    </row>
    <row r="77" spans="1:2" x14ac:dyDescent="0.25">
      <c r="A77" s="30">
        <v>4600054099</v>
      </c>
      <c r="B77">
        <v>13407</v>
      </c>
    </row>
    <row r="78" spans="1:2" x14ac:dyDescent="0.25">
      <c r="A78" s="30">
        <v>4600054099</v>
      </c>
      <c r="B78">
        <v>13671</v>
      </c>
    </row>
    <row r="79" spans="1:2" x14ac:dyDescent="0.25">
      <c r="A79" s="30">
        <v>4600054099</v>
      </c>
      <c r="B79">
        <v>14867</v>
      </c>
    </row>
    <row r="80" spans="1:2" x14ac:dyDescent="0.25">
      <c r="A80" s="30">
        <v>4600054099</v>
      </c>
      <c r="B80">
        <v>11179</v>
      </c>
    </row>
    <row r="81" spans="1:2" x14ac:dyDescent="0.25">
      <c r="A81" s="30">
        <v>4600054099</v>
      </c>
      <c r="B81">
        <v>12708</v>
      </c>
    </row>
    <row r="82" spans="1:2" x14ac:dyDescent="0.25">
      <c r="A82" s="30">
        <v>4600054298</v>
      </c>
      <c r="B82">
        <v>10093</v>
      </c>
    </row>
    <row r="83" spans="1:2" x14ac:dyDescent="0.25">
      <c r="A83" s="30">
        <v>4600054530</v>
      </c>
      <c r="B83">
        <v>13671</v>
      </c>
    </row>
    <row r="84" spans="1:2" x14ac:dyDescent="0.25">
      <c r="A84" s="30">
        <v>4600054530</v>
      </c>
      <c r="B84">
        <v>11179</v>
      </c>
    </row>
    <row r="85" spans="1:2" x14ac:dyDescent="0.25">
      <c r="A85" s="30">
        <v>4600054530</v>
      </c>
      <c r="B85">
        <v>12708</v>
      </c>
    </row>
    <row r="86" spans="1:2" x14ac:dyDescent="0.25">
      <c r="A86" s="30">
        <v>4600054540</v>
      </c>
      <c r="B86">
        <v>10143</v>
      </c>
    </row>
    <row r="87" spans="1:2" x14ac:dyDescent="0.25">
      <c r="A87" s="30">
        <v>4600054540</v>
      </c>
      <c r="B87">
        <v>10093</v>
      </c>
    </row>
    <row r="88" spans="1:2" x14ac:dyDescent="0.25">
      <c r="A88" s="30">
        <v>4600055123</v>
      </c>
      <c r="B88">
        <v>11315</v>
      </c>
    </row>
    <row r="89" spans="1:2" x14ac:dyDescent="0.25">
      <c r="A89" s="30">
        <v>4600055189</v>
      </c>
      <c r="B89">
        <v>35540</v>
      </c>
    </row>
    <row r="90" spans="1:2" x14ac:dyDescent="0.25">
      <c r="A90" s="30">
        <v>4600055189</v>
      </c>
      <c r="B90">
        <v>35541</v>
      </c>
    </row>
    <row r="91" spans="1:2" x14ac:dyDescent="0.25">
      <c r="A91" s="30">
        <v>4600055284</v>
      </c>
      <c r="B91" s="30" t="s">
        <v>551</v>
      </c>
    </row>
    <row r="92" spans="1:2" x14ac:dyDescent="0.25">
      <c r="A92" s="30">
        <v>4600055328</v>
      </c>
      <c r="B92" s="30" t="s">
        <v>551</v>
      </c>
    </row>
    <row r="93" spans="1:2" x14ac:dyDescent="0.25">
      <c r="A93" s="32">
        <v>4600055373</v>
      </c>
      <c r="B93">
        <v>10553</v>
      </c>
    </row>
    <row r="94" spans="1:2" x14ac:dyDescent="0.25">
      <c r="A94" s="5">
        <v>4600055387</v>
      </c>
      <c r="B94">
        <v>10031</v>
      </c>
    </row>
    <row r="95" spans="1:2" x14ac:dyDescent="0.25">
      <c r="A95" s="30">
        <v>4600055494</v>
      </c>
      <c r="B95">
        <v>19692</v>
      </c>
    </row>
    <row r="96" spans="1:2" x14ac:dyDescent="0.25">
      <c r="A96" s="30">
        <v>4600055713</v>
      </c>
      <c r="B96">
        <v>10143</v>
      </c>
    </row>
    <row r="97" spans="1:2" x14ac:dyDescent="0.25">
      <c r="A97" s="30">
        <v>4600055713</v>
      </c>
      <c r="B97">
        <v>10093</v>
      </c>
    </row>
    <row r="98" spans="1:2" x14ac:dyDescent="0.25">
      <c r="A98" s="30">
        <v>4600055938</v>
      </c>
      <c r="B98" s="30" t="s">
        <v>551</v>
      </c>
    </row>
    <row r="99" spans="1:2" x14ac:dyDescent="0.25">
      <c r="A99" s="30">
        <v>4600056386</v>
      </c>
      <c r="B99">
        <v>13671</v>
      </c>
    </row>
    <row r="100" spans="1:2" x14ac:dyDescent="0.25">
      <c r="A100" s="30">
        <v>4600056386</v>
      </c>
      <c r="B100">
        <v>15242</v>
      </c>
    </row>
    <row r="101" spans="1:2" x14ac:dyDescent="0.25">
      <c r="A101" s="30">
        <v>4600056386</v>
      </c>
      <c r="B101">
        <v>11179</v>
      </c>
    </row>
    <row r="102" spans="1:2" x14ac:dyDescent="0.25">
      <c r="A102" s="30">
        <v>4600056444</v>
      </c>
      <c r="B102">
        <v>10143</v>
      </c>
    </row>
    <row r="103" spans="1:2" x14ac:dyDescent="0.25">
      <c r="A103" s="30">
        <v>4600056444</v>
      </c>
      <c r="B103">
        <v>10093</v>
      </c>
    </row>
    <row r="104" spans="1:2" x14ac:dyDescent="0.25">
      <c r="A104" s="30">
        <v>4600056454</v>
      </c>
      <c r="B104">
        <v>10093</v>
      </c>
    </row>
    <row r="105" spans="1:2" x14ac:dyDescent="0.25">
      <c r="A105" s="30">
        <v>4600056470</v>
      </c>
      <c r="B105">
        <v>13671</v>
      </c>
    </row>
    <row r="106" spans="1:2" x14ac:dyDescent="0.25">
      <c r="A106" s="30">
        <v>4600056470</v>
      </c>
      <c r="B106">
        <v>10093</v>
      </c>
    </row>
    <row r="107" spans="1:2" x14ac:dyDescent="0.25">
      <c r="A107" s="30">
        <v>4600056479</v>
      </c>
      <c r="B107">
        <v>11311</v>
      </c>
    </row>
    <row r="108" spans="1:2" x14ac:dyDescent="0.25">
      <c r="A108" s="30">
        <v>4600056498</v>
      </c>
      <c r="B108">
        <v>11134</v>
      </c>
    </row>
    <row r="109" spans="1:2" x14ac:dyDescent="0.25">
      <c r="A109" s="30">
        <v>4600056533</v>
      </c>
      <c r="B109">
        <v>10093</v>
      </c>
    </row>
    <row r="110" spans="1:2" x14ac:dyDescent="0.25">
      <c r="A110" s="32">
        <v>4600056548</v>
      </c>
      <c r="B110">
        <v>10553</v>
      </c>
    </row>
    <row r="111" spans="1:2" x14ac:dyDescent="0.25">
      <c r="A111" s="30">
        <v>4600056561</v>
      </c>
      <c r="B111" s="30" t="s">
        <v>551</v>
      </c>
    </row>
    <row r="112" spans="1:2" x14ac:dyDescent="0.25">
      <c r="A112" s="30">
        <v>4600056630</v>
      </c>
      <c r="B112">
        <v>10093</v>
      </c>
    </row>
    <row r="113" spans="1:2" x14ac:dyDescent="0.25">
      <c r="A113" s="30">
        <v>4600056633</v>
      </c>
      <c r="B113">
        <v>10093</v>
      </c>
    </row>
    <row r="114" spans="1:2" x14ac:dyDescent="0.25">
      <c r="A114" s="30">
        <v>4600056634</v>
      </c>
      <c r="B114">
        <v>18526</v>
      </c>
    </row>
    <row r="115" spans="1:2" x14ac:dyDescent="0.25">
      <c r="A115" s="30">
        <v>4600056637</v>
      </c>
      <c r="B115">
        <v>10093</v>
      </c>
    </row>
    <row r="116" spans="1:2" x14ac:dyDescent="0.25">
      <c r="A116" s="30">
        <v>4600056672</v>
      </c>
      <c r="B116">
        <v>10553</v>
      </c>
    </row>
    <row r="117" spans="1:2" x14ac:dyDescent="0.25">
      <c r="A117" s="30">
        <v>4600056681</v>
      </c>
      <c r="B117">
        <v>10093</v>
      </c>
    </row>
    <row r="118" spans="1:2" x14ac:dyDescent="0.25">
      <c r="A118" s="30">
        <v>4600056708</v>
      </c>
      <c r="B118">
        <v>17132</v>
      </c>
    </row>
    <row r="119" spans="1:2" x14ac:dyDescent="0.25">
      <c r="A119" s="30">
        <v>4600056819</v>
      </c>
      <c r="B119">
        <v>10129</v>
      </c>
    </row>
    <row r="120" spans="1:2" x14ac:dyDescent="0.25">
      <c r="A120" s="30">
        <v>4600056881</v>
      </c>
      <c r="B120">
        <v>10093</v>
      </c>
    </row>
    <row r="121" spans="1:2" x14ac:dyDescent="0.25">
      <c r="A121" s="30">
        <v>4600056894</v>
      </c>
      <c r="B121" s="30" t="s">
        <v>551</v>
      </c>
    </row>
    <row r="122" spans="1:2" x14ac:dyDescent="0.25">
      <c r="A122" s="30">
        <v>4600057071</v>
      </c>
      <c r="B122">
        <v>10553</v>
      </c>
    </row>
    <row r="123" spans="1:2" x14ac:dyDescent="0.25">
      <c r="A123" s="30">
        <v>4600057071</v>
      </c>
      <c r="B123">
        <v>10093</v>
      </c>
    </row>
    <row r="124" spans="1:2" x14ac:dyDescent="0.25">
      <c r="A124" s="30">
        <v>4600057123</v>
      </c>
      <c r="B124">
        <v>10129</v>
      </c>
    </row>
    <row r="125" spans="1:2" x14ac:dyDescent="0.25">
      <c r="A125" s="30">
        <v>4600057138</v>
      </c>
      <c r="B125">
        <v>10093</v>
      </c>
    </row>
    <row r="126" spans="1:2" x14ac:dyDescent="0.25">
      <c r="A126" s="30">
        <v>4600057158</v>
      </c>
      <c r="B126" s="30" t="s">
        <v>551</v>
      </c>
    </row>
    <row r="127" spans="1:2" x14ac:dyDescent="0.25">
      <c r="A127" s="30">
        <v>4600057330</v>
      </c>
      <c r="B127">
        <v>10093</v>
      </c>
    </row>
    <row r="128" spans="1:2" x14ac:dyDescent="0.25">
      <c r="A128" s="30">
        <v>4600057373</v>
      </c>
      <c r="B128" s="30" t="s">
        <v>551</v>
      </c>
    </row>
    <row r="129" spans="1:2" x14ac:dyDescent="0.25">
      <c r="A129" s="30">
        <v>4600057411</v>
      </c>
      <c r="B129">
        <v>10553</v>
      </c>
    </row>
    <row r="130" spans="1:2" x14ac:dyDescent="0.25">
      <c r="A130" s="30">
        <v>4600057411</v>
      </c>
      <c r="B130">
        <v>10093</v>
      </c>
    </row>
    <row r="131" spans="1:2" x14ac:dyDescent="0.25">
      <c r="A131" s="30">
        <v>4600057517</v>
      </c>
      <c r="B131">
        <v>10093</v>
      </c>
    </row>
    <row r="132" spans="1:2" x14ac:dyDescent="0.25">
      <c r="A132" s="30">
        <v>4600057534</v>
      </c>
      <c r="B132">
        <v>10093</v>
      </c>
    </row>
    <row r="133" spans="1:2" x14ac:dyDescent="0.25">
      <c r="A133" s="30">
        <v>4600057540</v>
      </c>
      <c r="B133">
        <v>11179</v>
      </c>
    </row>
    <row r="134" spans="1:2" x14ac:dyDescent="0.25">
      <c r="A134" s="30">
        <v>4600057550</v>
      </c>
      <c r="B134">
        <v>10093</v>
      </c>
    </row>
    <row r="135" spans="1:2" x14ac:dyDescent="0.25">
      <c r="A135" s="30">
        <v>4600057564</v>
      </c>
      <c r="B135">
        <v>12465</v>
      </c>
    </row>
    <row r="136" spans="1:2" x14ac:dyDescent="0.25">
      <c r="A136" s="30">
        <v>4600057564</v>
      </c>
      <c r="B136">
        <v>10139</v>
      </c>
    </row>
    <row r="137" spans="1:2" x14ac:dyDescent="0.25">
      <c r="A137" s="30">
        <v>4600057564</v>
      </c>
      <c r="B137">
        <v>27928</v>
      </c>
    </row>
    <row r="138" spans="1:2" x14ac:dyDescent="0.25">
      <c r="A138" s="30">
        <v>4600057577</v>
      </c>
      <c r="B138">
        <v>10093</v>
      </c>
    </row>
    <row r="139" spans="1:2" x14ac:dyDescent="0.25">
      <c r="A139" s="30">
        <v>4600057577</v>
      </c>
      <c r="B139">
        <v>18872</v>
      </c>
    </row>
    <row r="140" spans="1:2" x14ac:dyDescent="0.25">
      <c r="A140" s="30">
        <v>4600057577</v>
      </c>
      <c r="B140">
        <v>18901</v>
      </c>
    </row>
    <row r="141" spans="1:2" x14ac:dyDescent="0.25">
      <c r="A141" s="30">
        <v>4600053171</v>
      </c>
      <c r="B141">
        <v>10093</v>
      </c>
    </row>
    <row r="142" spans="1:2" x14ac:dyDescent="0.25">
      <c r="A142" s="30">
        <v>4600057549</v>
      </c>
      <c r="B142">
        <v>10029</v>
      </c>
    </row>
    <row r="143" spans="1:2" x14ac:dyDescent="0.25">
      <c r="A143" s="30">
        <v>4600057549</v>
      </c>
      <c r="B143">
        <v>15070</v>
      </c>
    </row>
    <row r="144" spans="1:2" x14ac:dyDescent="0.25">
      <c r="A144" s="30">
        <v>4600057549</v>
      </c>
      <c r="B144">
        <v>12815</v>
      </c>
    </row>
    <row r="145" spans="1:2" x14ac:dyDescent="0.25">
      <c r="A145" s="30">
        <v>4600057549</v>
      </c>
      <c r="B145">
        <v>12695</v>
      </c>
    </row>
    <row r="146" spans="1:2" x14ac:dyDescent="0.25">
      <c r="A146" s="30">
        <v>4600057549</v>
      </c>
      <c r="B146">
        <v>12697</v>
      </c>
    </row>
    <row r="147" spans="1:2" x14ac:dyDescent="0.25">
      <c r="A147" s="30">
        <v>4600057566</v>
      </c>
      <c r="B147" s="30" t="s">
        <v>551</v>
      </c>
    </row>
    <row r="148" spans="1:2" x14ac:dyDescent="0.25">
      <c r="A148" s="30">
        <v>4600057638</v>
      </c>
      <c r="B148">
        <v>10093</v>
      </c>
    </row>
    <row r="149" spans="1:2" x14ac:dyDescent="0.25">
      <c r="A149" s="30">
        <v>4600057680</v>
      </c>
      <c r="B149">
        <v>10093</v>
      </c>
    </row>
    <row r="150" spans="1:2" x14ac:dyDescent="0.25">
      <c r="A150" s="30">
        <v>4600053044</v>
      </c>
      <c r="B150">
        <v>11124</v>
      </c>
    </row>
    <row r="151" spans="1:2" x14ac:dyDescent="0.25">
      <c r="A151" s="30">
        <v>4600055726</v>
      </c>
      <c r="B151" s="30" t="s">
        <v>551</v>
      </c>
    </row>
    <row r="152" spans="1:2" x14ac:dyDescent="0.25">
      <c r="A152" s="30">
        <v>4600057744</v>
      </c>
      <c r="B152">
        <v>10093</v>
      </c>
    </row>
    <row r="153" spans="1:2" x14ac:dyDescent="0.25">
      <c r="A153" s="30">
        <v>4600057700</v>
      </c>
      <c r="B153">
        <v>10093</v>
      </c>
    </row>
    <row r="154" spans="1:2" x14ac:dyDescent="0.25">
      <c r="A154" s="30">
        <v>4600057701</v>
      </c>
      <c r="B154">
        <v>10093</v>
      </c>
    </row>
    <row r="155" spans="1:2" x14ac:dyDescent="0.25">
      <c r="A155" s="30">
        <v>4600057761</v>
      </c>
      <c r="B155">
        <v>10093</v>
      </c>
    </row>
    <row r="156" spans="1:2" x14ac:dyDescent="0.25">
      <c r="A156" s="30">
        <v>4600057729</v>
      </c>
      <c r="B156">
        <v>15941</v>
      </c>
    </row>
    <row r="157" spans="1:2" x14ac:dyDescent="0.25">
      <c r="A157" s="30">
        <v>4600057729</v>
      </c>
      <c r="B157">
        <v>101234</v>
      </c>
    </row>
    <row r="158" spans="1:2" x14ac:dyDescent="0.25">
      <c r="A158" s="30">
        <v>4600056542</v>
      </c>
      <c r="B158">
        <v>10093</v>
      </c>
    </row>
    <row r="159" spans="1:2" x14ac:dyDescent="0.25">
      <c r="A159" s="30">
        <v>4600057791</v>
      </c>
      <c r="B159" s="30" t="s">
        <v>551</v>
      </c>
    </row>
    <row r="160" spans="1:2" x14ac:dyDescent="0.25">
      <c r="A160" s="30">
        <v>4600057463</v>
      </c>
      <c r="B160">
        <v>10143</v>
      </c>
    </row>
    <row r="161" spans="1:2" x14ac:dyDescent="0.25">
      <c r="A161" s="30">
        <v>4600057445</v>
      </c>
      <c r="B161">
        <v>10093</v>
      </c>
    </row>
    <row r="162" spans="1:2" x14ac:dyDescent="0.25">
      <c r="A162" s="30">
        <v>4600052476</v>
      </c>
      <c r="B162" s="30" t="s">
        <v>551</v>
      </c>
    </row>
    <row r="163" spans="1:2" x14ac:dyDescent="0.25">
      <c r="A163" s="30">
        <v>4600055243</v>
      </c>
      <c r="B163" s="30" t="s">
        <v>551</v>
      </c>
    </row>
    <row r="164" spans="1:2" x14ac:dyDescent="0.25">
      <c r="A164" s="30">
        <v>4600055533</v>
      </c>
      <c r="B164">
        <v>10143</v>
      </c>
    </row>
    <row r="165" spans="1:2" x14ac:dyDescent="0.25">
      <c r="A165" s="30">
        <v>4600055533</v>
      </c>
      <c r="B165">
        <v>11703</v>
      </c>
    </row>
    <row r="166" spans="1:2" x14ac:dyDescent="0.25">
      <c r="A166" s="30">
        <v>4600055533</v>
      </c>
      <c r="B166">
        <v>10093</v>
      </c>
    </row>
    <row r="167" spans="1:2" x14ac:dyDescent="0.25">
      <c r="A167" s="30">
        <v>4600057292</v>
      </c>
      <c r="B167">
        <v>29114</v>
      </c>
    </row>
    <row r="168" spans="1:2" x14ac:dyDescent="0.25">
      <c r="A168" s="30">
        <v>4600057292</v>
      </c>
      <c r="B168">
        <v>32953</v>
      </c>
    </row>
    <row r="169" spans="1:2" x14ac:dyDescent="0.25">
      <c r="A169" s="30">
        <v>4600057590</v>
      </c>
      <c r="B169">
        <v>10093</v>
      </c>
    </row>
    <row r="170" spans="1:2" x14ac:dyDescent="0.25">
      <c r="A170" s="30">
        <v>4600049735</v>
      </c>
      <c r="B170">
        <v>10143</v>
      </c>
    </row>
    <row r="171" spans="1:2" x14ac:dyDescent="0.25">
      <c r="A171" s="30">
        <v>4600049735</v>
      </c>
      <c r="B171">
        <v>10093</v>
      </c>
    </row>
    <row r="172" spans="1:2" x14ac:dyDescent="0.25">
      <c r="A172" s="30">
        <v>4600057484</v>
      </c>
      <c r="B172">
        <v>13671</v>
      </c>
    </row>
    <row r="173" spans="1:2" x14ac:dyDescent="0.25">
      <c r="A173" s="30">
        <v>4600057267</v>
      </c>
      <c r="B173">
        <v>15242</v>
      </c>
    </row>
    <row r="174" spans="1:2" x14ac:dyDescent="0.25">
      <c r="A174" s="30">
        <v>4600052517</v>
      </c>
      <c r="B174">
        <v>10143</v>
      </c>
    </row>
    <row r="175" spans="1:2" x14ac:dyDescent="0.25">
      <c r="A175" s="30">
        <v>4600057099</v>
      </c>
      <c r="B175">
        <v>10111</v>
      </c>
    </row>
    <row r="176" spans="1:2" x14ac:dyDescent="0.25">
      <c r="A176" s="30">
        <v>4600057403</v>
      </c>
      <c r="B176">
        <v>10128</v>
      </c>
    </row>
    <row r="177" spans="1:2" x14ac:dyDescent="0.25">
      <c r="A177" s="30">
        <v>4600055165</v>
      </c>
      <c r="B177" s="30" t="s">
        <v>551</v>
      </c>
    </row>
    <row r="178" spans="1:2" x14ac:dyDescent="0.25">
      <c r="A178" s="30">
        <v>4600055645</v>
      </c>
      <c r="B178" s="30" t="s">
        <v>551</v>
      </c>
    </row>
    <row r="179" spans="1:2" x14ac:dyDescent="0.25">
      <c r="A179" s="30">
        <v>4600057500</v>
      </c>
      <c r="B179">
        <v>10036</v>
      </c>
    </row>
    <row r="180" spans="1:2" x14ac:dyDescent="0.25">
      <c r="A180" s="30">
        <v>4600057495</v>
      </c>
      <c r="B180">
        <v>10093</v>
      </c>
    </row>
    <row r="181" spans="1:2" x14ac:dyDescent="0.25">
      <c r="A181" s="30">
        <v>4600057495</v>
      </c>
      <c r="B181">
        <v>11178</v>
      </c>
    </row>
    <row r="182" spans="1:2" x14ac:dyDescent="0.25">
      <c r="A182" s="30">
        <v>4600057495</v>
      </c>
      <c r="B182">
        <v>10553</v>
      </c>
    </row>
    <row r="183" spans="1:2" x14ac:dyDescent="0.25">
      <c r="A183" s="30">
        <v>4600057379</v>
      </c>
      <c r="B183">
        <v>17132</v>
      </c>
    </row>
    <row r="184" spans="1:2" x14ac:dyDescent="0.25">
      <c r="A184" s="30">
        <v>4600057784</v>
      </c>
      <c r="B184">
        <v>13671</v>
      </c>
    </row>
    <row r="185" spans="1:2" x14ac:dyDescent="0.25">
      <c r="A185" s="30">
        <v>4600057784</v>
      </c>
      <c r="B185">
        <v>11179</v>
      </c>
    </row>
    <row r="186" spans="1:2" x14ac:dyDescent="0.25">
      <c r="A186" s="30">
        <v>4600057690</v>
      </c>
      <c r="B186">
        <v>38655</v>
      </c>
    </row>
    <row r="187" spans="1:2" x14ac:dyDescent="0.25">
      <c r="A187" s="30">
        <v>4600057690</v>
      </c>
      <c r="B187">
        <v>38650</v>
      </c>
    </row>
    <row r="188" spans="1:2" x14ac:dyDescent="0.25">
      <c r="A188" s="30">
        <v>4600057690</v>
      </c>
      <c r="B188">
        <v>38654</v>
      </c>
    </row>
    <row r="189" spans="1:2" x14ac:dyDescent="0.25">
      <c r="A189" s="30">
        <v>4600057690</v>
      </c>
      <c r="B189">
        <v>38657</v>
      </c>
    </row>
    <row r="190" spans="1:2" x14ac:dyDescent="0.25">
      <c r="A190" s="30">
        <v>4600057690</v>
      </c>
      <c r="B190">
        <v>38651</v>
      </c>
    </row>
    <row r="191" spans="1:2" x14ac:dyDescent="0.25">
      <c r="A191" s="30">
        <v>4600057690</v>
      </c>
      <c r="B191">
        <v>38658</v>
      </c>
    </row>
    <row r="192" spans="1:2" x14ac:dyDescent="0.25">
      <c r="A192" s="30">
        <v>4600057690</v>
      </c>
      <c r="B192">
        <v>38584</v>
      </c>
    </row>
    <row r="193" spans="1:2" x14ac:dyDescent="0.25">
      <c r="A193" s="30">
        <v>4600057690</v>
      </c>
      <c r="B193">
        <v>38582</v>
      </c>
    </row>
    <row r="194" spans="1:2" x14ac:dyDescent="0.25">
      <c r="A194" s="30">
        <v>4600057690</v>
      </c>
      <c r="B194">
        <v>38581</v>
      </c>
    </row>
    <row r="195" spans="1:2" x14ac:dyDescent="0.25">
      <c r="A195" s="30">
        <v>4600057690</v>
      </c>
      <c r="B195">
        <v>38659</v>
      </c>
    </row>
    <row r="196" spans="1:2" x14ac:dyDescent="0.25">
      <c r="A196" s="30">
        <v>4600057690</v>
      </c>
      <c r="B196">
        <v>38354</v>
      </c>
    </row>
    <row r="197" spans="1:2" x14ac:dyDescent="0.25">
      <c r="A197" s="30">
        <v>4600057690</v>
      </c>
      <c r="B197">
        <v>38356</v>
      </c>
    </row>
    <row r="198" spans="1:2" x14ac:dyDescent="0.25">
      <c r="A198" s="30">
        <v>4600057690</v>
      </c>
      <c r="B198">
        <v>38357</v>
      </c>
    </row>
    <row r="199" spans="1:2" x14ac:dyDescent="0.25">
      <c r="A199" s="30">
        <v>4600057690</v>
      </c>
      <c r="B199">
        <v>38662</v>
      </c>
    </row>
    <row r="200" spans="1:2" x14ac:dyDescent="0.25">
      <c r="A200" s="30">
        <v>4600057690</v>
      </c>
      <c r="B200">
        <v>26697</v>
      </c>
    </row>
    <row r="201" spans="1:2" x14ac:dyDescent="0.25">
      <c r="A201" s="30">
        <v>4600057690</v>
      </c>
      <c r="B201">
        <v>31586</v>
      </c>
    </row>
    <row r="202" spans="1:2" x14ac:dyDescent="0.25">
      <c r="A202" s="30">
        <v>4600057690</v>
      </c>
      <c r="B202">
        <v>38660</v>
      </c>
    </row>
    <row r="203" spans="1:2" x14ac:dyDescent="0.25">
      <c r="A203" s="30">
        <v>4600057690</v>
      </c>
      <c r="B203">
        <v>38661</v>
      </c>
    </row>
    <row r="204" spans="1:2" x14ac:dyDescent="0.25">
      <c r="A204" s="30">
        <v>4600057690</v>
      </c>
      <c r="B204">
        <v>38645</v>
      </c>
    </row>
    <row r="205" spans="1:2" x14ac:dyDescent="0.25">
      <c r="A205" s="30">
        <v>4600057690</v>
      </c>
      <c r="B205">
        <v>42871</v>
      </c>
    </row>
    <row r="206" spans="1:2" x14ac:dyDescent="0.25">
      <c r="A206" s="30">
        <v>4600057690</v>
      </c>
      <c r="B206">
        <v>42870</v>
      </c>
    </row>
    <row r="207" spans="1:2" x14ac:dyDescent="0.25">
      <c r="A207" s="30">
        <v>4600057690</v>
      </c>
      <c r="B207">
        <v>100356</v>
      </c>
    </row>
    <row r="208" spans="1:2" x14ac:dyDescent="0.25">
      <c r="A208" s="30">
        <v>4600057690</v>
      </c>
      <c r="B208">
        <v>100355</v>
      </c>
    </row>
    <row r="209" spans="1:2" x14ac:dyDescent="0.25">
      <c r="A209" s="30">
        <v>4600057690</v>
      </c>
      <c r="B209">
        <v>42858</v>
      </c>
    </row>
    <row r="210" spans="1:2" x14ac:dyDescent="0.25">
      <c r="A210" s="30">
        <v>4600057690</v>
      </c>
      <c r="B210">
        <v>42861</v>
      </c>
    </row>
    <row r="211" spans="1:2" x14ac:dyDescent="0.25">
      <c r="A211" s="30">
        <v>4600057690</v>
      </c>
      <c r="B211">
        <v>42859</v>
      </c>
    </row>
    <row r="212" spans="1:2" x14ac:dyDescent="0.25">
      <c r="A212" s="30">
        <v>4600057690</v>
      </c>
      <c r="B212">
        <v>42865</v>
      </c>
    </row>
    <row r="213" spans="1:2" x14ac:dyDescent="0.25">
      <c r="A213" s="30">
        <v>4600057690</v>
      </c>
      <c r="B213">
        <v>42867</v>
      </c>
    </row>
    <row r="214" spans="1:2" x14ac:dyDescent="0.25">
      <c r="A214" s="30">
        <v>4600057690</v>
      </c>
      <c r="B214">
        <v>42866</v>
      </c>
    </row>
    <row r="215" spans="1:2" x14ac:dyDescent="0.25">
      <c r="A215" s="30">
        <v>4600057690</v>
      </c>
      <c r="B215">
        <v>42868</v>
      </c>
    </row>
    <row r="216" spans="1:2" x14ac:dyDescent="0.25">
      <c r="A216" s="30">
        <v>4600057690</v>
      </c>
      <c r="B216">
        <v>42864</v>
      </c>
    </row>
    <row r="217" spans="1:2" x14ac:dyDescent="0.25">
      <c r="A217" s="30">
        <v>4600057690</v>
      </c>
      <c r="B217">
        <v>42863</v>
      </c>
    </row>
    <row r="218" spans="1:2" x14ac:dyDescent="0.25">
      <c r="A218" s="30">
        <v>4600057690</v>
      </c>
      <c r="B218">
        <v>42862</v>
      </c>
    </row>
    <row r="219" spans="1:2" x14ac:dyDescent="0.25">
      <c r="A219" s="30">
        <v>4600057690</v>
      </c>
      <c r="B219">
        <v>42874</v>
      </c>
    </row>
    <row r="220" spans="1:2" x14ac:dyDescent="0.25">
      <c r="A220" s="30">
        <v>4600057690</v>
      </c>
      <c r="B220">
        <v>42873</v>
      </c>
    </row>
    <row r="221" spans="1:2" x14ac:dyDescent="0.25">
      <c r="A221" s="30">
        <v>4600057690</v>
      </c>
      <c r="B221">
        <v>42697</v>
      </c>
    </row>
    <row r="222" spans="1:2" x14ac:dyDescent="0.25">
      <c r="A222" s="30">
        <v>4600057690</v>
      </c>
      <c r="B222">
        <v>50318</v>
      </c>
    </row>
    <row r="223" spans="1:2" x14ac:dyDescent="0.25">
      <c r="A223" s="30">
        <v>4600057690</v>
      </c>
      <c r="B223">
        <v>42850</v>
      </c>
    </row>
    <row r="224" spans="1:2" x14ac:dyDescent="0.25">
      <c r="A224" s="30">
        <v>4600057690</v>
      </c>
      <c r="B224">
        <v>42801</v>
      </c>
    </row>
    <row r="225" spans="1:2" x14ac:dyDescent="0.25">
      <c r="A225" s="30">
        <v>4600057690</v>
      </c>
      <c r="B225">
        <v>38659</v>
      </c>
    </row>
    <row r="226" spans="1:2" x14ac:dyDescent="0.25">
      <c r="A226" s="30">
        <v>4600057690</v>
      </c>
      <c r="B226">
        <v>42349</v>
      </c>
    </row>
    <row r="227" spans="1:2" x14ac:dyDescent="0.25">
      <c r="A227" s="30">
        <v>4600057690</v>
      </c>
      <c r="B227">
        <v>42851</v>
      </c>
    </row>
    <row r="228" spans="1:2" x14ac:dyDescent="0.25">
      <c r="A228" s="30">
        <v>4600057690</v>
      </c>
      <c r="B228">
        <v>33196</v>
      </c>
    </row>
    <row r="229" spans="1:2" x14ac:dyDescent="0.25">
      <c r="A229" s="30">
        <v>4600057690</v>
      </c>
      <c r="B229">
        <v>33197</v>
      </c>
    </row>
    <row r="230" spans="1:2" x14ac:dyDescent="0.25">
      <c r="A230" s="30">
        <v>4600057690</v>
      </c>
      <c r="B230">
        <v>33198</v>
      </c>
    </row>
    <row r="231" spans="1:2" x14ac:dyDescent="0.25">
      <c r="A231" s="30">
        <v>4600057690</v>
      </c>
      <c r="B231">
        <v>33199</v>
      </c>
    </row>
    <row r="232" spans="1:2" x14ac:dyDescent="0.25">
      <c r="A232" s="30">
        <v>4600057690</v>
      </c>
      <c r="B232">
        <v>103294</v>
      </c>
    </row>
    <row r="233" spans="1:2" x14ac:dyDescent="0.25">
      <c r="A233" s="30">
        <v>4600057690</v>
      </c>
      <c r="B233">
        <v>103295</v>
      </c>
    </row>
    <row r="234" spans="1:2" x14ac:dyDescent="0.25">
      <c r="A234" s="30">
        <v>4600057690</v>
      </c>
      <c r="B234">
        <v>103296</v>
      </c>
    </row>
    <row r="235" spans="1:2" x14ac:dyDescent="0.25">
      <c r="A235" s="30">
        <v>4600057690</v>
      </c>
      <c r="B235">
        <v>33197</v>
      </c>
    </row>
    <row r="236" spans="1:2" x14ac:dyDescent="0.25">
      <c r="A236" s="30">
        <v>4600057690</v>
      </c>
      <c r="B236">
        <v>33198</v>
      </c>
    </row>
    <row r="237" spans="1:2" x14ac:dyDescent="0.25">
      <c r="A237" s="30">
        <v>4600057690</v>
      </c>
      <c r="B237">
        <v>33199</v>
      </c>
    </row>
    <row r="238" spans="1:2" x14ac:dyDescent="0.25">
      <c r="A238" s="8">
        <v>4600057826</v>
      </c>
      <c r="B238">
        <v>36522</v>
      </c>
    </row>
    <row r="239" spans="1:2" x14ac:dyDescent="0.25">
      <c r="A239" s="30">
        <v>4600057826</v>
      </c>
      <c r="B239">
        <v>36539</v>
      </c>
    </row>
    <row r="240" spans="1:2" x14ac:dyDescent="0.25">
      <c r="A240" s="30">
        <v>4600057826</v>
      </c>
      <c r="B240">
        <v>36521</v>
      </c>
    </row>
    <row r="241" spans="1:2" x14ac:dyDescent="0.25">
      <c r="A241" s="30">
        <v>4600057826</v>
      </c>
      <c r="B241">
        <v>36361</v>
      </c>
    </row>
    <row r="242" spans="1:2" x14ac:dyDescent="0.25">
      <c r="A242" s="30">
        <v>4600057826</v>
      </c>
      <c r="B242">
        <v>36555</v>
      </c>
    </row>
    <row r="243" spans="1:2" x14ac:dyDescent="0.25">
      <c r="A243" s="30">
        <v>4600057826</v>
      </c>
      <c r="B243">
        <v>36868</v>
      </c>
    </row>
    <row r="244" spans="1:2" x14ac:dyDescent="0.25">
      <c r="A244" s="30">
        <v>4600057826</v>
      </c>
      <c r="B244">
        <v>36867</v>
      </c>
    </row>
    <row r="245" spans="1:2" x14ac:dyDescent="0.25">
      <c r="A245" s="30">
        <v>4600057826</v>
      </c>
      <c r="B245">
        <v>36866</v>
      </c>
    </row>
    <row r="246" spans="1:2" x14ac:dyDescent="0.25">
      <c r="A246" s="30">
        <v>4600057826</v>
      </c>
      <c r="B246">
        <v>36864</v>
      </c>
    </row>
    <row r="247" spans="1:2" x14ac:dyDescent="0.25">
      <c r="A247" s="30">
        <v>4600057826</v>
      </c>
      <c r="B247">
        <v>36865</v>
      </c>
    </row>
    <row r="248" spans="1:2" x14ac:dyDescent="0.25">
      <c r="A248" s="30">
        <v>4600057826</v>
      </c>
      <c r="B248">
        <v>36862</v>
      </c>
    </row>
    <row r="249" spans="1:2" x14ac:dyDescent="0.25">
      <c r="A249" s="30">
        <v>4600057826</v>
      </c>
      <c r="B249">
        <v>36860</v>
      </c>
    </row>
    <row r="250" spans="1:2" x14ac:dyDescent="0.25">
      <c r="A250" s="30">
        <v>4600057826</v>
      </c>
      <c r="B250">
        <v>36360</v>
      </c>
    </row>
    <row r="251" spans="1:2" x14ac:dyDescent="0.25">
      <c r="A251" s="30">
        <v>4600057826</v>
      </c>
      <c r="B251">
        <v>36362</v>
      </c>
    </row>
    <row r="252" spans="1:2" x14ac:dyDescent="0.25">
      <c r="A252" s="30">
        <v>4600057826</v>
      </c>
      <c r="B252">
        <v>36909</v>
      </c>
    </row>
    <row r="253" spans="1:2" x14ac:dyDescent="0.25">
      <c r="A253" s="30">
        <v>4600057826</v>
      </c>
      <c r="B253">
        <v>36359</v>
      </c>
    </row>
    <row r="254" spans="1:2" x14ac:dyDescent="0.25">
      <c r="A254" s="30">
        <v>4600057826</v>
      </c>
      <c r="B254">
        <v>50788</v>
      </c>
    </row>
    <row r="255" spans="1:2" x14ac:dyDescent="0.25">
      <c r="A255" s="30">
        <v>4600057826</v>
      </c>
      <c r="B255">
        <v>36372</v>
      </c>
    </row>
    <row r="256" spans="1:2" x14ac:dyDescent="0.25">
      <c r="A256" s="30">
        <v>4600057826</v>
      </c>
      <c r="B256">
        <v>38656</v>
      </c>
    </row>
    <row r="257" spans="1:2" x14ac:dyDescent="0.25">
      <c r="A257" s="30">
        <v>4600057826</v>
      </c>
      <c r="B257">
        <v>36375</v>
      </c>
    </row>
    <row r="258" spans="1:2" x14ac:dyDescent="0.25">
      <c r="A258" s="30">
        <v>4600057826</v>
      </c>
      <c r="B258">
        <v>42349</v>
      </c>
    </row>
    <row r="259" spans="1:2" x14ac:dyDescent="0.25">
      <c r="A259" s="30">
        <v>4600057826</v>
      </c>
      <c r="B259">
        <v>36514</v>
      </c>
    </row>
    <row r="260" spans="1:2" x14ac:dyDescent="0.25">
      <c r="A260" s="30">
        <v>4600057826</v>
      </c>
      <c r="B260">
        <v>36364</v>
      </c>
    </row>
    <row r="261" spans="1:2" x14ac:dyDescent="0.25">
      <c r="A261" s="30">
        <v>4600057826</v>
      </c>
      <c r="B261">
        <v>36490</v>
      </c>
    </row>
    <row r="262" spans="1:2" x14ac:dyDescent="0.25">
      <c r="A262" s="30">
        <v>4600057826</v>
      </c>
      <c r="B262">
        <v>41731</v>
      </c>
    </row>
    <row r="263" spans="1:2" x14ac:dyDescent="0.25">
      <c r="A263" s="30">
        <v>4600057826</v>
      </c>
      <c r="B263">
        <v>10211</v>
      </c>
    </row>
    <row r="264" spans="1:2" x14ac:dyDescent="0.25">
      <c r="A264" s="30">
        <v>4600057826</v>
      </c>
      <c r="B264">
        <v>11315</v>
      </c>
    </row>
    <row r="265" spans="1:2" x14ac:dyDescent="0.25">
      <c r="A265" s="30">
        <v>4600057825</v>
      </c>
      <c r="B265" s="30" t="s">
        <v>551</v>
      </c>
    </row>
    <row r="266" spans="1:2" x14ac:dyDescent="0.25">
      <c r="A266" s="30">
        <v>4600057823</v>
      </c>
      <c r="B266" s="30" t="s">
        <v>551</v>
      </c>
    </row>
    <row r="267" spans="1:2" x14ac:dyDescent="0.25">
      <c r="A267" s="30">
        <v>4600056873</v>
      </c>
      <c r="B267">
        <v>13671</v>
      </c>
    </row>
    <row r="268" spans="1:2" x14ac:dyDescent="0.25">
      <c r="A268" s="30">
        <v>4600057264</v>
      </c>
      <c r="B268">
        <v>10093</v>
      </c>
    </row>
    <row r="269" spans="1:2" x14ac:dyDescent="0.25">
      <c r="A269" s="30">
        <v>4600057836</v>
      </c>
      <c r="B269">
        <v>10203</v>
      </c>
    </row>
    <row r="270" spans="1:2" x14ac:dyDescent="0.25">
      <c r="A270" s="30">
        <v>4600057836</v>
      </c>
      <c r="B270">
        <v>10129</v>
      </c>
    </row>
    <row r="271" spans="1:2" x14ac:dyDescent="0.25">
      <c r="A271" s="30">
        <v>4600057119</v>
      </c>
      <c r="B271">
        <v>10093</v>
      </c>
    </row>
    <row r="272" spans="1:2" x14ac:dyDescent="0.25">
      <c r="A272" s="30">
        <v>4600054530</v>
      </c>
      <c r="B272">
        <v>13671</v>
      </c>
    </row>
    <row r="273" spans="1:2" x14ac:dyDescent="0.25">
      <c r="A273" s="30">
        <v>4600054530</v>
      </c>
      <c r="B273">
        <v>11179</v>
      </c>
    </row>
    <row r="274" spans="1:2" x14ac:dyDescent="0.25">
      <c r="A274" s="30">
        <v>4600054530</v>
      </c>
      <c r="B274">
        <v>12708</v>
      </c>
    </row>
    <row r="275" spans="1:2" x14ac:dyDescent="0.25">
      <c r="A275" s="30">
        <v>4600057514</v>
      </c>
      <c r="B275">
        <v>13671</v>
      </c>
    </row>
    <row r="276" spans="1:2" x14ac:dyDescent="0.25">
      <c r="A276" s="30">
        <v>4600057514</v>
      </c>
      <c r="B276">
        <v>11179</v>
      </c>
    </row>
    <row r="277" spans="1:2" x14ac:dyDescent="0.25">
      <c r="A277" s="30">
        <v>4600057284</v>
      </c>
      <c r="B277">
        <v>10093</v>
      </c>
    </row>
    <row r="278" spans="1:2" x14ac:dyDescent="0.25">
      <c r="A278" s="30">
        <v>4600057283</v>
      </c>
      <c r="B278">
        <v>10093</v>
      </c>
    </row>
    <row r="279" spans="1:2" x14ac:dyDescent="0.25">
      <c r="A279" s="30">
        <v>4600057879</v>
      </c>
      <c r="B279">
        <v>13671</v>
      </c>
    </row>
    <row r="280" spans="1:2" x14ac:dyDescent="0.25">
      <c r="A280" s="30">
        <v>4600057879</v>
      </c>
      <c r="B280">
        <v>10093</v>
      </c>
    </row>
    <row r="281" spans="1:2" x14ac:dyDescent="0.25">
      <c r="A281" s="30">
        <v>4600057874</v>
      </c>
      <c r="B281">
        <v>13671</v>
      </c>
    </row>
    <row r="282" spans="1:2" x14ac:dyDescent="0.25">
      <c r="A282" s="30">
        <v>4600055381</v>
      </c>
      <c r="B282">
        <v>15006</v>
      </c>
    </row>
    <row r="283" spans="1:2" x14ac:dyDescent="0.25">
      <c r="A283" s="30">
        <v>4600055381</v>
      </c>
      <c r="B283">
        <v>10211</v>
      </c>
    </row>
    <row r="284" spans="1:2" x14ac:dyDescent="0.25">
      <c r="A284" s="30">
        <v>4600057919</v>
      </c>
      <c r="B284">
        <v>10035</v>
      </c>
    </row>
    <row r="285" spans="1:2" x14ac:dyDescent="0.25">
      <c r="A285" s="30">
        <v>4600057900</v>
      </c>
      <c r="B285">
        <v>12613</v>
      </c>
    </row>
    <row r="286" spans="1:2" x14ac:dyDescent="0.25">
      <c r="A286" s="30">
        <v>4600046239</v>
      </c>
      <c r="B286">
        <v>11341</v>
      </c>
    </row>
    <row r="287" spans="1:2" x14ac:dyDescent="0.25">
      <c r="A287" s="30">
        <v>4600057964</v>
      </c>
      <c r="B287">
        <v>35540</v>
      </c>
    </row>
    <row r="288" spans="1:2" x14ac:dyDescent="0.25">
      <c r="A288" s="30">
        <v>4600057964</v>
      </c>
      <c r="B288">
        <v>35541</v>
      </c>
    </row>
    <row r="289" spans="1:2" x14ac:dyDescent="0.25">
      <c r="A289" s="30">
        <v>4600057964</v>
      </c>
      <c r="B289">
        <v>11341</v>
      </c>
    </row>
    <row r="290" spans="1:2" x14ac:dyDescent="0.25">
      <c r="A290" s="30">
        <v>4600057959</v>
      </c>
      <c r="B290">
        <v>10031</v>
      </c>
    </row>
    <row r="291" spans="1:2" x14ac:dyDescent="0.25">
      <c r="A291" s="30">
        <v>4600057921</v>
      </c>
      <c r="B291">
        <v>10093</v>
      </c>
    </row>
    <row r="292" spans="1:2" x14ac:dyDescent="0.25">
      <c r="A292" s="30">
        <v>4600055165</v>
      </c>
      <c r="B292" s="30" t="s">
        <v>551</v>
      </c>
    </row>
    <row r="293" spans="1:2" x14ac:dyDescent="0.25">
      <c r="A293" s="30">
        <v>4600058040</v>
      </c>
      <c r="B293">
        <v>10093</v>
      </c>
    </row>
    <row r="294" spans="1:2" x14ac:dyDescent="0.25">
      <c r="A294" s="30">
        <v>4600058064</v>
      </c>
      <c r="B294">
        <v>10093</v>
      </c>
    </row>
    <row r="295" spans="1:2" x14ac:dyDescent="0.25">
      <c r="A295" s="30">
        <v>4600058064</v>
      </c>
      <c r="B295">
        <v>11341</v>
      </c>
    </row>
    <row r="296" spans="1:2" x14ac:dyDescent="0.25">
      <c r="A296" s="30">
        <v>4600058067</v>
      </c>
      <c r="B296">
        <v>13671</v>
      </c>
    </row>
    <row r="297" spans="1:2" x14ac:dyDescent="0.25">
      <c r="A297" s="30">
        <v>4600058067</v>
      </c>
      <c r="B297">
        <v>11179</v>
      </c>
    </row>
    <row r="298" spans="1:2" x14ac:dyDescent="0.25">
      <c r="A298" s="30">
        <v>4600058048</v>
      </c>
      <c r="B298">
        <v>10093</v>
      </c>
    </row>
    <row r="299" spans="1:2" x14ac:dyDescent="0.25">
      <c r="A299" s="30">
        <v>4600058050</v>
      </c>
      <c r="B299">
        <v>10093</v>
      </c>
    </row>
  </sheetData>
  <conditionalFormatting sqref="A5">
    <cfRule type="duplicateValues" dxfId="122" priority="46"/>
  </conditionalFormatting>
  <conditionalFormatting sqref="A5">
    <cfRule type="duplicateValues" dxfId="121" priority="47"/>
    <cfRule type="duplicateValues" dxfId="120" priority="48"/>
  </conditionalFormatting>
  <conditionalFormatting sqref="A5">
    <cfRule type="duplicateValues" dxfId="119" priority="49"/>
  </conditionalFormatting>
  <conditionalFormatting sqref="A5">
    <cfRule type="duplicateValues" dxfId="118" priority="50"/>
  </conditionalFormatting>
  <conditionalFormatting sqref="A5">
    <cfRule type="duplicateValues" dxfId="117" priority="51"/>
  </conditionalFormatting>
  <conditionalFormatting sqref="A29">
    <cfRule type="duplicateValues" dxfId="116" priority="40"/>
  </conditionalFormatting>
  <conditionalFormatting sqref="A29">
    <cfRule type="duplicateValues" dxfId="115" priority="41"/>
    <cfRule type="duplicateValues" dxfId="114" priority="42"/>
  </conditionalFormatting>
  <conditionalFormatting sqref="A29">
    <cfRule type="duplicateValues" dxfId="113" priority="43"/>
  </conditionalFormatting>
  <conditionalFormatting sqref="A29">
    <cfRule type="duplicateValues" dxfId="112" priority="44"/>
  </conditionalFormatting>
  <conditionalFormatting sqref="A29">
    <cfRule type="duplicateValues" dxfId="111" priority="45"/>
  </conditionalFormatting>
  <conditionalFormatting sqref="A27">
    <cfRule type="duplicateValues" dxfId="110" priority="34"/>
  </conditionalFormatting>
  <conditionalFormatting sqref="A27">
    <cfRule type="duplicateValues" dxfId="109" priority="35"/>
    <cfRule type="duplicateValues" dxfId="108" priority="36"/>
  </conditionalFormatting>
  <conditionalFormatting sqref="A27">
    <cfRule type="duplicateValues" dxfId="107" priority="37"/>
  </conditionalFormatting>
  <conditionalFormatting sqref="A27">
    <cfRule type="duplicateValues" dxfId="106" priority="38"/>
  </conditionalFormatting>
  <conditionalFormatting sqref="A27">
    <cfRule type="duplicateValues" dxfId="105" priority="39"/>
  </conditionalFormatting>
  <conditionalFormatting sqref="A28">
    <cfRule type="duplicateValues" dxfId="104" priority="28"/>
  </conditionalFormatting>
  <conditionalFormatting sqref="A28">
    <cfRule type="duplicateValues" dxfId="103" priority="29"/>
    <cfRule type="duplicateValues" dxfId="102" priority="30"/>
  </conditionalFormatting>
  <conditionalFormatting sqref="A28">
    <cfRule type="duplicateValues" dxfId="101" priority="31"/>
  </conditionalFormatting>
  <conditionalFormatting sqref="A28">
    <cfRule type="duplicateValues" dxfId="100" priority="32"/>
  </conditionalFormatting>
  <conditionalFormatting sqref="A28">
    <cfRule type="duplicateValues" dxfId="99" priority="33"/>
  </conditionalFormatting>
  <conditionalFormatting sqref="A33">
    <cfRule type="duplicateValues" dxfId="98" priority="22"/>
  </conditionalFormatting>
  <conditionalFormatting sqref="A33">
    <cfRule type="duplicateValues" dxfId="97" priority="23"/>
    <cfRule type="duplicateValues" dxfId="96" priority="24"/>
  </conditionalFormatting>
  <conditionalFormatting sqref="A33">
    <cfRule type="duplicateValues" dxfId="95" priority="25"/>
  </conditionalFormatting>
  <conditionalFormatting sqref="A33">
    <cfRule type="duplicateValues" dxfId="94" priority="26"/>
  </conditionalFormatting>
  <conditionalFormatting sqref="A33">
    <cfRule type="duplicateValues" dxfId="93" priority="27"/>
  </conditionalFormatting>
  <conditionalFormatting sqref="A93">
    <cfRule type="duplicateValues" dxfId="92" priority="16"/>
  </conditionalFormatting>
  <conditionalFormatting sqref="A93">
    <cfRule type="duplicateValues" dxfId="91" priority="17"/>
    <cfRule type="duplicateValues" dxfId="90" priority="18"/>
  </conditionalFormatting>
  <conditionalFormatting sqref="A93">
    <cfRule type="duplicateValues" dxfId="89" priority="19"/>
  </conditionalFormatting>
  <conditionalFormatting sqref="A93">
    <cfRule type="duplicateValues" dxfId="88" priority="20"/>
  </conditionalFormatting>
  <conditionalFormatting sqref="A93">
    <cfRule type="duplicateValues" dxfId="87" priority="21"/>
  </conditionalFormatting>
  <conditionalFormatting sqref="A94">
    <cfRule type="duplicateValues" dxfId="86" priority="10"/>
  </conditionalFormatting>
  <conditionalFormatting sqref="A94">
    <cfRule type="duplicateValues" dxfId="85" priority="11"/>
    <cfRule type="duplicateValues" dxfId="84" priority="12"/>
  </conditionalFormatting>
  <conditionalFormatting sqref="A94">
    <cfRule type="duplicateValues" dxfId="83" priority="13"/>
  </conditionalFormatting>
  <conditionalFormatting sqref="A94">
    <cfRule type="duplicateValues" dxfId="82" priority="14"/>
  </conditionalFormatting>
  <conditionalFormatting sqref="A94">
    <cfRule type="duplicateValues" dxfId="81" priority="15"/>
  </conditionalFormatting>
  <conditionalFormatting sqref="A110">
    <cfRule type="duplicateValues" dxfId="80" priority="4"/>
  </conditionalFormatting>
  <conditionalFormatting sqref="A110">
    <cfRule type="duplicateValues" dxfId="79" priority="5"/>
    <cfRule type="duplicateValues" dxfId="78" priority="6"/>
  </conditionalFormatting>
  <conditionalFormatting sqref="A110">
    <cfRule type="duplicateValues" dxfId="77" priority="7"/>
  </conditionalFormatting>
  <conditionalFormatting sqref="A110">
    <cfRule type="duplicateValues" dxfId="76" priority="8"/>
  </conditionalFormatting>
  <conditionalFormatting sqref="A110">
    <cfRule type="duplicateValues" dxfId="75" priority="9"/>
  </conditionalFormatting>
  <conditionalFormatting sqref="A238">
    <cfRule type="duplicateValues" dxfId="74" priority="3"/>
  </conditionalFormatting>
  <conditionalFormatting sqref="A1:A1048576">
    <cfRule type="duplicateValues" dxfId="73" priority="2"/>
  </conditionalFormatting>
  <conditionalFormatting sqref="B1:B1048576">
    <cfRule type="duplicateValues" dxfId="72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7"/>
  <sheetViews>
    <sheetView topLeftCell="Y1" zoomScaleNormal="100" workbookViewId="0">
      <pane ySplit="5" topLeftCell="A26" activePane="bottomLeft" state="frozen"/>
      <selection activeCell="F1" sqref="F1"/>
      <selection pane="bottomLeft" activeCell="Z6" sqref="Z6:AA37"/>
    </sheetView>
  </sheetViews>
  <sheetFormatPr defaultColWidth="9.140625" defaultRowHeight="15" x14ac:dyDescent="0.25"/>
  <cols>
    <col min="1" max="1" width="14.5703125" style="14" customWidth="1"/>
    <col min="2" max="2" width="40.28515625" style="14" customWidth="1"/>
    <col min="3" max="3" width="16" style="15" customWidth="1"/>
    <col min="4" max="4" width="15.28515625" style="44" customWidth="1"/>
    <col min="5" max="5" width="13.28515625" style="15" bestFit="1" customWidth="1"/>
    <col min="6" max="6" width="20.7109375" style="15" customWidth="1"/>
    <col min="7" max="7" width="21.5703125" style="15" customWidth="1"/>
    <col min="8" max="8" width="11.5703125" style="15" customWidth="1"/>
    <col min="9" max="9" width="70.42578125" style="14" customWidth="1"/>
    <col min="10" max="10" width="18.5703125" style="14" customWidth="1"/>
    <col min="11" max="11" width="7" style="15" customWidth="1"/>
    <col min="12" max="12" width="11.28515625" style="15" customWidth="1"/>
    <col min="13" max="13" width="10.85546875" style="15" customWidth="1"/>
    <col min="14" max="14" width="10.7109375" style="14" customWidth="1"/>
    <col min="15" max="15" width="11.7109375" style="15" customWidth="1"/>
    <col min="16" max="16" width="8.5703125" style="15" customWidth="1"/>
    <col min="17" max="17" width="17" style="14" customWidth="1"/>
    <col min="18" max="18" width="41.7109375" style="14" customWidth="1"/>
    <col min="19" max="19" width="29.7109375" style="14" customWidth="1"/>
    <col min="20" max="20" width="51.7109375" style="14" customWidth="1"/>
    <col min="21" max="21" width="53.42578125" style="14" customWidth="1"/>
    <col min="22" max="22" width="19.7109375" style="14" customWidth="1"/>
    <col min="23" max="23" width="16.140625" style="14" customWidth="1"/>
    <col min="24" max="24" width="16.42578125" style="14" customWidth="1"/>
    <col min="25" max="25" width="31.5703125" style="14" customWidth="1"/>
    <col min="26" max="26" width="33.85546875" style="14" customWidth="1"/>
    <col min="27" max="27" width="30.28515625" style="15" customWidth="1"/>
    <col min="28" max="16384" width="9.140625" style="14"/>
  </cols>
  <sheetData>
    <row r="1" spans="1:27" x14ac:dyDescent="0.25">
      <c r="A1" s="509" t="s">
        <v>592</v>
      </c>
      <c r="B1" s="510"/>
      <c r="C1" s="34"/>
      <c r="E1" s="34"/>
      <c r="F1" s="35" t="s">
        <v>591</v>
      </c>
      <c r="G1" s="35"/>
      <c r="I1" s="37" t="s">
        <v>611</v>
      </c>
    </row>
    <row r="2" spans="1:27" x14ac:dyDescent="0.25">
      <c r="A2" s="509"/>
      <c r="B2" s="510"/>
      <c r="C2" s="34"/>
      <c r="E2" s="34"/>
      <c r="F2" s="35" t="s">
        <v>590</v>
      </c>
      <c r="G2" s="35"/>
      <c r="I2" s="38">
        <v>45476</v>
      </c>
      <c r="J2" s="42">
        <v>0.6791666666666667</v>
      </c>
    </row>
    <row r="3" spans="1:27" x14ac:dyDescent="0.25">
      <c r="A3" s="509"/>
      <c r="B3" s="510"/>
      <c r="C3" s="34"/>
      <c r="E3" s="34"/>
      <c r="F3" s="35" t="s">
        <v>588</v>
      </c>
      <c r="G3" s="35"/>
      <c r="I3" s="39" t="s">
        <v>601</v>
      </c>
    </row>
    <row r="4" spans="1:27" x14ac:dyDescent="0.25">
      <c r="A4" s="511"/>
      <c r="B4" s="512"/>
      <c r="C4" s="34"/>
      <c r="E4" s="34"/>
      <c r="F4" s="36" t="s">
        <v>589</v>
      </c>
      <c r="G4" s="36"/>
    </row>
    <row r="5" spans="1:27" ht="35.25" customHeight="1" x14ac:dyDescent="0.25">
      <c r="A5" s="9" t="s">
        <v>0</v>
      </c>
      <c r="B5" s="9" t="s">
        <v>1</v>
      </c>
      <c r="C5" s="9" t="s">
        <v>566</v>
      </c>
      <c r="D5" s="10" t="s">
        <v>643</v>
      </c>
      <c r="E5" s="9" t="s">
        <v>647</v>
      </c>
      <c r="F5" s="11" t="s">
        <v>633</v>
      </c>
      <c r="G5" s="11" t="s">
        <v>5</v>
      </c>
      <c r="H5" s="11" t="s">
        <v>6</v>
      </c>
      <c r="I5" s="11" t="s">
        <v>7</v>
      </c>
      <c r="J5" s="12" t="s">
        <v>8</v>
      </c>
      <c r="K5" s="11" t="s">
        <v>9</v>
      </c>
      <c r="L5" s="11" t="s">
        <v>10</v>
      </c>
      <c r="M5" s="11" t="s">
        <v>11</v>
      </c>
      <c r="N5" s="11" t="s">
        <v>12</v>
      </c>
      <c r="O5" s="9" t="s">
        <v>13</v>
      </c>
      <c r="P5" s="9" t="s">
        <v>14</v>
      </c>
      <c r="Q5" s="9" t="s">
        <v>641</v>
      </c>
      <c r="R5" s="9" t="s">
        <v>16</v>
      </c>
      <c r="S5" s="13" t="s">
        <v>201</v>
      </c>
      <c r="T5" s="13" t="s">
        <v>202</v>
      </c>
      <c r="U5" s="13" t="s">
        <v>257</v>
      </c>
      <c r="V5" s="28" t="s">
        <v>301</v>
      </c>
      <c r="W5" s="28" t="s">
        <v>299</v>
      </c>
      <c r="X5" s="28" t="s">
        <v>300</v>
      </c>
      <c r="Y5" s="28" t="s">
        <v>298</v>
      </c>
      <c r="Z5" s="9" t="s">
        <v>17</v>
      </c>
      <c r="AA5" s="9" t="s">
        <v>278</v>
      </c>
    </row>
    <row r="6" spans="1:27" s="41" customFormat="1" ht="15" customHeight="1" x14ac:dyDescent="0.2">
      <c r="A6" s="45">
        <v>4600045858</v>
      </c>
      <c r="B6" s="45" t="s">
        <v>33</v>
      </c>
      <c r="C6" s="46" t="s">
        <v>568</v>
      </c>
      <c r="D6" s="47">
        <v>189281</v>
      </c>
      <c r="E6" s="46" t="s">
        <v>642</v>
      </c>
      <c r="F6" s="46" t="s">
        <v>34</v>
      </c>
      <c r="G6" s="46" t="s">
        <v>34</v>
      </c>
      <c r="H6" s="46" t="s">
        <v>18</v>
      </c>
      <c r="I6" s="48" t="s">
        <v>35</v>
      </c>
      <c r="J6" s="49">
        <v>110778.92</v>
      </c>
      <c r="K6" s="46" t="s">
        <v>19</v>
      </c>
      <c r="L6" s="50">
        <v>42066</v>
      </c>
      <c r="M6" s="50">
        <v>45445</v>
      </c>
      <c r="N6" s="50">
        <f t="shared" ref="N6:N26" si="0">M6-(30*4)</f>
        <v>45325</v>
      </c>
      <c r="O6" s="50">
        <f t="shared" ref="O6:O12" si="1">M6-150</f>
        <v>45295</v>
      </c>
      <c r="P6" s="51">
        <v>12</v>
      </c>
      <c r="Q6" s="52">
        <f>J6/P6</f>
        <v>9231.5766666666659</v>
      </c>
      <c r="R6" s="53" t="s">
        <v>208</v>
      </c>
      <c r="S6" s="53" t="s">
        <v>205</v>
      </c>
      <c r="T6" s="54" t="s">
        <v>20</v>
      </c>
      <c r="U6" s="55" t="s">
        <v>263</v>
      </c>
      <c r="V6" s="55"/>
      <c r="W6" s="55" t="s">
        <v>305</v>
      </c>
      <c r="X6" s="55" t="s">
        <v>304</v>
      </c>
      <c r="Y6" s="55" t="s">
        <v>303</v>
      </c>
      <c r="Z6" s="55"/>
      <c r="AA6" s="55"/>
    </row>
    <row r="7" spans="1:27" s="41" customFormat="1" ht="15" customHeight="1" x14ac:dyDescent="0.2">
      <c r="A7" s="55">
        <v>4600046679</v>
      </c>
      <c r="B7" s="55" t="s">
        <v>190</v>
      </c>
      <c r="C7" s="46" t="s">
        <v>568</v>
      </c>
      <c r="D7" s="47">
        <v>3008204</v>
      </c>
      <c r="E7" s="59">
        <v>4600057577</v>
      </c>
      <c r="F7" s="47" t="s">
        <v>21</v>
      </c>
      <c r="G7" s="47" t="s">
        <v>21</v>
      </c>
      <c r="H7" s="47" t="s">
        <v>18</v>
      </c>
      <c r="I7" s="48" t="s">
        <v>36</v>
      </c>
      <c r="J7" s="49">
        <v>17823700.16</v>
      </c>
      <c r="K7" s="47" t="s">
        <v>37</v>
      </c>
      <c r="L7" s="56">
        <v>45105</v>
      </c>
      <c r="M7" s="56">
        <v>45470</v>
      </c>
      <c r="N7" s="56">
        <f t="shared" si="0"/>
        <v>45350</v>
      </c>
      <c r="O7" s="56">
        <f t="shared" si="1"/>
        <v>45320</v>
      </c>
      <c r="P7" s="47">
        <v>12</v>
      </c>
      <c r="Q7" s="58">
        <v>20196274.52</v>
      </c>
      <c r="R7" s="53" t="s">
        <v>22</v>
      </c>
      <c r="S7" s="53" t="s">
        <v>204</v>
      </c>
      <c r="T7" s="54" t="s">
        <v>553</v>
      </c>
      <c r="U7" s="55" t="s">
        <v>261</v>
      </c>
      <c r="V7" s="55"/>
      <c r="W7" s="55" t="s">
        <v>307</v>
      </c>
      <c r="X7" s="55" t="s">
        <v>308</v>
      </c>
      <c r="Y7" s="55" t="s">
        <v>306</v>
      </c>
      <c r="Z7" s="55"/>
      <c r="AA7" s="55"/>
    </row>
    <row r="8" spans="1:27" s="41" customFormat="1" ht="15" customHeight="1" x14ac:dyDescent="0.2">
      <c r="A8" s="45">
        <v>4600047323</v>
      </c>
      <c r="B8" s="45" t="s">
        <v>39</v>
      </c>
      <c r="C8" s="46" t="s">
        <v>568</v>
      </c>
      <c r="D8" s="47">
        <v>193603</v>
      </c>
      <c r="E8" s="61">
        <v>4600057959</v>
      </c>
      <c r="F8" s="46" t="s">
        <v>34</v>
      </c>
      <c r="G8" s="46" t="s">
        <v>34</v>
      </c>
      <c r="H8" s="46" t="s">
        <v>18</v>
      </c>
      <c r="I8" s="48" t="s">
        <v>40</v>
      </c>
      <c r="J8" s="49">
        <v>3311156.76</v>
      </c>
      <c r="K8" s="46" t="s">
        <v>19</v>
      </c>
      <c r="L8" s="50">
        <v>42431</v>
      </c>
      <c r="M8" s="50">
        <v>45351</v>
      </c>
      <c r="N8" s="50">
        <f t="shared" si="0"/>
        <v>45231</v>
      </c>
      <c r="O8" s="50">
        <f t="shared" si="1"/>
        <v>45201</v>
      </c>
      <c r="P8" s="51">
        <v>24</v>
      </c>
      <c r="Q8" s="52">
        <v>35319.362727272739</v>
      </c>
      <c r="R8" s="53" t="s">
        <v>208</v>
      </c>
      <c r="S8" s="53" t="s">
        <v>205</v>
      </c>
      <c r="T8" s="54" t="s">
        <v>20</v>
      </c>
      <c r="U8" s="55" t="s">
        <v>263</v>
      </c>
      <c r="V8" s="55"/>
      <c r="W8" s="55" t="s">
        <v>310</v>
      </c>
      <c r="X8" s="55" t="s">
        <v>311</v>
      </c>
      <c r="Y8" s="55" t="s">
        <v>309</v>
      </c>
      <c r="Z8" s="55"/>
      <c r="AA8" s="55"/>
    </row>
    <row r="9" spans="1:27" s="41" customFormat="1" ht="15" customHeight="1" x14ac:dyDescent="0.2">
      <c r="A9" s="45">
        <v>4600047741</v>
      </c>
      <c r="B9" s="45" t="s">
        <v>41</v>
      </c>
      <c r="C9" s="46" t="s">
        <v>568</v>
      </c>
      <c r="D9" s="47">
        <v>1015876</v>
      </c>
      <c r="E9" s="61">
        <v>4600057927</v>
      </c>
      <c r="F9" s="46" t="s">
        <v>34</v>
      </c>
      <c r="G9" s="46" t="s">
        <v>34</v>
      </c>
      <c r="H9" s="46" t="s">
        <v>18</v>
      </c>
      <c r="I9" s="48" t="s">
        <v>42</v>
      </c>
      <c r="J9" s="49">
        <v>665098.52</v>
      </c>
      <c r="K9" s="46" t="s">
        <v>19</v>
      </c>
      <c r="L9" s="50">
        <v>42529</v>
      </c>
      <c r="M9" s="50">
        <v>45451</v>
      </c>
      <c r="N9" s="50">
        <f t="shared" si="0"/>
        <v>45331</v>
      </c>
      <c r="O9" s="50">
        <f t="shared" si="1"/>
        <v>45301</v>
      </c>
      <c r="P9" s="51">
        <v>12</v>
      </c>
      <c r="Q9" s="52">
        <f t="shared" ref="Q9:Q14" si="2">J9/P9</f>
        <v>55424.876666666671</v>
      </c>
      <c r="R9" s="53" t="s">
        <v>29</v>
      </c>
      <c r="S9" s="54" t="s">
        <v>30</v>
      </c>
      <c r="T9" s="54" t="s">
        <v>75</v>
      </c>
      <c r="U9" s="55" t="s">
        <v>265</v>
      </c>
      <c r="V9" s="55"/>
      <c r="W9" s="55" t="s">
        <v>313</v>
      </c>
      <c r="X9" s="55" t="s">
        <v>314</v>
      </c>
      <c r="Y9" s="55" t="s">
        <v>312</v>
      </c>
      <c r="Z9" s="55" t="s">
        <v>291</v>
      </c>
      <c r="AA9" s="55"/>
    </row>
    <row r="10" spans="1:27" s="41" customFormat="1" ht="15" customHeight="1" x14ac:dyDescent="0.2">
      <c r="A10" s="55">
        <v>4600047874</v>
      </c>
      <c r="B10" s="55" t="s">
        <v>44</v>
      </c>
      <c r="C10" s="47" t="s">
        <v>569</v>
      </c>
      <c r="D10" s="47">
        <v>109824</v>
      </c>
      <c r="E10" s="46" t="s">
        <v>642</v>
      </c>
      <c r="F10" s="47" t="s">
        <v>21</v>
      </c>
      <c r="G10" s="47"/>
      <c r="H10" s="47" t="s">
        <v>18</v>
      </c>
      <c r="I10" s="48" t="s">
        <v>45</v>
      </c>
      <c r="J10" s="49">
        <v>534228.24</v>
      </c>
      <c r="K10" s="47" t="s">
        <v>19</v>
      </c>
      <c r="L10" s="56">
        <v>44743</v>
      </c>
      <c r="M10" s="56">
        <v>45473</v>
      </c>
      <c r="N10" s="56">
        <f t="shared" si="0"/>
        <v>45353</v>
      </c>
      <c r="O10" s="56">
        <f t="shared" si="1"/>
        <v>45323</v>
      </c>
      <c r="P10" s="57">
        <v>24</v>
      </c>
      <c r="Q10" s="58">
        <f t="shared" si="2"/>
        <v>22259.51</v>
      </c>
      <c r="R10" s="53" t="s">
        <v>29</v>
      </c>
      <c r="S10" s="53" t="s">
        <v>30</v>
      </c>
      <c r="T10" s="53" t="s">
        <v>203</v>
      </c>
      <c r="U10" s="55" t="s">
        <v>265</v>
      </c>
      <c r="V10" s="55" t="s">
        <v>318</v>
      </c>
      <c r="W10" s="55" t="s">
        <v>316</v>
      </c>
      <c r="X10" s="55" t="s">
        <v>308</v>
      </c>
      <c r="Y10" s="55" t="s">
        <v>315</v>
      </c>
      <c r="Z10" s="55" t="s">
        <v>46</v>
      </c>
      <c r="AA10" s="55"/>
    </row>
    <row r="11" spans="1:27" s="41" customFormat="1" ht="15" customHeight="1" x14ac:dyDescent="0.2">
      <c r="A11" s="55">
        <v>4600052324</v>
      </c>
      <c r="B11" s="55" t="s">
        <v>44</v>
      </c>
      <c r="C11" s="47" t="s">
        <v>569</v>
      </c>
      <c r="D11" s="47">
        <v>109824</v>
      </c>
      <c r="E11" s="46" t="s">
        <v>642</v>
      </c>
      <c r="F11" s="47" t="s">
        <v>21</v>
      </c>
      <c r="G11" s="47"/>
      <c r="H11" s="47" t="s">
        <v>18</v>
      </c>
      <c r="I11" s="48" t="s">
        <v>45</v>
      </c>
      <c r="J11" s="49">
        <v>534228.24</v>
      </c>
      <c r="K11" s="47" t="s">
        <v>19</v>
      </c>
      <c r="L11" s="56">
        <v>44743</v>
      </c>
      <c r="M11" s="56">
        <v>45473</v>
      </c>
      <c r="N11" s="56">
        <f t="shared" si="0"/>
        <v>45353</v>
      </c>
      <c r="O11" s="56">
        <f t="shared" si="1"/>
        <v>45323</v>
      </c>
      <c r="P11" s="57">
        <v>24</v>
      </c>
      <c r="Q11" s="58">
        <f t="shared" si="2"/>
        <v>22259.51</v>
      </c>
      <c r="R11" s="53" t="s">
        <v>29</v>
      </c>
      <c r="S11" s="53" t="s">
        <v>30</v>
      </c>
      <c r="T11" s="53" t="s">
        <v>203</v>
      </c>
      <c r="U11" s="55" t="s">
        <v>265</v>
      </c>
      <c r="V11" s="55" t="s">
        <v>318</v>
      </c>
      <c r="W11" s="55" t="s">
        <v>316</v>
      </c>
      <c r="X11" s="55" t="s">
        <v>308</v>
      </c>
      <c r="Y11" s="55" t="s">
        <v>315</v>
      </c>
      <c r="Z11" s="55" t="s">
        <v>46</v>
      </c>
      <c r="AA11" s="55"/>
    </row>
    <row r="12" spans="1:27" s="41" customFormat="1" ht="15" customHeight="1" x14ac:dyDescent="0.2">
      <c r="A12" s="45">
        <v>4600049450</v>
      </c>
      <c r="B12" s="45" t="s">
        <v>50</v>
      </c>
      <c r="C12" s="47" t="s">
        <v>569</v>
      </c>
      <c r="D12" s="47">
        <v>1018338</v>
      </c>
      <c r="E12" s="61">
        <v>4600058132</v>
      </c>
      <c r="F12" s="46" t="s">
        <v>34</v>
      </c>
      <c r="G12" s="46" t="s">
        <v>34</v>
      </c>
      <c r="H12" s="46" t="s">
        <v>18</v>
      </c>
      <c r="I12" s="48" t="s">
        <v>51</v>
      </c>
      <c r="J12" s="49">
        <v>542464</v>
      </c>
      <c r="K12" s="46" t="s">
        <v>19</v>
      </c>
      <c r="L12" s="50">
        <v>42979</v>
      </c>
      <c r="M12" s="50">
        <v>45322</v>
      </c>
      <c r="N12" s="50">
        <f t="shared" si="0"/>
        <v>45202</v>
      </c>
      <c r="O12" s="50">
        <f t="shared" si="1"/>
        <v>45172</v>
      </c>
      <c r="P12" s="51">
        <v>26</v>
      </c>
      <c r="Q12" s="52">
        <f t="shared" si="2"/>
        <v>20864</v>
      </c>
      <c r="R12" s="53" t="s">
        <v>29</v>
      </c>
      <c r="S12" s="54" t="s">
        <v>30</v>
      </c>
      <c r="T12" s="54" t="s">
        <v>203</v>
      </c>
      <c r="U12" s="55" t="s">
        <v>265</v>
      </c>
      <c r="V12" s="55" t="s">
        <v>350</v>
      </c>
      <c r="W12" s="55" t="s">
        <v>326</v>
      </c>
      <c r="X12" s="55" t="s">
        <v>308</v>
      </c>
      <c r="Y12" s="55" t="s">
        <v>325</v>
      </c>
      <c r="Z12" s="55" t="s">
        <v>565</v>
      </c>
      <c r="AA12" s="55"/>
    </row>
    <row r="13" spans="1:27" s="41" customFormat="1" ht="15" customHeight="1" x14ac:dyDescent="0.2">
      <c r="A13" s="45">
        <v>4600049631</v>
      </c>
      <c r="B13" s="45" t="s">
        <v>44</v>
      </c>
      <c r="C13" s="47" t="s">
        <v>569</v>
      </c>
      <c r="D13" s="47">
        <v>109824</v>
      </c>
      <c r="E13" s="46" t="s">
        <v>642</v>
      </c>
      <c r="F13" s="46" t="s">
        <v>34</v>
      </c>
      <c r="G13" s="46" t="s">
        <v>34</v>
      </c>
      <c r="H13" s="46" t="s">
        <v>18</v>
      </c>
      <c r="I13" s="48" t="s">
        <v>54</v>
      </c>
      <c r="J13" s="49">
        <v>1010496.14</v>
      </c>
      <c r="K13" s="46" t="s">
        <v>19</v>
      </c>
      <c r="L13" s="50">
        <v>42979</v>
      </c>
      <c r="M13" s="50">
        <v>45419</v>
      </c>
      <c r="N13" s="50">
        <f t="shared" si="0"/>
        <v>45299</v>
      </c>
      <c r="O13" s="50">
        <v>43014</v>
      </c>
      <c r="P13" s="51">
        <f>(4*12)+2</f>
        <v>50</v>
      </c>
      <c r="Q13" s="52">
        <f t="shared" si="2"/>
        <v>20209.9228</v>
      </c>
      <c r="R13" s="53" t="s">
        <v>29</v>
      </c>
      <c r="S13" s="54" t="s">
        <v>30</v>
      </c>
      <c r="T13" s="54" t="s">
        <v>203</v>
      </c>
      <c r="U13" s="55" t="s">
        <v>265</v>
      </c>
      <c r="V13" s="55" t="s">
        <v>329</v>
      </c>
      <c r="W13" s="55" t="s">
        <v>328</v>
      </c>
      <c r="X13" s="55" t="s">
        <v>308</v>
      </c>
      <c r="Y13" s="55" t="s">
        <v>327</v>
      </c>
      <c r="Z13" s="55"/>
      <c r="AA13" s="55"/>
    </row>
    <row r="14" spans="1:27" s="41" customFormat="1" ht="15" customHeight="1" x14ac:dyDescent="0.2">
      <c r="A14" s="45">
        <v>4600051978</v>
      </c>
      <c r="B14" s="45" t="s">
        <v>64</v>
      </c>
      <c r="C14" s="46" t="s">
        <v>567</v>
      </c>
      <c r="D14" s="62">
        <v>3029701</v>
      </c>
      <c r="E14" s="61">
        <v>4600057919</v>
      </c>
      <c r="F14" s="46" t="s">
        <v>34</v>
      </c>
      <c r="G14" s="46" t="s">
        <v>34</v>
      </c>
      <c r="H14" s="46" t="s">
        <v>18</v>
      </c>
      <c r="I14" s="48" t="s">
        <v>65</v>
      </c>
      <c r="J14" s="49">
        <v>1978632.88</v>
      </c>
      <c r="K14" s="46" t="s">
        <v>19</v>
      </c>
      <c r="L14" s="50">
        <v>43817</v>
      </c>
      <c r="M14" s="50">
        <v>45337</v>
      </c>
      <c r="N14" s="50">
        <f t="shared" si="0"/>
        <v>45217</v>
      </c>
      <c r="O14" s="50">
        <f t="shared" ref="O14:O26" si="3">M14-150</f>
        <v>45187</v>
      </c>
      <c r="P14" s="51">
        <v>24</v>
      </c>
      <c r="Q14" s="52">
        <f t="shared" si="2"/>
        <v>82443.036666666667</v>
      </c>
      <c r="R14" s="53" t="s">
        <v>208</v>
      </c>
      <c r="S14" s="53" t="s">
        <v>217</v>
      </c>
      <c r="T14" s="54" t="s">
        <v>218</v>
      </c>
      <c r="U14" s="55" t="s">
        <v>265</v>
      </c>
      <c r="V14" s="55" t="s">
        <v>345</v>
      </c>
      <c r="W14" s="55" t="s">
        <v>344</v>
      </c>
      <c r="X14" s="55" t="s">
        <v>308</v>
      </c>
      <c r="Y14" s="55" t="s">
        <v>343</v>
      </c>
      <c r="Z14" s="55" t="s">
        <v>284</v>
      </c>
      <c r="AA14" s="60">
        <v>45342</v>
      </c>
    </row>
    <row r="15" spans="1:27" s="41" customFormat="1" ht="15" customHeight="1" x14ac:dyDescent="0.2">
      <c r="A15" s="45">
        <v>4600052083</v>
      </c>
      <c r="B15" s="45" t="s">
        <v>66</v>
      </c>
      <c r="C15" s="46" t="s">
        <v>568</v>
      </c>
      <c r="D15" s="47">
        <v>3029596</v>
      </c>
      <c r="E15" s="46" t="s">
        <v>642</v>
      </c>
      <c r="F15" s="46" t="s">
        <v>34</v>
      </c>
      <c r="G15" s="46" t="s">
        <v>34</v>
      </c>
      <c r="H15" s="46" t="s">
        <v>18</v>
      </c>
      <c r="I15" s="48" t="s">
        <v>67</v>
      </c>
      <c r="J15" s="49">
        <v>677302.09</v>
      </c>
      <c r="K15" s="46" t="s">
        <v>19</v>
      </c>
      <c r="L15" s="50">
        <v>43878</v>
      </c>
      <c r="M15" s="50">
        <v>45338</v>
      </c>
      <c r="N15" s="50">
        <f t="shared" si="0"/>
        <v>45218</v>
      </c>
      <c r="O15" s="50">
        <f t="shared" si="3"/>
        <v>45188</v>
      </c>
      <c r="P15" s="51">
        <v>24</v>
      </c>
      <c r="Q15" s="52">
        <v>13869.845384615386</v>
      </c>
      <c r="R15" s="53" t="s">
        <v>208</v>
      </c>
      <c r="S15" s="53" t="s">
        <v>205</v>
      </c>
      <c r="T15" s="54" t="s">
        <v>20</v>
      </c>
      <c r="U15" s="55" t="s">
        <v>263</v>
      </c>
      <c r="V15" s="55" t="s">
        <v>349</v>
      </c>
      <c r="W15" s="55" t="s">
        <v>347</v>
      </c>
      <c r="X15" s="55" t="s">
        <v>348</v>
      </c>
      <c r="Y15" s="55" t="s">
        <v>346</v>
      </c>
      <c r="Z15" s="55"/>
      <c r="AA15" s="55"/>
    </row>
    <row r="16" spans="1:27" s="41" customFormat="1" ht="15" customHeight="1" x14ac:dyDescent="0.2">
      <c r="A16" s="45">
        <v>4600052321</v>
      </c>
      <c r="B16" s="45" t="s">
        <v>70</v>
      </c>
      <c r="C16" s="46" t="s">
        <v>568</v>
      </c>
      <c r="D16" s="47">
        <v>3035932</v>
      </c>
      <c r="E16" s="61">
        <v>4600058154</v>
      </c>
      <c r="F16" s="46" t="s">
        <v>34</v>
      </c>
      <c r="G16" s="46" t="s">
        <v>34</v>
      </c>
      <c r="H16" s="46" t="s">
        <v>18</v>
      </c>
      <c r="I16" s="48" t="s">
        <v>71</v>
      </c>
      <c r="J16" s="49">
        <v>4964694.99</v>
      </c>
      <c r="K16" s="46" t="s">
        <v>19</v>
      </c>
      <c r="L16" s="50">
        <v>43981</v>
      </c>
      <c r="M16" s="50">
        <v>45442</v>
      </c>
      <c r="N16" s="50">
        <f t="shared" si="0"/>
        <v>45322</v>
      </c>
      <c r="O16" s="50">
        <f t="shared" si="3"/>
        <v>45292</v>
      </c>
      <c r="P16" s="51">
        <v>24</v>
      </c>
      <c r="Q16" s="52">
        <f>J16/P16</f>
        <v>206862.29125000001</v>
      </c>
      <c r="R16" s="53" t="s">
        <v>208</v>
      </c>
      <c r="S16" s="54" t="s">
        <v>205</v>
      </c>
      <c r="T16" s="54" t="s">
        <v>20</v>
      </c>
      <c r="U16" s="55" t="s">
        <v>263</v>
      </c>
      <c r="V16" s="55"/>
      <c r="W16" s="55" t="s">
        <v>353</v>
      </c>
      <c r="X16" s="55" t="s">
        <v>354</v>
      </c>
      <c r="Y16" s="55" t="s">
        <v>352</v>
      </c>
      <c r="Z16" s="55"/>
      <c r="AA16" s="55"/>
    </row>
    <row r="17" spans="1:27" s="41" customFormat="1" ht="15" customHeight="1" x14ac:dyDescent="0.2">
      <c r="A17" s="45">
        <v>4600052901</v>
      </c>
      <c r="B17" s="45" t="s">
        <v>80</v>
      </c>
      <c r="C17" s="46" t="s">
        <v>568</v>
      </c>
      <c r="D17" s="57">
        <v>3036775</v>
      </c>
      <c r="E17" s="46" t="s">
        <v>642</v>
      </c>
      <c r="F17" s="46" t="s">
        <v>34</v>
      </c>
      <c r="G17" s="46" t="s">
        <v>34</v>
      </c>
      <c r="H17" s="46" t="s">
        <v>18</v>
      </c>
      <c r="I17" s="48" t="s">
        <v>81</v>
      </c>
      <c r="J17" s="49">
        <v>7440</v>
      </c>
      <c r="K17" s="46" t="s">
        <v>19</v>
      </c>
      <c r="L17" s="50">
        <v>44170</v>
      </c>
      <c r="M17" s="50">
        <v>45264</v>
      </c>
      <c r="N17" s="50">
        <f t="shared" si="0"/>
        <v>45144</v>
      </c>
      <c r="O17" s="50">
        <f t="shared" si="3"/>
        <v>45114</v>
      </c>
      <c r="P17" s="51">
        <v>36</v>
      </c>
      <c r="Q17" s="52">
        <f>J17/P17</f>
        <v>206.66666666666666</v>
      </c>
      <c r="R17" s="53" t="s">
        <v>29</v>
      </c>
      <c r="S17" s="53" t="s">
        <v>30</v>
      </c>
      <c r="T17" s="54" t="s">
        <v>203</v>
      </c>
      <c r="U17" s="55" t="s">
        <v>265</v>
      </c>
      <c r="V17" s="55"/>
      <c r="W17" s="55" t="s">
        <v>365</v>
      </c>
      <c r="X17" s="55" t="s">
        <v>366</v>
      </c>
      <c r="Y17" s="55" t="s">
        <v>364</v>
      </c>
      <c r="Z17" s="55"/>
      <c r="AA17" s="55"/>
    </row>
    <row r="18" spans="1:27" s="41" customFormat="1" ht="15" customHeight="1" x14ac:dyDescent="0.2">
      <c r="A18" s="45">
        <v>4600053388</v>
      </c>
      <c r="B18" s="45" t="s">
        <v>87</v>
      </c>
      <c r="C18" s="46" t="s">
        <v>567</v>
      </c>
      <c r="D18" s="57">
        <v>3037927</v>
      </c>
      <c r="E18" s="61">
        <v>4600058067</v>
      </c>
      <c r="F18" s="46" t="s">
        <v>34</v>
      </c>
      <c r="G18" s="46" t="s">
        <v>34</v>
      </c>
      <c r="H18" s="46" t="s">
        <v>18</v>
      </c>
      <c r="I18" s="48" t="s">
        <v>88</v>
      </c>
      <c r="J18" s="49">
        <v>1114145.76</v>
      </c>
      <c r="K18" s="46" t="s">
        <v>19</v>
      </c>
      <c r="L18" s="50">
        <v>45139</v>
      </c>
      <c r="M18" s="50">
        <v>45291</v>
      </c>
      <c r="N18" s="50">
        <f t="shared" si="0"/>
        <v>45171</v>
      </c>
      <c r="O18" s="50">
        <f t="shared" si="3"/>
        <v>45141</v>
      </c>
      <c r="P18" s="51">
        <v>24</v>
      </c>
      <c r="Q18" s="52">
        <f>J18/P18</f>
        <v>46422.74</v>
      </c>
      <c r="R18" s="53" t="s">
        <v>29</v>
      </c>
      <c r="S18" s="53" t="s">
        <v>30</v>
      </c>
      <c r="T18" s="54" t="s">
        <v>75</v>
      </c>
      <c r="U18" s="55" t="s">
        <v>265</v>
      </c>
      <c r="V18" s="55"/>
      <c r="W18" s="55" t="s">
        <v>369</v>
      </c>
      <c r="X18" s="55" t="s">
        <v>308</v>
      </c>
      <c r="Y18" s="55" t="s">
        <v>368</v>
      </c>
      <c r="Z18" s="55"/>
      <c r="AA18" s="55"/>
    </row>
    <row r="19" spans="1:27" s="41" customFormat="1" ht="14.25" customHeight="1" x14ac:dyDescent="0.2">
      <c r="A19" s="45">
        <v>4600053874</v>
      </c>
      <c r="B19" s="45" t="s">
        <v>64</v>
      </c>
      <c r="C19" s="46" t="s">
        <v>568</v>
      </c>
      <c r="D19" s="62">
        <v>3029701</v>
      </c>
      <c r="E19" s="61">
        <v>4600057902</v>
      </c>
      <c r="F19" s="46" t="s">
        <v>34</v>
      </c>
      <c r="G19" s="46" t="s">
        <v>34</v>
      </c>
      <c r="H19" s="46" t="s">
        <v>18</v>
      </c>
      <c r="I19" s="48" t="s">
        <v>90</v>
      </c>
      <c r="J19" s="49">
        <v>46512</v>
      </c>
      <c r="K19" s="46" t="s">
        <v>19</v>
      </c>
      <c r="L19" s="50">
        <v>44419</v>
      </c>
      <c r="M19" s="50">
        <v>45301</v>
      </c>
      <c r="N19" s="50">
        <f t="shared" si="0"/>
        <v>45181</v>
      </c>
      <c r="O19" s="50">
        <f t="shared" si="3"/>
        <v>45151</v>
      </c>
      <c r="P19" s="51">
        <v>29</v>
      </c>
      <c r="Q19" s="52">
        <f>J19/P19</f>
        <v>1603.8620689655172</v>
      </c>
      <c r="R19" s="53" t="s">
        <v>29</v>
      </c>
      <c r="S19" s="54" t="s">
        <v>30</v>
      </c>
      <c r="T19" s="54" t="s">
        <v>75</v>
      </c>
      <c r="U19" s="55" t="s">
        <v>265</v>
      </c>
      <c r="V19" s="55"/>
      <c r="W19" s="55" t="s">
        <v>344</v>
      </c>
      <c r="X19" s="55" t="s">
        <v>308</v>
      </c>
      <c r="Y19" s="55" t="s">
        <v>343</v>
      </c>
      <c r="Z19" s="55"/>
      <c r="AA19" s="55"/>
    </row>
    <row r="20" spans="1:27" s="41" customFormat="1" ht="15" customHeight="1" x14ac:dyDescent="0.2">
      <c r="A20" s="45">
        <v>4600054540</v>
      </c>
      <c r="B20" s="45" t="s">
        <v>97</v>
      </c>
      <c r="C20" s="46" t="s">
        <v>569</v>
      </c>
      <c r="D20" s="47">
        <v>143950</v>
      </c>
      <c r="E20" s="61">
        <v>4600057891</v>
      </c>
      <c r="F20" s="46" t="s">
        <v>21</v>
      </c>
      <c r="G20" s="46" t="s">
        <v>34</v>
      </c>
      <c r="H20" s="46" t="s">
        <v>95</v>
      </c>
      <c r="I20" s="48" t="s">
        <v>98</v>
      </c>
      <c r="J20" s="49">
        <v>2559718</v>
      </c>
      <c r="K20" s="46" t="s">
        <v>19</v>
      </c>
      <c r="L20" s="50">
        <v>44876</v>
      </c>
      <c r="M20" s="50">
        <v>45322</v>
      </c>
      <c r="N20" s="50">
        <f t="shared" si="0"/>
        <v>45202</v>
      </c>
      <c r="O20" s="50">
        <f t="shared" si="3"/>
        <v>45172</v>
      </c>
      <c r="P20" s="46">
        <v>12</v>
      </c>
      <c r="Q20" s="52">
        <v>600000</v>
      </c>
      <c r="R20" s="53" t="s">
        <v>96</v>
      </c>
      <c r="S20" s="54" t="s">
        <v>86</v>
      </c>
      <c r="T20" s="54" t="s">
        <v>86</v>
      </c>
      <c r="U20" s="55" t="s">
        <v>86</v>
      </c>
      <c r="V20" s="55"/>
      <c r="W20" s="55" t="s">
        <v>379</v>
      </c>
      <c r="X20" s="55" t="s">
        <v>308</v>
      </c>
      <c r="Y20" s="55" t="s">
        <v>378</v>
      </c>
      <c r="Z20" s="55"/>
      <c r="AA20" s="55"/>
    </row>
    <row r="21" spans="1:27" s="41" customFormat="1" ht="15" customHeight="1" x14ac:dyDescent="0.2">
      <c r="A21" s="55">
        <v>4600055123</v>
      </c>
      <c r="B21" s="55" t="s">
        <v>100</v>
      </c>
      <c r="C21" s="47" t="s">
        <v>569</v>
      </c>
      <c r="D21" s="47">
        <v>106224</v>
      </c>
      <c r="E21" s="46" t="s">
        <v>642</v>
      </c>
      <c r="F21" s="47" t="s">
        <v>21</v>
      </c>
      <c r="G21" s="47" t="s">
        <v>31</v>
      </c>
      <c r="H21" s="47" t="s">
        <v>18</v>
      </c>
      <c r="I21" s="48" t="s">
        <v>101</v>
      </c>
      <c r="J21" s="49">
        <v>6451173.75</v>
      </c>
      <c r="K21" s="47" t="s">
        <v>19</v>
      </c>
      <c r="L21" s="56">
        <v>44939</v>
      </c>
      <c r="M21" s="56">
        <v>45291</v>
      </c>
      <c r="N21" s="56">
        <f t="shared" si="0"/>
        <v>45171</v>
      </c>
      <c r="O21" s="56">
        <f t="shared" si="3"/>
        <v>45141</v>
      </c>
      <c r="P21" s="57">
        <v>15</v>
      </c>
      <c r="Q21" s="58">
        <f>J21/P21</f>
        <v>430078.25</v>
      </c>
      <c r="R21" s="53" t="s">
        <v>29</v>
      </c>
      <c r="S21" s="53" t="s">
        <v>30</v>
      </c>
      <c r="T21" s="54" t="s">
        <v>203</v>
      </c>
      <c r="U21" s="55" t="s">
        <v>265</v>
      </c>
      <c r="V21" s="55"/>
      <c r="W21" s="55" t="s">
        <v>381</v>
      </c>
      <c r="X21" s="55" t="s">
        <v>382</v>
      </c>
      <c r="Y21" s="55" t="s">
        <v>380</v>
      </c>
      <c r="Z21" s="55"/>
      <c r="AA21" s="55"/>
    </row>
    <row r="22" spans="1:27" s="41" customFormat="1" ht="15" customHeight="1" x14ac:dyDescent="0.2">
      <c r="A22" s="55">
        <v>4600055189</v>
      </c>
      <c r="B22" s="55" t="s">
        <v>102</v>
      </c>
      <c r="C22" s="46" t="s">
        <v>568</v>
      </c>
      <c r="D22" s="47">
        <v>189602</v>
      </c>
      <c r="E22" s="59">
        <v>4600057955</v>
      </c>
      <c r="F22" s="47" t="s">
        <v>103</v>
      </c>
      <c r="G22" s="47" t="s">
        <v>34</v>
      </c>
      <c r="H22" s="47" t="s">
        <v>18</v>
      </c>
      <c r="I22" s="48" t="s">
        <v>104</v>
      </c>
      <c r="J22" s="49">
        <v>1952492.22</v>
      </c>
      <c r="K22" s="47" t="s">
        <v>19</v>
      </c>
      <c r="L22" s="56">
        <v>43951</v>
      </c>
      <c r="M22" s="56">
        <v>45411</v>
      </c>
      <c r="N22" s="56">
        <f t="shared" si="0"/>
        <v>45291</v>
      </c>
      <c r="O22" s="56">
        <f t="shared" si="3"/>
        <v>45261</v>
      </c>
      <c r="P22" s="57">
        <v>24</v>
      </c>
      <c r="Q22" s="58">
        <v>24972.427999999996</v>
      </c>
      <c r="R22" s="53" t="s">
        <v>208</v>
      </c>
      <c r="S22" s="53" t="s">
        <v>205</v>
      </c>
      <c r="T22" s="54" t="s">
        <v>20</v>
      </c>
      <c r="U22" s="55" t="s">
        <v>263</v>
      </c>
      <c r="V22" s="55" t="s">
        <v>386</v>
      </c>
      <c r="W22" s="55" t="s">
        <v>384</v>
      </c>
      <c r="X22" s="55" t="s">
        <v>385</v>
      </c>
      <c r="Y22" s="55" t="s">
        <v>383</v>
      </c>
      <c r="Z22" s="55" t="s">
        <v>290</v>
      </c>
      <c r="AA22" s="55"/>
    </row>
    <row r="23" spans="1:27" s="41" customFormat="1" ht="15" customHeight="1" x14ac:dyDescent="0.2">
      <c r="A23" s="45">
        <v>4600055328</v>
      </c>
      <c r="B23" s="45" t="s">
        <v>108</v>
      </c>
      <c r="C23" s="47" t="s">
        <v>567</v>
      </c>
      <c r="D23" s="57">
        <v>168322</v>
      </c>
      <c r="E23" s="61">
        <v>4600058125</v>
      </c>
      <c r="F23" s="46" t="s">
        <v>34</v>
      </c>
      <c r="G23" s="46" t="s">
        <v>34</v>
      </c>
      <c r="H23" s="46" t="s">
        <v>18</v>
      </c>
      <c r="I23" s="48" t="s">
        <v>109</v>
      </c>
      <c r="J23" s="49">
        <v>1032750</v>
      </c>
      <c r="K23" s="46" t="s">
        <v>19</v>
      </c>
      <c r="L23" s="50">
        <v>44708</v>
      </c>
      <c r="M23" s="50">
        <v>45291</v>
      </c>
      <c r="N23" s="50">
        <f t="shared" si="0"/>
        <v>45171</v>
      </c>
      <c r="O23" s="50">
        <f t="shared" si="3"/>
        <v>45141</v>
      </c>
      <c r="P23" s="46">
        <v>12</v>
      </c>
      <c r="Q23" s="52">
        <f t="shared" ref="Q23:Q25" si="4">J23/P23</f>
        <v>86062.5</v>
      </c>
      <c r="R23" s="53" t="s">
        <v>29</v>
      </c>
      <c r="S23" s="54" t="s">
        <v>30</v>
      </c>
      <c r="T23" s="54" t="s">
        <v>203</v>
      </c>
      <c r="U23" s="55" t="s">
        <v>265</v>
      </c>
      <c r="V23" s="55"/>
      <c r="W23" s="55" t="s">
        <v>308</v>
      </c>
      <c r="X23" s="55" t="s">
        <v>308</v>
      </c>
      <c r="Y23" s="55" t="s">
        <v>392</v>
      </c>
      <c r="Z23" s="55"/>
      <c r="AA23" s="55"/>
    </row>
    <row r="24" spans="1:27" s="41" customFormat="1" ht="15" customHeight="1" x14ac:dyDescent="0.2">
      <c r="A24" s="45">
        <v>4600055373</v>
      </c>
      <c r="B24" s="45" t="s">
        <v>110</v>
      </c>
      <c r="C24" s="46" t="s">
        <v>567</v>
      </c>
      <c r="D24" s="57">
        <v>3040840</v>
      </c>
      <c r="E24" s="61">
        <v>4600055067</v>
      </c>
      <c r="F24" s="46" t="s">
        <v>34</v>
      </c>
      <c r="G24" s="46" t="s">
        <v>34</v>
      </c>
      <c r="H24" s="46" t="s">
        <v>18</v>
      </c>
      <c r="I24" s="48" t="s">
        <v>111</v>
      </c>
      <c r="J24" s="49">
        <v>536809</v>
      </c>
      <c r="K24" s="46" t="s">
        <v>19</v>
      </c>
      <c r="L24" s="50">
        <v>44617</v>
      </c>
      <c r="M24" s="50">
        <v>45346</v>
      </c>
      <c r="N24" s="50">
        <f t="shared" si="0"/>
        <v>45226</v>
      </c>
      <c r="O24" s="50">
        <f t="shared" si="3"/>
        <v>45196</v>
      </c>
      <c r="P24" s="46">
        <v>24</v>
      </c>
      <c r="Q24" s="52">
        <f t="shared" si="4"/>
        <v>22367.041666666668</v>
      </c>
      <c r="R24" s="53" t="s">
        <v>29</v>
      </c>
      <c r="S24" s="54" t="s">
        <v>30</v>
      </c>
      <c r="T24" s="54" t="s">
        <v>153</v>
      </c>
      <c r="U24" s="55" t="s">
        <v>265</v>
      </c>
      <c r="V24" s="55"/>
      <c r="W24" s="55" t="s">
        <v>393</v>
      </c>
      <c r="X24" s="55" t="s">
        <v>394</v>
      </c>
      <c r="Y24" s="55" t="s">
        <v>391</v>
      </c>
      <c r="Z24" s="55" t="s">
        <v>112</v>
      </c>
      <c r="AA24" s="55"/>
    </row>
    <row r="25" spans="1:27" s="41" customFormat="1" ht="15" customHeight="1" x14ac:dyDescent="0.2">
      <c r="A25" s="45">
        <v>4600055387</v>
      </c>
      <c r="B25" s="45" t="s">
        <v>117</v>
      </c>
      <c r="C25" s="46" t="s">
        <v>568</v>
      </c>
      <c r="D25" s="47">
        <v>3040502</v>
      </c>
      <c r="E25" s="46" t="s">
        <v>642</v>
      </c>
      <c r="F25" s="46" t="s">
        <v>34</v>
      </c>
      <c r="G25" s="46" t="s">
        <v>34</v>
      </c>
      <c r="H25" s="46" t="s">
        <v>18</v>
      </c>
      <c r="I25" s="48" t="s">
        <v>118</v>
      </c>
      <c r="J25" s="49">
        <v>324000</v>
      </c>
      <c r="K25" s="46" t="s">
        <v>37</v>
      </c>
      <c r="L25" s="50">
        <v>44652</v>
      </c>
      <c r="M25" s="50">
        <v>45382</v>
      </c>
      <c r="N25" s="50">
        <f t="shared" si="0"/>
        <v>45262</v>
      </c>
      <c r="O25" s="50">
        <f t="shared" si="3"/>
        <v>45232</v>
      </c>
      <c r="P25" s="51">
        <v>24</v>
      </c>
      <c r="Q25" s="52">
        <f t="shared" si="4"/>
        <v>13500</v>
      </c>
      <c r="R25" s="53" t="s">
        <v>208</v>
      </c>
      <c r="S25" s="53" t="s">
        <v>205</v>
      </c>
      <c r="T25" s="54" t="s">
        <v>20</v>
      </c>
      <c r="U25" s="55" t="s">
        <v>263</v>
      </c>
      <c r="V25" s="55"/>
      <c r="W25" s="55" t="s">
        <v>396</v>
      </c>
      <c r="X25" s="55" t="s">
        <v>397</v>
      </c>
      <c r="Y25" s="55" t="s">
        <v>395</v>
      </c>
      <c r="Z25" s="55"/>
      <c r="AA25" s="55"/>
    </row>
    <row r="26" spans="1:27" s="43" customFormat="1" ht="15" customHeight="1" x14ac:dyDescent="0.2">
      <c r="A26" s="45">
        <v>4600056386</v>
      </c>
      <c r="B26" s="45" t="s">
        <v>129</v>
      </c>
      <c r="C26" s="46" t="s">
        <v>568</v>
      </c>
      <c r="D26" s="47">
        <v>3041462</v>
      </c>
      <c r="E26" s="46" t="s">
        <v>642</v>
      </c>
      <c r="F26" s="46" t="s">
        <v>34</v>
      </c>
      <c r="G26" s="46" t="s">
        <v>34</v>
      </c>
      <c r="H26" s="46" t="s">
        <v>18</v>
      </c>
      <c r="I26" s="48" t="s">
        <v>130</v>
      </c>
      <c r="J26" s="49">
        <v>131000</v>
      </c>
      <c r="K26" s="46" t="s">
        <v>19</v>
      </c>
      <c r="L26" s="50">
        <v>44757</v>
      </c>
      <c r="M26" s="50">
        <v>45305</v>
      </c>
      <c r="N26" s="50">
        <f t="shared" si="0"/>
        <v>45185</v>
      </c>
      <c r="O26" s="50">
        <f t="shared" si="3"/>
        <v>45155</v>
      </c>
      <c r="P26" s="46">
        <v>12</v>
      </c>
      <c r="Q26" s="52">
        <f t="shared" ref="Q26:Q30" si="5">J26/P26</f>
        <v>10916.666666666666</v>
      </c>
      <c r="R26" s="53" t="s">
        <v>93</v>
      </c>
      <c r="S26" s="54" t="s">
        <v>212</v>
      </c>
      <c r="T26" s="54" t="s">
        <v>94</v>
      </c>
      <c r="U26" s="55" t="s">
        <v>264</v>
      </c>
      <c r="V26" s="55" t="s">
        <v>406</v>
      </c>
      <c r="W26" s="55" t="s">
        <v>405</v>
      </c>
      <c r="X26" s="55" t="s">
        <v>308</v>
      </c>
      <c r="Y26" s="55" t="s">
        <v>404</v>
      </c>
      <c r="Z26" s="55"/>
      <c r="AA26" s="55"/>
    </row>
    <row r="27" spans="1:27" s="41" customFormat="1" ht="15" customHeight="1" x14ac:dyDescent="0.2">
      <c r="A27" s="45">
        <v>4600056470</v>
      </c>
      <c r="B27" s="45" t="s">
        <v>137</v>
      </c>
      <c r="C27" s="46" t="s">
        <v>568</v>
      </c>
      <c r="D27" s="47">
        <v>3002173</v>
      </c>
      <c r="E27" s="61">
        <v>4600057879</v>
      </c>
      <c r="F27" s="46" t="s">
        <v>34</v>
      </c>
      <c r="G27" s="46" t="s">
        <v>34</v>
      </c>
      <c r="H27" s="46" t="s">
        <v>18</v>
      </c>
      <c r="I27" s="48" t="s">
        <v>138</v>
      </c>
      <c r="J27" s="49">
        <v>1110000</v>
      </c>
      <c r="K27" s="46" t="s">
        <v>19</v>
      </c>
      <c r="L27" s="50">
        <v>44788</v>
      </c>
      <c r="M27" s="50" t="s">
        <v>139</v>
      </c>
      <c r="N27" s="50">
        <v>45280</v>
      </c>
      <c r="O27" s="50">
        <v>45250</v>
      </c>
      <c r="P27" s="46">
        <v>12</v>
      </c>
      <c r="Q27" s="52">
        <f t="shared" si="5"/>
        <v>92500</v>
      </c>
      <c r="R27" s="53" t="s">
        <v>135</v>
      </c>
      <c r="S27" s="54" t="s">
        <v>136</v>
      </c>
      <c r="T27" s="54" t="s">
        <v>136</v>
      </c>
      <c r="U27" s="55" t="s">
        <v>263</v>
      </c>
      <c r="V27" s="55" t="s">
        <v>416</v>
      </c>
      <c r="W27" s="55" t="s">
        <v>412</v>
      </c>
      <c r="X27" s="55" t="s">
        <v>413</v>
      </c>
      <c r="Y27" s="55" t="s">
        <v>411</v>
      </c>
      <c r="Z27" s="55"/>
      <c r="AA27" s="60" t="s">
        <v>282</v>
      </c>
    </row>
    <row r="28" spans="1:27" s="41" customFormat="1" ht="15" customHeight="1" x14ac:dyDescent="0.2">
      <c r="A28" s="45">
        <v>4600056548</v>
      </c>
      <c r="B28" s="45" t="s">
        <v>147</v>
      </c>
      <c r="C28" s="46" t="s">
        <v>568</v>
      </c>
      <c r="D28" s="57">
        <v>3028044</v>
      </c>
      <c r="E28" s="46" t="s">
        <v>642</v>
      </c>
      <c r="F28" s="46" t="s">
        <v>34</v>
      </c>
      <c r="G28" s="46"/>
      <c r="H28" s="46" t="s">
        <v>18</v>
      </c>
      <c r="I28" s="48" t="s">
        <v>148</v>
      </c>
      <c r="J28" s="49">
        <v>97336</v>
      </c>
      <c r="K28" s="46" t="s">
        <v>19</v>
      </c>
      <c r="L28" s="50">
        <v>44922</v>
      </c>
      <c r="M28" s="50">
        <v>45287</v>
      </c>
      <c r="N28" s="50">
        <f t="shared" ref="N28" si="6">M28-(30*4)</f>
        <v>45167</v>
      </c>
      <c r="O28" s="50">
        <f t="shared" ref="O28:O30" si="7">M28-150</f>
        <v>45137</v>
      </c>
      <c r="P28" s="51">
        <v>12</v>
      </c>
      <c r="Q28" s="52">
        <f t="shared" si="5"/>
        <v>8111.333333333333</v>
      </c>
      <c r="R28" s="53" t="s">
        <v>29</v>
      </c>
      <c r="S28" s="54" t="s">
        <v>30</v>
      </c>
      <c r="T28" s="54" t="s">
        <v>153</v>
      </c>
      <c r="U28" s="55" t="s">
        <v>265</v>
      </c>
      <c r="V28" s="55"/>
      <c r="W28" s="55" t="s">
        <v>427</v>
      </c>
      <c r="X28" s="55" t="s">
        <v>308</v>
      </c>
      <c r="Y28" s="55" t="s">
        <v>426</v>
      </c>
      <c r="Z28" s="55" t="s">
        <v>149</v>
      </c>
      <c r="AA28" s="55"/>
    </row>
    <row r="29" spans="1:27" s="41" customFormat="1" ht="15" customHeight="1" x14ac:dyDescent="0.2">
      <c r="A29" s="45">
        <v>4600056672</v>
      </c>
      <c r="B29" s="45" t="s">
        <v>160</v>
      </c>
      <c r="C29" s="46" t="s">
        <v>568</v>
      </c>
      <c r="D29" s="57">
        <v>3041895</v>
      </c>
      <c r="E29" s="46" t="s">
        <v>642</v>
      </c>
      <c r="F29" s="46" t="s">
        <v>34</v>
      </c>
      <c r="G29" s="46"/>
      <c r="H29" s="46" t="s">
        <v>18</v>
      </c>
      <c r="I29" s="48" t="s">
        <v>161</v>
      </c>
      <c r="J29" s="49">
        <v>176000</v>
      </c>
      <c r="K29" s="50" t="s">
        <v>19</v>
      </c>
      <c r="L29" s="50">
        <v>45011</v>
      </c>
      <c r="M29" s="50">
        <v>45376</v>
      </c>
      <c r="N29" s="50">
        <f>M29-150</f>
        <v>45226</v>
      </c>
      <c r="O29" s="50">
        <f t="shared" si="7"/>
        <v>45226</v>
      </c>
      <c r="P29" s="46">
        <v>12</v>
      </c>
      <c r="Q29" s="52">
        <f t="shared" si="5"/>
        <v>14666.666666666666</v>
      </c>
      <c r="R29" s="53" t="s">
        <v>29</v>
      </c>
      <c r="S29" s="54" t="s">
        <v>30</v>
      </c>
      <c r="T29" s="54" t="s">
        <v>203</v>
      </c>
      <c r="U29" s="55" t="s">
        <v>265</v>
      </c>
      <c r="V29" s="55"/>
      <c r="W29" s="55" t="s">
        <v>439</v>
      </c>
      <c r="X29" s="55" t="s">
        <v>440</v>
      </c>
      <c r="Y29" s="55" t="s">
        <v>438</v>
      </c>
      <c r="Z29" s="55"/>
      <c r="AA29" s="55"/>
    </row>
    <row r="30" spans="1:27" s="41" customFormat="1" ht="15" customHeight="1" x14ac:dyDescent="0.2">
      <c r="A30" s="45">
        <v>4600057138</v>
      </c>
      <c r="B30" s="45" t="s">
        <v>61</v>
      </c>
      <c r="C30" s="46" t="s">
        <v>568</v>
      </c>
      <c r="D30" s="47">
        <v>188451</v>
      </c>
      <c r="E30" s="61">
        <v>4600057700</v>
      </c>
      <c r="F30" s="46" t="s">
        <v>34</v>
      </c>
      <c r="G30" s="46" t="s">
        <v>34</v>
      </c>
      <c r="H30" s="46" t="s">
        <v>18</v>
      </c>
      <c r="I30" s="48" t="s">
        <v>173</v>
      </c>
      <c r="J30" s="49">
        <v>134920</v>
      </c>
      <c r="K30" s="46" t="s">
        <v>19</v>
      </c>
      <c r="L30" s="50">
        <v>45012</v>
      </c>
      <c r="M30" s="50">
        <v>45377</v>
      </c>
      <c r="N30" s="50">
        <f t="shared" ref="N30:N31" si="8">M30-(30*4)</f>
        <v>45257</v>
      </c>
      <c r="O30" s="50">
        <f t="shared" si="7"/>
        <v>45227</v>
      </c>
      <c r="P30" s="51">
        <v>12</v>
      </c>
      <c r="Q30" s="52">
        <f t="shared" si="5"/>
        <v>11243.333333333334</v>
      </c>
      <c r="R30" s="53" t="s">
        <v>22</v>
      </c>
      <c r="S30" s="53" t="s">
        <v>204</v>
      </c>
      <c r="T30" s="54" t="s">
        <v>553</v>
      </c>
      <c r="U30" s="55" t="s">
        <v>261</v>
      </c>
      <c r="V30" s="55"/>
      <c r="W30" s="55" t="s">
        <v>341</v>
      </c>
      <c r="X30" s="55" t="s">
        <v>342</v>
      </c>
      <c r="Y30" s="55" t="s">
        <v>340</v>
      </c>
      <c r="Z30" s="55"/>
      <c r="AA30" s="55"/>
    </row>
    <row r="31" spans="1:27" s="41" customFormat="1" ht="15" customHeight="1" x14ac:dyDescent="0.2">
      <c r="A31" s="55">
        <v>4600057566</v>
      </c>
      <c r="B31" s="55" t="s">
        <v>195</v>
      </c>
      <c r="C31" s="47" t="s">
        <v>567</v>
      </c>
      <c r="D31" s="47">
        <v>3043839</v>
      </c>
      <c r="E31" s="59">
        <v>4600057824</v>
      </c>
      <c r="F31" s="47" t="s">
        <v>21</v>
      </c>
      <c r="G31" s="47" t="s">
        <v>31</v>
      </c>
      <c r="H31" s="47" t="s">
        <v>18</v>
      </c>
      <c r="I31" s="48" t="s">
        <v>196</v>
      </c>
      <c r="J31" s="49">
        <v>16168276.199999999</v>
      </c>
      <c r="K31" s="47" t="s">
        <v>19</v>
      </c>
      <c r="L31" s="56">
        <v>45170</v>
      </c>
      <c r="M31" s="56">
        <v>45350</v>
      </c>
      <c r="N31" s="56">
        <f t="shared" si="8"/>
        <v>45230</v>
      </c>
      <c r="O31" s="56">
        <v>45156</v>
      </c>
      <c r="P31" s="47">
        <v>5</v>
      </c>
      <c r="Q31" s="58">
        <f t="shared" ref="Q31" si="9">(J31/P31)</f>
        <v>3233655.2399999998</v>
      </c>
      <c r="R31" s="53" t="s">
        <v>208</v>
      </c>
      <c r="S31" s="53" t="s">
        <v>205</v>
      </c>
      <c r="T31" s="54" t="s">
        <v>20</v>
      </c>
      <c r="U31" s="55" t="s">
        <v>263</v>
      </c>
      <c r="V31" s="55"/>
      <c r="W31" s="55" t="s">
        <v>466</v>
      </c>
      <c r="X31" s="55" t="s">
        <v>308</v>
      </c>
      <c r="Y31" s="55" t="s">
        <v>465</v>
      </c>
      <c r="Z31" s="55" t="s">
        <v>197</v>
      </c>
      <c r="AA31" s="55"/>
    </row>
    <row r="32" spans="1:27" s="41" customFormat="1" ht="15" customHeight="1" x14ac:dyDescent="0.2">
      <c r="A32" s="45">
        <v>4600055243</v>
      </c>
      <c r="B32" s="45" t="s">
        <v>226</v>
      </c>
      <c r="C32" s="46" t="s">
        <v>567</v>
      </c>
      <c r="D32" s="47">
        <v>115644</v>
      </c>
      <c r="E32" s="46" t="s">
        <v>645</v>
      </c>
      <c r="F32" s="46" t="s">
        <v>34</v>
      </c>
      <c r="G32" s="46" t="s">
        <v>34</v>
      </c>
      <c r="H32" s="46" t="s">
        <v>18</v>
      </c>
      <c r="I32" s="55" t="s">
        <v>227</v>
      </c>
      <c r="J32" s="49">
        <v>0.01</v>
      </c>
      <c r="K32" s="46" t="s">
        <v>19</v>
      </c>
      <c r="L32" s="50">
        <v>44621</v>
      </c>
      <c r="M32" s="50">
        <v>45351</v>
      </c>
      <c r="N32" s="63">
        <f t="shared" ref="N32:N34" si="10">M32-(30*4)</f>
        <v>45231</v>
      </c>
      <c r="O32" s="50">
        <v>44589</v>
      </c>
      <c r="P32" s="46">
        <v>24</v>
      </c>
      <c r="Q32" s="52">
        <v>0.01</v>
      </c>
      <c r="R32" s="53" t="s">
        <v>152</v>
      </c>
      <c r="S32" s="53" t="s">
        <v>30</v>
      </c>
      <c r="T32" s="53" t="s">
        <v>203</v>
      </c>
      <c r="U32" s="55" t="s">
        <v>265</v>
      </c>
      <c r="V32" s="55" t="s">
        <v>489</v>
      </c>
      <c r="W32" s="55" t="s">
        <v>488</v>
      </c>
      <c r="X32" s="55" t="s">
        <v>308</v>
      </c>
      <c r="Y32" s="55" t="s">
        <v>487</v>
      </c>
      <c r="Z32" s="55"/>
      <c r="AA32" s="55"/>
    </row>
    <row r="33" spans="1:27" s="41" customFormat="1" ht="15" customHeight="1" x14ac:dyDescent="0.2">
      <c r="A33" s="55">
        <v>4600055533</v>
      </c>
      <c r="B33" s="64" t="s">
        <v>122</v>
      </c>
      <c r="C33" s="65" t="s">
        <v>567</v>
      </c>
      <c r="D33" s="47">
        <v>128216</v>
      </c>
      <c r="E33" s="46" t="s">
        <v>642</v>
      </c>
      <c r="F33" s="65" t="s">
        <v>21</v>
      </c>
      <c r="G33" s="65" t="s">
        <v>31</v>
      </c>
      <c r="H33" s="65" t="s">
        <v>18</v>
      </c>
      <c r="I33" s="55" t="s">
        <v>123</v>
      </c>
      <c r="J33" s="49">
        <v>8255509.8099999996</v>
      </c>
      <c r="K33" s="65" t="s">
        <v>19</v>
      </c>
      <c r="L33" s="63">
        <v>44986</v>
      </c>
      <c r="M33" s="63">
        <v>45350</v>
      </c>
      <c r="N33" s="63">
        <f t="shared" si="10"/>
        <v>45230</v>
      </c>
      <c r="O33" s="63">
        <f t="shared" ref="O33" si="11">M33-150</f>
        <v>45200</v>
      </c>
      <c r="P33" s="66">
        <v>12</v>
      </c>
      <c r="Q33" s="67">
        <f t="shared" ref="Q33" si="12">J33/P33</f>
        <v>687959.15083333326</v>
      </c>
      <c r="R33" s="53" t="s">
        <v>52</v>
      </c>
      <c r="S33" s="53" t="s">
        <v>204</v>
      </c>
      <c r="T33" s="54" t="s">
        <v>553</v>
      </c>
      <c r="U33" s="55" t="s">
        <v>261</v>
      </c>
      <c r="V33" s="55" t="s">
        <v>493</v>
      </c>
      <c r="W33" s="55" t="s">
        <v>491</v>
      </c>
      <c r="X33" s="55" t="s">
        <v>492</v>
      </c>
      <c r="Y33" s="55" t="s">
        <v>490</v>
      </c>
      <c r="Z33" s="68" t="s">
        <v>224</v>
      </c>
      <c r="AA33" s="55"/>
    </row>
    <row r="34" spans="1:27" s="41" customFormat="1" ht="15" customHeight="1" x14ac:dyDescent="0.2">
      <c r="A34" s="55">
        <v>4600055165</v>
      </c>
      <c r="B34" s="45" t="s">
        <v>238</v>
      </c>
      <c r="C34" s="46" t="s">
        <v>567</v>
      </c>
      <c r="D34" s="47">
        <v>3027941</v>
      </c>
      <c r="E34" s="46" t="s">
        <v>645</v>
      </c>
      <c r="F34" s="46" t="s">
        <v>34</v>
      </c>
      <c r="G34" s="46" t="s">
        <v>34</v>
      </c>
      <c r="H34" s="46" t="s">
        <v>18</v>
      </c>
      <c r="I34" s="55" t="s">
        <v>250</v>
      </c>
      <c r="J34" s="49">
        <v>0.01</v>
      </c>
      <c r="K34" s="46" t="s">
        <v>19</v>
      </c>
      <c r="L34" s="50">
        <v>44583</v>
      </c>
      <c r="M34" s="50">
        <v>45016</v>
      </c>
      <c r="N34" s="56">
        <f t="shared" si="10"/>
        <v>44896</v>
      </c>
      <c r="O34" s="50">
        <v>45016</v>
      </c>
      <c r="P34" s="46">
        <v>24</v>
      </c>
      <c r="Q34" s="52">
        <v>0.01</v>
      </c>
      <c r="R34" s="53" t="s">
        <v>152</v>
      </c>
      <c r="S34" s="53" t="s">
        <v>30</v>
      </c>
      <c r="T34" s="53" t="s">
        <v>203</v>
      </c>
      <c r="U34" s="55" t="s">
        <v>265</v>
      </c>
      <c r="V34" s="55" t="s">
        <v>511</v>
      </c>
      <c r="W34" s="55" t="s">
        <v>509</v>
      </c>
      <c r="X34" s="55" t="s">
        <v>510</v>
      </c>
      <c r="Y34" s="55" t="s">
        <v>508</v>
      </c>
      <c r="Z34" s="55"/>
      <c r="AA34" s="60">
        <v>45299</v>
      </c>
    </row>
    <row r="35" spans="1:27" s="41" customFormat="1" ht="15" customHeight="1" x14ac:dyDescent="0.2">
      <c r="A35" s="45">
        <v>4600056873</v>
      </c>
      <c r="B35" s="45" t="s">
        <v>253</v>
      </c>
      <c r="C35" s="46" t="s">
        <v>567</v>
      </c>
      <c r="D35" s="57">
        <v>141965</v>
      </c>
      <c r="E35" s="61">
        <v>4600057874</v>
      </c>
      <c r="F35" s="46" t="s">
        <v>34</v>
      </c>
      <c r="G35" s="46" t="s">
        <v>34</v>
      </c>
      <c r="H35" s="46" t="s">
        <v>18</v>
      </c>
      <c r="I35" s="55" t="s">
        <v>254</v>
      </c>
      <c r="J35" s="49">
        <v>400000</v>
      </c>
      <c r="K35" s="46" t="s">
        <v>19</v>
      </c>
      <c r="L35" s="50">
        <v>44970</v>
      </c>
      <c r="M35" s="50">
        <v>45334</v>
      </c>
      <c r="N35" s="50">
        <f>M35-(30*4)</f>
        <v>45214</v>
      </c>
      <c r="O35" s="50">
        <v>44607</v>
      </c>
      <c r="P35" s="51">
        <v>12</v>
      </c>
      <c r="Q35" s="52">
        <f t="shared" ref="Q35" si="13">J35/P35</f>
        <v>33333.333333333336</v>
      </c>
      <c r="R35" s="53" t="s">
        <v>259</v>
      </c>
      <c r="S35" s="53" t="s">
        <v>255</v>
      </c>
      <c r="T35" s="53" t="s">
        <v>74</v>
      </c>
      <c r="U35" s="55" t="s">
        <v>262</v>
      </c>
      <c r="V35" s="55"/>
      <c r="W35" s="55" t="s">
        <v>520</v>
      </c>
      <c r="X35" s="55" t="s">
        <v>521</v>
      </c>
      <c r="Y35" s="55" t="s">
        <v>392</v>
      </c>
      <c r="Z35" s="55"/>
      <c r="AA35" s="60">
        <v>45299</v>
      </c>
    </row>
    <row r="36" spans="1:27" s="41" customFormat="1" ht="15" customHeight="1" x14ac:dyDescent="0.2">
      <c r="A36" s="45">
        <v>4600057119</v>
      </c>
      <c r="B36" s="55" t="s">
        <v>146</v>
      </c>
      <c r="C36" s="46" t="s">
        <v>568</v>
      </c>
      <c r="D36" s="57">
        <v>3037146</v>
      </c>
      <c r="E36" s="61">
        <v>4600057264</v>
      </c>
      <c r="F36" s="47" t="s">
        <v>21</v>
      </c>
      <c r="G36" s="47" t="s">
        <v>34</v>
      </c>
      <c r="H36" s="46" t="s">
        <v>18</v>
      </c>
      <c r="I36" s="55" t="s">
        <v>258</v>
      </c>
      <c r="J36" s="49">
        <v>1940000</v>
      </c>
      <c r="K36" s="46" t="s">
        <v>19</v>
      </c>
      <c r="L36" s="50">
        <v>45008</v>
      </c>
      <c r="M36" s="50">
        <v>45375</v>
      </c>
      <c r="N36" s="56">
        <f>M36-(30*4)</f>
        <v>45255</v>
      </c>
      <c r="O36" s="50">
        <v>45005</v>
      </c>
      <c r="P36" s="51">
        <v>12</v>
      </c>
      <c r="Q36" s="52">
        <f>(J36/P36)</f>
        <v>161666.66666666666</v>
      </c>
      <c r="R36" s="53" t="s">
        <v>259</v>
      </c>
      <c r="S36" s="53" t="s">
        <v>74</v>
      </c>
      <c r="T36" s="53" t="s">
        <v>74</v>
      </c>
      <c r="U36" s="55" t="s">
        <v>262</v>
      </c>
      <c r="V36" s="55" t="s">
        <v>423</v>
      </c>
      <c r="W36" s="55" t="s">
        <v>424</v>
      </c>
      <c r="X36" s="55" t="s">
        <v>425</v>
      </c>
      <c r="Y36" s="55" t="s">
        <v>422</v>
      </c>
      <c r="Z36" s="55" t="s">
        <v>260</v>
      </c>
      <c r="AA36" s="60">
        <v>45299</v>
      </c>
    </row>
    <row r="37" spans="1:27" x14ac:dyDescent="0.25">
      <c r="A37" s="69"/>
      <c r="B37" s="69"/>
      <c r="C37" s="46"/>
      <c r="D37" s="57"/>
      <c r="E37" s="46"/>
      <c r="F37" s="46"/>
      <c r="G37" s="46"/>
      <c r="H37" s="46"/>
      <c r="I37" s="69"/>
      <c r="J37" s="69"/>
      <c r="K37" s="46"/>
      <c r="L37" s="46"/>
      <c r="M37" s="46"/>
      <c r="N37" s="69"/>
      <c r="O37" s="46"/>
      <c r="P37" s="46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46"/>
    </row>
  </sheetData>
  <autoFilter ref="A5:AA36"/>
  <mergeCells count="1">
    <mergeCell ref="A1:B4"/>
  </mergeCells>
  <conditionalFormatting sqref="A6:A36">
    <cfRule type="duplicateValues" dxfId="71" priority="102"/>
    <cfRule type="duplicateValues" dxfId="70" priority="103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C8" sqref="C8"/>
    </sheetView>
  </sheetViews>
  <sheetFormatPr defaultColWidth="9.140625" defaultRowHeight="12" x14ac:dyDescent="0.2"/>
  <cols>
    <col min="1" max="1" width="10.5703125" style="89" customWidth="1"/>
    <col min="2" max="2" width="14.85546875" style="89" customWidth="1"/>
    <col min="3" max="3" width="16.85546875" style="89" customWidth="1"/>
    <col min="4" max="4" width="89.7109375" style="89" customWidth="1"/>
    <col min="5" max="5" width="12" style="89" customWidth="1"/>
    <col min="6" max="6" width="13.5703125" style="89" bestFit="1" customWidth="1"/>
    <col min="7" max="7" width="15.42578125" style="89" customWidth="1"/>
    <col min="8" max="8" width="15.5703125" style="90" customWidth="1"/>
    <col min="9" max="9" width="24" style="90" bestFit="1" customWidth="1"/>
    <col min="10" max="10" width="21.42578125" style="90" bestFit="1" customWidth="1"/>
    <col min="11" max="11" width="14.7109375" style="89" bestFit="1" customWidth="1"/>
    <col min="12" max="16384" width="9.140625" style="80"/>
  </cols>
  <sheetData>
    <row r="1" spans="1:12" ht="31.5" customHeight="1" x14ac:dyDescent="0.2">
      <c r="A1" s="513" t="s">
        <v>708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</row>
    <row r="2" spans="1:12" ht="75" x14ac:dyDescent="0.2">
      <c r="A2" s="96" t="s">
        <v>707</v>
      </c>
      <c r="B2" s="96" t="s">
        <v>713</v>
      </c>
      <c r="C2" s="96" t="s">
        <v>706</v>
      </c>
      <c r="D2" s="96" t="s">
        <v>705</v>
      </c>
      <c r="E2" s="96" t="s">
        <v>704</v>
      </c>
      <c r="F2" s="96" t="s">
        <v>703</v>
      </c>
      <c r="G2" s="96" t="s">
        <v>702</v>
      </c>
      <c r="H2" s="96" t="s">
        <v>701</v>
      </c>
      <c r="I2" s="96" t="s">
        <v>700</v>
      </c>
      <c r="J2" s="96" t="s">
        <v>699</v>
      </c>
      <c r="K2" s="96" t="s">
        <v>698</v>
      </c>
      <c r="L2" s="96" t="s">
        <v>697</v>
      </c>
    </row>
    <row r="3" spans="1:12" x14ac:dyDescent="0.2">
      <c r="A3" s="74">
        <v>4600051835</v>
      </c>
      <c r="B3" s="85" t="s">
        <v>710</v>
      </c>
      <c r="C3" s="74">
        <v>4600058105</v>
      </c>
      <c r="D3" s="97" t="s">
        <v>62</v>
      </c>
      <c r="E3" s="83" t="s">
        <v>660</v>
      </c>
      <c r="F3" s="83" t="s">
        <v>659</v>
      </c>
      <c r="G3" s="92">
        <v>2014461.43</v>
      </c>
      <c r="H3" s="95" t="s">
        <v>277</v>
      </c>
      <c r="I3" s="74" t="s">
        <v>22</v>
      </c>
      <c r="J3" s="91" t="s">
        <v>204</v>
      </c>
      <c r="K3" s="93" t="s">
        <v>277</v>
      </c>
      <c r="L3" s="93" t="s">
        <v>107</v>
      </c>
    </row>
    <row r="4" spans="1:12" x14ac:dyDescent="0.2">
      <c r="A4" s="74">
        <v>4600058105</v>
      </c>
      <c r="B4" s="85" t="s">
        <v>709</v>
      </c>
      <c r="C4" s="98">
        <v>4600051835</v>
      </c>
      <c r="D4" s="74" t="s">
        <v>576</v>
      </c>
      <c r="E4" s="83" t="s">
        <v>661</v>
      </c>
      <c r="F4" s="83" t="s">
        <v>662</v>
      </c>
      <c r="G4" s="92">
        <v>99400.28</v>
      </c>
      <c r="H4" s="93" t="s">
        <v>277</v>
      </c>
      <c r="I4" s="74" t="s">
        <v>22</v>
      </c>
      <c r="J4" s="74" t="s">
        <v>204</v>
      </c>
      <c r="K4" s="93" t="s">
        <v>277</v>
      </c>
      <c r="L4" s="93" t="s">
        <v>107</v>
      </c>
    </row>
    <row r="5" spans="1:12" x14ac:dyDescent="0.2">
      <c r="A5" s="74">
        <v>4600056637</v>
      </c>
      <c r="B5" s="85" t="s">
        <v>710</v>
      </c>
      <c r="C5" s="74" t="s">
        <v>711</v>
      </c>
      <c r="D5" s="74" t="s">
        <v>159</v>
      </c>
      <c r="E5" s="83" t="s">
        <v>663</v>
      </c>
      <c r="F5" s="83" t="s">
        <v>664</v>
      </c>
      <c r="G5" s="92">
        <v>222531.23</v>
      </c>
      <c r="H5" s="85" t="s">
        <v>275</v>
      </c>
      <c r="I5" s="74" t="s">
        <v>22</v>
      </c>
      <c r="J5" s="74" t="s">
        <v>204</v>
      </c>
      <c r="K5" s="93" t="s">
        <v>277</v>
      </c>
      <c r="L5" s="93" t="s">
        <v>107</v>
      </c>
    </row>
    <row r="6" spans="1:12" x14ac:dyDescent="0.2">
      <c r="A6" s="74">
        <v>4600053171</v>
      </c>
      <c r="B6" s="85" t="s">
        <v>710</v>
      </c>
      <c r="C6" s="74" t="s">
        <v>712</v>
      </c>
      <c r="D6" s="74" t="s">
        <v>192</v>
      </c>
      <c r="E6" s="83" t="s">
        <v>669</v>
      </c>
      <c r="F6" s="83" t="s">
        <v>668</v>
      </c>
      <c r="G6" s="92">
        <v>0.01</v>
      </c>
      <c r="H6" s="93" t="s">
        <v>277</v>
      </c>
      <c r="I6" s="74" t="s">
        <v>22</v>
      </c>
      <c r="J6" s="74" t="s">
        <v>204</v>
      </c>
      <c r="K6" s="93" t="s">
        <v>277</v>
      </c>
      <c r="L6" s="93" t="s">
        <v>107</v>
      </c>
    </row>
    <row r="7" spans="1:12" ht="24" x14ac:dyDescent="0.2">
      <c r="A7" s="74">
        <v>4600058153</v>
      </c>
      <c r="B7" s="85" t="s">
        <v>709</v>
      </c>
      <c r="C7" s="74">
        <v>4600058153</v>
      </c>
      <c r="D7" s="97" t="s">
        <v>696</v>
      </c>
      <c r="E7" s="83" t="s">
        <v>671</v>
      </c>
      <c r="F7" s="83" t="s">
        <v>672</v>
      </c>
      <c r="G7" s="92">
        <v>1688940.48</v>
      </c>
      <c r="H7" s="85" t="s">
        <v>277</v>
      </c>
      <c r="I7" s="74" t="s">
        <v>22</v>
      </c>
      <c r="J7" s="74" t="s">
        <v>204</v>
      </c>
      <c r="K7" s="93" t="s">
        <v>277</v>
      </c>
      <c r="L7" s="93" t="s">
        <v>107</v>
      </c>
    </row>
    <row r="8" spans="1:12" x14ac:dyDescent="0.2">
      <c r="A8" s="74">
        <v>4600055713</v>
      </c>
      <c r="B8" s="85" t="s">
        <v>710</v>
      </c>
      <c r="C8" s="74">
        <v>4600058153</v>
      </c>
      <c r="D8" s="74" t="s">
        <v>673</v>
      </c>
      <c r="E8" s="83" t="s">
        <v>674</v>
      </c>
      <c r="F8" s="83" t="s">
        <v>672</v>
      </c>
      <c r="G8" s="92">
        <v>1688940.48</v>
      </c>
      <c r="H8" s="93" t="s">
        <v>277</v>
      </c>
      <c r="I8" s="91" t="s">
        <v>22</v>
      </c>
      <c r="J8" s="91" t="s">
        <v>204</v>
      </c>
      <c r="K8" s="93" t="s">
        <v>277</v>
      </c>
      <c r="L8" s="93" t="s">
        <v>107</v>
      </c>
    </row>
    <row r="9" spans="1:12" x14ac:dyDescent="0.2">
      <c r="A9" s="74">
        <v>4600057025</v>
      </c>
      <c r="B9" s="85" t="s">
        <v>710</v>
      </c>
      <c r="C9" s="74">
        <v>4600057025</v>
      </c>
      <c r="D9" s="74" t="s">
        <v>608</v>
      </c>
      <c r="E9" s="83" t="s">
        <v>675</v>
      </c>
      <c r="F9" s="83" t="s">
        <v>676</v>
      </c>
      <c r="G9" s="92">
        <v>956547.8</v>
      </c>
      <c r="H9" s="93" t="s">
        <v>277</v>
      </c>
      <c r="I9" s="91" t="s">
        <v>22</v>
      </c>
      <c r="J9" s="91" t="s">
        <v>204</v>
      </c>
      <c r="K9" s="93" t="s">
        <v>277</v>
      </c>
      <c r="L9" s="93" t="s">
        <v>107</v>
      </c>
    </row>
    <row r="10" spans="1:12" x14ac:dyDescent="0.2">
      <c r="A10" s="74">
        <v>4600053335</v>
      </c>
      <c r="B10" s="85" t="s">
        <v>710</v>
      </c>
      <c r="C10" s="74">
        <v>4600053335</v>
      </c>
      <c r="D10" s="99" t="s">
        <v>84</v>
      </c>
      <c r="E10" s="83" t="s">
        <v>683</v>
      </c>
      <c r="F10" s="83" t="s">
        <v>684</v>
      </c>
      <c r="G10" s="92">
        <v>1991529</v>
      </c>
      <c r="H10" s="93" t="s">
        <v>275</v>
      </c>
      <c r="I10" s="91" t="s">
        <v>85</v>
      </c>
      <c r="J10" s="94" t="s">
        <v>86</v>
      </c>
      <c r="K10" s="93" t="s">
        <v>277</v>
      </c>
      <c r="L10" s="93" t="s">
        <v>107</v>
      </c>
    </row>
    <row r="11" spans="1:12" x14ac:dyDescent="0.2">
      <c r="A11" s="74">
        <v>4600054298</v>
      </c>
      <c r="B11" s="85" t="s">
        <v>710</v>
      </c>
      <c r="C11" s="102">
        <v>4600058250</v>
      </c>
      <c r="D11" s="74" t="s">
        <v>609</v>
      </c>
      <c r="E11" s="83" t="s">
        <v>687</v>
      </c>
      <c r="F11" s="83" t="s">
        <v>688</v>
      </c>
      <c r="G11" s="92">
        <v>2210688</v>
      </c>
      <c r="H11" s="93" t="s">
        <v>277</v>
      </c>
      <c r="I11" s="74" t="s">
        <v>22</v>
      </c>
      <c r="J11" s="74" t="s">
        <v>204</v>
      </c>
      <c r="K11" s="93" t="s">
        <v>277</v>
      </c>
      <c r="L11" s="93" t="s">
        <v>107</v>
      </c>
    </row>
    <row r="12" spans="1:12" x14ac:dyDescent="0.2">
      <c r="A12" s="74">
        <v>4600058167</v>
      </c>
      <c r="B12" s="85" t="s">
        <v>709</v>
      </c>
      <c r="C12" s="74">
        <v>4600058167</v>
      </c>
      <c r="D12" s="74" t="s">
        <v>695</v>
      </c>
      <c r="E12" s="83" t="s">
        <v>691</v>
      </c>
      <c r="F12" s="83" t="s">
        <v>692</v>
      </c>
      <c r="G12" s="92">
        <v>1659840</v>
      </c>
      <c r="H12" s="93" t="s">
        <v>277</v>
      </c>
      <c r="I12" s="74" t="s">
        <v>22</v>
      </c>
      <c r="J12" s="74" t="s">
        <v>204</v>
      </c>
      <c r="K12" s="93" t="s">
        <v>277</v>
      </c>
      <c r="L12" s="93" t="s">
        <v>107</v>
      </c>
    </row>
    <row r="13" spans="1:12" x14ac:dyDescent="0.2">
      <c r="A13" s="74">
        <v>4600057700</v>
      </c>
      <c r="B13" s="85" t="s">
        <v>710</v>
      </c>
      <c r="C13" s="74">
        <v>4600057700</v>
      </c>
      <c r="D13" s="100" t="s">
        <v>200</v>
      </c>
      <c r="E13" s="83" t="s">
        <v>693</v>
      </c>
      <c r="F13" s="83" t="s">
        <v>694</v>
      </c>
      <c r="G13" s="92">
        <v>700000</v>
      </c>
      <c r="H13" s="93" t="s">
        <v>277</v>
      </c>
      <c r="I13" s="74" t="s">
        <v>22</v>
      </c>
      <c r="J13" s="74" t="s">
        <v>204</v>
      </c>
      <c r="K13" s="93" t="s">
        <v>277</v>
      </c>
      <c r="L13" s="93" t="s">
        <v>107</v>
      </c>
    </row>
    <row r="14" spans="1:12" x14ac:dyDescent="0.2">
      <c r="A14" s="90">
        <v>4600057138</v>
      </c>
    </row>
    <row r="18" spans="1:10" ht="15" x14ac:dyDescent="0.2">
      <c r="A18" s="70" t="s">
        <v>549</v>
      </c>
      <c r="B18" s="70" t="s">
        <v>649</v>
      </c>
      <c r="C18" s="70" t="s">
        <v>650</v>
      </c>
      <c r="D18" s="70" t="s">
        <v>651</v>
      </c>
      <c r="E18" s="70" t="s">
        <v>652</v>
      </c>
      <c r="F18" s="70" t="s">
        <v>653</v>
      </c>
      <c r="G18" s="71" t="s">
        <v>654</v>
      </c>
      <c r="H18" s="71" t="s">
        <v>655</v>
      </c>
      <c r="I18" s="71" t="s">
        <v>656</v>
      </c>
      <c r="J18" s="70" t="s">
        <v>657</v>
      </c>
    </row>
    <row r="19" spans="1:10" x14ac:dyDescent="0.2">
      <c r="A19" s="72">
        <v>4600058049</v>
      </c>
      <c r="B19" s="73" t="s">
        <v>107</v>
      </c>
      <c r="C19" s="74" t="s">
        <v>61</v>
      </c>
      <c r="D19" s="75" t="s">
        <v>576</v>
      </c>
      <c r="E19" s="76" t="s">
        <v>658</v>
      </c>
      <c r="F19" s="76" t="s">
        <v>714</v>
      </c>
      <c r="G19" s="77">
        <v>126265.38</v>
      </c>
      <c r="H19" s="78">
        <v>0</v>
      </c>
      <c r="I19" s="77">
        <v>126265.38</v>
      </c>
      <c r="J19" s="79">
        <v>60</v>
      </c>
    </row>
    <row r="20" spans="1:10" x14ac:dyDescent="0.2">
      <c r="A20" s="78">
        <v>4600051835</v>
      </c>
      <c r="B20" s="79"/>
      <c r="C20" s="74" t="s">
        <v>61</v>
      </c>
      <c r="D20" s="81" t="s">
        <v>62</v>
      </c>
      <c r="E20" s="76" t="s">
        <v>660</v>
      </c>
      <c r="F20" s="76" t="s">
        <v>659</v>
      </c>
      <c r="G20" s="77">
        <v>2014461.43</v>
      </c>
      <c r="H20" s="77">
        <v>1915061.15</v>
      </c>
      <c r="I20" s="77">
        <v>99400.28</v>
      </c>
      <c r="J20" s="79">
        <v>60</v>
      </c>
    </row>
    <row r="21" spans="1:10" x14ac:dyDescent="0.2">
      <c r="A21" s="78">
        <v>4600058105</v>
      </c>
      <c r="B21" s="79"/>
      <c r="C21" s="74" t="s">
        <v>61</v>
      </c>
      <c r="D21" s="82" t="s">
        <v>576</v>
      </c>
      <c r="E21" s="76" t="s">
        <v>661</v>
      </c>
      <c r="F21" s="76" t="s">
        <v>662</v>
      </c>
      <c r="G21" s="77">
        <v>99400.28</v>
      </c>
      <c r="H21" s="77">
        <v>71526.16</v>
      </c>
      <c r="I21" s="77">
        <v>27874.12</v>
      </c>
      <c r="J21" s="79">
        <v>60</v>
      </c>
    </row>
    <row r="22" spans="1:10" x14ac:dyDescent="0.2">
      <c r="A22" s="78">
        <v>4600056637</v>
      </c>
      <c r="B22" s="79"/>
      <c r="C22" s="74" t="s">
        <v>61</v>
      </c>
      <c r="D22" s="75" t="s">
        <v>159</v>
      </c>
      <c r="E22" s="76" t="s">
        <v>663</v>
      </c>
      <c r="F22" s="76" t="s">
        <v>664</v>
      </c>
      <c r="G22" s="77">
        <v>222531.23</v>
      </c>
      <c r="H22" s="77">
        <v>155858.39000000001</v>
      </c>
      <c r="I22" s="77">
        <v>66672.84</v>
      </c>
      <c r="J22" s="79">
        <v>45</v>
      </c>
    </row>
    <row r="23" spans="1:10" x14ac:dyDescent="0.2">
      <c r="A23" s="72">
        <v>4600052441</v>
      </c>
      <c r="B23" s="79"/>
      <c r="C23" s="74" t="s">
        <v>61</v>
      </c>
      <c r="D23" s="75"/>
      <c r="E23" s="76" t="s">
        <v>665</v>
      </c>
      <c r="F23" s="76" t="s">
        <v>666</v>
      </c>
      <c r="G23" s="77">
        <v>2870000</v>
      </c>
      <c r="H23" s="77">
        <v>732669.87</v>
      </c>
      <c r="I23" s="77">
        <v>2137330.13</v>
      </c>
      <c r="J23" s="79">
        <v>90</v>
      </c>
    </row>
    <row r="24" spans="1:10" x14ac:dyDescent="0.2">
      <c r="A24" s="72">
        <v>4600050969</v>
      </c>
      <c r="B24" s="79"/>
      <c r="C24" s="74" t="s">
        <v>61</v>
      </c>
      <c r="D24" s="75"/>
      <c r="E24" s="76" t="s">
        <v>667</v>
      </c>
      <c r="F24" s="76" t="s">
        <v>668</v>
      </c>
      <c r="G24" s="77">
        <v>32879521.93</v>
      </c>
      <c r="H24" s="77">
        <v>24795194.640000001</v>
      </c>
      <c r="I24" s="77">
        <v>8084327.29</v>
      </c>
      <c r="J24" s="79">
        <v>60</v>
      </c>
    </row>
    <row r="25" spans="1:10" x14ac:dyDescent="0.2">
      <c r="A25" s="78">
        <v>4600053171</v>
      </c>
      <c r="B25" s="79"/>
      <c r="C25" s="74" t="s">
        <v>61</v>
      </c>
      <c r="D25" s="75" t="s">
        <v>192</v>
      </c>
      <c r="E25" s="76" t="s">
        <v>669</v>
      </c>
      <c r="F25" s="76" t="s">
        <v>668</v>
      </c>
      <c r="G25" s="78">
        <v>0.01</v>
      </c>
      <c r="H25" s="78">
        <v>0</v>
      </c>
      <c r="I25" s="78">
        <v>0.01</v>
      </c>
      <c r="J25" s="79">
        <v>0</v>
      </c>
    </row>
    <row r="26" spans="1:10" ht="24" x14ac:dyDescent="0.2">
      <c r="A26" s="74">
        <v>4600058153</v>
      </c>
      <c r="B26" s="79"/>
      <c r="C26" s="74" t="s">
        <v>61</v>
      </c>
      <c r="D26" s="81" t="s">
        <v>670</v>
      </c>
      <c r="E26" s="83" t="s">
        <v>671</v>
      </c>
      <c r="F26" s="83" t="s">
        <v>672</v>
      </c>
      <c r="G26" s="84">
        <v>1688940.48</v>
      </c>
      <c r="H26" s="84">
        <v>68207.759999999995</v>
      </c>
      <c r="I26" s="84">
        <v>1620732.72</v>
      </c>
      <c r="J26" s="85">
        <v>60</v>
      </c>
    </row>
    <row r="27" spans="1:10" x14ac:dyDescent="0.2">
      <c r="A27" s="78">
        <v>4600055713</v>
      </c>
      <c r="B27" s="79">
        <v>4600058153</v>
      </c>
      <c r="C27" s="74" t="s">
        <v>61</v>
      </c>
      <c r="D27" s="75" t="s">
        <v>673</v>
      </c>
      <c r="E27" s="76" t="s">
        <v>674</v>
      </c>
      <c r="F27" s="76" t="s">
        <v>672</v>
      </c>
      <c r="G27" s="77">
        <v>1688940.48</v>
      </c>
      <c r="H27" s="77">
        <v>1327635.17</v>
      </c>
      <c r="I27" s="77">
        <v>361305.31</v>
      </c>
      <c r="J27" s="79">
        <v>60</v>
      </c>
    </row>
    <row r="28" spans="1:10" x14ac:dyDescent="0.2">
      <c r="A28" s="78">
        <v>4600057025</v>
      </c>
      <c r="B28" s="79"/>
      <c r="C28" s="74" t="s">
        <v>61</v>
      </c>
      <c r="D28" s="82" t="s">
        <v>608</v>
      </c>
      <c r="E28" s="76" t="s">
        <v>675</v>
      </c>
      <c r="F28" s="76" t="s">
        <v>676</v>
      </c>
      <c r="G28" s="77">
        <v>956547.8</v>
      </c>
      <c r="H28" s="78">
        <v>0</v>
      </c>
      <c r="I28" s="77">
        <v>956547.8</v>
      </c>
      <c r="J28" s="79">
        <v>45</v>
      </c>
    </row>
    <row r="29" spans="1:10" x14ac:dyDescent="0.2">
      <c r="A29" s="72">
        <v>4600052310</v>
      </c>
      <c r="B29" s="79"/>
      <c r="C29" s="74" t="s">
        <v>61</v>
      </c>
      <c r="D29" s="75"/>
      <c r="E29" s="76" t="s">
        <v>677</v>
      </c>
      <c r="F29" s="76" t="s">
        <v>678</v>
      </c>
      <c r="G29" s="77">
        <v>3091309.33</v>
      </c>
      <c r="H29" s="77">
        <v>2484051.6</v>
      </c>
      <c r="I29" s="77">
        <v>607257.73</v>
      </c>
      <c r="J29" s="79">
        <v>60</v>
      </c>
    </row>
    <row r="30" spans="1:10" x14ac:dyDescent="0.2">
      <c r="A30" s="72">
        <v>4600054185</v>
      </c>
      <c r="B30" s="79"/>
      <c r="C30" s="74" t="s">
        <v>61</v>
      </c>
      <c r="D30" s="75"/>
      <c r="E30" s="76" t="s">
        <v>679</v>
      </c>
      <c r="F30" s="76" t="s">
        <v>680</v>
      </c>
      <c r="G30" s="77">
        <v>706963.68</v>
      </c>
      <c r="H30" s="78">
        <v>0</v>
      </c>
      <c r="I30" s="77">
        <v>706963.68</v>
      </c>
      <c r="J30" s="79">
        <v>120</v>
      </c>
    </row>
    <row r="31" spans="1:10" x14ac:dyDescent="0.2">
      <c r="A31" s="86">
        <v>4600048116</v>
      </c>
      <c r="B31" s="79"/>
      <c r="C31" s="74" t="s">
        <v>61</v>
      </c>
      <c r="D31" s="75"/>
      <c r="E31" s="76" t="s">
        <v>681</v>
      </c>
      <c r="F31" s="76" t="s">
        <v>682</v>
      </c>
      <c r="G31" s="77">
        <v>10854311.73</v>
      </c>
      <c r="H31" s="77">
        <v>10854311.720000001</v>
      </c>
      <c r="I31" s="78">
        <v>0.01</v>
      </c>
      <c r="J31" s="79">
        <v>60</v>
      </c>
    </row>
    <row r="32" spans="1:10" x14ac:dyDescent="0.2">
      <c r="A32" s="78">
        <v>4600053335</v>
      </c>
      <c r="B32" s="79"/>
      <c r="C32" s="74" t="s">
        <v>61</v>
      </c>
      <c r="D32" s="87" t="s">
        <v>84</v>
      </c>
      <c r="E32" s="76" t="s">
        <v>683</v>
      </c>
      <c r="F32" s="76" t="s">
        <v>684</v>
      </c>
      <c r="G32" s="77">
        <v>1991529</v>
      </c>
      <c r="H32" s="77">
        <v>1041661.81</v>
      </c>
      <c r="I32" s="77">
        <v>949867.19</v>
      </c>
      <c r="J32" s="79">
        <v>60</v>
      </c>
    </row>
    <row r="33" spans="1:10" x14ac:dyDescent="0.2">
      <c r="A33" s="86">
        <v>4600051710</v>
      </c>
      <c r="B33" s="79"/>
      <c r="C33" s="74" t="s">
        <v>61</v>
      </c>
      <c r="D33" s="75"/>
      <c r="E33" s="76" t="s">
        <v>685</v>
      </c>
      <c r="F33" s="76" t="s">
        <v>686</v>
      </c>
      <c r="G33" s="77">
        <v>5982304.04</v>
      </c>
      <c r="H33" s="77">
        <v>5982303.7599999998</v>
      </c>
      <c r="I33" s="78">
        <v>0.28000000000000003</v>
      </c>
      <c r="J33" s="79">
        <v>90</v>
      </c>
    </row>
    <row r="34" spans="1:10" x14ac:dyDescent="0.2">
      <c r="A34" s="78">
        <v>4600054298</v>
      </c>
      <c r="B34" s="79"/>
      <c r="C34" s="74" t="s">
        <v>61</v>
      </c>
      <c r="D34" s="82" t="s">
        <v>609</v>
      </c>
      <c r="E34" s="76" t="s">
        <v>687</v>
      </c>
      <c r="F34" s="76" t="s">
        <v>688</v>
      </c>
      <c r="G34" s="77">
        <v>2210688</v>
      </c>
      <c r="H34" s="77">
        <v>2208949.4900000002</v>
      </c>
      <c r="I34" s="77">
        <v>1738.51</v>
      </c>
      <c r="J34" s="79">
        <v>60</v>
      </c>
    </row>
    <row r="35" spans="1:10" x14ac:dyDescent="0.2">
      <c r="A35" s="72">
        <v>4600057980</v>
      </c>
      <c r="B35" s="79"/>
      <c r="C35" s="74" t="s">
        <v>61</v>
      </c>
      <c r="D35" s="75"/>
      <c r="E35" s="76" t="s">
        <v>689</v>
      </c>
      <c r="F35" s="76" t="s">
        <v>690</v>
      </c>
      <c r="G35" s="77">
        <v>1506163.2</v>
      </c>
      <c r="H35" s="78">
        <v>0</v>
      </c>
      <c r="I35" s="77">
        <v>1506163.2</v>
      </c>
      <c r="J35" s="79">
        <v>60</v>
      </c>
    </row>
    <row r="36" spans="1:10" x14ac:dyDescent="0.2">
      <c r="A36" s="72">
        <v>4600058167</v>
      </c>
      <c r="B36" s="79"/>
      <c r="C36" s="74" t="s">
        <v>61</v>
      </c>
      <c r="D36" s="75"/>
      <c r="E36" s="76" t="s">
        <v>691</v>
      </c>
      <c r="F36" s="76" t="s">
        <v>692</v>
      </c>
      <c r="G36" s="77">
        <v>1659840</v>
      </c>
      <c r="H36" s="78">
        <v>0</v>
      </c>
      <c r="I36" s="77">
        <v>1659840</v>
      </c>
      <c r="J36" s="79">
        <v>60</v>
      </c>
    </row>
    <row r="37" spans="1:10" x14ac:dyDescent="0.2">
      <c r="A37" s="78">
        <v>4600057700</v>
      </c>
      <c r="B37" s="79"/>
      <c r="C37" s="74" t="s">
        <v>61</v>
      </c>
      <c r="D37" s="88" t="s">
        <v>200</v>
      </c>
      <c r="E37" s="76" t="s">
        <v>693</v>
      </c>
      <c r="F37" s="76" t="s">
        <v>694</v>
      </c>
      <c r="G37" s="77">
        <v>700000</v>
      </c>
      <c r="H37" s="78">
        <v>0</v>
      </c>
      <c r="I37" s="77">
        <v>700000</v>
      </c>
      <c r="J37" s="79">
        <v>45</v>
      </c>
    </row>
  </sheetData>
  <mergeCells count="1">
    <mergeCell ref="A1:L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3"/>
  <sheetViews>
    <sheetView workbookViewId="0">
      <selection activeCell="F12" sqref="F12"/>
    </sheetView>
  </sheetViews>
  <sheetFormatPr defaultRowHeight="15" x14ac:dyDescent="0.25"/>
  <cols>
    <col min="1" max="1" width="11" customWidth="1"/>
    <col min="2" max="2" width="26.42578125" customWidth="1"/>
  </cols>
  <sheetData>
    <row r="1" spans="1:16383" s="14" customFormat="1" ht="35.2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252</v>
      </c>
      <c r="F1" s="9" t="s">
        <v>4</v>
      </c>
      <c r="G1" s="11" t="s">
        <v>5</v>
      </c>
      <c r="H1" s="11" t="s">
        <v>6</v>
      </c>
      <c r="I1" s="11" t="s">
        <v>7</v>
      </c>
      <c r="J1" s="12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13" t="s">
        <v>201</v>
      </c>
      <c r="T1" s="13" t="s">
        <v>202</v>
      </c>
      <c r="U1" s="13" t="s">
        <v>257</v>
      </c>
      <c r="V1" s="9" t="s">
        <v>17</v>
      </c>
    </row>
    <row r="2" spans="1:16383" x14ac:dyDescent="0.25">
      <c r="A2" s="16">
        <v>4600055563</v>
      </c>
      <c r="B2" s="18" t="s">
        <v>276</v>
      </c>
      <c r="C2" s="17">
        <v>103474</v>
      </c>
      <c r="D2" s="1" t="s">
        <v>124</v>
      </c>
      <c r="E2" s="17">
        <v>30</v>
      </c>
      <c r="F2" s="19" t="s">
        <v>24</v>
      </c>
      <c r="G2" s="17" t="s">
        <v>18</v>
      </c>
      <c r="H2" s="20" t="s">
        <v>209</v>
      </c>
      <c r="I2" s="21">
        <v>11920360</v>
      </c>
      <c r="J2" s="17" t="s">
        <v>19</v>
      </c>
      <c r="K2" s="3">
        <v>44712</v>
      </c>
      <c r="L2" s="3">
        <v>45807</v>
      </c>
      <c r="M2" s="22">
        <v>45687</v>
      </c>
      <c r="N2" s="3">
        <v>45657</v>
      </c>
      <c r="O2" s="17">
        <v>36</v>
      </c>
      <c r="P2" s="23">
        <v>331121.11111111112</v>
      </c>
      <c r="Q2" s="24" t="s">
        <v>125</v>
      </c>
      <c r="R2" s="25"/>
      <c r="S2" s="17"/>
      <c r="T2" s="26"/>
      <c r="U2" s="2" t="s">
        <v>277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</row>
    <row r="3" spans="1:16383" x14ac:dyDescent="0.25">
      <c r="A3" s="17">
        <v>4600057598</v>
      </c>
      <c r="B3" s="18" t="s">
        <v>274</v>
      </c>
      <c r="C3" s="17">
        <v>103605</v>
      </c>
      <c r="D3" s="1" t="s">
        <v>113</v>
      </c>
      <c r="E3" s="17">
        <v>30</v>
      </c>
      <c r="F3" s="19" t="s">
        <v>34</v>
      </c>
      <c r="G3" s="17" t="s">
        <v>18</v>
      </c>
      <c r="H3" s="20" t="s">
        <v>114</v>
      </c>
      <c r="I3" s="21">
        <v>39999</v>
      </c>
      <c r="J3" s="17" t="s">
        <v>19</v>
      </c>
      <c r="K3" s="3">
        <v>45170</v>
      </c>
      <c r="L3" s="3">
        <v>45291</v>
      </c>
      <c r="M3" s="22">
        <v>45171</v>
      </c>
      <c r="N3" s="3">
        <v>45141</v>
      </c>
      <c r="O3" s="17">
        <v>3</v>
      </c>
      <c r="P3" s="23">
        <v>13333</v>
      </c>
      <c r="Q3" s="24" t="s">
        <v>115</v>
      </c>
      <c r="R3" s="25" t="s">
        <v>116</v>
      </c>
      <c r="S3" s="17" t="s">
        <v>116</v>
      </c>
      <c r="T3" s="26" t="s">
        <v>263</v>
      </c>
      <c r="U3" s="17" t="s">
        <v>275</v>
      </c>
      <c r="V3" s="1"/>
      <c r="W3" s="17"/>
      <c r="X3" s="17"/>
      <c r="Y3" s="17"/>
      <c r="Z3" s="17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</row>
  </sheetData>
  <conditionalFormatting sqref="A3">
    <cfRule type="duplicateValues" dxfId="69" priority="9"/>
  </conditionalFormatting>
  <conditionalFormatting sqref="A3">
    <cfRule type="duplicateValues" dxfId="68" priority="7"/>
    <cfRule type="duplicateValues" dxfId="67" priority="8"/>
  </conditionalFormatting>
  <conditionalFormatting sqref="A3">
    <cfRule type="duplicateValues" dxfId="66" priority="10"/>
  </conditionalFormatting>
  <conditionalFormatting sqref="A2">
    <cfRule type="duplicateValues" dxfId="65" priority="5"/>
  </conditionalFormatting>
  <conditionalFormatting sqref="A2">
    <cfRule type="duplicateValues" dxfId="64" priority="3"/>
    <cfRule type="duplicateValues" dxfId="63" priority="4"/>
  </conditionalFormatting>
  <conditionalFormatting sqref="A2">
    <cfRule type="duplicateValues" dxfId="62" priority="6"/>
  </conditionalFormatting>
  <conditionalFormatting sqref="A1">
    <cfRule type="duplicateValues" dxfId="61" priority="1"/>
    <cfRule type="duplicateValues" dxfId="60" priority="2"/>
  </conditionalFormatting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G14" sqref="G14"/>
    </sheetView>
  </sheetViews>
  <sheetFormatPr defaultRowHeight="15" x14ac:dyDescent="0.25"/>
  <cols>
    <col min="1" max="1" width="11" style="27" customWidth="1"/>
    <col min="5" max="5" width="11" customWidth="1"/>
  </cols>
  <sheetData>
    <row r="1" spans="1:5" x14ac:dyDescent="0.25">
      <c r="A1" s="6">
        <v>4600052517</v>
      </c>
      <c r="E1" s="7"/>
    </row>
    <row r="2" spans="1:5" x14ac:dyDescent="0.25">
      <c r="A2" s="6">
        <v>4600055165</v>
      </c>
    </row>
    <row r="3" spans="1:5" x14ac:dyDescent="0.25">
      <c r="A3" s="6">
        <v>4600055645</v>
      </c>
    </row>
    <row r="4" spans="1:5" x14ac:dyDescent="0.25">
      <c r="A4" s="8">
        <v>4600056873</v>
      </c>
    </row>
    <row r="5" spans="1:5" x14ac:dyDescent="0.25">
      <c r="A5" s="6">
        <v>4600057099</v>
      </c>
      <c r="D5" s="27"/>
    </row>
    <row r="6" spans="1:5" x14ac:dyDescent="0.25">
      <c r="A6" s="8">
        <v>4600057119</v>
      </c>
    </row>
    <row r="7" spans="1:5" x14ac:dyDescent="0.25">
      <c r="A7" s="6">
        <v>4600057264</v>
      </c>
    </row>
    <row r="8" spans="1:5" x14ac:dyDescent="0.25">
      <c r="A8" s="8">
        <v>4600057267</v>
      </c>
    </row>
    <row r="9" spans="1:5" x14ac:dyDescent="0.25">
      <c r="A9" s="8">
        <v>4600057283</v>
      </c>
    </row>
    <row r="10" spans="1:5" x14ac:dyDescent="0.25">
      <c r="A10" s="8">
        <v>4600057284</v>
      </c>
    </row>
    <row r="11" spans="1:5" x14ac:dyDescent="0.25">
      <c r="A11" s="6">
        <v>4600057379</v>
      </c>
    </row>
    <row r="12" spans="1:5" x14ac:dyDescent="0.25">
      <c r="A12" s="6">
        <v>4600057403</v>
      </c>
    </row>
    <row r="13" spans="1:5" x14ac:dyDescent="0.25">
      <c r="A13" s="8">
        <v>4600057484</v>
      </c>
    </row>
    <row r="14" spans="1:5" x14ac:dyDescent="0.25">
      <c r="A14" s="6">
        <v>4600057495</v>
      </c>
    </row>
    <row r="15" spans="1:5" x14ac:dyDescent="0.25">
      <c r="A15" s="6">
        <v>4600057500</v>
      </c>
    </row>
    <row r="16" spans="1:5" x14ac:dyDescent="0.25">
      <c r="A16" s="8">
        <v>4600057514</v>
      </c>
    </row>
    <row r="17" spans="1:1" x14ac:dyDescent="0.25">
      <c r="A17" s="6">
        <v>4600057690</v>
      </c>
    </row>
    <row r="18" spans="1:1" x14ac:dyDescent="0.25">
      <c r="A18" s="5">
        <v>4600057784</v>
      </c>
    </row>
    <row r="19" spans="1:1" x14ac:dyDescent="0.25">
      <c r="A19" s="8">
        <v>4600057823</v>
      </c>
    </row>
    <row r="20" spans="1:1" x14ac:dyDescent="0.25">
      <c r="A20" s="8">
        <v>4600057825</v>
      </c>
    </row>
    <row r="21" spans="1:1" x14ac:dyDescent="0.25">
      <c r="A21" s="8">
        <v>4600057826</v>
      </c>
    </row>
    <row r="22" spans="1:1" x14ac:dyDescent="0.25">
      <c r="A22" s="8">
        <v>4600057836</v>
      </c>
    </row>
  </sheetData>
  <conditionalFormatting sqref="A1">
    <cfRule type="duplicateValues" dxfId="59" priority="58"/>
  </conditionalFormatting>
  <conditionalFormatting sqref="A1">
    <cfRule type="duplicateValues" dxfId="58" priority="59"/>
    <cfRule type="duplicateValues" dxfId="57" priority="60"/>
  </conditionalFormatting>
  <conditionalFormatting sqref="A1">
    <cfRule type="duplicateValues" dxfId="56" priority="61"/>
  </conditionalFormatting>
  <conditionalFormatting sqref="A1">
    <cfRule type="duplicateValues" dxfId="55" priority="62"/>
  </conditionalFormatting>
  <conditionalFormatting sqref="A1">
    <cfRule type="duplicateValues" dxfId="54" priority="63"/>
  </conditionalFormatting>
  <conditionalFormatting sqref="A1">
    <cfRule type="duplicateValues" dxfId="53" priority="57"/>
  </conditionalFormatting>
  <conditionalFormatting sqref="A2">
    <cfRule type="duplicateValues" dxfId="52" priority="51"/>
  </conditionalFormatting>
  <conditionalFormatting sqref="A2">
    <cfRule type="duplicateValues" dxfId="51" priority="52"/>
    <cfRule type="duplicateValues" dxfId="50" priority="53"/>
  </conditionalFormatting>
  <conditionalFormatting sqref="A2">
    <cfRule type="duplicateValues" dxfId="49" priority="54"/>
  </conditionalFormatting>
  <conditionalFormatting sqref="A2">
    <cfRule type="duplicateValues" dxfId="48" priority="55"/>
  </conditionalFormatting>
  <conditionalFormatting sqref="A2">
    <cfRule type="duplicateValues" dxfId="47" priority="56"/>
  </conditionalFormatting>
  <conditionalFormatting sqref="A2">
    <cfRule type="duplicateValues" dxfId="46" priority="50"/>
  </conditionalFormatting>
  <conditionalFormatting sqref="A3">
    <cfRule type="duplicateValues" dxfId="45" priority="44"/>
  </conditionalFormatting>
  <conditionalFormatting sqref="A3">
    <cfRule type="duplicateValues" dxfId="44" priority="45"/>
    <cfRule type="duplicateValues" dxfId="43" priority="46"/>
  </conditionalFormatting>
  <conditionalFormatting sqref="A3">
    <cfRule type="duplicateValues" dxfId="42" priority="47"/>
  </conditionalFormatting>
  <conditionalFormatting sqref="A3">
    <cfRule type="duplicateValues" dxfId="41" priority="48"/>
  </conditionalFormatting>
  <conditionalFormatting sqref="A3">
    <cfRule type="duplicateValues" dxfId="40" priority="49"/>
  </conditionalFormatting>
  <conditionalFormatting sqref="A3">
    <cfRule type="duplicateValues" dxfId="39" priority="43"/>
  </conditionalFormatting>
  <conditionalFormatting sqref="A4">
    <cfRule type="duplicateValues" dxfId="38" priority="37"/>
  </conditionalFormatting>
  <conditionalFormatting sqref="A4">
    <cfRule type="duplicateValues" dxfId="37" priority="38"/>
    <cfRule type="duplicateValues" dxfId="36" priority="39"/>
  </conditionalFormatting>
  <conditionalFormatting sqref="A4">
    <cfRule type="duplicateValues" dxfId="35" priority="40"/>
  </conditionalFormatting>
  <conditionalFormatting sqref="A4">
    <cfRule type="duplicateValues" dxfId="34" priority="41"/>
  </conditionalFormatting>
  <conditionalFormatting sqref="A4">
    <cfRule type="duplicateValues" dxfId="33" priority="42"/>
  </conditionalFormatting>
  <conditionalFormatting sqref="A4">
    <cfRule type="duplicateValues" dxfId="32" priority="36"/>
  </conditionalFormatting>
  <conditionalFormatting sqref="A5:A6">
    <cfRule type="duplicateValues" dxfId="31" priority="31"/>
    <cfRule type="duplicateValues" dxfId="30" priority="32"/>
  </conditionalFormatting>
  <conditionalFormatting sqref="A5:A6">
    <cfRule type="duplicateValues" dxfId="29" priority="33"/>
  </conditionalFormatting>
  <conditionalFormatting sqref="A5:A6">
    <cfRule type="duplicateValues" dxfId="28" priority="34"/>
  </conditionalFormatting>
  <conditionalFormatting sqref="A5:A6">
    <cfRule type="duplicateValues" dxfId="27" priority="35"/>
  </conditionalFormatting>
  <conditionalFormatting sqref="A5:A6">
    <cfRule type="duplicateValues" dxfId="26" priority="30"/>
  </conditionalFormatting>
  <conditionalFormatting sqref="A7:A8">
    <cfRule type="duplicateValues" dxfId="25" priority="25"/>
    <cfRule type="duplicateValues" dxfId="24" priority="26"/>
  </conditionalFormatting>
  <conditionalFormatting sqref="A7:A10">
    <cfRule type="duplicateValues" dxfId="23" priority="27"/>
  </conditionalFormatting>
  <conditionalFormatting sqref="A7:A8">
    <cfRule type="duplicateValues" dxfId="22" priority="28"/>
  </conditionalFormatting>
  <conditionalFormatting sqref="A7:A10">
    <cfRule type="duplicateValues" dxfId="21" priority="29"/>
  </conditionalFormatting>
  <conditionalFormatting sqref="A7:A10">
    <cfRule type="duplicateValues" dxfId="20" priority="24"/>
  </conditionalFormatting>
  <conditionalFormatting sqref="A11:A12">
    <cfRule type="duplicateValues" dxfId="19" priority="22"/>
  </conditionalFormatting>
  <conditionalFormatting sqref="A11:A12">
    <cfRule type="duplicateValues" dxfId="18" priority="23"/>
  </conditionalFormatting>
  <conditionalFormatting sqref="A11:A12">
    <cfRule type="duplicateValues" dxfId="17" priority="21"/>
  </conditionalFormatting>
  <conditionalFormatting sqref="A13:A14">
    <cfRule type="duplicateValues" dxfId="16" priority="19"/>
  </conditionalFormatting>
  <conditionalFormatting sqref="A15">
    <cfRule type="duplicateValues" dxfId="15" priority="14"/>
  </conditionalFormatting>
  <conditionalFormatting sqref="A15">
    <cfRule type="duplicateValues" dxfId="14" priority="15"/>
    <cfRule type="duplicateValues" dxfId="13" priority="16"/>
  </conditionalFormatting>
  <conditionalFormatting sqref="A15">
    <cfRule type="duplicateValues" dxfId="12" priority="17"/>
  </conditionalFormatting>
  <conditionalFormatting sqref="A15">
    <cfRule type="duplicateValues" dxfId="11" priority="18"/>
  </conditionalFormatting>
  <conditionalFormatting sqref="A13:A16">
    <cfRule type="duplicateValues" dxfId="10" priority="20"/>
  </conditionalFormatting>
  <conditionalFormatting sqref="A13:A16">
    <cfRule type="duplicateValues" dxfId="9" priority="13"/>
  </conditionalFormatting>
  <conditionalFormatting sqref="A17">
    <cfRule type="duplicateValues" dxfId="8" priority="12"/>
  </conditionalFormatting>
  <conditionalFormatting sqref="A17">
    <cfRule type="duplicateValues" dxfId="7" priority="11"/>
  </conditionalFormatting>
  <conditionalFormatting sqref="A18">
    <cfRule type="duplicateValues" dxfId="6" priority="10"/>
  </conditionalFormatting>
  <conditionalFormatting sqref="A18">
    <cfRule type="duplicateValues" dxfId="5" priority="9"/>
  </conditionalFormatting>
  <conditionalFormatting sqref="A19:A23">
    <cfRule type="duplicateValues" dxfId="4" priority="8"/>
  </conditionalFormatting>
  <conditionalFormatting sqref="E1">
    <cfRule type="duplicateValues" dxfId="3" priority="3"/>
  </conditionalFormatting>
  <conditionalFormatting sqref="E1">
    <cfRule type="duplicateValues" dxfId="2" priority="4"/>
  </conditionalFormatting>
  <conditionalFormatting sqref="E1">
    <cfRule type="duplicateValues" dxfId="1" priority="2"/>
  </conditionalFormatting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Base</vt:lpstr>
      <vt:lpstr>Analise contratos</vt:lpstr>
      <vt:lpstr>Planilha5</vt:lpstr>
      <vt:lpstr>Planilha2</vt:lpstr>
      <vt:lpstr>Planilha1</vt:lpstr>
      <vt:lpstr>Segregado</vt:lpstr>
      <vt:lpstr>Base - (152</vt:lpstr>
      <vt:lpstr>Comodato</vt:lpstr>
      <vt:lpstr>Somente TAHTO (109)</vt:lpstr>
      <vt:lpstr>Gestão TAHTO  OI preamb (15)</vt:lpstr>
      <vt:lpstr>Gestão Oi -TAHTO no preamb(22)</vt:lpstr>
      <vt:lpstr>Somente OI - (4)</vt:lpstr>
      <vt:lpstr>excluídos 24.11.25</vt:lpstr>
      <vt:lpstr>Resumo - em andamento</vt:lpstr>
      <vt:lpstr>Controle Passivo Fornecedores</vt:lpstr>
      <vt:lpstr>Rel. SAP SALDO março.25</vt:lpstr>
      <vt:lpstr>REVER</vt:lpstr>
      <vt:lpstr>legenda</vt:lpstr>
      <vt:lpstr>Material</vt:lpstr>
      <vt:lpstr>VENCIDOS ATÉ 06.24</vt:lpstr>
      <vt:lpstr>A5</vt:lpstr>
      <vt:lpstr>Planilha4</vt:lpstr>
      <vt:lpstr>Planilha3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Prado Catharino</dc:creator>
  <cp:lastModifiedBy>JACQUELINE PRADO CATHARINO</cp:lastModifiedBy>
  <dcterms:created xsi:type="dcterms:W3CDTF">2023-12-07T14:58:56Z</dcterms:created>
  <dcterms:modified xsi:type="dcterms:W3CDTF">2026-01-21T12:50:52Z</dcterms:modified>
</cp:coreProperties>
</file>