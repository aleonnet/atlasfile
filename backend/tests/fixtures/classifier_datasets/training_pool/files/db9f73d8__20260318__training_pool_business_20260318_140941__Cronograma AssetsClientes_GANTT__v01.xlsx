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cecilia_chaves_accenture_com/Documents/Documents/Oi - Projeto Twist/"/>
    </mc:Choice>
  </mc:AlternateContent>
  <xr:revisionPtr revIDLastSave="3" documentId="8_{52AF66B7-016F-4A07-BBD3-E399CA648F79}" xr6:coauthVersionLast="47" xr6:coauthVersionMax="47" xr10:uidLastSave="{C979A744-F2E9-485B-8940-CD6CC5A2B086}"/>
  <bookViews>
    <workbookView xWindow="-110" yWindow="-110" windowWidth="19420" windowHeight="10300" xr2:uid="{00000000-000D-0000-FFFF-FFFF00000000}"/>
  </bookViews>
  <sheets>
    <sheet name="assets_twist" sheetId="6" r:id="rId1"/>
    <sheet name="twist_assets" sheetId="4" state="hidden" r:id="rId2"/>
    <sheet name="Ativos_Sumário" sheetId="1" r:id="rId3"/>
    <sheet name="Parametros" sheetId="3" r:id="rId4"/>
  </sheets>
  <externalReferences>
    <externalReference r:id="rId5"/>
  </externalReferences>
  <definedNames>
    <definedName name="_xlnm._FilterDatabase" localSheetId="0" hidden="1">assets_twist!$A$2:$M$236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U5" i="6" l="1"/>
  <c r="C113" i="6"/>
  <c r="D113" i="6"/>
  <c r="D22" i="6"/>
  <c r="D20" i="6"/>
  <c r="C19" i="6"/>
  <c r="C22" i="6" l="1"/>
  <c r="D120" i="6"/>
  <c r="D119" i="6"/>
  <c r="D108" i="6"/>
  <c r="D107" i="6"/>
  <c r="D86" i="6"/>
  <c r="D85" i="6"/>
  <c r="D69" i="6"/>
  <c r="D68" i="6"/>
  <c r="D52" i="6"/>
  <c r="D51" i="6"/>
  <c r="D50" i="6"/>
  <c r="D33" i="6"/>
  <c r="D32" i="6"/>
  <c r="D6" i="6"/>
  <c r="D5" i="6"/>
  <c r="D4" i="6"/>
  <c r="C7" i="6"/>
  <c r="D7" i="6"/>
  <c r="D121" i="6"/>
  <c r="C121" i="6"/>
  <c r="C109" i="6"/>
  <c r="D109" i="6"/>
  <c r="D116" i="6"/>
  <c r="C116" i="6"/>
  <c r="D112" i="6"/>
  <c r="C112" i="6"/>
  <c r="C87" i="6"/>
  <c r="D87" i="6"/>
  <c r="D70" i="6"/>
  <c r="C70" i="6"/>
  <c r="C34" i="6"/>
  <c r="D34" i="6"/>
  <c r="C52" i="6"/>
  <c r="D18" i="6"/>
  <c r="C18" i="6"/>
  <c r="D17" i="6"/>
  <c r="C17" i="6"/>
  <c r="D48" i="6"/>
  <c r="C48" i="6"/>
  <c r="D66" i="6"/>
  <c r="D67" i="6"/>
  <c r="C66" i="6"/>
  <c r="D84" i="6"/>
  <c r="D83" i="6"/>
  <c r="C83" i="6"/>
  <c r="D105" i="6"/>
  <c r="D106" i="6"/>
  <c r="C105" i="6"/>
  <c r="D118" i="6"/>
  <c r="D117" i="6"/>
  <c r="C117" i="6"/>
  <c r="D126" i="6"/>
  <c r="D125" i="6"/>
  <c r="C125" i="6"/>
  <c r="D28" i="6"/>
  <c r="K28" i="6"/>
  <c r="C28" i="6" s="1"/>
  <c r="D124" i="6"/>
  <c r="D123" i="6"/>
  <c r="D122" i="6"/>
  <c r="D115" i="6"/>
  <c r="D114" i="6"/>
  <c r="D110" i="6"/>
  <c r="C110" i="6"/>
  <c r="C108" i="6"/>
  <c r="C107" i="6"/>
  <c r="D104" i="6"/>
  <c r="D103" i="6"/>
  <c r="D102" i="6"/>
  <c r="D101" i="6"/>
  <c r="D100" i="6"/>
  <c r="D99" i="6"/>
  <c r="D98" i="6"/>
  <c r="C99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D82" i="6"/>
  <c r="D81" i="6"/>
  <c r="D79" i="6"/>
  <c r="D78" i="6"/>
  <c r="D77" i="6"/>
  <c r="D76" i="6"/>
  <c r="D75" i="6"/>
  <c r="D74" i="6"/>
  <c r="D73" i="6"/>
  <c r="D72" i="6"/>
  <c r="D71" i="6"/>
  <c r="C69" i="6"/>
  <c r="C68" i="6"/>
  <c r="C71" i="6"/>
  <c r="D53" i="6"/>
  <c r="C53" i="6"/>
  <c r="C51" i="6"/>
  <c r="D35" i="6"/>
  <c r="D57" i="6"/>
  <c r="C57" i="6"/>
  <c r="D55" i="6"/>
  <c r="D54" i="6"/>
  <c r="D65" i="6"/>
  <c r="D64" i="6"/>
  <c r="D63" i="6"/>
  <c r="D62" i="6"/>
  <c r="D61" i="6"/>
  <c r="D60" i="6"/>
  <c r="D59" i="6"/>
  <c r="D58" i="6"/>
  <c r="D49" i="6"/>
  <c r="D39" i="6"/>
  <c r="D38" i="6"/>
  <c r="D37" i="6"/>
  <c r="D36" i="6"/>
  <c r="D47" i="6"/>
  <c r="D46" i="6"/>
  <c r="D45" i="6"/>
  <c r="D44" i="6"/>
  <c r="D43" i="6"/>
  <c r="D42" i="6"/>
  <c r="D41" i="6"/>
  <c r="D40" i="6"/>
  <c r="D31" i="6"/>
  <c r="D30" i="6"/>
  <c r="D29" i="6"/>
  <c r="D27" i="6"/>
  <c r="D26" i="6"/>
  <c r="D25" i="6"/>
  <c r="D24" i="6"/>
  <c r="D23" i="6"/>
  <c r="D21" i="6"/>
  <c r="D19" i="6"/>
  <c r="D16" i="6"/>
  <c r="D15" i="6"/>
  <c r="D14" i="6"/>
  <c r="D13" i="6"/>
  <c r="D12" i="6"/>
  <c r="D11" i="6"/>
  <c r="D10" i="6"/>
  <c r="D9" i="6"/>
  <c r="D8" i="6"/>
  <c r="C35" i="6"/>
  <c r="C126" i="6"/>
  <c r="C124" i="6"/>
  <c r="C123" i="6"/>
  <c r="C122" i="6"/>
  <c r="C120" i="6"/>
  <c r="C118" i="6"/>
  <c r="C115" i="6"/>
  <c r="C114" i="6"/>
  <c r="C111" i="6"/>
  <c r="C106" i="6"/>
  <c r="C104" i="6"/>
  <c r="C103" i="6"/>
  <c r="C102" i="6"/>
  <c r="C101" i="6"/>
  <c r="C100" i="6"/>
  <c r="C88" i="6"/>
  <c r="C86" i="6"/>
  <c r="C85" i="6"/>
  <c r="C84" i="6"/>
  <c r="C82" i="6"/>
  <c r="C81" i="6"/>
  <c r="C80" i="6"/>
  <c r="C79" i="6"/>
  <c r="C78" i="6"/>
  <c r="C77" i="6"/>
  <c r="C76" i="6"/>
  <c r="C75" i="6"/>
  <c r="C74" i="6"/>
  <c r="C73" i="6"/>
  <c r="C72" i="6"/>
  <c r="C67" i="6"/>
  <c r="C56" i="6"/>
  <c r="C55" i="6"/>
  <c r="C54" i="6"/>
  <c r="C65" i="6"/>
  <c r="C64" i="6"/>
  <c r="C63" i="6"/>
  <c r="C62" i="6"/>
  <c r="C61" i="6"/>
  <c r="C60" i="6"/>
  <c r="C59" i="6"/>
  <c r="C58" i="6"/>
  <c r="C50" i="6"/>
  <c r="C49" i="6"/>
  <c r="C39" i="6"/>
  <c r="C38" i="6"/>
  <c r="C37" i="6"/>
  <c r="C36" i="6"/>
  <c r="C47" i="6"/>
  <c r="C46" i="6"/>
  <c r="C45" i="6"/>
  <c r="C44" i="6"/>
  <c r="C43" i="6"/>
  <c r="C42" i="6"/>
  <c r="C41" i="6"/>
  <c r="C40" i="6"/>
  <c r="C33" i="6"/>
  <c r="C32" i="6"/>
  <c r="C31" i="6"/>
  <c r="C30" i="6"/>
  <c r="C29" i="6"/>
  <c r="C27" i="6"/>
  <c r="C26" i="6"/>
  <c r="C25" i="6"/>
  <c r="C24" i="6"/>
  <c r="C23" i="6"/>
  <c r="C21" i="6"/>
  <c r="C20" i="6"/>
  <c r="C16" i="6"/>
  <c r="C15" i="6"/>
  <c r="C14" i="6"/>
  <c r="C13" i="6"/>
  <c r="C12" i="6"/>
  <c r="C11" i="6"/>
  <c r="C10" i="6"/>
  <c r="C9" i="6"/>
  <c r="C8" i="6"/>
  <c r="C6" i="6"/>
  <c r="C4" i="6"/>
  <c r="C119" i="6" l="1"/>
  <c r="D111" i="6"/>
  <c r="D80" i="6"/>
  <c r="D56" i="6"/>
  <c r="L5" i="6"/>
  <c r="K5" i="6"/>
  <c r="C5" i="6" l="1"/>
</calcChain>
</file>

<file path=xl/sharedStrings.xml><?xml version="1.0" encoding="utf-8"?>
<sst xmlns="http://schemas.openxmlformats.org/spreadsheetml/2006/main" count="913" uniqueCount="361">
  <si>
    <t>task id</t>
  </si>
  <si>
    <t>task name</t>
  </si>
  <si>
    <t>duration</t>
  </si>
  <si>
    <t>dependencies</t>
  </si>
  <si>
    <t>ES</t>
  </si>
  <si>
    <t>EF</t>
  </si>
  <si>
    <t>LS</t>
  </si>
  <si>
    <t>LF</t>
  </si>
  <si>
    <t>float</t>
  </si>
  <si>
    <t>isCritical</t>
  </si>
  <si>
    <t>Start Date</t>
  </si>
  <si>
    <t>End Date</t>
  </si>
  <si>
    <t>Completed</t>
  </si>
  <si>
    <t>Satus</t>
  </si>
  <si>
    <t>Owner</t>
  </si>
  <si>
    <t>Notes</t>
  </si>
  <si>
    <t>W2 08/01</t>
  </si>
  <si>
    <t>W3 15/01</t>
  </si>
  <si>
    <t>W4 22/01</t>
  </si>
  <si>
    <t>W5 29/01</t>
  </si>
  <si>
    <t>W6 05/02</t>
  </si>
  <si>
    <t>W7 12/02</t>
  </si>
  <si>
    <t>W8 19/02</t>
  </si>
  <si>
    <t>W9 26/02</t>
  </si>
  <si>
    <t>W10 05/03</t>
  </si>
  <si>
    <t>W11 12/03</t>
  </si>
  <si>
    <t>W12 19/03</t>
  </si>
  <si>
    <t>W13 26/03</t>
  </si>
  <si>
    <t>W14 02/04</t>
  </si>
  <si>
    <t>W15 09/04</t>
  </si>
  <si>
    <t>W16 16/04</t>
  </si>
  <si>
    <t>W17 23/04</t>
  </si>
  <si>
    <t>W18 30/04</t>
  </si>
  <si>
    <t>W19 07/05</t>
  </si>
  <si>
    <t>W20 14/05</t>
  </si>
  <si>
    <t>W21 21/05</t>
  </si>
  <si>
    <t>W22 28/05</t>
  </si>
  <si>
    <t>W23 04/06</t>
  </si>
  <si>
    <t>W24 11/06</t>
  </si>
  <si>
    <t>W25 18/06</t>
  </si>
  <si>
    <t>W26 25/06</t>
  </si>
  <si>
    <t>W27 02/07</t>
  </si>
  <si>
    <t>W28 09/07</t>
  </si>
  <si>
    <t>W29 16/07</t>
  </si>
  <si>
    <t>W30 23/07</t>
  </si>
  <si>
    <t>W31 30/07</t>
  </si>
  <si>
    <t>W32 06/08</t>
  </si>
  <si>
    <t>W33 13/08</t>
  </si>
  <si>
    <t>W34 20/08</t>
  </si>
  <si>
    <t>W35 27/08</t>
  </si>
  <si>
    <t>W36 03/09</t>
  </si>
  <si>
    <t>W37 10/09</t>
  </si>
  <si>
    <t>W38 17/09</t>
  </si>
  <si>
    <t>W39 24/09</t>
  </si>
  <si>
    <t>W40 01/10</t>
  </si>
  <si>
    <t>W41 08/10</t>
  </si>
  <si>
    <t>W42 15/10</t>
  </si>
  <si>
    <t>W43 22/10</t>
  </si>
  <si>
    <t>W44 29/10</t>
  </si>
  <si>
    <t>W45 05/11</t>
  </si>
  <si>
    <t>W46 12/11</t>
  </si>
  <si>
    <t>W47 19/11</t>
  </si>
  <si>
    <t>W48 26/11</t>
  </si>
  <si>
    <t>W49 03/12</t>
  </si>
  <si>
    <t>W50 10/12</t>
  </si>
  <si>
    <t>W51 17/12</t>
  </si>
  <si>
    <t>W52 24/12</t>
  </si>
  <si>
    <t>W53 31/12</t>
  </si>
  <si>
    <t>W2 07/01</t>
  </si>
  <si>
    <t>W3 14/01</t>
  </si>
  <si>
    <t>W4 21/01</t>
  </si>
  <si>
    <t>W5 28/01</t>
  </si>
  <si>
    <t>W6 04/02</t>
  </si>
  <si>
    <t>W7 11/02</t>
  </si>
  <si>
    <t>W8 18/02</t>
  </si>
  <si>
    <t>W9 25/02</t>
  </si>
  <si>
    <t>W10 03/03</t>
  </si>
  <si>
    <t>W11 10/03</t>
  </si>
  <si>
    <t>W12 17/03</t>
  </si>
  <si>
    <t>W13 24/03</t>
  </si>
  <si>
    <t>W14 31/03</t>
  </si>
  <si>
    <t>W15 07/04</t>
  </si>
  <si>
    <t>W16 14/04</t>
  </si>
  <si>
    <t>W17 21/04</t>
  </si>
  <si>
    <t>W18 28/04</t>
  </si>
  <si>
    <t>W19 05/05</t>
  </si>
  <si>
    <t>W20 12/05</t>
  </si>
  <si>
    <t>W21 19/05</t>
  </si>
  <si>
    <t>W22 26/05</t>
  </si>
  <si>
    <t>W23 02/06</t>
  </si>
  <si>
    <t>W24 09/06</t>
  </si>
  <si>
    <t>W25 16/06</t>
  </si>
  <si>
    <t>W26 23/06</t>
  </si>
  <si>
    <t>W27 30/06</t>
  </si>
  <si>
    <t>W28 07/07</t>
  </si>
  <si>
    <t>W29 14/07</t>
  </si>
  <si>
    <t>W30 21/07</t>
  </si>
  <si>
    <t>W31 28/07</t>
  </si>
  <si>
    <t>W32 04/08</t>
  </si>
  <si>
    <t>W33 11/08</t>
  </si>
  <si>
    <t>W34 18/08</t>
  </si>
  <si>
    <t>W35 25/08</t>
  </si>
  <si>
    <t>W36 01/09</t>
  </si>
  <si>
    <t>W37 08/09</t>
  </si>
  <si>
    <t>W38 15/09</t>
  </si>
  <si>
    <t>W39 22/09</t>
  </si>
  <si>
    <t>W40 29/09</t>
  </si>
  <si>
    <t>W41 06/10</t>
  </si>
  <si>
    <t>W42 13/10</t>
  </si>
  <si>
    <t>W43 20/10</t>
  </si>
  <si>
    <t>W44 27/10</t>
  </si>
  <si>
    <t>W45 03/11</t>
  </si>
  <si>
    <t>W46 10/11</t>
  </si>
  <si>
    <t>W47 17/11</t>
  </si>
  <si>
    <t>W48 24/11</t>
  </si>
  <si>
    <t>W49 01/12</t>
  </si>
  <si>
    <t>W50 08/12</t>
  </si>
  <si>
    <t>W51 15/12</t>
  </si>
  <si>
    <t>W52 22/12</t>
  </si>
  <si>
    <t>W53 29/12</t>
  </si>
  <si>
    <t>W2 05/01</t>
  </si>
  <si>
    <t>W3 12/01</t>
  </si>
  <si>
    <t>W4 19/01</t>
  </si>
  <si>
    <t>W5 26/01</t>
  </si>
  <si>
    <t>W6 02/02</t>
  </si>
  <si>
    <t>W7 09/02</t>
  </si>
  <si>
    <t>W8 16/02</t>
  </si>
  <si>
    <t>W9 23/02</t>
  </si>
  <si>
    <t>W10 02/03</t>
  </si>
  <si>
    <t>W11 09/03</t>
  </si>
  <si>
    <t>W12 16/03</t>
  </si>
  <si>
    <t>W13 23/03</t>
  </si>
  <si>
    <t>W14 30/03</t>
  </si>
  <si>
    <t>W15 06/04</t>
  </si>
  <si>
    <t>W16 13/04</t>
  </si>
  <si>
    <t>Definição de perímetros</t>
  </si>
  <si>
    <t>1.1</t>
  </si>
  <si>
    <t>Clientes/Portfólio</t>
  </si>
  <si>
    <t>In progress and on track</t>
  </si>
  <si>
    <t>Estratégia</t>
  </si>
  <si>
    <t>Definição do perímetros inicial</t>
  </si>
  <si>
    <t>Levantamento da volumetria inicial</t>
  </si>
  <si>
    <t xml:space="preserve">Not started </t>
  </si>
  <si>
    <t>Aprovação dos itens que devem ser alterados</t>
  </si>
  <si>
    <t>Comercial</t>
  </si>
  <si>
    <t>Desenvolvimento de textos, banners, peças</t>
  </si>
  <si>
    <t>Disparo das comunicações ao cliente</t>
  </si>
  <si>
    <t>Definição de estratégia e plano de descombamento</t>
  </si>
  <si>
    <t>Alinhamento com demais frentes para mapeamentos de impactos</t>
  </si>
  <si>
    <t>Execução do plano</t>
  </si>
  <si>
    <t>In progress and delayed</t>
  </si>
  <si>
    <t>Definição perímetro B2B (Cobre, Oi Soluções, FTTH, Voip, IPTV, etc)</t>
  </si>
  <si>
    <t>Definição perímetro OTTs</t>
  </si>
  <si>
    <t>1.2</t>
  </si>
  <si>
    <t>1.3</t>
  </si>
  <si>
    <t>TBD</t>
  </si>
  <si>
    <t>TI - Santiago</t>
  </si>
  <si>
    <t>Contabilidade</t>
  </si>
  <si>
    <t>Logístico | Contabilidade</t>
  </si>
  <si>
    <t>Logistica</t>
  </si>
  <si>
    <t>Financeiro - Pri Gondim</t>
  </si>
  <si>
    <t>Engenharia/Fernanda da Silveira</t>
  </si>
  <si>
    <t>TI</t>
  </si>
  <si>
    <t>CIAP - Complementar base com número do pedido</t>
  </si>
  <si>
    <t>Hozana</t>
  </si>
  <si>
    <t>CIAP - Fazer um double-check da base</t>
  </si>
  <si>
    <t>Controladoria - Liliam</t>
  </si>
  <si>
    <t>CIAP - Cruzar com base de BIS/BIA - Maio/24</t>
  </si>
  <si>
    <t>Tributário - Erika</t>
  </si>
  <si>
    <t>Drop Down Ativos - Cuttover simulation</t>
  </si>
  <si>
    <t>Drop Down Ativos - Drop down dos ativos (fechamento de Nov/24)</t>
  </si>
  <si>
    <t>Drop Down Ativos - Alta ClientCo e Baixa Oi SA - SAP</t>
  </si>
  <si>
    <t>1.</t>
  </si>
  <si>
    <t>Clientes e Portfólio</t>
  </si>
  <si>
    <t>1.0</t>
  </si>
  <si>
    <t>Definição do perímetro de clientes para segregação</t>
  </si>
  <si>
    <t>Levantar a volumetria mensal de clientes para segregação</t>
  </si>
  <si>
    <t>Definir as ações necessárias para segregar os produtos de clientes entre Oi e ClientCO (unblunding)</t>
  </si>
  <si>
    <t>Criar o plano de desmembramento (unblunding) dos produtos de clientes</t>
  </si>
  <si>
    <t>1.4</t>
  </si>
  <si>
    <t>Executar o plano de desmembramento (unbundling) dos produtos de clientes</t>
  </si>
  <si>
    <t>1.5</t>
  </si>
  <si>
    <t>SVA</t>
  </si>
  <si>
    <t>1.5.1</t>
  </si>
  <si>
    <t>SVA - Formalizar a suspensão do processo de venda de SVA avulso para novos clientes</t>
  </si>
  <si>
    <t>Daniela Greco/Felicia Rosetti</t>
  </si>
  <si>
    <t>1.5.2</t>
  </si>
  <si>
    <t xml:space="preserve">SVA - Analisar lista do item (1) e segregar por tecnologia (Arbor) – </t>
  </si>
  <si>
    <t>Felicia Rosetti/Bruna Barros</t>
  </si>
  <si>
    <t>1.5.3</t>
  </si>
  <si>
    <t xml:space="preserve">SVA - Analisar se faz parte do carveout a receita acima – </t>
  </si>
  <si>
    <t>M&amp;A (Charlene) - TBD</t>
  </si>
  <si>
    <t>1.5.4</t>
  </si>
  <si>
    <t xml:space="preserve">SVA - Rever a decisão sobre o tratamento do Sistema OI Internet – Grupo  </t>
  </si>
  <si>
    <t>Vivian Jesus</t>
  </si>
  <si>
    <t>1.5.5</t>
  </si>
  <si>
    <t>SVA - Analisar a Lista de Produtos faturados (cobre/fibra) X lista de Contratos para rever o apontamento do %fibra e %cobre de cada contrato - Vinicius</t>
  </si>
  <si>
    <t>Vinícius Monteiro</t>
  </si>
  <si>
    <t xml:space="preserve">2. </t>
  </si>
  <si>
    <t>Equipamentos (ONT, Mesh, FTTR)</t>
  </si>
  <si>
    <t>2.0</t>
  </si>
  <si>
    <t>Compromisso - Marcar na base de compromisso ONT / Mesh / FTTR</t>
  </si>
  <si>
    <t>2.1</t>
  </si>
  <si>
    <t>Compromisso - Marcar na base de compromisso eSOC/NWCC/SmartWiFi/Sistemas</t>
  </si>
  <si>
    <t>2.2</t>
  </si>
  <si>
    <t>Conciliação ONTs - Validar quantidade final no SAP PM e avaliar se tem necessidade de ajuste adicional</t>
  </si>
  <si>
    <t>2.3</t>
  </si>
  <si>
    <t>Conciliação ONTs - Executar novo acerto de quantidade de ONTs no SAP PM</t>
  </si>
  <si>
    <t>2.4</t>
  </si>
  <si>
    <t>Conciliação ONTs - Enviar quantidade por UF dos ONTs inativos para os quais será feita baixa (3.223.687 ONTs)</t>
  </si>
  <si>
    <t>2.5</t>
  </si>
  <si>
    <t>Conciliação ONTs - Atualizar quantidades no SAP AA | Validar volumetrias (SAP PM x SAP AA)</t>
  </si>
  <si>
    <t>2.6</t>
  </si>
  <si>
    <t>Conciliação ONTs - Definir regra ONTs não recuperáveis (testar o total inativo + outra regra por tempo de churn)</t>
  </si>
  <si>
    <t>Data original: 05-Junho</t>
  </si>
  <si>
    <t>2.7</t>
  </si>
  <si>
    <t>Conciliação ONTs - Gerar visão de total ONT não recuperável | valor contabil atrelado (recorrente)</t>
  </si>
  <si>
    <t>Data original: 07-06-2024</t>
  </si>
  <si>
    <t>2.8</t>
  </si>
  <si>
    <t>2.9</t>
  </si>
  <si>
    <t>2.10</t>
  </si>
  <si>
    <t>2.11</t>
  </si>
  <si>
    <t>CIAP - Gerar base do adicional de Maio/24</t>
  </si>
  <si>
    <t>2.12</t>
  </si>
  <si>
    <t>Equipamentos - Definir lista de equipamentos para segregação no TSA</t>
  </si>
  <si>
    <t>M&amp;A</t>
  </si>
  <si>
    <t>2.13</t>
  </si>
  <si>
    <t>Conciliação ONTs - Atualizar base de ONTs a serem baixados (inativos ex churn ultimos 6 meses)</t>
  </si>
  <si>
    <t>2.14</t>
  </si>
  <si>
    <t>Conciliação ONTs - Fazer a baixa dos ONTs que não existem mais antes do drop-down (SAP PM)</t>
  </si>
  <si>
    <t>2.15</t>
  </si>
  <si>
    <t>Conciliação ONTs - Fazer a baixa dos ONTs que não existem mais antes do drop-down (SAP MM)</t>
  </si>
  <si>
    <t>2.16</t>
  </si>
  <si>
    <t>Conciliação ONTs - Atualizar quantidades do inativo no SAP AA</t>
  </si>
  <si>
    <t>2.17</t>
  </si>
  <si>
    <t>Conciliação ONTs - Fazer a baixa dos ONTs que não existem mais antes do drop-down (SAP AA)</t>
  </si>
  <si>
    <t>2.18</t>
  </si>
  <si>
    <t>Drop Down Ativos - DropCuttover simulation</t>
  </si>
  <si>
    <t>2.19</t>
  </si>
  <si>
    <t>2.20</t>
  </si>
  <si>
    <t>3.</t>
  </si>
  <si>
    <t xml:space="preserve"> Plataformas (NWCC | eSOC | SmartiFi | Dataminer OSS)</t>
  </si>
  <si>
    <t>3.0</t>
  </si>
  <si>
    <t>Conciliação NWCC | eSOC | SmartiFi | Dataminer OSS - Verificar se há algum controle físico e se tem necessidade de conciliação</t>
  </si>
  <si>
    <t>3.1</t>
  </si>
  <si>
    <t>Conciliação NWCC | eSOC | SmartiFi | Dataminer OSS - Identificar itens no CMDB e Granite</t>
  </si>
  <si>
    <t>3.2</t>
  </si>
  <si>
    <t>Conciliação NWCC | eSOC | SmartiFi | Dataminer OSS - Identificar necessidade de conciliação no contabil</t>
  </si>
  <si>
    <t>3.3</t>
  </si>
  <si>
    <t>3.4</t>
  </si>
  <si>
    <t>3.5</t>
  </si>
  <si>
    <t>3.6</t>
  </si>
  <si>
    <t>3.7</t>
  </si>
  <si>
    <t>BIS/BIA - Fazer o fechamento de Jun-24</t>
  </si>
  <si>
    <t>3.8</t>
  </si>
  <si>
    <t>Plataformas - Definir lista de equipamentos para segregação no TSA</t>
  </si>
  <si>
    <t>3.9</t>
  </si>
  <si>
    <t>BIS/BIA - Enviar novos diagramas rede Dataminer OSS</t>
  </si>
  <si>
    <t>Engenharia/Felipe Marcelino</t>
  </si>
  <si>
    <t>3.10</t>
  </si>
  <si>
    <t>BIS/BIA - Marcar na base de compromisso eSOC/NWCC/SmartWiFi/Sistemas</t>
  </si>
  <si>
    <t>3.11</t>
  </si>
  <si>
    <t>3.12</t>
  </si>
  <si>
    <t>3.13</t>
  </si>
  <si>
    <t>4.</t>
  </si>
  <si>
    <t xml:space="preserve"> Sistemas</t>
  </si>
  <si>
    <t>4.0</t>
  </si>
  <si>
    <t>4.1</t>
  </si>
  <si>
    <t>4.2</t>
  </si>
  <si>
    <t>4.3</t>
  </si>
  <si>
    <t>4.4</t>
  </si>
  <si>
    <t>4.5</t>
  </si>
  <si>
    <t>Sistemas e Propriedade Intelectual - Definir lista de equipamentos para segregação no TSA</t>
  </si>
  <si>
    <t>4.6</t>
  </si>
  <si>
    <t>4.7</t>
  </si>
  <si>
    <t>4.8</t>
  </si>
  <si>
    <t>4.9</t>
  </si>
  <si>
    <t>4.10</t>
  </si>
  <si>
    <t>Plano do Programa Twist</t>
  </si>
  <si>
    <t>Frente</t>
  </si>
  <si>
    <t>Ativos</t>
  </si>
  <si>
    <t>Status de:</t>
  </si>
  <si>
    <t>Marcos</t>
  </si>
  <si>
    <t>Data Fim</t>
  </si>
  <si>
    <t>Total de Atividades (L3)</t>
  </si>
  <si>
    <t># Concluídas</t>
  </si>
  <si>
    <t>Ações concluídas (%)</t>
  </si>
  <si>
    <t>Delta vs W-1</t>
  </si>
  <si>
    <t>Progresso de Conclusão vs Plano de Hoje</t>
  </si>
  <si>
    <t># Atrasado</t>
  </si>
  <si>
    <t># Em andamento/Próximas</t>
  </si>
  <si>
    <t># Completed W-1</t>
  </si>
  <si>
    <t>Ativos - Clientes e Portfólio - 17/jul</t>
  </si>
  <si>
    <t>ATIVOS - NETWORK ELEMENTS AND DEVICES - 26/julho</t>
  </si>
  <si>
    <t>ATIVOS - HARDWARE E SOFTWARE - 26/jul</t>
  </si>
  <si>
    <t>ATIVOS - REAL ESTATE E OUTROS - 26/jul</t>
  </si>
  <si>
    <t>ATIVOS - PERIMETRO SIGNING - fine-tuning - 30/set</t>
  </si>
  <si>
    <t>Status</t>
  </si>
  <si>
    <t>Canceled</t>
  </si>
  <si>
    <t>Duration</t>
  </si>
  <si>
    <t>Dependencies</t>
  </si>
  <si>
    <t>Task name</t>
  </si>
  <si>
    <t>Task Id</t>
  </si>
  <si>
    <t>Not Started</t>
  </si>
  <si>
    <t>Definição perímetro SVAs e Add ONs</t>
  </si>
  <si>
    <t>Comunicação Mudança de CNPJ</t>
  </si>
  <si>
    <t>Comunicação Mudança de Controlador</t>
  </si>
  <si>
    <t>Detalhamento do plano</t>
  </si>
  <si>
    <t xml:space="preserve">Definição de estratégia e plano de encerramento do produto </t>
  </si>
  <si>
    <t>Execução do plano - Migração voluntario</t>
  </si>
  <si>
    <t>Execução do plano - Migração massiva</t>
  </si>
  <si>
    <t>Definição de estratégia e plano de migração para SINN</t>
  </si>
  <si>
    <t>Execução do plano - Desmembramento bundle DTH</t>
  </si>
  <si>
    <t>Execução do plano - Desmembramento bundle IPTV</t>
  </si>
  <si>
    <t>Execução do plano - Migração para Ip Connect e UC4X</t>
  </si>
  <si>
    <t>Execução do plano - Migração Governo</t>
  </si>
  <si>
    <t>Execução do plano - Migração clientes faturamento manual</t>
  </si>
  <si>
    <t>Definição do perímetro inicial</t>
  </si>
  <si>
    <t>Definição da estratégia com executivos</t>
  </si>
  <si>
    <t>Cronograma reverso de opções de plano de mudança de controlador</t>
  </si>
  <si>
    <t xml:space="preserve"> FTHH e Voip (Var, emp)</t>
  </si>
  <si>
    <t>Definição de Plano para comunicação do cliente</t>
  </si>
  <si>
    <t>Definição de canais para comunicação do cliente (Fatura e Jornal)</t>
  </si>
  <si>
    <t>Validação final do perímetro e plano com input de MOS e Sistemas</t>
  </si>
  <si>
    <t>Levantamento/clusterização inicial da base</t>
  </si>
  <si>
    <t>Validação base -  agosto</t>
  </si>
  <si>
    <t>Validação base -  setembro</t>
  </si>
  <si>
    <t>Validação base -  Outubro</t>
  </si>
  <si>
    <t>Validação base -  Novembro - 1</t>
  </si>
  <si>
    <t>Validação base - Novembro - 2</t>
  </si>
  <si>
    <t>Validação base - Novembro - 3</t>
  </si>
  <si>
    <t>Validação base - Novembro - 4</t>
  </si>
  <si>
    <t xml:space="preserve">Validação base - Novembro - final </t>
  </si>
  <si>
    <t>Preparação da migração por TI</t>
  </si>
  <si>
    <t>Drop Base</t>
  </si>
  <si>
    <t>IPTV (Var, emp)</t>
  </si>
  <si>
    <t>Migração para SINN</t>
  </si>
  <si>
    <t>Encerramento IPTV</t>
  </si>
  <si>
    <t>Cobre (Var, emp)</t>
  </si>
  <si>
    <t>Descombamento Cobre</t>
  </si>
  <si>
    <t>Retirada B2B Arbor/Siebel</t>
  </si>
  <si>
    <t>Definição de estratégia e plano de segregação - SVAs/AddOn Avulsos</t>
  </si>
  <si>
    <t>Execução do plano de segregação  - SVAs/AddOn Avulsos</t>
  </si>
  <si>
    <t>Segregação de SVAs</t>
  </si>
  <si>
    <t>Segregação OTTs</t>
  </si>
  <si>
    <t>Oi Fibra WS Lead</t>
  </si>
  <si>
    <t>B2B Oi Soluções</t>
  </si>
  <si>
    <t>Definição de estratégia e plano B2B Ex Governo</t>
  </si>
  <si>
    <t>Definição de estratégia e plano Governo</t>
  </si>
  <si>
    <t>Definição de estratégia e plano para base não migrada para Solução B2B</t>
  </si>
  <si>
    <t>Perímetro final e plano</t>
  </si>
  <si>
    <t>Definição estratégia cliente faturamento Manual</t>
  </si>
  <si>
    <t>Levantemento de base para migração</t>
  </si>
  <si>
    <t>Definição de estratégia e plano de segregação - SVAs/AddOns Faturamento no bundle</t>
  </si>
  <si>
    <t>Execução do plano de segregação - SVAs/AddOns Faturamento no bundle</t>
  </si>
  <si>
    <t>Regulamentos</t>
  </si>
  <si>
    <t>Deliberação da estratégia de SVA</t>
  </si>
  <si>
    <t>Definição de estratégia de migração - migração de contratos</t>
  </si>
  <si>
    <t>Definição do perímetro DTH - Arbor (Var, emp)</t>
  </si>
  <si>
    <t>Identificação dos itens que devem ser alterados nos regulamentos (espelhamento com mudança de CNPJ)</t>
  </si>
  <si>
    <t>Lista de regulamentos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</si>
</sst>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yy;@"/>
    <numFmt numFmtId="165" formatCode="ddd"/>
    <numFmt numFmtId="166" formatCode="[$-409]d\-mmm;@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2"/>
      <color rgb="FF000000"/>
      <name val="Aptos Narrow"/>
      <family val="2"/>
    </font>
    <font>
      <sz val="11"/>
      <name val="Aptos Narrow"/>
      <family val="2"/>
    </font>
    <font>
      <sz val="11"/>
      <color theme="4"/>
      <name val="Aptos Narrow"/>
      <family val="2"/>
    </font>
    <font>
      <b/>
      <sz val="11"/>
      <color theme="4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BFEE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3">
    <xf numFmtId="0" fontId="0" fillId="0" borderId="0"/>
    <xf numFmtId="0" fontId="2" fillId="0" borderId="0"/>
    <xf numFmtId="0" fontId="4" fillId="5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12" fillId="0" borderId="0"/>
    <xf numFmtId="9" fontId="2" fillId="0" borderId="0" applyFont="0" applyFill="0" applyBorder="0" applyAlignment="0" applyProtection="0"/>
    <xf numFmtId="0" fontId="2" fillId="0" borderId="0"/>
    <xf numFmtId="0" fontId="13" fillId="0" borderId="0" applyNumberFormat="0" applyFill="0" applyBorder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12" fillId="0" borderId="0"/>
  </cellStyleXfs>
  <cellXfs count="182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6" fillId="6" borderId="0" xfId="3" applyFont="1" applyFill="1" applyAlignment="1">
      <alignment horizontal="right" vertical="center"/>
    </xf>
    <xf numFmtId="0" fontId="7" fillId="0" borderId="0" xfId="3" quotePrefix="1" applyFont="1" applyAlignment="1">
      <alignment horizontal="center" vertical="center" textRotation="90"/>
    </xf>
    <xf numFmtId="0" fontId="7" fillId="0" borderId="0" xfId="3" applyFont="1" applyAlignment="1">
      <alignment horizontal="center" vertical="center" textRotation="90"/>
    </xf>
    <xf numFmtId="0" fontId="8" fillId="2" borderId="0" xfId="1" applyFont="1" applyFill="1" applyAlignment="1">
      <alignment horizontal="right" vertical="center"/>
    </xf>
    <xf numFmtId="0" fontId="9" fillId="0" borderId="0" xfId="3" applyFont="1" applyAlignment="1">
      <alignment horizontal="right" vertical="center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center" vertical="center"/>
    </xf>
    <xf numFmtId="14" fontId="9" fillId="0" borderId="0" xfId="3" applyNumberFormat="1" applyFont="1" applyAlignment="1">
      <alignment vertical="center"/>
    </xf>
    <xf numFmtId="9" fontId="9" fillId="0" borderId="0" xfId="4" applyFont="1" applyFill="1" applyBorder="1" applyAlignment="1">
      <alignment horizontal="center" vertical="center"/>
    </xf>
    <xf numFmtId="165" fontId="7" fillId="0" borderId="0" xfId="3" applyNumberFormat="1" applyFont="1" applyAlignment="1">
      <alignment horizontal="center" vertical="center"/>
    </xf>
    <xf numFmtId="165" fontId="7" fillId="0" borderId="0" xfId="3" applyNumberFormat="1" applyFont="1" applyAlignment="1">
      <alignment horizontal="left" vertical="center"/>
    </xf>
    <xf numFmtId="165" fontId="7" fillId="0" borderId="0" xfId="3" applyNumberFormat="1" applyFont="1" applyAlignment="1">
      <alignment vertical="center"/>
    </xf>
    <xf numFmtId="0" fontId="9" fillId="8" borderId="0" xfId="3" applyFont="1" applyFill="1" applyAlignment="1">
      <alignment horizontal="right" vertical="center"/>
    </xf>
    <xf numFmtId="0" fontId="9" fillId="8" borderId="0" xfId="3" applyFont="1" applyFill="1" applyAlignment="1">
      <alignment horizontal="left" vertical="center"/>
    </xf>
    <xf numFmtId="0" fontId="9" fillId="8" borderId="0" xfId="3" applyFont="1" applyFill="1" applyAlignment="1">
      <alignment vertical="center"/>
    </xf>
    <xf numFmtId="0" fontId="9" fillId="8" borderId="0" xfId="3" applyFont="1" applyFill="1" applyAlignment="1">
      <alignment horizontal="center" vertical="center"/>
    </xf>
    <xf numFmtId="14" fontId="9" fillId="8" borderId="0" xfId="3" applyNumberFormat="1" applyFont="1" applyFill="1" applyAlignment="1">
      <alignment vertical="center"/>
    </xf>
    <xf numFmtId="9" fontId="9" fillId="8" borderId="0" xfId="4" applyFont="1" applyFill="1" applyBorder="1" applyAlignment="1">
      <alignment horizontal="center" vertical="center"/>
    </xf>
    <xf numFmtId="165" fontId="7" fillId="0" borderId="0" xfId="3" applyNumberFormat="1" applyFont="1" applyAlignment="1">
      <alignment horizontal="center" vertical="center" textRotation="90"/>
    </xf>
    <xf numFmtId="0" fontId="7" fillId="0" borderId="0" xfId="3" applyFont="1" applyAlignment="1">
      <alignment vertical="center"/>
    </xf>
    <xf numFmtId="0" fontId="7" fillId="0" borderId="0" xfId="3" applyFont="1" applyAlignment="1">
      <alignment horizontal="center" vertical="center"/>
    </xf>
    <xf numFmtId="0" fontId="7" fillId="0" borderId="0" xfId="3" applyFont="1" applyAlignment="1">
      <alignment horizontal="left" vertical="center"/>
    </xf>
    <xf numFmtId="0" fontId="11" fillId="0" borderId="0" xfId="3" applyFont="1" applyAlignment="1">
      <alignment horizontal="right" vertical="center"/>
    </xf>
    <xf numFmtId="0" fontId="11" fillId="0" borderId="0" xfId="3" applyFont="1" applyAlignment="1">
      <alignment horizontal="left" vertical="center"/>
    </xf>
    <xf numFmtId="0" fontId="9" fillId="2" borderId="0" xfId="3" applyFont="1" applyFill="1" applyAlignment="1">
      <alignment vertical="center"/>
    </xf>
    <xf numFmtId="0" fontId="9" fillId="2" borderId="0" xfId="3" applyFont="1" applyFill="1" applyAlignment="1">
      <alignment horizontal="center" vertical="center"/>
    </xf>
    <xf numFmtId="14" fontId="9" fillId="2" borderId="0" xfId="3" applyNumberFormat="1" applyFont="1" applyFill="1" applyAlignment="1">
      <alignment vertical="center"/>
    </xf>
    <xf numFmtId="9" fontId="9" fillId="2" borderId="0" xfId="4" applyFont="1" applyFill="1" applyBorder="1" applyAlignment="1">
      <alignment horizontal="center" vertical="center"/>
    </xf>
    <xf numFmtId="14" fontId="7" fillId="8" borderId="0" xfId="0" applyNumberFormat="1" applyFont="1" applyFill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11" fillId="8" borderId="0" xfId="3" applyFont="1" applyFill="1" applyAlignment="1">
      <alignment horizontal="right" vertical="center"/>
    </xf>
    <xf numFmtId="0" fontId="11" fillId="8" borderId="0" xfId="3" applyFont="1" applyFill="1" applyAlignment="1">
      <alignment horizontal="left" vertical="center"/>
    </xf>
    <xf numFmtId="1" fontId="9" fillId="2" borderId="0" xfId="3" applyNumberFormat="1" applyFont="1" applyFill="1" applyAlignment="1">
      <alignment vertical="center"/>
    </xf>
    <xf numFmtId="1" fontId="9" fillId="8" borderId="0" xfId="3" applyNumberFormat="1" applyFont="1" applyFill="1" applyAlignment="1">
      <alignment horizontal="right" vertical="center"/>
    </xf>
    <xf numFmtId="1" fontId="9" fillId="8" borderId="0" xfId="3" applyNumberFormat="1" applyFont="1" applyFill="1" applyAlignment="1">
      <alignment horizontal="left" vertical="center"/>
    </xf>
    <xf numFmtId="1" fontId="9" fillId="8" borderId="0" xfId="3" applyNumberFormat="1" applyFont="1" applyFill="1" applyAlignment="1">
      <alignment vertical="center"/>
    </xf>
    <xf numFmtId="1" fontId="9" fillId="0" borderId="0" xfId="3" applyNumberFormat="1" applyFont="1" applyAlignment="1">
      <alignment horizontal="right" vertical="center"/>
    </xf>
    <xf numFmtId="1" fontId="9" fillId="0" borderId="0" xfId="3" applyNumberFormat="1" applyFont="1" applyAlignment="1">
      <alignment horizontal="left" vertical="center"/>
    </xf>
    <xf numFmtId="1" fontId="9" fillId="0" borderId="0" xfId="3" applyNumberFormat="1" applyFont="1" applyAlignment="1">
      <alignment vertical="center"/>
    </xf>
    <xf numFmtId="0" fontId="11" fillId="8" borderId="0" xfId="3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8" borderId="0" xfId="0" applyFont="1" applyFill="1" applyAlignment="1">
      <alignment vertical="center"/>
    </xf>
    <xf numFmtId="0" fontId="7" fillId="8" borderId="0" xfId="0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6" fillId="6" borderId="0" xfId="3" applyFont="1" applyFill="1" applyAlignment="1">
      <alignment horizontal="center" vertical="center"/>
    </xf>
    <xf numFmtId="14" fontId="6" fillId="7" borderId="0" xfId="3" applyNumberFormat="1" applyFont="1" applyFill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14" fontId="6" fillId="2" borderId="0" xfId="3" applyNumberFormat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center" vertical="center"/>
    </xf>
    <xf numFmtId="0" fontId="11" fillId="0" borderId="0" xfId="2" applyFont="1" applyFill="1" applyBorder="1" applyAlignment="1">
      <alignment horizontal="left" vertical="center"/>
    </xf>
    <xf numFmtId="0" fontId="9" fillId="8" borderId="0" xfId="2" applyFont="1" applyFill="1" applyBorder="1" applyAlignment="1">
      <alignment horizontal="left" vertical="center"/>
    </xf>
    <xf numFmtId="0" fontId="9" fillId="0" borderId="0" xfId="2" applyFont="1" applyFill="1" applyBorder="1" applyAlignment="1">
      <alignment horizontal="left" vertical="center"/>
    </xf>
    <xf numFmtId="0" fontId="11" fillId="8" borderId="0" xfId="2" applyFont="1" applyFill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4" fontId="10" fillId="0" borderId="0" xfId="1" applyNumberFormat="1" applyFont="1" applyAlignment="1">
      <alignment horizontal="center" vertical="center"/>
    </xf>
    <xf numFmtId="14" fontId="10" fillId="8" borderId="0" xfId="1" applyNumberFormat="1" applyFont="1" applyFill="1" applyAlignment="1">
      <alignment horizontal="center" vertical="center"/>
    </xf>
    <xf numFmtId="0" fontId="10" fillId="8" borderId="0" xfId="1" applyFont="1" applyFill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8" borderId="0" xfId="1" applyFont="1" applyFill="1" applyAlignment="1">
      <alignment horizontal="center" vertical="center"/>
    </xf>
    <xf numFmtId="16" fontId="10" fillId="0" borderId="0" xfId="1" applyNumberFormat="1" applyFont="1" applyAlignment="1">
      <alignment horizontal="center" vertical="center"/>
    </xf>
    <xf numFmtId="0" fontId="8" fillId="6" borderId="0" xfId="3" applyFont="1" applyFill="1" applyAlignment="1">
      <alignment horizontal="center" vertical="center"/>
    </xf>
    <xf numFmtId="0" fontId="8" fillId="7" borderId="0" xfId="3" applyFont="1" applyFill="1" applyAlignment="1">
      <alignment horizontal="center" vertical="center"/>
    </xf>
    <xf numFmtId="14" fontId="9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11" fillId="8" borderId="0" xfId="0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6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165" fontId="9" fillId="0" borderId="0" xfId="3" applyNumberFormat="1" applyFont="1" applyAlignment="1">
      <alignment horizontal="center" vertical="center"/>
    </xf>
    <xf numFmtId="165" fontId="9" fillId="0" borderId="0" xfId="3" applyNumberFormat="1" applyFont="1" applyAlignment="1">
      <alignment horizontal="left" vertical="center"/>
    </xf>
    <xf numFmtId="165" fontId="9" fillId="0" borderId="0" xfId="3" applyNumberFormat="1" applyFont="1" applyAlignment="1">
      <alignment vertical="center"/>
    </xf>
    <xf numFmtId="0" fontId="9" fillId="0" borderId="0" xfId="3" applyFont="1" applyAlignment="1">
      <alignment horizontal="center" vertical="center" textRotation="90"/>
    </xf>
    <xf numFmtId="14" fontId="9" fillId="4" borderId="0" xfId="0" applyNumberFormat="1" applyFont="1" applyFill="1" applyAlignment="1">
      <alignment horizontal="center" vertical="center"/>
    </xf>
    <xf numFmtId="0" fontId="8" fillId="9" borderId="0" xfId="3" applyFont="1" applyFill="1" applyAlignment="1">
      <alignment horizontal="center" vertical="center"/>
    </xf>
    <xf numFmtId="9" fontId="11" fillId="0" borderId="0" xfId="4" applyFont="1" applyFill="1" applyBorder="1" applyAlignment="1">
      <alignment horizontal="center" vertical="center"/>
    </xf>
    <xf numFmtId="0" fontId="9" fillId="8" borderId="0" xfId="1" applyFont="1" applyFill="1" applyAlignment="1">
      <alignment horizontal="right" vertical="center"/>
    </xf>
    <xf numFmtId="0" fontId="11" fillId="8" borderId="0" xfId="1" applyFont="1" applyFill="1" applyAlignment="1">
      <alignment horizontal="left" vertical="center"/>
    </xf>
    <xf numFmtId="0" fontId="11" fillId="8" borderId="0" xfId="1" applyFont="1" applyFill="1" applyAlignment="1">
      <alignment horizontal="center" vertical="center"/>
    </xf>
    <xf numFmtId="0" fontId="9" fillId="8" borderId="0" xfId="1" applyFont="1" applyFill="1" applyAlignment="1">
      <alignment horizontal="left" vertical="center"/>
    </xf>
    <xf numFmtId="14" fontId="9" fillId="8" borderId="0" xfId="1" applyNumberFormat="1" applyFont="1" applyFill="1" applyAlignment="1">
      <alignment horizontal="center" vertical="center"/>
    </xf>
    <xf numFmtId="0" fontId="9" fillId="8" borderId="0" xfId="1" applyFont="1" applyFill="1" applyAlignment="1">
      <alignment horizontal="center" vertical="center"/>
    </xf>
    <xf numFmtId="14" fontId="9" fillId="8" borderId="0" xfId="0" applyNumberFormat="1" applyFont="1" applyFill="1" applyAlignment="1">
      <alignment horizontal="center"/>
    </xf>
    <xf numFmtId="9" fontId="9" fillId="0" borderId="0" xfId="4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9" fillId="8" borderId="0" xfId="0" applyFont="1" applyFill="1"/>
    <xf numFmtId="14" fontId="9" fillId="8" borderId="0" xfId="0" applyNumberFormat="1" applyFont="1" applyFill="1"/>
    <xf numFmtId="9" fontId="9" fillId="8" borderId="0" xfId="4" applyFont="1" applyFill="1" applyBorder="1" applyAlignment="1">
      <alignment horizontal="center"/>
    </xf>
    <xf numFmtId="14" fontId="9" fillId="0" borderId="0" xfId="3" applyNumberFormat="1" applyFont="1" applyAlignment="1">
      <alignment horizontal="center" vertical="center"/>
    </xf>
    <xf numFmtId="14" fontId="9" fillId="8" borderId="0" xfId="3" applyNumberFormat="1" applyFont="1" applyFill="1" applyAlignment="1">
      <alignment horizontal="center" vertical="center"/>
    </xf>
    <xf numFmtId="9" fontId="9" fillId="8" borderId="0" xfId="0" applyNumberFormat="1" applyFont="1" applyFill="1" applyAlignment="1">
      <alignment horizontal="center"/>
    </xf>
    <xf numFmtId="0" fontId="11" fillId="8" borderId="0" xfId="3" applyFont="1" applyFill="1" applyAlignment="1">
      <alignment horizontal="center" vertical="center"/>
    </xf>
    <xf numFmtId="9" fontId="11" fillId="8" borderId="0" xfId="4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" fontId="9" fillId="0" borderId="0" xfId="3" applyNumberFormat="1" applyFont="1" applyAlignment="1">
      <alignment horizontal="center" vertical="center"/>
    </xf>
    <xf numFmtId="0" fontId="11" fillId="8" borderId="0" xfId="1" applyFont="1" applyFill="1" applyAlignment="1">
      <alignment horizontal="left" vertical="center" indent="1"/>
    </xf>
    <xf numFmtId="0" fontId="9" fillId="8" borderId="0" xfId="1" applyFont="1" applyFill="1" applyAlignment="1">
      <alignment horizontal="left" vertical="center" indent="2"/>
    </xf>
    <xf numFmtId="0" fontId="9" fillId="8" borderId="0" xfId="0" applyFont="1" applyFill="1" applyAlignment="1">
      <alignment horizontal="left" indent="3"/>
    </xf>
    <xf numFmtId="9" fontId="9" fillId="8" borderId="0" xfId="4" applyFont="1" applyFill="1" applyAlignment="1">
      <alignment horizontal="center"/>
    </xf>
    <xf numFmtId="9" fontId="9" fillId="8" borderId="0" xfId="4" applyFont="1" applyFill="1" applyAlignment="1">
      <alignment horizontal="center" vertical="center"/>
    </xf>
    <xf numFmtId="14" fontId="16" fillId="8" borderId="0" xfId="3" applyNumberFormat="1" applyFont="1" applyFill="1" applyAlignment="1">
      <alignment vertical="center"/>
    </xf>
    <xf numFmtId="0" fontId="11" fillId="8" borderId="0" xfId="0" applyFont="1" applyFill="1" applyAlignment="1">
      <alignment horizontal="left" indent="2"/>
    </xf>
    <xf numFmtId="0" fontId="9" fillId="8" borderId="0" xfId="1" applyFont="1" applyFill="1" applyAlignment="1">
      <alignment horizontal="left" vertical="center" indent="3"/>
    </xf>
    <xf numFmtId="0" fontId="9" fillId="0" borderId="0" xfId="1" applyFont="1" applyAlignment="1">
      <alignment horizontal="right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14" fontId="9" fillId="0" borderId="0" xfId="1" applyNumberFormat="1" applyFont="1" applyAlignment="1">
      <alignment horizontal="center" vertical="center"/>
    </xf>
    <xf numFmtId="0" fontId="11" fillId="0" borderId="0" xfId="1" applyFont="1" applyAlignment="1">
      <alignment horizontal="left" vertical="center" indent="1"/>
    </xf>
    <xf numFmtId="0" fontId="9" fillId="0" borderId="0" xfId="1" applyFont="1" applyAlignment="1">
      <alignment horizontal="left" vertical="center" indent="2"/>
    </xf>
    <xf numFmtId="14" fontId="9" fillId="0" borderId="0" xfId="0" applyNumberFormat="1" applyFont="1"/>
    <xf numFmtId="0" fontId="9" fillId="0" borderId="0" xfId="1" applyFont="1" applyAlignment="1">
      <alignment horizontal="left" vertical="center" indent="3"/>
    </xf>
    <xf numFmtId="0" fontId="9" fillId="0" borderId="0" xfId="1" applyFon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left" indent="2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 indent="3"/>
    </xf>
    <xf numFmtId="9" fontId="9" fillId="0" borderId="0" xfId="4" applyFont="1" applyFill="1" applyAlignment="1">
      <alignment horizontal="center"/>
    </xf>
    <xf numFmtId="9" fontId="9" fillId="0" borderId="0" xfId="4" applyFont="1" applyFill="1" applyAlignment="1">
      <alignment horizontal="center" vertical="center"/>
    </xf>
    <xf numFmtId="9" fontId="9" fillId="0" borderId="0" xfId="0" applyNumberFormat="1" applyFont="1" applyAlignment="1">
      <alignment horizontal="center"/>
    </xf>
    <xf numFmtId="14" fontId="16" fillId="0" borderId="0" xfId="3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0" borderId="0" xfId="3" applyFont="1" applyAlignment="1">
      <alignment horizontal="center" vertical="center"/>
    </xf>
    <xf numFmtId="0" fontId="11" fillId="8" borderId="0" xfId="1" applyFont="1" applyFill="1" applyAlignment="1">
      <alignment horizontal="left" vertical="center" indent="2"/>
    </xf>
    <xf numFmtId="0" fontId="9" fillId="0" borderId="0" xfId="0" applyFont="1" applyAlignment="1">
      <alignment horizontal="left" indent="2"/>
    </xf>
    <xf numFmtId="0" fontId="17" fillId="8" borderId="0" xfId="0" applyFont="1" applyFill="1" applyAlignment="1">
      <alignment horizontal="left" indent="3"/>
    </xf>
    <xf numFmtId="0" fontId="17" fillId="8" borderId="0" xfId="3" applyFont="1" applyFill="1" applyAlignment="1">
      <alignment horizontal="center" vertical="center"/>
    </xf>
    <xf numFmtId="0" fontId="17" fillId="8" borderId="0" xfId="0" applyFont="1" applyFill="1" applyAlignment="1">
      <alignment horizontal="center"/>
    </xf>
    <xf numFmtId="0" fontId="17" fillId="8" borderId="0" xfId="0" applyFont="1" applyFill="1"/>
    <xf numFmtId="14" fontId="17" fillId="8" borderId="0" xfId="0" applyNumberFormat="1" applyFont="1" applyFill="1" applyAlignment="1">
      <alignment horizontal="center"/>
    </xf>
    <xf numFmtId="9" fontId="17" fillId="8" borderId="0" xfId="4" applyFont="1" applyFill="1" applyBorder="1" applyAlignment="1">
      <alignment horizontal="center"/>
    </xf>
    <xf numFmtId="0" fontId="17" fillId="8" borderId="0" xfId="3" applyFont="1" applyFill="1" applyAlignment="1">
      <alignment vertical="center"/>
    </xf>
    <xf numFmtId="0" fontId="17" fillId="8" borderId="0" xfId="3" applyFont="1" applyFill="1" applyAlignment="1">
      <alignment horizontal="left" vertical="center"/>
    </xf>
    <xf numFmtId="9" fontId="17" fillId="8" borderId="0" xfId="4" applyFont="1" applyFill="1" applyBorder="1" applyAlignment="1">
      <alignment horizontal="center" vertical="center"/>
    </xf>
    <xf numFmtId="0" fontId="17" fillId="8" borderId="0" xfId="1" applyFont="1" applyFill="1" applyAlignment="1">
      <alignment horizontal="left" vertical="center" indent="3"/>
    </xf>
    <xf numFmtId="0" fontId="17" fillId="8" borderId="0" xfId="1" applyFont="1" applyFill="1" applyAlignment="1">
      <alignment horizontal="center" vertical="center"/>
    </xf>
    <xf numFmtId="14" fontId="17" fillId="8" borderId="0" xfId="3" applyNumberFormat="1" applyFont="1" applyFill="1" applyAlignment="1">
      <alignment vertical="center"/>
    </xf>
    <xf numFmtId="14" fontId="17" fillId="8" borderId="0" xfId="1" applyNumberFormat="1" applyFont="1" applyFill="1" applyAlignment="1">
      <alignment horizontal="center" vertical="center"/>
    </xf>
    <xf numFmtId="0" fontId="17" fillId="0" borderId="0" xfId="1" applyFont="1" applyAlignment="1">
      <alignment horizontal="left" vertical="center" indent="3"/>
    </xf>
    <xf numFmtId="0" fontId="17" fillId="0" borderId="0" xfId="3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0" xfId="3" applyFont="1" applyAlignment="1">
      <alignment vertical="center"/>
    </xf>
    <xf numFmtId="14" fontId="17" fillId="0" borderId="0" xfId="3" applyNumberFormat="1" applyFont="1" applyAlignment="1">
      <alignment vertical="center"/>
    </xf>
    <xf numFmtId="14" fontId="17" fillId="0" borderId="0" xfId="1" applyNumberFormat="1" applyFont="1" applyAlignment="1">
      <alignment horizontal="center" vertical="center"/>
    </xf>
    <xf numFmtId="9" fontId="17" fillId="0" borderId="0" xfId="4" applyFont="1" applyFill="1" applyBorder="1" applyAlignment="1">
      <alignment horizontal="center" vertical="center"/>
    </xf>
    <xf numFmtId="0" fontId="17" fillId="0" borderId="0" xfId="3" applyFont="1" applyAlignment="1">
      <alignment horizontal="left" vertical="center"/>
    </xf>
    <xf numFmtId="0" fontId="17" fillId="8" borderId="0" xfId="1" applyFont="1" applyFill="1" applyAlignment="1">
      <alignment horizontal="left" vertical="center" indent="2"/>
    </xf>
    <xf numFmtId="14" fontId="17" fillId="0" borderId="0" xfId="3" applyNumberFormat="1" applyFont="1" applyAlignment="1">
      <alignment horizontal="center" vertical="center"/>
    </xf>
    <xf numFmtId="0" fontId="11" fillId="0" borderId="0" xfId="1" applyFont="1" applyAlignment="1">
      <alignment horizontal="left" vertical="center" indent="2"/>
    </xf>
    <xf numFmtId="0" fontId="18" fillId="8" borderId="0" xfId="1" applyFont="1" applyFill="1" applyAlignment="1">
      <alignment horizontal="left" vertical="center" indent="2"/>
    </xf>
    <xf numFmtId="0" fontId="18" fillId="8" borderId="0" xfId="1" applyFont="1" applyFill="1" applyAlignment="1">
      <alignment horizontal="left" vertical="center" indent="3"/>
    </xf>
    <xf numFmtId="0" fontId="18" fillId="0" borderId="0" xfId="1" applyFont="1" applyAlignment="1">
      <alignment horizontal="left" vertical="center" indent="3"/>
    </xf>
    <xf numFmtId="14" fontId="9" fillId="8" borderId="0" xfId="4" applyNumberFormat="1" applyFont="1" applyFill="1" applyBorder="1" applyAlignment="1">
      <alignment horizontal="center" vertical="center"/>
    </xf>
  </cellXfs>
  <cellStyles count="13">
    <cellStyle name="Good" xfId="2" builtinId="26"/>
    <cellStyle name="Normal" xfId="0" builtinId="0"/>
    <cellStyle name="Normal 2" xfId="1" xr:uid="{DB795EA1-9693-4636-A554-89E9B943F8F1}"/>
    <cellStyle name="Normal 2 2" xfId="5" xr:uid="{12C121B7-BE36-481E-9587-83DA738BA49C}"/>
    <cellStyle name="Normal 2 2 2" xfId="12" xr:uid="{3BA4E27F-DA5F-43DA-95EC-84BD32EF3836}"/>
    <cellStyle name="Normal 2 2 3" xfId="7" xr:uid="{4D1D8457-1B08-47DD-8ABD-4E35405C2EB5}"/>
    <cellStyle name="Normal 3" xfId="3" xr:uid="{92B8490B-9484-41A4-A0E9-081D53D39F9D}"/>
    <cellStyle name="Normal 4" xfId="8" xr:uid="{625EB997-3C2E-485D-9478-11D1841772E8}"/>
    <cellStyle name="Percent 2" xfId="4" xr:uid="{88AACDC7-68C1-41D5-B249-085529327CED}"/>
    <cellStyle name="Percent 2 2" xfId="10" xr:uid="{62B7FF3B-D872-4BF0-A2C1-007E98894637}"/>
    <cellStyle name="Percent 2 3" xfId="11" xr:uid="{73DE21B7-42F2-44B8-ACCE-8A37B23B20F7}"/>
    <cellStyle name="Percent 2 4" xfId="6" xr:uid="{B9721124-DA5C-4160-A6FA-B1F0826A862E}"/>
    <cellStyle name="Percent 3" xfId="9" xr:uid="{63E1BD55-C8EA-478A-AD51-36D2C3CBD5AB}"/>
  </cellStyles>
  <dxfs count="0"/>
  <tableStyles count="0" defaultTableStyle="TableStyleMedium2" defaultPivotStyle="PivotStyleLight16"/>
  <colors>
    <mruColors>
      <color rgb="FFEBFE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0</xdr:row>
          <xdr:rowOff>0</xdr:rowOff>
        </xdr:from>
        <xdr:to>
          <xdr:col>1</xdr:col>
          <xdr:colOff>1473200</xdr:colOff>
          <xdr:row>0</xdr:row>
          <xdr:rowOff>177800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Aptos Narrow"/>
                </a:rPr>
                <a:t>Calculate Critical Path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596900</xdr:colOff>
          <xdr:row>0</xdr:row>
          <xdr:rowOff>0</xdr:rowOff>
        </xdr:from>
        <xdr:to>
          <xdr:col>12</xdr:col>
          <xdr:colOff>25400</xdr:colOff>
          <xdr:row>0</xdr:row>
          <xdr:rowOff>177800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0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Aptos Narrow"/>
                </a:rPr>
                <a:t>Calculate Dates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76200</xdr:colOff>
          <xdr:row>0</xdr:row>
          <xdr:rowOff>0</xdr:rowOff>
        </xdr:from>
        <xdr:to>
          <xdr:col>12</xdr:col>
          <xdr:colOff>1524000</xdr:colOff>
          <xdr:row>0</xdr:row>
          <xdr:rowOff>177800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0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Aptos Narrow"/>
                </a:rPr>
                <a:t>Create Gantt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0</xdr:row>
          <xdr:rowOff>0</xdr:rowOff>
        </xdr:from>
        <xdr:to>
          <xdr:col>2</xdr:col>
          <xdr:colOff>1473200</xdr:colOff>
          <xdr:row>0</xdr:row>
          <xdr:rowOff>177800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Aptos Narrow"/>
                </a:rPr>
                <a:t>Calculate Critical Path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596900</xdr:colOff>
          <xdr:row>0</xdr:row>
          <xdr:rowOff>0</xdr:rowOff>
        </xdr:from>
        <xdr:to>
          <xdr:col>13</xdr:col>
          <xdr:colOff>25400</xdr:colOff>
          <xdr:row>0</xdr:row>
          <xdr:rowOff>177800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Aptos Narrow"/>
                </a:rPr>
                <a:t>Calculate Dates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76200</xdr:colOff>
          <xdr:row>0</xdr:row>
          <xdr:rowOff>0</xdr:rowOff>
        </xdr:from>
        <xdr:to>
          <xdr:col>13</xdr:col>
          <xdr:colOff>1524000</xdr:colOff>
          <xdr:row>0</xdr:row>
          <xdr:rowOff>177800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Aptos Narrow"/>
                </a:rPr>
                <a:t>Create Gantt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0</xdr:row>
      <xdr:rowOff>0</xdr:rowOff>
    </xdr:from>
    <xdr:to>
      <xdr:col>1</xdr:col>
      <xdr:colOff>495300</xdr:colOff>
      <xdr:row>2</xdr:row>
      <xdr:rowOff>142746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 noChangeAspect="1"/>
        </xdr:cNvGrpSpPr>
      </xdr:nvGrpSpPr>
      <xdr:grpSpPr>
        <a:xfrm>
          <a:off x="201930" y="0"/>
          <a:ext cx="464820" cy="511046"/>
          <a:chOff x="5082540" y="297181"/>
          <a:chExt cx="1013460" cy="1108710"/>
        </a:xfrm>
      </xdr:grpSpPr>
      <xdr:sp macro="" textlink="">
        <xdr:nvSpPr>
          <xdr:cNvPr id="3" name="Retângulo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5304574" y="585071"/>
            <a:ext cx="502920" cy="556259"/>
          </a:xfrm>
          <a:prstGeom prst="rect">
            <a:avLst/>
          </a:prstGeom>
          <a:solidFill>
            <a:srgbClr val="FFFFFF"/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wrap="square" tIns="91440" bIns="91440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Graphik"/>
              <a:ea typeface="+mn-ea"/>
              <a:cs typeface="+mn-cs"/>
            </a:endParaRPr>
          </a:p>
        </xdr:txBody>
      </xdr:sp>
      <xdr:pic>
        <xdr:nvPicPr>
          <xdr:cNvPr id="4" name="Picture 3" descr="Oi Fibra chega a dois milhões de clientes em 2020 ...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738" t="13107" r="27513" b="12228"/>
          <a:stretch/>
        </xdr:blipFill>
        <xdr:spPr bwMode="auto">
          <a:xfrm>
            <a:off x="5082540" y="297181"/>
            <a:ext cx="1013460" cy="11087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335280</xdr:colOff>
      <xdr:row>17</xdr:row>
      <xdr:rowOff>60960</xdr:rowOff>
    </xdr:from>
    <xdr:to>
      <xdr:col>3</xdr:col>
      <xdr:colOff>1227304</xdr:colOff>
      <xdr:row>34</xdr:row>
      <xdr:rowOff>167919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88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2920" y="3169920"/>
          <a:ext cx="5585944" cy="32159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.accenture.com/sites/Oi-ProgramaTwist/Shared%20Documents/General/03%20Materiais%20Oi/01%20Compartilhados%20com%20ACN/CPM_GANTT_MA_20240625_1730%20(003).xlsm" TargetMode="External"/><Relationship Id="rId1" Type="http://schemas.openxmlformats.org/officeDocument/2006/relationships/externalLinkPath" Target="https://ts.accenture.com/sites/Oi-ProgramaTwist/Shared%20Documents/General/03%20Materiais%20Oi/01%20Compartilhados%20com%20ACN/CPM_GANTT_MA_20240625_1730%20(00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ist1r (2)"/>
      <sheetName val="twist_All"/>
      <sheetName val="twist_societ_s"/>
      <sheetName val="_param"/>
      <sheetName val="_template"/>
      <sheetName val="CPM"/>
      <sheetName val="CPM_GANTT_MA_20240625_1730 (003"/>
    </sheetNames>
    <definedNames>
      <definedName name="CalculateStartAndEndDates"/>
      <definedName name="DrawGanttChartWithDates"/>
      <definedName name="ManageTasks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84D3-E367-43B9-A404-F12D0FED0014}">
  <dimension ref="A2:EU467"/>
  <sheetViews>
    <sheetView showGridLines="0" tabSelected="1" zoomScale="94" zoomScaleNormal="94" workbookViewId="0">
      <pane ySplit="2" topLeftCell="A117" activePane="bottomLeft" state="frozen"/>
      <selection activeCell="B1" sqref="B1"/>
      <selection pane="bottomLeft" activeCell="B123" sqref="B123"/>
    </sheetView>
  </sheetViews>
  <sheetFormatPr defaultColWidth="1.90625" defaultRowHeight="14.5" outlineLevelRow="2" outlineLevelCol="1" x14ac:dyDescent="0.35"/>
  <cols>
    <col min="1" max="1" width="6.08984375" style="22" customWidth="1"/>
    <col min="2" max="2" width="76.36328125" style="23" customWidth="1"/>
    <col min="3" max="3" width="8.90625" style="25" customWidth="1"/>
    <col min="4" max="4" width="13.54296875" style="25" customWidth="1"/>
    <col min="5" max="6" width="6.453125" style="24" hidden="1" customWidth="1" outlineLevel="1"/>
    <col min="7" max="9" width="7.453125" style="24" hidden="1" customWidth="1" outlineLevel="1"/>
    <col min="10" max="10" width="9.08984375" style="24" hidden="1" customWidth="1" outlineLevel="1"/>
    <col min="11" max="11" width="12.453125" style="26" bestFit="1" customWidth="1" collapsed="1"/>
    <col min="12" max="12" width="12.453125" style="116" bestFit="1" customWidth="1"/>
    <col min="13" max="13" width="11.08984375" style="25" customWidth="1"/>
    <col min="14" max="16" width="1.90625" hidden="1" customWidth="1" outlineLevel="1"/>
    <col min="17" max="90" width="1.90625" style="39" hidden="1" customWidth="1" outlineLevel="1"/>
    <col min="91" max="148" width="1.90625" style="38" hidden="1" customWidth="1" outlineLevel="1"/>
    <col min="149" max="149" width="20.1796875" style="25" bestFit="1" customWidth="1" collapsed="1"/>
    <col min="150" max="150" width="23.453125" style="25" customWidth="1"/>
    <col min="151" max="151" width="23.453125" style="24" customWidth="1"/>
    <col min="152" max="16384" width="1.90625" style="38"/>
  </cols>
  <sheetData>
    <row r="2" spans="1:151" s="20" customFormat="1" ht="52" x14ac:dyDescent="0.35">
      <c r="A2" s="18" t="s">
        <v>302</v>
      </c>
      <c r="B2" s="63" t="s">
        <v>301</v>
      </c>
      <c r="C2" s="83" t="s">
        <v>299</v>
      </c>
      <c r="D2" s="83" t="s">
        <v>300</v>
      </c>
      <c r="E2" s="84" t="s">
        <v>4</v>
      </c>
      <c r="F2" s="84" t="s">
        <v>5</v>
      </c>
      <c r="G2" s="84" t="s">
        <v>6</v>
      </c>
      <c r="H2" s="84" t="s">
        <v>7</v>
      </c>
      <c r="I2" s="84" t="s">
        <v>8</v>
      </c>
      <c r="J2" s="84" t="s">
        <v>9</v>
      </c>
      <c r="K2" s="83" t="s">
        <v>10</v>
      </c>
      <c r="L2" s="64" t="s">
        <v>11</v>
      </c>
      <c r="M2" s="63" t="s">
        <v>12</v>
      </c>
      <c r="Q2" s="19" t="s">
        <v>16</v>
      </c>
      <c r="R2" s="19" t="s">
        <v>17</v>
      </c>
      <c r="S2" s="19" t="s">
        <v>18</v>
      </c>
      <c r="T2" s="20" t="s">
        <v>19</v>
      </c>
      <c r="U2" s="20" t="s">
        <v>20</v>
      </c>
      <c r="V2" s="20" t="s">
        <v>21</v>
      </c>
      <c r="W2" s="20" t="s">
        <v>22</v>
      </c>
      <c r="X2" s="20" t="s">
        <v>23</v>
      </c>
      <c r="Y2" s="20" t="s">
        <v>24</v>
      </c>
      <c r="Z2" s="20" t="s">
        <v>25</v>
      </c>
      <c r="AA2" s="20" t="s">
        <v>26</v>
      </c>
      <c r="AB2" s="20" t="s">
        <v>27</v>
      </c>
      <c r="AC2" s="20" t="s">
        <v>28</v>
      </c>
      <c r="AD2" s="20" t="s">
        <v>29</v>
      </c>
      <c r="AE2" s="20" t="s">
        <v>30</v>
      </c>
      <c r="AF2" s="20" t="s">
        <v>31</v>
      </c>
      <c r="AG2" s="20" t="s">
        <v>32</v>
      </c>
      <c r="AH2" s="20" t="s">
        <v>33</v>
      </c>
      <c r="AI2" s="20" t="s">
        <v>34</v>
      </c>
      <c r="AJ2" s="20" t="s">
        <v>35</v>
      </c>
      <c r="AK2" s="20" t="s">
        <v>36</v>
      </c>
      <c r="AL2" s="20" t="s">
        <v>37</v>
      </c>
      <c r="AM2" s="20" t="s">
        <v>38</v>
      </c>
      <c r="AN2" s="20" t="s">
        <v>39</v>
      </c>
      <c r="AO2" s="20" t="s">
        <v>40</v>
      </c>
      <c r="AP2" s="20" t="s">
        <v>41</v>
      </c>
      <c r="AQ2" s="20" t="s">
        <v>42</v>
      </c>
      <c r="AR2" s="20" t="s">
        <v>43</v>
      </c>
      <c r="AS2" s="20" t="s">
        <v>44</v>
      </c>
      <c r="AT2" s="20" t="s">
        <v>45</v>
      </c>
      <c r="AU2" s="20" t="s">
        <v>46</v>
      </c>
      <c r="AV2" s="20" t="s">
        <v>47</v>
      </c>
      <c r="AW2" s="20" t="s">
        <v>48</v>
      </c>
      <c r="AX2" s="20" t="s">
        <v>49</v>
      </c>
      <c r="AY2" s="20" t="s">
        <v>50</v>
      </c>
      <c r="AZ2" s="20" t="s">
        <v>51</v>
      </c>
      <c r="BA2" s="20" t="s">
        <v>52</v>
      </c>
      <c r="BB2" s="20" t="s">
        <v>53</v>
      </c>
      <c r="BC2" s="20" t="s">
        <v>54</v>
      </c>
      <c r="BD2" s="20" t="s">
        <v>55</v>
      </c>
      <c r="BE2" s="20" t="s">
        <v>56</v>
      </c>
      <c r="BF2" s="20" t="s">
        <v>57</v>
      </c>
      <c r="BG2" s="20" t="s">
        <v>58</v>
      </c>
      <c r="BH2" s="20" t="s">
        <v>59</v>
      </c>
      <c r="BI2" s="20" t="s">
        <v>60</v>
      </c>
      <c r="BJ2" s="20" t="s">
        <v>61</v>
      </c>
      <c r="BK2" s="20" t="s">
        <v>62</v>
      </c>
      <c r="BL2" s="20" t="s">
        <v>63</v>
      </c>
      <c r="BM2" s="20" t="s">
        <v>64</v>
      </c>
      <c r="BN2" s="20" t="s">
        <v>65</v>
      </c>
      <c r="BO2" s="20" t="s">
        <v>66</v>
      </c>
      <c r="BP2" s="20" t="s">
        <v>67</v>
      </c>
      <c r="BQ2" s="20" t="s">
        <v>68</v>
      </c>
      <c r="BR2" s="20" t="s">
        <v>69</v>
      </c>
      <c r="BS2" s="20" t="s">
        <v>70</v>
      </c>
      <c r="BT2" s="20" t="s">
        <v>71</v>
      </c>
      <c r="BU2" s="20" t="s">
        <v>72</v>
      </c>
      <c r="BV2" s="20" t="s">
        <v>73</v>
      </c>
      <c r="BW2" s="20" t="s">
        <v>74</v>
      </c>
      <c r="BX2" s="20" t="s">
        <v>75</v>
      </c>
      <c r="BY2" s="20" t="s">
        <v>76</v>
      </c>
      <c r="BZ2" s="20" t="s">
        <v>77</v>
      </c>
      <c r="CA2" s="20" t="s">
        <v>78</v>
      </c>
      <c r="CB2" s="20" t="s">
        <v>79</v>
      </c>
      <c r="CC2" s="20" t="s">
        <v>80</v>
      </c>
      <c r="CD2" s="20" t="s">
        <v>81</v>
      </c>
      <c r="CE2" s="20" t="s">
        <v>82</v>
      </c>
      <c r="CF2" s="20" t="s">
        <v>83</v>
      </c>
      <c r="CG2" s="20" t="s">
        <v>84</v>
      </c>
      <c r="CH2" s="20" t="s">
        <v>85</v>
      </c>
      <c r="CI2" s="20" t="s">
        <v>86</v>
      </c>
      <c r="CJ2" s="20" t="s">
        <v>87</v>
      </c>
      <c r="CK2" s="20" t="s">
        <v>88</v>
      </c>
      <c r="CL2" s="20" t="s">
        <v>89</v>
      </c>
      <c r="CM2" s="20" t="s">
        <v>90</v>
      </c>
      <c r="CN2" s="20" t="s">
        <v>91</v>
      </c>
      <c r="CO2" s="20" t="s">
        <v>92</v>
      </c>
      <c r="CP2" s="20" t="s">
        <v>93</v>
      </c>
      <c r="CQ2" s="20" t="s">
        <v>94</v>
      </c>
      <c r="CR2" s="20" t="s">
        <v>95</v>
      </c>
      <c r="CS2" s="20" t="s">
        <v>96</v>
      </c>
      <c r="CT2" s="20" t="s">
        <v>97</v>
      </c>
      <c r="CU2" s="20" t="s">
        <v>98</v>
      </c>
      <c r="CV2" s="20" t="s">
        <v>99</v>
      </c>
      <c r="CW2" s="20" t="s">
        <v>100</v>
      </c>
      <c r="CX2" s="20" t="s">
        <v>101</v>
      </c>
      <c r="CY2" s="20" t="s">
        <v>102</v>
      </c>
      <c r="CZ2" s="20" t="s">
        <v>103</v>
      </c>
      <c r="DA2" s="20" t="s">
        <v>104</v>
      </c>
      <c r="DB2" s="20" t="s">
        <v>105</v>
      </c>
      <c r="DC2" s="20" t="s">
        <v>106</v>
      </c>
      <c r="DD2" s="20" t="s">
        <v>107</v>
      </c>
      <c r="DE2" s="20" t="s">
        <v>108</v>
      </c>
      <c r="DF2" s="20" t="s">
        <v>109</v>
      </c>
      <c r="DG2" s="20" t="s">
        <v>110</v>
      </c>
      <c r="DH2" s="20" t="s">
        <v>111</v>
      </c>
      <c r="DI2" s="20" t="s">
        <v>112</v>
      </c>
      <c r="DJ2" s="20" t="s">
        <v>113</v>
      </c>
      <c r="DK2" s="20" t="s">
        <v>114</v>
      </c>
      <c r="DL2" s="20" t="s">
        <v>115</v>
      </c>
      <c r="DM2" s="20" t="s">
        <v>116</v>
      </c>
      <c r="DN2" s="20" t="s">
        <v>117</v>
      </c>
      <c r="DO2" s="20" t="s">
        <v>118</v>
      </c>
      <c r="DP2" s="20" t="s">
        <v>119</v>
      </c>
      <c r="DQ2" s="20" t="s">
        <v>120</v>
      </c>
      <c r="DR2" s="20" t="s">
        <v>121</v>
      </c>
      <c r="DS2" s="20" t="s">
        <v>122</v>
      </c>
      <c r="DT2" s="20" t="s">
        <v>123</v>
      </c>
      <c r="DU2" s="20" t="s">
        <v>124</v>
      </c>
      <c r="DV2" s="20" t="s">
        <v>125</v>
      </c>
      <c r="DW2" s="20" t="s">
        <v>126</v>
      </c>
      <c r="DX2" s="20" t="s">
        <v>127</v>
      </c>
      <c r="DY2" s="20" t="s">
        <v>128</v>
      </c>
      <c r="DZ2" s="20" t="s">
        <v>129</v>
      </c>
      <c r="EA2" s="20" t="s">
        <v>130</v>
      </c>
      <c r="EB2" s="20" t="s">
        <v>131</v>
      </c>
      <c r="EC2" s="20" t="s">
        <v>132</v>
      </c>
      <c r="ED2" s="20" t="s">
        <v>133</v>
      </c>
      <c r="EE2" s="20" t="s">
        <v>134</v>
      </c>
      <c r="ES2" s="63" t="s">
        <v>13</v>
      </c>
      <c r="ET2" s="63" t="s">
        <v>14</v>
      </c>
      <c r="EU2" s="63" t="s">
        <v>15</v>
      </c>
    </row>
    <row r="3" spans="1:151" s="33" customFormat="1" ht="15.9" customHeight="1" x14ac:dyDescent="0.35">
      <c r="A3" s="104">
        <v>0</v>
      </c>
      <c r="B3" s="105" t="s">
        <v>135</v>
      </c>
      <c r="C3" s="34"/>
      <c r="D3" s="34"/>
      <c r="E3" s="33">
        <v>1</v>
      </c>
      <c r="F3" s="33">
        <v>1</v>
      </c>
      <c r="G3" s="33">
        <v>327</v>
      </c>
      <c r="H3" s="33">
        <v>327</v>
      </c>
      <c r="I3" s="33">
        <v>326</v>
      </c>
      <c r="J3" s="33" t="b">
        <v>0</v>
      </c>
      <c r="K3" s="35">
        <v>45299</v>
      </c>
      <c r="L3" s="108">
        <v>45626</v>
      </c>
      <c r="M3" s="36">
        <v>0.05</v>
      </c>
      <c r="Q3" s="34"/>
      <c r="R3" s="34"/>
      <c r="S3" s="34"/>
      <c r="U3" s="32"/>
      <c r="V3" s="34"/>
      <c r="X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CE3" s="34"/>
      <c r="CF3" s="34"/>
      <c r="CG3" s="34"/>
      <c r="CH3" s="34"/>
      <c r="CI3" s="34"/>
      <c r="CJ3" s="34"/>
      <c r="CK3" s="34"/>
      <c r="CL3" s="34"/>
      <c r="ES3" s="36" t="s">
        <v>138</v>
      </c>
      <c r="ET3" s="36"/>
      <c r="EU3" s="36"/>
    </row>
    <row r="4" spans="1:151" s="24" customFormat="1" ht="15.9" customHeight="1" x14ac:dyDescent="0.35">
      <c r="A4" s="104">
        <v>1</v>
      </c>
      <c r="B4" s="132" t="s">
        <v>137</v>
      </c>
      <c r="C4" s="25">
        <f t="shared" ref="C4:C56" si="0">NETWORKDAYS(K4,L4)</f>
        <v>235</v>
      </c>
      <c r="D4" s="25">
        <f>A3</f>
        <v>0</v>
      </c>
      <c r="E4" s="24">
        <v>1</v>
      </c>
      <c r="F4" s="24">
        <v>235</v>
      </c>
      <c r="G4" s="24">
        <v>93</v>
      </c>
      <c r="H4" s="24">
        <v>327</v>
      </c>
      <c r="I4" s="24">
        <v>92</v>
      </c>
      <c r="J4" s="24" t="b">
        <v>0</v>
      </c>
      <c r="K4" s="26">
        <v>45299</v>
      </c>
      <c r="L4" s="134">
        <v>45626</v>
      </c>
      <c r="M4" s="27">
        <v>0.2</v>
      </c>
      <c r="Q4" s="25"/>
      <c r="R4" s="25"/>
      <c r="S4" s="25"/>
      <c r="U4" s="23"/>
      <c r="V4" s="25"/>
      <c r="X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CE4" s="25"/>
      <c r="CF4" s="25"/>
      <c r="CG4" s="25"/>
      <c r="CH4" s="25"/>
      <c r="CI4" s="25"/>
      <c r="CJ4" s="25"/>
      <c r="CK4" s="25"/>
      <c r="CL4" s="25"/>
      <c r="ES4" s="27" t="s">
        <v>138</v>
      </c>
      <c r="ET4" s="27" t="s">
        <v>139</v>
      </c>
      <c r="EU4" s="27"/>
    </row>
    <row r="5" spans="1:151" s="33" customFormat="1" ht="15.9" customHeight="1" x14ac:dyDescent="0.35">
      <c r="A5" s="104">
        <v>2</v>
      </c>
      <c r="B5" s="123" t="s">
        <v>320</v>
      </c>
      <c r="C5" s="34">
        <f t="shared" si="0"/>
        <v>125</v>
      </c>
      <c r="D5" s="34">
        <f>A3</f>
        <v>0</v>
      </c>
      <c r="E5" s="33">
        <v>1</v>
      </c>
      <c r="F5" s="33">
        <v>172</v>
      </c>
      <c r="G5" s="33">
        <v>156</v>
      </c>
      <c r="H5" s="33">
        <v>327</v>
      </c>
      <c r="I5" s="33">
        <v>155</v>
      </c>
      <c r="J5" s="33" t="b">
        <v>0</v>
      </c>
      <c r="K5" s="35">
        <f>K6</f>
        <v>45299</v>
      </c>
      <c r="L5" s="108">
        <f>L8</f>
        <v>45471</v>
      </c>
      <c r="M5" s="36">
        <v>1</v>
      </c>
      <c r="Q5" s="34"/>
      <c r="R5" s="34"/>
      <c r="S5" s="34"/>
      <c r="U5" s="32"/>
      <c r="V5" s="34"/>
      <c r="X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CE5" s="34"/>
      <c r="CF5" s="34"/>
      <c r="CG5" s="34"/>
      <c r="CH5" s="34"/>
      <c r="CI5" s="34"/>
      <c r="CJ5" s="34"/>
      <c r="CK5" s="34"/>
      <c r="CL5" s="34"/>
      <c r="ES5" s="36" t="s">
        <v>12</v>
      </c>
      <c r="ET5" s="36" t="s">
        <v>139</v>
      </c>
      <c r="EU5" s="181">
        <f>MAX(L5:L31)</f>
        <v>45627</v>
      </c>
    </row>
    <row r="6" spans="1:151" s="24" customFormat="1" ht="15.9" customHeight="1" outlineLevel="1" x14ac:dyDescent="0.35">
      <c r="A6" s="104">
        <v>3</v>
      </c>
      <c r="B6" s="136" t="s">
        <v>317</v>
      </c>
      <c r="C6" s="25">
        <f t="shared" si="0"/>
        <v>113</v>
      </c>
      <c r="D6" s="25">
        <f>A3</f>
        <v>0</v>
      </c>
      <c r="E6" s="24">
        <v>1</v>
      </c>
      <c r="F6" s="24">
        <v>4</v>
      </c>
      <c r="G6" s="24">
        <v>188</v>
      </c>
      <c r="H6" s="24">
        <v>191</v>
      </c>
      <c r="I6" s="24">
        <v>187</v>
      </c>
      <c r="J6" s="24" t="b">
        <v>0</v>
      </c>
      <c r="K6" s="137">
        <v>45299</v>
      </c>
      <c r="L6" s="26">
        <v>45455</v>
      </c>
      <c r="M6" s="27">
        <v>1</v>
      </c>
      <c r="Q6" s="25"/>
      <c r="R6" s="25"/>
      <c r="S6" s="25"/>
      <c r="U6" s="23"/>
      <c r="V6" s="25"/>
      <c r="X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CE6" s="25"/>
      <c r="CF6" s="25"/>
      <c r="CG6" s="25"/>
      <c r="CH6" s="25"/>
      <c r="CI6" s="25"/>
      <c r="CJ6" s="25"/>
      <c r="CK6" s="25"/>
      <c r="CL6" s="25"/>
      <c r="ES6" s="27" t="s">
        <v>12</v>
      </c>
      <c r="ET6" s="27" t="s">
        <v>139</v>
      </c>
      <c r="EU6" s="27"/>
    </row>
    <row r="7" spans="1:151" s="33" customFormat="1" ht="15.9" customHeight="1" outlineLevel="1" x14ac:dyDescent="0.35">
      <c r="A7" s="104">
        <v>4</v>
      </c>
      <c r="B7" s="152" t="s">
        <v>352</v>
      </c>
      <c r="C7" s="34">
        <f t="shared" si="0"/>
        <v>122</v>
      </c>
      <c r="D7" s="34">
        <f>A6</f>
        <v>3</v>
      </c>
      <c r="K7" s="35">
        <v>45456</v>
      </c>
      <c r="L7" s="35">
        <v>45626</v>
      </c>
      <c r="M7" s="36">
        <v>0.05</v>
      </c>
      <c r="Q7" s="34"/>
      <c r="R7" s="34"/>
      <c r="S7" s="34"/>
      <c r="U7" s="32"/>
      <c r="V7" s="34"/>
      <c r="X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CE7" s="34"/>
      <c r="CF7" s="34"/>
      <c r="CG7" s="34"/>
      <c r="CH7" s="34"/>
      <c r="CI7" s="34"/>
      <c r="CJ7" s="34"/>
      <c r="CK7" s="34"/>
      <c r="CL7" s="34"/>
      <c r="ES7" s="36" t="s">
        <v>138</v>
      </c>
      <c r="ET7" s="36" t="s">
        <v>144</v>
      </c>
      <c r="EU7" s="36"/>
    </row>
    <row r="8" spans="1:151" s="24" customFormat="1" ht="15.9" customHeight="1" outlineLevel="2" x14ac:dyDescent="0.35">
      <c r="A8" s="104">
        <v>5</v>
      </c>
      <c r="B8" s="138" t="s">
        <v>324</v>
      </c>
      <c r="C8" s="25">
        <f t="shared" si="0"/>
        <v>12</v>
      </c>
      <c r="D8" s="139">
        <f>A6</f>
        <v>3</v>
      </c>
      <c r="E8" s="24">
        <v>5</v>
      </c>
      <c r="F8" s="24">
        <v>20</v>
      </c>
      <c r="G8" s="24">
        <v>192</v>
      </c>
      <c r="H8" s="24">
        <v>207</v>
      </c>
      <c r="I8" s="24">
        <v>187</v>
      </c>
      <c r="J8" s="24" t="b">
        <v>0</v>
      </c>
      <c r="K8" s="26">
        <v>45456</v>
      </c>
      <c r="L8" s="140">
        <v>45471</v>
      </c>
      <c r="M8" s="27">
        <v>1</v>
      </c>
      <c r="Q8" s="25"/>
      <c r="R8" s="25"/>
      <c r="S8" s="25"/>
      <c r="U8" s="23"/>
      <c r="V8" s="25"/>
      <c r="X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CE8" s="25"/>
      <c r="CF8" s="25"/>
      <c r="CG8" s="25"/>
      <c r="CH8" s="25"/>
      <c r="CI8" s="25"/>
      <c r="CJ8" s="25"/>
      <c r="CK8" s="25"/>
      <c r="CL8" s="25"/>
      <c r="ES8" s="27" t="s">
        <v>12</v>
      </c>
      <c r="ET8" s="27" t="s">
        <v>162</v>
      </c>
      <c r="EU8" s="27"/>
    </row>
    <row r="9" spans="1:151" s="33" customFormat="1" ht="15.9" customHeight="1" outlineLevel="2" x14ac:dyDescent="0.35">
      <c r="A9" s="104">
        <v>6</v>
      </c>
      <c r="B9" s="130" t="s">
        <v>325</v>
      </c>
      <c r="C9" s="34">
        <f t="shared" si="0"/>
        <v>28</v>
      </c>
      <c r="D9" s="109">
        <f t="shared" ref="D9:D18" si="1">A8</f>
        <v>5</v>
      </c>
      <c r="K9" s="35">
        <v>45474</v>
      </c>
      <c r="L9" s="110">
        <v>45511</v>
      </c>
      <c r="M9" s="36">
        <v>0</v>
      </c>
      <c r="Q9" s="34"/>
      <c r="R9" s="34"/>
      <c r="S9" s="34"/>
      <c r="U9" s="32"/>
      <c r="V9" s="34"/>
      <c r="X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CE9" s="34"/>
      <c r="CF9" s="34"/>
      <c r="CG9" s="34"/>
      <c r="CH9" s="34"/>
      <c r="CI9" s="34"/>
      <c r="CJ9" s="34"/>
      <c r="CK9" s="34"/>
      <c r="CL9" s="34"/>
      <c r="ES9" s="36" t="s">
        <v>303</v>
      </c>
      <c r="ET9" s="36" t="s">
        <v>162</v>
      </c>
      <c r="EU9" s="36"/>
    </row>
    <row r="10" spans="1:151" s="24" customFormat="1" ht="15.9" customHeight="1" outlineLevel="2" x14ac:dyDescent="0.35">
      <c r="A10" s="104">
        <v>7</v>
      </c>
      <c r="B10" s="138" t="s">
        <v>326</v>
      </c>
      <c r="C10" s="25">
        <f t="shared" si="0"/>
        <v>23</v>
      </c>
      <c r="D10" s="139">
        <f t="shared" si="1"/>
        <v>6</v>
      </c>
      <c r="K10" s="26">
        <v>45511</v>
      </c>
      <c r="L10" s="140">
        <v>45541</v>
      </c>
      <c r="M10" s="27">
        <v>0</v>
      </c>
      <c r="Q10" s="25"/>
      <c r="R10" s="25"/>
      <c r="S10" s="25"/>
      <c r="U10" s="23"/>
      <c r="V10" s="25"/>
      <c r="X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CE10" s="25"/>
      <c r="CF10" s="25"/>
      <c r="CG10" s="25"/>
      <c r="CH10" s="25"/>
      <c r="CI10" s="25"/>
      <c r="CJ10" s="25"/>
      <c r="CK10" s="25"/>
      <c r="CL10" s="25"/>
      <c r="ES10" s="27" t="s">
        <v>303</v>
      </c>
      <c r="ET10" s="27" t="s">
        <v>162</v>
      </c>
      <c r="EU10" s="27"/>
    </row>
    <row r="11" spans="1:151" s="33" customFormat="1" ht="15.9" customHeight="1" outlineLevel="2" x14ac:dyDescent="0.35">
      <c r="A11" s="104">
        <v>8</v>
      </c>
      <c r="B11" s="130" t="s">
        <v>327</v>
      </c>
      <c r="C11" s="34">
        <f t="shared" si="0"/>
        <v>23</v>
      </c>
      <c r="D11" s="109">
        <f t="shared" si="1"/>
        <v>7</v>
      </c>
      <c r="K11" s="110">
        <v>45544</v>
      </c>
      <c r="L11" s="110">
        <v>45574</v>
      </c>
      <c r="M11" s="36">
        <v>0</v>
      </c>
      <c r="Q11" s="34"/>
      <c r="R11" s="34"/>
      <c r="S11" s="34"/>
      <c r="U11" s="32"/>
      <c r="V11" s="34"/>
      <c r="X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CE11" s="34"/>
      <c r="CF11" s="34"/>
      <c r="CG11" s="34"/>
      <c r="CH11" s="34"/>
      <c r="CI11" s="34"/>
      <c r="CJ11" s="34"/>
      <c r="CK11" s="34"/>
      <c r="CL11" s="34"/>
      <c r="ES11" s="36" t="s">
        <v>303</v>
      </c>
      <c r="ET11" s="36" t="s">
        <v>162</v>
      </c>
      <c r="EU11" s="36"/>
    </row>
    <row r="12" spans="1:151" s="24" customFormat="1" ht="15.9" customHeight="1" outlineLevel="2" x14ac:dyDescent="0.35">
      <c r="A12" s="104">
        <v>9</v>
      </c>
      <c r="B12" s="138" t="s">
        <v>328</v>
      </c>
      <c r="C12" s="25">
        <f t="shared" si="0"/>
        <v>22</v>
      </c>
      <c r="D12" s="139">
        <f t="shared" si="1"/>
        <v>8</v>
      </c>
      <c r="K12" s="140">
        <v>45575</v>
      </c>
      <c r="L12" s="140">
        <v>45605</v>
      </c>
      <c r="M12" s="27">
        <v>0</v>
      </c>
      <c r="Q12" s="25"/>
      <c r="R12" s="25"/>
      <c r="S12" s="25"/>
      <c r="U12" s="23"/>
      <c r="V12" s="25"/>
      <c r="X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CE12" s="25"/>
      <c r="CF12" s="25"/>
      <c r="CG12" s="25"/>
      <c r="CH12" s="25"/>
      <c r="CI12" s="25"/>
      <c r="CJ12" s="25"/>
      <c r="CK12" s="25"/>
      <c r="CL12" s="25"/>
      <c r="ES12" s="27" t="s">
        <v>303</v>
      </c>
      <c r="ET12" s="27" t="s">
        <v>162</v>
      </c>
      <c r="EU12" s="27"/>
    </row>
    <row r="13" spans="1:151" s="33" customFormat="1" ht="15.9" customHeight="1" outlineLevel="2" x14ac:dyDescent="0.35">
      <c r="A13" s="104">
        <v>10</v>
      </c>
      <c r="B13" s="130" t="s">
        <v>329</v>
      </c>
      <c r="C13" s="34">
        <f t="shared" si="0"/>
        <v>5</v>
      </c>
      <c r="D13" s="109">
        <f t="shared" si="1"/>
        <v>9</v>
      </c>
      <c r="K13" s="110">
        <v>45606</v>
      </c>
      <c r="L13" s="110">
        <v>45611</v>
      </c>
      <c r="M13" s="36">
        <v>0</v>
      </c>
      <c r="Q13" s="34"/>
      <c r="R13" s="34"/>
      <c r="S13" s="34"/>
      <c r="U13" s="32"/>
      <c r="V13" s="34"/>
      <c r="X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CE13" s="34"/>
      <c r="CF13" s="34"/>
      <c r="CG13" s="34"/>
      <c r="CH13" s="34"/>
      <c r="CI13" s="34"/>
      <c r="CJ13" s="34"/>
      <c r="CK13" s="34"/>
      <c r="CL13" s="34"/>
      <c r="ES13" s="36" t="s">
        <v>303</v>
      </c>
      <c r="ET13" s="36" t="s">
        <v>162</v>
      </c>
      <c r="EU13" s="36"/>
    </row>
    <row r="14" spans="1:151" s="24" customFormat="1" ht="15.9" customHeight="1" outlineLevel="2" x14ac:dyDescent="0.35">
      <c r="A14" s="104">
        <v>11</v>
      </c>
      <c r="B14" s="138" t="s">
        <v>330</v>
      </c>
      <c r="C14" s="25">
        <f t="shared" si="0"/>
        <v>5</v>
      </c>
      <c r="D14" s="139">
        <f t="shared" si="1"/>
        <v>10</v>
      </c>
      <c r="K14" s="116">
        <v>45614</v>
      </c>
      <c r="L14" s="116">
        <v>45618</v>
      </c>
      <c r="M14" s="27">
        <v>0</v>
      </c>
      <c r="Q14" s="25"/>
      <c r="R14" s="25"/>
      <c r="S14" s="25"/>
      <c r="U14" s="23"/>
      <c r="V14" s="25"/>
      <c r="X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CE14" s="25"/>
      <c r="CF14" s="25"/>
      <c r="CG14" s="25"/>
      <c r="CH14" s="25"/>
      <c r="CI14" s="25"/>
      <c r="CJ14" s="25"/>
      <c r="CK14" s="25"/>
      <c r="CL14" s="25"/>
      <c r="ES14" s="27" t="s">
        <v>303</v>
      </c>
      <c r="ET14" s="27" t="s">
        <v>162</v>
      </c>
      <c r="EU14" s="27"/>
    </row>
    <row r="15" spans="1:151" s="33" customFormat="1" ht="15.9" customHeight="1" outlineLevel="2" x14ac:dyDescent="0.35">
      <c r="A15" s="104">
        <v>12</v>
      </c>
      <c r="B15" s="130" t="s">
        <v>331</v>
      </c>
      <c r="C15" s="34">
        <f t="shared" si="0"/>
        <v>5</v>
      </c>
      <c r="D15" s="109">
        <f t="shared" si="1"/>
        <v>11</v>
      </c>
      <c r="K15" s="117">
        <v>45621</v>
      </c>
      <c r="L15" s="117">
        <v>45625</v>
      </c>
      <c r="M15" s="36">
        <v>0</v>
      </c>
      <c r="Q15" s="34"/>
      <c r="R15" s="34"/>
      <c r="S15" s="34"/>
      <c r="U15" s="32"/>
      <c r="V15" s="34"/>
      <c r="X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CE15" s="34"/>
      <c r="CF15" s="34"/>
      <c r="CG15" s="34"/>
      <c r="CH15" s="34"/>
      <c r="CI15" s="34"/>
      <c r="CJ15" s="34"/>
      <c r="CK15" s="34"/>
      <c r="CL15" s="34"/>
      <c r="ES15" s="36" t="s">
        <v>303</v>
      </c>
      <c r="ET15" s="36" t="s">
        <v>162</v>
      </c>
      <c r="EU15" s="36"/>
    </row>
    <row r="16" spans="1:151" s="24" customFormat="1" ht="15.9" customHeight="1" outlineLevel="2" x14ac:dyDescent="0.35">
      <c r="A16" s="104">
        <v>13</v>
      </c>
      <c r="B16" s="138" t="s">
        <v>332</v>
      </c>
      <c r="C16" s="25">
        <f t="shared" si="0"/>
        <v>0</v>
      </c>
      <c r="D16" s="139">
        <f t="shared" si="1"/>
        <v>12</v>
      </c>
      <c r="K16" s="116">
        <v>45626</v>
      </c>
      <c r="L16" s="116">
        <v>45626</v>
      </c>
      <c r="M16" s="27">
        <v>0</v>
      </c>
      <c r="Q16" s="25"/>
      <c r="R16" s="25"/>
      <c r="S16" s="25"/>
      <c r="U16" s="23"/>
      <c r="V16" s="25"/>
      <c r="X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CE16" s="25"/>
      <c r="CF16" s="25"/>
      <c r="CG16" s="25"/>
      <c r="CH16" s="25"/>
      <c r="CI16" s="25"/>
      <c r="CJ16" s="25"/>
      <c r="CK16" s="25"/>
      <c r="CL16" s="25"/>
      <c r="ES16" s="27" t="s">
        <v>303</v>
      </c>
      <c r="ET16" s="27" t="s">
        <v>162</v>
      </c>
      <c r="EU16" s="27"/>
    </row>
    <row r="17" spans="1:151" s="33" customFormat="1" ht="15.9" customHeight="1" outlineLevel="2" x14ac:dyDescent="0.35">
      <c r="A17" s="104">
        <v>14</v>
      </c>
      <c r="B17" s="130" t="s">
        <v>333</v>
      </c>
      <c r="C17" s="34">
        <f t="shared" si="0"/>
        <v>37</v>
      </c>
      <c r="D17" s="109">
        <f t="shared" si="1"/>
        <v>13</v>
      </c>
      <c r="K17" s="110">
        <v>45575</v>
      </c>
      <c r="L17" s="117">
        <v>45626</v>
      </c>
      <c r="M17" s="36">
        <v>0</v>
      </c>
      <c r="Q17" s="34"/>
      <c r="R17" s="34"/>
      <c r="S17" s="34"/>
      <c r="U17" s="32"/>
      <c r="V17" s="34"/>
      <c r="X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CE17" s="34"/>
      <c r="CF17" s="34"/>
      <c r="CG17" s="34"/>
      <c r="CH17" s="34"/>
      <c r="CI17" s="34"/>
      <c r="CJ17" s="34"/>
      <c r="CK17" s="34"/>
      <c r="CL17" s="34"/>
      <c r="ES17" s="36" t="s">
        <v>303</v>
      </c>
      <c r="ET17" s="36" t="s">
        <v>162</v>
      </c>
      <c r="EU17" s="36"/>
    </row>
    <row r="18" spans="1:151" s="24" customFormat="1" ht="15.9" customHeight="1" outlineLevel="2" x14ac:dyDescent="0.35">
      <c r="A18" s="104">
        <v>15</v>
      </c>
      <c r="B18" s="138" t="s">
        <v>334</v>
      </c>
      <c r="C18" s="25">
        <f t="shared" si="0"/>
        <v>0</v>
      </c>
      <c r="D18" s="139">
        <f t="shared" si="1"/>
        <v>14</v>
      </c>
      <c r="K18" s="140">
        <v>45627</v>
      </c>
      <c r="L18" s="116">
        <v>45627</v>
      </c>
      <c r="M18" s="27">
        <v>1</v>
      </c>
      <c r="Q18" s="25"/>
      <c r="R18" s="25"/>
      <c r="S18" s="25"/>
      <c r="U18" s="23"/>
      <c r="V18" s="25"/>
      <c r="X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CE18" s="25"/>
      <c r="CF18" s="25"/>
      <c r="CG18" s="25"/>
      <c r="CH18" s="25"/>
      <c r="CI18" s="25"/>
      <c r="CJ18" s="25"/>
      <c r="CK18" s="25"/>
      <c r="CL18" s="25"/>
      <c r="ES18" s="27" t="s">
        <v>303</v>
      </c>
      <c r="ET18" s="27" t="s">
        <v>162</v>
      </c>
      <c r="EU18" s="27"/>
    </row>
    <row r="19" spans="1:151" s="33" customFormat="1" ht="15.9" customHeight="1" outlineLevel="1" x14ac:dyDescent="0.35">
      <c r="A19" s="104">
        <v>16</v>
      </c>
      <c r="B19" s="129" t="s">
        <v>355</v>
      </c>
      <c r="C19" s="25">
        <f t="shared" si="0"/>
        <v>111</v>
      </c>
      <c r="D19" s="112">
        <f>A6</f>
        <v>3</v>
      </c>
      <c r="E19" s="113">
        <v>21</v>
      </c>
      <c r="F19" s="113">
        <v>140</v>
      </c>
      <c r="G19" s="113">
        <v>208</v>
      </c>
      <c r="H19" s="113">
        <v>327</v>
      </c>
      <c r="I19" s="113">
        <v>187</v>
      </c>
      <c r="J19" s="113" t="b">
        <v>0</v>
      </c>
      <c r="K19" s="114">
        <v>45410</v>
      </c>
      <c r="L19" s="110">
        <v>45565</v>
      </c>
      <c r="M19" s="115">
        <v>0.1</v>
      </c>
      <c r="Q19" s="34"/>
      <c r="R19" s="34"/>
      <c r="S19" s="34"/>
      <c r="U19" s="32"/>
      <c r="V19" s="34"/>
      <c r="X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CE19" s="34"/>
      <c r="CF19" s="34"/>
      <c r="CG19" s="34"/>
      <c r="CH19" s="34"/>
      <c r="CI19" s="34"/>
      <c r="CJ19" s="34"/>
      <c r="CK19" s="34"/>
      <c r="CL19" s="34"/>
      <c r="ES19" s="36" t="s">
        <v>138</v>
      </c>
      <c r="ET19" s="36" t="s">
        <v>345</v>
      </c>
      <c r="EU19" s="36"/>
    </row>
    <row r="20" spans="1:151" s="33" customFormat="1" ht="15.9" customHeight="1" outlineLevel="2" x14ac:dyDescent="0.35">
      <c r="A20" s="104">
        <v>17</v>
      </c>
      <c r="B20" s="125" t="s">
        <v>359</v>
      </c>
      <c r="C20" s="34">
        <f t="shared" si="0"/>
        <v>26</v>
      </c>
      <c r="D20" s="112">
        <f>A10</f>
        <v>7</v>
      </c>
      <c r="E20" s="113">
        <v>61</v>
      </c>
      <c r="F20" s="113">
        <v>80</v>
      </c>
      <c r="G20" s="113">
        <v>248</v>
      </c>
      <c r="H20" s="113">
        <v>267</v>
      </c>
      <c r="I20" s="113">
        <v>187</v>
      </c>
      <c r="J20" s="113" t="b">
        <v>0</v>
      </c>
      <c r="K20" s="114">
        <v>45492</v>
      </c>
      <c r="L20" s="110">
        <v>45527</v>
      </c>
      <c r="M20" s="115">
        <v>0</v>
      </c>
      <c r="Q20" s="34"/>
      <c r="R20" s="34"/>
      <c r="S20" s="34"/>
      <c r="U20" s="32"/>
      <c r="V20" s="34"/>
      <c r="X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CE20" s="34"/>
      <c r="CF20" s="34"/>
      <c r="CG20" s="34"/>
      <c r="CH20" s="34"/>
      <c r="CI20" s="34"/>
      <c r="CJ20" s="34"/>
      <c r="CK20" s="34"/>
      <c r="CL20" s="34"/>
      <c r="ES20" s="36" t="s">
        <v>142</v>
      </c>
      <c r="ET20" s="36" t="s">
        <v>345</v>
      </c>
      <c r="EU20" s="36"/>
    </row>
    <row r="21" spans="1:151" s="24" customFormat="1" ht="15.9" customHeight="1" outlineLevel="2" x14ac:dyDescent="0.35">
      <c r="A21" s="104">
        <v>18</v>
      </c>
      <c r="B21" s="144" t="s">
        <v>143</v>
      </c>
      <c r="C21" s="25">
        <f t="shared" si="0"/>
        <v>5</v>
      </c>
      <c r="D21" s="142">
        <f>A20</f>
        <v>17</v>
      </c>
      <c r="E21" s="143">
        <v>81</v>
      </c>
      <c r="F21" s="143">
        <v>81</v>
      </c>
      <c r="G21" s="143">
        <v>268</v>
      </c>
      <c r="H21" s="143">
        <v>268</v>
      </c>
      <c r="I21" s="143">
        <v>187</v>
      </c>
      <c r="J21" s="143" t="b">
        <v>0</v>
      </c>
      <c r="K21" s="137">
        <v>45530</v>
      </c>
      <c r="L21" s="140">
        <v>45534</v>
      </c>
      <c r="M21" s="111">
        <v>0</v>
      </c>
      <c r="Q21" s="25"/>
      <c r="R21" s="25"/>
      <c r="S21" s="25"/>
      <c r="U21" s="23"/>
      <c r="V21" s="25"/>
      <c r="X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CE21" s="25"/>
      <c r="CF21" s="25"/>
      <c r="CG21" s="25"/>
      <c r="CH21" s="25"/>
      <c r="CI21" s="25"/>
      <c r="CJ21" s="25"/>
      <c r="CK21" s="25"/>
      <c r="CL21" s="25"/>
      <c r="ES21" s="27" t="s">
        <v>142</v>
      </c>
      <c r="ET21" s="27" t="s">
        <v>144</v>
      </c>
      <c r="EU21" s="27"/>
    </row>
    <row r="22" spans="1:151" s="33" customFormat="1" ht="15.9" customHeight="1" outlineLevel="2" x14ac:dyDescent="0.35">
      <c r="A22" s="104">
        <v>19</v>
      </c>
      <c r="B22" s="154" t="s">
        <v>360</v>
      </c>
      <c r="C22" s="155">
        <f t="shared" si="0"/>
        <v>27</v>
      </c>
      <c r="D22" s="156">
        <f>A11</f>
        <v>8</v>
      </c>
      <c r="E22" s="157"/>
      <c r="F22" s="157"/>
      <c r="G22" s="157"/>
      <c r="H22" s="157"/>
      <c r="I22" s="157"/>
      <c r="J22" s="157"/>
      <c r="K22" s="140">
        <v>45575</v>
      </c>
      <c r="L22" s="158">
        <v>45611</v>
      </c>
      <c r="M22" s="159">
        <v>0</v>
      </c>
      <c r="N22" s="160"/>
      <c r="O22" s="160"/>
      <c r="P22" s="160"/>
      <c r="Q22" s="155"/>
      <c r="R22" s="155"/>
      <c r="S22" s="155"/>
      <c r="T22" s="160"/>
      <c r="U22" s="161"/>
      <c r="V22" s="155"/>
      <c r="W22" s="160"/>
      <c r="X22" s="155"/>
      <c r="Y22" s="160"/>
      <c r="Z22" s="160"/>
      <c r="AA22" s="160"/>
      <c r="AB22" s="160"/>
      <c r="AC22" s="160"/>
      <c r="AD22" s="160"/>
      <c r="AE22" s="160"/>
      <c r="AF22" s="160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60"/>
      <c r="AX22" s="160"/>
      <c r="AY22" s="160"/>
      <c r="AZ22" s="160"/>
      <c r="BA22" s="160"/>
      <c r="BB22" s="160"/>
      <c r="BC22" s="160"/>
      <c r="BD22" s="160"/>
      <c r="BE22" s="160"/>
      <c r="BF22" s="160"/>
      <c r="BG22" s="160"/>
      <c r="BH22" s="160"/>
      <c r="BI22" s="160"/>
      <c r="BJ22" s="160"/>
      <c r="BK22" s="160"/>
      <c r="BL22" s="160"/>
      <c r="BM22" s="160"/>
      <c r="BN22" s="160"/>
      <c r="BO22" s="160"/>
      <c r="BP22" s="160"/>
      <c r="BQ22" s="160"/>
      <c r="BR22" s="160"/>
      <c r="BS22" s="160"/>
      <c r="BT22" s="160"/>
      <c r="BU22" s="160"/>
      <c r="BV22" s="160"/>
      <c r="BW22" s="160"/>
      <c r="BX22" s="160"/>
      <c r="BY22" s="160"/>
      <c r="BZ22" s="160"/>
      <c r="CA22" s="160"/>
      <c r="CB22" s="160"/>
      <c r="CC22" s="160"/>
      <c r="CD22" s="160"/>
      <c r="CE22" s="155"/>
      <c r="CF22" s="155"/>
      <c r="CG22" s="155"/>
      <c r="CH22" s="155"/>
      <c r="CI22" s="155"/>
      <c r="CJ22" s="155"/>
      <c r="CK22" s="155"/>
      <c r="CL22" s="155"/>
      <c r="CM22" s="160"/>
      <c r="CN22" s="160"/>
      <c r="CO22" s="160"/>
      <c r="CP22" s="160"/>
      <c r="CQ22" s="160"/>
      <c r="CR22" s="160"/>
      <c r="CS22" s="160"/>
      <c r="CT22" s="160"/>
      <c r="CU22" s="160"/>
      <c r="CV22" s="160"/>
      <c r="CW22" s="160"/>
      <c r="CX22" s="160"/>
      <c r="CY22" s="160"/>
      <c r="CZ22" s="160"/>
      <c r="DA22" s="160"/>
      <c r="DB22" s="160"/>
      <c r="DC22" s="160"/>
      <c r="DD22" s="160"/>
      <c r="DE22" s="160"/>
      <c r="DF22" s="160"/>
      <c r="DG22" s="160"/>
      <c r="DH22" s="160"/>
      <c r="DI22" s="160"/>
      <c r="DJ22" s="160"/>
      <c r="DK22" s="160"/>
      <c r="DL22" s="160"/>
      <c r="DM22" s="160"/>
      <c r="DN22" s="160"/>
      <c r="DO22" s="160"/>
      <c r="DP22" s="160"/>
      <c r="DQ22" s="160"/>
      <c r="DR22" s="160"/>
      <c r="DS22" s="160"/>
      <c r="DT22" s="160"/>
      <c r="DU22" s="160"/>
      <c r="DV22" s="160"/>
      <c r="DW22" s="160"/>
      <c r="DX22" s="160"/>
      <c r="DY22" s="160"/>
      <c r="DZ22" s="160"/>
      <c r="EA22" s="160"/>
      <c r="EB22" s="160"/>
      <c r="EC22" s="160"/>
      <c r="ED22" s="160"/>
      <c r="EE22" s="160"/>
      <c r="EF22" s="160"/>
      <c r="EG22" s="160"/>
      <c r="EH22" s="160"/>
      <c r="EI22" s="160"/>
      <c r="EJ22" s="160"/>
      <c r="EK22" s="160"/>
      <c r="EL22" s="160"/>
      <c r="EM22" s="160"/>
      <c r="EN22" s="160"/>
      <c r="EO22" s="160"/>
      <c r="EP22" s="160"/>
      <c r="EQ22" s="160"/>
      <c r="ER22" s="160"/>
      <c r="ES22" s="162" t="s">
        <v>142</v>
      </c>
      <c r="ET22" s="162" t="s">
        <v>345</v>
      </c>
      <c r="EU22" s="36"/>
    </row>
    <row r="23" spans="1:151" s="24" customFormat="1" ht="15.9" customHeight="1" outlineLevel="1" x14ac:dyDescent="0.35">
      <c r="A23" s="104">
        <v>20</v>
      </c>
      <c r="B23" s="141" t="s">
        <v>305</v>
      </c>
      <c r="C23" s="25">
        <f t="shared" si="0"/>
        <v>8</v>
      </c>
      <c r="D23" s="142">
        <f>A6</f>
        <v>3</v>
      </c>
      <c r="E23" s="143"/>
      <c r="F23" s="143"/>
      <c r="G23" s="143"/>
      <c r="H23" s="143"/>
      <c r="I23" s="143"/>
      <c r="J23" s="143"/>
      <c r="K23" s="137">
        <v>45474</v>
      </c>
      <c r="L23" s="140">
        <v>45483</v>
      </c>
      <c r="M23" s="145">
        <v>0</v>
      </c>
      <c r="Q23" s="25"/>
      <c r="R23" s="25"/>
      <c r="S23" s="25"/>
      <c r="U23" s="23"/>
      <c r="V23" s="25"/>
      <c r="X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CE23" s="25"/>
      <c r="CF23" s="25"/>
      <c r="CG23" s="25"/>
      <c r="CH23" s="25"/>
      <c r="CI23" s="25"/>
      <c r="CJ23" s="25"/>
      <c r="CK23" s="25"/>
      <c r="CL23" s="25"/>
      <c r="ES23" s="146" t="s">
        <v>142</v>
      </c>
      <c r="ET23" s="27" t="s">
        <v>345</v>
      </c>
      <c r="EU23" s="27"/>
    </row>
    <row r="24" spans="1:151" s="33" customFormat="1" ht="15.9" customHeight="1" outlineLevel="2" x14ac:dyDescent="0.35">
      <c r="A24" s="104">
        <v>21</v>
      </c>
      <c r="B24" s="125" t="s">
        <v>321</v>
      </c>
      <c r="C24" s="34">
        <f t="shared" si="0"/>
        <v>8</v>
      </c>
      <c r="D24" s="112">
        <f>A8</f>
        <v>5</v>
      </c>
      <c r="E24" s="113">
        <v>82</v>
      </c>
      <c r="F24" s="113">
        <v>101</v>
      </c>
      <c r="G24" s="113">
        <v>269</v>
      </c>
      <c r="H24" s="113">
        <v>288</v>
      </c>
      <c r="I24" s="113">
        <v>187</v>
      </c>
      <c r="J24" s="113" t="b">
        <v>0</v>
      </c>
      <c r="K24" s="114">
        <v>45474</v>
      </c>
      <c r="L24" s="110">
        <v>45483</v>
      </c>
      <c r="M24" s="115">
        <v>1</v>
      </c>
      <c r="Q24" s="34"/>
      <c r="R24" s="34"/>
      <c r="S24" s="34"/>
      <c r="U24" s="32"/>
      <c r="V24" s="34"/>
      <c r="X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CE24" s="34"/>
      <c r="CF24" s="34"/>
      <c r="CG24" s="34"/>
      <c r="CH24" s="34"/>
      <c r="CI24" s="34"/>
      <c r="CJ24" s="34"/>
      <c r="CK24" s="34"/>
      <c r="CL24" s="34"/>
      <c r="ES24" s="36" t="s">
        <v>12</v>
      </c>
      <c r="ET24" s="36" t="s">
        <v>345</v>
      </c>
      <c r="EU24" s="36"/>
    </row>
    <row r="25" spans="1:151" s="24" customFormat="1" ht="15.9" customHeight="1" outlineLevel="2" x14ac:dyDescent="0.35">
      <c r="A25" s="104">
        <v>22</v>
      </c>
      <c r="B25" s="144" t="s">
        <v>322</v>
      </c>
      <c r="C25" s="25">
        <f t="shared" si="0"/>
        <v>8</v>
      </c>
      <c r="D25" s="142">
        <f>A8</f>
        <v>5</v>
      </c>
      <c r="E25" s="143">
        <v>82</v>
      </c>
      <c r="F25" s="143">
        <v>101</v>
      </c>
      <c r="G25" s="143">
        <v>269</v>
      </c>
      <c r="H25" s="143">
        <v>288</v>
      </c>
      <c r="I25" s="143">
        <v>187</v>
      </c>
      <c r="J25" s="143" t="b">
        <v>0</v>
      </c>
      <c r="K25" s="137">
        <v>45474</v>
      </c>
      <c r="L25" s="140">
        <v>45483</v>
      </c>
      <c r="M25" s="111">
        <v>1</v>
      </c>
      <c r="Q25" s="25"/>
      <c r="R25" s="25"/>
      <c r="S25" s="25"/>
      <c r="U25" s="23"/>
      <c r="V25" s="25"/>
      <c r="X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CE25" s="25"/>
      <c r="CF25" s="25"/>
      <c r="CG25" s="25"/>
      <c r="CH25" s="25"/>
      <c r="CI25" s="25"/>
      <c r="CJ25" s="25"/>
      <c r="CK25" s="25"/>
      <c r="CL25" s="25"/>
      <c r="ES25" s="27" t="s">
        <v>12</v>
      </c>
      <c r="ET25" s="27" t="s">
        <v>345</v>
      </c>
      <c r="EU25" s="27"/>
    </row>
    <row r="26" spans="1:151" s="33" customFormat="1" ht="15.9" customHeight="1" outlineLevel="2" x14ac:dyDescent="0.35">
      <c r="A26" s="104">
        <v>23</v>
      </c>
      <c r="B26" s="125" t="s">
        <v>145</v>
      </c>
      <c r="C26" s="34">
        <f t="shared" si="0"/>
        <v>17</v>
      </c>
      <c r="D26" s="112">
        <f>A10</f>
        <v>7</v>
      </c>
      <c r="E26" s="113">
        <v>130</v>
      </c>
      <c r="F26" s="113">
        <v>139</v>
      </c>
      <c r="G26" s="113">
        <v>317</v>
      </c>
      <c r="H26" s="113">
        <v>326</v>
      </c>
      <c r="I26" s="113">
        <v>187</v>
      </c>
      <c r="J26" s="113" t="b">
        <v>0</v>
      </c>
      <c r="K26" s="110">
        <v>45544</v>
      </c>
      <c r="L26" s="110">
        <v>45566</v>
      </c>
      <c r="M26" s="115">
        <v>0</v>
      </c>
      <c r="Q26" s="34"/>
      <c r="R26" s="34"/>
      <c r="S26" s="34"/>
      <c r="U26" s="32"/>
      <c r="V26" s="34"/>
      <c r="X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CE26" s="34"/>
      <c r="CF26" s="34"/>
      <c r="CG26" s="34"/>
      <c r="CH26" s="34"/>
      <c r="CI26" s="34"/>
      <c r="CJ26" s="34"/>
      <c r="CK26" s="34"/>
      <c r="CL26" s="34"/>
      <c r="ES26" s="36" t="s">
        <v>142</v>
      </c>
      <c r="ET26" s="36" t="s">
        <v>345</v>
      </c>
      <c r="EU26" s="36"/>
    </row>
    <row r="27" spans="1:151" s="24" customFormat="1" ht="15.9" customHeight="1" outlineLevel="2" x14ac:dyDescent="0.35">
      <c r="A27" s="104">
        <v>24</v>
      </c>
      <c r="B27" s="144" t="s">
        <v>146</v>
      </c>
      <c r="C27" s="25">
        <f t="shared" si="0"/>
        <v>23</v>
      </c>
      <c r="D27" s="142">
        <f>A26</f>
        <v>23</v>
      </c>
      <c r="E27" s="143">
        <v>140</v>
      </c>
      <c r="F27" s="143">
        <v>140</v>
      </c>
      <c r="G27" s="143">
        <v>327</v>
      </c>
      <c r="H27" s="143">
        <v>327</v>
      </c>
      <c r="I27" s="143">
        <v>187</v>
      </c>
      <c r="J27" s="143" t="b">
        <v>0</v>
      </c>
      <c r="K27" s="137">
        <v>45567</v>
      </c>
      <c r="L27" s="140">
        <v>45597</v>
      </c>
      <c r="M27" s="111">
        <v>0</v>
      </c>
      <c r="Q27" s="25"/>
      <c r="R27" s="25"/>
      <c r="S27" s="25"/>
      <c r="U27" s="23"/>
      <c r="V27" s="25"/>
      <c r="X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CE27" s="25"/>
      <c r="CF27" s="25"/>
      <c r="CG27" s="25"/>
      <c r="CH27" s="25"/>
      <c r="CI27" s="25"/>
      <c r="CJ27" s="25"/>
      <c r="CK27" s="25"/>
      <c r="CL27" s="25"/>
      <c r="ES27" s="27" t="s">
        <v>142</v>
      </c>
      <c r="ET27" s="27" t="s">
        <v>144</v>
      </c>
      <c r="EU27" s="27"/>
    </row>
    <row r="28" spans="1:151" s="33" customFormat="1" ht="15.9" customHeight="1" outlineLevel="1" x14ac:dyDescent="0.35">
      <c r="A28" s="104">
        <v>25</v>
      </c>
      <c r="B28" s="123" t="s">
        <v>306</v>
      </c>
      <c r="C28" s="34">
        <f t="shared" si="0"/>
        <v>64</v>
      </c>
      <c r="D28" s="34">
        <f>A25</f>
        <v>22</v>
      </c>
      <c r="K28" s="114">
        <f>K29</f>
        <v>45484</v>
      </c>
      <c r="L28" s="110">
        <v>45573</v>
      </c>
      <c r="M28" s="126">
        <v>0</v>
      </c>
      <c r="Q28" s="34"/>
      <c r="R28" s="34"/>
      <c r="S28" s="34"/>
      <c r="U28" s="32"/>
      <c r="V28" s="34"/>
      <c r="X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CE28" s="34"/>
      <c r="CF28" s="34"/>
      <c r="CG28" s="34"/>
      <c r="CH28" s="34"/>
      <c r="CI28" s="34"/>
      <c r="CJ28" s="34"/>
      <c r="CK28" s="34"/>
      <c r="CL28" s="34"/>
      <c r="ES28" s="36" t="s">
        <v>142</v>
      </c>
      <c r="ET28" s="36" t="s">
        <v>345</v>
      </c>
      <c r="EU28" s="36"/>
    </row>
    <row r="29" spans="1:151" s="24" customFormat="1" ht="15.9" customHeight="1" outlineLevel="2" x14ac:dyDescent="0.35">
      <c r="A29" s="104">
        <v>26</v>
      </c>
      <c r="B29" s="138" t="s">
        <v>319</v>
      </c>
      <c r="C29" s="25">
        <f t="shared" si="0"/>
        <v>5</v>
      </c>
      <c r="D29" s="25">
        <f>A25</f>
        <v>22</v>
      </c>
      <c r="K29" s="137">
        <v>45484</v>
      </c>
      <c r="L29" s="140">
        <v>45490</v>
      </c>
      <c r="M29" s="145">
        <v>0</v>
      </c>
      <c r="Q29" s="25"/>
      <c r="R29" s="25"/>
      <c r="S29" s="25"/>
      <c r="U29" s="23"/>
      <c r="V29" s="25"/>
      <c r="X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CE29" s="25"/>
      <c r="CF29" s="25"/>
      <c r="CG29" s="25"/>
      <c r="CH29" s="25"/>
      <c r="CI29" s="25"/>
      <c r="CJ29" s="25"/>
      <c r="CK29" s="25"/>
      <c r="CL29" s="25"/>
      <c r="ES29" s="27" t="s">
        <v>142</v>
      </c>
      <c r="ET29" s="27" t="s">
        <v>345</v>
      </c>
      <c r="EU29" s="27"/>
    </row>
    <row r="30" spans="1:151" s="33" customFormat="1" ht="15.9" customHeight="1" outlineLevel="2" x14ac:dyDescent="0.35">
      <c r="A30" s="104">
        <v>27</v>
      </c>
      <c r="B30" s="130" t="s">
        <v>318</v>
      </c>
      <c r="C30" s="34">
        <f t="shared" si="0"/>
        <v>6</v>
      </c>
      <c r="D30" s="112">
        <f>A10</f>
        <v>7</v>
      </c>
      <c r="E30" s="113">
        <v>130</v>
      </c>
      <c r="F30" s="113">
        <v>139</v>
      </c>
      <c r="G30" s="113">
        <v>317</v>
      </c>
      <c r="H30" s="113">
        <v>326</v>
      </c>
      <c r="I30" s="113">
        <v>187</v>
      </c>
      <c r="J30" s="113" t="b">
        <v>0</v>
      </c>
      <c r="K30" s="110">
        <v>45544</v>
      </c>
      <c r="L30" s="110">
        <v>45551</v>
      </c>
      <c r="M30" s="126">
        <v>0</v>
      </c>
      <c r="Q30" s="34"/>
      <c r="R30" s="34"/>
      <c r="S30" s="34"/>
      <c r="U30" s="32"/>
      <c r="V30" s="34"/>
      <c r="X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CE30" s="34"/>
      <c r="CF30" s="34"/>
      <c r="CG30" s="34"/>
      <c r="CH30" s="34"/>
      <c r="CI30" s="34"/>
      <c r="CJ30" s="34"/>
      <c r="CK30" s="34"/>
      <c r="CL30" s="34"/>
      <c r="ES30" s="36" t="s">
        <v>142</v>
      </c>
      <c r="ET30" s="36" t="s">
        <v>345</v>
      </c>
      <c r="EU30" s="36"/>
    </row>
    <row r="31" spans="1:151" s="24" customFormat="1" ht="15.9" customHeight="1" outlineLevel="2" x14ac:dyDescent="0.35">
      <c r="A31" s="104">
        <v>28</v>
      </c>
      <c r="B31" s="138" t="s">
        <v>307</v>
      </c>
      <c r="C31" s="25">
        <f t="shared" si="0"/>
        <v>16</v>
      </c>
      <c r="D31" s="25">
        <f>A30</f>
        <v>27</v>
      </c>
      <c r="K31" s="137">
        <v>45552</v>
      </c>
      <c r="L31" s="140">
        <v>45573</v>
      </c>
      <c r="M31" s="145">
        <v>0</v>
      </c>
      <c r="Q31" s="25"/>
      <c r="R31" s="25"/>
      <c r="S31" s="25"/>
      <c r="U31" s="23"/>
      <c r="V31" s="25"/>
      <c r="X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CE31" s="25"/>
      <c r="CF31" s="25"/>
      <c r="CG31" s="25"/>
      <c r="CH31" s="25"/>
      <c r="CI31" s="25"/>
      <c r="CJ31" s="25"/>
      <c r="CK31" s="25"/>
      <c r="CL31" s="25"/>
      <c r="ES31" s="27" t="s">
        <v>142</v>
      </c>
      <c r="ET31" s="27" t="s">
        <v>345</v>
      </c>
      <c r="EU31" s="27"/>
    </row>
    <row r="32" spans="1:151" s="33" customFormat="1" ht="15.9" customHeight="1" x14ac:dyDescent="0.35">
      <c r="A32" s="104">
        <v>29</v>
      </c>
      <c r="B32" s="123" t="s">
        <v>335</v>
      </c>
      <c r="C32" s="34">
        <f t="shared" si="0"/>
        <v>235</v>
      </c>
      <c r="D32" s="34">
        <f>A3</f>
        <v>0</v>
      </c>
      <c r="E32" s="33">
        <v>1</v>
      </c>
      <c r="F32" s="33">
        <v>327</v>
      </c>
      <c r="G32" s="33">
        <v>1</v>
      </c>
      <c r="H32" s="33">
        <v>327</v>
      </c>
      <c r="I32" s="33">
        <v>0</v>
      </c>
      <c r="J32" s="33" t="b">
        <v>1</v>
      </c>
      <c r="K32" s="35">
        <v>45299</v>
      </c>
      <c r="L32" s="108">
        <v>45626</v>
      </c>
      <c r="M32" s="36">
        <v>0.2</v>
      </c>
      <c r="Q32" s="34"/>
      <c r="R32" s="34"/>
      <c r="S32" s="34"/>
      <c r="U32" s="32"/>
      <c r="V32" s="34"/>
      <c r="X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CE32" s="34"/>
      <c r="CF32" s="34"/>
      <c r="CG32" s="34"/>
      <c r="CH32" s="34"/>
      <c r="CI32" s="34"/>
      <c r="CJ32" s="34"/>
      <c r="CK32" s="34"/>
      <c r="CL32" s="34"/>
      <c r="ES32" s="36" t="s">
        <v>138</v>
      </c>
      <c r="ET32" s="36" t="s">
        <v>345</v>
      </c>
      <c r="EU32" s="36"/>
    </row>
    <row r="33" spans="1:151" s="24" customFormat="1" ht="15.9" customHeight="1" outlineLevel="1" x14ac:dyDescent="0.35">
      <c r="A33" s="104">
        <v>30</v>
      </c>
      <c r="B33" s="136" t="s">
        <v>140</v>
      </c>
      <c r="C33" s="25">
        <f t="shared" si="0"/>
        <v>113</v>
      </c>
      <c r="D33" s="25">
        <f>A3</f>
        <v>0</v>
      </c>
      <c r="E33" s="24">
        <v>1</v>
      </c>
      <c r="F33" s="24">
        <v>4</v>
      </c>
      <c r="G33" s="24">
        <v>188</v>
      </c>
      <c r="H33" s="24">
        <v>191</v>
      </c>
      <c r="I33" s="24">
        <v>187</v>
      </c>
      <c r="J33" s="24" t="b">
        <v>0</v>
      </c>
      <c r="K33" s="137">
        <v>45299</v>
      </c>
      <c r="L33" s="26">
        <v>45455</v>
      </c>
      <c r="M33" s="27">
        <v>1</v>
      </c>
      <c r="Q33" s="25"/>
      <c r="R33" s="25"/>
      <c r="S33" s="25"/>
      <c r="U33" s="23"/>
      <c r="V33" s="25"/>
      <c r="X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CE33" s="25"/>
      <c r="CF33" s="25"/>
      <c r="CG33" s="25"/>
      <c r="CH33" s="25"/>
      <c r="CI33" s="25"/>
      <c r="CJ33" s="25"/>
      <c r="CK33" s="25"/>
      <c r="CL33" s="25"/>
      <c r="ES33" s="27" t="s">
        <v>12</v>
      </c>
      <c r="ET33" s="27" t="s">
        <v>139</v>
      </c>
      <c r="EU33" s="27"/>
    </row>
    <row r="34" spans="1:151" s="33" customFormat="1" ht="15.9" customHeight="1" outlineLevel="1" x14ac:dyDescent="0.35">
      <c r="A34" s="104">
        <v>31</v>
      </c>
      <c r="B34" s="152" t="s">
        <v>337</v>
      </c>
      <c r="C34" s="34">
        <f t="shared" si="0"/>
        <v>123</v>
      </c>
      <c r="D34" s="34">
        <f>A33</f>
        <v>30</v>
      </c>
      <c r="K34" s="35">
        <v>45455</v>
      </c>
      <c r="L34" s="35">
        <v>45626</v>
      </c>
      <c r="M34" s="36">
        <v>0.1</v>
      </c>
      <c r="Q34" s="34"/>
      <c r="R34" s="34"/>
      <c r="S34" s="34"/>
      <c r="U34" s="32"/>
      <c r="V34" s="34"/>
      <c r="X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CE34" s="34"/>
      <c r="CF34" s="34"/>
      <c r="CG34" s="34"/>
      <c r="CH34" s="34"/>
      <c r="CI34" s="34"/>
      <c r="CJ34" s="34"/>
      <c r="CK34" s="34"/>
      <c r="CL34" s="34"/>
      <c r="ES34" s="36" t="s">
        <v>138</v>
      </c>
      <c r="ET34" s="36" t="s">
        <v>345</v>
      </c>
      <c r="EU34" s="36"/>
    </row>
    <row r="35" spans="1:151" s="24" customFormat="1" ht="15.9" customHeight="1" outlineLevel="2" x14ac:dyDescent="0.35">
      <c r="A35" s="104">
        <v>32</v>
      </c>
      <c r="B35" s="138" t="s">
        <v>324</v>
      </c>
      <c r="C35" s="25">
        <f t="shared" ref="C35" si="2">NETWORKDAYS(K35,L35)</f>
        <v>28</v>
      </c>
      <c r="D35" s="139">
        <f>A33</f>
        <v>30</v>
      </c>
      <c r="E35" s="24">
        <v>5</v>
      </c>
      <c r="F35" s="24">
        <v>20</v>
      </c>
      <c r="G35" s="24">
        <v>192</v>
      </c>
      <c r="H35" s="24">
        <v>207</v>
      </c>
      <c r="I35" s="24">
        <v>187</v>
      </c>
      <c r="J35" s="24" t="b">
        <v>0</v>
      </c>
      <c r="K35" s="26">
        <v>45455</v>
      </c>
      <c r="L35" s="140">
        <v>45492</v>
      </c>
      <c r="M35" s="27">
        <v>1</v>
      </c>
      <c r="Q35" s="25"/>
      <c r="R35" s="25"/>
      <c r="S35" s="25"/>
      <c r="U35" s="23"/>
      <c r="V35" s="25"/>
      <c r="X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CE35" s="25"/>
      <c r="CF35" s="25"/>
      <c r="CG35" s="25"/>
      <c r="CH35" s="25"/>
      <c r="CI35" s="25"/>
      <c r="CJ35" s="25"/>
      <c r="CK35" s="25"/>
      <c r="CL35" s="25"/>
      <c r="ES35" s="27" t="s">
        <v>12</v>
      </c>
      <c r="ET35" s="27" t="s">
        <v>162</v>
      </c>
      <c r="EU35" s="27"/>
    </row>
    <row r="36" spans="1:151" s="33" customFormat="1" ht="15.9" customHeight="1" outlineLevel="2" x14ac:dyDescent="0.35">
      <c r="A36" s="104">
        <v>33</v>
      </c>
      <c r="B36" s="179" t="s">
        <v>308</v>
      </c>
      <c r="C36" s="155">
        <f t="shared" si="0"/>
        <v>15</v>
      </c>
      <c r="D36" s="164">
        <f>A8</f>
        <v>5</v>
      </c>
      <c r="E36" s="160">
        <v>22</v>
      </c>
      <c r="F36" s="160">
        <v>32</v>
      </c>
      <c r="G36" s="160">
        <v>179</v>
      </c>
      <c r="H36" s="160">
        <v>189</v>
      </c>
      <c r="I36" s="160">
        <v>157</v>
      </c>
      <c r="J36" s="160" t="b">
        <v>0</v>
      </c>
      <c r="K36" s="165">
        <v>45474</v>
      </c>
      <c r="L36" s="166">
        <v>45492</v>
      </c>
      <c r="M36" s="162">
        <v>0.5</v>
      </c>
      <c r="N36" s="160"/>
      <c r="O36" s="160"/>
      <c r="P36" s="160"/>
      <c r="Q36" s="155"/>
      <c r="R36" s="155"/>
      <c r="S36" s="155"/>
      <c r="T36" s="160"/>
      <c r="U36" s="161"/>
      <c r="V36" s="155"/>
      <c r="W36" s="160"/>
      <c r="X36" s="155"/>
      <c r="Y36" s="160"/>
      <c r="Z36" s="160"/>
      <c r="AA36" s="160"/>
      <c r="AB36" s="160"/>
      <c r="AC36" s="160"/>
      <c r="AD36" s="160"/>
      <c r="AE36" s="160"/>
      <c r="AF36" s="160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60"/>
      <c r="AX36" s="160"/>
      <c r="AY36" s="160"/>
      <c r="AZ36" s="160"/>
      <c r="BA36" s="160"/>
      <c r="BB36" s="160"/>
      <c r="BC36" s="160"/>
      <c r="BD36" s="160"/>
      <c r="BE36" s="160"/>
      <c r="BF36" s="160"/>
      <c r="BG36" s="160"/>
      <c r="BH36" s="160"/>
      <c r="BI36" s="160"/>
      <c r="BJ36" s="160"/>
      <c r="BK36" s="160"/>
      <c r="BL36" s="160"/>
      <c r="BM36" s="160"/>
      <c r="BN36" s="160"/>
      <c r="BO36" s="160"/>
      <c r="BP36" s="160"/>
      <c r="BQ36" s="160"/>
      <c r="BR36" s="160"/>
      <c r="BS36" s="160"/>
      <c r="BT36" s="160"/>
      <c r="BU36" s="160"/>
      <c r="BV36" s="160"/>
      <c r="BW36" s="160"/>
      <c r="BX36" s="160"/>
      <c r="BY36" s="160"/>
      <c r="BZ36" s="160"/>
      <c r="CA36" s="160"/>
      <c r="CB36" s="160"/>
      <c r="CC36" s="160"/>
      <c r="CD36" s="160"/>
      <c r="CE36" s="155"/>
      <c r="CF36" s="155"/>
      <c r="CG36" s="155"/>
      <c r="CH36" s="155"/>
      <c r="CI36" s="155"/>
      <c r="CJ36" s="155"/>
      <c r="CK36" s="155"/>
      <c r="CL36" s="155"/>
      <c r="CM36" s="160"/>
      <c r="CN36" s="160"/>
      <c r="CO36" s="160"/>
      <c r="CP36" s="160"/>
      <c r="CQ36" s="160"/>
      <c r="CR36" s="160"/>
      <c r="CS36" s="160"/>
      <c r="CT36" s="160"/>
      <c r="CU36" s="160"/>
      <c r="CV36" s="160"/>
      <c r="CW36" s="160"/>
      <c r="CX36" s="160"/>
      <c r="CY36" s="160"/>
      <c r="CZ36" s="160"/>
      <c r="DA36" s="160"/>
      <c r="DB36" s="160"/>
      <c r="DC36" s="160"/>
      <c r="DD36" s="160"/>
      <c r="DE36" s="160"/>
      <c r="DF36" s="160"/>
      <c r="DG36" s="160"/>
      <c r="DH36" s="160"/>
      <c r="DI36" s="160"/>
      <c r="DJ36" s="160"/>
      <c r="DK36" s="160"/>
      <c r="DL36" s="160"/>
      <c r="DM36" s="160"/>
      <c r="DN36" s="160"/>
      <c r="DO36" s="160"/>
      <c r="DP36" s="160"/>
      <c r="DQ36" s="160"/>
      <c r="DR36" s="160"/>
      <c r="DS36" s="160"/>
      <c r="DT36" s="160"/>
      <c r="DU36" s="160"/>
      <c r="DV36" s="160"/>
      <c r="DW36" s="160"/>
      <c r="DX36" s="160"/>
      <c r="DY36" s="160"/>
      <c r="DZ36" s="160"/>
      <c r="EA36" s="160"/>
      <c r="EB36" s="160"/>
      <c r="EC36" s="160"/>
      <c r="ED36" s="160"/>
      <c r="EE36" s="160"/>
      <c r="EF36" s="160"/>
      <c r="EG36" s="160"/>
      <c r="EH36" s="160"/>
      <c r="EI36" s="160"/>
      <c r="EJ36" s="160"/>
      <c r="EK36" s="160"/>
      <c r="EL36" s="160"/>
      <c r="EM36" s="160"/>
      <c r="EN36" s="160"/>
      <c r="EO36" s="160"/>
      <c r="EP36" s="160"/>
      <c r="EQ36" s="160"/>
      <c r="ER36" s="160"/>
      <c r="ES36" s="162" t="s">
        <v>138</v>
      </c>
      <c r="ET36" s="162" t="s">
        <v>144</v>
      </c>
      <c r="EU36" s="36"/>
    </row>
    <row r="37" spans="1:151" s="24" customFormat="1" ht="15.9" customHeight="1" outlineLevel="2" x14ac:dyDescent="0.35">
      <c r="A37" s="104">
        <v>34</v>
      </c>
      <c r="B37" s="138" t="s">
        <v>148</v>
      </c>
      <c r="C37" s="25">
        <f t="shared" si="0"/>
        <v>15</v>
      </c>
      <c r="D37" s="25">
        <f>A8</f>
        <v>5</v>
      </c>
      <c r="E37" s="24">
        <v>33</v>
      </c>
      <c r="F37" s="24">
        <v>43</v>
      </c>
      <c r="G37" s="24">
        <v>240</v>
      </c>
      <c r="H37" s="24">
        <v>250</v>
      </c>
      <c r="I37" s="24">
        <v>207</v>
      </c>
      <c r="J37" s="24" t="b">
        <v>0</v>
      </c>
      <c r="K37" s="26">
        <v>45474</v>
      </c>
      <c r="L37" s="134">
        <v>45492</v>
      </c>
      <c r="M37" s="27">
        <v>0.5</v>
      </c>
      <c r="Q37" s="25"/>
      <c r="R37" s="25"/>
      <c r="S37" s="25"/>
      <c r="U37" s="23"/>
      <c r="V37" s="25"/>
      <c r="X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CE37" s="25"/>
      <c r="CF37" s="25"/>
      <c r="CG37" s="25"/>
      <c r="CH37" s="25"/>
      <c r="CI37" s="25"/>
      <c r="CJ37" s="25"/>
      <c r="CK37" s="25"/>
      <c r="CL37" s="25"/>
      <c r="ES37" s="27" t="s">
        <v>138</v>
      </c>
      <c r="ET37" s="27" t="s">
        <v>144</v>
      </c>
      <c r="EU37" s="131"/>
    </row>
    <row r="38" spans="1:151" s="33" customFormat="1" ht="15.9" customHeight="1" outlineLevel="2" x14ac:dyDescent="0.35">
      <c r="A38" s="104">
        <v>35</v>
      </c>
      <c r="B38" s="130" t="s">
        <v>309</v>
      </c>
      <c r="C38" s="34">
        <f t="shared" si="0"/>
        <v>74</v>
      </c>
      <c r="D38" s="109">
        <f>A37</f>
        <v>34</v>
      </c>
      <c r="E38" s="33">
        <v>33</v>
      </c>
      <c r="F38" s="33">
        <v>170</v>
      </c>
      <c r="G38" s="33">
        <v>190</v>
      </c>
      <c r="H38" s="33">
        <v>327</v>
      </c>
      <c r="I38" s="33">
        <v>157</v>
      </c>
      <c r="J38" s="33" t="b">
        <v>0</v>
      </c>
      <c r="K38" s="35">
        <v>45495</v>
      </c>
      <c r="L38" s="108">
        <v>45596</v>
      </c>
      <c r="M38" s="36">
        <v>0</v>
      </c>
      <c r="Q38" s="34"/>
      <c r="R38" s="34"/>
      <c r="S38" s="34"/>
      <c r="U38" s="32"/>
      <c r="V38" s="34"/>
      <c r="X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CE38" s="34"/>
      <c r="CF38" s="34"/>
      <c r="CG38" s="34"/>
      <c r="CH38" s="34"/>
      <c r="CI38" s="34"/>
      <c r="CJ38" s="34"/>
      <c r="CK38" s="34"/>
      <c r="CL38" s="34"/>
      <c r="ES38" s="36" t="s">
        <v>142</v>
      </c>
      <c r="ET38" s="36" t="s">
        <v>144</v>
      </c>
      <c r="EU38" s="36"/>
    </row>
    <row r="39" spans="1:151" s="24" customFormat="1" ht="15.9" customHeight="1" outlineLevel="2" x14ac:dyDescent="0.35">
      <c r="A39" s="104">
        <v>36</v>
      </c>
      <c r="B39" s="138" t="s">
        <v>310</v>
      </c>
      <c r="C39" s="25">
        <f t="shared" si="0"/>
        <v>21</v>
      </c>
      <c r="D39" s="139">
        <f>A38</f>
        <v>35</v>
      </c>
      <c r="K39" s="26">
        <v>45597</v>
      </c>
      <c r="L39" s="134">
        <v>45626</v>
      </c>
      <c r="M39" s="27">
        <v>0</v>
      </c>
      <c r="Q39" s="25"/>
      <c r="R39" s="25"/>
      <c r="S39" s="25"/>
      <c r="U39" s="23"/>
      <c r="V39" s="25"/>
      <c r="X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CE39" s="25"/>
      <c r="CF39" s="25"/>
      <c r="CG39" s="25"/>
      <c r="CH39" s="25"/>
      <c r="CI39" s="25"/>
      <c r="CJ39" s="25"/>
      <c r="CK39" s="25"/>
      <c r="CL39" s="25"/>
      <c r="ES39" s="27" t="s">
        <v>142</v>
      </c>
      <c r="ET39" s="27" t="s">
        <v>144</v>
      </c>
      <c r="EU39" s="27"/>
    </row>
    <row r="40" spans="1:151" s="33" customFormat="1" ht="15.9" customHeight="1" outlineLevel="2" x14ac:dyDescent="0.35">
      <c r="A40" s="104">
        <v>37</v>
      </c>
      <c r="B40" s="130" t="s">
        <v>325</v>
      </c>
      <c r="C40" s="34">
        <f t="shared" ref="C40:C47" si="3">NETWORKDAYS(K40,L40)</f>
        <v>13</v>
      </c>
      <c r="D40" s="109">
        <f>A35</f>
        <v>32</v>
      </c>
      <c r="K40" s="35">
        <v>45495</v>
      </c>
      <c r="L40" s="110">
        <v>45511</v>
      </c>
      <c r="M40" s="36">
        <v>0</v>
      </c>
      <c r="Q40" s="34"/>
      <c r="R40" s="34"/>
      <c r="S40" s="34"/>
      <c r="U40" s="32"/>
      <c r="V40" s="34"/>
      <c r="X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CE40" s="34"/>
      <c r="CF40" s="34"/>
      <c r="CG40" s="34"/>
      <c r="CH40" s="34"/>
      <c r="CI40" s="34"/>
      <c r="CJ40" s="34"/>
      <c r="CK40" s="34"/>
      <c r="CL40" s="34"/>
      <c r="ES40" s="36" t="s">
        <v>303</v>
      </c>
      <c r="ET40" s="36" t="s">
        <v>162</v>
      </c>
      <c r="EU40" s="36"/>
    </row>
    <row r="41" spans="1:151" s="24" customFormat="1" ht="15.9" customHeight="1" outlineLevel="2" x14ac:dyDescent="0.35">
      <c r="A41" s="104">
        <v>38</v>
      </c>
      <c r="B41" s="138" t="s">
        <v>326</v>
      </c>
      <c r="C41" s="25">
        <f t="shared" si="3"/>
        <v>23</v>
      </c>
      <c r="D41" s="139">
        <f t="shared" ref="D41:D47" si="4">A40</f>
        <v>37</v>
      </c>
      <c r="K41" s="26">
        <v>45511</v>
      </c>
      <c r="L41" s="140">
        <v>45541</v>
      </c>
      <c r="M41" s="27">
        <v>0</v>
      </c>
      <c r="Q41" s="25"/>
      <c r="R41" s="25"/>
      <c r="S41" s="25"/>
      <c r="U41" s="23"/>
      <c r="V41" s="25"/>
      <c r="X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CE41" s="25"/>
      <c r="CF41" s="25"/>
      <c r="CG41" s="25"/>
      <c r="CH41" s="25"/>
      <c r="CI41" s="25"/>
      <c r="CJ41" s="25"/>
      <c r="CK41" s="25"/>
      <c r="CL41" s="25"/>
      <c r="ES41" s="27" t="s">
        <v>303</v>
      </c>
      <c r="ET41" s="27" t="s">
        <v>162</v>
      </c>
      <c r="EU41" s="27"/>
    </row>
    <row r="42" spans="1:151" s="33" customFormat="1" ht="15.9" customHeight="1" outlineLevel="2" x14ac:dyDescent="0.35">
      <c r="A42" s="104">
        <v>39</v>
      </c>
      <c r="B42" s="130" t="s">
        <v>327</v>
      </c>
      <c r="C42" s="34">
        <f t="shared" si="3"/>
        <v>23</v>
      </c>
      <c r="D42" s="109">
        <f t="shared" si="4"/>
        <v>38</v>
      </c>
      <c r="K42" s="110">
        <v>45544</v>
      </c>
      <c r="L42" s="110">
        <v>45574</v>
      </c>
      <c r="M42" s="36">
        <v>0</v>
      </c>
      <c r="Q42" s="34"/>
      <c r="R42" s="34"/>
      <c r="S42" s="34"/>
      <c r="U42" s="32"/>
      <c r="V42" s="34"/>
      <c r="X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CE42" s="34"/>
      <c r="CF42" s="34"/>
      <c r="CG42" s="34"/>
      <c r="CH42" s="34"/>
      <c r="CI42" s="34"/>
      <c r="CJ42" s="34"/>
      <c r="CK42" s="34"/>
      <c r="CL42" s="34"/>
      <c r="ES42" s="36" t="s">
        <v>303</v>
      </c>
      <c r="ET42" s="36" t="s">
        <v>162</v>
      </c>
      <c r="EU42" s="36"/>
    </row>
    <row r="43" spans="1:151" s="24" customFormat="1" ht="15.9" customHeight="1" outlineLevel="2" x14ac:dyDescent="0.35">
      <c r="A43" s="104">
        <v>40</v>
      </c>
      <c r="B43" s="138" t="s">
        <v>328</v>
      </c>
      <c r="C43" s="25">
        <f t="shared" si="3"/>
        <v>22</v>
      </c>
      <c r="D43" s="139">
        <f t="shared" si="4"/>
        <v>39</v>
      </c>
      <c r="K43" s="140">
        <v>45575</v>
      </c>
      <c r="L43" s="140">
        <v>45605</v>
      </c>
      <c r="M43" s="27">
        <v>0</v>
      </c>
      <c r="Q43" s="25"/>
      <c r="R43" s="25"/>
      <c r="S43" s="25"/>
      <c r="U43" s="23"/>
      <c r="V43" s="25"/>
      <c r="X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CE43" s="25"/>
      <c r="CF43" s="25"/>
      <c r="CG43" s="25"/>
      <c r="CH43" s="25"/>
      <c r="CI43" s="25"/>
      <c r="CJ43" s="25"/>
      <c r="CK43" s="25"/>
      <c r="CL43" s="25"/>
      <c r="ES43" s="27" t="s">
        <v>303</v>
      </c>
      <c r="ET43" s="27" t="s">
        <v>162</v>
      </c>
      <c r="EU43" s="27"/>
    </row>
    <row r="44" spans="1:151" s="33" customFormat="1" ht="15.9" customHeight="1" outlineLevel="2" x14ac:dyDescent="0.35">
      <c r="A44" s="104">
        <v>41</v>
      </c>
      <c r="B44" s="130" t="s">
        <v>329</v>
      </c>
      <c r="C44" s="34">
        <f t="shared" si="3"/>
        <v>5</v>
      </c>
      <c r="D44" s="109">
        <f t="shared" si="4"/>
        <v>40</v>
      </c>
      <c r="K44" s="110">
        <v>45606</v>
      </c>
      <c r="L44" s="110">
        <v>45611</v>
      </c>
      <c r="M44" s="36">
        <v>0</v>
      </c>
      <c r="Q44" s="34"/>
      <c r="R44" s="34"/>
      <c r="S44" s="34"/>
      <c r="U44" s="32"/>
      <c r="V44" s="34"/>
      <c r="X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CE44" s="34"/>
      <c r="CF44" s="34"/>
      <c r="CG44" s="34"/>
      <c r="CH44" s="34"/>
      <c r="CI44" s="34"/>
      <c r="CJ44" s="34"/>
      <c r="CK44" s="34"/>
      <c r="CL44" s="34"/>
      <c r="ES44" s="36" t="s">
        <v>303</v>
      </c>
      <c r="ET44" s="36" t="s">
        <v>162</v>
      </c>
      <c r="EU44" s="36"/>
    </row>
    <row r="45" spans="1:151" s="24" customFormat="1" ht="15.9" customHeight="1" outlineLevel="2" x14ac:dyDescent="0.35">
      <c r="A45" s="104">
        <v>42</v>
      </c>
      <c r="B45" s="138" t="s">
        <v>330</v>
      </c>
      <c r="C45" s="25">
        <f t="shared" si="3"/>
        <v>5</v>
      </c>
      <c r="D45" s="139">
        <f t="shared" si="4"/>
        <v>41</v>
      </c>
      <c r="K45" s="116">
        <v>45614</v>
      </c>
      <c r="L45" s="116">
        <v>45618</v>
      </c>
      <c r="M45" s="27">
        <v>0</v>
      </c>
      <c r="Q45" s="25"/>
      <c r="R45" s="25"/>
      <c r="S45" s="25"/>
      <c r="U45" s="23"/>
      <c r="V45" s="25"/>
      <c r="X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CE45" s="25"/>
      <c r="CF45" s="25"/>
      <c r="CG45" s="25"/>
      <c r="CH45" s="25"/>
      <c r="CI45" s="25"/>
      <c r="CJ45" s="25"/>
      <c r="CK45" s="25"/>
      <c r="CL45" s="25"/>
      <c r="ES45" s="27" t="s">
        <v>303</v>
      </c>
      <c r="ET45" s="27" t="s">
        <v>162</v>
      </c>
      <c r="EU45" s="27"/>
    </row>
    <row r="46" spans="1:151" s="33" customFormat="1" ht="15.9" customHeight="1" outlineLevel="2" x14ac:dyDescent="0.35">
      <c r="A46" s="104">
        <v>43</v>
      </c>
      <c r="B46" s="130" t="s">
        <v>331</v>
      </c>
      <c r="C46" s="34">
        <f t="shared" si="3"/>
        <v>5</v>
      </c>
      <c r="D46" s="109">
        <f t="shared" si="4"/>
        <v>42</v>
      </c>
      <c r="K46" s="117">
        <v>45621</v>
      </c>
      <c r="L46" s="117">
        <v>45625</v>
      </c>
      <c r="M46" s="36">
        <v>0</v>
      </c>
      <c r="Q46" s="34"/>
      <c r="R46" s="34"/>
      <c r="S46" s="34"/>
      <c r="U46" s="32"/>
      <c r="V46" s="34"/>
      <c r="X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CE46" s="34"/>
      <c r="CF46" s="34"/>
      <c r="CG46" s="34"/>
      <c r="CH46" s="34"/>
      <c r="CI46" s="34"/>
      <c r="CJ46" s="34"/>
      <c r="CK46" s="34"/>
      <c r="CL46" s="34"/>
      <c r="ES46" s="36" t="s">
        <v>303</v>
      </c>
      <c r="ET46" s="36" t="s">
        <v>162</v>
      </c>
      <c r="EU46" s="36"/>
    </row>
    <row r="47" spans="1:151" s="24" customFormat="1" ht="15.9" customHeight="1" outlineLevel="2" x14ac:dyDescent="0.35">
      <c r="A47" s="104">
        <v>44</v>
      </c>
      <c r="B47" s="138" t="s">
        <v>332</v>
      </c>
      <c r="C47" s="25">
        <f t="shared" si="3"/>
        <v>0</v>
      </c>
      <c r="D47" s="139">
        <f t="shared" si="4"/>
        <v>43</v>
      </c>
      <c r="K47" s="116">
        <v>45626</v>
      </c>
      <c r="L47" s="116">
        <v>45626</v>
      </c>
      <c r="M47" s="27">
        <v>0</v>
      </c>
      <c r="Q47" s="25"/>
      <c r="R47" s="25"/>
      <c r="S47" s="25"/>
      <c r="U47" s="23"/>
      <c r="V47" s="25"/>
      <c r="X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CE47" s="25"/>
      <c r="CF47" s="25"/>
      <c r="CG47" s="25"/>
      <c r="CH47" s="25"/>
      <c r="CI47" s="25"/>
      <c r="CJ47" s="25"/>
      <c r="CK47" s="25"/>
      <c r="CL47" s="25"/>
      <c r="ES47" s="27" t="s">
        <v>303</v>
      </c>
      <c r="ET47" s="27" t="s">
        <v>162</v>
      </c>
      <c r="EU47" s="27"/>
    </row>
    <row r="48" spans="1:151" s="33" customFormat="1" ht="15.9" customHeight="1" outlineLevel="1" x14ac:dyDescent="0.35">
      <c r="A48" s="104">
        <v>45</v>
      </c>
      <c r="B48" s="124" t="s">
        <v>323</v>
      </c>
      <c r="C48" s="34">
        <f t="shared" si="0"/>
        <v>22</v>
      </c>
      <c r="D48" s="34">
        <f>A37</f>
        <v>34</v>
      </c>
      <c r="K48" s="35">
        <v>45495</v>
      </c>
      <c r="L48" s="108">
        <v>45524</v>
      </c>
      <c r="M48" s="36">
        <v>0</v>
      </c>
      <c r="Q48" s="34"/>
      <c r="R48" s="34"/>
      <c r="S48" s="34"/>
      <c r="U48" s="32"/>
      <c r="V48" s="34"/>
      <c r="X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CE48" s="34"/>
      <c r="CF48" s="34"/>
      <c r="CG48" s="34"/>
      <c r="CH48" s="34"/>
      <c r="CI48" s="34"/>
      <c r="CJ48" s="34"/>
      <c r="CK48" s="34"/>
      <c r="CL48" s="34"/>
      <c r="ES48" s="36" t="s">
        <v>142</v>
      </c>
      <c r="ET48" s="36" t="s">
        <v>345</v>
      </c>
      <c r="EU48" s="34"/>
    </row>
    <row r="49" spans="1:151" s="24" customFormat="1" ht="15.9" customHeight="1" outlineLevel="1" x14ac:dyDescent="0.35">
      <c r="A49" s="104">
        <v>46</v>
      </c>
      <c r="B49" s="178" t="s">
        <v>350</v>
      </c>
      <c r="C49" s="168">
        <f t="shared" si="0"/>
        <v>29</v>
      </c>
      <c r="D49" s="168">
        <f>A37</f>
        <v>34</v>
      </c>
      <c r="E49" s="170">
        <v>44</v>
      </c>
      <c r="F49" s="170">
        <v>120</v>
      </c>
      <c r="G49" s="170">
        <v>251</v>
      </c>
      <c r="H49" s="170">
        <v>327</v>
      </c>
      <c r="I49" s="170">
        <v>207</v>
      </c>
      <c r="J49" s="170" t="b">
        <v>0</v>
      </c>
      <c r="K49" s="171">
        <v>45525</v>
      </c>
      <c r="L49" s="176">
        <v>45565</v>
      </c>
      <c r="M49" s="173">
        <v>0</v>
      </c>
      <c r="N49" s="170"/>
      <c r="O49" s="170"/>
      <c r="P49" s="170"/>
      <c r="Q49" s="168"/>
      <c r="R49" s="168"/>
      <c r="S49" s="168"/>
      <c r="T49" s="170"/>
      <c r="U49" s="174"/>
      <c r="V49" s="168"/>
      <c r="W49" s="170"/>
      <c r="X49" s="168"/>
      <c r="Y49" s="170"/>
      <c r="Z49" s="170"/>
      <c r="AA49" s="170"/>
      <c r="AB49" s="170"/>
      <c r="AC49" s="170"/>
      <c r="AD49" s="170"/>
      <c r="AE49" s="170"/>
      <c r="AF49" s="170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70"/>
      <c r="AX49" s="170"/>
      <c r="AY49" s="170"/>
      <c r="AZ49" s="170"/>
      <c r="BA49" s="170"/>
      <c r="BB49" s="170"/>
      <c r="BC49" s="170"/>
      <c r="BD49" s="170"/>
      <c r="BE49" s="170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/>
      <c r="BT49" s="170"/>
      <c r="BU49" s="170"/>
      <c r="BV49" s="170"/>
      <c r="BW49" s="170"/>
      <c r="BX49" s="170"/>
      <c r="BY49" s="170"/>
      <c r="BZ49" s="170"/>
      <c r="CA49" s="170"/>
      <c r="CB49" s="170"/>
      <c r="CC49" s="170"/>
      <c r="CD49" s="170"/>
      <c r="CE49" s="168"/>
      <c r="CF49" s="168"/>
      <c r="CG49" s="168"/>
      <c r="CH49" s="168"/>
      <c r="CI49" s="168"/>
      <c r="CJ49" s="168"/>
      <c r="CK49" s="168"/>
      <c r="CL49" s="168"/>
      <c r="CM49" s="170"/>
      <c r="CN49" s="170"/>
      <c r="CO49" s="170"/>
      <c r="CP49" s="170"/>
      <c r="CQ49" s="170"/>
      <c r="CR49" s="170"/>
      <c r="CS49" s="170"/>
      <c r="CT49" s="170"/>
      <c r="CU49" s="170"/>
      <c r="CV49" s="170"/>
      <c r="CW49" s="170"/>
      <c r="CX49" s="170"/>
      <c r="CY49" s="170"/>
      <c r="CZ49" s="170"/>
      <c r="DA49" s="170"/>
      <c r="DB49" s="170"/>
      <c r="DC49" s="170"/>
      <c r="DD49" s="170"/>
      <c r="DE49" s="170"/>
      <c r="DF49" s="170"/>
      <c r="DG49" s="170"/>
      <c r="DH49" s="170"/>
      <c r="DI49" s="170"/>
      <c r="DJ49" s="170"/>
      <c r="DK49" s="170"/>
      <c r="DL49" s="170"/>
      <c r="DM49" s="170"/>
      <c r="DN49" s="170"/>
      <c r="DO49" s="170"/>
      <c r="DP49" s="170"/>
      <c r="DQ49" s="170"/>
      <c r="DR49" s="170"/>
      <c r="DS49" s="170"/>
      <c r="DT49" s="170"/>
      <c r="DU49" s="170"/>
      <c r="DV49" s="170"/>
      <c r="DW49" s="170"/>
      <c r="DX49" s="170"/>
      <c r="DY49" s="170"/>
      <c r="DZ49" s="170"/>
      <c r="EA49" s="170"/>
      <c r="EB49" s="170"/>
      <c r="EC49" s="170"/>
      <c r="ED49" s="170"/>
      <c r="EE49" s="170"/>
      <c r="EF49" s="170"/>
      <c r="EG49" s="170"/>
      <c r="EH49" s="170"/>
      <c r="EI49" s="170"/>
      <c r="EJ49" s="170"/>
      <c r="EK49" s="170"/>
      <c r="EL49" s="170"/>
      <c r="EM49" s="170"/>
      <c r="EN49" s="170"/>
      <c r="EO49" s="170"/>
      <c r="EP49" s="170"/>
      <c r="EQ49" s="170"/>
      <c r="ER49" s="170"/>
      <c r="ES49" s="173" t="s">
        <v>142</v>
      </c>
      <c r="ET49" s="173" t="s">
        <v>345</v>
      </c>
      <c r="EU49" s="27"/>
    </row>
    <row r="50" spans="1:151" s="33" customFormat="1" ht="15.9" customHeight="1" x14ac:dyDescent="0.35">
      <c r="A50" s="104">
        <v>47</v>
      </c>
      <c r="B50" s="123" t="s">
        <v>358</v>
      </c>
      <c r="C50" s="34">
        <f t="shared" si="0"/>
        <v>235</v>
      </c>
      <c r="D50" s="34">
        <f>A3</f>
        <v>0</v>
      </c>
      <c r="E50" s="33">
        <v>1</v>
      </c>
      <c r="F50" s="33">
        <v>327</v>
      </c>
      <c r="G50" s="33">
        <v>1</v>
      </c>
      <c r="H50" s="33">
        <v>327</v>
      </c>
      <c r="I50" s="33">
        <v>0</v>
      </c>
      <c r="J50" s="33" t="b">
        <v>1</v>
      </c>
      <c r="K50" s="35">
        <v>45299</v>
      </c>
      <c r="L50" s="108">
        <v>45626</v>
      </c>
      <c r="M50" s="36">
        <v>0.2</v>
      </c>
      <c r="Q50" s="34"/>
      <c r="R50" s="34"/>
      <c r="S50" s="34"/>
      <c r="U50" s="32"/>
      <c r="V50" s="34"/>
      <c r="X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CE50" s="34"/>
      <c r="CF50" s="34"/>
      <c r="CG50" s="34"/>
      <c r="CH50" s="34"/>
      <c r="CI50" s="34"/>
      <c r="CJ50" s="34"/>
      <c r="CK50" s="34"/>
      <c r="CL50" s="34"/>
      <c r="ES50" s="36" t="s">
        <v>138</v>
      </c>
      <c r="ET50" s="36" t="s">
        <v>345</v>
      </c>
      <c r="EU50" s="36"/>
    </row>
    <row r="51" spans="1:151" s="24" customFormat="1" ht="15.9" customHeight="1" outlineLevel="1" x14ac:dyDescent="0.35">
      <c r="A51" s="104">
        <v>48</v>
      </c>
      <c r="B51" s="136" t="s">
        <v>140</v>
      </c>
      <c r="C51" s="25">
        <f t="shared" ref="C51:C53" si="5">NETWORKDAYS(K51,L51)</f>
        <v>113</v>
      </c>
      <c r="D51" s="25">
        <f>A3</f>
        <v>0</v>
      </c>
      <c r="E51" s="24">
        <v>1</v>
      </c>
      <c r="F51" s="24">
        <v>4</v>
      </c>
      <c r="G51" s="24">
        <v>188</v>
      </c>
      <c r="H51" s="24">
        <v>191</v>
      </c>
      <c r="I51" s="24">
        <v>187</v>
      </c>
      <c r="J51" s="24" t="b">
        <v>0</v>
      </c>
      <c r="K51" s="137">
        <v>45299</v>
      </c>
      <c r="L51" s="26">
        <v>45455</v>
      </c>
      <c r="M51" s="27">
        <v>1</v>
      </c>
      <c r="Q51" s="25"/>
      <c r="R51" s="25"/>
      <c r="S51" s="25"/>
      <c r="U51" s="23"/>
      <c r="V51" s="25"/>
      <c r="X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CE51" s="25"/>
      <c r="CF51" s="25"/>
      <c r="CG51" s="25"/>
      <c r="CH51" s="25"/>
      <c r="CI51" s="25"/>
      <c r="CJ51" s="25"/>
      <c r="CK51" s="25"/>
      <c r="CL51" s="25"/>
      <c r="ES51" s="27" t="s">
        <v>12</v>
      </c>
      <c r="ET51" s="27" t="s">
        <v>139</v>
      </c>
      <c r="EU51" s="27"/>
    </row>
    <row r="52" spans="1:151" s="33" customFormat="1" ht="15.9" customHeight="1" outlineLevel="1" x14ac:dyDescent="0.35">
      <c r="A52" s="104">
        <v>49</v>
      </c>
      <c r="B52" s="152" t="s">
        <v>336</v>
      </c>
      <c r="C52" s="34">
        <f t="shared" si="5"/>
        <v>123</v>
      </c>
      <c r="D52" s="34">
        <f>A50</f>
        <v>47</v>
      </c>
      <c r="K52" s="114">
        <v>45455</v>
      </c>
      <c r="L52" s="35">
        <v>45626</v>
      </c>
      <c r="M52" s="36">
        <v>0.1</v>
      </c>
      <c r="Q52" s="34"/>
      <c r="R52" s="34"/>
      <c r="S52" s="34"/>
      <c r="U52" s="32"/>
      <c r="V52" s="34"/>
      <c r="X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CE52" s="34"/>
      <c r="CF52" s="34"/>
      <c r="CG52" s="34"/>
      <c r="CH52" s="34"/>
      <c r="CI52" s="34"/>
      <c r="CJ52" s="34"/>
      <c r="CK52" s="34"/>
      <c r="CL52" s="34"/>
      <c r="ES52" s="36" t="s">
        <v>138</v>
      </c>
      <c r="ET52" s="36" t="s">
        <v>345</v>
      </c>
      <c r="EU52" s="36"/>
    </row>
    <row r="53" spans="1:151" s="24" customFormat="1" ht="15.9" customHeight="1" outlineLevel="2" x14ac:dyDescent="0.35">
      <c r="A53" s="104">
        <v>50</v>
      </c>
      <c r="B53" s="138" t="s">
        <v>324</v>
      </c>
      <c r="C53" s="25">
        <f t="shared" si="5"/>
        <v>28</v>
      </c>
      <c r="D53" s="139">
        <f>A51</f>
        <v>48</v>
      </c>
      <c r="E53" s="24">
        <v>5</v>
      </c>
      <c r="F53" s="24">
        <v>20</v>
      </c>
      <c r="G53" s="24">
        <v>192</v>
      </c>
      <c r="H53" s="24">
        <v>207</v>
      </c>
      <c r="I53" s="24">
        <v>187</v>
      </c>
      <c r="J53" s="24" t="b">
        <v>0</v>
      </c>
      <c r="K53" s="26">
        <v>45455</v>
      </c>
      <c r="L53" s="140">
        <v>45492</v>
      </c>
      <c r="M53" s="27">
        <v>0.8</v>
      </c>
      <c r="Q53" s="25"/>
      <c r="R53" s="25"/>
      <c r="S53" s="25"/>
      <c r="U53" s="23"/>
      <c r="V53" s="25"/>
      <c r="X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CE53" s="25"/>
      <c r="CF53" s="25"/>
      <c r="CG53" s="25"/>
      <c r="CH53" s="25"/>
      <c r="CI53" s="25"/>
      <c r="CJ53" s="25"/>
      <c r="CK53" s="25"/>
      <c r="CL53" s="25"/>
      <c r="ES53" s="27" t="s">
        <v>138</v>
      </c>
      <c r="ET53" s="27" t="s">
        <v>162</v>
      </c>
      <c r="EU53" s="27"/>
    </row>
    <row r="54" spans="1:151" s="33" customFormat="1" ht="15.9" customHeight="1" outlineLevel="2" x14ac:dyDescent="0.35">
      <c r="A54" s="104">
        <v>51</v>
      </c>
      <c r="B54" s="179" t="s">
        <v>311</v>
      </c>
      <c r="C54" s="155">
        <f t="shared" si="0"/>
        <v>15</v>
      </c>
      <c r="D54" s="164">
        <f>A8</f>
        <v>5</v>
      </c>
      <c r="E54" s="160">
        <v>22</v>
      </c>
      <c r="F54" s="160">
        <v>32</v>
      </c>
      <c r="G54" s="160">
        <v>179</v>
      </c>
      <c r="H54" s="160">
        <v>189</v>
      </c>
      <c r="I54" s="160">
        <v>157</v>
      </c>
      <c r="J54" s="160" t="b">
        <v>0</v>
      </c>
      <c r="K54" s="165">
        <v>45474</v>
      </c>
      <c r="L54" s="166">
        <v>45492</v>
      </c>
      <c r="M54" s="162">
        <v>0.5</v>
      </c>
      <c r="N54" s="160"/>
      <c r="O54" s="160"/>
      <c r="P54" s="160"/>
      <c r="Q54" s="155"/>
      <c r="R54" s="155"/>
      <c r="S54" s="155"/>
      <c r="T54" s="160"/>
      <c r="U54" s="161"/>
      <c r="V54" s="155"/>
      <c r="W54" s="160"/>
      <c r="X54" s="155"/>
      <c r="Y54" s="160"/>
      <c r="Z54" s="160"/>
      <c r="AA54" s="160"/>
      <c r="AB54" s="160"/>
      <c r="AC54" s="160"/>
      <c r="AD54" s="160"/>
      <c r="AE54" s="160"/>
      <c r="AF54" s="160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  <c r="BJ54" s="160"/>
      <c r="BK54" s="160"/>
      <c r="BL54" s="160"/>
      <c r="BM54" s="160"/>
      <c r="BN54" s="160"/>
      <c r="BO54" s="160"/>
      <c r="BP54" s="160"/>
      <c r="BQ54" s="160"/>
      <c r="BR54" s="160"/>
      <c r="BS54" s="160"/>
      <c r="BT54" s="160"/>
      <c r="BU54" s="160"/>
      <c r="BV54" s="160"/>
      <c r="BW54" s="160"/>
      <c r="BX54" s="160"/>
      <c r="BY54" s="160"/>
      <c r="BZ54" s="160"/>
      <c r="CA54" s="160"/>
      <c r="CB54" s="160"/>
      <c r="CC54" s="160"/>
      <c r="CD54" s="160"/>
      <c r="CE54" s="155"/>
      <c r="CF54" s="155"/>
      <c r="CG54" s="155"/>
      <c r="CH54" s="155"/>
      <c r="CI54" s="155"/>
      <c r="CJ54" s="155"/>
      <c r="CK54" s="155"/>
      <c r="CL54" s="155"/>
      <c r="CM54" s="160"/>
      <c r="CN54" s="160"/>
      <c r="CO54" s="160"/>
      <c r="CP54" s="160"/>
      <c r="CQ54" s="160"/>
      <c r="CR54" s="160"/>
      <c r="CS54" s="160"/>
      <c r="CT54" s="160"/>
      <c r="CU54" s="160"/>
      <c r="CV54" s="160"/>
      <c r="CW54" s="160"/>
      <c r="CX54" s="160"/>
      <c r="CY54" s="160"/>
      <c r="CZ54" s="160"/>
      <c r="DA54" s="160"/>
      <c r="DB54" s="160"/>
      <c r="DC54" s="160"/>
      <c r="DD54" s="160"/>
      <c r="DE54" s="160"/>
      <c r="DF54" s="160"/>
      <c r="DG54" s="160"/>
      <c r="DH54" s="160"/>
      <c r="DI54" s="160"/>
      <c r="DJ54" s="160"/>
      <c r="DK54" s="160"/>
      <c r="DL54" s="160"/>
      <c r="DM54" s="160"/>
      <c r="DN54" s="160"/>
      <c r="DO54" s="160"/>
      <c r="DP54" s="160"/>
      <c r="DQ54" s="160"/>
      <c r="DR54" s="160"/>
      <c r="DS54" s="160"/>
      <c r="DT54" s="160"/>
      <c r="DU54" s="160"/>
      <c r="DV54" s="160"/>
      <c r="DW54" s="160"/>
      <c r="DX54" s="160"/>
      <c r="DY54" s="160"/>
      <c r="DZ54" s="160"/>
      <c r="EA54" s="160"/>
      <c r="EB54" s="160"/>
      <c r="EC54" s="160"/>
      <c r="ED54" s="160"/>
      <c r="EE54" s="160"/>
      <c r="EF54" s="160"/>
      <c r="EG54" s="160"/>
      <c r="EH54" s="160"/>
      <c r="EI54" s="160"/>
      <c r="EJ54" s="160"/>
      <c r="EK54" s="160"/>
      <c r="EL54" s="160"/>
      <c r="EM54" s="160"/>
      <c r="EN54" s="160"/>
      <c r="EO54" s="160"/>
      <c r="EP54" s="160"/>
      <c r="EQ54" s="160"/>
      <c r="ER54" s="160"/>
      <c r="ES54" s="162" t="s">
        <v>138</v>
      </c>
      <c r="ET54" s="162" t="s">
        <v>144</v>
      </c>
      <c r="EU54" s="36"/>
    </row>
    <row r="55" spans="1:151" s="24" customFormat="1" ht="15.9" customHeight="1" outlineLevel="2" x14ac:dyDescent="0.35">
      <c r="A55" s="104">
        <v>52</v>
      </c>
      <c r="B55" s="138" t="s">
        <v>148</v>
      </c>
      <c r="C55" s="25">
        <f t="shared" si="0"/>
        <v>15</v>
      </c>
      <c r="D55" s="25">
        <f>A8</f>
        <v>5</v>
      </c>
      <c r="E55" s="24">
        <v>32</v>
      </c>
      <c r="F55" s="24">
        <v>42</v>
      </c>
      <c r="G55" s="24">
        <v>240</v>
      </c>
      <c r="H55" s="24">
        <v>250</v>
      </c>
      <c r="I55" s="24">
        <v>208</v>
      </c>
      <c r="J55" s="24" t="b">
        <v>0</v>
      </c>
      <c r="K55" s="26">
        <v>45474</v>
      </c>
      <c r="L55" s="134">
        <v>45492</v>
      </c>
      <c r="M55" s="27">
        <v>0.5</v>
      </c>
      <c r="Q55" s="25"/>
      <c r="R55" s="25"/>
      <c r="S55" s="25"/>
      <c r="U55" s="23"/>
      <c r="V55" s="25"/>
      <c r="X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CE55" s="25"/>
      <c r="CF55" s="25"/>
      <c r="CG55" s="25"/>
      <c r="CH55" s="25"/>
      <c r="CI55" s="25"/>
      <c r="CJ55" s="25"/>
      <c r="CK55" s="25"/>
      <c r="CL55" s="25"/>
      <c r="ES55" s="27" t="s">
        <v>138</v>
      </c>
      <c r="ET55" s="27" t="s">
        <v>144</v>
      </c>
      <c r="EU55" s="131"/>
    </row>
    <row r="56" spans="1:151" s="33" customFormat="1" ht="15.9" customHeight="1" outlineLevel="2" x14ac:dyDescent="0.35">
      <c r="A56" s="104">
        <v>53</v>
      </c>
      <c r="B56" s="130" t="s">
        <v>312</v>
      </c>
      <c r="C56" s="34">
        <f t="shared" si="0"/>
        <v>100</v>
      </c>
      <c r="D56" s="109">
        <f>A54</f>
        <v>51</v>
      </c>
      <c r="E56" s="33">
        <v>32</v>
      </c>
      <c r="F56" s="33">
        <v>169</v>
      </c>
      <c r="G56" s="33">
        <v>190</v>
      </c>
      <c r="H56" s="33">
        <v>327</v>
      </c>
      <c r="I56" s="33">
        <v>158</v>
      </c>
      <c r="J56" s="33" t="b">
        <v>0</v>
      </c>
      <c r="K56" s="35">
        <v>45488</v>
      </c>
      <c r="L56" s="108">
        <v>45626</v>
      </c>
      <c r="M56" s="36">
        <v>0</v>
      </c>
      <c r="Q56" s="34"/>
      <c r="R56" s="34"/>
      <c r="S56" s="34"/>
      <c r="U56" s="32"/>
      <c r="V56" s="34"/>
      <c r="X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CE56" s="34"/>
      <c r="CF56" s="34"/>
      <c r="CG56" s="34"/>
      <c r="CH56" s="34"/>
      <c r="CI56" s="34"/>
      <c r="CJ56" s="34"/>
      <c r="CK56" s="34"/>
      <c r="CL56" s="34"/>
      <c r="ES56" s="36" t="s">
        <v>142</v>
      </c>
      <c r="ET56" s="36" t="s">
        <v>144</v>
      </c>
      <c r="EU56" s="36"/>
    </row>
    <row r="57" spans="1:151" s="24" customFormat="1" ht="15.9" customHeight="1" outlineLevel="2" x14ac:dyDescent="0.35">
      <c r="A57" s="104">
        <v>54</v>
      </c>
      <c r="B57" s="138" t="s">
        <v>313</v>
      </c>
      <c r="C57" s="25">
        <f t="shared" ref="C57:C66" si="6">NETWORKDAYS(K57,L57)</f>
        <v>100</v>
      </c>
      <c r="D57" s="139">
        <f>A55</f>
        <v>52</v>
      </c>
      <c r="E57" s="24">
        <v>32</v>
      </c>
      <c r="F57" s="24">
        <v>169</v>
      </c>
      <c r="G57" s="24">
        <v>190</v>
      </c>
      <c r="H57" s="24">
        <v>327</v>
      </c>
      <c r="I57" s="24">
        <v>158</v>
      </c>
      <c r="J57" s="24" t="b">
        <v>0</v>
      </c>
      <c r="K57" s="26">
        <v>45488</v>
      </c>
      <c r="L57" s="134">
        <v>45626</v>
      </c>
      <c r="M57" s="27">
        <v>0</v>
      </c>
      <c r="Q57" s="25"/>
      <c r="R57" s="25"/>
      <c r="S57" s="25"/>
      <c r="U57" s="23"/>
      <c r="V57" s="25"/>
      <c r="X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CE57" s="25"/>
      <c r="CF57" s="25"/>
      <c r="CG57" s="25"/>
      <c r="CH57" s="25"/>
      <c r="CI57" s="25"/>
      <c r="CJ57" s="25"/>
      <c r="CK57" s="25"/>
      <c r="CL57" s="25"/>
      <c r="ES57" s="27" t="s">
        <v>142</v>
      </c>
      <c r="ET57" s="27" t="s">
        <v>144</v>
      </c>
      <c r="EU57" s="27"/>
    </row>
    <row r="58" spans="1:151" s="33" customFormat="1" ht="15.9" customHeight="1" outlineLevel="2" x14ac:dyDescent="0.35">
      <c r="A58" s="104">
        <v>55</v>
      </c>
      <c r="B58" s="130" t="s">
        <v>325</v>
      </c>
      <c r="C58" s="34">
        <f t="shared" ref="C58:C65" si="7">NETWORKDAYS(K58,L58)</f>
        <v>13</v>
      </c>
      <c r="D58" s="109">
        <f>A53</f>
        <v>50</v>
      </c>
      <c r="K58" s="35">
        <v>45495</v>
      </c>
      <c r="L58" s="110">
        <v>45511</v>
      </c>
      <c r="M58" s="36">
        <v>0</v>
      </c>
      <c r="Q58" s="34"/>
      <c r="R58" s="34"/>
      <c r="S58" s="34"/>
      <c r="U58" s="32"/>
      <c r="V58" s="34"/>
      <c r="X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CE58" s="34"/>
      <c r="CF58" s="34"/>
      <c r="CG58" s="34"/>
      <c r="CH58" s="34"/>
      <c r="CI58" s="34"/>
      <c r="CJ58" s="34"/>
      <c r="CK58" s="34"/>
      <c r="CL58" s="34"/>
      <c r="ES58" s="36" t="s">
        <v>303</v>
      </c>
      <c r="ET58" s="36" t="s">
        <v>162</v>
      </c>
      <c r="EU58" s="36"/>
    </row>
    <row r="59" spans="1:151" s="24" customFormat="1" ht="15.9" customHeight="1" outlineLevel="2" x14ac:dyDescent="0.35">
      <c r="A59" s="104">
        <v>56</v>
      </c>
      <c r="B59" s="138" t="s">
        <v>326</v>
      </c>
      <c r="C59" s="25">
        <f t="shared" si="7"/>
        <v>23</v>
      </c>
      <c r="D59" s="139">
        <f t="shared" ref="D59:D65" si="8">A58</f>
        <v>55</v>
      </c>
      <c r="K59" s="26">
        <v>45511</v>
      </c>
      <c r="L59" s="140">
        <v>45541</v>
      </c>
      <c r="M59" s="27">
        <v>0</v>
      </c>
      <c r="Q59" s="25"/>
      <c r="R59" s="25"/>
      <c r="S59" s="25"/>
      <c r="U59" s="23"/>
      <c r="V59" s="25"/>
      <c r="X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CE59" s="25"/>
      <c r="CF59" s="25"/>
      <c r="CG59" s="25"/>
      <c r="CH59" s="25"/>
      <c r="CI59" s="25"/>
      <c r="CJ59" s="25"/>
      <c r="CK59" s="25"/>
      <c r="CL59" s="25"/>
      <c r="ES59" s="27" t="s">
        <v>303</v>
      </c>
      <c r="ET59" s="27" t="s">
        <v>162</v>
      </c>
      <c r="EU59" s="27"/>
    </row>
    <row r="60" spans="1:151" s="33" customFormat="1" ht="15.9" customHeight="1" outlineLevel="2" x14ac:dyDescent="0.35">
      <c r="A60" s="104">
        <v>57</v>
      </c>
      <c r="B60" s="130" t="s">
        <v>327</v>
      </c>
      <c r="C60" s="34">
        <f t="shared" si="7"/>
        <v>23</v>
      </c>
      <c r="D60" s="109">
        <f t="shared" si="8"/>
        <v>56</v>
      </c>
      <c r="K60" s="110">
        <v>45544</v>
      </c>
      <c r="L60" s="110">
        <v>45574</v>
      </c>
      <c r="M60" s="36">
        <v>0</v>
      </c>
      <c r="Q60" s="34"/>
      <c r="R60" s="34"/>
      <c r="S60" s="34"/>
      <c r="U60" s="32"/>
      <c r="V60" s="34"/>
      <c r="X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CE60" s="34"/>
      <c r="CF60" s="34"/>
      <c r="CG60" s="34"/>
      <c r="CH60" s="34"/>
      <c r="CI60" s="34"/>
      <c r="CJ60" s="34"/>
      <c r="CK60" s="34"/>
      <c r="CL60" s="34"/>
      <c r="ES60" s="36" t="s">
        <v>303</v>
      </c>
      <c r="ET60" s="36" t="s">
        <v>162</v>
      </c>
      <c r="EU60" s="36"/>
    </row>
    <row r="61" spans="1:151" s="24" customFormat="1" ht="15.9" customHeight="1" outlineLevel="2" x14ac:dyDescent="0.35">
      <c r="A61" s="104">
        <v>58</v>
      </c>
      <c r="B61" s="138" t="s">
        <v>328</v>
      </c>
      <c r="C61" s="25">
        <f t="shared" si="7"/>
        <v>22</v>
      </c>
      <c r="D61" s="139">
        <f t="shared" si="8"/>
        <v>57</v>
      </c>
      <c r="K61" s="140">
        <v>45575</v>
      </c>
      <c r="L61" s="140">
        <v>45605</v>
      </c>
      <c r="M61" s="27">
        <v>0</v>
      </c>
      <c r="Q61" s="25"/>
      <c r="R61" s="25"/>
      <c r="S61" s="25"/>
      <c r="U61" s="23"/>
      <c r="V61" s="25"/>
      <c r="X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CE61" s="25"/>
      <c r="CF61" s="25"/>
      <c r="CG61" s="25"/>
      <c r="CH61" s="25"/>
      <c r="CI61" s="25"/>
      <c r="CJ61" s="25"/>
      <c r="CK61" s="25"/>
      <c r="CL61" s="25"/>
      <c r="ES61" s="27" t="s">
        <v>303</v>
      </c>
      <c r="ET61" s="27" t="s">
        <v>162</v>
      </c>
      <c r="EU61" s="27"/>
    </row>
    <row r="62" spans="1:151" s="33" customFormat="1" ht="15.9" customHeight="1" outlineLevel="2" x14ac:dyDescent="0.35">
      <c r="A62" s="104">
        <v>59</v>
      </c>
      <c r="B62" s="130" t="s">
        <v>329</v>
      </c>
      <c r="C62" s="34">
        <f t="shared" si="7"/>
        <v>5</v>
      </c>
      <c r="D62" s="109">
        <f t="shared" si="8"/>
        <v>58</v>
      </c>
      <c r="K62" s="110">
        <v>45606</v>
      </c>
      <c r="L62" s="110">
        <v>45611</v>
      </c>
      <c r="M62" s="36">
        <v>0</v>
      </c>
      <c r="Q62" s="34"/>
      <c r="R62" s="34"/>
      <c r="S62" s="34"/>
      <c r="U62" s="32"/>
      <c r="V62" s="34"/>
      <c r="X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CE62" s="34"/>
      <c r="CF62" s="34"/>
      <c r="CG62" s="34"/>
      <c r="CH62" s="34"/>
      <c r="CI62" s="34"/>
      <c r="CJ62" s="34"/>
      <c r="CK62" s="34"/>
      <c r="CL62" s="34"/>
      <c r="ES62" s="36" t="s">
        <v>303</v>
      </c>
      <c r="ET62" s="36" t="s">
        <v>162</v>
      </c>
      <c r="EU62" s="36"/>
    </row>
    <row r="63" spans="1:151" s="24" customFormat="1" ht="15.9" customHeight="1" outlineLevel="2" x14ac:dyDescent="0.35">
      <c r="A63" s="104">
        <v>60</v>
      </c>
      <c r="B63" s="138" t="s">
        <v>330</v>
      </c>
      <c r="C63" s="25">
        <f t="shared" si="7"/>
        <v>5</v>
      </c>
      <c r="D63" s="139">
        <f t="shared" si="8"/>
        <v>59</v>
      </c>
      <c r="K63" s="116">
        <v>45614</v>
      </c>
      <c r="L63" s="116">
        <v>45618</v>
      </c>
      <c r="M63" s="27">
        <v>0</v>
      </c>
      <c r="Q63" s="25"/>
      <c r="R63" s="25"/>
      <c r="S63" s="25"/>
      <c r="U63" s="23"/>
      <c r="V63" s="25"/>
      <c r="X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CE63" s="25"/>
      <c r="CF63" s="25"/>
      <c r="CG63" s="25"/>
      <c r="CH63" s="25"/>
      <c r="CI63" s="25"/>
      <c r="CJ63" s="25"/>
      <c r="CK63" s="25"/>
      <c r="CL63" s="25"/>
      <c r="ES63" s="27" t="s">
        <v>303</v>
      </c>
      <c r="ET63" s="27" t="s">
        <v>162</v>
      </c>
      <c r="EU63" s="27"/>
    </row>
    <row r="64" spans="1:151" s="33" customFormat="1" ht="15.9" customHeight="1" outlineLevel="2" x14ac:dyDescent="0.35">
      <c r="A64" s="104">
        <v>61</v>
      </c>
      <c r="B64" s="130" t="s">
        <v>331</v>
      </c>
      <c r="C64" s="34">
        <f t="shared" si="7"/>
        <v>5</v>
      </c>
      <c r="D64" s="109">
        <f t="shared" si="8"/>
        <v>60</v>
      </c>
      <c r="K64" s="117">
        <v>45621</v>
      </c>
      <c r="L64" s="117">
        <v>45625</v>
      </c>
      <c r="M64" s="36">
        <v>0</v>
      </c>
      <c r="Q64" s="34"/>
      <c r="R64" s="34"/>
      <c r="S64" s="34"/>
      <c r="U64" s="32"/>
      <c r="V64" s="34"/>
      <c r="X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CE64" s="34"/>
      <c r="CF64" s="34"/>
      <c r="CG64" s="34"/>
      <c r="CH64" s="34"/>
      <c r="CI64" s="34"/>
      <c r="CJ64" s="34"/>
      <c r="CK64" s="34"/>
      <c r="CL64" s="34"/>
      <c r="ES64" s="36" t="s">
        <v>303</v>
      </c>
      <c r="ET64" s="36" t="s">
        <v>162</v>
      </c>
      <c r="EU64" s="36"/>
    </row>
    <row r="65" spans="1:151" s="24" customFormat="1" ht="15.9" customHeight="1" outlineLevel="2" x14ac:dyDescent="0.35">
      <c r="A65" s="104">
        <v>62</v>
      </c>
      <c r="B65" s="138" t="s">
        <v>332</v>
      </c>
      <c r="C65" s="25">
        <f t="shared" si="7"/>
        <v>0</v>
      </c>
      <c r="D65" s="139">
        <f t="shared" si="8"/>
        <v>61</v>
      </c>
      <c r="K65" s="116">
        <v>45626</v>
      </c>
      <c r="L65" s="116">
        <v>45626</v>
      </c>
      <c r="M65" s="27">
        <v>0</v>
      </c>
      <c r="Q65" s="25"/>
      <c r="R65" s="25"/>
      <c r="S65" s="25"/>
      <c r="U65" s="23"/>
      <c r="V65" s="25"/>
      <c r="X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CE65" s="25"/>
      <c r="CF65" s="25"/>
      <c r="CG65" s="25"/>
      <c r="CH65" s="25"/>
      <c r="CI65" s="25"/>
      <c r="CJ65" s="25"/>
      <c r="CK65" s="25"/>
      <c r="CL65" s="25"/>
      <c r="ES65" s="27" t="s">
        <v>303</v>
      </c>
      <c r="ET65" s="27" t="s">
        <v>162</v>
      </c>
      <c r="EU65" s="27"/>
    </row>
    <row r="66" spans="1:151" s="33" customFormat="1" ht="15.9" customHeight="1" outlineLevel="1" x14ac:dyDescent="0.35">
      <c r="A66" s="104">
        <v>63</v>
      </c>
      <c r="B66" s="124" t="s">
        <v>323</v>
      </c>
      <c r="C66" s="34">
        <f t="shared" si="6"/>
        <v>22</v>
      </c>
      <c r="D66" s="34">
        <f>A55</f>
        <v>52</v>
      </c>
      <c r="K66" s="35">
        <v>45493</v>
      </c>
      <c r="L66" s="108">
        <v>45524</v>
      </c>
      <c r="M66" s="36">
        <v>0</v>
      </c>
      <c r="Q66" s="34"/>
      <c r="R66" s="34"/>
      <c r="S66" s="34"/>
      <c r="U66" s="32"/>
      <c r="V66" s="34"/>
      <c r="X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CE66" s="34"/>
      <c r="CF66" s="34"/>
      <c r="CG66" s="34"/>
      <c r="CH66" s="34"/>
      <c r="CI66" s="34"/>
      <c r="CJ66" s="34"/>
      <c r="CK66" s="34"/>
      <c r="CL66" s="34"/>
      <c r="ES66" s="36" t="s">
        <v>142</v>
      </c>
      <c r="ET66" s="36" t="s">
        <v>345</v>
      </c>
      <c r="EU66" s="34"/>
    </row>
    <row r="67" spans="1:151" s="24" customFormat="1" ht="15.9" customHeight="1" outlineLevel="1" x14ac:dyDescent="0.35">
      <c r="A67" s="104">
        <v>64</v>
      </c>
      <c r="B67" s="178" t="s">
        <v>350</v>
      </c>
      <c r="C67" s="168">
        <f t="shared" ref="C67:C126" si="9">NETWORKDAYS(K67,L67)</f>
        <v>29</v>
      </c>
      <c r="D67" s="168">
        <f>A66</f>
        <v>63</v>
      </c>
      <c r="E67" s="170">
        <v>43</v>
      </c>
      <c r="F67" s="170">
        <v>119</v>
      </c>
      <c r="G67" s="170">
        <v>251</v>
      </c>
      <c r="H67" s="170">
        <v>327</v>
      </c>
      <c r="I67" s="170">
        <v>208</v>
      </c>
      <c r="J67" s="170" t="b">
        <v>0</v>
      </c>
      <c r="K67" s="171">
        <v>45525</v>
      </c>
      <c r="L67" s="176">
        <v>45565</v>
      </c>
      <c r="M67" s="173">
        <v>0</v>
      </c>
      <c r="N67" s="170"/>
      <c r="O67" s="170"/>
      <c r="P67" s="170"/>
      <c r="Q67" s="168"/>
      <c r="R67" s="168"/>
      <c r="S67" s="168"/>
      <c r="T67" s="170"/>
      <c r="U67" s="174"/>
      <c r="V67" s="168"/>
      <c r="W67" s="170"/>
      <c r="X67" s="168"/>
      <c r="Y67" s="170"/>
      <c r="Z67" s="170"/>
      <c r="AA67" s="170"/>
      <c r="AB67" s="170"/>
      <c r="AC67" s="170"/>
      <c r="AD67" s="170"/>
      <c r="AE67" s="170"/>
      <c r="AF67" s="170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  <c r="BT67" s="170"/>
      <c r="BU67" s="170"/>
      <c r="BV67" s="170"/>
      <c r="BW67" s="170"/>
      <c r="BX67" s="170"/>
      <c r="BY67" s="170"/>
      <c r="BZ67" s="170"/>
      <c r="CA67" s="170"/>
      <c r="CB67" s="170"/>
      <c r="CC67" s="170"/>
      <c r="CD67" s="170"/>
      <c r="CE67" s="168"/>
      <c r="CF67" s="168"/>
      <c r="CG67" s="168"/>
      <c r="CH67" s="168"/>
      <c r="CI67" s="168"/>
      <c r="CJ67" s="168"/>
      <c r="CK67" s="168"/>
      <c r="CL67" s="168"/>
      <c r="CM67" s="170"/>
      <c r="CN67" s="170"/>
      <c r="CO67" s="170"/>
      <c r="CP67" s="170"/>
      <c r="CQ67" s="170"/>
      <c r="CR67" s="170"/>
      <c r="CS67" s="170"/>
      <c r="CT67" s="170"/>
      <c r="CU67" s="170"/>
      <c r="CV67" s="170"/>
      <c r="CW67" s="170"/>
      <c r="CX67" s="170"/>
      <c r="CY67" s="170"/>
      <c r="CZ67" s="170"/>
      <c r="DA67" s="170"/>
      <c r="DB67" s="170"/>
      <c r="DC67" s="170"/>
      <c r="DD67" s="170"/>
      <c r="DE67" s="170"/>
      <c r="DF67" s="170"/>
      <c r="DG67" s="170"/>
      <c r="DH67" s="170"/>
      <c r="DI67" s="170"/>
      <c r="DJ67" s="170"/>
      <c r="DK67" s="170"/>
      <c r="DL67" s="170"/>
      <c r="DM67" s="170"/>
      <c r="DN67" s="170"/>
      <c r="DO67" s="170"/>
      <c r="DP67" s="170"/>
      <c r="DQ67" s="170"/>
      <c r="DR67" s="170"/>
      <c r="DS67" s="170"/>
      <c r="DT67" s="170"/>
      <c r="DU67" s="170"/>
      <c r="DV67" s="170"/>
      <c r="DW67" s="170"/>
      <c r="DX67" s="170"/>
      <c r="DY67" s="170"/>
      <c r="DZ67" s="170"/>
      <c r="EA67" s="170"/>
      <c r="EB67" s="170"/>
      <c r="EC67" s="170"/>
      <c r="ED67" s="170"/>
      <c r="EE67" s="170"/>
      <c r="EF67" s="170"/>
      <c r="EG67" s="170"/>
      <c r="EH67" s="170"/>
      <c r="EI67" s="170"/>
      <c r="EJ67" s="170"/>
      <c r="EK67" s="170"/>
      <c r="EL67" s="170"/>
      <c r="EM67" s="170"/>
      <c r="EN67" s="170"/>
      <c r="EO67" s="170"/>
      <c r="EP67" s="170"/>
      <c r="EQ67" s="170"/>
      <c r="ER67" s="170"/>
      <c r="ES67" s="173" t="s">
        <v>142</v>
      </c>
      <c r="ET67" s="173" t="s">
        <v>345</v>
      </c>
      <c r="EU67" s="27"/>
    </row>
    <row r="68" spans="1:151" s="33" customFormat="1" ht="15.9" customHeight="1" x14ac:dyDescent="0.35">
      <c r="A68" s="104">
        <v>65</v>
      </c>
      <c r="B68" s="123" t="s">
        <v>338</v>
      </c>
      <c r="C68" s="34">
        <f t="shared" si="9"/>
        <v>235</v>
      </c>
      <c r="D68" s="34">
        <f>A3</f>
        <v>0</v>
      </c>
      <c r="E68" s="33">
        <v>1</v>
      </c>
      <c r="F68" s="33">
        <v>327</v>
      </c>
      <c r="G68" s="33">
        <v>1</v>
      </c>
      <c r="H68" s="33">
        <v>327</v>
      </c>
      <c r="I68" s="33">
        <v>0</v>
      </c>
      <c r="J68" s="33" t="b">
        <v>1</v>
      </c>
      <c r="K68" s="35">
        <v>45299</v>
      </c>
      <c r="L68" s="108">
        <v>45626</v>
      </c>
      <c r="M68" s="36">
        <v>0.2</v>
      </c>
      <c r="Q68" s="34"/>
      <c r="R68" s="34"/>
      <c r="S68" s="34"/>
      <c r="U68" s="32"/>
      <c r="V68" s="34"/>
      <c r="X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CE68" s="34"/>
      <c r="CF68" s="34"/>
      <c r="CG68" s="34"/>
      <c r="CH68" s="34"/>
      <c r="CI68" s="34"/>
      <c r="CJ68" s="34"/>
      <c r="CK68" s="34"/>
      <c r="CL68" s="34"/>
      <c r="ES68" s="36" t="s">
        <v>138</v>
      </c>
      <c r="ET68" s="36" t="s">
        <v>345</v>
      </c>
      <c r="EU68" s="36"/>
    </row>
    <row r="69" spans="1:151" s="24" customFormat="1" ht="15.9" customHeight="1" outlineLevel="1" x14ac:dyDescent="0.35">
      <c r="A69" s="104">
        <v>66</v>
      </c>
      <c r="B69" s="136" t="s">
        <v>140</v>
      </c>
      <c r="C69" s="25">
        <f t="shared" si="9"/>
        <v>113</v>
      </c>
      <c r="D69" s="25">
        <f>A3</f>
        <v>0</v>
      </c>
      <c r="E69" s="24">
        <v>1</v>
      </c>
      <c r="F69" s="24">
        <v>4</v>
      </c>
      <c r="G69" s="24">
        <v>188</v>
      </c>
      <c r="H69" s="24">
        <v>191</v>
      </c>
      <c r="I69" s="24">
        <v>187</v>
      </c>
      <c r="J69" s="24" t="b">
        <v>0</v>
      </c>
      <c r="K69" s="137">
        <v>45299</v>
      </c>
      <c r="L69" s="26">
        <v>45455</v>
      </c>
      <c r="M69" s="27">
        <v>1</v>
      </c>
      <c r="Q69" s="25"/>
      <c r="R69" s="25"/>
      <c r="S69" s="25"/>
      <c r="U69" s="23"/>
      <c r="V69" s="25"/>
      <c r="X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CE69" s="25"/>
      <c r="CF69" s="25"/>
      <c r="CG69" s="25"/>
      <c r="CH69" s="25"/>
      <c r="CI69" s="25"/>
      <c r="CJ69" s="25"/>
      <c r="CK69" s="25"/>
      <c r="CL69" s="25"/>
      <c r="ES69" s="27" t="s">
        <v>12</v>
      </c>
      <c r="ET69" s="27" t="s">
        <v>139</v>
      </c>
      <c r="EU69" s="27"/>
    </row>
    <row r="70" spans="1:151" s="33" customFormat="1" ht="15.9" customHeight="1" outlineLevel="1" x14ac:dyDescent="0.35">
      <c r="A70" s="104">
        <v>67</v>
      </c>
      <c r="B70" s="124" t="s">
        <v>339</v>
      </c>
      <c r="C70" s="34">
        <f t="shared" si="9"/>
        <v>123</v>
      </c>
      <c r="D70" s="34">
        <f>A69</f>
        <v>66</v>
      </c>
      <c r="K70" s="35">
        <v>45455</v>
      </c>
      <c r="L70" s="35">
        <v>45626</v>
      </c>
      <c r="M70" s="36">
        <v>0.1</v>
      </c>
      <c r="Q70" s="34"/>
      <c r="R70" s="34"/>
      <c r="S70" s="34"/>
      <c r="U70" s="32"/>
      <c r="V70" s="34"/>
      <c r="X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CE70" s="34"/>
      <c r="CF70" s="34"/>
      <c r="CG70" s="34"/>
      <c r="CH70" s="34"/>
      <c r="CI70" s="34"/>
      <c r="CJ70" s="34"/>
      <c r="CK70" s="34"/>
      <c r="CL70" s="34"/>
      <c r="ES70" s="36" t="s">
        <v>138</v>
      </c>
      <c r="ET70" s="36" t="s">
        <v>345</v>
      </c>
      <c r="EU70" s="36"/>
    </row>
    <row r="71" spans="1:151" s="24" customFormat="1" ht="15.9" customHeight="1" outlineLevel="2" x14ac:dyDescent="0.35">
      <c r="A71" s="104">
        <v>68</v>
      </c>
      <c r="B71" s="138" t="s">
        <v>324</v>
      </c>
      <c r="C71" s="25">
        <f t="shared" si="9"/>
        <v>13</v>
      </c>
      <c r="D71" s="139">
        <f>A69</f>
        <v>66</v>
      </c>
      <c r="E71" s="24">
        <v>5</v>
      </c>
      <c r="F71" s="24">
        <v>20</v>
      </c>
      <c r="G71" s="24">
        <v>163</v>
      </c>
      <c r="H71" s="24">
        <v>178</v>
      </c>
      <c r="I71" s="24">
        <v>158</v>
      </c>
      <c r="J71" s="24" t="b">
        <v>0</v>
      </c>
      <c r="K71" s="26">
        <v>45455</v>
      </c>
      <c r="L71" s="140">
        <v>45471</v>
      </c>
      <c r="M71" s="27">
        <v>1</v>
      </c>
      <c r="Q71" s="25"/>
      <c r="R71" s="25"/>
      <c r="S71" s="25"/>
      <c r="U71" s="23"/>
      <c r="V71" s="25"/>
      <c r="X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CE71" s="25"/>
      <c r="CF71" s="25"/>
      <c r="CG71" s="25"/>
      <c r="CH71" s="25"/>
      <c r="CI71" s="25"/>
      <c r="CJ71" s="25"/>
      <c r="CK71" s="25"/>
      <c r="CL71" s="25"/>
      <c r="ES71" s="27" t="s">
        <v>12</v>
      </c>
      <c r="ET71" s="27" t="s">
        <v>162</v>
      </c>
      <c r="EU71" s="27"/>
    </row>
    <row r="72" spans="1:151" s="33" customFormat="1" ht="15.9" customHeight="1" outlineLevel="2" x14ac:dyDescent="0.35">
      <c r="A72" s="104">
        <v>69</v>
      </c>
      <c r="B72" s="130" t="s">
        <v>325</v>
      </c>
      <c r="C72" s="34">
        <f t="shared" si="9"/>
        <v>5</v>
      </c>
      <c r="D72" s="109">
        <f t="shared" ref="D72:D79" si="10">A71</f>
        <v>68</v>
      </c>
      <c r="K72" s="35">
        <v>45505</v>
      </c>
      <c r="L72" s="110">
        <v>45511</v>
      </c>
      <c r="M72" s="36">
        <v>0</v>
      </c>
      <c r="Q72" s="34"/>
      <c r="R72" s="34"/>
      <c r="S72" s="34"/>
      <c r="U72" s="32"/>
      <c r="V72" s="34"/>
      <c r="X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CE72" s="34"/>
      <c r="CF72" s="34"/>
      <c r="CG72" s="34"/>
      <c r="CH72" s="34"/>
      <c r="CI72" s="34"/>
      <c r="CJ72" s="34"/>
      <c r="CK72" s="34"/>
      <c r="CL72" s="34"/>
      <c r="ES72" s="36" t="s">
        <v>303</v>
      </c>
      <c r="ET72" s="36" t="s">
        <v>162</v>
      </c>
      <c r="EU72" s="36"/>
    </row>
    <row r="73" spans="1:151" s="24" customFormat="1" ht="15.9" customHeight="1" outlineLevel="2" x14ac:dyDescent="0.35">
      <c r="A73" s="104">
        <v>70</v>
      </c>
      <c r="B73" s="138" t="s">
        <v>326</v>
      </c>
      <c r="C73" s="25">
        <f t="shared" si="9"/>
        <v>22</v>
      </c>
      <c r="D73" s="139">
        <f t="shared" si="10"/>
        <v>69</v>
      </c>
      <c r="K73" s="26">
        <v>45512</v>
      </c>
      <c r="L73" s="140">
        <v>45541</v>
      </c>
      <c r="M73" s="27">
        <v>0</v>
      </c>
      <c r="Q73" s="25"/>
      <c r="R73" s="25"/>
      <c r="S73" s="25"/>
      <c r="U73" s="23"/>
      <c r="V73" s="25"/>
      <c r="X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CE73" s="25"/>
      <c r="CF73" s="25"/>
      <c r="CG73" s="25"/>
      <c r="CH73" s="25"/>
      <c r="CI73" s="25"/>
      <c r="CJ73" s="25"/>
      <c r="CK73" s="25"/>
      <c r="CL73" s="25"/>
      <c r="ES73" s="27" t="s">
        <v>303</v>
      </c>
      <c r="ET73" s="27" t="s">
        <v>162</v>
      </c>
      <c r="EU73" s="27"/>
    </row>
    <row r="74" spans="1:151" s="33" customFormat="1" ht="15.9" customHeight="1" outlineLevel="2" x14ac:dyDescent="0.35">
      <c r="A74" s="104">
        <v>71</v>
      </c>
      <c r="B74" s="130" t="s">
        <v>327</v>
      </c>
      <c r="C74" s="34">
        <f t="shared" si="9"/>
        <v>23</v>
      </c>
      <c r="D74" s="109">
        <f t="shared" si="10"/>
        <v>70</v>
      </c>
      <c r="K74" s="110">
        <v>45544</v>
      </c>
      <c r="L74" s="110">
        <v>45574</v>
      </c>
      <c r="M74" s="36">
        <v>0</v>
      </c>
      <c r="Q74" s="34"/>
      <c r="R74" s="34"/>
      <c r="S74" s="34"/>
      <c r="U74" s="32"/>
      <c r="V74" s="34"/>
      <c r="X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CE74" s="34"/>
      <c r="CF74" s="34"/>
      <c r="CG74" s="34"/>
      <c r="CH74" s="34"/>
      <c r="CI74" s="34"/>
      <c r="CJ74" s="34"/>
      <c r="CK74" s="34"/>
      <c r="CL74" s="34"/>
      <c r="ES74" s="36" t="s">
        <v>303</v>
      </c>
      <c r="ET74" s="36" t="s">
        <v>162</v>
      </c>
      <c r="EU74" s="36"/>
    </row>
    <row r="75" spans="1:151" s="24" customFormat="1" ht="15.9" customHeight="1" outlineLevel="2" x14ac:dyDescent="0.35">
      <c r="A75" s="104">
        <v>72</v>
      </c>
      <c r="B75" s="138" t="s">
        <v>328</v>
      </c>
      <c r="C75" s="25">
        <f t="shared" si="9"/>
        <v>22</v>
      </c>
      <c r="D75" s="139">
        <f t="shared" si="10"/>
        <v>71</v>
      </c>
      <c r="K75" s="140">
        <v>45575</v>
      </c>
      <c r="L75" s="140">
        <v>45605</v>
      </c>
      <c r="M75" s="27">
        <v>0</v>
      </c>
      <c r="Q75" s="25"/>
      <c r="R75" s="25"/>
      <c r="S75" s="25"/>
      <c r="U75" s="23"/>
      <c r="V75" s="25"/>
      <c r="X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CE75" s="25"/>
      <c r="CF75" s="25"/>
      <c r="CG75" s="25"/>
      <c r="CH75" s="25"/>
      <c r="CI75" s="25"/>
      <c r="CJ75" s="25"/>
      <c r="CK75" s="25"/>
      <c r="CL75" s="25"/>
      <c r="ES75" s="27" t="s">
        <v>303</v>
      </c>
      <c r="ET75" s="27" t="s">
        <v>162</v>
      </c>
      <c r="EU75" s="27"/>
    </row>
    <row r="76" spans="1:151" s="33" customFormat="1" ht="15.9" customHeight="1" outlineLevel="2" x14ac:dyDescent="0.35">
      <c r="A76" s="104">
        <v>73</v>
      </c>
      <c r="B76" s="130" t="s">
        <v>329</v>
      </c>
      <c r="C76" s="34">
        <f t="shared" si="9"/>
        <v>5</v>
      </c>
      <c r="D76" s="109">
        <f t="shared" si="10"/>
        <v>72</v>
      </c>
      <c r="K76" s="110">
        <v>45606</v>
      </c>
      <c r="L76" s="110">
        <v>45611</v>
      </c>
      <c r="M76" s="36">
        <v>0</v>
      </c>
      <c r="Q76" s="34"/>
      <c r="R76" s="34"/>
      <c r="S76" s="34"/>
      <c r="U76" s="32"/>
      <c r="V76" s="34"/>
      <c r="X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CE76" s="34"/>
      <c r="CF76" s="34"/>
      <c r="CG76" s="34"/>
      <c r="CH76" s="34"/>
      <c r="CI76" s="34"/>
      <c r="CJ76" s="34"/>
      <c r="CK76" s="34"/>
      <c r="CL76" s="34"/>
      <c r="ES76" s="36" t="s">
        <v>303</v>
      </c>
      <c r="ET76" s="36" t="s">
        <v>162</v>
      </c>
      <c r="EU76" s="36"/>
    </row>
    <row r="77" spans="1:151" s="24" customFormat="1" ht="15.9" customHeight="1" outlineLevel="2" x14ac:dyDescent="0.35">
      <c r="A77" s="104">
        <v>74</v>
      </c>
      <c r="B77" s="138" t="s">
        <v>330</v>
      </c>
      <c r="C77" s="25">
        <f t="shared" si="9"/>
        <v>5</v>
      </c>
      <c r="D77" s="139">
        <f t="shared" si="10"/>
        <v>73</v>
      </c>
      <c r="K77" s="116">
        <v>45614</v>
      </c>
      <c r="L77" s="116">
        <v>45618</v>
      </c>
      <c r="M77" s="27">
        <v>0</v>
      </c>
      <c r="Q77" s="25"/>
      <c r="R77" s="25"/>
      <c r="S77" s="25"/>
      <c r="U77" s="23"/>
      <c r="V77" s="25"/>
      <c r="X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CE77" s="25"/>
      <c r="CF77" s="25"/>
      <c r="CG77" s="25"/>
      <c r="CH77" s="25"/>
      <c r="CI77" s="25"/>
      <c r="CJ77" s="25"/>
      <c r="CK77" s="25"/>
      <c r="CL77" s="25"/>
      <c r="ES77" s="27" t="s">
        <v>303</v>
      </c>
      <c r="ET77" s="27" t="s">
        <v>162</v>
      </c>
      <c r="EU77" s="27"/>
    </row>
    <row r="78" spans="1:151" s="33" customFormat="1" ht="15.9" customHeight="1" outlineLevel="2" x14ac:dyDescent="0.35">
      <c r="A78" s="104">
        <v>75</v>
      </c>
      <c r="B78" s="130" t="s">
        <v>331</v>
      </c>
      <c r="C78" s="34">
        <f t="shared" si="9"/>
        <v>5</v>
      </c>
      <c r="D78" s="109">
        <f t="shared" si="10"/>
        <v>74</v>
      </c>
      <c r="K78" s="117">
        <v>45621</v>
      </c>
      <c r="L78" s="117">
        <v>45625</v>
      </c>
      <c r="M78" s="36">
        <v>0</v>
      </c>
      <c r="Q78" s="34"/>
      <c r="R78" s="34"/>
      <c r="S78" s="34"/>
      <c r="U78" s="32"/>
      <c r="V78" s="34"/>
      <c r="X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CE78" s="34"/>
      <c r="CF78" s="34"/>
      <c r="CG78" s="34"/>
      <c r="CH78" s="34"/>
      <c r="CI78" s="34"/>
      <c r="CJ78" s="34"/>
      <c r="CK78" s="34"/>
      <c r="CL78" s="34"/>
      <c r="ES78" s="36" t="s">
        <v>303</v>
      </c>
      <c r="ET78" s="36" t="s">
        <v>162</v>
      </c>
      <c r="EU78" s="36"/>
    </row>
    <row r="79" spans="1:151" s="24" customFormat="1" ht="15.9" customHeight="1" outlineLevel="2" x14ac:dyDescent="0.35">
      <c r="A79" s="104">
        <v>76</v>
      </c>
      <c r="B79" s="138" t="s">
        <v>332</v>
      </c>
      <c r="C79" s="25">
        <f t="shared" si="9"/>
        <v>0</v>
      </c>
      <c r="D79" s="139">
        <f t="shared" si="10"/>
        <v>75</v>
      </c>
      <c r="K79" s="116">
        <v>45626</v>
      </c>
      <c r="L79" s="116">
        <v>45626</v>
      </c>
      <c r="M79" s="27">
        <v>0</v>
      </c>
      <c r="Q79" s="25"/>
      <c r="R79" s="25"/>
      <c r="S79" s="25"/>
      <c r="U79" s="23"/>
      <c r="V79" s="25"/>
      <c r="X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CE79" s="25"/>
      <c r="CF79" s="25"/>
      <c r="CG79" s="25"/>
      <c r="CH79" s="25"/>
      <c r="CI79" s="25"/>
      <c r="CJ79" s="25"/>
      <c r="CK79" s="25"/>
      <c r="CL79" s="25"/>
      <c r="ES79" s="27" t="s">
        <v>303</v>
      </c>
      <c r="ET79" s="27" t="s">
        <v>162</v>
      </c>
      <c r="EU79" s="27"/>
    </row>
    <row r="80" spans="1:151" s="33" customFormat="1" ht="15.9" customHeight="1" outlineLevel="2" x14ac:dyDescent="0.35">
      <c r="A80" s="104">
        <v>77</v>
      </c>
      <c r="B80" s="179" t="s">
        <v>147</v>
      </c>
      <c r="C80" s="155">
        <f t="shared" si="9"/>
        <v>10</v>
      </c>
      <c r="D80" s="164">
        <f>A71</f>
        <v>68</v>
      </c>
      <c r="E80" s="160">
        <v>21</v>
      </c>
      <c r="F80" s="160">
        <v>31</v>
      </c>
      <c r="G80" s="160">
        <v>179</v>
      </c>
      <c r="H80" s="160">
        <v>189</v>
      </c>
      <c r="I80" s="160">
        <v>158</v>
      </c>
      <c r="J80" s="160" t="b">
        <v>0</v>
      </c>
      <c r="K80" s="165">
        <v>45474</v>
      </c>
      <c r="L80" s="166">
        <v>45485</v>
      </c>
      <c r="M80" s="162">
        <v>1</v>
      </c>
      <c r="N80" s="160"/>
      <c r="O80" s="160"/>
      <c r="P80" s="160"/>
      <c r="Q80" s="155"/>
      <c r="R80" s="155"/>
      <c r="S80" s="155"/>
      <c r="T80" s="160"/>
      <c r="U80" s="161"/>
      <c r="V80" s="155"/>
      <c r="W80" s="160"/>
      <c r="X80" s="155"/>
      <c r="Y80" s="160"/>
      <c r="Z80" s="160"/>
      <c r="AA80" s="160"/>
      <c r="AB80" s="160"/>
      <c r="AC80" s="160"/>
      <c r="AD80" s="160"/>
      <c r="AE80" s="160"/>
      <c r="AF80" s="160"/>
      <c r="AG80" s="155"/>
      <c r="AH80" s="155"/>
      <c r="AI80" s="155"/>
      <c r="AJ80" s="155"/>
      <c r="AK80" s="155"/>
      <c r="AL80" s="155"/>
      <c r="AM80" s="155"/>
      <c r="AN80" s="155"/>
      <c r="AO80" s="155"/>
      <c r="AP80" s="155"/>
      <c r="AQ80" s="155"/>
      <c r="AR80" s="155"/>
      <c r="AS80" s="155"/>
      <c r="AT80" s="155"/>
      <c r="AU80" s="155"/>
      <c r="AV80" s="155"/>
      <c r="AW80" s="160"/>
      <c r="AX80" s="160"/>
      <c r="AY80" s="160"/>
      <c r="AZ80" s="160"/>
      <c r="BA80" s="160"/>
      <c r="BB80" s="160"/>
      <c r="BC80" s="160"/>
      <c r="BD80" s="160"/>
      <c r="BE80" s="160"/>
      <c r="BF80" s="160"/>
      <c r="BG80" s="160"/>
      <c r="BH80" s="160"/>
      <c r="BI80" s="160"/>
      <c r="BJ80" s="160"/>
      <c r="BK80" s="160"/>
      <c r="BL80" s="160"/>
      <c r="BM80" s="160"/>
      <c r="BN80" s="160"/>
      <c r="BO80" s="160"/>
      <c r="BP80" s="160"/>
      <c r="BQ80" s="160"/>
      <c r="BR80" s="160"/>
      <c r="BS80" s="160"/>
      <c r="BT80" s="160"/>
      <c r="BU80" s="160"/>
      <c r="BV80" s="160"/>
      <c r="BW80" s="160"/>
      <c r="BX80" s="160"/>
      <c r="BY80" s="160"/>
      <c r="BZ80" s="160"/>
      <c r="CA80" s="160"/>
      <c r="CB80" s="160"/>
      <c r="CC80" s="160"/>
      <c r="CD80" s="160"/>
      <c r="CE80" s="155"/>
      <c r="CF80" s="155"/>
      <c r="CG80" s="155"/>
      <c r="CH80" s="155"/>
      <c r="CI80" s="155"/>
      <c r="CJ80" s="155"/>
      <c r="CK80" s="155"/>
      <c r="CL80" s="155"/>
      <c r="CM80" s="160"/>
      <c r="CN80" s="160"/>
      <c r="CO80" s="160"/>
      <c r="CP80" s="160"/>
      <c r="CQ80" s="160"/>
      <c r="CR80" s="160"/>
      <c r="CS80" s="160"/>
      <c r="CT80" s="160"/>
      <c r="CU80" s="160"/>
      <c r="CV80" s="160"/>
      <c r="CW80" s="160"/>
      <c r="CX80" s="160"/>
      <c r="CY80" s="160"/>
      <c r="CZ80" s="160"/>
      <c r="DA80" s="160"/>
      <c r="DB80" s="160"/>
      <c r="DC80" s="160"/>
      <c r="DD80" s="160"/>
      <c r="DE80" s="160"/>
      <c r="DF80" s="160"/>
      <c r="DG80" s="160"/>
      <c r="DH80" s="160"/>
      <c r="DI80" s="160"/>
      <c r="DJ80" s="160"/>
      <c r="DK80" s="160"/>
      <c r="DL80" s="160"/>
      <c r="DM80" s="160"/>
      <c r="DN80" s="160"/>
      <c r="DO80" s="160"/>
      <c r="DP80" s="160"/>
      <c r="DQ80" s="160"/>
      <c r="DR80" s="160"/>
      <c r="DS80" s="160"/>
      <c r="DT80" s="160"/>
      <c r="DU80" s="160"/>
      <c r="DV80" s="160"/>
      <c r="DW80" s="160"/>
      <c r="DX80" s="160"/>
      <c r="DY80" s="160"/>
      <c r="DZ80" s="160"/>
      <c r="EA80" s="160"/>
      <c r="EB80" s="160"/>
      <c r="EC80" s="160"/>
      <c r="ED80" s="160"/>
      <c r="EE80" s="160"/>
      <c r="EF80" s="160"/>
      <c r="EG80" s="160"/>
      <c r="EH80" s="160"/>
      <c r="EI80" s="160"/>
      <c r="EJ80" s="160"/>
      <c r="EK80" s="160"/>
      <c r="EL80" s="160"/>
      <c r="EM80" s="160"/>
      <c r="EN80" s="160"/>
      <c r="EO80" s="160"/>
      <c r="EP80" s="160"/>
      <c r="EQ80" s="160"/>
      <c r="ER80" s="160"/>
      <c r="ES80" s="162" t="s">
        <v>12</v>
      </c>
      <c r="ET80" s="162" t="s">
        <v>144</v>
      </c>
      <c r="EU80" s="36"/>
    </row>
    <row r="81" spans="1:151" s="24" customFormat="1" ht="15.9" customHeight="1" outlineLevel="2" x14ac:dyDescent="0.35">
      <c r="A81" s="104">
        <v>78</v>
      </c>
      <c r="B81" s="138" t="s">
        <v>148</v>
      </c>
      <c r="C81" s="25">
        <f t="shared" si="9"/>
        <v>10</v>
      </c>
      <c r="D81" s="139">
        <f>A71</f>
        <v>68</v>
      </c>
      <c r="E81" s="24">
        <v>32</v>
      </c>
      <c r="F81" s="24">
        <v>42</v>
      </c>
      <c r="G81" s="24">
        <v>240</v>
      </c>
      <c r="H81" s="24">
        <v>250</v>
      </c>
      <c r="I81" s="24">
        <v>208</v>
      </c>
      <c r="J81" s="24" t="b">
        <v>0</v>
      </c>
      <c r="K81" s="26">
        <v>45474</v>
      </c>
      <c r="L81" s="134">
        <v>45485</v>
      </c>
      <c r="M81" s="27">
        <v>1</v>
      </c>
      <c r="Q81" s="25"/>
      <c r="R81" s="25"/>
      <c r="S81" s="25"/>
      <c r="U81" s="23"/>
      <c r="V81" s="25"/>
      <c r="X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CE81" s="25"/>
      <c r="CF81" s="25"/>
      <c r="CG81" s="25"/>
      <c r="CH81" s="25"/>
      <c r="CI81" s="25"/>
      <c r="CJ81" s="25"/>
      <c r="CK81" s="25"/>
      <c r="CL81" s="25"/>
      <c r="ES81" s="27" t="s">
        <v>12</v>
      </c>
      <c r="ET81" s="27" t="s">
        <v>144</v>
      </c>
      <c r="EU81" s="131"/>
    </row>
    <row r="82" spans="1:151" s="33" customFormat="1" ht="15.9" customHeight="1" outlineLevel="2" x14ac:dyDescent="0.35">
      <c r="A82" s="104">
        <v>79</v>
      </c>
      <c r="B82" s="130" t="s">
        <v>149</v>
      </c>
      <c r="C82" s="34">
        <f t="shared" si="9"/>
        <v>100</v>
      </c>
      <c r="D82" s="109">
        <f>A81</f>
        <v>78</v>
      </c>
      <c r="E82" s="33">
        <v>32</v>
      </c>
      <c r="F82" s="33">
        <v>169</v>
      </c>
      <c r="G82" s="33">
        <v>190</v>
      </c>
      <c r="H82" s="33">
        <v>327</v>
      </c>
      <c r="I82" s="33">
        <v>158</v>
      </c>
      <c r="J82" s="33" t="b">
        <v>0</v>
      </c>
      <c r="K82" s="35">
        <v>45488</v>
      </c>
      <c r="L82" s="108">
        <v>45626</v>
      </c>
      <c r="M82" s="36">
        <v>0.1</v>
      </c>
      <c r="Q82" s="34"/>
      <c r="R82" s="34"/>
      <c r="S82" s="34"/>
      <c r="U82" s="32"/>
      <c r="V82" s="34"/>
      <c r="X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CE82" s="34"/>
      <c r="CF82" s="34"/>
      <c r="CG82" s="34"/>
      <c r="CH82" s="34"/>
      <c r="CI82" s="34"/>
      <c r="CJ82" s="34"/>
      <c r="CK82" s="34"/>
      <c r="CL82" s="34"/>
      <c r="ES82" s="36" t="s">
        <v>138</v>
      </c>
      <c r="ET82" s="36" t="s">
        <v>144</v>
      </c>
      <c r="EU82" s="36"/>
    </row>
    <row r="83" spans="1:151" s="24" customFormat="1" ht="15.9" customHeight="1" outlineLevel="1" x14ac:dyDescent="0.35">
      <c r="A83" s="104">
        <v>80</v>
      </c>
      <c r="B83" s="136" t="s">
        <v>323</v>
      </c>
      <c r="C83" s="25">
        <f t="shared" ref="C83" si="11">NETWORKDAYS(K83,L83)</f>
        <v>27</v>
      </c>
      <c r="D83" s="25">
        <f>A81</f>
        <v>78</v>
      </c>
      <c r="K83" s="26">
        <v>45488</v>
      </c>
      <c r="L83" s="134">
        <v>45524</v>
      </c>
      <c r="M83" s="27">
        <v>0</v>
      </c>
      <c r="Q83" s="25"/>
      <c r="R83" s="25"/>
      <c r="S83" s="25"/>
      <c r="U83" s="23"/>
      <c r="V83" s="25"/>
      <c r="X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CE83" s="25"/>
      <c r="CF83" s="25"/>
      <c r="CG83" s="25"/>
      <c r="CH83" s="25"/>
      <c r="CI83" s="25"/>
      <c r="CJ83" s="25"/>
      <c r="CK83" s="25"/>
      <c r="CL83" s="25"/>
      <c r="ES83" s="27" t="s">
        <v>142</v>
      </c>
      <c r="ET83" s="27" t="s">
        <v>345</v>
      </c>
      <c r="EU83" s="25"/>
    </row>
    <row r="84" spans="1:151" s="33" customFormat="1" ht="15.9" customHeight="1" outlineLevel="1" x14ac:dyDescent="0.35">
      <c r="A84" s="104">
        <v>81</v>
      </c>
      <c r="B84" s="178" t="s">
        <v>350</v>
      </c>
      <c r="C84" s="155">
        <f t="shared" si="9"/>
        <v>29</v>
      </c>
      <c r="D84" s="155">
        <f>A83</f>
        <v>80</v>
      </c>
      <c r="E84" s="160">
        <v>43</v>
      </c>
      <c r="F84" s="160">
        <v>119</v>
      </c>
      <c r="G84" s="160">
        <v>251</v>
      </c>
      <c r="H84" s="160">
        <v>327</v>
      </c>
      <c r="I84" s="160">
        <v>208</v>
      </c>
      <c r="J84" s="160" t="b">
        <v>0</v>
      </c>
      <c r="K84" s="165">
        <v>45525</v>
      </c>
      <c r="L84" s="166">
        <v>45565</v>
      </c>
      <c r="M84" s="162">
        <v>0</v>
      </c>
      <c r="N84" s="160"/>
      <c r="O84" s="160"/>
      <c r="P84" s="160"/>
      <c r="Q84" s="155"/>
      <c r="R84" s="155"/>
      <c r="S84" s="155"/>
      <c r="T84" s="160"/>
      <c r="U84" s="161"/>
      <c r="V84" s="155"/>
      <c r="W84" s="160"/>
      <c r="X84" s="155"/>
      <c r="Y84" s="160"/>
      <c r="Z84" s="160"/>
      <c r="AA84" s="160"/>
      <c r="AB84" s="160"/>
      <c r="AC84" s="160"/>
      <c r="AD84" s="160"/>
      <c r="AE84" s="160"/>
      <c r="AF84" s="160"/>
      <c r="AG84" s="155"/>
      <c r="AH84" s="155"/>
      <c r="AI84" s="155"/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  <c r="AT84" s="155"/>
      <c r="AU84" s="155"/>
      <c r="AV84" s="155"/>
      <c r="AW84" s="160"/>
      <c r="AX84" s="160"/>
      <c r="AY84" s="160"/>
      <c r="AZ84" s="160"/>
      <c r="BA84" s="160"/>
      <c r="BB84" s="160"/>
      <c r="BC84" s="160"/>
      <c r="BD84" s="160"/>
      <c r="BE84" s="160"/>
      <c r="BF84" s="160"/>
      <c r="BG84" s="160"/>
      <c r="BH84" s="160"/>
      <c r="BI84" s="160"/>
      <c r="BJ84" s="160"/>
      <c r="BK84" s="160"/>
      <c r="BL84" s="160"/>
      <c r="BM84" s="160"/>
      <c r="BN84" s="160"/>
      <c r="BO84" s="160"/>
      <c r="BP84" s="160"/>
      <c r="BQ84" s="160"/>
      <c r="BR84" s="160"/>
      <c r="BS84" s="160"/>
      <c r="BT84" s="160"/>
      <c r="BU84" s="160"/>
      <c r="BV84" s="160"/>
      <c r="BW84" s="160"/>
      <c r="BX84" s="160"/>
      <c r="BY84" s="160"/>
      <c r="BZ84" s="160"/>
      <c r="CA84" s="160"/>
      <c r="CB84" s="160"/>
      <c r="CC84" s="160"/>
      <c r="CD84" s="160"/>
      <c r="CE84" s="155"/>
      <c r="CF84" s="155"/>
      <c r="CG84" s="155"/>
      <c r="CH84" s="155"/>
      <c r="CI84" s="155"/>
      <c r="CJ84" s="155"/>
      <c r="CK84" s="155"/>
      <c r="CL84" s="155"/>
      <c r="CM84" s="160"/>
      <c r="CN84" s="160"/>
      <c r="CO84" s="160"/>
      <c r="CP84" s="160"/>
      <c r="CQ84" s="160"/>
      <c r="CR84" s="160"/>
      <c r="CS84" s="160"/>
      <c r="CT84" s="160"/>
      <c r="CU84" s="160"/>
      <c r="CV84" s="160"/>
      <c r="CW84" s="160"/>
      <c r="CX84" s="160"/>
      <c r="CY84" s="160"/>
      <c r="CZ84" s="160"/>
      <c r="DA84" s="160"/>
      <c r="DB84" s="160"/>
      <c r="DC84" s="160"/>
      <c r="DD84" s="160"/>
      <c r="DE84" s="160"/>
      <c r="DF84" s="160"/>
      <c r="DG84" s="160"/>
      <c r="DH84" s="160"/>
      <c r="DI84" s="160"/>
      <c r="DJ84" s="160"/>
      <c r="DK84" s="160"/>
      <c r="DL84" s="160"/>
      <c r="DM84" s="160"/>
      <c r="DN84" s="160"/>
      <c r="DO84" s="160"/>
      <c r="DP84" s="160"/>
      <c r="DQ84" s="160"/>
      <c r="DR84" s="160"/>
      <c r="DS84" s="160"/>
      <c r="DT84" s="160"/>
      <c r="DU84" s="160"/>
      <c r="DV84" s="160"/>
      <c r="DW84" s="160"/>
      <c r="DX84" s="160"/>
      <c r="DY84" s="160"/>
      <c r="DZ84" s="160"/>
      <c r="EA84" s="160"/>
      <c r="EB84" s="160"/>
      <c r="EC84" s="160"/>
      <c r="ED84" s="160"/>
      <c r="EE84" s="160"/>
      <c r="EF84" s="160"/>
      <c r="EG84" s="160"/>
      <c r="EH84" s="160"/>
      <c r="EI84" s="160"/>
      <c r="EJ84" s="160"/>
      <c r="EK84" s="160"/>
      <c r="EL84" s="160"/>
      <c r="EM84" s="160"/>
      <c r="EN84" s="160"/>
      <c r="EO84" s="160"/>
      <c r="EP84" s="160"/>
      <c r="EQ84" s="160"/>
      <c r="ER84" s="160"/>
      <c r="ES84" s="162" t="s">
        <v>142</v>
      </c>
      <c r="ET84" s="162" t="s">
        <v>345</v>
      </c>
      <c r="EU84" s="36"/>
    </row>
    <row r="85" spans="1:151" s="24" customFormat="1" ht="15.9" customHeight="1" x14ac:dyDescent="0.35">
      <c r="A85" s="104">
        <v>82</v>
      </c>
      <c r="B85" s="135" t="s">
        <v>151</v>
      </c>
      <c r="C85" s="25">
        <f t="shared" si="9"/>
        <v>235</v>
      </c>
      <c r="D85" s="25">
        <f>A3</f>
        <v>0</v>
      </c>
      <c r="E85" s="24">
        <v>1</v>
      </c>
      <c r="F85" s="24">
        <v>327</v>
      </c>
      <c r="G85" s="24">
        <v>1</v>
      </c>
      <c r="H85" s="24">
        <v>327</v>
      </c>
      <c r="I85" s="24">
        <v>0</v>
      </c>
      <c r="J85" s="24" t="b">
        <v>1</v>
      </c>
      <c r="K85" s="26">
        <v>45299</v>
      </c>
      <c r="L85" s="134">
        <v>45626</v>
      </c>
      <c r="M85" s="27">
        <v>0.2</v>
      </c>
      <c r="Q85" s="25"/>
      <c r="R85" s="25"/>
      <c r="S85" s="25"/>
      <c r="U85" s="23"/>
      <c r="V85" s="25"/>
      <c r="X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CE85" s="25"/>
      <c r="CF85" s="25"/>
      <c r="CG85" s="25"/>
      <c r="CH85" s="25"/>
      <c r="CI85" s="25"/>
      <c r="CJ85" s="25"/>
      <c r="CK85" s="25"/>
      <c r="CL85" s="25"/>
      <c r="ES85" s="27" t="s">
        <v>138</v>
      </c>
      <c r="ET85" s="27" t="s">
        <v>345</v>
      </c>
      <c r="EU85" s="27"/>
    </row>
    <row r="86" spans="1:151" s="33" customFormat="1" ht="15.9" customHeight="1" outlineLevel="1" x14ac:dyDescent="0.35">
      <c r="A86" s="104">
        <v>83</v>
      </c>
      <c r="B86" s="124" t="s">
        <v>140</v>
      </c>
      <c r="C86" s="34">
        <f t="shared" si="9"/>
        <v>113</v>
      </c>
      <c r="D86" s="34">
        <f>A3</f>
        <v>0</v>
      </c>
      <c r="E86" s="33">
        <v>1</v>
      </c>
      <c r="F86" s="33">
        <v>4</v>
      </c>
      <c r="G86" s="33">
        <v>188</v>
      </c>
      <c r="H86" s="33">
        <v>191</v>
      </c>
      <c r="I86" s="33">
        <v>187</v>
      </c>
      <c r="J86" s="33" t="b">
        <v>0</v>
      </c>
      <c r="K86" s="114">
        <v>45299</v>
      </c>
      <c r="L86" s="35">
        <v>45455</v>
      </c>
      <c r="M86" s="36">
        <v>1</v>
      </c>
      <c r="Q86" s="34"/>
      <c r="R86" s="34"/>
      <c r="S86" s="34"/>
      <c r="U86" s="32"/>
      <c r="V86" s="34"/>
      <c r="X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CE86" s="34"/>
      <c r="CF86" s="34"/>
      <c r="CG86" s="34"/>
      <c r="CH86" s="34"/>
      <c r="CI86" s="34"/>
      <c r="CJ86" s="34"/>
      <c r="CK86" s="34"/>
      <c r="CL86" s="34"/>
      <c r="ES86" s="36" t="s">
        <v>12</v>
      </c>
      <c r="ET86" s="36" t="s">
        <v>139</v>
      </c>
      <c r="EU86" s="36"/>
    </row>
    <row r="87" spans="1:151" s="24" customFormat="1" ht="15.9" customHeight="1" outlineLevel="1" x14ac:dyDescent="0.35">
      <c r="A87" s="104">
        <v>84</v>
      </c>
      <c r="B87" s="136" t="s">
        <v>340</v>
      </c>
      <c r="C87" s="25">
        <f t="shared" si="9"/>
        <v>123</v>
      </c>
      <c r="D87" s="25">
        <f>A86</f>
        <v>83</v>
      </c>
      <c r="K87" s="26">
        <v>45455</v>
      </c>
      <c r="L87" s="26">
        <v>45626</v>
      </c>
      <c r="M87" s="27">
        <v>0.1</v>
      </c>
      <c r="Q87" s="25"/>
      <c r="R87" s="25"/>
      <c r="S87" s="25"/>
      <c r="U87" s="23"/>
      <c r="V87" s="25"/>
      <c r="X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CE87" s="25"/>
      <c r="CF87" s="25"/>
      <c r="CG87" s="25"/>
      <c r="CH87" s="25"/>
      <c r="CI87" s="25"/>
      <c r="CJ87" s="25"/>
      <c r="CK87" s="25"/>
      <c r="CL87" s="25"/>
      <c r="ES87" s="27" t="s">
        <v>138</v>
      </c>
      <c r="ET87" s="27" t="s">
        <v>345</v>
      </c>
      <c r="EU87" s="27"/>
    </row>
    <row r="88" spans="1:151" s="33" customFormat="1" ht="15.9" customHeight="1" outlineLevel="2" x14ac:dyDescent="0.35">
      <c r="A88" s="104">
        <v>85</v>
      </c>
      <c r="B88" s="130" t="s">
        <v>324</v>
      </c>
      <c r="C88" s="34">
        <f t="shared" si="9"/>
        <v>28</v>
      </c>
      <c r="D88" s="109">
        <f>A86</f>
        <v>83</v>
      </c>
      <c r="E88" s="33">
        <v>5</v>
      </c>
      <c r="F88" s="33">
        <v>20</v>
      </c>
      <c r="G88" s="33">
        <v>163</v>
      </c>
      <c r="H88" s="33">
        <v>178</v>
      </c>
      <c r="I88" s="33">
        <v>158</v>
      </c>
      <c r="J88" s="33" t="b">
        <v>0</v>
      </c>
      <c r="K88" s="35">
        <v>45455</v>
      </c>
      <c r="L88" s="110">
        <v>45492</v>
      </c>
      <c r="M88" s="36">
        <v>0.8</v>
      </c>
      <c r="Q88" s="34"/>
      <c r="R88" s="34"/>
      <c r="S88" s="34"/>
      <c r="U88" s="32"/>
      <c r="V88" s="34"/>
      <c r="X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CE88" s="34"/>
      <c r="CF88" s="34"/>
      <c r="CG88" s="34"/>
      <c r="CH88" s="34"/>
      <c r="CI88" s="34"/>
      <c r="CJ88" s="34"/>
      <c r="CK88" s="34"/>
      <c r="CL88" s="34"/>
      <c r="ES88" s="36" t="s">
        <v>150</v>
      </c>
      <c r="ET88" s="36" t="s">
        <v>162</v>
      </c>
      <c r="EU88" s="36"/>
    </row>
    <row r="89" spans="1:151" s="24" customFormat="1" ht="15.9" customHeight="1" outlineLevel="2" x14ac:dyDescent="0.35">
      <c r="A89" s="104">
        <v>86</v>
      </c>
      <c r="B89" s="138" t="s">
        <v>325</v>
      </c>
      <c r="C89" s="25">
        <f t="shared" si="9"/>
        <v>13</v>
      </c>
      <c r="D89" s="139">
        <f t="shared" ref="D89:D96" si="12">A88</f>
        <v>85</v>
      </c>
      <c r="K89" s="26">
        <v>45495</v>
      </c>
      <c r="L89" s="140">
        <v>45511</v>
      </c>
      <c r="M89" s="27">
        <v>0</v>
      </c>
      <c r="Q89" s="25"/>
      <c r="R89" s="25"/>
      <c r="S89" s="25"/>
      <c r="U89" s="23"/>
      <c r="V89" s="25"/>
      <c r="X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CE89" s="25"/>
      <c r="CF89" s="25"/>
      <c r="CG89" s="25"/>
      <c r="CH89" s="25"/>
      <c r="CI89" s="25"/>
      <c r="CJ89" s="25"/>
      <c r="CK89" s="25"/>
      <c r="CL89" s="25"/>
      <c r="ES89" s="27" t="s">
        <v>303</v>
      </c>
      <c r="ET89" s="27" t="s">
        <v>162</v>
      </c>
      <c r="EU89" s="27"/>
    </row>
    <row r="90" spans="1:151" s="33" customFormat="1" ht="15.9" customHeight="1" outlineLevel="2" x14ac:dyDescent="0.35">
      <c r="A90" s="104">
        <v>87</v>
      </c>
      <c r="B90" s="130" t="s">
        <v>326</v>
      </c>
      <c r="C90" s="34">
        <f t="shared" si="9"/>
        <v>23</v>
      </c>
      <c r="D90" s="109">
        <f t="shared" si="12"/>
        <v>86</v>
      </c>
      <c r="K90" s="35">
        <v>45511</v>
      </c>
      <c r="L90" s="110">
        <v>45541</v>
      </c>
      <c r="M90" s="36">
        <v>0</v>
      </c>
      <c r="Q90" s="34"/>
      <c r="R90" s="34"/>
      <c r="S90" s="34"/>
      <c r="U90" s="32"/>
      <c r="V90" s="34"/>
      <c r="X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CE90" s="34"/>
      <c r="CF90" s="34"/>
      <c r="CG90" s="34"/>
      <c r="CH90" s="34"/>
      <c r="CI90" s="34"/>
      <c r="CJ90" s="34"/>
      <c r="CK90" s="34"/>
      <c r="CL90" s="34"/>
      <c r="ES90" s="36" t="s">
        <v>303</v>
      </c>
      <c r="ET90" s="36" t="s">
        <v>162</v>
      </c>
      <c r="EU90" s="36"/>
    </row>
    <row r="91" spans="1:151" s="24" customFormat="1" ht="15.9" customHeight="1" outlineLevel="2" x14ac:dyDescent="0.35">
      <c r="A91" s="104">
        <v>88</v>
      </c>
      <c r="B91" s="138" t="s">
        <v>327</v>
      </c>
      <c r="C91" s="25">
        <f t="shared" si="9"/>
        <v>23</v>
      </c>
      <c r="D91" s="139">
        <f t="shared" si="12"/>
        <v>87</v>
      </c>
      <c r="K91" s="140">
        <v>45544</v>
      </c>
      <c r="L91" s="140">
        <v>45574</v>
      </c>
      <c r="M91" s="27">
        <v>0</v>
      </c>
      <c r="Q91" s="25"/>
      <c r="R91" s="25"/>
      <c r="S91" s="25"/>
      <c r="U91" s="23"/>
      <c r="V91" s="25"/>
      <c r="X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CE91" s="25"/>
      <c r="CF91" s="25"/>
      <c r="CG91" s="25"/>
      <c r="CH91" s="25"/>
      <c r="CI91" s="25"/>
      <c r="CJ91" s="25"/>
      <c r="CK91" s="25"/>
      <c r="CL91" s="25"/>
      <c r="ES91" s="27" t="s">
        <v>303</v>
      </c>
      <c r="ET91" s="27" t="s">
        <v>162</v>
      </c>
      <c r="EU91" s="27"/>
    </row>
    <row r="92" spans="1:151" s="33" customFormat="1" ht="15.9" customHeight="1" outlineLevel="2" x14ac:dyDescent="0.35">
      <c r="A92" s="104">
        <v>89</v>
      </c>
      <c r="B92" s="130" t="s">
        <v>328</v>
      </c>
      <c r="C92" s="34">
        <f t="shared" si="9"/>
        <v>22</v>
      </c>
      <c r="D92" s="109">
        <f t="shared" si="12"/>
        <v>88</v>
      </c>
      <c r="K92" s="110">
        <v>45575</v>
      </c>
      <c r="L92" s="110">
        <v>45605</v>
      </c>
      <c r="M92" s="36">
        <v>0</v>
      </c>
      <c r="Q92" s="34"/>
      <c r="R92" s="34"/>
      <c r="S92" s="34"/>
      <c r="U92" s="32"/>
      <c r="V92" s="34"/>
      <c r="X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CE92" s="34"/>
      <c r="CF92" s="34"/>
      <c r="CG92" s="34"/>
      <c r="CH92" s="34"/>
      <c r="CI92" s="34"/>
      <c r="CJ92" s="34"/>
      <c r="CK92" s="34"/>
      <c r="CL92" s="34"/>
      <c r="ES92" s="36" t="s">
        <v>303</v>
      </c>
      <c r="ET92" s="36" t="s">
        <v>162</v>
      </c>
      <c r="EU92" s="36"/>
    </row>
    <row r="93" spans="1:151" s="24" customFormat="1" ht="15.9" customHeight="1" outlineLevel="2" x14ac:dyDescent="0.35">
      <c r="A93" s="104">
        <v>90</v>
      </c>
      <c r="B93" s="138" t="s">
        <v>329</v>
      </c>
      <c r="C93" s="25">
        <f t="shared" si="9"/>
        <v>5</v>
      </c>
      <c r="D93" s="139">
        <f t="shared" si="12"/>
        <v>89</v>
      </c>
      <c r="K93" s="140">
        <v>45606</v>
      </c>
      <c r="L93" s="140">
        <v>45611</v>
      </c>
      <c r="M93" s="27">
        <v>0</v>
      </c>
      <c r="Q93" s="25"/>
      <c r="R93" s="25"/>
      <c r="S93" s="25"/>
      <c r="U93" s="23"/>
      <c r="V93" s="25"/>
      <c r="X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CE93" s="25"/>
      <c r="CF93" s="25"/>
      <c r="CG93" s="25"/>
      <c r="CH93" s="25"/>
      <c r="CI93" s="25"/>
      <c r="CJ93" s="25"/>
      <c r="CK93" s="25"/>
      <c r="CL93" s="25"/>
      <c r="ES93" s="27" t="s">
        <v>303</v>
      </c>
      <c r="ET93" s="27" t="s">
        <v>162</v>
      </c>
      <c r="EU93" s="27"/>
    </row>
    <row r="94" spans="1:151" s="33" customFormat="1" ht="15.9" customHeight="1" outlineLevel="2" x14ac:dyDescent="0.35">
      <c r="A94" s="104">
        <v>91</v>
      </c>
      <c r="B94" s="130" t="s">
        <v>330</v>
      </c>
      <c r="C94" s="34">
        <f t="shared" si="9"/>
        <v>5</v>
      </c>
      <c r="D94" s="109">
        <f t="shared" si="12"/>
        <v>90</v>
      </c>
      <c r="K94" s="117">
        <v>45614</v>
      </c>
      <c r="L94" s="117">
        <v>45618</v>
      </c>
      <c r="M94" s="36">
        <v>0</v>
      </c>
      <c r="Q94" s="34"/>
      <c r="R94" s="34"/>
      <c r="S94" s="34"/>
      <c r="U94" s="32"/>
      <c r="V94" s="34"/>
      <c r="X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CE94" s="34"/>
      <c r="CF94" s="34"/>
      <c r="CG94" s="34"/>
      <c r="CH94" s="34"/>
      <c r="CI94" s="34"/>
      <c r="CJ94" s="34"/>
      <c r="CK94" s="34"/>
      <c r="CL94" s="34"/>
      <c r="ES94" s="36" t="s">
        <v>303</v>
      </c>
      <c r="ET94" s="36" t="s">
        <v>162</v>
      </c>
      <c r="EU94" s="36"/>
    </row>
    <row r="95" spans="1:151" s="24" customFormat="1" ht="15.9" customHeight="1" outlineLevel="2" x14ac:dyDescent="0.35">
      <c r="A95" s="104">
        <v>92</v>
      </c>
      <c r="B95" s="138" t="s">
        <v>331</v>
      </c>
      <c r="C95" s="25">
        <f t="shared" si="9"/>
        <v>5</v>
      </c>
      <c r="D95" s="139">
        <f t="shared" si="12"/>
        <v>91</v>
      </c>
      <c r="K95" s="116">
        <v>45621</v>
      </c>
      <c r="L95" s="116">
        <v>45625</v>
      </c>
      <c r="M95" s="27">
        <v>0</v>
      </c>
      <c r="Q95" s="25"/>
      <c r="R95" s="25"/>
      <c r="S95" s="25"/>
      <c r="U95" s="23"/>
      <c r="V95" s="25"/>
      <c r="X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CE95" s="25"/>
      <c r="CF95" s="25"/>
      <c r="CG95" s="25"/>
      <c r="CH95" s="25"/>
      <c r="CI95" s="25"/>
      <c r="CJ95" s="25"/>
      <c r="CK95" s="25"/>
      <c r="CL95" s="25"/>
      <c r="ES95" s="27" t="s">
        <v>303</v>
      </c>
      <c r="ET95" s="27" t="s">
        <v>162</v>
      </c>
      <c r="EU95" s="27"/>
    </row>
    <row r="96" spans="1:151" s="33" customFormat="1" ht="15.9" customHeight="1" outlineLevel="2" x14ac:dyDescent="0.35">
      <c r="A96" s="104">
        <v>93</v>
      </c>
      <c r="B96" s="130" t="s">
        <v>332</v>
      </c>
      <c r="C96" s="34">
        <f t="shared" si="9"/>
        <v>0</v>
      </c>
      <c r="D96" s="109">
        <f t="shared" si="12"/>
        <v>92</v>
      </c>
      <c r="K96" s="117">
        <v>45626</v>
      </c>
      <c r="L96" s="117">
        <v>45626</v>
      </c>
      <c r="M96" s="36">
        <v>0</v>
      </c>
      <c r="Q96" s="34"/>
      <c r="R96" s="34"/>
      <c r="S96" s="34"/>
      <c r="U96" s="32"/>
      <c r="V96" s="34"/>
      <c r="X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CE96" s="34"/>
      <c r="CF96" s="34"/>
      <c r="CG96" s="34"/>
      <c r="CH96" s="34"/>
      <c r="CI96" s="34"/>
      <c r="CJ96" s="34"/>
      <c r="CK96" s="34"/>
      <c r="CL96" s="34"/>
      <c r="ES96" s="36" t="s">
        <v>303</v>
      </c>
      <c r="ET96" s="36" t="s">
        <v>162</v>
      </c>
      <c r="EU96" s="36"/>
    </row>
    <row r="97" spans="1:151" s="24" customFormat="1" ht="15.9" customHeight="1" outlineLevel="2" x14ac:dyDescent="0.35">
      <c r="A97" s="104">
        <v>94</v>
      </c>
      <c r="B97" s="180" t="s">
        <v>347</v>
      </c>
      <c r="C97" s="168">
        <f t="shared" si="9"/>
        <v>15</v>
      </c>
      <c r="D97" s="169">
        <f>A35</f>
        <v>32</v>
      </c>
      <c r="E97" s="170">
        <v>22</v>
      </c>
      <c r="F97" s="170">
        <v>32</v>
      </c>
      <c r="G97" s="170">
        <v>179</v>
      </c>
      <c r="H97" s="170">
        <v>189</v>
      </c>
      <c r="I97" s="170">
        <v>157</v>
      </c>
      <c r="J97" s="170" t="b">
        <v>0</v>
      </c>
      <c r="K97" s="171">
        <v>45474</v>
      </c>
      <c r="L97" s="172">
        <v>45492</v>
      </c>
      <c r="M97" s="173">
        <v>0.5</v>
      </c>
      <c r="N97" s="170"/>
      <c r="O97" s="170"/>
      <c r="P97" s="170"/>
      <c r="Q97" s="168"/>
      <c r="R97" s="168"/>
      <c r="S97" s="168"/>
      <c r="T97" s="170"/>
      <c r="U97" s="174"/>
      <c r="V97" s="168"/>
      <c r="W97" s="170"/>
      <c r="X97" s="168"/>
      <c r="Y97" s="170"/>
      <c r="Z97" s="170"/>
      <c r="AA97" s="170"/>
      <c r="AB97" s="170"/>
      <c r="AC97" s="170"/>
      <c r="AD97" s="170"/>
      <c r="AE97" s="170"/>
      <c r="AF97" s="170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  <c r="AT97" s="168"/>
      <c r="AU97" s="168"/>
      <c r="AV97" s="168"/>
      <c r="AW97" s="170"/>
      <c r="AX97" s="170"/>
      <c r="AY97" s="170"/>
      <c r="AZ97" s="170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70"/>
      <c r="BS97" s="170"/>
      <c r="BT97" s="170"/>
      <c r="BU97" s="170"/>
      <c r="BV97" s="170"/>
      <c r="BW97" s="170"/>
      <c r="BX97" s="170"/>
      <c r="BY97" s="170"/>
      <c r="BZ97" s="170"/>
      <c r="CA97" s="170"/>
      <c r="CB97" s="170"/>
      <c r="CC97" s="170"/>
      <c r="CD97" s="170"/>
      <c r="CE97" s="168"/>
      <c r="CF97" s="168"/>
      <c r="CG97" s="168"/>
      <c r="CH97" s="168"/>
      <c r="CI97" s="168"/>
      <c r="CJ97" s="168"/>
      <c r="CK97" s="168"/>
      <c r="CL97" s="168"/>
      <c r="CM97" s="170"/>
      <c r="CN97" s="170"/>
      <c r="CO97" s="170"/>
      <c r="CP97" s="170"/>
      <c r="CQ97" s="170"/>
      <c r="CR97" s="170"/>
      <c r="CS97" s="170"/>
      <c r="CT97" s="170"/>
      <c r="CU97" s="170"/>
      <c r="CV97" s="170"/>
      <c r="CW97" s="170"/>
      <c r="CX97" s="170"/>
      <c r="CY97" s="170"/>
      <c r="CZ97" s="170"/>
      <c r="DA97" s="170"/>
      <c r="DB97" s="170"/>
      <c r="DC97" s="170"/>
      <c r="DD97" s="170"/>
      <c r="DE97" s="170"/>
      <c r="DF97" s="170"/>
      <c r="DG97" s="170"/>
      <c r="DH97" s="170"/>
      <c r="DI97" s="170"/>
      <c r="DJ97" s="170"/>
      <c r="DK97" s="170"/>
      <c r="DL97" s="170"/>
      <c r="DM97" s="170"/>
      <c r="DN97" s="170"/>
      <c r="DO97" s="170"/>
      <c r="DP97" s="170"/>
      <c r="DQ97" s="170"/>
      <c r="DR97" s="170"/>
      <c r="DS97" s="170"/>
      <c r="DT97" s="170"/>
      <c r="DU97" s="170"/>
      <c r="DV97" s="170"/>
      <c r="DW97" s="170"/>
      <c r="DX97" s="170"/>
      <c r="DY97" s="170"/>
      <c r="DZ97" s="170"/>
      <c r="EA97" s="170"/>
      <c r="EB97" s="170"/>
      <c r="EC97" s="170"/>
      <c r="ED97" s="170"/>
      <c r="EE97" s="170"/>
      <c r="EF97" s="170"/>
      <c r="EG97" s="170"/>
      <c r="EH97" s="170"/>
      <c r="EI97" s="170"/>
      <c r="EJ97" s="170"/>
      <c r="EK97" s="170"/>
      <c r="EL97" s="170"/>
      <c r="EM97" s="170"/>
      <c r="EN97" s="170"/>
      <c r="EO97" s="170"/>
      <c r="EP97" s="170"/>
      <c r="EQ97" s="170"/>
      <c r="ER97" s="170"/>
      <c r="ES97" s="173" t="s">
        <v>138</v>
      </c>
      <c r="ET97" s="173" t="s">
        <v>346</v>
      </c>
      <c r="EU97" s="27"/>
    </row>
    <row r="98" spans="1:151" s="33" customFormat="1" ht="15.9" customHeight="1" outlineLevel="2" x14ac:dyDescent="0.35">
      <c r="A98" s="104">
        <v>95</v>
      </c>
      <c r="B98" s="179" t="s">
        <v>348</v>
      </c>
      <c r="C98" s="155">
        <f t="shared" ref="C98:C99" si="13">NETWORKDAYS(K98,L98)</f>
        <v>15</v>
      </c>
      <c r="D98" s="164">
        <f>A35</f>
        <v>32</v>
      </c>
      <c r="E98" s="160">
        <v>22</v>
      </c>
      <c r="F98" s="160">
        <v>32</v>
      </c>
      <c r="G98" s="160">
        <v>179</v>
      </c>
      <c r="H98" s="160">
        <v>189</v>
      </c>
      <c r="I98" s="160">
        <v>157</v>
      </c>
      <c r="J98" s="160" t="b">
        <v>0</v>
      </c>
      <c r="K98" s="165">
        <v>45474</v>
      </c>
      <c r="L98" s="166">
        <v>45492</v>
      </c>
      <c r="M98" s="162">
        <v>0.5</v>
      </c>
      <c r="N98" s="160"/>
      <c r="O98" s="160"/>
      <c r="P98" s="160"/>
      <c r="Q98" s="155"/>
      <c r="R98" s="155"/>
      <c r="S98" s="155"/>
      <c r="T98" s="160"/>
      <c r="U98" s="161"/>
      <c r="V98" s="155"/>
      <c r="W98" s="160"/>
      <c r="X98" s="155"/>
      <c r="Y98" s="160"/>
      <c r="Z98" s="160"/>
      <c r="AA98" s="160"/>
      <c r="AB98" s="160"/>
      <c r="AC98" s="160"/>
      <c r="AD98" s="160"/>
      <c r="AE98" s="160"/>
      <c r="AF98" s="160"/>
      <c r="AG98" s="155"/>
      <c r="AH98" s="155"/>
      <c r="AI98" s="155"/>
      <c r="AJ98" s="155"/>
      <c r="AK98" s="155"/>
      <c r="AL98" s="155"/>
      <c r="AM98" s="155"/>
      <c r="AN98" s="155"/>
      <c r="AO98" s="155"/>
      <c r="AP98" s="155"/>
      <c r="AQ98" s="155"/>
      <c r="AR98" s="155"/>
      <c r="AS98" s="155"/>
      <c r="AT98" s="155"/>
      <c r="AU98" s="155"/>
      <c r="AV98" s="155"/>
      <c r="AW98" s="160"/>
      <c r="AX98" s="160"/>
      <c r="AY98" s="160"/>
      <c r="AZ98" s="160"/>
      <c r="BA98" s="160"/>
      <c r="BB98" s="160"/>
      <c r="BC98" s="160"/>
      <c r="BD98" s="160"/>
      <c r="BE98" s="160"/>
      <c r="BF98" s="160"/>
      <c r="BG98" s="160"/>
      <c r="BH98" s="160"/>
      <c r="BI98" s="160"/>
      <c r="BJ98" s="160"/>
      <c r="BK98" s="160"/>
      <c r="BL98" s="160"/>
      <c r="BM98" s="160"/>
      <c r="BN98" s="160"/>
      <c r="BO98" s="160"/>
      <c r="BP98" s="160"/>
      <c r="BQ98" s="160"/>
      <c r="BR98" s="160"/>
      <c r="BS98" s="160"/>
      <c r="BT98" s="160"/>
      <c r="BU98" s="160"/>
      <c r="BV98" s="160"/>
      <c r="BW98" s="160"/>
      <c r="BX98" s="160"/>
      <c r="BY98" s="160"/>
      <c r="BZ98" s="160"/>
      <c r="CA98" s="160"/>
      <c r="CB98" s="160"/>
      <c r="CC98" s="160"/>
      <c r="CD98" s="160"/>
      <c r="CE98" s="155"/>
      <c r="CF98" s="155"/>
      <c r="CG98" s="155"/>
      <c r="CH98" s="155"/>
      <c r="CI98" s="155"/>
      <c r="CJ98" s="155"/>
      <c r="CK98" s="155"/>
      <c r="CL98" s="155"/>
      <c r="CM98" s="160"/>
      <c r="CN98" s="160"/>
      <c r="CO98" s="160"/>
      <c r="CP98" s="160"/>
      <c r="CQ98" s="160"/>
      <c r="CR98" s="160"/>
      <c r="CS98" s="160"/>
      <c r="CT98" s="160"/>
      <c r="CU98" s="160"/>
      <c r="CV98" s="160"/>
      <c r="CW98" s="160"/>
      <c r="CX98" s="160"/>
      <c r="CY98" s="160"/>
      <c r="CZ98" s="160"/>
      <c r="DA98" s="160"/>
      <c r="DB98" s="160"/>
      <c r="DC98" s="160"/>
      <c r="DD98" s="160"/>
      <c r="DE98" s="160"/>
      <c r="DF98" s="160"/>
      <c r="DG98" s="160"/>
      <c r="DH98" s="160"/>
      <c r="DI98" s="160"/>
      <c r="DJ98" s="160"/>
      <c r="DK98" s="160"/>
      <c r="DL98" s="160"/>
      <c r="DM98" s="160"/>
      <c r="DN98" s="160"/>
      <c r="DO98" s="160"/>
      <c r="DP98" s="160"/>
      <c r="DQ98" s="160"/>
      <c r="DR98" s="160"/>
      <c r="DS98" s="160"/>
      <c r="DT98" s="160"/>
      <c r="DU98" s="160"/>
      <c r="DV98" s="160"/>
      <c r="DW98" s="160"/>
      <c r="DX98" s="160"/>
      <c r="DY98" s="160"/>
      <c r="DZ98" s="160"/>
      <c r="EA98" s="160"/>
      <c r="EB98" s="160"/>
      <c r="EC98" s="160"/>
      <c r="ED98" s="160"/>
      <c r="EE98" s="160"/>
      <c r="EF98" s="160"/>
      <c r="EG98" s="160"/>
      <c r="EH98" s="160"/>
      <c r="EI98" s="160"/>
      <c r="EJ98" s="160"/>
      <c r="EK98" s="160"/>
      <c r="EL98" s="160"/>
      <c r="EM98" s="160"/>
      <c r="EN98" s="160"/>
      <c r="EO98" s="160"/>
      <c r="EP98" s="160"/>
      <c r="EQ98" s="160"/>
      <c r="ER98" s="160"/>
      <c r="ES98" s="162" t="s">
        <v>138</v>
      </c>
      <c r="ET98" s="162" t="s">
        <v>346</v>
      </c>
      <c r="EU98" s="36"/>
    </row>
    <row r="99" spans="1:151" s="24" customFormat="1" ht="15.9" customHeight="1" outlineLevel="2" x14ac:dyDescent="0.35">
      <c r="A99" s="104">
        <v>96</v>
      </c>
      <c r="B99" s="180" t="s">
        <v>349</v>
      </c>
      <c r="C99" s="168">
        <f t="shared" si="13"/>
        <v>5</v>
      </c>
      <c r="D99" s="169">
        <f>A98</f>
        <v>95</v>
      </c>
      <c r="E99" s="170">
        <v>22</v>
      </c>
      <c r="F99" s="170">
        <v>32</v>
      </c>
      <c r="G99" s="170">
        <v>179</v>
      </c>
      <c r="H99" s="170">
        <v>189</v>
      </c>
      <c r="I99" s="170">
        <v>157</v>
      </c>
      <c r="J99" s="170" t="b">
        <v>0</v>
      </c>
      <c r="K99" s="171">
        <v>45495</v>
      </c>
      <c r="L99" s="172">
        <v>45499</v>
      </c>
      <c r="M99" s="173">
        <v>0.5</v>
      </c>
      <c r="N99" s="170"/>
      <c r="O99" s="170"/>
      <c r="P99" s="170"/>
      <c r="Q99" s="168"/>
      <c r="R99" s="168"/>
      <c r="S99" s="168"/>
      <c r="T99" s="170"/>
      <c r="U99" s="174"/>
      <c r="V99" s="168"/>
      <c r="W99" s="170"/>
      <c r="X99" s="168"/>
      <c r="Y99" s="170"/>
      <c r="Z99" s="170"/>
      <c r="AA99" s="170"/>
      <c r="AB99" s="170"/>
      <c r="AC99" s="170"/>
      <c r="AD99" s="170"/>
      <c r="AE99" s="170"/>
      <c r="AF99" s="170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70"/>
      <c r="AX99" s="170"/>
      <c r="AY99" s="170"/>
      <c r="AZ99" s="170"/>
      <c r="BA99" s="170"/>
      <c r="BB99" s="170"/>
      <c r="BC99" s="170"/>
      <c r="BD99" s="170"/>
      <c r="BE99" s="170"/>
      <c r="BF99" s="170"/>
      <c r="BG99" s="170"/>
      <c r="BH99" s="170"/>
      <c r="BI99" s="170"/>
      <c r="BJ99" s="170"/>
      <c r="BK99" s="170"/>
      <c r="BL99" s="170"/>
      <c r="BM99" s="170"/>
      <c r="BN99" s="170"/>
      <c r="BO99" s="170"/>
      <c r="BP99" s="170"/>
      <c r="BQ99" s="170"/>
      <c r="BR99" s="170"/>
      <c r="BS99" s="170"/>
      <c r="BT99" s="170"/>
      <c r="BU99" s="170"/>
      <c r="BV99" s="170"/>
      <c r="BW99" s="170"/>
      <c r="BX99" s="170"/>
      <c r="BY99" s="170"/>
      <c r="BZ99" s="170"/>
      <c r="CA99" s="170"/>
      <c r="CB99" s="170"/>
      <c r="CC99" s="170"/>
      <c r="CD99" s="170"/>
      <c r="CE99" s="168"/>
      <c r="CF99" s="168"/>
      <c r="CG99" s="168"/>
      <c r="CH99" s="168"/>
      <c r="CI99" s="168"/>
      <c r="CJ99" s="168"/>
      <c r="CK99" s="168"/>
      <c r="CL99" s="168"/>
      <c r="CM99" s="170"/>
      <c r="CN99" s="170"/>
      <c r="CO99" s="170"/>
      <c r="CP99" s="170"/>
      <c r="CQ99" s="170"/>
      <c r="CR99" s="170"/>
      <c r="CS99" s="170"/>
      <c r="CT99" s="170"/>
      <c r="CU99" s="170"/>
      <c r="CV99" s="170"/>
      <c r="CW99" s="170"/>
      <c r="CX99" s="170"/>
      <c r="CY99" s="170"/>
      <c r="CZ99" s="170"/>
      <c r="DA99" s="170"/>
      <c r="DB99" s="170"/>
      <c r="DC99" s="170"/>
      <c r="DD99" s="170"/>
      <c r="DE99" s="170"/>
      <c r="DF99" s="170"/>
      <c r="DG99" s="170"/>
      <c r="DH99" s="170"/>
      <c r="DI99" s="170"/>
      <c r="DJ99" s="170"/>
      <c r="DK99" s="170"/>
      <c r="DL99" s="170"/>
      <c r="DM99" s="170"/>
      <c r="DN99" s="170"/>
      <c r="DO99" s="170"/>
      <c r="DP99" s="170"/>
      <c r="DQ99" s="170"/>
      <c r="DR99" s="170"/>
      <c r="DS99" s="170"/>
      <c r="DT99" s="170"/>
      <c r="DU99" s="170"/>
      <c r="DV99" s="170"/>
      <c r="DW99" s="170"/>
      <c r="DX99" s="170"/>
      <c r="DY99" s="170"/>
      <c r="DZ99" s="170"/>
      <c r="EA99" s="170"/>
      <c r="EB99" s="170"/>
      <c r="EC99" s="170"/>
      <c r="ED99" s="170"/>
      <c r="EE99" s="170"/>
      <c r="EF99" s="170"/>
      <c r="EG99" s="170"/>
      <c r="EH99" s="170"/>
      <c r="EI99" s="170"/>
      <c r="EJ99" s="170"/>
      <c r="EK99" s="170"/>
      <c r="EL99" s="170"/>
      <c r="EM99" s="170"/>
      <c r="EN99" s="170"/>
      <c r="EO99" s="170"/>
      <c r="EP99" s="170"/>
      <c r="EQ99" s="170"/>
      <c r="ER99" s="170"/>
      <c r="ES99" s="173" t="s">
        <v>138</v>
      </c>
      <c r="ET99" s="173" t="s">
        <v>346</v>
      </c>
      <c r="EU99" s="27"/>
    </row>
    <row r="100" spans="1:151" s="33" customFormat="1" ht="15.9" customHeight="1" outlineLevel="2" x14ac:dyDescent="0.35">
      <c r="A100" s="104">
        <v>97</v>
      </c>
      <c r="B100" s="180" t="s">
        <v>351</v>
      </c>
      <c r="C100" s="34">
        <f t="shared" si="9"/>
        <v>15</v>
      </c>
      <c r="D100" s="109">
        <f>A35</f>
        <v>32</v>
      </c>
      <c r="K100" s="35">
        <v>45474</v>
      </c>
      <c r="L100" s="108">
        <v>45492</v>
      </c>
      <c r="M100" s="36">
        <v>1</v>
      </c>
      <c r="Q100" s="34"/>
      <c r="R100" s="34"/>
      <c r="S100" s="34"/>
      <c r="U100" s="32"/>
      <c r="V100" s="34"/>
      <c r="X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CE100" s="34"/>
      <c r="CF100" s="34"/>
      <c r="CG100" s="34"/>
      <c r="CH100" s="34"/>
      <c r="CI100" s="34"/>
      <c r="CJ100" s="34"/>
      <c r="CK100" s="34"/>
      <c r="CL100" s="34"/>
      <c r="ES100" s="36" t="s">
        <v>12</v>
      </c>
      <c r="ET100" s="36" t="s">
        <v>346</v>
      </c>
      <c r="EU100" s="36"/>
    </row>
    <row r="101" spans="1:151" s="24" customFormat="1" ht="15.9" customHeight="1" outlineLevel="2" x14ac:dyDescent="0.35">
      <c r="A101" s="104">
        <v>98</v>
      </c>
      <c r="B101" s="138" t="s">
        <v>148</v>
      </c>
      <c r="C101" s="25">
        <f t="shared" si="9"/>
        <v>20</v>
      </c>
      <c r="D101" s="25">
        <f>A35</f>
        <v>32</v>
      </c>
      <c r="E101" s="24">
        <v>32</v>
      </c>
      <c r="F101" s="24">
        <v>42</v>
      </c>
      <c r="G101" s="24">
        <v>240</v>
      </c>
      <c r="H101" s="24">
        <v>250</v>
      </c>
      <c r="I101" s="24">
        <v>208</v>
      </c>
      <c r="J101" s="24" t="b">
        <v>0</v>
      </c>
      <c r="K101" s="26">
        <v>45474</v>
      </c>
      <c r="L101" s="134">
        <v>45499</v>
      </c>
      <c r="M101" s="27">
        <v>0.5</v>
      </c>
      <c r="Q101" s="25"/>
      <c r="R101" s="25"/>
      <c r="S101" s="25"/>
      <c r="U101" s="23"/>
      <c r="V101" s="25"/>
      <c r="X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CE101" s="25"/>
      <c r="CF101" s="25"/>
      <c r="CG101" s="25"/>
      <c r="CH101" s="25"/>
      <c r="CI101" s="25"/>
      <c r="CJ101" s="25"/>
      <c r="CK101" s="25"/>
      <c r="CL101" s="25"/>
      <c r="ES101" s="27" t="s">
        <v>138</v>
      </c>
      <c r="ET101" s="27" t="s">
        <v>346</v>
      </c>
      <c r="EU101" s="131"/>
    </row>
    <row r="102" spans="1:151" s="33" customFormat="1" ht="15.9" customHeight="1" outlineLevel="2" x14ac:dyDescent="0.35">
      <c r="A102" s="104">
        <v>99</v>
      </c>
      <c r="B102" s="130" t="s">
        <v>314</v>
      </c>
      <c r="C102" s="34">
        <f t="shared" si="9"/>
        <v>90</v>
      </c>
      <c r="D102" s="109">
        <f>A101</f>
        <v>98</v>
      </c>
      <c r="E102" s="33">
        <v>32</v>
      </c>
      <c r="F102" s="33">
        <v>169</v>
      </c>
      <c r="G102" s="33">
        <v>190</v>
      </c>
      <c r="H102" s="33">
        <v>327</v>
      </c>
      <c r="I102" s="33">
        <v>158</v>
      </c>
      <c r="J102" s="33" t="b">
        <v>0</v>
      </c>
      <c r="K102" s="108">
        <v>45502</v>
      </c>
      <c r="L102" s="108">
        <v>45626</v>
      </c>
      <c r="M102" s="36">
        <v>0</v>
      </c>
      <c r="Q102" s="34"/>
      <c r="R102" s="34"/>
      <c r="S102" s="34"/>
      <c r="U102" s="32"/>
      <c r="V102" s="34"/>
      <c r="X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CE102" s="34"/>
      <c r="CF102" s="34"/>
      <c r="CG102" s="34"/>
      <c r="CH102" s="34"/>
      <c r="CI102" s="34"/>
      <c r="CJ102" s="34"/>
      <c r="CK102" s="34"/>
      <c r="CL102" s="34"/>
      <c r="ES102" s="36" t="s">
        <v>142</v>
      </c>
      <c r="ET102" s="36" t="s">
        <v>346</v>
      </c>
      <c r="EU102" s="36"/>
    </row>
    <row r="103" spans="1:151" s="24" customFormat="1" ht="15.9" customHeight="1" outlineLevel="2" x14ac:dyDescent="0.35">
      <c r="A103" s="104">
        <v>100</v>
      </c>
      <c r="B103" s="138" t="s">
        <v>315</v>
      </c>
      <c r="C103" s="25">
        <f t="shared" si="9"/>
        <v>90</v>
      </c>
      <c r="D103" s="139">
        <f>A101</f>
        <v>98</v>
      </c>
      <c r="K103" s="134">
        <v>45502</v>
      </c>
      <c r="L103" s="134">
        <v>45626</v>
      </c>
      <c r="M103" s="27">
        <v>0</v>
      </c>
      <c r="Q103" s="25"/>
      <c r="R103" s="25"/>
      <c r="S103" s="25"/>
      <c r="U103" s="23"/>
      <c r="V103" s="25"/>
      <c r="X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CE103" s="25"/>
      <c r="CF103" s="25"/>
      <c r="CG103" s="25"/>
      <c r="CH103" s="25"/>
      <c r="CI103" s="25"/>
      <c r="CJ103" s="25"/>
      <c r="CK103" s="25"/>
      <c r="CL103" s="25"/>
      <c r="ES103" s="27" t="s">
        <v>142</v>
      </c>
      <c r="ET103" s="27" t="s">
        <v>346</v>
      </c>
      <c r="EU103" s="27"/>
    </row>
    <row r="104" spans="1:151" s="33" customFormat="1" ht="15.9" customHeight="1" outlineLevel="2" x14ac:dyDescent="0.35">
      <c r="A104" s="104">
        <v>101</v>
      </c>
      <c r="B104" s="130" t="s">
        <v>316</v>
      </c>
      <c r="C104" s="34">
        <f t="shared" si="9"/>
        <v>90</v>
      </c>
      <c r="D104" s="109">
        <f>A101</f>
        <v>98</v>
      </c>
      <c r="K104" s="108">
        <v>45502</v>
      </c>
      <c r="L104" s="108">
        <v>45626</v>
      </c>
      <c r="M104" s="36">
        <v>0</v>
      </c>
      <c r="Q104" s="34"/>
      <c r="R104" s="34"/>
      <c r="S104" s="34"/>
      <c r="U104" s="32"/>
      <c r="V104" s="34"/>
      <c r="X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CE104" s="34"/>
      <c r="CF104" s="34"/>
      <c r="CG104" s="34"/>
      <c r="CH104" s="34"/>
      <c r="CI104" s="34"/>
      <c r="CJ104" s="34"/>
      <c r="CK104" s="34"/>
      <c r="CL104" s="34"/>
      <c r="ES104" s="36" t="s">
        <v>142</v>
      </c>
      <c r="ET104" s="36" t="s">
        <v>346</v>
      </c>
      <c r="EU104" s="36"/>
    </row>
    <row r="105" spans="1:151" s="24" customFormat="1" ht="15.9" customHeight="1" outlineLevel="1" x14ac:dyDescent="0.35">
      <c r="A105" s="104">
        <v>102</v>
      </c>
      <c r="B105" s="136" t="s">
        <v>323</v>
      </c>
      <c r="C105" s="25">
        <f t="shared" si="9"/>
        <v>17</v>
      </c>
      <c r="D105" s="25">
        <f>A101</f>
        <v>98</v>
      </c>
      <c r="K105" s="26">
        <v>45502</v>
      </c>
      <c r="L105" s="134">
        <v>45524</v>
      </c>
      <c r="M105" s="27">
        <v>0</v>
      </c>
      <c r="Q105" s="25"/>
      <c r="R105" s="25"/>
      <c r="S105" s="25"/>
      <c r="U105" s="23"/>
      <c r="V105" s="25"/>
      <c r="X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CE105" s="25"/>
      <c r="CF105" s="25"/>
      <c r="CG105" s="25"/>
      <c r="CH105" s="25"/>
      <c r="CI105" s="25"/>
      <c r="CJ105" s="25"/>
      <c r="CK105" s="25"/>
      <c r="CL105" s="25"/>
      <c r="ES105" s="27" t="s">
        <v>142</v>
      </c>
      <c r="ET105" s="27" t="s">
        <v>345</v>
      </c>
      <c r="EU105" s="25"/>
    </row>
    <row r="106" spans="1:151" s="33" customFormat="1" ht="15.9" customHeight="1" outlineLevel="1" x14ac:dyDescent="0.35">
      <c r="A106" s="104">
        <v>103</v>
      </c>
      <c r="B106" s="175" t="s">
        <v>350</v>
      </c>
      <c r="C106" s="155">
        <f t="shared" si="9"/>
        <v>29</v>
      </c>
      <c r="D106" s="155">
        <f>A105</f>
        <v>102</v>
      </c>
      <c r="E106" s="160">
        <v>43</v>
      </c>
      <c r="F106" s="160">
        <v>119</v>
      </c>
      <c r="G106" s="160">
        <v>251</v>
      </c>
      <c r="H106" s="160">
        <v>327</v>
      </c>
      <c r="I106" s="160">
        <v>208</v>
      </c>
      <c r="J106" s="160" t="b">
        <v>0</v>
      </c>
      <c r="K106" s="166">
        <v>45525</v>
      </c>
      <c r="L106" s="166">
        <v>45565</v>
      </c>
      <c r="M106" s="162">
        <v>0</v>
      </c>
      <c r="N106" s="160"/>
      <c r="O106" s="160"/>
      <c r="P106" s="160"/>
      <c r="Q106" s="155"/>
      <c r="R106" s="155"/>
      <c r="S106" s="155"/>
      <c r="T106" s="160"/>
      <c r="U106" s="161"/>
      <c r="V106" s="155"/>
      <c r="W106" s="160"/>
      <c r="X106" s="155"/>
      <c r="Y106" s="160"/>
      <c r="Z106" s="160"/>
      <c r="AA106" s="160"/>
      <c r="AB106" s="160"/>
      <c r="AC106" s="160"/>
      <c r="AD106" s="160"/>
      <c r="AE106" s="160"/>
      <c r="AF106" s="160"/>
      <c r="AG106" s="155"/>
      <c r="AH106" s="155"/>
      <c r="AI106" s="155"/>
      <c r="AJ106" s="155"/>
      <c r="AK106" s="155"/>
      <c r="AL106" s="155"/>
      <c r="AM106" s="155"/>
      <c r="AN106" s="155"/>
      <c r="AO106" s="155"/>
      <c r="AP106" s="155"/>
      <c r="AQ106" s="155"/>
      <c r="AR106" s="155"/>
      <c r="AS106" s="155"/>
      <c r="AT106" s="155"/>
      <c r="AU106" s="155"/>
      <c r="AV106" s="155"/>
      <c r="AW106" s="160"/>
      <c r="AX106" s="160"/>
      <c r="AY106" s="160"/>
      <c r="AZ106" s="160"/>
      <c r="BA106" s="160"/>
      <c r="BB106" s="160"/>
      <c r="BC106" s="160"/>
      <c r="BD106" s="160"/>
      <c r="BE106" s="160"/>
      <c r="BF106" s="160"/>
      <c r="BG106" s="160"/>
      <c r="BH106" s="160"/>
      <c r="BI106" s="160"/>
      <c r="BJ106" s="160"/>
      <c r="BK106" s="160"/>
      <c r="BL106" s="160"/>
      <c r="BM106" s="160"/>
      <c r="BN106" s="160"/>
      <c r="BO106" s="160"/>
      <c r="BP106" s="160"/>
      <c r="BQ106" s="160"/>
      <c r="BR106" s="160"/>
      <c r="BS106" s="160"/>
      <c r="BT106" s="160"/>
      <c r="BU106" s="160"/>
      <c r="BV106" s="160"/>
      <c r="BW106" s="160"/>
      <c r="BX106" s="160"/>
      <c r="BY106" s="160"/>
      <c r="BZ106" s="160"/>
      <c r="CA106" s="160"/>
      <c r="CB106" s="160"/>
      <c r="CC106" s="160"/>
      <c r="CD106" s="160"/>
      <c r="CE106" s="155"/>
      <c r="CF106" s="155"/>
      <c r="CG106" s="155"/>
      <c r="CH106" s="155"/>
      <c r="CI106" s="155"/>
      <c r="CJ106" s="155"/>
      <c r="CK106" s="155"/>
      <c r="CL106" s="155"/>
      <c r="CM106" s="160"/>
      <c r="CN106" s="160"/>
      <c r="CO106" s="160"/>
      <c r="CP106" s="160"/>
      <c r="CQ106" s="160"/>
      <c r="CR106" s="160"/>
      <c r="CS106" s="160"/>
      <c r="CT106" s="160"/>
      <c r="CU106" s="160"/>
      <c r="CV106" s="160"/>
      <c r="CW106" s="160"/>
      <c r="CX106" s="160"/>
      <c r="CY106" s="160"/>
      <c r="CZ106" s="160"/>
      <c r="DA106" s="160"/>
      <c r="DB106" s="160"/>
      <c r="DC106" s="160"/>
      <c r="DD106" s="160"/>
      <c r="DE106" s="160"/>
      <c r="DF106" s="160"/>
      <c r="DG106" s="160"/>
      <c r="DH106" s="160"/>
      <c r="DI106" s="160"/>
      <c r="DJ106" s="160"/>
      <c r="DK106" s="160"/>
      <c r="DL106" s="160"/>
      <c r="DM106" s="160"/>
      <c r="DN106" s="160"/>
      <c r="DO106" s="160"/>
      <c r="DP106" s="160"/>
      <c r="DQ106" s="160"/>
      <c r="DR106" s="160"/>
      <c r="DS106" s="160"/>
      <c r="DT106" s="160"/>
      <c r="DU106" s="160"/>
      <c r="DV106" s="160"/>
      <c r="DW106" s="160"/>
      <c r="DX106" s="160"/>
      <c r="DY106" s="160"/>
      <c r="DZ106" s="160"/>
      <c r="EA106" s="160"/>
      <c r="EB106" s="160"/>
      <c r="EC106" s="160"/>
      <c r="ED106" s="160"/>
      <c r="EE106" s="160"/>
      <c r="EF106" s="160"/>
      <c r="EG106" s="160"/>
      <c r="EH106" s="160"/>
      <c r="EI106" s="160"/>
      <c r="EJ106" s="160"/>
      <c r="EK106" s="160"/>
      <c r="EL106" s="160"/>
      <c r="EM106" s="160"/>
      <c r="EN106" s="160"/>
      <c r="EO106" s="160"/>
      <c r="EP106" s="160"/>
      <c r="EQ106" s="160"/>
      <c r="ER106" s="160"/>
      <c r="ES106" s="162" t="s">
        <v>142</v>
      </c>
      <c r="ET106" s="162" t="s">
        <v>345</v>
      </c>
      <c r="EU106" s="36"/>
    </row>
    <row r="107" spans="1:151" s="24" customFormat="1" ht="15.9" customHeight="1" x14ac:dyDescent="0.35">
      <c r="A107" s="104">
        <v>104</v>
      </c>
      <c r="B107" s="135" t="s">
        <v>304</v>
      </c>
      <c r="C107" s="25">
        <f t="shared" ref="C107:C110" si="14">NETWORKDAYS(K107,L107)</f>
        <v>235</v>
      </c>
      <c r="D107" s="25">
        <f>A3</f>
        <v>0</v>
      </c>
      <c r="E107" s="24">
        <v>1</v>
      </c>
      <c r="F107" s="24">
        <v>4</v>
      </c>
      <c r="G107" s="24">
        <v>188</v>
      </c>
      <c r="H107" s="24">
        <v>191</v>
      </c>
      <c r="I107" s="24">
        <v>187</v>
      </c>
      <c r="J107" s="24" t="b">
        <v>0</v>
      </c>
      <c r="K107" s="137">
        <v>45299</v>
      </c>
      <c r="L107" s="26">
        <v>45626</v>
      </c>
      <c r="M107" s="146">
        <v>0.5</v>
      </c>
      <c r="Q107" s="25"/>
      <c r="R107" s="25"/>
      <c r="S107" s="25"/>
      <c r="U107" s="23"/>
      <c r="V107" s="25"/>
      <c r="X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CE107" s="25"/>
      <c r="CF107" s="25"/>
      <c r="CG107" s="25"/>
      <c r="CH107" s="25"/>
      <c r="CI107" s="25"/>
      <c r="CJ107" s="25"/>
      <c r="CK107" s="25"/>
      <c r="CL107" s="25"/>
      <c r="ES107" s="146" t="s">
        <v>138</v>
      </c>
      <c r="ET107" s="146" t="s">
        <v>345</v>
      </c>
      <c r="EU107" s="27"/>
    </row>
    <row r="108" spans="1:151" s="33" customFormat="1" ht="15.9" customHeight="1" outlineLevel="1" x14ac:dyDescent="0.35">
      <c r="A108" s="104">
        <v>105</v>
      </c>
      <c r="B108" s="124" t="s">
        <v>140</v>
      </c>
      <c r="C108" s="34">
        <f t="shared" si="14"/>
        <v>113</v>
      </c>
      <c r="D108" s="34">
        <f>A3</f>
        <v>0</v>
      </c>
      <c r="E108" s="33">
        <v>1</v>
      </c>
      <c r="F108" s="33">
        <v>4</v>
      </c>
      <c r="G108" s="33">
        <v>188</v>
      </c>
      <c r="H108" s="33">
        <v>191</v>
      </c>
      <c r="I108" s="33">
        <v>187</v>
      </c>
      <c r="J108" s="33" t="b">
        <v>0</v>
      </c>
      <c r="K108" s="114">
        <v>45299</v>
      </c>
      <c r="L108" s="35">
        <v>45455</v>
      </c>
      <c r="M108" s="36">
        <v>0.5</v>
      </c>
      <c r="Q108" s="34"/>
      <c r="R108" s="34"/>
      <c r="S108" s="34"/>
      <c r="U108" s="32"/>
      <c r="V108" s="34"/>
      <c r="X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CE108" s="34"/>
      <c r="CF108" s="34"/>
      <c r="CG108" s="34"/>
      <c r="CH108" s="34"/>
      <c r="CI108" s="34"/>
      <c r="CJ108" s="34"/>
      <c r="CK108" s="34"/>
      <c r="CL108" s="34"/>
      <c r="ES108" s="36" t="s">
        <v>138</v>
      </c>
      <c r="ET108" s="36" t="s">
        <v>345</v>
      </c>
      <c r="EU108" s="36"/>
    </row>
    <row r="109" spans="1:151" s="24" customFormat="1" ht="15.9" customHeight="1" outlineLevel="1" x14ac:dyDescent="0.35">
      <c r="A109" s="104">
        <v>106</v>
      </c>
      <c r="B109" s="177" t="s">
        <v>343</v>
      </c>
      <c r="C109" s="25">
        <f t="shared" si="14"/>
        <v>123</v>
      </c>
      <c r="D109" s="25">
        <f>A108</f>
        <v>105</v>
      </c>
      <c r="K109" s="26">
        <v>45455</v>
      </c>
      <c r="L109" s="26">
        <v>45626</v>
      </c>
      <c r="M109" s="27">
        <v>0.1</v>
      </c>
      <c r="Q109" s="25"/>
      <c r="R109" s="25"/>
      <c r="S109" s="25"/>
      <c r="U109" s="23"/>
      <c r="V109" s="25"/>
      <c r="X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CE109" s="25"/>
      <c r="CF109" s="25"/>
      <c r="CG109" s="25"/>
      <c r="CH109" s="25"/>
      <c r="CI109" s="25"/>
      <c r="CJ109" s="25"/>
      <c r="CK109" s="25"/>
      <c r="CL109" s="25"/>
      <c r="ES109" s="27" t="s">
        <v>138</v>
      </c>
      <c r="ET109" s="27" t="s">
        <v>345</v>
      </c>
      <c r="EU109" s="27"/>
    </row>
    <row r="110" spans="1:151" s="33" customFormat="1" ht="15.9" customHeight="1" outlineLevel="2" x14ac:dyDescent="0.35">
      <c r="A110" s="104">
        <v>107</v>
      </c>
      <c r="B110" s="130" t="s">
        <v>141</v>
      </c>
      <c r="C110" s="34">
        <f t="shared" si="14"/>
        <v>28</v>
      </c>
      <c r="D110" s="109">
        <f>A108</f>
        <v>105</v>
      </c>
      <c r="E110" s="33">
        <v>5</v>
      </c>
      <c r="F110" s="33">
        <v>20</v>
      </c>
      <c r="G110" s="33">
        <v>163</v>
      </c>
      <c r="H110" s="33">
        <v>178</v>
      </c>
      <c r="I110" s="33">
        <v>158</v>
      </c>
      <c r="J110" s="33" t="b">
        <v>0</v>
      </c>
      <c r="K110" s="35">
        <v>45455</v>
      </c>
      <c r="L110" s="110">
        <v>45492</v>
      </c>
      <c r="M110" s="36">
        <v>0.5</v>
      </c>
      <c r="Q110" s="34"/>
      <c r="R110" s="34"/>
      <c r="S110" s="34"/>
      <c r="U110" s="32"/>
      <c r="V110" s="34"/>
      <c r="X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CE110" s="34"/>
      <c r="CF110" s="34"/>
      <c r="CG110" s="34"/>
      <c r="CH110" s="34"/>
      <c r="CI110" s="34"/>
      <c r="CJ110" s="34"/>
      <c r="CK110" s="34"/>
      <c r="CL110" s="34"/>
      <c r="ES110" s="36" t="s">
        <v>138</v>
      </c>
      <c r="ET110" s="36" t="s">
        <v>162</v>
      </c>
      <c r="EU110" s="36"/>
    </row>
    <row r="111" spans="1:151" s="24" customFormat="1" ht="15.9" customHeight="1" outlineLevel="2" x14ac:dyDescent="0.35">
      <c r="A111" s="104">
        <v>108</v>
      </c>
      <c r="B111" s="167" t="s">
        <v>341</v>
      </c>
      <c r="C111" s="168">
        <f t="shared" si="9"/>
        <v>5</v>
      </c>
      <c r="D111" s="168">
        <f>A110</f>
        <v>107</v>
      </c>
      <c r="E111" s="170">
        <v>5</v>
      </c>
      <c r="F111" s="170">
        <v>8</v>
      </c>
      <c r="G111" s="170">
        <v>186</v>
      </c>
      <c r="H111" s="170">
        <v>189</v>
      </c>
      <c r="I111" s="170">
        <v>181</v>
      </c>
      <c r="J111" s="170" t="b">
        <v>0</v>
      </c>
      <c r="K111" s="172">
        <v>45495</v>
      </c>
      <c r="L111" s="172">
        <v>45499</v>
      </c>
      <c r="M111" s="173">
        <v>0.5</v>
      </c>
      <c r="N111" s="170"/>
      <c r="O111" s="170"/>
      <c r="P111" s="170"/>
      <c r="Q111" s="168"/>
      <c r="R111" s="168"/>
      <c r="S111" s="168"/>
      <c r="T111" s="170"/>
      <c r="U111" s="174"/>
      <c r="V111" s="168"/>
      <c r="W111" s="170"/>
      <c r="X111" s="168"/>
      <c r="Y111" s="170"/>
      <c r="Z111" s="170"/>
      <c r="AA111" s="170"/>
      <c r="AB111" s="170"/>
      <c r="AC111" s="170"/>
      <c r="AD111" s="170"/>
      <c r="AE111" s="170"/>
      <c r="AF111" s="170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  <c r="AT111" s="168"/>
      <c r="AU111" s="168"/>
      <c r="AV111" s="168"/>
      <c r="AW111" s="170"/>
      <c r="AX111" s="170"/>
      <c r="AY111" s="170"/>
      <c r="AZ111" s="170"/>
      <c r="BA111" s="170"/>
      <c r="BB111" s="170"/>
      <c r="BC111" s="170"/>
      <c r="BD111" s="170"/>
      <c r="BE111" s="170"/>
      <c r="BF111" s="170"/>
      <c r="BG111" s="170"/>
      <c r="BH111" s="170"/>
      <c r="BI111" s="170"/>
      <c r="BJ111" s="170"/>
      <c r="BK111" s="170"/>
      <c r="BL111" s="170"/>
      <c r="BM111" s="170"/>
      <c r="BN111" s="170"/>
      <c r="BO111" s="170"/>
      <c r="BP111" s="170"/>
      <c r="BQ111" s="170"/>
      <c r="BR111" s="170"/>
      <c r="BS111" s="170"/>
      <c r="BT111" s="170"/>
      <c r="BU111" s="170"/>
      <c r="BV111" s="170"/>
      <c r="BW111" s="170"/>
      <c r="BX111" s="170"/>
      <c r="BY111" s="170"/>
      <c r="BZ111" s="170"/>
      <c r="CA111" s="170"/>
      <c r="CB111" s="170"/>
      <c r="CC111" s="170"/>
      <c r="CD111" s="170"/>
      <c r="CE111" s="168"/>
      <c r="CF111" s="168"/>
      <c r="CG111" s="168"/>
      <c r="CH111" s="168"/>
      <c r="CI111" s="168"/>
      <c r="CJ111" s="168"/>
      <c r="CK111" s="168"/>
      <c r="CL111" s="168"/>
      <c r="CM111" s="170"/>
      <c r="CN111" s="170"/>
      <c r="CO111" s="170"/>
      <c r="CP111" s="170"/>
      <c r="CQ111" s="170"/>
      <c r="CR111" s="170"/>
      <c r="CS111" s="170"/>
      <c r="CT111" s="170"/>
      <c r="CU111" s="170"/>
      <c r="CV111" s="170"/>
      <c r="CW111" s="170"/>
      <c r="CX111" s="170"/>
      <c r="CY111" s="170"/>
      <c r="CZ111" s="170"/>
      <c r="DA111" s="170"/>
      <c r="DB111" s="170"/>
      <c r="DC111" s="170"/>
      <c r="DD111" s="170"/>
      <c r="DE111" s="170"/>
      <c r="DF111" s="170"/>
      <c r="DG111" s="170"/>
      <c r="DH111" s="170"/>
      <c r="DI111" s="170"/>
      <c r="DJ111" s="170"/>
      <c r="DK111" s="170"/>
      <c r="DL111" s="170"/>
      <c r="DM111" s="170"/>
      <c r="DN111" s="170"/>
      <c r="DO111" s="170"/>
      <c r="DP111" s="170"/>
      <c r="DQ111" s="170"/>
      <c r="DR111" s="170"/>
      <c r="DS111" s="170"/>
      <c r="DT111" s="170"/>
      <c r="DU111" s="170"/>
      <c r="DV111" s="170"/>
      <c r="DW111" s="170"/>
      <c r="DX111" s="170"/>
      <c r="DY111" s="170"/>
      <c r="DZ111" s="170"/>
      <c r="EA111" s="170"/>
      <c r="EB111" s="170"/>
      <c r="EC111" s="170"/>
      <c r="ED111" s="170"/>
      <c r="EE111" s="170"/>
      <c r="EF111" s="170"/>
      <c r="EG111" s="170"/>
      <c r="EH111" s="170"/>
      <c r="EI111" s="170"/>
      <c r="EJ111" s="170"/>
      <c r="EK111" s="170"/>
      <c r="EL111" s="170"/>
      <c r="EM111" s="170"/>
      <c r="EN111" s="170"/>
      <c r="EO111" s="170"/>
      <c r="EP111" s="170"/>
      <c r="EQ111" s="170"/>
      <c r="ER111" s="170"/>
      <c r="ES111" s="173" t="s">
        <v>138</v>
      </c>
      <c r="ET111" s="173" t="s">
        <v>345</v>
      </c>
      <c r="EU111" s="27"/>
    </row>
    <row r="112" spans="1:151" s="33" customFormat="1" ht="15.9" customHeight="1" outlineLevel="2" x14ac:dyDescent="0.35">
      <c r="A112" s="104">
        <v>109</v>
      </c>
      <c r="B112" s="163" t="s">
        <v>353</v>
      </c>
      <c r="C112" s="155">
        <f t="shared" ref="C112:C113" si="15">NETWORKDAYS(K112,L112)</f>
        <v>5</v>
      </c>
      <c r="D112" s="155">
        <f>A110</f>
        <v>107</v>
      </c>
      <c r="E112" s="160">
        <v>5</v>
      </c>
      <c r="F112" s="160">
        <v>8</v>
      </c>
      <c r="G112" s="160">
        <v>186</v>
      </c>
      <c r="H112" s="160">
        <v>189</v>
      </c>
      <c r="I112" s="160">
        <v>181</v>
      </c>
      <c r="J112" s="160" t="b">
        <v>0</v>
      </c>
      <c r="K112" s="166">
        <v>45495</v>
      </c>
      <c r="L112" s="166">
        <v>45499</v>
      </c>
      <c r="M112" s="162">
        <v>0.5</v>
      </c>
      <c r="N112" s="160"/>
      <c r="O112" s="160"/>
      <c r="P112" s="160"/>
      <c r="Q112" s="155"/>
      <c r="R112" s="155"/>
      <c r="S112" s="155"/>
      <c r="T112" s="160"/>
      <c r="U112" s="161"/>
      <c r="V112" s="155"/>
      <c r="W112" s="160"/>
      <c r="X112" s="155"/>
      <c r="Y112" s="160"/>
      <c r="Z112" s="160"/>
      <c r="AA112" s="160"/>
      <c r="AB112" s="160"/>
      <c r="AC112" s="160"/>
      <c r="AD112" s="160"/>
      <c r="AE112" s="160"/>
      <c r="AF112" s="160"/>
      <c r="AG112" s="155"/>
      <c r="AH112" s="155"/>
      <c r="AI112" s="155"/>
      <c r="AJ112" s="155"/>
      <c r="AK112" s="155"/>
      <c r="AL112" s="155"/>
      <c r="AM112" s="155"/>
      <c r="AN112" s="155"/>
      <c r="AO112" s="155"/>
      <c r="AP112" s="155"/>
      <c r="AQ112" s="155"/>
      <c r="AR112" s="155"/>
      <c r="AS112" s="155"/>
      <c r="AT112" s="155"/>
      <c r="AU112" s="155"/>
      <c r="AV112" s="155"/>
      <c r="AW112" s="160"/>
      <c r="AX112" s="160"/>
      <c r="AY112" s="160"/>
      <c r="AZ112" s="160"/>
      <c r="BA112" s="160"/>
      <c r="BB112" s="160"/>
      <c r="BC112" s="160"/>
      <c r="BD112" s="160"/>
      <c r="BE112" s="160"/>
      <c r="BF112" s="160"/>
      <c r="BG112" s="160"/>
      <c r="BH112" s="160"/>
      <c r="BI112" s="160"/>
      <c r="BJ112" s="160"/>
      <c r="BK112" s="160"/>
      <c r="BL112" s="160"/>
      <c r="BM112" s="160"/>
      <c r="BN112" s="160"/>
      <c r="BO112" s="160"/>
      <c r="BP112" s="160"/>
      <c r="BQ112" s="160"/>
      <c r="BR112" s="160"/>
      <c r="BS112" s="160"/>
      <c r="BT112" s="160"/>
      <c r="BU112" s="160"/>
      <c r="BV112" s="160"/>
      <c r="BW112" s="160"/>
      <c r="BX112" s="160"/>
      <c r="BY112" s="160"/>
      <c r="BZ112" s="160"/>
      <c r="CA112" s="160"/>
      <c r="CB112" s="160"/>
      <c r="CC112" s="160"/>
      <c r="CD112" s="160"/>
      <c r="CE112" s="155"/>
      <c r="CF112" s="155"/>
      <c r="CG112" s="155"/>
      <c r="CH112" s="155"/>
      <c r="CI112" s="155"/>
      <c r="CJ112" s="155"/>
      <c r="CK112" s="155"/>
      <c r="CL112" s="155"/>
      <c r="CM112" s="160"/>
      <c r="CN112" s="160"/>
      <c r="CO112" s="160"/>
      <c r="CP112" s="160"/>
      <c r="CQ112" s="160"/>
      <c r="CR112" s="160"/>
      <c r="CS112" s="160"/>
      <c r="CT112" s="160"/>
      <c r="CU112" s="160"/>
      <c r="CV112" s="160"/>
      <c r="CW112" s="160"/>
      <c r="CX112" s="160"/>
      <c r="CY112" s="160"/>
      <c r="CZ112" s="160"/>
      <c r="DA112" s="160"/>
      <c r="DB112" s="160"/>
      <c r="DC112" s="160"/>
      <c r="DD112" s="160"/>
      <c r="DE112" s="160"/>
      <c r="DF112" s="160"/>
      <c r="DG112" s="160"/>
      <c r="DH112" s="160"/>
      <c r="DI112" s="160"/>
      <c r="DJ112" s="160"/>
      <c r="DK112" s="160"/>
      <c r="DL112" s="160"/>
      <c r="DM112" s="160"/>
      <c r="DN112" s="160"/>
      <c r="DO112" s="160"/>
      <c r="DP112" s="160"/>
      <c r="DQ112" s="160"/>
      <c r="DR112" s="160"/>
      <c r="DS112" s="160"/>
      <c r="DT112" s="160"/>
      <c r="DU112" s="160"/>
      <c r="DV112" s="160"/>
      <c r="DW112" s="160"/>
      <c r="DX112" s="160"/>
      <c r="DY112" s="160"/>
      <c r="DZ112" s="160"/>
      <c r="EA112" s="160"/>
      <c r="EB112" s="160"/>
      <c r="EC112" s="160"/>
      <c r="ED112" s="160"/>
      <c r="EE112" s="160"/>
      <c r="EF112" s="160"/>
      <c r="EG112" s="160"/>
      <c r="EH112" s="160"/>
      <c r="EI112" s="160"/>
      <c r="EJ112" s="160"/>
      <c r="EK112" s="160"/>
      <c r="EL112" s="160"/>
      <c r="EM112" s="160"/>
      <c r="EN112" s="160"/>
      <c r="EO112" s="160"/>
      <c r="EP112" s="160"/>
      <c r="EQ112" s="160"/>
      <c r="ER112" s="160"/>
      <c r="ES112" s="162" t="s">
        <v>138</v>
      </c>
      <c r="ET112" s="162" t="s">
        <v>345</v>
      </c>
      <c r="EU112" s="36"/>
    </row>
    <row r="113" spans="1:151" s="33" customFormat="1" ht="15.9" customHeight="1" outlineLevel="2" x14ac:dyDescent="0.35">
      <c r="A113" s="104">
        <v>110</v>
      </c>
      <c r="B113" s="163" t="s">
        <v>356</v>
      </c>
      <c r="C113" s="155">
        <f t="shared" si="15"/>
        <v>5</v>
      </c>
      <c r="D113" s="155">
        <f>A112</f>
        <v>109</v>
      </c>
      <c r="E113" s="160"/>
      <c r="F113" s="160"/>
      <c r="G113" s="160"/>
      <c r="H113" s="160"/>
      <c r="I113" s="160"/>
      <c r="J113" s="160"/>
      <c r="K113" s="166">
        <v>45502</v>
      </c>
      <c r="L113" s="166">
        <v>45506</v>
      </c>
      <c r="M113" s="162">
        <v>0</v>
      </c>
      <c r="N113" s="160"/>
      <c r="O113" s="160"/>
      <c r="P113" s="160"/>
      <c r="Q113" s="155"/>
      <c r="R113" s="155"/>
      <c r="S113" s="155"/>
      <c r="T113" s="160"/>
      <c r="U113" s="161"/>
      <c r="V113" s="155"/>
      <c r="W113" s="160"/>
      <c r="X113" s="155"/>
      <c r="Y113" s="160"/>
      <c r="Z113" s="160"/>
      <c r="AA113" s="160"/>
      <c r="AB113" s="160"/>
      <c r="AC113" s="160"/>
      <c r="AD113" s="160"/>
      <c r="AE113" s="160"/>
      <c r="AF113" s="160"/>
      <c r="AG113" s="155"/>
      <c r="AH113" s="155"/>
      <c r="AI113" s="155"/>
      <c r="AJ113" s="155"/>
      <c r="AK113" s="155"/>
      <c r="AL113" s="155"/>
      <c r="AM113" s="155"/>
      <c r="AN113" s="155"/>
      <c r="AO113" s="155"/>
      <c r="AP113" s="155"/>
      <c r="AQ113" s="155"/>
      <c r="AR113" s="155"/>
      <c r="AS113" s="155"/>
      <c r="AT113" s="155"/>
      <c r="AU113" s="155"/>
      <c r="AV113" s="155"/>
      <c r="AW113" s="160"/>
      <c r="AX113" s="160"/>
      <c r="AY113" s="160"/>
      <c r="AZ113" s="160"/>
      <c r="BA113" s="160"/>
      <c r="BB113" s="160"/>
      <c r="BC113" s="160"/>
      <c r="BD113" s="160"/>
      <c r="BE113" s="160"/>
      <c r="BF113" s="160"/>
      <c r="BG113" s="160"/>
      <c r="BH113" s="160"/>
      <c r="BI113" s="160"/>
      <c r="BJ113" s="160"/>
      <c r="BK113" s="160"/>
      <c r="BL113" s="160"/>
      <c r="BM113" s="160"/>
      <c r="BN113" s="160"/>
      <c r="BO113" s="160"/>
      <c r="BP113" s="160"/>
      <c r="BQ113" s="160"/>
      <c r="BR113" s="160"/>
      <c r="BS113" s="160"/>
      <c r="BT113" s="160"/>
      <c r="BU113" s="160"/>
      <c r="BV113" s="160"/>
      <c r="BW113" s="160"/>
      <c r="BX113" s="160"/>
      <c r="BY113" s="160"/>
      <c r="BZ113" s="160"/>
      <c r="CA113" s="160"/>
      <c r="CB113" s="160"/>
      <c r="CC113" s="160"/>
      <c r="CD113" s="160"/>
      <c r="CE113" s="155"/>
      <c r="CF113" s="155"/>
      <c r="CG113" s="155"/>
      <c r="CH113" s="155"/>
      <c r="CI113" s="155"/>
      <c r="CJ113" s="155"/>
      <c r="CK113" s="155"/>
      <c r="CL113" s="155"/>
      <c r="CM113" s="160"/>
      <c r="CN113" s="160"/>
      <c r="CO113" s="160"/>
      <c r="CP113" s="160"/>
      <c r="CQ113" s="160"/>
      <c r="CR113" s="160"/>
      <c r="CS113" s="160"/>
      <c r="CT113" s="160"/>
      <c r="CU113" s="160"/>
      <c r="CV113" s="160"/>
      <c r="CW113" s="160"/>
      <c r="CX113" s="160"/>
      <c r="CY113" s="160"/>
      <c r="CZ113" s="160"/>
      <c r="DA113" s="160"/>
      <c r="DB113" s="160"/>
      <c r="DC113" s="160"/>
      <c r="DD113" s="160"/>
      <c r="DE113" s="160"/>
      <c r="DF113" s="160"/>
      <c r="DG113" s="160"/>
      <c r="DH113" s="160"/>
      <c r="DI113" s="160"/>
      <c r="DJ113" s="160"/>
      <c r="DK113" s="160"/>
      <c r="DL113" s="160"/>
      <c r="DM113" s="160"/>
      <c r="DN113" s="160"/>
      <c r="DO113" s="160"/>
      <c r="DP113" s="160"/>
      <c r="DQ113" s="160"/>
      <c r="DR113" s="160"/>
      <c r="DS113" s="160"/>
      <c r="DT113" s="160"/>
      <c r="DU113" s="160"/>
      <c r="DV113" s="160"/>
      <c r="DW113" s="160"/>
      <c r="DX113" s="160"/>
      <c r="DY113" s="160"/>
      <c r="DZ113" s="160"/>
      <c r="EA113" s="160"/>
      <c r="EB113" s="160"/>
      <c r="EC113" s="160"/>
      <c r="ED113" s="160"/>
      <c r="EE113" s="160"/>
      <c r="EF113" s="160"/>
      <c r="EG113" s="160"/>
      <c r="EH113" s="160"/>
      <c r="EI113" s="160"/>
      <c r="EJ113" s="160"/>
      <c r="EK113" s="160"/>
      <c r="EL113" s="160"/>
      <c r="EM113" s="160"/>
      <c r="EN113" s="160"/>
      <c r="EO113" s="160"/>
      <c r="EP113" s="160"/>
      <c r="EQ113" s="160"/>
      <c r="ER113" s="160"/>
      <c r="ES113" s="36" t="s">
        <v>142</v>
      </c>
      <c r="ET113" s="36" t="s">
        <v>345</v>
      </c>
      <c r="EU113" s="36"/>
    </row>
    <row r="114" spans="1:151" s="24" customFormat="1" ht="15.9" customHeight="1" outlineLevel="2" x14ac:dyDescent="0.35">
      <c r="A114" s="104">
        <v>111</v>
      </c>
      <c r="B114" s="138" t="s">
        <v>148</v>
      </c>
      <c r="C114" s="25">
        <f t="shared" si="9"/>
        <v>5</v>
      </c>
      <c r="D114" s="25">
        <f>A110</f>
        <v>107</v>
      </c>
      <c r="E114" s="24">
        <v>5</v>
      </c>
      <c r="F114" s="24">
        <v>8</v>
      </c>
      <c r="G114" s="24">
        <v>186</v>
      </c>
      <c r="H114" s="24">
        <v>189</v>
      </c>
      <c r="I114" s="24">
        <v>181</v>
      </c>
      <c r="J114" s="24" t="b">
        <v>0</v>
      </c>
      <c r="K114" s="134">
        <v>45495</v>
      </c>
      <c r="L114" s="134">
        <v>45499</v>
      </c>
      <c r="M114" s="27">
        <v>0.5</v>
      </c>
      <c r="Q114" s="25"/>
      <c r="R114" s="25"/>
      <c r="S114" s="25"/>
      <c r="U114" s="23"/>
      <c r="V114" s="25"/>
      <c r="X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CE114" s="25"/>
      <c r="CF114" s="25"/>
      <c r="CG114" s="25"/>
      <c r="CH114" s="25"/>
      <c r="CI114" s="25"/>
      <c r="CJ114" s="25"/>
      <c r="CK114" s="25"/>
      <c r="CL114" s="25"/>
      <c r="ES114" s="27" t="s">
        <v>138</v>
      </c>
      <c r="ET114" s="27" t="s">
        <v>345</v>
      </c>
      <c r="EU114" s="27"/>
    </row>
    <row r="115" spans="1:151" s="33" customFormat="1" ht="15.9" customHeight="1" outlineLevel="2" x14ac:dyDescent="0.35">
      <c r="A115" s="104">
        <v>112</v>
      </c>
      <c r="B115" s="130" t="s">
        <v>342</v>
      </c>
      <c r="C115" s="34">
        <f t="shared" si="9"/>
        <v>90</v>
      </c>
      <c r="D115" s="34">
        <f>A114</f>
        <v>111</v>
      </c>
      <c r="E115" s="33">
        <v>9</v>
      </c>
      <c r="F115" s="33">
        <v>146</v>
      </c>
      <c r="G115" s="33">
        <v>190</v>
      </c>
      <c r="H115" s="33">
        <v>327</v>
      </c>
      <c r="I115" s="33">
        <v>181</v>
      </c>
      <c r="J115" s="33" t="b">
        <v>0</v>
      </c>
      <c r="K115" s="35">
        <v>45502</v>
      </c>
      <c r="L115" s="108">
        <v>45626</v>
      </c>
      <c r="M115" s="36">
        <v>0</v>
      </c>
      <c r="Q115" s="34"/>
      <c r="R115" s="34"/>
      <c r="S115" s="34"/>
      <c r="U115" s="32"/>
      <c r="V115" s="34"/>
      <c r="X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CE115" s="34"/>
      <c r="CF115" s="34"/>
      <c r="CG115" s="34"/>
      <c r="CH115" s="34"/>
      <c r="CI115" s="34"/>
      <c r="CJ115" s="34"/>
      <c r="CK115" s="34"/>
      <c r="CL115" s="34"/>
      <c r="ES115" s="36" t="s">
        <v>142</v>
      </c>
      <c r="ET115" s="36" t="s">
        <v>345</v>
      </c>
      <c r="EU115" s="34"/>
    </row>
    <row r="116" spans="1:151" s="24" customFormat="1" ht="15.9" customHeight="1" outlineLevel="2" x14ac:dyDescent="0.35">
      <c r="A116" s="104">
        <v>113</v>
      </c>
      <c r="B116" s="138" t="s">
        <v>354</v>
      </c>
      <c r="C116" s="25">
        <f t="shared" ref="C116" si="16">NETWORKDAYS(K116,L116)</f>
        <v>90</v>
      </c>
      <c r="D116" s="25">
        <f>A114</f>
        <v>111</v>
      </c>
      <c r="E116" s="24">
        <v>9</v>
      </c>
      <c r="F116" s="24">
        <v>146</v>
      </c>
      <c r="G116" s="24">
        <v>190</v>
      </c>
      <c r="H116" s="24">
        <v>327</v>
      </c>
      <c r="I116" s="24">
        <v>181</v>
      </c>
      <c r="J116" s="24" t="b">
        <v>0</v>
      </c>
      <c r="K116" s="26">
        <v>45502</v>
      </c>
      <c r="L116" s="134">
        <v>45626</v>
      </c>
      <c r="M116" s="27">
        <v>0</v>
      </c>
      <c r="Q116" s="25"/>
      <c r="R116" s="25"/>
      <c r="S116" s="25"/>
      <c r="U116" s="23"/>
      <c r="V116" s="25"/>
      <c r="X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CE116" s="25"/>
      <c r="CF116" s="25"/>
      <c r="CG116" s="25"/>
      <c r="CH116" s="25"/>
      <c r="CI116" s="25"/>
      <c r="CJ116" s="25"/>
      <c r="CK116" s="25"/>
      <c r="CL116" s="25"/>
      <c r="ES116" s="27" t="s">
        <v>142</v>
      </c>
      <c r="ET116" s="27" t="s">
        <v>345</v>
      </c>
      <c r="EU116" s="25"/>
    </row>
    <row r="117" spans="1:151" s="33" customFormat="1" ht="15.9" customHeight="1" outlineLevel="1" x14ac:dyDescent="0.35">
      <c r="A117" s="104">
        <v>114</v>
      </c>
      <c r="B117" s="124" t="s">
        <v>323</v>
      </c>
      <c r="C117" s="34">
        <f t="shared" ref="C117" si="17">NETWORKDAYS(K117,L117)</f>
        <v>17</v>
      </c>
      <c r="D117" s="34">
        <f>A114</f>
        <v>111</v>
      </c>
      <c r="K117" s="35">
        <v>45502</v>
      </c>
      <c r="L117" s="108">
        <v>45524</v>
      </c>
      <c r="M117" s="36">
        <v>0</v>
      </c>
      <c r="Q117" s="34"/>
      <c r="R117" s="34"/>
      <c r="S117" s="34"/>
      <c r="U117" s="32"/>
      <c r="V117" s="34"/>
      <c r="X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CE117" s="34"/>
      <c r="CF117" s="34"/>
      <c r="CG117" s="34"/>
      <c r="CH117" s="34"/>
      <c r="CI117" s="34"/>
      <c r="CJ117" s="34"/>
      <c r="CK117" s="34"/>
      <c r="CL117" s="34"/>
      <c r="ES117" s="36" t="s">
        <v>142</v>
      </c>
      <c r="ET117" s="36" t="s">
        <v>345</v>
      </c>
      <c r="EU117" s="34"/>
    </row>
    <row r="118" spans="1:151" s="24" customFormat="1" outlineLevel="1" x14ac:dyDescent="0.35">
      <c r="A118" s="104">
        <v>115</v>
      </c>
      <c r="B118" s="175" t="s">
        <v>350</v>
      </c>
      <c r="C118" s="168">
        <f t="shared" si="9"/>
        <v>29</v>
      </c>
      <c r="D118" s="168">
        <f>A117</f>
        <v>114</v>
      </c>
      <c r="E118" s="170">
        <v>9</v>
      </c>
      <c r="F118" s="170">
        <v>85</v>
      </c>
      <c r="G118" s="170">
        <v>251</v>
      </c>
      <c r="H118" s="170">
        <v>327</v>
      </c>
      <c r="I118" s="170">
        <v>242</v>
      </c>
      <c r="J118" s="170" t="b">
        <v>0</v>
      </c>
      <c r="K118" s="171">
        <v>45525</v>
      </c>
      <c r="L118" s="172">
        <v>45565</v>
      </c>
      <c r="M118" s="173">
        <v>0</v>
      </c>
      <c r="N118" s="170"/>
      <c r="O118" s="170"/>
      <c r="P118" s="170"/>
      <c r="Q118" s="168"/>
      <c r="R118" s="168"/>
      <c r="S118" s="168"/>
      <c r="T118" s="170"/>
      <c r="U118" s="174"/>
      <c r="V118" s="168"/>
      <c r="W118" s="170"/>
      <c r="X118" s="168"/>
      <c r="Y118" s="170"/>
      <c r="Z118" s="170"/>
      <c r="AA118" s="170"/>
      <c r="AB118" s="170"/>
      <c r="AC118" s="170"/>
      <c r="AD118" s="170"/>
      <c r="AE118" s="170"/>
      <c r="AF118" s="170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  <c r="AT118" s="168"/>
      <c r="AU118" s="168"/>
      <c r="AV118" s="168"/>
      <c r="AW118" s="170"/>
      <c r="AX118" s="170"/>
      <c r="AY118" s="170"/>
      <c r="AZ118" s="170"/>
      <c r="BA118" s="170"/>
      <c r="BB118" s="170"/>
      <c r="BC118" s="170"/>
      <c r="BD118" s="170"/>
      <c r="BE118" s="170"/>
      <c r="BF118" s="170"/>
      <c r="BG118" s="170"/>
      <c r="BH118" s="170"/>
      <c r="BI118" s="170"/>
      <c r="BJ118" s="170"/>
      <c r="BK118" s="170"/>
      <c r="BL118" s="170"/>
      <c r="BM118" s="170"/>
      <c r="BN118" s="170"/>
      <c r="BO118" s="170"/>
      <c r="BP118" s="170"/>
      <c r="BQ118" s="170"/>
      <c r="BR118" s="170"/>
      <c r="BS118" s="170"/>
      <c r="BT118" s="170"/>
      <c r="BU118" s="170"/>
      <c r="BV118" s="170"/>
      <c r="BW118" s="170"/>
      <c r="BX118" s="170"/>
      <c r="BY118" s="170"/>
      <c r="BZ118" s="170"/>
      <c r="CA118" s="170"/>
      <c r="CB118" s="170"/>
      <c r="CC118" s="170"/>
      <c r="CD118" s="170"/>
      <c r="CE118" s="168"/>
      <c r="CF118" s="168"/>
      <c r="CG118" s="168"/>
      <c r="CH118" s="168"/>
      <c r="CI118" s="168"/>
      <c r="CJ118" s="168"/>
      <c r="CK118" s="168"/>
      <c r="CL118" s="168"/>
      <c r="CM118" s="170"/>
      <c r="CN118" s="170"/>
      <c r="CO118" s="170"/>
      <c r="CP118" s="170"/>
      <c r="CQ118" s="170"/>
      <c r="CR118" s="170"/>
      <c r="CS118" s="170"/>
      <c r="CT118" s="170"/>
      <c r="CU118" s="170"/>
      <c r="CV118" s="170"/>
      <c r="CW118" s="170"/>
      <c r="CX118" s="170"/>
      <c r="CY118" s="170"/>
      <c r="CZ118" s="170"/>
      <c r="DA118" s="170"/>
      <c r="DB118" s="170"/>
      <c r="DC118" s="170"/>
      <c r="DD118" s="170"/>
      <c r="DE118" s="170"/>
      <c r="DF118" s="170"/>
      <c r="DG118" s="170"/>
      <c r="DH118" s="170"/>
      <c r="DI118" s="170"/>
      <c r="DJ118" s="170"/>
      <c r="DK118" s="170"/>
      <c r="DL118" s="170"/>
      <c r="DM118" s="170"/>
      <c r="DN118" s="170"/>
      <c r="DO118" s="170"/>
      <c r="DP118" s="170"/>
      <c r="DQ118" s="170"/>
      <c r="DR118" s="170"/>
      <c r="DS118" s="170"/>
      <c r="DT118" s="170"/>
      <c r="DU118" s="170"/>
      <c r="DV118" s="170"/>
      <c r="DW118" s="170"/>
      <c r="DX118" s="170"/>
      <c r="DY118" s="170"/>
      <c r="DZ118" s="170"/>
      <c r="EA118" s="170"/>
      <c r="EB118" s="170"/>
      <c r="EC118" s="170"/>
      <c r="ED118" s="170"/>
      <c r="EE118" s="170"/>
      <c r="EF118" s="170"/>
      <c r="EG118" s="170"/>
      <c r="EH118" s="170"/>
      <c r="EI118" s="170"/>
      <c r="EJ118" s="170"/>
      <c r="EK118" s="170"/>
      <c r="EL118" s="170"/>
      <c r="EM118" s="170"/>
      <c r="EN118" s="170"/>
      <c r="EO118" s="170"/>
      <c r="EP118" s="170"/>
      <c r="EQ118" s="170"/>
      <c r="ER118" s="170"/>
      <c r="ES118" s="173" t="s">
        <v>142</v>
      </c>
      <c r="ET118" s="173" t="s">
        <v>345</v>
      </c>
      <c r="EU118" s="27"/>
    </row>
    <row r="119" spans="1:151" s="33" customFormat="1" ht="15.9" customHeight="1" x14ac:dyDescent="0.35">
      <c r="A119" s="104">
        <v>116</v>
      </c>
      <c r="B119" s="123" t="s">
        <v>152</v>
      </c>
      <c r="C119" s="34">
        <f t="shared" si="9"/>
        <v>235</v>
      </c>
      <c r="D119" s="34">
        <f>A3</f>
        <v>0</v>
      </c>
      <c r="E119" s="33">
        <v>1</v>
      </c>
      <c r="F119" s="33">
        <v>159</v>
      </c>
      <c r="G119" s="33">
        <v>169</v>
      </c>
      <c r="H119" s="33">
        <v>327</v>
      </c>
      <c r="I119" s="33">
        <v>168</v>
      </c>
      <c r="J119" s="33" t="b">
        <v>0</v>
      </c>
      <c r="K119" s="114">
        <v>45299</v>
      </c>
      <c r="L119" s="35">
        <v>45626</v>
      </c>
      <c r="M119" s="36">
        <v>0.05</v>
      </c>
      <c r="Q119" s="34"/>
      <c r="R119" s="34"/>
      <c r="S119" s="34"/>
      <c r="U119" s="32"/>
      <c r="V119" s="34"/>
      <c r="X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CE119" s="34"/>
      <c r="CF119" s="34"/>
      <c r="CG119" s="34"/>
      <c r="CH119" s="34"/>
      <c r="CI119" s="34"/>
      <c r="CJ119" s="34"/>
      <c r="CK119" s="34"/>
      <c r="CL119" s="34"/>
      <c r="ES119" s="36" t="s">
        <v>138</v>
      </c>
      <c r="ET119" s="36" t="s">
        <v>345</v>
      </c>
      <c r="EU119" s="36"/>
    </row>
    <row r="120" spans="1:151" s="24" customFormat="1" ht="15.9" customHeight="1" outlineLevel="1" x14ac:dyDescent="0.35">
      <c r="A120" s="104">
        <v>117</v>
      </c>
      <c r="B120" s="136" t="s">
        <v>140</v>
      </c>
      <c r="C120" s="25">
        <f t="shared" si="9"/>
        <v>113</v>
      </c>
      <c r="D120" s="25">
        <f>A3</f>
        <v>0</v>
      </c>
      <c r="E120" s="24">
        <v>1</v>
      </c>
      <c r="F120" s="24">
        <v>26</v>
      </c>
      <c r="G120" s="24">
        <v>302</v>
      </c>
      <c r="H120" s="24">
        <v>327</v>
      </c>
      <c r="I120" s="24">
        <v>301</v>
      </c>
      <c r="J120" s="24" t="b">
        <v>0</v>
      </c>
      <c r="K120" s="137">
        <v>45299</v>
      </c>
      <c r="L120" s="26">
        <v>45455</v>
      </c>
      <c r="M120" s="27">
        <v>0.1</v>
      </c>
      <c r="Q120" s="25"/>
      <c r="R120" s="25"/>
      <c r="S120" s="25"/>
      <c r="U120" s="23"/>
      <c r="V120" s="25"/>
      <c r="X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CE120" s="25"/>
      <c r="CF120" s="25"/>
      <c r="CG120" s="25"/>
      <c r="CH120" s="25"/>
      <c r="CI120" s="25"/>
      <c r="CJ120" s="25"/>
      <c r="CK120" s="25"/>
      <c r="CL120" s="25"/>
      <c r="ES120" s="27" t="s">
        <v>138</v>
      </c>
      <c r="ET120" s="27" t="s">
        <v>345</v>
      </c>
      <c r="EU120" s="27"/>
    </row>
    <row r="121" spans="1:151" s="33" customFormat="1" ht="15.9" customHeight="1" outlineLevel="1" x14ac:dyDescent="0.35">
      <c r="A121" s="104">
        <v>118</v>
      </c>
      <c r="B121" s="152" t="s">
        <v>344</v>
      </c>
      <c r="C121" s="34">
        <f t="shared" si="9"/>
        <v>123</v>
      </c>
      <c r="D121" s="34">
        <f>A119</f>
        <v>116</v>
      </c>
      <c r="K121" s="35">
        <v>45455</v>
      </c>
      <c r="L121" s="35">
        <v>45626</v>
      </c>
      <c r="M121" s="36">
        <v>0</v>
      </c>
      <c r="Q121" s="34"/>
      <c r="R121" s="34"/>
      <c r="S121" s="34"/>
      <c r="U121" s="32"/>
      <c r="V121" s="34"/>
      <c r="X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CE121" s="34"/>
      <c r="CF121" s="34"/>
      <c r="CG121" s="34"/>
      <c r="CH121" s="34"/>
      <c r="CI121" s="34"/>
      <c r="CJ121" s="34"/>
      <c r="CK121" s="34"/>
      <c r="CL121" s="34"/>
      <c r="ES121" s="36" t="s">
        <v>142</v>
      </c>
      <c r="ET121" s="36" t="s">
        <v>345</v>
      </c>
      <c r="EU121" s="36"/>
    </row>
    <row r="122" spans="1:151" s="24" customFormat="1" ht="15.9" customHeight="1" outlineLevel="2" x14ac:dyDescent="0.35">
      <c r="A122" s="104">
        <v>119</v>
      </c>
      <c r="B122" s="138" t="s">
        <v>141</v>
      </c>
      <c r="C122" s="25">
        <f t="shared" si="9"/>
        <v>28</v>
      </c>
      <c r="D122" s="25">
        <f>A119</f>
        <v>116</v>
      </c>
      <c r="E122" s="24">
        <v>1</v>
      </c>
      <c r="F122" s="24">
        <v>11</v>
      </c>
      <c r="G122" s="24">
        <v>182</v>
      </c>
      <c r="H122" s="24">
        <v>192</v>
      </c>
      <c r="I122" s="24">
        <v>181</v>
      </c>
      <c r="J122" s="24" t="b">
        <v>0</v>
      </c>
      <c r="K122" s="26">
        <v>45455</v>
      </c>
      <c r="L122" s="140">
        <v>45492</v>
      </c>
      <c r="M122" s="27">
        <v>1</v>
      </c>
      <c r="Q122" s="25"/>
      <c r="R122" s="25"/>
      <c r="S122" s="25"/>
      <c r="U122" s="23"/>
      <c r="V122" s="25"/>
      <c r="X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CE122" s="25"/>
      <c r="CF122" s="25"/>
      <c r="CG122" s="25"/>
      <c r="CH122" s="25"/>
      <c r="CI122" s="25"/>
      <c r="CJ122" s="25"/>
      <c r="CK122" s="25"/>
      <c r="CL122" s="25"/>
      <c r="ES122" s="27" t="s">
        <v>142</v>
      </c>
      <c r="ET122" s="27" t="s">
        <v>162</v>
      </c>
      <c r="EU122" s="27"/>
    </row>
    <row r="123" spans="1:151" s="33" customFormat="1" ht="15.9" customHeight="1" outlineLevel="2" x14ac:dyDescent="0.35">
      <c r="A123" s="104">
        <v>120</v>
      </c>
      <c r="B123" s="163" t="s">
        <v>357</v>
      </c>
      <c r="C123" s="155">
        <f t="shared" si="9"/>
        <v>5</v>
      </c>
      <c r="D123" s="155">
        <f>A120</f>
        <v>117</v>
      </c>
      <c r="E123" s="160">
        <v>12</v>
      </c>
      <c r="F123" s="160">
        <v>16</v>
      </c>
      <c r="G123" s="160">
        <v>193</v>
      </c>
      <c r="H123" s="160">
        <v>197</v>
      </c>
      <c r="I123" s="160">
        <v>181</v>
      </c>
      <c r="J123" s="160" t="b">
        <v>0</v>
      </c>
      <c r="K123" s="166">
        <v>45495</v>
      </c>
      <c r="L123" s="166">
        <v>45499</v>
      </c>
      <c r="M123" s="162">
        <v>1</v>
      </c>
      <c r="N123" s="160"/>
      <c r="O123" s="160"/>
      <c r="P123" s="160"/>
      <c r="Q123" s="155"/>
      <c r="R123" s="155"/>
      <c r="S123" s="155"/>
      <c r="T123" s="160"/>
      <c r="U123" s="161"/>
      <c r="V123" s="155"/>
      <c r="W123" s="160"/>
      <c r="X123" s="155"/>
      <c r="Y123" s="160"/>
      <c r="Z123" s="160"/>
      <c r="AA123" s="160"/>
      <c r="AB123" s="160"/>
      <c r="AC123" s="160"/>
      <c r="AD123" s="160"/>
      <c r="AE123" s="160"/>
      <c r="AF123" s="160"/>
      <c r="AG123" s="155"/>
      <c r="AH123" s="155"/>
      <c r="AI123" s="155"/>
      <c r="AJ123" s="155"/>
      <c r="AK123" s="155"/>
      <c r="AL123" s="155"/>
      <c r="AM123" s="155"/>
      <c r="AN123" s="155"/>
      <c r="AO123" s="155"/>
      <c r="AP123" s="155"/>
      <c r="AQ123" s="155"/>
      <c r="AR123" s="155"/>
      <c r="AS123" s="155"/>
      <c r="AT123" s="155"/>
      <c r="AU123" s="155"/>
      <c r="AV123" s="155"/>
      <c r="AW123" s="160"/>
      <c r="AX123" s="160"/>
      <c r="AY123" s="160"/>
      <c r="AZ123" s="160"/>
      <c r="BA123" s="160"/>
      <c r="BB123" s="160"/>
      <c r="BC123" s="160"/>
      <c r="BD123" s="160"/>
      <c r="BE123" s="160"/>
      <c r="BF123" s="160"/>
      <c r="BG123" s="160"/>
      <c r="BH123" s="160"/>
      <c r="BI123" s="160"/>
      <c r="BJ123" s="160"/>
      <c r="BK123" s="160"/>
      <c r="BL123" s="160"/>
      <c r="BM123" s="160"/>
      <c r="BN123" s="160"/>
      <c r="BO123" s="160"/>
      <c r="BP123" s="160"/>
      <c r="BQ123" s="160"/>
      <c r="BR123" s="160"/>
      <c r="BS123" s="160"/>
      <c r="BT123" s="160"/>
      <c r="BU123" s="160"/>
      <c r="BV123" s="160"/>
      <c r="BW123" s="160"/>
      <c r="BX123" s="160"/>
      <c r="BY123" s="160"/>
      <c r="BZ123" s="160"/>
      <c r="CA123" s="160"/>
      <c r="CB123" s="160"/>
      <c r="CC123" s="160"/>
      <c r="CD123" s="160"/>
      <c r="CE123" s="155"/>
      <c r="CF123" s="155"/>
      <c r="CG123" s="155"/>
      <c r="CH123" s="155"/>
      <c r="CI123" s="155"/>
      <c r="CJ123" s="155"/>
      <c r="CK123" s="155"/>
      <c r="CL123" s="155"/>
      <c r="CM123" s="160"/>
      <c r="CN123" s="160"/>
      <c r="CO123" s="160"/>
      <c r="CP123" s="160"/>
      <c r="CQ123" s="160"/>
      <c r="CR123" s="160"/>
      <c r="CS123" s="160"/>
      <c r="CT123" s="160"/>
      <c r="CU123" s="160"/>
      <c r="CV123" s="160"/>
      <c r="CW123" s="160"/>
      <c r="CX123" s="160"/>
      <c r="CY123" s="160"/>
      <c r="CZ123" s="160"/>
      <c r="DA123" s="160"/>
      <c r="DB123" s="160"/>
      <c r="DC123" s="160"/>
      <c r="DD123" s="160"/>
      <c r="DE123" s="160"/>
      <c r="DF123" s="160"/>
      <c r="DG123" s="160"/>
      <c r="DH123" s="160"/>
      <c r="DI123" s="160"/>
      <c r="DJ123" s="160"/>
      <c r="DK123" s="160"/>
      <c r="DL123" s="160"/>
      <c r="DM123" s="160"/>
      <c r="DN123" s="160"/>
      <c r="DO123" s="160"/>
      <c r="DP123" s="160"/>
      <c r="DQ123" s="160"/>
      <c r="DR123" s="160"/>
      <c r="DS123" s="160"/>
      <c r="DT123" s="160"/>
      <c r="DU123" s="160"/>
      <c r="DV123" s="160"/>
      <c r="DW123" s="160"/>
      <c r="DX123" s="160"/>
      <c r="DY123" s="160"/>
      <c r="DZ123" s="160"/>
      <c r="EA123" s="160"/>
      <c r="EB123" s="160"/>
      <c r="EC123" s="160"/>
      <c r="ED123" s="160"/>
      <c r="EE123" s="160"/>
      <c r="EF123" s="160"/>
      <c r="EG123" s="160"/>
      <c r="EH123" s="160"/>
      <c r="EI123" s="160"/>
      <c r="EJ123" s="160"/>
      <c r="EK123" s="160"/>
      <c r="EL123" s="160"/>
      <c r="EM123" s="160"/>
      <c r="EN123" s="160"/>
      <c r="EO123" s="160"/>
      <c r="EP123" s="160"/>
      <c r="EQ123" s="160"/>
      <c r="ER123" s="160"/>
      <c r="ES123" s="162" t="s">
        <v>142</v>
      </c>
      <c r="ET123" s="162" t="s">
        <v>345</v>
      </c>
      <c r="EU123" s="36"/>
    </row>
    <row r="124" spans="1:151" s="24" customFormat="1" ht="15.9" customHeight="1" outlineLevel="2" x14ac:dyDescent="0.35">
      <c r="A124" s="104">
        <v>121</v>
      </c>
      <c r="B124" s="138" t="s">
        <v>148</v>
      </c>
      <c r="C124" s="25">
        <f t="shared" si="9"/>
        <v>5</v>
      </c>
      <c r="D124" s="25">
        <f>A120</f>
        <v>117</v>
      </c>
      <c r="E124" s="24">
        <v>12</v>
      </c>
      <c r="F124" s="24">
        <v>16</v>
      </c>
      <c r="G124" s="24">
        <v>193</v>
      </c>
      <c r="H124" s="24">
        <v>197</v>
      </c>
      <c r="I124" s="24">
        <v>181</v>
      </c>
      <c r="J124" s="24" t="b">
        <v>0</v>
      </c>
      <c r="K124" s="134">
        <v>45495</v>
      </c>
      <c r="L124" s="134">
        <v>45499</v>
      </c>
      <c r="M124" s="27">
        <v>1</v>
      </c>
      <c r="Q124" s="25"/>
      <c r="R124" s="25"/>
      <c r="S124" s="25"/>
      <c r="U124" s="23"/>
      <c r="V124" s="25"/>
      <c r="X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CE124" s="25"/>
      <c r="CF124" s="25"/>
      <c r="CG124" s="25"/>
      <c r="CH124" s="25"/>
      <c r="CI124" s="25"/>
      <c r="CJ124" s="25"/>
      <c r="CK124" s="25"/>
      <c r="CL124" s="25"/>
      <c r="ES124" s="27" t="s">
        <v>142</v>
      </c>
      <c r="ET124" s="27" t="s">
        <v>345</v>
      </c>
      <c r="EU124" s="27"/>
    </row>
    <row r="125" spans="1:151" s="24" customFormat="1" ht="15.9" customHeight="1" outlineLevel="1" x14ac:dyDescent="0.35">
      <c r="A125" s="104">
        <v>123</v>
      </c>
      <c r="B125" s="136" t="s">
        <v>323</v>
      </c>
      <c r="C125" s="25">
        <f t="shared" si="9"/>
        <v>17</v>
      </c>
      <c r="D125" s="25">
        <f>A124</f>
        <v>121</v>
      </c>
      <c r="K125" s="26">
        <v>45502</v>
      </c>
      <c r="L125" s="134">
        <v>45524</v>
      </c>
      <c r="M125" s="27">
        <v>0</v>
      </c>
      <c r="Q125" s="25"/>
      <c r="R125" s="25"/>
      <c r="S125" s="25"/>
      <c r="U125" s="23"/>
      <c r="V125" s="25"/>
      <c r="X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CE125" s="25"/>
      <c r="CF125" s="25"/>
      <c r="CG125" s="25"/>
      <c r="CH125" s="25"/>
      <c r="CI125" s="25"/>
      <c r="CJ125" s="25"/>
      <c r="CK125" s="25"/>
      <c r="CL125" s="25"/>
      <c r="ES125" s="27" t="s">
        <v>142</v>
      </c>
      <c r="ET125" s="27" t="s">
        <v>345</v>
      </c>
      <c r="EU125" s="25"/>
    </row>
    <row r="126" spans="1:151" s="33" customFormat="1" ht="15.9" customHeight="1" outlineLevel="1" x14ac:dyDescent="0.35">
      <c r="A126" s="104">
        <v>124</v>
      </c>
      <c r="B126" s="175" t="s">
        <v>350</v>
      </c>
      <c r="C126" s="155">
        <f t="shared" si="9"/>
        <v>29</v>
      </c>
      <c r="D126" s="155">
        <f>A125</f>
        <v>123</v>
      </c>
      <c r="E126" s="160">
        <v>17</v>
      </c>
      <c r="F126" s="160">
        <v>85</v>
      </c>
      <c r="G126" s="160">
        <v>259</v>
      </c>
      <c r="H126" s="160">
        <v>327</v>
      </c>
      <c r="I126" s="160">
        <v>242</v>
      </c>
      <c r="J126" s="160" t="b">
        <v>0</v>
      </c>
      <c r="K126" s="165">
        <v>45525</v>
      </c>
      <c r="L126" s="166">
        <v>45565</v>
      </c>
      <c r="M126" s="162">
        <v>0</v>
      </c>
      <c r="N126" s="160"/>
      <c r="O126" s="160"/>
      <c r="P126" s="160"/>
      <c r="Q126" s="155"/>
      <c r="R126" s="155"/>
      <c r="S126" s="155"/>
      <c r="T126" s="160"/>
      <c r="U126" s="161"/>
      <c r="V126" s="155"/>
      <c r="W126" s="160"/>
      <c r="X126" s="155"/>
      <c r="Y126" s="160"/>
      <c r="Z126" s="160"/>
      <c r="AA126" s="160"/>
      <c r="AB126" s="160"/>
      <c r="AC126" s="160"/>
      <c r="AD126" s="160"/>
      <c r="AE126" s="160"/>
      <c r="AF126" s="160"/>
      <c r="AG126" s="155"/>
      <c r="AH126" s="155"/>
      <c r="AI126" s="155"/>
      <c r="AJ126" s="155"/>
      <c r="AK126" s="155"/>
      <c r="AL126" s="155"/>
      <c r="AM126" s="155"/>
      <c r="AN126" s="155"/>
      <c r="AO126" s="155"/>
      <c r="AP126" s="155"/>
      <c r="AQ126" s="155"/>
      <c r="AR126" s="155"/>
      <c r="AS126" s="155"/>
      <c r="AT126" s="155"/>
      <c r="AU126" s="155"/>
      <c r="AV126" s="155"/>
      <c r="AW126" s="160"/>
      <c r="AX126" s="160"/>
      <c r="AY126" s="160"/>
      <c r="AZ126" s="160"/>
      <c r="BA126" s="160"/>
      <c r="BB126" s="160"/>
      <c r="BC126" s="160"/>
      <c r="BD126" s="160"/>
      <c r="BE126" s="160"/>
      <c r="BF126" s="160"/>
      <c r="BG126" s="160"/>
      <c r="BH126" s="160"/>
      <c r="BI126" s="160"/>
      <c r="BJ126" s="160"/>
      <c r="BK126" s="160"/>
      <c r="BL126" s="160"/>
      <c r="BM126" s="160"/>
      <c r="BN126" s="160"/>
      <c r="BO126" s="160"/>
      <c r="BP126" s="160"/>
      <c r="BQ126" s="160"/>
      <c r="BR126" s="160"/>
      <c r="BS126" s="160"/>
      <c r="BT126" s="160"/>
      <c r="BU126" s="160"/>
      <c r="BV126" s="160"/>
      <c r="BW126" s="160"/>
      <c r="BX126" s="160"/>
      <c r="BY126" s="160"/>
      <c r="BZ126" s="160"/>
      <c r="CA126" s="160"/>
      <c r="CB126" s="160"/>
      <c r="CC126" s="160"/>
      <c r="CD126" s="160"/>
      <c r="CE126" s="155"/>
      <c r="CF126" s="155"/>
      <c r="CG126" s="155"/>
      <c r="CH126" s="155"/>
      <c r="CI126" s="155"/>
      <c r="CJ126" s="155"/>
      <c r="CK126" s="155"/>
      <c r="CL126" s="155"/>
      <c r="CM126" s="160"/>
      <c r="CN126" s="160"/>
      <c r="CO126" s="160"/>
      <c r="CP126" s="160"/>
      <c r="CQ126" s="160"/>
      <c r="CR126" s="160"/>
      <c r="CS126" s="160"/>
      <c r="CT126" s="160"/>
      <c r="CU126" s="160"/>
      <c r="CV126" s="160"/>
      <c r="CW126" s="160"/>
      <c r="CX126" s="160"/>
      <c r="CY126" s="160"/>
      <c r="CZ126" s="160"/>
      <c r="DA126" s="160"/>
      <c r="DB126" s="160"/>
      <c r="DC126" s="160"/>
      <c r="DD126" s="160"/>
      <c r="DE126" s="160"/>
      <c r="DF126" s="160"/>
      <c r="DG126" s="160"/>
      <c r="DH126" s="160"/>
      <c r="DI126" s="160"/>
      <c r="DJ126" s="160"/>
      <c r="DK126" s="160"/>
      <c r="DL126" s="160"/>
      <c r="DM126" s="160"/>
      <c r="DN126" s="160"/>
      <c r="DO126" s="160"/>
      <c r="DP126" s="160"/>
      <c r="DQ126" s="160"/>
      <c r="DR126" s="160"/>
      <c r="DS126" s="160"/>
      <c r="DT126" s="160"/>
      <c r="DU126" s="160"/>
      <c r="DV126" s="160"/>
      <c r="DW126" s="160"/>
      <c r="DX126" s="160"/>
      <c r="DY126" s="160"/>
      <c r="DZ126" s="160"/>
      <c r="EA126" s="160"/>
      <c r="EB126" s="160"/>
      <c r="EC126" s="160"/>
      <c r="ED126" s="160"/>
      <c r="EE126" s="160"/>
      <c r="EF126" s="160"/>
      <c r="EG126" s="160"/>
      <c r="EH126" s="160"/>
      <c r="EI126" s="160"/>
      <c r="EJ126" s="160"/>
      <c r="EK126" s="160"/>
      <c r="EL126" s="160"/>
      <c r="EM126" s="160"/>
      <c r="EN126" s="160"/>
      <c r="EO126" s="160"/>
      <c r="EP126" s="160"/>
      <c r="EQ126" s="160"/>
      <c r="ER126" s="160"/>
      <c r="ES126" s="162" t="s">
        <v>142</v>
      </c>
      <c r="ET126" s="162" t="s">
        <v>345</v>
      </c>
      <c r="EU126" s="36"/>
    </row>
    <row r="127" spans="1:151" s="24" customFormat="1" ht="15.9" customHeight="1" x14ac:dyDescent="0.35">
      <c r="A127" s="104"/>
      <c r="B127" s="132"/>
      <c r="C127" s="25"/>
      <c r="D127" s="25"/>
      <c r="K127" s="26"/>
      <c r="L127" s="140"/>
      <c r="M127" s="27"/>
      <c r="Q127" s="25"/>
      <c r="R127" s="25"/>
      <c r="S127" s="25"/>
      <c r="U127" s="23"/>
      <c r="V127" s="25"/>
      <c r="X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CE127" s="25"/>
      <c r="CF127" s="25"/>
      <c r="CG127" s="25"/>
      <c r="CH127" s="25"/>
      <c r="CI127" s="25"/>
      <c r="CJ127" s="25"/>
      <c r="CK127" s="25"/>
      <c r="CL127" s="25"/>
      <c r="ES127" s="27"/>
      <c r="ET127" s="27"/>
      <c r="EU127" s="27"/>
    </row>
    <row r="128" spans="1:151" s="113" customFormat="1" ht="15.9" customHeight="1" x14ac:dyDescent="0.35">
      <c r="A128" s="104"/>
      <c r="B128" s="123"/>
      <c r="C128" s="34"/>
      <c r="D128" s="112"/>
      <c r="K128" s="35"/>
      <c r="L128" s="110"/>
      <c r="M128" s="118"/>
      <c r="ES128" s="112"/>
      <c r="ET128" s="36"/>
    </row>
    <row r="129" spans="1:151" s="143" customFormat="1" ht="15.9" customHeight="1" x14ac:dyDescent="0.35">
      <c r="A129" s="104"/>
      <c r="B129" s="136"/>
      <c r="C129" s="25"/>
      <c r="D129" s="142"/>
      <c r="K129" s="26"/>
      <c r="L129" s="140"/>
      <c r="M129" s="147"/>
      <c r="ES129" s="142"/>
      <c r="ET129" s="27"/>
    </row>
    <row r="130" spans="1:151" s="113" customFormat="1" ht="15.9" customHeight="1" x14ac:dyDescent="0.35">
      <c r="A130" s="104"/>
      <c r="B130" s="124"/>
      <c r="C130" s="34"/>
      <c r="D130" s="112"/>
      <c r="K130" s="114"/>
      <c r="L130" s="110"/>
      <c r="M130" s="36"/>
      <c r="N130" s="33"/>
      <c r="O130" s="33"/>
      <c r="P130" s="33"/>
      <c r="Q130" s="34"/>
      <c r="R130" s="34"/>
      <c r="S130" s="34"/>
      <c r="T130" s="33"/>
      <c r="U130" s="32"/>
      <c r="V130" s="34"/>
      <c r="W130" s="33"/>
      <c r="X130" s="34"/>
      <c r="Y130" s="33"/>
      <c r="Z130" s="33"/>
      <c r="AA130" s="33"/>
      <c r="AB130" s="33"/>
      <c r="AC130" s="33"/>
      <c r="AD130" s="33"/>
      <c r="AE130" s="33"/>
      <c r="AF130" s="33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4"/>
      <c r="CF130" s="34"/>
      <c r="CG130" s="34"/>
      <c r="CH130" s="34"/>
      <c r="CI130" s="34"/>
      <c r="CJ130" s="34"/>
      <c r="CK130" s="34"/>
      <c r="CL130" s="34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6"/>
      <c r="ET130" s="36"/>
    </row>
    <row r="131" spans="1:151" s="143" customFormat="1" ht="15.9" customHeight="1" x14ac:dyDescent="0.35">
      <c r="A131" s="104"/>
      <c r="B131" s="136"/>
      <c r="C131" s="25"/>
      <c r="D131" s="142"/>
      <c r="K131" s="137"/>
      <c r="L131" s="140"/>
      <c r="M131" s="27"/>
      <c r="N131" s="24"/>
      <c r="O131" s="24"/>
      <c r="P131" s="24"/>
      <c r="Q131" s="25"/>
      <c r="R131" s="25"/>
      <c r="S131" s="25"/>
      <c r="T131" s="24"/>
      <c r="U131" s="23"/>
      <c r="V131" s="25"/>
      <c r="W131" s="24"/>
      <c r="X131" s="25"/>
      <c r="Y131" s="24"/>
      <c r="Z131" s="24"/>
      <c r="AA131" s="24"/>
      <c r="AB131" s="24"/>
      <c r="AC131" s="24"/>
      <c r="AD131" s="24"/>
      <c r="AE131" s="24"/>
      <c r="AF131" s="24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5"/>
      <c r="CF131" s="25"/>
      <c r="CG131" s="25"/>
      <c r="CH131" s="25"/>
      <c r="CI131" s="25"/>
      <c r="CJ131" s="25"/>
      <c r="CK131" s="25"/>
      <c r="CL131" s="25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7"/>
      <c r="ET131" s="27"/>
    </row>
    <row r="132" spans="1:151" s="113" customFormat="1" ht="15.9" customHeight="1" x14ac:dyDescent="0.35">
      <c r="A132" s="104"/>
      <c r="B132" s="124"/>
      <c r="C132" s="34"/>
      <c r="D132" s="112"/>
      <c r="K132" s="114"/>
      <c r="L132" s="110"/>
      <c r="M132" s="36"/>
      <c r="ES132" s="36"/>
      <c r="ET132" s="36"/>
    </row>
    <row r="133" spans="1:151" s="143" customFormat="1" ht="15.9" customHeight="1" x14ac:dyDescent="0.35">
      <c r="A133" s="104"/>
      <c r="B133" s="153"/>
      <c r="C133" s="25"/>
      <c r="D133" s="142"/>
      <c r="K133" s="137"/>
      <c r="L133" s="140"/>
      <c r="M133" s="27"/>
      <c r="N133" s="24"/>
      <c r="O133" s="24"/>
      <c r="P133" s="24"/>
      <c r="Q133" s="25"/>
      <c r="R133" s="25"/>
      <c r="S133" s="25"/>
      <c r="T133" s="24"/>
      <c r="U133" s="23"/>
      <c r="V133" s="25"/>
      <c r="W133" s="24"/>
      <c r="X133" s="25"/>
      <c r="Y133" s="24"/>
      <c r="Z133" s="24"/>
      <c r="AA133" s="24"/>
      <c r="AB133" s="24"/>
      <c r="AC133" s="24"/>
      <c r="AD133" s="24"/>
      <c r="AE133" s="24"/>
      <c r="AF133" s="24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5"/>
      <c r="CF133" s="25"/>
      <c r="CG133" s="25"/>
      <c r="CH133" s="25"/>
      <c r="CI133" s="25"/>
      <c r="CJ133" s="25"/>
      <c r="CK133" s="25"/>
      <c r="CL133" s="25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7"/>
      <c r="ET133" s="27"/>
    </row>
    <row r="134" spans="1:151" s="113" customFormat="1" ht="15.9" customHeight="1" x14ac:dyDescent="0.35">
      <c r="A134" s="104"/>
      <c r="B134" s="124"/>
      <c r="C134" s="34"/>
      <c r="D134" s="112"/>
      <c r="K134" s="114"/>
      <c r="L134" s="110"/>
      <c r="M134" s="36"/>
      <c r="N134" s="33"/>
      <c r="O134" s="33"/>
      <c r="P134" s="33"/>
      <c r="Q134" s="34"/>
      <c r="R134" s="34"/>
      <c r="S134" s="34"/>
      <c r="T134" s="33"/>
      <c r="U134" s="32"/>
      <c r="V134" s="34"/>
      <c r="W134" s="33"/>
      <c r="X134" s="34"/>
      <c r="Y134" s="33"/>
      <c r="Z134" s="33"/>
      <c r="AA134" s="33"/>
      <c r="AB134" s="33"/>
      <c r="AC134" s="33"/>
      <c r="AD134" s="33"/>
      <c r="AE134" s="33"/>
      <c r="AF134" s="33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4"/>
      <c r="CF134" s="34"/>
      <c r="CG134" s="34"/>
      <c r="CH134" s="34"/>
      <c r="CI134" s="34"/>
      <c r="CJ134" s="34"/>
      <c r="CK134" s="34"/>
      <c r="CL134" s="34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6"/>
      <c r="ET134" s="36"/>
    </row>
    <row r="135" spans="1:151" s="143" customFormat="1" ht="15.9" customHeight="1" x14ac:dyDescent="0.35">
      <c r="A135" s="104"/>
      <c r="B135" s="135"/>
      <c r="C135" s="25"/>
      <c r="D135" s="142"/>
      <c r="K135" s="26"/>
      <c r="L135" s="140"/>
      <c r="M135" s="147"/>
      <c r="ES135" s="142"/>
      <c r="ET135" s="27"/>
    </row>
    <row r="136" spans="1:151" s="113" customFormat="1" ht="15.9" customHeight="1" x14ac:dyDescent="0.35">
      <c r="A136" s="104"/>
      <c r="B136" s="124"/>
      <c r="C136" s="34"/>
      <c r="D136" s="112"/>
      <c r="K136" s="35"/>
      <c r="L136" s="110"/>
      <c r="M136" s="118"/>
      <c r="ES136" s="112"/>
      <c r="ET136" s="36"/>
    </row>
    <row r="137" spans="1:151" s="143" customFormat="1" ht="15.9" customHeight="1" x14ac:dyDescent="0.35">
      <c r="A137" s="104"/>
      <c r="B137" s="136"/>
      <c r="C137" s="25"/>
      <c r="D137" s="142"/>
      <c r="K137" s="137"/>
      <c r="L137" s="140"/>
      <c r="M137" s="27"/>
      <c r="ES137" s="27"/>
      <c r="ET137" s="27"/>
    </row>
    <row r="138" spans="1:151" s="113" customFormat="1" ht="15.9" customHeight="1" x14ac:dyDescent="0.35">
      <c r="A138" s="104"/>
      <c r="B138" s="124"/>
      <c r="C138" s="34"/>
      <c r="D138" s="112"/>
      <c r="K138" s="114"/>
      <c r="L138" s="110"/>
      <c r="M138" s="36"/>
      <c r="ES138" s="36"/>
      <c r="ET138" s="36"/>
    </row>
    <row r="139" spans="1:151" s="143" customFormat="1" ht="15.9" customHeight="1" x14ac:dyDescent="0.35">
      <c r="A139" s="104"/>
      <c r="B139" s="136"/>
      <c r="C139" s="25"/>
      <c r="D139" s="142"/>
      <c r="K139" s="137"/>
      <c r="L139" s="140"/>
      <c r="M139" s="27"/>
      <c r="ES139" s="27"/>
      <c r="ET139" s="27"/>
    </row>
    <row r="140" spans="1:151" s="113" customFormat="1" ht="15.9" customHeight="1" x14ac:dyDescent="0.35">
      <c r="A140" s="104"/>
      <c r="B140" s="124"/>
      <c r="C140" s="34"/>
      <c r="D140" s="112"/>
      <c r="K140" s="114"/>
      <c r="L140" s="110"/>
      <c r="M140" s="36"/>
      <c r="ES140" s="36"/>
      <c r="ET140" s="36"/>
    </row>
    <row r="141" spans="1:151" s="24" customFormat="1" ht="15.9" customHeight="1" x14ac:dyDescent="0.35">
      <c r="A141" s="104"/>
      <c r="B141" s="136"/>
      <c r="C141" s="25"/>
      <c r="D141" s="142"/>
      <c r="E141" s="143"/>
      <c r="F141" s="143"/>
      <c r="G141" s="143"/>
      <c r="H141" s="143"/>
      <c r="I141" s="143"/>
      <c r="J141" s="143"/>
      <c r="K141" s="137"/>
      <c r="L141" s="140"/>
      <c r="M141" s="27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  <c r="BD141" s="143"/>
      <c r="BE141" s="143"/>
      <c r="BF141" s="143"/>
      <c r="BG141" s="143"/>
      <c r="BH141" s="143"/>
      <c r="BI141" s="143"/>
      <c r="BJ141" s="143"/>
      <c r="BK141" s="143"/>
      <c r="BL141" s="143"/>
      <c r="BM141" s="143"/>
      <c r="BN141" s="143"/>
      <c r="BO141" s="143"/>
      <c r="BP141" s="143"/>
      <c r="BQ141" s="143"/>
      <c r="BR141" s="143"/>
      <c r="BS141" s="143"/>
      <c r="BT141" s="143"/>
      <c r="BU141" s="143"/>
      <c r="BV141" s="143"/>
      <c r="BW141" s="143"/>
      <c r="BX141" s="143"/>
      <c r="BY141" s="143"/>
      <c r="BZ141" s="143"/>
      <c r="CA141" s="143"/>
      <c r="CB141" s="143"/>
      <c r="CC141" s="143"/>
      <c r="CD141" s="143"/>
      <c r="CE141" s="143"/>
      <c r="CF141" s="143"/>
      <c r="CG141" s="143"/>
      <c r="CH141" s="143"/>
      <c r="CI141" s="143"/>
      <c r="CJ141" s="143"/>
      <c r="CK141" s="143"/>
      <c r="CL141" s="143"/>
      <c r="CM141" s="143"/>
      <c r="CN141" s="143"/>
      <c r="CO141" s="143"/>
      <c r="CP141" s="143"/>
      <c r="CQ141" s="143"/>
      <c r="CR141" s="143"/>
      <c r="CS141" s="143"/>
      <c r="CT141" s="143"/>
      <c r="CU141" s="143"/>
      <c r="CV141" s="143"/>
      <c r="CW141" s="143"/>
      <c r="CX141" s="143"/>
      <c r="CY141" s="143"/>
      <c r="CZ141" s="143"/>
      <c r="DA141" s="143"/>
      <c r="DB141" s="143"/>
      <c r="DC141" s="143"/>
      <c r="DD141" s="143"/>
      <c r="DE141" s="143"/>
      <c r="DF141" s="143"/>
      <c r="DG141" s="143"/>
      <c r="DH141" s="143"/>
      <c r="DI141" s="143"/>
      <c r="DJ141" s="143"/>
      <c r="DK141" s="143"/>
      <c r="DL141" s="143"/>
      <c r="DM141" s="143"/>
      <c r="DN141" s="143"/>
      <c r="DO141" s="143"/>
      <c r="DP141" s="143"/>
      <c r="DQ141" s="143"/>
      <c r="DR141" s="143"/>
      <c r="DS141" s="143"/>
      <c r="DT141" s="143"/>
      <c r="DU141" s="143"/>
      <c r="DV141" s="143"/>
      <c r="DW141" s="143"/>
      <c r="DX141" s="143"/>
      <c r="DY141" s="143"/>
      <c r="DZ141" s="143"/>
      <c r="EA141" s="143"/>
      <c r="EB141" s="143"/>
      <c r="EC141" s="143"/>
      <c r="ED141" s="143"/>
      <c r="EE141" s="143"/>
      <c r="EF141" s="143"/>
      <c r="EG141" s="143"/>
      <c r="EH141" s="143"/>
      <c r="EI141" s="143"/>
      <c r="EJ141" s="143"/>
      <c r="EK141" s="143"/>
      <c r="EL141" s="143"/>
      <c r="EM141" s="143"/>
      <c r="EN141" s="143"/>
      <c r="EO141" s="143"/>
      <c r="EP141" s="143"/>
      <c r="EQ141" s="143"/>
      <c r="ER141" s="143"/>
      <c r="ES141" s="27"/>
      <c r="ET141" s="27"/>
      <c r="EU141" s="27"/>
    </row>
    <row r="142" spans="1:151" s="113" customFormat="1" ht="15.9" customHeight="1" x14ac:dyDescent="0.35">
      <c r="A142" s="104"/>
      <c r="B142" s="124"/>
      <c r="C142" s="34"/>
      <c r="D142" s="112"/>
      <c r="K142" s="114"/>
      <c r="L142" s="110"/>
      <c r="M142" s="36"/>
      <c r="ES142" s="36"/>
      <c r="ET142" s="36"/>
    </row>
    <row r="143" spans="1:151" s="143" customFormat="1" ht="15.9" customHeight="1" x14ac:dyDescent="0.35">
      <c r="A143" s="104"/>
      <c r="B143" s="153"/>
      <c r="C143" s="25"/>
      <c r="D143" s="142"/>
      <c r="K143" s="137"/>
      <c r="L143" s="140"/>
      <c r="M143" s="27"/>
      <c r="ES143" s="27"/>
      <c r="ET143" s="27"/>
    </row>
    <row r="144" spans="1:151" s="113" customFormat="1" ht="15.9" customHeight="1" x14ac:dyDescent="0.35">
      <c r="A144" s="104"/>
      <c r="B144" s="124"/>
      <c r="C144" s="34"/>
      <c r="D144" s="112"/>
      <c r="K144" s="114"/>
      <c r="L144" s="110"/>
      <c r="M144" s="36"/>
      <c r="ES144" s="36"/>
      <c r="ET144" s="36"/>
    </row>
    <row r="145" spans="1:151" s="24" customFormat="1" ht="15.9" customHeight="1" x14ac:dyDescent="0.35">
      <c r="A145" s="104"/>
      <c r="B145" s="132"/>
      <c r="C145" s="25"/>
      <c r="D145" s="25"/>
      <c r="K145" s="26"/>
      <c r="L145" s="134"/>
      <c r="M145" s="27"/>
      <c r="Q145" s="25"/>
      <c r="R145" s="25"/>
      <c r="S145" s="25"/>
      <c r="U145" s="23"/>
      <c r="V145" s="25"/>
      <c r="X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CE145" s="25"/>
      <c r="CF145" s="25"/>
      <c r="CG145" s="25"/>
      <c r="CH145" s="25"/>
      <c r="CI145" s="25"/>
      <c r="CJ145" s="25"/>
      <c r="CK145" s="25"/>
      <c r="CL145" s="25"/>
      <c r="ES145" s="27"/>
      <c r="ET145" s="27"/>
      <c r="EU145" s="27"/>
    </row>
    <row r="146" spans="1:151" s="33" customFormat="1" ht="15.9" customHeight="1" x14ac:dyDescent="0.35">
      <c r="A146" s="104"/>
      <c r="B146" s="107"/>
      <c r="C146" s="34"/>
      <c r="D146" s="34"/>
      <c r="K146" s="35"/>
      <c r="L146" s="108"/>
      <c r="M146" s="36"/>
      <c r="Q146" s="34"/>
      <c r="R146" s="34"/>
      <c r="S146" s="34"/>
      <c r="U146" s="32"/>
      <c r="V146" s="34"/>
      <c r="X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CE146" s="34"/>
      <c r="CF146" s="34"/>
      <c r="CG146" s="34"/>
      <c r="CH146" s="34"/>
      <c r="CI146" s="34"/>
      <c r="CJ146" s="34"/>
      <c r="CK146" s="34"/>
      <c r="CL146" s="34"/>
      <c r="ES146" s="36"/>
      <c r="ET146" s="36"/>
      <c r="EU146" s="36"/>
    </row>
    <row r="147" spans="1:151" s="24" customFormat="1" ht="15.9" customHeight="1" x14ac:dyDescent="0.35">
      <c r="A147" s="104"/>
      <c r="B147" s="96"/>
      <c r="C147" s="25"/>
      <c r="D147" s="25"/>
      <c r="K147" s="26"/>
      <c r="L147" s="134"/>
      <c r="M147" s="27"/>
      <c r="Q147" s="25"/>
      <c r="R147" s="25"/>
      <c r="S147" s="25"/>
      <c r="U147" s="23"/>
      <c r="V147" s="25"/>
      <c r="X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CE147" s="25"/>
      <c r="CF147" s="25"/>
      <c r="CG147" s="25"/>
      <c r="CH147" s="25"/>
      <c r="CI147" s="25"/>
      <c r="CJ147" s="25"/>
      <c r="CK147" s="25"/>
      <c r="CL147" s="25"/>
      <c r="ES147" s="27"/>
      <c r="ET147" s="27"/>
      <c r="EU147" s="27"/>
    </row>
    <row r="148" spans="1:151" s="33" customFormat="1" ht="15.9" customHeight="1" x14ac:dyDescent="0.35">
      <c r="A148" s="104"/>
      <c r="B148" s="107"/>
      <c r="C148" s="34"/>
      <c r="D148" s="34"/>
      <c r="K148" s="35"/>
      <c r="L148" s="108"/>
      <c r="M148" s="36"/>
      <c r="Q148" s="34"/>
      <c r="R148" s="34"/>
      <c r="S148" s="34"/>
      <c r="U148" s="32"/>
      <c r="V148" s="34"/>
      <c r="X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CE148" s="34"/>
      <c r="CF148" s="34"/>
      <c r="CG148" s="34"/>
      <c r="CH148" s="34"/>
      <c r="CI148" s="34"/>
      <c r="CJ148" s="34"/>
      <c r="CK148" s="34"/>
      <c r="CL148" s="34"/>
      <c r="ES148" s="36"/>
      <c r="ET148" s="36"/>
      <c r="EU148" s="36"/>
    </row>
    <row r="149" spans="1:151" s="24" customFormat="1" ht="15.9" customHeight="1" x14ac:dyDescent="0.35">
      <c r="A149" s="104"/>
      <c r="B149" s="96"/>
      <c r="C149" s="25"/>
      <c r="D149" s="25"/>
      <c r="K149" s="26"/>
      <c r="L149" s="134"/>
      <c r="M149" s="27"/>
      <c r="Q149" s="25"/>
      <c r="R149" s="25"/>
      <c r="S149" s="25"/>
      <c r="U149" s="23"/>
      <c r="V149" s="25"/>
      <c r="X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CE149" s="25"/>
      <c r="CF149" s="25"/>
      <c r="CG149" s="25"/>
      <c r="CH149" s="25"/>
      <c r="CI149" s="25"/>
      <c r="CJ149" s="25"/>
      <c r="CK149" s="25"/>
      <c r="CL149" s="25"/>
      <c r="ES149" s="27"/>
      <c r="ET149" s="27"/>
      <c r="EU149" s="27"/>
    </row>
    <row r="150" spans="1:151" s="33" customFormat="1" ht="15.9" customHeight="1" x14ac:dyDescent="0.35">
      <c r="A150" s="104"/>
      <c r="B150" s="107"/>
      <c r="C150" s="34"/>
      <c r="D150" s="34"/>
      <c r="K150" s="35"/>
      <c r="L150" s="108"/>
      <c r="M150" s="36"/>
      <c r="Q150" s="34"/>
      <c r="R150" s="34"/>
      <c r="S150" s="34"/>
      <c r="U150" s="32"/>
      <c r="V150" s="34"/>
      <c r="X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CE150" s="34"/>
      <c r="CF150" s="34"/>
      <c r="CG150" s="34"/>
      <c r="CH150" s="34"/>
      <c r="CI150" s="34"/>
      <c r="CJ150" s="34"/>
      <c r="CK150" s="34"/>
      <c r="CL150" s="34"/>
      <c r="ES150" s="36"/>
      <c r="ET150" s="36"/>
      <c r="EU150" s="36"/>
    </row>
    <row r="151" spans="1:151" s="24" customFormat="1" ht="15.9" customHeight="1" x14ac:dyDescent="0.35">
      <c r="A151" s="104"/>
      <c r="B151" s="96"/>
      <c r="C151" s="25"/>
      <c r="D151" s="25"/>
      <c r="K151" s="26"/>
      <c r="L151" s="134"/>
      <c r="M151" s="27"/>
      <c r="Q151" s="25"/>
      <c r="R151" s="25"/>
      <c r="S151" s="25"/>
      <c r="U151" s="23"/>
      <c r="V151" s="25"/>
      <c r="X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CE151" s="25"/>
      <c r="CF151" s="25"/>
      <c r="CG151" s="25"/>
      <c r="CH151" s="25"/>
      <c r="CI151" s="25"/>
      <c r="CJ151" s="25"/>
      <c r="CK151" s="25"/>
      <c r="CL151" s="25"/>
      <c r="ES151" s="27"/>
      <c r="ET151" s="27"/>
      <c r="EU151" s="27"/>
    </row>
    <row r="152" spans="1:151" s="33" customFormat="1" ht="15.9" customHeight="1" x14ac:dyDescent="0.35">
      <c r="A152" s="104"/>
      <c r="B152" s="107"/>
      <c r="C152" s="34"/>
      <c r="D152" s="34"/>
      <c r="E152" s="113"/>
      <c r="F152" s="113"/>
      <c r="G152" s="113"/>
      <c r="H152" s="113"/>
      <c r="I152" s="113"/>
      <c r="J152" s="113"/>
      <c r="K152" s="114"/>
      <c r="L152" s="110"/>
      <c r="M152" s="36"/>
      <c r="Q152" s="34"/>
      <c r="R152" s="34"/>
      <c r="S152" s="34"/>
      <c r="U152" s="32"/>
      <c r="V152" s="34"/>
      <c r="X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CE152" s="34"/>
      <c r="CF152" s="34"/>
      <c r="CG152" s="34"/>
      <c r="CH152" s="34"/>
      <c r="CI152" s="34"/>
      <c r="CJ152" s="34"/>
      <c r="CK152" s="34"/>
      <c r="CL152" s="34"/>
      <c r="ES152" s="36"/>
      <c r="ET152" s="36"/>
      <c r="EU152" s="36"/>
    </row>
    <row r="153" spans="1:151" s="24" customFormat="1" ht="15.9" customHeight="1" x14ac:dyDescent="0.35">
      <c r="A153" s="104"/>
      <c r="B153" s="96"/>
      <c r="C153" s="25"/>
      <c r="D153" s="25"/>
      <c r="E153" s="143"/>
      <c r="F153" s="143"/>
      <c r="G153" s="143"/>
      <c r="H153" s="143"/>
      <c r="I153" s="143"/>
      <c r="J153" s="143"/>
      <c r="K153" s="137"/>
      <c r="L153" s="140"/>
      <c r="M153" s="27"/>
      <c r="Q153" s="25"/>
      <c r="R153" s="25"/>
      <c r="S153" s="25"/>
      <c r="U153" s="23"/>
      <c r="V153" s="25"/>
      <c r="X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CE153" s="25"/>
      <c r="CF153" s="25"/>
      <c r="CG153" s="25"/>
      <c r="CH153" s="25"/>
      <c r="CI153" s="25"/>
      <c r="CJ153" s="25"/>
      <c r="CK153" s="25"/>
      <c r="CL153" s="25"/>
      <c r="ES153" s="27"/>
      <c r="ET153" s="27"/>
      <c r="EU153" s="27"/>
    </row>
    <row r="154" spans="1:151" s="33" customFormat="1" ht="15" customHeight="1" x14ac:dyDescent="0.35">
      <c r="A154" s="104"/>
      <c r="B154" s="105"/>
      <c r="C154" s="34"/>
      <c r="D154" s="34"/>
      <c r="K154" s="35"/>
      <c r="L154" s="106"/>
      <c r="M154" s="36"/>
      <c r="Q154" s="34"/>
      <c r="R154" s="34"/>
      <c r="S154" s="34"/>
      <c r="U154" s="32"/>
      <c r="V154" s="34"/>
      <c r="X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CE154" s="34"/>
      <c r="CF154" s="34"/>
      <c r="CG154" s="34"/>
      <c r="CH154" s="34"/>
      <c r="CI154" s="34"/>
      <c r="CJ154" s="34"/>
      <c r="CK154" s="34"/>
      <c r="CL154" s="34"/>
      <c r="ES154" s="127"/>
      <c r="ET154" s="36"/>
      <c r="EU154" s="36"/>
    </row>
    <row r="155" spans="1:151" s="24" customFormat="1" ht="15" customHeight="1" x14ac:dyDescent="0.35">
      <c r="A155" s="104"/>
      <c r="B155" s="23"/>
      <c r="C155" s="25"/>
      <c r="D155" s="25"/>
      <c r="K155" s="26"/>
      <c r="L155" s="140"/>
      <c r="M155" s="27"/>
      <c r="Q155" s="25"/>
      <c r="R155" s="25"/>
      <c r="S155" s="25"/>
      <c r="U155" s="23"/>
      <c r="V155" s="25"/>
      <c r="X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CE155" s="25"/>
      <c r="CF155" s="25"/>
      <c r="CG155" s="25"/>
      <c r="CH155" s="25"/>
      <c r="CI155" s="25"/>
      <c r="CJ155" s="25"/>
      <c r="CK155" s="25"/>
      <c r="CL155" s="25"/>
      <c r="ES155" s="27"/>
      <c r="ET155" s="25"/>
      <c r="EU155" s="27"/>
    </row>
    <row r="156" spans="1:151" s="33" customFormat="1" ht="15" customHeight="1" x14ac:dyDescent="0.35">
      <c r="A156" s="104"/>
      <c r="B156" s="32"/>
      <c r="C156" s="34"/>
      <c r="D156" s="34"/>
      <c r="K156" s="35"/>
      <c r="L156" s="110"/>
      <c r="M156" s="36"/>
      <c r="Q156" s="34"/>
      <c r="R156" s="34"/>
      <c r="S156" s="34"/>
      <c r="U156" s="32"/>
      <c r="V156" s="34"/>
      <c r="X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CE156" s="34"/>
      <c r="CF156" s="34"/>
      <c r="CG156" s="34"/>
      <c r="CH156" s="34"/>
      <c r="CI156" s="34"/>
      <c r="CJ156" s="34"/>
      <c r="CK156" s="34"/>
      <c r="CL156" s="34"/>
      <c r="ES156" s="36"/>
      <c r="ET156" s="34"/>
      <c r="EU156" s="36"/>
    </row>
    <row r="157" spans="1:151" s="24" customFormat="1" ht="15" customHeight="1" x14ac:dyDescent="0.35">
      <c r="A157" s="104"/>
      <c r="B157" s="23"/>
      <c r="C157" s="25"/>
      <c r="D157" s="25"/>
      <c r="K157" s="148"/>
      <c r="L157" s="140"/>
      <c r="M157" s="27"/>
      <c r="Q157" s="25"/>
      <c r="R157" s="25"/>
      <c r="S157" s="25"/>
      <c r="U157" s="23"/>
      <c r="V157" s="25"/>
      <c r="X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CE157" s="25"/>
      <c r="CF157" s="25"/>
      <c r="CG157" s="25"/>
      <c r="CH157" s="25"/>
      <c r="CI157" s="25"/>
      <c r="CJ157" s="25"/>
      <c r="CK157" s="25"/>
      <c r="CL157" s="25"/>
      <c r="ES157" s="27"/>
      <c r="ET157" s="25"/>
      <c r="EU157" s="27"/>
    </row>
    <row r="158" spans="1:151" s="33" customFormat="1" ht="15" customHeight="1" x14ac:dyDescent="0.35">
      <c r="A158" s="104"/>
      <c r="B158" s="32"/>
      <c r="C158" s="34"/>
      <c r="D158" s="34"/>
      <c r="K158" s="35"/>
      <c r="L158" s="110"/>
      <c r="M158" s="36"/>
      <c r="Q158" s="34"/>
      <c r="R158" s="34"/>
      <c r="S158" s="34"/>
      <c r="U158" s="32"/>
      <c r="V158" s="34"/>
      <c r="X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CE158" s="34"/>
      <c r="CF158" s="34"/>
      <c r="CG158" s="34"/>
      <c r="CH158" s="34"/>
      <c r="CI158" s="34"/>
      <c r="CJ158" s="34"/>
      <c r="CK158" s="34"/>
      <c r="CL158" s="34"/>
      <c r="ES158" s="36"/>
      <c r="ET158" s="34"/>
      <c r="EU158" s="36"/>
    </row>
    <row r="159" spans="1:151" s="24" customFormat="1" ht="15" customHeight="1" x14ac:dyDescent="0.35">
      <c r="A159" s="104"/>
      <c r="B159" s="23"/>
      <c r="C159" s="25"/>
      <c r="D159" s="25"/>
      <c r="K159" s="148"/>
      <c r="L159" s="140"/>
      <c r="M159" s="27"/>
      <c r="Q159" s="25"/>
      <c r="R159" s="25"/>
      <c r="S159" s="25"/>
      <c r="U159" s="23"/>
      <c r="V159" s="25"/>
      <c r="X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CE159" s="25"/>
      <c r="CF159" s="25"/>
      <c r="CG159" s="25"/>
      <c r="CH159" s="25"/>
      <c r="CI159" s="25"/>
      <c r="CJ159" s="25"/>
      <c r="CK159" s="25"/>
      <c r="CL159" s="25"/>
      <c r="ES159" s="27"/>
      <c r="ET159" s="25"/>
      <c r="EU159" s="27"/>
    </row>
    <row r="160" spans="1:151" s="33" customFormat="1" ht="15.9" customHeight="1" x14ac:dyDescent="0.35">
      <c r="A160" s="104"/>
      <c r="B160" s="32"/>
      <c r="C160" s="34"/>
      <c r="D160" s="34"/>
      <c r="K160" s="35"/>
      <c r="L160" s="110"/>
      <c r="M160" s="36"/>
      <c r="Q160" s="34"/>
      <c r="R160" s="34"/>
      <c r="S160" s="34"/>
      <c r="U160" s="32"/>
      <c r="V160" s="34"/>
      <c r="X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CE160" s="34"/>
      <c r="CF160" s="34"/>
      <c r="CG160" s="34"/>
      <c r="CH160" s="34"/>
      <c r="CI160" s="34"/>
      <c r="CJ160" s="34"/>
      <c r="CK160" s="34"/>
      <c r="CL160" s="34"/>
      <c r="ES160" s="36"/>
      <c r="ET160" s="34"/>
      <c r="EU160" s="36"/>
    </row>
    <row r="161" spans="1:151" s="24" customFormat="1" ht="15.9" customHeight="1" x14ac:dyDescent="0.35">
      <c r="A161" s="104"/>
      <c r="B161" s="23"/>
      <c r="C161" s="25"/>
      <c r="D161" s="25"/>
      <c r="K161" s="148"/>
      <c r="L161" s="140"/>
      <c r="M161" s="27"/>
      <c r="Q161" s="25"/>
      <c r="R161" s="25"/>
      <c r="S161" s="25"/>
      <c r="U161" s="23"/>
      <c r="V161" s="25"/>
      <c r="X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CE161" s="25"/>
      <c r="CF161" s="25"/>
      <c r="CG161" s="25"/>
      <c r="CH161" s="25"/>
      <c r="CI161" s="25"/>
      <c r="CJ161" s="25"/>
      <c r="CK161" s="25"/>
      <c r="CL161" s="25"/>
      <c r="ES161" s="27"/>
      <c r="ET161" s="25"/>
      <c r="EU161" s="27"/>
    </row>
    <row r="162" spans="1:151" s="33" customFormat="1" ht="15.9" customHeight="1" x14ac:dyDescent="0.35">
      <c r="A162" s="104"/>
      <c r="B162" s="32"/>
      <c r="C162" s="34"/>
      <c r="D162" s="34"/>
      <c r="K162" s="35"/>
      <c r="L162" s="110"/>
      <c r="M162" s="36"/>
      <c r="Q162" s="34"/>
      <c r="AC162" s="34"/>
      <c r="AD162" s="32"/>
      <c r="AF162" s="34"/>
      <c r="AI162" s="34"/>
      <c r="AJ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CE162" s="34"/>
      <c r="CF162" s="34"/>
      <c r="CG162" s="34"/>
      <c r="CH162" s="34"/>
      <c r="CI162" s="34"/>
      <c r="CJ162" s="34"/>
      <c r="CK162" s="34"/>
      <c r="CL162" s="34"/>
      <c r="EM162" s="34"/>
      <c r="ES162" s="36"/>
      <c r="ET162" s="34"/>
      <c r="EU162" s="36"/>
    </row>
    <row r="163" spans="1:151" s="24" customFormat="1" ht="15.9" customHeight="1" x14ac:dyDescent="0.35">
      <c r="A163" s="104"/>
      <c r="B163" s="23"/>
      <c r="C163" s="25"/>
      <c r="D163" s="25"/>
      <c r="K163" s="148"/>
      <c r="L163" s="140"/>
      <c r="M163" s="27"/>
      <c r="Q163" s="25"/>
      <c r="AC163" s="25"/>
      <c r="AD163" s="23"/>
      <c r="AF163" s="25"/>
      <c r="AI163" s="25"/>
      <c r="AJ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CE163" s="25"/>
      <c r="CF163" s="25"/>
      <c r="CG163" s="25"/>
      <c r="CH163" s="25"/>
      <c r="CI163" s="25"/>
      <c r="CJ163" s="25"/>
      <c r="CK163" s="25"/>
      <c r="CL163" s="25"/>
      <c r="EM163" s="25"/>
      <c r="ES163" s="27"/>
      <c r="ET163" s="25"/>
      <c r="EU163" s="27"/>
    </row>
    <row r="164" spans="1:151" s="33" customFormat="1" ht="15.9" customHeight="1" x14ac:dyDescent="0.35">
      <c r="A164" s="104"/>
      <c r="B164" s="105"/>
      <c r="C164" s="34"/>
      <c r="D164" s="34"/>
      <c r="K164" s="35"/>
      <c r="L164" s="106"/>
      <c r="M164" s="36"/>
      <c r="Q164" s="34"/>
      <c r="R164" s="34"/>
      <c r="S164" s="34"/>
      <c r="U164" s="32"/>
      <c r="V164" s="34"/>
      <c r="X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CE164" s="34"/>
      <c r="CF164" s="34"/>
      <c r="CG164" s="34"/>
      <c r="CH164" s="34"/>
      <c r="CI164" s="34"/>
      <c r="CJ164" s="34"/>
      <c r="CK164" s="34"/>
      <c r="CL164" s="34"/>
      <c r="ES164" s="36"/>
      <c r="ET164" s="36"/>
      <c r="EU164" s="36"/>
    </row>
    <row r="165" spans="1:151" s="24" customFormat="1" ht="15.9" customHeight="1" x14ac:dyDescent="0.35">
      <c r="A165" s="104"/>
      <c r="B165" s="23"/>
      <c r="C165" s="25"/>
      <c r="D165" s="25"/>
      <c r="K165" s="148"/>
      <c r="L165" s="87"/>
      <c r="M165" s="27"/>
      <c r="Q165" s="25"/>
      <c r="AC165" s="25"/>
      <c r="AD165" s="23"/>
      <c r="AF165" s="25"/>
      <c r="AI165" s="25"/>
      <c r="AJ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CE165" s="25"/>
      <c r="CF165" s="25"/>
      <c r="CG165" s="25"/>
      <c r="CH165" s="25"/>
      <c r="CI165" s="25"/>
      <c r="CJ165" s="25"/>
      <c r="CK165" s="25"/>
      <c r="CL165" s="25"/>
      <c r="EM165" s="25"/>
      <c r="ES165" s="27"/>
      <c r="ET165" s="149"/>
      <c r="EU165" s="27"/>
    </row>
    <row r="166" spans="1:151" s="33" customFormat="1" ht="15.9" customHeight="1" x14ac:dyDescent="0.35">
      <c r="A166" s="104"/>
      <c r="B166" s="32"/>
      <c r="C166" s="34"/>
      <c r="D166" s="34"/>
      <c r="K166" s="35"/>
      <c r="L166" s="85"/>
      <c r="M166" s="36"/>
      <c r="Q166" s="34"/>
      <c r="AC166" s="34"/>
      <c r="AD166" s="32"/>
      <c r="AF166" s="34"/>
      <c r="AI166" s="34"/>
      <c r="AJ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CE166" s="34"/>
      <c r="CF166" s="34"/>
      <c r="CG166" s="34"/>
      <c r="CH166" s="34"/>
      <c r="CI166" s="34"/>
      <c r="CJ166" s="34"/>
      <c r="CK166" s="34"/>
      <c r="CL166" s="34"/>
      <c r="EM166" s="34"/>
      <c r="ES166" s="36"/>
      <c r="ET166" s="121"/>
      <c r="EU166" s="36"/>
    </row>
    <row r="167" spans="1:151" s="24" customFormat="1" ht="15.9" customHeight="1" x14ac:dyDescent="0.35">
      <c r="A167" s="104"/>
      <c r="B167" s="23"/>
      <c r="C167" s="25"/>
      <c r="D167" s="25"/>
      <c r="K167" s="148"/>
      <c r="L167" s="87"/>
      <c r="M167" s="27"/>
      <c r="Q167" s="25"/>
      <c r="AC167" s="25"/>
      <c r="AD167" s="23"/>
      <c r="AF167" s="25"/>
      <c r="AI167" s="25"/>
      <c r="AJ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CE167" s="25"/>
      <c r="CF167" s="25"/>
      <c r="CG167" s="25"/>
      <c r="CH167" s="25"/>
      <c r="CI167" s="25"/>
      <c r="CJ167" s="25"/>
      <c r="CK167" s="25"/>
      <c r="CL167" s="25"/>
      <c r="EM167" s="25"/>
      <c r="ES167" s="27"/>
      <c r="ET167" s="149"/>
      <c r="EU167" s="27"/>
    </row>
    <row r="168" spans="1:151" s="33" customFormat="1" ht="15.9" customHeight="1" x14ac:dyDescent="0.35">
      <c r="A168" s="104"/>
      <c r="B168" s="105"/>
      <c r="C168" s="34"/>
      <c r="D168" s="34"/>
      <c r="K168" s="35"/>
      <c r="L168" s="106"/>
      <c r="M168" s="36"/>
      <c r="Q168" s="34"/>
      <c r="R168" s="34"/>
      <c r="S168" s="34"/>
      <c r="U168" s="32"/>
      <c r="V168" s="34"/>
      <c r="X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CE168" s="34"/>
      <c r="CF168" s="34"/>
      <c r="CG168" s="34"/>
      <c r="CH168" s="34"/>
      <c r="CI168" s="34"/>
      <c r="CJ168" s="34"/>
      <c r="CK168" s="34"/>
      <c r="CL168" s="34"/>
      <c r="ES168" s="36"/>
      <c r="ET168" s="36"/>
      <c r="EU168" s="36"/>
    </row>
    <row r="169" spans="1:151" s="24" customFormat="1" ht="15.9" customHeight="1" x14ac:dyDescent="0.35">
      <c r="A169" s="104"/>
      <c r="B169" s="23"/>
      <c r="C169" s="25"/>
      <c r="D169" s="25"/>
      <c r="K169" s="148"/>
      <c r="L169" s="87"/>
      <c r="M169" s="27"/>
      <c r="Q169" s="25"/>
      <c r="R169" s="25"/>
      <c r="S169" s="25"/>
      <c r="U169" s="23"/>
      <c r="V169" s="25"/>
      <c r="X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CE169" s="25"/>
      <c r="CF169" s="25"/>
      <c r="CG169" s="25"/>
      <c r="CH169" s="25"/>
      <c r="CI169" s="25"/>
      <c r="CJ169" s="25"/>
      <c r="CK169" s="25"/>
      <c r="CL169" s="25"/>
      <c r="ES169" s="27"/>
      <c r="ET169" s="149"/>
      <c r="EU169" s="27"/>
    </row>
    <row r="170" spans="1:151" s="33" customFormat="1" ht="15.9" customHeight="1" x14ac:dyDescent="0.35">
      <c r="A170" s="104"/>
      <c r="B170" s="32"/>
      <c r="C170" s="34"/>
      <c r="D170" s="34"/>
      <c r="K170" s="35"/>
      <c r="L170" s="85"/>
      <c r="M170" s="36"/>
      <c r="Q170" s="34"/>
      <c r="R170" s="34"/>
      <c r="S170" s="34"/>
      <c r="U170" s="32"/>
      <c r="V170" s="34"/>
      <c r="X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CE170" s="34"/>
      <c r="CF170" s="34"/>
      <c r="CG170" s="34"/>
      <c r="CH170" s="34"/>
      <c r="CI170" s="34"/>
      <c r="CJ170" s="34"/>
      <c r="CK170" s="34"/>
      <c r="CL170" s="34"/>
      <c r="ES170" s="36"/>
      <c r="ET170" s="121"/>
      <c r="EU170" s="36"/>
    </row>
    <row r="171" spans="1:151" s="24" customFormat="1" ht="15.9" customHeight="1" x14ac:dyDescent="0.35">
      <c r="A171" s="104"/>
      <c r="B171" s="23"/>
      <c r="C171" s="25"/>
      <c r="D171" s="25"/>
      <c r="K171" s="148"/>
      <c r="L171" s="87"/>
      <c r="M171" s="27"/>
      <c r="Q171" s="25"/>
      <c r="R171" s="25"/>
      <c r="S171" s="25"/>
      <c r="U171" s="23"/>
      <c r="V171" s="25"/>
      <c r="X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CE171" s="25"/>
      <c r="CF171" s="25"/>
      <c r="CG171" s="25"/>
      <c r="CH171" s="25"/>
      <c r="CI171" s="25"/>
      <c r="CJ171" s="25"/>
      <c r="CK171" s="25"/>
      <c r="CL171" s="25"/>
      <c r="ES171" s="27"/>
      <c r="ET171" s="149"/>
      <c r="EU171" s="27"/>
    </row>
    <row r="172" spans="1:151" s="33" customFormat="1" ht="15.9" customHeight="1" x14ac:dyDescent="0.35">
      <c r="A172" s="104"/>
      <c r="B172" s="105"/>
      <c r="C172" s="34"/>
      <c r="D172" s="34"/>
      <c r="K172" s="35"/>
      <c r="L172" s="106"/>
      <c r="M172" s="36"/>
      <c r="Q172" s="34"/>
      <c r="R172" s="34"/>
      <c r="S172" s="34"/>
      <c r="U172" s="32"/>
      <c r="V172" s="34"/>
      <c r="X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CE172" s="34"/>
      <c r="CF172" s="34"/>
      <c r="CG172" s="34"/>
      <c r="CH172" s="34"/>
      <c r="CI172" s="34"/>
      <c r="CJ172" s="34"/>
      <c r="CK172" s="34"/>
      <c r="CL172" s="34"/>
      <c r="ES172" s="36"/>
      <c r="ET172" s="36"/>
      <c r="EU172" s="36"/>
    </row>
    <row r="173" spans="1:151" s="24" customFormat="1" ht="15.9" customHeight="1" x14ac:dyDescent="0.35">
      <c r="A173" s="104"/>
      <c r="B173" s="23"/>
      <c r="C173" s="25"/>
      <c r="D173" s="25"/>
      <c r="K173" s="148"/>
      <c r="L173" s="87"/>
      <c r="M173" s="27"/>
      <c r="Q173" s="25"/>
      <c r="AC173" s="25"/>
      <c r="AD173" s="23"/>
      <c r="AF173" s="25"/>
      <c r="AI173" s="25"/>
      <c r="AJ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CE173" s="25"/>
      <c r="CF173" s="25"/>
      <c r="CG173" s="25"/>
      <c r="CH173" s="25"/>
      <c r="CI173" s="25"/>
      <c r="CJ173" s="25"/>
      <c r="CK173" s="25"/>
      <c r="CL173" s="25"/>
      <c r="EM173" s="25"/>
      <c r="ES173" s="27"/>
      <c r="ET173" s="149"/>
      <c r="EU173" s="27"/>
    </row>
    <row r="174" spans="1:151" s="33" customFormat="1" ht="15.9" customHeight="1" x14ac:dyDescent="0.35">
      <c r="A174" s="104"/>
      <c r="B174" s="32"/>
      <c r="C174" s="34"/>
      <c r="D174" s="34"/>
      <c r="K174" s="35"/>
      <c r="L174" s="85"/>
      <c r="M174" s="36"/>
      <c r="Q174" s="34"/>
      <c r="Z174" s="32"/>
      <c r="CE174" s="34"/>
      <c r="CF174" s="34"/>
      <c r="CG174" s="34"/>
      <c r="CH174" s="34"/>
      <c r="CI174" s="34"/>
      <c r="CJ174" s="34"/>
      <c r="CK174" s="34"/>
      <c r="CL174" s="34"/>
      <c r="ES174" s="36"/>
      <c r="ET174" s="121"/>
      <c r="EU174" s="36"/>
    </row>
    <row r="175" spans="1:151" s="24" customFormat="1" x14ac:dyDescent="0.35">
      <c r="A175" s="104"/>
      <c r="B175" s="23"/>
      <c r="C175" s="25"/>
      <c r="D175" s="25"/>
      <c r="K175" s="148"/>
      <c r="L175" s="87"/>
      <c r="M175" s="27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ES175" s="27"/>
      <c r="ET175" s="149"/>
      <c r="EU175" s="27"/>
    </row>
    <row r="176" spans="1:151" s="33" customFormat="1" x14ac:dyDescent="0.35">
      <c r="A176" s="104"/>
      <c r="B176" s="32"/>
      <c r="C176" s="34"/>
      <c r="D176" s="34"/>
      <c r="K176" s="35"/>
      <c r="L176" s="85"/>
      <c r="M176" s="36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DB176" s="34"/>
      <c r="DM176" s="34"/>
      <c r="DQ176" s="34"/>
      <c r="DU176" s="34"/>
      <c r="EA176" s="34"/>
      <c r="EG176" s="34"/>
      <c r="ES176" s="36"/>
      <c r="ET176" s="121"/>
      <c r="EU176" s="36"/>
    </row>
    <row r="177" spans="1:151" s="24" customFormat="1" x14ac:dyDescent="0.35">
      <c r="A177" s="104"/>
      <c r="C177" s="25"/>
      <c r="D177" s="25"/>
      <c r="K177" s="148"/>
      <c r="L177" s="87"/>
      <c r="M177" s="27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DB177" s="25"/>
      <c r="DM177" s="25"/>
      <c r="DQ177" s="25"/>
      <c r="DU177" s="25"/>
      <c r="EA177" s="25"/>
      <c r="EG177" s="25"/>
      <c r="ES177" s="27"/>
      <c r="ET177" s="149"/>
      <c r="EU177" s="27"/>
    </row>
    <row r="178" spans="1:151" s="33" customFormat="1" x14ac:dyDescent="0.35">
      <c r="A178" s="104"/>
      <c r="C178" s="34"/>
      <c r="D178" s="34"/>
      <c r="K178" s="35"/>
      <c r="L178" s="85"/>
      <c r="M178" s="36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DB178" s="34"/>
      <c r="DM178" s="34"/>
      <c r="DQ178" s="34"/>
      <c r="DU178" s="34"/>
      <c r="EA178" s="34"/>
      <c r="EG178" s="34"/>
      <c r="ES178" s="36"/>
      <c r="ET178" s="121"/>
      <c r="EU178" s="36"/>
    </row>
    <row r="179" spans="1:151" s="24" customFormat="1" x14ac:dyDescent="0.35">
      <c r="A179" s="104"/>
      <c r="C179" s="25"/>
      <c r="D179" s="25"/>
      <c r="K179" s="148"/>
      <c r="L179" s="87"/>
      <c r="M179" s="27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DB179" s="25"/>
      <c r="DM179" s="25"/>
      <c r="DQ179" s="25"/>
      <c r="DU179" s="25"/>
      <c r="EA179" s="25"/>
      <c r="EG179" s="25"/>
      <c r="ES179" s="27"/>
      <c r="ET179" s="149"/>
      <c r="EU179" s="27"/>
    </row>
    <row r="180" spans="1:151" s="33" customFormat="1" x14ac:dyDescent="0.35">
      <c r="A180" s="104"/>
      <c r="C180" s="34"/>
      <c r="D180" s="34"/>
      <c r="K180" s="35"/>
      <c r="L180" s="85"/>
      <c r="M180" s="36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DB180" s="34"/>
      <c r="DM180" s="34"/>
      <c r="DQ180" s="34"/>
      <c r="DU180" s="34"/>
      <c r="EA180" s="34"/>
      <c r="EG180" s="34"/>
      <c r="ES180" s="36"/>
      <c r="ET180" s="121"/>
      <c r="EU180" s="36"/>
    </row>
    <row r="181" spans="1:151" s="24" customFormat="1" x14ac:dyDescent="0.35">
      <c r="A181" s="104"/>
      <c r="B181" s="23"/>
      <c r="C181" s="25"/>
      <c r="D181" s="25"/>
      <c r="K181" s="148"/>
      <c r="L181" s="87"/>
      <c r="M181" s="27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DB181" s="25"/>
      <c r="DM181" s="25"/>
      <c r="DQ181" s="25"/>
      <c r="DU181" s="25"/>
      <c r="EA181" s="25"/>
      <c r="EG181" s="25"/>
      <c r="ES181" s="27"/>
      <c r="ET181" s="149"/>
      <c r="EU181" s="27"/>
    </row>
    <row r="182" spans="1:151" s="58" customFormat="1" x14ac:dyDescent="0.35">
      <c r="A182" s="104"/>
      <c r="B182" s="32"/>
      <c r="C182" s="34"/>
      <c r="D182" s="34"/>
      <c r="E182" s="33"/>
      <c r="F182" s="33"/>
      <c r="G182" s="33"/>
      <c r="H182" s="33"/>
      <c r="I182" s="33"/>
      <c r="J182" s="33"/>
      <c r="K182" s="35"/>
      <c r="L182" s="85"/>
      <c r="M182" s="36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  <c r="AR182" s="119"/>
      <c r="AS182" s="119"/>
      <c r="AT182" s="119"/>
      <c r="AU182" s="119"/>
      <c r="AV182" s="119"/>
      <c r="AW182" s="119"/>
      <c r="AX182" s="119"/>
      <c r="AY182" s="119"/>
      <c r="AZ182" s="119"/>
      <c r="BA182" s="119"/>
      <c r="BB182" s="119"/>
      <c r="BC182" s="119"/>
      <c r="BD182" s="119"/>
      <c r="BE182" s="119"/>
      <c r="BF182" s="119"/>
      <c r="BG182" s="119"/>
      <c r="BH182" s="119"/>
      <c r="BI182" s="119"/>
      <c r="BJ182" s="119"/>
      <c r="BK182" s="119"/>
      <c r="BL182" s="119"/>
      <c r="BM182" s="119"/>
      <c r="BN182" s="119"/>
      <c r="BO182" s="119"/>
      <c r="BP182" s="119"/>
      <c r="BQ182" s="119"/>
      <c r="BR182" s="119"/>
      <c r="BS182" s="119"/>
      <c r="BT182" s="119"/>
      <c r="BU182" s="119"/>
      <c r="BV182" s="119"/>
      <c r="BW182" s="119"/>
      <c r="BX182" s="119"/>
      <c r="BY182" s="119"/>
      <c r="BZ182" s="119"/>
      <c r="CA182" s="119"/>
      <c r="CB182" s="119"/>
      <c r="CC182" s="119"/>
      <c r="CD182" s="119"/>
      <c r="CE182" s="119"/>
      <c r="CF182" s="119"/>
      <c r="CG182" s="119"/>
      <c r="CH182" s="119"/>
      <c r="CI182" s="119"/>
      <c r="CJ182" s="119"/>
      <c r="CK182" s="119"/>
      <c r="CL182" s="119"/>
      <c r="DB182" s="119"/>
      <c r="DM182" s="119"/>
      <c r="DQ182" s="119"/>
      <c r="DU182" s="119"/>
      <c r="EA182" s="119"/>
      <c r="EG182" s="119"/>
      <c r="ES182" s="36"/>
      <c r="ET182" s="121"/>
      <c r="EU182" s="120"/>
    </row>
    <row r="183" spans="1:151" s="150" customFormat="1" x14ac:dyDescent="0.35">
      <c r="A183" s="104"/>
      <c r="B183" s="23"/>
      <c r="C183" s="25"/>
      <c r="D183" s="25"/>
      <c r="E183" s="24"/>
      <c r="F183" s="24"/>
      <c r="G183" s="24"/>
      <c r="H183" s="24"/>
      <c r="I183" s="24"/>
      <c r="J183" s="24"/>
      <c r="K183" s="148"/>
      <c r="L183" s="87"/>
      <c r="M183" s="27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1"/>
      <c r="AH183" s="151"/>
      <c r="AI183" s="151"/>
      <c r="AJ183" s="151"/>
      <c r="AK183" s="151"/>
      <c r="AL183" s="151"/>
      <c r="AM183" s="151"/>
      <c r="AN183" s="151"/>
      <c r="AO183" s="151"/>
      <c r="AP183" s="151"/>
      <c r="AQ183" s="151"/>
      <c r="AR183" s="151"/>
      <c r="AS183" s="151"/>
      <c r="AT183" s="151"/>
      <c r="AU183" s="151"/>
      <c r="AV183" s="151"/>
      <c r="AW183" s="151"/>
      <c r="AX183" s="151"/>
      <c r="AY183" s="151"/>
      <c r="AZ183" s="151"/>
      <c r="BA183" s="151"/>
      <c r="BB183" s="151"/>
      <c r="BC183" s="151"/>
      <c r="BD183" s="151"/>
      <c r="BE183" s="151"/>
      <c r="BF183" s="151"/>
      <c r="BG183" s="151"/>
      <c r="BH183" s="151"/>
      <c r="BI183" s="151"/>
      <c r="BJ183" s="151"/>
      <c r="BK183" s="151"/>
      <c r="BL183" s="151"/>
      <c r="BM183" s="151"/>
      <c r="BN183" s="151"/>
      <c r="BO183" s="151"/>
      <c r="BP183" s="151"/>
      <c r="BQ183" s="151"/>
      <c r="BR183" s="151"/>
      <c r="BS183" s="151"/>
      <c r="BT183" s="151"/>
      <c r="BU183" s="151"/>
      <c r="BV183" s="151"/>
      <c r="BW183" s="151"/>
      <c r="BX183" s="151"/>
      <c r="BY183" s="151"/>
      <c r="BZ183" s="151"/>
      <c r="CA183" s="151"/>
      <c r="CB183" s="151"/>
      <c r="CC183" s="151"/>
      <c r="CD183" s="151"/>
      <c r="CE183" s="151"/>
      <c r="CF183" s="151"/>
      <c r="CG183" s="151"/>
      <c r="CH183" s="151"/>
      <c r="CI183" s="151"/>
      <c r="CJ183" s="151"/>
      <c r="CK183" s="151"/>
      <c r="CL183" s="151"/>
      <c r="DB183" s="151"/>
      <c r="DM183" s="151"/>
      <c r="DQ183" s="151"/>
      <c r="DU183" s="151"/>
      <c r="EA183" s="151"/>
      <c r="EG183" s="151"/>
      <c r="ES183" s="27"/>
      <c r="ET183" s="149"/>
      <c r="EU183" s="103"/>
    </row>
    <row r="184" spans="1:151" s="33" customFormat="1" ht="15.9" customHeight="1" x14ac:dyDescent="0.35">
      <c r="A184" s="104"/>
      <c r="B184" s="105"/>
      <c r="C184" s="34"/>
      <c r="D184" s="34"/>
      <c r="K184" s="35"/>
      <c r="L184" s="106"/>
      <c r="M184" s="36"/>
      <c r="Q184" s="34"/>
      <c r="R184" s="34"/>
      <c r="S184" s="34"/>
      <c r="U184" s="32"/>
      <c r="V184" s="34"/>
      <c r="X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CE184" s="34"/>
      <c r="CF184" s="34"/>
      <c r="CG184" s="34"/>
      <c r="CH184" s="34"/>
      <c r="CI184" s="34"/>
      <c r="CJ184" s="34"/>
      <c r="CK184" s="34"/>
      <c r="CL184" s="34"/>
      <c r="ES184" s="36"/>
      <c r="ET184" s="36"/>
      <c r="EU184" s="36"/>
    </row>
    <row r="185" spans="1:151" s="24" customFormat="1" x14ac:dyDescent="0.35">
      <c r="A185" s="104"/>
      <c r="B185" s="23"/>
      <c r="C185" s="25"/>
      <c r="D185" s="25"/>
      <c r="K185" s="148"/>
      <c r="L185" s="87"/>
      <c r="M185" s="27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ES185" s="27"/>
      <c r="ET185" s="149"/>
      <c r="EU185" s="27"/>
    </row>
    <row r="186" spans="1:151" s="33" customFormat="1" x14ac:dyDescent="0.35">
      <c r="A186" s="104"/>
      <c r="B186" s="32"/>
      <c r="C186" s="34"/>
      <c r="D186" s="34"/>
      <c r="K186" s="35"/>
      <c r="L186" s="85"/>
      <c r="M186" s="36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ES186" s="36"/>
      <c r="ET186" s="121"/>
      <c r="EU186" s="36"/>
    </row>
    <row r="187" spans="1:151" s="24" customFormat="1" x14ac:dyDescent="0.35">
      <c r="A187" s="104"/>
      <c r="B187" s="23"/>
      <c r="C187" s="25"/>
      <c r="D187" s="25"/>
      <c r="K187" s="148"/>
      <c r="L187" s="87"/>
      <c r="M187" s="27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ES187" s="27"/>
      <c r="ET187" s="149"/>
      <c r="EU187" s="27"/>
    </row>
    <row r="188" spans="1:151" s="33" customFormat="1" x14ac:dyDescent="0.35">
      <c r="A188" s="104"/>
      <c r="B188" s="32"/>
      <c r="C188" s="34"/>
      <c r="D188" s="34"/>
      <c r="K188" s="35"/>
      <c r="L188" s="85"/>
      <c r="M188" s="36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S188" s="34"/>
      <c r="CT188" s="34"/>
      <c r="DD188" s="34"/>
      <c r="DH188" s="34"/>
      <c r="DL188" s="34"/>
      <c r="DR188" s="34"/>
      <c r="DX188" s="34"/>
      <c r="ES188" s="36"/>
      <c r="ET188" s="121"/>
      <c r="EU188" s="36"/>
    </row>
    <row r="189" spans="1:151" s="24" customFormat="1" x14ac:dyDescent="0.35">
      <c r="A189" s="104"/>
      <c r="C189" s="25"/>
      <c r="D189" s="25"/>
      <c r="K189" s="148"/>
      <c r="L189" s="87"/>
      <c r="M189" s="27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ES189" s="27"/>
      <c r="ET189" s="149"/>
      <c r="EU189" s="27"/>
    </row>
    <row r="190" spans="1:151" s="33" customFormat="1" x14ac:dyDescent="0.35">
      <c r="A190" s="104"/>
      <c r="C190" s="34"/>
      <c r="D190" s="34"/>
      <c r="K190" s="35"/>
      <c r="L190" s="85"/>
      <c r="M190" s="36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EA190" s="34"/>
      <c r="ES190" s="36"/>
      <c r="ET190" s="121"/>
      <c r="EU190" s="36"/>
    </row>
    <row r="191" spans="1:151" s="24" customFormat="1" x14ac:dyDescent="0.35">
      <c r="A191" s="104"/>
      <c r="C191" s="25"/>
      <c r="D191" s="25"/>
      <c r="K191" s="148"/>
      <c r="L191" s="87"/>
      <c r="M191" s="27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ES191" s="27"/>
      <c r="ET191" s="149"/>
      <c r="EU191" s="27"/>
    </row>
    <row r="192" spans="1:151" s="33" customFormat="1" x14ac:dyDescent="0.35">
      <c r="A192" s="104"/>
      <c r="B192" s="32"/>
      <c r="C192" s="34"/>
      <c r="D192" s="34"/>
      <c r="K192" s="35"/>
      <c r="L192" s="85"/>
      <c r="M192" s="36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ES192" s="36"/>
      <c r="ET192" s="121"/>
      <c r="EU192" s="36"/>
    </row>
    <row r="193" spans="1:151" s="24" customFormat="1" x14ac:dyDescent="0.35">
      <c r="A193" s="104"/>
      <c r="B193" s="23"/>
      <c r="C193" s="25"/>
      <c r="D193" s="25"/>
      <c r="K193" s="148"/>
      <c r="L193" s="87"/>
      <c r="M193" s="27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ES193" s="27"/>
      <c r="ET193" s="149"/>
      <c r="EU193" s="27"/>
    </row>
    <row r="194" spans="1:151" s="33" customFormat="1" x14ac:dyDescent="0.35">
      <c r="A194" s="104"/>
      <c r="B194" s="32"/>
      <c r="C194" s="34"/>
      <c r="D194" s="34"/>
      <c r="K194" s="35"/>
      <c r="L194" s="85"/>
      <c r="M194" s="36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ES194" s="36"/>
      <c r="ET194" s="121"/>
      <c r="EU194" s="36"/>
    </row>
    <row r="195" spans="1:151" s="24" customFormat="1" ht="15.9" customHeight="1" x14ac:dyDescent="0.35">
      <c r="A195" s="104"/>
      <c r="B195" s="132"/>
      <c r="C195" s="25"/>
      <c r="D195" s="25"/>
      <c r="K195" s="26"/>
      <c r="L195" s="133"/>
      <c r="M195" s="27"/>
      <c r="Q195" s="25"/>
      <c r="R195" s="25"/>
      <c r="S195" s="25"/>
      <c r="U195" s="23"/>
      <c r="V195" s="25"/>
      <c r="X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CE195" s="25"/>
      <c r="CF195" s="25"/>
      <c r="CG195" s="25"/>
      <c r="CH195" s="25"/>
      <c r="CI195" s="25"/>
      <c r="CJ195" s="25"/>
      <c r="CK195" s="25"/>
      <c r="CL195" s="25"/>
      <c r="ES195" s="27"/>
      <c r="ET195" s="27"/>
      <c r="EU195" s="27"/>
    </row>
    <row r="196" spans="1:151" s="33" customFormat="1" x14ac:dyDescent="0.35">
      <c r="A196" s="104"/>
      <c r="B196" s="32"/>
      <c r="C196" s="34"/>
      <c r="D196" s="34"/>
      <c r="K196" s="35"/>
      <c r="L196" s="85"/>
      <c r="M196" s="36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ES196" s="36"/>
      <c r="ET196" s="121"/>
      <c r="EU196" s="36"/>
    </row>
    <row r="197" spans="1:151" s="24" customFormat="1" x14ac:dyDescent="0.35">
      <c r="A197" s="104"/>
      <c r="B197" s="23"/>
      <c r="C197" s="25"/>
      <c r="D197" s="25"/>
      <c r="K197" s="148"/>
      <c r="L197" s="87"/>
      <c r="M197" s="27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ES197" s="27"/>
      <c r="ET197" s="149"/>
      <c r="EU197" s="27"/>
    </row>
    <row r="198" spans="1:151" s="33" customFormat="1" x14ac:dyDescent="0.35">
      <c r="A198" s="104"/>
      <c r="B198" s="32"/>
      <c r="C198" s="34"/>
      <c r="D198" s="34"/>
      <c r="K198" s="35"/>
      <c r="L198" s="85"/>
      <c r="M198" s="36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ES198" s="36"/>
      <c r="ET198" s="121"/>
      <c r="EU198" s="36"/>
    </row>
    <row r="199" spans="1:151" s="24" customFormat="1" x14ac:dyDescent="0.35">
      <c r="A199" s="104"/>
      <c r="B199" s="23"/>
      <c r="C199" s="25"/>
      <c r="D199" s="25"/>
      <c r="K199" s="148"/>
      <c r="L199" s="87"/>
      <c r="M199" s="27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S199" s="25"/>
      <c r="CT199" s="25"/>
      <c r="DD199" s="25"/>
      <c r="DH199" s="25"/>
      <c r="DL199" s="25"/>
      <c r="DR199" s="25"/>
      <c r="DX199" s="25"/>
      <c r="ES199" s="27"/>
      <c r="ET199" s="149"/>
      <c r="EU199" s="27"/>
    </row>
    <row r="200" spans="1:151" s="33" customFormat="1" x14ac:dyDescent="0.35">
      <c r="A200" s="104"/>
      <c r="C200" s="34"/>
      <c r="D200" s="34"/>
      <c r="K200" s="35"/>
      <c r="L200" s="85"/>
      <c r="M200" s="36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ES200" s="36"/>
      <c r="ET200" s="121"/>
      <c r="EU200" s="36"/>
    </row>
    <row r="201" spans="1:151" s="24" customFormat="1" x14ac:dyDescent="0.35">
      <c r="A201" s="104"/>
      <c r="C201" s="25"/>
      <c r="D201" s="25"/>
      <c r="K201" s="148"/>
      <c r="L201" s="87"/>
      <c r="M201" s="27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EA201" s="25"/>
      <c r="ES201" s="27"/>
      <c r="ET201" s="149"/>
      <c r="EU201" s="27"/>
    </row>
    <row r="202" spans="1:151" s="33" customFormat="1" x14ac:dyDescent="0.35">
      <c r="A202" s="104"/>
      <c r="C202" s="34"/>
      <c r="D202" s="34"/>
      <c r="K202" s="35"/>
      <c r="L202" s="85"/>
      <c r="M202" s="36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ES202" s="36"/>
      <c r="ET202" s="121"/>
      <c r="EU202" s="36"/>
    </row>
    <row r="203" spans="1:151" s="24" customFormat="1" x14ac:dyDescent="0.35">
      <c r="A203" s="104"/>
      <c r="B203" s="23"/>
      <c r="C203" s="25"/>
      <c r="D203" s="25"/>
      <c r="K203" s="148"/>
      <c r="L203" s="87"/>
      <c r="M203" s="27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ES203" s="27"/>
      <c r="ET203" s="149"/>
      <c r="EU203" s="27"/>
    </row>
    <row r="204" spans="1:151" s="33" customFormat="1" x14ac:dyDescent="0.35">
      <c r="A204" s="104"/>
      <c r="B204" s="32"/>
      <c r="C204" s="34"/>
      <c r="D204" s="34"/>
      <c r="K204" s="35"/>
      <c r="L204" s="85"/>
      <c r="M204" s="36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ES204" s="36"/>
      <c r="ET204" s="121"/>
      <c r="EU204" s="36"/>
    </row>
    <row r="205" spans="1:151" s="24" customFormat="1" x14ac:dyDescent="0.35">
      <c r="A205" s="104"/>
      <c r="B205" s="23"/>
      <c r="C205" s="25"/>
      <c r="D205" s="25"/>
      <c r="K205" s="148"/>
      <c r="L205" s="87"/>
      <c r="M205" s="27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ES205" s="27"/>
      <c r="ET205" s="149"/>
      <c r="EU205" s="27"/>
    </row>
    <row r="206" spans="1:151" s="33" customFormat="1" ht="15.9" customHeight="1" x14ac:dyDescent="0.35">
      <c r="A206" s="104"/>
      <c r="B206" s="105"/>
      <c r="C206" s="34"/>
      <c r="D206" s="34"/>
      <c r="K206" s="35"/>
      <c r="L206" s="106"/>
      <c r="M206" s="36"/>
      <c r="Q206" s="34"/>
      <c r="R206" s="34"/>
      <c r="S206" s="34"/>
      <c r="U206" s="32"/>
      <c r="V206" s="34"/>
      <c r="X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CE206" s="34"/>
      <c r="CF206" s="34"/>
      <c r="CG206" s="34"/>
      <c r="CH206" s="34"/>
      <c r="CI206" s="34"/>
      <c r="CJ206" s="34"/>
      <c r="CK206" s="34"/>
      <c r="CL206" s="34"/>
      <c r="ES206" s="36"/>
      <c r="ET206" s="36"/>
      <c r="EU206" s="36"/>
    </row>
    <row r="207" spans="1:151" s="24" customFormat="1" x14ac:dyDescent="0.35">
      <c r="A207" s="104"/>
      <c r="B207" s="23"/>
      <c r="C207" s="25"/>
      <c r="D207" s="25"/>
      <c r="K207" s="148"/>
      <c r="L207" s="87"/>
      <c r="M207" s="27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ES207" s="27"/>
      <c r="ET207" s="149"/>
      <c r="EU207" s="27"/>
    </row>
    <row r="208" spans="1:151" s="33" customFormat="1" x14ac:dyDescent="0.35">
      <c r="A208" s="104"/>
      <c r="B208" s="32"/>
      <c r="C208" s="34"/>
      <c r="D208" s="34"/>
      <c r="K208" s="35"/>
      <c r="L208" s="85"/>
      <c r="M208" s="36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ES208" s="36"/>
      <c r="ET208" s="121"/>
      <c r="EU208" s="36"/>
    </row>
    <row r="209" spans="1:151" s="24" customFormat="1" x14ac:dyDescent="0.35">
      <c r="A209" s="104"/>
      <c r="B209" s="23"/>
      <c r="C209" s="25"/>
      <c r="D209" s="25"/>
      <c r="K209" s="148"/>
      <c r="L209" s="87"/>
      <c r="M209" s="27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ES209" s="27"/>
      <c r="ET209" s="149"/>
      <c r="EU209" s="27"/>
    </row>
    <row r="210" spans="1:151" s="33" customFormat="1" x14ac:dyDescent="0.35">
      <c r="A210" s="104"/>
      <c r="B210" s="32"/>
      <c r="C210" s="34"/>
      <c r="D210" s="34"/>
      <c r="K210" s="35"/>
      <c r="L210" s="85"/>
      <c r="M210" s="36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S210" s="34"/>
      <c r="CT210" s="34"/>
      <c r="DD210" s="34"/>
      <c r="DH210" s="34"/>
      <c r="DL210" s="34"/>
      <c r="DR210" s="34"/>
      <c r="DX210" s="34"/>
      <c r="ES210" s="36"/>
      <c r="ET210" s="121"/>
      <c r="EU210" s="36"/>
    </row>
    <row r="211" spans="1:151" s="24" customFormat="1" x14ac:dyDescent="0.35">
      <c r="A211" s="104"/>
      <c r="C211" s="25"/>
      <c r="D211" s="25"/>
      <c r="K211" s="148"/>
      <c r="L211" s="87"/>
      <c r="M211" s="27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ES211" s="27"/>
      <c r="ET211" s="149"/>
      <c r="EU211" s="27"/>
    </row>
    <row r="212" spans="1:151" s="33" customFormat="1" x14ac:dyDescent="0.35">
      <c r="A212" s="104"/>
      <c r="C212" s="34"/>
      <c r="D212" s="34"/>
      <c r="K212" s="35"/>
      <c r="L212" s="85"/>
      <c r="M212" s="36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EA212" s="34"/>
      <c r="ES212" s="36"/>
      <c r="ET212" s="121"/>
      <c r="EU212" s="36"/>
    </row>
    <row r="213" spans="1:151" s="24" customFormat="1" x14ac:dyDescent="0.35">
      <c r="A213" s="104"/>
      <c r="C213" s="25"/>
      <c r="D213" s="25"/>
      <c r="K213" s="148"/>
      <c r="L213" s="87"/>
      <c r="M213" s="27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ES213" s="27"/>
      <c r="ET213" s="149"/>
      <c r="EU213" s="27"/>
    </row>
    <row r="214" spans="1:151" s="33" customFormat="1" x14ac:dyDescent="0.35">
      <c r="A214" s="104"/>
      <c r="B214" s="32"/>
      <c r="C214" s="34"/>
      <c r="D214" s="34"/>
      <c r="K214" s="35"/>
      <c r="L214" s="85"/>
      <c r="M214" s="36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ES214" s="36"/>
      <c r="ET214" s="121"/>
      <c r="EU214" s="36"/>
    </row>
    <row r="215" spans="1:151" s="24" customFormat="1" x14ac:dyDescent="0.35">
      <c r="A215" s="104"/>
      <c r="B215" s="23"/>
      <c r="C215" s="25"/>
      <c r="D215" s="25"/>
      <c r="K215" s="148"/>
      <c r="L215" s="87"/>
      <c r="M215" s="27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ES215" s="27"/>
      <c r="ET215" s="149"/>
      <c r="EU215" s="27"/>
    </row>
    <row r="216" spans="1:151" s="33" customFormat="1" x14ac:dyDescent="0.35">
      <c r="A216" s="104"/>
      <c r="B216" s="32"/>
      <c r="C216" s="34"/>
      <c r="D216" s="34"/>
      <c r="K216" s="35"/>
      <c r="L216" s="85"/>
      <c r="M216" s="36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ES216" s="36"/>
      <c r="ET216" s="121"/>
      <c r="EU216" s="36"/>
    </row>
    <row r="217" spans="1:151" s="24" customFormat="1" ht="15.9" customHeight="1" x14ac:dyDescent="0.35">
      <c r="A217" s="104"/>
      <c r="B217" s="132"/>
      <c r="C217" s="25"/>
      <c r="D217" s="25"/>
      <c r="K217" s="26"/>
      <c r="L217" s="133"/>
      <c r="M217" s="27"/>
      <c r="Q217" s="25"/>
      <c r="R217" s="25"/>
      <c r="S217" s="25"/>
      <c r="U217" s="23"/>
      <c r="V217" s="25"/>
      <c r="X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CE217" s="25"/>
      <c r="CF217" s="25"/>
      <c r="CG217" s="25"/>
      <c r="CH217" s="25"/>
      <c r="CI217" s="25"/>
      <c r="CJ217" s="25"/>
      <c r="CK217" s="25"/>
      <c r="CL217" s="25"/>
      <c r="ES217" s="27"/>
      <c r="ET217" s="27"/>
      <c r="EU217" s="27"/>
    </row>
    <row r="218" spans="1:151" s="33" customFormat="1" x14ac:dyDescent="0.35">
      <c r="A218" s="104"/>
      <c r="B218" s="32"/>
      <c r="C218" s="34"/>
      <c r="D218" s="34"/>
      <c r="K218" s="35"/>
      <c r="L218" s="85"/>
      <c r="M218" s="36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ES218" s="36"/>
      <c r="ET218" s="121"/>
      <c r="EU218" s="36"/>
    </row>
    <row r="219" spans="1:151" s="24" customFormat="1" x14ac:dyDescent="0.35">
      <c r="A219" s="104"/>
      <c r="B219" s="23"/>
      <c r="C219" s="25"/>
      <c r="D219" s="25"/>
      <c r="K219" s="148"/>
      <c r="L219" s="87"/>
      <c r="M219" s="27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ES219" s="27"/>
      <c r="ET219" s="149"/>
      <c r="EU219" s="27"/>
    </row>
    <row r="220" spans="1:151" s="33" customFormat="1" x14ac:dyDescent="0.35">
      <c r="A220" s="104"/>
      <c r="B220" s="32"/>
      <c r="C220" s="34"/>
      <c r="D220" s="34"/>
      <c r="K220" s="35"/>
      <c r="L220" s="85"/>
      <c r="M220" s="36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ES220" s="36"/>
      <c r="ET220" s="121"/>
      <c r="EU220" s="36"/>
    </row>
    <row r="221" spans="1:151" s="24" customFormat="1" x14ac:dyDescent="0.35">
      <c r="A221" s="104"/>
      <c r="B221" s="23"/>
      <c r="C221" s="25"/>
      <c r="D221" s="25"/>
      <c r="K221" s="148"/>
      <c r="L221" s="87"/>
      <c r="M221" s="27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S221" s="25"/>
      <c r="CT221" s="25"/>
      <c r="DD221" s="25"/>
      <c r="DH221" s="25"/>
      <c r="DL221" s="25"/>
      <c r="DR221" s="25"/>
      <c r="DX221" s="25"/>
      <c r="ES221" s="27"/>
      <c r="ET221" s="149"/>
      <c r="EU221" s="27"/>
    </row>
    <row r="222" spans="1:151" s="33" customFormat="1" x14ac:dyDescent="0.35">
      <c r="A222" s="104"/>
      <c r="C222" s="34"/>
      <c r="D222" s="34"/>
      <c r="K222" s="35"/>
      <c r="L222" s="85"/>
      <c r="M222" s="36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ES222" s="36"/>
      <c r="ET222" s="121"/>
      <c r="EU222" s="36"/>
    </row>
    <row r="223" spans="1:151" s="24" customFormat="1" x14ac:dyDescent="0.35">
      <c r="A223" s="104"/>
      <c r="C223" s="25"/>
      <c r="D223" s="25"/>
      <c r="K223" s="148"/>
      <c r="L223" s="87"/>
      <c r="M223" s="27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EA223" s="25"/>
      <c r="ES223" s="27"/>
      <c r="ET223" s="149"/>
      <c r="EU223" s="27"/>
    </row>
    <row r="224" spans="1:151" s="33" customFormat="1" x14ac:dyDescent="0.35">
      <c r="A224" s="104"/>
      <c r="C224" s="34"/>
      <c r="D224" s="34"/>
      <c r="K224" s="35"/>
      <c r="L224" s="85"/>
      <c r="M224" s="36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ES224" s="36"/>
      <c r="ET224" s="121"/>
      <c r="EU224" s="36"/>
    </row>
    <row r="225" spans="1:151" s="24" customFormat="1" x14ac:dyDescent="0.35">
      <c r="A225" s="104"/>
      <c r="B225" s="23"/>
      <c r="C225" s="25"/>
      <c r="D225" s="25"/>
      <c r="K225" s="148"/>
      <c r="L225" s="87"/>
      <c r="M225" s="27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ES225" s="27"/>
      <c r="ET225" s="149"/>
      <c r="EU225" s="27"/>
    </row>
    <row r="226" spans="1:151" s="33" customFormat="1" x14ac:dyDescent="0.35">
      <c r="A226" s="104"/>
      <c r="B226" s="32"/>
      <c r="C226" s="34"/>
      <c r="D226" s="34"/>
      <c r="K226" s="35"/>
      <c r="L226" s="85"/>
      <c r="M226" s="36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ES226" s="36"/>
      <c r="ET226" s="121"/>
      <c r="EU226" s="36"/>
    </row>
    <row r="227" spans="1:151" s="24" customFormat="1" x14ac:dyDescent="0.35">
      <c r="A227" s="104"/>
      <c r="B227" s="23"/>
      <c r="C227" s="25"/>
      <c r="D227" s="25"/>
      <c r="K227" s="148"/>
      <c r="L227" s="87"/>
      <c r="M227" s="27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ES227" s="27"/>
      <c r="ET227" s="149"/>
      <c r="EU227" s="27"/>
    </row>
    <row r="228" spans="1:151" s="33" customFormat="1" ht="15.9" customHeight="1" x14ac:dyDescent="0.35">
      <c r="A228" s="104"/>
      <c r="B228" s="105"/>
      <c r="C228" s="34"/>
      <c r="D228" s="34"/>
      <c r="K228" s="35"/>
      <c r="L228" s="106"/>
      <c r="M228" s="36"/>
      <c r="Q228" s="34"/>
      <c r="R228" s="34"/>
      <c r="S228" s="34"/>
      <c r="U228" s="32"/>
      <c r="V228" s="34"/>
      <c r="X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CE228" s="34"/>
      <c r="CF228" s="34"/>
      <c r="CG228" s="34"/>
      <c r="CH228" s="34"/>
      <c r="CI228" s="34"/>
      <c r="CJ228" s="34"/>
      <c r="CK228" s="34"/>
      <c r="CL228" s="34"/>
      <c r="ES228" s="36"/>
      <c r="ET228" s="36"/>
      <c r="EU228" s="36"/>
    </row>
    <row r="229" spans="1:151" s="24" customFormat="1" x14ac:dyDescent="0.35">
      <c r="A229" s="104"/>
      <c r="B229" s="23"/>
      <c r="C229" s="25"/>
      <c r="D229" s="25"/>
      <c r="K229" s="26"/>
      <c r="L229" s="87"/>
      <c r="M229" s="27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ES229" s="27"/>
      <c r="ET229" s="149"/>
      <c r="EU229" s="27"/>
    </row>
    <row r="230" spans="1:151" s="33" customFormat="1" x14ac:dyDescent="0.35">
      <c r="A230" s="104"/>
      <c r="B230" s="32"/>
      <c r="C230" s="34"/>
      <c r="D230" s="34"/>
      <c r="K230" s="128"/>
      <c r="L230" s="85"/>
      <c r="M230" s="36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ES230" s="36"/>
      <c r="ET230" s="121"/>
      <c r="EU230" s="36"/>
    </row>
    <row r="231" spans="1:151" s="24" customFormat="1" x14ac:dyDescent="0.35">
      <c r="A231" s="104"/>
      <c r="B231" s="23"/>
      <c r="C231" s="25"/>
      <c r="D231" s="25"/>
      <c r="K231" s="26"/>
      <c r="L231" s="87"/>
      <c r="M231" s="27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S231" s="25"/>
      <c r="CT231" s="25"/>
      <c r="DD231" s="25"/>
      <c r="DH231" s="25"/>
      <c r="DL231" s="25"/>
      <c r="DR231" s="25"/>
      <c r="DX231" s="25"/>
      <c r="ES231" s="27"/>
      <c r="ET231" s="149"/>
      <c r="EU231" s="27"/>
    </row>
    <row r="232" spans="1:151" s="33" customFormat="1" x14ac:dyDescent="0.35">
      <c r="A232" s="104"/>
      <c r="C232" s="34"/>
      <c r="D232" s="34"/>
      <c r="K232" s="128"/>
      <c r="L232" s="85"/>
      <c r="M232" s="36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ES232" s="36"/>
      <c r="ET232" s="121"/>
      <c r="EU232" s="36"/>
    </row>
    <row r="233" spans="1:151" s="24" customFormat="1" x14ac:dyDescent="0.35">
      <c r="A233" s="131"/>
      <c r="B233" s="23"/>
      <c r="C233" s="25"/>
      <c r="D233" s="25"/>
      <c r="E233" s="24">
        <v>1</v>
      </c>
      <c r="F233" s="24">
        <v>1</v>
      </c>
      <c r="G233" s="24">
        <v>327</v>
      </c>
      <c r="H233" s="24">
        <v>327</v>
      </c>
      <c r="I233" s="24">
        <v>326</v>
      </c>
      <c r="J233" s="24" t="b">
        <v>0</v>
      </c>
      <c r="K233" s="26"/>
      <c r="L233" s="116"/>
      <c r="M233" s="27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ES233" s="27"/>
      <c r="ET233" s="27"/>
      <c r="EU233" s="27"/>
    </row>
    <row r="234" spans="1:151" s="24" customFormat="1" x14ac:dyDescent="0.35">
      <c r="A234" s="131"/>
      <c r="B234" s="71"/>
      <c r="C234" s="25"/>
      <c r="D234" s="25"/>
      <c r="E234" s="24">
        <v>1</v>
      </c>
      <c r="F234" s="24">
        <v>1</v>
      </c>
      <c r="G234" s="24">
        <v>327</v>
      </c>
      <c r="H234" s="24">
        <v>327</v>
      </c>
      <c r="I234" s="24">
        <v>326</v>
      </c>
      <c r="J234" s="24" t="b">
        <v>0</v>
      </c>
      <c r="K234" s="26"/>
      <c r="L234" s="116"/>
      <c r="M234" s="27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ES234" s="27"/>
      <c r="ET234" s="27"/>
      <c r="EU234" s="27"/>
    </row>
    <row r="235" spans="1:151" s="24" customFormat="1" x14ac:dyDescent="0.35">
      <c r="A235" s="131"/>
      <c r="B235" s="71"/>
      <c r="C235" s="122"/>
      <c r="D235" s="25"/>
      <c r="E235" s="24">
        <v>1</v>
      </c>
      <c r="F235" s="24">
        <v>1</v>
      </c>
      <c r="G235" s="24">
        <v>327</v>
      </c>
      <c r="H235" s="24">
        <v>327</v>
      </c>
      <c r="I235" s="24">
        <v>326</v>
      </c>
      <c r="J235" s="24" t="b">
        <v>0</v>
      </c>
      <c r="K235" s="26"/>
      <c r="L235" s="116"/>
      <c r="M235" s="27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ES235" s="27"/>
      <c r="ET235" s="27"/>
      <c r="EU235" s="27"/>
    </row>
    <row r="236" spans="1:151" s="24" customFormat="1" x14ac:dyDescent="0.35">
      <c r="A236" s="131"/>
      <c r="B236" s="71"/>
      <c r="C236" s="25"/>
      <c r="D236" s="25"/>
      <c r="E236" s="24">
        <v>1</v>
      </c>
      <c r="F236" s="24">
        <v>1</v>
      </c>
      <c r="G236" s="24">
        <v>327</v>
      </c>
      <c r="H236" s="24">
        <v>327</v>
      </c>
      <c r="I236" s="24">
        <v>326</v>
      </c>
      <c r="J236" s="24" t="b">
        <v>0</v>
      </c>
      <c r="K236" s="26"/>
      <c r="L236" s="116"/>
      <c r="M236" s="27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ES236" s="27"/>
      <c r="ET236" s="27"/>
      <c r="EU236" s="27"/>
    </row>
    <row r="237" spans="1:151" x14ac:dyDescent="0.35">
      <c r="B237" s="71"/>
      <c r="M237" s="27"/>
      <c r="ES237" s="27"/>
      <c r="ET237" s="27"/>
      <c r="EU237" s="27"/>
    </row>
    <row r="238" spans="1:151" x14ac:dyDescent="0.35">
      <c r="M238" s="27"/>
      <c r="ES238" s="27"/>
      <c r="ET238" s="27"/>
      <c r="EU238" s="27"/>
    </row>
    <row r="239" spans="1:151" x14ac:dyDescent="0.35">
      <c r="M239" s="27"/>
      <c r="ES239" s="27"/>
      <c r="ET239" s="27"/>
      <c r="EU239" s="27"/>
    </row>
    <row r="240" spans="1:151" x14ac:dyDescent="0.35">
      <c r="M240" s="27"/>
      <c r="ES240" s="27"/>
      <c r="ET240" s="27"/>
      <c r="EU240" s="27"/>
    </row>
    <row r="241" spans="1:151" x14ac:dyDescent="0.35">
      <c r="M241" s="27"/>
      <c r="ES241" s="27"/>
      <c r="ET241" s="27"/>
      <c r="EU241" s="27"/>
    </row>
    <row r="242" spans="1:151" x14ac:dyDescent="0.35">
      <c r="C242" s="122"/>
      <c r="M242" s="27"/>
      <c r="ES242" s="27"/>
      <c r="ET242" s="27"/>
      <c r="EU242" s="27"/>
    </row>
    <row r="243" spans="1:151" x14ac:dyDescent="0.35">
      <c r="M243" s="27"/>
      <c r="ES243" s="27"/>
      <c r="ET243" s="27"/>
      <c r="EU243" s="27"/>
    </row>
    <row r="244" spans="1:151" x14ac:dyDescent="0.35">
      <c r="M244" s="27"/>
      <c r="ES244" s="27"/>
      <c r="ET244" s="27"/>
      <c r="EU244" s="27"/>
    </row>
    <row r="245" spans="1:151" x14ac:dyDescent="0.35">
      <c r="M245" s="27"/>
      <c r="ES245" s="27"/>
      <c r="ET245" s="27"/>
      <c r="EU245" s="27"/>
    </row>
    <row r="246" spans="1:151" x14ac:dyDescent="0.35">
      <c r="M246" s="27"/>
      <c r="CX246" s="39"/>
      <c r="ES246" s="27"/>
      <c r="ET246" s="27"/>
      <c r="EU246" s="27"/>
    </row>
    <row r="247" spans="1:151" x14ac:dyDescent="0.35">
      <c r="M247" s="27"/>
      <c r="ES247" s="27"/>
      <c r="ET247" s="27"/>
      <c r="EU247" s="27"/>
    </row>
    <row r="248" spans="1:151" x14ac:dyDescent="0.35">
      <c r="M248" s="27"/>
      <c r="ES248" s="27"/>
      <c r="ET248" s="27"/>
      <c r="EU248" s="27"/>
    </row>
    <row r="249" spans="1:151" x14ac:dyDescent="0.35">
      <c r="M249" s="27"/>
      <c r="ES249" s="27"/>
      <c r="ET249" s="27"/>
      <c r="EU249" s="27"/>
    </row>
    <row r="250" spans="1:151" x14ac:dyDescent="0.35">
      <c r="M250" s="27"/>
      <c r="ES250" s="27"/>
      <c r="ET250" s="27"/>
      <c r="EU250" s="27"/>
    </row>
    <row r="251" spans="1:151" x14ac:dyDescent="0.35">
      <c r="M251" s="27"/>
      <c r="ES251" s="27"/>
      <c r="ET251" s="27"/>
      <c r="EU251" s="27"/>
    </row>
    <row r="252" spans="1:151" s="39" customFormat="1" x14ac:dyDescent="0.35">
      <c r="A252" s="22"/>
      <c r="B252" s="23"/>
      <c r="C252" s="25"/>
      <c r="D252" s="25"/>
      <c r="E252" s="24"/>
      <c r="F252" s="24"/>
      <c r="G252" s="24"/>
      <c r="H252" s="24"/>
      <c r="I252" s="24"/>
      <c r="J252" s="24"/>
      <c r="K252" s="26"/>
      <c r="L252" s="116"/>
      <c r="M252" s="27"/>
      <c r="CM252" s="38"/>
      <c r="CN252" s="38"/>
      <c r="CO252" s="38"/>
      <c r="CP252" s="38"/>
      <c r="CQ252" s="38"/>
      <c r="CR252" s="38"/>
      <c r="CS252" s="38"/>
      <c r="CT252" s="38"/>
      <c r="CU252" s="38"/>
      <c r="CV252" s="38"/>
      <c r="CW252" s="38"/>
      <c r="CX252" s="38"/>
      <c r="CY252" s="38"/>
      <c r="CZ252" s="38"/>
      <c r="DA252" s="38"/>
      <c r="DB252" s="38"/>
      <c r="DC252" s="38"/>
      <c r="DD252" s="38"/>
      <c r="DE252" s="38"/>
      <c r="DF252" s="38"/>
      <c r="DG252" s="38"/>
      <c r="DH252" s="38"/>
      <c r="DI252" s="38"/>
      <c r="DJ252" s="38"/>
      <c r="DK252" s="38"/>
      <c r="DL252" s="38"/>
      <c r="DM252" s="38"/>
      <c r="DN252" s="38"/>
      <c r="DO252" s="38"/>
      <c r="DP252" s="38"/>
      <c r="DQ252" s="38"/>
      <c r="DR252" s="38"/>
      <c r="DS252" s="38"/>
      <c r="DT252" s="38"/>
      <c r="DU252" s="38"/>
      <c r="DV252" s="38"/>
      <c r="DW252" s="38"/>
      <c r="DX252" s="38"/>
      <c r="DY252" s="38"/>
      <c r="DZ252" s="38"/>
      <c r="EA252" s="38"/>
      <c r="EB252" s="38"/>
      <c r="EC252" s="38"/>
      <c r="ED252" s="38"/>
      <c r="EE252" s="38"/>
      <c r="EF252" s="38"/>
      <c r="EG252" s="38"/>
      <c r="EH252" s="38"/>
      <c r="EI252" s="38"/>
      <c r="EJ252" s="38"/>
      <c r="EK252" s="38"/>
      <c r="EL252" s="38"/>
      <c r="EM252" s="38"/>
      <c r="EN252" s="38"/>
      <c r="EO252" s="38"/>
      <c r="EP252" s="38"/>
      <c r="EQ252" s="38"/>
      <c r="ER252" s="38"/>
      <c r="ES252" s="27"/>
      <c r="ET252" s="27"/>
      <c r="EU252" s="27"/>
    </row>
    <row r="253" spans="1:151" s="39" customFormat="1" x14ac:dyDescent="0.35">
      <c r="A253" s="22"/>
      <c r="B253" s="23"/>
      <c r="C253" s="25"/>
      <c r="D253" s="25"/>
      <c r="E253" s="24"/>
      <c r="F253" s="24"/>
      <c r="G253" s="24"/>
      <c r="H253" s="24"/>
      <c r="I253" s="24"/>
      <c r="J253" s="24"/>
      <c r="K253" s="26"/>
      <c r="L253" s="116"/>
      <c r="M253" s="27"/>
      <c r="CM253" s="38"/>
      <c r="CN253" s="38"/>
      <c r="CO253" s="38"/>
      <c r="CP253" s="38"/>
      <c r="CQ253" s="38"/>
      <c r="CR253" s="38"/>
      <c r="CS253" s="38"/>
      <c r="CT253" s="38"/>
      <c r="CU253" s="38"/>
      <c r="CV253" s="38"/>
      <c r="CW253" s="38"/>
      <c r="CX253" s="38"/>
      <c r="CY253" s="38"/>
      <c r="CZ253" s="38"/>
      <c r="DA253" s="38"/>
      <c r="DB253" s="38"/>
      <c r="DC253" s="38"/>
      <c r="DD253" s="38"/>
      <c r="DE253" s="38"/>
      <c r="DF253" s="38"/>
      <c r="DG253" s="38"/>
      <c r="DH253" s="38"/>
      <c r="DI253" s="38"/>
      <c r="DJ253" s="38"/>
      <c r="DK253" s="38"/>
      <c r="DL253" s="38"/>
      <c r="DM253" s="38"/>
      <c r="DN253" s="38"/>
      <c r="DO253" s="38"/>
      <c r="DP253" s="38"/>
      <c r="DQ253" s="38"/>
      <c r="DR253" s="38"/>
      <c r="DS253" s="38"/>
      <c r="DT253" s="38"/>
      <c r="DU253" s="38"/>
      <c r="DV253" s="38"/>
      <c r="DW253" s="38"/>
      <c r="DX253" s="38"/>
      <c r="DY253" s="38"/>
      <c r="DZ253" s="38"/>
      <c r="EA253" s="38"/>
      <c r="EB253" s="38"/>
      <c r="EC253" s="38"/>
      <c r="ED253" s="38"/>
      <c r="EE253" s="38"/>
      <c r="EF253" s="38"/>
      <c r="EG253" s="38"/>
      <c r="EH253" s="38"/>
      <c r="EI253" s="38"/>
      <c r="EJ253" s="38"/>
      <c r="EK253" s="38"/>
      <c r="EL253" s="38"/>
      <c r="EM253" s="38"/>
      <c r="EN253" s="38"/>
      <c r="EO253" s="38"/>
      <c r="EP253" s="38"/>
      <c r="EQ253" s="38"/>
      <c r="ER253" s="38"/>
      <c r="ES253" s="27"/>
      <c r="ET253" s="27"/>
      <c r="EU253" s="27"/>
    </row>
    <row r="254" spans="1:151" s="39" customFormat="1" x14ac:dyDescent="0.35">
      <c r="A254" s="22"/>
      <c r="B254" s="23"/>
      <c r="C254" s="25"/>
      <c r="D254" s="25"/>
      <c r="E254" s="24"/>
      <c r="F254" s="24"/>
      <c r="G254" s="24"/>
      <c r="H254" s="24"/>
      <c r="I254" s="24"/>
      <c r="J254" s="24"/>
      <c r="K254" s="26"/>
      <c r="L254" s="116"/>
      <c r="M254" s="27"/>
      <c r="CM254" s="38"/>
      <c r="CN254" s="38"/>
      <c r="CO254" s="38"/>
      <c r="CP254" s="38"/>
      <c r="CQ254" s="38"/>
      <c r="CR254" s="38"/>
      <c r="CS254" s="38"/>
      <c r="CT254" s="38"/>
      <c r="CU254" s="38"/>
      <c r="CV254" s="38"/>
      <c r="CW254" s="38"/>
      <c r="CX254" s="38"/>
      <c r="CY254" s="38"/>
      <c r="CZ254" s="38"/>
      <c r="DA254" s="38"/>
      <c r="DB254" s="38"/>
      <c r="DC254" s="38"/>
      <c r="DD254" s="38"/>
      <c r="DE254" s="38"/>
      <c r="DF254" s="38"/>
      <c r="DG254" s="38"/>
      <c r="DH254" s="38"/>
      <c r="DI254" s="38"/>
      <c r="DJ254" s="38"/>
      <c r="DK254" s="38"/>
      <c r="DL254" s="38"/>
      <c r="DM254" s="38"/>
      <c r="DN254" s="38"/>
      <c r="DO254" s="38"/>
      <c r="DP254" s="38"/>
      <c r="DQ254" s="38"/>
      <c r="DR254" s="38"/>
      <c r="DS254" s="38"/>
      <c r="DT254" s="38"/>
      <c r="DU254" s="38"/>
      <c r="DV254" s="38"/>
      <c r="DW254" s="38"/>
      <c r="DX254" s="38"/>
      <c r="DY254" s="38"/>
      <c r="DZ254" s="38"/>
      <c r="EA254" s="38"/>
      <c r="EB254" s="38"/>
      <c r="EC254" s="38"/>
      <c r="ED254" s="38"/>
      <c r="EE254" s="38"/>
      <c r="EF254" s="38"/>
      <c r="EG254" s="38"/>
      <c r="EH254" s="38"/>
      <c r="EI254" s="38"/>
      <c r="EJ254" s="38"/>
      <c r="EK254" s="38"/>
      <c r="EL254" s="38"/>
      <c r="EM254" s="38"/>
      <c r="EN254" s="38"/>
      <c r="EO254" s="38"/>
      <c r="EP254" s="38"/>
      <c r="EQ254" s="38"/>
      <c r="ER254" s="38"/>
      <c r="ES254" s="27"/>
      <c r="ET254" s="27"/>
      <c r="EU254" s="27"/>
    </row>
    <row r="255" spans="1:151" s="39" customFormat="1" x14ac:dyDescent="0.35">
      <c r="A255" s="22"/>
      <c r="B255" s="23"/>
      <c r="C255" s="25"/>
      <c r="D255" s="25"/>
      <c r="E255" s="24"/>
      <c r="F255" s="24"/>
      <c r="G255" s="24"/>
      <c r="H255" s="24"/>
      <c r="I255" s="24"/>
      <c r="J255" s="24"/>
      <c r="K255" s="26"/>
      <c r="L255" s="116"/>
      <c r="M255" s="27"/>
      <c r="CM255" s="38"/>
      <c r="CN255" s="38"/>
      <c r="CO255" s="38"/>
      <c r="CP255" s="38"/>
      <c r="CQ255" s="38"/>
      <c r="CR255" s="38"/>
      <c r="CS255" s="38"/>
      <c r="CT255" s="38"/>
      <c r="CU255" s="38"/>
      <c r="CV255" s="38"/>
      <c r="CW255" s="38"/>
      <c r="CX255" s="38"/>
      <c r="CY255" s="38"/>
      <c r="CZ255" s="38"/>
      <c r="DA255" s="38"/>
      <c r="DB255" s="38"/>
      <c r="DC255" s="38"/>
      <c r="DD255" s="38"/>
      <c r="DE255" s="38"/>
      <c r="DF255" s="38"/>
      <c r="DG255" s="38"/>
      <c r="DH255" s="38"/>
      <c r="DI255" s="38"/>
      <c r="DJ255" s="38"/>
      <c r="DK255" s="38"/>
      <c r="DL255" s="38"/>
      <c r="DM255" s="38"/>
      <c r="DN255" s="38"/>
      <c r="DO255" s="38"/>
      <c r="DP255" s="38"/>
      <c r="DQ255" s="38"/>
      <c r="DR255" s="38"/>
      <c r="DS255" s="38"/>
      <c r="DT255" s="38"/>
      <c r="DU255" s="38"/>
      <c r="DV255" s="38"/>
      <c r="DW255" s="38"/>
      <c r="DX255" s="38"/>
      <c r="DY255" s="38"/>
      <c r="DZ255" s="38"/>
      <c r="EA255" s="38"/>
      <c r="EB255" s="38"/>
      <c r="EC255" s="38"/>
      <c r="ED255" s="38"/>
      <c r="EE255" s="38"/>
      <c r="EF255" s="38"/>
      <c r="EG255" s="38"/>
      <c r="EH255" s="38"/>
      <c r="EI255" s="38"/>
      <c r="EJ255" s="38"/>
      <c r="EK255" s="38"/>
      <c r="EL255" s="38"/>
      <c r="EM255" s="38"/>
      <c r="EN255" s="38"/>
      <c r="EO255" s="38"/>
      <c r="EP255" s="38"/>
      <c r="EQ255" s="38"/>
      <c r="ER255" s="38"/>
      <c r="ES255" s="27"/>
      <c r="ET255" s="27"/>
      <c r="EU255" s="27"/>
    </row>
    <row r="256" spans="1:151" s="39" customFormat="1" x14ac:dyDescent="0.35">
      <c r="A256" s="22"/>
      <c r="B256" s="23"/>
      <c r="C256" s="25"/>
      <c r="D256" s="25"/>
      <c r="E256" s="24"/>
      <c r="F256" s="24"/>
      <c r="G256" s="24"/>
      <c r="H256" s="24"/>
      <c r="I256" s="24"/>
      <c r="J256" s="24"/>
      <c r="K256" s="26"/>
      <c r="L256" s="116"/>
      <c r="M256" s="27"/>
      <c r="CM256" s="38"/>
      <c r="CN256" s="38"/>
      <c r="CO256" s="38"/>
      <c r="CP256" s="38"/>
      <c r="CQ256" s="38"/>
      <c r="CR256" s="38"/>
      <c r="CS256" s="38"/>
      <c r="CT256" s="38"/>
      <c r="CU256" s="38"/>
      <c r="CV256" s="38"/>
      <c r="CW256" s="38"/>
      <c r="CX256" s="38"/>
      <c r="CY256" s="38"/>
      <c r="CZ256" s="38"/>
      <c r="DA256" s="38"/>
      <c r="DB256" s="38"/>
      <c r="DC256" s="38"/>
      <c r="DD256" s="38"/>
      <c r="DE256" s="38"/>
      <c r="DF256" s="38"/>
      <c r="DG256" s="38"/>
      <c r="DH256" s="38"/>
      <c r="DI256" s="38"/>
      <c r="DJ256" s="38"/>
      <c r="DK256" s="38"/>
      <c r="DL256" s="38"/>
      <c r="DM256" s="38"/>
      <c r="DN256" s="38"/>
      <c r="DO256" s="38"/>
      <c r="DP256" s="38"/>
      <c r="DQ256" s="38"/>
      <c r="DR256" s="38"/>
      <c r="DS256" s="38"/>
      <c r="DT256" s="38"/>
      <c r="DU256" s="38"/>
      <c r="DV256" s="38"/>
      <c r="DW256" s="38"/>
      <c r="DX256" s="38"/>
      <c r="DY256" s="38"/>
      <c r="DZ256" s="38"/>
      <c r="EA256" s="38"/>
      <c r="EB256" s="38"/>
      <c r="EC256" s="38"/>
      <c r="ED256" s="38"/>
      <c r="EE256" s="38"/>
      <c r="EF256" s="38"/>
      <c r="EG256" s="38"/>
      <c r="EH256" s="38"/>
      <c r="EI256" s="38"/>
      <c r="EJ256" s="38"/>
      <c r="EK256" s="38"/>
      <c r="EL256" s="38"/>
      <c r="EM256" s="38"/>
      <c r="EN256" s="38"/>
      <c r="EO256" s="38"/>
      <c r="EP256" s="38"/>
      <c r="EQ256" s="38"/>
      <c r="ER256" s="38"/>
      <c r="ES256" s="27"/>
      <c r="ET256" s="27"/>
      <c r="EU256" s="27"/>
    </row>
    <row r="257" spans="1:151" s="39" customFormat="1" x14ac:dyDescent="0.35">
      <c r="A257" s="22"/>
      <c r="B257" s="23"/>
      <c r="C257" s="25"/>
      <c r="D257" s="25"/>
      <c r="E257" s="24"/>
      <c r="F257" s="24"/>
      <c r="G257" s="24"/>
      <c r="H257" s="24"/>
      <c r="I257" s="24"/>
      <c r="J257" s="24"/>
      <c r="K257" s="26"/>
      <c r="L257" s="116"/>
      <c r="M257" s="27"/>
      <c r="CM257" s="38"/>
      <c r="CN257" s="38"/>
      <c r="CO257" s="38"/>
      <c r="CP257" s="38"/>
      <c r="CQ257" s="38"/>
      <c r="CR257" s="38"/>
      <c r="CS257" s="38"/>
      <c r="CT257" s="38"/>
      <c r="CU257" s="38"/>
      <c r="CV257" s="38"/>
      <c r="CW257" s="38"/>
      <c r="CX257" s="38"/>
      <c r="CY257" s="38"/>
      <c r="CZ257" s="38"/>
      <c r="DA257" s="38"/>
      <c r="DB257" s="38"/>
      <c r="DC257" s="38"/>
      <c r="DD257" s="38"/>
      <c r="DE257" s="38"/>
      <c r="DF257" s="38"/>
      <c r="DG257" s="38"/>
      <c r="DH257" s="38"/>
      <c r="DI257" s="38"/>
      <c r="DJ257" s="38"/>
      <c r="DK257" s="38"/>
      <c r="DL257" s="38"/>
      <c r="DM257" s="38"/>
      <c r="DN257" s="38"/>
      <c r="DO257" s="38"/>
      <c r="DP257" s="38"/>
      <c r="DQ257" s="38"/>
      <c r="DR257" s="38"/>
      <c r="DS257" s="38"/>
      <c r="DT257" s="38"/>
      <c r="DU257" s="38"/>
      <c r="DV257" s="38"/>
      <c r="DW257" s="38"/>
      <c r="DX257" s="38"/>
      <c r="DY257" s="38"/>
      <c r="DZ257" s="38"/>
      <c r="EA257" s="38"/>
      <c r="EB257" s="38"/>
      <c r="EC257" s="38"/>
      <c r="ED257" s="38"/>
      <c r="EE257" s="38"/>
      <c r="EF257" s="38"/>
      <c r="EG257" s="38"/>
      <c r="EH257" s="38"/>
      <c r="EI257" s="38"/>
      <c r="EJ257" s="38"/>
      <c r="EK257" s="38"/>
      <c r="EL257" s="38"/>
      <c r="EM257" s="38"/>
      <c r="EN257" s="38"/>
      <c r="EO257" s="38"/>
      <c r="EP257" s="38"/>
      <c r="EQ257" s="38"/>
      <c r="ER257" s="38"/>
      <c r="ES257" s="27"/>
      <c r="ET257" s="27"/>
      <c r="EU257" s="27"/>
    </row>
    <row r="258" spans="1:151" s="39" customFormat="1" x14ac:dyDescent="0.35">
      <c r="A258" s="22"/>
      <c r="B258" s="23"/>
      <c r="C258" s="25"/>
      <c r="D258" s="25"/>
      <c r="E258" s="24"/>
      <c r="F258" s="24"/>
      <c r="G258" s="24"/>
      <c r="H258" s="24"/>
      <c r="I258" s="24"/>
      <c r="J258" s="24"/>
      <c r="K258" s="26"/>
      <c r="L258" s="116"/>
      <c r="M258" s="27"/>
      <c r="CM258" s="38"/>
      <c r="CN258" s="38"/>
      <c r="CO258" s="38"/>
      <c r="CP258" s="38"/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38"/>
      <c r="DC258" s="38"/>
      <c r="DD258" s="38"/>
      <c r="DE258" s="38"/>
      <c r="DF258" s="38"/>
      <c r="DG258" s="38"/>
      <c r="DH258" s="38"/>
      <c r="DI258" s="38"/>
      <c r="DJ258" s="38"/>
      <c r="DK258" s="38"/>
      <c r="DL258" s="38"/>
      <c r="DM258" s="38"/>
      <c r="DN258" s="38"/>
      <c r="DO258" s="38"/>
      <c r="DP258" s="38"/>
      <c r="DQ258" s="38"/>
      <c r="DR258" s="38"/>
      <c r="DS258" s="38"/>
      <c r="DT258" s="38"/>
      <c r="DU258" s="38"/>
      <c r="DV258" s="38"/>
      <c r="DW258" s="38"/>
      <c r="DX258" s="38"/>
      <c r="DY258" s="38"/>
      <c r="DZ258" s="38"/>
      <c r="EA258" s="38"/>
      <c r="EB258" s="38"/>
      <c r="EC258" s="38"/>
      <c r="ED258" s="38"/>
      <c r="EE258" s="38"/>
      <c r="EF258" s="38"/>
      <c r="EG258" s="38"/>
      <c r="EH258" s="38"/>
      <c r="EI258" s="38"/>
      <c r="EJ258" s="38"/>
      <c r="EK258" s="38"/>
      <c r="EL258" s="38"/>
      <c r="EM258" s="38"/>
      <c r="EN258" s="38"/>
      <c r="EO258" s="38"/>
      <c r="EP258" s="38"/>
      <c r="EQ258" s="38"/>
      <c r="ER258" s="38"/>
      <c r="ES258" s="27"/>
      <c r="ET258" s="27"/>
      <c r="EU258" s="27"/>
    </row>
    <row r="259" spans="1:151" s="39" customFormat="1" x14ac:dyDescent="0.35">
      <c r="A259" s="22"/>
      <c r="B259" s="23"/>
      <c r="C259" s="25"/>
      <c r="D259" s="25"/>
      <c r="E259" s="24"/>
      <c r="F259" s="24"/>
      <c r="G259" s="24"/>
      <c r="H259" s="24"/>
      <c r="I259" s="24"/>
      <c r="J259" s="24"/>
      <c r="K259" s="26"/>
      <c r="L259" s="116"/>
      <c r="M259" s="27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38"/>
      <c r="DC259" s="38"/>
      <c r="DD259" s="38"/>
      <c r="DE259" s="38"/>
      <c r="DF259" s="38"/>
      <c r="DG259" s="38"/>
      <c r="DH259" s="38"/>
      <c r="DI259" s="38"/>
      <c r="DJ259" s="38"/>
      <c r="DK259" s="38"/>
      <c r="DL259" s="38"/>
      <c r="DM259" s="38"/>
      <c r="DN259" s="38"/>
      <c r="DO259" s="38"/>
      <c r="DP259" s="38"/>
      <c r="DQ259" s="38"/>
      <c r="DR259" s="38"/>
      <c r="DS259" s="38"/>
      <c r="DT259" s="38"/>
      <c r="DU259" s="38"/>
      <c r="DV259" s="38"/>
      <c r="DW259" s="38"/>
      <c r="DX259" s="38"/>
      <c r="DY259" s="38"/>
      <c r="DZ259" s="38"/>
      <c r="EA259" s="38"/>
      <c r="EB259" s="38"/>
      <c r="EC259" s="38"/>
      <c r="ED259" s="38"/>
      <c r="EE259" s="38"/>
      <c r="EF259" s="38"/>
      <c r="EG259" s="38"/>
      <c r="EH259" s="38"/>
      <c r="EI259" s="38"/>
      <c r="EJ259" s="38"/>
      <c r="EK259" s="38"/>
      <c r="EL259" s="38"/>
      <c r="EM259" s="38"/>
      <c r="EN259" s="38"/>
      <c r="EO259" s="38"/>
      <c r="EP259" s="38"/>
      <c r="EQ259" s="38"/>
      <c r="ER259" s="38"/>
      <c r="ES259" s="27"/>
      <c r="ET259" s="27"/>
      <c r="EU259" s="27"/>
    </row>
    <row r="260" spans="1:151" s="39" customFormat="1" x14ac:dyDescent="0.35">
      <c r="A260" s="22"/>
      <c r="B260" s="23"/>
      <c r="C260" s="25"/>
      <c r="D260" s="25"/>
      <c r="E260" s="24"/>
      <c r="F260" s="24"/>
      <c r="G260" s="24"/>
      <c r="H260" s="24"/>
      <c r="I260" s="24"/>
      <c r="J260" s="24"/>
      <c r="K260" s="26"/>
      <c r="L260" s="116"/>
      <c r="M260" s="27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/>
      <c r="DH260" s="38"/>
      <c r="DI260" s="38"/>
      <c r="DJ260" s="38"/>
      <c r="DK260" s="38"/>
      <c r="DL260" s="38"/>
      <c r="DM260" s="38"/>
      <c r="DN260" s="38"/>
      <c r="DO260" s="38"/>
      <c r="DP260" s="38"/>
      <c r="DQ260" s="38"/>
      <c r="DR260" s="38"/>
      <c r="DS260" s="38"/>
      <c r="DT260" s="38"/>
      <c r="DU260" s="38"/>
      <c r="DV260" s="38"/>
      <c r="DW260" s="38"/>
      <c r="DX260" s="38"/>
      <c r="DY260" s="38"/>
      <c r="DZ260" s="38"/>
      <c r="EA260" s="38"/>
      <c r="EB260" s="38"/>
      <c r="EC260" s="38"/>
      <c r="ED260" s="38"/>
      <c r="EE260" s="38"/>
      <c r="EF260" s="38"/>
      <c r="EG260" s="38"/>
      <c r="EH260" s="38"/>
      <c r="EI260" s="38"/>
      <c r="EJ260" s="38"/>
      <c r="EK260" s="38"/>
      <c r="EL260" s="38"/>
      <c r="EM260" s="38"/>
      <c r="EN260" s="38"/>
      <c r="EO260" s="38"/>
      <c r="EP260" s="38"/>
      <c r="EQ260" s="38"/>
      <c r="ER260" s="38"/>
      <c r="ES260" s="27"/>
      <c r="ET260" s="27"/>
      <c r="EU260" s="27"/>
    </row>
    <row r="261" spans="1:151" s="39" customFormat="1" x14ac:dyDescent="0.35">
      <c r="A261" s="22"/>
      <c r="B261" s="23"/>
      <c r="C261" s="25"/>
      <c r="D261" s="25"/>
      <c r="E261" s="24"/>
      <c r="F261" s="24"/>
      <c r="G261" s="24"/>
      <c r="H261" s="24"/>
      <c r="I261" s="24"/>
      <c r="J261" s="24"/>
      <c r="K261" s="26"/>
      <c r="L261" s="116"/>
      <c r="M261" s="27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  <c r="DF261" s="38"/>
      <c r="DG261" s="38"/>
      <c r="DH261" s="38"/>
      <c r="DI261" s="38"/>
      <c r="DJ261" s="38"/>
      <c r="DK261" s="38"/>
      <c r="DL261" s="38"/>
      <c r="DM261" s="38"/>
      <c r="DN261" s="38"/>
      <c r="DO261" s="38"/>
      <c r="DP261" s="38"/>
      <c r="DQ261" s="38"/>
      <c r="DR261" s="38"/>
      <c r="DS261" s="38"/>
      <c r="DT261" s="38"/>
      <c r="DU261" s="38"/>
      <c r="DV261" s="38"/>
      <c r="DW261" s="38"/>
      <c r="DX261" s="38"/>
      <c r="DY261" s="38"/>
      <c r="DZ261" s="38"/>
      <c r="EA261" s="38"/>
      <c r="EB261" s="38"/>
      <c r="EC261" s="38"/>
      <c r="ED261" s="38"/>
      <c r="EE261" s="38"/>
      <c r="EF261" s="38"/>
      <c r="EG261" s="38"/>
      <c r="EH261" s="38"/>
      <c r="EI261" s="38"/>
      <c r="EJ261" s="38"/>
      <c r="EK261" s="38"/>
      <c r="EL261" s="38"/>
      <c r="EM261" s="38"/>
      <c r="EN261" s="38"/>
      <c r="EO261" s="38"/>
      <c r="EP261" s="38"/>
      <c r="EQ261" s="38"/>
      <c r="ER261" s="38"/>
      <c r="ES261" s="27"/>
      <c r="ET261" s="27"/>
      <c r="EU261" s="27"/>
    </row>
    <row r="262" spans="1:151" s="39" customFormat="1" x14ac:dyDescent="0.35">
      <c r="A262" s="22"/>
      <c r="B262" s="23"/>
      <c r="C262" s="25"/>
      <c r="D262" s="25"/>
      <c r="E262" s="24"/>
      <c r="F262" s="24"/>
      <c r="G262" s="24"/>
      <c r="H262" s="24"/>
      <c r="I262" s="24"/>
      <c r="J262" s="24"/>
      <c r="K262" s="26"/>
      <c r="L262" s="116"/>
      <c r="M262" s="27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  <c r="DQ262" s="38"/>
      <c r="DR262" s="38"/>
      <c r="DS262" s="38"/>
      <c r="DT262" s="38"/>
      <c r="DU262" s="38"/>
      <c r="DV262" s="38"/>
      <c r="DW262" s="38"/>
      <c r="DX262" s="38"/>
      <c r="DY262" s="38"/>
      <c r="DZ262" s="38"/>
      <c r="EA262" s="38"/>
      <c r="EB262" s="38"/>
      <c r="EC262" s="38"/>
      <c r="ED262" s="38"/>
      <c r="EE262" s="38"/>
      <c r="EF262" s="38"/>
      <c r="EG262" s="38"/>
      <c r="EH262" s="38"/>
      <c r="EI262" s="38"/>
      <c r="EJ262" s="38"/>
      <c r="EK262" s="38"/>
      <c r="EL262" s="38"/>
      <c r="EM262" s="38"/>
      <c r="EN262" s="38"/>
      <c r="EO262" s="38"/>
      <c r="EP262" s="38"/>
      <c r="EQ262" s="38"/>
      <c r="ER262" s="38"/>
      <c r="ES262" s="27"/>
      <c r="ET262" s="27"/>
      <c r="EU262" s="27"/>
    </row>
    <row r="263" spans="1:151" s="39" customFormat="1" x14ac:dyDescent="0.35">
      <c r="A263" s="22"/>
      <c r="B263" s="23"/>
      <c r="C263" s="25"/>
      <c r="D263" s="25"/>
      <c r="E263" s="24"/>
      <c r="F263" s="24"/>
      <c r="G263" s="24"/>
      <c r="H263" s="24"/>
      <c r="I263" s="24"/>
      <c r="J263" s="24"/>
      <c r="K263" s="26"/>
      <c r="L263" s="116"/>
      <c r="M263" s="27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  <c r="DQ263" s="38"/>
      <c r="DR263" s="38"/>
      <c r="DS263" s="38"/>
      <c r="DT263" s="38"/>
      <c r="DU263" s="38"/>
      <c r="DV263" s="38"/>
      <c r="DW263" s="38"/>
      <c r="DX263" s="38"/>
      <c r="DY263" s="38"/>
      <c r="DZ263" s="38"/>
      <c r="EA263" s="38"/>
      <c r="EB263" s="38"/>
      <c r="EC263" s="38"/>
      <c r="ED263" s="38"/>
      <c r="EE263" s="38"/>
      <c r="EF263" s="38"/>
      <c r="EG263" s="38"/>
      <c r="EH263" s="38"/>
      <c r="EI263" s="38"/>
      <c r="EJ263" s="38"/>
      <c r="EK263" s="38"/>
      <c r="EL263" s="38"/>
      <c r="EM263" s="38"/>
      <c r="EN263" s="38"/>
      <c r="EO263" s="38"/>
      <c r="EP263" s="38"/>
      <c r="EQ263" s="38"/>
      <c r="ER263" s="38"/>
      <c r="ES263" s="27"/>
      <c r="ET263" s="27"/>
      <c r="EU263" s="27"/>
    </row>
    <row r="264" spans="1:151" s="39" customFormat="1" x14ac:dyDescent="0.35">
      <c r="A264" s="22"/>
      <c r="B264" s="23"/>
      <c r="C264" s="25"/>
      <c r="D264" s="25"/>
      <c r="E264" s="24"/>
      <c r="F264" s="24"/>
      <c r="G264" s="24"/>
      <c r="H264" s="24"/>
      <c r="I264" s="24"/>
      <c r="J264" s="24"/>
      <c r="K264" s="26"/>
      <c r="L264" s="116"/>
      <c r="M264" s="27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27"/>
      <c r="ET264" s="27"/>
      <c r="EU264" s="27"/>
    </row>
    <row r="265" spans="1:151" s="39" customFormat="1" x14ac:dyDescent="0.35">
      <c r="A265" s="22"/>
      <c r="B265" s="23"/>
      <c r="C265" s="25"/>
      <c r="D265" s="25"/>
      <c r="E265" s="24"/>
      <c r="F265" s="24"/>
      <c r="G265" s="24"/>
      <c r="H265" s="24"/>
      <c r="I265" s="24"/>
      <c r="J265" s="24"/>
      <c r="K265" s="26"/>
      <c r="L265" s="116"/>
      <c r="M265" s="27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27"/>
      <c r="ET265" s="27"/>
      <c r="EU265" s="27"/>
    </row>
    <row r="266" spans="1:151" s="39" customFormat="1" x14ac:dyDescent="0.35">
      <c r="A266" s="22"/>
      <c r="B266" s="23"/>
      <c r="C266" s="25"/>
      <c r="D266" s="25"/>
      <c r="E266" s="24"/>
      <c r="F266" s="24"/>
      <c r="G266" s="24"/>
      <c r="H266" s="24"/>
      <c r="I266" s="24"/>
      <c r="J266" s="24"/>
      <c r="K266" s="26"/>
      <c r="L266" s="116"/>
      <c r="M266" s="27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27"/>
      <c r="ET266" s="27"/>
      <c r="EU266" s="27"/>
    </row>
    <row r="267" spans="1:151" s="39" customFormat="1" x14ac:dyDescent="0.35">
      <c r="A267" s="22"/>
      <c r="B267" s="23"/>
      <c r="C267" s="25"/>
      <c r="D267" s="25"/>
      <c r="E267" s="24"/>
      <c r="F267" s="24"/>
      <c r="G267" s="24"/>
      <c r="H267" s="24"/>
      <c r="I267" s="24"/>
      <c r="J267" s="24"/>
      <c r="K267" s="26"/>
      <c r="L267" s="116"/>
      <c r="M267" s="27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27"/>
      <c r="ET267" s="27"/>
      <c r="EU267" s="27"/>
    </row>
    <row r="268" spans="1:151" x14ac:dyDescent="0.35">
      <c r="M268" s="27"/>
      <c r="ES268" s="27"/>
      <c r="ET268" s="27"/>
      <c r="EU268" s="27"/>
    </row>
    <row r="269" spans="1:151" x14ac:dyDescent="0.35">
      <c r="M269" s="27"/>
      <c r="ES269" s="27"/>
      <c r="ET269" s="27"/>
      <c r="EU269" s="27"/>
    </row>
    <row r="270" spans="1:151" x14ac:dyDescent="0.35">
      <c r="M270" s="27"/>
      <c r="ES270" s="27"/>
      <c r="ET270" s="27"/>
      <c r="EU270" s="27"/>
    </row>
    <row r="271" spans="1:151" x14ac:dyDescent="0.35">
      <c r="M271" s="27"/>
      <c r="ES271" s="27"/>
      <c r="ET271" s="27"/>
      <c r="EU271" s="27"/>
    </row>
    <row r="272" spans="1:151" x14ac:dyDescent="0.35">
      <c r="M272" s="27"/>
      <c r="ES272" s="27"/>
      <c r="ET272" s="27"/>
      <c r="EU272" s="27"/>
    </row>
    <row r="273" spans="1:151" x14ac:dyDescent="0.35">
      <c r="M273" s="27"/>
      <c r="ES273" s="27"/>
      <c r="ET273" s="27"/>
      <c r="EU273" s="27"/>
    </row>
    <row r="274" spans="1:151" x14ac:dyDescent="0.35">
      <c r="M274" s="27"/>
      <c r="ES274" s="27"/>
      <c r="ET274" s="27"/>
      <c r="EU274" s="27"/>
    </row>
    <row r="275" spans="1:151" x14ac:dyDescent="0.35">
      <c r="M275" s="27"/>
      <c r="ES275" s="27"/>
      <c r="ET275" s="27"/>
      <c r="EU275" s="27"/>
    </row>
    <row r="276" spans="1:151" x14ac:dyDescent="0.35">
      <c r="M276" s="27"/>
      <c r="ES276" s="27"/>
      <c r="ET276" s="27"/>
      <c r="EU276" s="27"/>
    </row>
    <row r="277" spans="1:151" x14ac:dyDescent="0.35">
      <c r="C277" s="122"/>
      <c r="M277" s="27"/>
      <c r="CM277" s="39"/>
      <c r="DD277" s="39"/>
      <c r="DO277" s="39"/>
      <c r="DU277" s="39"/>
      <c r="ES277" s="27"/>
      <c r="ET277" s="27"/>
      <c r="EU277" s="27"/>
    </row>
    <row r="278" spans="1:151" x14ac:dyDescent="0.35">
      <c r="M278" s="27"/>
      <c r="ES278" s="27"/>
      <c r="ET278" s="27"/>
      <c r="EU278" s="27"/>
    </row>
    <row r="279" spans="1:151" x14ac:dyDescent="0.35">
      <c r="M279" s="27"/>
      <c r="ES279" s="27"/>
      <c r="ET279" s="27"/>
      <c r="EU279" s="27"/>
    </row>
    <row r="280" spans="1:151" x14ac:dyDescent="0.35">
      <c r="M280" s="27"/>
      <c r="ES280" s="27"/>
      <c r="ET280" s="27"/>
      <c r="EU280" s="27"/>
    </row>
    <row r="281" spans="1:151" x14ac:dyDescent="0.35">
      <c r="M281" s="27"/>
      <c r="ES281" s="27"/>
      <c r="ET281" s="27"/>
      <c r="EU281" s="27"/>
    </row>
    <row r="282" spans="1:151" x14ac:dyDescent="0.35">
      <c r="M282" s="27"/>
      <c r="ES282" s="27"/>
      <c r="ET282" s="27"/>
      <c r="EU282" s="27"/>
    </row>
    <row r="283" spans="1:151" x14ac:dyDescent="0.35">
      <c r="M283" s="27"/>
      <c r="ES283" s="27"/>
      <c r="ET283" s="27"/>
      <c r="EU283" s="27"/>
    </row>
    <row r="284" spans="1:151" s="39" customFormat="1" x14ac:dyDescent="0.35">
      <c r="A284" s="22"/>
      <c r="B284" s="23"/>
      <c r="C284" s="25"/>
      <c r="D284" s="25"/>
      <c r="E284" s="24"/>
      <c r="F284" s="24"/>
      <c r="G284" s="24"/>
      <c r="H284" s="24"/>
      <c r="I284" s="24"/>
      <c r="J284" s="24"/>
      <c r="K284" s="26"/>
      <c r="L284" s="116"/>
      <c r="M284" s="27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27"/>
      <c r="ET284" s="27"/>
      <c r="EU284" s="27"/>
    </row>
    <row r="285" spans="1:151" s="39" customFormat="1" x14ac:dyDescent="0.35">
      <c r="A285" s="22"/>
      <c r="B285" s="23"/>
      <c r="C285" s="25"/>
      <c r="D285" s="25"/>
      <c r="E285" s="24"/>
      <c r="F285" s="24"/>
      <c r="G285" s="24"/>
      <c r="H285" s="24"/>
      <c r="I285" s="24"/>
      <c r="J285" s="24"/>
      <c r="K285" s="26"/>
      <c r="L285" s="116"/>
      <c r="M285" s="27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27"/>
      <c r="ET285" s="27"/>
      <c r="EU285" s="27"/>
    </row>
    <row r="286" spans="1:151" s="39" customFormat="1" x14ac:dyDescent="0.35">
      <c r="A286" s="22"/>
      <c r="B286" s="23"/>
      <c r="C286" s="25"/>
      <c r="D286" s="25"/>
      <c r="E286" s="24"/>
      <c r="F286" s="24"/>
      <c r="G286" s="24"/>
      <c r="H286" s="24"/>
      <c r="I286" s="24"/>
      <c r="J286" s="24"/>
      <c r="K286" s="26"/>
      <c r="L286" s="116"/>
      <c r="M286" s="27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27"/>
      <c r="ET286" s="27"/>
      <c r="EU286" s="27"/>
    </row>
    <row r="287" spans="1:151" s="39" customFormat="1" x14ac:dyDescent="0.35">
      <c r="A287" s="22"/>
      <c r="B287" s="23"/>
      <c r="C287" s="25"/>
      <c r="D287" s="25"/>
      <c r="E287" s="24"/>
      <c r="F287" s="24"/>
      <c r="G287" s="24"/>
      <c r="H287" s="24"/>
      <c r="I287" s="24"/>
      <c r="J287" s="24"/>
      <c r="K287" s="26"/>
      <c r="L287" s="116"/>
      <c r="M287" s="27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27"/>
      <c r="ET287" s="27"/>
      <c r="EU287" s="27"/>
    </row>
    <row r="288" spans="1:151" s="39" customFormat="1" x14ac:dyDescent="0.35">
      <c r="A288" s="22"/>
      <c r="B288" s="23"/>
      <c r="C288" s="25"/>
      <c r="D288" s="25"/>
      <c r="E288" s="24"/>
      <c r="F288" s="24"/>
      <c r="G288" s="24"/>
      <c r="H288" s="24"/>
      <c r="I288" s="24"/>
      <c r="J288" s="24"/>
      <c r="K288" s="26"/>
      <c r="L288" s="116"/>
      <c r="M288" s="27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27"/>
      <c r="ET288" s="27"/>
      <c r="EU288" s="27"/>
    </row>
    <row r="289" spans="1:151" s="39" customFormat="1" x14ac:dyDescent="0.35">
      <c r="A289" s="22"/>
      <c r="B289" s="23"/>
      <c r="C289" s="25"/>
      <c r="D289" s="25"/>
      <c r="E289" s="24"/>
      <c r="F289" s="24"/>
      <c r="G289" s="24"/>
      <c r="H289" s="24"/>
      <c r="I289" s="24"/>
      <c r="J289" s="24"/>
      <c r="K289" s="26"/>
      <c r="L289" s="116"/>
      <c r="M289" s="27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27"/>
      <c r="ET289" s="27"/>
      <c r="EU289" s="27"/>
    </row>
    <row r="290" spans="1:151" s="39" customFormat="1" x14ac:dyDescent="0.35">
      <c r="A290" s="22"/>
      <c r="B290" s="23"/>
      <c r="C290" s="25"/>
      <c r="D290" s="25"/>
      <c r="E290" s="24"/>
      <c r="F290" s="24"/>
      <c r="G290" s="24"/>
      <c r="H290" s="24"/>
      <c r="I290" s="24"/>
      <c r="J290" s="24"/>
      <c r="K290" s="26"/>
      <c r="L290" s="116"/>
      <c r="M290" s="27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27"/>
      <c r="ET290" s="27"/>
      <c r="EU290" s="27"/>
    </row>
    <row r="291" spans="1:151" s="39" customFormat="1" x14ac:dyDescent="0.35">
      <c r="A291" s="22"/>
      <c r="B291" s="23"/>
      <c r="C291" s="25"/>
      <c r="D291" s="25"/>
      <c r="E291" s="24"/>
      <c r="F291" s="24"/>
      <c r="G291" s="24"/>
      <c r="H291" s="24"/>
      <c r="I291" s="24"/>
      <c r="J291" s="24"/>
      <c r="K291" s="26"/>
      <c r="L291" s="116"/>
      <c r="M291" s="27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27"/>
      <c r="ET291" s="27"/>
      <c r="EU291" s="27"/>
    </row>
    <row r="292" spans="1:151" s="39" customFormat="1" x14ac:dyDescent="0.35">
      <c r="A292" s="22"/>
      <c r="B292" s="23"/>
      <c r="C292" s="25"/>
      <c r="D292" s="25"/>
      <c r="E292" s="24"/>
      <c r="F292" s="24"/>
      <c r="G292" s="24"/>
      <c r="H292" s="24"/>
      <c r="I292" s="24"/>
      <c r="J292" s="24"/>
      <c r="K292" s="26"/>
      <c r="L292" s="116"/>
      <c r="M292" s="27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27"/>
      <c r="ET292" s="27"/>
      <c r="EU292" s="27"/>
    </row>
    <row r="293" spans="1:151" s="39" customFormat="1" x14ac:dyDescent="0.35">
      <c r="A293" s="22"/>
      <c r="B293" s="23"/>
      <c r="C293" s="25"/>
      <c r="D293" s="25"/>
      <c r="E293" s="24"/>
      <c r="F293" s="24"/>
      <c r="G293" s="24"/>
      <c r="H293" s="24"/>
      <c r="I293" s="24"/>
      <c r="J293" s="24"/>
      <c r="K293" s="26"/>
      <c r="L293" s="116"/>
      <c r="M293" s="27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27"/>
      <c r="ET293" s="27"/>
      <c r="EU293" s="27"/>
    </row>
    <row r="294" spans="1:151" s="39" customFormat="1" x14ac:dyDescent="0.35">
      <c r="A294" s="22"/>
      <c r="B294" s="23"/>
      <c r="C294" s="25"/>
      <c r="D294" s="25"/>
      <c r="E294" s="24"/>
      <c r="F294" s="24"/>
      <c r="G294" s="24"/>
      <c r="H294" s="24"/>
      <c r="I294" s="24"/>
      <c r="J294" s="24"/>
      <c r="K294" s="26"/>
      <c r="L294" s="116"/>
      <c r="M294" s="27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27"/>
      <c r="ET294" s="27"/>
      <c r="EU294" s="27"/>
    </row>
    <row r="295" spans="1:151" s="39" customFormat="1" x14ac:dyDescent="0.35">
      <c r="A295" s="22"/>
      <c r="B295" s="23"/>
      <c r="C295" s="25"/>
      <c r="D295" s="25"/>
      <c r="E295" s="24"/>
      <c r="F295" s="24"/>
      <c r="G295" s="24"/>
      <c r="H295" s="24"/>
      <c r="I295" s="24"/>
      <c r="J295" s="24"/>
      <c r="K295" s="26"/>
      <c r="L295" s="116"/>
      <c r="M295" s="27"/>
      <c r="CM295" s="38"/>
      <c r="CN295" s="38"/>
      <c r="CO295" s="38"/>
      <c r="CP295" s="38"/>
      <c r="CQ295" s="38"/>
      <c r="CR295" s="38"/>
      <c r="CS295" s="38"/>
      <c r="CT295" s="38"/>
      <c r="CU295" s="38"/>
      <c r="CV295" s="38"/>
      <c r="CW295" s="38"/>
      <c r="CX295" s="38"/>
      <c r="CY295" s="38"/>
      <c r="CZ295" s="38"/>
      <c r="DA295" s="38"/>
      <c r="DB295" s="38"/>
      <c r="DC295" s="38"/>
      <c r="DD295" s="38"/>
      <c r="DE295" s="38"/>
      <c r="DF295" s="38"/>
      <c r="DG295" s="38"/>
      <c r="DH295" s="38"/>
      <c r="DI295" s="38"/>
      <c r="DJ295" s="38"/>
      <c r="DK295" s="38"/>
      <c r="DL295" s="38"/>
      <c r="DM295" s="38"/>
      <c r="DN295" s="38"/>
      <c r="DO295" s="38"/>
      <c r="DP295" s="38"/>
      <c r="DQ295" s="38"/>
      <c r="DR295" s="38"/>
      <c r="DS295" s="38"/>
      <c r="DT295" s="38"/>
      <c r="DU295" s="38"/>
      <c r="DV295" s="38"/>
      <c r="DW295" s="38"/>
      <c r="DX295" s="38"/>
      <c r="DY295" s="38"/>
      <c r="DZ295" s="38"/>
      <c r="EA295" s="38"/>
      <c r="EB295" s="38"/>
      <c r="EC295" s="38"/>
      <c r="ED295" s="38"/>
      <c r="EE295" s="38"/>
      <c r="EF295" s="38"/>
      <c r="EG295" s="38"/>
      <c r="EH295" s="38"/>
      <c r="EI295" s="38"/>
      <c r="EJ295" s="38"/>
      <c r="EK295" s="38"/>
      <c r="EL295" s="38"/>
      <c r="EM295" s="38"/>
      <c r="EN295" s="38"/>
      <c r="EO295" s="38"/>
      <c r="EP295" s="38"/>
      <c r="EQ295" s="38"/>
      <c r="ER295" s="38"/>
      <c r="ES295" s="27"/>
      <c r="ET295" s="27"/>
      <c r="EU295" s="27"/>
    </row>
    <row r="296" spans="1:151" s="39" customFormat="1" x14ac:dyDescent="0.35">
      <c r="A296" s="22"/>
      <c r="B296" s="23"/>
      <c r="C296" s="25"/>
      <c r="D296" s="25"/>
      <c r="E296" s="24"/>
      <c r="F296" s="24"/>
      <c r="G296" s="24"/>
      <c r="H296" s="24"/>
      <c r="I296" s="24"/>
      <c r="J296" s="24"/>
      <c r="K296" s="26"/>
      <c r="L296" s="116"/>
      <c r="M296" s="27"/>
      <c r="CM296" s="38"/>
      <c r="CN296" s="38"/>
      <c r="CO296" s="38"/>
      <c r="CP296" s="38"/>
      <c r="CQ296" s="38"/>
      <c r="CR296" s="38"/>
      <c r="CS296" s="38"/>
      <c r="CT296" s="38"/>
      <c r="CU296" s="38"/>
      <c r="CV296" s="38"/>
      <c r="CW296" s="38"/>
      <c r="CX296" s="38"/>
      <c r="CY296" s="38"/>
      <c r="CZ296" s="38"/>
      <c r="DA296" s="38"/>
      <c r="DB296" s="38"/>
      <c r="DC296" s="38"/>
      <c r="DD296" s="38"/>
      <c r="DE296" s="38"/>
      <c r="DF296" s="38"/>
      <c r="DG296" s="38"/>
      <c r="DH296" s="38"/>
      <c r="DI296" s="38"/>
      <c r="DJ296" s="38"/>
      <c r="DK296" s="38"/>
      <c r="DL296" s="38"/>
      <c r="DM296" s="38"/>
      <c r="DN296" s="38"/>
      <c r="DO296" s="38"/>
      <c r="DP296" s="38"/>
      <c r="DQ296" s="38"/>
      <c r="DR296" s="38"/>
      <c r="DS296" s="38"/>
      <c r="DT296" s="38"/>
      <c r="DU296" s="38"/>
      <c r="DV296" s="38"/>
      <c r="DW296" s="38"/>
      <c r="DX296" s="38"/>
      <c r="DY296" s="38"/>
      <c r="DZ296" s="38"/>
      <c r="EA296" s="38"/>
      <c r="EB296" s="38"/>
      <c r="EC296" s="38"/>
      <c r="ED296" s="38"/>
      <c r="EE296" s="38"/>
      <c r="EF296" s="38"/>
      <c r="EG296" s="38"/>
      <c r="EH296" s="38"/>
      <c r="EI296" s="38"/>
      <c r="EJ296" s="38"/>
      <c r="EK296" s="38"/>
      <c r="EL296" s="38"/>
      <c r="EM296" s="38"/>
      <c r="EN296" s="38"/>
      <c r="EO296" s="38"/>
      <c r="EP296" s="38"/>
      <c r="EQ296" s="38"/>
      <c r="ER296" s="38"/>
      <c r="ES296" s="27"/>
      <c r="ET296" s="27"/>
      <c r="EU296" s="27"/>
    </row>
    <row r="297" spans="1:151" s="39" customFormat="1" x14ac:dyDescent="0.35">
      <c r="A297" s="22"/>
      <c r="B297" s="23"/>
      <c r="C297" s="25"/>
      <c r="D297" s="25"/>
      <c r="E297" s="24"/>
      <c r="F297" s="24"/>
      <c r="G297" s="24"/>
      <c r="H297" s="24"/>
      <c r="I297" s="24"/>
      <c r="J297" s="24"/>
      <c r="K297" s="26"/>
      <c r="L297" s="116"/>
      <c r="M297" s="27"/>
      <c r="CM297" s="38"/>
      <c r="CN297" s="38"/>
      <c r="CO297" s="38"/>
      <c r="CP297" s="38"/>
      <c r="CQ297" s="38"/>
      <c r="CR297" s="38"/>
      <c r="CS297" s="38"/>
      <c r="CT297" s="38"/>
      <c r="CU297" s="38"/>
      <c r="CV297" s="38"/>
      <c r="CW297" s="38"/>
      <c r="CX297" s="38"/>
      <c r="CY297" s="38"/>
      <c r="CZ297" s="38"/>
      <c r="DA297" s="38"/>
      <c r="DB297" s="38"/>
      <c r="DC297" s="38"/>
      <c r="DD297" s="38"/>
      <c r="DE297" s="38"/>
      <c r="DF297" s="38"/>
      <c r="DG297" s="38"/>
      <c r="DH297" s="38"/>
      <c r="DI297" s="38"/>
      <c r="DJ297" s="38"/>
      <c r="DK297" s="38"/>
      <c r="DL297" s="38"/>
      <c r="DM297" s="38"/>
      <c r="DN297" s="38"/>
      <c r="DO297" s="38"/>
      <c r="DP297" s="38"/>
      <c r="DQ297" s="38"/>
      <c r="DR297" s="38"/>
      <c r="DS297" s="38"/>
      <c r="DT297" s="38"/>
      <c r="DU297" s="38"/>
      <c r="DV297" s="38"/>
      <c r="DW297" s="38"/>
      <c r="DX297" s="38"/>
      <c r="DY297" s="38"/>
      <c r="DZ297" s="38"/>
      <c r="EA297" s="38"/>
      <c r="EB297" s="38"/>
      <c r="EC297" s="38"/>
      <c r="ED297" s="38"/>
      <c r="EE297" s="38"/>
      <c r="EF297" s="38"/>
      <c r="EG297" s="38"/>
      <c r="EH297" s="38"/>
      <c r="EI297" s="38"/>
      <c r="EJ297" s="38"/>
      <c r="EK297" s="38"/>
      <c r="EL297" s="38"/>
      <c r="EM297" s="38"/>
      <c r="EN297" s="38"/>
      <c r="EO297" s="38"/>
      <c r="EP297" s="38"/>
      <c r="EQ297" s="38"/>
      <c r="ER297" s="38"/>
      <c r="ES297" s="27"/>
      <c r="ET297" s="27"/>
      <c r="EU297" s="27"/>
    </row>
    <row r="298" spans="1:151" s="39" customFormat="1" x14ac:dyDescent="0.35">
      <c r="A298" s="22"/>
      <c r="B298" s="23"/>
      <c r="C298" s="25"/>
      <c r="D298" s="25"/>
      <c r="E298" s="24"/>
      <c r="F298" s="24"/>
      <c r="G298" s="24"/>
      <c r="H298" s="24"/>
      <c r="I298" s="24"/>
      <c r="J298" s="24"/>
      <c r="K298" s="26"/>
      <c r="L298" s="116"/>
      <c r="M298" s="27"/>
      <c r="CM298" s="38"/>
      <c r="CN298" s="38"/>
      <c r="CO298" s="38"/>
      <c r="CP298" s="38"/>
      <c r="CQ298" s="38"/>
      <c r="CR298" s="38"/>
      <c r="CS298" s="38"/>
      <c r="CT298" s="38"/>
      <c r="CU298" s="38"/>
      <c r="CV298" s="38"/>
      <c r="CW298" s="38"/>
      <c r="CX298" s="38"/>
      <c r="CY298" s="38"/>
      <c r="CZ298" s="38"/>
      <c r="DA298" s="38"/>
      <c r="DB298" s="38"/>
      <c r="DC298" s="38"/>
      <c r="DD298" s="38"/>
      <c r="DE298" s="38"/>
      <c r="DF298" s="38"/>
      <c r="DG298" s="38"/>
      <c r="DH298" s="38"/>
      <c r="DI298" s="38"/>
      <c r="DJ298" s="38"/>
      <c r="DK298" s="38"/>
      <c r="DL298" s="38"/>
      <c r="DM298" s="38"/>
      <c r="DN298" s="38"/>
      <c r="DO298" s="38"/>
      <c r="DP298" s="38"/>
      <c r="DQ298" s="38"/>
      <c r="DR298" s="38"/>
      <c r="DS298" s="38"/>
      <c r="DT298" s="38"/>
      <c r="DU298" s="38"/>
      <c r="DV298" s="38"/>
      <c r="DW298" s="38"/>
      <c r="DX298" s="38"/>
      <c r="DY298" s="38"/>
      <c r="DZ298" s="38"/>
      <c r="EA298" s="38"/>
      <c r="EB298" s="38"/>
      <c r="EC298" s="38"/>
      <c r="ED298" s="38"/>
      <c r="EE298" s="38"/>
      <c r="EF298" s="38"/>
      <c r="EG298" s="38"/>
      <c r="EH298" s="38"/>
      <c r="EI298" s="38"/>
      <c r="EJ298" s="38"/>
      <c r="EK298" s="38"/>
      <c r="EL298" s="38"/>
      <c r="EM298" s="38"/>
      <c r="EN298" s="38"/>
      <c r="EO298" s="38"/>
      <c r="EP298" s="38"/>
      <c r="EQ298" s="38"/>
      <c r="ER298" s="38"/>
      <c r="ES298" s="27"/>
      <c r="ET298" s="27"/>
      <c r="EU298" s="27"/>
    </row>
    <row r="299" spans="1:151" s="39" customFormat="1" x14ac:dyDescent="0.35">
      <c r="A299" s="22"/>
      <c r="B299" s="23"/>
      <c r="C299" s="25"/>
      <c r="D299" s="25"/>
      <c r="E299" s="24"/>
      <c r="F299" s="24"/>
      <c r="G299" s="24"/>
      <c r="H299" s="24"/>
      <c r="I299" s="24"/>
      <c r="J299" s="24"/>
      <c r="K299" s="26"/>
      <c r="L299" s="116"/>
      <c r="M299" s="27"/>
      <c r="CM299" s="38"/>
      <c r="CN299" s="38"/>
      <c r="CO299" s="38"/>
      <c r="CP299" s="38"/>
      <c r="CQ299" s="38"/>
      <c r="CR299" s="38"/>
      <c r="CS299" s="38"/>
      <c r="CT299" s="38"/>
      <c r="CU299" s="38"/>
      <c r="CV299" s="38"/>
      <c r="CW299" s="38"/>
      <c r="CX299" s="38"/>
      <c r="CY299" s="38"/>
      <c r="CZ299" s="38"/>
      <c r="DA299" s="38"/>
      <c r="DB299" s="38"/>
      <c r="DC299" s="38"/>
      <c r="DD299" s="38"/>
      <c r="DE299" s="38"/>
      <c r="DF299" s="38"/>
      <c r="DG299" s="38"/>
      <c r="DH299" s="38"/>
      <c r="DI299" s="38"/>
      <c r="DJ299" s="38"/>
      <c r="DK299" s="38"/>
      <c r="DL299" s="38"/>
      <c r="DM299" s="38"/>
      <c r="DN299" s="38"/>
      <c r="DO299" s="38"/>
      <c r="DP299" s="38"/>
      <c r="DQ299" s="38"/>
      <c r="DR299" s="38"/>
      <c r="DS299" s="38"/>
      <c r="DT299" s="38"/>
      <c r="DU299" s="38"/>
      <c r="DV299" s="38"/>
      <c r="DW299" s="38"/>
      <c r="DX299" s="38"/>
      <c r="DY299" s="38"/>
      <c r="DZ299" s="38"/>
      <c r="EA299" s="38"/>
      <c r="EB299" s="38"/>
      <c r="EC299" s="38"/>
      <c r="ED299" s="38"/>
      <c r="EE299" s="38"/>
      <c r="EF299" s="38"/>
      <c r="EG299" s="38"/>
      <c r="EH299" s="38"/>
      <c r="EI299" s="38"/>
      <c r="EJ299" s="38"/>
      <c r="EK299" s="38"/>
      <c r="EL299" s="38"/>
      <c r="EM299" s="38"/>
      <c r="EN299" s="38"/>
      <c r="EO299" s="38"/>
      <c r="EP299" s="38"/>
      <c r="EQ299" s="38"/>
      <c r="ER299" s="38"/>
      <c r="ES299" s="27"/>
      <c r="ET299" s="27"/>
      <c r="EU299" s="27"/>
    </row>
    <row r="300" spans="1:151" x14ac:dyDescent="0.35">
      <c r="M300" s="27"/>
      <c r="ES300" s="27"/>
      <c r="ET300" s="27"/>
      <c r="EU300" s="27"/>
    </row>
    <row r="301" spans="1:151" x14ac:dyDescent="0.35">
      <c r="M301" s="27"/>
      <c r="ES301" s="27"/>
      <c r="ET301" s="27"/>
      <c r="EU301" s="27"/>
    </row>
    <row r="302" spans="1:151" x14ac:dyDescent="0.35">
      <c r="M302" s="27"/>
      <c r="ES302" s="27"/>
      <c r="ET302" s="27"/>
      <c r="EU302" s="27"/>
    </row>
    <row r="303" spans="1:151" x14ac:dyDescent="0.35">
      <c r="B303" s="71"/>
      <c r="M303" s="27"/>
      <c r="ES303" s="27"/>
      <c r="ET303" s="27"/>
      <c r="EU303" s="27"/>
    </row>
    <row r="304" spans="1:151" x14ac:dyDescent="0.35">
      <c r="M304" s="27"/>
      <c r="ES304" s="27"/>
      <c r="ET304" s="27"/>
      <c r="EU304" s="27"/>
    </row>
    <row r="305" spans="2:151" x14ac:dyDescent="0.35">
      <c r="M305" s="27"/>
      <c r="ES305" s="27"/>
      <c r="ET305" s="27"/>
      <c r="EU305" s="27"/>
    </row>
    <row r="306" spans="2:151" x14ac:dyDescent="0.35">
      <c r="M306" s="27"/>
      <c r="ES306" s="27"/>
      <c r="ET306" s="27"/>
      <c r="EU306" s="27"/>
    </row>
    <row r="307" spans="2:151" x14ac:dyDescent="0.35">
      <c r="M307" s="27"/>
      <c r="ES307" s="27"/>
      <c r="ET307" s="27"/>
      <c r="EU307" s="27"/>
    </row>
    <row r="308" spans="2:151" x14ac:dyDescent="0.35">
      <c r="M308" s="27"/>
      <c r="DL308" s="39"/>
      <c r="DO308" s="39"/>
      <c r="ES308" s="27"/>
      <c r="ET308" s="27"/>
      <c r="EU308" s="27"/>
    </row>
    <row r="309" spans="2:151" x14ac:dyDescent="0.35">
      <c r="B309" s="71"/>
      <c r="M309" s="27"/>
      <c r="ES309" s="27"/>
      <c r="ET309" s="27"/>
      <c r="EU309" s="27"/>
    </row>
    <row r="310" spans="2:151" x14ac:dyDescent="0.35">
      <c r="B310" s="71"/>
      <c r="M310" s="27"/>
      <c r="ES310" s="27"/>
      <c r="ET310" s="27"/>
      <c r="EU310" s="27"/>
    </row>
    <row r="311" spans="2:151" x14ac:dyDescent="0.35">
      <c r="M311" s="27"/>
      <c r="ES311" s="27"/>
      <c r="ET311" s="27"/>
      <c r="EU311" s="27"/>
    </row>
    <row r="312" spans="2:151" x14ac:dyDescent="0.35">
      <c r="M312" s="27"/>
      <c r="ES312" s="27"/>
      <c r="ET312" s="27"/>
      <c r="EU312" s="27"/>
    </row>
    <row r="313" spans="2:151" x14ac:dyDescent="0.35">
      <c r="M313" s="27"/>
      <c r="ES313" s="27"/>
      <c r="ET313" s="27"/>
      <c r="EU313" s="27"/>
    </row>
    <row r="314" spans="2:151" x14ac:dyDescent="0.35">
      <c r="B314" s="71"/>
      <c r="M314" s="27"/>
      <c r="ES314" s="27"/>
      <c r="ET314" s="27"/>
      <c r="EU314" s="27"/>
    </row>
    <row r="315" spans="2:151" x14ac:dyDescent="0.35">
      <c r="M315" s="27"/>
      <c r="ES315" s="27"/>
      <c r="ET315" s="27"/>
      <c r="EU315" s="27"/>
    </row>
    <row r="316" spans="2:151" x14ac:dyDescent="0.35">
      <c r="M316" s="27"/>
      <c r="ES316" s="27"/>
      <c r="ET316" s="27"/>
      <c r="EU316" s="27"/>
    </row>
    <row r="317" spans="2:151" x14ac:dyDescent="0.35">
      <c r="B317" s="71"/>
      <c r="M317" s="27"/>
      <c r="ES317" s="27"/>
      <c r="ET317" s="27"/>
      <c r="EU317" s="27"/>
    </row>
    <row r="318" spans="2:151" x14ac:dyDescent="0.35">
      <c r="M318" s="27"/>
      <c r="ES318" s="27"/>
      <c r="ET318" s="27"/>
      <c r="EU318" s="27"/>
    </row>
    <row r="319" spans="2:151" x14ac:dyDescent="0.35">
      <c r="M319" s="27"/>
      <c r="ES319" s="27"/>
      <c r="ET319" s="27"/>
      <c r="EU319" s="27"/>
    </row>
    <row r="320" spans="2:151" x14ac:dyDescent="0.35">
      <c r="B320" s="71"/>
      <c r="M320" s="27"/>
      <c r="ES320" s="27"/>
      <c r="ET320" s="27"/>
      <c r="EU320" s="27"/>
    </row>
    <row r="321" spans="1:151" x14ac:dyDescent="0.35">
      <c r="M321" s="27"/>
      <c r="ES321" s="27"/>
      <c r="ET321" s="27"/>
      <c r="EU321" s="27"/>
    </row>
    <row r="322" spans="1:151" x14ac:dyDescent="0.35">
      <c r="M322" s="27"/>
      <c r="ES322" s="27"/>
      <c r="ET322" s="27"/>
      <c r="EU322" s="27"/>
    </row>
    <row r="323" spans="1:151" x14ac:dyDescent="0.35">
      <c r="M323" s="27"/>
      <c r="CM323" s="39"/>
      <c r="CN323" s="39"/>
      <c r="EN323" s="39"/>
      <c r="ES323" s="27"/>
      <c r="ET323" s="27"/>
      <c r="EU323" s="27"/>
    </row>
    <row r="324" spans="1:151" x14ac:dyDescent="0.35">
      <c r="M324" s="27"/>
      <c r="ES324" s="27"/>
      <c r="ET324" s="27"/>
      <c r="EU324" s="27"/>
    </row>
    <row r="325" spans="1:151" x14ac:dyDescent="0.35">
      <c r="M325" s="27"/>
      <c r="ES325" s="27"/>
      <c r="ET325" s="27"/>
      <c r="EU325" s="27"/>
    </row>
    <row r="326" spans="1:151" x14ac:dyDescent="0.35">
      <c r="M326" s="27"/>
      <c r="ES326" s="27"/>
      <c r="ET326" s="27"/>
      <c r="EU326" s="27"/>
    </row>
    <row r="327" spans="1:151" x14ac:dyDescent="0.35">
      <c r="B327" s="71"/>
      <c r="M327" s="27"/>
      <c r="ES327" s="27"/>
      <c r="ET327" s="27"/>
      <c r="EU327" s="27"/>
    </row>
    <row r="328" spans="1:151" x14ac:dyDescent="0.35">
      <c r="M328" s="27"/>
      <c r="ES328" s="27"/>
      <c r="ET328" s="27"/>
      <c r="EU328" s="27"/>
    </row>
    <row r="329" spans="1:151" x14ac:dyDescent="0.35">
      <c r="M329" s="27"/>
      <c r="ES329" s="27"/>
      <c r="ET329" s="27"/>
      <c r="EU329" s="27"/>
    </row>
    <row r="330" spans="1:151" x14ac:dyDescent="0.35">
      <c r="M330" s="27"/>
      <c r="ES330" s="27"/>
      <c r="ET330" s="27"/>
      <c r="EU330" s="27"/>
    </row>
    <row r="331" spans="1:151" x14ac:dyDescent="0.35">
      <c r="C331" s="122"/>
      <c r="M331" s="27"/>
      <c r="ES331" s="27"/>
      <c r="ET331" s="27"/>
      <c r="EU331" s="27"/>
    </row>
    <row r="332" spans="1:151" s="39" customFormat="1" x14ac:dyDescent="0.35">
      <c r="A332" s="22"/>
      <c r="B332" s="23"/>
      <c r="C332" s="25"/>
      <c r="D332" s="25"/>
      <c r="E332" s="24"/>
      <c r="F332" s="24"/>
      <c r="G332" s="24"/>
      <c r="H332" s="24"/>
      <c r="I332" s="24"/>
      <c r="J332" s="24"/>
      <c r="K332" s="26"/>
      <c r="L332" s="116"/>
      <c r="M332" s="27"/>
      <c r="CM332" s="38"/>
      <c r="CN332" s="38"/>
      <c r="CO332" s="38"/>
      <c r="CP332" s="38"/>
      <c r="CQ332" s="38"/>
      <c r="CR332" s="38"/>
      <c r="CS332" s="38"/>
      <c r="CT332" s="38"/>
      <c r="CU332" s="38"/>
      <c r="CV332" s="38"/>
      <c r="CW332" s="38"/>
      <c r="CX332" s="38"/>
      <c r="CY332" s="38"/>
      <c r="CZ332" s="38"/>
      <c r="DA332" s="38"/>
      <c r="DB332" s="38"/>
      <c r="DC332" s="38"/>
      <c r="DD332" s="38"/>
      <c r="DE332" s="38"/>
      <c r="DF332" s="38"/>
      <c r="DG332" s="38"/>
      <c r="DH332" s="38"/>
      <c r="DI332" s="38"/>
      <c r="DJ332" s="38"/>
      <c r="DK332" s="38"/>
      <c r="DL332" s="38"/>
      <c r="DM332" s="38"/>
      <c r="DN332" s="38"/>
      <c r="DO332" s="38"/>
      <c r="DP332" s="38"/>
      <c r="DQ332" s="38"/>
      <c r="DR332" s="38"/>
      <c r="DS332" s="38"/>
      <c r="DT332" s="38"/>
      <c r="DU332" s="38"/>
      <c r="DV332" s="38"/>
      <c r="DW332" s="38"/>
      <c r="DX332" s="38"/>
      <c r="DY332" s="38"/>
      <c r="DZ332" s="38"/>
      <c r="EA332" s="38"/>
      <c r="EB332" s="38"/>
      <c r="EC332" s="38"/>
      <c r="ED332" s="38"/>
      <c r="EE332" s="38"/>
      <c r="EF332" s="38"/>
      <c r="EG332" s="38"/>
      <c r="EH332" s="38"/>
      <c r="EI332" s="38"/>
      <c r="EJ332" s="38"/>
      <c r="EK332" s="38"/>
      <c r="EL332" s="38"/>
      <c r="EM332" s="38"/>
      <c r="EN332" s="38"/>
      <c r="EO332" s="38"/>
      <c r="EP332" s="38"/>
      <c r="EQ332" s="38"/>
      <c r="ER332" s="38"/>
      <c r="ES332" s="27"/>
      <c r="ET332" s="27"/>
      <c r="EU332" s="27"/>
    </row>
    <row r="333" spans="1:151" s="39" customFormat="1" x14ac:dyDescent="0.35">
      <c r="A333" s="22"/>
      <c r="B333" s="23"/>
      <c r="C333" s="25"/>
      <c r="D333" s="25"/>
      <c r="E333" s="24"/>
      <c r="F333" s="24"/>
      <c r="G333" s="24"/>
      <c r="H333" s="24"/>
      <c r="I333" s="24"/>
      <c r="J333" s="24"/>
      <c r="K333" s="26"/>
      <c r="L333" s="116"/>
      <c r="M333" s="27"/>
      <c r="CM333" s="38"/>
      <c r="CN333" s="38"/>
      <c r="CO333" s="38"/>
      <c r="CP333" s="38"/>
      <c r="CQ333" s="38"/>
      <c r="CR333" s="38"/>
      <c r="CS333" s="38"/>
      <c r="CT333" s="38"/>
      <c r="CU333" s="38"/>
      <c r="CV333" s="38"/>
      <c r="CW333" s="38"/>
      <c r="CX333" s="38"/>
      <c r="CY333" s="38"/>
      <c r="CZ333" s="38"/>
      <c r="DA333" s="38"/>
      <c r="DB333" s="38"/>
      <c r="DC333" s="38"/>
      <c r="DD333" s="38"/>
      <c r="DE333" s="38"/>
      <c r="DF333" s="38"/>
      <c r="DG333" s="38"/>
      <c r="DH333" s="38"/>
      <c r="DI333" s="38"/>
      <c r="DJ333" s="38"/>
      <c r="DK333" s="38"/>
      <c r="DL333" s="38"/>
      <c r="DM333" s="38"/>
      <c r="DN333" s="38"/>
      <c r="DO333" s="38"/>
      <c r="DP333" s="38"/>
      <c r="DQ333" s="38"/>
      <c r="DR333" s="38"/>
      <c r="DS333" s="38"/>
      <c r="DT333" s="38"/>
      <c r="DU333" s="38"/>
      <c r="DV333" s="38"/>
      <c r="DW333" s="38"/>
      <c r="DX333" s="38"/>
      <c r="DY333" s="38"/>
      <c r="DZ333" s="38"/>
      <c r="EA333" s="38"/>
      <c r="EB333" s="38"/>
      <c r="EC333" s="38"/>
      <c r="ED333" s="38"/>
      <c r="EE333" s="38"/>
      <c r="EF333" s="38"/>
      <c r="EG333" s="38"/>
      <c r="EH333" s="38"/>
      <c r="EI333" s="38"/>
      <c r="EJ333" s="38"/>
      <c r="EK333" s="38"/>
      <c r="EL333" s="38"/>
      <c r="EM333" s="38"/>
      <c r="EN333" s="38"/>
      <c r="EO333" s="38"/>
      <c r="EP333" s="38"/>
      <c r="EQ333" s="38"/>
      <c r="ER333" s="38"/>
      <c r="ES333" s="27"/>
      <c r="ET333" s="27"/>
      <c r="EU333" s="27"/>
    </row>
    <row r="334" spans="1:151" s="39" customFormat="1" x14ac:dyDescent="0.35">
      <c r="A334" s="22"/>
      <c r="B334" s="71"/>
      <c r="C334" s="25"/>
      <c r="D334" s="25"/>
      <c r="E334" s="24"/>
      <c r="F334" s="24"/>
      <c r="G334" s="24"/>
      <c r="H334" s="24"/>
      <c r="I334" s="24"/>
      <c r="J334" s="24"/>
      <c r="K334" s="26"/>
      <c r="L334" s="116"/>
      <c r="M334" s="27"/>
      <c r="CM334" s="38"/>
      <c r="CN334" s="38"/>
      <c r="CO334" s="38"/>
      <c r="CP334" s="38"/>
      <c r="CQ334" s="38"/>
      <c r="CR334" s="38"/>
      <c r="CS334" s="38"/>
      <c r="CT334" s="38"/>
      <c r="CU334" s="38"/>
      <c r="CV334" s="38"/>
      <c r="CW334" s="38"/>
      <c r="CX334" s="38"/>
      <c r="CY334" s="38"/>
      <c r="CZ334" s="38"/>
      <c r="DA334" s="38"/>
      <c r="DB334" s="38"/>
      <c r="DC334" s="38"/>
      <c r="DD334" s="38"/>
      <c r="DE334" s="38"/>
      <c r="DF334" s="38"/>
      <c r="DG334" s="38"/>
      <c r="DH334" s="38"/>
      <c r="DI334" s="38"/>
      <c r="DJ334" s="38"/>
      <c r="DK334" s="38"/>
      <c r="DL334" s="38"/>
      <c r="DM334" s="38"/>
      <c r="DN334" s="38"/>
      <c r="DO334" s="38"/>
      <c r="DP334" s="38"/>
      <c r="DQ334" s="38"/>
      <c r="DR334" s="38"/>
      <c r="DS334" s="38"/>
      <c r="DT334" s="38"/>
      <c r="DU334" s="38"/>
      <c r="DV334" s="38"/>
      <c r="DW334" s="38"/>
      <c r="DX334" s="38"/>
      <c r="DY334" s="38"/>
      <c r="DZ334" s="38"/>
      <c r="EA334" s="38"/>
      <c r="EB334" s="38"/>
      <c r="EC334" s="38"/>
      <c r="ED334" s="38"/>
      <c r="EE334" s="38"/>
      <c r="EF334" s="38"/>
      <c r="EG334" s="38"/>
      <c r="EH334" s="38"/>
      <c r="EI334" s="38"/>
      <c r="EJ334" s="38"/>
      <c r="EK334" s="38"/>
      <c r="EL334" s="38"/>
      <c r="EM334" s="38"/>
      <c r="EN334" s="38"/>
      <c r="EO334" s="38"/>
      <c r="EP334" s="38"/>
      <c r="EQ334" s="38"/>
      <c r="ER334" s="38"/>
      <c r="ES334" s="27"/>
      <c r="ET334" s="27"/>
      <c r="EU334" s="27"/>
    </row>
    <row r="335" spans="1:151" s="39" customFormat="1" x14ac:dyDescent="0.35">
      <c r="A335" s="22"/>
      <c r="B335" s="23"/>
      <c r="C335" s="25"/>
      <c r="D335" s="25"/>
      <c r="E335" s="24"/>
      <c r="F335" s="24"/>
      <c r="G335" s="24"/>
      <c r="H335" s="24"/>
      <c r="I335" s="24"/>
      <c r="J335" s="24"/>
      <c r="K335" s="26"/>
      <c r="L335" s="116"/>
      <c r="M335" s="27"/>
      <c r="CM335" s="38"/>
      <c r="CN335" s="38"/>
      <c r="CO335" s="38"/>
      <c r="CP335" s="38"/>
      <c r="CQ335" s="38"/>
      <c r="CR335" s="38"/>
      <c r="CS335" s="38"/>
      <c r="CT335" s="38"/>
      <c r="CU335" s="38"/>
      <c r="CV335" s="38"/>
      <c r="CW335" s="38"/>
      <c r="CX335" s="38"/>
      <c r="CY335" s="38"/>
      <c r="CZ335" s="38"/>
      <c r="DA335" s="38"/>
      <c r="DB335" s="38"/>
      <c r="DC335" s="38"/>
      <c r="DD335" s="38"/>
      <c r="DE335" s="38"/>
      <c r="DF335" s="38"/>
      <c r="DG335" s="38"/>
      <c r="DH335" s="38"/>
      <c r="DI335" s="38"/>
      <c r="DJ335" s="38"/>
      <c r="DK335" s="38"/>
      <c r="DL335" s="38"/>
      <c r="DM335" s="38"/>
      <c r="DN335" s="38"/>
      <c r="DO335" s="38"/>
      <c r="DP335" s="38"/>
      <c r="DQ335" s="38"/>
      <c r="DR335" s="38"/>
      <c r="DS335" s="38"/>
      <c r="DT335" s="38"/>
      <c r="DU335" s="38"/>
      <c r="DV335" s="38"/>
      <c r="DW335" s="38"/>
      <c r="DX335" s="38"/>
      <c r="DY335" s="38"/>
      <c r="DZ335" s="38"/>
      <c r="EA335" s="38"/>
      <c r="EB335" s="38"/>
      <c r="EC335" s="38"/>
      <c r="ED335" s="38"/>
      <c r="EE335" s="38"/>
      <c r="EF335" s="38"/>
      <c r="EG335" s="38"/>
      <c r="EH335" s="38"/>
      <c r="EI335" s="38"/>
      <c r="EJ335" s="38"/>
      <c r="EK335" s="38"/>
      <c r="EL335" s="38"/>
      <c r="EM335" s="38"/>
      <c r="EN335" s="38"/>
      <c r="EO335" s="38"/>
      <c r="EP335" s="38"/>
      <c r="EQ335" s="38"/>
      <c r="ER335" s="38"/>
      <c r="ES335" s="27"/>
      <c r="ET335" s="27"/>
      <c r="EU335" s="27"/>
    </row>
    <row r="336" spans="1:151" s="39" customFormat="1" x14ac:dyDescent="0.35">
      <c r="A336" s="22"/>
      <c r="B336" s="23"/>
      <c r="C336" s="25"/>
      <c r="D336" s="25"/>
      <c r="E336" s="24"/>
      <c r="F336" s="24"/>
      <c r="G336" s="24"/>
      <c r="H336" s="24"/>
      <c r="I336" s="24"/>
      <c r="J336" s="24"/>
      <c r="K336" s="26"/>
      <c r="L336" s="116"/>
      <c r="M336" s="27"/>
      <c r="CM336" s="38"/>
      <c r="CN336" s="38"/>
      <c r="CO336" s="38"/>
      <c r="CP336" s="38"/>
      <c r="CQ336" s="38"/>
      <c r="CR336" s="38"/>
      <c r="CS336" s="38"/>
      <c r="CT336" s="38"/>
      <c r="CU336" s="38"/>
      <c r="CV336" s="38"/>
      <c r="CW336" s="38"/>
      <c r="CX336" s="38"/>
      <c r="CY336" s="38"/>
      <c r="CZ336" s="38"/>
      <c r="DA336" s="38"/>
      <c r="DB336" s="38"/>
      <c r="DC336" s="38"/>
      <c r="DD336" s="38"/>
      <c r="DE336" s="38"/>
      <c r="DF336" s="38"/>
      <c r="DG336" s="38"/>
      <c r="DH336" s="38"/>
      <c r="DI336" s="38"/>
      <c r="DJ336" s="38"/>
      <c r="DK336" s="38"/>
      <c r="DL336" s="38"/>
      <c r="DM336" s="38"/>
      <c r="DN336" s="38"/>
      <c r="DO336" s="38"/>
      <c r="DP336" s="38"/>
      <c r="DQ336" s="38"/>
      <c r="DR336" s="38"/>
      <c r="DS336" s="38"/>
      <c r="DT336" s="38"/>
      <c r="DU336" s="38"/>
      <c r="DV336" s="38"/>
      <c r="DW336" s="38"/>
      <c r="DX336" s="38"/>
      <c r="DY336" s="38"/>
      <c r="DZ336" s="38"/>
      <c r="EA336" s="38"/>
      <c r="EB336" s="38"/>
      <c r="EC336" s="38"/>
      <c r="ED336" s="38"/>
      <c r="EE336" s="38"/>
      <c r="EF336" s="38"/>
      <c r="EG336" s="38"/>
      <c r="EH336" s="38"/>
      <c r="EI336" s="38"/>
      <c r="EJ336" s="38"/>
      <c r="EK336" s="38"/>
      <c r="EL336" s="38"/>
      <c r="EM336" s="38"/>
      <c r="EN336" s="38"/>
      <c r="EO336" s="38"/>
      <c r="EP336" s="38"/>
      <c r="EQ336" s="38"/>
      <c r="ER336" s="38"/>
      <c r="ES336" s="27"/>
      <c r="ET336" s="27"/>
      <c r="EU336" s="27"/>
    </row>
    <row r="337" spans="1:151" s="39" customFormat="1" x14ac:dyDescent="0.35">
      <c r="A337" s="22"/>
      <c r="B337" s="23"/>
      <c r="C337" s="25"/>
      <c r="D337" s="25"/>
      <c r="E337" s="24"/>
      <c r="F337" s="24"/>
      <c r="G337" s="24"/>
      <c r="H337" s="24"/>
      <c r="I337" s="24"/>
      <c r="J337" s="24"/>
      <c r="K337" s="26"/>
      <c r="L337" s="116"/>
      <c r="M337" s="27"/>
      <c r="CM337" s="38"/>
      <c r="CN337" s="38"/>
      <c r="CO337" s="38"/>
      <c r="CP337" s="38"/>
      <c r="CQ337" s="38"/>
      <c r="CR337" s="38"/>
      <c r="CS337" s="38"/>
      <c r="CT337" s="38"/>
      <c r="CU337" s="38"/>
      <c r="CV337" s="38"/>
      <c r="CW337" s="38"/>
      <c r="CX337" s="38"/>
      <c r="CY337" s="38"/>
      <c r="CZ337" s="38"/>
      <c r="DA337" s="38"/>
      <c r="DB337" s="38"/>
      <c r="DC337" s="38"/>
      <c r="DD337" s="38"/>
      <c r="DE337" s="38"/>
      <c r="DF337" s="38"/>
      <c r="DG337" s="38"/>
      <c r="DH337" s="38"/>
      <c r="DI337" s="38"/>
      <c r="DJ337" s="38"/>
      <c r="DK337" s="38"/>
      <c r="DL337" s="38"/>
      <c r="DM337" s="38"/>
      <c r="DN337" s="38"/>
      <c r="DO337" s="38"/>
      <c r="DP337" s="38"/>
      <c r="DQ337" s="38"/>
      <c r="DR337" s="38"/>
      <c r="DS337" s="38"/>
      <c r="DT337" s="38"/>
      <c r="DU337" s="38"/>
      <c r="DV337" s="38"/>
      <c r="DW337" s="38"/>
      <c r="DX337" s="38"/>
      <c r="DY337" s="38"/>
      <c r="DZ337" s="38"/>
      <c r="EA337" s="38"/>
      <c r="EB337" s="38"/>
      <c r="EC337" s="38"/>
      <c r="ED337" s="38"/>
      <c r="EE337" s="38"/>
      <c r="EF337" s="38"/>
      <c r="EG337" s="38"/>
      <c r="EH337" s="38"/>
      <c r="EI337" s="38"/>
      <c r="EJ337" s="38"/>
      <c r="EK337" s="38"/>
      <c r="EL337" s="38"/>
      <c r="EM337" s="38"/>
      <c r="EN337" s="38"/>
      <c r="EO337" s="38"/>
      <c r="EP337" s="38"/>
      <c r="EQ337" s="38"/>
      <c r="ER337" s="38"/>
      <c r="ES337" s="27"/>
      <c r="ET337" s="27"/>
      <c r="EU337" s="27"/>
    </row>
    <row r="338" spans="1:151" s="39" customFormat="1" x14ac:dyDescent="0.35">
      <c r="A338" s="22"/>
      <c r="B338" s="23"/>
      <c r="C338" s="25"/>
      <c r="D338" s="25"/>
      <c r="E338" s="24"/>
      <c r="F338" s="24"/>
      <c r="G338" s="24"/>
      <c r="H338" s="24"/>
      <c r="I338" s="24"/>
      <c r="J338" s="24"/>
      <c r="K338" s="26"/>
      <c r="L338" s="116"/>
      <c r="M338" s="27"/>
      <c r="CM338" s="38"/>
      <c r="CN338" s="38"/>
      <c r="CO338" s="38"/>
      <c r="CP338" s="38"/>
      <c r="CQ338" s="38"/>
      <c r="CR338" s="38"/>
      <c r="CS338" s="38"/>
      <c r="CT338" s="38"/>
      <c r="CU338" s="38"/>
      <c r="CV338" s="38"/>
      <c r="CW338" s="38"/>
      <c r="CX338" s="38"/>
      <c r="CY338" s="38"/>
      <c r="CZ338" s="38"/>
      <c r="DA338" s="38"/>
      <c r="DB338" s="38"/>
      <c r="DC338" s="38"/>
      <c r="DD338" s="38"/>
      <c r="DE338" s="38"/>
      <c r="DF338" s="38"/>
      <c r="DG338" s="38"/>
      <c r="DH338" s="38"/>
      <c r="DI338" s="38"/>
      <c r="DJ338" s="38"/>
      <c r="DK338" s="38"/>
      <c r="DL338" s="38"/>
      <c r="DM338" s="38"/>
      <c r="DN338" s="38"/>
      <c r="DO338" s="38"/>
      <c r="DP338" s="38"/>
      <c r="DQ338" s="38"/>
      <c r="DR338" s="38"/>
      <c r="DS338" s="38"/>
      <c r="DT338" s="38"/>
      <c r="DU338" s="38"/>
      <c r="DV338" s="38"/>
      <c r="DW338" s="38"/>
      <c r="DX338" s="38"/>
      <c r="DY338" s="38"/>
      <c r="DZ338" s="38"/>
      <c r="EA338" s="38"/>
      <c r="EB338" s="38"/>
      <c r="EC338" s="38"/>
      <c r="ED338" s="38"/>
      <c r="EE338" s="38"/>
      <c r="EF338" s="38"/>
      <c r="EG338" s="38"/>
      <c r="EH338" s="38"/>
      <c r="EI338" s="38"/>
      <c r="EJ338" s="38"/>
      <c r="EK338" s="38"/>
      <c r="EL338" s="38"/>
      <c r="EM338" s="38"/>
      <c r="EN338" s="38"/>
      <c r="EO338" s="38"/>
      <c r="EP338" s="38"/>
      <c r="EQ338" s="38"/>
      <c r="ER338" s="38"/>
      <c r="ES338" s="27"/>
      <c r="ET338" s="27"/>
      <c r="EU338" s="27"/>
    </row>
    <row r="339" spans="1:151" s="39" customFormat="1" x14ac:dyDescent="0.35">
      <c r="A339" s="22"/>
      <c r="B339" s="23"/>
      <c r="C339" s="25"/>
      <c r="D339" s="25"/>
      <c r="E339" s="24"/>
      <c r="F339" s="24"/>
      <c r="G339" s="24"/>
      <c r="H339" s="24"/>
      <c r="I339" s="24"/>
      <c r="J339" s="24"/>
      <c r="K339" s="26"/>
      <c r="L339" s="116"/>
      <c r="M339" s="27"/>
      <c r="CM339" s="38"/>
      <c r="CN339" s="38"/>
      <c r="CO339" s="38"/>
      <c r="CP339" s="38"/>
      <c r="CQ339" s="38"/>
      <c r="CR339" s="38"/>
      <c r="CS339" s="38"/>
      <c r="CT339" s="38"/>
      <c r="CU339" s="38"/>
      <c r="CV339" s="38"/>
      <c r="CW339" s="38"/>
      <c r="CX339" s="38"/>
      <c r="CY339" s="38"/>
      <c r="CZ339" s="38"/>
      <c r="DA339" s="38"/>
      <c r="DB339" s="38"/>
      <c r="DC339" s="38"/>
      <c r="DD339" s="38"/>
      <c r="DE339" s="38"/>
      <c r="DF339" s="38"/>
      <c r="DG339" s="38"/>
      <c r="DH339" s="38"/>
      <c r="DI339" s="38"/>
      <c r="DJ339" s="38"/>
      <c r="DK339" s="38"/>
      <c r="DL339" s="38"/>
      <c r="DM339" s="38"/>
      <c r="DN339" s="38"/>
      <c r="DO339" s="38"/>
      <c r="DP339" s="38"/>
      <c r="DQ339" s="38"/>
      <c r="DR339" s="38"/>
      <c r="DS339" s="38"/>
      <c r="DT339" s="38"/>
      <c r="DU339" s="38"/>
      <c r="DV339" s="38"/>
      <c r="DW339" s="38"/>
      <c r="DX339" s="38"/>
      <c r="DY339" s="38"/>
      <c r="DZ339" s="38"/>
      <c r="EA339" s="38"/>
      <c r="EB339" s="38"/>
      <c r="EC339" s="38"/>
      <c r="ED339" s="38"/>
      <c r="EE339" s="38"/>
      <c r="EF339" s="38"/>
      <c r="EG339" s="38"/>
      <c r="EH339" s="38"/>
      <c r="EI339" s="38"/>
      <c r="EJ339" s="38"/>
      <c r="EK339" s="38"/>
      <c r="EL339" s="38"/>
      <c r="EM339" s="38"/>
      <c r="EN339" s="38"/>
      <c r="EO339" s="38"/>
      <c r="EP339" s="38"/>
      <c r="EQ339" s="38"/>
      <c r="ER339" s="38"/>
      <c r="ES339" s="27"/>
      <c r="ET339" s="27"/>
      <c r="EU339" s="27"/>
    </row>
    <row r="340" spans="1:151" s="39" customFormat="1" x14ac:dyDescent="0.35">
      <c r="A340" s="22"/>
      <c r="B340" s="23"/>
      <c r="C340" s="25"/>
      <c r="D340" s="25"/>
      <c r="E340" s="24"/>
      <c r="F340" s="24"/>
      <c r="G340" s="24"/>
      <c r="H340" s="24"/>
      <c r="I340" s="24"/>
      <c r="J340" s="24"/>
      <c r="K340" s="26"/>
      <c r="L340" s="116"/>
      <c r="M340" s="27"/>
      <c r="CM340" s="38"/>
      <c r="CN340" s="38"/>
      <c r="CO340" s="38"/>
      <c r="CP340" s="38"/>
      <c r="CQ340" s="38"/>
      <c r="CR340" s="38"/>
      <c r="CS340" s="38"/>
      <c r="CT340" s="38"/>
      <c r="CU340" s="38"/>
      <c r="CV340" s="38"/>
      <c r="CW340" s="38"/>
      <c r="CX340" s="38"/>
      <c r="CY340" s="38"/>
      <c r="CZ340" s="38"/>
      <c r="DA340" s="38"/>
      <c r="DB340" s="38"/>
      <c r="DC340" s="38"/>
      <c r="DD340" s="38"/>
      <c r="DE340" s="38"/>
      <c r="DF340" s="38"/>
      <c r="DG340" s="38"/>
      <c r="DH340" s="38"/>
      <c r="DI340" s="38"/>
      <c r="DJ340" s="38"/>
      <c r="DK340" s="38"/>
      <c r="DL340" s="38"/>
      <c r="DM340" s="38"/>
      <c r="DN340" s="38"/>
      <c r="DO340" s="38"/>
      <c r="DP340" s="38"/>
      <c r="DQ340" s="38"/>
      <c r="DR340" s="38"/>
      <c r="DS340" s="38"/>
      <c r="DT340" s="38"/>
      <c r="DU340" s="38"/>
      <c r="DV340" s="38"/>
      <c r="DW340" s="38"/>
      <c r="DX340" s="38"/>
      <c r="DY340" s="38"/>
      <c r="DZ340" s="38"/>
      <c r="EA340" s="38"/>
      <c r="EB340" s="38"/>
      <c r="EC340" s="38"/>
      <c r="ED340" s="38"/>
      <c r="EE340" s="38"/>
      <c r="EF340" s="38"/>
      <c r="EG340" s="38"/>
      <c r="EH340" s="38"/>
      <c r="EI340" s="38"/>
      <c r="EJ340" s="38"/>
      <c r="EK340" s="38"/>
      <c r="EL340" s="38"/>
      <c r="EM340" s="38"/>
      <c r="EN340" s="38"/>
      <c r="EO340" s="38"/>
      <c r="EP340" s="38"/>
      <c r="EQ340" s="38"/>
      <c r="ER340" s="38"/>
      <c r="ES340" s="27"/>
      <c r="ET340" s="27"/>
      <c r="EU340" s="27"/>
    </row>
    <row r="341" spans="1:151" s="39" customFormat="1" x14ac:dyDescent="0.35">
      <c r="A341" s="22"/>
      <c r="B341" s="23"/>
      <c r="C341" s="25"/>
      <c r="D341" s="25"/>
      <c r="E341" s="24"/>
      <c r="F341" s="24"/>
      <c r="G341" s="24"/>
      <c r="H341" s="24"/>
      <c r="I341" s="24"/>
      <c r="J341" s="24"/>
      <c r="K341" s="26"/>
      <c r="L341" s="116"/>
      <c r="M341" s="27"/>
      <c r="CM341" s="38"/>
      <c r="CN341" s="38"/>
      <c r="CO341" s="38"/>
      <c r="CP341" s="38"/>
      <c r="CQ341" s="38"/>
      <c r="CR341" s="38"/>
      <c r="CS341" s="38"/>
      <c r="CT341" s="38"/>
      <c r="CU341" s="38"/>
      <c r="CV341" s="38"/>
      <c r="CW341" s="38"/>
      <c r="CX341" s="38"/>
      <c r="CY341" s="38"/>
      <c r="CZ341" s="38"/>
      <c r="DA341" s="38"/>
      <c r="DB341" s="38"/>
      <c r="DC341" s="38"/>
      <c r="DD341" s="38"/>
      <c r="DE341" s="38"/>
      <c r="DF341" s="38"/>
      <c r="DG341" s="38"/>
      <c r="DH341" s="38"/>
      <c r="DI341" s="38"/>
      <c r="DJ341" s="38"/>
      <c r="DK341" s="38"/>
      <c r="DL341" s="38"/>
      <c r="DM341" s="38"/>
      <c r="DN341" s="38"/>
      <c r="DO341" s="38"/>
      <c r="DP341" s="38"/>
      <c r="DQ341" s="38"/>
      <c r="DR341" s="38"/>
      <c r="DS341" s="38"/>
      <c r="DT341" s="38"/>
      <c r="DU341" s="38"/>
      <c r="DV341" s="38"/>
      <c r="DW341" s="38"/>
      <c r="DX341" s="38"/>
      <c r="DY341" s="38"/>
      <c r="DZ341" s="38"/>
      <c r="EA341" s="38"/>
      <c r="EB341" s="38"/>
      <c r="EC341" s="38"/>
      <c r="ED341" s="38"/>
      <c r="EE341" s="38"/>
      <c r="EF341" s="38"/>
      <c r="EG341" s="38"/>
      <c r="EH341" s="38"/>
      <c r="EI341" s="38"/>
      <c r="EJ341" s="38"/>
      <c r="EK341" s="38"/>
      <c r="EL341" s="38"/>
      <c r="EM341" s="38"/>
      <c r="EN341" s="38"/>
      <c r="EO341" s="38"/>
      <c r="EP341" s="38"/>
      <c r="EQ341" s="38"/>
      <c r="ER341" s="38"/>
      <c r="ES341" s="27"/>
      <c r="ET341" s="27"/>
      <c r="EU341" s="27"/>
    </row>
    <row r="342" spans="1:151" s="39" customFormat="1" x14ac:dyDescent="0.35">
      <c r="A342" s="22"/>
      <c r="B342" s="23"/>
      <c r="C342" s="25"/>
      <c r="D342" s="25"/>
      <c r="E342" s="24"/>
      <c r="F342" s="24"/>
      <c r="G342" s="24"/>
      <c r="H342" s="24"/>
      <c r="I342" s="24"/>
      <c r="J342" s="24"/>
      <c r="K342" s="26"/>
      <c r="L342" s="116"/>
      <c r="M342" s="27"/>
      <c r="CM342" s="38"/>
      <c r="CN342" s="38"/>
      <c r="CO342" s="38"/>
      <c r="CP342" s="38"/>
      <c r="CQ342" s="38"/>
      <c r="CR342" s="38"/>
      <c r="CS342" s="38"/>
      <c r="CT342" s="38"/>
      <c r="CU342" s="38"/>
      <c r="CV342" s="38"/>
      <c r="CW342" s="38"/>
      <c r="CX342" s="38"/>
      <c r="CY342" s="38"/>
      <c r="CZ342" s="38"/>
      <c r="DA342" s="38"/>
      <c r="DB342" s="38"/>
      <c r="DC342" s="38"/>
      <c r="DD342" s="38"/>
      <c r="DE342" s="38"/>
      <c r="DF342" s="38"/>
      <c r="DG342" s="38"/>
      <c r="DH342" s="38"/>
      <c r="DI342" s="38"/>
      <c r="DJ342" s="38"/>
      <c r="DK342" s="38"/>
      <c r="DL342" s="38"/>
      <c r="DM342" s="38"/>
      <c r="DN342" s="38"/>
      <c r="DO342" s="38"/>
      <c r="DP342" s="38"/>
      <c r="DQ342" s="38"/>
      <c r="DR342" s="38"/>
      <c r="DS342" s="38"/>
      <c r="DT342" s="38"/>
      <c r="DU342" s="38"/>
      <c r="DV342" s="38"/>
      <c r="DW342" s="38"/>
      <c r="DX342" s="38"/>
      <c r="DY342" s="38"/>
      <c r="DZ342" s="38"/>
      <c r="EA342" s="38"/>
      <c r="EB342" s="38"/>
      <c r="EC342" s="38"/>
      <c r="ED342" s="38"/>
      <c r="EE342" s="38"/>
      <c r="EF342" s="38"/>
      <c r="EG342" s="38"/>
      <c r="EH342" s="38"/>
      <c r="EI342" s="38"/>
      <c r="EJ342" s="38"/>
      <c r="EK342" s="38"/>
      <c r="EL342" s="38"/>
      <c r="EM342" s="38"/>
      <c r="EN342" s="38"/>
      <c r="EO342" s="38"/>
      <c r="EP342" s="38"/>
      <c r="EQ342" s="38"/>
      <c r="ER342" s="38"/>
      <c r="ES342" s="27"/>
      <c r="ET342" s="27"/>
      <c r="EU342" s="27"/>
    </row>
    <row r="343" spans="1:151" s="39" customFormat="1" x14ac:dyDescent="0.35">
      <c r="A343" s="22"/>
      <c r="B343" s="23"/>
      <c r="C343" s="25"/>
      <c r="D343" s="25"/>
      <c r="E343" s="24"/>
      <c r="F343" s="24"/>
      <c r="G343" s="24"/>
      <c r="H343" s="24"/>
      <c r="I343" s="24"/>
      <c r="J343" s="24"/>
      <c r="K343" s="26"/>
      <c r="L343" s="116"/>
      <c r="M343" s="27"/>
      <c r="CM343" s="38"/>
      <c r="CN343" s="38"/>
      <c r="CO343" s="38"/>
      <c r="CP343" s="38"/>
      <c r="CQ343" s="38"/>
      <c r="CR343" s="38"/>
      <c r="CS343" s="38"/>
      <c r="CT343" s="38"/>
      <c r="CU343" s="38"/>
      <c r="CV343" s="38"/>
      <c r="CW343" s="38"/>
      <c r="CX343" s="38"/>
      <c r="CY343" s="38"/>
      <c r="CZ343" s="38"/>
      <c r="DA343" s="38"/>
      <c r="DB343" s="38"/>
      <c r="DC343" s="38"/>
      <c r="DD343" s="38"/>
      <c r="DE343" s="38"/>
      <c r="DF343" s="38"/>
      <c r="DG343" s="38"/>
      <c r="DH343" s="38"/>
      <c r="DI343" s="38"/>
      <c r="DJ343" s="38"/>
      <c r="DK343" s="38"/>
      <c r="DL343" s="38"/>
      <c r="DM343" s="38"/>
      <c r="DN343" s="38"/>
      <c r="DO343" s="38"/>
      <c r="DP343" s="38"/>
      <c r="DQ343" s="38"/>
      <c r="DR343" s="38"/>
      <c r="DS343" s="38"/>
      <c r="DT343" s="38"/>
      <c r="DU343" s="38"/>
      <c r="DV343" s="38"/>
      <c r="DW343" s="38"/>
      <c r="DX343" s="38"/>
      <c r="DY343" s="38"/>
      <c r="DZ343" s="38"/>
      <c r="EA343" s="38"/>
      <c r="EB343" s="38"/>
      <c r="EC343" s="38"/>
      <c r="ED343" s="38"/>
      <c r="EE343" s="38"/>
      <c r="EF343" s="38"/>
      <c r="EG343" s="38"/>
      <c r="EH343" s="38"/>
      <c r="EI343" s="38"/>
      <c r="EJ343" s="38"/>
      <c r="EK343" s="38"/>
      <c r="EL343" s="38"/>
      <c r="EM343" s="38"/>
      <c r="EN343" s="38"/>
      <c r="EO343" s="38"/>
      <c r="EP343" s="38"/>
      <c r="EQ343" s="38"/>
      <c r="ER343" s="38"/>
      <c r="ES343" s="27"/>
      <c r="ET343" s="27"/>
      <c r="EU343" s="27"/>
    </row>
    <row r="344" spans="1:151" s="39" customFormat="1" x14ac:dyDescent="0.35">
      <c r="A344" s="22"/>
      <c r="B344" s="23"/>
      <c r="C344" s="25"/>
      <c r="D344" s="25"/>
      <c r="E344" s="24"/>
      <c r="F344" s="24"/>
      <c r="G344" s="24"/>
      <c r="H344" s="24"/>
      <c r="I344" s="24"/>
      <c r="J344" s="24"/>
      <c r="K344" s="26"/>
      <c r="L344" s="116"/>
      <c r="M344" s="27"/>
      <c r="CM344" s="38"/>
      <c r="CN344" s="38"/>
      <c r="CO344" s="38"/>
      <c r="CP344" s="38"/>
      <c r="CQ344" s="38"/>
      <c r="CR344" s="38"/>
      <c r="CS344" s="38"/>
      <c r="CT344" s="38"/>
      <c r="CU344" s="38"/>
      <c r="CV344" s="38"/>
      <c r="CW344" s="38"/>
      <c r="CX344" s="38"/>
      <c r="CY344" s="38"/>
      <c r="CZ344" s="38"/>
      <c r="DA344" s="38"/>
      <c r="DB344" s="38"/>
      <c r="DC344" s="38"/>
      <c r="DD344" s="38"/>
      <c r="DE344" s="38"/>
      <c r="DF344" s="38"/>
      <c r="DG344" s="38"/>
      <c r="DH344" s="38"/>
      <c r="DI344" s="38"/>
      <c r="DJ344" s="38"/>
      <c r="DK344" s="38"/>
      <c r="DL344" s="38"/>
      <c r="DM344" s="38"/>
      <c r="DN344" s="38"/>
      <c r="DO344" s="38"/>
      <c r="DP344" s="38"/>
      <c r="DQ344" s="38"/>
      <c r="DR344" s="38"/>
      <c r="DS344" s="38"/>
      <c r="DT344" s="38"/>
      <c r="DU344" s="38"/>
      <c r="DV344" s="38"/>
      <c r="DW344" s="38"/>
      <c r="DX344" s="38"/>
      <c r="DY344" s="38"/>
      <c r="DZ344" s="38"/>
      <c r="EA344" s="38"/>
      <c r="EB344" s="38"/>
      <c r="EC344" s="38"/>
      <c r="ED344" s="38"/>
      <c r="EE344" s="38"/>
      <c r="EF344" s="38"/>
      <c r="EG344" s="38"/>
      <c r="EH344" s="38"/>
      <c r="EI344" s="38"/>
      <c r="EJ344" s="38"/>
      <c r="EK344" s="38"/>
      <c r="EL344" s="38"/>
      <c r="EM344" s="38"/>
      <c r="EN344" s="38"/>
      <c r="EO344" s="38"/>
      <c r="EP344" s="38"/>
      <c r="EQ344" s="38"/>
      <c r="ER344" s="38"/>
      <c r="ES344" s="27"/>
      <c r="ET344" s="27"/>
      <c r="EU344" s="27"/>
    </row>
    <row r="345" spans="1:151" s="39" customFormat="1" x14ac:dyDescent="0.35">
      <c r="A345" s="22"/>
      <c r="B345" s="23"/>
      <c r="C345" s="25"/>
      <c r="D345" s="25"/>
      <c r="E345" s="24"/>
      <c r="F345" s="24"/>
      <c r="G345" s="24"/>
      <c r="H345" s="24"/>
      <c r="I345" s="24"/>
      <c r="J345" s="24"/>
      <c r="K345" s="26"/>
      <c r="L345" s="116"/>
      <c r="M345" s="27"/>
      <c r="CM345" s="38"/>
      <c r="CN345" s="38"/>
      <c r="CO345" s="38"/>
      <c r="CP345" s="38"/>
      <c r="CQ345" s="38"/>
      <c r="CR345" s="38"/>
      <c r="CS345" s="38"/>
      <c r="CT345" s="38"/>
      <c r="CU345" s="38"/>
      <c r="CV345" s="38"/>
      <c r="CW345" s="38"/>
      <c r="CX345" s="38"/>
      <c r="CY345" s="38"/>
      <c r="CZ345" s="38"/>
      <c r="DA345" s="38"/>
      <c r="DB345" s="38"/>
      <c r="DC345" s="38"/>
      <c r="DD345" s="38"/>
      <c r="DE345" s="38"/>
      <c r="DF345" s="38"/>
      <c r="DG345" s="38"/>
      <c r="DH345" s="38"/>
      <c r="DI345" s="38"/>
      <c r="DJ345" s="38"/>
      <c r="DK345" s="38"/>
      <c r="DL345" s="38"/>
      <c r="DM345" s="38"/>
      <c r="DN345" s="38"/>
      <c r="DO345" s="38"/>
      <c r="DP345" s="38"/>
      <c r="DQ345" s="38"/>
      <c r="DR345" s="38"/>
      <c r="DS345" s="38"/>
      <c r="DT345" s="38"/>
      <c r="DU345" s="38"/>
      <c r="DV345" s="38"/>
      <c r="DW345" s="38"/>
      <c r="DX345" s="38"/>
      <c r="DY345" s="38"/>
      <c r="DZ345" s="38"/>
      <c r="EA345" s="38"/>
      <c r="EB345" s="38"/>
      <c r="EC345" s="38"/>
      <c r="ED345" s="38"/>
      <c r="EE345" s="38"/>
      <c r="EF345" s="38"/>
      <c r="EG345" s="38"/>
      <c r="EH345" s="38"/>
      <c r="EI345" s="38"/>
      <c r="EJ345" s="38"/>
      <c r="EK345" s="38"/>
      <c r="EL345" s="38"/>
      <c r="EM345" s="38"/>
      <c r="EN345" s="38"/>
      <c r="EO345" s="38"/>
      <c r="EP345" s="38"/>
      <c r="EQ345" s="38"/>
      <c r="ER345" s="38"/>
      <c r="ES345" s="27"/>
      <c r="ET345" s="27"/>
      <c r="EU345" s="27"/>
    </row>
    <row r="346" spans="1:151" s="39" customFormat="1" x14ac:dyDescent="0.35">
      <c r="A346" s="22"/>
      <c r="B346" s="23"/>
      <c r="C346" s="25"/>
      <c r="D346" s="25"/>
      <c r="E346" s="24"/>
      <c r="F346" s="24"/>
      <c r="G346" s="24"/>
      <c r="H346" s="24"/>
      <c r="I346" s="24"/>
      <c r="J346" s="24"/>
      <c r="K346" s="26"/>
      <c r="L346" s="116"/>
      <c r="M346" s="27"/>
      <c r="CM346" s="38"/>
      <c r="CN346" s="38"/>
      <c r="CO346" s="38"/>
      <c r="CP346" s="38"/>
      <c r="CQ346" s="38"/>
      <c r="CR346" s="38"/>
      <c r="CS346" s="38"/>
      <c r="CT346" s="38"/>
      <c r="CU346" s="38"/>
      <c r="CV346" s="38"/>
      <c r="CW346" s="38"/>
      <c r="CX346" s="38"/>
      <c r="CY346" s="38"/>
      <c r="CZ346" s="38"/>
      <c r="DA346" s="38"/>
      <c r="DB346" s="38"/>
      <c r="DC346" s="38"/>
      <c r="DD346" s="38"/>
      <c r="DE346" s="38"/>
      <c r="DF346" s="38"/>
      <c r="DG346" s="38"/>
      <c r="DH346" s="38"/>
      <c r="DI346" s="38"/>
      <c r="DJ346" s="38"/>
      <c r="DK346" s="38"/>
      <c r="DL346" s="38"/>
      <c r="DM346" s="38"/>
      <c r="DN346" s="38"/>
      <c r="DO346" s="38"/>
      <c r="DP346" s="38"/>
      <c r="DQ346" s="38"/>
      <c r="DR346" s="38"/>
      <c r="DS346" s="38"/>
      <c r="DT346" s="38"/>
      <c r="DU346" s="38"/>
      <c r="DV346" s="38"/>
      <c r="DW346" s="38"/>
      <c r="DX346" s="38"/>
      <c r="DY346" s="38"/>
      <c r="DZ346" s="38"/>
      <c r="EA346" s="38"/>
      <c r="EB346" s="38"/>
      <c r="EC346" s="38"/>
      <c r="ED346" s="38"/>
      <c r="EE346" s="38"/>
      <c r="EF346" s="38"/>
      <c r="EG346" s="38"/>
      <c r="EH346" s="38"/>
      <c r="EI346" s="38"/>
      <c r="EJ346" s="38"/>
      <c r="EK346" s="38"/>
      <c r="EL346" s="38"/>
      <c r="EM346" s="38"/>
      <c r="EN346" s="38"/>
      <c r="EO346" s="38"/>
      <c r="EP346" s="38"/>
      <c r="EQ346" s="38"/>
      <c r="ER346" s="38"/>
      <c r="ES346" s="27"/>
      <c r="ET346" s="27"/>
      <c r="EU346" s="27"/>
    </row>
    <row r="347" spans="1:151" s="39" customFormat="1" x14ac:dyDescent="0.35">
      <c r="A347" s="22"/>
      <c r="B347" s="23"/>
      <c r="C347" s="122"/>
      <c r="D347" s="25"/>
      <c r="E347" s="24"/>
      <c r="F347" s="24"/>
      <c r="G347" s="24"/>
      <c r="H347" s="24"/>
      <c r="I347" s="24"/>
      <c r="J347" s="24"/>
      <c r="K347" s="26"/>
      <c r="L347" s="116"/>
      <c r="M347" s="27"/>
      <c r="CM347" s="38"/>
      <c r="CN347" s="38"/>
      <c r="CO347" s="38"/>
      <c r="CP347" s="38"/>
      <c r="CQ347" s="38"/>
      <c r="CR347" s="38"/>
      <c r="CS347" s="38"/>
      <c r="CT347" s="38"/>
      <c r="CU347" s="38"/>
      <c r="CV347" s="38"/>
      <c r="CW347" s="38"/>
      <c r="CX347" s="38"/>
      <c r="CY347" s="38"/>
      <c r="CZ347" s="38"/>
      <c r="DA347" s="38"/>
      <c r="DB347" s="38"/>
      <c r="DC347" s="38"/>
      <c r="DD347" s="38"/>
      <c r="DE347" s="38"/>
      <c r="DF347" s="38"/>
      <c r="DG347" s="38"/>
      <c r="DH347" s="38"/>
      <c r="DI347" s="38"/>
      <c r="DJ347" s="38"/>
      <c r="DK347" s="38"/>
      <c r="DL347" s="38"/>
      <c r="DM347" s="38"/>
      <c r="DN347" s="38"/>
      <c r="DO347" s="38"/>
      <c r="DP347" s="38"/>
      <c r="DQ347" s="38"/>
      <c r="DR347" s="38"/>
      <c r="DS347" s="38"/>
      <c r="DT347" s="38"/>
      <c r="DU347" s="38"/>
      <c r="DV347" s="38"/>
      <c r="DW347" s="38"/>
      <c r="DX347" s="38"/>
      <c r="DY347" s="38"/>
      <c r="DZ347" s="38"/>
      <c r="EA347" s="38"/>
      <c r="EB347" s="38"/>
      <c r="EC347" s="38"/>
      <c r="ED347" s="38"/>
      <c r="EE347" s="38"/>
      <c r="EF347" s="38"/>
      <c r="EG347" s="38"/>
      <c r="EH347" s="38"/>
      <c r="EI347" s="38"/>
      <c r="EJ347" s="38"/>
      <c r="EK347" s="38"/>
      <c r="EL347" s="38"/>
      <c r="EM347" s="38"/>
      <c r="EN347" s="38"/>
      <c r="EO347" s="38"/>
      <c r="EP347" s="38"/>
      <c r="EQ347" s="38"/>
      <c r="ER347" s="38"/>
      <c r="ES347" s="27"/>
      <c r="ET347" s="27"/>
      <c r="EU347" s="27"/>
    </row>
    <row r="348" spans="1:151" x14ac:dyDescent="0.35">
      <c r="B348" s="71"/>
      <c r="M348" s="27"/>
      <c r="ES348" s="27"/>
      <c r="ET348" s="27"/>
      <c r="EU348" s="27"/>
    </row>
    <row r="349" spans="1:151" x14ac:dyDescent="0.35">
      <c r="M349" s="27"/>
      <c r="ES349" s="27"/>
      <c r="ET349" s="27"/>
      <c r="EU349" s="27"/>
    </row>
    <row r="350" spans="1:151" x14ac:dyDescent="0.35">
      <c r="M350" s="27"/>
      <c r="ES350" s="27"/>
      <c r="ET350" s="27"/>
      <c r="EU350" s="27"/>
    </row>
    <row r="351" spans="1:151" x14ac:dyDescent="0.35">
      <c r="M351" s="27"/>
      <c r="ES351" s="27"/>
      <c r="ET351" s="27"/>
      <c r="EU351" s="27"/>
    </row>
    <row r="352" spans="1:151" x14ac:dyDescent="0.35">
      <c r="M352" s="27"/>
      <c r="ES352" s="27"/>
      <c r="ET352" s="27"/>
      <c r="EU352" s="27"/>
    </row>
    <row r="353" spans="1:151" x14ac:dyDescent="0.35">
      <c r="M353" s="27"/>
      <c r="ES353" s="27"/>
      <c r="ET353" s="27"/>
      <c r="EU353" s="27"/>
    </row>
    <row r="354" spans="1:151" x14ac:dyDescent="0.35">
      <c r="M354" s="27"/>
      <c r="ES354" s="27"/>
      <c r="ET354" s="27"/>
      <c r="EU354" s="27"/>
    </row>
    <row r="355" spans="1:151" x14ac:dyDescent="0.35">
      <c r="M355" s="27"/>
      <c r="ES355" s="27"/>
      <c r="ET355" s="27"/>
      <c r="EU355" s="27"/>
    </row>
    <row r="356" spans="1:151" x14ac:dyDescent="0.35">
      <c r="C356" s="122"/>
      <c r="M356" s="27"/>
      <c r="ES356" s="27"/>
      <c r="ET356" s="27"/>
      <c r="EU356" s="27"/>
    </row>
    <row r="357" spans="1:151" x14ac:dyDescent="0.35">
      <c r="B357" s="71"/>
    </row>
    <row r="358" spans="1:151" x14ac:dyDescent="0.35">
      <c r="M358" s="27"/>
      <c r="DN358" s="39"/>
      <c r="DR358" s="39"/>
      <c r="EB358" s="39"/>
      <c r="EH358" s="39"/>
      <c r="ES358" s="27"/>
      <c r="ET358" s="27"/>
      <c r="EU358" s="27"/>
    </row>
    <row r="359" spans="1:151" x14ac:dyDescent="0.35">
      <c r="M359" s="27"/>
      <c r="ES359" s="27"/>
      <c r="ET359" s="27"/>
      <c r="EU359" s="27"/>
    </row>
    <row r="360" spans="1:151" x14ac:dyDescent="0.35">
      <c r="M360" s="27"/>
      <c r="ES360" s="27"/>
      <c r="ET360" s="27"/>
      <c r="EU360" s="27"/>
    </row>
    <row r="361" spans="1:151" x14ac:dyDescent="0.35">
      <c r="M361" s="27"/>
      <c r="ES361" s="27"/>
      <c r="ET361" s="27"/>
      <c r="EU361" s="27"/>
    </row>
    <row r="362" spans="1:151" x14ac:dyDescent="0.35">
      <c r="M362" s="27"/>
      <c r="ES362" s="27"/>
      <c r="ET362" s="27"/>
      <c r="EU362" s="27"/>
    </row>
    <row r="363" spans="1:151" x14ac:dyDescent="0.35">
      <c r="M363" s="27"/>
      <c r="ES363" s="27"/>
      <c r="ET363" s="27"/>
      <c r="EU363" s="27"/>
    </row>
    <row r="364" spans="1:151" s="39" customFormat="1" x14ac:dyDescent="0.35">
      <c r="A364" s="22"/>
      <c r="B364" s="23"/>
      <c r="C364" s="25"/>
      <c r="D364" s="25"/>
      <c r="E364" s="24"/>
      <c r="F364" s="24"/>
      <c r="G364" s="24"/>
      <c r="H364" s="24"/>
      <c r="I364" s="24"/>
      <c r="J364" s="24"/>
      <c r="K364" s="26"/>
      <c r="L364" s="116"/>
      <c r="M364" s="27"/>
      <c r="CM364" s="38"/>
      <c r="CN364" s="38"/>
      <c r="CO364" s="38"/>
      <c r="CP364" s="38"/>
      <c r="CQ364" s="38"/>
      <c r="CR364" s="38"/>
      <c r="CS364" s="38"/>
      <c r="CT364" s="38"/>
      <c r="CU364" s="38"/>
      <c r="CV364" s="38"/>
      <c r="CW364" s="38"/>
      <c r="CX364" s="38"/>
      <c r="CY364" s="38"/>
      <c r="CZ364" s="38"/>
      <c r="DA364" s="38"/>
      <c r="DB364" s="38"/>
      <c r="DC364" s="38"/>
      <c r="DD364" s="38"/>
      <c r="DE364" s="38"/>
      <c r="DF364" s="38"/>
      <c r="DG364" s="38"/>
      <c r="DH364" s="38"/>
      <c r="DI364" s="38"/>
      <c r="DJ364" s="38"/>
      <c r="DK364" s="38"/>
      <c r="DL364" s="38"/>
      <c r="DM364" s="38"/>
      <c r="DN364" s="38"/>
      <c r="DO364" s="38"/>
      <c r="DP364" s="38"/>
      <c r="DQ364" s="38"/>
      <c r="DR364" s="38"/>
      <c r="DS364" s="38"/>
      <c r="DT364" s="38"/>
      <c r="DU364" s="38"/>
      <c r="DV364" s="38"/>
      <c r="DW364" s="38"/>
      <c r="DX364" s="38"/>
      <c r="DY364" s="38"/>
      <c r="DZ364" s="38"/>
      <c r="EA364" s="38"/>
      <c r="EB364" s="38"/>
      <c r="EC364" s="38"/>
      <c r="ED364" s="38"/>
      <c r="EE364" s="38"/>
      <c r="EF364" s="38"/>
      <c r="EG364" s="38"/>
      <c r="EH364" s="38"/>
      <c r="EI364" s="38"/>
      <c r="EJ364" s="38"/>
      <c r="EK364" s="38"/>
      <c r="EL364" s="38"/>
      <c r="EM364" s="38"/>
      <c r="EN364" s="38"/>
      <c r="EO364" s="38"/>
      <c r="EP364" s="38"/>
      <c r="EQ364" s="38"/>
      <c r="ER364" s="38"/>
      <c r="ES364" s="27"/>
      <c r="ET364" s="27"/>
      <c r="EU364" s="27"/>
    </row>
    <row r="365" spans="1:151" s="39" customFormat="1" x14ac:dyDescent="0.35">
      <c r="A365" s="22"/>
      <c r="B365" s="23"/>
      <c r="C365" s="25"/>
      <c r="D365" s="25"/>
      <c r="E365" s="24"/>
      <c r="F365" s="24"/>
      <c r="G365" s="24"/>
      <c r="H365" s="24"/>
      <c r="I365" s="24"/>
      <c r="J365" s="24"/>
      <c r="K365" s="26"/>
      <c r="L365" s="116"/>
      <c r="M365" s="27"/>
      <c r="CM365" s="38"/>
      <c r="CN365" s="38"/>
      <c r="CO365" s="38"/>
      <c r="CP365" s="38"/>
      <c r="CQ365" s="38"/>
      <c r="CR365" s="38"/>
      <c r="CS365" s="38"/>
      <c r="CT365" s="38"/>
      <c r="CU365" s="38"/>
      <c r="CV365" s="38"/>
      <c r="CW365" s="38"/>
      <c r="CX365" s="38"/>
      <c r="CY365" s="38"/>
      <c r="CZ365" s="38"/>
      <c r="DA365" s="38"/>
      <c r="DB365" s="38"/>
      <c r="DC365" s="38"/>
      <c r="DD365" s="38"/>
      <c r="DE365" s="38"/>
      <c r="DF365" s="38"/>
      <c r="DG365" s="38"/>
      <c r="DH365" s="38"/>
      <c r="DI365" s="38"/>
      <c r="DJ365" s="38"/>
      <c r="DK365" s="38"/>
      <c r="DL365" s="38"/>
      <c r="DM365" s="38"/>
      <c r="DN365" s="38"/>
      <c r="DO365" s="38"/>
      <c r="DP365" s="38"/>
      <c r="DQ365" s="38"/>
      <c r="DR365" s="38"/>
      <c r="DS365" s="38"/>
      <c r="DT365" s="38"/>
      <c r="DU365" s="38"/>
      <c r="DV365" s="38"/>
      <c r="DW365" s="38"/>
      <c r="DX365" s="38"/>
      <c r="DY365" s="38"/>
      <c r="DZ365" s="38"/>
      <c r="EA365" s="38"/>
      <c r="EB365" s="38"/>
      <c r="EC365" s="38"/>
      <c r="ED365" s="38"/>
      <c r="EE365" s="38"/>
      <c r="EF365" s="38"/>
      <c r="EG365" s="38"/>
      <c r="EH365" s="38"/>
      <c r="EI365" s="38"/>
      <c r="EJ365" s="38"/>
      <c r="EK365" s="38"/>
      <c r="EL365" s="38"/>
      <c r="EM365" s="38"/>
      <c r="EN365" s="38"/>
      <c r="EO365" s="38"/>
      <c r="EP365" s="38"/>
      <c r="EQ365" s="38"/>
      <c r="ER365" s="38"/>
      <c r="ES365" s="27"/>
      <c r="ET365" s="27"/>
      <c r="EU365" s="27"/>
    </row>
    <row r="366" spans="1:151" s="39" customFormat="1" x14ac:dyDescent="0.35">
      <c r="A366" s="22"/>
      <c r="B366" s="23"/>
      <c r="C366" s="25"/>
      <c r="D366" s="25"/>
      <c r="E366" s="24"/>
      <c r="F366" s="24"/>
      <c r="G366" s="24"/>
      <c r="H366" s="24"/>
      <c r="I366" s="24"/>
      <c r="J366" s="24"/>
      <c r="K366" s="26"/>
      <c r="L366" s="116"/>
      <c r="M366" s="27"/>
      <c r="CM366" s="38"/>
      <c r="CN366" s="38"/>
      <c r="CO366" s="38"/>
      <c r="CP366" s="38"/>
      <c r="CQ366" s="38"/>
      <c r="CR366" s="38"/>
      <c r="CS366" s="38"/>
      <c r="CT366" s="38"/>
      <c r="CU366" s="38"/>
      <c r="CV366" s="38"/>
      <c r="CW366" s="38"/>
      <c r="CX366" s="38"/>
      <c r="CY366" s="38"/>
      <c r="CZ366" s="38"/>
      <c r="DA366" s="38"/>
      <c r="DB366" s="38"/>
      <c r="DC366" s="38"/>
      <c r="DD366" s="38"/>
      <c r="DE366" s="38"/>
      <c r="DF366" s="38"/>
      <c r="DG366" s="38"/>
      <c r="DH366" s="38"/>
      <c r="DI366" s="38"/>
      <c r="DJ366" s="38"/>
      <c r="DK366" s="38"/>
      <c r="DL366" s="38"/>
      <c r="DM366" s="38"/>
      <c r="DN366" s="38"/>
      <c r="DO366" s="38"/>
      <c r="DP366" s="38"/>
      <c r="DQ366" s="38"/>
      <c r="DR366" s="38"/>
      <c r="DS366" s="38"/>
      <c r="DT366" s="38"/>
      <c r="DU366" s="38"/>
      <c r="DV366" s="38"/>
      <c r="DW366" s="38"/>
      <c r="DX366" s="38"/>
      <c r="DY366" s="38"/>
      <c r="DZ366" s="38"/>
      <c r="EA366" s="38"/>
      <c r="EB366" s="38"/>
      <c r="EC366" s="38"/>
      <c r="ED366" s="38"/>
      <c r="EE366" s="38"/>
      <c r="EF366" s="38"/>
      <c r="EG366" s="38"/>
      <c r="EH366" s="38"/>
      <c r="EI366" s="38"/>
      <c r="EJ366" s="38"/>
      <c r="EK366" s="38"/>
      <c r="EL366" s="38"/>
      <c r="EM366" s="38"/>
      <c r="EN366" s="38"/>
      <c r="EO366" s="38"/>
      <c r="EP366" s="38"/>
      <c r="EQ366" s="38"/>
      <c r="ER366" s="38"/>
      <c r="ES366" s="27"/>
      <c r="ET366" s="27"/>
      <c r="EU366" s="27"/>
    </row>
    <row r="367" spans="1:151" s="39" customFormat="1" x14ac:dyDescent="0.35">
      <c r="A367" s="22"/>
      <c r="B367" s="23"/>
      <c r="C367" s="25"/>
      <c r="D367" s="25"/>
      <c r="E367" s="24"/>
      <c r="F367" s="24"/>
      <c r="G367" s="24"/>
      <c r="H367" s="24"/>
      <c r="I367" s="24"/>
      <c r="J367" s="24"/>
      <c r="K367" s="26"/>
      <c r="L367" s="116"/>
      <c r="M367" s="27"/>
      <c r="CM367" s="38"/>
      <c r="CN367" s="38"/>
      <c r="CO367" s="38"/>
      <c r="CP367" s="38"/>
      <c r="CQ367" s="38"/>
      <c r="CR367" s="38"/>
      <c r="CS367" s="38"/>
      <c r="CT367" s="38"/>
      <c r="CU367" s="38"/>
      <c r="CV367" s="38"/>
      <c r="CW367" s="38"/>
      <c r="CX367" s="38"/>
      <c r="CY367" s="38"/>
      <c r="CZ367" s="38"/>
      <c r="DA367" s="38"/>
      <c r="DB367" s="38"/>
      <c r="DC367" s="38"/>
      <c r="DD367" s="38"/>
      <c r="DE367" s="38"/>
      <c r="DF367" s="38"/>
      <c r="DG367" s="38"/>
      <c r="DH367" s="38"/>
      <c r="DI367" s="38"/>
      <c r="DJ367" s="38"/>
      <c r="DK367" s="38"/>
      <c r="DL367" s="38"/>
      <c r="DM367" s="38"/>
      <c r="DN367" s="38"/>
      <c r="DO367" s="38"/>
      <c r="DP367" s="38"/>
      <c r="DQ367" s="38"/>
      <c r="DR367" s="38"/>
      <c r="DS367" s="38"/>
      <c r="DT367" s="38"/>
      <c r="DU367" s="38"/>
      <c r="DV367" s="38"/>
      <c r="DW367" s="38"/>
      <c r="DX367" s="38"/>
      <c r="DY367" s="38"/>
      <c r="DZ367" s="38"/>
      <c r="EA367" s="38"/>
      <c r="EB367" s="38"/>
      <c r="EC367" s="38"/>
      <c r="ED367" s="38"/>
      <c r="EE367" s="38"/>
      <c r="EF367" s="38"/>
      <c r="EG367" s="38"/>
      <c r="EH367" s="38"/>
      <c r="EI367" s="38"/>
      <c r="EJ367" s="38"/>
      <c r="EK367" s="38"/>
      <c r="EL367" s="38"/>
      <c r="EM367" s="38"/>
      <c r="EN367" s="38"/>
      <c r="EO367" s="38"/>
      <c r="EP367" s="38"/>
      <c r="EQ367" s="38"/>
      <c r="ER367" s="38"/>
      <c r="ES367" s="27"/>
      <c r="ET367" s="27"/>
      <c r="EU367" s="27"/>
    </row>
    <row r="368" spans="1:151" s="39" customFormat="1" x14ac:dyDescent="0.35">
      <c r="A368" s="22"/>
      <c r="B368" s="23"/>
      <c r="C368" s="25"/>
      <c r="D368" s="25"/>
      <c r="E368" s="24"/>
      <c r="F368" s="24"/>
      <c r="G368" s="24"/>
      <c r="H368" s="24"/>
      <c r="I368" s="24"/>
      <c r="J368" s="24"/>
      <c r="K368" s="26"/>
      <c r="L368" s="116"/>
      <c r="M368" s="27"/>
      <c r="CM368" s="38"/>
      <c r="CN368" s="38"/>
      <c r="CO368" s="38"/>
      <c r="CP368" s="38"/>
      <c r="CQ368" s="38"/>
      <c r="CR368" s="38"/>
      <c r="CS368" s="38"/>
      <c r="CT368" s="38"/>
      <c r="CU368" s="38"/>
      <c r="CV368" s="38"/>
      <c r="CW368" s="38"/>
      <c r="CX368" s="38"/>
      <c r="CY368" s="38"/>
      <c r="CZ368" s="38"/>
      <c r="DA368" s="38"/>
      <c r="DB368" s="38"/>
      <c r="DC368" s="38"/>
      <c r="DD368" s="38"/>
      <c r="DE368" s="38"/>
      <c r="DF368" s="38"/>
      <c r="DG368" s="38"/>
      <c r="DH368" s="38"/>
      <c r="DI368" s="38"/>
      <c r="DJ368" s="38"/>
      <c r="DK368" s="38"/>
      <c r="DL368" s="38"/>
      <c r="DM368" s="38"/>
      <c r="DN368" s="38"/>
      <c r="DO368" s="38"/>
      <c r="DP368" s="38"/>
      <c r="DQ368" s="38"/>
      <c r="DR368" s="38"/>
      <c r="DS368" s="38"/>
      <c r="DT368" s="38"/>
      <c r="DU368" s="38"/>
      <c r="DV368" s="38"/>
      <c r="DW368" s="38"/>
      <c r="DX368" s="38"/>
      <c r="DY368" s="38"/>
      <c r="DZ368" s="38"/>
      <c r="EA368" s="38"/>
      <c r="EB368" s="38"/>
      <c r="EC368" s="38"/>
      <c r="ED368" s="38"/>
      <c r="EE368" s="38"/>
      <c r="EF368" s="38"/>
      <c r="EG368" s="38"/>
      <c r="EH368" s="38"/>
      <c r="EI368" s="38"/>
      <c r="EJ368" s="38"/>
      <c r="EK368" s="38"/>
      <c r="EL368" s="38"/>
      <c r="EM368" s="38"/>
      <c r="EN368" s="38"/>
      <c r="EO368" s="38"/>
      <c r="EP368" s="38"/>
      <c r="EQ368" s="38"/>
      <c r="ER368" s="38"/>
      <c r="ES368" s="27"/>
      <c r="ET368" s="27"/>
      <c r="EU368" s="27"/>
    </row>
    <row r="369" spans="1:151" s="39" customFormat="1" x14ac:dyDescent="0.35">
      <c r="A369" s="22"/>
      <c r="B369" s="23"/>
      <c r="C369" s="25"/>
      <c r="D369" s="25"/>
      <c r="E369" s="24"/>
      <c r="F369" s="24"/>
      <c r="G369" s="24"/>
      <c r="H369" s="24"/>
      <c r="I369" s="24"/>
      <c r="J369" s="24"/>
      <c r="K369" s="26"/>
      <c r="L369" s="116"/>
      <c r="M369" s="27"/>
      <c r="CM369" s="38"/>
      <c r="CN369" s="38"/>
      <c r="CO369" s="38"/>
      <c r="CP369" s="38"/>
      <c r="CQ369" s="38"/>
      <c r="CR369" s="38"/>
      <c r="CS369" s="38"/>
      <c r="CT369" s="38"/>
      <c r="CU369" s="38"/>
      <c r="CV369" s="38"/>
      <c r="CW369" s="38"/>
      <c r="CX369" s="38"/>
      <c r="CY369" s="38"/>
      <c r="CZ369" s="38"/>
      <c r="DA369" s="38"/>
      <c r="DB369" s="38"/>
      <c r="DC369" s="38"/>
      <c r="DD369" s="38"/>
      <c r="DE369" s="38"/>
      <c r="DF369" s="38"/>
      <c r="DG369" s="38"/>
      <c r="DH369" s="38"/>
      <c r="DI369" s="38"/>
      <c r="DJ369" s="38"/>
      <c r="DK369" s="38"/>
      <c r="DL369" s="38"/>
      <c r="DM369" s="38"/>
      <c r="DN369" s="38"/>
      <c r="DO369" s="38"/>
      <c r="DP369" s="38"/>
      <c r="DQ369" s="38"/>
      <c r="DR369" s="38"/>
      <c r="DS369" s="38"/>
      <c r="DT369" s="38"/>
      <c r="DU369" s="38"/>
      <c r="DV369" s="38"/>
      <c r="DW369" s="38"/>
      <c r="DX369" s="38"/>
      <c r="DY369" s="38"/>
      <c r="DZ369" s="38"/>
      <c r="EA369" s="38"/>
      <c r="EB369" s="38"/>
      <c r="EC369" s="38"/>
      <c r="ED369" s="38"/>
      <c r="EE369" s="38"/>
      <c r="EF369" s="38"/>
      <c r="EG369" s="38"/>
      <c r="EH369" s="38"/>
      <c r="EI369" s="38"/>
      <c r="EJ369" s="38"/>
      <c r="EK369" s="38"/>
      <c r="EL369" s="38"/>
      <c r="EM369" s="38"/>
      <c r="EN369" s="38"/>
      <c r="EO369" s="38"/>
      <c r="EP369" s="38"/>
      <c r="EQ369" s="38"/>
      <c r="ER369" s="38"/>
      <c r="ES369" s="27"/>
      <c r="ET369" s="27"/>
      <c r="EU369" s="27"/>
    </row>
    <row r="370" spans="1:151" s="39" customFormat="1" x14ac:dyDescent="0.35">
      <c r="A370" s="22"/>
      <c r="B370" s="23"/>
      <c r="C370" s="25"/>
      <c r="D370" s="25"/>
      <c r="E370" s="24"/>
      <c r="F370" s="24"/>
      <c r="G370" s="24"/>
      <c r="H370" s="24"/>
      <c r="I370" s="24"/>
      <c r="J370" s="24"/>
      <c r="K370" s="26"/>
      <c r="L370" s="116"/>
      <c r="M370" s="27"/>
      <c r="CM370" s="38"/>
      <c r="CN370" s="38"/>
      <c r="CO370" s="38"/>
      <c r="CP370" s="38"/>
      <c r="CQ370" s="38"/>
      <c r="CR370" s="38"/>
      <c r="CS370" s="38"/>
      <c r="CT370" s="38"/>
      <c r="CU370" s="38"/>
      <c r="CV370" s="38"/>
      <c r="CW370" s="38"/>
      <c r="CX370" s="38"/>
      <c r="CY370" s="38"/>
      <c r="CZ370" s="38"/>
      <c r="DA370" s="38"/>
      <c r="DB370" s="38"/>
      <c r="DC370" s="38"/>
      <c r="DD370" s="38"/>
      <c r="DE370" s="38"/>
      <c r="DF370" s="38"/>
      <c r="DG370" s="38"/>
      <c r="DH370" s="38"/>
      <c r="DI370" s="38"/>
      <c r="DJ370" s="38"/>
      <c r="DK370" s="38"/>
      <c r="DL370" s="38"/>
      <c r="DM370" s="38"/>
      <c r="DN370" s="38"/>
      <c r="DO370" s="38"/>
      <c r="DP370" s="38"/>
      <c r="DQ370" s="38"/>
      <c r="DR370" s="38"/>
      <c r="DS370" s="38"/>
      <c r="DT370" s="38"/>
      <c r="DU370" s="38"/>
      <c r="DV370" s="38"/>
      <c r="DW370" s="38"/>
      <c r="DX370" s="38"/>
      <c r="DY370" s="38"/>
      <c r="DZ370" s="38"/>
      <c r="EA370" s="38"/>
      <c r="EB370" s="38"/>
      <c r="EC370" s="38"/>
      <c r="ED370" s="38"/>
      <c r="EE370" s="38"/>
      <c r="EF370" s="38"/>
      <c r="EG370" s="38"/>
      <c r="EH370" s="38"/>
      <c r="EI370" s="38"/>
      <c r="EJ370" s="38"/>
      <c r="EK370" s="38"/>
      <c r="EL370" s="38"/>
      <c r="EM370" s="38"/>
      <c r="EN370" s="38"/>
      <c r="EO370" s="38"/>
      <c r="EP370" s="38"/>
      <c r="EQ370" s="38"/>
      <c r="ER370" s="38"/>
      <c r="ES370" s="27"/>
      <c r="ET370" s="27"/>
      <c r="EU370" s="27"/>
    </row>
    <row r="371" spans="1:151" s="39" customFormat="1" x14ac:dyDescent="0.35">
      <c r="A371" s="22"/>
      <c r="B371" s="71"/>
      <c r="C371" s="25"/>
      <c r="D371" s="25"/>
      <c r="E371" s="24"/>
      <c r="F371" s="24"/>
      <c r="G371" s="24"/>
      <c r="H371" s="24"/>
      <c r="I371" s="24"/>
      <c r="J371" s="24"/>
      <c r="K371" s="26"/>
      <c r="L371" s="116"/>
      <c r="M371" s="25"/>
      <c r="CM371" s="38"/>
      <c r="CN371" s="38"/>
      <c r="CO371" s="38"/>
      <c r="CP371" s="38"/>
      <c r="CQ371" s="38"/>
      <c r="CR371" s="38"/>
      <c r="CS371" s="38"/>
      <c r="CT371" s="38"/>
      <c r="CU371" s="38"/>
      <c r="CV371" s="38"/>
      <c r="CW371" s="38"/>
      <c r="CX371" s="38"/>
      <c r="CY371" s="38"/>
      <c r="CZ371" s="38"/>
      <c r="DA371" s="38"/>
      <c r="DB371" s="38"/>
      <c r="DC371" s="38"/>
      <c r="DD371" s="38"/>
      <c r="DE371" s="38"/>
      <c r="DF371" s="38"/>
      <c r="DG371" s="38"/>
      <c r="DH371" s="38"/>
      <c r="DI371" s="38"/>
      <c r="DJ371" s="38"/>
      <c r="DK371" s="38"/>
      <c r="DL371" s="38"/>
      <c r="DM371" s="38"/>
      <c r="DN371" s="38"/>
      <c r="DO371" s="38"/>
      <c r="DP371" s="38"/>
      <c r="DQ371" s="38"/>
      <c r="DR371" s="38"/>
      <c r="DS371" s="38"/>
      <c r="DT371" s="38"/>
      <c r="DU371" s="38"/>
      <c r="DV371" s="38"/>
      <c r="DW371" s="38"/>
      <c r="DX371" s="38"/>
      <c r="DY371" s="38"/>
      <c r="DZ371" s="38"/>
      <c r="EA371" s="38"/>
      <c r="EB371" s="38"/>
      <c r="EC371" s="38"/>
      <c r="ED371" s="38"/>
      <c r="EE371" s="38"/>
      <c r="EF371" s="38"/>
      <c r="EG371" s="38"/>
      <c r="EH371" s="38"/>
      <c r="EI371" s="38"/>
      <c r="EJ371" s="38"/>
      <c r="EK371" s="38"/>
      <c r="EL371" s="38"/>
      <c r="EM371" s="38"/>
      <c r="EN371" s="38"/>
      <c r="EO371" s="38"/>
      <c r="EP371" s="38"/>
      <c r="EQ371" s="38"/>
      <c r="ER371" s="38"/>
      <c r="ES371" s="25"/>
      <c r="ET371" s="25"/>
      <c r="EU371" s="24"/>
    </row>
    <row r="372" spans="1:151" s="39" customFormat="1" x14ac:dyDescent="0.35">
      <c r="A372" s="22"/>
      <c r="B372" s="23"/>
      <c r="C372" s="25"/>
      <c r="D372" s="25"/>
      <c r="E372" s="24"/>
      <c r="F372" s="24"/>
      <c r="G372" s="24"/>
      <c r="H372" s="24"/>
      <c r="I372" s="24"/>
      <c r="J372" s="24"/>
      <c r="K372" s="26"/>
      <c r="L372" s="116"/>
      <c r="M372" s="27"/>
      <c r="CM372" s="38"/>
      <c r="CN372" s="38"/>
      <c r="CO372" s="38"/>
      <c r="CP372" s="38"/>
      <c r="CQ372" s="38"/>
      <c r="CR372" s="38"/>
      <c r="CS372" s="38"/>
      <c r="CT372" s="38"/>
      <c r="CU372" s="38"/>
      <c r="CV372" s="38"/>
      <c r="CW372" s="38"/>
      <c r="CX372" s="38"/>
      <c r="CY372" s="38"/>
      <c r="CZ372" s="38"/>
      <c r="DA372" s="38"/>
      <c r="DB372" s="38"/>
      <c r="DC372" s="38"/>
      <c r="DD372" s="38"/>
      <c r="DE372" s="38"/>
      <c r="DF372" s="38"/>
      <c r="DG372" s="38"/>
      <c r="DH372" s="38"/>
      <c r="DI372" s="38"/>
      <c r="DJ372" s="38"/>
      <c r="DK372" s="38"/>
      <c r="DL372" s="38"/>
      <c r="DM372" s="38"/>
      <c r="DN372" s="38"/>
      <c r="DO372" s="38"/>
      <c r="DP372" s="38"/>
      <c r="DQ372" s="38"/>
      <c r="DR372" s="38"/>
      <c r="DS372" s="38"/>
      <c r="DT372" s="38"/>
      <c r="DU372" s="38"/>
      <c r="DV372" s="38"/>
      <c r="DW372" s="38"/>
      <c r="DX372" s="38"/>
      <c r="DY372" s="38"/>
      <c r="DZ372" s="38"/>
      <c r="EA372" s="38"/>
      <c r="EB372" s="38"/>
      <c r="EC372" s="38"/>
      <c r="ED372" s="38"/>
      <c r="EE372" s="38"/>
      <c r="EF372" s="38"/>
      <c r="EG372" s="38"/>
      <c r="EH372" s="38"/>
      <c r="EI372" s="38"/>
      <c r="EJ372" s="38"/>
      <c r="EK372" s="38"/>
      <c r="EL372" s="38"/>
      <c r="EM372" s="38"/>
      <c r="EN372" s="38"/>
      <c r="EO372" s="38"/>
      <c r="EP372" s="38"/>
      <c r="EQ372" s="38"/>
      <c r="ER372" s="38"/>
      <c r="ES372" s="27"/>
      <c r="ET372" s="27"/>
      <c r="EU372" s="27"/>
    </row>
    <row r="373" spans="1:151" s="39" customFormat="1" x14ac:dyDescent="0.35">
      <c r="A373" s="22"/>
      <c r="B373" s="23"/>
      <c r="C373" s="25"/>
      <c r="D373" s="25"/>
      <c r="E373" s="24"/>
      <c r="F373" s="24"/>
      <c r="G373" s="24"/>
      <c r="H373" s="24"/>
      <c r="I373" s="24"/>
      <c r="J373" s="24"/>
      <c r="K373" s="26"/>
      <c r="L373" s="116"/>
      <c r="M373" s="27"/>
      <c r="CM373" s="38"/>
      <c r="CN373" s="38"/>
      <c r="CO373" s="38"/>
      <c r="CP373" s="38"/>
      <c r="CQ373" s="38"/>
      <c r="CR373" s="38"/>
      <c r="CS373" s="38"/>
      <c r="CT373" s="38"/>
      <c r="CU373" s="38"/>
      <c r="CV373" s="38"/>
      <c r="CW373" s="38"/>
      <c r="CX373" s="38"/>
      <c r="CY373" s="38"/>
      <c r="CZ373" s="38"/>
      <c r="DA373" s="38"/>
      <c r="DB373" s="38"/>
      <c r="DC373" s="38"/>
      <c r="DD373" s="38"/>
      <c r="DE373" s="38"/>
      <c r="DF373" s="38"/>
      <c r="DG373" s="38"/>
      <c r="DH373" s="38"/>
      <c r="DI373" s="38"/>
      <c r="DJ373" s="38"/>
      <c r="DK373" s="38"/>
      <c r="DL373" s="38"/>
      <c r="DM373" s="38"/>
      <c r="DN373" s="38"/>
      <c r="DO373" s="38"/>
      <c r="DP373" s="38"/>
      <c r="DQ373" s="38"/>
      <c r="DR373" s="38"/>
      <c r="DS373" s="38"/>
      <c r="DT373" s="38"/>
      <c r="DU373" s="38"/>
      <c r="DV373" s="38"/>
      <c r="DW373" s="38"/>
      <c r="DX373" s="38"/>
      <c r="DY373" s="38"/>
      <c r="DZ373" s="38"/>
      <c r="EA373" s="38"/>
      <c r="EB373" s="38"/>
      <c r="EC373" s="38"/>
      <c r="ED373" s="38"/>
      <c r="EE373" s="38"/>
      <c r="EF373" s="38"/>
      <c r="EG373" s="38"/>
      <c r="EH373" s="38"/>
      <c r="EI373" s="38"/>
      <c r="EJ373" s="38"/>
      <c r="EK373" s="38"/>
      <c r="EL373" s="38"/>
      <c r="EM373" s="38"/>
      <c r="EN373" s="38"/>
      <c r="EO373" s="38"/>
      <c r="EP373" s="38"/>
      <c r="EQ373" s="38"/>
      <c r="ER373" s="38"/>
      <c r="ES373" s="27"/>
      <c r="ET373" s="27"/>
      <c r="EU373" s="27"/>
    </row>
    <row r="374" spans="1:151" s="39" customFormat="1" x14ac:dyDescent="0.35">
      <c r="A374" s="22"/>
      <c r="B374" s="23"/>
      <c r="C374" s="25"/>
      <c r="D374" s="25"/>
      <c r="E374" s="24"/>
      <c r="F374" s="24"/>
      <c r="G374" s="24"/>
      <c r="H374" s="24"/>
      <c r="I374" s="24"/>
      <c r="J374" s="24"/>
      <c r="K374" s="26"/>
      <c r="L374" s="116"/>
      <c r="M374" s="27"/>
      <c r="CM374" s="38"/>
      <c r="CN374" s="38"/>
      <c r="CO374" s="38"/>
      <c r="CP374" s="38"/>
      <c r="CQ374" s="38"/>
      <c r="CR374" s="38"/>
      <c r="CS374" s="38"/>
      <c r="CT374" s="38"/>
      <c r="CU374" s="38"/>
      <c r="CV374" s="38"/>
      <c r="CW374" s="38"/>
      <c r="CX374" s="38"/>
      <c r="CY374" s="38"/>
      <c r="CZ374" s="38"/>
      <c r="DA374" s="38"/>
      <c r="DB374" s="38"/>
      <c r="DC374" s="38"/>
      <c r="DD374" s="38"/>
      <c r="DE374" s="38"/>
      <c r="DF374" s="38"/>
      <c r="DG374" s="38"/>
      <c r="DH374" s="38"/>
      <c r="DI374" s="38"/>
      <c r="DJ374" s="38"/>
      <c r="DK374" s="38"/>
      <c r="DL374" s="38"/>
      <c r="DM374" s="38"/>
      <c r="DN374" s="38"/>
      <c r="DO374" s="38"/>
      <c r="DP374" s="38"/>
      <c r="DQ374" s="38"/>
      <c r="DR374" s="38"/>
      <c r="DS374" s="38"/>
      <c r="DT374" s="38"/>
      <c r="DU374" s="38"/>
      <c r="DV374" s="38"/>
      <c r="DW374" s="38"/>
      <c r="DX374" s="38"/>
      <c r="DY374" s="38"/>
      <c r="DZ374" s="38"/>
      <c r="EA374" s="38"/>
      <c r="EB374" s="38"/>
      <c r="EC374" s="38"/>
      <c r="ED374" s="38"/>
      <c r="EE374" s="38"/>
      <c r="EF374" s="38"/>
      <c r="EG374" s="38"/>
      <c r="EH374" s="38"/>
      <c r="EI374" s="38"/>
      <c r="EJ374" s="38"/>
      <c r="EK374" s="38"/>
      <c r="EL374" s="38"/>
      <c r="EM374" s="38"/>
      <c r="EN374" s="38"/>
      <c r="EO374" s="38"/>
      <c r="EP374" s="38"/>
      <c r="EQ374" s="38"/>
      <c r="ER374" s="38"/>
      <c r="ES374" s="27"/>
      <c r="ET374" s="27"/>
      <c r="EU374" s="27"/>
    </row>
    <row r="375" spans="1:151" s="39" customFormat="1" x14ac:dyDescent="0.35">
      <c r="A375" s="22"/>
      <c r="B375" s="23"/>
      <c r="C375" s="25"/>
      <c r="D375" s="25"/>
      <c r="E375" s="24"/>
      <c r="F375" s="24"/>
      <c r="G375" s="24"/>
      <c r="H375" s="24"/>
      <c r="I375" s="24"/>
      <c r="J375" s="24"/>
      <c r="K375" s="26"/>
      <c r="L375" s="116"/>
      <c r="M375" s="27"/>
      <c r="CM375" s="38"/>
      <c r="CN375" s="38"/>
      <c r="CO375" s="38"/>
      <c r="CP375" s="38"/>
      <c r="CQ375" s="38"/>
      <c r="CR375" s="38"/>
      <c r="CS375" s="38"/>
      <c r="CT375" s="38"/>
      <c r="CU375" s="38"/>
      <c r="CV375" s="38"/>
      <c r="CW375" s="38"/>
      <c r="CX375" s="38"/>
      <c r="CY375" s="38"/>
      <c r="CZ375" s="38"/>
      <c r="DA375" s="38"/>
      <c r="DB375" s="38"/>
      <c r="DC375" s="38"/>
      <c r="DD375" s="38"/>
      <c r="DE375" s="38"/>
      <c r="DF375" s="38"/>
      <c r="DG375" s="38"/>
      <c r="DH375" s="38"/>
      <c r="DI375" s="38"/>
      <c r="DJ375" s="38"/>
      <c r="DK375" s="38"/>
      <c r="DL375" s="38"/>
      <c r="DM375" s="38"/>
      <c r="DN375" s="38"/>
      <c r="DO375" s="38"/>
      <c r="DP375" s="38"/>
      <c r="DQ375" s="38"/>
      <c r="DR375" s="38"/>
      <c r="DS375" s="38"/>
      <c r="DT375" s="38"/>
      <c r="DU375" s="38"/>
      <c r="DV375" s="38"/>
      <c r="DW375" s="38"/>
      <c r="DX375" s="38"/>
      <c r="DY375" s="38"/>
      <c r="DZ375" s="38"/>
      <c r="EA375" s="38"/>
      <c r="EB375" s="38"/>
      <c r="EC375" s="38"/>
      <c r="ED375" s="38"/>
      <c r="EE375" s="38"/>
      <c r="EF375" s="38"/>
      <c r="EG375" s="38"/>
      <c r="EH375" s="38"/>
      <c r="EI375" s="38"/>
      <c r="EJ375" s="38"/>
      <c r="EK375" s="38"/>
      <c r="EL375" s="38"/>
      <c r="EM375" s="38"/>
      <c r="EN375" s="38"/>
      <c r="EO375" s="38"/>
      <c r="EP375" s="38"/>
      <c r="EQ375" s="38"/>
      <c r="ER375" s="38"/>
      <c r="ES375" s="27"/>
      <c r="ET375" s="27"/>
      <c r="EU375" s="27"/>
    </row>
    <row r="376" spans="1:151" s="39" customFormat="1" x14ac:dyDescent="0.35">
      <c r="A376" s="22"/>
      <c r="B376" s="23"/>
      <c r="C376" s="25"/>
      <c r="D376" s="25"/>
      <c r="E376" s="24"/>
      <c r="F376" s="24"/>
      <c r="G376" s="24"/>
      <c r="H376" s="24"/>
      <c r="I376" s="24"/>
      <c r="J376" s="24"/>
      <c r="K376" s="26"/>
      <c r="L376" s="116"/>
      <c r="M376" s="27"/>
      <c r="CM376" s="38"/>
      <c r="CN376" s="38"/>
      <c r="CO376" s="38"/>
      <c r="CP376" s="38"/>
      <c r="CQ376" s="38"/>
      <c r="CR376" s="38"/>
      <c r="CS376" s="38"/>
      <c r="CT376" s="38"/>
      <c r="CU376" s="38"/>
      <c r="CV376" s="38"/>
      <c r="CW376" s="38"/>
      <c r="CX376" s="38"/>
      <c r="CY376" s="38"/>
      <c r="CZ376" s="38"/>
      <c r="DA376" s="38"/>
      <c r="DB376" s="38"/>
      <c r="DC376" s="38"/>
      <c r="DD376" s="38"/>
      <c r="DE376" s="38"/>
      <c r="DF376" s="38"/>
      <c r="DG376" s="38"/>
      <c r="DH376" s="38"/>
      <c r="DI376" s="38"/>
      <c r="DJ376" s="38"/>
      <c r="DK376" s="38"/>
      <c r="DL376" s="38"/>
      <c r="DM376" s="38"/>
      <c r="DN376" s="38"/>
      <c r="DO376" s="38"/>
      <c r="DP376" s="38"/>
      <c r="DQ376" s="38"/>
      <c r="DR376" s="38"/>
      <c r="DS376" s="38"/>
      <c r="DT376" s="38"/>
      <c r="DU376" s="38"/>
      <c r="DV376" s="38"/>
      <c r="DW376" s="38"/>
      <c r="DX376" s="38"/>
      <c r="DY376" s="38"/>
      <c r="DZ376" s="38"/>
      <c r="EA376" s="38"/>
      <c r="EB376" s="38"/>
      <c r="EC376" s="38"/>
      <c r="ED376" s="38"/>
      <c r="EE376" s="38"/>
      <c r="EF376" s="38"/>
      <c r="EG376" s="38"/>
      <c r="EH376" s="38"/>
      <c r="EI376" s="38"/>
      <c r="EJ376" s="38"/>
      <c r="EK376" s="38"/>
      <c r="EL376" s="38"/>
      <c r="EM376" s="38"/>
      <c r="EN376" s="38"/>
      <c r="EO376" s="38"/>
      <c r="EP376" s="38"/>
      <c r="EQ376" s="38"/>
      <c r="ER376" s="38"/>
      <c r="ES376" s="27"/>
      <c r="ET376" s="27"/>
      <c r="EU376" s="27"/>
    </row>
    <row r="377" spans="1:151" s="39" customFormat="1" x14ac:dyDescent="0.35">
      <c r="A377" s="22"/>
      <c r="B377" s="23"/>
      <c r="C377" s="25"/>
      <c r="D377" s="25"/>
      <c r="E377" s="24"/>
      <c r="F377" s="24"/>
      <c r="G377" s="24"/>
      <c r="H377" s="24"/>
      <c r="I377" s="24"/>
      <c r="J377" s="24"/>
      <c r="K377" s="26"/>
      <c r="L377" s="116"/>
      <c r="M377" s="27"/>
      <c r="CM377" s="38"/>
      <c r="CN377" s="38"/>
      <c r="CO377" s="38"/>
      <c r="CP377" s="38"/>
      <c r="CQ377" s="38"/>
      <c r="CR377" s="38"/>
      <c r="CS377" s="38"/>
      <c r="CT377" s="38"/>
      <c r="CU377" s="38"/>
      <c r="CV377" s="38"/>
      <c r="CW377" s="38"/>
      <c r="CX377" s="38"/>
      <c r="CY377" s="38"/>
      <c r="CZ377" s="38"/>
      <c r="DA377" s="38"/>
      <c r="DB377" s="38"/>
      <c r="DC377" s="38"/>
      <c r="DD377" s="38"/>
      <c r="DE377" s="38"/>
      <c r="DF377" s="38"/>
      <c r="DG377" s="38"/>
      <c r="DH377" s="38"/>
      <c r="DI377" s="38"/>
      <c r="DJ377" s="38"/>
      <c r="DK377" s="38"/>
      <c r="DL377" s="38"/>
      <c r="DM377" s="38"/>
      <c r="DN377" s="38"/>
      <c r="DO377" s="38"/>
      <c r="DP377" s="38"/>
      <c r="DQ377" s="38"/>
      <c r="DR377" s="38"/>
      <c r="DS377" s="38"/>
      <c r="DT377" s="38"/>
      <c r="DU377" s="38"/>
      <c r="DV377" s="38"/>
      <c r="DW377" s="38"/>
      <c r="DX377" s="38"/>
      <c r="DY377" s="38"/>
      <c r="DZ377" s="38"/>
      <c r="EA377" s="38"/>
      <c r="EB377" s="38"/>
      <c r="EC377" s="38"/>
      <c r="ED377" s="38"/>
      <c r="EE377" s="38"/>
      <c r="EF377" s="38"/>
      <c r="EG377" s="38"/>
      <c r="EH377" s="38"/>
      <c r="EI377" s="38"/>
      <c r="EJ377" s="38"/>
      <c r="EK377" s="38"/>
      <c r="EL377" s="38"/>
      <c r="EM377" s="38"/>
      <c r="EN377" s="38"/>
      <c r="EO377" s="38"/>
      <c r="EP377" s="38"/>
      <c r="EQ377" s="38"/>
      <c r="ER377" s="38"/>
      <c r="ES377" s="27"/>
      <c r="ET377" s="27"/>
      <c r="EU377" s="27"/>
    </row>
    <row r="378" spans="1:151" s="39" customFormat="1" x14ac:dyDescent="0.35">
      <c r="A378" s="22"/>
      <c r="B378" s="23"/>
      <c r="C378" s="122"/>
      <c r="D378" s="25"/>
      <c r="E378" s="24"/>
      <c r="F378" s="24"/>
      <c r="G378" s="24"/>
      <c r="H378" s="24"/>
      <c r="I378" s="24"/>
      <c r="J378" s="24"/>
      <c r="K378" s="26"/>
      <c r="L378" s="116"/>
      <c r="M378" s="27"/>
      <c r="CM378" s="38"/>
      <c r="CN378" s="38"/>
      <c r="CO378" s="38"/>
      <c r="CP378" s="38"/>
      <c r="CQ378" s="38"/>
      <c r="CR378" s="38"/>
      <c r="CS378" s="38"/>
      <c r="CT378" s="38"/>
      <c r="CU378" s="38"/>
      <c r="CV378" s="38"/>
      <c r="CW378" s="38"/>
      <c r="CX378" s="38"/>
      <c r="CY378" s="38"/>
      <c r="CZ378" s="38"/>
      <c r="DA378" s="38"/>
      <c r="DB378" s="38"/>
      <c r="DC378" s="38"/>
      <c r="DD378" s="38"/>
      <c r="DE378" s="38"/>
      <c r="DF378" s="38"/>
      <c r="DG378" s="38"/>
      <c r="DH378" s="38"/>
      <c r="DI378" s="38"/>
      <c r="DJ378" s="38"/>
      <c r="DK378" s="38"/>
      <c r="DL378" s="38"/>
      <c r="DM378" s="38"/>
      <c r="DN378" s="38"/>
      <c r="DO378" s="38"/>
      <c r="DP378" s="38"/>
      <c r="DQ378" s="38"/>
      <c r="DR378" s="38"/>
      <c r="DS378" s="38"/>
      <c r="DT378" s="38"/>
      <c r="DU378" s="38"/>
      <c r="DV378" s="38"/>
      <c r="DW378" s="38"/>
      <c r="DX378" s="38"/>
      <c r="DY378" s="38"/>
      <c r="DZ378" s="38"/>
      <c r="EA378" s="38"/>
      <c r="EB378" s="38"/>
      <c r="EC378" s="38"/>
      <c r="ED378" s="38"/>
      <c r="EE378" s="38"/>
      <c r="EF378" s="38"/>
      <c r="EG378" s="38"/>
      <c r="EH378" s="38"/>
      <c r="EI378" s="38"/>
      <c r="EJ378" s="38"/>
      <c r="EK378" s="38"/>
      <c r="EL378" s="38"/>
      <c r="EM378" s="38"/>
      <c r="EN378" s="38"/>
      <c r="EO378" s="38"/>
      <c r="EP378" s="38"/>
      <c r="EQ378" s="38"/>
      <c r="ER378" s="38"/>
      <c r="ES378" s="27"/>
      <c r="ET378" s="27"/>
      <c r="EU378" s="27"/>
    </row>
    <row r="379" spans="1:151" s="39" customFormat="1" x14ac:dyDescent="0.35">
      <c r="A379" s="22"/>
      <c r="B379" s="23"/>
      <c r="C379" s="25"/>
      <c r="D379" s="25"/>
      <c r="E379" s="24"/>
      <c r="F379" s="24"/>
      <c r="G379" s="24"/>
      <c r="H379" s="24"/>
      <c r="I379" s="24"/>
      <c r="J379" s="24"/>
      <c r="K379" s="26"/>
      <c r="L379" s="116"/>
      <c r="M379" s="25"/>
      <c r="CM379" s="38"/>
      <c r="CN379" s="38"/>
      <c r="CO379" s="38"/>
      <c r="CP379" s="38"/>
      <c r="CQ379" s="38"/>
      <c r="CR379" s="38"/>
      <c r="CS379" s="38"/>
      <c r="CT379" s="38"/>
      <c r="CU379" s="38"/>
      <c r="CV379" s="38"/>
      <c r="CW379" s="38"/>
      <c r="CX379" s="38"/>
      <c r="CY379" s="38"/>
      <c r="CZ379" s="38"/>
      <c r="DA379" s="38"/>
      <c r="DB379" s="38"/>
      <c r="DC379" s="38"/>
      <c r="DD379" s="38"/>
      <c r="DE379" s="38"/>
      <c r="DF379" s="38"/>
      <c r="DG379" s="38"/>
      <c r="DH379" s="38"/>
      <c r="DI379" s="38"/>
      <c r="DJ379" s="38"/>
      <c r="DK379" s="38"/>
      <c r="DL379" s="38"/>
      <c r="DM379" s="38"/>
      <c r="DN379" s="38"/>
      <c r="DO379" s="38"/>
      <c r="DP379" s="38"/>
      <c r="DQ379" s="38"/>
      <c r="DR379" s="38"/>
      <c r="DS379" s="38"/>
      <c r="DT379" s="38"/>
      <c r="DU379" s="38"/>
      <c r="DV379" s="38"/>
      <c r="DW379" s="38"/>
      <c r="DX379" s="38"/>
      <c r="DY379" s="38"/>
      <c r="DZ379" s="38"/>
      <c r="EA379" s="38"/>
      <c r="EB379" s="38"/>
      <c r="EC379" s="38"/>
      <c r="ED379" s="38"/>
      <c r="EE379" s="38"/>
      <c r="EF379" s="38"/>
      <c r="EG379" s="38"/>
      <c r="EH379" s="38"/>
      <c r="EI379" s="38"/>
      <c r="EJ379" s="38"/>
      <c r="EK379" s="38"/>
      <c r="EL379" s="38"/>
      <c r="EM379" s="38"/>
      <c r="EN379" s="38"/>
      <c r="EO379" s="38"/>
      <c r="EP379" s="38"/>
      <c r="EQ379" s="38"/>
      <c r="ER379" s="38"/>
      <c r="ES379" s="25"/>
      <c r="ET379" s="25"/>
      <c r="EU379" s="24"/>
    </row>
    <row r="381" spans="1:151" s="39" customFormat="1" x14ac:dyDescent="0.35">
      <c r="A381" s="22"/>
      <c r="B381" s="23"/>
      <c r="C381" s="25"/>
      <c r="D381" s="25"/>
      <c r="E381" s="24"/>
      <c r="F381" s="24"/>
      <c r="G381" s="24"/>
      <c r="H381" s="24"/>
      <c r="I381" s="24"/>
      <c r="J381" s="24"/>
      <c r="K381" s="26"/>
      <c r="L381" s="116"/>
      <c r="M381" s="25"/>
      <c r="CM381" s="38"/>
      <c r="CN381" s="38"/>
      <c r="CO381" s="38"/>
      <c r="CP381" s="38"/>
      <c r="CQ381" s="38"/>
      <c r="CR381" s="38"/>
      <c r="CS381" s="38"/>
      <c r="CT381" s="38"/>
      <c r="CU381" s="38"/>
      <c r="CV381" s="38"/>
      <c r="CW381" s="38"/>
      <c r="CX381" s="38"/>
      <c r="CY381" s="38"/>
      <c r="CZ381" s="38"/>
      <c r="DA381" s="38"/>
      <c r="DB381" s="38"/>
      <c r="DC381" s="38"/>
      <c r="DD381" s="38"/>
      <c r="DE381" s="38"/>
      <c r="DF381" s="38"/>
      <c r="DG381" s="38"/>
      <c r="DH381" s="38"/>
      <c r="DI381" s="38"/>
      <c r="DJ381" s="38"/>
      <c r="DK381" s="38"/>
      <c r="DL381" s="38"/>
      <c r="DM381" s="38"/>
      <c r="DN381" s="38"/>
      <c r="DO381" s="38"/>
      <c r="DP381" s="38"/>
      <c r="DQ381" s="38"/>
      <c r="DR381" s="38"/>
      <c r="DS381" s="38"/>
      <c r="DT381" s="38"/>
      <c r="DU381" s="38"/>
      <c r="DV381" s="38"/>
      <c r="DW381" s="38"/>
      <c r="DX381" s="38"/>
      <c r="DY381" s="38"/>
      <c r="DZ381" s="38"/>
      <c r="EA381" s="38"/>
      <c r="EB381" s="38"/>
      <c r="EC381" s="38"/>
      <c r="ED381" s="38"/>
      <c r="EE381" s="38"/>
      <c r="EF381" s="38"/>
      <c r="EG381" s="38"/>
      <c r="EH381" s="38"/>
      <c r="EI381" s="38"/>
      <c r="EJ381" s="38"/>
      <c r="EK381" s="38"/>
      <c r="EL381" s="38"/>
      <c r="EM381" s="38"/>
      <c r="EN381" s="38"/>
      <c r="EO381" s="38"/>
      <c r="EP381" s="38"/>
      <c r="EQ381" s="38"/>
      <c r="ER381" s="38"/>
      <c r="ES381" s="25"/>
      <c r="ET381" s="25"/>
      <c r="EU381" s="24"/>
    </row>
    <row r="383" spans="1:151" s="39" customFormat="1" x14ac:dyDescent="0.35">
      <c r="A383" s="22"/>
      <c r="B383" s="23"/>
      <c r="C383" s="25"/>
      <c r="D383" s="25"/>
      <c r="E383" s="24"/>
      <c r="F383" s="24"/>
      <c r="G383" s="24"/>
      <c r="H383" s="24"/>
      <c r="I383" s="24"/>
      <c r="J383" s="24"/>
      <c r="K383" s="26"/>
      <c r="L383" s="116"/>
      <c r="M383" s="25"/>
      <c r="CM383" s="38"/>
      <c r="CN383" s="38"/>
      <c r="CO383" s="38"/>
      <c r="CP383" s="38"/>
      <c r="CQ383" s="38"/>
      <c r="CR383" s="38"/>
      <c r="CS383" s="38"/>
      <c r="CT383" s="38"/>
      <c r="CU383" s="38"/>
      <c r="CV383" s="38"/>
      <c r="CW383" s="38"/>
      <c r="CX383" s="38"/>
      <c r="CY383" s="38"/>
      <c r="CZ383" s="38"/>
      <c r="DA383" s="38"/>
      <c r="DB383" s="38"/>
      <c r="DC383" s="38"/>
      <c r="DD383" s="38"/>
      <c r="DE383" s="38"/>
      <c r="DF383" s="38"/>
      <c r="DG383" s="38"/>
      <c r="DH383" s="38"/>
      <c r="DI383" s="38"/>
      <c r="DJ383" s="38"/>
      <c r="DK383" s="38"/>
      <c r="DL383" s="38"/>
      <c r="DM383" s="38"/>
      <c r="DN383" s="38"/>
      <c r="DO383" s="38"/>
      <c r="DP383" s="38"/>
      <c r="DQ383" s="38"/>
      <c r="DR383" s="38"/>
      <c r="DS383" s="38"/>
      <c r="DT383" s="38"/>
      <c r="DU383" s="38"/>
      <c r="DV383" s="38"/>
      <c r="DW383" s="38"/>
      <c r="DX383" s="38"/>
      <c r="DY383" s="38"/>
      <c r="DZ383" s="38"/>
      <c r="EA383" s="38"/>
      <c r="EB383" s="38"/>
      <c r="EC383" s="38"/>
      <c r="ED383" s="38"/>
      <c r="EE383" s="38"/>
      <c r="EF383" s="38"/>
      <c r="EG383" s="38"/>
      <c r="EH383" s="38"/>
      <c r="EI383" s="38"/>
      <c r="EJ383" s="38"/>
      <c r="EK383" s="38"/>
      <c r="EL383" s="38"/>
      <c r="EM383" s="38"/>
      <c r="EN383" s="38"/>
      <c r="EO383" s="38"/>
      <c r="EP383" s="38"/>
      <c r="EQ383" s="38"/>
      <c r="ER383" s="38"/>
      <c r="ES383" s="25"/>
      <c r="ET383" s="25"/>
      <c r="EU383" s="24"/>
    </row>
    <row r="385" spans="1:151" s="39" customFormat="1" x14ac:dyDescent="0.35">
      <c r="A385" s="22"/>
      <c r="B385" s="23"/>
      <c r="C385" s="25"/>
      <c r="D385" s="25"/>
      <c r="E385" s="24"/>
      <c r="F385" s="24"/>
      <c r="G385" s="24"/>
      <c r="H385" s="24"/>
      <c r="I385" s="24"/>
      <c r="J385" s="24"/>
      <c r="K385" s="26"/>
      <c r="L385" s="116"/>
      <c r="M385" s="25"/>
      <c r="CM385" s="38"/>
      <c r="CN385" s="38"/>
      <c r="CO385" s="38"/>
      <c r="CP385" s="38"/>
      <c r="CQ385" s="38"/>
      <c r="CR385" s="38"/>
      <c r="CS385" s="38"/>
      <c r="CT385" s="38"/>
      <c r="CU385" s="38"/>
      <c r="CV385" s="38"/>
      <c r="CW385" s="38"/>
      <c r="CX385" s="38"/>
      <c r="CY385" s="38"/>
      <c r="CZ385" s="38"/>
      <c r="DA385" s="38"/>
      <c r="DB385" s="38"/>
      <c r="DC385" s="38"/>
      <c r="DD385" s="38"/>
      <c r="DE385" s="38"/>
      <c r="DF385" s="38"/>
      <c r="DG385" s="38"/>
      <c r="DH385" s="38"/>
      <c r="DI385" s="38"/>
      <c r="DJ385" s="38"/>
      <c r="DK385" s="38"/>
      <c r="DL385" s="38"/>
      <c r="DM385" s="38"/>
      <c r="DN385" s="38"/>
      <c r="DO385" s="38"/>
      <c r="DP385" s="38"/>
      <c r="DQ385" s="38"/>
      <c r="DR385" s="38"/>
      <c r="DS385" s="38"/>
      <c r="DT385" s="38"/>
      <c r="DU385" s="38"/>
      <c r="DV385" s="38"/>
      <c r="DW385" s="38"/>
      <c r="DX385" s="38"/>
      <c r="DY385" s="38"/>
      <c r="DZ385" s="38"/>
      <c r="EA385" s="38"/>
      <c r="EB385" s="38"/>
      <c r="EC385" s="38"/>
      <c r="ED385" s="38"/>
      <c r="EE385" s="38"/>
      <c r="EF385" s="38"/>
      <c r="EG385" s="38"/>
      <c r="EH385" s="38"/>
      <c r="EI385" s="38"/>
      <c r="EJ385" s="38"/>
      <c r="EK385" s="38"/>
      <c r="EL385" s="38"/>
      <c r="EM385" s="38"/>
      <c r="EN385" s="38"/>
      <c r="EO385" s="38"/>
      <c r="EP385" s="38"/>
      <c r="EQ385" s="38"/>
      <c r="ER385" s="38"/>
      <c r="ES385" s="25"/>
      <c r="ET385" s="25"/>
      <c r="EU385" s="24"/>
    </row>
    <row r="387" spans="1:151" s="39" customFormat="1" x14ac:dyDescent="0.35">
      <c r="A387" s="22"/>
      <c r="B387" s="23"/>
      <c r="C387" s="25"/>
      <c r="D387" s="25"/>
      <c r="E387" s="24"/>
      <c r="F387" s="24"/>
      <c r="G387" s="24"/>
      <c r="H387" s="24"/>
      <c r="I387" s="24"/>
      <c r="J387" s="24"/>
      <c r="K387" s="26"/>
      <c r="L387" s="116"/>
      <c r="M387" s="25"/>
      <c r="CM387" s="38"/>
      <c r="CN387" s="38"/>
      <c r="CO387" s="38"/>
      <c r="CP387" s="38"/>
      <c r="CQ387" s="38"/>
      <c r="CR387" s="38"/>
      <c r="CS387" s="38"/>
      <c r="CT387" s="38"/>
      <c r="CU387" s="38"/>
      <c r="CV387" s="38"/>
      <c r="CW387" s="38"/>
      <c r="CX387" s="38"/>
      <c r="CY387" s="38"/>
      <c r="CZ387" s="38"/>
      <c r="DA387" s="38"/>
      <c r="DB387" s="38"/>
      <c r="DC387" s="38"/>
      <c r="DD387" s="38"/>
      <c r="DE387" s="38"/>
      <c r="DF387" s="38"/>
      <c r="DG387" s="38"/>
      <c r="DH387" s="38"/>
      <c r="DI387" s="38"/>
      <c r="DJ387" s="38"/>
      <c r="DK387" s="38"/>
      <c r="DL387" s="38"/>
      <c r="DM387" s="38"/>
      <c r="DN387" s="38"/>
      <c r="DO387" s="38"/>
      <c r="DP387" s="38"/>
      <c r="DQ387" s="38"/>
      <c r="DR387" s="38"/>
      <c r="DS387" s="38"/>
      <c r="DT387" s="38"/>
      <c r="DU387" s="38"/>
      <c r="DV387" s="38"/>
      <c r="DW387" s="38"/>
      <c r="DX387" s="38"/>
      <c r="DY387" s="38"/>
      <c r="DZ387" s="38"/>
      <c r="EA387" s="38"/>
      <c r="EB387" s="38"/>
      <c r="EC387" s="38"/>
      <c r="ED387" s="38"/>
      <c r="EE387" s="38"/>
      <c r="EF387" s="38"/>
      <c r="EG387" s="38"/>
      <c r="EH387" s="38"/>
      <c r="EI387" s="38"/>
      <c r="EJ387" s="38"/>
      <c r="EK387" s="38"/>
      <c r="EL387" s="38"/>
      <c r="EM387" s="38"/>
      <c r="EN387" s="38"/>
      <c r="EO387" s="38"/>
      <c r="EP387" s="38"/>
      <c r="EQ387" s="38"/>
      <c r="ER387" s="38"/>
      <c r="ES387" s="25"/>
      <c r="ET387" s="25"/>
      <c r="EU387" s="24"/>
    </row>
    <row r="389" spans="1:151" s="39" customFormat="1" x14ac:dyDescent="0.35">
      <c r="A389" s="22"/>
      <c r="B389" s="23"/>
      <c r="C389" s="25"/>
      <c r="D389" s="25"/>
      <c r="E389" s="24"/>
      <c r="F389" s="24"/>
      <c r="G389" s="24"/>
      <c r="H389" s="24"/>
      <c r="I389" s="24"/>
      <c r="J389" s="24"/>
      <c r="K389" s="26"/>
      <c r="L389" s="116"/>
      <c r="M389" s="25"/>
      <c r="CM389" s="38"/>
      <c r="CN389" s="38"/>
      <c r="CO389" s="38"/>
      <c r="CP389" s="38"/>
      <c r="CQ389" s="38"/>
      <c r="CR389" s="38"/>
      <c r="CS389" s="38"/>
      <c r="CT389" s="38"/>
      <c r="CU389" s="38"/>
      <c r="CV389" s="38"/>
      <c r="CW389" s="38"/>
      <c r="CX389" s="38"/>
      <c r="CY389" s="38"/>
      <c r="CZ389" s="38"/>
      <c r="DA389" s="38"/>
      <c r="DB389" s="38"/>
      <c r="DC389" s="38"/>
      <c r="DD389" s="38"/>
      <c r="DE389" s="38"/>
      <c r="DF389" s="38"/>
      <c r="DG389" s="38"/>
      <c r="DH389" s="38"/>
      <c r="DI389" s="38"/>
      <c r="DJ389" s="38"/>
      <c r="DK389" s="38"/>
      <c r="DL389" s="38"/>
      <c r="DM389" s="38"/>
      <c r="DN389" s="38"/>
      <c r="DO389" s="38"/>
      <c r="DP389" s="38"/>
      <c r="DQ389" s="38"/>
      <c r="DR389" s="38"/>
      <c r="DS389" s="38"/>
      <c r="DT389" s="38"/>
      <c r="DU389" s="38"/>
      <c r="DV389" s="38"/>
      <c r="DW389" s="38"/>
      <c r="DX389" s="38"/>
      <c r="DY389" s="38"/>
      <c r="DZ389" s="38"/>
      <c r="EA389" s="38"/>
      <c r="EB389" s="38"/>
      <c r="EC389" s="38"/>
      <c r="ED389" s="38"/>
      <c r="EE389" s="38"/>
      <c r="EF389" s="38"/>
      <c r="EG389" s="38"/>
      <c r="EH389" s="38"/>
      <c r="EI389" s="38"/>
      <c r="EJ389" s="38"/>
      <c r="EK389" s="38"/>
      <c r="EL389" s="38"/>
      <c r="EM389" s="38"/>
      <c r="EN389" s="38"/>
      <c r="EO389" s="38"/>
      <c r="EP389" s="38"/>
      <c r="EQ389" s="38"/>
      <c r="ER389" s="38"/>
      <c r="ES389" s="25"/>
      <c r="ET389" s="25"/>
      <c r="EU389" s="24"/>
    </row>
    <row r="391" spans="1:151" s="39" customFormat="1" x14ac:dyDescent="0.35">
      <c r="A391" s="22"/>
      <c r="B391" s="23"/>
      <c r="C391" s="25"/>
      <c r="D391" s="25"/>
      <c r="E391" s="24"/>
      <c r="F391" s="24"/>
      <c r="G391" s="24"/>
      <c r="H391" s="24"/>
      <c r="I391" s="24"/>
      <c r="J391" s="24"/>
      <c r="K391" s="26"/>
      <c r="L391" s="116"/>
      <c r="M391" s="25"/>
      <c r="CM391" s="38"/>
      <c r="CN391" s="38"/>
      <c r="CO391" s="38"/>
      <c r="CP391" s="38"/>
      <c r="CQ391" s="38"/>
      <c r="CR391" s="38"/>
      <c r="CS391" s="38"/>
      <c r="CT391" s="38"/>
      <c r="CU391" s="38"/>
      <c r="CV391" s="38"/>
      <c r="CW391" s="38"/>
      <c r="CX391" s="38"/>
      <c r="CY391" s="38"/>
      <c r="CZ391" s="38"/>
      <c r="DA391" s="38"/>
      <c r="DB391" s="38"/>
      <c r="DC391" s="38"/>
      <c r="DD391" s="38"/>
      <c r="DE391" s="38"/>
      <c r="DF391" s="38"/>
      <c r="DG391" s="38"/>
      <c r="DH391" s="38"/>
      <c r="DI391" s="38"/>
      <c r="DJ391" s="38"/>
      <c r="DK391" s="38"/>
      <c r="DL391" s="38"/>
      <c r="DM391" s="38"/>
      <c r="DN391" s="38"/>
      <c r="DO391" s="38"/>
      <c r="DP391" s="38"/>
      <c r="DQ391" s="38"/>
      <c r="DR391" s="38"/>
      <c r="DS391" s="38"/>
      <c r="DT391" s="38"/>
      <c r="DU391" s="38"/>
      <c r="DV391" s="38"/>
      <c r="DW391" s="38"/>
      <c r="DX391" s="38"/>
      <c r="DY391" s="38"/>
      <c r="DZ391" s="38"/>
      <c r="EA391" s="38"/>
      <c r="EB391" s="38"/>
      <c r="EC391" s="38"/>
      <c r="ED391" s="38"/>
      <c r="EE391" s="38"/>
      <c r="EF391" s="38"/>
      <c r="EG391" s="38"/>
      <c r="EH391" s="38"/>
      <c r="EI391" s="38"/>
      <c r="EJ391" s="38"/>
      <c r="EK391" s="38"/>
      <c r="EL391" s="38"/>
      <c r="EM391" s="38"/>
      <c r="EN391" s="38"/>
      <c r="EO391" s="38"/>
      <c r="EP391" s="38"/>
      <c r="EQ391" s="38"/>
      <c r="ER391" s="38"/>
      <c r="ES391" s="25"/>
      <c r="ET391" s="25"/>
      <c r="EU391" s="24"/>
    </row>
    <row r="393" spans="1:151" s="39" customFormat="1" x14ac:dyDescent="0.35">
      <c r="A393" s="22"/>
      <c r="B393" s="23"/>
      <c r="C393" s="25"/>
      <c r="D393" s="25"/>
      <c r="E393" s="24"/>
      <c r="F393" s="24"/>
      <c r="G393" s="24"/>
      <c r="H393" s="24"/>
      <c r="I393" s="24"/>
      <c r="J393" s="24"/>
      <c r="K393" s="26"/>
      <c r="L393" s="116"/>
      <c r="M393" s="25"/>
      <c r="CM393" s="38"/>
      <c r="CN393" s="38"/>
      <c r="CO393" s="38"/>
      <c r="CP393" s="38"/>
      <c r="CQ393" s="38"/>
      <c r="CR393" s="38"/>
      <c r="CS393" s="38"/>
      <c r="CT393" s="38"/>
      <c r="CU393" s="38"/>
      <c r="CV393" s="38"/>
      <c r="CW393" s="38"/>
      <c r="CX393" s="38"/>
      <c r="CY393" s="38"/>
      <c r="CZ393" s="38"/>
      <c r="DA393" s="38"/>
      <c r="DB393" s="38"/>
      <c r="DC393" s="38"/>
      <c r="DD393" s="38"/>
      <c r="DE393" s="38"/>
      <c r="DF393" s="38"/>
      <c r="DG393" s="38"/>
      <c r="DH393" s="38"/>
      <c r="DI393" s="38"/>
      <c r="DJ393" s="38"/>
      <c r="DK393" s="38"/>
      <c r="DL393" s="38"/>
      <c r="DM393" s="38"/>
      <c r="DN393" s="38"/>
      <c r="DO393" s="38"/>
      <c r="DP393" s="38"/>
      <c r="DQ393" s="38"/>
      <c r="DR393" s="38"/>
      <c r="DS393" s="38"/>
      <c r="DT393" s="38"/>
      <c r="DU393" s="38"/>
      <c r="DV393" s="38"/>
      <c r="DW393" s="38"/>
      <c r="DX393" s="38"/>
      <c r="DY393" s="38"/>
      <c r="DZ393" s="38"/>
      <c r="EA393" s="38"/>
      <c r="EB393" s="38"/>
      <c r="EC393" s="38"/>
      <c r="ED393" s="38"/>
      <c r="EE393" s="38"/>
      <c r="EF393" s="38"/>
      <c r="EG393" s="38"/>
      <c r="EH393" s="38"/>
      <c r="EI393" s="38"/>
      <c r="EJ393" s="38"/>
      <c r="EK393" s="38"/>
      <c r="EL393" s="38"/>
      <c r="EM393" s="38"/>
      <c r="EN393" s="38"/>
      <c r="EO393" s="38"/>
      <c r="EP393" s="38"/>
      <c r="EQ393" s="38"/>
      <c r="ER393" s="38"/>
      <c r="ES393" s="25"/>
      <c r="ET393" s="25"/>
      <c r="EU393" s="24"/>
    </row>
    <row r="395" spans="1:151" s="39" customFormat="1" x14ac:dyDescent="0.35">
      <c r="A395" s="22"/>
      <c r="B395" s="23"/>
      <c r="C395" s="25"/>
      <c r="D395" s="25"/>
      <c r="E395" s="24"/>
      <c r="F395" s="24"/>
      <c r="G395" s="24"/>
      <c r="H395" s="24"/>
      <c r="I395" s="24"/>
      <c r="J395" s="24"/>
      <c r="K395" s="26"/>
      <c r="L395" s="116"/>
      <c r="M395" s="25"/>
      <c r="CM395" s="38"/>
      <c r="CN395" s="38"/>
      <c r="CO395" s="38"/>
      <c r="CP395" s="38"/>
      <c r="CQ395" s="38"/>
      <c r="CR395" s="38"/>
      <c r="CS395" s="38"/>
      <c r="CT395" s="38"/>
      <c r="CU395" s="38"/>
      <c r="CV395" s="38"/>
      <c r="CW395" s="38"/>
      <c r="CX395" s="38"/>
      <c r="CY395" s="38"/>
      <c r="CZ395" s="38"/>
      <c r="DA395" s="38"/>
      <c r="DB395" s="38"/>
      <c r="DC395" s="38"/>
      <c r="DD395" s="38"/>
      <c r="DE395" s="38"/>
      <c r="DF395" s="38"/>
      <c r="DG395" s="38"/>
      <c r="DH395" s="38"/>
      <c r="DI395" s="38"/>
      <c r="DJ395" s="38"/>
      <c r="DK395" s="38"/>
      <c r="DL395" s="38"/>
      <c r="DM395" s="38"/>
      <c r="DN395" s="38"/>
      <c r="DO395" s="38"/>
      <c r="DP395" s="38"/>
      <c r="DQ395" s="38"/>
      <c r="DR395" s="38"/>
      <c r="DS395" s="38"/>
      <c r="DT395" s="38"/>
      <c r="DU395" s="38"/>
      <c r="DV395" s="38"/>
      <c r="DW395" s="38"/>
      <c r="DX395" s="38"/>
      <c r="DY395" s="38"/>
      <c r="DZ395" s="38"/>
      <c r="EA395" s="38"/>
      <c r="EB395" s="38"/>
      <c r="EC395" s="38"/>
      <c r="ED395" s="38"/>
      <c r="EE395" s="38"/>
      <c r="EF395" s="38"/>
      <c r="EG395" s="38"/>
      <c r="EH395" s="38"/>
      <c r="EI395" s="38"/>
      <c r="EJ395" s="38"/>
      <c r="EK395" s="38"/>
      <c r="EL395" s="38"/>
      <c r="EM395" s="38"/>
      <c r="EN395" s="38"/>
      <c r="EO395" s="38"/>
      <c r="EP395" s="38"/>
      <c r="EQ395" s="38"/>
      <c r="ER395" s="38"/>
      <c r="ES395" s="25"/>
      <c r="ET395" s="25"/>
      <c r="EU395" s="24"/>
    </row>
    <row r="397" spans="1:151" s="39" customFormat="1" x14ac:dyDescent="0.35">
      <c r="A397" s="22"/>
      <c r="B397" s="23"/>
      <c r="C397" s="25"/>
      <c r="D397" s="25"/>
      <c r="E397" s="24"/>
      <c r="F397" s="24"/>
      <c r="G397" s="24"/>
      <c r="H397" s="24"/>
      <c r="I397" s="24"/>
      <c r="J397" s="24"/>
      <c r="K397" s="26"/>
      <c r="L397" s="116"/>
      <c r="M397" s="25"/>
      <c r="CM397" s="38"/>
      <c r="CN397" s="38"/>
      <c r="CO397" s="38"/>
      <c r="CP397" s="38"/>
      <c r="CQ397" s="38"/>
      <c r="CR397" s="38"/>
      <c r="CS397" s="38"/>
      <c r="CT397" s="38"/>
      <c r="CU397" s="38"/>
      <c r="CV397" s="38"/>
      <c r="CW397" s="38"/>
      <c r="CX397" s="38"/>
      <c r="CY397" s="38"/>
      <c r="CZ397" s="38"/>
      <c r="DA397" s="38"/>
      <c r="DB397" s="38"/>
      <c r="DC397" s="38"/>
      <c r="DD397" s="38"/>
      <c r="DE397" s="38"/>
      <c r="DF397" s="38"/>
      <c r="DG397" s="38"/>
      <c r="DH397" s="38"/>
      <c r="DI397" s="38"/>
      <c r="DJ397" s="38"/>
      <c r="DK397" s="38"/>
      <c r="DL397" s="38"/>
      <c r="DM397" s="38"/>
      <c r="DN397" s="38"/>
      <c r="DO397" s="38"/>
      <c r="DP397" s="38"/>
      <c r="DQ397" s="38"/>
      <c r="DR397" s="38"/>
      <c r="DS397" s="38"/>
      <c r="DT397" s="38"/>
      <c r="DU397" s="38"/>
      <c r="DV397" s="38"/>
      <c r="DW397" s="38"/>
      <c r="DX397" s="38"/>
      <c r="DY397" s="38"/>
      <c r="DZ397" s="38"/>
      <c r="EA397" s="38"/>
      <c r="EB397" s="38"/>
      <c r="EC397" s="38"/>
      <c r="ED397" s="38"/>
      <c r="EE397" s="38"/>
      <c r="EF397" s="38"/>
      <c r="EG397" s="38"/>
      <c r="EH397" s="38"/>
      <c r="EI397" s="38"/>
      <c r="EJ397" s="38"/>
      <c r="EK397" s="38"/>
      <c r="EL397" s="38"/>
      <c r="EM397" s="38"/>
      <c r="EN397" s="38"/>
      <c r="EO397" s="38"/>
      <c r="EP397" s="38"/>
      <c r="EQ397" s="38"/>
      <c r="ER397" s="38"/>
      <c r="ES397" s="25"/>
      <c r="ET397" s="25"/>
      <c r="EU397" s="24"/>
    </row>
    <row r="399" spans="1:151" s="39" customFormat="1" x14ac:dyDescent="0.35">
      <c r="A399" s="22"/>
      <c r="B399" s="23"/>
      <c r="C399" s="25"/>
      <c r="D399" s="25"/>
      <c r="E399" s="24"/>
      <c r="F399" s="24"/>
      <c r="G399" s="24"/>
      <c r="H399" s="24"/>
      <c r="I399" s="24"/>
      <c r="J399" s="24"/>
      <c r="K399" s="26"/>
      <c r="L399" s="116"/>
      <c r="M399" s="25"/>
      <c r="CM399" s="38"/>
      <c r="CN399" s="38"/>
      <c r="CO399" s="38"/>
      <c r="CP399" s="38"/>
      <c r="CQ399" s="38"/>
      <c r="CR399" s="38"/>
      <c r="CS399" s="38"/>
      <c r="CT399" s="38"/>
      <c r="CU399" s="38"/>
      <c r="CV399" s="38"/>
      <c r="CW399" s="38"/>
      <c r="CX399" s="38"/>
      <c r="CY399" s="38"/>
      <c r="CZ399" s="38"/>
      <c r="DA399" s="38"/>
      <c r="DB399" s="38"/>
      <c r="DC399" s="38"/>
      <c r="DD399" s="38"/>
      <c r="DE399" s="38"/>
      <c r="DF399" s="38"/>
      <c r="DG399" s="38"/>
      <c r="DH399" s="38"/>
      <c r="DI399" s="38"/>
      <c r="DJ399" s="38"/>
      <c r="DK399" s="38"/>
      <c r="DL399" s="38"/>
      <c r="DM399" s="38"/>
      <c r="DN399" s="38"/>
      <c r="DO399" s="38"/>
      <c r="DP399" s="38"/>
      <c r="DQ399" s="38"/>
      <c r="DR399" s="38"/>
      <c r="DS399" s="38"/>
      <c r="DT399" s="38"/>
      <c r="DU399" s="38"/>
      <c r="DV399" s="38"/>
      <c r="DW399" s="38"/>
      <c r="DX399" s="38"/>
      <c r="DY399" s="38"/>
      <c r="DZ399" s="38"/>
      <c r="EA399" s="38"/>
      <c r="EB399" s="38"/>
      <c r="EC399" s="38"/>
      <c r="ED399" s="38"/>
      <c r="EE399" s="38"/>
      <c r="EF399" s="38"/>
      <c r="EG399" s="38"/>
      <c r="EH399" s="38"/>
      <c r="EI399" s="38"/>
      <c r="EJ399" s="38"/>
      <c r="EK399" s="38"/>
      <c r="EL399" s="38"/>
      <c r="EM399" s="38"/>
      <c r="EN399" s="38"/>
      <c r="EO399" s="38"/>
      <c r="EP399" s="38"/>
      <c r="EQ399" s="38"/>
      <c r="ER399" s="38"/>
      <c r="ES399" s="25"/>
      <c r="ET399" s="25"/>
      <c r="EU399" s="24"/>
    </row>
    <row r="401" spans="1:151" s="39" customFormat="1" x14ac:dyDescent="0.35">
      <c r="A401" s="22"/>
      <c r="B401" s="23"/>
      <c r="C401" s="25"/>
      <c r="D401" s="25"/>
      <c r="E401" s="24"/>
      <c r="F401" s="24"/>
      <c r="G401" s="24"/>
      <c r="H401" s="24"/>
      <c r="I401" s="24"/>
      <c r="J401" s="24"/>
      <c r="K401" s="26"/>
      <c r="L401" s="116"/>
      <c r="M401" s="25"/>
      <c r="CM401" s="38"/>
      <c r="CN401" s="38"/>
      <c r="CO401" s="38"/>
      <c r="CP401" s="38"/>
      <c r="CQ401" s="38"/>
      <c r="CR401" s="38"/>
      <c r="CS401" s="38"/>
      <c r="CT401" s="38"/>
      <c r="CU401" s="38"/>
      <c r="CV401" s="38"/>
      <c r="CW401" s="38"/>
      <c r="CX401" s="38"/>
      <c r="CY401" s="38"/>
      <c r="CZ401" s="38"/>
      <c r="DA401" s="38"/>
      <c r="DB401" s="38"/>
      <c r="DC401" s="38"/>
      <c r="DD401" s="38"/>
      <c r="DE401" s="38"/>
      <c r="DF401" s="38"/>
      <c r="DG401" s="38"/>
      <c r="DH401" s="38"/>
      <c r="DI401" s="38"/>
      <c r="DJ401" s="38"/>
      <c r="DK401" s="38"/>
      <c r="DL401" s="38"/>
      <c r="DM401" s="38"/>
      <c r="DN401" s="38"/>
      <c r="DO401" s="38"/>
      <c r="DP401" s="38"/>
      <c r="DQ401" s="38"/>
      <c r="DR401" s="38"/>
      <c r="DS401" s="38"/>
      <c r="DT401" s="38"/>
      <c r="DU401" s="38"/>
      <c r="DV401" s="38"/>
      <c r="DW401" s="38"/>
      <c r="DX401" s="38"/>
      <c r="DY401" s="38"/>
      <c r="DZ401" s="38"/>
      <c r="EA401" s="38"/>
      <c r="EB401" s="38"/>
      <c r="EC401" s="38"/>
      <c r="ED401" s="38"/>
      <c r="EE401" s="38"/>
      <c r="EF401" s="38"/>
      <c r="EG401" s="38"/>
      <c r="EH401" s="38"/>
      <c r="EI401" s="38"/>
      <c r="EJ401" s="38"/>
      <c r="EK401" s="38"/>
      <c r="EL401" s="38"/>
      <c r="EM401" s="38"/>
      <c r="EN401" s="38"/>
      <c r="EO401" s="38"/>
      <c r="EP401" s="38"/>
      <c r="EQ401" s="38"/>
      <c r="ER401" s="38"/>
      <c r="ES401" s="25"/>
      <c r="ET401" s="25"/>
      <c r="EU401" s="24"/>
    </row>
    <row r="403" spans="1:151" s="39" customFormat="1" x14ac:dyDescent="0.35">
      <c r="A403" s="22"/>
      <c r="B403" s="23"/>
      <c r="C403" s="25"/>
      <c r="D403" s="25"/>
      <c r="E403" s="24"/>
      <c r="F403" s="24"/>
      <c r="G403" s="24"/>
      <c r="H403" s="24"/>
      <c r="I403" s="24"/>
      <c r="J403" s="24"/>
      <c r="K403" s="26"/>
      <c r="L403" s="116"/>
      <c r="M403" s="25"/>
      <c r="CM403" s="38"/>
      <c r="CN403" s="38"/>
      <c r="CO403" s="38"/>
      <c r="CP403" s="38"/>
      <c r="CQ403" s="38"/>
      <c r="CR403" s="38"/>
      <c r="CS403" s="38"/>
      <c r="CT403" s="38"/>
      <c r="CU403" s="38"/>
      <c r="CV403" s="38"/>
      <c r="CW403" s="38"/>
      <c r="CX403" s="38"/>
      <c r="CY403" s="38"/>
      <c r="CZ403" s="38"/>
      <c r="DA403" s="38"/>
      <c r="DB403" s="38"/>
      <c r="DC403" s="38"/>
      <c r="DD403" s="38"/>
      <c r="DE403" s="38"/>
      <c r="DF403" s="38"/>
      <c r="DG403" s="38"/>
      <c r="DH403" s="38"/>
      <c r="DI403" s="38"/>
      <c r="DJ403" s="38"/>
      <c r="DK403" s="38"/>
      <c r="DL403" s="38"/>
      <c r="DM403" s="38"/>
      <c r="DN403" s="38"/>
      <c r="DO403" s="38"/>
      <c r="DP403" s="38"/>
      <c r="DQ403" s="38"/>
      <c r="DR403" s="38"/>
      <c r="DS403" s="38"/>
      <c r="DT403" s="38"/>
      <c r="DU403" s="38"/>
      <c r="DV403" s="38"/>
      <c r="DW403" s="38"/>
      <c r="DX403" s="38"/>
      <c r="DY403" s="38"/>
      <c r="DZ403" s="38"/>
      <c r="EA403" s="38"/>
      <c r="EB403" s="38"/>
      <c r="EC403" s="38"/>
      <c r="ED403" s="38"/>
      <c r="EE403" s="38"/>
      <c r="EF403" s="38"/>
      <c r="EG403" s="38"/>
      <c r="EH403" s="38"/>
      <c r="EI403" s="38"/>
      <c r="EJ403" s="38"/>
      <c r="EK403" s="38"/>
      <c r="EL403" s="38"/>
      <c r="EM403" s="38"/>
      <c r="EN403" s="38"/>
      <c r="EO403" s="38"/>
      <c r="EP403" s="38"/>
      <c r="EQ403" s="38"/>
      <c r="ER403" s="38"/>
      <c r="ES403" s="25"/>
      <c r="ET403" s="25"/>
      <c r="EU403" s="24"/>
    </row>
    <row r="405" spans="1:151" s="39" customFormat="1" x14ac:dyDescent="0.35">
      <c r="A405" s="22"/>
      <c r="B405" s="23"/>
      <c r="C405" s="25"/>
      <c r="D405" s="25"/>
      <c r="E405" s="24"/>
      <c r="F405" s="24"/>
      <c r="G405" s="24"/>
      <c r="H405" s="24"/>
      <c r="I405" s="24"/>
      <c r="J405" s="24"/>
      <c r="K405" s="26"/>
      <c r="L405" s="116"/>
      <c r="M405" s="25"/>
      <c r="CM405" s="38"/>
      <c r="CN405" s="38"/>
      <c r="CO405" s="38"/>
      <c r="CP405" s="38"/>
      <c r="CQ405" s="38"/>
      <c r="CR405" s="38"/>
      <c r="CS405" s="38"/>
      <c r="CT405" s="38"/>
      <c r="CU405" s="38"/>
      <c r="CV405" s="38"/>
      <c r="CW405" s="38"/>
      <c r="CX405" s="38"/>
      <c r="CY405" s="38"/>
      <c r="CZ405" s="38"/>
      <c r="DA405" s="38"/>
      <c r="DB405" s="38"/>
      <c r="DC405" s="38"/>
      <c r="DD405" s="38"/>
      <c r="DE405" s="38"/>
      <c r="DF405" s="38"/>
      <c r="DG405" s="38"/>
      <c r="DH405" s="38"/>
      <c r="DI405" s="38"/>
      <c r="DJ405" s="38"/>
      <c r="DK405" s="38"/>
      <c r="DL405" s="38"/>
      <c r="DM405" s="38"/>
      <c r="DN405" s="38"/>
      <c r="DO405" s="38"/>
      <c r="DP405" s="38"/>
      <c r="DQ405" s="38"/>
      <c r="DR405" s="38"/>
      <c r="DS405" s="38"/>
      <c r="DT405" s="38"/>
      <c r="DU405" s="38"/>
      <c r="DV405" s="38"/>
      <c r="DW405" s="38"/>
      <c r="DX405" s="38"/>
      <c r="DY405" s="38"/>
      <c r="DZ405" s="38"/>
      <c r="EA405" s="38"/>
      <c r="EB405" s="38"/>
      <c r="EC405" s="38"/>
      <c r="ED405" s="38"/>
      <c r="EE405" s="38"/>
      <c r="EF405" s="38"/>
      <c r="EG405" s="38"/>
      <c r="EH405" s="38"/>
      <c r="EI405" s="38"/>
      <c r="EJ405" s="38"/>
      <c r="EK405" s="38"/>
      <c r="EL405" s="38"/>
      <c r="EM405" s="38"/>
      <c r="EN405" s="38"/>
      <c r="EO405" s="38"/>
      <c r="EP405" s="38"/>
      <c r="EQ405" s="38"/>
      <c r="ER405" s="38"/>
      <c r="ES405" s="25"/>
      <c r="ET405" s="25"/>
      <c r="EU405" s="24"/>
    </row>
    <row r="407" spans="1:151" s="39" customFormat="1" x14ac:dyDescent="0.35">
      <c r="A407" s="22"/>
      <c r="B407" s="23"/>
      <c r="C407" s="25"/>
      <c r="D407" s="25"/>
      <c r="E407" s="24"/>
      <c r="F407" s="24"/>
      <c r="G407" s="24"/>
      <c r="H407" s="24"/>
      <c r="I407" s="24"/>
      <c r="J407" s="24"/>
      <c r="K407" s="26"/>
      <c r="L407" s="116"/>
      <c r="M407" s="25"/>
      <c r="CM407" s="38"/>
      <c r="CN407" s="38"/>
      <c r="CO407" s="38"/>
      <c r="CP407" s="38"/>
      <c r="CQ407" s="38"/>
      <c r="CR407" s="38"/>
      <c r="CS407" s="38"/>
      <c r="CT407" s="38"/>
      <c r="CU407" s="38"/>
      <c r="CV407" s="38"/>
      <c r="CW407" s="38"/>
      <c r="CX407" s="38"/>
      <c r="CY407" s="38"/>
      <c r="CZ407" s="38"/>
      <c r="DA407" s="38"/>
      <c r="DB407" s="38"/>
      <c r="DC407" s="38"/>
      <c r="DD407" s="38"/>
      <c r="DE407" s="38"/>
      <c r="DF407" s="38"/>
      <c r="DG407" s="38"/>
      <c r="DH407" s="38"/>
      <c r="DI407" s="38"/>
      <c r="DJ407" s="38"/>
      <c r="DK407" s="38"/>
      <c r="DL407" s="38"/>
      <c r="DM407" s="38"/>
      <c r="DN407" s="38"/>
      <c r="DO407" s="38"/>
      <c r="DP407" s="38"/>
      <c r="DQ407" s="38"/>
      <c r="DR407" s="38"/>
      <c r="DS407" s="38"/>
      <c r="DT407" s="38"/>
      <c r="DU407" s="38"/>
      <c r="DV407" s="38"/>
      <c r="DW407" s="38"/>
      <c r="DX407" s="38"/>
      <c r="DY407" s="38"/>
      <c r="DZ407" s="38"/>
      <c r="EA407" s="38"/>
      <c r="EB407" s="38"/>
      <c r="EC407" s="38"/>
      <c r="ED407" s="38"/>
      <c r="EE407" s="38"/>
      <c r="EF407" s="38"/>
      <c r="EG407" s="38"/>
      <c r="EH407" s="38"/>
      <c r="EI407" s="38"/>
      <c r="EJ407" s="38"/>
      <c r="EK407" s="38"/>
      <c r="EL407" s="38"/>
      <c r="EM407" s="38"/>
      <c r="EN407" s="38"/>
      <c r="EO407" s="38"/>
      <c r="EP407" s="38"/>
      <c r="EQ407" s="38"/>
      <c r="ER407" s="38"/>
      <c r="ES407" s="25"/>
      <c r="ET407" s="25"/>
      <c r="EU407" s="24"/>
    </row>
    <row r="409" spans="1:151" s="39" customFormat="1" x14ac:dyDescent="0.35">
      <c r="A409" s="22"/>
      <c r="B409" s="23"/>
      <c r="C409" s="25"/>
      <c r="D409" s="25"/>
      <c r="E409" s="24"/>
      <c r="F409" s="24"/>
      <c r="G409" s="24"/>
      <c r="H409" s="24"/>
      <c r="I409" s="24"/>
      <c r="J409" s="24"/>
      <c r="K409" s="26"/>
      <c r="L409" s="116"/>
      <c r="M409" s="25"/>
      <c r="CM409" s="38"/>
      <c r="CN409" s="38"/>
      <c r="CO409" s="38"/>
      <c r="CP409" s="38"/>
      <c r="CQ409" s="38"/>
      <c r="CR409" s="38"/>
      <c r="CS409" s="38"/>
      <c r="CT409" s="38"/>
      <c r="CU409" s="38"/>
      <c r="CV409" s="38"/>
      <c r="CW409" s="38"/>
      <c r="CX409" s="38"/>
      <c r="CY409" s="38"/>
      <c r="CZ409" s="38"/>
      <c r="DA409" s="38"/>
      <c r="DB409" s="38"/>
      <c r="DC409" s="38"/>
      <c r="DD409" s="38"/>
      <c r="DE409" s="38"/>
      <c r="DF409" s="38"/>
      <c r="DG409" s="38"/>
      <c r="DH409" s="38"/>
      <c r="DI409" s="38"/>
      <c r="DJ409" s="38"/>
      <c r="DK409" s="38"/>
      <c r="DL409" s="38"/>
      <c r="DM409" s="38"/>
      <c r="DN409" s="38"/>
      <c r="DO409" s="38"/>
      <c r="DP409" s="38"/>
      <c r="DQ409" s="38"/>
      <c r="DR409" s="38"/>
      <c r="DS409" s="38"/>
      <c r="DT409" s="38"/>
      <c r="DU409" s="38"/>
      <c r="DV409" s="38"/>
      <c r="DW409" s="38"/>
      <c r="DX409" s="38"/>
      <c r="DY409" s="38"/>
      <c r="DZ409" s="38"/>
      <c r="EA409" s="38"/>
      <c r="EB409" s="38"/>
      <c r="EC409" s="38"/>
      <c r="ED409" s="38"/>
      <c r="EE409" s="38"/>
      <c r="EF409" s="38"/>
      <c r="EG409" s="38"/>
      <c r="EH409" s="38"/>
      <c r="EI409" s="38"/>
      <c r="EJ409" s="38"/>
      <c r="EK409" s="38"/>
      <c r="EL409" s="38"/>
      <c r="EM409" s="38"/>
      <c r="EN409" s="38"/>
      <c r="EO409" s="38"/>
      <c r="EP409" s="38"/>
      <c r="EQ409" s="38"/>
      <c r="ER409" s="38"/>
      <c r="ES409" s="25"/>
      <c r="ET409" s="25"/>
      <c r="EU409" s="24"/>
    </row>
    <row r="411" spans="1:151" s="39" customFormat="1" x14ac:dyDescent="0.35">
      <c r="A411" s="22"/>
      <c r="B411" s="23"/>
      <c r="C411" s="25"/>
      <c r="D411" s="25"/>
      <c r="E411" s="24"/>
      <c r="F411" s="24"/>
      <c r="G411" s="24"/>
      <c r="H411" s="24"/>
      <c r="I411" s="24"/>
      <c r="J411" s="24"/>
      <c r="K411" s="26"/>
      <c r="L411" s="116"/>
      <c r="M411" s="25"/>
      <c r="CM411" s="38"/>
      <c r="CN411" s="38"/>
      <c r="CO411" s="38"/>
      <c r="CP411" s="38"/>
      <c r="CQ411" s="38"/>
      <c r="CR411" s="38"/>
      <c r="CS411" s="38"/>
      <c r="CT411" s="38"/>
      <c r="CU411" s="38"/>
      <c r="CV411" s="38"/>
      <c r="CW411" s="38"/>
      <c r="CX411" s="38"/>
      <c r="CY411" s="38"/>
      <c r="CZ411" s="38"/>
      <c r="DA411" s="38"/>
      <c r="DB411" s="38"/>
      <c r="DC411" s="38"/>
      <c r="DD411" s="38"/>
      <c r="DE411" s="38"/>
      <c r="DF411" s="38"/>
      <c r="DG411" s="38"/>
      <c r="DH411" s="38"/>
      <c r="DI411" s="38"/>
      <c r="DJ411" s="38"/>
      <c r="DK411" s="38"/>
      <c r="DL411" s="38"/>
      <c r="DM411" s="38"/>
      <c r="DN411" s="38"/>
      <c r="DO411" s="38"/>
      <c r="DP411" s="38"/>
      <c r="DQ411" s="38"/>
      <c r="DR411" s="38"/>
      <c r="DS411" s="38"/>
      <c r="DT411" s="38"/>
      <c r="DU411" s="38"/>
      <c r="DV411" s="38"/>
      <c r="DW411" s="38"/>
      <c r="DX411" s="38"/>
      <c r="DY411" s="38"/>
      <c r="DZ411" s="38"/>
      <c r="EA411" s="38"/>
      <c r="EB411" s="38"/>
      <c r="EC411" s="38"/>
      <c r="ED411" s="38"/>
      <c r="EE411" s="38"/>
      <c r="EF411" s="38"/>
      <c r="EG411" s="38"/>
      <c r="EH411" s="38"/>
      <c r="EI411" s="38"/>
      <c r="EJ411" s="38"/>
      <c r="EK411" s="38"/>
      <c r="EL411" s="38"/>
      <c r="EM411" s="38"/>
      <c r="EN411" s="38"/>
      <c r="EO411" s="38"/>
      <c r="EP411" s="38"/>
      <c r="EQ411" s="38"/>
      <c r="ER411" s="38"/>
      <c r="ES411" s="25"/>
      <c r="ET411" s="25"/>
      <c r="EU411" s="24"/>
    </row>
    <row r="413" spans="1:151" s="39" customFormat="1" x14ac:dyDescent="0.35">
      <c r="A413" s="22"/>
      <c r="B413" s="23"/>
      <c r="C413" s="25"/>
      <c r="D413" s="25"/>
      <c r="E413" s="24"/>
      <c r="F413" s="24"/>
      <c r="G413" s="24"/>
      <c r="H413" s="24"/>
      <c r="I413" s="24"/>
      <c r="J413" s="24"/>
      <c r="K413" s="26"/>
      <c r="L413" s="116"/>
      <c r="M413" s="25"/>
      <c r="CM413" s="38"/>
      <c r="CN413" s="38"/>
      <c r="CO413" s="38"/>
      <c r="CP413" s="38"/>
      <c r="CQ413" s="38"/>
      <c r="CR413" s="38"/>
      <c r="CS413" s="38"/>
      <c r="CT413" s="38"/>
      <c r="CU413" s="38"/>
      <c r="CV413" s="38"/>
      <c r="CW413" s="38"/>
      <c r="CX413" s="38"/>
      <c r="CY413" s="38"/>
      <c r="CZ413" s="38"/>
      <c r="DA413" s="38"/>
      <c r="DB413" s="38"/>
      <c r="DC413" s="38"/>
      <c r="DD413" s="38"/>
      <c r="DE413" s="38"/>
      <c r="DF413" s="38"/>
      <c r="DG413" s="38"/>
      <c r="DH413" s="38"/>
      <c r="DI413" s="38"/>
      <c r="DJ413" s="38"/>
      <c r="DK413" s="38"/>
      <c r="DL413" s="38"/>
      <c r="DM413" s="38"/>
      <c r="DN413" s="38"/>
      <c r="DO413" s="38"/>
      <c r="DP413" s="38"/>
      <c r="DQ413" s="38"/>
      <c r="DR413" s="38"/>
      <c r="DS413" s="38"/>
      <c r="DT413" s="38"/>
      <c r="DU413" s="38"/>
      <c r="DV413" s="38"/>
      <c r="DW413" s="38"/>
      <c r="DX413" s="38"/>
      <c r="DY413" s="38"/>
      <c r="DZ413" s="38"/>
      <c r="EA413" s="38"/>
      <c r="EB413" s="38"/>
      <c r="EC413" s="38"/>
      <c r="ED413" s="38"/>
      <c r="EE413" s="38"/>
      <c r="EF413" s="38"/>
      <c r="EG413" s="38"/>
      <c r="EH413" s="38"/>
      <c r="EI413" s="38"/>
      <c r="EJ413" s="38"/>
      <c r="EK413" s="38"/>
      <c r="EL413" s="38"/>
      <c r="EM413" s="38"/>
      <c r="EN413" s="38"/>
      <c r="EO413" s="38"/>
      <c r="EP413" s="38"/>
      <c r="EQ413" s="38"/>
      <c r="ER413" s="38"/>
      <c r="ES413" s="25"/>
      <c r="ET413" s="25"/>
      <c r="EU413" s="24"/>
    </row>
    <row r="415" spans="1:151" s="39" customFormat="1" x14ac:dyDescent="0.35">
      <c r="A415" s="22"/>
      <c r="B415" s="23"/>
      <c r="C415" s="25"/>
      <c r="D415" s="25"/>
      <c r="E415" s="24"/>
      <c r="F415" s="24"/>
      <c r="G415" s="24"/>
      <c r="H415" s="24"/>
      <c r="I415" s="24"/>
      <c r="J415" s="24"/>
      <c r="K415" s="26"/>
      <c r="L415" s="116"/>
      <c r="M415" s="25"/>
      <c r="CM415" s="38"/>
      <c r="CN415" s="38"/>
      <c r="CO415" s="38"/>
      <c r="CP415" s="38"/>
      <c r="CQ415" s="38"/>
      <c r="CR415" s="38"/>
      <c r="CS415" s="38"/>
      <c r="CT415" s="38"/>
      <c r="CU415" s="38"/>
      <c r="CV415" s="38"/>
      <c r="CW415" s="38"/>
      <c r="CX415" s="38"/>
      <c r="CY415" s="38"/>
      <c r="CZ415" s="38"/>
      <c r="DA415" s="38"/>
      <c r="DB415" s="38"/>
      <c r="DC415" s="38"/>
      <c r="DD415" s="38"/>
      <c r="DE415" s="38"/>
      <c r="DF415" s="38"/>
      <c r="DG415" s="38"/>
      <c r="DH415" s="38"/>
      <c r="DI415" s="38"/>
      <c r="DJ415" s="38"/>
      <c r="DK415" s="38"/>
      <c r="DL415" s="38"/>
      <c r="DM415" s="38"/>
      <c r="DN415" s="38"/>
      <c r="DO415" s="38"/>
      <c r="DP415" s="38"/>
      <c r="DQ415" s="38"/>
      <c r="DR415" s="38"/>
      <c r="DS415" s="38"/>
      <c r="DT415" s="38"/>
      <c r="DU415" s="38"/>
      <c r="DV415" s="38"/>
      <c r="DW415" s="38"/>
      <c r="DX415" s="38"/>
      <c r="DY415" s="38"/>
      <c r="DZ415" s="38"/>
      <c r="EA415" s="38"/>
      <c r="EB415" s="38"/>
      <c r="EC415" s="38"/>
      <c r="ED415" s="38"/>
      <c r="EE415" s="38"/>
      <c r="EF415" s="38"/>
      <c r="EG415" s="38"/>
      <c r="EH415" s="38"/>
      <c r="EI415" s="38"/>
      <c r="EJ415" s="38"/>
      <c r="EK415" s="38"/>
      <c r="EL415" s="38"/>
      <c r="EM415" s="38"/>
      <c r="EN415" s="38"/>
      <c r="EO415" s="38"/>
      <c r="EP415" s="38"/>
      <c r="EQ415" s="38"/>
      <c r="ER415" s="38"/>
      <c r="ES415" s="25"/>
      <c r="ET415" s="25"/>
      <c r="EU415" s="24"/>
    </row>
    <row r="417" spans="1:151" s="39" customFormat="1" x14ac:dyDescent="0.35">
      <c r="A417" s="22"/>
      <c r="B417" s="23"/>
      <c r="C417" s="25"/>
      <c r="D417" s="25"/>
      <c r="E417" s="24"/>
      <c r="F417" s="24"/>
      <c r="G417" s="24"/>
      <c r="H417" s="24"/>
      <c r="I417" s="24"/>
      <c r="J417" s="24"/>
      <c r="K417" s="26"/>
      <c r="L417" s="116"/>
      <c r="M417" s="25"/>
      <c r="CM417" s="38"/>
      <c r="CN417" s="38"/>
      <c r="CO417" s="38"/>
      <c r="CP417" s="38"/>
      <c r="CQ417" s="38"/>
      <c r="CR417" s="38"/>
      <c r="CS417" s="38"/>
      <c r="CT417" s="38"/>
      <c r="CU417" s="38"/>
      <c r="CV417" s="38"/>
      <c r="CW417" s="38"/>
      <c r="CX417" s="38"/>
      <c r="CY417" s="38"/>
      <c r="CZ417" s="38"/>
      <c r="DA417" s="38"/>
      <c r="DB417" s="38"/>
      <c r="DC417" s="38"/>
      <c r="DD417" s="38"/>
      <c r="DE417" s="38"/>
      <c r="DF417" s="38"/>
      <c r="DG417" s="38"/>
      <c r="DH417" s="38"/>
      <c r="DI417" s="38"/>
      <c r="DJ417" s="38"/>
      <c r="DK417" s="38"/>
      <c r="DL417" s="38"/>
      <c r="DM417" s="38"/>
      <c r="DN417" s="38"/>
      <c r="DO417" s="38"/>
      <c r="DP417" s="38"/>
      <c r="DQ417" s="38"/>
      <c r="DR417" s="38"/>
      <c r="DS417" s="38"/>
      <c r="DT417" s="38"/>
      <c r="DU417" s="38"/>
      <c r="DV417" s="38"/>
      <c r="DW417" s="38"/>
      <c r="DX417" s="38"/>
      <c r="DY417" s="38"/>
      <c r="DZ417" s="38"/>
      <c r="EA417" s="38"/>
      <c r="EB417" s="38"/>
      <c r="EC417" s="38"/>
      <c r="ED417" s="38"/>
      <c r="EE417" s="38"/>
      <c r="EF417" s="38"/>
      <c r="EG417" s="38"/>
      <c r="EH417" s="38"/>
      <c r="EI417" s="38"/>
      <c r="EJ417" s="38"/>
      <c r="EK417" s="38"/>
      <c r="EL417" s="38"/>
      <c r="EM417" s="38"/>
      <c r="EN417" s="38"/>
      <c r="EO417" s="38"/>
      <c r="EP417" s="38"/>
      <c r="EQ417" s="38"/>
      <c r="ER417" s="38"/>
      <c r="ES417" s="25"/>
      <c r="ET417" s="25"/>
      <c r="EU417" s="24"/>
    </row>
    <row r="419" spans="1:151" s="39" customFormat="1" x14ac:dyDescent="0.35">
      <c r="A419" s="22"/>
      <c r="B419" s="23"/>
      <c r="C419" s="25"/>
      <c r="D419" s="25"/>
      <c r="E419" s="24"/>
      <c r="F419" s="24"/>
      <c r="G419" s="24"/>
      <c r="H419" s="24"/>
      <c r="I419" s="24"/>
      <c r="J419" s="24"/>
      <c r="K419" s="26"/>
      <c r="L419" s="116"/>
      <c r="M419" s="25"/>
      <c r="CM419" s="38"/>
      <c r="CN419" s="38"/>
      <c r="CO419" s="38"/>
      <c r="CP419" s="38"/>
      <c r="CQ419" s="38"/>
      <c r="CR419" s="38"/>
      <c r="CS419" s="38"/>
      <c r="CT419" s="38"/>
      <c r="CU419" s="38"/>
      <c r="CV419" s="38"/>
      <c r="CW419" s="38"/>
      <c r="CX419" s="38"/>
      <c r="CY419" s="38"/>
      <c r="CZ419" s="38"/>
      <c r="DA419" s="38"/>
      <c r="DB419" s="38"/>
      <c r="DC419" s="38"/>
      <c r="DD419" s="38"/>
      <c r="DE419" s="38"/>
      <c r="DF419" s="38"/>
      <c r="DG419" s="38"/>
      <c r="DH419" s="38"/>
      <c r="DI419" s="38"/>
      <c r="DJ419" s="38"/>
      <c r="DK419" s="38"/>
      <c r="DL419" s="38"/>
      <c r="DM419" s="38"/>
      <c r="DN419" s="38"/>
      <c r="DO419" s="38"/>
      <c r="DP419" s="38"/>
      <c r="DQ419" s="38"/>
      <c r="DR419" s="38"/>
      <c r="DS419" s="38"/>
      <c r="DT419" s="38"/>
      <c r="DU419" s="38"/>
      <c r="DV419" s="38"/>
      <c r="DW419" s="38"/>
      <c r="DX419" s="38"/>
      <c r="DY419" s="38"/>
      <c r="DZ419" s="38"/>
      <c r="EA419" s="38"/>
      <c r="EB419" s="38"/>
      <c r="EC419" s="38"/>
      <c r="ED419" s="38"/>
      <c r="EE419" s="38"/>
      <c r="EF419" s="38"/>
      <c r="EG419" s="38"/>
      <c r="EH419" s="38"/>
      <c r="EI419" s="38"/>
      <c r="EJ419" s="38"/>
      <c r="EK419" s="38"/>
      <c r="EL419" s="38"/>
      <c r="EM419" s="38"/>
      <c r="EN419" s="38"/>
      <c r="EO419" s="38"/>
      <c r="EP419" s="38"/>
      <c r="EQ419" s="38"/>
      <c r="ER419" s="38"/>
      <c r="ES419" s="25"/>
      <c r="ET419" s="25"/>
      <c r="EU419" s="24"/>
    </row>
    <row r="421" spans="1:151" s="39" customFormat="1" x14ac:dyDescent="0.35">
      <c r="A421" s="22"/>
      <c r="B421" s="23"/>
      <c r="C421" s="25"/>
      <c r="D421" s="25"/>
      <c r="E421" s="24"/>
      <c r="F421" s="24"/>
      <c r="G421" s="24"/>
      <c r="H421" s="24"/>
      <c r="I421" s="24"/>
      <c r="J421" s="24"/>
      <c r="K421" s="26"/>
      <c r="L421" s="116"/>
      <c r="M421" s="25"/>
      <c r="CM421" s="38"/>
      <c r="CN421" s="38"/>
      <c r="CO421" s="38"/>
      <c r="CP421" s="38"/>
      <c r="CQ421" s="38"/>
      <c r="CR421" s="38"/>
      <c r="CS421" s="38"/>
      <c r="CT421" s="38"/>
      <c r="CU421" s="38"/>
      <c r="CV421" s="38"/>
      <c r="CW421" s="38"/>
      <c r="CX421" s="38"/>
      <c r="CY421" s="38"/>
      <c r="CZ421" s="38"/>
      <c r="DA421" s="38"/>
      <c r="DB421" s="38"/>
      <c r="DC421" s="38"/>
      <c r="DD421" s="38"/>
      <c r="DE421" s="38"/>
      <c r="DF421" s="38"/>
      <c r="DG421" s="38"/>
      <c r="DH421" s="38"/>
      <c r="DI421" s="38"/>
      <c r="DJ421" s="38"/>
      <c r="DK421" s="38"/>
      <c r="DL421" s="38"/>
      <c r="DM421" s="38"/>
      <c r="DN421" s="38"/>
      <c r="DO421" s="38"/>
      <c r="DP421" s="38"/>
      <c r="DQ421" s="38"/>
      <c r="DR421" s="38"/>
      <c r="DS421" s="38"/>
      <c r="DT421" s="38"/>
      <c r="DU421" s="38"/>
      <c r="DV421" s="38"/>
      <c r="DW421" s="38"/>
      <c r="DX421" s="38"/>
      <c r="DY421" s="38"/>
      <c r="DZ421" s="38"/>
      <c r="EA421" s="38"/>
      <c r="EB421" s="38"/>
      <c r="EC421" s="38"/>
      <c r="ED421" s="38"/>
      <c r="EE421" s="38"/>
      <c r="EF421" s="38"/>
      <c r="EG421" s="38"/>
      <c r="EH421" s="38"/>
      <c r="EI421" s="38"/>
      <c r="EJ421" s="38"/>
      <c r="EK421" s="38"/>
      <c r="EL421" s="38"/>
      <c r="EM421" s="38"/>
      <c r="EN421" s="38"/>
      <c r="EO421" s="38"/>
      <c r="EP421" s="38"/>
      <c r="EQ421" s="38"/>
      <c r="ER421" s="38"/>
      <c r="ES421" s="25"/>
      <c r="ET421" s="25"/>
      <c r="EU421" s="24"/>
    </row>
    <row r="423" spans="1:151" s="39" customFormat="1" x14ac:dyDescent="0.35">
      <c r="A423" s="22"/>
      <c r="B423" s="23"/>
      <c r="C423" s="25"/>
      <c r="D423" s="25"/>
      <c r="E423" s="24"/>
      <c r="F423" s="24"/>
      <c r="G423" s="24"/>
      <c r="H423" s="24"/>
      <c r="I423" s="24"/>
      <c r="J423" s="24"/>
      <c r="K423" s="26"/>
      <c r="L423" s="116"/>
      <c r="M423" s="25"/>
      <c r="CM423" s="38"/>
      <c r="CN423" s="38"/>
      <c r="CO423" s="38"/>
      <c r="CP423" s="38"/>
      <c r="CQ423" s="38"/>
      <c r="CR423" s="38"/>
      <c r="CS423" s="38"/>
      <c r="CT423" s="38"/>
      <c r="CU423" s="38"/>
      <c r="CV423" s="38"/>
      <c r="CW423" s="38"/>
      <c r="CX423" s="38"/>
      <c r="CY423" s="38"/>
      <c r="CZ423" s="38"/>
      <c r="DA423" s="38"/>
      <c r="DB423" s="38"/>
      <c r="DC423" s="38"/>
      <c r="DD423" s="38"/>
      <c r="DE423" s="38"/>
      <c r="DF423" s="38"/>
      <c r="DG423" s="38"/>
      <c r="DH423" s="38"/>
      <c r="DI423" s="38"/>
      <c r="DJ423" s="38"/>
      <c r="DK423" s="38"/>
      <c r="DL423" s="38"/>
      <c r="DM423" s="38"/>
      <c r="DN423" s="38"/>
      <c r="DO423" s="38"/>
      <c r="DP423" s="38"/>
      <c r="DQ423" s="38"/>
      <c r="DR423" s="38"/>
      <c r="DS423" s="38"/>
      <c r="DT423" s="38"/>
      <c r="DU423" s="38"/>
      <c r="DV423" s="38"/>
      <c r="DW423" s="38"/>
      <c r="DX423" s="38"/>
      <c r="DY423" s="38"/>
      <c r="DZ423" s="38"/>
      <c r="EA423" s="38"/>
      <c r="EB423" s="38"/>
      <c r="EC423" s="38"/>
      <c r="ED423" s="38"/>
      <c r="EE423" s="38"/>
      <c r="EF423" s="38"/>
      <c r="EG423" s="38"/>
      <c r="EH423" s="38"/>
      <c r="EI423" s="38"/>
      <c r="EJ423" s="38"/>
      <c r="EK423" s="38"/>
      <c r="EL423" s="38"/>
      <c r="EM423" s="38"/>
      <c r="EN423" s="38"/>
      <c r="EO423" s="38"/>
      <c r="EP423" s="38"/>
      <c r="EQ423" s="38"/>
      <c r="ER423" s="38"/>
      <c r="ES423" s="25"/>
      <c r="ET423" s="25"/>
      <c r="EU423" s="24"/>
    </row>
    <row r="425" spans="1:151" s="39" customFormat="1" x14ac:dyDescent="0.35">
      <c r="A425" s="22"/>
      <c r="B425" s="23"/>
      <c r="C425" s="25"/>
      <c r="D425" s="25"/>
      <c r="E425" s="24"/>
      <c r="F425" s="24"/>
      <c r="G425" s="24"/>
      <c r="H425" s="24"/>
      <c r="I425" s="24"/>
      <c r="J425" s="24"/>
      <c r="K425" s="26"/>
      <c r="L425" s="116"/>
      <c r="M425" s="25"/>
      <c r="CM425" s="38"/>
      <c r="CN425" s="38"/>
      <c r="CO425" s="38"/>
      <c r="CP425" s="38"/>
      <c r="CQ425" s="38"/>
      <c r="CR425" s="38"/>
      <c r="CS425" s="38"/>
      <c r="CT425" s="38"/>
      <c r="CU425" s="38"/>
      <c r="CV425" s="38"/>
      <c r="CW425" s="38"/>
      <c r="CX425" s="38"/>
      <c r="CY425" s="38"/>
      <c r="CZ425" s="38"/>
      <c r="DA425" s="38"/>
      <c r="DB425" s="38"/>
      <c r="DC425" s="38"/>
      <c r="DD425" s="38"/>
      <c r="DE425" s="38"/>
      <c r="DF425" s="38"/>
      <c r="DG425" s="38"/>
      <c r="DH425" s="38"/>
      <c r="DI425" s="38"/>
      <c r="DJ425" s="38"/>
      <c r="DK425" s="38"/>
      <c r="DL425" s="38"/>
      <c r="DM425" s="38"/>
      <c r="DN425" s="38"/>
      <c r="DO425" s="38"/>
      <c r="DP425" s="38"/>
      <c r="DQ425" s="38"/>
      <c r="DR425" s="38"/>
      <c r="DS425" s="38"/>
      <c r="DT425" s="38"/>
      <c r="DU425" s="38"/>
      <c r="DV425" s="38"/>
      <c r="DW425" s="38"/>
      <c r="DX425" s="38"/>
      <c r="DY425" s="38"/>
      <c r="DZ425" s="38"/>
      <c r="EA425" s="38"/>
      <c r="EB425" s="38"/>
      <c r="EC425" s="38"/>
      <c r="ED425" s="38"/>
      <c r="EE425" s="38"/>
      <c r="EF425" s="38"/>
      <c r="EG425" s="38"/>
      <c r="EH425" s="38"/>
      <c r="EI425" s="38"/>
      <c r="EJ425" s="38"/>
      <c r="EK425" s="38"/>
      <c r="EL425" s="38"/>
      <c r="EM425" s="38"/>
      <c r="EN425" s="38"/>
      <c r="EO425" s="38"/>
      <c r="EP425" s="38"/>
      <c r="EQ425" s="38"/>
      <c r="ER425" s="38"/>
      <c r="ES425" s="25"/>
      <c r="ET425" s="25"/>
      <c r="EU425" s="24"/>
    </row>
    <row r="427" spans="1:151" s="39" customFormat="1" x14ac:dyDescent="0.35">
      <c r="A427" s="22"/>
      <c r="B427" s="23"/>
      <c r="C427" s="25"/>
      <c r="D427" s="25"/>
      <c r="E427" s="24"/>
      <c r="F427" s="24"/>
      <c r="G427" s="24"/>
      <c r="H427" s="24"/>
      <c r="I427" s="24"/>
      <c r="J427" s="24"/>
      <c r="K427" s="26"/>
      <c r="L427" s="116"/>
      <c r="M427" s="25"/>
      <c r="CM427" s="38"/>
      <c r="CN427" s="38"/>
      <c r="CO427" s="38"/>
      <c r="CP427" s="38"/>
      <c r="CQ427" s="38"/>
      <c r="CR427" s="38"/>
      <c r="CS427" s="38"/>
      <c r="CT427" s="38"/>
      <c r="CU427" s="38"/>
      <c r="CV427" s="38"/>
      <c r="CW427" s="38"/>
      <c r="CX427" s="38"/>
      <c r="CY427" s="38"/>
      <c r="CZ427" s="38"/>
      <c r="DA427" s="38"/>
      <c r="DB427" s="38"/>
      <c r="DC427" s="38"/>
      <c r="DD427" s="38"/>
      <c r="DE427" s="38"/>
      <c r="DF427" s="38"/>
      <c r="DG427" s="38"/>
      <c r="DH427" s="38"/>
      <c r="DI427" s="38"/>
      <c r="DJ427" s="38"/>
      <c r="DK427" s="38"/>
      <c r="DL427" s="38"/>
      <c r="DM427" s="38"/>
      <c r="DN427" s="38"/>
      <c r="DO427" s="38"/>
      <c r="DP427" s="38"/>
      <c r="DQ427" s="38"/>
      <c r="DR427" s="38"/>
      <c r="DS427" s="38"/>
      <c r="DT427" s="38"/>
      <c r="DU427" s="38"/>
      <c r="DV427" s="38"/>
      <c r="DW427" s="38"/>
      <c r="DX427" s="38"/>
      <c r="DY427" s="38"/>
      <c r="DZ427" s="38"/>
      <c r="EA427" s="38"/>
      <c r="EB427" s="38"/>
      <c r="EC427" s="38"/>
      <c r="ED427" s="38"/>
      <c r="EE427" s="38"/>
      <c r="EF427" s="38"/>
      <c r="EG427" s="38"/>
      <c r="EH427" s="38"/>
      <c r="EI427" s="38"/>
      <c r="EJ427" s="38"/>
      <c r="EK427" s="38"/>
      <c r="EL427" s="38"/>
      <c r="EM427" s="38"/>
      <c r="EN427" s="38"/>
      <c r="EO427" s="38"/>
      <c r="EP427" s="38"/>
      <c r="EQ427" s="38"/>
      <c r="ER427" s="38"/>
      <c r="ES427" s="25"/>
      <c r="ET427" s="25"/>
      <c r="EU427" s="24"/>
    </row>
    <row r="429" spans="1:151" s="39" customFormat="1" x14ac:dyDescent="0.35">
      <c r="A429" s="22"/>
      <c r="B429" s="23"/>
      <c r="C429" s="25"/>
      <c r="D429" s="25"/>
      <c r="E429" s="24"/>
      <c r="F429" s="24"/>
      <c r="G429" s="24"/>
      <c r="H429" s="24"/>
      <c r="I429" s="24"/>
      <c r="J429" s="24"/>
      <c r="K429" s="26"/>
      <c r="L429" s="116"/>
      <c r="M429" s="25"/>
      <c r="CM429" s="38"/>
      <c r="CN429" s="38"/>
      <c r="CO429" s="38"/>
      <c r="CP429" s="38"/>
      <c r="CQ429" s="38"/>
      <c r="CR429" s="38"/>
      <c r="CS429" s="38"/>
      <c r="CT429" s="38"/>
      <c r="CU429" s="38"/>
      <c r="CV429" s="38"/>
      <c r="CW429" s="38"/>
      <c r="CX429" s="38"/>
      <c r="CY429" s="38"/>
      <c r="CZ429" s="38"/>
      <c r="DA429" s="38"/>
      <c r="DB429" s="38"/>
      <c r="DC429" s="38"/>
      <c r="DD429" s="38"/>
      <c r="DE429" s="38"/>
      <c r="DF429" s="38"/>
      <c r="DG429" s="38"/>
      <c r="DH429" s="38"/>
      <c r="DI429" s="38"/>
      <c r="DJ429" s="38"/>
      <c r="DK429" s="38"/>
      <c r="DL429" s="38"/>
      <c r="DM429" s="38"/>
      <c r="DN429" s="38"/>
      <c r="DO429" s="38"/>
      <c r="DP429" s="38"/>
      <c r="DQ429" s="38"/>
      <c r="DR429" s="38"/>
      <c r="DS429" s="38"/>
      <c r="DT429" s="38"/>
      <c r="DU429" s="38"/>
      <c r="DV429" s="38"/>
      <c r="DW429" s="38"/>
      <c r="DX429" s="38"/>
      <c r="DY429" s="38"/>
      <c r="DZ429" s="38"/>
      <c r="EA429" s="38"/>
      <c r="EB429" s="38"/>
      <c r="EC429" s="38"/>
      <c r="ED429" s="38"/>
      <c r="EE429" s="38"/>
      <c r="EF429" s="38"/>
      <c r="EG429" s="38"/>
      <c r="EH429" s="38"/>
      <c r="EI429" s="38"/>
      <c r="EJ429" s="38"/>
      <c r="EK429" s="38"/>
      <c r="EL429" s="38"/>
      <c r="EM429" s="38"/>
      <c r="EN429" s="38"/>
      <c r="EO429" s="38"/>
      <c r="EP429" s="38"/>
      <c r="EQ429" s="38"/>
      <c r="ER429" s="38"/>
      <c r="ES429" s="25"/>
      <c r="ET429" s="25"/>
      <c r="EU429" s="24"/>
    </row>
    <row r="431" spans="1:151" s="39" customFormat="1" x14ac:dyDescent="0.35">
      <c r="A431" s="22"/>
      <c r="B431" s="23"/>
      <c r="C431" s="25"/>
      <c r="D431" s="25"/>
      <c r="E431" s="24"/>
      <c r="F431" s="24"/>
      <c r="G431" s="24"/>
      <c r="H431" s="24"/>
      <c r="I431" s="24"/>
      <c r="J431" s="24"/>
      <c r="K431" s="26"/>
      <c r="L431" s="116"/>
      <c r="M431" s="25"/>
      <c r="CM431" s="38"/>
      <c r="CN431" s="38"/>
      <c r="CO431" s="38"/>
      <c r="CP431" s="38"/>
      <c r="CQ431" s="38"/>
      <c r="CR431" s="38"/>
      <c r="CS431" s="38"/>
      <c r="CT431" s="38"/>
      <c r="CU431" s="38"/>
      <c r="CV431" s="38"/>
      <c r="CW431" s="38"/>
      <c r="CX431" s="38"/>
      <c r="CY431" s="38"/>
      <c r="CZ431" s="38"/>
      <c r="DA431" s="38"/>
      <c r="DB431" s="38"/>
      <c r="DC431" s="38"/>
      <c r="DD431" s="38"/>
      <c r="DE431" s="38"/>
      <c r="DF431" s="38"/>
      <c r="DG431" s="38"/>
      <c r="DH431" s="38"/>
      <c r="DI431" s="38"/>
      <c r="DJ431" s="38"/>
      <c r="DK431" s="38"/>
      <c r="DL431" s="38"/>
      <c r="DM431" s="38"/>
      <c r="DN431" s="38"/>
      <c r="DO431" s="38"/>
      <c r="DP431" s="38"/>
      <c r="DQ431" s="38"/>
      <c r="DR431" s="38"/>
      <c r="DS431" s="38"/>
      <c r="DT431" s="38"/>
      <c r="DU431" s="38"/>
      <c r="DV431" s="38"/>
      <c r="DW431" s="38"/>
      <c r="DX431" s="38"/>
      <c r="DY431" s="38"/>
      <c r="DZ431" s="38"/>
      <c r="EA431" s="38"/>
      <c r="EB431" s="38"/>
      <c r="EC431" s="38"/>
      <c r="ED431" s="38"/>
      <c r="EE431" s="38"/>
      <c r="EF431" s="38"/>
      <c r="EG431" s="38"/>
      <c r="EH431" s="38"/>
      <c r="EI431" s="38"/>
      <c r="EJ431" s="38"/>
      <c r="EK431" s="38"/>
      <c r="EL431" s="38"/>
      <c r="EM431" s="38"/>
      <c r="EN431" s="38"/>
      <c r="EO431" s="38"/>
      <c r="EP431" s="38"/>
      <c r="EQ431" s="38"/>
      <c r="ER431" s="38"/>
      <c r="ES431" s="25"/>
      <c r="ET431" s="25"/>
      <c r="EU431" s="24"/>
    </row>
    <row r="433" spans="1:151" s="39" customFormat="1" x14ac:dyDescent="0.35">
      <c r="A433" s="22"/>
      <c r="B433" s="23"/>
      <c r="C433" s="25"/>
      <c r="D433" s="25"/>
      <c r="E433" s="24"/>
      <c r="F433" s="24"/>
      <c r="G433" s="24"/>
      <c r="H433" s="24"/>
      <c r="I433" s="24"/>
      <c r="J433" s="24"/>
      <c r="K433" s="26"/>
      <c r="L433" s="116"/>
      <c r="M433" s="25"/>
      <c r="CM433" s="38"/>
      <c r="CN433" s="38"/>
      <c r="CO433" s="38"/>
      <c r="CP433" s="38"/>
      <c r="CQ433" s="38"/>
      <c r="CR433" s="38"/>
      <c r="CS433" s="38"/>
      <c r="CT433" s="38"/>
      <c r="CU433" s="38"/>
      <c r="CV433" s="38"/>
      <c r="CW433" s="38"/>
      <c r="CX433" s="38"/>
      <c r="CY433" s="38"/>
      <c r="CZ433" s="38"/>
      <c r="DA433" s="38"/>
      <c r="DB433" s="38"/>
      <c r="DC433" s="38"/>
      <c r="DD433" s="38"/>
      <c r="DE433" s="38"/>
      <c r="DF433" s="38"/>
      <c r="DG433" s="38"/>
      <c r="DH433" s="38"/>
      <c r="DI433" s="38"/>
      <c r="DJ433" s="38"/>
      <c r="DK433" s="38"/>
      <c r="DL433" s="38"/>
      <c r="DM433" s="38"/>
      <c r="DN433" s="38"/>
      <c r="DO433" s="38"/>
      <c r="DP433" s="38"/>
      <c r="DQ433" s="38"/>
      <c r="DR433" s="38"/>
      <c r="DS433" s="38"/>
      <c r="DT433" s="38"/>
      <c r="DU433" s="38"/>
      <c r="DV433" s="38"/>
      <c r="DW433" s="38"/>
      <c r="DX433" s="38"/>
      <c r="DY433" s="38"/>
      <c r="DZ433" s="38"/>
      <c r="EA433" s="38"/>
      <c r="EB433" s="38"/>
      <c r="EC433" s="38"/>
      <c r="ED433" s="38"/>
      <c r="EE433" s="38"/>
      <c r="EF433" s="38"/>
      <c r="EG433" s="38"/>
      <c r="EH433" s="38"/>
      <c r="EI433" s="38"/>
      <c r="EJ433" s="38"/>
      <c r="EK433" s="38"/>
      <c r="EL433" s="38"/>
      <c r="EM433" s="38"/>
      <c r="EN433" s="38"/>
      <c r="EO433" s="38"/>
      <c r="EP433" s="38"/>
      <c r="EQ433" s="38"/>
      <c r="ER433" s="38"/>
      <c r="ES433" s="25"/>
      <c r="ET433" s="25"/>
      <c r="EU433" s="24"/>
    </row>
    <row r="435" spans="1:151" s="39" customFormat="1" x14ac:dyDescent="0.35">
      <c r="A435" s="22"/>
      <c r="B435" s="23"/>
      <c r="C435" s="25"/>
      <c r="D435" s="25"/>
      <c r="E435" s="24"/>
      <c r="F435" s="24"/>
      <c r="G435" s="24"/>
      <c r="H435" s="24"/>
      <c r="I435" s="24"/>
      <c r="J435" s="24"/>
      <c r="K435" s="26"/>
      <c r="L435" s="116"/>
      <c r="M435" s="25"/>
      <c r="CM435" s="38"/>
      <c r="CN435" s="38"/>
      <c r="CO435" s="38"/>
      <c r="CP435" s="38"/>
      <c r="CQ435" s="38"/>
      <c r="CR435" s="38"/>
      <c r="CS435" s="38"/>
      <c r="CT435" s="38"/>
      <c r="CU435" s="38"/>
      <c r="CV435" s="38"/>
      <c r="CW435" s="38"/>
      <c r="CX435" s="38"/>
      <c r="CY435" s="38"/>
      <c r="CZ435" s="38"/>
      <c r="DA435" s="38"/>
      <c r="DB435" s="38"/>
      <c r="DC435" s="38"/>
      <c r="DD435" s="38"/>
      <c r="DE435" s="38"/>
      <c r="DF435" s="38"/>
      <c r="DG435" s="38"/>
      <c r="DH435" s="38"/>
      <c r="DI435" s="38"/>
      <c r="DJ435" s="38"/>
      <c r="DK435" s="38"/>
      <c r="DL435" s="38"/>
      <c r="DM435" s="38"/>
      <c r="DN435" s="38"/>
      <c r="DO435" s="38"/>
      <c r="DP435" s="38"/>
      <c r="DQ435" s="38"/>
      <c r="DR435" s="38"/>
      <c r="DS435" s="38"/>
      <c r="DT435" s="38"/>
      <c r="DU435" s="38"/>
      <c r="DV435" s="38"/>
      <c r="DW435" s="38"/>
      <c r="DX435" s="38"/>
      <c r="DY435" s="38"/>
      <c r="DZ435" s="38"/>
      <c r="EA435" s="38"/>
      <c r="EB435" s="38"/>
      <c r="EC435" s="38"/>
      <c r="ED435" s="38"/>
      <c r="EE435" s="38"/>
      <c r="EF435" s="38"/>
      <c r="EG435" s="38"/>
      <c r="EH435" s="38"/>
      <c r="EI435" s="38"/>
      <c r="EJ435" s="38"/>
      <c r="EK435" s="38"/>
      <c r="EL435" s="38"/>
      <c r="EM435" s="38"/>
      <c r="EN435" s="38"/>
      <c r="EO435" s="38"/>
      <c r="EP435" s="38"/>
      <c r="EQ435" s="38"/>
      <c r="ER435" s="38"/>
      <c r="ES435" s="25"/>
      <c r="ET435" s="25"/>
      <c r="EU435" s="24"/>
    </row>
    <row r="437" spans="1:151" s="39" customFormat="1" x14ac:dyDescent="0.35">
      <c r="A437" s="22"/>
      <c r="B437" s="23"/>
      <c r="C437" s="25"/>
      <c r="D437" s="25"/>
      <c r="E437" s="24"/>
      <c r="F437" s="24"/>
      <c r="G437" s="24"/>
      <c r="H437" s="24"/>
      <c r="I437" s="24"/>
      <c r="J437" s="24"/>
      <c r="K437" s="26"/>
      <c r="L437" s="116"/>
      <c r="M437" s="25"/>
      <c r="CM437" s="38"/>
      <c r="CN437" s="38"/>
      <c r="CO437" s="38"/>
      <c r="CP437" s="38"/>
      <c r="CQ437" s="38"/>
      <c r="CR437" s="38"/>
      <c r="CS437" s="38"/>
      <c r="CT437" s="38"/>
      <c r="CU437" s="38"/>
      <c r="CV437" s="38"/>
      <c r="CW437" s="38"/>
      <c r="CX437" s="38"/>
      <c r="CY437" s="38"/>
      <c r="CZ437" s="38"/>
      <c r="DA437" s="38"/>
      <c r="DB437" s="38"/>
      <c r="DC437" s="38"/>
      <c r="DD437" s="38"/>
      <c r="DE437" s="38"/>
      <c r="DF437" s="38"/>
      <c r="DG437" s="38"/>
      <c r="DH437" s="38"/>
      <c r="DI437" s="38"/>
      <c r="DJ437" s="38"/>
      <c r="DK437" s="38"/>
      <c r="DL437" s="38"/>
      <c r="DM437" s="38"/>
      <c r="DN437" s="38"/>
      <c r="DO437" s="38"/>
      <c r="DP437" s="38"/>
      <c r="DQ437" s="38"/>
      <c r="DR437" s="38"/>
      <c r="DS437" s="38"/>
      <c r="DT437" s="38"/>
      <c r="DU437" s="38"/>
      <c r="DV437" s="38"/>
      <c r="DW437" s="38"/>
      <c r="DX437" s="38"/>
      <c r="DY437" s="38"/>
      <c r="DZ437" s="38"/>
      <c r="EA437" s="38"/>
      <c r="EB437" s="38"/>
      <c r="EC437" s="38"/>
      <c r="ED437" s="38"/>
      <c r="EE437" s="38"/>
      <c r="EF437" s="38"/>
      <c r="EG437" s="38"/>
      <c r="EH437" s="38"/>
      <c r="EI437" s="38"/>
      <c r="EJ437" s="38"/>
      <c r="EK437" s="38"/>
      <c r="EL437" s="38"/>
      <c r="EM437" s="38"/>
      <c r="EN437" s="38"/>
      <c r="EO437" s="38"/>
      <c r="EP437" s="38"/>
      <c r="EQ437" s="38"/>
      <c r="ER437" s="38"/>
      <c r="ES437" s="25"/>
      <c r="ET437" s="25"/>
      <c r="EU437" s="24"/>
    </row>
    <row r="439" spans="1:151" s="39" customFormat="1" x14ac:dyDescent="0.35">
      <c r="A439" s="22"/>
      <c r="B439" s="23"/>
      <c r="C439" s="25"/>
      <c r="D439" s="25"/>
      <c r="E439" s="24"/>
      <c r="F439" s="24"/>
      <c r="G439" s="24"/>
      <c r="H439" s="24"/>
      <c r="I439" s="24"/>
      <c r="J439" s="24"/>
      <c r="K439" s="26"/>
      <c r="L439" s="116"/>
      <c r="M439" s="25"/>
      <c r="CM439" s="38"/>
      <c r="CN439" s="38"/>
      <c r="CO439" s="38"/>
      <c r="CP439" s="38"/>
      <c r="CQ439" s="38"/>
      <c r="CR439" s="38"/>
      <c r="CS439" s="38"/>
      <c r="CT439" s="38"/>
      <c r="CU439" s="38"/>
      <c r="CV439" s="38"/>
      <c r="CW439" s="38"/>
      <c r="CX439" s="38"/>
      <c r="CY439" s="38"/>
      <c r="CZ439" s="38"/>
      <c r="DA439" s="38"/>
      <c r="DB439" s="38"/>
      <c r="DC439" s="38"/>
      <c r="DD439" s="38"/>
      <c r="DE439" s="38"/>
      <c r="DF439" s="38"/>
      <c r="DG439" s="38"/>
      <c r="DH439" s="38"/>
      <c r="DI439" s="38"/>
      <c r="DJ439" s="38"/>
      <c r="DK439" s="38"/>
      <c r="DL439" s="38"/>
      <c r="DM439" s="38"/>
      <c r="DN439" s="38"/>
      <c r="DO439" s="38"/>
      <c r="DP439" s="38"/>
      <c r="DQ439" s="38"/>
      <c r="DR439" s="38"/>
      <c r="DS439" s="38"/>
      <c r="DT439" s="38"/>
      <c r="DU439" s="38"/>
      <c r="DV439" s="38"/>
      <c r="DW439" s="38"/>
      <c r="DX439" s="38"/>
      <c r="DY439" s="38"/>
      <c r="DZ439" s="38"/>
      <c r="EA439" s="38"/>
      <c r="EB439" s="38"/>
      <c r="EC439" s="38"/>
      <c r="ED439" s="38"/>
      <c r="EE439" s="38"/>
      <c r="EF439" s="38"/>
      <c r="EG439" s="38"/>
      <c r="EH439" s="38"/>
      <c r="EI439" s="38"/>
      <c r="EJ439" s="38"/>
      <c r="EK439" s="38"/>
      <c r="EL439" s="38"/>
      <c r="EM439" s="38"/>
      <c r="EN439" s="38"/>
      <c r="EO439" s="38"/>
      <c r="EP439" s="38"/>
      <c r="EQ439" s="38"/>
      <c r="ER439" s="38"/>
      <c r="ES439" s="25"/>
      <c r="ET439" s="25"/>
      <c r="EU439" s="24"/>
    </row>
    <row r="441" spans="1:151" s="39" customFormat="1" x14ac:dyDescent="0.35">
      <c r="A441" s="22"/>
      <c r="B441" s="23"/>
      <c r="C441" s="25"/>
      <c r="D441" s="25"/>
      <c r="E441" s="24"/>
      <c r="F441" s="24"/>
      <c r="G441" s="24"/>
      <c r="H441" s="24"/>
      <c r="I441" s="24"/>
      <c r="J441" s="24"/>
      <c r="K441" s="26"/>
      <c r="L441" s="116"/>
      <c r="M441" s="25"/>
      <c r="CM441" s="38"/>
      <c r="CN441" s="38"/>
      <c r="CO441" s="38"/>
      <c r="CP441" s="38"/>
      <c r="CQ441" s="38"/>
      <c r="CR441" s="38"/>
      <c r="CS441" s="38"/>
      <c r="CT441" s="38"/>
      <c r="CU441" s="38"/>
      <c r="CV441" s="38"/>
      <c r="CW441" s="38"/>
      <c r="CX441" s="38"/>
      <c r="CY441" s="38"/>
      <c r="CZ441" s="38"/>
      <c r="DA441" s="38"/>
      <c r="DB441" s="38"/>
      <c r="DC441" s="38"/>
      <c r="DD441" s="38"/>
      <c r="DE441" s="38"/>
      <c r="DF441" s="38"/>
      <c r="DG441" s="38"/>
      <c r="DH441" s="38"/>
      <c r="DI441" s="38"/>
      <c r="DJ441" s="38"/>
      <c r="DK441" s="38"/>
      <c r="DL441" s="38"/>
      <c r="DM441" s="38"/>
      <c r="DN441" s="38"/>
      <c r="DO441" s="38"/>
      <c r="DP441" s="38"/>
      <c r="DQ441" s="38"/>
      <c r="DR441" s="38"/>
      <c r="DS441" s="38"/>
      <c r="DT441" s="38"/>
      <c r="DU441" s="38"/>
      <c r="DV441" s="38"/>
      <c r="DW441" s="38"/>
      <c r="DX441" s="38"/>
      <c r="DY441" s="38"/>
      <c r="DZ441" s="38"/>
      <c r="EA441" s="38"/>
      <c r="EB441" s="38"/>
      <c r="EC441" s="38"/>
      <c r="ED441" s="38"/>
      <c r="EE441" s="38"/>
      <c r="EF441" s="38"/>
      <c r="EG441" s="38"/>
      <c r="EH441" s="38"/>
      <c r="EI441" s="38"/>
      <c r="EJ441" s="38"/>
      <c r="EK441" s="38"/>
      <c r="EL441" s="38"/>
      <c r="EM441" s="38"/>
      <c r="EN441" s="38"/>
      <c r="EO441" s="38"/>
      <c r="EP441" s="38"/>
      <c r="EQ441" s="38"/>
      <c r="ER441" s="38"/>
      <c r="ES441" s="25"/>
      <c r="ET441" s="25"/>
      <c r="EU441" s="24"/>
    </row>
    <row r="443" spans="1:151" s="39" customFormat="1" x14ac:dyDescent="0.35">
      <c r="A443" s="22"/>
      <c r="B443" s="23"/>
      <c r="C443" s="25"/>
      <c r="D443" s="25"/>
      <c r="E443" s="24"/>
      <c r="F443" s="24"/>
      <c r="G443" s="24"/>
      <c r="H443" s="24"/>
      <c r="I443" s="24"/>
      <c r="J443" s="24"/>
      <c r="K443" s="26"/>
      <c r="L443" s="116"/>
      <c r="M443" s="25"/>
      <c r="CM443" s="38"/>
      <c r="CN443" s="38"/>
      <c r="CO443" s="38"/>
      <c r="CP443" s="38"/>
      <c r="CQ443" s="38"/>
      <c r="CR443" s="38"/>
      <c r="CS443" s="38"/>
      <c r="CT443" s="38"/>
      <c r="CU443" s="38"/>
      <c r="CV443" s="38"/>
      <c r="CW443" s="38"/>
      <c r="CX443" s="38"/>
      <c r="CY443" s="38"/>
      <c r="CZ443" s="38"/>
      <c r="DA443" s="38"/>
      <c r="DB443" s="38"/>
      <c r="DC443" s="38"/>
      <c r="DD443" s="38"/>
      <c r="DE443" s="38"/>
      <c r="DF443" s="38"/>
      <c r="DG443" s="38"/>
      <c r="DH443" s="38"/>
      <c r="DI443" s="38"/>
      <c r="DJ443" s="38"/>
      <c r="DK443" s="38"/>
      <c r="DL443" s="38"/>
      <c r="DM443" s="38"/>
      <c r="DN443" s="38"/>
      <c r="DO443" s="38"/>
      <c r="DP443" s="38"/>
      <c r="DQ443" s="38"/>
      <c r="DR443" s="38"/>
      <c r="DS443" s="38"/>
      <c r="DT443" s="38"/>
      <c r="DU443" s="38"/>
      <c r="DV443" s="38"/>
      <c r="DW443" s="38"/>
      <c r="DX443" s="38"/>
      <c r="DY443" s="38"/>
      <c r="DZ443" s="38"/>
      <c r="EA443" s="38"/>
      <c r="EB443" s="38"/>
      <c r="EC443" s="38"/>
      <c r="ED443" s="38"/>
      <c r="EE443" s="38"/>
      <c r="EF443" s="38"/>
      <c r="EG443" s="38"/>
      <c r="EH443" s="38"/>
      <c r="EI443" s="38"/>
      <c r="EJ443" s="38"/>
      <c r="EK443" s="38"/>
      <c r="EL443" s="38"/>
      <c r="EM443" s="38"/>
      <c r="EN443" s="38"/>
      <c r="EO443" s="38"/>
      <c r="EP443" s="38"/>
      <c r="EQ443" s="38"/>
      <c r="ER443" s="38"/>
      <c r="ES443" s="25"/>
      <c r="ET443" s="25"/>
      <c r="EU443" s="24"/>
    </row>
    <row r="445" spans="1:151" s="39" customFormat="1" x14ac:dyDescent="0.35">
      <c r="A445" s="22"/>
      <c r="B445" s="23"/>
      <c r="C445" s="25"/>
      <c r="D445" s="25"/>
      <c r="E445" s="24"/>
      <c r="F445" s="24"/>
      <c r="G445" s="24"/>
      <c r="H445" s="24"/>
      <c r="I445" s="24"/>
      <c r="J445" s="24"/>
      <c r="K445" s="26"/>
      <c r="L445" s="116"/>
      <c r="M445" s="25"/>
      <c r="CM445" s="38"/>
      <c r="CN445" s="38"/>
      <c r="CO445" s="38"/>
      <c r="CP445" s="38"/>
      <c r="CQ445" s="38"/>
      <c r="CR445" s="38"/>
      <c r="CS445" s="38"/>
      <c r="CT445" s="38"/>
      <c r="CU445" s="38"/>
      <c r="CV445" s="38"/>
      <c r="CW445" s="38"/>
      <c r="CX445" s="38"/>
      <c r="CY445" s="38"/>
      <c r="CZ445" s="38"/>
      <c r="DA445" s="38"/>
      <c r="DB445" s="38"/>
      <c r="DC445" s="38"/>
      <c r="DD445" s="38"/>
      <c r="DE445" s="38"/>
      <c r="DF445" s="38"/>
      <c r="DG445" s="38"/>
      <c r="DH445" s="38"/>
      <c r="DI445" s="38"/>
      <c r="DJ445" s="38"/>
      <c r="DK445" s="38"/>
      <c r="DL445" s="38"/>
      <c r="DM445" s="38"/>
      <c r="DN445" s="38"/>
      <c r="DO445" s="38"/>
      <c r="DP445" s="38"/>
      <c r="DQ445" s="38"/>
      <c r="DR445" s="38"/>
      <c r="DS445" s="38"/>
      <c r="DT445" s="38"/>
      <c r="DU445" s="38"/>
      <c r="DV445" s="38"/>
      <c r="DW445" s="38"/>
      <c r="DX445" s="38"/>
      <c r="DY445" s="38"/>
      <c r="DZ445" s="38"/>
      <c r="EA445" s="38"/>
      <c r="EB445" s="38"/>
      <c r="EC445" s="38"/>
      <c r="ED445" s="38"/>
      <c r="EE445" s="38"/>
      <c r="EF445" s="38"/>
      <c r="EG445" s="38"/>
      <c r="EH445" s="38"/>
      <c r="EI445" s="38"/>
      <c r="EJ445" s="38"/>
      <c r="EK445" s="38"/>
      <c r="EL445" s="38"/>
      <c r="EM445" s="38"/>
      <c r="EN445" s="38"/>
      <c r="EO445" s="38"/>
      <c r="EP445" s="38"/>
      <c r="EQ445" s="38"/>
      <c r="ER445" s="38"/>
      <c r="ES445" s="25"/>
      <c r="ET445" s="25"/>
      <c r="EU445" s="24"/>
    </row>
    <row r="447" spans="1:151" s="39" customFormat="1" x14ac:dyDescent="0.35">
      <c r="A447" s="22"/>
      <c r="B447" s="23"/>
      <c r="C447" s="25"/>
      <c r="D447" s="25"/>
      <c r="E447" s="24"/>
      <c r="F447" s="24"/>
      <c r="G447" s="24"/>
      <c r="H447" s="24"/>
      <c r="I447" s="24"/>
      <c r="J447" s="24"/>
      <c r="K447" s="26"/>
      <c r="L447" s="116"/>
      <c r="M447" s="25"/>
      <c r="CM447" s="38"/>
      <c r="CN447" s="38"/>
      <c r="CO447" s="38"/>
      <c r="CP447" s="38"/>
      <c r="CQ447" s="38"/>
      <c r="CR447" s="38"/>
      <c r="CS447" s="38"/>
      <c r="CT447" s="38"/>
      <c r="CU447" s="38"/>
      <c r="CV447" s="38"/>
      <c r="CW447" s="38"/>
      <c r="CX447" s="38"/>
      <c r="CY447" s="38"/>
      <c r="CZ447" s="38"/>
      <c r="DA447" s="38"/>
      <c r="DB447" s="38"/>
      <c r="DC447" s="38"/>
      <c r="DD447" s="38"/>
      <c r="DE447" s="38"/>
      <c r="DF447" s="38"/>
      <c r="DG447" s="38"/>
      <c r="DH447" s="38"/>
      <c r="DI447" s="38"/>
      <c r="DJ447" s="38"/>
      <c r="DK447" s="38"/>
      <c r="DL447" s="38"/>
      <c r="DM447" s="38"/>
      <c r="DN447" s="38"/>
      <c r="DO447" s="38"/>
      <c r="DP447" s="38"/>
      <c r="DQ447" s="38"/>
      <c r="DR447" s="38"/>
      <c r="DS447" s="38"/>
      <c r="DT447" s="38"/>
      <c r="DU447" s="38"/>
      <c r="DV447" s="38"/>
      <c r="DW447" s="38"/>
      <c r="DX447" s="38"/>
      <c r="DY447" s="38"/>
      <c r="DZ447" s="38"/>
      <c r="EA447" s="38"/>
      <c r="EB447" s="38"/>
      <c r="EC447" s="38"/>
      <c r="ED447" s="38"/>
      <c r="EE447" s="38"/>
      <c r="EF447" s="38"/>
      <c r="EG447" s="38"/>
      <c r="EH447" s="38"/>
      <c r="EI447" s="38"/>
      <c r="EJ447" s="38"/>
      <c r="EK447" s="38"/>
      <c r="EL447" s="38"/>
      <c r="EM447" s="38"/>
      <c r="EN447" s="38"/>
      <c r="EO447" s="38"/>
      <c r="EP447" s="38"/>
      <c r="EQ447" s="38"/>
      <c r="ER447" s="38"/>
      <c r="ES447" s="25"/>
      <c r="ET447" s="25"/>
      <c r="EU447" s="24"/>
    </row>
    <row r="449" spans="1:151" s="39" customFormat="1" x14ac:dyDescent="0.35">
      <c r="A449" s="22"/>
      <c r="B449" s="23"/>
      <c r="C449" s="25"/>
      <c r="D449" s="25"/>
      <c r="E449" s="24"/>
      <c r="F449" s="24"/>
      <c r="G449" s="24"/>
      <c r="H449" s="24"/>
      <c r="I449" s="24"/>
      <c r="J449" s="24"/>
      <c r="K449" s="26"/>
      <c r="L449" s="116"/>
      <c r="M449" s="25"/>
      <c r="CM449" s="38"/>
      <c r="CN449" s="38"/>
      <c r="CO449" s="38"/>
      <c r="CP449" s="38"/>
      <c r="CQ449" s="38"/>
      <c r="CR449" s="38"/>
      <c r="CS449" s="38"/>
      <c r="CT449" s="38"/>
      <c r="CU449" s="38"/>
      <c r="CV449" s="38"/>
      <c r="CW449" s="38"/>
      <c r="CX449" s="38"/>
      <c r="CY449" s="38"/>
      <c r="CZ449" s="38"/>
      <c r="DA449" s="38"/>
      <c r="DB449" s="38"/>
      <c r="DC449" s="38"/>
      <c r="DD449" s="38"/>
      <c r="DE449" s="38"/>
      <c r="DF449" s="38"/>
      <c r="DG449" s="38"/>
      <c r="DH449" s="38"/>
      <c r="DI449" s="38"/>
      <c r="DJ449" s="38"/>
      <c r="DK449" s="38"/>
      <c r="DL449" s="38"/>
      <c r="DM449" s="38"/>
      <c r="DN449" s="38"/>
      <c r="DO449" s="38"/>
      <c r="DP449" s="38"/>
      <c r="DQ449" s="38"/>
      <c r="DR449" s="38"/>
      <c r="DS449" s="38"/>
      <c r="DT449" s="38"/>
      <c r="DU449" s="38"/>
      <c r="DV449" s="38"/>
      <c r="DW449" s="38"/>
      <c r="DX449" s="38"/>
      <c r="DY449" s="38"/>
      <c r="DZ449" s="38"/>
      <c r="EA449" s="38"/>
      <c r="EB449" s="38"/>
      <c r="EC449" s="38"/>
      <c r="ED449" s="38"/>
      <c r="EE449" s="38"/>
      <c r="EF449" s="38"/>
      <c r="EG449" s="38"/>
      <c r="EH449" s="38"/>
      <c r="EI449" s="38"/>
      <c r="EJ449" s="38"/>
      <c r="EK449" s="38"/>
      <c r="EL449" s="38"/>
      <c r="EM449" s="38"/>
      <c r="EN449" s="38"/>
      <c r="EO449" s="38"/>
      <c r="EP449" s="38"/>
      <c r="EQ449" s="38"/>
      <c r="ER449" s="38"/>
      <c r="ES449" s="25"/>
      <c r="ET449" s="25"/>
      <c r="EU449" s="24"/>
    </row>
    <row r="451" spans="1:151" s="39" customFormat="1" x14ac:dyDescent="0.35">
      <c r="A451" s="22"/>
      <c r="B451" s="23"/>
      <c r="C451" s="25"/>
      <c r="D451" s="25"/>
      <c r="E451" s="24"/>
      <c r="F451" s="24"/>
      <c r="G451" s="24"/>
      <c r="H451" s="24"/>
      <c r="I451" s="24"/>
      <c r="J451" s="24"/>
      <c r="K451" s="26"/>
      <c r="L451" s="116"/>
      <c r="M451" s="25"/>
      <c r="CM451" s="38"/>
      <c r="CN451" s="38"/>
      <c r="CO451" s="38"/>
      <c r="CP451" s="38"/>
      <c r="CQ451" s="38"/>
      <c r="CR451" s="38"/>
      <c r="CS451" s="38"/>
      <c r="CT451" s="38"/>
      <c r="CU451" s="38"/>
      <c r="CV451" s="38"/>
      <c r="CW451" s="38"/>
      <c r="CX451" s="38"/>
      <c r="CY451" s="38"/>
      <c r="CZ451" s="38"/>
      <c r="DA451" s="38"/>
      <c r="DB451" s="38"/>
      <c r="DC451" s="38"/>
      <c r="DD451" s="38"/>
      <c r="DE451" s="38"/>
      <c r="DF451" s="38"/>
      <c r="DG451" s="38"/>
      <c r="DH451" s="38"/>
      <c r="DI451" s="38"/>
      <c r="DJ451" s="38"/>
      <c r="DK451" s="38"/>
      <c r="DL451" s="38"/>
      <c r="DM451" s="38"/>
      <c r="DN451" s="38"/>
      <c r="DO451" s="38"/>
      <c r="DP451" s="38"/>
      <c r="DQ451" s="38"/>
      <c r="DR451" s="38"/>
      <c r="DS451" s="38"/>
      <c r="DT451" s="38"/>
      <c r="DU451" s="38"/>
      <c r="DV451" s="38"/>
      <c r="DW451" s="38"/>
      <c r="DX451" s="38"/>
      <c r="DY451" s="38"/>
      <c r="DZ451" s="38"/>
      <c r="EA451" s="38"/>
      <c r="EB451" s="38"/>
      <c r="EC451" s="38"/>
      <c r="ED451" s="38"/>
      <c r="EE451" s="38"/>
      <c r="EF451" s="38"/>
      <c r="EG451" s="38"/>
      <c r="EH451" s="38"/>
      <c r="EI451" s="38"/>
      <c r="EJ451" s="38"/>
      <c r="EK451" s="38"/>
      <c r="EL451" s="38"/>
      <c r="EM451" s="38"/>
      <c r="EN451" s="38"/>
      <c r="EO451" s="38"/>
      <c r="EP451" s="38"/>
      <c r="EQ451" s="38"/>
      <c r="ER451" s="38"/>
      <c r="ES451" s="25"/>
      <c r="ET451" s="25"/>
      <c r="EU451" s="24"/>
    </row>
    <row r="453" spans="1:151" s="39" customFormat="1" x14ac:dyDescent="0.35">
      <c r="A453" s="22"/>
      <c r="B453" s="23"/>
      <c r="C453" s="25"/>
      <c r="D453" s="25"/>
      <c r="E453" s="24"/>
      <c r="F453" s="24"/>
      <c r="G453" s="24"/>
      <c r="H453" s="24"/>
      <c r="I453" s="24"/>
      <c r="J453" s="24"/>
      <c r="K453" s="26"/>
      <c r="L453" s="116"/>
      <c r="M453" s="25"/>
      <c r="CM453" s="38"/>
      <c r="CN453" s="38"/>
      <c r="CO453" s="38"/>
      <c r="CP453" s="38"/>
      <c r="CQ453" s="38"/>
      <c r="CR453" s="38"/>
      <c r="CS453" s="38"/>
      <c r="CT453" s="38"/>
      <c r="CU453" s="38"/>
      <c r="CV453" s="38"/>
      <c r="CW453" s="38"/>
      <c r="CX453" s="38"/>
      <c r="CY453" s="38"/>
      <c r="CZ453" s="38"/>
      <c r="DA453" s="38"/>
      <c r="DB453" s="38"/>
      <c r="DC453" s="38"/>
      <c r="DD453" s="38"/>
      <c r="DE453" s="38"/>
      <c r="DF453" s="38"/>
      <c r="DG453" s="38"/>
      <c r="DH453" s="38"/>
      <c r="DI453" s="38"/>
      <c r="DJ453" s="38"/>
      <c r="DK453" s="38"/>
      <c r="DL453" s="38"/>
      <c r="DM453" s="38"/>
      <c r="DN453" s="38"/>
      <c r="DO453" s="38"/>
      <c r="DP453" s="38"/>
      <c r="DQ453" s="38"/>
      <c r="DR453" s="38"/>
      <c r="DS453" s="38"/>
      <c r="DT453" s="38"/>
      <c r="DU453" s="38"/>
      <c r="DV453" s="38"/>
      <c r="DW453" s="38"/>
      <c r="DX453" s="38"/>
      <c r="DY453" s="38"/>
      <c r="DZ453" s="38"/>
      <c r="EA453" s="38"/>
      <c r="EB453" s="38"/>
      <c r="EC453" s="38"/>
      <c r="ED453" s="38"/>
      <c r="EE453" s="38"/>
      <c r="EF453" s="38"/>
      <c r="EG453" s="38"/>
      <c r="EH453" s="38"/>
      <c r="EI453" s="38"/>
      <c r="EJ453" s="38"/>
      <c r="EK453" s="38"/>
      <c r="EL453" s="38"/>
      <c r="EM453" s="38"/>
      <c r="EN453" s="38"/>
      <c r="EO453" s="38"/>
      <c r="EP453" s="38"/>
      <c r="EQ453" s="38"/>
      <c r="ER453" s="38"/>
      <c r="ES453" s="25"/>
      <c r="ET453" s="25"/>
      <c r="EU453" s="24"/>
    </row>
    <row r="455" spans="1:151" s="39" customFormat="1" x14ac:dyDescent="0.35">
      <c r="A455" s="22"/>
      <c r="B455" s="23"/>
      <c r="C455" s="25"/>
      <c r="D455" s="25"/>
      <c r="E455" s="24"/>
      <c r="F455" s="24"/>
      <c r="G455" s="24"/>
      <c r="H455" s="24"/>
      <c r="I455" s="24"/>
      <c r="J455" s="24"/>
      <c r="K455" s="26"/>
      <c r="L455" s="116"/>
      <c r="M455" s="25"/>
      <c r="CM455" s="38"/>
      <c r="CN455" s="38"/>
      <c r="CO455" s="38"/>
      <c r="CP455" s="38"/>
      <c r="CQ455" s="38"/>
      <c r="CR455" s="38"/>
      <c r="CS455" s="38"/>
      <c r="CT455" s="38"/>
      <c r="CU455" s="38"/>
      <c r="CV455" s="38"/>
      <c r="CW455" s="38"/>
      <c r="CX455" s="38"/>
      <c r="CY455" s="38"/>
      <c r="CZ455" s="38"/>
      <c r="DA455" s="38"/>
      <c r="DB455" s="38"/>
      <c r="DC455" s="38"/>
      <c r="DD455" s="38"/>
      <c r="DE455" s="38"/>
      <c r="DF455" s="38"/>
      <c r="DG455" s="38"/>
      <c r="DH455" s="38"/>
      <c r="DI455" s="38"/>
      <c r="DJ455" s="38"/>
      <c r="DK455" s="38"/>
      <c r="DL455" s="38"/>
      <c r="DM455" s="38"/>
      <c r="DN455" s="38"/>
      <c r="DO455" s="38"/>
      <c r="DP455" s="38"/>
      <c r="DQ455" s="38"/>
      <c r="DR455" s="38"/>
      <c r="DS455" s="38"/>
      <c r="DT455" s="38"/>
      <c r="DU455" s="38"/>
      <c r="DV455" s="38"/>
      <c r="DW455" s="38"/>
      <c r="DX455" s="38"/>
      <c r="DY455" s="38"/>
      <c r="DZ455" s="38"/>
      <c r="EA455" s="38"/>
      <c r="EB455" s="38"/>
      <c r="EC455" s="38"/>
      <c r="ED455" s="38"/>
      <c r="EE455" s="38"/>
      <c r="EF455" s="38"/>
      <c r="EG455" s="38"/>
      <c r="EH455" s="38"/>
      <c r="EI455" s="38"/>
      <c r="EJ455" s="38"/>
      <c r="EK455" s="38"/>
      <c r="EL455" s="38"/>
      <c r="EM455" s="38"/>
      <c r="EN455" s="38"/>
      <c r="EO455" s="38"/>
      <c r="EP455" s="38"/>
      <c r="EQ455" s="38"/>
      <c r="ER455" s="38"/>
      <c r="ES455" s="25"/>
      <c r="ET455" s="25"/>
      <c r="EU455" s="24"/>
    </row>
    <row r="457" spans="1:151" s="39" customFormat="1" x14ac:dyDescent="0.35">
      <c r="A457" s="22"/>
      <c r="B457" s="23"/>
      <c r="C457" s="25"/>
      <c r="D457" s="25"/>
      <c r="E457" s="24"/>
      <c r="F457" s="24"/>
      <c r="G457" s="24"/>
      <c r="H457" s="24"/>
      <c r="I457" s="24"/>
      <c r="J457" s="24"/>
      <c r="K457" s="26"/>
      <c r="L457" s="116"/>
      <c r="M457" s="25"/>
      <c r="CM457" s="38"/>
      <c r="CN457" s="38"/>
      <c r="CO457" s="38"/>
      <c r="CP457" s="38"/>
      <c r="CQ457" s="38"/>
      <c r="CR457" s="38"/>
      <c r="CS457" s="38"/>
      <c r="CT457" s="38"/>
      <c r="CU457" s="38"/>
      <c r="CV457" s="38"/>
      <c r="CW457" s="38"/>
      <c r="CX457" s="38"/>
      <c r="CY457" s="38"/>
      <c r="CZ457" s="38"/>
      <c r="DA457" s="38"/>
      <c r="DB457" s="38"/>
      <c r="DC457" s="38"/>
      <c r="DD457" s="38"/>
      <c r="DE457" s="38"/>
      <c r="DF457" s="38"/>
      <c r="DG457" s="38"/>
      <c r="DH457" s="38"/>
      <c r="DI457" s="38"/>
      <c r="DJ457" s="38"/>
      <c r="DK457" s="38"/>
      <c r="DL457" s="38"/>
      <c r="DM457" s="38"/>
      <c r="DN457" s="38"/>
      <c r="DO457" s="38"/>
      <c r="DP457" s="38"/>
      <c r="DQ457" s="38"/>
      <c r="DR457" s="38"/>
      <c r="DS457" s="38"/>
      <c r="DT457" s="38"/>
      <c r="DU457" s="38"/>
      <c r="DV457" s="38"/>
      <c r="DW457" s="38"/>
      <c r="DX457" s="38"/>
      <c r="DY457" s="38"/>
      <c r="DZ457" s="38"/>
      <c r="EA457" s="38"/>
      <c r="EB457" s="38"/>
      <c r="EC457" s="38"/>
      <c r="ED457" s="38"/>
      <c r="EE457" s="38"/>
      <c r="EF457" s="38"/>
      <c r="EG457" s="38"/>
      <c r="EH457" s="38"/>
      <c r="EI457" s="38"/>
      <c r="EJ457" s="38"/>
      <c r="EK457" s="38"/>
      <c r="EL457" s="38"/>
      <c r="EM457" s="38"/>
      <c r="EN457" s="38"/>
      <c r="EO457" s="38"/>
      <c r="EP457" s="38"/>
      <c r="EQ457" s="38"/>
      <c r="ER457" s="38"/>
      <c r="ES457" s="25"/>
      <c r="ET457" s="25"/>
      <c r="EU457" s="24"/>
    </row>
    <row r="459" spans="1:151" s="39" customFormat="1" x14ac:dyDescent="0.35">
      <c r="A459" s="22"/>
      <c r="B459" s="23"/>
      <c r="C459" s="25"/>
      <c r="D459" s="25"/>
      <c r="E459" s="24"/>
      <c r="F459" s="24"/>
      <c r="G459" s="24"/>
      <c r="H459" s="24"/>
      <c r="I459" s="24"/>
      <c r="J459" s="24"/>
      <c r="K459" s="26"/>
      <c r="L459" s="116"/>
      <c r="M459" s="25"/>
      <c r="CM459" s="38"/>
      <c r="CN459" s="38"/>
      <c r="CO459" s="38"/>
      <c r="CP459" s="38"/>
      <c r="CQ459" s="38"/>
      <c r="CR459" s="38"/>
      <c r="CS459" s="38"/>
      <c r="CT459" s="38"/>
      <c r="CU459" s="38"/>
      <c r="CV459" s="38"/>
      <c r="CW459" s="38"/>
      <c r="CX459" s="38"/>
      <c r="CY459" s="38"/>
      <c r="CZ459" s="38"/>
      <c r="DA459" s="38"/>
      <c r="DB459" s="38"/>
      <c r="DC459" s="38"/>
      <c r="DD459" s="38"/>
      <c r="DE459" s="38"/>
      <c r="DF459" s="38"/>
      <c r="DG459" s="38"/>
      <c r="DH459" s="38"/>
      <c r="DI459" s="38"/>
      <c r="DJ459" s="38"/>
      <c r="DK459" s="38"/>
      <c r="DL459" s="38"/>
      <c r="DM459" s="38"/>
      <c r="DN459" s="38"/>
      <c r="DO459" s="38"/>
      <c r="DP459" s="38"/>
      <c r="DQ459" s="38"/>
      <c r="DR459" s="38"/>
      <c r="DS459" s="38"/>
      <c r="DT459" s="38"/>
      <c r="DU459" s="38"/>
      <c r="DV459" s="38"/>
      <c r="DW459" s="38"/>
      <c r="DX459" s="38"/>
      <c r="DY459" s="38"/>
      <c r="DZ459" s="38"/>
      <c r="EA459" s="38"/>
      <c r="EB459" s="38"/>
      <c r="EC459" s="38"/>
      <c r="ED459" s="38"/>
      <c r="EE459" s="38"/>
      <c r="EF459" s="38"/>
      <c r="EG459" s="38"/>
      <c r="EH459" s="38"/>
      <c r="EI459" s="38"/>
      <c r="EJ459" s="38"/>
      <c r="EK459" s="38"/>
      <c r="EL459" s="38"/>
      <c r="EM459" s="38"/>
      <c r="EN459" s="38"/>
      <c r="EO459" s="38"/>
      <c r="EP459" s="38"/>
      <c r="EQ459" s="38"/>
      <c r="ER459" s="38"/>
      <c r="ES459" s="25"/>
      <c r="ET459" s="25"/>
      <c r="EU459" s="24"/>
    </row>
    <row r="461" spans="1:151" s="39" customFormat="1" x14ac:dyDescent="0.35">
      <c r="A461" s="22"/>
      <c r="B461" s="23"/>
      <c r="C461" s="25"/>
      <c r="D461" s="25"/>
      <c r="E461" s="24"/>
      <c r="F461" s="24"/>
      <c r="G461" s="24"/>
      <c r="H461" s="24"/>
      <c r="I461" s="24"/>
      <c r="J461" s="24"/>
      <c r="K461" s="26"/>
      <c r="L461" s="116"/>
      <c r="M461" s="25"/>
      <c r="CM461" s="38"/>
      <c r="CN461" s="38"/>
      <c r="CO461" s="38"/>
      <c r="CP461" s="38"/>
      <c r="CQ461" s="38"/>
      <c r="CR461" s="38"/>
      <c r="CS461" s="38"/>
      <c r="CT461" s="38"/>
      <c r="CU461" s="38"/>
      <c r="CV461" s="38"/>
      <c r="CW461" s="38"/>
      <c r="CX461" s="38"/>
      <c r="CY461" s="38"/>
      <c r="CZ461" s="38"/>
      <c r="DA461" s="38"/>
      <c r="DB461" s="38"/>
      <c r="DC461" s="38"/>
      <c r="DD461" s="38"/>
      <c r="DE461" s="38"/>
      <c r="DF461" s="38"/>
      <c r="DG461" s="38"/>
      <c r="DH461" s="38"/>
      <c r="DI461" s="38"/>
      <c r="DJ461" s="38"/>
      <c r="DK461" s="38"/>
      <c r="DL461" s="38"/>
      <c r="DM461" s="38"/>
      <c r="DN461" s="38"/>
      <c r="DO461" s="38"/>
      <c r="DP461" s="38"/>
      <c r="DQ461" s="38"/>
      <c r="DR461" s="38"/>
      <c r="DS461" s="38"/>
      <c r="DT461" s="38"/>
      <c r="DU461" s="38"/>
      <c r="DV461" s="38"/>
      <c r="DW461" s="38"/>
      <c r="DX461" s="38"/>
      <c r="DY461" s="38"/>
      <c r="DZ461" s="38"/>
      <c r="EA461" s="38"/>
      <c r="EB461" s="38"/>
      <c r="EC461" s="38"/>
      <c r="ED461" s="38"/>
      <c r="EE461" s="38"/>
      <c r="EF461" s="38"/>
      <c r="EG461" s="38"/>
      <c r="EH461" s="38"/>
      <c r="EI461" s="38"/>
      <c r="EJ461" s="38"/>
      <c r="EK461" s="38"/>
      <c r="EL461" s="38"/>
      <c r="EM461" s="38"/>
      <c r="EN461" s="38"/>
      <c r="EO461" s="38"/>
      <c r="EP461" s="38"/>
      <c r="EQ461" s="38"/>
      <c r="ER461" s="38"/>
      <c r="ES461" s="25"/>
      <c r="ET461" s="25"/>
      <c r="EU461" s="24"/>
    </row>
    <row r="462" spans="1:151" s="39" customFormat="1" x14ac:dyDescent="0.35">
      <c r="A462" s="22"/>
      <c r="B462" s="23"/>
      <c r="C462" s="25"/>
      <c r="D462" s="25"/>
      <c r="E462" s="24"/>
      <c r="F462" s="24"/>
      <c r="G462" s="24"/>
      <c r="H462" s="24"/>
      <c r="I462" s="24"/>
      <c r="J462" s="24"/>
      <c r="K462" s="26"/>
      <c r="L462" s="116"/>
      <c r="M462" s="25"/>
      <c r="CM462" s="38"/>
      <c r="CN462" s="38"/>
      <c r="CO462" s="38"/>
      <c r="CP462" s="38"/>
      <c r="CQ462" s="38"/>
      <c r="CR462" s="38"/>
      <c r="CS462" s="38"/>
      <c r="CT462" s="38"/>
      <c r="CU462" s="38"/>
      <c r="CV462" s="38"/>
      <c r="CW462" s="38"/>
      <c r="CX462" s="38"/>
      <c r="CY462" s="38"/>
      <c r="CZ462" s="38"/>
      <c r="DA462" s="38"/>
      <c r="DB462" s="38"/>
      <c r="DC462" s="38"/>
      <c r="DD462" s="38"/>
      <c r="DE462" s="38"/>
      <c r="DF462" s="38"/>
      <c r="DG462" s="38"/>
      <c r="DH462" s="38"/>
      <c r="DI462" s="38"/>
      <c r="DJ462" s="38"/>
      <c r="DK462" s="38"/>
      <c r="DL462" s="38"/>
      <c r="DM462" s="38"/>
      <c r="DN462" s="38"/>
      <c r="DO462" s="38"/>
      <c r="DP462" s="38"/>
      <c r="DQ462" s="38"/>
      <c r="DR462" s="38"/>
      <c r="DS462" s="38"/>
      <c r="DT462" s="38"/>
      <c r="DU462" s="38"/>
      <c r="DV462" s="38"/>
      <c r="DW462" s="38"/>
      <c r="DX462" s="38"/>
      <c r="DY462" s="38"/>
      <c r="DZ462" s="38"/>
      <c r="EA462" s="38"/>
      <c r="EB462" s="38"/>
      <c r="EC462" s="38"/>
      <c r="ED462" s="38"/>
      <c r="EE462" s="38"/>
      <c r="EF462" s="38"/>
      <c r="EG462" s="38"/>
      <c r="EH462" s="38"/>
      <c r="EI462" s="38"/>
      <c r="EJ462" s="38"/>
      <c r="EK462" s="38"/>
      <c r="EL462" s="38"/>
      <c r="EM462" s="38"/>
      <c r="EN462" s="38"/>
      <c r="EO462" s="38"/>
      <c r="EP462" s="38"/>
      <c r="EQ462" s="38"/>
      <c r="ER462" s="38"/>
      <c r="ES462" s="25"/>
      <c r="ET462" s="25"/>
      <c r="EU462" s="24"/>
    </row>
    <row r="464" spans="1:151" s="39" customFormat="1" x14ac:dyDescent="0.35">
      <c r="A464" s="22"/>
      <c r="B464" s="23"/>
      <c r="C464" s="25"/>
      <c r="D464" s="25"/>
      <c r="E464" s="24"/>
      <c r="F464" s="24"/>
      <c r="G464" s="24"/>
      <c r="H464" s="24"/>
      <c r="I464" s="24"/>
      <c r="J464" s="24"/>
      <c r="K464" s="26"/>
      <c r="L464" s="116"/>
      <c r="M464" s="25"/>
      <c r="CM464" s="38"/>
      <c r="CN464" s="38"/>
      <c r="CO464" s="38"/>
      <c r="CP464" s="38"/>
      <c r="CQ464" s="38"/>
      <c r="CR464" s="38"/>
      <c r="CS464" s="38"/>
      <c r="CT464" s="38"/>
      <c r="CU464" s="38"/>
      <c r="CV464" s="38"/>
      <c r="CW464" s="38"/>
      <c r="CX464" s="38"/>
      <c r="CY464" s="38"/>
      <c r="CZ464" s="38"/>
      <c r="DA464" s="38"/>
      <c r="DB464" s="38"/>
      <c r="DC464" s="38"/>
      <c r="DD464" s="38"/>
      <c r="DE464" s="38"/>
      <c r="DF464" s="38"/>
      <c r="DG464" s="38"/>
      <c r="DH464" s="38"/>
      <c r="DI464" s="38"/>
      <c r="DJ464" s="38"/>
      <c r="DK464" s="38"/>
      <c r="DL464" s="38"/>
      <c r="DM464" s="38"/>
      <c r="DN464" s="38"/>
      <c r="DO464" s="38"/>
      <c r="DP464" s="38"/>
      <c r="DQ464" s="38"/>
      <c r="DR464" s="38"/>
      <c r="DS464" s="38"/>
      <c r="DT464" s="38"/>
      <c r="DU464" s="38"/>
      <c r="DV464" s="38"/>
      <c r="DW464" s="38"/>
      <c r="DX464" s="38"/>
      <c r="DY464" s="38"/>
      <c r="DZ464" s="38"/>
      <c r="EA464" s="38"/>
      <c r="EB464" s="38"/>
      <c r="EC464" s="38"/>
      <c r="ED464" s="38"/>
      <c r="EE464" s="38"/>
      <c r="EF464" s="38"/>
      <c r="EG464" s="38"/>
      <c r="EH464" s="38"/>
      <c r="EI464" s="38"/>
      <c r="EJ464" s="38"/>
      <c r="EK464" s="38"/>
      <c r="EL464" s="38"/>
      <c r="EM464" s="38"/>
      <c r="EN464" s="38"/>
      <c r="EO464" s="38"/>
      <c r="EP464" s="38"/>
      <c r="EQ464" s="38"/>
      <c r="ER464" s="38"/>
      <c r="ES464" s="25"/>
      <c r="ET464" s="25"/>
      <c r="EU464" s="24"/>
    </row>
    <row r="466" spans="1:151" s="39" customFormat="1" x14ac:dyDescent="0.35">
      <c r="A466" s="22"/>
      <c r="B466" s="23"/>
      <c r="C466" s="25"/>
      <c r="D466" s="25"/>
      <c r="E466" s="24"/>
      <c r="F466" s="24"/>
      <c r="G466" s="24"/>
      <c r="H466" s="24"/>
      <c r="I466" s="24"/>
      <c r="J466" s="24"/>
      <c r="K466" s="26"/>
      <c r="L466" s="116"/>
      <c r="M466" s="25"/>
      <c r="CM466" s="38"/>
      <c r="CN466" s="38"/>
      <c r="CO466" s="38"/>
      <c r="CP466" s="38"/>
      <c r="CQ466" s="38"/>
      <c r="CR466" s="38"/>
      <c r="CS466" s="38"/>
      <c r="CT466" s="38"/>
      <c r="CU466" s="38"/>
      <c r="CV466" s="38"/>
      <c r="CW466" s="38"/>
      <c r="CX466" s="38"/>
      <c r="CY466" s="38"/>
      <c r="CZ466" s="38"/>
      <c r="DA466" s="38"/>
      <c r="DB466" s="38"/>
      <c r="DC466" s="38"/>
      <c r="DD466" s="38"/>
      <c r="DE466" s="38"/>
      <c r="DF466" s="38"/>
      <c r="DG466" s="38"/>
      <c r="DH466" s="38"/>
      <c r="DI466" s="38"/>
      <c r="DJ466" s="38"/>
      <c r="DK466" s="38"/>
      <c r="DL466" s="38"/>
      <c r="DM466" s="38"/>
      <c r="DN466" s="38"/>
      <c r="DO466" s="38"/>
      <c r="DP466" s="38"/>
      <c r="DQ466" s="38"/>
      <c r="DR466" s="38"/>
      <c r="DS466" s="38"/>
      <c r="DT466" s="38"/>
      <c r="DU466" s="38"/>
      <c r="DV466" s="38"/>
      <c r="DW466" s="38"/>
      <c r="DX466" s="38"/>
      <c r="DY466" s="38"/>
      <c r="DZ466" s="38"/>
      <c r="EA466" s="38"/>
      <c r="EB466" s="38"/>
      <c r="EC466" s="38"/>
      <c r="ED466" s="38"/>
      <c r="EE466" s="38"/>
      <c r="EF466" s="38"/>
      <c r="EG466" s="38"/>
      <c r="EH466" s="38"/>
      <c r="EI466" s="38"/>
      <c r="EJ466" s="38"/>
      <c r="EK466" s="38"/>
      <c r="EL466" s="38"/>
      <c r="EM466" s="38"/>
      <c r="EN466" s="38"/>
      <c r="EO466" s="38"/>
      <c r="EP466" s="38"/>
      <c r="EQ466" s="38"/>
      <c r="ER466" s="38"/>
      <c r="ES466" s="25"/>
      <c r="ET466" s="25"/>
      <c r="EU466" s="24"/>
    </row>
    <row r="467" spans="1:151" s="39" customFormat="1" x14ac:dyDescent="0.35">
      <c r="A467" s="22"/>
      <c r="B467" s="23"/>
      <c r="C467" s="25"/>
      <c r="D467" s="25"/>
      <c r="E467" s="24"/>
      <c r="F467" s="24"/>
      <c r="G467" s="24"/>
      <c r="H467" s="24"/>
      <c r="I467" s="24"/>
      <c r="J467" s="24"/>
      <c r="K467" s="26"/>
      <c r="L467" s="116"/>
      <c r="M467" s="25"/>
      <c r="CM467" s="38"/>
      <c r="CN467" s="38"/>
      <c r="CO467" s="38"/>
      <c r="CP467" s="38"/>
      <c r="CQ467" s="38"/>
      <c r="CR467" s="38"/>
      <c r="CS467" s="38"/>
      <c r="CT467" s="38"/>
      <c r="CU467" s="38"/>
      <c r="CV467" s="38"/>
      <c r="CW467" s="38"/>
      <c r="CX467" s="38"/>
      <c r="CY467" s="38"/>
      <c r="CZ467" s="38"/>
      <c r="DA467" s="38"/>
      <c r="DB467" s="38"/>
      <c r="DC467" s="38"/>
      <c r="DD467" s="38"/>
      <c r="DE467" s="38"/>
      <c r="DF467" s="38"/>
      <c r="DG467" s="38"/>
      <c r="DH467" s="38"/>
      <c r="DI467" s="38"/>
      <c r="DJ467" s="38"/>
      <c r="DK467" s="38"/>
      <c r="DL467" s="38"/>
      <c r="DM467" s="38"/>
      <c r="DN467" s="38"/>
      <c r="DO467" s="38"/>
      <c r="DP467" s="38"/>
      <c r="DQ467" s="38"/>
      <c r="DR467" s="38"/>
      <c r="DS467" s="38"/>
      <c r="DT467" s="38"/>
      <c r="DU467" s="38"/>
      <c r="DV467" s="38"/>
      <c r="DW467" s="38"/>
      <c r="DX467" s="38"/>
      <c r="DY467" s="38"/>
      <c r="DZ467" s="38"/>
      <c r="EA467" s="38"/>
      <c r="EB467" s="38"/>
      <c r="EC467" s="38"/>
      <c r="ED467" s="38"/>
      <c r="EE467" s="38"/>
      <c r="EF467" s="38"/>
      <c r="EG467" s="38"/>
      <c r="EH467" s="38"/>
      <c r="EI467" s="38"/>
      <c r="EJ467" s="38"/>
      <c r="EK467" s="38"/>
      <c r="EL467" s="38"/>
      <c r="EM467" s="38"/>
      <c r="EN467" s="38"/>
      <c r="EO467" s="38"/>
      <c r="EP467" s="38"/>
      <c r="EQ467" s="38"/>
      <c r="ER467" s="38"/>
      <c r="ES467" s="25"/>
      <c r="ET467" s="25"/>
      <c r="EU467" s="24"/>
    </row>
  </sheetData>
  <protectedRanges>
    <protectedRange sqref="B228 B172 B217 B184 B195 B206 B164 B168 B134:B142 B144:B161 B3:B132" name="Editable"/>
    <protectedRange sqref="L228 L217 L172 L184 L195 L206 L164 L168 L3:L5 K111 L8:L13 K11:K13 K26 K30 K42:K44 L50 K60:K62 L68 K74:K76 L71:L76 L85 K91:K93 L88:L93 L110:L111 K123 L122:L123 L125 K124:L124 L97:L105 L80:L83 L35:L44 K17:K18 L48 L66 L53:L62 K112:L114 L115:L117 L127:L144 L150:L161 L19:L32 K22" name="Editable_1"/>
  </protectedRanges>
  <autoFilter ref="A2:M236" xr:uid="{50D484D3-E367-43B9-A404-F12D0FED0014}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 macro="[1]!ManageTasks">
                <anchor moveWithCells="1" sizeWithCells="1">
                  <from>
                    <xdr:col>1</xdr:col>
                    <xdr:colOff>25400</xdr:colOff>
                    <xdr:row>0</xdr:row>
                    <xdr:rowOff>0</xdr:rowOff>
                  </from>
                  <to>
                    <xdr:col>1</xdr:col>
                    <xdr:colOff>1473200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Pict="0" macro="[1]!CalculateStartAndEndDates">
                <anchor moveWithCells="1" sizeWithCells="1">
                  <from>
                    <xdr:col>9</xdr:col>
                    <xdr:colOff>596900</xdr:colOff>
                    <xdr:row>0</xdr:row>
                    <xdr:rowOff>0</xdr:rowOff>
                  </from>
                  <to>
                    <xdr:col>12</xdr:col>
                    <xdr:colOff>25400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Pict="0" macro="[1]!DrawGanttChartWithDates">
                <anchor moveWithCells="1" sizeWithCells="1">
                  <from>
                    <xdr:col>12</xdr:col>
                    <xdr:colOff>76200</xdr:colOff>
                    <xdr:row>0</xdr:row>
                    <xdr:rowOff>0</xdr:rowOff>
                  </from>
                  <to>
                    <xdr:col>12</xdr:col>
                    <xdr:colOff>1524000</xdr:colOff>
                    <xdr:row>0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B59E-9B99-4F49-B5AF-B2F885813E07}">
  <sheetPr codeName="Sheet25"/>
  <dimension ref="B2:FE301"/>
  <sheetViews>
    <sheetView showGridLines="0" zoomScale="110" zoomScaleNormal="110" workbookViewId="0">
      <pane ySplit="2" topLeftCell="A11" activePane="bottomLeft" state="frozen"/>
      <selection pane="bottomLeft" activeCell="C16" sqref="C16:C23"/>
    </sheetView>
  </sheetViews>
  <sheetFormatPr defaultColWidth="1.81640625" defaultRowHeight="14.5" outlineLevelRow="1" outlineLevelCol="1" x14ac:dyDescent="0.35"/>
  <cols>
    <col min="1" max="1" width="1.81640625" style="38"/>
    <col min="2" max="2" width="7.1796875" style="22" bestFit="1" customWidth="1"/>
    <col min="3" max="3" width="89" style="23" customWidth="1"/>
    <col min="4" max="4" width="8.81640625" style="24" bestFit="1" customWidth="1"/>
    <col min="5" max="5" width="13.54296875" style="25" bestFit="1" customWidth="1"/>
    <col min="6" max="7" width="6.453125" style="24" hidden="1" customWidth="1" outlineLevel="1"/>
    <col min="8" max="10" width="7.453125" style="24" hidden="1" customWidth="1" outlineLevel="1"/>
    <col min="11" max="11" width="9.1796875" style="24" hidden="1" customWidth="1" outlineLevel="1"/>
    <col min="12" max="12" width="12.453125" style="26" bestFit="1" customWidth="1" collapsed="1"/>
    <col min="13" max="13" width="12.453125" style="26" bestFit="1" customWidth="1"/>
    <col min="14" max="17" width="23.453125" style="24" customWidth="1"/>
    <col min="18" max="83" width="1.81640625" style="39" customWidth="1"/>
    <col min="84" max="91" width="1.81640625" style="39"/>
    <col min="92" max="16384" width="1.81640625" style="38"/>
  </cols>
  <sheetData>
    <row r="2" spans="2:144" s="20" customFormat="1" ht="52" x14ac:dyDescent="0.35">
      <c r="B2" s="18" t="s">
        <v>0</v>
      </c>
      <c r="C2" s="63" t="s">
        <v>1</v>
      </c>
      <c r="D2" s="102" t="s">
        <v>2</v>
      </c>
      <c r="E2" s="83" t="s">
        <v>3</v>
      </c>
      <c r="F2" s="84" t="s">
        <v>4</v>
      </c>
      <c r="G2" s="84" t="s">
        <v>5</v>
      </c>
      <c r="H2" s="84" t="s">
        <v>6</v>
      </c>
      <c r="I2" s="84" t="s">
        <v>7</v>
      </c>
      <c r="J2" s="84" t="s">
        <v>8</v>
      </c>
      <c r="K2" s="84" t="s">
        <v>9</v>
      </c>
      <c r="L2" s="102" t="s">
        <v>10</v>
      </c>
      <c r="M2" s="64" t="s">
        <v>11</v>
      </c>
      <c r="N2" s="63" t="s">
        <v>12</v>
      </c>
      <c r="O2" s="63" t="s">
        <v>13</v>
      </c>
      <c r="P2" s="63" t="s">
        <v>14</v>
      </c>
      <c r="Q2" s="63" t="s">
        <v>15</v>
      </c>
      <c r="R2" s="19" t="s">
        <v>16</v>
      </c>
      <c r="S2" s="19" t="s">
        <v>17</v>
      </c>
      <c r="T2" s="19" t="s">
        <v>18</v>
      </c>
      <c r="U2" s="20" t="s">
        <v>19</v>
      </c>
      <c r="V2" s="20" t="s">
        <v>20</v>
      </c>
      <c r="W2" s="20" t="s">
        <v>21</v>
      </c>
      <c r="X2" s="20" t="s">
        <v>22</v>
      </c>
      <c r="Y2" s="20" t="s">
        <v>23</v>
      </c>
      <c r="Z2" s="20" t="s">
        <v>24</v>
      </c>
      <c r="AA2" s="20" t="s">
        <v>25</v>
      </c>
      <c r="AB2" s="20" t="s">
        <v>26</v>
      </c>
      <c r="AC2" s="20" t="s">
        <v>27</v>
      </c>
      <c r="AD2" s="20" t="s">
        <v>28</v>
      </c>
      <c r="AE2" s="20" t="s">
        <v>29</v>
      </c>
      <c r="AF2" s="20" t="s">
        <v>30</v>
      </c>
      <c r="AG2" s="20" t="s">
        <v>31</v>
      </c>
      <c r="AH2" s="20" t="s">
        <v>32</v>
      </c>
      <c r="AI2" s="20" t="s">
        <v>33</v>
      </c>
      <c r="AJ2" s="20" t="s">
        <v>34</v>
      </c>
      <c r="AK2" s="20" t="s">
        <v>35</v>
      </c>
      <c r="AL2" s="20" t="s">
        <v>36</v>
      </c>
      <c r="AM2" s="20" t="s">
        <v>37</v>
      </c>
      <c r="AN2" s="20" t="s">
        <v>38</v>
      </c>
      <c r="AO2" s="20" t="s">
        <v>39</v>
      </c>
      <c r="AP2" s="20" t="s">
        <v>40</v>
      </c>
      <c r="AQ2" s="20" t="s">
        <v>41</v>
      </c>
      <c r="AR2" s="20" t="s">
        <v>42</v>
      </c>
      <c r="AS2" s="20" t="s">
        <v>43</v>
      </c>
      <c r="AT2" s="20" t="s">
        <v>44</v>
      </c>
      <c r="AU2" s="20" t="s">
        <v>45</v>
      </c>
      <c r="AV2" s="20" t="s">
        <v>46</v>
      </c>
      <c r="AW2" s="20" t="s">
        <v>47</v>
      </c>
      <c r="AX2" s="20" t="s">
        <v>48</v>
      </c>
      <c r="AY2" s="20" t="s">
        <v>49</v>
      </c>
      <c r="AZ2" s="20" t="s">
        <v>50</v>
      </c>
      <c r="BA2" s="20" t="s">
        <v>51</v>
      </c>
      <c r="BB2" s="20" t="s">
        <v>52</v>
      </c>
      <c r="BC2" s="20" t="s">
        <v>53</v>
      </c>
      <c r="BD2" s="20" t="s">
        <v>54</v>
      </c>
      <c r="BE2" s="20" t="s">
        <v>55</v>
      </c>
      <c r="BF2" s="20" t="s">
        <v>56</v>
      </c>
      <c r="BG2" s="20" t="s">
        <v>57</v>
      </c>
      <c r="BH2" s="20" t="s">
        <v>58</v>
      </c>
      <c r="BI2" s="20" t="s">
        <v>59</v>
      </c>
      <c r="BJ2" s="20" t="s">
        <v>60</v>
      </c>
      <c r="BK2" s="20" t="s">
        <v>61</v>
      </c>
      <c r="BL2" s="20" t="s">
        <v>62</v>
      </c>
      <c r="BM2" s="20" t="s">
        <v>63</v>
      </c>
      <c r="BN2" s="20" t="s">
        <v>64</v>
      </c>
      <c r="BO2" s="20" t="s">
        <v>65</v>
      </c>
      <c r="BP2" s="20" t="s">
        <v>66</v>
      </c>
      <c r="BQ2" s="20" t="s">
        <v>67</v>
      </c>
      <c r="BR2" s="20" t="s">
        <v>68</v>
      </c>
      <c r="BS2" s="20" t="s">
        <v>69</v>
      </c>
      <c r="BT2" s="20" t="s">
        <v>70</v>
      </c>
      <c r="BU2" s="20" t="s">
        <v>71</v>
      </c>
      <c r="BV2" s="20" t="s">
        <v>72</v>
      </c>
      <c r="BW2" s="20" t="s">
        <v>73</v>
      </c>
      <c r="BX2" s="20" t="s">
        <v>74</v>
      </c>
      <c r="BY2" s="20" t="s">
        <v>75</v>
      </c>
      <c r="BZ2" s="20" t="s">
        <v>76</v>
      </c>
      <c r="CA2" s="20" t="s">
        <v>77</v>
      </c>
      <c r="CB2" s="20" t="s">
        <v>78</v>
      </c>
      <c r="CC2" s="20" t="s">
        <v>79</v>
      </c>
      <c r="CD2" s="20" t="s">
        <v>80</v>
      </c>
      <c r="CE2" s="20" t="s">
        <v>81</v>
      </c>
      <c r="CF2" s="20" t="s">
        <v>82</v>
      </c>
      <c r="CG2" s="20" t="s">
        <v>83</v>
      </c>
      <c r="CH2" s="20" t="s">
        <v>84</v>
      </c>
      <c r="CI2" s="20" t="s">
        <v>85</v>
      </c>
      <c r="CJ2" s="20" t="s">
        <v>86</v>
      </c>
      <c r="CK2" s="20" t="s">
        <v>87</v>
      </c>
      <c r="CL2" s="20" t="s">
        <v>88</v>
      </c>
      <c r="CM2" s="20" t="s">
        <v>89</v>
      </c>
      <c r="CN2" s="20" t="s">
        <v>90</v>
      </c>
      <c r="CO2" s="20" t="s">
        <v>91</v>
      </c>
      <c r="CP2" s="20" t="s">
        <v>92</v>
      </c>
      <c r="CQ2" s="20" t="s">
        <v>93</v>
      </c>
      <c r="CR2" s="20" t="s">
        <v>94</v>
      </c>
      <c r="CS2" s="20" t="s">
        <v>95</v>
      </c>
      <c r="CT2" s="20" t="s">
        <v>96</v>
      </c>
      <c r="CU2" s="20" t="s">
        <v>97</v>
      </c>
      <c r="CV2" s="20" t="s">
        <v>98</v>
      </c>
      <c r="CW2" s="20" t="s">
        <v>99</v>
      </c>
      <c r="CX2" s="20" t="s">
        <v>100</v>
      </c>
      <c r="CY2" s="20" t="s">
        <v>101</v>
      </c>
      <c r="CZ2" s="20" t="s">
        <v>102</v>
      </c>
      <c r="DA2" s="20" t="s">
        <v>103</v>
      </c>
      <c r="DB2" s="20" t="s">
        <v>104</v>
      </c>
      <c r="DC2" s="20" t="s">
        <v>105</v>
      </c>
      <c r="DD2" s="20" t="s">
        <v>106</v>
      </c>
      <c r="DE2" s="20" t="s">
        <v>107</v>
      </c>
      <c r="DF2" s="20" t="s">
        <v>108</v>
      </c>
      <c r="DG2" s="20" t="s">
        <v>109</v>
      </c>
      <c r="DH2" s="20" t="s">
        <v>110</v>
      </c>
      <c r="DI2" s="20" t="s">
        <v>111</v>
      </c>
      <c r="DJ2" s="20" t="s">
        <v>112</v>
      </c>
      <c r="DK2" s="20" t="s">
        <v>113</v>
      </c>
      <c r="DL2" s="20" t="s">
        <v>114</v>
      </c>
      <c r="DM2" s="20" t="s">
        <v>115</v>
      </c>
      <c r="DN2" s="20" t="s">
        <v>116</v>
      </c>
      <c r="DO2" s="20" t="s">
        <v>117</v>
      </c>
      <c r="DP2" s="20" t="s">
        <v>118</v>
      </c>
      <c r="DQ2" s="20" t="s">
        <v>119</v>
      </c>
      <c r="DR2" s="20" t="s">
        <v>120</v>
      </c>
      <c r="DS2" s="20" t="s">
        <v>121</v>
      </c>
      <c r="DT2" s="20" t="s">
        <v>122</v>
      </c>
      <c r="DU2" s="20" t="s">
        <v>123</v>
      </c>
      <c r="DV2" s="20" t="s">
        <v>124</v>
      </c>
      <c r="DW2" s="20" t="s">
        <v>125</v>
      </c>
      <c r="DX2" s="20" t="s">
        <v>126</v>
      </c>
      <c r="DY2" s="20" t="s">
        <v>127</v>
      </c>
      <c r="DZ2" s="20" t="s">
        <v>128</v>
      </c>
      <c r="EA2" s="20" t="s">
        <v>129</v>
      </c>
      <c r="EB2" s="20" t="s">
        <v>130</v>
      </c>
      <c r="EC2" s="20" t="s">
        <v>131</v>
      </c>
      <c r="ED2" s="20" t="s">
        <v>132</v>
      </c>
      <c r="EE2" s="20" t="s">
        <v>133</v>
      </c>
      <c r="EF2" s="20" t="s">
        <v>134</v>
      </c>
    </row>
    <row r="3" spans="2:144" s="20" customFormat="1" x14ac:dyDescent="0.35">
      <c r="B3" s="21" t="s">
        <v>172</v>
      </c>
      <c r="C3" s="67" t="s">
        <v>173</v>
      </c>
      <c r="D3" s="67"/>
      <c r="E3" s="68"/>
      <c r="F3" s="68"/>
      <c r="G3" s="68"/>
      <c r="H3" s="68"/>
      <c r="I3" s="68"/>
      <c r="J3" s="68"/>
      <c r="K3" s="68"/>
      <c r="L3" s="68"/>
      <c r="M3" s="66"/>
      <c r="N3" s="65"/>
      <c r="O3" s="65"/>
      <c r="P3" s="65"/>
      <c r="Q3" s="65"/>
      <c r="R3" s="19"/>
      <c r="S3" s="19"/>
      <c r="T3" s="19"/>
    </row>
    <row r="4" spans="2:144" s="20" customFormat="1" outlineLevel="1" x14ac:dyDescent="0.35">
      <c r="B4" s="22" t="s">
        <v>174</v>
      </c>
      <c r="C4" s="23" t="s">
        <v>175</v>
      </c>
      <c r="D4" s="24"/>
      <c r="E4" s="25"/>
      <c r="F4" s="24"/>
      <c r="G4" s="24"/>
      <c r="H4" s="24"/>
      <c r="I4" s="24"/>
      <c r="J4" s="24"/>
      <c r="K4" s="24"/>
      <c r="L4" s="26"/>
      <c r="M4" s="77">
        <v>45478</v>
      </c>
      <c r="N4" s="27"/>
      <c r="O4" s="27" t="s">
        <v>142</v>
      </c>
      <c r="P4" s="73" t="s">
        <v>155</v>
      </c>
      <c r="Q4" s="27"/>
      <c r="R4" s="28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</row>
    <row r="5" spans="2:144" s="20" customFormat="1" outlineLevel="1" x14ac:dyDescent="0.35">
      <c r="B5" s="31" t="s">
        <v>136</v>
      </c>
      <c r="C5" s="32" t="s">
        <v>176</v>
      </c>
      <c r="D5" s="33"/>
      <c r="E5" s="34"/>
      <c r="F5" s="33"/>
      <c r="G5" s="33"/>
      <c r="H5" s="33"/>
      <c r="I5" s="33"/>
      <c r="J5" s="33"/>
      <c r="K5" s="33"/>
      <c r="L5" s="35"/>
      <c r="M5" s="78">
        <v>45482</v>
      </c>
      <c r="N5" s="36"/>
      <c r="O5" s="36" t="s">
        <v>142</v>
      </c>
      <c r="P5" s="79" t="s">
        <v>155</v>
      </c>
      <c r="Q5" s="36"/>
      <c r="R5" s="28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30"/>
      <c r="AG5" s="30"/>
      <c r="AH5" s="30"/>
      <c r="AI5" s="30"/>
      <c r="AJ5" s="30"/>
      <c r="AK5" s="30"/>
      <c r="AL5" s="30"/>
      <c r="AM5" s="30"/>
      <c r="AN5" s="30"/>
      <c r="AO5" s="28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</row>
    <row r="6" spans="2:144" s="20" customFormat="1" outlineLevel="1" x14ac:dyDescent="0.35">
      <c r="B6" s="22" t="s">
        <v>153</v>
      </c>
      <c r="C6" s="23" t="s">
        <v>177</v>
      </c>
      <c r="D6" s="24"/>
      <c r="E6" s="25"/>
      <c r="F6" s="24"/>
      <c r="G6" s="24"/>
      <c r="H6" s="24"/>
      <c r="I6" s="24"/>
      <c r="J6" s="24"/>
      <c r="K6" s="24"/>
      <c r="L6" s="26"/>
      <c r="M6" s="77">
        <v>45483</v>
      </c>
      <c r="N6" s="27"/>
      <c r="O6" s="27" t="s">
        <v>142</v>
      </c>
      <c r="P6" s="73" t="s">
        <v>155</v>
      </c>
      <c r="Q6" s="27"/>
      <c r="R6" s="28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30"/>
      <c r="AG6" s="30"/>
      <c r="AH6" s="30"/>
      <c r="AI6" s="30"/>
      <c r="AJ6" s="30"/>
      <c r="AK6" s="28"/>
      <c r="AL6" s="30"/>
      <c r="AM6" s="30"/>
      <c r="AN6" s="30"/>
      <c r="AO6" s="28"/>
      <c r="AP6" s="30"/>
      <c r="AQ6" s="28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</row>
    <row r="7" spans="2:144" s="20" customFormat="1" outlineLevel="1" x14ac:dyDescent="0.35">
      <c r="B7" s="31" t="s">
        <v>154</v>
      </c>
      <c r="C7" s="32" t="s">
        <v>178</v>
      </c>
      <c r="D7" s="33"/>
      <c r="E7" s="34"/>
      <c r="F7" s="33"/>
      <c r="G7" s="33"/>
      <c r="H7" s="33"/>
      <c r="I7" s="33"/>
      <c r="J7" s="33"/>
      <c r="K7" s="33"/>
      <c r="L7" s="35"/>
      <c r="M7" s="78">
        <v>45490</v>
      </c>
      <c r="N7" s="36"/>
      <c r="O7" s="36" t="s">
        <v>142</v>
      </c>
      <c r="P7" s="79" t="s">
        <v>155</v>
      </c>
      <c r="Q7" s="36"/>
      <c r="R7" s="28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30"/>
      <c r="AG7" s="30"/>
      <c r="AH7" s="30"/>
      <c r="AI7" s="30"/>
      <c r="AJ7" s="30"/>
      <c r="AK7" s="28"/>
      <c r="AL7" s="30"/>
      <c r="AM7" s="30"/>
      <c r="AN7" s="30"/>
      <c r="AO7" s="28"/>
      <c r="AP7" s="30"/>
      <c r="AQ7" s="28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</row>
    <row r="8" spans="2:144" s="20" customFormat="1" outlineLevel="1" x14ac:dyDescent="0.35">
      <c r="B8" s="22" t="s">
        <v>179</v>
      </c>
      <c r="C8" s="23" t="s">
        <v>180</v>
      </c>
      <c r="D8" s="24"/>
      <c r="E8" s="25"/>
      <c r="F8" s="24"/>
      <c r="G8" s="24"/>
      <c r="H8" s="24"/>
      <c r="I8" s="24"/>
      <c r="J8" s="24"/>
      <c r="K8" s="24"/>
      <c r="L8" s="26"/>
      <c r="M8" s="82">
        <v>45626</v>
      </c>
      <c r="N8" s="27"/>
      <c r="O8" s="27" t="s">
        <v>142</v>
      </c>
      <c r="P8" s="73" t="s">
        <v>155</v>
      </c>
      <c r="Q8" s="27"/>
      <c r="R8" s="28"/>
      <c r="S8" s="29"/>
      <c r="T8" s="29"/>
      <c r="U8" s="29"/>
      <c r="V8" s="28"/>
      <c r="W8" s="29"/>
      <c r="X8" s="29"/>
      <c r="Y8" s="28"/>
      <c r="Z8" s="29"/>
      <c r="AA8" s="29"/>
      <c r="AB8" s="29"/>
      <c r="AC8" s="29"/>
      <c r="AD8" s="29"/>
      <c r="AE8" s="29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</row>
    <row r="9" spans="2:144" s="100" customFormat="1" outlineLevel="1" x14ac:dyDescent="0.35">
      <c r="B9" s="22" t="s">
        <v>181</v>
      </c>
      <c r="C9" s="23" t="s">
        <v>182</v>
      </c>
      <c r="D9" s="24"/>
      <c r="E9" s="25"/>
      <c r="F9" s="24"/>
      <c r="G9" s="24"/>
      <c r="H9" s="24"/>
      <c r="I9" s="24"/>
      <c r="J9" s="24"/>
      <c r="K9" s="24"/>
      <c r="L9" s="26"/>
      <c r="M9" s="95"/>
      <c r="N9" s="27"/>
      <c r="O9" s="27"/>
      <c r="P9" s="96"/>
      <c r="Q9" s="27"/>
      <c r="R9" s="97"/>
      <c r="S9" s="98"/>
      <c r="T9" s="98"/>
      <c r="U9" s="98"/>
      <c r="V9" s="97"/>
      <c r="W9" s="98"/>
      <c r="X9" s="98"/>
      <c r="Y9" s="97"/>
      <c r="Z9" s="98"/>
      <c r="AA9" s="98"/>
      <c r="AB9" s="98"/>
      <c r="AC9" s="98"/>
      <c r="AD9" s="98"/>
      <c r="AE9" s="98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</row>
    <row r="10" spans="2:144" ht="16" customHeight="1" outlineLevel="1" x14ac:dyDescent="0.35">
      <c r="B10" s="31" t="s">
        <v>183</v>
      </c>
      <c r="C10" s="32" t="s">
        <v>184</v>
      </c>
      <c r="D10" s="33"/>
      <c r="E10" s="34"/>
      <c r="F10" s="33"/>
      <c r="G10" s="33"/>
      <c r="H10" s="33"/>
      <c r="I10" s="33"/>
      <c r="J10" s="33"/>
      <c r="K10" s="33"/>
      <c r="L10" s="35"/>
      <c r="M10" s="81" t="s">
        <v>155</v>
      </c>
      <c r="N10" s="36"/>
      <c r="O10" s="36" t="s">
        <v>142</v>
      </c>
      <c r="P10" s="79" t="s">
        <v>185</v>
      </c>
      <c r="Q10" s="36"/>
      <c r="R10" s="28"/>
      <c r="S10" s="29"/>
      <c r="T10" s="29"/>
      <c r="U10" s="29"/>
      <c r="V10" s="28"/>
      <c r="W10" s="29"/>
      <c r="X10" s="29"/>
      <c r="Y10" s="29"/>
      <c r="Z10" s="29"/>
      <c r="AA10" s="29"/>
      <c r="AB10" s="29"/>
      <c r="AC10" s="29"/>
      <c r="AD10" s="29"/>
      <c r="AE10" s="29"/>
      <c r="AF10" s="30"/>
      <c r="AG10" s="30"/>
      <c r="AH10" s="30"/>
      <c r="AI10" s="30"/>
      <c r="AJ10" s="30"/>
      <c r="AK10" s="28"/>
      <c r="AL10" s="30"/>
      <c r="AM10" s="30"/>
      <c r="AN10" s="30"/>
      <c r="AO10" s="30"/>
      <c r="AP10" s="30"/>
      <c r="AQ10" s="28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28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28"/>
      <c r="BZ10" s="30"/>
      <c r="CA10" s="30"/>
      <c r="CB10" s="30"/>
      <c r="CC10" s="30"/>
      <c r="CD10" s="30"/>
      <c r="CE10" s="30"/>
      <c r="CF10" s="37"/>
      <c r="CG10" s="37"/>
      <c r="CH10" s="37"/>
      <c r="CI10" s="37"/>
      <c r="CJ10" s="37"/>
      <c r="CK10" s="37"/>
      <c r="CL10" s="37"/>
      <c r="CM10" s="37"/>
      <c r="DN10" s="39"/>
      <c r="DR10" s="39"/>
      <c r="DV10" s="39"/>
      <c r="EB10" s="39"/>
      <c r="EH10" s="39"/>
    </row>
    <row r="11" spans="2:144" ht="16" customHeight="1" outlineLevel="1" x14ac:dyDescent="0.35">
      <c r="B11" s="22" t="s">
        <v>186</v>
      </c>
      <c r="C11" s="23" t="s">
        <v>187</v>
      </c>
      <c r="M11" s="80" t="s">
        <v>155</v>
      </c>
      <c r="N11" s="27"/>
      <c r="O11" s="27" t="s">
        <v>142</v>
      </c>
      <c r="P11" s="73" t="s">
        <v>188</v>
      </c>
      <c r="Q11" s="27"/>
      <c r="R11" s="28"/>
      <c r="S11" s="29"/>
      <c r="T11" s="29"/>
      <c r="U11" s="29"/>
      <c r="V11" s="28"/>
      <c r="W11" s="29"/>
      <c r="X11" s="29"/>
      <c r="Y11" s="29"/>
      <c r="Z11" s="29"/>
      <c r="AA11" s="29"/>
      <c r="AB11" s="29"/>
      <c r="AC11" s="29"/>
      <c r="AD11" s="29"/>
      <c r="AE11" s="29"/>
      <c r="AF11" s="30"/>
      <c r="AG11" s="30"/>
      <c r="AH11" s="30"/>
      <c r="AI11" s="30"/>
      <c r="AJ11" s="30"/>
      <c r="AK11" s="28"/>
      <c r="AL11" s="30"/>
      <c r="AM11" s="30"/>
      <c r="AN11" s="30"/>
      <c r="AO11" s="30"/>
      <c r="AP11" s="30"/>
      <c r="AQ11" s="28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28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28"/>
      <c r="BZ11" s="30"/>
      <c r="CA11" s="30"/>
      <c r="CB11" s="30"/>
      <c r="CC11" s="30"/>
      <c r="CD11" s="30"/>
      <c r="CE11" s="30"/>
      <c r="CF11" s="37"/>
      <c r="CG11" s="37"/>
      <c r="CH11" s="37"/>
      <c r="CI11" s="37"/>
      <c r="CJ11" s="37"/>
      <c r="CK11" s="37"/>
      <c r="CL11" s="37"/>
      <c r="CM11" s="37"/>
    </row>
    <row r="12" spans="2:144" ht="16" customHeight="1" outlineLevel="1" x14ac:dyDescent="0.35">
      <c r="B12" s="31" t="s">
        <v>189</v>
      </c>
      <c r="C12" s="32" t="s">
        <v>190</v>
      </c>
      <c r="D12" s="33"/>
      <c r="E12" s="34"/>
      <c r="F12" s="33"/>
      <c r="G12" s="33"/>
      <c r="H12" s="33"/>
      <c r="I12" s="33"/>
      <c r="J12" s="33"/>
      <c r="K12" s="33"/>
      <c r="L12" s="35"/>
      <c r="M12" s="81" t="s">
        <v>155</v>
      </c>
      <c r="N12" s="36"/>
      <c r="O12" s="36" t="s">
        <v>142</v>
      </c>
      <c r="P12" s="79" t="s">
        <v>191</v>
      </c>
      <c r="Q12" s="36"/>
      <c r="T12" s="38"/>
      <c r="U12" s="38"/>
      <c r="V12" s="38"/>
      <c r="W12" s="40"/>
      <c r="X12" s="40"/>
      <c r="Y12" s="38"/>
      <c r="Z12" s="38"/>
      <c r="AA12" s="38"/>
      <c r="AB12" s="38"/>
      <c r="AC12" s="38"/>
      <c r="AD12" s="38"/>
      <c r="AE12" s="38"/>
      <c r="AF12" s="38"/>
      <c r="AG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</row>
    <row r="13" spans="2:144" outlineLevel="1" x14ac:dyDescent="0.35">
      <c r="B13" s="22" t="s">
        <v>192</v>
      </c>
      <c r="C13" s="23" t="s">
        <v>193</v>
      </c>
      <c r="M13" s="80" t="s">
        <v>155</v>
      </c>
      <c r="N13" s="27"/>
      <c r="O13" s="27" t="s">
        <v>142</v>
      </c>
      <c r="P13" s="73" t="s">
        <v>194</v>
      </c>
      <c r="Q13" s="27"/>
      <c r="U13" s="38"/>
      <c r="V13" s="40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E13" s="38"/>
      <c r="CR13" s="39"/>
      <c r="CX13" s="39"/>
    </row>
    <row r="14" spans="2:144" outlineLevel="1" x14ac:dyDescent="0.35">
      <c r="B14" s="31" t="s">
        <v>195</v>
      </c>
      <c r="C14" s="32" t="s">
        <v>196</v>
      </c>
      <c r="D14" s="33"/>
      <c r="E14" s="34"/>
      <c r="F14" s="33"/>
      <c r="G14" s="33"/>
      <c r="H14" s="33"/>
      <c r="I14" s="33"/>
      <c r="J14" s="33"/>
      <c r="K14" s="33"/>
      <c r="L14" s="35"/>
      <c r="M14" s="81" t="s">
        <v>155</v>
      </c>
      <c r="N14" s="36"/>
      <c r="O14" s="36" t="s">
        <v>142</v>
      </c>
      <c r="P14" s="79" t="s">
        <v>197</v>
      </c>
      <c r="Q14" s="36"/>
      <c r="U14" s="38"/>
      <c r="V14" s="40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</row>
    <row r="15" spans="2:144" ht="16" customHeight="1" x14ac:dyDescent="0.35">
      <c r="B15" s="21" t="s">
        <v>198</v>
      </c>
      <c r="C15" s="67" t="s">
        <v>199</v>
      </c>
      <c r="D15" s="43"/>
      <c r="E15" s="44"/>
      <c r="F15" s="43"/>
      <c r="G15" s="43"/>
      <c r="H15" s="43"/>
      <c r="I15" s="43"/>
      <c r="J15" s="43"/>
      <c r="K15" s="43"/>
      <c r="L15" s="45"/>
      <c r="M15" s="68"/>
      <c r="N15" s="46"/>
      <c r="O15" s="46"/>
      <c r="P15" s="46"/>
      <c r="Q15" s="46"/>
      <c r="U15" s="38"/>
      <c r="V15" s="40"/>
      <c r="X15" s="38"/>
      <c r="Z15" s="38"/>
      <c r="AA15" s="38"/>
      <c r="AB15" s="38"/>
      <c r="AC15" s="38"/>
      <c r="AD15" s="38"/>
      <c r="AE15" s="38"/>
      <c r="AF15" s="38"/>
      <c r="AG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</row>
    <row r="16" spans="2:144" ht="16" customHeight="1" outlineLevel="1" x14ac:dyDescent="0.35">
      <c r="B16" s="31" t="s">
        <v>200</v>
      </c>
      <c r="C16" s="32" t="s">
        <v>201</v>
      </c>
      <c r="D16" s="33"/>
      <c r="E16" s="34"/>
      <c r="F16" s="33"/>
      <c r="G16" s="33"/>
      <c r="H16" s="33"/>
      <c r="I16" s="33"/>
      <c r="J16" s="33"/>
      <c r="K16" s="33"/>
      <c r="L16" s="35"/>
      <c r="M16" s="47">
        <v>45471</v>
      </c>
      <c r="N16" s="36"/>
      <c r="O16" s="36" t="s">
        <v>12</v>
      </c>
      <c r="P16" s="74" t="s">
        <v>159</v>
      </c>
      <c r="Q16" s="36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E16" s="40"/>
      <c r="AF16" s="38"/>
      <c r="AH16" s="38"/>
      <c r="AI16" s="38"/>
      <c r="AK16" s="40"/>
      <c r="AL16" s="38"/>
      <c r="AM16" s="38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EN16" s="39"/>
    </row>
    <row r="17" spans="2:144" ht="16" customHeight="1" outlineLevel="1" x14ac:dyDescent="0.35">
      <c r="B17" s="22" t="s">
        <v>202</v>
      </c>
      <c r="C17" s="32" t="s">
        <v>203</v>
      </c>
      <c r="D17" s="33"/>
      <c r="E17" s="34"/>
      <c r="F17" s="33"/>
      <c r="G17" s="33"/>
      <c r="H17" s="33"/>
      <c r="I17" s="33"/>
      <c r="J17" s="33"/>
      <c r="K17" s="33"/>
      <c r="L17" s="35"/>
      <c r="M17" s="47">
        <v>45471</v>
      </c>
      <c r="N17" s="36"/>
      <c r="O17" s="36" t="s">
        <v>142</v>
      </c>
      <c r="P17" s="74" t="s">
        <v>160</v>
      </c>
      <c r="Q17" s="36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E17" s="40"/>
      <c r="AF17" s="38"/>
      <c r="AH17" s="38"/>
      <c r="AI17" s="38"/>
      <c r="AK17" s="40"/>
      <c r="AL17" s="38"/>
      <c r="AM17" s="38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EN17" s="39"/>
    </row>
    <row r="18" spans="2:144" ht="16" customHeight="1" outlineLevel="1" x14ac:dyDescent="0.35">
      <c r="B18" s="31" t="s">
        <v>204</v>
      </c>
      <c r="C18" s="23" t="s">
        <v>205</v>
      </c>
      <c r="M18" s="48">
        <v>45469</v>
      </c>
      <c r="N18" s="27"/>
      <c r="O18" s="27" t="s">
        <v>12</v>
      </c>
      <c r="P18" s="75" t="s">
        <v>160</v>
      </c>
      <c r="Q18" s="27"/>
      <c r="S18" s="38"/>
      <c r="T18" s="38"/>
      <c r="U18" s="38"/>
      <c r="V18" s="38"/>
      <c r="W18" s="38"/>
      <c r="X18" s="38"/>
      <c r="Y18" s="38"/>
      <c r="Z18" s="38"/>
      <c r="AA18" s="40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</row>
    <row r="19" spans="2:144" ht="16" customHeight="1" outlineLevel="1" x14ac:dyDescent="0.35">
      <c r="B19" s="22" t="s">
        <v>206</v>
      </c>
      <c r="C19" s="23" t="s">
        <v>207</v>
      </c>
      <c r="M19" s="48" t="s">
        <v>155</v>
      </c>
      <c r="N19" s="27"/>
      <c r="O19" s="27" t="s">
        <v>142</v>
      </c>
      <c r="P19" s="75" t="s">
        <v>156</v>
      </c>
      <c r="Q19" s="27"/>
      <c r="S19" s="38"/>
      <c r="T19" s="38"/>
      <c r="U19" s="38"/>
      <c r="V19" s="38"/>
      <c r="W19" s="38"/>
      <c r="X19" s="38"/>
      <c r="Y19" s="38"/>
      <c r="Z19" s="38"/>
      <c r="AA19" s="40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</row>
    <row r="20" spans="2:144" outlineLevel="1" x14ac:dyDescent="0.35">
      <c r="B20" s="31" t="s">
        <v>208</v>
      </c>
      <c r="C20" s="32" t="s">
        <v>209</v>
      </c>
      <c r="D20" s="33"/>
      <c r="E20" s="34"/>
      <c r="F20" s="33"/>
      <c r="G20" s="33"/>
      <c r="H20" s="33"/>
      <c r="I20" s="33"/>
      <c r="J20" s="33"/>
      <c r="K20" s="33"/>
      <c r="L20" s="35"/>
      <c r="M20" s="47">
        <v>45470</v>
      </c>
      <c r="N20" s="36"/>
      <c r="O20" s="36" t="s">
        <v>12</v>
      </c>
      <c r="P20" s="74" t="s">
        <v>159</v>
      </c>
      <c r="Q20" s="36"/>
    </row>
    <row r="21" spans="2:144" outlineLevel="1" x14ac:dyDescent="0.35">
      <c r="B21" s="22" t="s">
        <v>210</v>
      </c>
      <c r="C21" s="23" t="s">
        <v>211</v>
      </c>
      <c r="M21" s="48">
        <v>45491</v>
      </c>
      <c r="N21" s="27"/>
      <c r="O21" s="27" t="s">
        <v>142</v>
      </c>
      <c r="P21" s="75" t="s">
        <v>157</v>
      </c>
      <c r="Q21" s="27"/>
      <c r="DC21" s="39"/>
      <c r="DN21" s="39"/>
      <c r="DR21" s="39"/>
      <c r="DV21" s="39"/>
      <c r="EB21" s="39"/>
      <c r="EH21" s="39"/>
    </row>
    <row r="22" spans="2:144" outlineLevel="1" x14ac:dyDescent="0.35">
      <c r="B22" s="31" t="s">
        <v>212</v>
      </c>
      <c r="C22" s="32" t="s">
        <v>213</v>
      </c>
      <c r="D22" s="33"/>
      <c r="E22" s="34"/>
      <c r="F22" s="33"/>
      <c r="G22" s="33"/>
      <c r="H22" s="33"/>
      <c r="I22" s="33"/>
      <c r="J22" s="33"/>
      <c r="K22" s="33"/>
      <c r="L22" s="35"/>
      <c r="M22" s="47">
        <v>45463</v>
      </c>
      <c r="N22" s="36"/>
      <c r="O22" s="36" t="s">
        <v>150</v>
      </c>
      <c r="P22" s="76" t="s">
        <v>155</v>
      </c>
      <c r="Q22" s="36" t="s">
        <v>214</v>
      </c>
      <c r="DM22" s="39"/>
    </row>
    <row r="23" spans="2:144" outlineLevel="1" x14ac:dyDescent="0.35">
      <c r="B23" s="22" t="s">
        <v>215</v>
      </c>
      <c r="C23" s="23" t="s">
        <v>216</v>
      </c>
      <c r="M23" s="48">
        <v>45491</v>
      </c>
      <c r="N23" s="27"/>
      <c r="O23" s="27" t="s">
        <v>142</v>
      </c>
      <c r="P23" s="75" t="s">
        <v>158</v>
      </c>
      <c r="Q23" s="27" t="s">
        <v>217</v>
      </c>
    </row>
    <row r="24" spans="2:144" s="24" customFormat="1" outlineLevel="1" x14ac:dyDescent="0.35">
      <c r="B24" s="31" t="s">
        <v>218</v>
      </c>
      <c r="C24" s="32" t="s">
        <v>163</v>
      </c>
      <c r="D24" s="33"/>
      <c r="E24" s="34"/>
      <c r="F24" s="33"/>
      <c r="G24" s="33"/>
      <c r="H24" s="33"/>
      <c r="I24" s="33"/>
      <c r="J24" s="33"/>
      <c r="K24" s="33"/>
      <c r="L24" s="35"/>
      <c r="M24" s="85">
        <v>45478</v>
      </c>
      <c r="N24" s="36"/>
      <c r="O24" s="36" t="s">
        <v>142</v>
      </c>
      <c r="P24" s="86" t="s">
        <v>164</v>
      </c>
      <c r="Q24" s="36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</row>
    <row r="25" spans="2:144" s="24" customFormat="1" outlineLevel="1" x14ac:dyDescent="0.35">
      <c r="B25" s="22" t="s">
        <v>219</v>
      </c>
      <c r="C25" s="23" t="s">
        <v>165</v>
      </c>
      <c r="E25" s="25"/>
      <c r="L25" s="26"/>
      <c r="M25" s="87">
        <v>45482</v>
      </c>
      <c r="N25" s="27"/>
      <c r="O25" s="27" t="s">
        <v>142</v>
      </c>
      <c r="P25" s="88" t="s">
        <v>166</v>
      </c>
      <c r="Q25" s="27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</row>
    <row r="26" spans="2:144" s="24" customFormat="1" outlineLevel="1" x14ac:dyDescent="0.35">
      <c r="B26" s="31" t="s">
        <v>220</v>
      </c>
      <c r="C26" s="32" t="s">
        <v>167</v>
      </c>
      <c r="D26" s="33"/>
      <c r="E26" s="34"/>
      <c r="F26" s="33"/>
      <c r="G26" s="33"/>
      <c r="H26" s="33"/>
      <c r="I26" s="33"/>
      <c r="J26" s="33"/>
      <c r="K26" s="33"/>
      <c r="L26" s="35"/>
      <c r="M26" s="85">
        <v>45484</v>
      </c>
      <c r="N26" s="36"/>
      <c r="O26" s="36" t="s">
        <v>142</v>
      </c>
      <c r="P26" s="86" t="s">
        <v>157</v>
      </c>
      <c r="Q26" s="36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</row>
    <row r="27" spans="2:144" s="24" customFormat="1" outlineLevel="1" x14ac:dyDescent="0.35">
      <c r="B27" s="22" t="s">
        <v>221</v>
      </c>
      <c r="C27" s="23" t="s">
        <v>222</v>
      </c>
      <c r="E27" s="25"/>
      <c r="L27" s="26"/>
      <c r="M27" s="87">
        <v>45483</v>
      </c>
      <c r="N27" s="27"/>
      <c r="O27" s="27" t="s">
        <v>142</v>
      </c>
      <c r="P27" s="88" t="s">
        <v>168</v>
      </c>
      <c r="Q27" s="27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</row>
    <row r="28" spans="2:144" s="24" customFormat="1" outlineLevel="1" x14ac:dyDescent="0.35">
      <c r="B28" s="49" t="s">
        <v>223</v>
      </c>
      <c r="C28" s="50" t="s">
        <v>224</v>
      </c>
      <c r="D28" s="33"/>
      <c r="E28" s="34"/>
      <c r="F28" s="33"/>
      <c r="G28" s="33"/>
      <c r="H28" s="33"/>
      <c r="I28" s="33"/>
      <c r="J28" s="33"/>
      <c r="K28" s="33"/>
      <c r="L28" s="35"/>
      <c r="M28" s="89">
        <v>45499</v>
      </c>
      <c r="N28" s="36"/>
      <c r="O28" s="36" t="s">
        <v>142</v>
      </c>
      <c r="P28" s="90" t="s">
        <v>225</v>
      </c>
      <c r="Q28" s="36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T28" s="25"/>
      <c r="CU28" s="25"/>
      <c r="DE28" s="25"/>
      <c r="DI28" s="25"/>
      <c r="DM28" s="25"/>
      <c r="DS28" s="25"/>
      <c r="DY28" s="25"/>
    </row>
    <row r="29" spans="2:144" s="24" customFormat="1" outlineLevel="1" x14ac:dyDescent="0.35">
      <c r="B29" s="22" t="s">
        <v>226</v>
      </c>
      <c r="C29" s="23" t="s">
        <v>227</v>
      </c>
      <c r="E29" s="25"/>
      <c r="L29" s="26"/>
      <c r="M29" s="87">
        <v>45560</v>
      </c>
      <c r="N29" s="27"/>
      <c r="O29" s="27" t="s">
        <v>142</v>
      </c>
      <c r="P29" s="88" t="s">
        <v>159</v>
      </c>
      <c r="Q29" s="27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</row>
    <row r="30" spans="2:144" s="24" customFormat="1" outlineLevel="1" x14ac:dyDescent="0.35">
      <c r="B30" s="31" t="s">
        <v>228</v>
      </c>
      <c r="C30" s="32" t="s">
        <v>229</v>
      </c>
      <c r="D30" s="33"/>
      <c r="E30" s="34"/>
      <c r="F30" s="33"/>
      <c r="G30" s="33"/>
      <c r="H30" s="33"/>
      <c r="I30" s="33"/>
      <c r="J30" s="33"/>
      <c r="K30" s="33"/>
      <c r="L30" s="35"/>
      <c r="M30" s="85">
        <v>45567</v>
      </c>
      <c r="N30" s="36"/>
      <c r="O30" s="36" t="s">
        <v>142</v>
      </c>
      <c r="P30" s="86" t="s">
        <v>160</v>
      </c>
      <c r="Q30" s="36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EB30" s="25"/>
    </row>
    <row r="31" spans="2:144" s="24" customFormat="1" outlineLevel="1" x14ac:dyDescent="0.35">
      <c r="B31" s="22" t="s">
        <v>230</v>
      </c>
      <c r="C31" s="23" t="s">
        <v>231</v>
      </c>
      <c r="E31" s="25"/>
      <c r="L31" s="26"/>
      <c r="M31" s="87">
        <v>45567</v>
      </c>
      <c r="N31" s="27"/>
      <c r="O31" s="27" t="s">
        <v>142</v>
      </c>
      <c r="P31" s="88" t="s">
        <v>159</v>
      </c>
      <c r="Q31" s="27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</row>
    <row r="32" spans="2:144" s="24" customFormat="1" outlineLevel="1" x14ac:dyDescent="0.35">
      <c r="B32" s="31" t="s">
        <v>232</v>
      </c>
      <c r="C32" s="32" t="s">
        <v>233</v>
      </c>
      <c r="D32" s="33"/>
      <c r="E32" s="34"/>
      <c r="F32" s="33"/>
      <c r="G32" s="33"/>
      <c r="H32" s="33"/>
      <c r="I32" s="33"/>
      <c r="J32" s="33"/>
      <c r="K32" s="33"/>
      <c r="L32" s="35"/>
      <c r="M32" s="85">
        <v>45567</v>
      </c>
      <c r="N32" s="36"/>
      <c r="O32" s="36" t="s">
        <v>142</v>
      </c>
      <c r="P32" s="86" t="s">
        <v>157</v>
      </c>
      <c r="Q32" s="36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</row>
    <row r="33" spans="2:100" s="24" customFormat="1" outlineLevel="1" x14ac:dyDescent="0.35">
      <c r="B33" s="22" t="s">
        <v>234</v>
      </c>
      <c r="C33" s="23" t="s">
        <v>235</v>
      </c>
      <c r="E33" s="25"/>
      <c r="L33" s="26"/>
      <c r="M33" s="87">
        <v>45567</v>
      </c>
      <c r="N33" s="27"/>
      <c r="O33" s="27" t="s">
        <v>142</v>
      </c>
      <c r="P33" s="88" t="s">
        <v>157</v>
      </c>
      <c r="Q33" s="27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</row>
    <row r="34" spans="2:100" s="24" customFormat="1" outlineLevel="1" x14ac:dyDescent="0.35">
      <c r="B34" s="31" t="s">
        <v>236</v>
      </c>
      <c r="C34" s="32" t="s">
        <v>237</v>
      </c>
      <c r="D34" s="33"/>
      <c r="E34" s="34"/>
      <c r="F34" s="33"/>
      <c r="G34" s="33"/>
      <c r="H34" s="33"/>
      <c r="I34" s="33"/>
      <c r="J34" s="33"/>
      <c r="K34" s="33"/>
      <c r="L34" s="35"/>
      <c r="M34" s="91" t="s">
        <v>155</v>
      </c>
      <c r="N34" s="36"/>
      <c r="O34" s="36" t="s">
        <v>142</v>
      </c>
      <c r="P34" s="92" t="s">
        <v>155</v>
      </c>
      <c r="Q34" s="36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</row>
    <row r="35" spans="2:100" s="24" customFormat="1" outlineLevel="1" x14ac:dyDescent="0.35">
      <c r="B35" s="31" t="s">
        <v>238</v>
      </c>
      <c r="C35" s="23" t="s">
        <v>170</v>
      </c>
      <c r="E35" s="25"/>
      <c r="L35" s="26"/>
      <c r="M35" s="87">
        <v>45626</v>
      </c>
      <c r="N35" s="27"/>
      <c r="O35" s="27" t="s">
        <v>142</v>
      </c>
      <c r="P35" s="92" t="s">
        <v>155</v>
      </c>
      <c r="Q35" s="27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P35" s="25"/>
    </row>
    <row r="36" spans="2:100" s="24" customFormat="1" outlineLevel="1" x14ac:dyDescent="0.35">
      <c r="B36" s="31" t="s">
        <v>239</v>
      </c>
      <c r="C36" s="32" t="s">
        <v>171</v>
      </c>
      <c r="D36" s="33"/>
      <c r="E36" s="34"/>
      <c r="F36" s="33"/>
      <c r="G36" s="33"/>
      <c r="H36" s="33"/>
      <c r="I36" s="33"/>
      <c r="J36" s="33"/>
      <c r="K36" s="33"/>
      <c r="L36" s="35"/>
      <c r="M36" s="85">
        <v>45632</v>
      </c>
      <c r="N36" s="36"/>
      <c r="O36" s="36" t="s">
        <v>142</v>
      </c>
      <c r="P36" s="92" t="s">
        <v>155</v>
      </c>
      <c r="Q36" s="36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</row>
    <row r="37" spans="2:100" x14ac:dyDescent="0.35">
      <c r="B37" s="21" t="s">
        <v>240</v>
      </c>
      <c r="C37" s="67" t="s">
        <v>241</v>
      </c>
      <c r="D37" s="51"/>
      <c r="E37" s="44"/>
      <c r="F37" s="43"/>
      <c r="G37" s="43"/>
      <c r="H37" s="43"/>
      <c r="I37" s="43"/>
      <c r="J37" s="43"/>
      <c r="K37" s="43"/>
      <c r="L37" s="45"/>
      <c r="M37" s="68"/>
      <c r="N37" s="46"/>
      <c r="O37" s="46"/>
      <c r="P37" s="46"/>
      <c r="Q37" s="46"/>
    </row>
    <row r="38" spans="2:100" s="24" customFormat="1" outlineLevel="1" x14ac:dyDescent="0.35">
      <c r="B38" s="52" t="s">
        <v>242</v>
      </c>
      <c r="C38" s="23" t="s">
        <v>243</v>
      </c>
      <c r="E38" s="25"/>
      <c r="L38" s="26"/>
      <c r="M38" s="101" t="s">
        <v>155</v>
      </c>
      <c r="N38" s="27"/>
      <c r="O38" s="27" t="s">
        <v>142</v>
      </c>
      <c r="P38" s="88" t="s">
        <v>161</v>
      </c>
      <c r="Q38" s="27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</row>
    <row r="39" spans="2:100" s="24" customFormat="1" outlineLevel="1" x14ac:dyDescent="0.35">
      <c r="B39" s="55" t="s">
        <v>244</v>
      </c>
      <c r="C39" s="23" t="s">
        <v>245</v>
      </c>
      <c r="E39" s="25"/>
      <c r="L39" s="26"/>
      <c r="M39" s="101" t="s">
        <v>155</v>
      </c>
      <c r="N39" s="27"/>
      <c r="O39" s="27" t="s">
        <v>142</v>
      </c>
      <c r="P39" s="88"/>
      <c r="Q39" s="27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</row>
    <row r="40" spans="2:100" s="24" customFormat="1" outlineLevel="1" x14ac:dyDescent="0.35">
      <c r="B40" s="52" t="s">
        <v>246</v>
      </c>
      <c r="C40" s="23" t="s">
        <v>247</v>
      </c>
      <c r="E40" s="25"/>
      <c r="L40" s="26"/>
      <c r="M40" s="101" t="s">
        <v>155</v>
      </c>
      <c r="N40" s="27"/>
      <c r="O40" s="27" t="s">
        <v>142</v>
      </c>
      <c r="P40" s="88" t="s">
        <v>157</v>
      </c>
      <c r="Q40" s="27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</row>
    <row r="41" spans="2:100" s="24" customFormat="1" outlineLevel="1" x14ac:dyDescent="0.35">
      <c r="B41" s="55" t="s">
        <v>248</v>
      </c>
      <c r="C41" s="53" t="s">
        <v>163</v>
      </c>
      <c r="D41" s="54"/>
      <c r="E41" s="54"/>
      <c r="F41" s="33"/>
      <c r="G41" s="33"/>
      <c r="H41" s="33"/>
      <c r="I41" s="33"/>
      <c r="J41" s="33"/>
      <c r="K41" s="33"/>
      <c r="L41" s="35"/>
      <c r="M41" s="85">
        <v>45478</v>
      </c>
      <c r="N41" s="36"/>
      <c r="O41" s="36" t="s">
        <v>142</v>
      </c>
      <c r="P41" s="86" t="s">
        <v>164</v>
      </c>
      <c r="Q41" s="36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</row>
    <row r="42" spans="2:100" s="24" customFormat="1" outlineLevel="1" x14ac:dyDescent="0.35">
      <c r="B42" s="31" t="s">
        <v>249</v>
      </c>
      <c r="C42" s="56" t="s">
        <v>165</v>
      </c>
      <c r="D42" s="57"/>
      <c r="E42" s="57"/>
      <c r="L42" s="26"/>
      <c r="M42" s="87">
        <v>45482</v>
      </c>
      <c r="N42" s="27"/>
      <c r="O42" s="27" t="s">
        <v>142</v>
      </c>
      <c r="P42" s="88" t="s">
        <v>166</v>
      </c>
      <c r="Q42" s="27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O42" s="25"/>
      <c r="CV42" s="25"/>
    </row>
    <row r="43" spans="2:100" s="24" customFormat="1" outlineLevel="1" x14ac:dyDescent="0.35">
      <c r="B43" s="22" t="s">
        <v>250</v>
      </c>
      <c r="C43" s="53" t="s">
        <v>167</v>
      </c>
      <c r="D43" s="54"/>
      <c r="E43" s="54"/>
      <c r="F43" s="33"/>
      <c r="G43" s="33"/>
      <c r="H43" s="33"/>
      <c r="I43" s="33"/>
      <c r="J43" s="33"/>
      <c r="K43" s="33"/>
      <c r="L43" s="35"/>
      <c r="M43" s="85">
        <v>45484</v>
      </c>
      <c r="N43" s="36"/>
      <c r="O43" s="36" t="s">
        <v>142</v>
      </c>
      <c r="P43" s="86" t="s">
        <v>157</v>
      </c>
      <c r="Q43" s="36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</row>
    <row r="44" spans="2:100" s="24" customFormat="1" outlineLevel="1" x14ac:dyDescent="0.35">
      <c r="B44" s="31" t="s">
        <v>251</v>
      </c>
      <c r="C44" s="56" t="s">
        <v>222</v>
      </c>
      <c r="D44" s="57"/>
      <c r="E44" s="57"/>
      <c r="L44" s="26"/>
      <c r="M44" s="87">
        <v>45483</v>
      </c>
      <c r="N44" s="27"/>
      <c r="O44" s="27" t="s">
        <v>142</v>
      </c>
      <c r="P44" s="88" t="s">
        <v>168</v>
      </c>
      <c r="Q44" s="27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</row>
    <row r="45" spans="2:100" s="24" customFormat="1" outlineLevel="1" x14ac:dyDescent="0.35">
      <c r="B45" s="22" t="s">
        <v>252</v>
      </c>
      <c r="C45" s="32" t="s">
        <v>253</v>
      </c>
      <c r="D45" s="58"/>
      <c r="E45" s="58"/>
      <c r="F45" s="33"/>
      <c r="G45" s="33"/>
      <c r="H45" s="33"/>
      <c r="I45" s="33"/>
      <c r="J45" s="33"/>
      <c r="K45" s="33"/>
      <c r="L45" s="35"/>
      <c r="M45" s="85">
        <v>45485</v>
      </c>
      <c r="N45" s="36"/>
      <c r="O45" s="36" t="s">
        <v>142</v>
      </c>
      <c r="P45" s="86" t="s">
        <v>157</v>
      </c>
      <c r="Q45" s="36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</row>
    <row r="46" spans="2:100" s="24" customFormat="1" outlineLevel="1" x14ac:dyDescent="0.35">
      <c r="B46" s="49" t="s">
        <v>254</v>
      </c>
      <c r="C46" s="42" t="s">
        <v>255</v>
      </c>
      <c r="L46" s="26"/>
      <c r="M46" s="93">
        <v>45499</v>
      </c>
      <c r="N46" s="27"/>
      <c r="O46" s="27" t="s">
        <v>142</v>
      </c>
      <c r="P46" s="94" t="s">
        <v>225</v>
      </c>
      <c r="Q46" s="27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</row>
    <row r="47" spans="2:100" s="24" customFormat="1" outlineLevel="1" x14ac:dyDescent="0.35">
      <c r="B47" s="22" t="s">
        <v>256</v>
      </c>
      <c r="C47" s="32" t="s">
        <v>257</v>
      </c>
      <c r="D47" s="33"/>
      <c r="E47" s="33"/>
      <c r="F47" s="33"/>
      <c r="G47" s="33"/>
      <c r="H47" s="33"/>
      <c r="I47" s="33"/>
      <c r="J47" s="33"/>
      <c r="K47" s="33"/>
      <c r="L47" s="35"/>
      <c r="M47" s="85">
        <v>45501</v>
      </c>
      <c r="N47" s="36"/>
      <c r="O47" s="36" t="s">
        <v>142</v>
      </c>
      <c r="P47" s="86" t="s">
        <v>258</v>
      </c>
      <c r="Q47" s="36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</row>
    <row r="48" spans="2:100" s="24" customFormat="1" outlineLevel="1" x14ac:dyDescent="0.35">
      <c r="B48" s="31" t="s">
        <v>259</v>
      </c>
      <c r="C48" s="23" t="s">
        <v>260</v>
      </c>
      <c r="L48" s="26"/>
      <c r="M48" s="87">
        <v>45501</v>
      </c>
      <c r="N48" s="27"/>
      <c r="O48" s="27" t="s">
        <v>142</v>
      </c>
      <c r="P48" s="88" t="s">
        <v>160</v>
      </c>
      <c r="Q48" s="27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</row>
    <row r="49" spans="2:132" s="24" customFormat="1" outlineLevel="1" x14ac:dyDescent="0.35">
      <c r="B49" s="31" t="s">
        <v>261</v>
      </c>
      <c r="C49" s="32" t="s">
        <v>169</v>
      </c>
      <c r="D49" s="33"/>
      <c r="E49" s="33"/>
      <c r="F49" s="33"/>
      <c r="G49" s="33"/>
      <c r="H49" s="33"/>
      <c r="I49" s="33"/>
      <c r="J49" s="33"/>
      <c r="K49" s="33"/>
      <c r="L49" s="35"/>
      <c r="M49" s="91" t="s">
        <v>155</v>
      </c>
      <c r="N49" s="36"/>
      <c r="O49" s="36" t="s">
        <v>142</v>
      </c>
      <c r="P49" s="92" t="s">
        <v>155</v>
      </c>
      <c r="Q49" s="36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</row>
    <row r="50" spans="2:132" s="24" customFormat="1" outlineLevel="1" x14ac:dyDescent="0.35">
      <c r="B50" s="31" t="s">
        <v>262</v>
      </c>
      <c r="C50" s="23" t="s">
        <v>170</v>
      </c>
      <c r="L50" s="26"/>
      <c r="M50" s="87">
        <v>45626</v>
      </c>
      <c r="N50" s="27"/>
      <c r="O50" s="27" t="s">
        <v>142</v>
      </c>
      <c r="P50" s="92" t="s">
        <v>155</v>
      </c>
      <c r="Q50" s="27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T50" s="25"/>
      <c r="CZ50" s="25"/>
      <c r="DI50" s="25"/>
      <c r="DJ50" s="25"/>
      <c r="DT50" s="25"/>
      <c r="EB50" s="25"/>
    </row>
    <row r="51" spans="2:132" s="24" customFormat="1" outlineLevel="1" x14ac:dyDescent="0.35">
      <c r="B51" s="31" t="s">
        <v>263</v>
      </c>
      <c r="C51" s="32" t="s">
        <v>171</v>
      </c>
      <c r="D51" s="33"/>
      <c r="E51" s="33"/>
      <c r="F51" s="33"/>
      <c r="G51" s="33"/>
      <c r="H51" s="33"/>
      <c r="I51" s="33"/>
      <c r="J51" s="33"/>
      <c r="K51" s="33"/>
      <c r="L51" s="35"/>
      <c r="M51" s="85">
        <v>45632</v>
      </c>
      <c r="N51" s="36"/>
      <c r="O51" s="36" t="s">
        <v>142</v>
      </c>
      <c r="P51" s="92" t="s">
        <v>155</v>
      </c>
      <c r="Q51" s="36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DS51" s="25"/>
    </row>
    <row r="52" spans="2:132" x14ac:dyDescent="0.35">
      <c r="B52" s="21" t="s">
        <v>264</v>
      </c>
      <c r="C52" s="67" t="s">
        <v>265</v>
      </c>
      <c r="D52" s="43"/>
      <c r="E52" s="44"/>
      <c r="F52" s="43"/>
      <c r="G52" s="43"/>
      <c r="H52" s="43"/>
      <c r="I52" s="43"/>
      <c r="J52" s="43"/>
      <c r="K52" s="43"/>
      <c r="L52" s="45"/>
      <c r="M52" s="68"/>
      <c r="N52" s="46"/>
      <c r="O52" s="46"/>
      <c r="P52" s="46"/>
      <c r="Q52" s="46"/>
    </row>
    <row r="53" spans="2:132" s="24" customFormat="1" outlineLevel="1" x14ac:dyDescent="0.35">
      <c r="B53" s="31" t="s">
        <v>266</v>
      </c>
      <c r="C53" s="32" t="s">
        <v>163</v>
      </c>
      <c r="D53" s="33"/>
      <c r="E53" s="34"/>
      <c r="F53" s="33"/>
      <c r="G53" s="33"/>
      <c r="H53" s="33"/>
      <c r="I53" s="33"/>
      <c r="J53" s="33"/>
      <c r="K53" s="33"/>
      <c r="L53" s="35"/>
      <c r="M53" s="85">
        <v>45478</v>
      </c>
      <c r="N53" s="36"/>
      <c r="O53" s="36" t="s">
        <v>142</v>
      </c>
      <c r="P53" s="86" t="s">
        <v>164</v>
      </c>
      <c r="Q53" s="36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Q53" s="25"/>
      <c r="CZ53" s="25"/>
      <c r="DK53" s="25"/>
      <c r="DS53" s="25"/>
    </row>
    <row r="54" spans="2:132" s="24" customFormat="1" outlineLevel="1" x14ac:dyDescent="0.35">
      <c r="B54" s="22" t="s">
        <v>267</v>
      </c>
      <c r="C54" s="23" t="s">
        <v>165</v>
      </c>
      <c r="E54" s="25"/>
      <c r="L54" s="26"/>
      <c r="M54" s="87">
        <v>45482</v>
      </c>
      <c r="N54" s="27"/>
      <c r="O54" s="27" t="s">
        <v>142</v>
      </c>
      <c r="P54" s="88" t="s">
        <v>166</v>
      </c>
      <c r="Q54" s="27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</row>
    <row r="55" spans="2:132" s="24" customFormat="1" outlineLevel="1" x14ac:dyDescent="0.35">
      <c r="B55" s="31" t="s">
        <v>268</v>
      </c>
      <c r="C55" s="32" t="s">
        <v>167</v>
      </c>
      <c r="D55" s="33"/>
      <c r="E55" s="34"/>
      <c r="F55" s="33"/>
      <c r="G55" s="33"/>
      <c r="H55" s="33"/>
      <c r="I55" s="33"/>
      <c r="J55" s="33"/>
      <c r="K55" s="33"/>
      <c r="L55" s="35"/>
      <c r="M55" s="85">
        <v>45484</v>
      </c>
      <c r="N55" s="36"/>
      <c r="O55" s="36" t="s">
        <v>142</v>
      </c>
      <c r="P55" s="86" t="s">
        <v>157</v>
      </c>
      <c r="Q55" s="36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</row>
    <row r="56" spans="2:132" s="24" customFormat="1" outlineLevel="1" x14ac:dyDescent="0.35">
      <c r="B56" s="22" t="s">
        <v>269</v>
      </c>
      <c r="C56" s="23" t="s">
        <v>222</v>
      </c>
      <c r="E56" s="25"/>
      <c r="L56" s="26"/>
      <c r="M56" s="87">
        <v>45483</v>
      </c>
      <c r="N56" s="27"/>
      <c r="O56" s="27" t="s">
        <v>142</v>
      </c>
      <c r="P56" s="88" t="s">
        <v>168</v>
      </c>
      <c r="Q56" s="27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</row>
    <row r="57" spans="2:132" s="24" customFormat="1" outlineLevel="1" x14ac:dyDescent="0.35">
      <c r="B57" s="31" t="s">
        <v>270</v>
      </c>
      <c r="C57" s="32" t="s">
        <v>253</v>
      </c>
      <c r="D57" s="33"/>
      <c r="E57" s="34"/>
      <c r="F57" s="33"/>
      <c r="G57" s="33"/>
      <c r="H57" s="33"/>
      <c r="I57" s="33"/>
      <c r="J57" s="33"/>
      <c r="K57" s="33"/>
      <c r="L57" s="35"/>
      <c r="M57" s="85">
        <v>45485</v>
      </c>
      <c r="N57" s="36"/>
      <c r="O57" s="36" t="s">
        <v>142</v>
      </c>
      <c r="P57" s="86" t="s">
        <v>157</v>
      </c>
      <c r="Q57" s="36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DZ57" s="25"/>
    </row>
    <row r="58" spans="2:132" s="24" customFormat="1" outlineLevel="1" x14ac:dyDescent="0.35">
      <c r="B58" s="41" t="s">
        <v>271</v>
      </c>
      <c r="C58" s="42" t="s">
        <v>272</v>
      </c>
      <c r="E58" s="25"/>
      <c r="L58" s="26"/>
      <c r="M58" s="93">
        <v>45499</v>
      </c>
      <c r="N58" s="27"/>
      <c r="O58" s="27" t="s">
        <v>142</v>
      </c>
      <c r="P58" s="94" t="s">
        <v>225</v>
      </c>
      <c r="Q58" s="27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</row>
    <row r="59" spans="2:132" s="24" customFormat="1" outlineLevel="1" x14ac:dyDescent="0.35">
      <c r="B59" s="31" t="s">
        <v>273</v>
      </c>
      <c r="C59" s="32" t="s">
        <v>257</v>
      </c>
      <c r="D59" s="33"/>
      <c r="E59" s="34"/>
      <c r="F59" s="33"/>
      <c r="G59" s="33"/>
      <c r="H59" s="33"/>
      <c r="I59" s="33"/>
      <c r="J59" s="33"/>
      <c r="K59" s="33"/>
      <c r="L59" s="35"/>
      <c r="M59" s="85">
        <v>45501</v>
      </c>
      <c r="N59" s="36"/>
      <c r="O59" s="36" t="s">
        <v>142</v>
      </c>
      <c r="P59" s="86" t="s">
        <v>258</v>
      </c>
      <c r="Q59" s="36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</row>
    <row r="60" spans="2:132" s="24" customFormat="1" outlineLevel="1" x14ac:dyDescent="0.35">
      <c r="B60" s="22" t="s">
        <v>274</v>
      </c>
      <c r="C60" s="23" t="s">
        <v>260</v>
      </c>
      <c r="E60" s="25"/>
      <c r="L60" s="26"/>
      <c r="M60" s="87">
        <v>45501</v>
      </c>
      <c r="N60" s="27"/>
      <c r="O60" s="27" t="s">
        <v>142</v>
      </c>
      <c r="P60" s="88" t="s">
        <v>160</v>
      </c>
      <c r="Q60" s="27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</row>
    <row r="61" spans="2:132" s="24" customFormat="1" outlineLevel="1" x14ac:dyDescent="0.35">
      <c r="B61" s="31" t="s">
        <v>275</v>
      </c>
      <c r="C61" s="32" t="s">
        <v>169</v>
      </c>
      <c r="D61" s="33"/>
      <c r="E61" s="34"/>
      <c r="F61" s="33"/>
      <c r="G61" s="33"/>
      <c r="H61" s="33"/>
      <c r="I61" s="33"/>
      <c r="J61" s="33"/>
      <c r="K61" s="33"/>
      <c r="L61" s="35"/>
      <c r="M61" s="91" t="s">
        <v>155</v>
      </c>
      <c r="N61" s="36"/>
      <c r="O61" s="36" t="s">
        <v>142</v>
      </c>
      <c r="P61" s="92" t="s">
        <v>155</v>
      </c>
      <c r="Q61" s="36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</row>
    <row r="62" spans="2:132" s="24" customFormat="1" outlineLevel="1" x14ac:dyDescent="0.35">
      <c r="B62" s="22" t="s">
        <v>276</v>
      </c>
      <c r="C62" s="23" t="s">
        <v>170</v>
      </c>
      <c r="E62" s="25"/>
      <c r="L62" s="26"/>
      <c r="M62" s="87">
        <v>45626</v>
      </c>
      <c r="N62" s="27"/>
      <c r="O62" s="27" t="s">
        <v>142</v>
      </c>
      <c r="P62" s="92" t="s">
        <v>155</v>
      </c>
      <c r="Q62" s="27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</row>
    <row r="63" spans="2:132" s="24" customFormat="1" outlineLevel="1" x14ac:dyDescent="0.35">
      <c r="B63" s="31" t="s">
        <v>277</v>
      </c>
      <c r="C63" s="32" t="s">
        <v>171</v>
      </c>
      <c r="D63" s="33"/>
      <c r="E63" s="34"/>
      <c r="F63" s="33"/>
      <c r="G63" s="33"/>
      <c r="H63" s="33"/>
      <c r="I63" s="33"/>
      <c r="J63" s="33"/>
      <c r="K63" s="33"/>
      <c r="L63" s="35"/>
      <c r="M63" s="85">
        <v>45632</v>
      </c>
      <c r="N63" s="36"/>
      <c r="O63" s="36" t="s">
        <v>142</v>
      </c>
      <c r="P63" s="92" t="s">
        <v>155</v>
      </c>
      <c r="Q63" s="36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</row>
    <row r="64" spans="2:132" x14ac:dyDescent="0.35">
      <c r="M64" s="59"/>
      <c r="N64" s="27"/>
      <c r="O64" s="27"/>
      <c r="P64" s="27"/>
      <c r="Q64" s="27"/>
    </row>
    <row r="65" spans="2:155" x14ac:dyDescent="0.35">
      <c r="B65" s="31"/>
      <c r="C65" s="32"/>
      <c r="D65" s="33"/>
      <c r="E65" s="34"/>
      <c r="F65" s="33"/>
      <c r="G65" s="33"/>
      <c r="H65" s="33"/>
      <c r="I65" s="33"/>
      <c r="J65" s="33"/>
      <c r="K65" s="33"/>
      <c r="L65" s="35"/>
      <c r="M65" s="60"/>
      <c r="N65" s="36"/>
      <c r="O65" s="36"/>
      <c r="P65" s="36"/>
      <c r="Q65" s="36"/>
    </row>
    <row r="66" spans="2:155" x14ac:dyDescent="0.35">
      <c r="N66" s="27"/>
      <c r="O66" s="27"/>
      <c r="P66" s="27"/>
      <c r="Q66" s="27"/>
    </row>
    <row r="67" spans="2:155" x14ac:dyDescent="0.35">
      <c r="B67" s="61"/>
      <c r="C67" s="32"/>
      <c r="D67" s="33"/>
      <c r="E67" s="34"/>
      <c r="F67" s="33"/>
      <c r="G67" s="33"/>
      <c r="H67" s="33"/>
      <c r="I67" s="33"/>
      <c r="J67" s="33"/>
      <c r="K67" s="33"/>
      <c r="L67" s="35"/>
      <c r="M67" s="35"/>
      <c r="N67" s="36"/>
      <c r="O67" s="36"/>
      <c r="P67" s="36"/>
      <c r="Q67" s="36"/>
    </row>
    <row r="68" spans="2:155" x14ac:dyDescent="0.35">
      <c r="B68" s="62"/>
      <c r="C68" s="71"/>
      <c r="N68" s="27"/>
      <c r="O68" s="27"/>
      <c r="P68" s="27"/>
      <c r="Q68" s="27"/>
    </row>
    <row r="69" spans="2:155" x14ac:dyDescent="0.35">
      <c r="B69" s="31"/>
      <c r="C69" s="70"/>
      <c r="D69" s="54"/>
      <c r="E69" s="34"/>
      <c r="F69" s="33"/>
      <c r="G69" s="33"/>
      <c r="H69" s="33"/>
      <c r="I69" s="33"/>
      <c r="J69" s="33"/>
      <c r="K69" s="33"/>
      <c r="L69" s="35"/>
      <c r="M69" s="35"/>
      <c r="N69" s="36"/>
      <c r="O69" s="36"/>
      <c r="P69" s="36"/>
      <c r="Q69" s="36"/>
    </row>
    <row r="70" spans="2:155" x14ac:dyDescent="0.35">
      <c r="C70" s="69"/>
      <c r="N70" s="27"/>
      <c r="O70" s="27"/>
      <c r="P70" s="27"/>
      <c r="Q70" s="27"/>
    </row>
    <row r="71" spans="2:155" x14ac:dyDescent="0.35">
      <c r="B71" s="31"/>
      <c r="C71" s="70"/>
      <c r="D71" s="33"/>
      <c r="E71" s="34"/>
      <c r="F71" s="33"/>
      <c r="G71" s="33"/>
      <c r="H71" s="33"/>
      <c r="I71" s="33"/>
      <c r="J71" s="33"/>
      <c r="K71" s="33"/>
      <c r="L71" s="35"/>
      <c r="M71" s="35"/>
      <c r="N71" s="36"/>
      <c r="O71" s="36"/>
      <c r="P71" s="36"/>
      <c r="Q71" s="36"/>
    </row>
    <row r="72" spans="2:155" x14ac:dyDescent="0.35">
      <c r="C72" s="42"/>
      <c r="N72" s="27"/>
      <c r="O72" s="27"/>
      <c r="P72" s="27"/>
      <c r="Q72" s="27"/>
    </row>
    <row r="73" spans="2:155" x14ac:dyDescent="0.35">
      <c r="B73" s="31"/>
      <c r="C73" s="32"/>
      <c r="D73" s="33"/>
      <c r="E73" s="34"/>
      <c r="F73" s="33"/>
      <c r="G73" s="33"/>
      <c r="H73" s="33"/>
      <c r="I73" s="33"/>
      <c r="J73" s="33"/>
      <c r="K73" s="33"/>
      <c r="L73" s="35"/>
      <c r="M73" s="35"/>
      <c r="N73" s="36"/>
      <c r="O73" s="36"/>
      <c r="P73" s="36"/>
      <c r="Q73" s="36"/>
    </row>
    <row r="74" spans="2:155" x14ac:dyDescent="0.35">
      <c r="N74" s="27"/>
      <c r="O74" s="27"/>
      <c r="P74" s="27"/>
      <c r="Q74" s="27"/>
    </row>
    <row r="75" spans="2:155" x14ac:dyDescent="0.35">
      <c r="B75" s="31"/>
      <c r="C75" s="32"/>
      <c r="D75" s="33"/>
      <c r="E75" s="34"/>
      <c r="F75" s="33"/>
      <c r="G75" s="33"/>
      <c r="H75" s="33"/>
      <c r="I75" s="33"/>
      <c r="J75" s="33"/>
      <c r="K75" s="33"/>
      <c r="L75" s="35"/>
      <c r="M75" s="35"/>
      <c r="N75" s="36"/>
      <c r="O75" s="36"/>
      <c r="P75" s="36"/>
      <c r="Q75" s="36"/>
    </row>
    <row r="76" spans="2:155" x14ac:dyDescent="0.35">
      <c r="D76" s="57"/>
      <c r="N76" s="27"/>
      <c r="O76" s="27"/>
      <c r="P76" s="27"/>
      <c r="Q76" s="27"/>
    </row>
    <row r="77" spans="2:155" x14ac:dyDescent="0.35">
      <c r="B77" s="31"/>
      <c r="C77" s="32"/>
      <c r="D77" s="33"/>
      <c r="E77" s="34"/>
      <c r="F77" s="33"/>
      <c r="G77" s="33"/>
      <c r="H77" s="33"/>
      <c r="I77" s="33"/>
      <c r="J77" s="33"/>
      <c r="K77" s="33"/>
      <c r="L77" s="35"/>
      <c r="M77" s="35"/>
      <c r="N77" s="36"/>
      <c r="O77" s="36"/>
      <c r="P77" s="36"/>
      <c r="Q77" s="36"/>
    </row>
    <row r="78" spans="2:155" x14ac:dyDescent="0.35">
      <c r="N78" s="27"/>
      <c r="O78" s="27"/>
      <c r="P78" s="27"/>
      <c r="Q78" s="27"/>
    </row>
    <row r="79" spans="2:155" x14ac:dyDescent="0.35">
      <c r="B79" s="31"/>
      <c r="C79" s="32"/>
      <c r="D79" s="33"/>
      <c r="E79" s="34"/>
      <c r="F79" s="33"/>
      <c r="G79" s="33"/>
      <c r="H79" s="33"/>
      <c r="I79" s="33"/>
      <c r="J79" s="33"/>
      <c r="K79" s="33"/>
      <c r="L79" s="35"/>
      <c r="M79" s="35"/>
      <c r="N79" s="36"/>
      <c r="O79" s="36"/>
      <c r="P79" s="36"/>
      <c r="Q79" s="36"/>
    </row>
    <row r="80" spans="2:155" x14ac:dyDescent="0.35">
      <c r="C80" s="42"/>
      <c r="N80" s="27"/>
      <c r="O80" s="27"/>
      <c r="P80" s="27"/>
      <c r="Q80" s="27"/>
      <c r="CY80" s="39"/>
      <c r="EY80" s="39"/>
    </row>
    <row r="81" spans="2:17" x14ac:dyDescent="0.35">
      <c r="B81" s="31"/>
      <c r="C81" s="32"/>
      <c r="D81" s="33"/>
      <c r="E81" s="34"/>
      <c r="F81" s="33"/>
      <c r="G81" s="33"/>
      <c r="H81" s="33"/>
      <c r="I81" s="33"/>
      <c r="J81" s="33"/>
      <c r="K81" s="33"/>
      <c r="L81" s="35"/>
      <c r="M81" s="35"/>
      <c r="N81" s="36"/>
      <c r="O81" s="36"/>
      <c r="P81" s="36"/>
      <c r="Q81" s="36"/>
    </row>
    <row r="82" spans="2:17" x14ac:dyDescent="0.35">
      <c r="N82" s="27"/>
      <c r="O82" s="27"/>
      <c r="P82" s="27"/>
      <c r="Q82" s="27"/>
    </row>
    <row r="83" spans="2:17" x14ac:dyDescent="0.35">
      <c r="B83" s="31"/>
      <c r="C83" s="32"/>
      <c r="D83" s="33"/>
      <c r="E83" s="34"/>
      <c r="F83" s="33"/>
      <c r="G83" s="33"/>
      <c r="H83" s="33"/>
      <c r="I83" s="33"/>
      <c r="J83" s="33"/>
      <c r="K83" s="33"/>
      <c r="L83" s="35"/>
      <c r="M83" s="35"/>
      <c r="N83" s="36"/>
      <c r="O83" s="36"/>
      <c r="P83" s="36"/>
      <c r="Q83" s="36"/>
    </row>
    <row r="84" spans="2:17" x14ac:dyDescent="0.35">
      <c r="N84" s="27"/>
      <c r="O84" s="27"/>
      <c r="P84" s="27"/>
      <c r="Q84" s="27"/>
    </row>
    <row r="85" spans="2:17" x14ac:dyDescent="0.35">
      <c r="B85" s="31"/>
      <c r="C85" s="32"/>
      <c r="D85" s="33"/>
      <c r="E85" s="34"/>
      <c r="F85" s="33"/>
      <c r="G85" s="33"/>
      <c r="H85" s="33"/>
      <c r="I85" s="33"/>
      <c r="J85" s="33"/>
      <c r="K85" s="33"/>
      <c r="L85" s="35"/>
      <c r="M85" s="35"/>
      <c r="N85" s="36"/>
      <c r="O85" s="36"/>
      <c r="P85" s="36"/>
      <c r="Q85" s="36"/>
    </row>
    <row r="86" spans="2:17" x14ac:dyDescent="0.35">
      <c r="N86" s="27"/>
      <c r="O86" s="27"/>
      <c r="P86" s="27"/>
      <c r="Q86" s="27"/>
    </row>
    <row r="87" spans="2:17" x14ac:dyDescent="0.35">
      <c r="B87" s="31"/>
      <c r="C87" s="32"/>
      <c r="D87" s="33"/>
      <c r="E87" s="34"/>
      <c r="F87" s="33"/>
      <c r="G87" s="33"/>
      <c r="H87" s="33"/>
      <c r="I87" s="33"/>
      <c r="J87" s="33"/>
      <c r="K87" s="33"/>
      <c r="L87" s="35"/>
      <c r="M87" s="35"/>
      <c r="N87" s="36"/>
      <c r="O87" s="36"/>
      <c r="P87" s="36"/>
      <c r="Q87" s="36"/>
    </row>
    <row r="88" spans="2:17" x14ac:dyDescent="0.35">
      <c r="N88" s="27"/>
      <c r="O88" s="27"/>
      <c r="P88" s="27"/>
      <c r="Q88" s="27"/>
    </row>
    <row r="89" spans="2:17" x14ac:dyDescent="0.35">
      <c r="B89" s="31"/>
      <c r="C89" s="32"/>
      <c r="D89" s="33"/>
      <c r="E89" s="34"/>
      <c r="F89" s="33"/>
      <c r="G89" s="33"/>
      <c r="H89" s="33"/>
      <c r="I89" s="33"/>
      <c r="J89" s="33"/>
      <c r="K89" s="33"/>
      <c r="L89" s="35"/>
      <c r="M89" s="35"/>
      <c r="N89" s="36"/>
      <c r="O89" s="36"/>
      <c r="P89" s="36"/>
      <c r="Q89" s="36"/>
    </row>
    <row r="90" spans="2:17" x14ac:dyDescent="0.35">
      <c r="N90" s="27"/>
      <c r="O90" s="27"/>
      <c r="P90" s="27"/>
      <c r="Q90" s="27"/>
    </row>
    <row r="91" spans="2:17" x14ac:dyDescent="0.35">
      <c r="B91" s="31"/>
      <c r="C91" s="32"/>
      <c r="D91" s="33"/>
      <c r="E91" s="34"/>
      <c r="F91" s="33"/>
      <c r="G91" s="33"/>
      <c r="H91" s="33"/>
      <c r="I91" s="33"/>
      <c r="J91" s="33"/>
      <c r="K91" s="33"/>
      <c r="L91" s="35"/>
      <c r="M91" s="35"/>
      <c r="N91" s="36"/>
      <c r="O91" s="36"/>
      <c r="P91" s="36"/>
      <c r="Q91" s="36"/>
    </row>
    <row r="92" spans="2:17" x14ac:dyDescent="0.35">
      <c r="N92" s="27"/>
      <c r="O92" s="27"/>
      <c r="P92" s="27"/>
      <c r="Q92" s="27"/>
    </row>
    <row r="93" spans="2:17" x14ac:dyDescent="0.35">
      <c r="B93" s="31"/>
      <c r="C93" s="32"/>
      <c r="D93" s="33"/>
      <c r="E93" s="34"/>
      <c r="F93" s="33"/>
      <c r="G93" s="33"/>
      <c r="H93" s="33"/>
      <c r="I93" s="33"/>
      <c r="J93" s="33"/>
      <c r="K93" s="33"/>
      <c r="L93" s="35"/>
      <c r="M93" s="35"/>
      <c r="N93" s="36"/>
      <c r="O93" s="36"/>
      <c r="P93" s="36"/>
      <c r="Q93" s="36"/>
    </row>
    <row r="94" spans="2:17" x14ac:dyDescent="0.35">
      <c r="N94" s="27"/>
      <c r="O94" s="27"/>
      <c r="P94" s="27"/>
      <c r="Q94" s="27"/>
    </row>
    <row r="95" spans="2:17" x14ac:dyDescent="0.35">
      <c r="B95" s="31"/>
      <c r="C95" s="32"/>
      <c r="D95" s="33"/>
      <c r="E95" s="34"/>
      <c r="F95" s="33"/>
      <c r="G95" s="33"/>
      <c r="H95" s="33"/>
      <c r="I95" s="33"/>
      <c r="J95" s="33"/>
      <c r="K95" s="33"/>
      <c r="L95" s="35"/>
      <c r="M95" s="35"/>
      <c r="N95" s="36"/>
      <c r="O95" s="36"/>
      <c r="P95" s="36"/>
      <c r="Q95" s="36"/>
    </row>
    <row r="96" spans="2:17" x14ac:dyDescent="0.35">
      <c r="N96" s="27"/>
      <c r="O96" s="27"/>
      <c r="P96" s="27"/>
      <c r="Q96" s="27"/>
    </row>
    <row r="97" spans="2:161" x14ac:dyDescent="0.35">
      <c r="B97" s="31"/>
      <c r="C97" s="32"/>
      <c r="D97" s="33"/>
      <c r="E97" s="34"/>
      <c r="F97" s="33"/>
      <c r="G97" s="33"/>
      <c r="H97" s="33"/>
      <c r="I97" s="33"/>
      <c r="J97" s="33"/>
      <c r="K97" s="33"/>
      <c r="L97" s="35"/>
      <c r="M97" s="35"/>
      <c r="N97" s="36"/>
      <c r="O97" s="36"/>
      <c r="P97" s="36"/>
      <c r="Q97" s="36"/>
    </row>
    <row r="98" spans="2:161" x14ac:dyDescent="0.35">
      <c r="N98" s="27"/>
      <c r="O98" s="27"/>
      <c r="P98" s="27"/>
      <c r="Q98" s="27"/>
    </row>
    <row r="99" spans="2:161" x14ac:dyDescent="0.35">
      <c r="B99" s="31"/>
      <c r="C99" s="32"/>
      <c r="D99" s="33"/>
      <c r="E99" s="34"/>
      <c r="F99" s="33"/>
      <c r="G99" s="33"/>
      <c r="H99" s="33"/>
      <c r="I99" s="33"/>
      <c r="J99" s="33"/>
      <c r="K99" s="33"/>
      <c r="L99" s="35"/>
      <c r="M99" s="35"/>
      <c r="N99" s="36"/>
      <c r="O99" s="36"/>
      <c r="P99" s="36"/>
      <c r="Q99" s="36"/>
    </row>
    <row r="100" spans="2:161" x14ac:dyDescent="0.35">
      <c r="N100" s="27"/>
      <c r="O100" s="27"/>
      <c r="P100" s="27"/>
      <c r="Q100" s="27"/>
    </row>
    <row r="101" spans="2:161" x14ac:dyDescent="0.35">
      <c r="B101" s="31"/>
      <c r="C101" s="32"/>
      <c r="D101" s="33"/>
      <c r="E101" s="34"/>
      <c r="F101" s="33"/>
      <c r="G101" s="33"/>
      <c r="H101" s="33"/>
      <c r="I101" s="33"/>
      <c r="J101" s="33"/>
      <c r="K101" s="33"/>
      <c r="L101" s="35"/>
      <c r="M101" s="35"/>
      <c r="N101" s="36"/>
      <c r="O101" s="36"/>
      <c r="P101" s="36"/>
      <c r="Q101" s="36"/>
    </row>
    <row r="102" spans="2:161" x14ac:dyDescent="0.35">
      <c r="N102" s="27"/>
      <c r="O102" s="27"/>
      <c r="P102" s="27"/>
      <c r="Q102" s="27"/>
    </row>
    <row r="103" spans="2:161" x14ac:dyDescent="0.35">
      <c r="B103" s="31"/>
      <c r="C103" s="32"/>
      <c r="D103" s="33"/>
      <c r="E103" s="34"/>
      <c r="F103" s="33"/>
      <c r="G103" s="33"/>
      <c r="H103" s="33"/>
      <c r="I103" s="33"/>
      <c r="J103" s="33"/>
      <c r="K103" s="33"/>
      <c r="L103" s="35"/>
      <c r="M103" s="35"/>
      <c r="N103" s="36"/>
      <c r="O103" s="36"/>
      <c r="P103" s="36"/>
      <c r="Q103" s="36"/>
    </row>
    <row r="104" spans="2:161" x14ac:dyDescent="0.35">
      <c r="N104" s="27"/>
      <c r="O104" s="27"/>
      <c r="P104" s="27"/>
      <c r="Q104" s="27"/>
    </row>
    <row r="105" spans="2:161" x14ac:dyDescent="0.35">
      <c r="B105" s="31"/>
      <c r="C105" s="32"/>
      <c r="D105" s="33"/>
      <c r="E105" s="34"/>
      <c r="F105" s="33"/>
      <c r="G105" s="33"/>
      <c r="H105" s="33"/>
      <c r="I105" s="33"/>
      <c r="J105" s="33"/>
      <c r="K105" s="33"/>
      <c r="L105" s="35"/>
      <c r="M105" s="35"/>
      <c r="N105" s="36"/>
      <c r="O105" s="36"/>
      <c r="P105" s="36"/>
      <c r="Q105" s="36"/>
    </row>
    <row r="106" spans="2:161" x14ac:dyDescent="0.35">
      <c r="N106" s="27"/>
      <c r="O106" s="27"/>
      <c r="P106" s="27"/>
      <c r="Q106" s="27"/>
    </row>
    <row r="107" spans="2:161" x14ac:dyDescent="0.35">
      <c r="B107" s="31"/>
      <c r="C107" s="32"/>
      <c r="D107" s="33"/>
      <c r="E107" s="34"/>
      <c r="F107" s="33"/>
      <c r="G107" s="33"/>
      <c r="H107" s="33"/>
      <c r="I107" s="33"/>
      <c r="J107" s="33"/>
      <c r="K107" s="33"/>
      <c r="L107" s="35"/>
      <c r="M107" s="35"/>
      <c r="N107" s="36"/>
      <c r="O107" s="36"/>
      <c r="P107" s="36"/>
      <c r="Q107" s="36"/>
    </row>
    <row r="108" spans="2:161" x14ac:dyDescent="0.35">
      <c r="N108" s="27"/>
      <c r="O108" s="27"/>
      <c r="P108" s="27"/>
      <c r="Q108" s="27"/>
    </row>
    <row r="109" spans="2:161" x14ac:dyDescent="0.35">
      <c r="B109" s="31"/>
      <c r="C109" s="32"/>
      <c r="D109" s="33"/>
      <c r="E109" s="34"/>
      <c r="F109" s="33"/>
      <c r="G109" s="33"/>
      <c r="H109" s="33"/>
      <c r="I109" s="33"/>
      <c r="J109" s="33"/>
      <c r="K109" s="33"/>
      <c r="L109" s="35"/>
      <c r="M109" s="35"/>
      <c r="N109" s="36"/>
      <c r="O109" s="36"/>
      <c r="P109" s="36"/>
      <c r="Q109" s="36"/>
    </row>
    <row r="110" spans="2:161" x14ac:dyDescent="0.35">
      <c r="N110" s="27"/>
      <c r="O110" s="27"/>
      <c r="P110" s="27"/>
      <c r="Q110" s="27"/>
    </row>
    <row r="111" spans="2:161" x14ac:dyDescent="0.35">
      <c r="B111" s="31"/>
      <c r="C111" s="50"/>
      <c r="D111" s="54"/>
      <c r="E111" s="34"/>
      <c r="F111" s="33"/>
      <c r="G111" s="33"/>
      <c r="H111" s="33"/>
      <c r="I111" s="33"/>
      <c r="J111" s="33"/>
      <c r="K111" s="33"/>
      <c r="L111" s="35"/>
      <c r="M111" s="35"/>
      <c r="N111" s="36"/>
      <c r="O111" s="36"/>
      <c r="P111" s="36"/>
      <c r="Q111" s="36"/>
      <c r="CN111" s="39"/>
      <c r="DE111" s="39"/>
      <c r="DP111" s="39"/>
      <c r="DV111" s="39"/>
      <c r="FE111" s="39"/>
    </row>
    <row r="112" spans="2:161" x14ac:dyDescent="0.35">
      <c r="N112" s="27"/>
      <c r="O112" s="27"/>
      <c r="P112" s="27"/>
      <c r="Q112" s="27"/>
    </row>
    <row r="113" spans="2:17" x14ac:dyDescent="0.35">
      <c r="B113" s="31"/>
      <c r="C113" s="32"/>
      <c r="D113" s="33"/>
      <c r="E113" s="34"/>
      <c r="F113" s="33"/>
      <c r="G113" s="33"/>
      <c r="H113" s="33"/>
      <c r="I113" s="33"/>
      <c r="J113" s="33"/>
      <c r="K113" s="33"/>
      <c r="L113" s="35"/>
      <c r="M113" s="35"/>
      <c r="N113" s="36"/>
      <c r="O113" s="36"/>
      <c r="P113" s="36"/>
      <c r="Q113" s="36"/>
    </row>
    <row r="114" spans="2:17" x14ac:dyDescent="0.35">
      <c r="N114" s="27"/>
      <c r="O114" s="27"/>
      <c r="P114" s="27"/>
      <c r="Q114" s="27"/>
    </row>
    <row r="115" spans="2:17" x14ac:dyDescent="0.35">
      <c r="B115" s="31"/>
      <c r="C115" s="32"/>
      <c r="D115" s="33"/>
      <c r="E115" s="34"/>
      <c r="F115" s="33"/>
      <c r="G115" s="33"/>
      <c r="H115" s="33"/>
      <c r="I115" s="33"/>
      <c r="J115" s="33"/>
      <c r="K115" s="33"/>
      <c r="L115" s="35"/>
      <c r="M115" s="35"/>
      <c r="N115" s="36"/>
      <c r="O115" s="36"/>
      <c r="P115" s="36"/>
      <c r="Q115" s="36"/>
    </row>
    <row r="116" spans="2:17" x14ac:dyDescent="0.35">
      <c r="N116" s="27"/>
      <c r="O116" s="27"/>
      <c r="P116" s="27"/>
      <c r="Q116" s="27"/>
    </row>
    <row r="117" spans="2:17" x14ac:dyDescent="0.35">
      <c r="B117" s="31"/>
      <c r="C117" s="32"/>
      <c r="D117" s="33"/>
      <c r="E117" s="34"/>
      <c r="F117" s="33"/>
      <c r="G117" s="33"/>
      <c r="H117" s="33"/>
      <c r="I117" s="33"/>
      <c r="J117" s="33"/>
      <c r="K117" s="33"/>
      <c r="L117" s="35"/>
      <c r="M117" s="35"/>
      <c r="N117" s="36"/>
      <c r="O117" s="36"/>
      <c r="P117" s="36"/>
      <c r="Q117" s="36"/>
    </row>
    <row r="118" spans="2:17" x14ac:dyDescent="0.35">
      <c r="N118" s="27"/>
      <c r="O118" s="27"/>
      <c r="P118" s="27"/>
      <c r="Q118" s="27"/>
    </row>
    <row r="119" spans="2:17" x14ac:dyDescent="0.35">
      <c r="B119" s="31"/>
      <c r="C119" s="32"/>
      <c r="D119" s="33"/>
      <c r="E119" s="34"/>
      <c r="F119" s="33"/>
      <c r="G119" s="33"/>
      <c r="H119" s="33"/>
      <c r="I119" s="33"/>
      <c r="J119" s="33"/>
      <c r="K119" s="33"/>
      <c r="L119" s="35"/>
      <c r="M119" s="35"/>
      <c r="N119" s="36"/>
      <c r="O119" s="36"/>
      <c r="P119" s="36"/>
      <c r="Q119" s="36"/>
    </row>
    <row r="120" spans="2:17" x14ac:dyDescent="0.35">
      <c r="N120" s="27"/>
      <c r="O120" s="27"/>
      <c r="P120" s="27"/>
      <c r="Q120" s="27"/>
    </row>
    <row r="121" spans="2:17" x14ac:dyDescent="0.35">
      <c r="B121" s="31"/>
      <c r="C121" s="32"/>
      <c r="D121" s="33"/>
      <c r="E121" s="34"/>
      <c r="F121" s="33"/>
      <c r="G121" s="33"/>
      <c r="H121" s="33"/>
      <c r="I121" s="33"/>
      <c r="J121" s="33"/>
      <c r="K121" s="33"/>
      <c r="L121" s="35"/>
      <c r="M121" s="35"/>
      <c r="N121" s="36"/>
      <c r="O121" s="36"/>
      <c r="P121" s="36"/>
      <c r="Q121" s="36"/>
    </row>
    <row r="122" spans="2:17" x14ac:dyDescent="0.35">
      <c r="N122" s="27"/>
      <c r="O122" s="27"/>
      <c r="P122" s="27"/>
      <c r="Q122" s="27"/>
    </row>
    <row r="123" spans="2:17" x14ac:dyDescent="0.35">
      <c r="B123" s="31"/>
      <c r="C123" s="32"/>
      <c r="D123" s="33"/>
      <c r="E123" s="34"/>
      <c r="F123" s="33"/>
      <c r="G123" s="33"/>
      <c r="H123" s="33"/>
      <c r="I123" s="33"/>
      <c r="J123" s="33"/>
      <c r="K123" s="33"/>
      <c r="L123" s="35"/>
      <c r="M123" s="35"/>
      <c r="N123" s="36"/>
      <c r="O123" s="36"/>
      <c r="P123" s="36"/>
      <c r="Q123" s="36"/>
    </row>
    <row r="124" spans="2:17" x14ac:dyDescent="0.35">
      <c r="N124" s="27"/>
      <c r="O124" s="27"/>
      <c r="P124" s="27"/>
      <c r="Q124" s="27"/>
    </row>
    <row r="125" spans="2:17" x14ac:dyDescent="0.35">
      <c r="B125" s="31"/>
      <c r="C125" s="32"/>
      <c r="D125" s="33"/>
      <c r="E125" s="34"/>
      <c r="F125" s="33"/>
      <c r="G125" s="33"/>
      <c r="H125" s="33"/>
      <c r="I125" s="33"/>
      <c r="J125" s="33"/>
      <c r="K125" s="33"/>
      <c r="L125" s="35"/>
      <c r="M125" s="35"/>
      <c r="N125" s="36"/>
      <c r="O125" s="36"/>
      <c r="P125" s="36"/>
      <c r="Q125" s="36"/>
    </row>
    <row r="126" spans="2:17" x14ac:dyDescent="0.35">
      <c r="N126" s="27"/>
      <c r="O126" s="27"/>
      <c r="P126" s="27"/>
      <c r="Q126" s="27"/>
    </row>
    <row r="127" spans="2:17" x14ac:dyDescent="0.35">
      <c r="B127" s="31"/>
      <c r="C127" s="32"/>
      <c r="D127" s="33"/>
      <c r="E127" s="34"/>
      <c r="F127" s="33"/>
      <c r="G127" s="33"/>
      <c r="H127" s="33"/>
      <c r="I127" s="33"/>
      <c r="J127" s="33"/>
      <c r="K127" s="33"/>
      <c r="L127" s="35"/>
      <c r="M127" s="35"/>
      <c r="N127" s="36"/>
      <c r="O127" s="36"/>
      <c r="P127" s="36"/>
      <c r="Q127" s="36"/>
    </row>
    <row r="128" spans="2:17" x14ac:dyDescent="0.35">
      <c r="N128" s="27"/>
      <c r="O128" s="27"/>
      <c r="P128" s="27"/>
      <c r="Q128" s="27"/>
    </row>
    <row r="129" spans="2:120" x14ac:dyDescent="0.35">
      <c r="B129" s="31"/>
      <c r="C129" s="32"/>
      <c r="D129" s="33"/>
      <c r="E129" s="34"/>
      <c r="F129" s="33"/>
      <c r="G129" s="33"/>
      <c r="H129" s="33"/>
      <c r="I129" s="33"/>
      <c r="J129" s="33"/>
      <c r="K129" s="33"/>
      <c r="L129" s="35"/>
      <c r="M129" s="35"/>
      <c r="N129" s="36"/>
      <c r="O129" s="36"/>
      <c r="P129" s="36"/>
      <c r="Q129" s="36"/>
    </row>
    <row r="130" spans="2:120" x14ac:dyDescent="0.35">
      <c r="N130" s="27"/>
      <c r="O130" s="27"/>
      <c r="P130" s="27"/>
      <c r="Q130" s="27"/>
    </row>
    <row r="131" spans="2:120" x14ac:dyDescent="0.35">
      <c r="B131" s="31"/>
      <c r="C131" s="32"/>
      <c r="D131" s="33"/>
      <c r="E131" s="34"/>
      <c r="F131" s="33"/>
      <c r="G131" s="33"/>
      <c r="H131" s="33"/>
      <c r="I131" s="33"/>
      <c r="J131" s="33"/>
      <c r="K131" s="33"/>
      <c r="L131" s="35"/>
      <c r="M131" s="35"/>
      <c r="N131" s="36"/>
      <c r="O131" s="36"/>
      <c r="P131" s="36"/>
      <c r="Q131" s="36"/>
    </row>
    <row r="132" spans="2:120" x14ac:dyDescent="0.35">
      <c r="N132" s="27"/>
      <c r="O132" s="27"/>
      <c r="P132" s="27"/>
      <c r="Q132" s="27"/>
    </row>
    <row r="133" spans="2:120" x14ac:dyDescent="0.35">
      <c r="B133" s="31"/>
      <c r="C133" s="32"/>
      <c r="D133" s="33"/>
      <c r="E133" s="34"/>
      <c r="F133" s="33"/>
      <c r="G133" s="33"/>
      <c r="H133" s="33"/>
      <c r="I133" s="33"/>
      <c r="J133" s="33"/>
      <c r="K133" s="33"/>
      <c r="L133" s="35"/>
      <c r="M133" s="35"/>
      <c r="N133" s="36"/>
      <c r="O133" s="36"/>
      <c r="P133" s="36"/>
      <c r="Q133" s="36"/>
    </row>
    <row r="134" spans="2:120" x14ac:dyDescent="0.35">
      <c r="N134" s="27"/>
      <c r="O134" s="27"/>
      <c r="P134" s="27"/>
      <c r="Q134" s="27"/>
    </row>
    <row r="135" spans="2:120" x14ac:dyDescent="0.35">
      <c r="B135" s="31"/>
      <c r="C135" s="32"/>
      <c r="D135" s="33"/>
      <c r="E135" s="34"/>
      <c r="F135" s="33"/>
      <c r="G135" s="33"/>
      <c r="H135" s="33"/>
      <c r="I135" s="33"/>
      <c r="J135" s="33"/>
      <c r="K135" s="33"/>
      <c r="L135" s="35"/>
      <c r="M135" s="35"/>
      <c r="N135" s="36"/>
      <c r="O135" s="36"/>
      <c r="P135" s="36"/>
      <c r="Q135" s="36"/>
    </row>
    <row r="136" spans="2:120" x14ac:dyDescent="0.35">
      <c r="N136" s="27"/>
      <c r="O136" s="27"/>
      <c r="P136" s="27"/>
      <c r="Q136" s="27"/>
    </row>
    <row r="137" spans="2:120" x14ac:dyDescent="0.35">
      <c r="B137" s="31"/>
      <c r="C137" s="72"/>
      <c r="D137" s="33"/>
      <c r="E137" s="34"/>
      <c r="F137" s="33"/>
      <c r="G137" s="33"/>
      <c r="H137" s="33"/>
      <c r="I137" s="33"/>
      <c r="J137" s="33"/>
      <c r="K137" s="33"/>
      <c r="L137" s="35"/>
      <c r="M137" s="35"/>
      <c r="N137" s="36"/>
      <c r="O137" s="36"/>
      <c r="P137" s="36"/>
      <c r="Q137" s="36"/>
    </row>
    <row r="138" spans="2:120" x14ac:dyDescent="0.35">
      <c r="N138" s="27"/>
      <c r="O138" s="27"/>
      <c r="P138" s="27"/>
      <c r="Q138" s="27"/>
    </row>
    <row r="139" spans="2:120" x14ac:dyDescent="0.35">
      <c r="B139" s="31"/>
      <c r="C139" s="32"/>
      <c r="D139" s="33"/>
      <c r="E139" s="34"/>
      <c r="F139" s="33"/>
      <c r="G139" s="33"/>
      <c r="H139" s="33"/>
      <c r="I139" s="33"/>
      <c r="J139" s="33"/>
      <c r="K139" s="33"/>
      <c r="L139" s="35"/>
      <c r="M139" s="35"/>
      <c r="N139" s="36"/>
      <c r="O139" s="36"/>
      <c r="P139" s="36"/>
      <c r="Q139" s="36"/>
    </row>
    <row r="140" spans="2:120" x14ac:dyDescent="0.35">
      <c r="N140" s="27"/>
      <c r="O140" s="27"/>
      <c r="P140" s="27"/>
      <c r="Q140" s="27"/>
    </row>
    <row r="141" spans="2:120" x14ac:dyDescent="0.35">
      <c r="B141" s="31"/>
      <c r="C141" s="32"/>
      <c r="D141" s="33"/>
      <c r="E141" s="34"/>
      <c r="F141" s="33"/>
      <c r="G141" s="33"/>
      <c r="H141" s="33"/>
      <c r="I141" s="33"/>
      <c r="J141" s="33"/>
      <c r="K141" s="33"/>
      <c r="L141" s="35"/>
      <c r="M141" s="35"/>
      <c r="N141" s="36"/>
      <c r="O141" s="36"/>
      <c r="P141" s="36"/>
      <c r="Q141" s="36"/>
    </row>
    <row r="142" spans="2:120" x14ac:dyDescent="0.35">
      <c r="N142" s="27"/>
      <c r="O142" s="27"/>
      <c r="P142" s="27"/>
      <c r="Q142" s="27"/>
      <c r="DM142" s="39"/>
      <c r="DP142" s="39"/>
    </row>
    <row r="143" spans="2:120" x14ac:dyDescent="0.35">
      <c r="B143" s="31"/>
      <c r="C143" s="72"/>
      <c r="D143" s="33"/>
      <c r="E143" s="34"/>
      <c r="F143" s="33"/>
      <c r="G143" s="33"/>
      <c r="H143" s="33"/>
      <c r="I143" s="33"/>
      <c r="J143" s="33"/>
      <c r="K143" s="33"/>
      <c r="L143" s="35"/>
      <c r="M143" s="35"/>
      <c r="N143" s="36"/>
      <c r="O143" s="36"/>
      <c r="P143" s="36"/>
      <c r="Q143" s="36"/>
    </row>
    <row r="144" spans="2:120" x14ac:dyDescent="0.35">
      <c r="C144" s="69"/>
      <c r="N144" s="27"/>
      <c r="O144" s="27"/>
      <c r="P144" s="27"/>
      <c r="Q144" s="27"/>
    </row>
    <row r="145" spans="2:145" x14ac:dyDescent="0.35">
      <c r="B145" s="31"/>
      <c r="C145" s="32"/>
      <c r="D145" s="33"/>
      <c r="E145" s="34"/>
      <c r="F145" s="33"/>
      <c r="G145" s="33"/>
      <c r="H145" s="33"/>
      <c r="I145" s="33"/>
      <c r="J145" s="33"/>
      <c r="K145" s="33"/>
      <c r="L145" s="35"/>
      <c r="M145" s="35"/>
      <c r="N145" s="36"/>
      <c r="O145" s="36"/>
      <c r="P145" s="36"/>
      <c r="Q145" s="36"/>
    </row>
    <row r="146" spans="2:145" x14ac:dyDescent="0.35">
      <c r="N146" s="27"/>
      <c r="O146" s="27"/>
      <c r="P146" s="27"/>
      <c r="Q146" s="27"/>
    </row>
    <row r="147" spans="2:145" x14ac:dyDescent="0.35">
      <c r="B147" s="31"/>
      <c r="C147" s="32"/>
      <c r="D147" s="33"/>
      <c r="E147" s="34"/>
      <c r="F147" s="33"/>
      <c r="G147" s="33"/>
      <c r="H147" s="33"/>
      <c r="I147" s="33"/>
      <c r="J147" s="33"/>
      <c r="K147" s="33"/>
      <c r="L147" s="35"/>
      <c r="M147" s="35"/>
      <c r="N147" s="36"/>
      <c r="O147" s="36"/>
      <c r="P147" s="36"/>
      <c r="Q147" s="36"/>
    </row>
    <row r="148" spans="2:145" x14ac:dyDescent="0.35">
      <c r="C148" s="69"/>
      <c r="N148" s="27"/>
      <c r="O148" s="27"/>
      <c r="P148" s="27"/>
      <c r="Q148" s="27"/>
    </row>
    <row r="149" spans="2:145" x14ac:dyDescent="0.35">
      <c r="B149" s="31"/>
      <c r="C149" s="32"/>
      <c r="D149" s="33"/>
      <c r="E149" s="34"/>
      <c r="F149" s="33"/>
      <c r="G149" s="33"/>
      <c r="H149" s="33"/>
      <c r="I149" s="33"/>
      <c r="J149" s="33"/>
      <c r="K149" s="33"/>
      <c r="L149" s="35"/>
      <c r="M149" s="35"/>
      <c r="N149" s="36"/>
      <c r="O149" s="36"/>
      <c r="P149" s="36"/>
      <c r="Q149" s="36"/>
    </row>
    <row r="150" spans="2:145" x14ac:dyDescent="0.35">
      <c r="N150" s="27"/>
      <c r="O150" s="27"/>
      <c r="P150" s="27"/>
      <c r="Q150" s="27"/>
    </row>
    <row r="151" spans="2:145" x14ac:dyDescent="0.35">
      <c r="B151" s="31"/>
      <c r="C151" s="72"/>
      <c r="D151" s="33"/>
      <c r="E151" s="34"/>
      <c r="F151" s="33"/>
      <c r="G151" s="33"/>
      <c r="H151" s="33"/>
      <c r="I151" s="33"/>
      <c r="J151" s="33"/>
      <c r="K151" s="33"/>
      <c r="L151" s="35"/>
      <c r="M151" s="35"/>
      <c r="N151" s="36"/>
      <c r="O151" s="36"/>
      <c r="P151" s="36"/>
      <c r="Q151" s="36"/>
    </row>
    <row r="152" spans="2:145" x14ac:dyDescent="0.35">
      <c r="N152" s="27"/>
      <c r="O152" s="27"/>
      <c r="P152" s="27"/>
      <c r="Q152" s="27"/>
    </row>
    <row r="153" spans="2:145" x14ac:dyDescent="0.35">
      <c r="B153" s="31"/>
      <c r="C153" s="32"/>
      <c r="D153" s="33"/>
      <c r="E153" s="34"/>
      <c r="F153" s="33"/>
      <c r="G153" s="33"/>
      <c r="H153" s="33"/>
      <c r="I153" s="33"/>
      <c r="J153" s="33"/>
      <c r="K153" s="33"/>
      <c r="L153" s="35"/>
      <c r="M153" s="35"/>
      <c r="N153" s="36"/>
      <c r="O153" s="36"/>
      <c r="P153" s="36"/>
      <c r="Q153" s="36"/>
    </row>
    <row r="154" spans="2:145" x14ac:dyDescent="0.35">
      <c r="C154" s="69"/>
      <c r="N154" s="27"/>
      <c r="O154" s="27"/>
      <c r="P154" s="27"/>
      <c r="Q154" s="27"/>
    </row>
    <row r="155" spans="2:145" x14ac:dyDescent="0.35">
      <c r="B155" s="31"/>
      <c r="C155" s="32"/>
      <c r="D155" s="33"/>
      <c r="E155" s="34"/>
      <c r="F155" s="33"/>
      <c r="G155" s="33"/>
      <c r="H155" s="33"/>
      <c r="I155" s="33"/>
      <c r="J155" s="33"/>
      <c r="K155" s="33"/>
      <c r="L155" s="35"/>
      <c r="M155" s="35"/>
      <c r="N155" s="36"/>
      <c r="O155" s="36"/>
      <c r="P155" s="36"/>
      <c r="Q155" s="36"/>
    </row>
    <row r="156" spans="2:145" x14ac:dyDescent="0.35">
      <c r="N156" s="27"/>
      <c r="O156" s="27"/>
      <c r="P156" s="27"/>
      <c r="Q156" s="27"/>
    </row>
    <row r="157" spans="2:145" x14ac:dyDescent="0.35">
      <c r="B157" s="31"/>
      <c r="C157" s="32"/>
      <c r="D157" s="33"/>
      <c r="E157" s="34"/>
      <c r="F157" s="33"/>
      <c r="G157" s="33"/>
      <c r="H157" s="33"/>
      <c r="I157" s="33"/>
      <c r="J157" s="33"/>
      <c r="K157" s="33"/>
      <c r="L157" s="35"/>
      <c r="M157" s="35"/>
      <c r="N157" s="36"/>
      <c r="O157" s="36"/>
      <c r="P157" s="36"/>
      <c r="Q157" s="36"/>
      <c r="CN157" s="39"/>
      <c r="CO157" s="39"/>
      <c r="EO157" s="39"/>
    </row>
    <row r="158" spans="2:145" x14ac:dyDescent="0.35">
      <c r="N158" s="27"/>
      <c r="O158" s="27"/>
      <c r="P158" s="27"/>
      <c r="Q158" s="27"/>
    </row>
    <row r="159" spans="2:145" x14ac:dyDescent="0.35">
      <c r="B159" s="31"/>
      <c r="C159" s="32"/>
      <c r="D159" s="33"/>
      <c r="E159" s="34"/>
      <c r="F159" s="33"/>
      <c r="G159" s="33"/>
      <c r="H159" s="33"/>
      <c r="I159" s="33"/>
      <c r="J159" s="33"/>
      <c r="K159" s="33"/>
      <c r="L159" s="35"/>
      <c r="M159" s="35"/>
      <c r="N159" s="36"/>
      <c r="O159" s="36"/>
      <c r="P159" s="36"/>
      <c r="Q159" s="36"/>
    </row>
    <row r="160" spans="2:145" x14ac:dyDescent="0.35">
      <c r="N160" s="27"/>
      <c r="O160" s="27"/>
      <c r="P160" s="27"/>
      <c r="Q160" s="27"/>
    </row>
    <row r="161" spans="2:17" x14ac:dyDescent="0.35">
      <c r="B161" s="31"/>
      <c r="C161" s="72"/>
      <c r="D161" s="33"/>
      <c r="E161" s="34"/>
      <c r="F161" s="33"/>
      <c r="G161" s="33"/>
      <c r="H161" s="33"/>
      <c r="I161" s="33"/>
      <c r="J161" s="33"/>
      <c r="K161" s="33"/>
      <c r="L161" s="35"/>
      <c r="M161" s="35"/>
      <c r="N161" s="36"/>
      <c r="O161" s="36"/>
      <c r="P161" s="36"/>
      <c r="Q161" s="36"/>
    </row>
    <row r="162" spans="2:17" x14ac:dyDescent="0.35">
      <c r="N162" s="27"/>
      <c r="O162" s="27"/>
      <c r="P162" s="27"/>
      <c r="Q162" s="27"/>
    </row>
    <row r="163" spans="2:17" x14ac:dyDescent="0.35">
      <c r="B163" s="31"/>
      <c r="C163" s="32"/>
      <c r="D163" s="33"/>
      <c r="E163" s="34"/>
      <c r="F163" s="33"/>
      <c r="G163" s="33"/>
      <c r="H163" s="33"/>
      <c r="I163" s="33"/>
      <c r="J163" s="33"/>
      <c r="K163" s="33"/>
      <c r="L163" s="35"/>
      <c r="M163" s="35"/>
      <c r="N163" s="36"/>
      <c r="O163" s="36"/>
      <c r="P163" s="36"/>
      <c r="Q163" s="36"/>
    </row>
    <row r="164" spans="2:17" x14ac:dyDescent="0.35">
      <c r="N164" s="27"/>
      <c r="O164" s="27"/>
      <c r="P164" s="27"/>
      <c r="Q164" s="27"/>
    </row>
    <row r="165" spans="2:17" x14ac:dyDescent="0.35">
      <c r="B165" s="31"/>
      <c r="C165" s="32"/>
      <c r="D165" s="54"/>
      <c r="E165" s="34"/>
      <c r="F165" s="33"/>
      <c r="G165" s="33"/>
      <c r="H165" s="33"/>
      <c r="I165" s="33"/>
      <c r="J165" s="33"/>
      <c r="K165" s="33"/>
      <c r="L165" s="35"/>
      <c r="M165" s="35"/>
      <c r="N165" s="36"/>
      <c r="O165" s="36"/>
      <c r="P165" s="36"/>
      <c r="Q165" s="36"/>
    </row>
    <row r="166" spans="2:17" x14ac:dyDescent="0.35">
      <c r="N166" s="27"/>
      <c r="O166" s="27"/>
      <c r="P166" s="27"/>
      <c r="Q166" s="27"/>
    </row>
    <row r="167" spans="2:17" x14ac:dyDescent="0.35">
      <c r="B167" s="31"/>
      <c r="C167" s="32"/>
      <c r="D167" s="33"/>
      <c r="E167" s="34"/>
      <c r="F167" s="33"/>
      <c r="G167" s="33"/>
      <c r="H167" s="33"/>
      <c r="I167" s="33"/>
      <c r="J167" s="33"/>
      <c r="K167" s="33"/>
      <c r="L167" s="35"/>
      <c r="M167" s="35"/>
      <c r="N167" s="36"/>
      <c r="O167" s="36"/>
      <c r="P167" s="36"/>
      <c r="Q167" s="36"/>
    </row>
    <row r="168" spans="2:17" x14ac:dyDescent="0.35">
      <c r="C168" s="69"/>
      <c r="N168" s="27"/>
      <c r="O168" s="27"/>
      <c r="P168" s="27"/>
      <c r="Q168" s="27"/>
    </row>
    <row r="169" spans="2:17" x14ac:dyDescent="0.35">
      <c r="B169" s="31"/>
      <c r="C169" s="32"/>
      <c r="D169" s="33"/>
      <c r="E169" s="34"/>
      <c r="F169" s="33"/>
      <c r="G169" s="33"/>
      <c r="H169" s="33"/>
      <c r="I169" s="33"/>
      <c r="J169" s="33"/>
      <c r="K169" s="33"/>
      <c r="L169" s="35"/>
      <c r="M169" s="35"/>
      <c r="N169" s="36"/>
      <c r="O169" s="36"/>
      <c r="P169" s="36"/>
      <c r="Q169" s="36"/>
    </row>
    <row r="170" spans="2:17" x14ac:dyDescent="0.35">
      <c r="N170" s="27"/>
      <c r="O170" s="27"/>
      <c r="P170" s="27"/>
      <c r="Q170" s="27"/>
    </row>
    <row r="171" spans="2:17" x14ac:dyDescent="0.35">
      <c r="B171" s="31"/>
      <c r="C171" s="32"/>
      <c r="D171" s="33"/>
      <c r="E171" s="34"/>
      <c r="F171" s="33"/>
      <c r="G171" s="33"/>
      <c r="H171" s="33"/>
      <c r="I171" s="33"/>
      <c r="J171" s="33"/>
      <c r="K171" s="33"/>
      <c r="L171" s="35"/>
      <c r="M171" s="35"/>
      <c r="N171" s="36"/>
      <c r="O171" s="36"/>
      <c r="P171" s="36"/>
      <c r="Q171" s="36"/>
    </row>
    <row r="172" spans="2:17" x14ac:dyDescent="0.35">
      <c r="N172" s="27"/>
      <c r="O172" s="27"/>
      <c r="P172" s="27"/>
      <c r="Q172" s="27"/>
    </row>
    <row r="173" spans="2:17" x14ac:dyDescent="0.35">
      <c r="B173" s="31"/>
      <c r="C173" s="32"/>
      <c r="D173" s="33"/>
      <c r="E173" s="34"/>
      <c r="F173" s="33"/>
      <c r="G173" s="33"/>
      <c r="H173" s="33"/>
      <c r="I173" s="33"/>
      <c r="J173" s="33"/>
      <c r="K173" s="33"/>
      <c r="L173" s="35"/>
      <c r="M173" s="35"/>
      <c r="N173" s="36"/>
      <c r="O173" s="36"/>
      <c r="P173" s="36"/>
      <c r="Q173" s="36"/>
    </row>
    <row r="174" spans="2:17" x14ac:dyDescent="0.35">
      <c r="N174" s="27"/>
      <c r="O174" s="27"/>
      <c r="P174" s="27"/>
      <c r="Q174" s="27"/>
    </row>
    <row r="175" spans="2:17" x14ac:dyDescent="0.35">
      <c r="B175" s="31"/>
      <c r="C175" s="32"/>
      <c r="D175" s="33"/>
      <c r="E175" s="34"/>
      <c r="F175" s="33"/>
      <c r="G175" s="33"/>
      <c r="H175" s="33"/>
      <c r="I175" s="33"/>
      <c r="J175" s="33"/>
      <c r="K175" s="33"/>
      <c r="L175" s="35"/>
      <c r="M175" s="35"/>
      <c r="N175" s="36"/>
      <c r="O175" s="36"/>
      <c r="P175" s="36"/>
      <c r="Q175" s="36"/>
    </row>
    <row r="176" spans="2:17" x14ac:dyDescent="0.35">
      <c r="N176" s="27"/>
      <c r="O176" s="27"/>
      <c r="P176" s="27"/>
      <c r="Q176" s="27"/>
    </row>
    <row r="177" spans="2:139" x14ac:dyDescent="0.35">
      <c r="B177" s="31"/>
      <c r="C177" s="32"/>
      <c r="D177" s="33"/>
      <c r="E177" s="34"/>
      <c r="F177" s="33"/>
      <c r="G177" s="33"/>
      <c r="H177" s="33"/>
      <c r="I177" s="33"/>
      <c r="J177" s="33"/>
      <c r="K177" s="33"/>
      <c r="L177" s="35"/>
      <c r="M177" s="35"/>
      <c r="N177" s="36"/>
      <c r="O177" s="36"/>
      <c r="P177" s="36"/>
      <c r="Q177" s="36"/>
    </row>
    <row r="178" spans="2:139" x14ac:dyDescent="0.35">
      <c r="N178" s="27"/>
      <c r="O178" s="27"/>
      <c r="P178" s="27"/>
      <c r="Q178" s="27"/>
    </row>
    <row r="179" spans="2:139" x14ac:dyDescent="0.35">
      <c r="B179" s="31"/>
      <c r="C179" s="32"/>
      <c r="D179" s="33"/>
      <c r="E179" s="34"/>
      <c r="F179" s="33"/>
      <c r="G179" s="33"/>
      <c r="H179" s="33"/>
      <c r="I179" s="33"/>
      <c r="J179" s="33"/>
      <c r="K179" s="33"/>
      <c r="L179" s="35"/>
      <c r="M179" s="35"/>
      <c r="N179" s="36"/>
      <c r="O179" s="36"/>
      <c r="P179" s="36"/>
      <c r="Q179" s="36"/>
    </row>
    <row r="180" spans="2:139" x14ac:dyDescent="0.35">
      <c r="N180" s="27"/>
      <c r="O180" s="27"/>
      <c r="P180" s="27"/>
      <c r="Q180" s="27"/>
    </row>
    <row r="181" spans="2:139" x14ac:dyDescent="0.35">
      <c r="B181" s="31"/>
      <c r="C181" s="32"/>
      <c r="D181" s="54"/>
      <c r="E181" s="34"/>
      <c r="F181" s="33"/>
      <c r="G181" s="33"/>
      <c r="H181" s="33"/>
      <c r="I181" s="33"/>
      <c r="J181" s="33"/>
      <c r="K181" s="33"/>
      <c r="L181" s="35"/>
      <c r="M181" s="35"/>
      <c r="N181" s="36"/>
      <c r="O181" s="36"/>
      <c r="P181" s="36"/>
      <c r="Q181" s="36"/>
    </row>
    <row r="182" spans="2:139" x14ac:dyDescent="0.35">
      <c r="C182" s="69"/>
      <c r="N182" s="27"/>
      <c r="O182" s="27"/>
      <c r="P182" s="27"/>
      <c r="Q182" s="27"/>
    </row>
    <row r="183" spans="2:139" x14ac:dyDescent="0.35">
      <c r="B183" s="31"/>
      <c r="C183" s="32"/>
      <c r="D183" s="33"/>
      <c r="E183" s="34"/>
      <c r="F183" s="33"/>
      <c r="G183" s="33"/>
      <c r="H183" s="33"/>
      <c r="I183" s="33"/>
      <c r="J183" s="33"/>
      <c r="K183" s="33"/>
      <c r="L183" s="35"/>
      <c r="M183" s="35"/>
      <c r="N183" s="36"/>
      <c r="O183" s="36"/>
      <c r="P183" s="36"/>
      <c r="Q183" s="36"/>
    </row>
    <row r="184" spans="2:139" x14ac:dyDescent="0.35">
      <c r="N184" s="27"/>
      <c r="O184" s="27"/>
      <c r="P184" s="27"/>
      <c r="Q184" s="27"/>
    </row>
    <row r="185" spans="2:139" x14ac:dyDescent="0.35">
      <c r="B185" s="31"/>
      <c r="C185" s="32"/>
      <c r="D185" s="33"/>
      <c r="E185" s="34"/>
      <c r="F185" s="33"/>
      <c r="G185" s="33"/>
      <c r="H185" s="33"/>
      <c r="I185" s="33"/>
      <c r="J185" s="33"/>
      <c r="K185" s="33"/>
      <c r="L185" s="35"/>
      <c r="M185" s="35"/>
      <c r="N185" s="36"/>
      <c r="O185" s="36"/>
      <c r="P185" s="36"/>
      <c r="Q185" s="36"/>
    </row>
    <row r="186" spans="2:139" x14ac:dyDescent="0.35">
      <c r="N186" s="27"/>
      <c r="O186" s="27"/>
      <c r="P186" s="27"/>
      <c r="Q186" s="27"/>
    </row>
    <row r="187" spans="2:139" x14ac:dyDescent="0.35">
      <c r="B187" s="31"/>
      <c r="C187" s="32"/>
      <c r="D187" s="33"/>
      <c r="E187" s="34"/>
      <c r="F187" s="33"/>
      <c r="G187" s="33"/>
      <c r="H187" s="33"/>
      <c r="I187" s="33"/>
      <c r="J187" s="33"/>
      <c r="K187" s="33"/>
      <c r="L187" s="35"/>
      <c r="M187" s="35"/>
      <c r="N187" s="36"/>
      <c r="O187" s="36"/>
      <c r="P187" s="36"/>
      <c r="Q187" s="36"/>
    </row>
    <row r="188" spans="2:139" x14ac:dyDescent="0.35">
      <c r="N188" s="27"/>
      <c r="O188" s="27"/>
      <c r="P188" s="27"/>
      <c r="Q188" s="27"/>
    </row>
    <row r="189" spans="2:139" x14ac:dyDescent="0.35">
      <c r="B189" s="31"/>
      <c r="C189" s="32"/>
      <c r="D189" s="33"/>
      <c r="E189" s="34"/>
      <c r="F189" s="33"/>
      <c r="G189" s="33"/>
      <c r="H189" s="33"/>
      <c r="I189" s="33"/>
      <c r="J189" s="33"/>
      <c r="K189" s="33"/>
      <c r="L189" s="35"/>
      <c r="M189" s="35"/>
      <c r="N189" s="36"/>
      <c r="O189" s="36"/>
      <c r="P189" s="36"/>
      <c r="Q189" s="36"/>
    </row>
    <row r="190" spans="2:139" x14ac:dyDescent="0.35">
      <c r="D190" s="57"/>
      <c r="N190" s="27"/>
      <c r="O190" s="27"/>
      <c r="P190" s="27"/>
      <c r="Q190" s="27"/>
    </row>
    <row r="191" spans="2:139" x14ac:dyDescent="0.35">
      <c r="B191" s="31"/>
      <c r="C191" s="72"/>
      <c r="D191" s="33"/>
      <c r="E191" s="34"/>
      <c r="F191" s="33"/>
      <c r="G191" s="33"/>
      <c r="H191" s="33"/>
      <c r="I191" s="33"/>
      <c r="J191" s="33"/>
      <c r="K191" s="33"/>
      <c r="L191" s="35"/>
      <c r="M191" s="35"/>
      <c r="N191" s="33"/>
      <c r="O191" s="33"/>
      <c r="P191" s="33"/>
      <c r="Q191" s="33"/>
    </row>
    <row r="192" spans="2:139" x14ac:dyDescent="0.35">
      <c r="C192" s="42"/>
      <c r="N192" s="27"/>
      <c r="O192" s="27"/>
      <c r="P192" s="27"/>
      <c r="Q192" s="27"/>
      <c r="DO192" s="39"/>
      <c r="DS192" s="39"/>
      <c r="EC192" s="39"/>
      <c r="EI192" s="39"/>
    </row>
    <row r="193" spans="2:17" x14ac:dyDescent="0.35">
      <c r="B193" s="31"/>
      <c r="C193" s="32"/>
      <c r="D193" s="33"/>
      <c r="E193" s="34"/>
      <c r="F193" s="33"/>
      <c r="G193" s="33"/>
      <c r="H193" s="33"/>
      <c r="I193" s="33"/>
      <c r="J193" s="33"/>
      <c r="K193" s="33"/>
      <c r="L193" s="35"/>
      <c r="M193" s="35"/>
      <c r="N193" s="36"/>
      <c r="O193" s="36"/>
      <c r="P193" s="36"/>
      <c r="Q193" s="36"/>
    </row>
    <row r="194" spans="2:17" x14ac:dyDescent="0.35">
      <c r="N194" s="27"/>
      <c r="O194" s="27"/>
      <c r="P194" s="27"/>
      <c r="Q194" s="27"/>
    </row>
    <row r="195" spans="2:17" x14ac:dyDescent="0.35">
      <c r="B195" s="31"/>
      <c r="C195" s="32"/>
      <c r="D195" s="33"/>
      <c r="E195" s="34"/>
      <c r="F195" s="33"/>
      <c r="G195" s="33"/>
      <c r="H195" s="33"/>
      <c r="I195" s="33"/>
      <c r="J195" s="33"/>
      <c r="K195" s="33"/>
      <c r="L195" s="35"/>
      <c r="M195" s="35"/>
      <c r="N195" s="36"/>
      <c r="O195" s="36"/>
      <c r="P195" s="36"/>
      <c r="Q195" s="36"/>
    </row>
    <row r="196" spans="2:17" x14ac:dyDescent="0.35">
      <c r="N196" s="27"/>
      <c r="O196" s="27"/>
      <c r="P196" s="27"/>
      <c r="Q196" s="27"/>
    </row>
    <row r="197" spans="2:17" x14ac:dyDescent="0.35">
      <c r="B197" s="31"/>
      <c r="C197" s="32"/>
      <c r="D197" s="33"/>
      <c r="E197" s="34"/>
      <c r="F197" s="33"/>
      <c r="G197" s="33"/>
      <c r="H197" s="33"/>
      <c r="I197" s="33"/>
      <c r="J197" s="33"/>
      <c r="K197" s="33"/>
      <c r="L197" s="35"/>
      <c r="M197" s="35"/>
      <c r="N197" s="36"/>
      <c r="O197" s="36"/>
      <c r="P197" s="36"/>
      <c r="Q197" s="36"/>
    </row>
    <row r="198" spans="2:17" x14ac:dyDescent="0.35">
      <c r="N198" s="27"/>
      <c r="O198" s="27"/>
      <c r="P198" s="27"/>
      <c r="Q198" s="27"/>
    </row>
    <row r="199" spans="2:17" x14ac:dyDescent="0.35">
      <c r="B199" s="31"/>
      <c r="C199" s="32"/>
      <c r="D199" s="33"/>
      <c r="E199" s="34"/>
      <c r="F199" s="33"/>
      <c r="G199" s="33"/>
      <c r="H199" s="33"/>
      <c r="I199" s="33"/>
      <c r="J199" s="33"/>
      <c r="K199" s="33"/>
      <c r="L199" s="35"/>
      <c r="M199" s="35"/>
      <c r="N199" s="36"/>
      <c r="O199" s="36"/>
      <c r="P199" s="36"/>
      <c r="Q199" s="36"/>
    </row>
    <row r="200" spans="2:17" x14ac:dyDescent="0.35">
      <c r="N200" s="27"/>
      <c r="O200" s="27"/>
      <c r="P200" s="27"/>
      <c r="Q200" s="27"/>
    </row>
    <row r="201" spans="2:17" x14ac:dyDescent="0.35">
      <c r="B201" s="31"/>
      <c r="C201" s="32"/>
      <c r="D201" s="33"/>
      <c r="E201" s="34"/>
      <c r="F201" s="33"/>
      <c r="G201" s="33"/>
      <c r="H201" s="33"/>
      <c r="I201" s="33"/>
      <c r="J201" s="33"/>
      <c r="K201" s="33"/>
      <c r="L201" s="35"/>
      <c r="M201" s="35"/>
      <c r="N201" s="36"/>
      <c r="O201" s="36"/>
      <c r="P201" s="36"/>
      <c r="Q201" s="36"/>
    </row>
    <row r="202" spans="2:17" x14ac:dyDescent="0.35">
      <c r="N202" s="27"/>
      <c r="O202" s="27"/>
      <c r="P202" s="27"/>
      <c r="Q202" s="27"/>
    </row>
    <row r="203" spans="2:17" x14ac:dyDescent="0.35">
      <c r="B203" s="31"/>
      <c r="C203" s="32"/>
      <c r="D203" s="33"/>
      <c r="E203" s="34"/>
      <c r="F203" s="33"/>
      <c r="G203" s="33"/>
      <c r="H203" s="33"/>
      <c r="I203" s="33"/>
      <c r="J203" s="33"/>
      <c r="K203" s="33"/>
      <c r="L203" s="35"/>
      <c r="M203" s="35"/>
      <c r="N203" s="36"/>
      <c r="O203" s="36"/>
      <c r="P203" s="36"/>
      <c r="Q203" s="36"/>
    </row>
    <row r="204" spans="2:17" x14ac:dyDescent="0.35">
      <c r="N204" s="27"/>
      <c r="O204" s="27"/>
      <c r="P204" s="27"/>
      <c r="Q204" s="27"/>
    </row>
    <row r="205" spans="2:17" x14ac:dyDescent="0.35">
      <c r="B205" s="31"/>
      <c r="C205" s="72"/>
      <c r="D205" s="33"/>
      <c r="E205" s="34"/>
      <c r="F205" s="33"/>
      <c r="G205" s="33"/>
      <c r="H205" s="33"/>
      <c r="I205" s="33"/>
      <c r="J205" s="33"/>
      <c r="K205" s="33"/>
      <c r="L205" s="35"/>
      <c r="M205" s="35"/>
      <c r="N205" s="33"/>
      <c r="O205" s="33"/>
      <c r="P205" s="33"/>
      <c r="Q205" s="33"/>
    </row>
    <row r="206" spans="2:17" x14ac:dyDescent="0.35">
      <c r="N206" s="27"/>
      <c r="O206" s="27"/>
      <c r="P206" s="27"/>
      <c r="Q206" s="27"/>
    </row>
    <row r="207" spans="2:17" x14ac:dyDescent="0.35">
      <c r="B207" s="31"/>
      <c r="C207" s="32"/>
      <c r="D207" s="33"/>
      <c r="E207" s="34"/>
      <c r="F207" s="33"/>
      <c r="G207" s="33"/>
      <c r="H207" s="33"/>
      <c r="I207" s="33"/>
      <c r="J207" s="33"/>
      <c r="K207" s="33"/>
      <c r="L207" s="35"/>
      <c r="M207" s="35"/>
      <c r="N207" s="36"/>
      <c r="O207" s="36"/>
      <c r="P207" s="36"/>
      <c r="Q207" s="36"/>
    </row>
    <row r="208" spans="2:17" x14ac:dyDescent="0.35">
      <c r="N208" s="27"/>
      <c r="O208" s="27"/>
      <c r="P208" s="27"/>
      <c r="Q208" s="27"/>
    </row>
    <row r="209" spans="2:17" x14ac:dyDescent="0.35">
      <c r="B209" s="31"/>
      <c r="C209" s="32"/>
      <c r="D209" s="33"/>
      <c r="E209" s="34"/>
      <c r="F209" s="33"/>
      <c r="G209" s="33"/>
      <c r="H209" s="33"/>
      <c r="I209" s="33"/>
      <c r="J209" s="33"/>
      <c r="K209" s="33"/>
      <c r="L209" s="35"/>
      <c r="M209" s="35"/>
      <c r="N209" s="36"/>
      <c r="O209" s="36"/>
      <c r="P209" s="36"/>
      <c r="Q209" s="36"/>
    </row>
    <row r="210" spans="2:17" x14ac:dyDescent="0.35">
      <c r="N210" s="27"/>
      <c r="O210" s="27"/>
      <c r="P210" s="27"/>
      <c r="Q210" s="27"/>
    </row>
    <row r="211" spans="2:17" x14ac:dyDescent="0.35">
      <c r="B211" s="31"/>
      <c r="C211" s="32"/>
      <c r="D211" s="33"/>
      <c r="E211" s="34"/>
      <c r="F211" s="33"/>
      <c r="G211" s="33"/>
      <c r="H211" s="33"/>
      <c r="I211" s="33"/>
      <c r="J211" s="33"/>
      <c r="K211" s="33"/>
      <c r="L211" s="35"/>
      <c r="M211" s="35"/>
      <c r="N211" s="36"/>
      <c r="O211" s="36"/>
      <c r="P211" s="36"/>
      <c r="Q211" s="36"/>
    </row>
    <row r="212" spans="2:17" x14ac:dyDescent="0.35">
      <c r="D212" s="57"/>
      <c r="N212" s="27"/>
      <c r="O212" s="27"/>
      <c r="P212" s="27"/>
      <c r="Q212" s="27"/>
    </row>
    <row r="213" spans="2:17" x14ac:dyDescent="0.35">
      <c r="B213" s="31"/>
      <c r="C213" s="32"/>
      <c r="D213" s="33"/>
      <c r="E213" s="34"/>
      <c r="F213" s="33"/>
      <c r="G213" s="33"/>
      <c r="H213" s="33"/>
      <c r="I213" s="33"/>
      <c r="J213" s="33"/>
      <c r="K213" s="33"/>
      <c r="L213" s="35"/>
      <c r="M213" s="35"/>
      <c r="N213" s="33"/>
      <c r="O213" s="33"/>
      <c r="P213" s="33"/>
      <c r="Q213" s="33"/>
    </row>
    <row r="215" spans="2:17" x14ac:dyDescent="0.35">
      <c r="B215" s="31"/>
      <c r="C215" s="32"/>
      <c r="D215" s="33"/>
      <c r="E215" s="34"/>
      <c r="F215" s="33"/>
      <c r="G215" s="33"/>
      <c r="H215" s="33"/>
      <c r="I215" s="33"/>
      <c r="J215" s="33"/>
      <c r="K215" s="33"/>
      <c r="L215" s="35"/>
      <c r="M215" s="35"/>
      <c r="N215" s="33"/>
      <c r="O215" s="33"/>
      <c r="P215" s="33"/>
      <c r="Q215" s="33"/>
    </row>
    <row r="217" spans="2:17" x14ac:dyDescent="0.35">
      <c r="B217" s="31"/>
      <c r="C217" s="32"/>
      <c r="D217" s="33"/>
      <c r="E217" s="34"/>
      <c r="F217" s="33"/>
      <c r="G217" s="33"/>
      <c r="H217" s="33"/>
      <c r="I217" s="33"/>
      <c r="J217" s="33"/>
      <c r="K217" s="33"/>
      <c r="L217" s="35"/>
      <c r="M217" s="35"/>
      <c r="N217" s="33"/>
      <c r="O217" s="33"/>
      <c r="P217" s="33"/>
      <c r="Q217" s="33"/>
    </row>
    <row r="219" spans="2:17" x14ac:dyDescent="0.35">
      <c r="B219" s="31"/>
      <c r="C219" s="32"/>
      <c r="D219" s="33"/>
      <c r="E219" s="34"/>
      <c r="F219" s="33"/>
      <c r="G219" s="33"/>
      <c r="H219" s="33"/>
      <c r="I219" s="33"/>
      <c r="J219" s="33"/>
      <c r="K219" s="33"/>
      <c r="L219" s="35"/>
      <c r="M219" s="35"/>
      <c r="N219" s="33"/>
      <c r="O219" s="33"/>
      <c r="P219" s="33"/>
      <c r="Q219" s="33"/>
    </row>
    <row r="221" spans="2:17" x14ac:dyDescent="0.35">
      <c r="B221" s="31"/>
      <c r="C221" s="32"/>
      <c r="D221" s="33"/>
      <c r="E221" s="34"/>
      <c r="F221" s="33"/>
      <c r="G221" s="33"/>
      <c r="H221" s="33"/>
      <c r="I221" s="33"/>
      <c r="J221" s="33"/>
      <c r="K221" s="33"/>
      <c r="L221" s="35"/>
      <c r="M221" s="35"/>
      <c r="N221" s="33"/>
      <c r="O221" s="33"/>
      <c r="P221" s="33"/>
      <c r="Q221" s="33"/>
    </row>
    <row r="223" spans="2:17" x14ac:dyDescent="0.35">
      <c r="B223" s="31"/>
      <c r="C223" s="32"/>
      <c r="D223" s="33"/>
      <c r="E223" s="34"/>
      <c r="F223" s="33"/>
      <c r="G223" s="33"/>
      <c r="H223" s="33"/>
      <c r="I223" s="33"/>
      <c r="J223" s="33"/>
      <c r="K223" s="33"/>
      <c r="L223" s="35"/>
      <c r="M223" s="35"/>
      <c r="N223" s="33"/>
      <c r="O223" s="33"/>
      <c r="P223" s="33"/>
      <c r="Q223" s="33"/>
    </row>
    <row r="225" spans="2:17" x14ac:dyDescent="0.35">
      <c r="B225" s="31"/>
      <c r="C225" s="32"/>
      <c r="D225" s="33"/>
      <c r="E225" s="34"/>
      <c r="F225" s="33"/>
      <c r="G225" s="33"/>
      <c r="H225" s="33"/>
      <c r="I225" s="33"/>
      <c r="J225" s="33"/>
      <c r="K225" s="33"/>
      <c r="L225" s="35"/>
      <c r="M225" s="35"/>
      <c r="N225" s="33"/>
      <c r="O225" s="33"/>
      <c r="P225" s="33"/>
      <c r="Q225" s="33"/>
    </row>
    <row r="227" spans="2:17" x14ac:dyDescent="0.35">
      <c r="B227" s="31"/>
      <c r="C227" s="32"/>
      <c r="D227" s="33"/>
      <c r="E227" s="34"/>
      <c r="F227" s="33"/>
      <c r="G227" s="33"/>
      <c r="H227" s="33"/>
      <c r="I227" s="33"/>
      <c r="J227" s="33"/>
      <c r="K227" s="33"/>
      <c r="L227" s="35"/>
      <c r="M227" s="35"/>
      <c r="N227" s="33"/>
      <c r="O227" s="33"/>
      <c r="P227" s="33"/>
      <c r="Q227" s="33"/>
    </row>
    <row r="229" spans="2:17" x14ac:dyDescent="0.35">
      <c r="B229" s="31"/>
      <c r="C229" s="32"/>
      <c r="D229" s="33"/>
      <c r="E229" s="34"/>
      <c r="F229" s="33"/>
      <c r="G229" s="33"/>
      <c r="H229" s="33"/>
      <c r="I229" s="33"/>
      <c r="J229" s="33"/>
      <c r="K229" s="33"/>
      <c r="L229" s="35"/>
      <c r="M229" s="35"/>
      <c r="N229" s="33"/>
      <c r="O229" s="33"/>
      <c r="P229" s="33"/>
      <c r="Q229" s="33"/>
    </row>
    <row r="231" spans="2:17" x14ac:dyDescent="0.35">
      <c r="B231" s="31"/>
      <c r="C231" s="32"/>
      <c r="D231" s="33"/>
      <c r="E231" s="34"/>
      <c r="F231" s="33"/>
      <c r="G231" s="33"/>
      <c r="H231" s="33"/>
      <c r="I231" s="33"/>
      <c r="J231" s="33"/>
      <c r="K231" s="33"/>
      <c r="L231" s="35"/>
      <c r="M231" s="35"/>
      <c r="N231" s="33"/>
      <c r="O231" s="33"/>
      <c r="P231" s="33"/>
      <c r="Q231" s="33"/>
    </row>
    <row r="233" spans="2:17" x14ac:dyDescent="0.35">
      <c r="B233" s="31"/>
      <c r="C233" s="32"/>
      <c r="D233" s="33"/>
      <c r="E233" s="34"/>
      <c r="F233" s="33"/>
      <c r="G233" s="33"/>
      <c r="H233" s="33"/>
      <c r="I233" s="33"/>
      <c r="J233" s="33"/>
      <c r="K233" s="33"/>
      <c r="L233" s="35"/>
      <c r="M233" s="35"/>
      <c r="N233" s="33"/>
      <c r="O233" s="33"/>
      <c r="P233" s="33"/>
      <c r="Q233" s="33"/>
    </row>
    <row r="235" spans="2:17" x14ac:dyDescent="0.35">
      <c r="B235" s="31"/>
      <c r="C235" s="32"/>
      <c r="D235" s="33"/>
      <c r="E235" s="34"/>
      <c r="F235" s="33"/>
      <c r="G235" s="33"/>
      <c r="H235" s="33"/>
      <c r="I235" s="33"/>
      <c r="J235" s="33"/>
      <c r="K235" s="33"/>
      <c r="L235" s="35"/>
      <c r="M235" s="35"/>
      <c r="N235" s="33"/>
      <c r="O235" s="33"/>
      <c r="P235" s="33"/>
      <c r="Q235" s="33"/>
    </row>
    <row r="237" spans="2:17" x14ac:dyDescent="0.35">
      <c r="B237" s="31"/>
      <c r="C237" s="32"/>
      <c r="D237" s="33"/>
      <c r="E237" s="34"/>
      <c r="F237" s="33"/>
      <c r="G237" s="33"/>
      <c r="H237" s="33"/>
      <c r="I237" s="33"/>
      <c r="J237" s="33"/>
      <c r="K237" s="33"/>
      <c r="L237" s="35"/>
      <c r="M237" s="35"/>
      <c r="N237" s="33"/>
      <c r="O237" s="33"/>
      <c r="P237" s="33"/>
      <c r="Q237" s="33"/>
    </row>
    <row r="239" spans="2:17" x14ac:dyDescent="0.35">
      <c r="B239" s="31"/>
      <c r="C239" s="32"/>
      <c r="D239" s="33"/>
      <c r="E239" s="34"/>
      <c r="F239" s="33"/>
      <c r="G239" s="33"/>
      <c r="H239" s="33"/>
      <c r="I239" s="33"/>
      <c r="J239" s="33"/>
      <c r="K239" s="33"/>
      <c r="L239" s="35"/>
      <c r="M239" s="35"/>
      <c r="N239" s="33"/>
      <c r="O239" s="33"/>
      <c r="P239" s="33"/>
      <c r="Q239" s="33"/>
    </row>
    <row r="241" spans="2:17" x14ac:dyDescent="0.35">
      <c r="B241" s="31"/>
      <c r="C241" s="32"/>
      <c r="D241" s="33"/>
      <c r="E241" s="34"/>
      <c r="F241" s="33"/>
      <c r="G241" s="33"/>
      <c r="H241" s="33"/>
      <c r="I241" s="33"/>
      <c r="J241" s="33"/>
      <c r="K241" s="33"/>
      <c r="L241" s="35"/>
      <c r="M241" s="35"/>
      <c r="N241" s="33"/>
      <c r="O241" s="33"/>
      <c r="P241" s="33"/>
      <c r="Q241" s="33"/>
    </row>
    <row r="243" spans="2:17" x14ac:dyDescent="0.35">
      <c r="B243" s="31"/>
      <c r="C243" s="32"/>
      <c r="D243" s="33"/>
      <c r="E243" s="34"/>
      <c r="F243" s="33"/>
      <c r="G243" s="33"/>
      <c r="H243" s="33"/>
      <c r="I243" s="33"/>
      <c r="J243" s="33"/>
      <c r="K243" s="33"/>
      <c r="L243" s="35"/>
      <c r="M243" s="35"/>
      <c r="N243" s="33"/>
      <c r="O243" s="33"/>
      <c r="P243" s="33"/>
      <c r="Q243" s="33"/>
    </row>
    <row r="245" spans="2:17" x14ac:dyDescent="0.35">
      <c r="B245" s="31"/>
      <c r="C245" s="32"/>
      <c r="D245" s="33"/>
      <c r="E245" s="34"/>
      <c r="F245" s="33"/>
      <c r="G245" s="33"/>
      <c r="H245" s="33"/>
      <c r="I245" s="33"/>
      <c r="J245" s="33"/>
      <c r="K245" s="33"/>
      <c r="L245" s="35"/>
      <c r="M245" s="35"/>
      <c r="N245" s="33"/>
      <c r="O245" s="33"/>
      <c r="P245" s="33"/>
      <c r="Q245" s="33"/>
    </row>
    <row r="247" spans="2:17" x14ac:dyDescent="0.35">
      <c r="B247" s="31"/>
      <c r="C247" s="32"/>
      <c r="D247" s="33"/>
      <c r="E247" s="34"/>
      <c r="F247" s="33"/>
      <c r="G247" s="33"/>
      <c r="H247" s="33"/>
      <c r="I247" s="33"/>
      <c r="J247" s="33"/>
      <c r="K247" s="33"/>
      <c r="L247" s="35"/>
      <c r="M247" s="35"/>
      <c r="N247" s="33"/>
      <c r="O247" s="33"/>
      <c r="P247" s="33"/>
      <c r="Q247" s="33"/>
    </row>
    <row r="249" spans="2:17" x14ac:dyDescent="0.35">
      <c r="B249" s="31"/>
      <c r="C249" s="32"/>
      <c r="D249" s="33"/>
      <c r="E249" s="34"/>
      <c r="F249" s="33"/>
      <c r="G249" s="33"/>
      <c r="H249" s="33"/>
      <c r="I249" s="33"/>
      <c r="J249" s="33"/>
      <c r="K249" s="33"/>
      <c r="L249" s="35"/>
      <c r="M249" s="35"/>
      <c r="N249" s="33"/>
      <c r="O249" s="33"/>
      <c r="P249" s="33"/>
      <c r="Q249" s="33"/>
    </row>
    <row r="251" spans="2:17" x14ac:dyDescent="0.35">
      <c r="B251" s="31"/>
      <c r="C251" s="32"/>
      <c r="D251" s="33"/>
      <c r="E251" s="34"/>
      <c r="F251" s="33"/>
      <c r="G251" s="33"/>
      <c r="H251" s="33"/>
      <c r="I251" s="33"/>
      <c r="J251" s="33"/>
      <c r="K251" s="33"/>
      <c r="L251" s="35"/>
      <c r="M251" s="35"/>
      <c r="N251" s="33"/>
      <c r="O251" s="33"/>
      <c r="P251" s="33"/>
      <c r="Q251" s="33"/>
    </row>
    <row r="253" spans="2:17" x14ac:dyDescent="0.35">
      <c r="B253" s="31"/>
      <c r="C253" s="32"/>
      <c r="D253" s="33"/>
      <c r="E253" s="34"/>
      <c r="F253" s="33"/>
      <c r="G253" s="33"/>
      <c r="H253" s="33"/>
      <c r="I253" s="33"/>
      <c r="J253" s="33"/>
      <c r="K253" s="33"/>
      <c r="L253" s="35"/>
      <c r="M253" s="35"/>
      <c r="N253" s="33"/>
      <c r="O253" s="33"/>
      <c r="P253" s="33"/>
      <c r="Q253" s="33"/>
    </row>
    <row r="255" spans="2:17" x14ac:dyDescent="0.35">
      <c r="B255" s="31"/>
      <c r="C255" s="32"/>
      <c r="D255" s="33"/>
      <c r="E255" s="34"/>
      <c r="F255" s="33"/>
      <c r="G255" s="33"/>
      <c r="H255" s="33"/>
      <c r="I255" s="33"/>
      <c r="J255" s="33"/>
      <c r="K255" s="33"/>
      <c r="L255" s="35"/>
      <c r="M255" s="35"/>
      <c r="N255" s="33"/>
      <c r="O255" s="33"/>
      <c r="P255" s="33"/>
      <c r="Q255" s="33"/>
    </row>
    <row r="257" spans="2:17" x14ac:dyDescent="0.35">
      <c r="B257" s="31"/>
      <c r="C257" s="32"/>
      <c r="D257" s="33"/>
      <c r="E257" s="34"/>
      <c r="F257" s="33"/>
      <c r="G257" s="33"/>
      <c r="H257" s="33"/>
      <c r="I257" s="33"/>
      <c r="J257" s="33"/>
      <c r="K257" s="33"/>
      <c r="L257" s="35"/>
      <c r="M257" s="35"/>
      <c r="N257" s="33"/>
      <c r="O257" s="33"/>
      <c r="P257" s="33"/>
      <c r="Q257" s="33"/>
    </row>
    <row r="259" spans="2:17" x14ac:dyDescent="0.35">
      <c r="B259" s="31"/>
      <c r="C259" s="32"/>
      <c r="D259" s="33"/>
      <c r="E259" s="34"/>
      <c r="F259" s="33"/>
      <c r="G259" s="33"/>
      <c r="H259" s="33"/>
      <c r="I259" s="33"/>
      <c r="J259" s="33"/>
      <c r="K259" s="33"/>
      <c r="L259" s="35"/>
      <c r="M259" s="35"/>
      <c r="N259" s="33"/>
      <c r="O259" s="33"/>
      <c r="P259" s="33"/>
      <c r="Q259" s="33"/>
    </row>
    <row r="261" spans="2:17" x14ac:dyDescent="0.35">
      <c r="B261" s="31"/>
      <c r="C261" s="32"/>
      <c r="D261" s="33"/>
      <c r="E261" s="34"/>
      <c r="F261" s="33"/>
      <c r="G261" s="33"/>
      <c r="H261" s="33"/>
      <c r="I261" s="33"/>
      <c r="J261" s="33"/>
      <c r="K261" s="33"/>
      <c r="L261" s="35"/>
      <c r="M261" s="35"/>
      <c r="N261" s="33"/>
      <c r="O261" s="33"/>
      <c r="P261" s="33"/>
      <c r="Q261" s="33"/>
    </row>
    <row r="263" spans="2:17" x14ac:dyDescent="0.35">
      <c r="B263" s="31"/>
      <c r="C263" s="32"/>
      <c r="D263" s="33"/>
      <c r="E263" s="34"/>
      <c r="F263" s="33"/>
      <c r="G263" s="33"/>
      <c r="H263" s="33"/>
      <c r="I263" s="33"/>
      <c r="J263" s="33"/>
      <c r="K263" s="33"/>
      <c r="L263" s="35"/>
      <c r="M263" s="35"/>
      <c r="N263" s="33"/>
      <c r="O263" s="33"/>
      <c r="P263" s="33"/>
      <c r="Q263" s="33"/>
    </row>
    <row r="265" spans="2:17" x14ac:dyDescent="0.35">
      <c r="B265" s="31"/>
      <c r="C265" s="32"/>
      <c r="D265" s="33"/>
      <c r="E265" s="34"/>
      <c r="F265" s="33"/>
      <c r="G265" s="33"/>
      <c r="H265" s="33"/>
      <c r="I265" s="33"/>
      <c r="J265" s="33"/>
      <c r="K265" s="33"/>
      <c r="L265" s="35"/>
      <c r="M265" s="35"/>
      <c r="N265" s="33"/>
      <c r="O265" s="33"/>
      <c r="P265" s="33"/>
      <c r="Q265" s="33"/>
    </row>
    <row r="267" spans="2:17" x14ac:dyDescent="0.35">
      <c r="B267" s="31"/>
      <c r="C267" s="32"/>
      <c r="D267" s="33"/>
      <c r="E267" s="34"/>
      <c r="F267" s="33"/>
      <c r="G267" s="33"/>
      <c r="H267" s="33"/>
      <c r="I267" s="33"/>
      <c r="J267" s="33"/>
      <c r="K267" s="33"/>
      <c r="L267" s="35"/>
      <c r="M267" s="35"/>
      <c r="N267" s="33"/>
      <c r="O267" s="33"/>
      <c r="P267" s="33"/>
      <c r="Q267" s="33"/>
    </row>
    <row r="269" spans="2:17" x14ac:dyDescent="0.35">
      <c r="B269" s="31"/>
      <c r="C269" s="32"/>
      <c r="D269" s="33"/>
      <c r="E269" s="34"/>
      <c r="F269" s="33"/>
      <c r="G269" s="33"/>
      <c r="H269" s="33"/>
      <c r="I269" s="33"/>
      <c r="J269" s="33"/>
      <c r="K269" s="33"/>
      <c r="L269" s="35"/>
      <c r="M269" s="35"/>
      <c r="N269" s="33"/>
      <c r="O269" s="33"/>
      <c r="P269" s="33"/>
      <c r="Q269" s="33"/>
    </row>
    <row r="271" spans="2:17" x14ac:dyDescent="0.35">
      <c r="B271" s="31"/>
      <c r="C271" s="32"/>
      <c r="D271" s="33"/>
      <c r="E271" s="34"/>
      <c r="F271" s="33"/>
      <c r="G271" s="33"/>
      <c r="H271" s="33"/>
      <c r="I271" s="33"/>
      <c r="J271" s="33"/>
      <c r="K271" s="33"/>
      <c r="L271" s="35"/>
      <c r="M271" s="35"/>
      <c r="N271" s="33"/>
      <c r="O271" s="33"/>
      <c r="P271" s="33"/>
      <c r="Q271" s="33"/>
    </row>
    <row r="273" spans="2:17" x14ac:dyDescent="0.35">
      <c r="B273" s="31"/>
      <c r="C273" s="32"/>
      <c r="D273" s="33"/>
      <c r="E273" s="34"/>
      <c r="F273" s="33"/>
      <c r="G273" s="33"/>
      <c r="H273" s="33"/>
      <c r="I273" s="33"/>
      <c r="J273" s="33"/>
      <c r="K273" s="33"/>
      <c r="L273" s="35"/>
      <c r="M273" s="35"/>
      <c r="N273" s="33"/>
      <c r="O273" s="33"/>
      <c r="P273" s="33"/>
      <c r="Q273" s="33"/>
    </row>
    <row r="275" spans="2:17" x14ac:dyDescent="0.35">
      <c r="B275" s="31"/>
      <c r="C275" s="32"/>
      <c r="D275" s="33"/>
      <c r="E275" s="34"/>
      <c r="F275" s="33"/>
      <c r="G275" s="33"/>
      <c r="H275" s="33"/>
      <c r="I275" s="33"/>
      <c r="J275" s="33"/>
      <c r="K275" s="33"/>
      <c r="L275" s="35"/>
      <c r="M275" s="35"/>
      <c r="N275" s="33"/>
      <c r="O275" s="33"/>
      <c r="P275" s="33"/>
      <c r="Q275" s="33"/>
    </row>
    <row r="277" spans="2:17" x14ac:dyDescent="0.35">
      <c r="B277" s="31"/>
      <c r="C277" s="32"/>
      <c r="D277" s="33"/>
      <c r="E277" s="34"/>
      <c r="F277" s="33"/>
      <c r="G277" s="33"/>
      <c r="H277" s="33"/>
      <c r="I277" s="33"/>
      <c r="J277" s="33"/>
      <c r="K277" s="33"/>
      <c r="L277" s="35"/>
      <c r="M277" s="35"/>
      <c r="N277" s="33"/>
      <c r="O277" s="33"/>
      <c r="P277" s="33"/>
      <c r="Q277" s="33"/>
    </row>
    <row r="279" spans="2:17" x14ac:dyDescent="0.35">
      <c r="B279" s="31"/>
      <c r="C279" s="32"/>
      <c r="D279" s="33"/>
      <c r="E279" s="34"/>
      <c r="F279" s="33"/>
      <c r="G279" s="33"/>
      <c r="H279" s="33"/>
      <c r="I279" s="33"/>
      <c r="J279" s="33"/>
      <c r="K279" s="33"/>
      <c r="L279" s="35"/>
      <c r="M279" s="35"/>
      <c r="N279" s="33"/>
      <c r="O279" s="33"/>
      <c r="P279" s="33"/>
      <c r="Q279" s="33"/>
    </row>
    <row r="281" spans="2:17" x14ac:dyDescent="0.35">
      <c r="B281" s="31"/>
      <c r="C281" s="32"/>
      <c r="D281" s="33"/>
      <c r="E281" s="34"/>
      <c r="F281" s="33"/>
      <c r="G281" s="33"/>
      <c r="H281" s="33"/>
      <c r="I281" s="33"/>
      <c r="J281" s="33"/>
      <c r="K281" s="33"/>
      <c r="L281" s="35"/>
      <c r="M281" s="35"/>
      <c r="N281" s="33"/>
      <c r="O281" s="33"/>
      <c r="P281" s="33"/>
      <c r="Q281" s="33"/>
    </row>
    <row r="283" spans="2:17" x14ac:dyDescent="0.35">
      <c r="B283" s="31"/>
      <c r="C283" s="32"/>
      <c r="D283" s="33"/>
      <c r="E283" s="34"/>
      <c r="F283" s="33"/>
      <c r="G283" s="33"/>
      <c r="H283" s="33"/>
      <c r="I283" s="33"/>
      <c r="J283" s="33"/>
      <c r="K283" s="33"/>
      <c r="L283" s="35"/>
      <c r="M283" s="35"/>
      <c r="N283" s="33"/>
      <c r="O283" s="33"/>
      <c r="P283" s="33"/>
      <c r="Q283" s="33"/>
    </row>
    <row r="285" spans="2:17" x14ac:dyDescent="0.35">
      <c r="B285" s="31"/>
      <c r="C285" s="32"/>
      <c r="D285" s="33"/>
      <c r="E285" s="34"/>
      <c r="F285" s="33"/>
      <c r="G285" s="33"/>
      <c r="H285" s="33"/>
      <c r="I285" s="33"/>
      <c r="J285" s="33"/>
      <c r="K285" s="33"/>
      <c r="L285" s="35"/>
      <c r="M285" s="35"/>
      <c r="N285" s="33"/>
      <c r="O285" s="33"/>
      <c r="P285" s="33"/>
      <c r="Q285" s="33"/>
    </row>
    <row r="287" spans="2:17" x14ac:dyDescent="0.35">
      <c r="B287" s="31"/>
      <c r="C287" s="32"/>
      <c r="D287" s="33"/>
      <c r="E287" s="34"/>
      <c r="F287" s="33"/>
      <c r="G287" s="33"/>
      <c r="H287" s="33"/>
      <c r="I287" s="33"/>
      <c r="J287" s="33"/>
      <c r="K287" s="33"/>
      <c r="L287" s="35"/>
      <c r="M287" s="35"/>
      <c r="N287" s="33"/>
      <c r="O287" s="33"/>
      <c r="P287" s="33"/>
      <c r="Q287" s="33"/>
    </row>
    <row r="289" spans="2:17" x14ac:dyDescent="0.35">
      <c r="B289" s="31"/>
      <c r="C289" s="32"/>
      <c r="D289" s="33"/>
      <c r="E289" s="34"/>
      <c r="F289" s="33"/>
      <c r="G289" s="33"/>
      <c r="H289" s="33"/>
      <c r="I289" s="33"/>
      <c r="J289" s="33"/>
      <c r="K289" s="33"/>
      <c r="L289" s="35"/>
      <c r="M289" s="35"/>
      <c r="N289" s="33"/>
      <c r="O289" s="33"/>
      <c r="P289" s="33"/>
      <c r="Q289" s="33"/>
    </row>
    <row r="291" spans="2:17" x14ac:dyDescent="0.35">
      <c r="B291" s="31"/>
      <c r="C291" s="32"/>
      <c r="D291" s="33"/>
      <c r="E291" s="34"/>
      <c r="F291" s="33"/>
      <c r="G291" s="33"/>
      <c r="H291" s="33"/>
      <c r="I291" s="33"/>
      <c r="J291" s="33"/>
      <c r="K291" s="33"/>
      <c r="L291" s="35"/>
      <c r="M291" s="35"/>
      <c r="N291" s="33"/>
      <c r="O291" s="33"/>
      <c r="P291" s="33"/>
      <c r="Q291" s="33"/>
    </row>
    <row r="293" spans="2:17" x14ac:dyDescent="0.35">
      <c r="B293" s="31"/>
      <c r="C293" s="32"/>
      <c r="D293" s="33"/>
      <c r="E293" s="34"/>
      <c r="F293" s="33"/>
      <c r="G293" s="33"/>
      <c r="H293" s="33"/>
      <c r="I293" s="33"/>
      <c r="J293" s="33"/>
      <c r="K293" s="33"/>
      <c r="L293" s="35"/>
      <c r="M293" s="35"/>
      <c r="N293" s="33"/>
      <c r="O293" s="33"/>
      <c r="P293" s="33"/>
      <c r="Q293" s="33"/>
    </row>
    <row r="295" spans="2:17" x14ac:dyDescent="0.35">
      <c r="B295" s="31"/>
      <c r="C295" s="32"/>
      <c r="D295" s="33"/>
      <c r="E295" s="34"/>
      <c r="F295" s="33"/>
      <c r="G295" s="33"/>
      <c r="H295" s="33"/>
      <c r="I295" s="33"/>
      <c r="J295" s="33"/>
      <c r="K295" s="33"/>
      <c r="L295" s="35"/>
      <c r="M295" s="35"/>
      <c r="N295" s="33"/>
      <c r="O295" s="33"/>
      <c r="P295" s="33"/>
      <c r="Q295" s="33"/>
    </row>
    <row r="296" spans="2:17" x14ac:dyDescent="0.35">
      <c r="B296" s="31"/>
      <c r="C296" s="32"/>
      <c r="D296" s="33"/>
      <c r="E296" s="34"/>
      <c r="F296" s="33"/>
      <c r="G296" s="33"/>
      <c r="H296" s="33"/>
      <c r="I296" s="33"/>
      <c r="J296" s="33"/>
      <c r="K296" s="33"/>
      <c r="L296" s="35"/>
      <c r="M296" s="35"/>
      <c r="N296" s="33"/>
      <c r="O296" s="33"/>
      <c r="P296" s="33"/>
      <c r="Q296" s="33"/>
    </row>
    <row r="298" spans="2:17" x14ac:dyDescent="0.35">
      <c r="B298" s="31"/>
      <c r="C298" s="32"/>
      <c r="D298" s="33"/>
      <c r="E298" s="34"/>
      <c r="F298" s="33"/>
      <c r="G298" s="33"/>
      <c r="H298" s="33"/>
      <c r="I298" s="33"/>
      <c r="J298" s="33"/>
      <c r="K298" s="33"/>
      <c r="L298" s="35"/>
      <c r="M298" s="35"/>
      <c r="N298" s="33"/>
      <c r="O298" s="33"/>
      <c r="P298" s="33"/>
      <c r="Q298" s="33"/>
    </row>
    <row r="300" spans="2:17" x14ac:dyDescent="0.35">
      <c r="B300" s="31"/>
      <c r="C300" s="32"/>
      <c r="D300" s="33"/>
      <c r="E300" s="34"/>
      <c r="F300" s="33"/>
      <c r="G300" s="33"/>
      <c r="H300" s="33"/>
      <c r="I300" s="33"/>
      <c r="J300" s="33"/>
      <c r="K300" s="33"/>
      <c r="L300" s="35"/>
      <c r="M300" s="35"/>
      <c r="N300" s="33"/>
      <c r="O300" s="33"/>
      <c r="P300" s="33"/>
      <c r="Q300" s="33"/>
    </row>
    <row r="301" spans="2:17" x14ac:dyDescent="0.35">
      <c r="B301" s="31"/>
      <c r="C301" s="32"/>
      <c r="D301" s="33"/>
      <c r="E301" s="34"/>
      <c r="F301" s="33"/>
      <c r="G301" s="33"/>
      <c r="H301" s="33"/>
      <c r="I301" s="33"/>
      <c r="J301" s="33"/>
      <c r="K301" s="33"/>
      <c r="L301" s="35"/>
      <c r="M301" s="35"/>
      <c r="N301" s="33"/>
      <c r="O301" s="33"/>
      <c r="P301" s="33"/>
      <c r="Q301" s="33"/>
    </row>
  </sheetData>
  <protectedRanges>
    <protectedRange sqref="C52 C15 C37" name="Editable"/>
    <protectedRange sqref="M15 M52 M4:M9 M37" name="Editable_1"/>
    <protectedRange sqref="M10:M14" name="Editable_1_1"/>
    <protectedRange sqref="C3:D3 G3:H3 J3:L3" name="Editable_2"/>
    <protectedRange sqref="E3:F3" name="Range1"/>
    <protectedRange sqref="P4:P9" name="Editable_3"/>
    <protectedRange sqref="P10:P14" name="Editable_1_2"/>
  </protectedRanges>
  <phoneticPr fontId="14" type="noConversion"/>
  <pageMargins left="0.7" right="0.7" top="0.75" bottom="0.75" header="0.3" footer="0.3"/>
  <pageSetup paperSize="9" orientation="portrait" r:id="rId1"/>
  <ignoredErrors>
    <ignoredError sqref="B4:B14 B52:B63 B37 B16 B15 B17:B36 B38:B5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1]!ManageTasks">
                <anchor moveWithCells="1" sizeWithCells="1">
                  <from>
                    <xdr:col>2</xdr:col>
                    <xdr:colOff>25400</xdr:colOff>
                    <xdr:row>0</xdr:row>
                    <xdr:rowOff>0</xdr:rowOff>
                  </from>
                  <to>
                    <xdr:col>2</xdr:col>
                    <xdr:colOff>1473200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1]!CalculateStartAndEndDates">
                <anchor moveWithCells="1" sizeWithCells="1">
                  <from>
                    <xdr:col>10</xdr:col>
                    <xdr:colOff>596900</xdr:colOff>
                    <xdr:row>0</xdr:row>
                    <xdr:rowOff>0</xdr:rowOff>
                  </from>
                  <to>
                    <xdr:col>13</xdr:col>
                    <xdr:colOff>25400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Button 3">
              <controlPr defaultSize="0" print="0" autoFill="0" autoPict="0" macro="[1]!DrawGanttChartWithDates">
                <anchor moveWithCells="1" sizeWithCells="1">
                  <from>
                    <xdr:col>13</xdr:col>
                    <xdr:colOff>76200</xdr:colOff>
                    <xdr:row>0</xdr:row>
                    <xdr:rowOff>0</xdr:rowOff>
                  </from>
                  <to>
                    <xdr:col>13</xdr:col>
                    <xdr:colOff>1524000</xdr:colOff>
                    <xdr:row>0</xdr:row>
                    <xdr:rowOff>177800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2EC0B6-4910-4882-924C-E6498759941A}">
          <x14:formula1>
            <xm:f>Parametros!$B$3:$B$7</xm:f>
          </x14:formula1>
          <xm:sqref>O1:O1048576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16"/>
  <sheetViews>
    <sheetView showGridLines="0" workbookViewId="0">
      <selection activeCell="B13" sqref="B13"/>
    </sheetView>
  </sheetViews>
  <sheetFormatPr defaultColWidth="8.81640625" defaultRowHeight="14.5" x14ac:dyDescent="0.35"/>
  <cols>
    <col min="1" max="1" width="2.453125" style="2" customWidth="1"/>
    <col min="2" max="2" width="46.54296875" style="2" bestFit="1" customWidth="1"/>
    <col min="3" max="3" width="21.81640625" style="2" customWidth="1"/>
    <col min="4" max="10" width="21.81640625" style="7" customWidth="1"/>
    <col min="11" max="11" width="8.81640625" style="7"/>
    <col min="12" max="12" width="12.81640625" style="7" customWidth="1"/>
    <col min="13" max="16384" width="8.81640625" style="2"/>
  </cols>
  <sheetData>
    <row r="4" spans="2:12" x14ac:dyDescent="0.35">
      <c r="B4" s="1" t="s">
        <v>278</v>
      </c>
      <c r="C4" s="1"/>
    </row>
    <row r="5" spans="2:12" x14ac:dyDescent="0.35">
      <c r="B5" s="1" t="s">
        <v>279</v>
      </c>
      <c r="C5" s="1" t="s">
        <v>280</v>
      </c>
    </row>
    <row r="8" spans="2:12" x14ac:dyDescent="0.35">
      <c r="B8" s="3" t="s">
        <v>281</v>
      </c>
      <c r="C8" s="4">
        <v>45469</v>
      </c>
    </row>
    <row r="10" spans="2:12" s="6" customFormat="1" ht="29" x14ac:dyDescent="0.35">
      <c r="B10" s="5" t="s">
        <v>282</v>
      </c>
      <c r="C10" s="8" t="s">
        <v>283</v>
      </c>
      <c r="D10" s="8" t="s">
        <v>284</v>
      </c>
      <c r="E10" s="8" t="s">
        <v>285</v>
      </c>
      <c r="F10" s="8" t="s">
        <v>286</v>
      </c>
      <c r="G10" s="8" t="s">
        <v>287</v>
      </c>
      <c r="H10" s="8" t="s">
        <v>288</v>
      </c>
      <c r="I10" s="8" t="s">
        <v>289</v>
      </c>
      <c r="J10" s="8" t="s">
        <v>290</v>
      </c>
      <c r="K10" s="9"/>
      <c r="L10" s="11" t="s">
        <v>291</v>
      </c>
    </row>
    <row r="11" spans="2:12" x14ac:dyDescent="0.35">
      <c r="B11" s="17" t="s">
        <v>292</v>
      </c>
      <c r="C11" s="13"/>
      <c r="D11" s="13"/>
      <c r="E11" s="13"/>
      <c r="F11" s="13"/>
      <c r="G11" s="13"/>
      <c r="H11" s="13"/>
      <c r="I11" s="13"/>
      <c r="J11" s="13"/>
      <c r="L11" s="13"/>
    </row>
    <row r="12" spans="2:12" x14ac:dyDescent="0.35">
      <c r="B12" s="12" t="s">
        <v>293</v>
      </c>
      <c r="C12" s="13"/>
      <c r="D12" s="13"/>
      <c r="E12" s="13"/>
      <c r="F12" s="13"/>
      <c r="G12" s="13"/>
      <c r="H12" s="13"/>
      <c r="I12" s="13"/>
      <c r="J12" s="13"/>
      <c r="L12" s="13"/>
    </row>
    <row r="13" spans="2:12" x14ac:dyDescent="0.35">
      <c r="B13" s="12" t="s">
        <v>294</v>
      </c>
      <c r="C13" s="13"/>
      <c r="D13" s="13"/>
      <c r="E13" s="13"/>
      <c r="F13" s="13"/>
      <c r="G13" s="13"/>
      <c r="H13" s="13"/>
      <c r="I13" s="13"/>
      <c r="J13" s="13"/>
      <c r="L13" s="13"/>
    </row>
    <row r="14" spans="2:12" x14ac:dyDescent="0.35">
      <c r="B14" s="12" t="s">
        <v>295</v>
      </c>
      <c r="C14" s="13"/>
      <c r="D14" s="13"/>
      <c r="E14" s="13"/>
      <c r="F14" s="13"/>
      <c r="G14" s="13"/>
      <c r="H14" s="13"/>
      <c r="I14" s="13"/>
      <c r="J14" s="13"/>
      <c r="L14" s="13"/>
    </row>
    <row r="15" spans="2:12" x14ac:dyDescent="0.35">
      <c r="B15" s="12" t="s">
        <v>296</v>
      </c>
      <c r="C15" s="13"/>
      <c r="D15" s="13"/>
      <c r="E15" s="13"/>
      <c r="F15" s="13"/>
      <c r="G15" s="13"/>
      <c r="H15" s="13"/>
      <c r="I15" s="13"/>
      <c r="J15" s="13"/>
      <c r="L15" s="13"/>
    </row>
    <row r="16" spans="2:12" s="16" customFormat="1" x14ac:dyDescent="0.35">
      <c r="B16" s="1"/>
      <c r="C16" s="10"/>
      <c r="D16" s="10"/>
      <c r="E16" s="10"/>
      <c r="F16" s="10"/>
      <c r="G16" s="10"/>
      <c r="H16" s="10"/>
      <c r="I16" s="10"/>
      <c r="J16" s="10"/>
      <c r="K16" s="14"/>
      <c r="L16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40E6-47BC-4C7E-9DA4-E7230FB5A790}">
  <dimension ref="B2:B7"/>
  <sheetViews>
    <sheetView workbookViewId="0">
      <selection activeCell="B2" sqref="B2:B7"/>
    </sheetView>
  </sheetViews>
  <sheetFormatPr defaultRowHeight="14.5" x14ac:dyDescent="0.35"/>
  <sheetData>
    <row r="2" spans="2:2" x14ac:dyDescent="0.35">
      <c r="B2" t="s">
        <v>297</v>
      </c>
    </row>
    <row r="3" spans="2:2" x14ac:dyDescent="0.35">
      <c r="B3" t="s">
        <v>138</v>
      </c>
    </row>
    <row r="4" spans="2:2" x14ac:dyDescent="0.35">
      <c r="B4" t="s">
        <v>150</v>
      </c>
    </row>
    <row r="5" spans="2:2" x14ac:dyDescent="0.35">
      <c r="B5" t="s">
        <v>142</v>
      </c>
    </row>
    <row r="6" spans="2:2" x14ac:dyDescent="0.35">
      <c r="B6" t="s">
        <v>298</v>
      </c>
    </row>
    <row r="7" spans="2:2" x14ac:dyDescent="0.35">
      <c r="B7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1EC493E367844BCC7657148E6863F" ma:contentTypeVersion="14" ma:contentTypeDescription="Create a new document." ma:contentTypeScope="" ma:versionID="862c82ef35b1f0e0616c38a54b4c54c4">
  <xsd:schema xmlns:xsd="http://www.w3.org/2001/XMLSchema" xmlns:xs="http://www.w3.org/2001/XMLSchema" xmlns:p="http://schemas.microsoft.com/office/2006/metadata/properties" xmlns:ns2="46d436c9-717c-46a7-b69e-155cb9fbc821" xmlns:ns3="29987bf6-598b-4bea-b1ba-059a62b4ab71" targetNamespace="http://schemas.microsoft.com/office/2006/metadata/properties" ma:root="true" ma:fieldsID="0bfd6d74c257e7c4d44f473071d451a5" ns2:_="" ns3:_="">
    <xsd:import namespace="46d436c9-717c-46a7-b69e-155cb9fbc821"/>
    <xsd:import namespace="29987bf6-598b-4bea-b1ba-059a62b4a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436c9-717c-46a7-b69e-155cb9fbc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87bf6-598b-4bea-b1ba-059a62b4ab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1b027c-eb8e-469a-bd5e-f3378a596fac}" ma:internalName="TaxCatchAll" ma:showField="CatchAllData" ma:web="29987bf6-598b-4bea-b1ba-059a62b4ab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d436c9-717c-46a7-b69e-155cb9fbc821">
      <Terms xmlns="http://schemas.microsoft.com/office/infopath/2007/PartnerControls"/>
    </lcf76f155ced4ddcb4097134ff3c332f>
    <TaxCatchAll xmlns="29987bf6-598b-4bea-b1ba-059a62b4ab71" xsi:nil="true"/>
  </documentManagement>
</p:properties>
</file>

<file path=customXml/itemProps1.xml><?xml version="1.0" encoding="utf-8"?>
<ds:datastoreItem xmlns:ds="http://schemas.openxmlformats.org/officeDocument/2006/customXml" ds:itemID="{6519A6F0-52D7-41AF-B2DA-85E6A82048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d436c9-717c-46a7-b69e-155cb9fbc821"/>
    <ds:schemaRef ds:uri="29987bf6-598b-4bea-b1ba-059a62b4a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91FC53-57FF-4789-BDCE-013F3DCC9B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9F6FEC-B938-43E5-9A66-C0FA6D05A909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46d436c9-717c-46a7-b69e-155cb9fbc821"/>
    <ds:schemaRef ds:uri="http://schemas.microsoft.com/office/infopath/2007/PartnerControls"/>
    <ds:schemaRef ds:uri="29987bf6-598b-4bea-b1ba-059a62b4ab71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assets_twist</vt:lpstr>
      <vt:lpstr>twist_assets</vt:lpstr>
      <vt:lpstr>Ativos_Sumário</vt:lpstr>
      <vt:lpstr>Parametros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Moura, Carlos</dc:creator>
  <cp:keywords/>
  <dc:description/>
  <cp:lastModifiedBy>Chaves, Cecilia</cp:lastModifiedBy>
  <cp:revision/>
  <dcterms:created xsi:type="dcterms:W3CDTF">2015-06-05T18:17:20Z</dcterms:created>
  <dcterms:modified xsi:type="dcterms:W3CDTF">2024-07-12T20:47:06Z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0x010100B2A1EC493E367844BCC7657148E6863F</vt:lpwstr>
  </property>
  <property fmtid="{D5CDD505-2E9C-101B-9397-08002B2CF9AE}" pid="3" name="MediaServiceImageTags">
    <vt:lpwstr/>
  </property>
</Properties>
</file>