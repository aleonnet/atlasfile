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272873\Dados\# M&amp;A 2023\2025_02_BN2\Societário\"/>
    </mc:Choice>
  </mc:AlternateContent>
  <bookViews>
    <workbookView xWindow="0" yWindow="0" windowWidth="20490" windowHeight="7620"/>
  </bookViews>
  <sheets>
    <sheet name="CNPJ Consolidado Oi 08.04" sheetId="1" r:id="rId1"/>
  </sheets>
  <externalReferences>
    <externalReference r:id="rId2"/>
    <externalReference r:id="rId3"/>
  </externalReferences>
  <definedNames>
    <definedName name="_xlnm._FilterDatabase" localSheetId="0" hidden="1">'CNPJ Consolidado Oi 08.04'!$A$2:$AL$380</definedName>
    <definedName name="_xlnm.Print_Area" localSheetId="0">'CNPJ Consolidado Oi 08.04'!$B$3:$P$43</definedName>
    <definedName name="ICP">[2]Listas_HFM!$G$2:$G$34</definedName>
    <definedName name="Value">[2]Listas_HFM!$E$2:$E$5</definedName>
    <definedName name="Z_217C0032_7758_483F_859D_619DAB5AD616_.wvu.Cols" localSheetId="0" hidden="1">'CNPJ Consolidado Oi 08.04'!$F:$G,'CNPJ Consolidado Oi 08.04'!$J:$O</definedName>
    <definedName name="Z_217C0032_7758_483F_859D_619DAB5AD616_.wvu.FilterData" localSheetId="0" hidden="1">'CNPJ Consolidado Oi 08.04'!$B$2:$X$238</definedName>
    <definedName name="Z_217C0032_7758_483F_859D_619DAB5AD616_.wvu.PrintArea" localSheetId="0" hidden="1">'CNPJ Consolidado Oi 08.04'!$B$3:$P$43</definedName>
    <definedName name="Z_3D769353_6810_44FB_8A0E_F8A557753479_.wvu.FilterData" localSheetId="0" hidden="1">'CNPJ Consolidado Oi 08.04'!$B$2:$Z$238</definedName>
    <definedName name="Z_3D769353_6810_44FB_8A0E_F8A557753479_.wvu.PrintArea" localSheetId="0" hidden="1">'CNPJ Consolidado Oi 08.04'!$B$3:$P$43</definedName>
    <definedName name="Z_506754D9_9F67_4E47_920E_524E4F121B88_.wvu.FilterData" localSheetId="0" hidden="1">'CNPJ Consolidado Oi 08.04'!$B$2:$Z$238</definedName>
    <definedName name="Z_51C01F25_CD21_42C4_A6C4_52ABE85D537D_.wvu.FilterData" localSheetId="0" hidden="1">'CNPJ Consolidado Oi 08.04'!$B$2:$X$238</definedName>
    <definedName name="Z_AAD7BBAA_1861_4232_A069_9AB5D8A75222_.wvu.FilterData" localSheetId="0" hidden="1">'CNPJ Consolidado Oi 08.04'!$B$2:$X$240</definedName>
    <definedName name="Z_BF256432_C227_416B_8E42_6233BF978F54_.wvu.FilterData" localSheetId="0" hidden="1">'CNPJ Consolidado Oi 08.04'!$B$2:$X$238</definedName>
    <definedName name="Z_E2A3DA4D_7225_4583_9749_E453EDC59E39_.wvu.FilterData" localSheetId="0" hidden="1">'CNPJ Consolidado Oi 08.04'!$B$2:$X$238</definedName>
    <definedName name="Z_E59ADC46_7E33_43D2_80EE_AF29FBD6AD13_.wvu.FilterData" localSheetId="0" hidden="1">'CNPJ Consolidado Oi 08.04'!$B$2:$X$240</definedName>
    <definedName name="Z_E59ADC46_7E33_43D2_80EE_AF29FBD6AD13_.wvu.PrintArea" localSheetId="0" hidden="1">'CNPJ Consolidado Oi 08.04'!$B$3:$P$43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80" i="1" l="1"/>
  <c r="AG380" i="1" s="1"/>
  <c r="AG379" i="1"/>
  <c r="Z379" i="1"/>
  <c r="AG378" i="1"/>
  <c r="AC378" i="1"/>
  <c r="Z378" i="1"/>
  <c r="AB378" i="1" s="1"/>
  <c r="AG377" i="1"/>
  <c r="Z377" i="1"/>
  <c r="AG376" i="1"/>
  <c r="AC376" i="1"/>
  <c r="Z376" i="1"/>
  <c r="Z375" i="1"/>
  <c r="AG374" i="1"/>
  <c r="AC374" i="1"/>
  <c r="Z374" i="1"/>
  <c r="Z373" i="1"/>
  <c r="Z372" i="1"/>
  <c r="Z371" i="1"/>
  <c r="Z370" i="1"/>
  <c r="AG370" i="1" s="1"/>
  <c r="Z369" i="1"/>
  <c r="AG368" i="1"/>
  <c r="AD368" i="1"/>
  <c r="AB368" i="1"/>
  <c r="Z368" i="1"/>
  <c r="AC367" i="1"/>
  <c r="AB367" i="1"/>
  <c r="Z367" i="1"/>
  <c r="AG366" i="1"/>
  <c r="AD366" i="1"/>
  <c r="AC366" i="1"/>
  <c r="Z366" i="1"/>
  <c r="AG365" i="1"/>
  <c r="AD365" i="1"/>
  <c r="AC365" i="1"/>
  <c r="Z365" i="1"/>
  <c r="Z364" i="1"/>
  <c r="AG363" i="1"/>
  <c r="AD363" i="1"/>
  <c r="AC363" i="1"/>
  <c r="AB363" i="1"/>
  <c r="Z363" i="1"/>
  <c r="AB362" i="1"/>
  <c r="Z362" i="1"/>
  <c r="Z361" i="1"/>
  <c r="Z360" i="1"/>
  <c r="Z359" i="1"/>
  <c r="AG358" i="1"/>
  <c r="AD358" i="1"/>
  <c r="AC358" i="1"/>
  <c r="Z358" i="1"/>
  <c r="AG357" i="1"/>
  <c r="AD357" i="1"/>
  <c r="AC357" i="1"/>
  <c r="AB357" i="1"/>
  <c r="Z357" i="1"/>
  <c r="Z356" i="1"/>
  <c r="AG355" i="1"/>
  <c r="AD355" i="1"/>
  <c r="AC355" i="1"/>
  <c r="AB355" i="1"/>
  <c r="Z355" i="1"/>
  <c r="AB354" i="1"/>
  <c r="Z354" i="1"/>
  <c r="Z353" i="1"/>
  <c r="AB352" i="1"/>
  <c r="Z352" i="1"/>
  <c r="Z351" i="1"/>
  <c r="AG350" i="1"/>
  <c r="AD350" i="1"/>
  <c r="AC350" i="1"/>
  <c r="Z350" i="1"/>
  <c r="AG349" i="1"/>
  <c r="AD349" i="1"/>
  <c r="AC349" i="1"/>
  <c r="AB349" i="1"/>
  <c r="Z349" i="1"/>
  <c r="Z348" i="1"/>
  <c r="AG347" i="1"/>
  <c r="AD347" i="1"/>
  <c r="AC347" i="1"/>
  <c r="AB347" i="1"/>
  <c r="Z347" i="1"/>
  <c r="AB346" i="1"/>
  <c r="Z346" i="1"/>
  <c r="Z345" i="1"/>
  <c r="AB344" i="1"/>
  <c r="Z344" i="1"/>
  <c r="Z343" i="1"/>
  <c r="AG342" i="1"/>
  <c r="AD342" i="1"/>
  <c r="AC342" i="1"/>
  <c r="Z342" i="1"/>
  <c r="AG341" i="1"/>
  <c r="AD341" i="1"/>
  <c r="AC341" i="1"/>
  <c r="AB341" i="1"/>
  <c r="Z341" i="1"/>
  <c r="Z340" i="1"/>
  <c r="AG339" i="1"/>
  <c r="AD339" i="1"/>
  <c r="AC339" i="1"/>
  <c r="AB339" i="1"/>
  <c r="Z339" i="1"/>
  <c r="Z338" i="1"/>
  <c r="Z337" i="1"/>
  <c r="Z336" i="1"/>
  <c r="AC335" i="1"/>
  <c r="Z335" i="1"/>
  <c r="AG334" i="1"/>
  <c r="AD334" i="1"/>
  <c r="AC334" i="1"/>
  <c r="Z334" i="1"/>
  <c r="AG333" i="1"/>
  <c r="AD333" i="1"/>
  <c r="AC333" i="1"/>
  <c r="AB333" i="1"/>
  <c r="Z333" i="1"/>
  <c r="Z332" i="1"/>
  <c r="AG331" i="1"/>
  <c r="AD331" i="1"/>
  <c r="AC331" i="1"/>
  <c r="AB331" i="1"/>
  <c r="Z331" i="1"/>
  <c r="Z330" i="1"/>
  <c r="AB330" i="1" s="1"/>
  <c r="AG329" i="1"/>
  <c r="Z329" i="1"/>
  <c r="AB328" i="1"/>
  <c r="Z328" i="1"/>
  <c r="Z327" i="1"/>
  <c r="AG326" i="1"/>
  <c r="AD326" i="1"/>
  <c r="AC326" i="1"/>
  <c r="Z326" i="1"/>
  <c r="AG325" i="1"/>
  <c r="AD325" i="1"/>
  <c r="AC325" i="1"/>
  <c r="AB325" i="1"/>
  <c r="Z325" i="1"/>
  <c r="Z324" i="1"/>
  <c r="AG323" i="1"/>
  <c r="AD323" i="1"/>
  <c r="AC323" i="1"/>
  <c r="AB323" i="1"/>
  <c r="Z323" i="1"/>
  <c r="AB322" i="1"/>
  <c r="Z322" i="1"/>
  <c r="Z321" i="1"/>
  <c r="Z320" i="1"/>
  <c r="Z319" i="1"/>
  <c r="AG318" i="1"/>
  <c r="AD318" i="1"/>
  <c r="AC318" i="1"/>
  <c r="Z318" i="1"/>
  <c r="AG317" i="1"/>
  <c r="AD317" i="1"/>
  <c r="AC317" i="1"/>
  <c r="AB317" i="1"/>
  <c r="Z317" i="1"/>
  <c r="Z316" i="1"/>
  <c r="AG316" i="1" s="1"/>
  <c r="AG315" i="1"/>
  <c r="AD315" i="1"/>
  <c r="AC315" i="1"/>
  <c r="AB315" i="1"/>
  <c r="Z315" i="1"/>
  <c r="AD314" i="1"/>
  <c r="Z314" i="1"/>
  <c r="AB314" i="1" s="1"/>
  <c r="AG313" i="1"/>
  <c r="Z313" i="1"/>
  <c r="AD312" i="1"/>
  <c r="Z312" i="1"/>
  <c r="AC311" i="1"/>
  <c r="Z311" i="1"/>
  <c r="AG310" i="1"/>
  <c r="AD310" i="1"/>
  <c r="AC310" i="1"/>
  <c r="Z310" i="1"/>
  <c r="AG309" i="1"/>
  <c r="AD309" i="1"/>
  <c r="AC309" i="1"/>
  <c r="AB309" i="1"/>
  <c r="Z309" i="1"/>
  <c r="AG308" i="1"/>
  <c r="Z308" i="1"/>
  <c r="AG307" i="1"/>
  <c r="AD307" i="1"/>
  <c r="AC307" i="1"/>
  <c r="AB307" i="1"/>
  <c r="Z307" i="1"/>
  <c r="AD306" i="1"/>
  <c r="AB306" i="1"/>
  <c r="Z306" i="1"/>
  <c r="Z305" i="1"/>
  <c r="AG305" i="1" s="1"/>
  <c r="AD304" i="1"/>
  <c r="Z304" i="1"/>
  <c r="AB304" i="1" s="1"/>
  <c r="Z303" i="1"/>
  <c r="AG302" i="1"/>
  <c r="AD302" i="1"/>
  <c r="AC302" i="1"/>
  <c r="Z302" i="1"/>
  <c r="AG301" i="1"/>
  <c r="AD301" i="1"/>
  <c r="AC301" i="1"/>
  <c r="AB301" i="1"/>
  <c r="Z301" i="1"/>
  <c r="Z300" i="1"/>
  <c r="AG299" i="1"/>
  <c r="AD299" i="1"/>
  <c r="AC299" i="1"/>
  <c r="AB299" i="1"/>
  <c r="Z299" i="1"/>
  <c r="Z298" i="1"/>
  <c r="Z297" i="1"/>
  <c r="AD296" i="1"/>
  <c r="AB296" i="1"/>
  <c r="Z296" i="1"/>
  <c r="AC295" i="1"/>
  <c r="AB295" i="1"/>
  <c r="Z295" i="1"/>
  <c r="Z294" i="1"/>
  <c r="AG293" i="1"/>
  <c r="AF293" i="1"/>
  <c r="AB293" i="1"/>
  <c r="Z293" i="1"/>
  <c r="AG292" i="1"/>
  <c r="AF292" i="1"/>
  <c r="AE292" i="1"/>
  <c r="AB292" i="1"/>
  <c r="Z292" i="1"/>
  <c r="AF291" i="1"/>
  <c r="AE291" i="1"/>
  <c r="Z291" i="1"/>
  <c r="AB290" i="1"/>
  <c r="Z290" i="1"/>
  <c r="Z289" i="1"/>
  <c r="Z288" i="1"/>
  <c r="AF288" i="1" s="1"/>
  <c r="Z287" i="1"/>
  <c r="AF286" i="1"/>
  <c r="AB286" i="1"/>
  <c r="AA286" i="1"/>
  <c r="Z286" i="1"/>
  <c r="Z285" i="1"/>
  <c r="AF284" i="1"/>
  <c r="AE284" i="1"/>
  <c r="Z284" i="1"/>
  <c r="AG284" i="1" s="1"/>
  <c r="AF283" i="1"/>
  <c r="AB283" i="1"/>
  <c r="Z283" i="1"/>
  <c r="Z282" i="1"/>
  <c r="Z281" i="1"/>
  <c r="AG280" i="1"/>
  <c r="AE280" i="1"/>
  <c r="AB280" i="1"/>
  <c r="Z280" i="1"/>
  <c r="AF280" i="1" s="1"/>
  <c r="AF279" i="1"/>
  <c r="AE279" i="1"/>
  <c r="AB279" i="1"/>
  <c r="AA279" i="1"/>
  <c r="Z279" i="1"/>
  <c r="AF278" i="1"/>
  <c r="AE278" i="1"/>
  <c r="AB278" i="1"/>
  <c r="AA278" i="1"/>
  <c r="Z278" i="1"/>
  <c r="Z277" i="1"/>
  <c r="AF276" i="1"/>
  <c r="Z276" i="1"/>
  <c r="AB276" i="1" s="1"/>
  <c r="AF274" i="1"/>
  <c r="AE274" i="1"/>
  <c r="AB274" i="1"/>
  <c r="AA274" i="1"/>
  <c r="Z274" i="1"/>
  <c r="AG274" i="1" s="1"/>
  <c r="AF273" i="1"/>
  <c r="Z273" i="1"/>
  <c r="AE273" i="1" s="1"/>
  <c r="AA272" i="1"/>
  <c r="Z272" i="1"/>
  <c r="AF270" i="1"/>
  <c r="AE270" i="1"/>
  <c r="Z270" i="1"/>
  <c r="Z269" i="1"/>
  <c r="Z268" i="1"/>
  <c r="Z267" i="1"/>
  <c r="AF267" i="1" s="1"/>
  <c r="AE266" i="1"/>
  <c r="Z266" i="1"/>
  <c r="AG265" i="1"/>
  <c r="AE265" i="1"/>
  <c r="Z265" i="1"/>
  <c r="AA265" i="1" s="1"/>
  <c r="Z264" i="1"/>
  <c r="Z263" i="1"/>
  <c r="Z262" i="1"/>
  <c r="AG262" i="1" s="1"/>
  <c r="Z261" i="1"/>
  <c r="AE260" i="1"/>
  <c r="Z260" i="1"/>
  <c r="AB260" i="1" s="1"/>
  <c r="Z259" i="1"/>
  <c r="AG258" i="1"/>
  <c r="AE258" i="1"/>
  <c r="AB258" i="1"/>
  <c r="Z258" i="1"/>
  <c r="AF258" i="1" s="1"/>
  <c r="Z257" i="1"/>
  <c r="Z256" i="1"/>
  <c r="AG255" i="1"/>
  <c r="AB255" i="1"/>
  <c r="AA255" i="1"/>
  <c r="Z255" i="1"/>
  <c r="AF255" i="1" s="1"/>
  <c r="AG254" i="1"/>
  <c r="AF254" i="1"/>
  <c r="AE254" i="1"/>
  <c r="AB254" i="1"/>
  <c r="Z254" i="1"/>
  <c r="AG253" i="1"/>
  <c r="AF253" i="1"/>
  <c r="AB253" i="1"/>
  <c r="Z253" i="1"/>
  <c r="AF252" i="1"/>
  <c r="AE252" i="1"/>
  <c r="Z252" i="1"/>
  <c r="AC252" i="1" s="1"/>
  <c r="AG251" i="1"/>
  <c r="AE251" i="1"/>
  <c r="AD251" i="1"/>
  <c r="AC251" i="1"/>
  <c r="AB251" i="1"/>
  <c r="Z251" i="1"/>
  <c r="AA251" i="1" s="1"/>
  <c r="Z248" i="1"/>
  <c r="AG248" i="1" s="1"/>
  <c r="AF247" i="1"/>
  <c r="AE247" i="1"/>
  <c r="AC247" i="1"/>
  <c r="AB247" i="1"/>
  <c r="Z247" i="1"/>
  <c r="AA247" i="1" s="1"/>
  <c r="AD246" i="1"/>
  <c r="Z246" i="1"/>
  <c r="AF245" i="1"/>
  <c r="Z245" i="1"/>
  <c r="AD245" i="1" s="1"/>
  <c r="AG244" i="1"/>
  <c r="AF244" i="1"/>
  <c r="AE244" i="1"/>
  <c r="AD244" i="1"/>
  <c r="AC244" i="1"/>
  <c r="AB244" i="1"/>
  <c r="Z244" i="1"/>
  <c r="AA244" i="1" s="1"/>
  <c r="AD243" i="1"/>
  <c r="Z243" i="1"/>
  <c r="AF242" i="1"/>
  <c r="Z242" i="1"/>
  <c r="AE242" i="1" s="1"/>
  <c r="AG241" i="1"/>
  <c r="AE241" i="1"/>
  <c r="AD241" i="1"/>
  <c r="AC241" i="1"/>
  <c r="AB241" i="1"/>
  <c r="Z241" i="1"/>
  <c r="AA241" i="1" s="1"/>
  <c r="AG240" i="1"/>
  <c r="AF240" i="1"/>
  <c r="AC240" i="1"/>
  <c r="Z240" i="1"/>
  <c r="AF239" i="1"/>
  <c r="AE239" i="1"/>
  <c r="AC239" i="1"/>
  <c r="AB239" i="1"/>
  <c r="Z239" i="1"/>
  <c r="AA239" i="1" s="1"/>
  <c r="Z238" i="1"/>
  <c r="AD236" i="1"/>
  <c r="AC236" i="1"/>
  <c r="Z236" i="1"/>
  <c r="AF236" i="1" s="1"/>
  <c r="AG235" i="1"/>
  <c r="AF235" i="1"/>
  <c r="AE235" i="1"/>
  <c r="AD235" i="1"/>
  <c r="AC235" i="1"/>
  <c r="AB235" i="1"/>
  <c r="Z235" i="1"/>
  <c r="AA235" i="1" s="1"/>
  <c r="Z234" i="1"/>
  <c r="AE233" i="1"/>
  <c r="AC233" i="1"/>
  <c r="Z233" i="1"/>
  <c r="AF233" i="1" s="1"/>
  <c r="AG232" i="1"/>
  <c r="AE232" i="1"/>
  <c r="AD232" i="1"/>
  <c r="AC232" i="1"/>
  <c r="AB232" i="1"/>
  <c r="Z232" i="1"/>
  <c r="AA232" i="1" s="1"/>
  <c r="AD231" i="1"/>
  <c r="Z231" i="1"/>
  <c r="AF230" i="1"/>
  <c r="AE230" i="1"/>
  <c r="AC230" i="1"/>
  <c r="AB230" i="1"/>
  <c r="Z230" i="1"/>
  <c r="AA230" i="1" s="1"/>
  <c r="AG229" i="1"/>
  <c r="AE229" i="1"/>
  <c r="AD229" i="1"/>
  <c r="AB229" i="1"/>
  <c r="Z229" i="1"/>
  <c r="Z228" i="1"/>
  <c r="AG227" i="1"/>
  <c r="AF227" i="1"/>
  <c r="AE227" i="1"/>
  <c r="AD227" i="1"/>
  <c r="AC227" i="1"/>
  <c r="AB227" i="1"/>
  <c r="Z227" i="1"/>
  <c r="AA227" i="1" s="1"/>
  <c r="AG226" i="1"/>
  <c r="AD226" i="1"/>
  <c r="AC226" i="1"/>
  <c r="Z226" i="1"/>
  <c r="AF226" i="1" s="1"/>
  <c r="AC225" i="1"/>
  <c r="Z225" i="1"/>
  <c r="AG224" i="1"/>
  <c r="AD224" i="1"/>
  <c r="AB224" i="1"/>
  <c r="Z224" i="1"/>
  <c r="AE224" i="1" s="1"/>
  <c r="AG223" i="1"/>
  <c r="AF223" i="1"/>
  <c r="AD223" i="1"/>
  <c r="AC223" i="1"/>
  <c r="Z223" i="1"/>
  <c r="AG222" i="1"/>
  <c r="AF222" i="1"/>
  <c r="AE222" i="1"/>
  <c r="AC222" i="1"/>
  <c r="AB222" i="1"/>
  <c r="Z222" i="1"/>
  <c r="AA222" i="1" s="1"/>
  <c r="AG221" i="1"/>
  <c r="Z221" i="1"/>
  <c r="AF221" i="1" s="1"/>
  <c r="AF220" i="1"/>
  <c r="AE220" i="1"/>
  <c r="AC220" i="1"/>
  <c r="Z220" i="1"/>
  <c r="AG220" i="1" s="1"/>
  <c r="AG219" i="1"/>
  <c r="AF219" i="1"/>
  <c r="AE219" i="1"/>
  <c r="AD219" i="1"/>
  <c r="AC219" i="1"/>
  <c r="AB219" i="1"/>
  <c r="Z219" i="1"/>
  <c r="AA219" i="1" s="1"/>
  <c r="AG218" i="1"/>
  <c r="AF218" i="1"/>
  <c r="AE218" i="1"/>
  <c r="AD218" i="1"/>
  <c r="AC218" i="1"/>
  <c r="AB218" i="1"/>
  <c r="Z218" i="1"/>
  <c r="AA218" i="1" s="1"/>
  <c r="AC216" i="1"/>
  <c r="Z216" i="1"/>
  <c r="AG214" i="1"/>
  <c r="Z214" i="1"/>
  <c r="AE214" i="1" s="1"/>
  <c r="AF211" i="1"/>
  <c r="AD211" i="1"/>
  <c r="AB211" i="1"/>
  <c r="Z211" i="1"/>
  <c r="AG211" i="1" s="1"/>
  <c r="AG210" i="1"/>
  <c r="AF210" i="1"/>
  <c r="AE210" i="1"/>
  <c r="AC210" i="1"/>
  <c r="AB210" i="1"/>
  <c r="Z210" i="1"/>
  <c r="AD208" i="1"/>
  <c r="Z208" i="1"/>
  <c r="AG207" i="1"/>
  <c r="Z207" i="1"/>
  <c r="AF207" i="1" s="1"/>
  <c r="AG206" i="1"/>
  <c r="AF206" i="1"/>
  <c r="AE206" i="1"/>
  <c r="AD206" i="1"/>
  <c r="AC206" i="1"/>
  <c r="AB206" i="1"/>
  <c r="Z206" i="1"/>
  <c r="AA206" i="1" s="1"/>
  <c r="AG205" i="1"/>
  <c r="AE205" i="1"/>
  <c r="AD205" i="1"/>
  <c r="AB205" i="1"/>
  <c r="Z205" i="1"/>
  <c r="AA205" i="1" s="1"/>
  <c r="AE204" i="1"/>
  <c r="AD204" i="1"/>
  <c r="AC204" i="1"/>
  <c r="AB204" i="1"/>
  <c r="Z204" i="1"/>
  <c r="AC203" i="1"/>
  <c r="Z203" i="1"/>
  <c r="AG202" i="1"/>
  <c r="Z202" i="1"/>
  <c r="AF202" i="1" s="1"/>
  <c r="AF201" i="1"/>
  <c r="AE201" i="1"/>
  <c r="AB201" i="1"/>
  <c r="Z201" i="1"/>
  <c r="AG201" i="1" s="1"/>
  <c r="AF200" i="1"/>
  <c r="AE200" i="1"/>
  <c r="AD200" i="1"/>
  <c r="AB200" i="1"/>
  <c r="Z200" i="1"/>
  <c r="Z199" i="1"/>
  <c r="AG198" i="1"/>
  <c r="AF198" i="1"/>
  <c r="AE198" i="1"/>
  <c r="AD198" i="1"/>
  <c r="AC198" i="1"/>
  <c r="AB198" i="1"/>
  <c r="Z198" i="1"/>
  <c r="AA198" i="1" s="1"/>
  <c r="Z197" i="1"/>
  <c r="AF197" i="1" s="1"/>
  <c r="AE196" i="1"/>
  <c r="AD196" i="1"/>
  <c r="Z196" i="1"/>
  <c r="AF196" i="1" s="1"/>
  <c r="AE195" i="1"/>
  <c r="AD195" i="1"/>
  <c r="AC195" i="1"/>
  <c r="AB195" i="1"/>
  <c r="Z195" i="1"/>
  <c r="AC194" i="1"/>
  <c r="Z194" i="1"/>
  <c r="AG192" i="1"/>
  <c r="Z192" i="1"/>
  <c r="AF191" i="1"/>
  <c r="AE191" i="1"/>
  <c r="Z191" i="1"/>
  <c r="AG191" i="1" s="1"/>
  <c r="AF190" i="1"/>
  <c r="AE190" i="1"/>
  <c r="AD190" i="1"/>
  <c r="AC190" i="1"/>
  <c r="Z190" i="1"/>
  <c r="AG189" i="1"/>
  <c r="AF189" i="1"/>
  <c r="AE189" i="1"/>
  <c r="AD189" i="1"/>
  <c r="AC189" i="1"/>
  <c r="AB189" i="1"/>
  <c r="Z189" i="1"/>
  <c r="AA189" i="1" s="1"/>
  <c r="Z186" i="1"/>
  <c r="AF185" i="1"/>
  <c r="Z185" i="1"/>
  <c r="AE184" i="1"/>
  <c r="AD184" i="1"/>
  <c r="Z184" i="1"/>
  <c r="AG184" i="1" s="1"/>
  <c r="AF183" i="1"/>
  <c r="AD183" i="1"/>
  <c r="AC183" i="1"/>
  <c r="AB183" i="1"/>
  <c r="Z183" i="1"/>
  <c r="Z181" i="1"/>
  <c r="Z180" i="1"/>
  <c r="AF179" i="1"/>
  <c r="AE179" i="1"/>
  <c r="Z179" i="1"/>
  <c r="AG179" i="1" s="1"/>
  <c r="AG178" i="1"/>
  <c r="AF178" i="1"/>
  <c r="AE178" i="1"/>
  <c r="AD178" i="1"/>
  <c r="AC178" i="1"/>
  <c r="AB178" i="1"/>
  <c r="Z178" i="1"/>
  <c r="AA178" i="1" s="1"/>
  <c r="AG177" i="1"/>
  <c r="AE177" i="1"/>
  <c r="AD177" i="1"/>
  <c r="AC177" i="1"/>
  <c r="AB177" i="1"/>
  <c r="Z177" i="1"/>
  <c r="AA177" i="1" s="1"/>
  <c r="Z175" i="1"/>
  <c r="AG174" i="1"/>
  <c r="Z174" i="1"/>
  <c r="AF173" i="1"/>
  <c r="AD173" i="1"/>
  <c r="Z173" i="1"/>
  <c r="AG173" i="1" s="1"/>
  <c r="AF172" i="1"/>
  <c r="AE172" i="1"/>
  <c r="AC172" i="1"/>
  <c r="AB172" i="1"/>
  <c r="Z172" i="1"/>
  <c r="Z171" i="1"/>
  <c r="Z168" i="1"/>
  <c r="AG167" i="1"/>
  <c r="AF167" i="1"/>
  <c r="AE167" i="1"/>
  <c r="AD167" i="1"/>
  <c r="AC167" i="1"/>
  <c r="AB167" i="1"/>
  <c r="Z167" i="1"/>
  <c r="AA167" i="1" s="1"/>
  <c r="AG166" i="1"/>
  <c r="AE166" i="1"/>
  <c r="AD166" i="1"/>
  <c r="Z166" i="1"/>
  <c r="AA166" i="1" s="1"/>
  <c r="AE165" i="1"/>
  <c r="AD165" i="1"/>
  <c r="AC165" i="1"/>
  <c r="AB165" i="1"/>
  <c r="Z165" i="1"/>
  <c r="Z164" i="1"/>
  <c r="AG163" i="1"/>
  <c r="Z163" i="1"/>
  <c r="AG162" i="1"/>
  <c r="AF162" i="1"/>
  <c r="AE162" i="1"/>
  <c r="Z162" i="1"/>
  <c r="AC162" i="1" s="1"/>
  <c r="AF161" i="1"/>
  <c r="AE161" i="1"/>
  <c r="AD161" i="1"/>
  <c r="AB161" i="1"/>
  <c r="Z161" i="1"/>
  <c r="AD160" i="1"/>
  <c r="Z160" i="1"/>
  <c r="AG159" i="1"/>
  <c r="AF159" i="1"/>
  <c r="AE159" i="1"/>
  <c r="AD159" i="1"/>
  <c r="AC159" i="1"/>
  <c r="AB159" i="1"/>
  <c r="Z159" i="1"/>
  <c r="AA159" i="1" s="1"/>
  <c r="AG155" i="1"/>
  <c r="AF155" i="1"/>
  <c r="Z155" i="1"/>
  <c r="AE154" i="1"/>
  <c r="AD154" i="1"/>
  <c r="Z154" i="1"/>
  <c r="AF154" i="1" s="1"/>
  <c r="AE153" i="1"/>
  <c r="AD153" i="1"/>
  <c r="AC153" i="1"/>
  <c r="AB153" i="1"/>
  <c r="Z153" i="1"/>
  <c r="Z152" i="1"/>
  <c r="AC152" i="1" s="1"/>
  <c r="Z151" i="1"/>
  <c r="AG151" i="1" s="1"/>
  <c r="AG150" i="1"/>
  <c r="AF150" i="1"/>
  <c r="AE150" i="1"/>
  <c r="Z150" i="1"/>
  <c r="AD150" i="1" s="1"/>
  <c r="AF149" i="1"/>
  <c r="AE149" i="1"/>
  <c r="AD149" i="1"/>
  <c r="AC149" i="1"/>
  <c r="Z149" i="1"/>
  <c r="AG148" i="1"/>
  <c r="AF148" i="1"/>
  <c r="AE148" i="1"/>
  <c r="AD148" i="1"/>
  <c r="AC148" i="1"/>
  <c r="AB148" i="1"/>
  <c r="Z148" i="1"/>
  <c r="AA148" i="1" s="1"/>
  <c r="AC147" i="1"/>
  <c r="Z147" i="1"/>
  <c r="Z146" i="1"/>
  <c r="AG145" i="1"/>
  <c r="AE145" i="1"/>
  <c r="AD145" i="1"/>
  <c r="Z145" i="1"/>
  <c r="AC145" i="1" s="1"/>
  <c r="AF144" i="1"/>
  <c r="AD144" i="1"/>
  <c r="AC144" i="1"/>
  <c r="AB144" i="1"/>
  <c r="Z144" i="1"/>
  <c r="Z143" i="1"/>
  <c r="AC143" i="1" s="1"/>
  <c r="Z142" i="1"/>
  <c r="AG141" i="1"/>
  <c r="AF141" i="1"/>
  <c r="AE141" i="1"/>
  <c r="Z141" i="1"/>
  <c r="AD141" i="1" s="1"/>
  <c r="AG140" i="1"/>
  <c r="AF140" i="1"/>
  <c r="AE140" i="1"/>
  <c r="AD140" i="1"/>
  <c r="AC140" i="1"/>
  <c r="AB140" i="1"/>
  <c r="Z140" i="1"/>
  <c r="AA140" i="1" s="1"/>
  <c r="AG139" i="1"/>
  <c r="AE139" i="1"/>
  <c r="AD139" i="1"/>
  <c r="AC139" i="1"/>
  <c r="AB139" i="1"/>
  <c r="Z139" i="1"/>
  <c r="AA139" i="1" s="1"/>
  <c r="AC138" i="1"/>
  <c r="AB138" i="1"/>
  <c r="Z138" i="1"/>
  <c r="Z137" i="1"/>
  <c r="AG136" i="1"/>
  <c r="AF136" i="1"/>
  <c r="AD136" i="1"/>
  <c r="Z136" i="1"/>
  <c r="AC136" i="1" s="1"/>
  <c r="AF135" i="1"/>
  <c r="AE135" i="1"/>
  <c r="AC135" i="1"/>
  <c r="AB135" i="1"/>
  <c r="Z135" i="1"/>
  <c r="AD134" i="1"/>
  <c r="Z134" i="1"/>
  <c r="AG133" i="1"/>
  <c r="Z133" i="1"/>
  <c r="AG132" i="1"/>
  <c r="AF132" i="1"/>
  <c r="AE132" i="1"/>
  <c r="AD132" i="1"/>
  <c r="AC132" i="1"/>
  <c r="AB132" i="1"/>
  <c r="Z132" i="1"/>
  <c r="AA132" i="1" s="1"/>
  <c r="AG131" i="1"/>
  <c r="AF131" i="1"/>
  <c r="AE131" i="1"/>
  <c r="AD131" i="1"/>
  <c r="Z131" i="1"/>
  <c r="AA131" i="1" s="1"/>
  <c r="AE130" i="1"/>
  <c r="AD130" i="1"/>
  <c r="AC130" i="1"/>
  <c r="AB130" i="1"/>
  <c r="Z130" i="1"/>
  <c r="Z129" i="1"/>
  <c r="Z128" i="1"/>
  <c r="AG127" i="1"/>
  <c r="AF127" i="1"/>
  <c r="AE127" i="1"/>
  <c r="Z127" i="1"/>
  <c r="AC127" i="1" s="1"/>
  <c r="AF126" i="1"/>
  <c r="AE126" i="1"/>
  <c r="AD126" i="1"/>
  <c r="AB126" i="1"/>
  <c r="Z126" i="1"/>
  <c r="Z125" i="1"/>
  <c r="AD125" i="1" s="1"/>
  <c r="AG124" i="1"/>
  <c r="AF124" i="1"/>
  <c r="AE124" i="1"/>
  <c r="AD124" i="1"/>
  <c r="AC124" i="1"/>
  <c r="AB124" i="1"/>
  <c r="Z124" i="1"/>
  <c r="AA124" i="1" s="1"/>
  <c r="AG123" i="1"/>
  <c r="AF123" i="1"/>
  <c r="AC123" i="1"/>
  <c r="Z123" i="1"/>
  <c r="AF122" i="1"/>
  <c r="AE122" i="1"/>
  <c r="Z122" i="1"/>
  <c r="AD122" i="1" s="1"/>
  <c r="AE121" i="1"/>
  <c r="AD121" i="1"/>
  <c r="AC121" i="1"/>
  <c r="AB121" i="1"/>
  <c r="Z121" i="1"/>
  <c r="AF120" i="1"/>
  <c r="Z120" i="1"/>
  <c r="AC120" i="1" s="1"/>
  <c r="AG119" i="1"/>
  <c r="AC119" i="1"/>
  <c r="Z119" i="1"/>
  <c r="AG118" i="1"/>
  <c r="AF118" i="1"/>
  <c r="Z118" i="1"/>
  <c r="AE118" i="1" s="1"/>
  <c r="AF117" i="1"/>
  <c r="AE117" i="1"/>
  <c r="AD117" i="1"/>
  <c r="AC117" i="1"/>
  <c r="Z117" i="1"/>
  <c r="AG116" i="1"/>
  <c r="AF116" i="1"/>
  <c r="AE116" i="1"/>
  <c r="AD116" i="1"/>
  <c r="AC116" i="1"/>
  <c r="AB116" i="1"/>
  <c r="Z116" i="1"/>
  <c r="AA116" i="1" s="1"/>
  <c r="AE115" i="1"/>
  <c r="AC115" i="1"/>
  <c r="Z115" i="1"/>
  <c r="AB115" i="1" s="1"/>
  <c r="Z114" i="1"/>
  <c r="AG113" i="1"/>
  <c r="AE113" i="1"/>
  <c r="AD113" i="1"/>
  <c r="Z113" i="1"/>
  <c r="AF112" i="1"/>
  <c r="AD112" i="1"/>
  <c r="AC112" i="1"/>
  <c r="AB112" i="1"/>
  <c r="Z112" i="1"/>
  <c r="AF111" i="1"/>
  <c r="AC111" i="1"/>
  <c r="Z111" i="1"/>
  <c r="AB111" i="1" s="1"/>
  <c r="Z110" i="1"/>
  <c r="AG110" i="1" s="1"/>
  <c r="AG109" i="1"/>
  <c r="AF109" i="1"/>
  <c r="AE109" i="1"/>
  <c r="AD109" i="1"/>
  <c r="AC109" i="1"/>
  <c r="AA109" i="1"/>
  <c r="Z109" i="1"/>
  <c r="AB109" i="1" s="1"/>
  <c r="AG108" i="1"/>
  <c r="AF108" i="1"/>
  <c r="AE108" i="1"/>
  <c r="AD108" i="1"/>
  <c r="Z108" i="1"/>
  <c r="AF107" i="1"/>
  <c r="AE107" i="1"/>
  <c r="AD107" i="1"/>
  <c r="AC107" i="1"/>
  <c r="Z107" i="1"/>
  <c r="AB107" i="1" s="1"/>
  <c r="AG106" i="1"/>
  <c r="AE106" i="1"/>
  <c r="AD106" i="1"/>
  <c r="AC106" i="1"/>
  <c r="AA106" i="1"/>
  <c r="Z106" i="1"/>
  <c r="AB106" i="1" s="1"/>
  <c r="AF105" i="1"/>
  <c r="AD105" i="1"/>
  <c r="AC105" i="1"/>
  <c r="AA105" i="1"/>
  <c r="Z105" i="1"/>
  <c r="Z104" i="1"/>
  <c r="AC104" i="1" s="1"/>
  <c r="AG103" i="1"/>
  <c r="AD103" i="1"/>
  <c r="AA103" i="1"/>
  <c r="Z103" i="1"/>
  <c r="Z102" i="1"/>
  <c r="AF102" i="1" s="1"/>
  <c r="AG100" i="1"/>
  <c r="AF100" i="1"/>
  <c r="AE100" i="1"/>
  <c r="AD100" i="1"/>
  <c r="AC100" i="1"/>
  <c r="AA100" i="1"/>
  <c r="Z100" i="1"/>
  <c r="AB100" i="1" s="1"/>
  <c r="AG99" i="1"/>
  <c r="AF99" i="1"/>
  <c r="AE99" i="1"/>
  <c r="AD99" i="1"/>
  <c r="Z99" i="1"/>
  <c r="AF98" i="1"/>
  <c r="AE98" i="1"/>
  <c r="AD98" i="1"/>
  <c r="AC98" i="1"/>
  <c r="Z98" i="1"/>
  <c r="AB98" i="1" s="1"/>
  <c r="AG96" i="1"/>
  <c r="AE96" i="1"/>
  <c r="AD96" i="1"/>
  <c r="AC96" i="1"/>
  <c r="AA96" i="1"/>
  <c r="Z96" i="1"/>
  <c r="AB96" i="1" s="1"/>
  <c r="AF95" i="1"/>
  <c r="AD95" i="1"/>
  <c r="AC95" i="1"/>
  <c r="AA95" i="1"/>
  <c r="Z95" i="1"/>
  <c r="Z94" i="1"/>
  <c r="AG93" i="1"/>
  <c r="AD93" i="1"/>
  <c r="AA93" i="1"/>
  <c r="Z93" i="1"/>
  <c r="Z92" i="1"/>
  <c r="AG89" i="1"/>
  <c r="AF89" i="1"/>
  <c r="AE89" i="1"/>
  <c r="AD89" i="1"/>
  <c r="AC89" i="1"/>
  <c r="AA89" i="1"/>
  <c r="Z89" i="1"/>
  <c r="AB89" i="1" s="1"/>
  <c r="AG88" i="1"/>
  <c r="AF88" i="1"/>
  <c r="AE88" i="1"/>
  <c r="AD88" i="1"/>
  <c r="Z88" i="1"/>
  <c r="AF87" i="1"/>
  <c r="AE87" i="1"/>
  <c r="AD87" i="1"/>
  <c r="AC87" i="1"/>
  <c r="Z87" i="1"/>
  <c r="AG83" i="1"/>
  <c r="AE83" i="1"/>
  <c r="AD83" i="1"/>
  <c r="AC83" i="1"/>
  <c r="AA83" i="1"/>
  <c r="Z83" i="1"/>
  <c r="AB83" i="1" s="1"/>
  <c r="AG82" i="1"/>
  <c r="AD82" i="1"/>
  <c r="AC82" i="1"/>
  <c r="Z82" i="1"/>
  <c r="AF82" i="1" s="1"/>
  <c r="AC81" i="1"/>
  <c r="Z81" i="1"/>
  <c r="AF81" i="1" s="1"/>
  <c r="AG80" i="1"/>
  <c r="Z80" i="1"/>
  <c r="AE80" i="1" s="1"/>
  <c r="AG79" i="1"/>
  <c r="AF79" i="1"/>
  <c r="AD79" i="1"/>
  <c r="AC79" i="1"/>
  <c r="Z79" i="1"/>
  <c r="AG78" i="1"/>
  <c r="AF78" i="1"/>
  <c r="AE78" i="1"/>
  <c r="AD78" i="1"/>
  <c r="AC78" i="1"/>
  <c r="AA78" i="1"/>
  <c r="Z78" i="1"/>
  <c r="AB78" i="1" s="1"/>
  <c r="AF77" i="1"/>
  <c r="AE77" i="1"/>
  <c r="AD77" i="1"/>
  <c r="AA77" i="1"/>
  <c r="Z77" i="1"/>
  <c r="AG77" i="1" s="1"/>
  <c r="AF76" i="1"/>
  <c r="AE76" i="1"/>
  <c r="Z76" i="1"/>
  <c r="AD76" i="1" s="1"/>
  <c r="AG75" i="1"/>
  <c r="AE75" i="1"/>
  <c r="AD75" i="1"/>
  <c r="AC75" i="1"/>
  <c r="AA75" i="1"/>
  <c r="Z75" i="1"/>
  <c r="AB75" i="1" s="1"/>
  <c r="AC74" i="1"/>
  <c r="Z74" i="1"/>
  <c r="AG73" i="1"/>
  <c r="Z73" i="1"/>
  <c r="AF73" i="1" s="1"/>
  <c r="AF72" i="1"/>
  <c r="AE72" i="1"/>
  <c r="Z72" i="1"/>
  <c r="AG71" i="1"/>
  <c r="AF71" i="1"/>
  <c r="AE71" i="1"/>
  <c r="AD71" i="1"/>
  <c r="AC71" i="1"/>
  <c r="Z71" i="1"/>
  <c r="AG70" i="1"/>
  <c r="AF70" i="1"/>
  <c r="AE70" i="1"/>
  <c r="AD70" i="1"/>
  <c r="AC70" i="1"/>
  <c r="AA70" i="1"/>
  <c r="Z70" i="1"/>
  <c r="AB70" i="1" s="1"/>
  <c r="Z69" i="1"/>
  <c r="AB69" i="1" s="1"/>
  <c r="AF68" i="1"/>
  <c r="Z68" i="1"/>
  <c r="AE67" i="1"/>
  <c r="AD67" i="1"/>
  <c r="Z67" i="1"/>
  <c r="AG67" i="1" s="1"/>
  <c r="AG66" i="1"/>
  <c r="AF66" i="1"/>
  <c r="AD66" i="1"/>
  <c r="AC66" i="1"/>
  <c r="AA66" i="1"/>
  <c r="Z66" i="1"/>
  <c r="Z65" i="1"/>
  <c r="AG64" i="1"/>
  <c r="Z64" i="1"/>
  <c r="AF64" i="1" s="1"/>
  <c r="AF63" i="1"/>
  <c r="AE63" i="1"/>
  <c r="Z63" i="1"/>
  <c r="AG62" i="1"/>
  <c r="AF62" i="1"/>
  <c r="AE62" i="1"/>
  <c r="AD62" i="1"/>
  <c r="AC62" i="1"/>
  <c r="AA62" i="1"/>
  <c r="Z62" i="1"/>
  <c r="AB62" i="1" s="1"/>
  <c r="AG61" i="1"/>
  <c r="AF61" i="1"/>
  <c r="AE61" i="1"/>
  <c r="AD61" i="1"/>
  <c r="AC61" i="1"/>
  <c r="AA61" i="1"/>
  <c r="Z61" i="1"/>
  <c r="AB61" i="1" s="1"/>
  <c r="Z60" i="1"/>
  <c r="AC60" i="1" s="1"/>
  <c r="AG59" i="1"/>
  <c r="Z59" i="1"/>
  <c r="AE59" i="1" s="1"/>
  <c r="AF58" i="1"/>
  <c r="AD58" i="1"/>
  <c r="Z58" i="1"/>
  <c r="AG58" i="1" s="1"/>
  <c r="AG57" i="1"/>
  <c r="AF57" i="1"/>
  <c r="AE57" i="1"/>
  <c r="AC57" i="1"/>
  <c r="AA57" i="1"/>
  <c r="Z57" i="1"/>
  <c r="Z56" i="1"/>
  <c r="AF56" i="1" s="1"/>
  <c r="AG55" i="1"/>
  <c r="AD55" i="1"/>
  <c r="AC55" i="1"/>
  <c r="AA55" i="1"/>
  <c r="Z55" i="1"/>
  <c r="AB55" i="1" s="1"/>
  <c r="AG54" i="1"/>
  <c r="AF54" i="1"/>
  <c r="Z54" i="1"/>
  <c r="AB54" i="1" s="1"/>
  <c r="AF53" i="1"/>
  <c r="AE53" i="1"/>
  <c r="Z53" i="1"/>
  <c r="AB53" i="1" s="1"/>
  <c r="AG52" i="1"/>
  <c r="AE52" i="1"/>
  <c r="AD52" i="1"/>
  <c r="Z52" i="1"/>
  <c r="AB52" i="1" s="1"/>
  <c r="AG51" i="1"/>
  <c r="AF51" i="1"/>
  <c r="AE51" i="1"/>
  <c r="AD51" i="1"/>
  <c r="AC51" i="1"/>
  <c r="Z51" i="1"/>
  <c r="AB51" i="1" s="1"/>
  <c r="AG50" i="1"/>
  <c r="AF50" i="1"/>
  <c r="AE50" i="1"/>
  <c r="AD50" i="1"/>
  <c r="AC50" i="1"/>
  <c r="AA50" i="1"/>
  <c r="Z50" i="1"/>
  <c r="AB50" i="1" s="1"/>
  <c r="Z49" i="1"/>
  <c r="AB49" i="1" s="1"/>
  <c r="Z48" i="1"/>
  <c r="AB48" i="1" s="1"/>
  <c r="AG47" i="1"/>
  <c r="AC47" i="1"/>
  <c r="AA47" i="1"/>
  <c r="Z47" i="1"/>
  <c r="AB47" i="1" s="1"/>
  <c r="AG46" i="1"/>
  <c r="AF46" i="1"/>
  <c r="Z46" i="1"/>
  <c r="AB46" i="1" s="1"/>
  <c r="AF45" i="1"/>
  <c r="AE45" i="1"/>
  <c r="Z45" i="1"/>
  <c r="AB45" i="1" s="1"/>
  <c r="AB43" i="1"/>
  <c r="Z43" i="1"/>
  <c r="AD43" i="1" s="1"/>
  <c r="AG42" i="1"/>
  <c r="AB42" i="1"/>
  <c r="Z42" i="1"/>
  <c r="AD42" i="1" s="1"/>
  <c r="Z41" i="1"/>
  <c r="AB39" i="1"/>
  <c r="Z39" i="1"/>
  <c r="AE39" i="1" s="1"/>
  <c r="AG38" i="1"/>
  <c r="AB38" i="1"/>
  <c r="Z38" i="1"/>
  <c r="AD38" i="1" s="1"/>
  <c r="Z37" i="1"/>
  <c r="AA37" i="1" s="1"/>
  <c r="Z36" i="1"/>
  <c r="AD36" i="1" s="1"/>
  <c r="AG35" i="1"/>
  <c r="Z35" i="1"/>
  <c r="Z34" i="1"/>
  <c r="AD34" i="1" s="1"/>
  <c r="Z33" i="1"/>
  <c r="AE33" i="1" s="1"/>
  <c r="AB32" i="1"/>
  <c r="Z32" i="1"/>
  <c r="Z31" i="1"/>
  <c r="AD31" i="1" s="1"/>
  <c r="AG30" i="1"/>
  <c r="AB30" i="1"/>
  <c r="Z30" i="1"/>
  <c r="AA30" i="1" s="1"/>
  <c r="AG29" i="1"/>
  <c r="AB29" i="1"/>
  <c r="Z29" i="1"/>
  <c r="AE29" i="1" s="1"/>
  <c r="Z27" i="1"/>
  <c r="AA27" i="1" s="1"/>
  <c r="Z26" i="1"/>
  <c r="AG26" i="1" s="1"/>
  <c r="AG23" i="1"/>
  <c r="AB23" i="1"/>
  <c r="Z23" i="1"/>
  <c r="AE23" i="1" s="1"/>
  <c r="Z22" i="1"/>
  <c r="AD22" i="1" s="1"/>
  <c r="Z21" i="1"/>
  <c r="AB21" i="1" s="1"/>
  <c r="AG19" i="1"/>
  <c r="AB19" i="1"/>
  <c r="Z19" i="1"/>
  <c r="AC19" i="1" s="1"/>
  <c r="AG16" i="1"/>
  <c r="AB16" i="1"/>
  <c r="Z16" i="1"/>
  <c r="AE16" i="1" s="1"/>
  <c r="Z13" i="1"/>
  <c r="AA13" i="1" s="1"/>
  <c r="Z12" i="1"/>
  <c r="AE12" i="1" s="1"/>
  <c r="Z9" i="1"/>
  <c r="Z8" i="1"/>
  <c r="AE8" i="1" s="1"/>
  <c r="Z7" i="1"/>
  <c r="AA7" i="1" s="1"/>
  <c r="Z6" i="1"/>
  <c r="AB6" i="1" s="1"/>
  <c r="Z5" i="1"/>
  <c r="AC5" i="1" s="1"/>
  <c r="AG3" i="1"/>
  <c r="AB3" i="1"/>
  <c r="Z3" i="1"/>
  <c r="AE3" i="1" s="1"/>
  <c r="AB13" i="1" l="1"/>
  <c r="AB65" i="1"/>
  <c r="AD65" i="1"/>
  <c r="AC9" i="1"/>
  <c r="AB9" i="1"/>
  <c r="AD49" i="1"/>
  <c r="AB68" i="1"/>
  <c r="AG68" i="1"/>
  <c r="AB22" i="1"/>
  <c r="AB27" i="1"/>
  <c r="AD60" i="1"/>
  <c r="AC59" i="1"/>
  <c r="AE60" i="1"/>
  <c r="AB63" i="1"/>
  <c r="AA63" i="1"/>
  <c r="AF65" i="1"/>
  <c r="AC68" i="1"/>
  <c r="AB72" i="1"/>
  <c r="AC72" i="1"/>
  <c r="AA80" i="1"/>
  <c r="AG7" i="1"/>
  <c r="AG12" i="1"/>
  <c r="AD32" i="1"/>
  <c r="AG32" i="1"/>
  <c r="AE35" i="1"/>
  <c r="AB35" i="1"/>
  <c r="AD45" i="1"/>
  <c r="AE46" i="1"/>
  <c r="AF47" i="1"/>
  <c r="AG48" i="1"/>
  <c r="AA51" i="1"/>
  <c r="AC52" i="1"/>
  <c r="AD53" i="1"/>
  <c r="AE54" i="1"/>
  <c r="AF55" i="1"/>
  <c r="AB57" i="1"/>
  <c r="AD57" i="1"/>
  <c r="AC58" i="1"/>
  <c r="AD63" i="1"/>
  <c r="AB66" i="1"/>
  <c r="AE66" i="1"/>
  <c r="AC67" i="1"/>
  <c r="AE68" i="1"/>
  <c r="AG69" i="1"/>
  <c r="AB71" i="1"/>
  <c r="AA71" i="1"/>
  <c r="AD72" i="1"/>
  <c r="AB79" i="1"/>
  <c r="AA79" i="1"/>
  <c r="AE79" i="1"/>
  <c r="AA82" i="1"/>
  <c r="AB88" i="1"/>
  <c r="AA88" i="1"/>
  <c r="AC88" i="1"/>
  <c r="AB93" i="1"/>
  <c r="AE93" i="1"/>
  <c r="AC93" i="1"/>
  <c r="AF93" i="1"/>
  <c r="AB95" i="1"/>
  <c r="AG95" i="1"/>
  <c r="AE95" i="1"/>
  <c r="AB99" i="1"/>
  <c r="AA99" i="1"/>
  <c r="AC99" i="1"/>
  <c r="AB103" i="1"/>
  <c r="AE103" i="1"/>
  <c r="AC103" i="1"/>
  <c r="AF103" i="1"/>
  <c r="AB105" i="1"/>
  <c r="AG105" i="1"/>
  <c r="AE105" i="1"/>
  <c r="AB108" i="1"/>
  <c r="AA108" i="1"/>
  <c r="AC108" i="1"/>
  <c r="AA113" i="1"/>
  <c r="AF113" i="1"/>
  <c r="AB113" i="1"/>
  <c r="AC113" i="1"/>
  <c r="AA133" i="1"/>
  <c r="AB133" i="1"/>
  <c r="AE133" i="1"/>
  <c r="AD133" i="1"/>
  <c r="AC133" i="1"/>
  <c r="AF133" i="1"/>
  <c r="AA138" i="1"/>
  <c r="AG138" i="1"/>
  <c r="AF138" i="1"/>
  <c r="AE138" i="1"/>
  <c r="AD138" i="1"/>
  <c r="AA163" i="1"/>
  <c r="AE163" i="1"/>
  <c r="AD163" i="1"/>
  <c r="AC163" i="1"/>
  <c r="AB163" i="1"/>
  <c r="AF163" i="1"/>
  <c r="AA174" i="1"/>
  <c r="AF174" i="1"/>
  <c r="AD174" i="1"/>
  <c r="AC174" i="1"/>
  <c r="AB174" i="1"/>
  <c r="AE174" i="1"/>
  <c r="AA185" i="1"/>
  <c r="AG185" i="1"/>
  <c r="AD185" i="1"/>
  <c r="AC185" i="1"/>
  <c r="AB185" i="1"/>
  <c r="AE185" i="1"/>
  <c r="AD263" i="1"/>
  <c r="AC263" i="1"/>
  <c r="AE263" i="1"/>
  <c r="AG263" i="1"/>
  <c r="AA263" i="1"/>
  <c r="AF263" i="1"/>
  <c r="AB263" i="1"/>
  <c r="AD268" i="1"/>
  <c r="AC268" i="1"/>
  <c r="AG268" i="1"/>
  <c r="AF268" i="1"/>
  <c r="AB268" i="1"/>
  <c r="AE268" i="1"/>
  <c r="AA268" i="1"/>
  <c r="AA49" i="1"/>
  <c r="AB56" i="1"/>
  <c r="AC56" i="1"/>
  <c r="AB74" i="1"/>
  <c r="AE74" i="1"/>
  <c r="AB81" i="1"/>
  <c r="AD81" i="1"/>
  <c r="AG81" i="1"/>
  <c r="AA128" i="1"/>
  <c r="AE128" i="1"/>
  <c r="AD128" i="1"/>
  <c r="AC128" i="1"/>
  <c r="AB128" i="1"/>
  <c r="AF128" i="1"/>
  <c r="AA134" i="1"/>
  <c r="AC134" i="1"/>
  <c r="AG134" i="1"/>
  <c r="AF134" i="1"/>
  <c r="AE134" i="1"/>
  <c r="AA146" i="1"/>
  <c r="AG146" i="1"/>
  <c r="AD146" i="1"/>
  <c r="AC146" i="1"/>
  <c r="AB146" i="1"/>
  <c r="AE146" i="1"/>
  <c r="AA164" i="1"/>
  <c r="AF164" i="1"/>
  <c r="AG164" i="1"/>
  <c r="AE164" i="1"/>
  <c r="AD164" i="1"/>
  <c r="AB164" i="1"/>
  <c r="AA175" i="1"/>
  <c r="AG175" i="1"/>
  <c r="AF175" i="1"/>
  <c r="AE175" i="1"/>
  <c r="AD175" i="1"/>
  <c r="AB175" i="1"/>
  <c r="AA186" i="1"/>
  <c r="AF186" i="1"/>
  <c r="AE186" i="1"/>
  <c r="AD186" i="1"/>
  <c r="AB186" i="1"/>
  <c r="AG186" i="1"/>
  <c r="AA238" i="1"/>
  <c r="AF238" i="1"/>
  <c r="AC238" i="1"/>
  <c r="AG238" i="1"/>
  <c r="AE238" i="1"/>
  <c r="AD238" i="1"/>
  <c r="AB238" i="1"/>
  <c r="AG5" i="1"/>
  <c r="AG8" i="1"/>
  <c r="AG13" i="1"/>
  <c r="AB33" i="1"/>
  <c r="AB36" i="1"/>
  <c r="AG45" i="1"/>
  <c r="AA48" i="1"/>
  <c r="AC49" i="1"/>
  <c r="AF52" i="1"/>
  <c r="AG53" i="1"/>
  <c r="AA56" i="1"/>
  <c r="AA60" i="1"/>
  <c r="AG63" i="1"/>
  <c r="AA65" i="1"/>
  <c r="AA69" i="1"/>
  <c r="AG72" i="1"/>
  <c r="AA74" i="1"/>
  <c r="AB77" i="1"/>
  <c r="AC77" i="1"/>
  <c r="AA81" i="1"/>
  <c r="AB87" i="1"/>
  <c r="AG87" i="1"/>
  <c r="AA87" i="1"/>
  <c r="AA119" i="1"/>
  <c r="AD119" i="1"/>
  <c r="AE119" i="1"/>
  <c r="AB119" i="1"/>
  <c r="AF119" i="1"/>
  <c r="AA123" i="1"/>
  <c r="AD123" i="1"/>
  <c r="AB123" i="1"/>
  <c r="AE123" i="1"/>
  <c r="AG128" i="1"/>
  <c r="AB134" i="1"/>
  <c r="AF146" i="1"/>
  <c r="AA155" i="1"/>
  <c r="AD155" i="1"/>
  <c r="AC155" i="1"/>
  <c r="AB155" i="1"/>
  <c r="AE155" i="1"/>
  <c r="AC164" i="1"/>
  <c r="AC175" i="1"/>
  <c r="AC186" i="1"/>
  <c r="AA192" i="1"/>
  <c r="AD192" i="1"/>
  <c r="AE192" i="1"/>
  <c r="AC192" i="1"/>
  <c r="AB192" i="1"/>
  <c r="AF192" i="1"/>
  <c r="AF300" i="1"/>
  <c r="AE300" i="1"/>
  <c r="AA300" i="1"/>
  <c r="AD300" i="1"/>
  <c r="AC300" i="1"/>
  <c r="AB300" i="1"/>
  <c r="AG300" i="1"/>
  <c r="AA152" i="1"/>
  <c r="AE152" i="1"/>
  <c r="AG152" i="1"/>
  <c r="AF152" i="1"/>
  <c r="AD152" i="1"/>
  <c r="AB152" i="1"/>
  <c r="AB8" i="1"/>
  <c r="AE26" i="1"/>
  <c r="AB26" i="1"/>
  <c r="AB59" i="1"/>
  <c r="AF59" i="1"/>
  <c r="AB73" i="1"/>
  <c r="AD73" i="1"/>
  <c r="AB92" i="1"/>
  <c r="AD92" i="1"/>
  <c r="AA92" i="1"/>
  <c r="AE92" i="1"/>
  <c r="AB94" i="1"/>
  <c r="AF94" i="1"/>
  <c r="AD94" i="1"/>
  <c r="AG94" i="1"/>
  <c r="AB102" i="1"/>
  <c r="AD102" i="1"/>
  <c r="AA102" i="1"/>
  <c r="AE102" i="1"/>
  <c r="AB104" i="1"/>
  <c r="AF104" i="1"/>
  <c r="AD104" i="1"/>
  <c r="AG104" i="1"/>
  <c r="AA110" i="1"/>
  <c r="AC110" i="1"/>
  <c r="AE110" i="1"/>
  <c r="AB110" i="1"/>
  <c r="AF110" i="1"/>
  <c r="AA114" i="1"/>
  <c r="AG114" i="1"/>
  <c r="AD114" i="1"/>
  <c r="AB114" i="1"/>
  <c r="AE114" i="1"/>
  <c r="AA129" i="1"/>
  <c r="AF129" i="1"/>
  <c r="AG129" i="1"/>
  <c r="AE129" i="1"/>
  <c r="AD129" i="1"/>
  <c r="AA142" i="1"/>
  <c r="AC142" i="1"/>
  <c r="AE142" i="1"/>
  <c r="AD142" i="1"/>
  <c r="AB142" i="1"/>
  <c r="AF142" i="1"/>
  <c r="AA147" i="1"/>
  <c r="AF147" i="1"/>
  <c r="AE147" i="1"/>
  <c r="AD147" i="1"/>
  <c r="AG147" i="1"/>
  <c r="AA168" i="1"/>
  <c r="AB168" i="1"/>
  <c r="AE168" i="1"/>
  <c r="AD168" i="1"/>
  <c r="AC168" i="1"/>
  <c r="AF168" i="1"/>
  <c r="AA180" i="1"/>
  <c r="AC180" i="1"/>
  <c r="AE180" i="1"/>
  <c r="AD180" i="1"/>
  <c r="AB180" i="1"/>
  <c r="AF180" i="1"/>
  <c r="AF297" i="1"/>
  <c r="AE297" i="1"/>
  <c r="AA297" i="1"/>
  <c r="AC297" i="1"/>
  <c r="AB297" i="1"/>
  <c r="AD297" i="1"/>
  <c r="AG297" i="1"/>
  <c r="AC48" i="1"/>
  <c r="AD56" i="1"/>
  <c r="AB64" i="1"/>
  <c r="AC64" i="1"/>
  <c r="AC65" i="1"/>
  <c r="AC69" i="1"/>
  <c r="AG9" i="1"/>
  <c r="AB80" i="1"/>
  <c r="AC80" i="1"/>
  <c r="AF80" i="1"/>
  <c r="AE81" i="1"/>
  <c r="AC92" i="1"/>
  <c r="AA94" i="1"/>
  <c r="AC102" i="1"/>
  <c r="AA104" i="1"/>
  <c r="AD110" i="1"/>
  <c r="AC114" i="1"/>
  <c r="AB129" i="1"/>
  <c r="AG142" i="1"/>
  <c r="AB147" i="1"/>
  <c r="AA160" i="1"/>
  <c r="AB160" i="1"/>
  <c r="AG160" i="1"/>
  <c r="AF160" i="1"/>
  <c r="AE160" i="1"/>
  <c r="AC160" i="1"/>
  <c r="AG168" i="1"/>
  <c r="AG180" i="1"/>
  <c r="AA194" i="1"/>
  <c r="AE194" i="1"/>
  <c r="AG194" i="1"/>
  <c r="AF194" i="1"/>
  <c r="AD194" i="1"/>
  <c r="AB194" i="1"/>
  <c r="AD256" i="1"/>
  <c r="AC256" i="1"/>
  <c r="AG256" i="1"/>
  <c r="AE256" i="1"/>
  <c r="AA256" i="1"/>
  <c r="AF256" i="1"/>
  <c r="AB256" i="1"/>
  <c r="AD294" i="1"/>
  <c r="AC294" i="1"/>
  <c r="AG294" i="1"/>
  <c r="AE294" i="1"/>
  <c r="AF294" i="1"/>
  <c r="AA294" i="1"/>
  <c r="AB294" i="1"/>
  <c r="AE6" i="1"/>
  <c r="AG6" i="1"/>
  <c r="AG33" i="1"/>
  <c r="AG36" i="1"/>
  <c r="AG39" i="1"/>
  <c r="AA46" i="1"/>
  <c r="AD48" i="1"/>
  <c r="AE49" i="1"/>
  <c r="AA54" i="1"/>
  <c r="AD69" i="1"/>
  <c r="AA73" i="1"/>
  <c r="AG22" i="1"/>
  <c r="AB31" i="1"/>
  <c r="AB37" i="1"/>
  <c r="AA41" i="1"/>
  <c r="AG41" i="1"/>
  <c r="AC46" i="1"/>
  <c r="AD47" i="1"/>
  <c r="AE48" i="1"/>
  <c r="AF49" i="1"/>
  <c r="AA53" i="1"/>
  <c r="AB58" i="1"/>
  <c r="AE58" i="1"/>
  <c r="AC94" i="1"/>
  <c r="AA125" i="1"/>
  <c r="AB125" i="1"/>
  <c r="AG125" i="1"/>
  <c r="AF125" i="1"/>
  <c r="AE125" i="1"/>
  <c r="AC129" i="1"/>
  <c r="AA137" i="1"/>
  <c r="AF137" i="1"/>
  <c r="AD137" i="1"/>
  <c r="AC137" i="1"/>
  <c r="AB137" i="1"/>
  <c r="AE137" i="1"/>
  <c r="AA143" i="1"/>
  <c r="AD143" i="1"/>
  <c r="AG143" i="1"/>
  <c r="AF143" i="1"/>
  <c r="AE143" i="1"/>
  <c r="AA171" i="1"/>
  <c r="AC171" i="1"/>
  <c r="AG171" i="1"/>
  <c r="AF171" i="1"/>
  <c r="AE171" i="1"/>
  <c r="AB171" i="1"/>
  <c r="AA181" i="1"/>
  <c r="AD181" i="1"/>
  <c r="AG181" i="1"/>
  <c r="AF181" i="1"/>
  <c r="AE181" i="1"/>
  <c r="AB181" i="1"/>
  <c r="AD289" i="1"/>
  <c r="AC289" i="1"/>
  <c r="AE289" i="1"/>
  <c r="AA289" i="1"/>
  <c r="AB289" i="1"/>
  <c r="AF289" i="1"/>
  <c r="AG289" i="1"/>
  <c r="AB5" i="1"/>
  <c r="AE21" i="1"/>
  <c r="AG21" i="1"/>
  <c r="AB60" i="1"/>
  <c r="AG60" i="1"/>
  <c r="AE56" i="1"/>
  <c r="AA59" i="1"/>
  <c r="AA64" i="1"/>
  <c r="AE65" i="1"/>
  <c r="AA68" i="1"/>
  <c r="AD74" i="1"/>
  <c r="AG27" i="1"/>
  <c r="AB34" i="1"/>
  <c r="AA45" i="1"/>
  <c r="AC54" i="1"/>
  <c r="AD64" i="1"/>
  <c r="AB67" i="1"/>
  <c r="AF67" i="1"/>
  <c r="AE69" i="1"/>
  <c r="AC73" i="1"/>
  <c r="AF74" i="1"/>
  <c r="AB76" i="1"/>
  <c r="AG76" i="1"/>
  <c r="AA76" i="1"/>
  <c r="AF92" i="1"/>
  <c r="AF114" i="1"/>
  <c r="AA120" i="1"/>
  <c r="AE120" i="1"/>
  <c r="AG120" i="1"/>
  <c r="AD120" i="1"/>
  <c r="AB7" i="1"/>
  <c r="AB12" i="1"/>
  <c r="AG31" i="1"/>
  <c r="AG34" i="1"/>
  <c r="AG37" i="1"/>
  <c r="AB41" i="1"/>
  <c r="AC45" i="1"/>
  <c r="AD46" i="1"/>
  <c r="AE47" i="1"/>
  <c r="AF48" i="1"/>
  <c r="AG49" i="1"/>
  <c r="AA52" i="1"/>
  <c r="AC53" i="1"/>
  <c r="AD54" i="1"/>
  <c r="AE55" i="1"/>
  <c r="AG56" i="1"/>
  <c r="AA58" i="1"/>
  <c r="AD59" i="1"/>
  <c r="AF60" i="1"/>
  <c r="AC63" i="1"/>
  <c r="AE64" i="1"/>
  <c r="AG65" i="1"/>
  <c r="AA67" i="1"/>
  <c r="AD68" i="1"/>
  <c r="AF69" i="1"/>
  <c r="AA72" i="1"/>
  <c r="AE73" i="1"/>
  <c r="AG74" i="1"/>
  <c r="AC76" i="1"/>
  <c r="AD80" i="1"/>
  <c r="AB82" i="1"/>
  <c r="AE82" i="1"/>
  <c r="AG92" i="1"/>
  <c r="AE94" i="1"/>
  <c r="AG102" i="1"/>
  <c r="AE104" i="1"/>
  <c r="AA111" i="1"/>
  <c r="AD111" i="1"/>
  <c r="AG111" i="1"/>
  <c r="AE111" i="1"/>
  <c r="AA115" i="1"/>
  <c r="AF115" i="1"/>
  <c r="AD115" i="1"/>
  <c r="AG115" i="1"/>
  <c r="AA118" i="1"/>
  <c r="AC118" i="1"/>
  <c r="AB118" i="1"/>
  <c r="AD118" i="1"/>
  <c r="AB120" i="1"/>
  <c r="AA122" i="1"/>
  <c r="AG122" i="1"/>
  <c r="AB122" i="1"/>
  <c r="AC122" i="1"/>
  <c r="AC125" i="1"/>
  <c r="AG137" i="1"/>
  <c r="AB143" i="1"/>
  <c r="AA151" i="1"/>
  <c r="AD151" i="1"/>
  <c r="AE151" i="1"/>
  <c r="AC151" i="1"/>
  <c r="AB151" i="1"/>
  <c r="AF151" i="1"/>
  <c r="AD171" i="1"/>
  <c r="AC181" i="1"/>
  <c r="AA197" i="1"/>
  <c r="AD197" i="1"/>
  <c r="AC197" i="1"/>
  <c r="AB197" i="1"/>
  <c r="AG197" i="1"/>
  <c r="AE197" i="1"/>
  <c r="AA234" i="1"/>
  <c r="AE234" i="1"/>
  <c r="AC234" i="1"/>
  <c r="AG234" i="1"/>
  <c r="AF234" i="1"/>
  <c r="AD234" i="1"/>
  <c r="AB234" i="1"/>
  <c r="AA98" i="1"/>
  <c r="AA107" i="1"/>
  <c r="AA112" i="1"/>
  <c r="AE112" i="1"/>
  <c r="AA117" i="1"/>
  <c r="AB117" i="1"/>
  <c r="AA121" i="1"/>
  <c r="AF121" i="1"/>
  <c r="AA126" i="1"/>
  <c r="AC126" i="1"/>
  <c r="AA130" i="1"/>
  <c r="AG130" i="1"/>
  <c r="AC131" i="1"/>
  <c r="AA135" i="1"/>
  <c r="AD135" i="1"/>
  <c r="AA144" i="1"/>
  <c r="AE144" i="1"/>
  <c r="AA149" i="1"/>
  <c r="AB149" i="1"/>
  <c r="AA153" i="1"/>
  <c r="AF153" i="1"/>
  <c r="AC154" i="1"/>
  <c r="AA161" i="1"/>
  <c r="AC161" i="1"/>
  <c r="AA165" i="1"/>
  <c r="AG165" i="1"/>
  <c r="AC166" i="1"/>
  <c r="AA172" i="1"/>
  <c r="AD172" i="1"/>
  <c r="AC173" i="1"/>
  <c r="AD179" i="1"/>
  <c r="AA183" i="1"/>
  <c r="AE183" i="1"/>
  <c r="AC184" i="1"/>
  <c r="AA190" i="1"/>
  <c r="AB190" i="1"/>
  <c r="AD191" i="1"/>
  <c r="AA195" i="1"/>
  <c r="AF195" i="1"/>
  <c r="AC196" i="1"/>
  <c r="AA200" i="1"/>
  <c r="AC200" i="1"/>
  <c r="AC201" i="1"/>
  <c r="AA204" i="1"/>
  <c r="AG204" i="1"/>
  <c r="AC205" i="1"/>
  <c r="AA210" i="1"/>
  <c r="AD210" i="1"/>
  <c r="AC211" i="1"/>
  <c r="AD220" i="1"/>
  <c r="AA223" i="1"/>
  <c r="AB223" i="1"/>
  <c r="AE223" i="1"/>
  <c r="AB226" i="1"/>
  <c r="AA229" i="1"/>
  <c r="AF229" i="1"/>
  <c r="AC229" i="1"/>
  <c r="AD270" i="1"/>
  <c r="AC270" i="1"/>
  <c r="AA270" i="1"/>
  <c r="AB270" i="1"/>
  <c r="AG270" i="1"/>
  <c r="AD283" i="1"/>
  <c r="AC283" i="1"/>
  <c r="AG283" i="1"/>
  <c r="AE283" i="1"/>
  <c r="AA283" i="1"/>
  <c r="AA199" i="1"/>
  <c r="AB199" i="1"/>
  <c r="AA203" i="1"/>
  <c r="AF203" i="1"/>
  <c r="AA208" i="1"/>
  <c r="AC208" i="1"/>
  <c r="AA216" i="1"/>
  <c r="AG216" i="1"/>
  <c r="AA225" i="1"/>
  <c r="AD225" i="1"/>
  <c r="AG225" i="1"/>
  <c r="AA231" i="1"/>
  <c r="AB231" i="1"/>
  <c r="AE231" i="1"/>
  <c r="AA243" i="1"/>
  <c r="AE243" i="1"/>
  <c r="AC243" i="1"/>
  <c r="AA246" i="1"/>
  <c r="AF246" i="1"/>
  <c r="AC246" i="1"/>
  <c r="AD261" i="1"/>
  <c r="AC261" i="1"/>
  <c r="AA261" i="1"/>
  <c r="AF261" i="1"/>
  <c r="AD277" i="1"/>
  <c r="AC277" i="1"/>
  <c r="AE277" i="1"/>
  <c r="AB277" i="1"/>
  <c r="AF298" i="1"/>
  <c r="AE298" i="1"/>
  <c r="AA298" i="1"/>
  <c r="AG298" i="1"/>
  <c r="AC298" i="1"/>
  <c r="AD298" i="1"/>
  <c r="AF359" i="1"/>
  <c r="AE359" i="1"/>
  <c r="AA359" i="1"/>
  <c r="AG359" i="1"/>
  <c r="AD359" i="1"/>
  <c r="AB359" i="1"/>
  <c r="AC359" i="1"/>
  <c r="AF166" i="1"/>
  <c r="AC199" i="1"/>
  <c r="AB203" i="1"/>
  <c r="AF205" i="1"/>
  <c r="AB208" i="1"/>
  <c r="AB216" i="1"/>
  <c r="AB225" i="1"/>
  <c r="AC231" i="1"/>
  <c r="AA240" i="1"/>
  <c r="AB240" i="1"/>
  <c r="AE240" i="1"/>
  <c r="AB243" i="1"/>
  <c r="AB246" i="1"/>
  <c r="AA253" i="1"/>
  <c r="AE253" i="1"/>
  <c r="AC253" i="1"/>
  <c r="AB261" i="1"/>
  <c r="AD266" i="1"/>
  <c r="AC266" i="1"/>
  <c r="AA266" i="1"/>
  <c r="AG266" i="1"/>
  <c r="AB266" i="1"/>
  <c r="AD272" i="1"/>
  <c r="AC272" i="1"/>
  <c r="AE272" i="1"/>
  <c r="AG272" i="1"/>
  <c r="AB272" i="1"/>
  <c r="AA277" i="1"/>
  <c r="AD290" i="1"/>
  <c r="AC290" i="1"/>
  <c r="AG290" i="1"/>
  <c r="AE290" i="1"/>
  <c r="AF290" i="1"/>
  <c r="AA290" i="1"/>
  <c r="AB298" i="1"/>
  <c r="AA214" i="1"/>
  <c r="AF214" i="1"/>
  <c r="AA221" i="1"/>
  <c r="AC221" i="1"/>
  <c r="AA228" i="1"/>
  <c r="AG228" i="1"/>
  <c r="AE228" i="1"/>
  <c r="AB228" i="1"/>
  <c r="AA248" i="1"/>
  <c r="AB248" i="1"/>
  <c r="AE248" i="1"/>
  <c r="AD257" i="1"/>
  <c r="AC257" i="1"/>
  <c r="AF257" i="1"/>
  <c r="AA257" i="1"/>
  <c r="AD259" i="1"/>
  <c r="AC259" i="1"/>
  <c r="AE259" i="1"/>
  <c r="AF259" i="1"/>
  <c r="AA259" i="1"/>
  <c r="AE261" i="1"/>
  <c r="AD264" i="1"/>
  <c r="AC264" i="1"/>
  <c r="AG264" i="1"/>
  <c r="AA264" i="1"/>
  <c r="AF264" i="1"/>
  <c r="AD269" i="1"/>
  <c r="AC269" i="1"/>
  <c r="AG269" i="1"/>
  <c r="AB269" i="1"/>
  <c r="AF277" i="1"/>
  <c r="AD281" i="1"/>
  <c r="AC281" i="1"/>
  <c r="AE281" i="1"/>
  <c r="AA281" i="1"/>
  <c r="AG281" i="1"/>
  <c r="AB281" i="1"/>
  <c r="AD287" i="1"/>
  <c r="AC287" i="1"/>
  <c r="AG287" i="1"/>
  <c r="AE287" i="1"/>
  <c r="AA287" i="1"/>
  <c r="AF287" i="1"/>
  <c r="AF303" i="1"/>
  <c r="AE303" i="1"/>
  <c r="AA303" i="1"/>
  <c r="AG303" i="1"/>
  <c r="AD303" i="1"/>
  <c r="AC303" i="1"/>
  <c r="AB303" i="1"/>
  <c r="AD199" i="1"/>
  <c r="AA202" i="1"/>
  <c r="AE202" i="1"/>
  <c r="AA207" i="1"/>
  <c r="AB207" i="1"/>
  <c r="AF75" i="1"/>
  <c r="AF83" i="1"/>
  <c r="AF96" i="1"/>
  <c r="AG98" i="1"/>
  <c r="AF106" i="1"/>
  <c r="AG107" i="1"/>
  <c r="AG112" i="1"/>
  <c r="AG117" i="1"/>
  <c r="AG121" i="1"/>
  <c r="AG126" i="1"/>
  <c r="AF130" i="1"/>
  <c r="AG135" i="1"/>
  <c r="AF139" i="1"/>
  <c r="AG144" i="1"/>
  <c r="AG149" i="1"/>
  <c r="AG153" i="1"/>
  <c r="AG161" i="1"/>
  <c r="AF165" i="1"/>
  <c r="AG172" i="1"/>
  <c r="AF177" i="1"/>
  <c r="AG183" i="1"/>
  <c r="AG190" i="1"/>
  <c r="AG195" i="1"/>
  <c r="AE199" i="1"/>
  <c r="AG200" i="1"/>
  <c r="AB202" i="1"/>
  <c r="AD203" i="1"/>
  <c r="AF204" i="1"/>
  <c r="AC207" i="1"/>
  <c r="AE208" i="1"/>
  <c r="AB214" i="1"/>
  <c r="AD216" i="1"/>
  <c r="AB221" i="1"/>
  <c r="AA224" i="1"/>
  <c r="AC224" i="1"/>
  <c r="AF224" i="1"/>
  <c r="AE225" i="1"/>
  <c r="AC228" i="1"/>
  <c r="AF231" i="1"/>
  <c r="AA233" i="1"/>
  <c r="AD233" i="1"/>
  <c r="AB233" i="1"/>
  <c r="AG233" i="1"/>
  <c r="AA236" i="1"/>
  <c r="AG236" i="1"/>
  <c r="AE236" i="1"/>
  <c r="AB236" i="1"/>
  <c r="AD240" i="1"/>
  <c r="AF243" i="1"/>
  <c r="AE246" i="1"/>
  <c r="AC248" i="1"/>
  <c r="AD253" i="1"/>
  <c r="AB257" i="1"/>
  <c r="AB259" i="1"/>
  <c r="AG261" i="1"/>
  <c r="AB264" i="1"/>
  <c r="AF266" i="1"/>
  <c r="AA269" i="1"/>
  <c r="AF272" i="1"/>
  <c r="AG277" i="1"/>
  <c r="AF281" i="1"/>
  <c r="AB287" i="1"/>
  <c r="AD291" i="1"/>
  <c r="AC291" i="1"/>
  <c r="AG291" i="1"/>
  <c r="AA291" i="1"/>
  <c r="AB291" i="1"/>
  <c r="AA127" i="1"/>
  <c r="AD127" i="1"/>
  <c r="AA136" i="1"/>
  <c r="AE136" i="1"/>
  <c r="AA141" i="1"/>
  <c r="AB141" i="1"/>
  <c r="AA145" i="1"/>
  <c r="AF145" i="1"/>
  <c r="AA150" i="1"/>
  <c r="AC150" i="1"/>
  <c r="AA154" i="1"/>
  <c r="AG154" i="1"/>
  <c r="AA162" i="1"/>
  <c r="AD162" i="1"/>
  <c r="AA173" i="1"/>
  <c r="AE173" i="1"/>
  <c r="AA179" i="1"/>
  <c r="AB179" i="1"/>
  <c r="AA184" i="1"/>
  <c r="AF184" i="1"/>
  <c r="AA191" i="1"/>
  <c r="AC191" i="1"/>
  <c r="AA196" i="1"/>
  <c r="AG196" i="1"/>
  <c r="AF199" i="1"/>
  <c r="AA201" i="1"/>
  <c r="AD201" i="1"/>
  <c r="AC202" i="1"/>
  <c r="AE203" i="1"/>
  <c r="AD207" i="1"/>
  <c r="AF208" i="1"/>
  <c r="AA211" i="1"/>
  <c r="AE211" i="1"/>
  <c r="AC214" i="1"/>
  <c r="AE216" i="1"/>
  <c r="AA220" i="1"/>
  <c r="AB220" i="1"/>
  <c r="AD221" i="1"/>
  <c r="AF225" i="1"/>
  <c r="AD228" i="1"/>
  <c r="AG231" i="1"/>
  <c r="AA242" i="1"/>
  <c r="AD242" i="1"/>
  <c r="AB242" i="1"/>
  <c r="AG242" i="1"/>
  <c r="AG243" i="1"/>
  <c r="AA245" i="1"/>
  <c r="AG245" i="1"/>
  <c r="AE245" i="1"/>
  <c r="AB245" i="1"/>
  <c r="AG246" i="1"/>
  <c r="AD248" i="1"/>
  <c r="AE257" i="1"/>
  <c r="AG259" i="1"/>
  <c r="AD262" i="1"/>
  <c r="AC262" i="1"/>
  <c r="AA262" i="1"/>
  <c r="AF262" i="1"/>
  <c r="AB262" i="1"/>
  <c r="AE264" i="1"/>
  <c r="AD267" i="1"/>
  <c r="AC267" i="1"/>
  <c r="AE267" i="1"/>
  <c r="AA267" i="1"/>
  <c r="AG267" i="1"/>
  <c r="AE269" i="1"/>
  <c r="AD273" i="1"/>
  <c r="AC273" i="1"/>
  <c r="AG273" i="1"/>
  <c r="AB273" i="1"/>
  <c r="AD282" i="1"/>
  <c r="AC282" i="1"/>
  <c r="AG282" i="1"/>
  <c r="AE282" i="1"/>
  <c r="AA282" i="1"/>
  <c r="AB282" i="1"/>
  <c r="AD285" i="1"/>
  <c r="AC285" i="1"/>
  <c r="AE285" i="1"/>
  <c r="AA285" i="1"/>
  <c r="AG285" i="1"/>
  <c r="AB285" i="1"/>
  <c r="AD288" i="1"/>
  <c r="AC288" i="1"/>
  <c r="AA288" i="1"/>
  <c r="AG288" i="1"/>
  <c r="AE288" i="1"/>
  <c r="AB127" i="1"/>
  <c r="AB131" i="1"/>
  <c r="AB136" i="1"/>
  <c r="AC141" i="1"/>
  <c r="AB145" i="1"/>
  <c r="AB150" i="1"/>
  <c r="AB154" i="1"/>
  <c r="AB162" i="1"/>
  <c r="AB166" i="1"/>
  <c r="AB173" i="1"/>
  <c r="AC179" i="1"/>
  <c r="AB184" i="1"/>
  <c r="AB191" i="1"/>
  <c r="AB196" i="1"/>
  <c r="AG199" i="1"/>
  <c r="AD202" i="1"/>
  <c r="AG203" i="1"/>
  <c r="AE207" i="1"/>
  <c r="AG208" i="1"/>
  <c r="AD214" i="1"/>
  <c r="AF216" i="1"/>
  <c r="AE221" i="1"/>
  <c r="AA226" i="1"/>
  <c r="AE226" i="1"/>
  <c r="AF228" i="1"/>
  <c r="AC242" i="1"/>
  <c r="AC245" i="1"/>
  <c r="AF248" i="1"/>
  <c r="AA252" i="1"/>
  <c r="AD252" i="1"/>
  <c r="AB252" i="1"/>
  <c r="AG252" i="1"/>
  <c r="AG257" i="1"/>
  <c r="AD260" i="1"/>
  <c r="AC260" i="1"/>
  <c r="AG260" i="1"/>
  <c r="AF260" i="1"/>
  <c r="AA260" i="1"/>
  <c r="AE262" i="1"/>
  <c r="AD265" i="1"/>
  <c r="AC265" i="1"/>
  <c r="AF265" i="1"/>
  <c r="AB265" i="1"/>
  <c r="AB267" i="1"/>
  <c r="AF269" i="1"/>
  <c r="AA273" i="1"/>
  <c r="AD276" i="1"/>
  <c r="AC276" i="1"/>
  <c r="AA276" i="1"/>
  <c r="AG276" i="1"/>
  <c r="AE276" i="1"/>
  <c r="AF282" i="1"/>
  <c r="AF285" i="1"/>
  <c r="AB288" i="1"/>
  <c r="AF305" i="1"/>
  <c r="AE305" i="1"/>
  <c r="AA305" i="1"/>
  <c r="AC305" i="1"/>
  <c r="AB305" i="1"/>
  <c r="AD305" i="1"/>
  <c r="AF327" i="1"/>
  <c r="AE327" i="1"/>
  <c r="AA327" i="1"/>
  <c r="AG327" i="1"/>
  <c r="AD327" i="1"/>
  <c r="AB327" i="1"/>
  <c r="AC327" i="1"/>
  <c r="AD222" i="1"/>
  <c r="AD230" i="1"/>
  <c r="AF232" i="1"/>
  <c r="AD239" i="1"/>
  <c r="AF241" i="1"/>
  <c r="AD247" i="1"/>
  <c r="AF251" i="1"/>
  <c r="AD254" i="1"/>
  <c r="AC254" i="1"/>
  <c r="AA254" i="1"/>
  <c r="AD279" i="1"/>
  <c r="AC279" i="1"/>
  <c r="AG279" i="1"/>
  <c r="AB284" i="1"/>
  <c r="AD286" i="1"/>
  <c r="AC286" i="1"/>
  <c r="AG286" i="1"/>
  <c r="AE286" i="1"/>
  <c r="AD293" i="1"/>
  <c r="AC293" i="1"/>
  <c r="AE293" i="1"/>
  <c r="AA293" i="1"/>
  <c r="AF295" i="1"/>
  <c r="AE295" i="1"/>
  <c r="AA295" i="1"/>
  <c r="AG295" i="1"/>
  <c r="AD295" i="1"/>
  <c r="AF311" i="1"/>
  <c r="AE311" i="1"/>
  <c r="AA311" i="1"/>
  <c r="AG311" i="1"/>
  <c r="AD311" i="1"/>
  <c r="AB311" i="1"/>
  <c r="AF322" i="1"/>
  <c r="AE322" i="1"/>
  <c r="AA322" i="1"/>
  <c r="AG322" i="1"/>
  <c r="AD322" i="1"/>
  <c r="AC322" i="1"/>
  <c r="AF335" i="1"/>
  <c r="AE335" i="1"/>
  <c r="AA335" i="1"/>
  <c r="AG335" i="1"/>
  <c r="AD335" i="1"/>
  <c r="AB335" i="1"/>
  <c r="AF344" i="1"/>
  <c r="AE344" i="1"/>
  <c r="AA344" i="1"/>
  <c r="AG344" i="1"/>
  <c r="AD344" i="1"/>
  <c r="AC344" i="1"/>
  <c r="AF354" i="1"/>
  <c r="AE354" i="1"/>
  <c r="AA354" i="1"/>
  <c r="AG354" i="1"/>
  <c r="AD354" i="1"/>
  <c r="AC354" i="1"/>
  <c r="AF312" i="1"/>
  <c r="AE312" i="1"/>
  <c r="AA312" i="1"/>
  <c r="AG312" i="1"/>
  <c r="AC312" i="1"/>
  <c r="AF319" i="1"/>
  <c r="AE319" i="1"/>
  <c r="AA319" i="1"/>
  <c r="AG319" i="1"/>
  <c r="AD319" i="1"/>
  <c r="AB319" i="1"/>
  <c r="AF336" i="1"/>
  <c r="AE336" i="1"/>
  <c r="AA336" i="1"/>
  <c r="AG336" i="1"/>
  <c r="AD336" i="1"/>
  <c r="AC336" i="1"/>
  <c r="AF345" i="1"/>
  <c r="AE345" i="1"/>
  <c r="AA345" i="1"/>
  <c r="AC345" i="1"/>
  <c r="AB345" i="1"/>
  <c r="AD345" i="1"/>
  <c r="AG345" i="1"/>
  <c r="AF348" i="1"/>
  <c r="AE348" i="1"/>
  <c r="AA348" i="1"/>
  <c r="AD348" i="1"/>
  <c r="AC348" i="1"/>
  <c r="AG348" i="1"/>
  <c r="AB348" i="1"/>
  <c r="AF360" i="1"/>
  <c r="AE360" i="1"/>
  <c r="AA360" i="1"/>
  <c r="AG360" i="1"/>
  <c r="AD360" i="1"/>
  <c r="AC360" i="1"/>
  <c r="AG230" i="1"/>
  <c r="AG239" i="1"/>
  <c r="AG247" i="1"/>
  <c r="AD274" i="1"/>
  <c r="AC274" i="1"/>
  <c r="AD278" i="1"/>
  <c r="AC278" i="1"/>
  <c r="AG278" i="1"/>
  <c r="AD292" i="1"/>
  <c r="AC292" i="1"/>
  <c r="AA292" i="1"/>
  <c r="AF296" i="1"/>
  <c r="AE296" i="1"/>
  <c r="AA296" i="1"/>
  <c r="AG296" i="1"/>
  <c r="AC296" i="1"/>
  <c r="AB312" i="1"/>
  <c r="AC319" i="1"/>
  <c r="AF328" i="1"/>
  <c r="AE328" i="1"/>
  <c r="AA328" i="1"/>
  <c r="AG328" i="1"/>
  <c r="AD328" i="1"/>
  <c r="AC328" i="1"/>
  <c r="AB336" i="1"/>
  <c r="AF346" i="1"/>
  <c r="AE346" i="1"/>
  <c r="AA346" i="1"/>
  <c r="AG346" i="1"/>
  <c r="AD346" i="1"/>
  <c r="AC346" i="1"/>
  <c r="AB360" i="1"/>
  <c r="AF320" i="1"/>
  <c r="AE320" i="1"/>
  <c r="AA320" i="1"/>
  <c r="AG320" i="1"/>
  <c r="AD320" i="1"/>
  <c r="AC320" i="1"/>
  <c r="AF337" i="1"/>
  <c r="AE337" i="1"/>
  <c r="AA337" i="1"/>
  <c r="AC337" i="1"/>
  <c r="AB337" i="1"/>
  <c r="AD337" i="1"/>
  <c r="AF351" i="1"/>
  <c r="AE351" i="1"/>
  <c r="AA351" i="1"/>
  <c r="AG351" i="1"/>
  <c r="AD351" i="1"/>
  <c r="AB351" i="1"/>
  <c r="AC351" i="1"/>
  <c r="AF361" i="1"/>
  <c r="AE361" i="1"/>
  <c r="AA361" i="1"/>
  <c r="AC361" i="1"/>
  <c r="AB361" i="1"/>
  <c r="AD361" i="1"/>
  <c r="AG361" i="1"/>
  <c r="AF364" i="1"/>
  <c r="AE364" i="1"/>
  <c r="AA364" i="1"/>
  <c r="AD364" i="1"/>
  <c r="AC364" i="1"/>
  <c r="AG364" i="1"/>
  <c r="AB364" i="1"/>
  <c r="AD255" i="1"/>
  <c r="AC255" i="1"/>
  <c r="AE255" i="1"/>
  <c r="AD258" i="1"/>
  <c r="AC258" i="1"/>
  <c r="AA258" i="1"/>
  <c r="AD280" i="1"/>
  <c r="AC280" i="1"/>
  <c r="AA280" i="1"/>
  <c r="AF306" i="1"/>
  <c r="AE306" i="1"/>
  <c r="AA306" i="1"/>
  <c r="AG306" i="1"/>
  <c r="AC306" i="1"/>
  <c r="AF308" i="1"/>
  <c r="AE308" i="1"/>
  <c r="AA308" i="1"/>
  <c r="AD308" i="1"/>
  <c r="AC308" i="1"/>
  <c r="AB308" i="1"/>
  <c r="AF313" i="1"/>
  <c r="AE313" i="1"/>
  <c r="AA313" i="1"/>
  <c r="AC313" i="1"/>
  <c r="AB313" i="1"/>
  <c r="AD313" i="1"/>
  <c r="AB320" i="1"/>
  <c r="AF329" i="1"/>
  <c r="AE329" i="1"/>
  <c r="AA329" i="1"/>
  <c r="AC329" i="1"/>
  <c r="AB329" i="1"/>
  <c r="AD329" i="1"/>
  <c r="AG337" i="1"/>
  <c r="AF340" i="1"/>
  <c r="AE340" i="1"/>
  <c r="AA340" i="1"/>
  <c r="AD340" i="1"/>
  <c r="AC340" i="1"/>
  <c r="AG340" i="1"/>
  <c r="AB340" i="1"/>
  <c r="AF352" i="1"/>
  <c r="AE352" i="1"/>
  <c r="AA352" i="1"/>
  <c r="AG352" i="1"/>
  <c r="AD352" i="1"/>
  <c r="AC352" i="1"/>
  <c r="AF362" i="1"/>
  <c r="AE362" i="1"/>
  <c r="AA362" i="1"/>
  <c r="AG362" i="1"/>
  <c r="AD362" i="1"/>
  <c r="AC362" i="1"/>
  <c r="AF321" i="1"/>
  <c r="AE321" i="1"/>
  <c r="AA321" i="1"/>
  <c r="AC321" i="1"/>
  <c r="AB321" i="1"/>
  <c r="AD321" i="1"/>
  <c r="AF332" i="1"/>
  <c r="AE332" i="1"/>
  <c r="AA332" i="1"/>
  <c r="AD332" i="1"/>
  <c r="AC332" i="1"/>
  <c r="AG332" i="1"/>
  <c r="AB332" i="1"/>
  <c r="AF338" i="1"/>
  <c r="AE338" i="1"/>
  <c r="AA338" i="1"/>
  <c r="AG338" i="1"/>
  <c r="AD338" i="1"/>
  <c r="AC338" i="1"/>
  <c r="AF371" i="1"/>
  <c r="AE371" i="1"/>
  <c r="AD371" i="1"/>
  <c r="AA371" i="1"/>
  <c r="AC371" i="1"/>
  <c r="AB371" i="1"/>
  <c r="AG371" i="1"/>
  <c r="AD284" i="1"/>
  <c r="AC284" i="1"/>
  <c r="AA284" i="1"/>
  <c r="AF304" i="1"/>
  <c r="AE304" i="1"/>
  <c r="AA304" i="1"/>
  <c r="AG304" i="1"/>
  <c r="AC304" i="1"/>
  <c r="AF314" i="1"/>
  <c r="AE314" i="1"/>
  <c r="AA314" i="1"/>
  <c r="AG314" i="1"/>
  <c r="AC314" i="1"/>
  <c r="AF316" i="1"/>
  <c r="AE316" i="1"/>
  <c r="AA316" i="1"/>
  <c r="AD316" i="1"/>
  <c r="AC316" i="1"/>
  <c r="AB316" i="1"/>
  <c r="AG321" i="1"/>
  <c r="AF324" i="1"/>
  <c r="AE324" i="1"/>
  <c r="AA324" i="1"/>
  <c r="AD324" i="1"/>
  <c r="AC324" i="1"/>
  <c r="AG324" i="1"/>
  <c r="AB324" i="1"/>
  <c r="AF330" i="1"/>
  <c r="AE330" i="1"/>
  <c r="AA330" i="1"/>
  <c r="AG330" i="1"/>
  <c r="AD330" i="1"/>
  <c r="AC330" i="1"/>
  <c r="AB338" i="1"/>
  <c r="AF343" i="1"/>
  <c r="AE343" i="1"/>
  <c r="AA343" i="1"/>
  <c r="AG343" i="1"/>
  <c r="AD343" i="1"/>
  <c r="AB343" i="1"/>
  <c r="AC343" i="1"/>
  <c r="AF353" i="1"/>
  <c r="AE353" i="1"/>
  <c r="AA353" i="1"/>
  <c r="AC353" i="1"/>
  <c r="AB353" i="1"/>
  <c r="AD353" i="1"/>
  <c r="AG353" i="1"/>
  <c r="AF356" i="1"/>
  <c r="AE356" i="1"/>
  <c r="AA356" i="1"/>
  <c r="AD356" i="1"/>
  <c r="AC356" i="1"/>
  <c r="AG356" i="1"/>
  <c r="AB356" i="1"/>
  <c r="AF368" i="1"/>
  <c r="AE368" i="1"/>
  <c r="AA368" i="1"/>
  <c r="AC368" i="1"/>
  <c r="AF374" i="1"/>
  <c r="AE374" i="1"/>
  <c r="AD374" i="1"/>
  <c r="AA374" i="1"/>
  <c r="AB374" i="1"/>
  <c r="AF377" i="1"/>
  <c r="AE377" i="1"/>
  <c r="AD377" i="1"/>
  <c r="AA377" i="1"/>
  <c r="AC377" i="1"/>
  <c r="AB377" i="1"/>
  <c r="AF372" i="1"/>
  <c r="AE372" i="1"/>
  <c r="AD372" i="1"/>
  <c r="AA372" i="1"/>
  <c r="AB372" i="1"/>
  <c r="AF375" i="1"/>
  <c r="AE375" i="1"/>
  <c r="AD375" i="1"/>
  <c r="AA375" i="1"/>
  <c r="AC375" i="1"/>
  <c r="AB375" i="1"/>
  <c r="AF369" i="1"/>
  <c r="AE369" i="1"/>
  <c r="AD369" i="1"/>
  <c r="AA369" i="1"/>
  <c r="AC369" i="1"/>
  <c r="AB369" i="1"/>
  <c r="AC372" i="1"/>
  <c r="AG375" i="1"/>
  <c r="AF301" i="1"/>
  <c r="AE301" i="1"/>
  <c r="AA301" i="1"/>
  <c r="AF309" i="1"/>
  <c r="AE309" i="1"/>
  <c r="AA309" i="1"/>
  <c r="AF317" i="1"/>
  <c r="AE317" i="1"/>
  <c r="AA317" i="1"/>
  <c r="AF325" i="1"/>
  <c r="AE325" i="1"/>
  <c r="AA325" i="1"/>
  <c r="AF333" i="1"/>
  <c r="AE333" i="1"/>
  <c r="AA333" i="1"/>
  <c r="AF341" i="1"/>
  <c r="AE341" i="1"/>
  <c r="AA341" i="1"/>
  <c r="AF349" i="1"/>
  <c r="AE349" i="1"/>
  <c r="AA349" i="1"/>
  <c r="AF357" i="1"/>
  <c r="AE357" i="1"/>
  <c r="AA357" i="1"/>
  <c r="AF365" i="1"/>
  <c r="AE365" i="1"/>
  <c r="AA365" i="1"/>
  <c r="AB365" i="1"/>
  <c r="AF367" i="1"/>
  <c r="AE367" i="1"/>
  <c r="AA367" i="1"/>
  <c r="AG367" i="1"/>
  <c r="AD367" i="1"/>
  <c r="AG369" i="1"/>
  <c r="AG372" i="1"/>
  <c r="AF376" i="1"/>
  <c r="AE376" i="1"/>
  <c r="AD376" i="1"/>
  <c r="AA376" i="1"/>
  <c r="AB376" i="1"/>
  <c r="AF370" i="1"/>
  <c r="AE370" i="1"/>
  <c r="AD370" i="1"/>
  <c r="AA370" i="1"/>
  <c r="AB370" i="1"/>
  <c r="AF373" i="1"/>
  <c r="AE373" i="1"/>
  <c r="AD373" i="1"/>
  <c r="AA373" i="1"/>
  <c r="AC373" i="1"/>
  <c r="AB373" i="1"/>
  <c r="AC370" i="1"/>
  <c r="AG373" i="1"/>
  <c r="AF379" i="1"/>
  <c r="AE379" i="1"/>
  <c r="AD379" i="1"/>
  <c r="AA379" i="1"/>
  <c r="AF302" i="1"/>
  <c r="AE302" i="1"/>
  <c r="AA302" i="1"/>
  <c r="AF310" i="1"/>
  <c r="AE310" i="1"/>
  <c r="AA310" i="1"/>
  <c r="AF318" i="1"/>
  <c r="AE318" i="1"/>
  <c r="AA318" i="1"/>
  <c r="AF326" i="1"/>
  <c r="AE326" i="1"/>
  <c r="AA326" i="1"/>
  <c r="AF334" i="1"/>
  <c r="AE334" i="1"/>
  <c r="AA334" i="1"/>
  <c r="AF342" i="1"/>
  <c r="AE342" i="1"/>
  <c r="AA342" i="1"/>
  <c r="AF350" i="1"/>
  <c r="AE350" i="1"/>
  <c r="AA350" i="1"/>
  <c r="AF358" i="1"/>
  <c r="AE358" i="1"/>
  <c r="AA358" i="1"/>
  <c r="AF366" i="1"/>
  <c r="AE366" i="1"/>
  <c r="AA366" i="1"/>
  <c r="AB379" i="1"/>
  <c r="AF299" i="1"/>
  <c r="AE299" i="1"/>
  <c r="AA299" i="1"/>
  <c r="AB302" i="1"/>
  <c r="AF307" i="1"/>
  <c r="AE307" i="1"/>
  <c r="AA307" i="1"/>
  <c r="AB310" i="1"/>
  <c r="AF315" i="1"/>
  <c r="AE315" i="1"/>
  <c r="AA315" i="1"/>
  <c r="AB318" i="1"/>
  <c r="AF323" i="1"/>
  <c r="AE323" i="1"/>
  <c r="AA323" i="1"/>
  <c r="AB326" i="1"/>
  <c r="AF331" i="1"/>
  <c r="AE331" i="1"/>
  <c r="AA331" i="1"/>
  <c r="AB334" i="1"/>
  <c r="AF339" i="1"/>
  <c r="AE339" i="1"/>
  <c r="AA339" i="1"/>
  <c r="AB342" i="1"/>
  <c r="AF347" i="1"/>
  <c r="AE347" i="1"/>
  <c r="AA347" i="1"/>
  <c r="AB350" i="1"/>
  <c r="AF355" i="1"/>
  <c r="AE355" i="1"/>
  <c r="AA355" i="1"/>
  <c r="AB358" i="1"/>
  <c r="AF363" i="1"/>
  <c r="AE363" i="1"/>
  <c r="AA363" i="1"/>
  <c r="AB366" i="1"/>
  <c r="AC379" i="1"/>
  <c r="AF378" i="1"/>
  <c r="AE378" i="1"/>
  <c r="AD378" i="1"/>
  <c r="AA378" i="1"/>
  <c r="AC7" i="1"/>
  <c r="AC13" i="1"/>
  <c r="AC22" i="1"/>
  <c r="AC27" i="1"/>
  <c r="AC30" i="1"/>
  <c r="AC33" i="1"/>
  <c r="AC35" i="1"/>
  <c r="AC37" i="1"/>
  <c r="AC39" i="1"/>
  <c r="AC41" i="1"/>
  <c r="AC42" i="1"/>
  <c r="AC43" i="1"/>
  <c r="AD3" i="1"/>
  <c r="AD7" i="1"/>
  <c r="AD13" i="1"/>
  <c r="AD19" i="1"/>
  <c r="AD23" i="1"/>
  <c r="AD27" i="1"/>
  <c r="AD30" i="1"/>
  <c r="AD33" i="1"/>
  <c r="AD35" i="1"/>
  <c r="AD37" i="1"/>
  <c r="AD41" i="1"/>
  <c r="AE5" i="1"/>
  <c r="AE7" i="1"/>
  <c r="AE9" i="1"/>
  <c r="AE13" i="1"/>
  <c r="AE19" i="1"/>
  <c r="AE22" i="1"/>
  <c r="AE27" i="1"/>
  <c r="AE30" i="1"/>
  <c r="AE31" i="1"/>
  <c r="AE32" i="1"/>
  <c r="AE34" i="1"/>
  <c r="AE36" i="1"/>
  <c r="AE37" i="1"/>
  <c r="AE38" i="1"/>
  <c r="AE41" i="1"/>
  <c r="AE42" i="1"/>
  <c r="AG43" i="1"/>
  <c r="AF3" i="1"/>
  <c r="AF5" i="1"/>
  <c r="AF6" i="1"/>
  <c r="AF7" i="1"/>
  <c r="AF8" i="1"/>
  <c r="AF9" i="1"/>
  <c r="AF12" i="1"/>
  <c r="AF13" i="1"/>
  <c r="AF16" i="1"/>
  <c r="AF19" i="1"/>
  <c r="AF21" i="1"/>
  <c r="AF22" i="1"/>
  <c r="AF23" i="1"/>
  <c r="AF26" i="1"/>
  <c r="AF27" i="1"/>
  <c r="AF29" i="1"/>
  <c r="AF30" i="1"/>
  <c r="AF31" i="1"/>
  <c r="AF32" i="1"/>
  <c r="AF33" i="1"/>
  <c r="AF34" i="1"/>
  <c r="AF35" i="1"/>
  <c r="AF36" i="1"/>
  <c r="AF37" i="1"/>
  <c r="AF38" i="1"/>
  <c r="AF39" i="1"/>
  <c r="AF41" i="1"/>
  <c r="AF42" i="1"/>
  <c r="AA380" i="1"/>
  <c r="AB380" i="1"/>
  <c r="AA3" i="1"/>
  <c r="AA5" i="1"/>
  <c r="AA6" i="1"/>
  <c r="AA8" i="1"/>
  <c r="AA9" i="1"/>
  <c r="AA12" i="1"/>
  <c r="AA16" i="1"/>
  <c r="AA19" i="1"/>
  <c r="AA21" i="1"/>
  <c r="AA22" i="1"/>
  <c r="AA23" i="1"/>
  <c r="AA26" i="1"/>
  <c r="AA29" i="1"/>
  <c r="AA31" i="1"/>
  <c r="AA32" i="1"/>
  <c r="AA33" i="1"/>
  <c r="AA34" i="1"/>
  <c r="AA35" i="1"/>
  <c r="AA36" i="1"/>
  <c r="AA38" i="1"/>
  <c r="AA39" i="1"/>
  <c r="AA42" i="1"/>
  <c r="AA43" i="1"/>
  <c r="AC380" i="1"/>
  <c r="AD380" i="1"/>
  <c r="AC6" i="1"/>
  <c r="AC12" i="1"/>
  <c r="AC26" i="1"/>
  <c r="AC31" i="1"/>
  <c r="AC36" i="1"/>
  <c r="AE380" i="1"/>
  <c r="AC3" i="1"/>
  <c r="AC8" i="1"/>
  <c r="AC16" i="1"/>
  <c r="AC23" i="1"/>
  <c r="AC29" i="1"/>
  <c r="AC34" i="1"/>
  <c r="AC38" i="1"/>
  <c r="AD5" i="1"/>
  <c r="AD9" i="1"/>
  <c r="AD21" i="1"/>
  <c r="AD39" i="1"/>
  <c r="AF380" i="1"/>
  <c r="AC21" i="1"/>
  <c r="AC32" i="1"/>
  <c r="AD6" i="1"/>
  <c r="AD8" i="1"/>
  <c r="AD12" i="1"/>
  <c r="AD16" i="1"/>
  <c r="AD26" i="1"/>
  <c r="AD29" i="1"/>
</calcChain>
</file>

<file path=xl/sharedStrings.xml><?xml version="1.0" encoding="utf-8"?>
<sst xmlns="http://schemas.openxmlformats.org/spreadsheetml/2006/main" count="6556" uniqueCount="1901">
  <si>
    <t>Controle master da Cha, tudo que for alterado reflete aqui. Não esta habil para fat ( esta sem o S na plan da Claudia)</t>
  </si>
  <si>
    <t>ID Oi</t>
  </si>
  <si>
    <t>UF</t>
  </si>
  <si>
    <t>CDNJ</t>
  </si>
  <si>
    <t>CNAE</t>
  </si>
  <si>
    <t>OPERAÇÃO</t>
  </si>
  <si>
    <t>RAZÃO SOCIAL CNPJ</t>
  </si>
  <si>
    <t>NIRE</t>
  </si>
  <si>
    <t>CNPJ</t>
  </si>
  <si>
    <t>DATA DO CNPJ</t>
  </si>
  <si>
    <t>BAIXA CNPJ</t>
  </si>
  <si>
    <t>STATUS RFB</t>
  </si>
  <si>
    <t>I.E.</t>
  </si>
  <si>
    <t>DATA DA I.E</t>
  </si>
  <si>
    <t>BAIXA DE I.E</t>
  </si>
  <si>
    <t>STATUS IE</t>
  </si>
  <si>
    <t>I.M.</t>
  </si>
  <si>
    <t>DATA DA I.M</t>
  </si>
  <si>
    <t>BAIXA DE I.M</t>
  </si>
  <si>
    <t>STATUS IM</t>
  </si>
  <si>
    <t>LOGRADOURO</t>
  </si>
  <si>
    <t>BAIRRO</t>
  </si>
  <si>
    <t>MUNICÍPIO</t>
  </si>
  <si>
    <t>CEP</t>
  </si>
  <si>
    <t>Faturamento</t>
  </si>
  <si>
    <t>CNPJ 2</t>
  </si>
  <si>
    <t>Fat Serv</t>
  </si>
  <si>
    <t>Fat Mat</t>
  </si>
  <si>
    <t>CA Serede</t>
  </si>
  <si>
    <t>RH</t>
  </si>
  <si>
    <t>Cadastrado no SAP</t>
  </si>
  <si>
    <t>Fat Mat OI</t>
  </si>
  <si>
    <t>CA/CD Atual Log</t>
  </si>
  <si>
    <t>Ação --- Além da atualização do CNPJ CNAEs/Serviços</t>
  </si>
  <si>
    <t>Impactado_Proj Serede</t>
  </si>
  <si>
    <t>Impactado_Proj Serede EX-RH</t>
  </si>
  <si>
    <t>Carga Não Tratado</t>
  </si>
  <si>
    <t>Avaliação de Facilities // Tharcia</t>
  </si>
  <si>
    <t>SE</t>
  </si>
  <si>
    <t>204-6</t>
  </si>
  <si>
    <t>61.10-8-01</t>
  </si>
  <si>
    <t>FILIAL</t>
  </si>
  <si>
    <t xml:space="preserve"> OI S/A - EM RECUPERAÇÃO JUDICIAL</t>
  </si>
  <si>
    <t>2890009331-9</t>
  </si>
  <si>
    <t>76.535.764/0012-04</t>
  </si>
  <si>
    <t>ATIVA</t>
  </si>
  <si>
    <t>27.109.040-5</t>
  </si>
  <si>
    <t>068.496-5</t>
  </si>
  <si>
    <t xml:space="preserve">RUA LAGARTO, 1176 - SALA 103  </t>
  </si>
  <si>
    <t>CENTRO</t>
  </si>
  <si>
    <t>ARACAJU</t>
  </si>
  <si>
    <t>49.010-390</t>
  </si>
  <si>
    <t>S</t>
  </si>
  <si>
    <t>Incluir RH no End;</t>
  </si>
  <si>
    <t>Sim</t>
  </si>
  <si>
    <t>Não</t>
  </si>
  <si>
    <t>PA</t>
  </si>
  <si>
    <t>1590026521-6</t>
  </si>
  <si>
    <t>76.535.764/0023-59</t>
  </si>
  <si>
    <t>15.239.671-3</t>
  </si>
  <si>
    <t>164036-4</t>
  </si>
  <si>
    <t>TV. DOUTOR MORAES, 121</t>
  </si>
  <si>
    <t>NAZARÉ</t>
  </si>
  <si>
    <t>BELÉM</t>
  </si>
  <si>
    <t xml:space="preserve">66.035-080 </t>
  </si>
  <si>
    <t/>
  </si>
  <si>
    <t>Habilitar Faturamento de material;  Incluir CA no End; Incluir RH no End;</t>
  </si>
  <si>
    <t>Concluído</t>
  </si>
  <si>
    <t>MG</t>
  </si>
  <si>
    <t>3190153102-8</t>
  </si>
  <si>
    <t>76.535.764/0007-39</t>
  </si>
  <si>
    <t>06.226.967.900-26</t>
  </si>
  <si>
    <t>184.074/001-06</t>
  </si>
  <si>
    <t>PC MILTON CAMPOS, 16 - ANDAR 6 - PARTE</t>
  </si>
  <si>
    <t>SERRA</t>
  </si>
  <si>
    <t>BELO HORIZONTE</t>
  </si>
  <si>
    <t>30.130-040</t>
  </si>
  <si>
    <t>RR</t>
  </si>
  <si>
    <t>1490002165-1</t>
  </si>
  <si>
    <t>76.535.764/0013-87</t>
  </si>
  <si>
    <t>24.011.564-6</t>
  </si>
  <si>
    <t>027.467-4</t>
  </si>
  <si>
    <t>AV. CAPITÃO ENE GARCEZ, 130 - ANDAR 1 SALA 1</t>
  </si>
  <si>
    <t>BOA VISTA</t>
  </si>
  <si>
    <t>69.301-161</t>
  </si>
  <si>
    <t>DF</t>
  </si>
  <si>
    <t>5390017551-0</t>
  </si>
  <si>
    <t>76.535.764/0326-90</t>
  </si>
  <si>
    <t>07.408.927/002-23</t>
  </si>
  <si>
    <t>Não Tem</t>
  </si>
  <si>
    <t>N/A</t>
  </si>
  <si>
    <t>Q SCS QUADRA, 02, BLOCO E ANDAR 8 9 E 10</t>
  </si>
  <si>
    <t>ASA SUL</t>
  </si>
  <si>
    <t>BRASÍLIA</t>
  </si>
  <si>
    <t xml:space="preserve">70.302-903 </t>
  </si>
  <si>
    <t>MS</t>
  </si>
  <si>
    <t>5490017967-2</t>
  </si>
  <si>
    <t>76.535.764/0324-28</t>
  </si>
  <si>
    <t>28.313.188-8</t>
  </si>
  <si>
    <t>0010037600-8</t>
  </si>
  <si>
    <t>R SANTA BARBARA, 605</t>
  </si>
  <si>
    <t>VILA RICA</t>
  </si>
  <si>
    <t>CAMPO GRANDE</t>
  </si>
  <si>
    <t>79.022-060</t>
  </si>
  <si>
    <t>MT</t>
  </si>
  <si>
    <t>5190018038-4</t>
  </si>
  <si>
    <t>76.535.764/0329-32</t>
  </si>
  <si>
    <t>13.094.807-1</t>
  </si>
  <si>
    <t>RUA BARÃO DE MELGAÇO, 3209</t>
  </si>
  <si>
    <t>CENTRO SUL</t>
  </si>
  <si>
    <t>CUIABÁ</t>
  </si>
  <si>
    <t>78.020-902</t>
  </si>
  <si>
    <t>PR</t>
  </si>
  <si>
    <t>4190065204-7</t>
  </si>
  <si>
    <t>76.535.764/0321-85</t>
  </si>
  <si>
    <t>90206136-34</t>
  </si>
  <si>
    <t>TRAVESSA TEIXEIRA DE FREITAS, 75 CONJ A;ANDAR TR;COND HIRAN ROLIM LAMAS ED;BLOCO HIRAN ROLIM LAMAS BL</t>
  </si>
  <si>
    <t>SÃO FRANCISCO</t>
  </si>
  <si>
    <t>CURITIBA</t>
  </si>
  <si>
    <t>80.410-040</t>
  </si>
  <si>
    <t xml:space="preserve">Habilitar Faturamento de material;  Incluir CA no End; </t>
  </si>
  <si>
    <t>Concluído 31/03/2025</t>
  </si>
  <si>
    <t>SC</t>
  </si>
  <si>
    <t>4290051054-9</t>
  </si>
  <si>
    <t>76.535.764/0322-66</t>
  </si>
  <si>
    <t>407.869-1</t>
  </si>
  <si>
    <t>R DESEMBARGADOR GIL COSTA,605 SALA 01</t>
  </si>
  <si>
    <t>CAPOEIRAS</t>
  </si>
  <si>
    <t>FLORIANÓPOLIS</t>
  </si>
  <si>
    <t>88.070-450</t>
  </si>
  <si>
    <t>CE</t>
  </si>
  <si>
    <t>2390032747-1</t>
  </si>
  <si>
    <t>76.535.764/0020-06</t>
  </si>
  <si>
    <t>06.687.010-0</t>
  </si>
  <si>
    <t>185.873-4</t>
  </si>
  <si>
    <t>AV DOMINGOS OLIMPIO, 2290, SALA DE REUNIAO 02</t>
  </si>
  <si>
    <t>FARIAS BRITO</t>
  </si>
  <si>
    <t>FORTALEZA</t>
  </si>
  <si>
    <t>60.015-108</t>
  </si>
  <si>
    <t>GO</t>
  </si>
  <si>
    <t>5290037423-6</t>
  </si>
  <si>
    <t>76.535.764/0328-51</t>
  </si>
  <si>
    <t>10.325.318-1</t>
  </si>
  <si>
    <t>160.280-2</t>
  </si>
  <si>
    <t>ROD. BR 153 - S/N - KM 06 - PARTE</t>
  </si>
  <si>
    <t>VILA REDENÇÃO</t>
  </si>
  <si>
    <t>GOIANIA</t>
  </si>
  <si>
    <t>74.845-060</t>
  </si>
  <si>
    <t>PB</t>
  </si>
  <si>
    <t>2590014205-8</t>
  </si>
  <si>
    <t>76.535.764/0019-72</t>
  </si>
  <si>
    <t>16.140.610-6</t>
  </si>
  <si>
    <t>AV.INFANTE DOM HENRIQUE ,650 SALA 0003</t>
  </si>
  <si>
    <t>TAMBAU</t>
  </si>
  <si>
    <t>JOÃO PESSOA</t>
  </si>
  <si>
    <t>58.039-151</t>
  </si>
  <si>
    <t>AP</t>
  </si>
  <si>
    <t>1690002929-7</t>
  </si>
  <si>
    <t>76.535.764/0010-34</t>
  </si>
  <si>
    <t>03.026710-2</t>
  </si>
  <si>
    <t>AV DUQUE DE CAXIAS, 106 - ANDAR 1</t>
  </si>
  <si>
    <t>CENTRAL</t>
  </si>
  <si>
    <t>MACAPÁ</t>
  </si>
  <si>
    <t>68.900-071</t>
  </si>
  <si>
    <t>Concluído 28/03/2025</t>
  </si>
  <si>
    <t>AL</t>
  </si>
  <si>
    <t>2790010342-9</t>
  </si>
  <si>
    <t>76.535.764/0006-58</t>
  </si>
  <si>
    <t>24.103.751-4</t>
  </si>
  <si>
    <t>009.006.447.53</t>
  </si>
  <si>
    <t>RUA DR. ZEFERINO RODRIGUES, 207 - TERREO 1 - SALA 01</t>
  </si>
  <si>
    <t>PAJUÇARA</t>
  </si>
  <si>
    <t>MACEIÓ</t>
  </si>
  <si>
    <t>57.022-195</t>
  </si>
  <si>
    <t>AM</t>
  </si>
  <si>
    <t>1390012259-6</t>
  </si>
  <si>
    <t>76.535.764/0014-68</t>
  </si>
  <si>
    <t>04.211.317-2</t>
  </si>
  <si>
    <t>107.806.01</t>
  </si>
  <si>
    <t xml:space="preserve">AV. EPHIGENIO SALLES, 700 - SALA 03 - TÉRREO </t>
  </si>
  <si>
    <t>ANDRIANOPOLIS</t>
  </si>
  <si>
    <t>MANAUS</t>
  </si>
  <si>
    <t>69.057-050</t>
  </si>
  <si>
    <t>RN</t>
  </si>
  <si>
    <t>2490015954-5</t>
  </si>
  <si>
    <t>76.535.764/0009-09</t>
  </si>
  <si>
    <t>20.095.409-1</t>
  </si>
  <si>
    <t>149.751-0</t>
  </si>
  <si>
    <t xml:space="preserve">AV. PRUDENTE DE MORAIS, 757 - 11º ANDAR - SALA A </t>
  </si>
  <si>
    <t>TIROL</t>
  </si>
  <si>
    <t>NATAL</t>
  </si>
  <si>
    <t xml:space="preserve">59.020-904 </t>
  </si>
  <si>
    <t>TO</t>
  </si>
  <si>
    <t>1790004417-3</t>
  </si>
  <si>
    <t>76.535.764/0325-09</t>
  </si>
  <si>
    <t>29.066.151-0</t>
  </si>
  <si>
    <t>Q 201 SUL - AV. NS-A - CONJUNTO 02 - LOTE 06</t>
  </si>
  <si>
    <t>PLANO DIRETOR SUL</t>
  </si>
  <si>
    <t>PALMAS</t>
  </si>
  <si>
    <t>77.015-205</t>
  </si>
  <si>
    <t>RS</t>
  </si>
  <si>
    <t>4390081484-1</t>
  </si>
  <si>
    <t>76.535.764/0002-24</t>
  </si>
  <si>
    <t>096/2845833 </t>
  </si>
  <si>
    <t xml:space="preserve">AV. BORGES DE MEDEIROS, 512 - PARTE </t>
  </si>
  <si>
    <t>PORTO ALEGRE</t>
  </si>
  <si>
    <t>90.020-902</t>
  </si>
  <si>
    <t>RO</t>
  </si>
  <si>
    <t>1190008379-3</t>
  </si>
  <si>
    <t>76.535.764/0323-47</t>
  </si>
  <si>
    <t xml:space="preserve">0000000096301-1 </t>
  </si>
  <si>
    <t>R DOM PEDRO II , 1213 TERREOSALA 05</t>
  </si>
  <si>
    <t>PORTO VELHO</t>
  </si>
  <si>
    <t>76.801-103</t>
  </si>
  <si>
    <t>PE</t>
  </si>
  <si>
    <t>2690038955-1</t>
  </si>
  <si>
    <t>76.535.764/0022-78</t>
  </si>
  <si>
    <t>03.10.827-93</t>
  </si>
  <si>
    <t>350.226-0</t>
  </si>
  <si>
    <t>RUA JOAQUIM FELIPE, 168 - 3º ANDAR NORTE</t>
  </si>
  <si>
    <t>RECIFE</t>
  </si>
  <si>
    <t>50.050-365</t>
  </si>
  <si>
    <t>AC</t>
  </si>
  <si>
    <t>1290004093-9</t>
  </si>
  <si>
    <t>76.535.764/0327-70</t>
  </si>
  <si>
    <t>01.006.885/001-50</t>
  </si>
  <si>
    <t>76535764032770</t>
  </si>
  <si>
    <t>AV  BRASIL, 381</t>
  </si>
  <si>
    <t>RIO BRANCO</t>
  </si>
  <si>
    <t>69.900-076</t>
  </si>
  <si>
    <t>RJ</t>
  </si>
  <si>
    <t>3390061094-5</t>
  </si>
  <si>
    <t>76.535.764/0331-57</t>
  </si>
  <si>
    <t>AVENIDA PRINCESA ISABEL, 320 - 7º ANDAR</t>
  </si>
  <si>
    <t>COPACABANA</t>
  </si>
  <si>
    <t>RIO DE JANEIRO</t>
  </si>
  <si>
    <t>22.011-010</t>
  </si>
  <si>
    <t>BA</t>
  </si>
  <si>
    <t>2990073560-5</t>
  </si>
  <si>
    <t>76.535.764/0018-91</t>
  </si>
  <si>
    <t>238.439/001-52</t>
  </si>
  <si>
    <t>R PROFESSOR HUGO BALTHAZAR DA SILVEIRA, 37, PAVMTO1 SALA A</t>
  </si>
  <si>
    <t>NAZARE</t>
  </si>
  <si>
    <t>SALVADOR</t>
  </si>
  <si>
    <t>40.050-310</t>
  </si>
  <si>
    <t>MA</t>
  </si>
  <si>
    <t>2190015933-0</t>
  </si>
  <si>
    <t>76.535.764/0003-05</t>
  </si>
  <si>
    <t>12230766-6</t>
  </si>
  <si>
    <t>5057200-5</t>
  </si>
  <si>
    <t>AV DANIEL DE LA TOUCHE, 31, ANEXO AREA 03 LADO 01</t>
  </si>
  <si>
    <t>COHAMA</t>
  </si>
  <si>
    <t>SÃO LUÍS</t>
  </si>
  <si>
    <t>65.074-115</t>
  </si>
  <si>
    <t>SP</t>
  </si>
  <si>
    <t>3590237295-4</t>
  </si>
  <si>
    <t>76.535.764/0332-38</t>
  </si>
  <si>
    <t>3.239.859-0</t>
  </si>
  <si>
    <t>AV ROQUE PETRONI JUNIOR, 999, CONJ 81</t>
  </si>
  <si>
    <t>VILA GERTRUDES</t>
  </si>
  <si>
    <t>SÃO PAULO</t>
  </si>
  <si>
    <t>04.707-910</t>
  </si>
  <si>
    <t xml:space="preserve">Incluir CA no End; </t>
  </si>
  <si>
    <t>PI</t>
  </si>
  <si>
    <t>2290010037-9</t>
  </si>
  <si>
    <t>76.535.764/0004-96</t>
  </si>
  <si>
    <t>19.452.807-3</t>
  </si>
  <si>
    <t>089046-4</t>
  </si>
  <si>
    <t>AV. FREI SERAFIM, 1782 - PARTE</t>
  </si>
  <si>
    <t>TERESINA</t>
  </si>
  <si>
    <t xml:space="preserve">64.001-020 </t>
  </si>
  <si>
    <t>ES</t>
  </si>
  <si>
    <t>3290030736-2</t>
  </si>
  <si>
    <t>76.535.764/0015-49</t>
  </si>
  <si>
    <t>082.244.10-3</t>
  </si>
  <si>
    <t>26.840-2</t>
  </si>
  <si>
    <t>RUA MOACIR AVIDOS, 214</t>
  </si>
  <si>
    <t>PRAIA DO CANTO</t>
  </si>
  <si>
    <t>VITÓRIA</t>
  </si>
  <si>
    <t>29.055-350</t>
  </si>
  <si>
    <t>CD</t>
  </si>
  <si>
    <t>5390027359-7</t>
  </si>
  <si>
    <t>76.535.764/0043-00</t>
  </si>
  <si>
    <t>07.408.927/003-04</t>
  </si>
  <si>
    <t>ST SIA SUL ASP LOTE D, BLOCO B, ARMAZEM 02 - AREA A</t>
  </si>
  <si>
    <t>GUARA</t>
  </si>
  <si>
    <t>71.215-000</t>
  </si>
  <si>
    <t>76.535.764/0045-64</t>
  </si>
  <si>
    <t>07.408.927.004-95</t>
  </si>
  <si>
    <t>ST SCN QUADRA 03 - BLOCO A - S/N - ED. ESTACAO TELEFONI TERREO PARTE 3</t>
  </si>
  <si>
    <t>ASA NORTE</t>
  </si>
  <si>
    <t>70.713-900</t>
  </si>
  <si>
    <t>76.535.764/0047-26</t>
  </si>
  <si>
    <t>0.184.074/002-4</t>
  </si>
  <si>
    <t>0.184.074/003-2</t>
  </si>
  <si>
    <t>R DOS TAMOIOS, 311 –  ANDAR 3º PARTE ALA SUL</t>
  </si>
  <si>
    <t>30.120-050</t>
  </si>
  <si>
    <t>4290102711-6</t>
  </si>
  <si>
    <t>76.535.764/0046-45</t>
  </si>
  <si>
    <t>RUA DESEMBARGADOR GIL COSTA, 605 - PARTE</t>
  </si>
  <si>
    <t>4390085570-9</t>
  </si>
  <si>
    <t>76.535.764/0330-76</t>
  </si>
  <si>
    <t>093/0325672</t>
  </si>
  <si>
    <t>582030.8</t>
  </si>
  <si>
    <t>RUA XV DE NOVEMBRO, 653</t>
  </si>
  <si>
    <t>PELOTAS</t>
  </si>
  <si>
    <t>96.015-000</t>
  </si>
  <si>
    <t>MATRIZ</t>
  </si>
  <si>
    <t>3330029520-8</t>
  </si>
  <si>
    <t>76.535.764/0001-43</t>
  </si>
  <si>
    <t>521751-2</t>
  </si>
  <si>
    <t>RUA DO LAVRADIO, 71 - 2º ANDAR</t>
  </si>
  <si>
    <t>20.230-070</t>
  </si>
  <si>
    <t>3390100833-5</t>
  </si>
  <si>
    <t>76.535.764/0027-82</t>
  </si>
  <si>
    <t>0451135-2</t>
  </si>
  <si>
    <t>RUA DO LAVRADIO, 71 - 4º ANDAR</t>
  </si>
  <si>
    <t>3390100834-3</t>
  </si>
  <si>
    <t>76.535.764/0028-63</t>
  </si>
  <si>
    <t>0448109-7</t>
  </si>
  <si>
    <t>RUA JANGADEIROS, 48 - 7º ANDAR</t>
  </si>
  <si>
    <t>IPANEMA</t>
  </si>
  <si>
    <t>22.420-010</t>
  </si>
  <si>
    <t>3390100831-9</t>
  </si>
  <si>
    <t>76.535.764/0029-44</t>
  </si>
  <si>
    <t>0452175-7</t>
  </si>
  <si>
    <t>RUA BENEDITINOS, 23 - 4º ANDAR - PARTE</t>
  </si>
  <si>
    <t>20.081-050</t>
  </si>
  <si>
    <t>3390100832-7</t>
  </si>
  <si>
    <t>76.535.764/0035-92</t>
  </si>
  <si>
    <t>0451826-8</t>
  </si>
  <si>
    <t>PR. BOTAFOGO, 166 - 6º ANDAR</t>
  </si>
  <si>
    <t>BOTAFOGO</t>
  </si>
  <si>
    <t>22.250-040</t>
  </si>
  <si>
    <t>3390100993-5</t>
  </si>
  <si>
    <t>76.535.764/0036-73</t>
  </si>
  <si>
    <t>ATIVA - CENTRALIZADA</t>
  </si>
  <si>
    <t>0450224-8</t>
  </si>
  <si>
    <t>ROD PRESIDENTE DUTRA 2550 BLC 2 ARMAZEM1</t>
  </si>
  <si>
    <t>PAVUNA</t>
  </si>
  <si>
    <t xml:space="preserve">RIO DE JANEIRO </t>
  </si>
  <si>
    <t>21.535-904</t>
  </si>
  <si>
    <t>Habilitar Faturamento de material;</t>
  </si>
  <si>
    <t>3390105363-2</t>
  </si>
  <si>
    <t>76.535.764/0039-16</t>
  </si>
  <si>
    <t>PRAÇA TIRADENTES, 41 - PARTE</t>
  </si>
  <si>
    <t xml:space="preserve"> 21.060-070</t>
  </si>
  <si>
    <t>3390106219-4</t>
  </si>
  <si>
    <t>76.535.764/0040-50</t>
  </si>
  <si>
    <t>0.656.595-6</t>
  </si>
  <si>
    <t xml:space="preserve">AV. PRINCESA ISABEL, 320 - ANDAR 3 </t>
  </si>
  <si>
    <t>3390130894-1</t>
  </si>
  <si>
    <t>76.535.764/0051-02</t>
  </si>
  <si>
    <t>624.238-3</t>
  </si>
  <si>
    <t>R. CORREIA VASQUES, 69 - PARTE</t>
  </si>
  <si>
    <t>CIDADE NOVA</t>
  </si>
  <si>
    <t>20.211-140</t>
  </si>
  <si>
    <t xml:space="preserve">Habilitar Faturamento de serviço na filial e material;  Incluir CA no End; </t>
  </si>
  <si>
    <t xml:space="preserve"> 61.10-8-01</t>
  </si>
  <si>
    <t>3590502874-0</t>
  </si>
  <si>
    <t>76.535.764/0052-93</t>
  </si>
  <si>
    <t>116722846112</t>
  </si>
  <si>
    <t>5.336.014-1</t>
  </si>
  <si>
    <t>AV. DOUTOR CARDOSO DE MELO, 878 - CONJ. 32</t>
  </si>
  <si>
    <t>VILA OLIMPIA</t>
  </si>
  <si>
    <t>04.548-003</t>
  </si>
  <si>
    <t>205-4</t>
  </si>
  <si>
    <t>82.20-2-00</t>
  </si>
  <si>
    <t>Matriz</t>
  </si>
  <si>
    <t>BRASIL TELECOM CALL CENTER S/A</t>
  </si>
  <si>
    <t>5230001964-8</t>
  </si>
  <si>
    <t>04.014.081/0001-30</t>
  </si>
  <si>
    <t>ROD BR-153, SN - KM 06 BLOCO 03</t>
  </si>
  <si>
    <t>GOIÂNIA</t>
  </si>
  <si>
    <t>74.845-090</t>
  </si>
  <si>
    <t>5490024008-8</t>
  </si>
  <si>
    <t>04.014.081/0002-10</t>
  </si>
  <si>
    <t>RUA SANTA BARBARA, 605</t>
  </si>
  <si>
    <t>5490024009-6</t>
  </si>
  <si>
    <t>04.014.081/0003-00</t>
  </si>
  <si>
    <t>RUA RUI BARBOSA, 3040</t>
  </si>
  <si>
    <t>79.002-362</t>
  </si>
  <si>
    <t>4190100002-1</t>
  </si>
  <si>
    <t>04.014.081/0005-63</t>
  </si>
  <si>
    <t>17.02.530.852-7</t>
  </si>
  <si>
    <t xml:space="preserve">TRAVESSA TEIXEIRA DE FREITAS, 75 - 3º, 4º E 5º ANDARES </t>
  </si>
  <si>
    <t>5290051870-0</t>
  </si>
  <si>
    <t>04.014.081/0008-06</t>
  </si>
  <si>
    <t>240.630-6</t>
  </si>
  <si>
    <t xml:space="preserve">RODOVIA BR 153, KM 06, S/N - BLOCO 10 - PARTE </t>
  </si>
  <si>
    <t>3390123203-1</t>
  </si>
  <si>
    <t>04.014.081/0013-73</t>
  </si>
  <si>
    <t>0578738-6</t>
  </si>
  <si>
    <t>R. HANNIBAL PORTO, 450 - 5º ANDAR</t>
  </si>
  <si>
    <t>IRAJÁ</t>
  </si>
  <si>
    <t>21.230-330</t>
  </si>
  <si>
    <t>61.90-6-99</t>
  </si>
  <si>
    <t>OI SOLUÇÕES S/A</t>
  </si>
  <si>
    <t>3530035577-6</t>
  </si>
  <si>
    <t>09.719.875/0001-12</t>
  </si>
  <si>
    <t xml:space="preserve">3.779.730-1 </t>
  </si>
  <si>
    <t>AV ROQUE PETRONI JUNIOR, 999, CONJ 82</t>
  </si>
  <si>
    <t>399-9</t>
  </si>
  <si>
    <t>94.99-5-00</t>
  </si>
  <si>
    <t xml:space="preserve">INSTITUTO TELEMAR </t>
  </si>
  <si>
    <t>_</t>
  </si>
  <si>
    <t>04.256.109/0001-45</t>
  </si>
  <si>
    <t>RUA DOIS DE DEZEMBRO, 63 SALA 52</t>
  </si>
  <si>
    <t>FLAMENGO</t>
  </si>
  <si>
    <t>22.220-040</t>
  </si>
  <si>
    <t xml:space="preserve">61.10-8-01 </t>
  </si>
  <si>
    <t>76.535.764/0054-55</t>
  </si>
  <si>
    <t>RUA MENINO JULIO CESAR, SN - SETOR 1</t>
  </si>
  <si>
    <t>NOSSA SRA DO ROSARIO</t>
  </si>
  <si>
    <r>
      <t>SAO JOSE</t>
    </r>
    <r>
      <rPr>
        <sz val="8"/>
        <rFont val="Arial"/>
        <family val="2"/>
      </rPr>
      <t xml:space="preserve"> </t>
    </r>
  </si>
  <si>
    <t xml:space="preserve">88.110-639   </t>
  </si>
  <si>
    <t>82.99-7-99</t>
  </si>
  <si>
    <t>PAGGO SOLUCOES E MEIOS DE PAGAMENTO S/A</t>
  </si>
  <si>
    <t>09.311.289/0001-34</t>
  </si>
  <si>
    <t>-</t>
  </si>
  <si>
    <t>AL. GRAJAU, 219 - ANDAR 3 - BLOCO C</t>
  </si>
  <si>
    <t>ALPHAVILLE</t>
  </si>
  <si>
    <t>BARUERI</t>
  </si>
  <si>
    <t>06.454-050</t>
  </si>
  <si>
    <t>66.30-4-00</t>
  </si>
  <si>
    <t>RIO ALTO INVESTIMENTOS E PARTICIPAÇÕES S/A</t>
  </si>
  <si>
    <t>3330030878-4</t>
  </si>
  <si>
    <t>11.973.206/0001-14</t>
  </si>
  <si>
    <t>621.675-7</t>
  </si>
  <si>
    <t>RUA BENEDITINOS, 23 - ANDAR 2 - SALA 205</t>
  </si>
  <si>
    <t>76.535.764/0058-89</t>
  </si>
  <si>
    <t>291231.2.7</t>
  </si>
  <si>
    <t>RUA JOAQUIM OLIVEIRA, 166 – FUNDOS PAVILHÃO 40 - SETOR 1</t>
  </si>
  <si>
    <t>ANCHIETA</t>
  </si>
  <si>
    <t>90.200-050</t>
  </si>
  <si>
    <t>76.535.764/0060-01</t>
  </si>
  <si>
    <t>AV MADRE LEONIA MILITO, 2100 - TERREO</t>
  </si>
  <si>
    <t>BELA SUICA</t>
  </si>
  <si>
    <t>LONDRINA</t>
  </si>
  <si>
    <t>86.050-270</t>
  </si>
  <si>
    <t>E-Social</t>
  </si>
  <si>
    <t>5490036816-5</t>
  </si>
  <si>
    <t>76.535.764/0061-84</t>
  </si>
  <si>
    <t>R DOUTOR MUNIR THOME, 701 - PARTE 1</t>
  </si>
  <si>
    <t>TRES LAGOAS</t>
  </si>
  <si>
    <t>79.601-070</t>
  </si>
  <si>
    <t>4390194453-5</t>
  </si>
  <si>
    <t>76.535.764/0062-65</t>
  </si>
  <si>
    <t>AV GENERAL OSORIO, 1150 - PARTE 1</t>
  </si>
  <si>
    <t>BAGE</t>
  </si>
  <si>
    <t>96.400-100</t>
  </si>
  <si>
    <t>4390194455-1</t>
  </si>
  <si>
    <t>76.535.764/0064-27</t>
  </si>
  <si>
    <t>R ENGENHEIRO AFONSO CAVALCANTI, 100 - ANDAR 4</t>
  </si>
  <si>
    <t>BELA VISTA</t>
  </si>
  <si>
    <t>90.440-110</t>
  </si>
  <si>
    <t>4390194456-0</t>
  </si>
  <si>
    <t>76.535.764/0066-99</t>
  </si>
  <si>
    <t>R RIVADAVIA CORREA, 766 - PARTE 1</t>
  </si>
  <si>
    <t>SANTANA DO LIVRAMENTO</t>
  </si>
  <si>
    <t>97.573-562</t>
  </si>
  <si>
    <t xml:space="preserve">82.20-2-00 </t>
  </si>
  <si>
    <t>3390152829-1</t>
  </si>
  <si>
    <t>04.014.081/0015-35</t>
  </si>
  <si>
    <t>1169368-7</t>
  </si>
  <si>
    <t>R BENEDITINOS , 23 - SAL 201/1101</t>
  </si>
  <si>
    <t xml:space="preserve">20.081-050   </t>
  </si>
  <si>
    <t>OI S/A - EM RECUPERAÇÃO JUDICIAL</t>
  </si>
  <si>
    <t>76.535.764/0073-18</t>
  </si>
  <si>
    <t>1.233.847-3</t>
  </si>
  <si>
    <t>R ALEXANDRE MACKENZIE, 75 SAL 201</t>
  </si>
  <si>
    <t>20.221-410</t>
  </si>
  <si>
    <t>76.535.764/0222-01</t>
  </si>
  <si>
    <t>CENTRALIZADA</t>
  </si>
  <si>
    <t>07.408.927/006-57</t>
  </si>
  <si>
    <t xml:space="preserve">NUCR PONTE ALTA NORTE RODOVIA 001/475 ARMAZEM 03, S/N, COND GAMA BUSINESS PARK PARTE D
</t>
  </si>
  <si>
    <t>PONTE ALTA NORTE (GAMA)</t>
  </si>
  <si>
    <t>BRASILIA</t>
  </si>
  <si>
    <t>72.427-010</t>
  </si>
  <si>
    <t>CA</t>
  </si>
  <si>
    <t>76.535.764/0221-12</t>
  </si>
  <si>
    <t>07.408.927/005-76</t>
  </si>
  <si>
    <t>TR SIA TRECHO 4, 1930, PARTE D</t>
  </si>
  <si>
    <t>ZONA INDUSTRIAL (GUARA)</t>
  </si>
  <si>
    <t>71.200-040</t>
  </si>
  <si>
    <t>76.535.764/0100-25</t>
  </si>
  <si>
    <t>03094/2020</t>
  </si>
  <si>
    <t>AV AMIZADE, 933, PARTE A</t>
  </si>
  <si>
    <t>TABATINGA</t>
  </si>
  <si>
    <t>69.640-000</t>
  </si>
  <si>
    <t>76.535.764/0085-51</t>
  </si>
  <si>
    <t>BAIXADA</t>
  </si>
  <si>
    <t>R DOUTOR ABILIO FARIAS, 491, SALA A</t>
  </si>
  <si>
    <t>BARREIRAS</t>
  </si>
  <si>
    <t>47.800-030</t>
  </si>
  <si>
    <t>76.535.764/0078-22</t>
  </si>
  <si>
    <t>AV DOM PEDRO II, 501, SALA A</t>
  </si>
  <si>
    <t>EUNAPOLIS</t>
  </si>
  <si>
    <t>45.820-081</t>
  </si>
  <si>
    <t>76.535.764/0084-70</t>
  </si>
  <si>
    <t>R CAMERINO NEVES, 365, SALA A</t>
  </si>
  <si>
    <t>GUANAMBI</t>
  </si>
  <si>
    <t>46.430-000</t>
  </si>
  <si>
    <t>76.535.764/0076-60</t>
  </si>
  <si>
    <t>PC LUIS VIANA, 92 SALA A</t>
  </si>
  <si>
    <t>JEQUIE</t>
  </si>
  <si>
    <t>45.200-060</t>
  </si>
  <si>
    <t>76.535.764/0083-90</t>
  </si>
  <si>
    <t>7.865/001-93</t>
  </si>
  <si>
    <t>R 02 DE JULHO, 333, SALA A</t>
  </si>
  <si>
    <t>SENHOR DO BONFIM</t>
  </si>
  <si>
    <t>48.970-000</t>
  </si>
  <si>
    <t>76.535.764/0088-02</t>
  </si>
  <si>
    <t>R HERALDO RIBEIRO, 77, SALA A</t>
  </si>
  <si>
    <t>SERRINHA</t>
  </si>
  <si>
    <t>48.700-000</t>
  </si>
  <si>
    <t>76.535.764/0101-06</t>
  </si>
  <si>
    <t>R FLORIANO PEIXOTO, 675, PARTE A</t>
  </si>
  <si>
    <t>IGUATU</t>
  </si>
  <si>
    <t>63.500-050</t>
  </si>
  <si>
    <t>76.535.764/0089-85</t>
  </si>
  <si>
    <t>AV TRES PODERES, 202, ANEXO D</t>
  </si>
  <si>
    <t>RENASCENCA</t>
  </si>
  <si>
    <t>MONTES CLAROS</t>
  </si>
  <si>
    <t>39.400-236</t>
  </si>
  <si>
    <t>76.535.764/0095-23</t>
  </si>
  <si>
    <t>AV GETULIO VARGAS, 373, PARTE A</t>
  </si>
  <si>
    <t>ARAXA</t>
  </si>
  <si>
    <t>38.183-192</t>
  </si>
  <si>
    <t>76.535.764/0092-80</t>
  </si>
  <si>
    <t>R PADRE AUGUSTO, 164, PARTE</t>
  </si>
  <si>
    <t>39.400-053</t>
  </si>
  <si>
    <t>76.535.764/0091-08</t>
  </si>
  <si>
    <t>1/10198</t>
  </si>
  <si>
    <t>R PANDIA CALOGERAS, 741</t>
  </si>
  <si>
    <t>VILA ITACOLOMY</t>
  </si>
  <si>
    <t>OURO PRETO</t>
  </si>
  <si>
    <t>35.400-000</t>
  </si>
  <si>
    <t>76.535.764/0090-19</t>
  </si>
  <si>
    <t>R TEODORO GONCALVES, 226, PARTE A</t>
  </si>
  <si>
    <t>PATROCINIO</t>
  </si>
  <si>
    <t>38.740-006</t>
  </si>
  <si>
    <t>76.535.764/0096-04</t>
  </si>
  <si>
    <t>R MAGALHAES BARATA, 1693, PARTE A</t>
  </si>
  <si>
    <t>ALTAMIRA</t>
  </si>
  <si>
    <t>68.371-057</t>
  </si>
  <si>
    <t>76.535.764/0097-95</t>
  </si>
  <si>
    <t>AV SANTA TEREZA, 211, PARTE A</t>
  </si>
  <si>
    <t>NUCLEO URBANO</t>
  </si>
  <si>
    <t>REDENCAO</t>
  </si>
  <si>
    <t>68.553-075</t>
  </si>
  <si>
    <t>76.535.764/0075-80</t>
  </si>
  <si>
    <t>1.255.050-2</t>
  </si>
  <si>
    <t>R HENRIQUE FERREIRA, 101, SALA 101</t>
  </si>
  <si>
    <t>BENTO RIBEIRO</t>
  </si>
  <si>
    <t>21.550-290</t>
  </si>
  <si>
    <t>76.535.764/0074-07</t>
  </si>
  <si>
    <t>1.255.055-3</t>
  </si>
  <si>
    <t>R IPU, 00015</t>
  </si>
  <si>
    <t>22.281-040</t>
  </si>
  <si>
    <t>76.535.764/0103-78</t>
  </si>
  <si>
    <t>ROD BR-392, 2117</t>
  </si>
  <si>
    <t>URLANDIA</t>
  </si>
  <si>
    <t>SANTA MARIA</t>
  </si>
  <si>
    <t>97.070-185</t>
  </si>
  <si>
    <t>1292000099-1</t>
  </si>
  <si>
    <t>76.535.764/0194-05</t>
  </si>
  <si>
    <t>01.006.885/002-30</t>
  </si>
  <si>
    <t>ATIVA CENTRALIZADA</t>
  </si>
  <si>
    <t>76535764019405</t>
  </si>
  <si>
    <t>AV BRASIL, 668</t>
  </si>
  <si>
    <t>XAVIER MAIA</t>
  </si>
  <si>
    <t xml:space="preserve">RIO BRANCO
</t>
  </si>
  <si>
    <t>69.903-018</t>
  </si>
  <si>
    <t>76.535.764/0195-96</t>
  </si>
  <si>
    <t>AV PRESIDENTE GETULIO VARGAS, 66, TERREO PARTE B</t>
  </si>
  <si>
    <t>SERRARIA</t>
  </si>
  <si>
    <t>MACEIO</t>
  </si>
  <si>
    <t>57.046-140</t>
  </si>
  <si>
    <t xml:space="preserve">Habilitar Faturamento de serviço na filial e material;  Incluir RH no End; </t>
  </si>
  <si>
    <t>76.535.764/0201-79</t>
  </si>
  <si>
    <t>AV PRESIDENTE KENNEDY, 920, SETOR N</t>
  </si>
  <si>
    <t>COLONIA OLIV MACHADO</t>
  </si>
  <si>
    <t>69.070-625</t>
  </si>
  <si>
    <t>Habilitar Faturamento de serviço na filial e material;</t>
  </si>
  <si>
    <t>76.535.764/0199-10</t>
  </si>
  <si>
    <t>R 5 DE SETEMBRO, 506, PARTE A</t>
  </si>
  <si>
    <t>HUMAITA</t>
  </si>
  <si>
    <t>69.800-000</t>
  </si>
  <si>
    <t>76.535.764/0197-58</t>
  </si>
  <si>
    <t>AV AMAZONAS, 1916, PARTE A</t>
  </si>
  <si>
    <t>PARINTINS</t>
  </si>
  <si>
    <t>69.151-000</t>
  </si>
  <si>
    <t>76.535.764/0198-39</t>
  </si>
  <si>
    <t>R BENJAMIM CONSTANT, 395, PARTE A</t>
  </si>
  <si>
    <t>TEFE</t>
  </si>
  <si>
    <t>69.550-077</t>
  </si>
  <si>
    <t>76.535.764/0215-74</t>
  </si>
  <si>
    <t>03.063848-8</t>
  </si>
  <si>
    <t>AV STEPHAN HOUAT, S/N, EDIF PARTE D</t>
  </si>
  <si>
    <t>JARDIM MARCO ZERO</t>
  </si>
  <si>
    <t>MACAPA</t>
  </si>
  <si>
    <t>68.903-193</t>
  </si>
  <si>
    <t>76.535.764/0208-45</t>
  </si>
  <si>
    <t>PENDENTE</t>
  </si>
  <si>
    <t>Em andamento - vide informação na célula "AL"</t>
  </si>
  <si>
    <t>AV PRESIDENTE DUTRA, BR 116, KM 820 ANEXO B</t>
  </si>
  <si>
    <t>NOSSA SENHORA APARECIDA</t>
  </si>
  <si>
    <t>VITORIA DA CONQUISTA</t>
  </si>
  <si>
    <t>45.085-110</t>
  </si>
  <si>
    <t>Habilitar Faturamento de material; Incluir RH no End;  Habilitar IE/IM</t>
  </si>
  <si>
    <t>Pendente IM</t>
  </si>
  <si>
    <t>76.535.764/0202-50</t>
  </si>
  <si>
    <t>75.021-2</t>
  </si>
  <si>
    <t>AV PROFESSOR FERNANDO SAO PAULO, 03, SALA A</t>
  </si>
  <si>
    <t>PONTO CENTRAL</t>
  </si>
  <si>
    <t>FEIRA DE SANTANA</t>
  </si>
  <si>
    <t>44.075-045</t>
  </si>
  <si>
    <t>76.535.764/0205-00</t>
  </si>
  <si>
    <t>R MANUEL CERQUEIRA BRANDAO, 320, SALA A</t>
  </si>
  <si>
    <t>PONTALZINHO</t>
  </si>
  <si>
    <t>ITABUNA</t>
  </si>
  <si>
    <t>45.603-004</t>
  </si>
  <si>
    <t>76.535.764/0206-83</t>
  </si>
  <si>
    <t>R OSCAR RIBEIRO, 520, SALA A</t>
  </si>
  <si>
    <t>JUAZEIRO</t>
  </si>
  <si>
    <t>48.903-425</t>
  </si>
  <si>
    <t>76.535.764/0203-30</t>
  </si>
  <si>
    <t>R GODOALDO AMARAL, 20, SALA A</t>
  </si>
  <si>
    <t>TEIXEIRA DE FREITAS</t>
  </si>
  <si>
    <t>45.985-138</t>
  </si>
  <si>
    <t>76.535.764/0204-11</t>
  </si>
  <si>
    <t>R SIQUEIRA CAMPOS ATE 294/295, 120, SALA A</t>
  </si>
  <si>
    <t>45.000-455</t>
  </si>
  <si>
    <t>76.535.764/0216-55</t>
  </si>
  <si>
    <t>569818-9</t>
  </si>
  <si>
    <t>AV WENEFRIDO MELO, 294, PARTE D</t>
  </si>
  <si>
    <t>MONDUBIM</t>
  </si>
  <si>
    <t>60.762-410</t>
  </si>
  <si>
    <t>76.535.764/0220-31</t>
  </si>
  <si>
    <t>R CORONEL LUCIO, 447, PARTE A</t>
  </si>
  <si>
    <t>CRATEUS</t>
  </si>
  <si>
    <t>63.700-061</t>
  </si>
  <si>
    <t>76.535.764/0217-36</t>
  </si>
  <si>
    <t>R PADRE CICERO, 641, PARTE A</t>
  </si>
  <si>
    <t xml:space="preserve">JUAZEIRO DO NORTE
</t>
  </si>
  <si>
    <t>63.010-020</t>
  </si>
  <si>
    <t>76.535.764/0218-17</t>
  </si>
  <si>
    <t>BVD JOAO BARBOSA, 838, PARTE A</t>
  </si>
  <si>
    <t>SOBRAL</t>
  </si>
  <si>
    <t>62.010-190</t>
  </si>
  <si>
    <t>76.535.764/0229-70</t>
  </si>
  <si>
    <t>AV DESEMBARGADOR MARIO DA SILVA NUNES, 558, ANEXO D</t>
  </si>
  <si>
    <t>JARDIM LIMOEIRO</t>
  </si>
  <si>
    <t>29.164-044</t>
  </si>
  <si>
    <t>End Terceiros - a checar Serede locação// ok Telemont</t>
  </si>
  <si>
    <t>76.535.764/0230-03</t>
  </si>
  <si>
    <t>R DO ROSARIO, 150, PAVMTO8 ANEXO A</t>
  </si>
  <si>
    <t>VITORIA</t>
  </si>
  <si>
    <t>29.010-940</t>
  </si>
  <si>
    <t>76.535.764/0227-08</t>
  </si>
  <si>
    <t>78235-3</t>
  </si>
  <si>
    <t>R COSTA PEREIRA, 118, ANEXO A</t>
  </si>
  <si>
    <t>SUMARE</t>
  </si>
  <si>
    <t>CACHOEIRO DE ITAPEMIRIM</t>
  </si>
  <si>
    <t>29.304-516</t>
  </si>
  <si>
    <t>76.535.764/0223-84</t>
  </si>
  <si>
    <t>R VIRGILIO GOMES BARRETO, 565, BLOCO B ANEXO A</t>
  </si>
  <si>
    <t>VILA NOVA</t>
  </si>
  <si>
    <t>COLATINA</t>
  </si>
  <si>
    <t>29.702-070</t>
  </si>
  <si>
    <t>76.535.764/0225-46</t>
  </si>
  <si>
    <t>AV JOAO FELIPE CALMON, 820, QUADRA25 LOTE 2 ANEXO A</t>
  </si>
  <si>
    <t>LINHARES</t>
  </si>
  <si>
    <t>29.900-022</t>
  </si>
  <si>
    <t>76.535.764/0224-65</t>
  </si>
  <si>
    <t>R ERICSON RIOS PESSANHA, 48, ANEXO A</t>
  </si>
  <si>
    <t>SAO MATEUS</t>
  </si>
  <si>
    <t>29.931-320</t>
  </si>
  <si>
    <t>76.535.764/0228-99</t>
  </si>
  <si>
    <t>R CABO AYLSON SIMOES, 306, ANEXO A</t>
  </si>
  <si>
    <t>CENTRO DE VILA VELHA</t>
  </si>
  <si>
    <t>VILA VELHA</t>
  </si>
  <si>
    <t>29.100-320</t>
  </si>
  <si>
    <t>76.535.764/0232-75</t>
  </si>
  <si>
    <t>R OSWALDO CRUZ, 745, LETRA A</t>
  </si>
  <si>
    <t>BACABAL</t>
  </si>
  <si>
    <t>65.700-000</t>
  </si>
  <si>
    <t>76.535.764/0231-94</t>
  </si>
  <si>
    <t xml:space="preserve">R DA RAPOSA, 66, </t>
  </si>
  <si>
    <t>SANTA INES</t>
  </si>
  <si>
    <t>65.300-088</t>
  </si>
  <si>
    <t>76.535.764/0361-72</t>
  </si>
  <si>
    <t>R ESTORIL, 1432</t>
  </si>
  <si>
    <t>31.255-190</t>
  </si>
  <si>
    <t>76.535.764/0291-25</t>
  </si>
  <si>
    <t>R TREZE DE MAIO, 420, PARTE B</t>
  </si>
  <si>
    <t>SAO PAULO</t>
  </si>
  <si>
    <t>GOVERNADOR VALADARES</t>
  </si>
  <si>
    <t>35.030-765</t>
  </si>
  <si>
    <t>CA/RH</t>
  </si>
  <si>
    <t>76.535.764/0304-84</t>
  </si>
  <si>
    <t>0256133 00</t>
  </si>
  <si>
    <t>R CLAUDIO MOURA, 2100</t>
  </si>
  <si>
    <t>NOVO CRUZEIRO</t>
  </si>
  <si>
    <t>IPATINGA</t>
  </si>
  <si>
    <t>35.164-840</t>
  </si>
  <si>
    <t>76.535.764/0308-08</t>
  </si>
  <si>
    <t>R PARA, 348, SALA 2</t>
  </si>
  <si>
    <t>VILA BELO HORIZONTE</t>
  </si>
  <si>
    <t>DIVINOPOLIS</t>
  </si>
  <si>
    <t>35.502-032</t>
  </si>
  <si>
    <t>76.535.764/0360-91</t>
  </si>
  <si>
    <t>1/000034655</t>
  </si>
  <si>
    <t>R AIMORES, 90, ANEXO D</t>
  </si>
  <si>
    <t>CARIJOS</t>
  </si>
  <si>
    <t>CONSELHEIRO LAFAIETE</t>
  </si>
  <si>
    <t>36.406-094</t>
  </si>
  <si>
    <t>76.535.764/0359-58</t>
  </si>
  <si>
    <t>AV PRINCESA DO SUL, 1975</t>
  </si>
  <si>
    <t>REZENDE</t>
  </si>
  <si>
    <t>VARGINHA</t>
  </si>
  <si>
    <t>37.062-447</t>
  </si>
  <si>
    <t>76.535.764/0292-06</t>
  </si>
  <si>
    <t>AV PREFEITO OLAVO GOMES DE OLIVEIRA, 2506, PARTE B</t>
  </si>
  <si>
    <t>JARDIM AURELIANO</t>
  </si>
  <si>
    <t>POUSO ALEGRE</t>
  </si>
  <si>
    <t>37.558-658</t>
  </si>
  <si>
    <t>76.535.764/0295-59</t>
  </si>
  <si>
    <t>AV SAO JOSE, 1060</t>
  </si>
  <si>
    <t>ALFENAS</t>
  </si>
  <si>
    <t>37.130-141</t>
  </si>
  <si>
    <t>76.535.764/0283-15</t>
  </si>
  <si>
    <t>R ARGEMIRO AGUILAR, 533, PARTE A</t>
  </si>
  <si>
    <t>ALMENARA</t>
  </si>
  <si>
    <t>39.900-000</t>
  </si>
  <si>
    <t>76.535.764/0305-65</t>
  </si>
  <si>
    <t>PC CONDE DE PRADOS, 125</t>
  </si>
  <si>
    <t>BARBACENA</t>
  </si>
  <si>
    <t>36.200-104</t>
  </si>
  <si>
    <t>76.535.764/0318-80</t>
  </si>
  <si>
    <t>AV DOM PEDRO II, 3110, LOJA PARTE A</t>
  </si>
  <si>
    <t>CAICARAS</t>
  </si>
  <si>
    <t>30.770-162</t>
  </si>
  <si>
    <t>76.535.764/0300-50</t>
  </si>
  <si>
    <t>R FREDERICO OZANAN, 73</t>
  </si>
  <si>
    <t>BOM DESPACHO</t>
  </si>
  <si>
    <t>35.600-000</t>
  </si>
  <si>
    <t>76.535.764/0315-37</t>
  </si>
  <si>
    <t>AV MARIA CATARINA CIMINI, 264</t>
  </si>
  <si>
    <t xml:space="preserve">CENTRO
</t>
  </si>
  <si>
    <t>CARATINGA</t>
  </si>
  <si>
    <t>35.300-030</t>
  </si>
  <si>
    <t>76.535.764/0357-96</t>
  </si>
  <si>
    <t>1/000034656</t>
  </si>
  <si>
    <t>R MELO VIANA, 174, PARTE A</t>
  </si>
  <si>
    <t>36.400-070</t>
  </si>
  <si>
    <t>76.535.764/0335-80</t>
  </si>
  <si>
    <t>1/000034657</t>
  </si>
  <si>
    <t>R TAVARES DE MELO, 180, PARTE A</t>
  </si>
  <si>
    <t>36.400-059</t>
  </si>
  <si>
    <t>76.535.764/0362-53</t>
  </si>
  <si>
    <t>AV CARDEAL EUGENIO PACELLI, 1052, PARTE A</t>
  </si>
  <si>
    <t>CIDADE INDUSTRIAL</t>
  </si>
  <si>
    <t>CONTAGEM</t>
  </si>
  <si>
    <t>32.210-002</t>
  </si>
  <si>
    <t>76.535.764/0302-12</t>
  </si>
  <si>
    <t>R JOAQUIM FELICIO, 154</t>
  </si>
  <si>
    <t>CURVELO</t>
  </si>
  <si>
    <t>35.790-171</t>
  </si>
  <si>
    <t>76.535.764/0356-05</t>
  </si>
  <si>
    <t>R DO OURO, 95, PARTE A</t>
  </si>
  <si>
    <t>DE FATIMA</t>
  </si>
  <si>
    <t>DIAMANTINA</t>
  </si>
  <si>
    <t>39.100-000</t>
  </si>
  <si>
    <t>76.535.764/0334-08</t>
  </si>
  <si>
    <t>R RIO DE JANEIRO, 434, PARTE A</t>
  </si>
  <si>
    <t>35.500-009</t>
  </si>
  <si>
    <t>76.535.764/0317-07</t>
  </si>
  <si>
    <t>AV JK, 1157, PARTE A</t>
  </si>
  <si>
    <t>35.030-210</t>
  </si>
  <si>
    <t>76.535.764/0289-00</t>
  </si>
  <si>
    <t>PC CONEGO CESARIO, 44, PARTE A</t>
  </si>
  <si>
    <t>GUANHAES</t>
  </si>
  <si>
    <t>39.740-000</t>
  </si>
  <si>
    <t>76.535.764/0286-68</t>
  </si>
  <si>
    <t>R JOAO ALKIMIN, 22, LETRA A</t>
  </si>
  <si>
    <t>GUAXUPE</t>
  </si>
  <si>
    <t>37.800-000</t>
  </si>
  <si>
    <t>76.535.764/0288-20</t>
  </si>
  <si>
    <t>R DOM PRUDENCIO, 243</t>
  </si>
  <si>
    <t>PARA</t>
  </si>
  <si>
    <t>ITABIRA</t>
  </si>
  <si>
    <t>35.900-048</t>
  </si>
  <si>
    <t>76.535.764/0309-99</t>
  </si>
  <si>
    <t>000.220/2020</t>
  </si>
  <si>
    <t>AV BIAS FORTES, 400, PARTE A</t>
  </si>
  <si>
    <t>ITAOBIM</t>
  </si>
  <si>
    <t>39.625-000</t>
  </si>
  <si>
    <t>76.535.764/0333-19</t>
  </si>
  <si>
    <t>R PIO XII, 50, PARTE A</t>
  </si>
  <si>
    <t>JANAUBA</t>
  </si>
  <si>
    <t>39.442-048</t>
  </si>
  <si>
    <t>76.535.764/0298-00</t>
  </si>
  <si>
    <t>PC ARTUR BERNARDES, 358,PARTE A</t>
  </si>
  <si>
    <t>JANUARIA</t>
  </si>
  <si>
    <t>39.480-000</t>
  </si>
  <si>
    <t>76.535.764/0296-30</t>
  </si>
  <si>
    <t>AV GETULIO VARGAS, 2089, PARTE A</t>
  </si>
  <si>
    <t>BAU</t>
  </si>
  <si>
    <t>JOAO MONLEVADE</t>
  </si>
  <si>
    <t>35.930-312</t>
  </si>
  <si>
    <t>76.535.764/0341-29</t>
  </si>
  <si>
    <t>R GERALDO RIOS, 180, PARTE A</t>
  </si>
  <si>
    <t>JOAO PINHEIRO</t>
  </si>
  <si>
    <t>38.770-000</t>
  </si>
  <si>
    <t>76.535.764/0306-46</t>
  </si>
  <si>
    <t>182.100/00-6</t>
  </si>
  <si>
    <t>AV BARAO DO RIO BRANCO, 1680</t>
  </si>
  <si>
    <t>JUIZ DE FORA</t>
  </si>
  <si>
    <t>36.015-510</t>
  </si>
  <si>
    <t>76.535.764/0340-48</t>
  </si>
  <si>
    <t>R BARAO DE COTEGIPE, 52, PARTE A</t>
  </si>
  <si>
    <t>LEOPOLDINA</t>
  </si>
  <si>
    <t>36.700-084</t>
  </si>
  <si>
    <t>76.535.764/0339-04</t>
  </si>
  <si>
    <t>0054486</t>
  </si>
  <si>
    <t>R ALCESTE NOGUEIRA DA GAMA, 10</t>
  </si>
  <si>
    <t>MANHUACU</t>
  </si>
  <si>
    <t>36.900-082</t>
  </si>
  <si>
    <t>76.535.764/0338-23</t>
  </si>
  <si>
    <t>R CORONEL DOMICIANO, 30, PARTE A</t>
  </si>
  <si>
    <t>MURIAE</t>
  </si>
  <si>
    <t>36.880-013</t>
  </si>
  <si>
    <t>76.535.764/0303-01</t>
  </si>
  <si>
    <t>R BENJAMIM CARNEIRO, 66, PARTE A</t>
  </si>
  <si>
    <t>PARACATU</t>
  </si>
  <si>
    <t>38.600-226</t>
  </si>
  <si>
    <t>76.535.764/0310-22</t>
  </si>
  <si>
    <t>R SETE DE SETEMBRO, 940</t>
  </si>
  <si>
    <t>PASSOS</t>
  </si>
  <si>
    <t>37.900-021</t>
  </si>
  <si>
    <t>76.535.764/0307-27</t>
  </si>
  <si>
    <t>AV OTAVIO CARNEIRO, 206</t>
  </si>
  <si>
    <t>SANTO ANTONIO</t>
  </si>
  <si>
    <t>PIRAPORA</t>
  </si>
  <si>
    <t>39.272-150</t>
  </si>
  <si>
    <t>76.535.764/0290-44</t>
  </si>
  <si>
    <t>AV FRANCISCO SALLES, 289, PARTE A</t>
  </si>
  <si>
    <t>POCOS DE CALDAS</t>
  </si>
  <si>
    <t>37.701-703</t>
  </si>
  <si>
    <t>76.535.764/0285-87</t>
  </si>
  <si>
    <t>R JOAO BASILIO, 403, PARTE A</t>
  </si>
  <si>
    <t>37.550-027</t>
  </si>
  <si>
    <t>76.535.764/0284-04</t>
  </si>
  <si>
    <t>D-00.05.01/9238</t>
  </si>
  <si>
    <t>R CORONEL JOSE JUSTINO, 647, PARTE A</t>
  </si>
  <si>
    <t>SAO LOURENCO</t>
  </si>
  <si>
    <t>37.470-000</t>
  </si>
  <si>
    <t>76.535.764/0337-42</t>
  </si>
  <si>
    <t>03.84449-8</t>
  </si>
  <si>
    <t xml:space="preserve">R ILKA FRANCA, 130, PARTE A </t>
  </si>
  <si>
    <t>SETE LAGOAS</t>
  </si>
  <si>
    <t>35.700-036</t>
  </si>
  <si>
    <t>76.535.764/0301-31</t>
  </si>
  <si>
    <t>170720/7078</t>
  </si>
  <si>
    <t>R GRAO MOGOL, 50, PARTE A</t>
  </si>
  <si>
    <t>TAIOBEIRAS</t>
  </si>
  <si>
    <t>39.550-000</t>
  </si>
  <si>
    <t>76.535.764/0319-60</t>
  </si>
  <si>
    <t>03-04-0009959</t>
  </si>
  <si>
    <t>R DOUTOR ONOFRE, 496, PARTE A</t>
  </si>
  <si>
    <t>TEOFILO OTONI</t>
  </si>
  <si>
    <t>39.800-022</t>
  </si>
  <si>
    <t>76.535.764/0293-97</t>
  </si>
  <si>
    <t>AV GOVERNADOR VALADARES, 903, PARTE A</t>
  </si>
  <si>
    <t>UBA</t>
  </si>
  <si>
    <t>36.500-107</t>
  </si>
  <si>
    <t>76.535.764/0311-03</t>
  </si>
  <si>
    <t>332.195-00</t>
  </si>
  <si>
    <t>R VIRGILIO CARRIJO, 450</t>
  </si>
  <si>
    <t>INDUSTRIAL</t>
  </si>
  <si>
    <t>UBERLANDIA</t>
  </si>
  <si>
    <t>38.402-248</t>
  </si>
  <si>
    <t>76.535.764/0287-49</t>
  </si>
  <si>
    <t>059399</t>
  </si>
  <si>
    <t>R SAO JOSE, 91 FUNDOS</t>
  </si>
  <si>
    <t>UNAI</t>
  </si>
  <si>
    <t>38.610-026</t>
  </si>
  <si>
    <t>76.535.764/0299-82</t>
  </si>
  <si>
    <t>R DELFIM MOREIRA, 407</t>
  </si>
  <si>
    <t>37.002-070</t>
  </si>
  <si>
    <t>76.535.764/0336-61</t>
  </si>
  <si>
    <t>81V/13</t>
  </si>
  <si>
    <t>R ESMERALDAS, 1296, PARTE A</t>
  </si>
  <si>
    <t>VARZEA DA PALMA</t>
  </si>
  <si>
    <t>39.260-000</t>
  </si>
  <si>
    <t>76.535.764/0235-18</t>
  </si>
  <si>
    <t>13.094.807-1 </t>
  </si>
  <si>
    <t>AV JOSE ESTEVAO TORQUATO DA SILVA, 1360, ANEXO D</t>
  </si>
  <si>
    <t>JARDIM VITORIA</t>
  </si>
  <si>
    <t>CUIABA</t>
  </si>
  <si>
    <t>78.055-731</t>
  </si>
  <si>
    <t>76.535.764/0237-80</t>
  </si>
  <si>
    <t xml:space="preserve">73405-0 </t>
  </si>
  <si>
    <t>ROD BR 316, 1906, GALPAO8 SETOR I KM 7</t>
  </si>
  <si>
    <t>ANANINDEUA</t>
  </si>
  <si>
    <t>67.030-000</t>
  </si>
  <si>
    <t>76.535.764/0277-77</t>
  </si>
  <si>
    <t>032.712-3</t>
  </si>
  <si>
    <t>ROD BR 101 SUL, KM 96,4, 5225, GP 03 M4</t>
  </si>
  <si>
    <t>DISTRITO INDUSTRIAL DIPER</t>
  </si>
  <si>
    <t>CABO DE SANTO AGOSTINHO</t>
  </si>
  <si>
    <t>54.503-900</t>
  </si>
  <si>
    <t>OP</t>
  </si>
  <si>
    <t>76.535.764/0282-34</t>
  </si>
  <si>
    <t>685.490-7</t>
  </si>
  <si>
    <t>R MARIA CAROLINA, 474, PARTE A</t>
  </si>
  <si>
    <t>BOA VIAGEM</t>
  </si>
  <si>
    <t>51.020-220</t>
  </si>
  <si>
    <t>76.535.764/0281-53</t>
  </si>
  <si>
    <t>AV CORONEL ANTONIO JAPIASSU, 701</t>
  </si>
  <si>
    <t>SÃO MIGUEL</t>
  </si>
  <si>
    <t>ARCOVERDE</t>
  </si>
  <si>
    <t>56.506-905</t>
  </si>
  <si>
    <t>76.535.764/0275-05</t>
  </si>
  <si>
    <t xml:space="preserve">R PADRE ROCHA, 210, PARTE A </t>
  </si>
  <si>
    <t>SAO JOSE</t>
  </si>
  <si>
    <t>CARPINA</t>
  </si>
  <si>
    <t>55.815-140</t>
  </si>
  <si>
    <t>76.535.764/0280-72</t>
  </si>
  <si>
    <t>361.368-2</t>
  </si>
  <si>
    <t>R MANOEL BORBA, 168, PARTE A</t>
  </si>
  <si>
    <t>GARANHUNS</t>
  </si>
  <si>
    <t>55.295-903</t>
  </si>
  <si>
    <t>76.535.764/0279-39</t>
  </si>
  <si>
    <t>R PACIFICO DA LUZ, 739, PARTE A</t>
  </si>
  <si>
    <t>PETROLINA</t>
  </si>
  <si>
    <t>56.304-010</t>
  </si>
  <si>
    <t>76.535.764/0276-96</t>
  </si>
  <si>
    <t>R CARLOS SOARES DE BRITO, 80, PARTE A</t>
  </si>
  <si>
    <t>SALGUEIRO</t>
  </si>
  <si>
    <t>56.000-000</t>
  </si>
  <si>
    <t>76.535.764/0246-70</t>
  </si>
  <si>
    <t>R SAO JOAO, 526, SALA PARTE A</t>
  </si>
  <si>
    <t>IRAPUA I</t>
  </si>
  <si>
    <t>FLORIANO</t>
  </si>
  <si>
    <t>64.800-360</t>
  </si>
  <si>
    <t>76.535.764/0247-51</t>
  </si>
  <si>
    <t xml:space="preserve">AV PRESIDENTE GETULIO VARGAS, 390, TERREOPARTE A </t>
  </si>
  <si>
    <t>NOSSA SENHORA DO CARMO</t>
  </si>
  <si>
    <t>PARNAIBA</t>
  </si>
  <si>
    <t>64.200-035</t>
  </si>
  <si>
    <t>76.535.764/0248-32</t>
  </si>
  <si>
    <t>R DO CRUZEIRO, 230, TERREO PARTE A</t>
  </si>
  <si>
    <t>BOMBA</t>
  </si>
  <si>
    <t>PICOS</t>
  </si>
  <si>
    <t>64.601-349</t>
  </si>
  <si>
    <t>76.535.764/0259-95</t>
  </si>
  <si>
    <t>90906732-43</t>
  </si>
  <si>
    <t>00 00 883.071-9</t>
  </si>
  <si>
    <t>R ESTRADA DA GRACIOSA, 870</t>
  </si>
  <si>
    <t>ATUBA</t>
  </si>
  <si>
    <t>82.840-360</t>
  </si>
  <si>
    <t>76.535.764/0253-08</t>
  </si>
  <si>
    <t>ATIVA-CENTRALIZADA</t>
  </si>
  <si>
    <t>ROD BR-467, 2302</t>
  </si>
  <si>
    <t>PERIOLO</t>
  </si>
  <si>
    <t>CASCAVEL</t>
  </si>
  <si>
    <t>85.817-012</t>
  </si>
  <si>
    <t>Habilitar Faturamento de material; Incluir RH no End;</t>
  </si>
  <si>
    <t>76.535.764/0251-38</t>
  </si>
  <si>
    <t>ROD PR-317, 3737, LOTE 34/A-2 REM.</t>
  </si>
  <si>
    <t>GLEBA RIBEIRAO PINGUIM</t>
  </si>
  <si>
    <t>MARINGA</t>
  </si>
  <si>
    <t>87.065-011</t>
  </si>
  <si>
    <t>End ok</t>
  </si>
  <si>
    <t>76.535.764/0249-13</t>
  </si>
  <si>
    <t>00 00 883.065-9</t>
  </si>
  <si>
    <t>AV MANOEL RIBAS, 115, CONJ 13 ANDAR 09 COND COSTA E SILVA ED PAL</t>
  </si>
  <si>
    <t>SAO FRANCISCO</t>
  </si>
  <si>
    <t>80.510-020</t>
  </si>
  <si>
    <t>76.535.764/0115-01</t>
  </si>
  <si>
    <t>1.257.065-1</t>
  </si>
  <si>
    <t>PC TIRADENTES, 00041, SAL 101 PARTE D</t>
  </si>
  <si>
    <t>20.060-070</t>
  </si>
  <si>
    <t>76.535.764/0184-33</t>
  </si>
  <si>
    <t>1.257.073-2</t>
  </si>
  <si>
    <t>ROD PRESIDENTE DUTRA, 02480, LOT 15 LTM 19373 GALPAO TERREO PARTE D</t>
  </si>
  <si>
    <t>21.535-502</t>
  </si>
  <si>
    <t>76.535.764/0108-82</t>
  </si>
  <si>
    <t>1.257.076-7</t>
  </si>
  <si>
    <t>EST MARECHAL MIGUEL SALAZAR M MORAES, 01409, SALA 101</t>
  </si>
  <si>
    <t>CIDADE DE DEUS</t>
  </si>
  <si>
    <t>22.770-333</t>
  </si>
  <si>
    <t>76.535.764/0125-83</t>
  </si>
  <si>
    <t>1.257.079-1</t>
  </si>
  <si>
    <t>R DOS LIMOEIROS, 00200, LOT 13 PAL 9827 PARTE D</t>
  </si>
  <si>
    <t>23.045-170</t>
  </si>
  <si>
    <t>76.535.764/0110-05</t>
  </si>
  <si>
    <t>EST RAUL VEIGA, 458, PARTE D</t>
  </si>
  <si>
    <t>RAUL VEIGA</t>
  </si>
  <si>
    <t>SÃO GONÇALO</t>
  </si>
  <si>
    <t>24.710-480</t>
  </si>
  <si>
    <t>76.535.764/0118-54</t>
  </si>
  <si>
    <t>R CARDEAL ARCO VERDE, 340, PARTE B</t>
  </si>
  <si>
    <t>PACHECO</t>
  </si>
  <si>
    <t>24.736-810</t>
  </si>
  <si>
    <t>76.535.764/0122-30</t>
  </si>
  <si>
    <t>R MOSELA, 1854, SALA 201</t>
  </si>
  <si>
    <t>MOSELA</t>
  </si>
  <si>
    <t>PETROPOLIS</t>
  </si>
  <si>
    <t>25.670-033</t>
  </si>
  <si>
    <t>76.535.764/0172-08</t>
  </si>
  <si>
    <t>R DOM PEDRO II, 74, PARTE D</t>
  </si>
  <si>
    <t>JARDIM IMPERIO</t>
  </si>
  <si>
    <t>NOVA IGUACU</t>
  </si>
  <si>
    <t>26.225-580</t>
  </si>
  <si>
    <t>76.535.764/0135-55</t>
  </si>
  <si>
    <t>76535764013555</t>
  </si>
  <si>
    <t>ROD PRESIDENTE DUTRA, 25551, BLOCO 1 SETOR A AREA A</t>
  </si>
  <si>
    <t>DISTRITO INDUSTRIAL</t>
  </si>
  <si>
    <t>QUEIMADOS</t>
  </si>
  <si>
    <t>26.373-320</t>
  </si>
  <si>
    <t>76.535.764/0117-73</t>
  </si>
  <si>
    <t>1.257.171-2</t>
  </si>
  <si>
    <t>R GENERAL BRUCE, 905, PARTE D</t>
  </si>
  <si>
    <t>SÃO CRISTOVÃO</t>
  </si>
  <si>
    <t>20.921-030</t>
  </si>
  <si>
    <t>76.535.764/0112-69</t>
  </si>
  <si>
    <t>AV TEIXEIRA E SOUZA, 1761, PARTE D</t>
  </si>
  <si>
    <t>CABO FRIO</t>
  </si>
  <si>
    <t>28.909-001</t>
  </si>
  <si>
    <t>End Oi em processo de venda/// Checar uso da Serede</t>
  </si>
  <si>
    <t>76.535.764/0145-27</t>
  </si>
  <si>
    <t>AV RAUL POMPEIA, 97, SALA 101</t>
  </si>
  <si>
    <t>ANGRA DOS REIS</t>
  </si>
  <si>
    <t>23.900-425</t>
  </si>
  <si>
    <t>76.535.764/0171-19</t>
  </si>
  <si>
    <t>AV GETULIO VARGAS, 111, SALA 201</t>
  </si>
  <si>
    <t>ARARUAMA</t>
  </si>
  <si>
    <t>28.970-000</t>
  </si>
  <si>
    <t>76.535.764/0173-80</t>
  </si>
  <si>
    <t>R PAULO DE FRONTIN, 99, SALA 215</t>
  </si>
  <si>
    <t>BARRA DO PIRAI</t>
  </si>
  <si>
    <t>27.123-120</t>
  </si>
  <si>
    <t>76.535.764/0170-38</t>
  </si>
  <si>
    <t>R RAUL VEIGA, 378, SALA 203</t>
  </si>
  <si>
    <t>28.907-090</t>
  </si>
  <si>
    <t>76.535.764/0128-26</t>
  </si>
  <si>
    <t>AV TREZE DE MAIO, 90, SALA 206</t>
  </si>
  <si>
    <t>CAMPOS DOS GOYTACAZES</t>
  </si>
  <si>
    <t>28.010-260</t>
  </si>
  <si>
    <t>Habilitar Faturamento de serviço na filial e material</t>
  </si>
  <si>
    <t>76.535.764/0130-40</t>
  </si>
  <si>
    <t>R CONDE DE PORTO ALEGRE, 515, SALA 201</t>
  </si>
  <si>
    <t>JARDIM 25 DE AGOSTO</t>
  </si>
  <si>
    <t>DUQUE DE CAXIAS</t>
  </si>
  <si>
    <t>25.070-350</t>
  </si>
  <si>
    <t>76.535.764/0185-14</t>
  </si>
  <si>
    <t>PENDENTE - AGUARDANDO AVCB PATRIMONIO - PREVISÃO 31/05/2025</t>
  </si>
  <si>
    <t>R GAL. QUINTINO BOCAIUVA, 194, SALA 101</t>
  </si>
  <si>
    <t>ITAGUAI</t>
  </si>
  <si>
    <t>23.815-310</t>
  </si>
  <si>
    <t>76.535.764/0153-37</t>
  </si>
  <si>
    <t>R DEZ DE MAIO, 512, SALA 201</t>
  </si>
  <si>
    <t>ITAPERUNA</t>
  </si>
  <si>
    <t>28.300-000</t>
  </si>
  <si>
    <t>76.535.764/0181-90</t>
  </si>
  <si>
    <t>R CESARIO DE MELLO, 60, SALA 101</t>
  </si>
  <si>
    <t>IBICUI</t>
  </si>
  <si>
    <t>MANGARATIBA</t>
  </si>
  <si>
    <t>23.860-000</t>
  </si>
  <si>
    <t>76.535.764/0164-90</t>
  </si>
  <si>
    <t>R BARAO DE MESQUITA, 4644</t>
  </si>
  <si>
    <t>MESQUITA</t>
  </si>
  <si>
    <t>26.553-150</t>
  </si>
  <si>
    <t>76.535.764/0134-74</t>
  </si>
  <si>
    <t>R SAO PEDRO, 128, SALA 501</t>
  </si>
  <si>
    <t>NITEROI</t>
  </si>
  <si>
    <t>24.020-055</t>
  </si>
  <si>
    <t>76.535.764/0167-32</t>
  </si>
  <si>
    <t>1024299011–7</t>
  </si>
  <si>
    <t>AV ALBERTO BRAUNE, 224, SALA 403</t>
  </si>
  <si>
    <t>NOVA FRIBURGO</t>
  </si>
  <si>
    <t>28.613-000</t>
  </si>
  <si>
    <t>76.535.764/0177-04</t>
  </si>
  <si>
    <t>PC DOUTOR SA EARP FILHO, 39, SALA 301</t>
  </si>
  <si>
    <t>25.620-180</t>
  </si>
  <si>
    <t>76.535.764/0182-71</t>
  </si>
  <si>
    <t>1.257.172-0</t>
  </si>
  <si>
    <t>EST DO PAU FERRO, 00067, SALA 101</t>
  </si>
  <si>
    <t>PECHINCHA</t>
  </si>
  <si>
    <t>22.743-050</t>
  </si>
  <si>
    <t>76.535.764/0188-67</t>
  </si>
  <si>
    <t>1.257.176-3</t>
  </si>
  <si>
    <t>R DOIS DE MAIO, 00353, SALA 101</t>
  </si>
  <si>
    <t>ENGENHO NOVO</t>
  </si>
  <si>
    <t>20.961-160</t>
  </si>
  <si>
    <t>76.535.764/0180-00</t>
  </si>
  <si>
    <t>1.257.185-2</t>
  </si>
  <si>
    <t>AV CESARIO DE MELO, 03040, SALA 301</t>
  </si>
  <si>
    <t>23.050-102</t>
  </si>
  <si>
    <t>76.535.764/0113-40</t>
  </si>
  <si>
    <t>1.257.186-0</t>
  </si>
  <si>
    <t>R GENERAL CANABARRO, 00215, SALA 301</t>
  </si>
  <si>
    <t>MARACANA</t>
  </si>
  <si>
    <t>20.271-202</t>
  </si>
  <si>
    <t>76.535.764/0174-61</t>
  </si>
  <si>
    <t>1.257.195-0</t>
  </si>
  <si>
    <t>R ZACARIAS DA SILVA, 00132, SALA 301</t>
  </si>
  <si>
    <t>BARRA DA TIJUCA</t>
  </si>
  <si>
    <t>22.793-190</t>
  </si>
  <si>
    <t>76.535.764/0151-75</t>
  </si>
  <si>
    <t>R JOAO CAETANO, 56, SALA 201</t>
  </si>
  <si>
    <t>ALCANTARA</t>
  </si>
  <si>
    <t>24.710-405</t>
  </si>
  <si>
    <t>76.535.764/0176-23</t>
  </si>
  <si>
    <t>R DOUTOR FRANCISCO PORTELA, 2603, SALA 301</t>
  </si>
  <si>
    <t>PATRONATO</t>
  </si>
  <si>
    <t>24.435-001</t>
  </si>
  <si>
    <t>76.535.764/0179-76</t>
  </si>
  <si>
    <t>AV AUTOMOVEL CLUBE, 2533, SALA 401</t>
  </si>
  <si>
    <t>VILAR DOS TELES</t>
  </si>
  <si>
    <t>SAO JOAO DE MERITI</t>
  </si>
  <si>
    <t>25.561-170</t>
  </si>
  <si>
    <t>76.535.764/0186-03</t>
  </si>
  <si>
    <t>AV GETULIO DE MOURA, 191, SALA 201</t>
  </si>
  <si>
    <t>25.520-661</t>
  </si>
  <si>
    <t>76.535.764/0165-70</t>
  </si>
  <si>
    <t>AV OLIVEIRA BOTELHO, 73, SALA 204</t>
  </si>
  <si>
    <t>ALTO</t>
  </si>
  <si>
    <t>TERESOPOLIS</t>
  </si>
  <si>
    <t>25.961-143</t>
  </si>
  <si>
    <t>76.535.764/0159-22</t>
  </si>
  <si>
    <t>AV ALMIRANTE LUCIO MEIRA, 77, SALA 304</t>
  </si>
  <si>
    <t>VARZEA</t>
  </si>
  <si>
    <t>25.953-000</t>
  </si>
  <si>
    <t>76.535.764/0146-08</t>
  </si>
  <si>
    <t>R BARAO DO RIO BRANCO, 284, SALA 295</t>
  </si>
  <si>
    <t>TRES RIOS</t>
  </si>
  <si>
    <t>25.804-010</t>
  </si>
  <si>
    <t>76.535.764/0183-52</t>
  </si>
  <si>
    <t xml:space="preserve">073.794/00–7 </t>
  </si>
  <si>
    <t>R 33, 36</t>
  </si>
  <si>
    <t>VILA SANTA CECILIA</t>
  </si>
  <si>
    <t>VOLTA REDONDA</t>
  </si>
  <si>
    <t>27.260-010</t>
  </si>
  <si>
    <t>76.535.764/0263-71</t>
  </si>
  <si>
    <t>20.550.812-0</t>
  </si>
  <si>
    <t>220.996-2</t>
  </si>
  <si>
    <t>R MORAIS NAVARRO, 2030, TERREO PARTE D</t>
  </si>
  <si>
    <t>LAGOA NOVA</t>
  </si>
  <si>
    <t>59.075-770</t>
  </si>
  <si>
    <t>76.535.764/0261-00</t>
  </si>
  <si>
    <t>20.550.810-3</t>
  </si>
  <si>
    <t>007132-3</t>
  </si>
  <si>
    <t>R RUA PROF GONZAGA GALVAO, 40, EDIF PARTE A</t>
  </si>
  <si>
    <t>CURRAIS NOVOS</t>
  </si>
  <si>
    <t>59.380-000</t>
  </si>
  <si>
    <t>76.535.764/0262-90</t>
  </si>
  <si>
    <t>20.550.811-1</t>
  </si>
  <si>
    <t>AV DIX-SEPT ROSADO, 56, ANDAR 3. ANDAR SALA 01</t>
  </si>
  <si>
    <t>MOSSORO</t>
  </si>
  <si>
    <t>59.600-050</t>
  </si>
  <si>
    <t>76.535.764/0264-52</t>
  </si>
  <si>
    <t>24.040079-3</t>
  </si>
  <si>
    <t>973981.5</t>
  </si>
  <si>
    <t>R LEONCIO BARBOSA, 1451, PARTE D</t>
  </si>
  <si>
    <t>TANCREDO NEVES</t>
  </si>
  <si>
    <t>69.313-508</t>
  </si>
  <si>
    <t>76.535.764/0266-14</t>
  </si>
  <si>
    <t>R JANUARIO COELHO DA COSTA, 110</t>
  </si>
  <si>
    <t>FRAGATA</t>
  </si>
  <si>
    <t>96.040-730</t>
  </si>
  <si>
    <t>76.535.764/0265-33</t>
  </si>
  <si>
    <t>AV PAUL HARRIS, 943, GALPAOPARTE 6</t>
  </si>
  <si>
    <t>ANA NERY</t>
  </si>
  <si>
    <t>SANTA CRUZ DO SUL</t>
  </si>
  <si>
    <t>96.840-075</t>
  </si>
  <si>
    <t>76.535.764/0268-86</t>
  </si>
  <si>
    <t>R ALWIN RUTZEN, 130, GALPAO PARTE D</t>
  </si>
  <si>
    <t>ITOUPAVAZINHA</t>
  </si>
  <si>
    <t>BLUMENAU</t>
  </si>
  <si>
    <t>89.066-345</t>
  </si>
  <si>
    <t>76.535.764/0267-03</t>
  </si>
  <si>
    <t>AV LEOPOLDO SANDER, 3911-E, SALA 01</t>
  </si>
  <si>
    <t>ENGENHO BRAUN</t>
  </si>
  <si>
    <t>CHAPECO</t>
  </si>
  <si>
    <t>89.809-300</t>
  </si>
  <si>
    <t>76.535.764/0269-67</t>
  </si>
  <si>
    <t xml:space="preserve">126153-7 </t>
  </si>
  <si>
    <t>R DR ARICIO GUIMARAES FORTES, 461, BLOCO B</t>
  </si>
  <si>
    <t>ATALAIA</t>
  </si>
  <si>
    <t>49.037-060</t>
  </si>
  <si>
    <t>76.535.764/0270-09</t>
  </si>
  <si>
    <t>6.676.197-2</t>
  </si>
  <si>
    <t>R RICARDO CAVATTON,166 LOTE C TERREOTERREO PARTE</t>
  </si>
  <si>
    <t>LAPA DE BAIXO</t>
  </si>
  <si>
    <t>05.038-110</t>
  </si>
  <si>
    <t>76.535.764/0196-77</t>
  </si>
  <si>
    <t>AV AMAZONAS, 2641, PARTE A</t>
  </si>
  <si>
    <t>BOCA DO ACRE</t>
  </si>
  <si>
    <t>69.850-000</t>
  </si>
  <si>
    <t>76.535.764/0209-26</t>
  </si>
  <si>
    <t>R PEDRO CELESTINO BASTOS, S/N, SALA A</t>
  </si>
  <si>
    <t>ALAGOINHAS</t>
  </si>
  <si>
    <t>48.010-970</t>
  </si>
  <si>
    <t>76.535.764/0214-93</t>
  </si>
  <si>
    <t>R ARTUR DINIZ VELOSO, 200, SALA A</t>
  </si>
  <si>
    <t>ESTAÇÃO</t>
  </si>
  <si>
    <t>JACOBINA</t>
  </si>
  <si>
    <t>44.700-000</t>
  </si>
  <si>
    <t>76.535.764/0213-02</t>
  </si>
  <si>
    <t>010.208/708-03</t>
  </si>
  <si>
    <t>TV DEPUTADO ADAO DE SOUZA, S/N, SALA A</t>
  </si>
  <si>
    <t>SANTA MARIA DA VITORIA</t>
  </si>
  <si>
    <t>47.640-000</t>
  </si>
  <si>
    <t>76.535.764/0233-56</t>
  </si>
  <si>
    <t>R BENEDITO LEITE, 925</t>
  </si>
  <si>
    <t>CAXIAS</t>
  </si>
  <si>
    <t>65.604-020</t>
  </si>
  <si>
    <t>76.535.764/0234-37</t>
  </si>
  <si>
    <t>3230-0</t>
  </si>
  <si>
    <t>R CUNHA MACHADO, SN, LOTE 66</t>
  </si>
  <si>
    <t>CHAPADINHA</t>
  </si>
  <si>
    <t>65.500-000</t>
  </si>
  <si>
    <t>76.535.764/0314-56</t>
  </si>
  <si>
    <t>PC FRANKLIN REZENDE, 417, PARTE A</t>
  </si>
  <si>
    <t>ARACUAI</t>
  </si>
  <si>
    <t>39.600-000</t>
  </si>
  <si>
    <t>76.535.764/0313-75</t>
  </si>
  <si>
    <t>13169-0</t>
  </si>
  <si>
    <t>AV GOVERNADOR VALADARES, 258, SALA A</t>
  </si>
  <si>
    <t>ARCOS</t>
  </si>
  <si>
    <t>35.588-000</t>
  </si>
  <si>
    <t>76.535.764/0312-94</t>
  </si>
  <si>
    <t>AV CAETANO MARINHO, 140, PARTE A</t>
  </si>
  <si>
    <t>PONTE NOVA</t>
  </si>
  <si>
    <t>35.430-001</t>
  </si>
  <si>
    <t>76.535.764/0239-41</t>
  </si>
  <si>
    <t>AV GOVERNADOR FERNANDO GUILHON, 151, PARTE A</t>
  </si>
  <si>
    <t>ITAITUBA</t>
  </si>
  <si>
    <t>68.180-110</t>
  </si>
  <si>
    <t>76.535.764/0240-85</t>
  </si>
  <si>
    <t>R MAXIMINO PORPINO DA SILVA, 1518, PARTE A</t>
  </si>
  <si>
    <t>CASTANHAL</t>
  </si>
  <si>
    <t>68.745-000</t>
  </si>
  <si>
    <t>76.535.764/0238-60</t>
  </si>
  <si>
    <t>Q ESPECIAL, S/N, PARTE A</t>
  </si>
  <si>
    <t>NOVA MARABA</t>
  </si>
  <si>
    <t>MARABA</t>
  </si>
  <si>
    <t>68.508-445</t>
  </si>
  <si>
    <t>76.535.764/0244-09</t>
  </si>
  <si>
    <t>R MONTE LIBANO, 96, PARTE A</t>
  </si>
  <si>
    <t>CELIO MIRANDA</t>
  </si>
  <si>
    <t>PARAGOMINAS</t>
  </si>
  <si>
    <t>68.625-035</t>
  </si>
  <si>
    <t>76.535.764/0241-66</t>
  </si>
  <si>
    <t>AV SAO SEBASTIAO, 913, PARTE A</t>
  </si>
  <si>
    <t>SANTA CLARA</t>
  </si>
  <si>
    <t>SANTAREM</t>
  </si>
  <si>
    <t>68.005-090</t>
  </si>
  <si>
    <t>76.535.764/0272-62</t>
  </si>
  <si>
    <t>AV MARECHAL FLORIANO PEIXOTO, 410, SETOR PARTE A</t>
  </si>
  <si>
    <t>CAMBINA GRANDE</t>
  </si>
  <si>
    <t>58.400-180</t>
  </si>
  <si>
    <t>76.535.764/0271-81</t>
  </si>
  <si>
    <t>R VISCONDE DE PELOTAS, 259, SALA 00001</t>
  </si>
  <si>
    <t>58.013-000</t>
  </si>
  <si>
    <t>76.535.764/0273-43</t>
  </si>
  <si>
    <t>16.373.191-8</t>
  </si>
  <si>
    <t>R PRESIDENTE EPITACIO PESSOA, 48, SETOR PARTE A</t>
  </si>
  <si>
    <t>PATOS</t>
  </si>
  <si>
    <t>58.700-020</t>
  </si>
  <si>
    <t>76.535.764/0274-24</t>
  </si>
  <si>
    <t>R OSCAR MARIANO DA SILVA, 82, PARTE A</t>
  </si>
  <si>
    <t>NOSSA SENHORA DAS DORES</t>
  </si>
  <si>
    <t>CARUARU</t>
  </si>
  <si>
    <t>55.002-901</t>
  </si>
  <si>
    <t>76.535.764/0192-43</t>
  </si>
  <si>
    <t>562431–2</t>
  </si>
  <si>
    <t>AV NILO PECANHA, 460, SALA 201</t>
  </si>
  <si>
    <t>26.215-512</t>
  </si>
  <si>
    <t>76.535.764/0189-48</t>
  </si>
  <si>
    <t>1.257.198-4</t>
  </si>
  <si>
    <t>R ALVARO ALBERTO, 00331, SALA 101</t>
  </si>
  <si>
    <t>SANTA CRUZ</t>
  </si>
  <si>
    <t>23.550-000</t>
  </si>
  <si>
    <t>76.535.764/0191-62</t>
  </si>
  <si>
    <t>1.257.210-7</t>
  </si>
  <si>
    <t>R URANOS, 01119, E 1125 SALA 202</t>
  </si>
  <si>
    <t>RAMOS</t>
  </si>
  <si>
    <t>21.060-425</t>
  </si>
  <si>
    <t>76.535.764/0190-81</t>
  </si>
  <si>
    <t>1.257.213-1</t>
  </si>
  <si>
    <t>R CAJAIBA V TERESINHA, 00245, LOT 1 PAL 33946 SALA 301</t>
  </si>
  <si>
    <t>PADRE MIGUEL</t>
  </si>
  <si>
    <t>21.715-390</t>
  </si>
  <si>
    <t>76.535.764/0348-03</t>
  </si>
  <si>
    <t>243.63491-9</t>
  </si>
  <si>
    <t>IE CENTRALIZADA E BAIXADA</t>
  </si>
  <si>
    <t>R FERNANDES LIMA,  519</t>
  </si>
  <si>
    <t>ARAPIRACA</t>
  </si>
  <si>
    <t>57.300-070</t>
  </si>
  <si>
    <t>76.535.764/0347-14</t>
  </si>
  <si>
    <t>R ILUMINATO LOBO, 156, SALA A</t>
  </si>
  <si>
    <t>BRUMADO</t>
  </si>
  <si>
    <t>46.100-000</t>
  </si>
  <si>
    <t>76.535.764/0346-33</t>
  </si>
  <si>
    <t>R SETE DE SETEMBRO, 181, SALA A</t>
  </si>
  <si>
    <t>ILHEUS</t>
  </si>
  <si>
    <t>45.653-555</t>
  </si>
  <si>
    <t>76.535.764/0343-90</t>
  </si>
  <si>
    <t>PC PADRE MATEUS, 227, SALA A</t>
  </si>
  <si>
    <t>SANTO ANTONIO DE JESUS</t>
  </si>
  <si>
    <t>44.430-178</t>
  </si>
  <si>
    <t xml:space="preserve"> 76.535.764/0344-71</t>
  </si>
  <si>
    <t>AV CARAIBAS, 525, SALA A</t>
  </si>
  <si>
    <t>IRECE</t>
  </si>
  <si>
    <t>44.900-000</t>
  </si>
  <si>
    <t>76.535.764/0345-52</t>
  </si>
  <si>
    <t>AV PAULO VI, 53, SALA A</t>
  </si>
  <si>
    <t>SEABRA</t>
  </si>
  <si>
    <t>46.900-000</t>
  </si>
  <si>
    <t>76.535.764/0349-86</t>
  </si>
  <si>
    <t>R RIO GRANDE DO NORTE, 740</t>
  </si>
  <si>
    <t>JUCARA</t>
  </si>
  <si>
    <t>IMPERATRIZ</t>
  </si>
  <si>
    <t>65.900-520</t>
  </si>
  <si>
    <t>76.535.764/0342-00</t>
  </si>
  <si>
    <t>R RAIMUNDO FRANCA, 40, QUADRA21 LOTE 40</t>
  </si>
  <si>
    <t>CAMPOS DANTAS</t>
  </si>
  <si>
    <t>PRESIDENTE DUTRA</t>
  </si>
  <si>
    <t>65.760-000</t>
  </si>
  <si>
    <t>76.535.764/0354-43</t>
  </si>
  <si>
    <t xml:space="preserve">ATIVA </t>
  </si>
  <si>
    <t>EST DE RIBAMAR, 222, LETRA B RODOVIA MA 201</t>
  </si>
  <si>
    <t>AURORA</t>
  </si>
  <si>
    <t>SÃO LUIS</t>
  </si>
  <si>
    <t>65.060-541</t>
  </si>
  <si>
    <t>76.535.764/0351-09</t>
  </si>
  <si>
    <t>AV PRES KENNEDY, 3660, GALPAO PARTE B</t>
  </si>
  <si>
    <t>ANO BOM</t>
  </si>
  <si>
    <t>BARRA MANSA</t>
  </si>
  <si>
    <t>27.325-001</t>
  </si>
  <si>
    <t>End Terceiros - a checar Serede locação // CA Serede</t>
  </si>
  <si>
    <t>76.535.764/0352-81</t>
  </si>
  <si>
    <t>29.508.261-5</t>
  </si>
  <si>
    <t>ROD TO-050, S/N, KM 07 LOTE GLEBA TIUBA ANEXO PARTE B</t>
  </si>
  <si>
    <t>CENTRO (TAQUARALTO)</t>
  </si>
  <si>
    <t>77.064-596</t>
  </si>
  <si>
    <t xml:space="preserve">76.535.764/0355-24 </t>
  </si>
  <si>
    <t>R MANOEL GOMES DE SOUZA, 35, SALA A</t>
  </si>
  <si>
    <t>SAO GOTARDO</t>
  </si>
  <si>
    <t>BOM JESUS DA LAPA</t>
  </si>
  <si>
    <t>47.600-000</t>
  </si>
  <si>
    <t>76.535.764/0363-34</t>
  </si>
  <si>
    <t>R DA PALMEIRA, 678, SALA A</t>
  </si>
  <si>
    <t>ITABERABA</t>
  </si>
  <si>
    <t>46.880-000</t>
  </si>
  <si>
    <t>76.535.764/0364-15</t>
  </si>
  <si>
    <t>AV DA MACONARIA, 350, SALA A</t>
  </si>
  <si>
    <t>PERPETUO SOCORRO</t>
  </si>
  <si>
    <t>PAULO AFONSO</t>
  </si>
  <si>
    <t>48.603-241</t>
  </si>
  <si>
    <t>76.535.764/0365-04</t>
  </si>
  <si>
    <t>R BELARMINO LINS, 550, PARTE A</t>
  </si>
  <si>
    <t>FONTE BOA</t>
  </si>
  <si>
    <t>69.670-000</t>
  </si>
  <si>
    <t>3390179833-6</t>
  </si>
  <si>
    <t>76.535.764/0366-87</t>
  </si>
  <si>
    <t>R TEIXEIRA DE GOUVEIA, 480, SALA 101</t>
  </si>
  <si>
    <t>MACAÉ</t>
  </si>
  <si>
    <t>27.910-110</t>
  </si>
  <si>
    <t>76.535.764/0068-50</t>
  </si>
  <si>
    <t>R VILAGRAN CABRITA, 1276</t>
  </si>
  <si>
    <t>JI-PARANA</t>
  </si>
  <si>
    <t>76.900-044</t>
  </si>
  <si>
    <t>4190194176-3</t>
  </si>
  <si>
    <t>76.535.764/0371-44</t>
  </si>
  <si>
    <t>R GENERAL OSORIO, 3442-  QUADRA 0008 - LOTE 0021 -TERREO - SALA 1</t>
  </si>
  <si>
    <t>85.801-110</t>
  </si>
  <si>
    <t>4190194172-1</t>
  </si>
  <si>
    <t>76.535.764/0367-68</t>
  </si>
  <si>
    <t>AV IRMAOS PEREIRA, 1031-TÉRREO - SALA 1.</t>
  </si>
  <si>
    <t>CAMPO MOURAO</t>
  </si>
  <si>
    <t>87.301-010</t>
  </si>
  <si>
    <t>4190194175-5</t>
  </si>
  <si>
    <t>76.535.764/0370-63</t>
  </si>
  <si>
    <t>R PROFESSOR JOAO CANDIDO, 556- TÉRREO SALA 1</t>
  </si>
  <si>
    <t xml:space="preserve">
86.010-000</t>
  </si>
  <si>
    <t>4190194173-9</t>
  </si>
  <si>
    <t>76.535.764/0368-49</t>
  </si>
  <si>
    <t xml:space="preserve">R NEO ALVES MARTINS, 2236- TERREO DT 5-6 </t>
  </si>
  <si>
    <t>ZONA 01</t>
  </si>
  <si>
    <t>87.013-930</t>
  </si>
  <si>
    <t>4190194174-7</t>
  </si>
  <si>
    <t>76.535.764/0369-20</t>
  </si>
  <si>
    <t>R SALDANHA MARINHO, 150-TERREO SALA 1</t>
  </si>
  <si>
    <t>PONTA GROSSA</t>
  </si>
  <si>
    <t>84.010-110</t>
  </si>
  <si>
    <t>3390182416-7</t>
  </si>
  <si>
    <t>76.535.764/0383-88</t>
  </si>
  <si>
    <t>1310770-0</t>
  </si>
  <si>
    <t>RUA MONSENHOR JERONIMO, 00146</t>
  </si>
  <si>
    <t>ENGENHO DE DENTRO</t>
  </si>
  <si>
    <t>20.730-110</t>
  </si>
  <si>
    <t>4392002492-6</t>
  </si>
  <si>
    <t>76.535.764/0372-25</t>
  </si>
  <si>
    <t xml:space="preserve"> R DOS ANDRADAS 688-SALA 102 - ANDAR 1°</t>
  </si>
  <si>
    <t>SANTO ANGELO</t>
  </si>
  <si>
    <t>98.803-430</t>
  </si>
  <si>
    <t>4392002493-4</t>
  </si>
  <si>
    <t>76.535.764/0373-06</t>
  </si>
  <si>
    <t>R CAPITAO ELEUTERIO 575 - SALA 102 - ANDAR 1</t>
  </si>
  <si>
    <t>PASSO FUNDO</t>
  </si>
  <si>
    <t>99.010-060</t>
  </si>
  <si>
    <t>4392002495-1</t>
  </si>
  <si>
    <t>76.535.764/0375-78</t>
  </si>
  <si>
    <t xml:space="preserve">R VENANCIO AIRES 1788-SALA 301 -  ANDAR 3° </t>
  </si>
  <si>
    <t xml:space="preserve">SANTA MARIA </t>
  </si>
  <si>
    <t>97.010-002</t>
  </si>
  <si>
    <t>4392002494-2</t>
  </si>
  <si>
    <t>76.535.764/0374-97</t>
  </si>
  <si>
    <t>R VINTE DE SETEMBRO 2048-SALA 201 - ANDAR 2°</t>
  </si>
  <si>
    <t>NOSSA SENHORA DE LOURDES</t>
  </si>
  <si>
    <t>CAXIAS DO SUL</t>
  </si>
  <si>
    <t>95.020-450</t>
  </si>
  <si>
    <t>4290205533-4</t>
  </si>
  <si>
    <t>76.535.764/0377-30</t>
  </si>
  <si>
    <t>AV. GETULIO VARGAS, 222-SALA 01 - TÉRREO</t>
  </si>
  <si>
    <t>CRICIUMA</t>
  </si>
  <si>
    <t>88.801-500</t>
  </si>
  <si>
    <t>4290205534-2</t>
  </si>
  <si>
    <t>76.535.764/0378-10</t>
  </si>
  <si>
    <t>R JOAO BAUER, 46-SALA 01 - TÉRREO</t>
  </si>
  <si>
    <t>ITAJAI</t>
  </si>
  <si>
    <t>88.301-500</t>
  </si>
  <si>
    <t>4290205535-1</t>
  </si>
  <si>
    <t>76.535.764/0379-00</t>
  </si>
  <si>
    <t>R MARECHAL JOSE B. BORMANN, 72-E-SALA 301 –  ANDAR 3°</t>
  </si>
  <si>
    <t>89.801-050</t>
  </si>
  <si>
    <t>4290205536-9</t>
  </si>
  <si>
    <t>76.535.764/0380-35</t>
  </si>
  <si>
    <t xml:space="preserve">R PRINCESA IZABEL, 457-SALA 101 –  ANDAR 1° </t>
  </si>
  <si>
    <t>JOINVILLE</t>
  </si>
  <si>
    <t>89.201-270</t>
  </si>
  <si>
    <t>End ok - V.tal</t>
  </si>
  <si>
    <t>4290205532-6</t>
  </si>
  <si>
    <t xml:space="preserve">76.535.764/0376-59 </t>
  </si>
  <si>
    <t>R URUGUAY, 271-SALA 101 – ANDAR 1°</t>
  </si>
  <si>
    <t>PONTA AGUDA</t>
  </si>
  <si>
    <t>89.050-060</t>
  </si>
  <si>
    <t>4290205537-7</t>
  </si>
  <si>
    <t>76.535.764/0381-16</t>
  </si>
  <si>
    <t>RUA PRESIDENTE NEREU RAMOS, 120-SALA 01 - 2° SUBSOLO</t>
  </si>
  <si>
    <t>LAGES</t>
  </si>
  <si>
    <t>88.502-170</t>
  </si>
  <si>
    <t>4290205538-5</t>
  </si>
  <si>
    <t>76.535.764/0382-05</t>
  </si>
  <si>
    <t>AVENIDA .JOSE ACACIO MOREIRA, 1591-SALA 01 - TÉRREO</t>
  </si>
  <si>
    <t>TUBARAO</t>
  </si>
  <si>
    <t>SANTA CATARINA</t>
  </si>
  <si>
    <t>88.704-557</t>
  </si>
  <si>
    <t>2990203244-0</t>
  </si>
  <si>
    <t>76.535.764/0398-64</t>
  </si>
  <si>
    <t>V ACESSO II BR324 , 178 QUADRA02 LOTE 52 GALPAO04 SALA 01</t>
  </si>
  <si>
    <t>CIA SUL</t>
  </si>
  <si>
    <t>SIMOES FILHO</t>
  </si>
  <si>
    <t>43.700-000</t>
  </si>
  <si>
    <t>04.014.081/0019-69</t>
  </si>
  <si>
    <t>132485-7</t>
  </si>
  <si>
    <t>R LAGARTO, 1176</t>
  </si>
  <si>
    <t>09.719.875/0002-01</t>
  </si>
  <si>
    <t>01.077.733/001-32</t>
  </si>
  <si>
    <t>09719875000201</t>
  </si>
  <si>
    <t>AVENIDA BRASIL,  381  SALA 07</t>
  </si>
  <si>
    <t>09.719.875/0003-84</t>
  </si>
  <si>
    <t>24026538-6</t>
  </si>
  <si>
    <t>RUA DOUTOR ZEFERINO RODRIGUES, 207  ANEXO SALA E</t>
  </si>
  <si>
    <t>POÇO</t>
  </si>
  <si>
    <t>57.025-043</t>
  </si>
  <si>
    <t>09.719.875/0004-65</t>
  </si>
  <si>
    <t>05.441.414-8</t>
  </si>
  <si>
    <t>AVENIDA EPHIGÊNIO SALLES, 700  TERREOSALA 08</t>
  </si>
  <si>
    <t>ADRIANÓPOLIS</t>
  </si>
  <si>
    <t>09.719.875/0005-46</t>
  </si>
  <si>
    <t>03.068324-6</t>
  </si>
  <si>
    <t>98402940838-0</t>
  </si>
  <si>
    <t>AVENIDA DUQUE DE CAXIAS, 106   SALA 06 ANDAR 1</t>
  </si>
  <si>
    <t>09.719.875/0006-27</t>
  </si>
  <si>
    <t>854.468/001-39</t>
  </si>
  <si>
    <t>R PROFESSOR HUGO BALTHAZAR DA SILVEIRA, 37, PAVMTO1 SALA 3</t>
  </si>
  <si>
    <t>09.719.875/0007-08</t>
  </si>
  <si>
    <t>07.054589-8</t>
  </si>
  <si>
    <t>722942-9</t>
  </si>
  <si>
    <t>AVENIDA DOMINGOS OLIMPIO, 2290 SALA 01 - REUNIÃO</t>
  </si>
  <si>
    <t>09.719.875/0008-99</t>
  </si>
  <si>
    <t>0810887800201</t>
  </si>
  <si>
    <t>Q 3 - SCN, S/N BLOCO A TERREOPARTE SALA 05</t>
  </si>
  <si>
    <t>09.719.875/0009-70</t>
  </si>
  <si>
    <t>083.859.84-5</t>
  </si>
  <si>
    <t>RUA DO ROSÁRIO, 150  SALA 08 - 8º ANDAR</t>
  </si>
  <si>
    <t>09.719.875/0010-03</t>
  </si>
  <si>
    <t>10.885730-1</t>
  </si>
  <si>
    <t>BR 153  - S/N  SALA 622 – 1º PAVIMENTO BLOCO 3</t>
  </si>
  <si>
    <t>FAZENDA BOTAFOGO</t>
  </si>
  <si>
    <t>74.850-681</t>
  </si>
  <si>
    <t>09.719.875/0011-94</t>
  </si>
  <si>
    <t>12.740237-3</t>
  </si>
  <si>
    <t>AVENIDA DANIEL DE LA TOUCHE, AREA 03 - LADO I, 31</t>
  </si>
  <si>
    <t>09.719.875/0012-75</t>
  </si>
  <si>
    <t>004244359.00-20</t>
  </si>
  <si>
    <t>PRAÇA MILTON CAMPOS, 16  SALA 04 - 4º ANDAR</t>
  </si>
  <si>
    <t>CRUZEIRO</t>
  </si>
  <si>
    <t>09.719.875/0013-56</t>
  </si>
  <si>
    <t>28.468.527-5</t>
  </si>
  <si>
    <t>0032321700-9</t>
  </si>
  <si>
    <t>09.719.875/0014-37</t>
  </si>
  <si>
    <t>13.916.549-5</t>
  </si>
  <si>
    <t>R BARÃO DE MELGAÇO, 3209 BAMO - 2º ANDAR – BLOCO A – SALA 02</t>
  </si>
  <si>
    <t>CENTRO-SUL</t>
  </si>
  <si>
    <t>09.719.875/0015-18</t>
  </si>
  <si>
    <t>15.812.334-4</t>
  </si>
  <si>
    <t xml:space="preserve">  26/01/2022 </t>
  </si>
  <si>
    <t>425.277-8</t>
  </si>
  <si>
    <t>TRAVESSA DOUTOR MORAES, 121 SALA 01 - TÉRREO</t>
  </si>
  <si>
    <t>66.035-080</t>
  </si>
  <si>
    <t>09.719.875/0016-07</t>
  </si>
  <si>
    <t>16.422.164-6</t>
  </si>
  <si>
    <t>207.198-3</t>
  </si>
  <si>
    <t>AV.INFANTE DOM HENRIQUE ,650 SALA 0001</t>
  </si>
  <si>
    <t>TAMBAÚ</t>
  </si>
  <si>
    <t>09.719.875/0017-80</t>
  </si>
  <si>
    <t>1016053-15</t>
  </si>
  <si>
    <t>747.082-7</t>
  </si>
  <si>
    <t>RUA JOAQUIM FELIPE, 168  3º ANDAR, SALA 3.2</t>
  </si>
  <si>
    <t xml:space="preserve">50.050-365   </t>
  </si>
  <si>
    <t xml:space="preserve">PI </t>
  </si>
  <si>
    <t>09.719.875/0018-60</t>
  </si>
  <si>
    <t>651.259-3</t>
  </si>
  <si>
    <t>AVENIDA FREI SERAFIM, 1782 6º ANDAR - SALA 1</t>
  </si>
  <si>
    <t>64.001-020</t>
  </si>
  <si>
    <t>09.719.875/0019-41</t>
  </si>
  <si>
    <t xml:space="preserve">90937682-37  </t>
  </si>
  <si>
    <t>993.094-4</t>
  </si>
  <si>
    <t>AVENIDA MANOEL RIBAS, 115 CONJ 16;ANDAR 12;COND COSTA E SILVA ED PAL</t>
  </si>
  <si>
    <t>09.719.875/0020-85</t>
  </si>
  <si>
    <t>1367379-9</t>
  </si>
  <si>
    <t>RUA DO LAVRADIO, 71 SALA 208</t>
  </si>
  <si>
    <t xml:space="preserve">20.230-070 </t>
  </si>
  <si>
    <t>09.719.875/0021-66</t>
  </si>
  <si>
    <t>20.599.123-8</t>
  </si>
  <si>
    <t xml:space="preserve">AV. PRUDENTE DE MORAIS, 757 </t>
  </si>
  <si>
    <t>59.020-904</t>
  </si>
  <si>
    <t>09.719.875/0022-47</t>
  </si>
  <si>
    <t>RUA DOM PEDRO II, 1213 SALA 08 - 1º ANDAR</t>
  </si>
  <si>
    <t>09.719.875/0023-28</t>
  </si>
  <si>
    <t>24.046031-4</t>
  </si>
  <si>
    <t>985008.2</t>
  </si>
  <si>
    <t>AVENIDA  CAPITÃO ENE GARCEZ, 130  SALA 06 - TÉRREO</t>
  </si>
  <si>
    <t>09.719.875/0024-09</t>
  </si>
  <si>
    <t>096/3897390</t>
  </si>
  <si>
    <t>323.123.2.6</t>
  </si>
  <si>
    <t>AV. BORGES DE MEDEIROS, 512 SALA 1201 - 12° ANDAR</t>
  </si>
  <si>
    <t xml:space="preserve">  CENTRO HISTORICO</t>
  </si>
  <si>
    <t>90.020-022</t>
  </si>
  <si>
    <t>09.719.875/0025-90</t>
  </si>
  <si>
    <t>26.149.739-1</t>
  </si>
  <si>
    <t>601.458-5</t>
  </si>
  <si>
    <t>RUA DESEMBARGADOR GIL COSTA, 605 SALA 01 - TÉRREO</t>
  </si>
  <si>
    <t xml:space="preserve">FLORIANÓPOLIS </t>
  </si>
  <si>
    <t>09.719.875/0026-70</t>
  </si>
  <si>
    <t>27.181.919-7</t>
  </si>
  <si>
    <t>134743-1</t>
  </si>
  <si>
    <t>RUA DO LAGARTO, 1176 , SALA 19</t>
  </si>
  <si>
    <t>09.719.875/0027-51</t>
  </si>
  <si>
    <t>29.519.428-6</t>
  </si>
  <si>
    <t>QUADRA 201 SUL (ACSU SO 20), AV. NSA, S/N, CONJ 02, LOTE 06 ANEXO 1 - SALA 11</t>
  </si>
  <si>
    <t xml:space="preserve">PALMAS </t>
  </si>
  <si>
    <t>SOBRESSALENTES</t>
  </si>
  <si>
    <t xml:space="preserve">OI S/A - EM RECUPERAÇÃO JUDICIAL </t>
  </si>
  <si>
    <t>76.535.764/0399-45</t>
  </si>
  <si>
    <t>240.28773-8</t>
  </si>
  <si>
    <t>0901616141</t>
  </si>
  <si>
    <t>R ARSENIO FORTES, 164</t>
  </si>
  <si>
    <t>PINHEIRO</t>
  </si>
  <si>
    <t xml:space="preserve">57.057-300   </t>
  </si>
  <si>
    <t>76.535.764/0400-13</t>
  </si>
  <si>
    <t>AV GETULIO VARGAS, 950</t>
  </si>
  <si>
    <t xml:space="preserve">69.020-010   </t>
  </si>
  <si>
    <t>76.535.764/0402-85</t>
  </si>
  <si>
    <t>1842800011</t>
  </si>
  <si>
    <t>ROD BR-381 FERNAO DIAS, S/N, GALPAO3 SETOR A KM 483 3</t>
  </si>
  <si>
    <t>DISTRITO INDUSTRIAL JARDIM
PIEMONT SUL</t>
  </si>
  <si>
    <t>BETIM</t>
  </si>
  <si>
    <t>32.669-895</t>
  </si>
  <si>
    <t>76.535.764/0401-02</t>
  </si>
  <si>
    <t>1.008.425-3</t>
  </si>
  <si>
    <t>AV ANITA GARIBALDI, 415</t>
  </si>
  <si>
    <t>AHU</t>
  </si>
  <si>
    <t>80.540-180</t>
  </si>
  <si>
    <t>76.535.764/0403-66</t>
  </si>
  <si>
    <t>R SATURNINO DE PADUA, 287</t>
  </si>
  <si>
    <t>MANOEL ALVES</t>
  </si>
  <si>
    <t>LAVRAS</t>
  </si>
  <si>
    <t>37.200-405</t>
  </si>
  <si>
    <t>2392003351-1</t>
  </si>
  <si>
    <t>04.014.081/0020-00</t>
  </si>
  <si>
    <t>848516-0</t>
  </si>
  <si>
    <t>AV PONTES VIEIRA 280, TERREO SALA 01</t>
  </si>
  <si>
    <t>SAO JOAO DO TAUAPE</t>
  </si>
  <si>
    <t>60.130-240</t>
  </si>
  <si>
    <t>04.014.081/0021-83</t>
  </si>
  <si>
    <t xml:space="preserve"> 07.463.681/003-19</t>
  </si>
  <si>
    <t>ST SHC/AO/S EA 6/8 AE 2 - S/N</t>
  </si>
  <si>
    <t>AREA OCTOGONAL</t>
  </si>
  <si>
    <t>70.660-685</t>
  </si>
  <si>
    <t>04.014.081/0022-64</t>
  </si>
  <si>
    <t>AV DANIEL DE LA TOUCHE, AREA 03 - LADO I, Nº 31</t>
  </si>
  <si>
    <t>SAO LUIS</t>
  </si>
  <si>
    <t>04.014.081/0023-45</t>
  </si>
  <si>
    <t>AV PRUDENTE DE MORAIS, 757</t>
  </si>
  <si>
    <t>59.020-505</t>
  </si>
  <si>
    <t>DEPÓSITO</t>
  </si>
  <si>
    <t>76.535.764/0404-47</t>
  </si>
  <si>
    <t>ROD PRESIDENTE DUTRA, S/N, KM 298 GALPAO A SALA OI</t>
  </si>
  <si>
    <t>POLO INDUSTRIAL I</t>
  </si>
  <si>
    <t>RESENDE</t>
  </si>
  <si>
    <t>27.537-000</t>
  </si>
  <si>
    <t>61.10-8-03</t>
  </si>
  <si>
    <t>CLIENT CO SERVICOS DE REDE CENTRO OESTE S.A.</t>
  </si>
  <si>
    <t>33.3.0035290-2</t>
  </si>
  <si>
    <t>54.104.224/0001-72</t>
  </si>
  <si>
    <t>1.517.061-1</t>
  </si>
  <si>
    <t>R CORREIA VASQUES, 69, 3 ANDAR SALA 304</t>
  </si>
  <si>
    <t xml:space="preserve">82.11-3-00  </t>
  </si>
  <si>
    <t>CLIENT CO SERVICOS DE REDE NORTE S.A.</t>
  </si>
  <si>
    <t>33.3.0035239-2</t>
  </si>
  <si>
    <t>53.420.538/0001-11</t>
  </si>
  <si>
    <t>1.509.832-5</t>
  </si>
  <si>
    <t>R CORREIA VASQUES, 69, 3 ANDAR SALA 301</t>
  </si>
  <si>
    <t>OI SERVICOS DE TELEVISAO POR ASSINATURA S.A</t>
  </si>
  <si>
    <t>33.3.0035193-1</t>
  </si>
  <si>
    <t>53.059.901/0001-15</t>
  </si>
  <si>
    <t>1.505.563-4</t>
  </si>
  <si>
    <t>R CORREIA VASQUES, 69, 3 ANDAR SALA 303</t>
  </si>
  <si>
    <t>TOWERCO 3 INFRAESTRUTURA E PARTICIPACOES S.A</t>
  </si>
  <si>
    <t>33.3.0035243-1</t>
  </si>
  <si>
    <t>53.420.963/0001-00</t>
  </si>
  <si>
    <t>1.509.868-6</t>
  </si>
  <si>
    <t>R CORREIA VASQUES, 69, 3 ANDAR SALA 305</t>
  </si>
  <si>
    <t>CLIENT CO SERVICOS DE REDE NORDESTE S.A.</t>
  </si>
  <si>
    <t>33.3.0035244-9</t>
  </si>
  <si>
    <t>53.420.564/0001-40</t>
  </si>
  <si>
    <t>1.509.820-1</t>
  </si>
  <si>
    <t>R CORREIA VASQUES, 69, 3 ANDAR SALA 302</t>
  </si>
  <si>
    <t>53.420.538/0002-00</t>
  </si>
  <si>
    <t>01.094.912/001-10</t>
  </si>
  <si>
    <t>AV BRASIL, 381, ANDAR 1 SALA 02</t>
  </si>
  <si>
    <t>82.11-3-00</t>
  </si>
  <si>
    <t>53.420.538/0003-83</t>
  </si>
  <si>
    <t>R DOM PEDRO II, 1213, ANDAR 1 MZNINOMEZANINO SALA 10</t>
  </si>
  <si>
    <t>76.801-102</t>
  </si>
  <si>
    <t>53.420.963/0002-91</t>
  </si>
  <si>
    <t>084.297.34-4</t>
  </si>
  <si>
    <t>132.817-2</t>
  </si>
  <si>
    <t>R DO ROSARIO, 150, ANDAR 8 SALA 801</t>
  </si>
  <si>
    <t>29.016-095</t>
  </si>
  <si>
    <t>54.104.224/0002-53</t>
  </si>
  <si>
    <t>20.162020-0</t>
  </si>
  <si>
    <t>R 3 C/7, 696, QUADRA08 LOTE 65/41/67 ANDAR 01 SALA 01</t>
  </si>
  <si>
    <t>SET CENTRAL</t>
  </si>
  <si>
    <t>74.030-071</t>
  </si>
  <si>
    <t>54.104.224/0003-34</t>
  </si>
  <si>
    <t>PC MILTON CAMPOS, 16, ANDAR 4 SALA 401</t>
  </si>
  <si>
    <t>53.059.901/0002-04</t>
  </si>
  <si>
    <t>91089689-04</t>
  </si>
  <si>
    <t>07 02 1.174.131-0</t>
  </si>
  <si>
    <t>R VISCONDE DE NACAR, 1421</t>
  </si>
  <si>
    <t>80.410-201</t>
  </si>
  <si>
    <t>53.059.901/0003-87</t>
  </si>
  <si>
    <t>R LAURO LINHARES, 1729, ANDAR 1 SALA 101</t>
  </si>
  <si>
    <t>TRINDADE</t>
  </si>
  <si>
    <t>FLORIANOPOLIS</t>
  </si>
  <si>
    <t>88.036-002</t>
  </si>
  <si>
    <t>53.420.564/0002-20</t>
  </si>
  <si>
    <t>068.414/001-50</t>
  </si>
  <si>
    <t>AV ANTONIO CARLOS MAGALHAES, 881, EDIF TELEMAR NORTE LESTE S/A BLOCO C PAVMTO 01 SALA 01</t>
  </si>
  <si>
    <t>ITAIGARA</t>
  </si>
  <si>
    <t>41.825-000</t>
  </si>
  <si>
    <t>53.420.564/0003-01</t>
  </si>
  <si>
    <t>07.198.256-6</t>
  </si>
  <si>
    <t>938623-8</t>
  </si>
  <si>
    <t>R SENA MADUREIRA, 1020, TERREO SALA 103</t>
  </si>
  <si>
    <t>60.055-080</t>
  </si>
  <si>
    <t>53.420.564/0004-92</t>
  </si>
  <si>
    <t>53.059.901/0004-68</t>
  </si>
  <si>
    <t>20.164357-0</t>
  </si>
  <si>
    <t>R 3 C/7, 696, QUADRA08 LOTE 65/41/67 ANDAR 4 SALA
401</t>
  </si>
  <si>
    <t>53.420.963/0003-72</t>
  </si>
  <si>
    <t>20.164362-6</t>
  </si>
  <si>
    <t>R 3 C/7, 696, QUADRA08 LOTE 65/41/67 ANDAR 4 SALA
402</t>
  </si>
  <si>
    <t>53.420.564/0006-54</t>
  </si>
  <si>
    <t xml:space="preserve"> 694.247-4</t>
  </si>
  <si>
    <t>AV FREI SERAFIM, 1782, ANDAR 5 SALA 501</t>
  </si>
  <si>
    <t>64.001-540</t>
  </si>
  <si>
    <t>53.420.564/0007-35</t>
  </si>
  <si>
    <t>096/4021072</t>
  </si>
  <si>
    <t>792.663.2.0</t>
  </si>
  <si>
    <t>AV PROTASIO ALVES, 4809, ANDAR 1 SALA 102</t>
  </si>
  <si>
    <t>BOM JESUS</t>
  </si>
  <si>
    <t>91.310-002</t>
  </si>
  <si>
    <t>53.420.564/0008-16</t>
  </si>
  <si>
    <t>15.973.629-3</t>
  </si>
  <si>
    <t>481.926-5</t>
  </si>
  <si>
    <t>TV DOUTOR MORAES, 121, SALA 02</t>
  </si>
  <si>
    <t>BELEM</t>
  </si>
  <si>
    <t>53.420.564/0009-05</t>
  </si>
  <si>
    <t>29.545.419-9</t>
  </si>
  <si>
    <t>Q ACSU SO 20 AVENIDA NS A, SN, CONJ 02 LOTE 06 ANEXO 1 ANDAR TERRO SALA 04</t>
  </si>
  <si>
    <t>53.420.564/0010-30</t>
  </si>
  <si>
    <t>PC MILTON CAMPOS, 16, ANDAR 4 SALA 402</t>
  </si>
  <si>
    <t>53.420.564/0011-11</t>
  </si>
  <si>
    <t>R LAURO LINHARES, 1729, ANDAR 1 SALA 102</t>
  </si>
  <si>
    <t>53.420.564/0012-00</t>
  </si>
  <si>
    <t>00000007045263</t>
  </si>
  <si>
    <t>R DOM PEDRO II, 1213, SALA 5</t>
  </si>
  <si>
    <t>53.420.564/0013-83</t>
  </si>
  <si>
    <t>01.095.663/001-17</t>
  </si>
  <si>
    <t>AV BRASIL, 381, TERREOSALA 01</t>
  </si>
  <si>
    <t>53.420.564/0014-64</t>
  </si>
  <si>
    <t>91103887-02</t>
  </si>
  <si>
    <t>07 02 1.180.408-0</t>
  </si>
  <si>
    <t>3290071601-7</t>
  </si>
  <si>
    <t>53.420.564/0015-45</t>
  </si>
  <si>
    <t>084.327.72-3</t>
  </si>
  <si>
    <t>132.967-4</t>
  </si>
  <si>
    <t>R DO ROSARIO, 150, ANDAR 1 E SALA 101</t>
  </si>
  <si>
    <t>04.014.081/0024-26</t>
  </si>
  <si>
    <t>694.315-2</t>
  </si>
  <si>
    <t>AV FREI SERAFIM, 1782, SALA 03</t>
  </si>
  <si>
    <t>53.420.564/0016-26</t>
  </si>
  <si>
    <t>14.075.446-6</t>
  </si>
  <si>
    <t>R VINTE E QUATRO DE OUTUBRO, 520, SALA</t>
  </si>
  <si>
    <t>CENTRO-NORTE</t>
  </si>
  <si>
    <t>78.005-330</t>
  </si>
  <si>
    <t>53.420.564/0017-07</t>
  </si>
  <si>
    <t>1190035-03</t>
  </si>
  <si>
    <t>852.328-2</t>
  </si>
  <si>
    <t>R ERNESTO DE PAULA SANTOS, 960, SALA 0102 EMP BOA VIAGEM</t>
  </si>
  <si>
    <t>51.021-330</t>
  </si>
  <si>
    <t>53.420.564/0018-98</t>
  </si>
  <si>
    <t>150.479.090.119</t>
  </si>
  <si>
    <t>1.463.570-4</t>
  </si>
  <si>
    <t>AV DAS NACOES UNIDAS, 12901, BLOCO A - TORRE NORTE</t>
  </si>
  <si>
    <t>BROOKLIN PAULISTA</t>
  </si>
  <si>
    <t>04.578-910</t>
  </si>
  <si>
    <t>53.420.564/0019-79</t>
  </si>
  <si>
    <t>24132439-4</t>
  </si>
  <si>
    <t>0901675775</t>
  </si>
  <si>
    <t>AV FERNANDES LIMA, 8, ANDAR 1 SALA 102</t>
  </si>
  <si>
    <t>FAROL</t>
  </si>
  <si>
    <t>57.050-000</t>
  </si>
  <si>
    <t>53.420.564/0020-02</t>
  </si>
  <si>
    <t>20.667.997-1</t>
  </si>
  <si>
    <t>R DOUTOR POTY NOBREGA, 1946, LOJA 1805 COND EMP INT TRADE CENTER</t>
  </si>
  <si>
    <t>59.056-180</t>
  </si>
  <si>
    <t>53.420.564/0021-93</t>
  </si>
  <si>
    <t>030773423</t>
  </si>
  <si>
    <t>AV CARAMURU, 1293</t>
  </si>
  <si>
    <t>BURITIZAL</t>
  </si>
  <si>
    <t>68.902-863</t>
  </si>
  <si>
    <t>53.420.564/0022-74</t>
  </si>
  <si>
    <t>24.055381-2</t>
  </si>
  <si>
    <t>374533.3</t>
  </si>
  <si>
    <t>AV GENERAL ATAIDE TEIVE, 832 - 1</t>
  </si>
  <si>
    <t>MECEJANA</t>
  </si>
  <si>
    <t>69.304-360</t>
  </si>
  <si>
    <t xml:space="preserve">82.11-3-00 </t>
  </si>
  <si>
    <t>53.420.538/0005-45</t>
  </si>
  <si>
    <t>084.349.95-6</t>
  </si>
  <si>
    <t>133.074-3</t>
  </si>
  <si>
    <t>R DO ROSARIO, 150, ANDAR 1 E SALA 102</t>
  </si>
  <si>
    <t xml:space="preserve"> 53.420.538/0006-26</t>
  </si>
  <si>
    <t>12.869.252-9</t>
  </si>
  <si>
    <t>AV DANIEL DE LA TOUCHE,AREA 03 - LADO I, 31</t>
  </si>
  <si>
    <t>53.420.538/0007-07</t>
  </si>
  <si>
    <t xml:space="preserve">005012004.00-34 </t>
  </si>
  <si>
    <t>PC MILTON CAMPOS, 16, ANDAR 4 ,SALA 403</t>
  </si>
  <si>
    <t>53.420.538/0008-98</t>
  </si>
  <si>
    <t>19.769.923-5</t>
  </si>
  <si>
    <t>695.941-5</t>
  </si>
  <si>
    <t>AV FREI SERAFIM, 1782, ANDAR 5 SALA 502</t>
  </si>
  <si>
    <t>53.420.538/0009-79</t>
  </si>
  <si>
    <t>R LAURO LINHARES, 1729, ANDAR 2 SALA 201</t>
  </si>
  <si>
    <t>53.420.538/0010-02</t>
  </si>
  <si>
    <t>29.545.508-0</t>
  </si>
  <si>
    <t>Q ACSU SO 20 AVENIDA NS A, SN, CONJ 02 LOTE 06 SALA 01 ANEXO 2 TERREO</t>
  </si>
  <si>
    <t>54920089067</t>
  </si>
  <si>
    <t>53.420.564/0024-36</t>
  </si>
  <si>
    <t>28.952.873-9</t>
  </si>
  <si>
    <t>0038996700-9</t>
  </si>
  <si>
    <t>R FAGUNDES VARELA, 477, SALA 4 - DT</t>
  </si>
  <si>
    <t>JARDIM SÃO BENTO</t>
  </si>
  <si>
    <t>79.004-200</t>
  </si>
  <si>
    <t>28900306487</t>
  </si>
  <si>
    <t>53.420.564/0025-17</t>
  </si>
  <si>
    <t>27.218.008-4</t>
  </si>
  <si>
    <t>163540-2</t>
  </si>
  <si>
    <t>R PADRE NESTOR SAMPAIO, 140</t>
  </si>
  <si>
    <t>LUZIA</t>
  </si>
  <si>
    <t>49.045-015</t>
  </si>
  <si>
    <t>53.420.538/0013-55</t>
  </si>
  <si>
    <t>IE dispensada</t>
  </si>
  <si>
    <t>374692.5</t>
  </si>
  <si>
    <t>AV GENERAL ATAIDE TEIVE, 832 - 2</t>
  </si>
  <si>
    <t>53.420.538/0017-89</t>
  </si>
  <si>
    <t>27.218.602-3    </t>
  </si>
  <si>
    <t>163832-0     </t>
  </si>
  <si>
    <t>53.420.538/0016-06</t>
  </si>
  <si>
    <t>28.952.871-2</t>
  </si>
  <si>
    <t>0039008300-9</t>
  </si>
  <si>
    <t>R FAGUNDES VARELA, 477, SALA 5 - DT</t>
  </si>
  <si>
    <t>53.420.538/0015-17</t>
  </si>
  <si>
    <t>852.223.2.1</t>
  </si>
  <si>
    <t>AV PROTASIO ALVES, 4809, ANDAR 1 SALA 103</t>
  </si>
  <si>
    <t>91.420-077</t>
  </si>
  <si>
    <t>53.420.538/0011-93</t>
  </si>
  <si>
    <t>0901676898</t>
  </si>
  <si>
    <t>AV FERNANDES LIMA, 8, ANDAR 1 SALA 102/02</t>
  </si>
  <si>
    <t>53.420.538/0012-74</t>
  </si>
  <si>
    <t>03.077678-3</t>
  </si>
  <si>
    <t>AV CARAMURU, 1293A, SALA 9</t>
  </si>
  <si>
    <t>53.420.538/0014-36</t>
  </si>
  <si>
    <t>952281-6</t>
  </si>
  <si>
    <t>R SENA MADUREIRA, 1020, TERREO SALA 102</t>
  </si>
  <si>
    <t>53.420.538/0019-40</t>
  </si>
  <si>
    <t>486.999-7</t>
  </si>
  <si>
    <t>TV DOUTOR MORAES, 121, SALA 01</t>
  </si>
  <si>
    <t>53.420.538/0018-60</t>
  </si>
  <si>
    <t>91095474-14</t>
  </si>
  <si>
    <t>17 12 1.188.946-0</t>
  </si>
  <si>
    <t>53.420.564/0026-06</t>
  </si>
  <si>
    <t>05.470.168-6</t>
  </si>
  <si>
    <t>AV RODRIGO OTAVIO, 4350, ANDAR 1 SALA 03-B CONJ 31 DE MARCO</t>
  </si>
  <si>
    <t>JAPIIM</t>
  </si>
  <si>
    <t>69.077-000</t>
  </si>
  <si>
    <t>04.014.081/0025-07</t>
  </si>
  <si>
    <t>1.500.323-0</t>
  </si>
  <si>
    <t>R JULIO GONZALEZ, 132, ANDAR 13 ANDAR</t>
  </si>
  <si>
    <t>BARRA FUNDA</t>
  </si>
  <si>
    <t>01.156-060</t>
  </si>
  <si>
    <t>53.420.564/0027-89</t>
  </si>
  <si>
    <t>16.506.566-4</t>
  </si>
  <si>
    <t>AV MARECHAL FLORIANO PEIXOTO, 410, ANDAR 2 SALA 204</t>
  </si>
  <si>
    <t>CAMPINA GRANDE</t>
  </si>
  <si>
    <t>53.420.538/0020-84</t>
  </si>
  <si>
    <t>025.858/001-84</t>
  </si>
  <si>
    <t>AV ANTONIO CARLOS MAGALHAES, 881, EDIF TELEMAR NORTE LESTE S/A BLOCO C PAVMTO 01 SALA 02</t>
  </si>
  <si>
    <t>53.420.538/0021-65</t>
  </si>
  <si>
    <t>854.759-9</t>
  </si>
  <si>
    <t>53.420.538/0022-46</t>
  </si>
  <si>
    <t>20.670.698-7</t>
  </si>
  <si>
    <t>53.420.538/0023-27</t>
  </si>
  <si>
    <t>1.507.336-0</t>
  </si>
  <si>
    <t>AV DAS NACOES UNIDAS, 12901, BLOCO A - TR NORTE 24-147</t>
  </si>
  <si>
    <t>53.420.538/0025-99</t>
  </si>
  <si>
    <t>AV MARECHAL FLORIANO PEIXOTO, 410, ANDAR 1 SALA 110</t>
  </si>
  <si>
    <t>53.420.538/0026-70</t>
  </si>
  <si>
    <t>R VINTE E QUATRO DE OUTUBRO, 520,SALA 08 PATIO COWORKING</t>
  </si>
  <si>
    <t>GOIABEIRA</t>
  </si>
  <si>
    <t>78.032-005</t>
  </si>
  <si>
    <t>53.420.538/0027-50</t>
  </si>
  <si>
    <t>R DO PARQUE, 361, QUADRA145 LOTE AREA 3 - MASTER 2</t>
  </si>
  <si>
    <t>JD ATLANTICO</t>
  </si>
  <si>
    <t>74.343-245</t>
  </si>
  <si>
    <t>53.420.564/0028-60</t>
  </si>
  <si>
    <t>20.195689-6</t>
  </si>
  <si>
    <t>R DO PARQUE, 361, QUADRA145 LOTE AREA 3 SALA 01 - TERREO</t>
  </si>
  <si>
    <t>53.420.538/0028-31</t>
  </si>
  <si>
    <t>R DIAMANTE, 278, CONJ RESID MANAUENSE</t>
  </si>
  <si>
    <t>NOSSA SENHORA DAS GRACAS</t>
  </si>
  <si>
    <t>69.053-700</t>
  </si>
  <si>
    <t>53.420.564/0029-40</t>
  </si>
  <si>
    <t>0833783300155</t>
  </si>
  <si>
    <t>ST SCN QUADRA 03, S/N, BLOCO A TERREOPARTE SALA B</t>
  </si>
  <si>
    <t>53.420.538/0029-12</t>
  </si>
  <si>
    <t>0833786600150</t>
  </si>
  <si>
    <t>ST SCN QUADRA 03, S/N, BLOCO A TERREOPARTE SALA A</t>
  </si>
  <si>
    <t>53.420.564/0030-84</t>
  </si>
  <si>
    <t>24.055435-5</t>
  </si>
  <si>
    <t>375397.2</t>
  </si>
  <si>
    <t>R LEONCIO BARBOSA, 1451, BLOCO A PAVMTO1 SALA 2</t>
  </si>
  <si>
    <t>68.10-2-01</t>
  </si>
  <si>
    <t>TOWERCO 2 INFRAESTRUTURA E PARTICIPACOES S.A.</t>
  </si>
  <si>
    <t>54.144.419/0001-46</t>
  </si>
  <si>
    <t>15.209.12-7</t>
  </si>
  <si>
    <t xml:space="preserve">1.517.768-3 </t>
  </si>
  <si>
    <t>R CORREIA VASQUES, 69, 3 ANDAR SALA 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</si>
</sst>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 tint="-4.9989318521683403E-2"/>
      <name val="Calibri"/>
      <family val="2"/>
    </font>
    <font>
      <b/>
      <sz val="14"/>
      <color rgb="FFFFFFFF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0"/>
      <name val="Calibri"/>
      <family val="2"/>
    </font>
    <font>
      <sz val="16"/>
      <color rgb="FFFF0000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/>
    <xf numFmtId="0" fontId="0" fillId="4" borderId="0" xfId="0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vertical="center"/>
    </xf>
    <xf numFmtId="0" fontId="3" fillId="0" borderId="0" xfId="0" applyFont="1"/>
    <xf numFmtId="0" fontId="7" fillId="0" borderId="2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" fontId="8" fillId="0" borderId="0" xfId="1" applyNumberFormat="1" applyFont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 wrapText="1"/>
    </xf>
    <xf numFmtId="0" fontId="7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14" fontId="7" fillId="0" borderId="2" xfId="0" applyNumberFormat="1" applyFont="1" applyBorder="1" applyAlignment="1">
      <alignment horizontal="center" vertical="center"/>
    </xf>
    <xf numFmtId="0" fontId="0" fillId="0" borderId="2" xfId="0" applyFont="1" applyBorder="1"/>
    <xf numFmtId="1" fontId="7" fillId="0" borderId="2" xfId="0" applyNumberFormat="1" applyFont="1" applyBorder="1" applyAlignment="1">
      <alignment horizontal="center" vertical="center"/>
    </xf>
    <xf numFmtId="14" fontId="0" fillId="0" borderId="2" xfId="0" applyNumberFormat="1" applyFont="1" applyBorder="1"/>
    <xf numFmtId="1" fontId="7" fillId="0" borderId="2" xfId="0" quotePrefix="1" applyNumberFormat="1" applyFont="1" applyBorder="1" applyAlignment="1">
      <alignment horizontal="center" vertical="center"/>
    </xf>
    <xf numFmtId="0" fontId="0" fillId="0" borderId="0" xfId="0" applyFont="1"/>
    <xf numFmtId="164" fontId="7" fillId="0" borderId="2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 wrapText="1"/>
    </xf>
    <xf numFmtId="0" fontId="9" fillId="3" borderId="0" xfId="0" applyFont="1" applyFill="1"/>
    <xf numFmtId="0" fontId="11" fillId="3" borderId="0" xfId="0" applyFont="1" applyFill="1"/>
    <xf numFmtId="3" fontId="7" fillId="0" borderId="2" xfId="0" applyNumberFormat="1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 wrapText="1"/>
    </xf>
    <xf numFmtId="0" fontId="11" fillId="0" borderId="0" xfId="0" applyFont="1"/>
    <xf numFmtId="2" fontId="7" fillId="0" borderId="2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wrapText="1"/>
    </xf>
    <xf numFmtId="14" fontId="7" fillId="0" borderId="2" xfId="0" quotePrefix="1" applyNumberFormat="1" applyFont="1" applyBorder="1" applyAlignment="1">
      <alignment horizontal="center" vertical="center" wrapText="1"/>
    </xf>
    <xf numFmtId="0" fontId="9" fillId="6" borderId="0" xfId="0" applyFont="1" applyFill="1" applyAlignment="1">
      <alignment horizontal="center" wrapText="1"/>
    </xf>
    <xf numFmtId="0" fontId="16" fillId="0" borderId="2" xfId="0" applyFont="1" applyBorder="1" applyAlignment="1">
      <alignment horizontal="center" vertical="center" wrapText="1"/>
    </xf>
    <xf numFmtId="0" fontId="9" fillId="0" borderId="2" xfId="0" applyFont="1" applyBorder="1"/>
    <xf numFmtId="14" fontId="9" fillId="0" borderId="2" xfId="0" applyNumberFormat="1" applyFont="1" applyBorder="1"/>
    <xf numFmtId="1" fontId="7" fillId="0" borderId="2" xfId="0" quotePrefix="1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left" vertical="center"/>
    </xf>
    <xf numFmtId="3" fontId="10" fillId="0" borderId="2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N2_Painel%20de%20filiais_Abertura_25.04.2025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CONTABEIS\2009\CONSOLIDACAO\BRT\CONSULTA%20DE%20SALD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 de filiais"/>
      <sheetName val="CNPJ Consolidado"/>
      <sheetName val="Painel Oi - BN2 Novo"/>
      <sheetName val="Estratégia B"/>
      <sheetName val="Plano de Ação"/>
      <sheetName val="End CA Abrir Filial - PA 06"/>
      <sheetName val="End CA Lotação"/>
      <sheetName val="End Fat Material - PA 12"/>
      <sheetName val="End Fat Serviço - PA 15 e 16"/>
      <sheetName val="End Obrig Acessoria - PA 03 "/>
      <sheetName val="CNPJ Oi - Carga SAP PA 13 17 20"/>
      <sheetName val="CNPJ Oi - Carga SAP ATF 31.03"/>
      <sheetName val="CNPJ Oi Tratamento 04 14 18 19"/>
      <sheetName val="RH - PARA 21.03"/>
      <sheetName val="BASÃO Serede"/>
      <sheetName val="RH - PARA"/>
      <sheetName val="CNPJ Oi Fat"/>
      <sheetName val="End Logística Oi"/>
      <sheetName val="CNPJ Consolidado Oi"/>
      <sheetName val="CNPJ Consolidado Oi 08.04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L3">
            <v>83</v>
          </cell>
        </row>
        <row r="4">
          <cell r="L4">
            <v>84</v>
          </cell>
        </row>
        <row r="5">
          <cell r="L5">
            <v>15</v>
          </cell>
        </row>
        <row r="6">
          <cell r="L6">
            <v>88</v>
          </cell>
        </row>
        <row r="7">
          <cell r="L7">
            <v>13</v>
          </cell>
        </row>
        <row r="8">
          <cell r="L8">
            <v>89</v>
          </cell>
        </row>
        <row r="9">
          <cell r="L9">
            <v>95</v>
          </cell>
        </row>
        <row r="10">
          <cell r="L10">
            <v>247</v>
          </cell>
        </row>
        <row r="11">
          <cell r="L11">
            <v>155</v>
          </cell>
        </row>
        <row r="12">
          <cell r="L12">
            <v>2</v>
          </cell>
        </row>
        <row r="13">
          <cell r="L13">
            <v>167</v>
          </cell>
        </row>
        <row r="14">
          <cell r="L14">
            <v>235</v>
          </cell>
        </row>
        <row r="15">
          <cell r="L15">
            <v>174</v>
          </cell>
        </row>
        <row r="16">
          <cell r="L16">
            <v>207</v>
          </cell>
        </row>
        <row r="17">
          <cell r="L17">
            <v>16</v>
          </cell>
        </row>
        <row r="18">
          <cell r="L18">
            <v>210</v>
          </cell>
        </row>
        <row r="19">
          <cell r="L19">
            <v>211</v>
          </cell>
        </row>
        <row r="20">
          <cell r="L20">
            <v>213</v>
          </cell>
        </row>
        <row r="21">
          <cell r="L21">
            <v>9</v>
          </cell>
        </row>
        <row r="22">
          <cell r="L22">
            <v>9</v>
          </cell>
        </row>
        <row r="23">
          <cell r="L23">
            <v>215</v>
          </cell>
        </row>
        <row r="24">
          <cell r="L24">
            <v>23</v>
          </cell>
        </row>
        <row r="25">
          <cell r="L25">
            <v>23</v>
          </cell>
        </row>
        <row r="26">
          <cell r="L26">
            <v>273</v>
          </cell>
        </row>
        <row r="27">
          <cell r="L27">
            <v>12</v>
          </cell>
        </row>
        <row r="28">
          <cell r="L28">
            <v>156</v>
          </cell>
        </row>
        <row r="29">
          <cell r="L29">
            <v>26</v>
          </cell>
        </row>
        <row r="30">
          <cell r="L30">
            <v>8</v>
          </cell>
        </row>
        <row r="31">
          <cell r="L31">
            <v>168</v>
          </cell>
        </row>
        <row r="32">
          <cell r="L32">
            <v>8</v>
          </cell>
        </row>
        <row r="33">
          <cell r="L33">
            <v>41</v>
          </cell>
        </row>
        <row r="34">
          <cell r="L34">
            <v>248</v>
          </cell>
        </row>
        <row r="35">
          <cell r="L35">
            <v>211</v>
          </cell>
        </row>
        <row r="36">
          <cell r="L36">
            <v>25</v>
          </cell>
        </row>
      </sheetData>
      <sheetData sheetId="7">
        <row r="3">
          <cell r="K3">
            <v>83</v>
          </cell>
        </row>
        <row r="4">
          <cell r="K4">
            <v>84</v>
          </cell>
        </row>
        <row r="5">
          <cell r="K5">
            <v>15</v>
          </cell>
        </row>
        <row r="6">
          <cell r="K6">
            <v>13</v>
          </cell>
        </row>
        <row r="7">
          <cell r="K7">
            <v>88</v>
          </cell>
        </row>
        <row r="8">
          <cell r="K8">
            <v>273</v>
          </cell>
        </row>
        <row r="9">
          <cell r="K9">
            <v>23</v>
          </cell>
        </row>
        <row r="10">
          <cell r="K10">
            <v>23</v>
          </cell>
        </row>
        <row r="11">
          <cell r="K11">
            <v>89</v>
          </cell>
        </row>
        <row r="12">
          <cell r="K12" t="str">
            <v/>
          </cell>
        </row>
        <row r="13">
          <cell r="K13">
            <v>95</v>
          </cell>
        </row>
        <row r="14">
          <cell r="K14" t="str">
            <v/>
          </cell>
        </row>
        <row r="15">
          <cell r="K15" t="str">
            <v/>
          </cell>
        </row>
        <row r="16">
          <cell r="K16">
            <v>247</v>
          </cell>
        </row>
        <row r="17">
          <cell r="K17" t="str">
            <v/>
          </cell>
        </row>
        <row r="18">
          <cell r="K18">
            <v>155</v>
          </cell>
        </row>
        <row r="19">
          <cell r="K19">
            <v>2</v>
          </cell>
        </row>
        <row r="21">
          <cell r="K21">
            <v>12</v>
          </cell>
        </row>
        <row r="22">
          <cell r="K22">
            <v>156</v>
          </cell>
        </row>
        <row r="23">
          <cell r="K23">
            <v>156</v>
          </cell>
        </row>
        <row r="24">
          <cell r="K24">
            <v>26</v>
          </cell>
        </row>
        <row r="25">
          <cell r="K25">
            <v>167</v>
          </cell>
        </row>
        <row r="26">
          <cell r="K26">
            <v>8</v>
          </cell>
        </row>
        <row r="27">
          <cell r="K27">
            <v>8</v>
          </cell>
        </row>
        <row r="28">
          <cell r="K28">
            <v>168</v>
          </cell>
        </row>
        <row r="31">
          <cell r="K31">
            <v>248</v>
          </cell>
        </row>
        <row r="32">
          <cell r="K32">
            <v>180</v>
          </cell>
        </row>
        <row r="33">
          <cell r="K33">
            <v>185</v>
          </cell>
        </row>
        <row r="34">
          <cell r="K34">
            <v>186</v>
          </cell>
        </row>
        <row r="36">
          <cell r="K36">
            <v>191</v>
          </cell>
        </row>
        <row r="37">
          <cell r="K37">
            <v>235</v>
          </cell>
        </row>
        <row r="44">
          <cell r="K44">
            <v>41</v>
          </cell>
        </row>
        <row r="45">
          <cell r="K45">
            <v>41</v>
          </cell>
        </row>
        <row r="48">
          <cell r="K48">
            <v>174</v>
          </cell>
        </row>
        <row r="49">
          <cell r="K49">
            <v>207</v>
          </cell>
        </row>
        <row r="50">
          <cell r="K50">
            <v>16</v>
          </cell>
        </row>
        <row r="51">
          <cell r="K51">
            <v>210</v>
          </cell>
        </row>
        <row r="52">
          <cell r="K52" t="str">
            <v/>
          </cell>
        </row>
        <row r="53">
          <cell r="K53">
            <v>18</v>
          </cell>
        </row>
        <row r="54">
          <cell r="K54" t="str">
            <v/>
          </cell>
        </row>
        <row r="55">
          <cell r="K55">
            <v>211</v>
          </cell>
        </row>
        <row r="56">
          <cell r="K56" t="str">
            <v/>
          </cell>
        </row>
        <row r="58">
          <cell r="K58">
            <v>213</v>
          </cell>
        </row>
        <row r="59">
          <cell r="K59" t="str">
            <v/>
          </cell>
        </row>
        <row r="60">
          <cell r="K60">
            <v>9</v>
          </cell>
        </row>
        <row r="61">
          <cell r="K61">
            <v>9</v>
          </cell>
        </row>
        <row r="62">
          <cell r="K62">
            <v>269</v>
          </cell>
        </row>
        <row r="63">
          <cell r="K63">
            <v>215</v>
          </cell>
        </row>
        <row r="64">
          <cell r="K64">
            <v>25</v>
          </cell>
        </row>
      </sheetData>
      <sheetData sheetId="8">
        <row r="3">
          <cell r="K3">
            <v>83</v>
          </cell>
        </row>
        <row r="4">
          <cell r="K4">
            <v>84</v>
          </cell>
        </row>
        <row r="5">
          <cell r="K5">
            <v>88</v>
          </cell>
        </row>
        <row r="6">
          <cell r="K6">
            <v>95</v>
          </cell>
        </row>
        <row r="7">
          <cell r="K7">
            <v>247</v>
          </cell>
        </row>
        <row r="8">
          <cell r="K8">
            <v>155</v>
          </cell>
        </row>
        <row r="9">
          <cell r="K9">
            <v>12</v>
          </cell>
        </row>
        <row r="10">
          <cell r="K10">
            <v>156</v>
          </cell>
        </row>
        <row r="11">
          <cell r="K11">
            <v>26</v>
          </cell>
        </row>
        <row r="12">
          <cell r="K12">
            <v>8</v>
          </cell>
        </row>
        <row r="13">
          <cell r="K13">
            <v>248</v>
          </cell>
        </row>
        <row r="14">
          <cell r="K14">
            <v>180</v>
          </cell>
        </row>
        <row r="15">
          <cell r="K15">
            <v>185</v>
          </cell>
        </row>
        <row r="16">
          <cell r="K16">
            <v>186</v>
          </cell>
        </row>
        <row r="17">
          <cell r="K17">
            <v>191</v>
          </cell>
        </row>
        <row r="18">
          <cell r="K18">
            <v>235</v>
          </cell>
        </row>
        <row r="19">
          <cell r="K19">
            <v>41</v>
          </cell>
        </row>
        <row r="20">
          <cell r="K20">
            <v>207</v>
          </cell>
        </row>
        <row r="21">
          <cell r="K21">
            <v>210</v>
          </cell>
        </row>
        <row r="22">
          <cell r="K22">
            <v>18</v>
          </cell>
        </row>
        <row r="23">
          <cell r="K23">
            <v>211</v>
          </cell>
        </row>
        <row r="24">
          <cell r="K24">
            <v>213</v>
          </cell>
        </row>
        <row r="25">
          <cell r="K25">
            <v>9</v>
          </cell>
        </row>
        <row r="26">
          <cell r="K26">
            <v>269</v>
          </cell>
        </row>
        <row r="27">
          <cell r="K27">
            <v>215</v>
          </cell>
        </row>
        <row r="28">
          <cell r="K28">
            <v>25</v>
          </cell>
        </row>
        <row r="29">
          <cell r="K29" t="str">
            <v/>
          </cell>
        </row>
        <row r="30">
          <cell r="K30" t="str">
            <v/>
          </cell>
        </row>
        <row r="31">
          <cell r="K31" t="str">
            <v/>
          </cell>
        </row>
      </sheetData>
      <sheetData sheetId="9"/>
      <sheetData sheetId="10"/>
      <sheetData sheetId="11"/>
      <sheetData sheetId="12"/>
      <sheetData sheetId="13">
        <row r="3">
          <cell r="M3">
            <v>239</v>
          </cell>
        </row>
        <row r="4">
          <cell r="M4">
            <v>83</v>
          </cell>
        </row>
        <row r="5">
          <cell r="M5">
            <v>83</v>
          </cell>
        </row>
        <row r="6">
          <cell r="M6">
            <v>14</v>
          </cell>
        </row>
        <row r="7">
          <cell r="M7">
            <v>83</v>
          </cell>
        </row>
        <row r="8">
          <cell r="M8">
            <v>83</v>
          </cell>
        </row>
        <row r="9">
          <cell r="M9">
            <v>83</v>
          </cell>
        </row>
        <row r="10">
          <cell r="M10">
            <v>83</v>
          </cell>
        </row>
        <row r="11">
          <cell r="M11">
            <v>83</v>
          </cell>
        </row>
        <row r="12">
          <cell r="M12">
            <v>83</v>
          </cell>
        </row>
        <row r="13">
          <cell r="M13">
            <v>83</v>
          </cell>
        </row>
        <row r="14">
          <cell r="M14">
            <v>217</v>
          </cell>
        </row>
        <row r="15">
          <cell r="M15">
            <v>85</v>
          </cell>
        </row>
        <row r="16">
          <cell r="M16">
            <v>15</v>
          </cell>
        </row>
        <row r="17">
          <cell r="M17">
            <v>302</v>
          </cell>
        </row>
        <row r="18">
          <cell r="M18">
            <v>86</v>
          </cell>
        </row>
        <row r="19">
          <cell r="M19">
            <v>302</v>
          </cell>
        </row>
        <row r="20">
          <cell r="M20">
            <v>88</v>
          </cell>
        </row>
        <row r="21">
          <cell r="M21">
            <v>218</v>
          </cell>
        </row>
        <row r="22">
          <cell r="M22">
            <v>273</v>
          </cell>
        </row>
        <row r="23">
          <cell r="M23">
            <v>273</v>
          </cell>
        </row>
        <row r="24">
          <cell r="M24">
            <v>65</v>
          </cell>
        </row>
        <row r="25">
          <cell r="M25">
            <v>250</v>
          </cell>
        </row>
        <row r="26">
          <cell r="M26">
            <v>273</v>
          </cell>
        </row>
        <row r="27">
          <cell r="M27">
            <v>240</v>
          </cell>
        </row>
        <row r="28">
          <cell r="M28">
            <v>273</v>
          </cell>
        </row>
        <row r="29">
          <cell r="M29">
            <v>273</v>
          </cell>
        </row>
        <row r="30">
          <cell r="M30">
            <v>273</v>
          </cell>
        </row>
        <row r="31">
          <cell r="M31">
            <v>66</v>
          </cell>
        </row>
        <row r="32">
          <cell r="M32">
            <v>90</v>
          </cell>
        </row>
        <row r="33">
          <cell r="M33">
            <v>273</v>
          </cell>
        </row>
        <row r="34">
          <cell r="M34">
            <v>67</v>
          </cell>
        </row>
        <row r="35">
          <cell r="M35">
            <v>273</v>
          </cell>
        </row>
        <row r="36">
          <cell r="M36">
            <v>273</v>
          </cell>
        </row>
        <row r="37">
          <cell r="M37">
            <v>241</v>
          </cell>
        </row>
        <row r="38">
          <cell r="M38">
            <v>273</v>
          </cell>
        </row>
        <row r="39">
          <cell r="M39">
            <v>273</v>
          </cell>
        </row>
        <row r="40">
          <cell r="M40">
            <v>243</v>
          </cell>
        </row>
        <row r="41">
          <cell r="M41">
            <v>251</v>
          </cell>
        </row>
        <row r="42">
          <cell r="M42">
            <v>241</v>
          </cell>
        </row>
        <row r="43">
          <cell r="M43">
            <v>273</v>
          </cell>
        </row>
        <row r="44">
          <cell r="M44">
            <v>219</v>
          </cell>
        </row>
        <row r="45">
          <cell r="M45">
            <v>68</v>
          </cell>
        </row>
        <row r="46">
          <cell r="M46">
            <v>92</v>
          </cell>
        </row>
        <row r="47">
          <cell r="M47">
            <v>273</v>
          </cell>
        </row>
        <row r="48">
          <cell r="M48">
            <v>273</v>
          </cell>
        </row>
        <row r="49">
          <cell r="M49">
            <v>252</v>
          </cell>
        </row>
        <row r="50">
          <cell r="M50">
            <v>273</v>
          </cell>
        </row>
        <row r="51">
          <cell r="M51">
            <v>273</v>
          </cell>
        </row>
        <row r="52">
          <cell r="M52">
            <v>273</v>
          </cell>
        </row>
        <row r="53">
          <cell r="M53">
            <v>273</v>
          </cell>
        </row>
        <row r="54">
          <cell r="M54">
            <v>273</v>
          </cell>
        </row>
        <row r="55">
          <cell r="M55">
            <v>23</v>
          </cell>
        </row>
        <row r="56">
          <cell r="M56">
            <v>273</v>
          </cell>
        </row>
        <row r="57">
          <cell r="M57">
            <v>220</v>
          </cell>
        </row>
        <row r="58">
          <cell r="M58">
            <v>273</v>
          </cell>
        </row>
        <row r="59">
          <cell r="M59">
            <v>242</v>
          </cell>
        </row>
        <row r="60">
          <cell r="M60">
            <v>273</v>
          </cell>
        </row>
        <row r="61">
          <cell r="M61">
            <v>273</v>
          </cell>
        </row>
        <row r="62">
          <cell r="M62">
            <v>273</v>
          </cell>
        </row>
        <row r="63">
          <cell r="M63">
            <v>70</v>
          </cell>
        </row>
        <row r="64">
          <cell r="M64">
            <v>273</v>
          </cell>
        </row>
        <row r="65">
          <cell r="M65">
            <v>273</v>
          </cell>
        </row>
        <row r="66">
          <cell r="M66">
            <v>273</v>
          </cell>
        </row>
        <row r="67">
          <cell r="M67">
            <v>93</v>
          </cell>
        </row>
        <row r="68">
          <cell r="M68">
            <v>273</v>
          </cell>
        </row>
        <row r="69">
          <cell r="M69">
            <v>273</v>
          </cell>
        </row>
        <row r="70">
          <cell r="M70">
            <v>273</v>
          </cell>
        </row>
        <row r="71">
          <cell r="M71">
            <v>273</v>
          </cell>
        </row>
        <row r="72">
          <cell r="M72">
            <v>89</v>
          </cell>
        </row>
        <row r="73">
          <cell r="M73">
            <v>10</v>
          </cell>
        </row>
        <row r="74">
          <cell r="M74">
            <v>95</v>
          </cell>
        </row>
        <row r="75">
          <cell r="M75">
            <v>95</v>
          </cell>
        </row>
        <row r="76">
          <cell r="M76">
            <v>95</v>
          </cell>
        </row>
        <row r="77">
          <cell r="M77">
            <v>95</v>
          </cell>
        </row>
        <row r="78">
          <cell r="M78">
            <v>95</v>
          </cell>
        </row>
        <row r="79">
          <cell r="M79">
            <v>95</v>
          </cell>
        </row>
        <row r="80">
          <cell r="M80">
            <v>95</v>
          </cell>
        </row>
        <row r="81">
          <cell r="M81">
            <v>96</v>
          </cell>
        </row>
        <row r="82">
          <cell r="M82">
            <v>95</v>
          </cell>
        </row>
        <row r="83">
          <cell r="M83">
            <v>95</v>
          </cell>
        </row>
        <row r="84">
          <cell r="M84">
            <v>95</v>
          </cell>
        </row>
        <row r="85">
          <cell r="M85">
            <v>95</v>
          </cell>
        </row>
        <row r="86">
          <cell r="M86">
            <v>95</v>
          </cell>
        </row>
        <row r="87">
          <cell r="M87">
            <v>95</v>
          </cell>
        </row>
        <row r="88">
          <cell r="M88">
            <v>95</v>
          </cell>
        </row>
        <row r="89">
          <cell r="M89">
            <v>71</v>
          </cell>
        </row>
        <row r="90">
          <cell r="M90">
            <v>95</v>
          </cell>
        </row>
        <row r="91">
          <cell r="M91">
            <v>97</v>
          </cell>
        </row>
        <row r="92">
          <cell r="M92">
            <v>95</v>
          </cell>
        </row>
        <row r="93">
          <cell r="M93">
            <v>95</v>
          </cell>
        </row>
        <row r="94">
          <cell r="M94">
            <v>95</v>
          </cell>
        </row>
        <row r="95">
          <cell r="M95">
            <v>95</v>
          </cell>
        </row>
        <row r="96">
          <cell r="M96">
            <v>71</v>
          </cell>
        </row>
        <row r="97">
          <cell r="M97">
            <v>95</v>
          </cell>
        </row>
        <row r="98">
          <cell r="M98">
            <v>98</v>
          </cell>
        </row>
        <row r="99">
          <cell r="M99">
            <v>95</v>
          </cell>
        </row>
        <row r="100">
          <cell r="M100">
            <v>95</v>
          </cell>
        </row>
        <row r="101">
          <cell r="M101">
            <v>106</v>
          </cell>
        </row>
        <row r="102">
          <cell r="M102">
            <v>245</v>
          </cell>
        </row>
        <row r="103">
          <cell r="M103">
            <v>247</v>
          </cell>
        </row>
        <row r="104">
          <cell r="M104">
            <v>247</v>
          </cell>
        </row>
        <row r="105">
          <cell r="M105">
            <v>247</v>
          </cell>
        </row>
        <row r="106">
          <cell r="M106">
            <v>221</v>
          </cell>
        </row>
        <row r="107">
          <cell r="M107">
            <v>222</v>
          </cell>
        </row>
        <row r="108">
          <cell r="M108">
            <v>247</v>
          </cell>
        </row>
        <row r="109">
          <cell r="M109">
            <v>247</v>
          </cell>
        </row>
        <row r="110">
          <cell r="M110">
            <v>245</v>
          </cell>
        </row>
        <row r="111">
          <cell r="M111">
            <v>247</v>
          </cell>
        </row>
        <row r="112">
          <cell r="M112">
            <v>247</v>
          </cell>
        </row>
        <row r="113">
          <cell r="M113">
            <v>247</v>
          </cell>
        </row>
        <row r="114">
          <cell r="M114">
            <v>247</v>
          </cell>
        </row>
        <row r="115">
          <cell r="M115">
            <v>247</v>
          </cell>
        </row>
        <row r="116">
          <cell r="M116">
            <v>246</v>
          </cell>
        </row>
        <row r="117">
          <cell r="M117">
            <v>247</v>
          </cell>
        </row>
        <row r="118">
          <cell r="M118">
            <v>107</v>
          </cell>
        </row>
        <row r="119">
          <cell r="M119">
            <v>247</v>
          </cell>
        </row>
        <row r="120">
          <cell r="M120">
            <v>247</v>
          </cell>
        </row>
        <row r="121">
          <cell r="M121">
            <v>24</v>
          </cell>
        </row>
        <row r="122">
          <cell r="M122">
            <v>247</v>
          </cell>
        </row>
        <row r="123">
          <cell r="M123">
            <v>247</v>
          </cell>
        </row>
        <row r="124">
          <cell r="M124">
            <v>77</v>
          </cell>
        </row>
        <row r="125">
          <cell r="M125">
            <v>155</v>
          </cell>
        </row>
        <row r="126">
          <cell r="M126">
            <v>227</v>
          </cell>
        </row>
        <row r="127">
          <cell r="M127">
            <v>2</v>
          </cell>
        </row>
        <row r="128">
          <cell r="M128">
            <v>155</v>
          </cell>
        </row>
        <row r="129">
          <cell r="M129">
            <v>227</v>
          </cell>
        </row>
        <row r="130">
          <cell r="M130">
            <v>227</v>
          </cell>
        </row>
        <row r="131">
          <cell r="M131">
            <v>227</v>
          </cell>
        </row>
        <row r="132">
          <cell r="M132">
            <v>226</v>
          </cell>
        </row>
        <row r="133">
          <cell r="M133">
            <v>228</v>
          </cell>
        </row>
        <row r="134">
          <cell r="M134">
            <v>227</v>
          </cell>
        </row>
        <row r="135">
          <cell r="M135">
            <v>227</v>
          </cell>
        </row>
        <row r="136">
          <cell r="M136">
            <v>227</v>
          </cell>
        </row>
        <row r="137">
          <cell r="M137">
            <v>229</v>
          </cell>
        </row>
        <row r="138">
          <cell r="M138">
            <v>227</v>
          </cell>
        </row>
        <row r="139">
          <cell r="M139">
            <v>227</v>
          </cell>
        </row>
        <row r="140">
          <cell r="M140">
            <v>78</v>
          </cell>
        </row>
        <row r="141">
          <cell r="M141">
            <v>227</v>
          </cell>
        </row>
        <row r="142">
          <cell r="M142">
            <v>230</v>
          </cell>
        </row>
        <row r="143">
          <cell r="M143">
            <v>227</v>
          </cell>
        </row>
        <row r="144">
          <cell r="M144">
            <v>227</v>
          </cell>
        </row>
        <row r="145">
          <cell r="M145">
            <v>227</v>
          </cell>
        </row>
        <row r="146">
          <cell r="M146">
            <v>227</v>
          </cell>
        </row>
        <row r="147">
          <cell r="M147">
            <v>232</v>
          </cell>
        </row>
        <row r="148">
          <cell r="M148">
            <v>232</v>
          </cell>
        </row>
        <row r="149">
          <cell r="M149">
            <v>12</v>
          </cell>
        </row>
        <row r="150">
          <cell r="M150">
            <v>232</v>
          </cell>
        </row>
        <row r="151">
          <cell r="M151">
            <v>232</v>
          </cell>
        </row>
        <row r="152">
          <cell r="M152">
            <v>157</v>
          </cell>
        </row>
        <row r="153">
          <cell r="M153">
            <v>157</v>
          </cell>
        </row>
        <row r="154">
          <cell r="M154">
            <v>158</v>
          </cell>
        </row>
        <row r="155">
          <cell r="M155">
            <v>157</v>
          </cell>
        </row>
        <row r="156">
          <cell r="M156">
            <v>156</v>
          </cell>
        </row>
        <row r="157">
          <cell r="M157">
            <v>159</v>
          </cell>
        </row>
        <row r="158">
          <cell r="M158">
            <v>234</v>
          </cell>
        </row>
        <row r="159">
          <cell r="M159">
            <v>157</v>
          </cell>
        </row>
        <row r="160">
          <cell r="M160">
            <v>157</v>
          </cell>
        </row>
        <row r="161">
          <cell r="M161">
            <v>157</v>
          </cell>
        </row>
        <row r="162">
          <cell r="M162">
            <v>160</v>
          </cell>
        </row>
        <row r="163">
          <cell r="M163">
            <v>157</v>
          </cell>
        </row>
        <row r="164">
          <cell r="M164">
            <v>157</v>
          </cell>
        </row>
        <row r="165">
          <cell r="M165">
            <v>20</v>
          </cell>
        </row>
        <row r="166">
          <cell r="M166">
            <v>157</v>
          </cell>
        </row>
        <row r="167">
          <cell r="M167">
            <v>157</v>
          </cell>
        </row>
        <row r="168">
          <cell r="M168">
            <v>157</v>
          </cell>
        </row>
        <row r="169">
          <cell r="M169">
            <v>157</v>
          </cell>
        </row>
        <row r="170">
          <cell r="M170">
            <v>161</v>
          </cell>
        </row>
        <row r="171">
          <cell r="M171">
            <v>20</v>
          </cell>
        </row>
        <row r="172">
          <cell r="M172">
            <v>157</v>
          </cell>
        </row>
        <row r="173">
          <cell r="M173">
            <v>162</v>
          </cell>
        </row>
        <row r="174">
          <cell r="M174">
            <v>157</v>
          </cell>
        </row>
        <row r="175">
          <cell r="M175">
            <v>157</v>
          </cell>
        </row>
        <row r="176">
          <cell r="M176">
            <v>157</v>
          </cell>
        </row>
        <row r="177">
          <cell r="M177">
            <v>163</v>
          </cell>
        </row>
        <row r="178">
          <cell r="M178">
            <v>164</v>
          </cell>
        </row>
        <row r="179">
          <cell r="M179">
            <v>164</v>
          </cell>
        </row>
        <row r="180">
          <cell r="M180">
            <v>165</v>
          </cell>
        </row>
        <row r="181">
          <cell r="M181">
            <v>164</v>
          </cell>
        </row>
        <row r="182">
          <cell r="M182">
            <v>164</v>
          </cell>
        </row>
        <row r="183">
          <cell r="M183">
            <v>164</v>
          </cell>
        </row>
        <row r="184">
          <cell r="M184">
            <v>164</v>
          </cell>
        </row>
        <row r="185">
          <cell r="M185">
            <v>26</v>
          </cell>
        </row>
        <row r="186">
          <cell r="M186">
            <v>163</v>
          </cell>
        </row>
        <row r="187">
          <cell r="M187">
            <v>304</v>
          </cell>
        </row>
        <row r="188">
          <cell r="M188">
            <v>167</v>
          </cell>
        </row>
        <row r="189">
          <cell r="M189">
            <v>166</v>
          </cell>
        </row>
        <row r="190">
          <cell r="M190">
            <v>304</v>
          </cell>
        </row>
        <row r="191">
          <cell r="M191">
            <v>168</v>
          </cell>
        </row>
        <row r="192">
          <cell r="M192">
            <v>260</v>
          </cell>
        </row>
        <row r="193">
          <cell r="M193">
            <v>304</v>
          </cell>
        </row>
        <row r="194">
          <cell r="M194">
            <v>167</v>
          </cell>
        </row>
        <row r="195">
          <cell r="M195">
            <v>166</v>
          </cell>
        </row>
        <row r="196">
          <cell r="M196">
            <v>304</v>
          </cell>
        </row>
        <row r="197">
          <cell r="M197">
            <v>304</v>
          </cell>
        </row>
        <row r="198">
          <cell r="M198">
            <v>168</v>
          </cell>
        </row>
        <row r="199">
          <cell r="M199">
            <v>304</v>
          </cell>
        </row>
        <row r="200">
          <cell r="M200">
            <v>260</v>
          </cell>
        </row>
        <row r="201">
          <cell r="M201">
            <v>167</v>
          </cell>
        </row>
        <row r="202">
          <cell r="M202">
            <v>304</v>
          </cell>
        </row>
        <row r="203">
          <cell r="M203">
            <v>304</v>
          </cell>
        </row>
        <row r="204">
          <cell r="M204">
            <v>260</v>
          </cell>
        </row>
        <row r="205">
          <cell r="M205">
            <v>258</v>
          </cell>
        </row>
        <row r="206">
          <cell r="M206">
            <v>304</v>
          </cell>
        </row>
        <row r="207">
          <cell r="M207">
            <v>304</v>
          </cell>
        </row>
        <row r="208">
          <cell r="M208">
            <v>168</v>
          </cell>
        </row>
        <row r="209">
          <cell r="M209">
            <v>168</v>
          </cell>
        </row>
        <row r="210">
          <cell r="M210">
            <v>168</v>
          </cell>
        </row>
        <row r="211">
          <cell r="M211">
            <v>168</v>
          </cell>
        </row>
        <row r="212">
          <cell r="M212">
            <v>304</v>
          </cell>
        </row>
        <row r="213">
          <cell r="M213">
            <v>304</v>
          </cell>
        </row>
        <row r="214">
          <cell r="M214">
            <v>257</v>
          </cell>
        </row>
        <row r="215">
          <cell r="M215">
            <v>167</v>
          </cell>
        </row>
        <row r="216">
          <cell r="M216">
            <v>168</v>
          </cell>
        </row>
        <row r="217">
          <cell r="M217">
            <v>167</v>
          </cell>
        </row>
        <row r="218">
          <cell r="M218">
            <v>304</v>
          </cell>
        </row>
        <row r="219">
          <cell r="M219">
            <v>258</v>
          </cell>
        </row>
        <row r="220">
          <cell r="M220">
            <v>304</v>
          </cell>
        </row>
        <row r="221">
          <cell r="M221">
            <v>168</v>
          </cell>
        </row>
        <row r="222">
          <cell r="M222">
            <v>304</v>
          </cell>
        </row>
        <row r="223">
          <cell r="M223">
            <v>167</v>
          </cell>
        </row>
        <row r="224">
          <cell r="M224">
            <v>168</v>
          </cell>
        </row>
        <row r="225">
          <cell r="M225">
            <v>260</v>
          </cell>
        </row>
        <row r="226">
          <cell r="M226">
            <v>304</v>
          </cell>
        </row>
        <row r="227">
          <cell r="M227">
            <v>304</v>
          </cell>
        </row>
        <row r="228">
          <cell r="M228">
            <v>260</v>
          </cell>
        </row>
        <row r="229">
          <cell r="M229">
            <v>260</v>
          </cell>
        </row>
        <row r="230">
          <cell r="M230">
            <v>168</v>
          </cell>
        </row>
        <row r="231">
          <cell r="M231">
            <v>304</v>
          </cell>
        </row>
        <row r="232">
          <cell r="M232">
            <v>168</v>
          </cell>
        </row>
        <row r="233">
          <cell r="M233">
            <v>167</v>
          </cell>
        </row>
        <row r="234">
          <cell r="M234">
            <v>260</v>
          </cell>
        </row>
        <row r="235">
          <cell r="M235">
            <v>258</v>
          </cell>
        </row>
        <row r="236">
          <cell r="M236">
            <v>260</v>
          </cell>
        </row>
        <row r="237">
          <cell r="M237">
            <v>304</v>
          </cell>
        </row>
        <row r="238">
          <cell r="M238">
            <v>168</v>
          </cell>
        </row>
        <row r="239">
          <cell r="M239">
            <v>168</v>
          </cell>
        </row>
        <row r="240">
          <cell r="M240">
            <v>167</v>
          </cell>
        </row>
        <row r="241">
          <cell r="M241">
            <v>304</v>
          </cell>
        </row>
        <row r="242">
          <cell r="M242">
            <v>304</v>
          </cell>
        </row>
        <row r="243">
          <cell r="M243">
            <v>304</v>
          </cell>
        </row>
        <row r="244">
          <cell r="M244">
            <v>168</v>
          </cell>
        </row>
        <row r="245">
          <cell r="M245">
            <v>304</v>
          </cell>
        </row>
        <row r="246">
          <cell r="M246">
            <v>168</v>
          </cell>
        </row>
        <row r="247">
          <cell r="M247">
            <v>167</v>
          </cell>
        </row>
        <row r="248">
          <cell r="M248">
            <v>304</v>
          </cell>
        </row>
        <row r="249">
          <cell r="M249">
            <v>304</v>
          </cell>
        </row>
        <row r="250">
          <cell r="M250">
            <v>260</v>
          </cell>
        </row>
        <row r="251">
          <cell r="M251">
            <v>304</v>
          </cell>
        </row>
        <row r="252">
          <cell r="M252">
            <v>168</v>
          </cell>
        </row>
        <row r="253">
          <cell r="M253">
            <v>304</v>
          </cell>
        </row>
        <row r="254">
          <cell r="M254">
            <v>304</v>
          </cell>
        </row>
        <row r="255">
          <cell r="M255">
            <v>304</v>
          </cell>
        </row>
        <row r="256">
          <cell r="M256">
            <v>168</v>
          </cell>
        </row>
        <row r="257">
          <cell r="M257">
            <v>167</v>
          </cell>
        </row>
        <row r="258">
          <cell r="M258">
            <v>168</v>
          </cell>
        </row>
        <row r="259">
          <cell r="M259">
            <v>304</v>
          </cell>
        </row>
        <row r="260">
          <cell r="M260">
            <v>304</v>
          </cell>
        </row>
        <row r="261">
          <cell r="M261">
            <v>260</v>
          </cell>
        </row>
        <row r="262">
          <cell r="M262">
            <v>168</v>
          </cell>
        </row>
        <row r="263">
          <cell r="M263">
            <v>304</v>
          </cell>
        </row>
        <row r="264">
          <cell r="M264">
            <v>304</v>
          </cell>
        </row>
        <row r="265">
          <cell r="M265">
            <v>168</v>
          </cell>
        </row>
        <row r="266">
          <cell r="M266">
            <v>260</v>
          </cell>
        </row>
        <row r="267">
          <cell r="M267">
            <v>260</v>
          </cell>
        </row>
        <row r="268">
          <cell r="M268">
            <v>168</v>
          </cell>
        </row>
        <row r="269">
          <cell r="M269">
            <v>166</v>
          </cell>
        </row>
        <row r="270">
          <cell r="M270">
            <v>260</v>
          </cell>
        </row>
        <row r="271">
          <cell r="M271">
            <v>182</v>
          </cell>
        </row>
        <row r="272">
          <cell r="M272">
            <v>182</v>
          </cell>
        </row>
        <row r="273">
          <cell r="M273">
            <v>188</v>
          </cell>
        </row>
        <row r="274">
          <cell r="M274">
            <v>180</v>
          </cell>
        </row>
        <row r="275">
          <cell r="M275">
            <v>254</v>
          </cell>
        </row>
        <row r="276">
          <cell r="M276">
            <v>192</v>
          </cell>
        </row>
        <row r="277">
          <cell r="M277">
            <v>186</v>
          </cell>
        </row>
        <row r="278">
          <cell r="M278">
            <v>192</v>
          </cell>
        </row>
        <row r="279">
          <cell r="M279">
            <v>182</v>
          </cell>
        </row>
        <row r="280">
          <cell r="M280">
            <v>192</v>
          </cell>
        </row>
        <row r="281">
          <cell r="M281">
            <v>188</v>
          </cell>
        </row>
        <row r="282">
          <cell r="M282">
            <v>254</v>
          </cell>
        </row>
        <row r="283">
          <cell r="M283">
            <v>192</v>
          </cell>
        </row>
        <row r="284">
          <cell r="M284">
            <v>190</v>
          </cell>
        </row>
        <row r="285">
          <cell r="M285">
            <v>191</v>
          </cell>
        </row>
        <row r="286">
          <cell r="M286">
            <v>192</v>
          </cell>
        </row>
        <row r="287">
          <cell r="M287">
            <v>177</v>
          </cell>
        </row>
        <row r="288">
          <cell r="M288">
            <v>193</v>
          </cell>
        </row>
        <row r="289">
          <cell r="M289">
            <v>182</v>
          </cell>
        </row>
        <row r="290">
          <cell r="M290">
            <v>170</v>
          </cell>
        </row>
        <row r="291">
          <cell r="M291">
            <v>39</v>
          </cell>
        </row>
        <row r="292">
          <cell r="M292">
            <v>188</v>
          </cell>
        </row>
        <row r="293">
          <cell r="M293">
            <v>174</v>
          </cell>
        </row>
        <row r="294">
          <cell r="M294">
            <v>182</v>
          </cell>
        </row>
        <row r="295">
          <cell r="M295">
            <v>204</v>
          </cell>
        </row>
        <row r="296">
          <cell r="M296">
            <v>205</v>
          </cell>
        </row>
        <row r="297">
          <cell r="M297">
            <v>183</v>
          </cell>
        </row>
        <row r="298">
          <cell r="M298">
            <v>206</v>
          </cell>
        </row>
        <row r="299">
          <cell r="M299">
            <v>170</v>
          </cell>
        </row>
        <row r="300">
          <cell r="M300">
            <v>181</v>
          </cell>
        </row>
        <row r="301">
          <cell r="M301">
            <v>182</v>
          </cell>
        </row>
        <row r="302">
          <cell r="M302">
            <v>182</v>
          </cell>
        </row>
        <row r="303">
          <cell r="M303">
            <v>183</v>
          </cell>
        </row>
        <row r="304">
          <cell r="M304">
            <v>248</v>
          </cell>
        </row>
        <row r="305">
          <cell r="M305">
            <v>177</v>
          </cell>
        </row>
        <row r="306">
          <cell r="M306">
            <v>180</v>
          </cell>
        </row>
        <row r="307">
          <cell r="M307">
            <v>192</v>
          </cell>
        </row>
        <row r="308">
          <cell r="M308">
            <v>254</v>
          </cell>
        </row>
        <row r="309">
          <cell r="M309">
            <v>186</v>
          </cell>
        </row>
        <row r="310">
          <cell r="M310">
            <v>183</v>
          </cell>
        </row>
        <row r="311">
          <cell r="M311">
            <v>182</v>
          </cell>
        </row>
        <row r="312">
          <cell r="M312">
            <v>192</v>
          </cell>
        </row>
        <row r="313">
          <cell r="M313">
            <v>187</v>
          </cell>
        </row>
        <row r="314">
          <cell r="M314">
            <v>188</v>
          </cell>
        </row>
        <row r="315">
          <cell r="M315">
            <v>178</v>
          </cell>
        </row>
        <row r="316">
          <cell r="M316">
            <v>192</v>
          </cell>
        </row>
        <row r="317">
          <cell r="M317">
            <v>189</v>
          </cell>
        </row>
        <row r="318">
          <cell r="M318">
            <v>174</v>
          </cell>
        </row>
        <row r="319">
          <cell r="M319">
            <v>183</v>
          </cell>
        </row>
        <row r="320">
          <cell r="M320">
            <v>190</v>
          </cell>
        </row>
        <row r="321">
          <cell r="M321">
            <v>183</v>
          </cell>
        </row>
        <row r="322">
          <cell r="M322">
            <v>202</v>
          </cell>
        </row>
        <row r="323">
          <cell r="M323">
            <v>191</v>
          </cell>
        </row>
        <row r="324">
          <cell r="M324">
            <v>192</v>
          </cell>
        </row>
        <row r="325">
          <cell r="M325">
            <v>177</v>
          </cell>
        </row>
        <row r="326">
          <cell r="M326">
            <v>178</v>
          </cell>
        </row>
        <row r="327">
          <cell r="M327">
            <v>205</v>
          </cell>
        </row>
        <row r="328">
          <cell r="M328">
            <v>181</v>
          </cell>
        </row>
        <row r="329">
          <cell r="M329">
            <v>183</v>
          </cell>
        </row>
        <row r="330">
          <cell r="M330">
            <v>193</v>
          </cell>
        </row>
        <row r="331">
          <cell r="M331">
            <v>178</v>
          </cell>
        </row>
        <row r="332">
          <cell r="M332">
            <v>310</v>
          </cell>
        </row>
        <row r="333">
          <cell r="M333">
            <v>182</v>
          </cell>
        </row>
        <row r="334">
          <cell r="M334">
            <v>39</v>
          </cell>
        </row>
        <row r="335">
          <cell r="M335">
            <v>174</v>
          </cell>
        </row>
        <row r="336">
          <cell r="M336">
            <v>202</v>
          </cell>
        </row>
        <row r="337">
          <cell r="M337">
            <v>204</v>
          </cell>
        </row>
        <row r="338">
          <cell r="M338">
            <v>182</v>
          </cell>
        </row>
        <row r="339">
          <cell r="M339">
            <v>204</v>
          </cell>
        </row>
        <row r="340">
          <cell r="M340">
            <v>205</v>
          </cell>
        </row>
        <row r="341">
          <cell r="M341">
            <v>183</v>
          </cell>
        </row>
        <row r="342">
          <cell r="M342">
            <v>183</v>
          </cell>
        </row>
        <row r="343">
          <cell r="M343">
            <v>206</v>
          </cell>
        </row>
        <row r="344">
          <cell r="M344">
            <v>248</v>
          </cell>
        </row>
        <row r="345">
          <cell r="M345">
            <v>177</v>
          </cell>
        </row>
        <row r="346">
          <cell r="M346">
            <v>180</v>
          </cell>
        </row>
        <row r="347">
          <cell r="M347">
            <v>254</v>
          </cell>
        </row>
        <row r="348">
          <cell r="M348">
            <v>186</v>
          </cell>
        </row>
        <row r="349">
          <cell r="M349">
            <v>178</v>
          </cell>
        </row>
        <row r="350">
          <cell r="M350">
            <v>190</v>
          </cell>
        </row>
        <row r="351">
          <cell r="M351">
            <v>191</v>
          </cell>
        </row>
        <row r="352">
          <cell r="M352">
            <v>235</v>
          </cell>
        </row>
        <row r="353">
          <cell r="M353">
            <v>193</v>
          </cell>
        </row>
        <row r="354">
          <cell r="M354">
            <v>178</v>
          </cell>
        </row>
        <row r="355">
          <cell r="M355">
            <v>170</v>
          </cell>
        </row>
        <row r="356">
          <cell r="M356">
            <v>39</v>
          </cell>
        </row>
        <row r="357">
          <cell r="M357">
            <v>174</v>
          </cell>
        </row>
        <row r="358">
          <cell r="M358">
            <v>202</v>
          </cell>
        </row>
        <row r="359">
          <cell r="M359">
            <v>182</v>
          </cell>
        </row>
        <row r="360">
          <cell r="M360">
            <v>205</v>
          </cell>
        </row>
        <row r="361">
          <cell r="M361">
            <v>183</v>
          </cell>
        </row>
        <row r="362">
          <cell r="M362">
            <v>206</v>
          </cell>
        </row>
        <row r="363">
          <cell r="M363">
            <v>207</v>
          </cell>
        </row>
        <row r="364">
          <cell r="M364">
            <v>207</v>
          </cell>
        </row>
        <row r="365">
          <cell r="M365">
            <v>208</v>
          </cell>
        </row>
        <row r="366">
          <cell r="M366">
            <v>207</v>
          </cell>
        </row>
        <row r="367">
          <cell r="M367">
            <v>207</v>
          </cell>
        </row>
        <row r="368">
          <cell r="M368">
            <v>207</v>
          </cell>
        </row>
        <row r="369">
          <cell r="M369">
            <v>209</v>
          </cell>
        </row>
        <row r="370">
          <cell r="M370">
            <v>16</v>
          </cell>
        </row>
        <row r="371">
          <cell r="M371">
            <v>207</v>
          </cell>
        </row>
        <row r="372">
          <cell r="M372">
            <v>207</v>
          </cell>
        </row>
        <row r="373">
          <cell r="M373">
            <v>207</v>
          </cell>
        </row>
        <row r="374">
          <cell r="M374">
            <v>4</v>
          </cell>
        </row>
        <row r="375">
          <cell r="M375">
            <v>210</v>
          </cell>
        </row>
        <row r="376">
          <cell r="M376">
            <v>210</v>
          </cell>
        </row>
        <row r="377">
          <cell r="M377">
            <v>54</v>
          </cell>
        </row>
        <row r="378">
          <cell r="M378">
            <v>54</v>
          </cell>
        </row>
        <row r="379">
          <cell r="M379">
            <v>265</v>
          </cell>
        </row>
        <row r="380">
          <cell r="M380">
            <v>58</v>
          </cell>
        </row>
        <row r="381">
          <cell r="M381">
            <v>58</v>
          </cell>
        </row>
        <row r="382">
          <cell r="M382">
            <v>58</v>
          </cell>
        </row>
        <row r="383">
          <cell r="M383">
            <v>211</v>
          </cell>
        </row>
        <row r="384">
          <cell r="M384">
            <v>58</v>
          </cell>
        </row>
        <row r="385">
          <cell r="M385">
            <v>54</v>
          </cell>
        </row>
        <row r="386">
          <cell r="M386">
            <v>212</v>
          </cell>
        </row>
        <row r="387">
          <cell r="M387">
            <v>81</v>
          </cell>
        </row>
        <row r="388">
          <cell r="M388">
            <v>54</v>
          </cell>
        </row>
        <row r="389">
          <cell r="M389">
            <v>57</v>
          </cell>
        </row>
        <row r="390">
          <cell r="M390">
            <v>211</v>
          </cell>
        </row>
        <row r="391">
          <cell r="M391">
            <v>58</v>
          </cell>
        </row>
        <row r="392">
          <cell r="M392">
            <v>212</v>
          </cell>
        </row>
        <row r="393">
          <cell r="M393">
            <v>54</v>
          </cell>
        </row>
        <row r="394">
          <cell r="M394">
            <v>54</v>
          </cell>
        </row>
        <row r="395">
          <cell r="M395">
            <v>58</v>
          </cell>
        </row>
        <row r="396">
          <cell r="M396">
            <v>58</v>
          </cell>
        </row>
        <row r="397">
          <cell r="M397">
            <v>54</v>
          </cell>
        </row>
        <row r="398">
          <cell r="M398">
            <v>54</v>
          </cell>
        </row>
        <row r="399">
          <cell r="M399">
            <v>54</v>
          </cell>
        </row>
        <row r="400">
          <cell r="M400">
            <v>263</v>
          </cell>
        </row>
        <row r="401">
          <cell r="M401">
            <v>58</v>
          </cell>
        </row>
        <row r="402">
          <cell r="M402">
            <v>54</v>
          </cell>
        </row>
        <row r="403">
          <cell r="M403">
            <v>264</v>
          </cell>
        </row>
        <row r="404">
          <cell r="M404">
            <v>54</v>
          </cell>
        </row>
        <row r="405">
          <cell r="M405">
            <v>57</v>
          </cell>
        </row>
        <row r="406">
          <cell r="M406">
            <v>54</v>
          </cell>
        </row>
        <row r="407">
          <cell r="M407">
            <v>212</v>
          </cell>
        </row>
        <row r="408">
          <cell r="M408">
            <v>54</v>
          </cell>
        </row>
        <row r="409">
          <cell r="M409">
            <v>54</v>
          </cell>
        </row>
        <row r="410">
          <cell r="M410">
            <v>54</v>
          </cell>
        </row>
        <row r="411">
          <cell r="M411">
            <v>212</v>
          </cell>
        </row>
        <row r="412">
          <cell r="M412">
            <v>54</v>
          </cell>
        </row>
        <row r="413">
          <cell r="M413">
            <v>54</v>
          </cell>
        </row>
        <row r="414">
          <cell r="M414">
            <v>212</v>
          </cell>
        </row>
        <row r="415">
          <cell r="M415">
            <v>54</v>
          </cell>
        </row>
        <row r="416">
          <cell r="M416">
            <v>54</v>
          </cell>
        </row>
        <row r="417">
          <cell r="M417">
            <v>54</v>
          </cell>
        </row>
        <row r="418">
          <cell r="M418">
            <v>265</v>
          </cell>
        </row>
        <row r="419">
          <cell r="M419">
            <v>54</v>
          </cell>
        </row>
        <row r="420">
          <cell r="M420">
            <v>212</v>
          </cell>
        </row>
        <row r="421">
          <cell r="M421">
            <v>212</v>
          </cell>
        </row>
        <row r="422">
          <cell r="M422">
            <v>263</v>
          </cell>
        </row>
        <row r="423">
          <cell r="M423">
            <v>54</v>
          </cell>
        </row>
        <row r="424">
          <cell r="M424">
            <v>212</v>
          </cell>
        </row>
        <row r="425">
          <cell r="M425">
            <v>54</v>
          </cell>
        </row>
        <row r="426">
          <cell r="M426">
            <v>54</v>
          </cell>
        </row>
        <row r="427">
          <cell r="M427">
            <v>54</v>
          </cell>
        </row>
        <row r="428">
          <cell r="M428">
            <v>54</v>
          </cell>
        </row>
        <row r="429">
          <cell r="M429">
            <v>54</v>
          </cell>
        </row>
        <row r="430">
          <cell r="M430">
            <v>211</v>
          </cell>
        </row>
        <row r="431">
          <cell r="M431">
            <v>212</v>
          </cell>
        </row>
        <row r="432">
          <cell r="M432">
            <v>54</v>
          </cell>
        </row>
        <row r="433">
          <cell r="M433">
            <v>54</v>
          </cell>
        </row>
        <row r="434">
          <cell r="M434">
            <v>54</v>
          </cell>
        </row>
        <row r="435">
          <cell r="M435">
            <v>54</v>
          </cell>
        </row>
        <row r="436">
          <cell r="M436">
            <v>54</v>
          </cell>
        </row>
        <row r="437">
          <cell r="M437">
            <v>54</v>
          </cell>
        </row>
        <row r="438">
          <cell r="M438">
            <v>54</v>
          </cell>
        </row>
        <row r="439">
          <cell r="M439">
            <v>263</v>
          </cell>
        </row>
        <row r="440">
          <cell r="M440">
            <v>212</v>
          </cell>
        </row>
        <row r="441">
          <cell r="M441">
            <v>54</v>
          </cell>
        </row>
        <row r="442">
          <cell r="M442">
            <v>54</v>
          </cell>
        </row>
        <row r="443">
          <cell r="M443">
            <v>263</v>
          </cell>
        </row>
        <row r="444">
          <cell r="M444">
            <v>211</v>
          </cell>
        </row>
        <row r="445">
          <cell r="M445">
            <v>54</v>
          </cell>
        </row>
        <row r="446">
          <cell r="M446">
            <v>54</v>
          </cell>
        </row>
        <row r="447">
          <cell r="M447">
            <v>54</v>
          </cell>
        </row>
        <row r="448">
          <cell r="M448">
            <v>212</v>
          </cell>
        </row>
        <row r="449">
          <cell r="M449">
            <v>211</v>
          </cell>
        </row>
        <row r="450">
          <cell r="M450">
            <v>212</v>
          </cell>
        </row>
        <row r="451">
          <cell r="M451">
            <v>212</v>
          </cell>
        </row>
        <row r="452">
          <cell r="M452">
            <v>212</v>
          </cell>
        </row>
        <row r="453">
          <cell r="M453">
            <v>212</v>
          </cell>
        </row>
        <row r="454">
          <cell r="M454">
            <v>81</v>
          </cell>
        </row>
        <row r="455">
          <cell r="M455">
            <v>59</v>
          </cell>
        </row>
        <row r="456">
          <cell r="M456">
            <v>212</v>
          </cell>
        </row>
        <row r="457">
          <cell r="M457">
            <v>212</v>
          </cell>
        </row>
        <row r="458">
          <cell r="M458">
            <v>262</v>
          </cell>
        </row>
        <row r="459">
          <cell r="M459">
            <v>212</v>
          </cell>
        </row>
        <row r="460">
          <cell r="M460">
            <v>212</v>
          </cell>
        </row>
        <row r="461">
          <cell r="M461">
            <v>212</v>
          </cell>
        </row>
        <row r="462">
          <cell r="M462">
            <v>54</v>
          </cell>
        </row>
        <row r="463">
          <cell r="M463">
            <v>54</v>
          </cell>
        </row>
        <row r="464">
          <cell r="M464">
            <v>211</v>
          </cell>
        </row>
        <row r="465">
          <cell r="M465">
            <v>212</v>
          </cell>
        </row>
        <row r="466">
          <cell r="M466">
            <v>54</v>
          </cell>
        </row>
        <row r="467">
          <cell r="M467">
            <v>54</v>
          </cell>
        </row>
        <row r="468">
          <cell r="M468">
            <v>54</v>
          </cell>
        </row>
        <row r="469">
          <cell r="M469">
            <v>54</v>
          </cell>
        </row>
        <row r="470">
          <cell r="M470">
            <v>212</v>
          </cell>
        </row>
        <row r="471">
          <cell r="M471">
            <v>212</v>
          </cell>
        </row>
        <row r="472">
          <cell r="M472">
            <v>212</v>
          </cell>
        </row>
        <row r="473">
          <cell r="M473">
            <v>212</v>
          </cell>
        </row>
        <row r="474">
          <cell r="M474">
            <v>212</v>
          </cell>
        </row>
        <row r="475">
          <cell r="M475">
            <v>212</v>
          </cell>
        </row>
        <row r="476">
          <cell r="M476">
            <v>81</v>
          </cell>
        </row>
        <row r="477">
          <cell r="M477">
            <v>54</v>
          </cell>
        </row>
        <row r="478">
          <cell r="M478">
            <v>54</v>
          </cell>
        </row>
        <row r="479">
          <cell r="M479">
            <v>54</v>
          </cell>
        </row>
        <row r="480">
          <cell r="M480">
            <v>212</v>
          </cell>
        </row>
        <row r="481">
          <cell r="M481">
            <v>213</v>
          </cell>
        </row>
        <row r="482">
          <cell r="M482">
            <v>213</v>
          </cell>
        </row>
        <row r="483">
          <cell r="M483">
            <v>269</v>
          </cell>
        </row>
        <row r="484">
          <cell r="M484">
            <v>213</v>
          </cell>
        </row>
        <row r="485">
          <cell r="M485">
            <v>213</v>
          </cell>
        </row>
        <row r="486">
          <cell r="M486">
            <v>269</v>
          </cell>
        </row>
        <row r="487">
          <cell r="M487">
            <v>213</v>
          </cell>
        </row>
        <row r="488">
          <cell r="M488">
            <v>51</v>
          </cell>
        </row>
        <row r="489">
          <cell r="M489">
            <v>213</v>
          </cell>
        </row>
        <row r="490">
          <cell r="M490">
            <v>213</v>
          </cell>
        </row>
        <row r="491">
          <cell r="M491">
            <v>51</v>
          </cell>
        </row>
        <row r="492">
          <cell r="M492">
            <v>51</v>
          </cell>
        </row>
        <row r="493">
          <cell r="M493">
            <v>213</v>
          </cell>
        </row>
        <row r="494">
          <cell r="M494">
            <v>51</v>
          </cell>
        </row>
        <row r="495">
          <cell r="M495">
            <v>51</v>
          </cell>
        </row>
        <row r="496">
          <cell r="M496">
            <v>214</v>
          </cell>
        </row>
        <row r="497">
          <cell r="M497">
            <v>269</v>
          </cell>
        </row>
        <row r="498">
          <cell r="M498">
            <v>266</v>
          </cell>
        </row>
        <row r="499">
          <cell r="M499">
            <v>31</v>
          </cell>
        </row>
        <row r="500">
          <cell r="M500">
            <v>51</v>
          </cell>
        </row>
        <row r="501">
          <cell r="M501">
            <v>214</v>
          </cell>
        </row>
        <row r="502">
          <cell r="M502">
            <v>213</v>
          </cell>
        </row>
        <row r="503">
          <cell r="M503">
            <v>51</v>
          </cell>
        </row>
        <row r="504">
          <cell r="M504">
            <v>213</v>
          </cell>
        </row>
        <row r="505">
          <cell r="M505">
            <v>51</v>
          </cell>
        </row>
        <row r="506">
          <cell r="M506">
            <v>213</v>
          </cell>
        </row>
        <row r="507">
          <cell r="M507">
            <v>267</v>
          </cell>
        </row>
        <row r="508">
          <cell r="M508">
            <v>213</v>
          </cell>
        </row>
        <row r="509">
          <cell r="M509">
            <v>51</v>
          </cell>
        </row>
        <row r="510">
          <cell r="M510">
            <v>51</v>
          </cell>
        </row>
        <row r="511">
          <cell r="M511">
            <v>214</v>
          </cell>
        </row>
        <row r="512">
          <cell r="M512">
            <v>269</v>
          </cell>
        </row>
        <row r="513">
          <cell r="M513" t="e">
            <v>#N/A</v>
          </cell>
        </row>
        <row r="514">
          <cell r="M514">
            <v>269</v>
          </cell>
        </row>
        <row r="515">
          <cell r="M515">
            <v>51</v>
          </cell>
        </row>
        <row r="516">
          <cell r="M516">
            <v>51</v>
          </cell>
        </row>
        <row r="517">
          <cell r="M517">
            <v>51</v>
          </cell>
        </row>
        <row r="518">
          <cell r="M518">
            <v>51</v>
          </cell>
        </row>
        <row r="519">
          <cell r="M519">
            <v>51</v>
          </cell>
        </row>
        <row r="520">
          <cell r="M520">
            <v>51</v>
          </cell>
        </row>
        <row r="521">
          <cell r="M521">
            <v>213</v>
          </cell>
        </row>
        <row r="522">
          <cell r="M522">
            <v>51</v>
          </cell>
        </row>
        <row r="523">
          <cell r="M523">
            <v>269</v>
          </cell>
        </row>
        <row r="524">
          <cell r="M524">
            <v>51</v>
          </cell>
        </row>
        <row r="525">
          <cell r="M525">
            <v>269</v>
          </cell>
        </row>
        <row r="526">
          <cell r="M526">
            <v>51</v>
          </cell>
        </row>
        <row r="527">
          <cell r="M527">
            <v>51</v>
          </cell>
        </row>
        <row r="528">
          <cell r="M528">
            <v>51</v>
          </cell>
        </row>
        <row r="529">
          <cell r="M529">
            <v>213</v>
          </cell>
        </row>
        <row r="530">
          <cell r="M530">
            <v>269</v>
          </cell>
        </row>
        <row r="531">
          <cell r="M531">
            <v>272</v>
          </cell>
        </row>
        <row r="532">
          <cell r="M532">
            <v>51</v>
          </cell>
        </row>
        <row r="533">
          <cell r="M533">
            <v>51</v>
          </cell>
        </row>
        <row r="534">
          <cell r="M534">
            <v>51</v>
          </cell>
        </row>
        <row r="535">
          <cell r="M535">
            <v>213</v>
          </cell>
        </row>
        <row r="536">
          <cell r="M536">
            <v>214</v>
          </cell>
        </row>
        <row r="537">
          <cell r="M537">
            <v>9</v>
          </cell>
        </row>
        <row r="538">
          <cell r="M538">
            <v>31</v>
          </cell>
        </row>
        <row r="539">
          <cell r="M539">
            <v>267</v>
          </cell>
        </row>
        <row r="540">
          <cell r="M540">
            <v>269</v>
          </cell>
        </row>
        <row r="541">
          <cell r="M541">
            <v>51</v>
          </cell>
        </row>
        <row r="542">
          <cell r="M542">
            <v>51</v>
          </cell>
        </row>
        <row r="543">
          <cell r="M543">
            <v>272</v>
          </cell>
        </row>
        <row r="544">
          <cell r="M544">
            <v>215</v>
          </cell>
        </row>
        <row r="545">
          <cell r="M545">
            <v>1</v>
          </cell>
        </row>
        <row r="546">
          <cell r="M546">
            <v>215</v>
          </cell>
        </row>
        <row r="547">
          <cell r="M547">
            <v>215</v>
          </cell>
        </row>
        <row r="548">
          <cell r="M548">
            <v>215</v>
          </cell>
        </row>
        <row r="549">
          <cell r="M549">
            <v>215</v>
          </cell>
        </row>
        <row r="550">
          <cell r="M550">
            <v>215</v>
          </cell>
        </row>
        <row r="551">
          <cell r="M551">
            <v>215</v>
          </cell>
        </row>
        <row r="552">
          <cell r="M552">
            <v>215</v>
          </cell>
        </row>
        <row r="553">
          <cell r="M553">
            <v>215</v>
          </cell>
        </row>
        <row r="554">
          <cell r="M554">
            <v>42</v>
          </cell>
        </row>
        <row r="555">
          <cell r="M555">
            <v>216</v>
          </cell>
        </row>
      </sheetData>
      <sheetData sheetId="14"/>
      <sheetData sheetId="15"/>
      <sheetData sheetId="16">
        <row r="3">
          <cell r="K3">
            <v>21</v>
          </cell>
        </row>
        <row r="4">
          <cell r="K4">
            <v>14</v>
          </cell>
        </row>
        <row r="5">
          <cell r="K5">
            <v>15</v>
          </cell>
        </row>
        <row r="6">
          <cell r="K6">
            <v>13</v>
          </cell>
        </row>
        <row r="7">
          <cell r="K7">
            <v>23</v>
          </cell>
        </row>
        <row r="8">
          <cell r="K8">
            <v>10</v>
          </cell>
        </row>
        <row r="9">
          <cell r="K9">
            <v>5</v>
          </cell>
        </row>
        <row r="10">
          <cell r="K10">
            <v>27</v>
          </cell>
        </row>
        <row r="11">
          <cell r="K11">
            <v>11</v>
          </cell>
        </row>
        <row r="12">
          <cell r="K12">
            <v>24</v>
          </cell>
        </row>
        <row r="13">
          <cell r="K13">
            <v>3</v>
          </cell>
        </row>
        <row r="14">
          <cell r="K14">
            <v>6</v>
          </cell>
        </row>
        <row r="15">
          <cell r="K15">
            <v>7</v>
          </cell>
        </row>
        <row r="16">
          <cell r="K16">
            <v>2</v>
          </cell>
        </row>
        <row r="17">
          <cell r="K17">
            <v>12</v>
          </cell>
        </row>
        <row r="18">
          <cell r="K18">
            <v>20</v>
          </cell>
        </row>
        <row r="19">
          <cell r="K19">
            <v>26</v>
          </cell>
        </row>
        <row r="20">
          <cell r="K20">
            <v>8</v>
          </cell>
        </row>
        <row r="21">
          <cell r="K21">
            <v>22</v>
          </cell>
        </row>
        <row r="22">
          <cell r="K22">
            <v>16</v>
          </cell>
        </row>
        <row r="23">
          <cell r="K23">
            <v>19</v>
          </cell>
        </row>
        <row r="24">
          <cell r="K24">
            <v>4</v>
          </cell>
        </row>
        <row r="25">
          <cell r="K25">
            <v>18</v>
          </cell>
        </row>
        <row r="26">
          <cell r="K26">
            <v>9</v>
          </cell>
        </row>
        <row r="27">
          <cell r="K27">
            <v>1</v>
          </cell>
        </row>
        <row r="28">
          <cell r="K28">
            <v>25</v>
          </cell>
        </row>
        <row r="29">
          <cell r="K29">
            <v>17</v>
          </cell>
        </row>
        <row r="30">
          <cell r="K30" t="str">
            <v>Não tem</v>
          </cell>
        </row>
        <row r="31">
          <cell r="K31" t="str">
            <v>Não tem</v>
          </cell>
        </row>
        <row r="32">
          <cell r="K32" t="str">
            <v>Não tem</v>
          </cell>
        </row>
      </sheetData>
      <sheetData sheetId="17">
        <row r="3">
          <cell r="D3">
            <v>15</v>
          </cell>
          <cell r="J3">
            <v>84</v>
          </cell>
        </row>
        <row r="4">
          <cell r="D4">
            <v>2</v>
          </cell>
          <cell r="J4">
            <v>155</v>
          </cell>
        </row>
        <row r="5">
          <cell r="D5">
            <v>21</v>
          </cell>
          <cell r="J5">
            <v>82</v>
          </cell>
        </row>
        <row r="6">
          <cell r="D6">
            <v>13</v>
          </cell>
          <cell r="J6">
            <v>88</v>
          </cell>
        </row>
        <row r="7">
          <cell r="D7">
            <v>19</v>
          </cell>
          <cell r="J7" t="str">
            <v/>
          </cell>
        </row>
        <row r="8">
          <cell r="D8">
            <v>4</v>
          </cell>
          <cell r="J8">
            <v>210</v>
          </cell>
        </row>
        <row r="9">
          <cell r="D9">
            <v>17</v>
          </cell>
          <cell r="J9" t="str">
            <v/>
          </cell>
        </row>
        <row r="10">
          <cell r="D10">
            <v>23</v>
          </cell>
          <cell r="J10">
            <v>273</v>
          </cell>
        </row>
        <row r="11">
          <cell r="D11">
            <v>20</v>
          </cell>
          <cell r="J11">
            <v>156</v>
          </cell>
        </row>
        <row r="12">
          <cell r="D12">
            <v>14</v>
          </cell>
          <cell r="J12">
            <v>83</v>
          </cell>
        </row>
        <row r="13">
          <cell r="D13">
            <v>10</v>
          </cell>
          <cell r="J13">
            <v>95</v>
          </cell>
        </row>
        <row r="14">
          <cell r="D14">
            <v>24</v>
          </cell>
          <cell r="J14" t="str">
            <v/>
          </cell>
        </row>
        <row r="15">
          <cell r="D15">
            <v>12</v>
          </cell>
          <cell r="J15" t="str">
            <v/>
          </cell>
        </row>
        <row r="16">
          <cell r="D16">
            <v>26</v>
          </cell>
          <cell r="J16" t="str">
            <v/>
          </cell>
        </row>
        <row r="17">
          <cell r="D17">
            <v>16</v>
          </cell>
          <cell r="J17">
            <v>207</v>
          </cell>
        </row>
        <row r="18">
          <cell r="D18">
            <v>1</v>
          </cell>
          <cell r="J18">
            <v>215</v>
          </cell>
        </row>
        <row r="19">
          <cell r="D19">
            <v>8</v>
          </cell>
          <cell r="J19" t="str">
            <v/>
          </cell>
        </row>
        <row r="20">
          <cell r="D20">
            <v>18</v>
          </cell>
          <cell r="J20">
            <v>54</v>
          </cell>
        </row>
        <row r="21">
          <cell r="D21">
            <v>9</v>
          </cell>
          <cell r="J21">
            <v>213</v>
          </cell>
        </row>
        <row r="22">
          <cell r="D22">
            <v>5</v>
          </cell>
          <cell r="J22" t="str">
            <v/>
          </cell>
        </row>
        <row r="23">
          <cell r="D23">
            <v>11</v>
          </cell>
          <cell r="J23" t="str">
            <v/>
          </cell>
        </row>
        <row r="24">
          <cell r="D24">
            <v>3</v>
          </cell>
          <cell r="J24" t="str">
            <v/>
          </cell>
        </row>
        <row r="25">
          <cell r="D25">
            <v>6</v>
          </cell>
          <cell r="J25" t="str">
            <v/>
          </cell>
        </row>
        <row r="26">
          <cell r="D26">
            <v>7</v>
          </cell>
          <cell r="J26">
            <v>154</v>
          </cell>
        </row>
        <row r="27">
          <cell r="D27">
            <v>22</v>
          </cell>
          <cell r="J27">
            <v>38</v>
          </cell>
        </row>
        <row r="28">
          <cell r="D28">
            <v>27</v>
          </cell>
          <cell r="J28">
            <v>99</v>
          </cell>
        </row>
        <row r="29">
          <cell r="D29">
            <v>25</v>
          </cell>
          <cell r="J29" t="str">
            <v/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_HFM"/>
      <sheetName val="valores acumulados"/>
      <sheetName val="valores mensais"/>
      <sheetName val="Brasil Telecom - Filiais"/>
      <sheetName val="Brasil Telecom Cel- Filiais "/>
      <sheetName val="Brt CMM - Filiais"/>
      <sheetName val="Brt Serv.de Internet - Filiais"/>
      <sheetName val="DataValidation"/>
    </sheetNames>
    <sheetDataSet>
      <sheetData sheetId="0">
        <row r="2">
          <cell r="A2" t="str">
            <v>Real</v>
          </cell>
          <cell r="E2" t="str">
            <v>Entity Currency</v>
          </cell>
          <cell r="G2" t="str">
            <v>[ICP Entities]</v>
          </cell>
        </row>
        <row r="3">
          <cell r="E3" t="str">
            <v>Entity Curr Adjs</v>
          </cell>
          <cell r="G3" t="str">
            <v>[ICP None]</v>
          </cell>
        </row>
        <row r="4">
          <cell r="E4" t="str">
            <v>Elimination</v>
          </cell>
          <cell r="G4" t="str">
            <v>[ICP Top]</v>
          </cell>
        </row>
        <row r="5">
          <cell r="E5" t="str">
            <v>BRL TOTAL</v>
          </cell>
          <cell r="G5" t="str">
            <v>AJIN</v>
          </cell>
        </row>
        <row r="6">
          <cell r="G6" t="str">
            <v>BRPE</v>
          </cell>
        </row>
        <row r="7">
          <cell r="G7" t="str">
            <v>BRTA</v>
          </cell>
        </row>
        <row r="8">
          <cell r="G8" t="str">
            <v>BRTI</v>
          </cell>
        </row>
        <row r="9">
          <cell r="G9" t="str">
            <v>BRTP</v>
          </cell>
        </row>
        <row r="10">
          <cell r="G10" t="str">
            <v>BRTS</v>
          </cell>
        </row>
        <row r="11">
          <cell r="G11" t="str">
            <v>BTCS</v>
          </cell>
        </row>
        <row r="12">
          <cell r="G12" t="str">
            <v>BTCV</v>
          </cell>
        </row>
        <row r="13">
          <cell r="G13" t="str">
            <v>BTSA</v>
          </cell>
        </row>
        <row r="14">
          <cell r="G14" t="str">
            <v>IGBR</v>
          </cell>
        </row>
        <row r="15">
          <cell r="G15" t="str">
            <v>IGCY</v>
          </cell>
        </row>
        <row r="16">
          <cell r="G16" t="str">
            <v>IGHO</v>
          </cell>
        </row>
        <row r="17">
          <cell r="G17" t="str">
            <v>MRED</v>
          </cell>
        </row>
        <row r="18">
          <cell r="G18" t="str">
            <v>NTIN</v>
          </cell>
        </row>
        <row r="19">
          <cell r="G19" t="str">
            <v>NTPA</v>
          </cell>
        </row>
        <row r="20">
          <cell r="G20" t="str">
            <v>SMPE</v>
          </cell>
        </row>
        <row r="21">
          <cell r="G21" t="str">
            <v>VANT</v>
          </cell>
        </row>
        <row r="22">
          <cell r="G22" t="str">
            <v>FREE</v>
          </cell>
        </row>
        <row r="23">
          <cell r="G23" t="str">
            <v>IBEH</v>
          </cell>
        </row>
        <row r="24">
          <cell r="G24" t="str">
            <v>IGIN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6" tint="-0.499984740745262"/>
    <pageSetUpPr fitToPage="1"/>
  </sheetPr>
  <dimension ref="A1:AL380"/>
  <sheetViews>
    <sheetView showGridLines="0" tabSelected="1" zoomScale="90" zoomScaleNormal="90" workbookViewId="0">
      <pane xSplit="2" ySplit="2" topLeftCell="Z248" activePane="bottomRight" state="frozen"/>
      <selection activeCell="AM3" sqref="AM3:AR74"/>
      <selection pane="topRight" activeCell="AM3" sqref="AM3:AR74"/>
      <selection pane="bottomLeft" activeCell="AM3" sqref="AM3:AR74"/>
      <selection pane="bottomRight" activeCell="AH10" sqref="AH10"/>
    </sheetView>
  </sheetViews>
  <sheetFormatPr defaultColWidth="26.42578125" defaultRowHeight="20.100000000000001" customHeight="1" x14ac:dyDescent="0.25"/>
  <cols>
    <col min="1" max="1" width="8.42578125" customWidth="1"/>
    <col min="2" max="5" width="9.5703125" customWidth="1"/>
    <col min="6" max="6" width="40" style="2" customWidth="1"/>
    <col min="7" max="7" width="16.85546875" bestFit="1" customWidth="1"/>
    <col min="8" max="8" width="22.140625" bestFit="1" customWidth="1"/>
    <col min="9" max="9" width="24.42578125" bestFit="1" customWidth="1"/>
    <col min="10" max="10" width="14.5703125" customWidth="1"/>
    <col min="11" max="11" width="20.7109375" bestFit="1" customWidth="1"/>
    <col min="12" max="12" width="20.7109375" customWidth="1"/>
    <col min="13" max="13" width="21" style="3" customWidth="1"/>
    <col min="14" max="14" width="21.140625" style="3" customWidth="1"/>
    <col min="15" max="15" width="26.85546875" style="2" customWidth="1"/>
    <col min="16" max="16" width="20.28515625" customWidth="1"/>
    <col min="17" max="17" width="22" style="3" customWidth="1"/>
    <col min="18" max="18" width="22.140625" style="3" customWidth="1"/>
    <col min="19" max="19" width="19.42578125" customWidth="1"/>
    <col min="20" max="20" width="62.42578125" customWidth="1"/>
    <col min="21" max="21" width="31.7109375" bestFit="1" customWidth="1"/>
    <col min="22" max="22" width="30.140625" bestFit="1" customWidth="1"/>
    <col min="23" max="23" width="13.140625" bestFit="1" customWidth="1"/>
    <col min="24" max="24" width="22.85546875" bestFit="1" customWidth="1"/>
    <col min="25" max="25" width="22.85546875" customWidth="1"/>
    <col min="27" max="30" width="7.7109375" style="4" customWidth="1"/>
    <col min="31" max="33" width="7.5703125" customWidth="1"/>
    <col min="34" max="34" width="63" customWidth="1"/>
  </cols>
  <sheetData>
    <row r="1" spans="1:38" ht="20.100000000000001" customHeight="1" x14ac:dyDescent="0.25">
      <c r="C1" s="1" t="s">
        <v>0</v>
      </c>
    </row>
    <row r="2" spans="1:38" ht="30" customHeight="1" x14ac:dyDescent="0.25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8" t="s">
        <v>12</v>
      </c>
      <c r="M2" s="9" t="s">
        <v>13</v>
      </c>
      <c r="N2" s="9" t="s">
        <v>14</v>
      </c>
      <c r="O2" s="7" t="s">
        <v>15</v>
      </c>
      <c r="P2" s="6" t="s">
        <v>16</v>
      </c>
      <c r="Q2" s="9" t="s">
        <v>17</v>
      </c>
      <c r="R2" s="9" t="s">
        <v>18</v>
      </c>
      <c r="S2" s="7" t="s">
        <v>19</v>
      </c>
      <c r="T2" s="6" t="s">
        <v>20</v>
      </c>
      <c r="U2" s="10" t="s">
        <v>21</v>
      </c>
      <c r="V2" s="10" t="s">
        <v>22</v>
      </c>
      <c r="W2" s="11" t="s">
        <v>23</v>
      </c>
      <c r="X2" s="12" t="s">
        <v>24</v>
      </c>
      <c r="Y2" s="12" t="s">
        <v>25</v>
      </c>
      <c r="Z2" s="5" t="s">
        <v>1</v>
      </c>
      <c r="AA2" s="13" t="s">
        <v>26</v>
      </c>
      <c r="AB2" s="13" t="s">
        <v>27</v>
      </c>
      <c r="AC2" s="13" t="s">
        <v>28</v>
      </c>
      <c r="AD2" s="13" t="s">
        <v>29</v>
      </c>
      <c r="AE2" s="14" t="s">
        <v>30</v>
      </c>
      <c r="AF2" s="15" t="s">
        <v>31</v>
      </c>
      <c r="AG2" s="14" t="s">
        <v>32</v>
      </c>
      <c r="AH2" s="16" t="s">
        <v>33</v>
      </c>
      <c r="AI2" s="17" t="s">
        <v>34</v>
      </c>
      <c r="AJ2" s="17" t="s">
        <v>35</v>
      </c>
      <c r="AK2" t="s">
        <v>36</v>
      </c>
      <c r="AL2" s="18" t="s">
        <v>37</v>
      </c>
    </row>
    <row r="3" spans="1:38" s="23" customFormat="1" ht="15" customHeight="1" x14ac:dyDescent="0.25">
      <c r="A3" s="19">
        <v>1</v>
      </c>
      <c r="B3" s="19" t="s">
        <v>38</v>
      </c>
      <c r="C3" s="19" t="s">
        <v>39</v>
      </c>
      <c r="D3" s="19" t="s">
        <v>40</v>
      </c>
      <c r="E3" s="19" t="s">
        <v>41</v>
      </c>
      <c r="F3" s="19" t="s">
        <v>42</v>
      </c>
      <c r="G3" s="19" t="s">
        <v>43</v>
      </c>
      <c r="H3" s="19" t="s">
        <v>44</v>
      </c>
      <c r="I3" s="20">
        <v>37944</v>
      </c>
      <c r="J3" s="20"/>
      <c r="K3" s="19" t="s">
        <v>45</v>
      </c>
      <c r="L3" s="19" t="s">
        <v>46</v>
      </c>
      <c r="M3" s="20"/>
      <c r="N3" s="19"/>
      <c r="O3" s="19" t="s">
        <v>45</v>
      </c>
      <c r="P3" s="19" t="s">
        <v>47</v>
      </c>
      <c r="Q3" s="19"/>
      <c r="R3" s="19"/>
      <c r="S3" s="19" t="s">
        <v>45</v>
      </c>
      <c r="T3" s="19" t="s">
        <v>48</v>
      </c>
      <c r="U3" s="19" t="s">
        <v>49</v>
      </c>
      <c r="V3" s="19" t="s">
        <v>50</v>
      </c>
      <c r="W3" s="19" t="s">
        <v>51</v>
      </c>
      <c r="X3" s="21" t="s">
        <v>52</v>
      </c>
      <c r="Y3" s="22">
        <v>76535764001204</v>
      </c>
      <c r="Z3" s="23">
        <f>A3</f>
        <v>1</v>
      </c>
      <c r="AA3" s="24" t="str">
        <f>IFERROR(VLOOKUP($Z3,'[1]End Fat Serviço - PA 15 e 16'!$K$3:$K$31,1,0), "")</f>
        <v/>
      </c>
      <c r="AB3" s="24" t="str">
        <f>IFERROR(VLOOKUP($Z3,'[1]End Fat Material - PA 12'!$K$3:$K$64,1,0), "")</f>
        <v/>
      </c>
      <c r="AC3" s="24" t="str">
        <f>IFERROR(VLOOKUP($Z3,'[1]End CA Lotação'!$L$3:$L$36,1,0), "")</f>
        <v/>
      </c>
      <c r="AD3" s="24">
        <f>IFERROR(VLOOKUP(Z3,'[1]RH - PARA 21.03'!$M$3:$M$555,1,0),"")</f>
        <v>1</v>
      </c>
      <c r="AE3" s="23">
        <f>IFERROR(VLOOKUP($Z3,'[1]CNPJ Oi Fat'!$K$3:$K$32,1,0),"")</f>
        <v>1</v>
      </c>
      <c r="AF3" s="23">
        <f>IFERROR(VLOOKUP(Z3,'[1]End Logística Oi'!$D$3:$D$29,1,0),"")</f>
        <v>1</v>
      </c>
      <c r="AG3" s="23" t="str">
        <f>IFERROR(VLOOKUP(Z3,'[1]End Logística Oi'!$J$3:$J$29,1,0),"")</f>
        <v/>
      </c>
      <c r="AH3" s="23" t="s">
        <v>53</v>
      </c>
      <c r="AI3" s="23" t="s">
        <v>54</v>
      </c>
      <c r="AJ3" s="23" t="s">
        <v>55</v>
      </c>
      <c r="AK3" s="23" t="e">
        <v>#N/A</v>
      </c>
    </row>
    <row r="4" spans="1:38" s="23" customFormat="1" ht="15" customHeight="1" x14ac:dyDescent="0.25">
      <c r="A4" s="25">
        <v>2</v>
      </c>
      <c r="B4" s="26" t="s">
        <v>56</v>
      </c>
      <c r="C4" s="27" t="s">
        <v>39</v>
      </c>
      <c r="D4" s="26" t="s">
        <v>40</v>
      </c>
      <c r="E4" s="26" t="s">
        <v>41</v>
      </c>
      <c r="F4" s="26" t="s">
        <v>42</v>
      </c>
      <c r="G4" s="28" t="s">
        <v>57</v>
      </c>
      <c r="H4" s="26" t="s">
        <v>58</v>
      </c>
      <c r="I4" s="29">
        <v>38092</v>
      </c>
      <c r="J4" s="30"/>
      <c r="K4" s="19" t="s">
        <v>45</v>
      </c>
      <c r="L4" s="31" t="s">
        <v>59</v>
      </c>
      <c r="M4" s="29">
        <v>38212</v>
      </c>
      <c r="N4" s="32"/>
      <c r="O4" s="31" t="s">
        <v>45</v>
      </c>
      <c r="P4" s="33" t="s">
        <v>60</v>
      </c>
      <c r="Q4" s="29">
        <v>38565</v>
      </c>
      <c r="R4" s="32"/>
      <c r="S4" s="31" t="s">
        <v>45</v>
      </c>
      <c r="T4" s="31" t="s">
        <v>61</v>
      </c>
      <c r="U4" s="31" t="s">
        <v>62</v>
      </c>
      <c r="V4" s="27" t="s">
        <v>63</v>
      </c>
      <c r="W4" s="31" t="s">
        <v>64</v>
      </c>
      <c r="X4" s="21" t="s">
        <v>52</v>
      </c>
      <c r="Y4" s="22">
        <v>76535764002359</v>
      </c>
      <c r="Z4" s="23">
        <v>2</v>
      </c>
      <c r="AA4" s="24" t="s">
        <v>65</v>
      </c>
      <c r="AB4" s="24">
        <v>2</v>
      </c>
      <c r="AC4" s="24">
        <v>2</v>
      </c>
      <c r="AD4" s="24">
        <v>2</v>
      </c>
      <c r="AE4" s="23">
        <v>2</v>
      </c>
      <c r="AF4" s="23">
        <v>2</v>
      </c>
      <c r="AG4" s="23" t="s">
        <v>65</v>
      </c>
      <c r="AH4" s="34" t="s">
        <v>66</v>
      </c>
      <c r="AI4" s="23" t="s">
        <v>54</v>
      </c>
      <c r="AJ4" s="23" t="s">
        <v>54</v>
      </c>
      <c r="AK4" s="23" t="s">
        <v>67</v>
      </c>
    </row>
    <row r="5" spans="1:38" s="23" customFormat="1" ht="15" hidden="1" customHeight="1" x14ac:dyDescent="0.25">
      <c r="A5" s="19">
        <v>3</v>
      </c>
      <c r="B5" s="19" t="s">
        <v>68</v>
      </c>
      <c r="C5" s="19" t="s">
        <v>39</v>
      </c>
      <c r="D5" s="19" t="s">
        <v>40</v>
      </c>
      <c r="E5" s="19" t="s">
        <v>41</v>
      </c>
      <c r="F5" s="19" t="s">
        <v>42</v>
      </c>
      <c r="G5" s="19" t="s">
        <v>69</v>
      </c>
      <c r="H5" s="19" t="s">
        <v>70</v>
      </c>
      <c r="I5" s="20">
        <v>37939</v>
      </c>
      <c r="J5" s="20"/>
      <c r="K5" s="19" t="s">
        <v>45</v>
      </c>
      <c r="L5" s="19" t="s">
        <v>71</v>
      </c>
      <c r="M5" s="20">
        <v>38020</v>
      </c>
      <c r="N5" s="19"/>
      <c r="O5" s="19" t="s">
        <v>45</v>
      </c>
      <c r="P5" s="19" t="s">
        <v>72</v>
      </c>
      <c r="Q5" s="20">
        <v>38020</v>
      </c>
      <c r="R5" s="19"/>
      <c r="S5" s="19" t="s">
        <v>45</v>
      </c>
      <c r="T5" s="19" t="s">
        <v>73</v>
      </c>
      <c r="U5" s="19" t="s">
        <v>74</v>
      </c>
      <c r="V5" s="19" t="s">
        <v>75</v>
      </c>
      <c r="W5" s="19" t="s">
        <v>76</v>
      </c>
      <c r="X5" s="21" t="s">
        <v>52</v>
      </c>
      <c r="Y5" s="22">
        <v>76535764000739</v>
      </c>
      <c r="Z5" s="23">
        <f>A5</f>
        <v>3</v>
      </c>
      <c r="AA5" s="24" t="str">
        <f>IFERROR(VLOOKUP($Z5,'[1]End Fat Serviço - PA 15 e 16'!$K$3:$K$31,1,0), "")</f>
        <v/>
      </c>
      <c r="AB5" s="24" t="str">
        <f>IFERROR(VLOOKUP($Z5,'[1]End Fat Material - PA 12'!$K$3:$K$64,1,0), "")</f>
        <v/>
      </c>
      <c r="AC5" s="24" t="str">
        <f>IFERROR(VLOOKUP($Z5,'[1]End CA Lotação'!$L$3:$L$36,1,0), "")</f>
        <v/>
      </c>
      <c r="AD5" s="24" t="str">
        <f>IFERROR(VLOOKUP(Z5,'[1]RH - PARA 21.03'!$M$3:$M$555,1,0),"")</f>
        <v/>
      </c>
      <c r="AE5" s="23">
        <f>IFERROR(VLOOKUP($Z5,'[1]CNPJ Oi Fat'!$K$3:$K$32,1,0),"")</f>
        <v>3</v>
      </c>
      <c r="AF5" s="23">
        <f>IFERROR(VLOOKUP(Z5,'[1]End Logística Oi'!$D$3:$D$29,1,0),"")</f>
        <v>3</v>
      </c>
      <c r="AG5" s="23" t="str">
        <f>IFERROR(VLOOKUP(Z5,'[1]End Logística Oi'!$J$3:$J$29,1,0),"")</f>
        <v/>
      </c>
      <c r="AI5" s="23" t="s">
        <v>55</v>
      </c>
      <c r="AJ5" s="23" t="s">
        <v>55</v>
      </c>
      <c r="AK5" s="23" t="e">
        <v>#N/A</v>
      </c>
    </row>
    <row r="6" spans="1:38" s="23" customFormat="1" ht="15" customHeight="1" x14ac:dyDescent="0.25">
      <c r="A6" s="19">
        <v>4</v>
      </c>
      <c r="B6" s="19" t="s">
        <v>77</v>
      </c>
      <c r="C6" s="19" t="s">
        <v>39</v>
      </c>
      <c r="D6" s="19" t="s">
        <v>40</v>
      </c>
      <c r="E6" s="19" t="s">
        <v>41</v>
      </c>
      <c r="F6" s="19" t="s">
        <v>42</v>
      </c>
      <c r="G6" s="19" t="s">
        <v>78</v>
      </c>
      <c r="H6" s="19" t="s">
        <v>79</v>
      </c>
      <c r="I6" s="20">
        <v>37943</v>
      </c>
      <c r="J6" s="20"/>
      <c r="K6" s="19" t="s">
        <v>45</v>
      </c>
      <c r="L6" s="19" t="s">
        <v>80</v>
      </c>
      <c r="M6" s="20"/>
      <c r="N6" s="19"/>
      <c r="O6" s="19" t="s">
        <v>45</v>
      </c>
      <c r="P6" s="19" t="s">
        <v>81</v>
      </c>
      <c r="Q6" s="19"/>
      <c r="R6" s="19"/>
      <c r="S6" s="19" t="s">
        <v>45</v>
      </c>
      <c r="T6" s="19" t="s">
        <v>82</v>
      </c>
      <c r="U6" s="19" t="s">
        <v>49</v>
      </c>
      <c r="V6" s="19" t="s">
        <v>83</v>
      </c>
      <c r="W6" s="35" t="s">
        <v>84</v>
      </c>
      <c r="X6" s="21" t="s">
        <v>52</v>
      </c>
      <c r="Y6" s="22">
        <v>76535764001387</v>
      </c>
      <c r="Z6" s="23">
        <f>A6</f>
        <v>4</v>
      </c>
      <c r="AA6" s="24" t="str">
        <f>IFERROR(VLOOKUP($Z6,'[1]End Fat Serviço - PA 15 e 16'!$K$3:$K$31,1,0), "")</f>
        <v/>
      </c>
      <c r="AB6" s="24" t="str">
        <f>IFERROR(VLOOKUP($Z6,'[1]End Fat Material - PA 12'!$K$3:$K$64,1,0), "")</f>
        <v/>
      </c>
      <c r="AC6" s="24" t="str">
        <f>IFERROR(VLOOKUP($Z6,'[1]End CA Lotação'!$L$3:$L$36,1,0), "")</f>
        <v/>
      </c>
      <c r="AD6" s="24">
        <f>IFERROR(VLOOKUP(Z6,'[1]RH - PARA 21.03'!$M$3:$M$555,1,0),"")</f>
        <v>4</v>
      </c>
      <c r="AE6" s="23">
        <f>IFERROR(VLOOKUP($Z6,'[1]CNPJ Oi Fat'!$K$3:$K$32,1,0),"")</f>
        <v>4</v>
      </c>
      <c r="AF6" s="23">
        <f>IFERROR(VLOOKUP(Z6,'[1]End Logística Oi'!$D$3:$D$29,1,0),"")</f>
        <v>4</v>
      </c>
      <c r="AG6" s="23" t="str">
        <f>IFERROR(VLOOKUP(Z6,'[1]End Logística Oi'!$J$3:$J$29,1,0),"")</f>
        <v/>
      </c>
      <c r="AH6" s="23" t="s">
        <v>53</v>
      </c>
      <c r="AI6" s="23" t="s">
        <v>54</v>
      </c>
      <c r="AJ6" s="23" t="s">
        <v>55</v>
      </c>
      <c r="AK6" s="23" t="e">
        <v>#N/A</v>
      </c>
    </row>
    <row r="7" spans="1:38" s="23" customFormat="1" ht="15" hidden="1" customHeight="1" x14ac:dyDescent="0.25">
      <c r="A7" s="19">
        <v>5</v>
      </c>
      <c r="B7" s="19" t="s">
        <v>85</v>
      </c>
      <c r="C7" s="19" t="s">
        <v>39</v>
      </c>
      <c r="D7" s="19" t="s">
        <v>40</v>
      </c>
      <c r="E7" s="19" t="s">
        <v>41</v>
      </c>
      <c r="F7" s="19" t="s">
        <v>42</v>
      </c>
      <c r="G7" s="19" t="s">
        <v>86</v>
      </c>
      <c r="H7" s="19" t="s">
        <v>87</v>
      </c>
      <c r="I7" s="20">
        <v>36622</v>
      </c>
      <c r="J7" s="20"/>
      <c r="K7" s="19" t="s">
        <v>45</v>
      </c>
      <c r="L7" s="36" t="s">
        <v>88</v>
      </c>
      <c r="M7" s="20">
        <v>40765</v>
      </c>
      <c r="N7" s="36"/>
      <c r="O7" s="19" t="s">
        <v>45</v>
      </c>
      <c r="P7" s="19" t="s">
        <v>89</v>
      </c>
      <c r="Q7" s="36"/>
      <c r="R7" s="36"/>
      <c r="S7" s="19" t="s">
        <v>90</v>
      </c>
      <c r="T7" s="19" t="s">
        <v>91</v>
      </c>
      <c r="U7" s="19" t="s">
        <v>92</v>
      </c>
      <c r="V7" s="19" t="s">
        <v>93</v>
      </c>
      <c r="W7" s="19" t="s">
        <v>94</v>
      </c>
      <c r="X7" s="21" t="s">
        <v>52</v>
      </c>
      <c r="Y7" s="22">
        <v>76535764032690</v>
      </c>
      <c r="Z7" s="23">
        <f>A7</f>
        <v>5</v>
      </c>
      <c r="AA7" s="24" t="str">
        <f>IFERROR(VLOOKUP($Z7,'[1]End Fat Serviço - PA 15 e 16'!$K$3:$K$31,1,0), "")</f>
        <v/>
      </c>
      <c r="AB7" s="24" t="str">
        <f>IFERROR(VLOOKUP($Z7,'[1]End Fat Material - PA 12'!$K$3:$K$64,1,0), "")</f>
        <v/>
      </c>
      <c r="AC7" s="24" t="str">
        <f>IFERROR(VLOOKUP($Z7,'[1]End CA Lotação'!$L$3:$L$36,1,0), "")</f>
        <v/>
      </c>
      <c r="AD7" s="24" t="str">
        <f>IFERROR(VLOOKUP(Z7,'[1]RH - PARA 21.03'!$M$3:$M$555,1,0),"")</f>
        <v/>
      </c>
      <c r="AE7" s="23">
        <f>IFERROR(VLOOKUP($Z7,'[1]CNPJ Oi Fat'!$K$3:$K$32,1,0),"")</f>
        <v>5</v>
      </c>
      <c r="AF7" s="23">
        <f>IFERROR(VLOOKUP(Z7,'[1]End Logística Oi'!$D$3:$D$29,1,0),"")</f>
        <v>5</v>
      </c>
      <c r="AG7" s="23" t="str">
        <f>IFERROR(VLOOKUP(Z7,'[1]End Logística Oi'!$J$3:$J$29,1,0),"")</f>
        <v/>
      </c>
      <c r="AI7" s="23" t="s">
        <v>55</v>
      </c>
      <c r="AJ7" s="23" t="s">
        <v>55</v>
      </c>
      <c r="AK7" s="23" t="e">
        <v>#N/A</v>
      </c>
    </row>
    <row r="8" spans="1:38" s="23" customFormat="1" ht="15" hidden="1" customHeight="1" x14ac:dyDescent="0.25">
      <c r="A8" s="19">
        <v>6</v>
      </c>
      <c r="B8" s="19" t="s">
        <v>95</v>
      </c>
      <c r="C8" s="19" t="s">
        <v>39</v>
      </c>
      <c r="D8" s="19" t="s">
        <v>40</v>
      </c>
      <c r="E8" s="19" t="s">
        <v>41</v>
      </c>
      <c r="F8" s="19" t="s">
        <v>42</v>
      </c>
      <c r="G8" s="19" t="s">
        <v>96</v>
      </c>
      <c r="H8" s="19" t="s">
        <v>97</v>
      </c>
      <c r="I8" s="20">
        <v>36602</v>
      </c>
      <c r="J8" s="20"/>
      <c r="K8" s="19" t="s">
        <v>45</v>
      </c>
      <c r="L8" s="19" t="s">
        <v>98</v>
      </c>
      <c r="M8" s="20">
        <v>36602</v>
      </c>
      <c r="N8" s="19"/>
      <c r="O8" s="19" t="s">
        <v>45</v>
      </c>
      <c r="P8" s="19" t="s">
        <v>99</v>
      </c>
      <c r="Q8" s="19"/>
      <c r="R8" s="19"/>
      <c r="S8" s="19" t="s">
        <v>45</v>
      </c>
      <c r="T8" s="19" t="s">
        <v>100</v>
      </c>
      <c r="U8" s="19" t="s">
        <v>101</v>
      </c>
      <c r="V8" s="19" t="s">
        <v>102</v>
      </c>
      <c r="W8" s="19" t="s">
        <v>103</v>
      </c>
      <c r="X8" s="21" t="s">
        <v>52</v>
      </c>
      <c r="Y8" s="22">
        <v>76535764032428</v>
      </c>
      <c r="Z8" s="23">
        <f>A8</f>
        <v>6</v>
      </c>
      <c r="AA8" s="24" t="str">
        <f>IFERROR(VLOOKUP($Z8,'[1]End Fat Serviço - PA 15 e 16'!$K$3:$K$31,1,0), "")</f>
        <v/>
      </c>
      <c r="AB8" s="24" t="str">
        <f>IFERROR(VLOOKUP($Z8,'[1]End Fat Material - PA 12'!$K$3:$K$64,1,0), "")</f>
        <v/>
      </c>
      <c r="AC8" s="24" t="str">
        <f>IFERROR(VLOOKUP($Z8,'[1]End CA Lotação'!$L$3:$L$36,1,0), "")</f>
        <v/>
      </c>
      <c r="AD8" s="24" t="str">
        <f>IFERROR(VLOOKUP(Z8,'[1]RH - PARA 21.03'!$M$3:$M$555,1,0),"")</f>
        <v/>
      </c>
      <c r="AE8" s="23">
        <f>IFERROR(VLOOKUP($Z8,'[1]CNPJ Oi Fat'!$K$3:$K$32,1,0),"")</f>
        <v>6</v>
      </c>
      <c r="AF8" s="23">
        <f>IFERROR(VLOOKUP(Z8,'[1]End Logística Oi'!$D$3:$D$29,1,0),"")</f>
        <v>6</v>
      </c>
      <c r="AG8" s="23" t="str">
        <f>IFERROR(VLOOKUP(Z8,'[1]End Logística Oi'!$J$3:$J$29,1,0),"")</f>
        <v/>
      </c>
      <c r="AI8" s="23" t="s">
        <v>55</v>
      </c>
      <c r="AJ8" s="23" t="s">
        <v>55</v>
      </c>
      <c r="AK8" s="23" t="e">
        <v>#N/A</v>
      </c>
    </row>
    <row r="9" spans="1:38" s="23" customFormat="1" ht="15" hidden="1" customHeight="1" x14ac:dyDescent="0.25">
      <c r="A9" s="19">
        <v>7</v>
      </c>
      <c r="B9" s="19" t="s">
        <v>104</v>
      </c>
      <c r="C9" s="19" t="s">
        <v>39</v>
      </c>
      <c r="D9" s="19" t="s">
        <v>40</v>
      </c>
      <c r="E9" s="19" t="s">
        <v>41</v>
      </c>
      <c r="F9" s="19" t="s">
        <v>42</v>
      </c>
      <c r="G9" s="19" t="s">
        <v>105</v>
      </c>
      <c r="H9" s="19" t="s">
        <v>106</v>
      </c>
      <c r="I9" s="20">
        <v>36609</v>
      </c>
      <c r="J9" s="20"/>
      <c r="K9" s="19" t="s">
        <v>45</v>
      </c>
      <c r="L9" s="19" t="s">
        <v>107</v>
      </c>
      <c r="M9" s="20">
        <v>26868</v>
      </c>
      <c r="N9" s="19"/>
      <c r="O9" s="19" t="s">
        <v>45</v>
      </c>
      <c r="P9" s="19">
        <v>69541</v>
      </c>
      <c r="Q9" s="19"/>
      <c r="R9" s="19"/>
      <c r="S9" s="19" t="s">
        <v>45</v>
      </c>
      <c r="T9" s="19" t="s">
        <v>108</v>
      </c>
      <c r="U9" s="19" t="s">
        <v>109</v>
      </c>
      <c r="V9" s="19" t="s">
        <v>110</v>
      </c>
      <c r="W9" s="19" t="s">
        <v>111</v>
      </c>
      <c r="X9" s="21" t="s">
        <v>52</v>
      </c>
      <c r="Y9" s="22">
        <v>76535764032932</v>
      </c>
      <c r="Z9" s="23">
        <f>A9</f>
        <v>7</v>
      </c>
      <c r="AA9" s="24" t="str">
        <f>IFERROR(VLOOKUP($Z9,'[1]End Fat Serviço - PA 15 e 16'!$K$3:$K$31,1,0), "")</f>
        <v/>
      </c>
      <c r="AB9" s="24" t="str">
        <f>IFERROR(VLOOKUP($Z9,'[1]End Fat Material - PA 12'!$K$3:$K$64,1,0), "")</f>
        <v/>
      </c>
      <c r="AC9" s="24" t="str">
        <f>IFERROR(VLOOKUP($Z9,'[1]End CA Lotação'!$L$3:$L$36,1,0), "")</f>
        <v/>
      </c>
      <c r="AD9" s="24" t="str">
        <f>IFERROR(VLOOKUP(Z9,'[1]RH - PARA 21.03'!$M$3:$M$555,1,0),"")</f>
        <v/>
      </c>
      <c r="AE9" s="23">
        <f>IFERROR(VLOOKUP($Z9,'[1]CNPJ Oi Fat'!$K$3:$K$32,1,0),"")</f>
        <v>7</v>
      </c>
      <c r="AF9" s="23">
        <f>IFERROR(VLOOKUP(Z9,'[1]End Logística Oi'!$D$3:$D$29,1,0),"")</f>
        <v>7</v>
      </c>
      <c r="AG9" s="23" t="str">
        <f>IFERROR(VLOOKUP(Z9,'[1]End Logística Oi'!$J$3:$J$29,1,0),"")</f>
        <v/>
      </c>
      <c r="AI9" s="23" t="s">
        <v>55</v>
      </c>
      <c r="AJ9" s="23" t="s">
        <v>55</v>
      </c>
      <c r="AK9" s="23" t="e">
        <v>#N/A</v>
      </c>
    </row>
    <row r="10" spans="1:38" s="23" customFormat="1" ht="15" hidden="1" customHeight="1" x14ac:dyDescent="0.25">
      <c r="A10" s="25">
        <v>8</v>
      </c>
      <c r="B10" s="26" t="s">
        <v>112</v>
      </c>
      <c r="C10" s="27" t="s">
        <v>39</v>
      </c>
      <c r="D10" s="26" t="s">
        <v>40</v>
      </c>
      <c r="E10" s="26" t="s">
        <v>41</v>
      </c>
      <c r="F10" s="26" t="s">
        <v>42</v>
      </c>
      <c r="G10" s="28" t="s">
        <v>113</v>
      </c>
      <c r="H10" s="26" t="s">
        <v>114</v>
      </c>
      <c r="I10" s="29">
        <v>36594</v>
      </c>
      <c r="J10" s="30"/>
      <c r="K10" s="19" t="s">
        <v>45</v>
      </c>
      <c r="L10" s="31" t="s">
        <v>115</v>
      </c>
      <c r="M10" s="29">
        <v>36617</v>
      </c>
      <c r="N10" s="32"/>
      <c r="O10" s="31" t="s">
        <v>45</v>
      </c>
      <c r="P10" s="33">
        <v>4001640</v>
      </c>
      <c r="Q10" s="29">
        <v>36587</v>
      </c>
      <c r="R10" s="32"/>
      <c r="S10" s="31" t="s">
        <v>45</v>
      </c>
      <c r="T10" s="31" t="s">
        <v>116</v>
      </c>
      <c r="U10" s="31" t="s">
        <v>117</v>
      </c>
      <c r="V10" s="27" t="s">
        <v>118</v>
      </c>
      <c r="W10" s="31" t="s">
        <v>119</v>
      </c>
      <c r="X10" s="21" t="s">
        <v>52</v>
      </c>
      <c r="Y10" s="22">
        <v>76535764032185</v>
      </c>
      <c r="Z10" s="23">
        <v>8</v>
      </c>
      <c r="AA10" s="24">
        <v>8</v>
      </c>
      <c r="AB10" s="24">
        <v>8</v>
      </c>
      <c r="AC10" s="24">
        <v>8</v>
      </c>
      <c r="AD10" s="24" t="s">
        <v>65</v>
      </c>
      <c r="AE10" s="23">
        <v>8</v>
      </c>
      <c r="AF10" s="23">
        <v>8</v>
      </c>
      <c r="AG10" s="23" t="s">
        <v>65</v>
      </c>
      <c r="AH10" s="34" t="s">
        <v>120</v>
      </c>
      <c r="AI10" s="23" t="s">
        <v>54</v>
      </c>
      <c r="AJ10" s="23" t="s">
        <v>54</v>
      </c>
      <c r="AK10" s="23" t="s">
        <v>121</v>
      </c>
    </row>
    <row r="11" spans="1:38" s="23" customFormat="1" ht="15" customHeight="1" x14ac:dyDescent="0.25">
      <c r="A11" s="25">
        <v>9</v>
      </c>
      <c r="B11" s="26" t="s">
        <v>122</v>
      </c>
      <c r="C11" s="27" t="s">
        <v>39</v>
      </c>
      <c r="D11" s="26" t="s">
        <v>40</v>
      </c>
      <c r="E11" s="26" t="s">
        <v>41</v>
      </c>
      <c r="F11" s="26" t="s">
        <v>42</v>
      </c>
      <c r="G11" s="28" t="s">
        <v>123</v>
      </c>
      <c r="H11" s="26" t="s">
        <v>124</v>
      </c>
      <c r="I11" s="29">
        <v>36605</v>
      </c>
      <c r="J11" s="30"/>
      <c r="K11" s="19" t="s">
        <v>45</v>
      </c>
      <c r="L11" s="31">
        <v>250427648</v>
      </c>
      <c r="M11" s="29">
        <v>25400</v>
      </c>
      <c r="N11" s="32"/>
      <c r="O11" s="31" t="s">
        <v>45</v>
      </c>
      <c r="P11" s="33" t="s">
        <v>125</v>
      </c>
      <c r="Q11" s="29">
        <v>36620</v>
      </c>
      <c r="R11" s="32"/>
      <c r="S11" s="31" t="s">
        <v>45</v>
      </c>
      <c r="T11" s="31" t="s">
        <v>126</v>
      </c>
      <c r="U11" s="31" t="s">
        <v>127</v>
      </c>
      <c r="V11" s="27" t="s">
        <v>128</v>
      </c>
      <c r="W11" s="31" t="s">
        <v>129</v>
      </c>
      <c r="X11" s="21" t="s">
        <v>52</v>
      </c>
      <c r="Y11" s="22">
        <v>76535764032266</v>
      </c>
      <c r="Z11" s="23">
        <v>9</v>
      </c>
      <c r="AA11" s="24">
        <v>9</v>
      </c>
      <c r="AB11" s="24">
        <v>9</v>
      </c>
      <c r="AC11" s="24">
        <v>9</v>
      </c>
      <c r="AD11" s="24">
        <v>9</v>
      </c>
      <c r="AE11" s="23">
        <v>9</v>
      </c>
      <c r="AF11" s="23">
        <v>9</v>
      </c>
      <c r="AG11" s="23" t="s">
        <v>65</v>
      </c>
      <c r="AH11" s="34" t="s">
        <v>66</v>
      </c>
      <c r="AI11" s="23" t="s">
        <v>54</v>
      </c>
      <c r="AJ11" s="23" t="s">
        <v>54</v>
      </c>
      <c r="AK11" s="23" t="s">
        <v>121</v>
      </c>
    </row>
    <row r="12" spans="1:38" s="23" customFormat="1" ht="15" customHeight="1" x14ac:dyDescent="0.25">
      <c r="A12" s="19">
        <v>10</v>
      </c>
      <c r="B12" s="19" t="s">
        <v>130</v>
      </c>
      <c r="C12" s="19" t="s">
        <v>39</v>
      </c>
      <c r="D12" s="19" t="s">
        <v>40</v>
      </c>
      <c r="E12" s="19" t="s">
        <v>41</v>
      </c>
      <c r="F12" s="19" t="s">
        <v>42</v>
      </c>
      <c r="G12" s="19" t="s">
        <v>131</v>
      </c>
      <c r="H12" s="19" t="s">
        <v>132</v>
      </c>
      <c r="I12" s="20">
        <v>37953</v>
      </c>
      <c r="J12" s="20"/>
      <c r="K12" s="19" t="s">
        <v>45</v>
      </c>
      <c r="L12" s="19" t="s">
        <v>133</v>
      </c>
      <c r="M12" s="20">
        <v>37991</v>
      </c>
      <c r="N12" s="19"/>
      <c r="O12" s="19" t="s">
        <v>45</v>
      </c>
      <c r="P12" s="19" t="s">
        <v>134</v>
      </c>
      <c r="Q12" s="20">
        <v>37953</v>
      </c>
      <c r="R12" s="19"/>
      <c r="S12" s="19" t="s">
        <v>45</v>
      </c>
      <c r="T12" s="19" t="s">
        <v>135</v>
      </c>
      <c r="U12" s="19" t="s">
        <v>136</v>
      </c>
      <c r="V12" s="19" t="s">
        <v>137</v>
      </c>
      <c r="W12" s="19" t="s">
        <v>138</v>
      </c>
      <c r="X12" s="21" t="s">
        <v>52</v>
      </c>
      <c r="Y12" s="22">
        <v>76535764002006</v>
      </c>
      <c r="Z12" s="23">
        <f>A12</f>
        <v>10</v>
      </c>
      <c r="AA12" s="24" t="str">
        <f>IFERROR(VLOOKUP($Z12,'[1]End Fat Serviço - PA 15 e 16'!$K$3:$K$31,1,0), "")</f>
        <v/>
      </c>
      <c r="AB12" s="24" t="str">
        <f>IFERROR(VLOOKUP($Z12,'[1]End Fat Material - PA 12'!$K$3:$K$64,1,0), "")</f>
        <v/>
      </c>
      <c r="AC12" s="24" t="str">
        <f>IFERROR(VLOOKUP($Z12,'[1]End CA Lotação'!$L$3:$L$36,1,0), "")</f>
        <v/>
      </c>
      <c r="AD12" s="24">
        <f>IFERROR(VLOOKUP(Z12,'[1]RH - PARA 21.03'!$M$3:$M$555,1,0),"")</f>
        <v>10</v>
      </c>
      <c r="AE12" s="23">
        <f>IFERROR(VLOOKUP($Z12,'[1]CNPJ Oi Fat'!$K$3:$K$32,1,0),"")</f>
        <v>10</v>
      </c>
      <c r="AF12" s="23">
        <f>IFERROR(VLOOKUP(Z12,'[1]End Logística Oi'!$D$3:$D$29,1,0),"")</f>
        <v>10</v>
      </c>
      <c r="AG12" s="23" t="str">
        <f>IFERROR(VLOOKUP(Z12,'[1]End Logística Oi'!$J$3:$J$29,1,0),"")</f>
        <v/>
      </c>
      <c r="AH12" s="23" t="s">
        <v>53</v>
      </c>
      <c r="AI12" s="23" t="s">
        <v>54</v>
      </c>
      <c r="AJ12" s="23" t="s">
        <v>55</v>
      </c>
      <c r="AK12" s="23" t="e">
        <v>#N/A</v>
      </c>
    </row>
    <row r="13" spans="1:38" s="23" customFormat="1" ht="15" hidden="1" customHeight="1" x14ac:dyDescent="0.25">
      <c r="A13" s="19">
        <v>11</v>
      </c>
      <c r="B13" s="19" t="s">
        <v>139</v>
      </c>
      <c r="C13" s="19" t="s">
        <v>39</v>
      </c>
      <c r="D13" s="19" t="s">
        <v>40</v>
      </c>
      <c r="E13" s="19" t="s">
        <v>41</v>
      </c>
      <c r="F13" s="19" t="s">
        <v>42</v>
      </c>
      <c r="G13" s="19" t="s">
        <v>140</v>
      </c>
      <c r="H13" s="19" t="s">
        <v>141</v>
      </c>
      <c r="I13" s="20">
        <v>36622</v>
      </c>
      <c r="J13" s="20"/>
      <c r="K13" s="19" t="s">
        <v>45</v>
      </c>
      <c r="L13" s="19" t="s">
        <v>142</v>
      </c>
      <c r="M13" s="20">
        <v>36627</v>
      </c>
      <c r="N13" s="19"/>
      <c r="O13" s="19" t="s">
        <v>45</v>
      </c>
      <c r="P13" s="19" t="s">
        <v>143</v>
      </c>
      <c r="Q13" s="19"/>
      <c r="R13" s="19"/>
      <c r="S13" s="19" t="s">
        <v>45</v>
      </c>
      <c r="T13" s="19" t="s">
        <v>144</v>
      </c>
      <c r="U13" s="19" t="s">
        <v>145</v>
      </c>
      <c r="V13" s="19" t="s">
        <v>146</v>
      </c>
      <c r="W13" s="19" t="s">
        <v>147</v>
      </c>
      <c r="X13" s="21" t="s">
        <v>52</v>
      </c>
      <c r="Y13" s="22">
        <v>76535764032851</v>
      </c>
      <c r="Z13" s="23">
        <f>A13</f>
        <v>11</v>
      </c>
      <c r="AA13" s="24" t="str">
        <f>IFERROR(VLOOKUP($Z13,'[1]End Fat Serviço - PA 15 e 16'!$K$3:$K$31,1,0), "")</f>
        <v/>
      </c>
      <c r="AB13" s="24" t="str">
        <f>IFERROR(VLOOKUP($Z13,'[1]End Fat Material - PA 12'!$K$3:$K$64,1,0), "")</f>
        <v/>
      </c>
      <c r="AC13" s="24" t="str">
        <f>IFERROR(VLOOKUP($Z13,'[1]End CA Lotação'!$L$3:$L$36,1,0), "")</f>
        <v/>
      </c>
      <c r="AD13" s="24" t="str">
        <f>IFERROR(VLOOKUP(Z13,'[1]RH - PARA 21.03'!$M$3:$M$555,1,0),"")</f>
        <v/>
      </c>
      <c r="AE13" s="23">
        <f>IFERROR(VLOOKUP($Z13,'[1]CNPJ Oi Fat'!$K$3:$K$32,1,0),"")</f>
        <v>11</v>
      </c>
      <c r="AF13" s="23">
        <f>IFERROR(VLOOKUP(Z13,'[1]End Logística Oi'!$D$3:$D$29,1,0),"")</f>
        <v>11</v>
      </c>
      <c r="AG13" s="23" t="str">
        <f>IFERROR(VLOOKUP(Z13,'[1]End Logística Oi'!$J$3:$J$29,1,0),"")</f>
        <v/>
      </c>
      <c r="AI13" s="23" t="s">
        <v>55</v>
      </c>
      <c r="AJ13" s="23" t="s">
        <v>55</v>
      </c>
      <c r="AK13" s="23" t="e">
        <v>#N/A</v>
      </c>
    </row>
    <row r="14" spans="1:38" s="23" customFormat="1" ht="15" customHeight="1" x14ac:dyDescent="0.25">
      <c r="A14" s="25">
        <v>12</v>
      </c>
      <c r="B14" s="26" t="s">
        <v>148</v>
      </c>
      <c r="C14" s="27" t="s">
        <v>39</v>
      </c>
      <c r="D14" s="26" t="s">
        <v>40</v>
      </c>
      <c r="E14" s="26" t="s">
        <v>41</v>
      </c>
      <c r="F14" s="26" t="s">
        <v>42</v>
      </c>
      <c r="G14" s="28" t="s">
        <v>149</v>
      </c>
      <c r="H14" s="26" t="s">
        <v>150</v>
      </c>
      <c r="I14" s="29">
        <v>37959</v>
      </c>
      <c r="J14" s="30"/>
      <c r="K14" s="19" t="s">
        <v>45</v>
      </c>
      <c r="L14" s="31" t="s">
        <v>151</v>
      </c>
      <c r="M14" s="29">
        <v>37964</v>
      </c>
      <c r="N14" s="32"/>
      <c r="O14" s="31" t="s">
        <v>45</v>
      </c>
      <c r="P14" s="33">
        <v>916293</v>
      </c>
      <c r="Q14" s="29">
        <v>37964</v>
      </c>
      <c r="R14" s="32"/>
      <c r="S14" s="31" t="s">
        <v>45</v>
      </c>
      <c r="T14" s="31" t="s">
        <v>152</v>
      </c>
      <c r="U14" s="31" t="s">
        <v>153</v>
      </c>
      <c r="V14" s="27" t="s">
        <v>154</v>
      </c>
      <c r="W14" s="31" t="s">
        <v>155</v>
      </c>
      <c r="X14" s="21" t="s">
        <v>54</v>
      </c>
      <c r="Y14" s="22">
        <v>76535764001972</v>
      </c>
      <c r="Z14" s="23">
        <v>12</v>
      </c>
      <c r="AA14" s="24">
        <v>12</v>
      </c>
      <c r="AB14" s="24">
        <v>12</v>
      </c>
      <c r="AC14" s="24">
        <v>12</v>
      </c>
      <c r="AD14" s="24">
        <v>12</v>
      </c>
      <c r="AE14" s="23">
        <v>12</v>
      </c>
      <c r="AF14" s="23">
        <v>12</v>
      </c>
      <c r="AG14" s="23" t="s">
        <v>65</v>
      </c>
      <c r="AH14" s="34" t="s">
        <v>66</v>
      </c>
      <c r="AI14" s="23" t="s">
        <v>54</v>
      </c>
      <c r="AJ14" s="23" t="s">
        <v>54</v>
      </c>
      <c r="AK14" s="23" t="s">
        <v>67</v>
      </c>
    </row>
    <row r="15" spans="1:38" s="23" customFormat="1" ht="15" hidden="1" customHeight="1" x14ac:dyDescent="0.25">
      <c r="A15" s="25">
        <v>13</v>
      </c>
      <c r="B15" s="26" t="s">
        <v>156</v>
      </c>
      <c r="C15" s="27" t="s">
        <v>39</v>
      </c>
      <c r="D15" s="26" t="s">
        <v>40</v>
      </c>
      <c r="E15" s="26" t="s">
        <v>41</v>
      </c>
      <c r="F15" s="26" t="s">
        <v>42</v>
      </c>
      <c r="G15" s="28" t="s">
        <v>157</v>
      </c>
      <c r="H15" s="26" t="s">
        <v>158</v>
      </c>
      <c r="I15" s="29">
        <v>37952</v>
      </c>
      <c r="J15" s="30"/>
      <c r="K15" s="19" t="s">
        <v>45</v>
      </c>
      <c r="L15" s="31" t="s">
        <v>159</v>
      </c>
      <c r="M15" s="29">
        <v>37847</v>
      </c>
      <c r="N15" s="32"/>
      <c r="O15" s="31" t="s">
        <v>45</v>
      </c>
      <c r="P15" s="33">
        <v>276558</v>
      </c>
      <c r="Q15" s="29">
        <v>37952</v>
      </c>
      <c r="R15" s="32"/>
      <c r="S15" s="31" t="s">
        <v>45</v>
      </c>
      <c r="T15" s="31" t="s">
        <v>160</v>
      </c>
      <c r="U15" s="31" t="s">
        <v>161</v>
      </c>
      <c r="V15" s="27" t="s">
        <v>162</v>
      </c>
      <c r="W15" s="31" t="s">
        <v>163</v>
      </c>
      <c r="X15" s="21" t="s">
        <v>52</v>
      </c>
      <c r="Y15" s="22">
        <v>76535764001034</v>
      </c>
      <c r="Z15" s="23">
        <v>13</v>
      </c>
      <c r="AA15" s="24" t="s">
        <v>65</v>
      </c>
      <c r="AB15" s="24">
        <v>13</v>
      </c>
      <c r="AC15" s="24">
        <v>13</v>
      </c>
      <c r="AD15" s="24" t="s">
        <v>65</v>
      </c>
      <c r="AE15" s="23">
        <v>13</v>
      </c>
      <c r="AF15" s="23">
        <v>13</v>
      </c>
      <c r="AG15" s="23" t="s">
        <v>65</v>
      </c>
      <c r="AH15" s="34" t="s">
        <v>120</v>
      </c>
      <c r="AI15" s="23" t="s">
        <v>54</v>
      </c>
      <c r="AJ15" s="23" t="s">
        <v>54</v>
      </c>
      <c r="AK15" s="23" t="s">
        <v>164</v>
      </c>
    </row>
    <row r="16" spans="1:38" s="23" customFormat="1" ht="15" customHeight="1" x14ac:dyDescent="0.25">
      <c r="A16" s="19">
        <v>14</v>
      </c>
      <c r="B16" s="19" t="s">
        <v>165</v>
      </c>
      <c r="C16" s="19" t="s">
        <v>39</v>
      </c>
      <c r="D16" s="19" t="s">
        <v>40</v>
      </c>
      <c r="E16" s="19" t="s">
        <v>41</v>
      </c>
      <c r="F16" s="19" t="s">
        <v>42</v>
      </c>
      <c r="G16" s="19" t="s">
        <v>166</v>
      </c>
      <c r="H16" s="19" t="s">
        <v>167</v>
      </c>
      <c r="I16" s="20">
        <v>37925</v>
      </c>
      <c r="J16" s="20"/>
      <c r="K16" s="19" t="s">
        <v>45</v>
      </c>
      <c r="L16" s="19" t="s">
        <v>168</v>
      </c>
      <c r="M16" s="20">
        <v>37960</v>
      </c>
      <c r="N16" s="19"/>
      <c r="O16" s="19" t="s">
        <v>45</v>
      </c>
      <c r="P16" s="19" t="s">
        <v>169</v>
      </c>
      <c r="Q16" s="19"/>
      <c r="R16" s="19"/>
      <c r="S16" s="19" t="s">
        <v>45</v>
      </c>
      <c r="T16" s="19" t="s">
        <v>170</v>
      </c>
      <c r="U16" s="19" t="s">
        <v>171</v>
      </c>
      <c r="V16" s="19" t="s">
        <v>172</v>
      </c>
      <c r="W16" s="19" t="s">
        <v>173</v>
      </c>
      <c r="X16" s="21" t="s">
        <v>52</v>
      </c>
      <c r="Y16" s="22">
        <v>76535764000658</v>
      </c>
      <c r="Z16" s="23">
        <f>A16</f>
        <v>14</v>
      </c>
      <c r="AA16" s="24" t="str">
        <f>IFERROR(VLOOKUP($Z16,'[1]End Fat Serviço - PA 15 e 16'!$K$3:$K$31,1,0), "")</f>
        <v/>
      </c>
      <c r="AB16" s="24" t="str">
        <f>IFERROR(VLOOKUP($Z16,'[1]End Fat Material - PA 12'!$K$3:$K$64,1,0), "")</f>
        <v/>
      </c>
      <c r="AC16" s="24" t="str">
        <f>IFERROR(VLOOKUP($Z16,'[1]End CA Lotação'!$L$3:$L$36,1,0), "")</f>
        <v/>
      </c>
      <c r="AD16" s="24">
        <f>IFERROR(VLOOKUP(Z16,'[1]RH - PARA 21.03'!$M$3:$M$555,1,0),"")</f>
        <v>14</v>
      </c>
      <c r="AE16" s="23">
        <f>IFERROR(VLOOKUP($Z16,'[1]CNPJ Oi Fat'!$K$3:$K$32,1,0),"")</f>
        <v>14</v>
      </c>
      <c r="AF16" s="23">
        <f>IFERROR(VLOOKUP(Z16,'[1]End Logística Oi'!$D$3:$D$29,1,0),"")</f>
        <v>14</v>
      </c>
      <c r="AG16" s="23" t="str">
        <f>IFERROR(VLOOKUP(Z16,'[1]End Logística Oi'!$J$3:$J$29,1,0),"")</f>
        <v/>
      </c>
      <c r="AH16" s="23" t="s">
        <v>53</v>
      </c>
      <c r="AI16" s="23" t="s">
        <v>54</v>
      </c>
      <c r="AJ16" s="23" t="s">
        <v>55</v>
      </c>
      <c r="AK16" s="23" t="e">
        <v>#N/A</v>
      </c>
    </row>
    <row r="17" spans="1:37" s="23" customFormat="1" ht="15" customHeight="1" x14ac:dyDescent="0.25">
      <c r="A17" s="25">
        <v>15</v>
      </c>
      <c r="B17" s="26" t="s">
        <v>174</v>
      </c>
      <c r="C17" s="27" t="s">
        <v>39</v>
      </c>
      <c r="D17" s="26" t="s">
        <v>40</v>
      </c>
      <c r="E17" s="26" t="s">
        <v>41</v>
      </c>
      <c r="F17" s="26" t="s">
        <v>42</v>
      </c>
      <c r="G17" s="28" t="s">
        <v>175</v>
      </c>
      <c r="H17" s="26" t="s">
        <v>176</v>
      </c>
      <c r="I17" s="29">
        <v>37937</v>
      </c>
      <c r="J17" s="30"/>
      <c r="K17" s="19" t="s">
        <v>45</v>
      </c>
      <c r="L17" s="31" t="s">
        <v>177</v>
      </c>
      <c r="M17" s="29">
        <v>38035</v>
      </c>
      <c r="N17" s="32"/>
      <c r="O17" s="31" t="s">
        <v>45</v>
      </c>
      <c r="P17" s="33" t="s">
        <v>178</v>
      </c>
      <c r="Q17" s="29">
        <v>41065</v>
      </c>
      <c r="R17" s="32"/>
      <c r="S17" s="31" t="s">
        <v>45</v>
      </c>
      <c r="T17" s="31" t="s">
        <v>179</v>
      </c>
      <c r="U17" s="31" t="s">
        <v>180</v>
      </c>
      <c r="V17" s="27" t="s">
        <v>181</v>
      </c>
      <c r="W17" s="31" t="s">
        <v>182</v>
      </c>
      <c r="X17" s="21" t="s">
        <v>52</v>
      </c>
      <c r="Y17" s="22">
        <v>76535764001468</v>
      </c>
      <c r="Z17" s="23">
        <v>15</v>
      </c>
      <c r="AA17" s="24" t="s">
        <v>65</v>
      </c>
      <c r="AB17" s="24">
        <v>15</v>
      </c>
      <c r="AC17" s="24">
        <v>15</v>
      </c>
      <c r="AD17" s="24">
        <v>15</v>
      </c>
      <c r="AE17" s="23">
        <v>15</v>
      </c>
      <c r="AF17" s="23">
        <v>15</v>
      </c>
      <c r="AG17" s="23" t="s">
        <v>65</v>
      </c>
      <c r="AH17" s="34" t="s">
        <v>66</v>
      </c>
      <c r="AI17" s="23" t="s">
        <v>54</v>
      </c>
      <c r="AJ17" s="23" t="s">
        <v>54</v>
      </c>
      <c r="AK17" s="23" t="s">
        <v>121</v>
      </c>
    </row>
    <row r="18" spans="1:37" s="23" customFormat="1" ht="15" customHeight="1" x14ac:dyDescent="0.25">
      <c r="A18" s="25">
        <v>16</v>
      </c>
      <c r="B18" s="26" t="s">
        <v>183</v>
      </c>
      <c r="C18" s="27" t="s">
        <v>39</v>
      </c>
      <c r="D18" s="26" t="s">
        <v>40</v>
      </c>
      <c r="E18" s="26" t="s">
        <v>41</v>
      </c>
      <c r="F18" s="26" t="s">
        <v>42</v>
      </c>
      <c r="G18" s="28" t="s">
        <v>184</v>
      </c>
      <c r="H18" s="26" t="s">
        <v>185</v>
      </c>
      <c r="I18" s="29">
        <v>37942</v>
      </c>
      <c r="J18" s="30"/>
      <c r="K18" s="19" t="s">
        <v>45</v>
      </c>
      <c r="L18" s="31" t="s">
        <v>186</v>
      </c>
      <c r="M18" s="29">
        <v>38002</v>
      </c>
      <c r="N18" s="32"/>
      <c r="O18" s="31" t="s">
        <v>45</v>
      </c>
      <c r="P18" s="33" t="s">
        <v>187</v>
      </c>
      <c r="Q18" s="29">
        <v>37926</v>
      </c>
      <c r="R18" s="32"/>
      <c r="S18" s="31" t="s">
        <v>45</v>
      </c>
      <c r="T18" s="31" t="s">
        <v>188</v>
      </c>
      <c r="U18" s="31" t="s">
        <v>189</v>
      </c>
      <c r="V18" s="27" t="s">
        <v>190</v>
      </c>
      <c r="W18" s="31" t="s">
        <v>191</v>
      </c>
      <c r="X18" s="21" t="s">
        <v>52</v>
      </c>
      <c r="Y18" s="22">
        <v>76535764000909</v>
      </c>
      <c r="Z18" s="23">
        <v>16</v>
      </c>
      <c r="AA18" s="24" t="s">
        <v>65</v>
      </c>
      <c r="AB18" s="24">
        <v>16</v>
      </c>
      <c r="AC18" s="24">
        <v>16</v>
      </c>
      <c r="AD18" s="24">
        <v>16</v>
      </c>
      <c r="AE18" s="23">
        <v>16</v>
      </c>
      <c r="AF18" s="23">
        <v>16</v>
      </c>
      <c r="AG18" s="23" t="s">
        <v>65</v>
      </c>
      <c r="AH18" s="34" t="s">
        <v>66</v>
      </c>
      <c r="AI18" s="23" t="s">
        <v>54</v>
      </c>
      <c r="AJ18" s="23" t="s">
        <v>54</v>
      </c>
      <c r="AK18" s="23" t="s">
        <v>121</v>
      </c>
    </row>
    <row r="19" spans="1:37" s="23" customFormat="1" ht="15" hidden="1" customHeight="1" x14ac:dyDescent="0.25">
      <c r="A19" s="19">
        <v>17</v>
      </c>
      <c r="B19" s="19" t="s">
        <v>192</v>
      </c>
      <c r="C19" s="19" t="s">
        <v>39</v>
      </c>
      <c r="D19" s="19" t="s">
        <v>40</v>
      </c>
      <c r="E19" s="19" t="s">
        <v>41</v>
      </c>
      <c r="F19" s="19" t="s">
        <v>42</v>
      </c>
      <c r="G19" s="19" t="s">
        <v>193</v>
      </c>
      <c r="H19" s="19" t="s">
        <v>194</v>
      </c>
      <c r="I19" s="20">
        <v>36607</v>
      </c>
      <c r="J19" s="20"/>
      <c r="K19" s="19" t="s">
        <v>45</v>
      </c>
      <c r="L19" s="19" t="s">
        <v>195</v>
      </c>
      <c r="M19" s="20"/>
      <c r="N19" s="19"/>
      <c r="O19" s="19" t="s">
        <v>45</v>
      </c>
      <c r="P19" s="19">
        <v>81281</v>
      </c>
      <c r="Q19" s="19"/>
      <c r="R19" s="19"/>
      <c r="S19" s="19" t="s">
        <v>45</v>
      </c>
      <c r="T19" s="19" t="s">
        <v>196</v>
      </c>
      <c r="U19" s="19" t="s">
        <v>197</v>
      </c>
      <c r="V19" s="19" t="s">
        <v>198</v>
      </c>
      <c r="W19" s="19" t="s">
        <v>199</v>
      </c>
      <c r="X19" s="21" t="s">
        <v>52</v>
      </c>
      <c r="Y19" s="22">
        <v>76535764032509</v>
      </c>
      <c r="Z19" s="23">
        <f>A19</f>
        <v>17</v>
      </c>
      <c r="AA19" s="24" t="str">
        <f>IFERROR(VLOOKUP($Z19,'[1]End Fat Serviço - PA 15 e 16'!$K$3:$K$31,1,0), "")</f>
        <v/>
      </c>
      <c r="AB19" s="24" t="str">
        <f>IFERROR(VLOOKUP($Z19,'[1]End Fat Material - PA 12'!$K$3:$K$64,1,0), "")</f>
        <v/>
      </c>
      <c r="AC19" s="24" t="str">
        <f>IFERROR(VLOOKUP($Z19,'[1]End CA Lotação'!$L$3:$L$36,1,0), "")</f>
        <v/>
      </c>
      <c r="AD19" s="24" t="str">
        <f>IFERROR(VLOOKUP(Z19,'[1]RH - PARA 21.03'!$M$3:$M$555,1,0),"")</f>
        <v/>
      </c>
      <c r="AE19" s="23">
        <f>IFERROR(VLOOKUP($Z19,'[1]CNPJ Oi Fat'!$K$3:$K$32,1,0),"")</f>
        <v>17</v>
      </c>
      <c r="AF19" s="23">
        <f>IFERROR(VLOOKUP(Z19,'[1]End Logística Oi'!$D$3:$D$29,1,0),"")</f>
        <v>17</v>
      </c>
      <c r="AG19" s="23" t="str">
        <f>IFERROR(VLOOKUP(Z19,'[1]End Logística Oi'!$J$3:$J$29,1,0),"")</f>
        <v/>
      </c>
      <c r="AI19" s="23" t="s">
        <v>55</v>
      </c>
      <c r="AJ19" s="23" t="s">
        <v>55</v>
      </c>
      <c r="AK19" s="23" t="e">
        <v>#N/A</v>
      </c>
    </row>
    <row r="20" spans="1:37" s="23" customFormat="1" ht="15" hidden="1" customHeight="1" x14ac:dyDescent="0.25">
      <c r="A20" s="25">
        <v>18</v>
      </c>
      <c r="B20" s="26" t="s">
        <v>200</v>
      </c>
      <c r="C20" s="27" t="s">
        <v>39</v>
      </c>
      <c r="D20" s="26" t="s">
        <v>40</v>
      </c>
      <c r="E20" s="26" t="s">
        <v>41</v>
      </c>
      <c r="F20" s="26" t="s">
        <v>42</v>
      </c>
      <c r="G20" s="28" t="s">
        <v>201</v>
      </c>
      <c r="H20" s="26" t="s">
        <v>202</v>
      </c>
      <c r="I20" s="29">
        <v>36909</v>
      </c>
      <c r="J20" s="30"/>
      <c r="K20" s="19" t="s">
        <v>45</v>
      </c>
      <c r="L20" s="31" t="s">
        <v>203</v>
      </c>
      <c r="M20" s="29">
        <v>36951</v>
      </c>
      <c r="N20" s="32"/>
      <c r="O20" s="31" t="s">
        <v>45</v>
      </c>
      <c r="P20" s="33">
        <v>18996124</v>
      </c>
      <c r="Q20" s="29">
        <v>36951</v>
      </c>
      <c r="R20" s="32"/>
      <c r="S20" s="31" t="s">
        <v>45</v>
      </c>
      <c r="T20" s="31" t="s">
        <v>204</v>
      </c>
      <c r="U20" s="31" t="s">
        <v>49</v>
      </c>
      <c r="V20" s="27" t="s">
        <v>205</v>
      </c>
      <c r="W20" s="31" t="s">
        <v>206</v>
      </c>
      <c r="X20" s="21" t="s">
        <v>52</v>
      </c>
      <c r="Y20" s="22">
        <v>76535764000224</v>
      </c>
      <c r="Z20" s="23">
        <v>18</v>
      </c>
      <c r="AA20" s="24">
        <v>18</v>
      </c>
      <c r="AB20" s="24" t="s">
        <v>65</v>
      </c>
      <c r="AC20" s="24" t="s">
        <v>65</v>
      </c>
      <c r="AD20" s="24" t="s">
        <v>65</v>
      </c>
      <c r="AE20" s="23">
        <v>18</v>
      </c>
      <c r="AF20" s="23">
        <v>18</v>
      </c>
      <c r="AG20" s="23" t="s">
        <v>65</v>
      </c>
      <c r="AH20" s="34"/>
      <c r="AI20" s="23" t="s">
        <v>54</v>
      </c>
      <c r="AJ20" s="23" t="s">
        <v>54</v>
      </c>
      <c r="AK20" s="23" t="s">
        <v>121</v>
      </c>
    </row>
    <row r="21" spans="1:37" s="23" customFormat="1" ht="15" hidden="1" customHeight="1" x14ac:dyDescent="0.25">
      <c r="A21" s="19">
        <v>19</v>
      </c>
      <c r="B21" s="19" t="s">
        <v>207</v>
      </c>
      <c r="C21" s="19" t="s">
        <v>39</v>
      </c>
      <c r="D21" s="19" t="s">
        <v>40</v>
      </c>
      <c r="E21" s="19" t="s">
        <v>41</v>
      </c>
      <c r="F21" s="19" t="s">
        <v>42</v>
      </c>
      <c r="G21" s="19" t="s">
        <v>208</v>
      </c>
      <c r="H21" s="19" t="s">
        <v>209</v>
      </c>
      <c r="I21" s="20">
        <v>36616</v>
      </c>
      <c r="J21" s="20"/>
      <c r="K21" s="19" t="s">
        <v>45</v>
      </c>
      <c r="L21" s="19" t="s">
        <v>210</v>
      </c>
      <c r="M21" s="20">
        <v>41155</v>
      </c>
      <c r="N21" s="19"/>
      <c r="O21" s="19" t="s">
        <v>45</v>
      </c>
      <c r="P21" s="19">
        <v>12957</v>
      </c>
      <c r="Q21" s="19"/>
      <c r="R21" s="19"/>
      <c r="S21" s="19" t="s">
        <v>45</v>
      </c>
      <c r="T21" s="19" t="s">
        <v>211</v>
      </c>
      <c r="U21" s="19" t="s">
        <v>49</v>
      </c>
      <c r="V21" s="19" t="s">
        <v>212</v>
      </c>
      <c r="W21" s="19" t="s">
        <v>213</v>
      </c>
      <c r="X21" s="21" t="s">
        <v>52</v>
      </c>
      <c r="Y21" s="22">
        <v>76535764032347</v>
      </c>
      <c r="Z21" s="23">
        <f>A21</f>
        <v>19</v>
      </c>
      <c r="AA21" s="24" t="str">
        <f>IFERROR(VLOOKUP($Z21,'[1]End Fat Serviço - PA 15 e 16'!$K$3:$K$31,1,0), "")</f>
        <v/>
      </c>
      <c r="AB21" s="24" t="str">
        <f>IFERROR(VLOOKUP($Z21,'[1]End Fat Material - PA 12'!$K$3:$K$64,1,0), "")</f>
        <v/>
      </c>
      <c r="AC21" s="24" t="str">
        <f>IFERROR(VLOOKUP($Z21,'[1]End CA Lotação'!$L$3:$L$36,1,0), "")</f>
        <v/>
      </c>
      <c r="AD21" s="24" t="str">
        <f>IFERROR(VLOOKUP(Z21,'[1]RH - PARA 21.03'!$M$3:$M$555,1,0),"")</f>
        <v/>
      </c>
      <c r="AE21" s="23">
        <f>IFERROR(VLOOKUP($Z21,'[1]CNPJ Oi Fat'!$K$3:$K$32,1,0),"")</f>
        <v>19</v>
      </c>
      <c r="AF21" s="23">
        <f>IFERROR(VLOOKUP(Z21,'[1]End Logística Oi'!$D$3:$D$29,1,0),"")</f>
        <v>19</v>
      </c>
      <c r="AG21" s="23" t="str">
        <f>IFERROR(VLOOKUP(Z21,'[1]End Logística Oi'!$J$3:$J$29,1,0),"")</f>
        <v/>
      </c>
      <c r="AI21" s="23" t="s">
        <v>55</v>
      </c>
      <c r="AJ21" s="23" t="s">
        <v>55</v>
      </c>
      <c r="AK21" s="23" t="e">
        <v>#N/A</v>
      </c>
    </row>
    <row r="22" spans="1:37" s="23" customFormat="1" ht="15" customHeight="1" x14ac:dyDescent="0.25">
      <c r="A22" s="19">
        <v>20</v>
      </c>
      <c r="B22" s="19" t="s">
        <v>214</v>
      </c>
      <c r="C22" s="19" t="s">
        <v>39</v>
      </c>
      <c r="D22" s="19" t="s">
        <v>40</v>
      </c>
      <c r="E22" s="19" t="s">
        <v>41</v>
      </c>
      <c r="F22" s="19" t="s">
        <v>42</v>
      </c>
      <c r="G22" s="19" t="s">
        <v>215</v>
      </c>
      <c r="H22" s="19" t="s">
        <v>216</v>
      </c>
      <c r="I22" s="20">
        <v>38056</v>
      </c>
      <c r="J22" s="20"/>
      <c r="K22" s="19" t="s">
        <v>45</v>
      </c>
      <c r="L22" s="19" t="s">
        <v>217</v>
      </c>
      <c r="M22" s="20">
        <v>38091</v>
      </c>
      <c r="N22" s="19"/>
      <c r="O22" s="19" t="s">
        <v>45</v>
      </c>
      <c r="P22" s="19" t="s">
        <v>218</v>
      </c>
      <c r="Q22" s="19"/>
      <c r="R22" s="19"/>
      <c r="S22" s="19" t="s">
        <v>45</v>
      </c>
      <c r="T22" s="19" t="s">
        <v>219</v>
      </c>
      <c r="U22" s="19" t="s">
        <v>83</v>
      </c>
      <c r="V22" s="19" t="s">
        <v>220</v>
      </c>
      <c r="W22" s="19" t="s">
        <v>221</v>
      </c>
      <c r="X22" s="21" t="s">
        <v>52</v>
      </c>
      <c r="Y22" s="22">
        <v>76535764002278</v>
      </c>
      <c r="Z22" s="23">
        <f>A22</f>
        <v>20</v>
      </c>
      <c r="AA22" s="24" t="str">
        <f>IFERROR(VLOOKUP($Z22,'[1]End Fat Serviço - PA 15 e 16'!$K$3:$K$31,1,0), "")</f>
        <v/>
      </c>
      <c r="AB22" s="24" t="str">
        <f>IFERROR(VLOOKUP($Z22,'[1]End Fat Material - PA 12'!$K$3:$K$64,1,0), "")</f>
        <v/>
      </c>
      <c r="AC22" s="24" t="str">
        <f>IFERROR(VLOOKUP($Z22,'[1]End CA Lotação'!$L$3:$L$36,1,0), "")</f>
        <v/>
      </c>
      <c r="AD22" s="24">
        <f>IFERROR(VLOOKUP(Z22,'[1]RH - PARA 21.03'!$M$3:$M$555,1,0),"")</f>
        <v>20</v>
      </c>
      <c r="AE22" s="23">
        <f>IFERROR(VLOOKUP($Z22,'[1]CNPJ Oi Fat'!$K$3:$K$32,1,0),"")</f>
        <v>20</v>
      </c>
      <c r="AF22" s="23">
        <f>IFERROR(VLOOKUP(Z22,'[1]End Logística Oi'!$D$3:$D$29,1,0),"")</f>
        <v>20</v>
      </c>
      <c r="AG22" s="23" t="str">
        <f>IFERROR(VLOOKUP(Z22,'[1]End Logística Oi'!$J$3:$J$29,1,0),"")</f>
        <v/>
      </c>
      <c r="AH22" s="23" t="s">
        <v>53</v>
      </c>
      <c r="AI22" s="23" t="s">
        <v>54</v>
      </c>
      <c r="AJ22" s="23" t="s">
        <v>55</v>
      </c>
      <c r="AK22" s="23" t="e">
        <v>#N/A</v>
      </c>
    </row>
    <row r="23" spans="1:37" s="23" customFormat="1" ht="15" hidden="1" customHeight="1" x14ac:dyDescent="0.25">
      <c r="A23" s="19">
        <v>21</v>
      </c>
      <c r="B23" s="19" t="s">
        <v>222</v>
      </c>
      <c r="C23" s="19" t="s">
        <v>39</v>
      </c>
      <c r="D23" s="19" t="s">
        <v>40</v>
      </c>
      <c r="E23" s="19" t="s">
        <v>41</v>
      </c>
      <c r="F23" s="19" t="s">
        <v>42</v>
      </c>
      <c r="G23" s="19" t="s">
        <v>223</v>
      </c>
      <c r="H23" s="19" t="s">
        <v>224</v>
      </c>
      <c r="I23" s="20">
        <v>36622</v>
      </c>
      <c r="J23" s="20"/>
      <c r="K23" s="19" t="s">
        <v>45</v>
      </c>
      <c r="L23" s="19" t="s">
        <v>225</v>
      </c>
      <c r="M23" s="20">
        <v>36633</v>
      </c>
      <c r="N23" s="19"/>
      <c r="O23" s="19" t="s">
        <v>45</v>
      </c>
      <c r="P23" s="37" t="s">
        <v>226</v>
      </c>
      <c r="Q23" s="19"/>
      <c r="R23" s="19"/>
      <c r="S23" s="19" t="s">
        <v>45</v>
      </c>
      <c r="T23" s="19" t="s">
        <v>227</v>
      </c>
      <c r="U23" s="19" t="s">
        <v>49</v>
      </c>
      <c r="V23" s="19" t="s">
        <v>228</v>
      </c>
      <c r="W23" s="19" t="s">
        <v>229</v>
      </c>
      <c r="X23" s="21" t="s">
        <v>52</v>
      </c>
      <c r="Y23" s="22">
        <v>76535764032770</v>
      </c>
      <c r="Z23" s="23">
        <f>A23</f>
        <v>21</v>
      </c>
      <c r="AA23" s="24" t="str">
        <f>IFERROR(VLOOKUP($Z23,'[1]End Fat Serviço - PA 15 e 16'!$K$3:$K$31,1,0), "")</f>
        <v/>
      </c>
      <c r="AB23" s="24" t="str">
        <f>IFERROR(VLOOKUP($Z23,'[1]End Fat Material - PA 12'!$K$3:$K$64,1,0), "")</f>
        <v/>
      </c>
      <c r="AC23" s="24" t="str">
        <f>IFERROR(VLOOKUP($Z23,'[1]End CA Lotação'!$L$3:$L$36,1,0), "")</f>
        <v/>
      </c>
      <c r="AD23" s="24" t="str">
        <f>IFERROR(VLOOKUP(Z23,'[1]RH - PARA 21.03'!$M$3:$M$555,1,0),"")</f>
        <v/>
      </c>
      <c r="AE23" s="23">
        <f>IFERROR(VLOOKUP($Z23,'[1]CNPJ Oi Fat'!$K$3:$K$32,1,0),"")</f>
        <v>21</v>
      </c>
      <c r="AF23" s="23">
        <f>IFERROR(VLOOKUP(Z23,'[1]End Logística Oi'!$D$3:$D$29,1,0),"")</f>
        <v>21</v>
      </c>
      <c r="AG23" s="23" t="str">
        <f>IFERROR(VLOOKUP(Z23,'[1]End Logística Oi'!$J$3:$J$29,1,0),"")</f>
        <v/>
      </c>
      <c r="AI23" s="23" t="s">
        <v>55</v>
      </c>
      <c r="AJ23" s="23" t="s">
        <v>55</v>
      </c>
      <c r="AK23" s="23" t="e">
        <v>#N/A</v>
      </c>
    </row>
    <row r="24" spans="1:37" s="23" customFormat="1" ht="15" hidden="1" customHeight="1" x14ac:dyDescent="0.25">
      <c r="A24" s="25">
        <v>22</v>
      </c>
      <c r="B24" s="26" t="s">
        <v>230</v>
      </c>
      <c r="C24" s="27" t="s">
        <v>39</v>
      </c>
      <c r="D24" s="26" t="s">
        <v>40</v>
      </c>
      <c r="E24" s="26" t="s">
        <v>41</v>
      </c>
      <c r="F24" s="26" t="s">
        <v>42</v>
      </c>
      <c r="G24" s="28" t="s">
        <v>231</v>
      </c>
      <c r="H24" s="26" t="s">
        <v>232</v>
      </c>
      <c r="I24" s="29">
        <v>36797</v>
      </c>
      <c r="J24" s="30"/>
      <c r="K24" s="19" t="s">
        <v>45</v>
      </c>
      <c r="L24" s="31">
        <v>77685022</v>
      </c>
      <c r="M24" s="29">
        <v>38049</v>
      </c>
      <c r="N24" s="32"/>
      <c r="O24" s="31" t="s">
        <v>45</v>
      </c>
      <c r="P24" s="33">
        <v>2381710</v>
      </c>
      <c r="Q24" s="29">
        <v>36849</v>
      </c>
      <c r="R24" s="32"/>
      <c r="S24" s="31" t="s">
        <v>45</v>
      </c>
      <c r="T24" s="31" t="s">
        <v>233</v>
      </c>
      <c r="U24" s="31" t="s">
        <v>234</v>
      </c>
      <c r="V24" s="27" t="s">
        <v>235</v>
      </c>
      <c r="W24" s="31" t="s">
        <v>236</v>
      </c>
      <c r="X24" s="21" t="s">
        <v>52</v>
      </c>
      <c r="Y24" s="22">
        <v>76535764033157</v>
      </c>
      <c r="Z24" s="23">
        <v>22</v>
      </c>
      <c r="AA24" s="24"/>
      <c r="AB24" s="24"/>
      <c r="AC24" s="24"/>
      <c r="AD24" s="24" t="s">
        <v>65</v>
      </c>
      <c r="AE24" s="38">
        <v>22</v>
      </c>
      <c r="AF24" s="38">
        <v>22</v>
      </c>
      <c r="AG24" s="23" t="s">
        <v>65</v>
      </c>
      <c r="AH24" s="39" t="s">
        <v>120</v>
      </c>
      <c r="AI24" s="38" t="s">
        <v>55</v>
      </c>
      <c r="AJ24" s="38" t="s">
        <v>55</v>
      </c>
      <c r="AK24" s="23" t="s">
        <v>67</v>
      </c>
    </row>
    <row r="25" spans="1:37" s="23" customFormat="1" ht="15" customHeight="1" x14ac:dyDescent="0.25">
      <c r="A25" s="25">
        <v>23</v>
      </c>
      <c r="B25" s="26" t="s">
        <v>237</v>
      </c>
      <c r="C25" s="27" t="s">
        <v>39</v>
      </c>
      <c r="D25" s="26" t="s">
        <v>40</v>
      </c>
      <c r="E25" s="26" t="s">
        <v>41</v>
      </c>
      <c r="F25" s="26" t="s">
        <v>42</v>
      </c>
      <c r="G25" s="28" t="s">
        <v>238</v>
      </c>
      <c r="H25" s="26" t="s">
        <v>239</v>
      </c>
      <c r="I25" s="29">
        <v>37957</v>
      </c>
      <c r="J25" s="30"/>
      <c r="K25" s="19" t="s">
        <v>45</v>
      </c>
      <c r="L25" s="31">
        <v>62909340</v>
      </c>
      <c r="M25" s="29">
        <v>37967</v>
      </c>
      <c r="N25" s="32"/>
      <c r="O25" s="31" t="s">
        <v>45</v>
      </c>
      <c r="P25" s="33" t="s">
        <v>240</v>
      </c>
      <c r="Q25" s="29">
        <v>37999</v>
      </c>
      <c r="R25" s="32"/>
      <c r="S25" s="31" t="s">
        <v>45</v>
      </c>
      <c r="T25" s="31" t="s">
        <v>241</v>
      </c>
      <c r="U25" s="31" t="s">
        <v>242</v>
      </c>
      <c r="V25" s="27" t="s">
        <v>243</v>
      </c>
      <c r="W25" s="31" t="s">
        <v>244</v>
      </c>
      <c r="X25" s="21" t="s">
        <v>54</v>
      </c>
      <c r="Y25" s="22">
        <v>76535764001891</v>
      </c>
      <c r="Z25" s="23">
        <v>23</v>
      </c>
      <c r="AA25" s="24" t="s">
        <v>65</v>
      </c>
      <c r="AB25" s="24">
        <v>23</v>
      </c>
      <c r="AC25" s="24">
        <v>23</v>
      </c>
      <c r="AD25" s="24">
        <v>23</v>
      </c>
      <c r="AE25" s="23">
        <v>23</v>
      </c>
      <c r="AF25" s="23">
        <v>23</v>
      </c>
      <c r="AG25" s="23" t="s">
        <v>65</v>
      </c>
      <c r="AH25" s="34" t="s">
        <v>66</v>
      </c>
      <c r="AI25" s="23" t="s">
        <v>54</v>
      </c>
      <c r="AJ25" s="23" t="s">
        <v>54</v>
      </c>
      <c r="AK25" s="23" t="s">
        <v>67</v>
      </c>
    </row>
    <row r="26" spans="1:37" s="23" customFormat="1" ht="15" customHeight="1" x14ac:dyDescent="0.25">
      <c r="A26" s="19">
        <v>24</v>
      </c>
      <c r="B26" s="19" t="s">
        <v>245</v>
      </c>
      <c r="C26" s="19" t="s">
        <v>39</v>
      </c>
      <c r="D26" s="19" t="s">
        <v>40</v>
      </c>
      <c r="E26" s="19" t="s">
        <v>41</v>
      </c>
      <c r="F26" s="19" t="s">
        <v>42</v>
      </c>
      <c r="G26" s="19" t="s">
        <v>246</v>
      </c>
      <c r="H26" s="19" t="s">
        <v>247</v>
      </c>
      <c r="I26" s="20">
        <v>37931</v>
      </c>
      <c r="J26" s="20"/>
      <c r="K26" s="19" t="s">
        <v>45</v>
      </c>
      <c r="L26" s="19" t="s">
        <v>248</v>
      </c>
      <c r="M26" s="20"/>
      <c r="N26" s="19"/>
      <c r="O26" s="19" t="s">
        <v>45</v>
      </c>
      <c r="P26" s="19" t="s">
        <v>249</v>
      </c>
      <c r="Q26" s="19"/>
      <c r="R26" s="19"/>
      <c r="S26" s="19" t="s">
        <v>45</v>
      </c>
      <c r="T26" s="19" t="s">
        <v>250</v>
      </c>
      <c r="U26" s="19" t="s">
        <v>251</v>
      </c>
      <c r="V26" s="19" t="s">
        <v>252</v>
      </c>
      <c r="W26" s="19" t="s">
        <v>253</v>
      </c>
      <c r="X26" s="21" t="s">
        <v>52</v>
      </c>
      <c r="Y26" s="22">
        <v>76535764000305</v>
      </c>
      <c r="Z26" s="23">
        <f>A26</f>
        <v>24</v>
      </c>
      <c r="AA26" s="24" t="str">
        <f>IFERROR(VLOOKUP($Z26,'[1]End Fat Serviço - PA 15 e 16'!$K$3:$K$31,1,0), "")</f>
        <v/>
      </c>
      <c r="AB26" s="24" t="str">
        <f>IFERROR(VLOOKUP($Z26,'[1]End Fat Material - PA 12'!$K$3:$K$64,1,0), "")</f>
        <v/>
      </c>
      <c r="AC26" s="24" t="str">
        <f>IFERROR(VLOOKUP($Z26,'[1]End CA Lotação'!$L$3:$L$36,1,0), "")</f>
        <v/>
      </c>
      <c r="AD26" s="24">
        <f>IFERROR(VLOOKUP(Z26,'[1]RH - PARA 21.03'!$M$3:$M$555,1,0),"")</f>
        <v>24</v>
      </c>
      <c r="AE26" s="23">
        <f>IFERROR(VLOOKUP($Z26,'[1]CNPJ Oi Fat'!$K$3:$K$32,1,0),"")</f>
        <v>24</v>
      </c>
      <c r="AF26" s="23">
        <f>IFERROR(VLOOKUP(Z26,'[1]End Logística Oi'!$D$3:$D$29,1,0),"")</f>
        <v>24</v>
      </c>
      <c r="AG26" s="23" t="str">
        <f>IFERROR(VLOOKUP(Z26,'[1]End Logística Oi'!$J$3:$J$29,1,0),"")</f>
        <v/>
      </c>
      <c r="AH26" s="23" t="s">
        <v>53</v>
      </c>
      <c r="AI26" s="23" t="s">
        <v>54</v>
      </c>
      <c r="AJ26" s="23" t="s">
        <v>55</v>
      </c>
      <c r="AK26" s="23" t="e">
        <v>#N/A</v>
      </c>
    </row>
    <row r="27" spans="1:37" s="23" customFormat="1" ht="18" hidden="1" customHeight="1" x14ac:dyDescent="0.25">
      <c r="A27" s="19">
        <v>25</v>
      </c>
      <c r="B27" s="19" t="s">
        <v>254</v>
      </c>
      <c r="C27" s="19" t="s">
        <v>39</v>
      </c>
      <c r="D27" s="19" t="s">
        <v>40</v>
      </c>
      <c r="E27" s="19" t="s">
        <v>41</v>
      </c>
      <c r="F27" s="19" t="s">
        <v>42</v>
      </c>
      <c r="G27" s="19" t="s">
        <v>255</v>
      </c>
      <c r="H27" s="19" t="s">
        <v>256</v>
      </c>
      <c r="I27" s="20">
        <v>36803</v>
      </c>
      <c r="J27" s="20"/>
      <c r="K27" s="19" t="s">
        <v>45</v>
      </c>
      <c r="L27" s="40">
        <v>116722846112</v>
      </c>
      <c r="M27" s="20"/>
      <c r="N27" s="19"/>
      <c r="O27" s="19" t="s">
        <v>45</v>
      </c>
      <c r="P27" s="19" t="s">
        <v>257</v>
      </c>
      <c r="Q27" s="19"/>
      <c r="R27" s="19"/>
      <c r="S27" s="19" t="s">
        <v>45</v>
      </c>
      <c r="T27" s="19" t="s">
        <v>258</v>
      </c>
      <c r="U27" s="19" t="s">
        <v>259</v>
      </c>
      <c r="V27" s="19" t="s">
        <v>260</v>
      </c>
      <c r="W27" s="19" t="s">
        <v>261</v>
      </c>
      <c r="X27" s="21" t="s">
        <v>52</v>
      </c>
      <c r="Y27" s="22">
        <v>76535764033238</v>
      </c>
      <c r="Z27" s="23">
        <f>A27</f>
        <v>25</v>
      </c>
      <c r="AA27" s="24">
        <f>IFERROR(VLOOKUP($Z27,'[1]End Fat Serviço - PA 15 e 16'!$K$3:$K$31,1,0), "")</f>
        <v>25</v>
      </c>
      <c r="AB27" s="24">
        <f>IFERROR(VLOOKUP($Z27,'[1]End Fat Material - PA 12'!$K$3:$K$64,1,0), "")</f>
        <v>25</v>
      </c>
      <c r="AC27" s="24">
        <f>IFERROR(VLOOKUP($Z27,'[1]End CA Lotação'!$L$3:$L$36,1,0), "")</f>
        <v>25</v>
      </c>
      <c r="AD27" s="41" t="str">
        <f>IFERROR(VLOOKUP(Z27,'[1]RH - PARA 21.03'!$M$3:$M$555,1,0),"")</f>
        <v/>
      </c>
      <c r="AE27" s="23">
        <f>IFERROR(VLOOKUP($Z27,'[1]CNPJ Oi Fat'!$K$3:$K$32,1,0),"")</f>
        <v>25</v>
      </c>
      <c r="AF27" s="23">
        <f>IFERROR(VLOOKUP(Z27,'[1]End Logística Oi'!$D$3:$D$29,1,0),"")</f>
        <v>25</v>
      </c>
      <c r="AG27" s="23" t="str">
        <f>IFERROR(VLOOKUP(Z27,'[1]End Logística Oi'!$J$3:$J$29,1,0),"")</f>
        <v/>
      </c>
      <c r="AH27" s="34" t="s">
        <v>262</v>
      </c>
      <c r="AI27" s="23" t="s">
        <v>54</v>
      </c>
      <c r="AJ27" s="23" t="s">
        <v>54</v>
      </c>
      <c r="AK27" s="23" t="e">
        <v>#N/A</v>
      </c>
    </row>
    <row r="28" spans="1:37" s="23" customFormat="1" ht="15" customHeight="1" x14ac:dyDescent="0.25">
      <c r="A28" s="25">
        <v>26</v>
      </c>
      <c r="B28" s="26" t="s">
        <v>263</v>
      </c>
      <c r="C28" s="27" t="s">
        <v>39</v>
      </c>
      <c r="D28" s="26" t="s">
        <v>40</v>
      </c>
      <c r="E28" s="26" t="s">
        <v>41</v>
      </c>
      <c r="F28" s="26" t="s">
        <v>42</v>
      </c>
      <c r="G28" s="28" t="s">
        <v>264</v>
      </c>
      <c r="H28" s="26" t="s">
        <v>265</v>
      </c>
      <c r="I28" s="29">
        <v>37931</v>
      </c>
      <c r="J28" s="30"/>
      <c r="K28" s="19" t="s">
        <v>45</v>
      </c>
      <c r="L28" s="31" t="s">
        <v>266</v>
      </c>
      <c r="M28" s="29">
        <v>37952</v>
      </c>
      <c r="N28" s="32"/>
      <c r="O28" s="31" t="s">
        <v>45</v>
      </c>
      <c r="P28" s="33" t="s">
        <v>267</v>
      </c>
      <c r="Q28" s="29">
        <v>39680</v>
      </c>
      <c r="R28" s="32"/>
      <c r="S28" s="31" t="s">
        <v>45</v>
      </c>
      <c r="T28" s="31" t="s">
        <v>268</v>
      </c>
      <c r="U28" s="31" t="s">
        <v>49</v>
      </c>
      <c r="V28" s="27" t="s">
        <v>269</v>
      </c>
      <c r="W28" s="31" t="s">
        <v>270</v>
      </c>
      <c r="X28" s="21" t="s">
        <v>52</v>
      </c>
      <c r="Y28" s="22">
        <v>76535764000496</v>
      </c>
      <c r="Z28" s="23">
        <v>26</v>
      </c>
      <c r="AA28" s="24">
        <v>26</v>
      </c>
      <c r="AB28" s="24">
        <v>26</v>
      </c>
      <c r="AC28" s="24">
        <v>26</v>
      </c>
      <c r="AD28" s="24">
        <v>26</v>
      </c>
      <c r="AE28" s="23">
        <v>26</v>
      </c>
      <c r="AF28" s="23">
        <v>26</v>
      </c>
      <c r="AG28" s="23" t="s">
        <v>65</v>
      </c>
      <c r="AH28" s="34" t="s">
        <v>66</v>
      </c>
      <c r="AI28" s="23" t="s">
        <v>54</v>
      </c>
      <c r="AJ28" s="23" t="s">
        <v>54</v>
      </c>
      <c r="AK28" s="23" t="s">
        <v>121</v>
      </c>
    </row>
    <row r="29" spans="1:37" s="23" customFormat="1" ht="15" hidden="1" customHeight="1" x14ac:dyDescent="0.25">
      <c r="A29" s="19">
        <v>27</v>
      </c>
      <c r="B29" s="19" t="s">
        <v>271</v>
      </c>
      <c r="C29" s="19" t="s">
        <v>39</v>
      </c>
      <c r="D29" s="19" t="s">
        <v>40</v>
      </c>
      <c r="E29" s="19" t="s">
        <v>41</v>
      </c>
      <c r="F29" s="19" t="s">
        <v>42</v>
      </c>
      <c r="G29" s="19" t="s">
        <v>272</v>
      </c>
      <c r="H29" s="19" t="s">
        <v>273</v>
      </c>
      <c r="I29" s="20">
        <v>37946</v>
      </c>
      <c r="J29" s="20"/>
      <c r="K29" s="19" t="s">
        <v>45</v>
      </c>
      <c r="L29" s="19" t="s">
        <v>274</v>
      </c>
      <c r="M29" s="20">
        <v>37985</v>
      </c>
      <c r="N29" s="19"/>
      <c r="O29" s="19" t="s">
        <v>45</v>
      </c>
      <c r="P29" s="19" t="s">
        <v>275</v>
      </c>
      <c r="Q29" s="19"/>
      <c r="R29" s="19"/>
      <c r="S29" s="19" t="s">
        <v>45</v>
      </c>
      <c r="T29" s="19" t="s">
        <v>276</v>
      </c>
      <c r="U29" s="19" t="s">
        <v>277</v>
      </c>
      <c r="V29" s="19" t="s">
        <v>278</v>
      </c>
      <c r="W29" s="19" t="s">
        <v>279</v>
      </c>
      <c r="X29" s="21" t="s">
        <v>52</v>
      </c>
      <c r="Y29" s="22">
        <v>76535764001549</v>
      </c>
      <c r="Z29" s="23">
        <f t="shared" ref="Z29:Z39" si="0">A29</f>
        <v>27</v>
      </c>
      <c r="AA29" s="24" t="str">
        <f>IFERROR(VLOOKUP($Z29,'[1]End Fat Serviço - PA 15 e 16'!$K$3:$K$31,1,0), "")</f>
        <v/>
      </c>
      <c r="AB29" s="24" t="str">
        <f>IFERROR(VLOOKUP($Z29,'[1]End Fat Material - PA 12'!$K$3:$K$64,1,0), "")</f>
        <v/>
      </c>
      <c r="AC29" s="24" t="str">
        <f>IFERROR(VLOOKUP($Z29,'[1]End CA Lotação'!$L$3:$L$36,1,0), "")</f>
        <v/>
      </c>
      <c r="AD29" s="24" t="str">
        <f>IFERROR(VLOOKUP(Z29,'[1]RH - PARA 21.03'!$M$3:$M$555,1,0),"")</f>
        <v/>
      </c>
      <c r="AE29" s="23">
        <f>IFERROR(VLOOKUP($Z29,'[1]CNPJ Oi Fat'!$K$3:$K$32,1,0),"")</f>
        <v>27</v>
      </c>
      <c r="AF29" s="23">
        <f>IFERROR(VLOOKUP(Z29,'[1]End Logística Oi'!$D$3:$D$29,1,0),"")</f>
        <v>27</v>
      </c>
      <c r="AG29" s="23" t="str">
        <f>IFERROR(VLOOKUP(Z29,'[1]End Logística Oi'!$J$3:$J$29,1,0),"")</f>
        <v/>
      </c>
      <c r="AI29" s="23" t="s">
        <v>55</v>
      </c>
      <c r="AJ29" s="23" t="s">
        <v>55</v>
      </c>
      <c r="AK29" s="23" t="e">
        <v>#N/A</v>
      </c>
    </row>
    <row r="30" spans="1:37" s="23" customFormat="1" ht="15" hidden="1" customHeight="1" x14ac:dyDescent="0.25">
      <c r="A30" s="19">
        <v>28</v>
      </c>
      <c r="B30" s="19" t="s">
        <v>85</v>
      </c>
      <c r="C30" s="19" t="s">
        <v>39</v>
      </c>
      <c r="D30" s="19" t="s">
        <v>40</v>
      </c>
      <c r="E30" s="19" t="s">
        <v>280</v>
      </c>
      <c r="F30" s="19" t="s">
        <v>42</v>
      </c>
      <c r="G30" s="19" t="s">
        <v>281</v>
      </c>
      <c r="H30" s="19" t="s">
        <v>282</v>
      </c>
      <c r="I30" s="20">
        <v>40248</v>
      </c>
      <c r="J30" s="20"/>
      <c r="K30" s="19" t="s">
        <v>45</v>
      </c>
      <c r="L30" s="36" t="s">
        <v>283</v>
      </c>
      <c r="M30" s="20"/>
      <c r="N30" s="36"/>
      <c r="O30" s="19" t="s">
        <v>45</v>
      </c>
      <c r="P30" s="36" t="s">
        <v>283</v>
      </c>
      <c r="Q30" s="36"/>
      <c r="R30" s="36"/>
      <c r="S30" s="19" t="s">
        <v>45</v>
      </c>
      <c r="T30" s="19" t="s">
        <v>284</v>
      </c>
      <c r="U30" s="19" t="s">
        <v>285</v>
      </c>
      <c r="V30" s="19" t="s">
        <v>93</v>
      </c>
      <c r="W30" s="19" t="s">
        <v>286</v>
      </c>
      <c r="X30" s="21"/>
      <c r="Y30" s="22">
        <v>76535764004300</v>
      </c>
      <c r="Z30" s="23">
        <f t="shared" si="0"/>
        <v>28</v>
      </c>
      <c r="AA30" s="24" t="str">
        <f>IFERROR(VLOOKUP($Z30,'[1]End Fat Serviço - PA 15 e 16'!$K$3:$K$31,1,0), "")</f>
        <v/>
      </c>
      <c r="AB30" s="24" t="str">
        <f>IFERROR(VLOOKUP($Z30,'[1]End Fat Material - PA 12'!$K$3:$K$64,1,0), "")</f>
        <v/>
      </c>
      <c r="AC30" s="24" t="str">
        <f>IFERROR(VLOOKUP($Z30,'[1]End CA Lotação'!$L$3:$L$36,1,0), "")</f>
        <v/>
      </c>
      <c r="AD30" s="24" t="str">
        <f>IFERROR(VLOOKUP(Z30,'[1]RH - PARA 21.03'!$M$3:$M$555,1,0),"")</f>
        <v/>
      </c>
      <c r="AE30" s="23" t="str">
        <f>IFERROR(VLOOKUP($Z30,'[1]CNPJ Oi Fat'!$K$3:$K$32,1,0),"")</f>
        <v/>
      </c>
      <c r="AF30" s="23" t="str">
        <f>IFERROR(VLOOKUP(Z30,'[1]End Logística Oi'!$D$3:$D$29,1,0),"")</f>
        <v/>
      </c>
      <c r="AG30" s="23" t="str">
        <f>IFERROR(VLOOKUP(Z30,'[1]End Logística Oi'!$J$3:$J$29,1,0),"")</f>
        <v/>
      </c>
      <c r="AI30" s="23" t="s">
        <v>55</v>
      </c>
      <c r="AJ30" s="23" t="s">
        <v>55</v>
      </c>
      <c r="AK30" s="23" t="e">
        <v>#N/A</v>
      </c>
    </row>
    <row r="31" spans="1:37" s="23" customFormat="1" ht="15" hidden="1" customHeight="1" x14ac:dyDescent="0.25">
      <c r="A31" s="19">
        <v>29</v>
      </c>
      <c r="B31" s="19" t="s">
        <v>85</v>
      </c>
      <c r="C31" s="19" t="s">
        <v>39</v>
      </c>
      <c r="D31" s="19" t="s">
        <v>40</v>
      </c>
      <c r="E31" s="19" t="s">
        <v>29</v>
      </c>
      <c r="F31" s="19" t="s">
        <v>42</v>
      </c>
      <c r="G31" s="19"/>
      <c r="H31" s="19" t="s">
        <v>287</v>
      </c>
      <c r="I31" s="20">
        <v>40856</v>
      </c>
      <c r="J31" s="19"/>
      <c r="K31" s="19" t="s">
        <v>45</v>
      </c>
      <c r="L31" s="40" t="s">
        <v>288</v>
      </c>
      <c r="M31" s="20">
        <v>40863</v>
      </c>
      <c r="N31" s="20"/>
      <c r="O31" s="19" t="s">
        <v>45</v>
      </c>
      <c r="P31" s="40" t="s">
        <v>288</v>
      </c>
      <c r="Q31" s="20">
        <v>40863</v>
      </c>
      <c r="R31" s="20"/>
      <c r="S31" s="19" t="s">
        <v>45</v>
      </c>
      <c r="T31" s="19" t="s">
        <v>289</v>
      </c>
      <c r="U31" s="19" t="s">
        <v>290</v>
      </c>
      <c r="V31" s="19" t="s">
        <v>93</v>
      </c>
      <c r="W31" s="35" t="s">
        <v>291</v>
      </c>
      <c r="X31" s="21"/>
      <c r="Y31" s="22">
        <v>76535764004564</v>
      </c>
      <c r="Z31" s="23">
        <f t="shared" si="0"/>
        <v>29</v>
      </c>
      <c r="AA31" s="24" t="str">
        <f>IFERROR(VLOOKUP($Z31,'[1]End Fat Serviço - PA 15 e 16'!$K$3:$K$31,1,0), "")</f>
        <v/>
      </c>
      <c r="AB31" s="24" t="str">
        <f>IFERROR(VLOOKUP($Z31,'[1]End Fat Material - PA 12'!$K$3:$K$64,1,0), "")</f>
        <v/>
      </c>
      <c r="AC31" s="24" t="str">
        <f>IFERROR(VLOOKUP($Z31,'[1]End CA Lotação'!$L$3:$L$36,1,0), "")</f>
        <v/>
      </c>
      <c r="AD31" s="24" t="str">
        <f>IFERROR(VLOOKUP(Z31,'[1]RH - PARA 21.03'!$M$3:$M$555,1,0),"")</f>
        <v/>
      </c>
      <c r="AE31" s="23" t="str">
        <f>IFERROR(VLOOKUP($Z31,'[1]CNPJ Oi Fat'!$K$3:$K$32,1,0),"")</f>
        <v/>
      </c>
      <c r="AF31" s="23" t="str">
        <f>IFERROR(VLOOKUP(Z31,'[1]End Logística Oi'!$D$3:$D$29,1,0),"")</f>
        <v/>
      </c>
      <c r="AG31" s="23" t="str">
        <f>IFERROR(VLOOKUP(Z31,'[1]End Logística Oi'!$J$3:$J$29,1,0),"")</f>
        <v/>
      </c>
      <c r="AI31" s="23" t="s">
        <v>55</v>
      </c>
      <c r="AJ31" s="23" t="s">
        <v>55</v>
      </c>
      <c r="AK31" s="23" t="e">
        <v>#N/A</v>
      </c>
    </row>
    <row r="32" spans="1:37" s="23" customFormat="1" ht="15" hidden="1" customHeight="1" x14ac:dyDescent="0.25">
      <c r="A32" s="19">
        <v>30</v>
      </c>
      <c r="B32" s="19" t="s">
        <v>68</v>
      </c>
      <c r="C32" s="19" t="s">
        <v>39</v>
      </c>
      <c r="D32" s="19" t="s">
        <v>40</v>
      </c>
      <c r="E32" s="19"/>
      <c r="F32" s="19" t="s">
        <v>42</v>
      </c>
      <c r="G32" s="19">
        <v>31902319154</v>
      </c>
      <c r="H32" s="19" t="s">
        <v>292</v>
      </c>
      <c r="I32" s="20">
        <v>41558</v>
      </c>
      <c r="J32" s="19"/>
      <c r="K32" s="19" t="s">
        <v>45</v>
      </c>
      <c r="L32" s="36"/>
      <c r="M32" s="20"/>
      <c r="N32" s="36"/>
      <c r="O32" s="19" t="s">
        <v>45</v>
      </c>
      <c r="P32" s="19" t="s">
        <v>293</v>
      </c>
      <c r="Q32" s="20" t="s">
        <v>294</v>
      </c>
      <c r="R32" s="36"/>
      <c r="S32" s="19" t="s">
        <v>45</v>
      </c>
      <c r="T32" s="19" t="s">
        <v>295</v>
      </c>
      <c r="U32" s="19" t="s">
        <v>49</v>
      </c>
      <c r="V32" s="19" t="s">
        <v>75</v>
      </c>
      <c r="W32" s="19" t="s">
        <v>296</v>
      </c>
      <c r="X32" s="21"/>
      <c r="Y32" s="22">
        <v>76535764004726</v>
      </c>
      <c r="Z32" s="23">
        <f t="shared" si="0"/>
        <v>30</v>
      </c>
      <c r="AA32" s="24" t="str">
        <f>IFERROR(VLOOKUP($Z32,'[1]End Fat Serviço - PA 15 e 16'!$K$3:$K$31,1,0), "")</f>
        <v/>
      </c>
      <c r="AB32" s="24" t="str">
        <f>IFERROR(VLOOKUP($Z32,'[1]End Fat Material - PA 12'!$K$3:$K$64,1,0), "")</f>
        <v/>
      </c>
      <c r="AC32" s="24" t="str">
        <f>IFERROR(VLOOKUP($Z32,'[1]End CA Lotação'!$L$3:$L$36,1,0), "")</f>
        <v/>
      </c>
      <c r="AD32" s="24" t="str">
        <f>IFERROR(VLOOKUP(Z32,'[1]RH - PARA 21.03'!$M$3:$M$555,1,0),"")</f>
        <v/>
      </c>
      <c r="AE32" s="23" t="str">
        <f>IFERROR(VLOOKUP($Z32,'[1]CNPJ Oi Fat'!$K$3:$K$32,1,0),"")</f>
        <v/>
      </c>
      <c r="AF32" s="23" t="str">
        <f>IFERROR(VLOOKUP(Z32,'[1]End Logística Oi'!$D$3:$D$29,1,0),"")</f>
        <v/>
      </c>
      <c r="AG32" s="23" t="str">
        <f>IFERROR(VLOOKUP(Z32,'[1]End Logística Oi'!$J$3:$J$29,1,0),"")</f>
        <v/>
      </c>
      <c r="AI32" s="23" t="s">
        <v>55</v>
      </c>
      <c r="AJ32" s="23" t="s">
        <v>55</v>
      </c>
      <c r="AK32" s="23" t="e">
        <v>#N/A</v>
      </c>
    </row>
    <row r="33" spans="1:37" s="23" customFormat="1" ht="15" customHeight="1" x14ac:dyDescent="0.25">
      <c r="A33" s="19">
        <v>31</v>
      </c>
      <c r="B33" s="19" t="s">
        <v>122</v>
      </c>
      <c r="C33" s="19" t="s">
        <v>39</v>
      </c>
      <c r="D33" s="19" t="s">
        <v>40</v>
      </c>
      <c r="E33" s="19" t="s">
        <v>29</v>
      </c>
      <c r="F33" s="19" t="s">
        <v>42</v>
      </c>
      <c r="G33" s="19" t="s">
        <v>297</v>
      </c>
      <c r="H33" s="19" t="s">
        <v>298</v>
      </c>
      <c r="I33" s="20">
        <v>41551</v>
      </c>
      <c r="J33" s="19"/>
      <c r="K33" s="19" t="s">
        <v>45</v>
      </c>
      <c r="L33" s="36"/>
      <c r="M33" s="20"/>
      <c r="N33" s="36"/>
      <c r="O33" s="19" t="s">
        <v>45</v>
      </c>
      <c r="P33" s="19"/>
      <c r="Q33" s="20"/>
      <c r="R33" s="36"/>
      <c r="S33" s="19"/>
      <c r="T33" s="19" t="s">
        <v>299</v>
      </c>
      <c r="U33" s="19" t="s">
        <v>127</v>
      </c>
      <c r="V33" s="19" t="s">
        <v>128</v>
      </c>
      <c r="W33" s="35" t="s">
        <v>129</v>
      </c>
      <c r="X33" s="21"/>
      <c r="Y33" s="22">
        <v>76535764004645</v>
      </c>
      <c r="Z33" s="23">
        <f t="shared" si="0"/>
        <v>31</v>
      </c>
      <c r="AA33" s="24" t="str">
        <f>IFERROR(VLOOKUP($Z33,'[1]End Fat Serviço - PA 15 e 16'!$K$3:$K$31,1,0), "")</f>
        <v/>
      </c>
      <c r="AB33" s="24" t="str">
        <f>IFERROR(VLOOKUP($Z33,'[1]End Fat Material - PA 12'!$K$3:$K$64,1,0), "")</f>
        <v/>
      </c>
      <c r="AC33" s="24" t="str">
        <f>IFERROR(VLOOKUP($Z33,'[1]End CA Lotação'!$L$3:$L$36,1,0), "")</f>
        <v/>
      </c>
      <c r="AD33" s="24">
        <f>IFERROR(VLOOKUP(Z33,'[1]RH - PARA 21.03'!$M$3:$M$555,1,0),"")</f>
        <v>31</v>
      </c>
      <c r="AE33" s="23" t="str">
        <f>IFERROR(VLOOKUP($Z33,'[1]CNPJ Oi Fat'!$K$3:$K$32,1,0),"")</f>
        <v/>
      </c>
      <c r="AF33" s="23" t="str">
        <f>IFERROR(VLOOKUP(Z33,'[1]End Logística Oi'!$D$3:$D$29,1,0),"")</f>
        <v/>
      </c>
      <c r="AG33" s="23" t="str">
        <f>IFERROR(VLOOKUP(Z33,'[1]End Logística Oi'!$J$3:$J$29,1,0),"")</f>
        <v/>
      </c>
      <c r="AI33" s="23" t="s">
        <v>54</v>
      </c>
      <c r="AJ33" s="23" t="s">
        <v>55</v>
      </c>
      <c r="AK33" s="23" t="e">
        <v>#N/A</v>
      </c>
    </row>
    <row r="34" spans="1:37" s="23" customFormat="1" ht="15" hidden="1" customHeight="1" x14ac:dyDescent="0.25">
      <c r="A34" s="19">
        <v>32</v>
      </c>
      <c r="B34" s="19" t="s">
        <v>200</v>
      </c>
      <c r="C34" s="19" t="s">
        <v>39</v>
      </c>
      <c r="D34" s="19" t="s">
        <v>40</v>
      </c>
      <c r="E34" s="19"/>
      <c r="F34" s="19" t="s">
        <v>42</v>
      </c>
      <c r="G34" s="19" t="s">
        <v>300</v>
      </c>
      <c r="H34" s="19" t="s">
        <v>301</v>
      </c>
      <c r="I34" s="20">
        <v>36594</v>
      </c>
      <c r="J34" s="20"/>
      <c r="K34" s="19" t="s">
        <v>45</v>
      </c>
      <c r="L34" s="19" t="s">
        <v>302</v>
      </c>
      <c r="M34" s="20">
        <v>36635</v>
      </c>
      <c r="N34" s="20">
        <v>42124</v>
      </c>
      <c r="O34" s="19" t="s">
        <v>45</v>
      </c>
      <c r="P34" s="19" t="s">
        <v>303</v>
      </c>
      <c r="Q34" s="20">
        <v>36635</v>
      </c>
      <c r="R34" s="20">
        <v>42124</v>
      </c>
      <c r="S34" s="19" t="s">
        <v>45</v>
      </c>
      <c r="T34" s="19" t="s">
        <v>304</v>
      </c>
      <c r="U34" s="19" t="s">
        <v>49</v>
      </c>
      <c r="V34" s="19" t="s">
        <v>305</v>
      </c>
      <c r="W34" s="19" t="s">
        <v>306</v>
      </c>
      <c r="X34" s="42"/>
      <c r="Y34" s="22">
        <v>76535764033076</v>
      </c>
      <c r="Z34" s="23">
        <f t="shared" si="0"/>
        <v>32</v>
      </c>
      <c r="AA34" s="24" t="str">
        <f>IFERROR(VLOOKUP($Z34,'[1]End Fat Serviço - PA 15 e 16'!$K$3:$K$31,1,0), "")</f>
        <v/>
      </c>
      <c r="AB34" s="24" t="str">
        <f>IFERROR(VLOOKUP($Z34,'[1]End Fat Material - PA 12'!$K$3:$K$64,1,0), "")</f>
        <v/>
      </c>
      <c r="AC34" s="24" t="str">
        <f>IFERROR(VLOOKUP($Z34,'[1]End CA Lotação'!$L$3:$L$36,1,0), "")</f>
        <v/>
      </c>
      <c r="AD34" s="24" t="str">
        <f>IFERROR(VLOOKUP(Z34,'[1]RH - PARA 21.03'!$M$3:$M$555,1,0),"")</f>
        <v/>
      </c>
      <c r="AE34" s="23" t="str">
        <f>IFERROR(VLOOKUP($Z34,'[1]CNPJ Oi Fat'!$K$3:$K$32,1,0),"")</f>
        <v/>
      </c>
      <c r="AF34" s="23" t="str">
        <f>IFERROR(VLOOKUP(Z34,'[1]End Logística Oi'!$D$3:$D$29,1,0),"")</f>
        <v/>
      </c>
      <c r="AG34" s="23" t="str">
        <f>IFERROR(VLOOKUP(Z34,'[1]End Logística Oi'!$J$3:$J$29,1,0),"")</f>
        <v/>
      </c>
      <c r="AI34" s="23" t="s">
        <v>55</v>
      </c>
      <c r="AJ34" s="23" t="s">
        <v>55</v>
      </c>
      <c r="AK34" s="23" t="e">
        <v>#N/A</v>
      </c>
    </row>
    <row r="35" spans="1:37" s="23" customFormat="1" ht="15" hidden="1" customHeight="1" x14ac:dyDescent="0.25">
      <c r="A35" s="19">
        <v>33</v>
      </c>
      <c r="B35" s="19" t="s">
        <v>230</v>
      </c>
      <c r="C35" s="19" t="s">
        <v>39</v>
      </c>
      <c r="D35" s="19" t="s">
        <v>40</v>
      </c>
      <c r="E35" s="19" t="s">
        <v>307</v>
      </c>
      <c r="F35" s="19" t="s">
        <v>42</v>
      </c>
      <c r="G35" s="19" t="s">
        <v>308</v>
      </c>
      <c r="H35" s="19" t="s">
        <v>309</v>
      </c>
      <c r="I35" s="20">
        <v>24376</v>
      </c>
      <c r="J35" s="20"/>
      <c r="K35" s="19" t="s">
        <v>45</v>
      </c>
      <c r="L35" s="19">
        <v>77685022</v>
      </c>
      <c r="M35" s="20"/>
      <c r="N35" s="19"/>
      <c r="O35" s="19" t="s">
        <v>90</v>
      </c>
      <c r="P35" s="19" t="s">
        <v>310</v>
      </c>
      <c r="Q35" s="20">
        <v>40766</v>
      </c>
      <c r="R35" s="19"/>
      <c r="S35" s="19" t="s">
        <v>45</v>
      </c>
      <c r="T35" s="19" t="s">
        <v>311</v>
      </c>
      <c r="U35" s="19" t="s">
        <v>49</v>
      </c>
      <c r="V35" s="19" t="s">
        <v>235</v>
      </c>
      <c r="W35" s="19" t="s">
        <v>312</v>
      </c>
      <c r="X35" s="21"/>
      <c r="Y35" s="22">
        <v>76535764000143</v>
      </c>
      <c r="Z35" s="23">
        <f t="shared" si="0"/>
        <v>33</v>
      </c>
      <c r="AA35" s="24" t="str">
        <f>IFERROR(VLOOKUP($Z35,'[1]End Fat Serviço - PA 15 e 16'!$K$3:$K$31,1,0), "")</f>
        <v/>
      </c>
      <c r="AB35" s="24" t="str">
        <f>IFERROR(VLOOKUP($Z35,'[1]End Fat Material - PA 12'!$K$3:$K$64,1,0), "")</f>
        <v/>
      </c>
      <c r="AC35" s="24" t="str">
        <f>IFERROR(VLOOKUP($Z35,'[1]End CA Lotação'!$L$3:$L$36,1,0), "")</f>
        <v/>
      </c>
      <c r="AD35" s="24" t="str">
        <f>IFERROR(VLOOKUP(Z35,'[1]RH - PARA 21.03'!$M$3:$M$555,1,0),"")</f>
        <v/>
      </c>
      <c r="AE35" s="23" t="str">
        <f>IFERROR(VLOOKUP($Z35,'[1]CNPJ Oi Fat'!$K$3:$K$32,1,0),"")</f>
        <v/>
      </c>
      <c r="AF35" s="23" t="str">
        <f>IFERROR(VLOOKUP(Z35,'[1]End Logística Oi'!$D$3:$D$29,1,0),"")</f>
        <v/>
      </c>
      <c r="AG35" s="23" t="str">
        <f>IFERROR(VLOOKUP(Z35,'[1]End Logística Oi'!$J$3:$J$29,1,0),"")</f>
        <v/>
      </c>
      <c r="AI35" s="23" t="s">
        <v>55</v>
      </c>
      <c r="AJ35" s="23" t="s">
        <v>55</v>
      </c>
      <c r="AK35" s="23" t="e">
        <v>#N/A</v>
      </c>
    </row>
    <row r="36" spans="1:37" s="23" customFormat="1" ht="15" hidden="1" customHeight="1" x14ac:dyDescent="0.25">
      <c r="A36" s="19">
        <v>34</v>
      </c>
      <c r="B36" s="19" t="s">
        <v>230</v>
      </c>
      <c r="C36" s="19" t="s">
        <v>39</v>
      </c>
      <c r="D36" s="19" t="s">
        <v>40</v>
      </c>
      <c r="E36" s="19"/>
      <c r="F36" s="19" t="s">
        <v>42</v>
      </c>
      <c r="G36" s="19" t="s">
        <v>313</v>
      </c>
      <c r="H36" s="19" t="s">
        <v>314</v>
      </c>
      <c r="I36" s="20">
        <v>39937</v>
      </c>
      <c r="J36" s="20"/>
      <c r="K36" s="19" t="s">
        <v>45</v>
      </c>
      <c r="L36" s="19" t="s">
        <v>90</v>
      </c>
      <c r="M36" s="20"/>
      <c r="N36" s="19"/>
      <c r="O36" s="19" t="s">
        <v>90</v>
      </c>
      <c r="P36" s="19" t="s">
        <v>315</v>
      </c>
      <c r="Q36" s="19"/>
      <c r="R36" s="19"/>
      <c r="S36" s="19" t="s">
        <v>45</v>
      </c>
      <c r="T36" s="19" t="s">
        <v>316</v>
      </c>
      <c r="U36" s="19" t="s">
        <v>49</v>
      </c>
      <c r="V36" s="19" t="s">
        <v>235</v>
      </c>
      <c r="W36" s="19" t="s">
        <v>312</v>
      </c>
      <c r="X36" s="21"/>
      <c r="Y36" s="22">
        <v>76535764002782</v>
      </c>
      <c r="Z36" s="23">
        <f t="shared" si="0"/>
        <v>34</v>
      </c>
      <c r="AA36" s="24" t="str">
        <f>IFERROR(VLOOKUP($Z36,'[1]End Fat Serviço - PA 15 e 16'!$K$3:$K$31,1,0), "")</f>
        <v/>
      </c>
      <c r="AB36" s="24" t="str">
        <f>IFERROR(VLOOKUP($Z36,'[1]End Fat Material - PA 12'!$K$3:$K$64,1,0), "")</f>
        <v/>
      </c>
      <c r="AC36" s="24" t="str">
        <f>IFERROR(VLOOKUP($Z36,'[1]End CA Lotação'!$L$3:$L$36,1,0), "")</f>
        <v/>
      </c>
      <c r="AD36" s="24" t="str">
        <f>IFERROR(VLOOKUP(Z36,'[1]RH - PARA 21.03'!$M$3:$M$555,1,0),"")</f>
        <v/>
      </c>
      <c r="AE36" s="23" t="str">
        <f>IFERROR(VLOOKUP($Z36,'[1]CNPJ Oi Fat'!$K$3:$K$32,1,0),"")</f>
        <v/>
      </c>
      <c r="AF36" s="23" t="str">
        <f>IFERROR(VLOOKUP(Z36,'[1]End Logística Oi'!$D$3:$D$29,1,0),"")</f>
        <v/>
      </c>
      <c r="AG36" s="23" t="str">
        <f>IFERROR(VLOOKUP(Z36,'[1]End Logística Oi'!$J$3:$J$29,1,0),"")</f>
        <v/>
      </c>
      <c r="AI36" s="23" t="s">
        <v>55</v>
      </c>
      <c r="AJ36" s="23" t="s">
        <v>55</v>
      </c>
      <c r="AK36" s="23" t="e">
        <v>#N/A</v>
      </c>
    </row>
    <row r="37" spans="1:37" s="23" customFormat="1" ht="15" hidden="1" customHeight="1" x14ac:dyDescent="0.25">
      <c r="A37" s="19">
        <v>35</v>
      </c>
      <c r="B37" s="19" t="s">
        <v>230</v>
      </c>
      <c r="C37" s="19" t="s">
        <v>39</v>
      </c>
      <c r="D37" s="19" t="s">
        <v>40</v>
      </c>
      <c r="E37" s="19"/>
      <c r="F37" s="19" t="s">
        <v>42</v>
      </c>
      <c r="G37" s="19" t="s">
        <v>317</v>
      </c>
      <c r="H37" s="19" t="s">
        <v>318</v>
      </c>
      <c r="I37" s="20">
        <v>39937</v>
      </c>
      <c r="J37" s="20"/>
      <c r="K37" s="19" t="s">
        <v>45</v>
      </c>
      <c r="L37" s="19" t="s">
        <v>90</v>
      </c>
      <c r="M37" s="20"/>
      <c r="N37" s="19"/>
      <c r="O37" s="19" t="s">
        <v>90</v>
      </c>
      <c r="P37" s="19" t="s">
        <v>319</v>
      </c>
      <c r="Q37" s="19"/>
      <c r="R37" s="19"/>
      <c r="S37" s="19" t="s">
        <v>45</v>
      </c>
      <c r="T37" s="19" t="s">
        <v>320</v>
      </c>
      <c r="U37" s="19" t="s">
        <v>321</v>
      </c>
      <c r="V37" s="19" t="s">
        <v>235</v>
      </c>
      <c r="W37" s="19" t="s">
        <v>322</v>
      </c>
      <c r="X37" s="21"/>
      <c r="Y37" s="22">
        <v>76535764002863</v>
      </c>
      <c r="Z37" s="23">
        <f t="shared" si="0"/>
        <v>35</v>
      </c>
      <c r="AA37" s="24" t="str">
        <f>IFERROR(VLOOKUP($Z37,'[1]End Fat Serviço - PA 15 e 16'!$K$3:$K$31,1,0), "")</f>
        <v/>
      </c>
      <c r="AB37" s="24" t="str">
        <f>IFERROR(VLOOKUP($Z37,'[1]End Fat Material - PA 12'!$K$3:$K$64,1,0), "")</f>
        <v/>
      </c>
      <c r="AC37" s="24" t="str">
        <f>IFERROR(VLOOKUP($Z37,'[1]End CA Lotação'!$L$3:$L$36,1,0), "")</f>
        <v/>
      </c>
      <c r="AD37" s="24" t="str">
        <f>IFERROR(VLOOKUP(Z37,'[1]RH - PARA 21.03'!$M$3:$M$555,1,0),"")</f>
        <v/>
      </c>
      <c r="AE37" s="23" t="str">
        <f>IFERROR(VLOOKUP($Z37,'[1]CNPJ Oi Fat'!$K$3:$K$32,1,0),"")</f>
        <v/>
      </c>
      <c r="AF37" s="23" t="str">
        <f>IFERROR(VLOOKUP(Z37,'[1]End Logística Oi'!$D$3:$D$29,1,0),"")</f>
        <v/>
      </c>
      <c r="AG37" s="23" t="str">
        <f>IFERROR(VLOOKUP(Z37,'[1]End Logística Oi'!$J$3:$J$29,1,0),"")</f>
        <v/>
      </c>
      <c r="AI37" s="23" t="s">
        <v>55</v>
      </c>
      <c r="AJ37" s="23" t="s">
        <v>55</v>
      </c>
      <c r="AK37" s="23" t="e">
        <v>#N/A</v>
      </c>
    </row>
    <row r="38" spans="1:37" s="23" customFormat="1" ht="15" hidden="1" customHeight="1" x14ac:dyDescent="0.25">
      <c r="A38" s="19">
        <v>36</v>
      </c>
      <c r="B38" s="19" t="s">
        <v>230</v>
      </c>
      <c r="C38" s="19" t="s">
        <v>39</v>
      </c>
      <c r="D38" s="19" t="s">
        <v>40</v>
      </c>
      <c r="E38" s="19"/>
      <c r="F38" s="19" t="s">
        <v>42</v>
      </c>
      <c r="G38" s="19" t="s">
        <v>323</v>
      </c>
      <c r="H38" s="19" t="s">
        <v>324</v>
      </c>
      <c r="I38" s="20">
        <v>39937</v>
      </c>
      <c r="J38" s="20"/>
      <c r="K38" s="19" t="s">
        <v>45</v>
      </c>
      <c r="L38" s="19" t="s">
        <v>90</v>
      </c>
      <c r="M38" s="20"/>
      <c r="N38" s="19"/>
      <c r="O38" s="19" t="s">
        <v>90</v>
      </c>
      <c r="P38" s="19" t="s">
        <v>325</v>
      </c>
      <c r="Q38" s="19"/>
      <c r="R38" s="19"/>
      <c r="S38" s="19" t="s">
        <v>45</v>
      </c>
      <c r="T38" s="19" t="s">
        <v>326</v>
      </c>
      <c r="U38" s="19" t="s">
        <v>49</v>
      </c>
      <c r="V38" s="19" t="s">
        <v>235</v>
      </c>
      <c r="W38" s="19" t="s">
        <v>327</v>
      </c>
      <c r="X38" s="21"/>
      <c r="Y38" s="22">
        <v>76535764002944</v>
      </c>
      <c r="Z38" s="23">
        <f t="shared" si="0"/>
        <v>36</v>
      </c>
      <c r="AA38" s="24" t="str">
        <f>IFERROR(VLOOKUP($Z38,'[1]End Fat Serviço - PA 15 e 16'!$K$3:$K$31,1,0), "")</f>
        <v/>
      </c>
      <c r="AB38" s="24" t="str">
        <f>IFERROR(VLOOKUP($Z38,'[1]End Fat Material - PA 12'!$K$3:$K$64,1,0), "")</f>
        <v/>
      </c>
      <c r="AC38" s="24" t="str">
        <f>IFERROR(VLOOKUP($Z38,'[1]End CA Lotação'!$L$3:$L$36,1,0), "")</f>
        <v/>
      </c>
      <c r="AD38" s="24" t="str">
        <f>IFERROR(VLOOKUP(Z38,'[1]RH - PARA 21.03'!$M$3:$M$555,1,0),"")</f>
        <v/>
      </c>
      <c r="AE38" s="23" t="str">
        <f>IFERROR(VLOOKUP($Z38,'[1]CNPJ Oi Fat'!$K$3:$K$32,1,0),"")</f>
        <v/>
      </c>
      <c r="AF38" s="23" t="str">
        <f>IFERROR(VLOOKUP(Z38,'[1]End Logística Oi'!$D$3:$D$29,1,0),"")</f>
        <v/>
      </c>
      <c r="AG38" s="23" t="str">
        <f>IFERROR(VLOOKUP(Z38,'[1]End Logística Oi'!$J$3:$J$29,1,0),"")</f>
        <v/>
      </c>
      <c r="AI38" s="23" t="s">
        <v>55</v>
      </c>
      <c r="AJ38" s="23" t="s">
        <v>55</v>
      </c>
      <c r="AK38" s="23" t="e">
        <v>#N/A</v>
      </c>
    </row>
    <row r="39" spans="1:37" s="23" customFormat="1" ht="15" hidden="1" customHeight="1" x14ac:dyDescent="0.25">
      <c r="A39" s="19">
        <v>37</v>
      </c>
      <c r="B39" s="19" t="s">
        <v>230</v>
      </c>
      <c r="C39" s="19" t="s">
        <v>39</v>
      </c>
      <c r="D39" s="19" t="s">
        <v>40</v>
      </c>
      <c r="E39" s="19"/>
      <c r="F39" s="19" t="s">
        <v>42</v>
      </c>
      <c r="G39" s="19" t="s">
        <v>328</v>
      </c>
      <c r="H39" s="19" t="s">
        <v>329</v>
      </c>
      <c r="I39" s="20">
        <v>39937</v>
      </c>
      <c r="J39" s="20"/>
      <c r="K39" s="19" t="s">
        <v>45</v>
      </c>
      <c r="L39" s="19" t="s">
        <v>90</v>
      </c>
      <c r="M39" s="20"/>
      <c r="N39" s="19"/>
      <c r="O39" s="19" t="s">
        <v>90</v>
      </c>
      <c r="P39" s="19" t="s">
        <v>330</v>
      </c>
      <c r="Q39" s="19"/>
      <c r="R39" s="19"/>
      <c r="S39" s="19" t="s">
        <v>45</v>
      </c>
      <c r="T39" s="19" t="s">
        <v>331</v>
      </c>
      <c r="U39" s="19" t="s">
        <v>332</v>
      </c>
      <c r="V39" s="19" t="s">
        <v>235</v>
      </c>
      <c r="W39" s="19" t="s">
        <v>333</v>
      </c>
      <c r="X39" s="21"/>
      <c r="Y39" s="22">
        <v>76535764003592</v>
      </c>
      <c r="Z39" s="23">
        <f t="shared" si="0"/>
        <v>37</v>
      </c>
      <c r="AA39" s="24" t="str">
        <f>IFERROR(VLOOKUP($Z39,'[1]End Fat Serviço - PA 15 e 16'!$K$3:$K$31,1,0), "")</f>
        <v/>
      </c>
      <c r="AB39" s="24" t="str">
        <f>IFERROR(VLOOKUP($Z39,'[1]End Fat Material - PA 12'!$K$3:$K$64,1,0), "")</f>
        <v/>
      </c>
      <c r="AC39" s="24" t="str">
        <f>IFERROR(VLOOKUP($Z39,'[1]End CA Lotação'!$L$3:$L$36,1,0), "")</f>
        <v/>
      </c>
      <c r="AD39" s="24" t="str">
        <f>IFERROR(VLOOKUP(Z39,'[1]RH - PARA 21.03'!$M$3:$M$555,1,0),"")</f>
        <v/>
      </c>
      <c r="AE39" s="23" t="str">
        <f>IFERROR(VLOOKUP($Z39,'[1]CNPJ Oi Fat'!$K$3:$K$32,1,0),"")</f>
        <v/>
      </c>
      <c r="AF39" s="23" t="str">
        <f>IFERROR(VLOOKUP(Z39,'[1]End Logística Oi'!$D$3:$D$29,1,0),"")</f>
        <v/>
      </c>
      <c r="AG39" s="23" t="str">
        <f>IFERROR(VLOOKUP(Z39,'[1]End Logística Oi'!$J$3:$J$29,1,0),"")</f>
        <v/>
      </c>
      <c r="AI39" s="23" t="s">
        <v>55</v>
      </c>
      <c r="AJ39" s="23" t="s">
        <v>55</v>
      </c>
      <c r="AK39" s="23" t="e">
        <v>#N/A</v>
      </c>
    </row>
    <row r="40" spans="1:37" s="23" customFormat="1" ht="15" hidden="1" customHeight="1" x14ac:dyDescent="0.25">
      <c r="A40" s="25">
        <v>38</v>
      </c>
      <c r="B40" s="26" t="s">
        <v>230</v>
      </c>
      <c r="C40" s="27" t="s">
        <v>39</v>
      </c>
      <c r="D40" s="26" t="s">
        <v>40</v>
      </c>
      <c r="E40" s="26" t="s">
        <v>280</v>
      </c>
      <c r="F40" s="26" t="s">
        <v>42</v>
      </c>
      <c r="G40" s="28" t="s">
        <v>334</v>
      </c>
      <c r="H40" s="26" t="s">
        <v>335</v>
      </c>
      <c r="I40" s="29">
        <v>39946</v>
      </c>
      <c r="J40" s="30"/>
      <c r="K40" s="19" t="s">
        <v>45</v>
      </c>
      <c r="L40" s="31">
        <v>77685022</v>
      </c>
      <c r="M40" s="29">
        <v>38049</v>
      </c>
      <c r="N40" s="32"/>
      <c r="O40" s="31" t="s">
        <v>336</v>
      </c>
      <c r="P40" s="33" t="s">
        <v>337</v>
      </c>
      <c r="Q40" s="29">
        <v>40036</v>
      </c>
      <c r="R40" s="32"/>
      <c r="S40" s="31" t="s">
        <v>45</v>
      </c>
      <c r="T40" s="31" t="s">
        <v>338</v>
      </c>
      <c r="U40" s="31" t="s">
        <v>339</v>
      </c>
      <c r="V40" s="27" t="s">
        <v>340</v>
      </c>
      <c r="W40" s="31" t="s">
        <v>341</v>
      </c>
      <c r="X40" s="21"/>
      <c r="Y40" s="22">
        <v>76535764003673</v>
      </c>
      <c r="Z40" s="23">
        <v>38</v>
      </c>
      <c r="AA40" s="24" t="s">
        <v>65</v>
      </c>
      <c r="AB40" s="24" t="s">
        <v>65</v>
      </c>
      <c r="AC40" s="24" t="s">
        <v>65</v>
      </c>
      <c r="AD40" s="24" t="s">
        <v>65</v>
      </c>
      <c r="AE40" s="23" t="s">
        <v>65</v>
      </c>
      <c r="AF40" s="23" t="s">
        <v>65</v>
      </c>
      <c r="AG40" s="23">
        <v>38</v>
      </c>
      <c r="AH40" s="34" t="s">
        <v>342</v>
      </c>
      <c r="AI40" s="23" t="s">
        <v>55</v>
      </c>
      <c r="AJ40" s="23" t="s">
        <v>55</v>
      </c>
      <c r="AK40" s="23" t="s">
        <v>67</v>
      </c>
    </row>
    <row r="41" spans="1:37" s="23" customFormat="1" ht="15" customHeight="1" x14ac:dyDescent="0.25">
      <c r="A41" s="19">
        <v>39</v>
      </c>
      <c r="B41" s="19" t="s">
        <v>230</v>
      </c>
      <c r="C41" s="19" t="s">
        <v>39</v>
      </c>
      <c r="D41" s="19" t="s">
        <v>40</v>
      </c>
      <c r="E41" s="19"/>
      <c r="F41" s="19" t="s">
        <v>42</v>
      </c>
      <c r="G41" s="19" t="s">
        <v>343</v>
      </c>
      <c r="H41" s="19" t="s">
        <v>344</v>
      </c>
      <c r="I41" s="20">
        <v>40206</v>
      </c>
      <c r="J41" s="20"/>
      <c r="K41" s="19" t="s">
        <v>45</v>
      </c>
      <c r="L41" s="19" t="s">
        <v>90</v>
      </c>
      <c r="M41" s="20"/>
      <c r="N41" s="19"/>
      <c r="O41" s="19" t="s">
        <v>90</v>
      </c>
      <c r="P41" s="19"/>
      <c r="Q41" s="19"/>
      <c r="R41" s="19"/>
      <c r="S41" s="19"/>
      <c r="T41" s="19" t="s">
        <v>345</v>
      </c>
      <c r="U41" s="19" t="s">
        <v>49</v>
      </c>
      <c r="V41" s="19" t="s">
        <v>235</v>
      </c>
      <c r="W41" s="19" t="s">
        <v>346</v>
      </c>
      <c r="X41" s="21"/>
      <c r="Y41" s="22">
        <v>76535764003916</v>
      </c>
      <c r="Z41" s="23">
        <f>A41</f>
        <v>39</v>
      </c>
      <c r="AA41" s="24" t="str">
        <f>IFERROR(VLOOKUP($Z41,'[1]End Fat Serviço - PA 15 e 16'!$K$3:$K$31,1,0), "")</f>
        <v/>
      </c>
      <c r="AB41" s="24" t="str">
        <f>IFERROR(VLOOKUP($Z41,'[1]End Fat Material - PA 12'!$K$3:$K$64,1,0), "")</f>
        <v/>
      </c>
      <c r="AC41" s="24" t="str">
        <f>IFERROR(VLOOKUP($Z41,'[1]End CA Lotação'!$L$3:$L$36,1,0), "")</f>
        <v/>
      </c>
      <c r="AD41" s="24">
        <f>IFERROR(VLOOKUP(Z41,'[1]RH - PARA 21.03'!$M$3:$M$555,1,0),"")</f>
        <v>39</v>
      </c>
      <c r="AE41" s="23" t="str">
        <f>IFERROR(VLOOKUP($Z41,'[1]CNPJ Oi Fat'!$K$3:$K$32,1,0),"")</f>
        <v/>
      </c>
      <c r="AF41" s="23" t="str">
        <f>IFERROR(VLOOKUP(Z41,'[1]End Logística Oi'!$D$3:$D$29,1,0),"")</f>
        <v/>
      </c>
      <c r="AG41" s="23" t="str">
        <f>IFERROR(VLOOKUP(Z41,'[1]End Logística Oi'!$J$3:$J$29,1,0),"")</f>
        <v/>
      </c>
      <c r="AH41" s="23" t="s">
        <v>53</v>
      </c>
      <c r="AI41" s="23" t="s">
        <v>54</v>
      </c>
      <c r="AJ41" s="23" t="s">
        <v>55</v>
      </c>
      <c r="AK41" s="23" t="e">
        <v>#N/A</v>
      </c>
    </row>
    <row r="42" spans="1:37" s="23" customFormat="1" ht="15" hidden="1" customHeight="1" x14ac:dyDescent="0.25">
      <c r="A42" s="19">
        <v>40</v>
      </c>
      <c r="B42" s="19" t="s">
        <v>230</v>
      </c>
      <c r="C42" s="19" t="s">
        <v>39</v>
      </c>
      <c r="D42" s="19" t="s">
        <v>40</v>
      </c>
      <c r="E42" s="19"/>
      <c r="F42" s="19" t="s">
        <v>42</v>
      </c>
      <c r="G42" s="19" t="s">
        <v>347</v>
      </c>
      <c r="H42" s="19" t="s">
        <v>348</v>
      </c>
      <c r="I42" s="20">
        <v>40267</v>
      </c>
      <c r="J42" s="20"/>
      <c r="K42" s="19" t="s">
        <v>45</v>
      </c>
      <c r="L42" s="19" t="s">
        <v>90</v>
      </c>
      <c r="M42" s="20"/>
      <c r="N42" s="19"/>
      <c r="O42" s="19" t="s">
        <v>90</v>
      </c>
      <c r="P42" s="20" t="s">
        <v>349</v>
      </c>
      <c r="Q42" s="20">
        <v>42311</v>
      </c>
      <c r="R42" s="19"/>
      <c r="S42" s="19" t="s">
        <v>45</v>
      </c>
      <c r="T42" s="19" t="s">
        <v>350</v>
      </c>
      <c r="U42" s="19" t="s">
        <v>234</v>
      </c>
      <c r="V42" s="19" t="s">
        <v>235</v>
      </c>
      <c r="W42" s="19" t="s">
        <v>236</v>
      </c>
      <c r="X42" s="21"/>
      <c r="Y42" s="22">
        <v>76535764004050</v>
      </c>
      <c r="Z42" s="23">
        <f>A42</f>
        <v>40</v>
      </c>
      <c r="AA42" s="24" t="str">
        <f>IFERROR(VLOOKUP($Z42,'[1]End Fat Serviço - PA 15 e 16'!$K$3:$K$31,1,0), "")</f>
        <v/>
      </c>
      <c r="AB42" s="24" t="str">
        <f>IFERROR(VLOOKUP($Z42,'[1]End Fat Material - PA 12'!$K$3:$K$64,1,0), "")</f>
        <v/>
      </c>
      <c r="AC42" s="24" t="str">
        <f>IFERROR(VLOOKUP($Z42,'[1]End CA Lotação'!$L$3:$L$36,1,0), "")</f>
        <v/>
      </c>
      <c r="AD42" s="24" t="str">
        <f>IFERROR(VLOOKUP(Z42,'[1]RH - PARA 21.03'!$M$3:$M$555,1,0),"")</f>
        <v/>
      </c>
      <c r="AE42" s="23" t="str">
        <f>IFERROR(VLOOKUP($Z42,'[1]CNPJ Oi Fat'!$K$3:$K$32,1,0),"")</f>
        <v/>
      </c>
      <c r="AF42" s="23" t="str">
        <f>IFERROR(VLOOKUP(Z42,'[1]End Logística Oi'!$D$3:$D$29,1,0),"")</f>
        <v/>
      </c>
      <c r="AG42" s="23" t="str">
        <f>IFERROR(VLOOKUP(Z42,'[1]End Logística Oi'!$J$3:$J$29,1,0),"")</f>
        <v/>
      </c>
      <c r="AI42" s="23" t="s">
        <v>55</v>
      </c>
      <c r="AJ42" s="23" t="s">
        <v>55</v>
      </c>
      <c r="AK42" s="23" t="e">
        <v>#N/A</v>
      </c>
    </row>
    <row r="43" spans="1:37" s="23" customFormat="1" ht="15" hidden="1" customHeight="1" x14ac:dyDescent="0.25">
      <c r="A43" s="19">
        <v>41</v>
      </c>
      <c r="B43" s="19" t="s">
        <v>230</v>
      </c>
      <c r="C43" s="19" t="s">
        <v>39</v>
      </c>
      <c r="D43" s="19" t="s">
        <v>40</v>
      </c>
      <c r="E43" s="19" t="s">
        <v>29</v>
      </c>
      <c r="F43" s="19" t="s">
        <v>42</v>
      </c>
      <c r="G43" s="19" t="s">
        <v>351</v>
      </c>
      <c r="H43" s="19" t="s">
        <v>352</v>
      </c>
      <c r="I43" s="20">
        <v>41877</v>
      </c>
      <c r="J43" s="19"/>
      <c r="K43" s="19" t="s">
        <v>45</v>
      </c>
      <c r="L43" s="19" t="s">
        <v>90</v>
      </c>
      <c r="M43" s="20"/>
      <c r="N43" s="36"/>
      <c r="O43" s="19" t="s">
        <v>90</v>
      </c>
      <c r="P43" s="19" t="s">
        <v>353</v>
      </c>
      <c r="Q43" s="20"/>
      <c r="R43" s="36"/>
      <c r="S43" s="19" t="s">
        <v>45</v>
      </c>
      <c r="T43" s="19" t="s">
        <v>354</v>
      </c>
      <c r="U43" s="19" t="s">
        <v>355</v>
      </c>
      <c r="V43" s="19" t="s">
        <v>235</v>
      </c>
      <c r="W43" s="35" t="s">
        <v>356</v>
      </c>
      <c r="X43" s="21"/>
      <c r="Y43" s="22">
        <v>76535764005102</v>
      </c>
      <c r="Z43" s="23">
        <f>A43</f>
        <v>41</v>
      </c>
      <c r="AA43" s="24">
        <f>IFERROR(VLOOKUP($Z43,'[1]End Fat Serviço - PA 15 e 16'!$K$3:$K$31,1,0), "")</f>
        <v>41</v>
      </c>
      <c r="AB43" s="24">
        <f>IFERROR(VLOOKUP($Z43,'[1]End Fat Material - PA 12'!$K$3:$K$64,1,0), "")</f>
        <v>41</v>
      </c>
      <c r="AC43" s="24">
        <f>IFERROR(VLOOKUP($Z43,'[1]End CA Lotação'!$L$3:$L$36,1,0), "")</f>
        <v>41</v>
      </c>
      <c r="AD43" s="24" t="str">
        <f>IFERROR(VLOOKUP(Z43,'[1]RH - PARA 21.03'!$M$3:$M$555,1,0),"")</f>
        <v/>
      </c>
      <c r="AE43" s="1">
        <v>41</v>
      </c>
      <c r="AF43" s="1">
        <v>41</v>
      </c>
      <c r="AG43" s="23" t="str">
        <f>IFERROR(VLOOKUP(Z43,'[1]End Logística Oi'!$J$3:$J$29,1,0),"")</f>
        <v/>
      </c>
      <c r="AH43" s="43" t="s">
        <v>357</v>
      </c>
      <c r="AI43" s="38" t="s">
        <v>54</v>
      </c>
      <c r="AJ43" s="38" t="s">
        <v>54</v>
      </c>
      <c r="AK43" s="23" t="e">
        <v>#N/A</v>
      </c>
    </row>
    <row r="44" spans="1:37" s="23" customFormat="1" ht="15" customHeight="1" x14ac:dyDescent="0.35">
      <c r="A44" s="25">
        <v>42</v>
      </c>
      <c r="B44" s="26" t="s">
        <v>254</v>
      </c>
      <c r="C44" s="27" t="s">
        <v>39</v>
      </c>
      <c r="D44" s="26" t="s">
        <v>358</v>
      </c>
      <c r="E44" s="26" t="s">
        <v>29</v>
      </c>
      <c r="F44" s="26" t="s">
        <v>42</v>
      </c>
      <c r="G44" s="28" t="s">
        <v>359</v>
      </c>
      <c r="H44" s="26" t="s">
        <v>360</v>
      </c>
      <c r="I44" s="29">
        <v>42234</v>
      </c>
      <c r="J44" s="30"/>
      <c r="K44" s="19" t="s">
        <v>45</v>
      </c>
      <c r="L44" s="31" t="s">
        <v>361</v>
      </c>
      <c r="M44" s="29">
        <v>37959</v>
      </c>
      <c r="N44" s="32"/>
      <c r="O44" s="31" t="s">
        <v>336</v>
      </c>
      <c r="P44" s="33" t="s">
        <v>362</v>
      </c>
      <c r="Q44" s="29">
        <v>42287</v>
      </c>
      <c r="R44" s="32"/>
      <c r="S44" s="31" t="s">
        <v>45</v>
      </c>
      <c r="T44" s="31" t="s">
        <v>363</v>
      </c>
      <c r="U44" s="31" t="s">
        <v>364</v>
      </c>
      <c r="V44" s="27" t="s">
        <v>260</v>
      </c>
      <c r="W44" s="31" t="s">
        <v>365</v>
      </c>
      <c r="X44" s="21"/>
      <c r="Y44" s="22">
        <v>76535764005293</v>
      </c>
      <c r="Z44" s="23">
        <v>42</v>
      </c>
      <c r="AA44" s="24"/>
      <c r="AB44" s="24"/>
      <c r="AC44" s="24"/>
      <c r="AD44" s="44">
        <v>42</v>
      </c>
      <c r="AE44" s="23" t="s">
        <v>65</v>
      </c>
      <c r="AF44" s="23" t="s">
        <v>65</v>
      </c>
      <c r="AG44" s="23" t="s">
        <v>65</v>
      </c>
      <c r="AH44" s="45" t="s">
        <v>357</v>
      </c>
      <c r="AI44" s="23" t="s">
        <v>55</v>
      </c>
      <c r="AJ44" s="23" t="s">
        <v>55</v>
      </c>
      <c r="AK44" s="23" t="s">
        <v>164</v>
      </c>
    </row>
    <row r="45" spans="1:37" s="23" customFormat="1" ht="15" hidden="1" customHeight="1" x14ac:dyDescent="0.25">
      <c r="A45" s="19">
        <v>43</v>
      </c>
      <c r="B45" s="19" t="s">
        <v>139</v>
      </c>
      <c r="C45" s="19" t="s">
        <v>366</v>
      </c>
      <c r="D45" s="19" t="s">
        <v>367</v>
      </c>
      <c r="E45" s="19" t="s">
        <v>368</v>
      </c>
      <c r="F45" s="19" t="s">
        <v>369</v>
      </c>
      <c r="G45" s="19" t="s">
        <v>370</v>
      </c>
      <c r="H45" s="19" t="s">
        <v>371</v>
      </c>
      <c r="I45" s="20">
        <v>36749</v>
      </c>
      <c r="J45" s="20"/>
      <c r="K45" s="19" t="s">
        <v>45</v>
      </c>
      <c r="L45" s="19" t="s">
        <v>90</v>
      </c>
      <c r="M45" s="20"/>
      <c r="N45" s="19"/>
      <c r="O45" s="19" t="s">
        <v>90</v>
      </c>
      <c r="P45" s="19">
        <v>4477766</v>
      </c>
      <c r="Q45" s="20">
        <v>42927</v>
      </c>
      <c r="R45" s="19"/>
      <c r="S45" s="19" t="s">
        <v>45</v>
      </c>
      <c r="T45" s="19" t="s">
        <v>372</v>
      </c>
      <c r="U45" s="19" t="s">
        <v>145</v>
      </c>
      <c r="V45" s="19" t="s">
        <v>373</v>
      </c>
      <c r="W45" s="19" t="s">
        <v>374</v>
      </c>
      <c r="X45" s="42"/>
      <c r="Y45" s="22">
        <v>4014081000130</v>
      </c>
      <c r="Z45" s="23">
        <f t="shared" ref="Z45:Z83" si="1">A45</f>
        <v>43</v>
      </c>
      <c r="AA45" s="24" t="str">
        <f>IFERROR(VLOOKUP($Z45,'[1]End Fat Serviço - PA 15 e 16'!$K$3:$K$31,1,0), "")</f>
        <v/>
      </c>
      <c r="AB45" s="24" t="str">
        <f>IFERROR(VLOOKUP($Z45,'[1]End Fat Material - PA 12'!$K$3:$K$64,1,0), "")</f>
        <v/>
      </c>
      <c r="AC45" s="24" t="str">
        <f>IFERROR(VLOOKUP($Z45,'[1]End CA Lotação'!$L$3:$L$36,1,0), "")</f>
        <v/>
      </c>
      <c r="AD45" s="24" t="str">
        <f>IFERROR(VLOOKUP(Z45,'[1]RH - PARA 21.03'!$M$3:$M$555,1,0),"")</f>
        <v/>
      </c>
      <c r="AE45" s="23" t="str">
        <f>IFERROR(VLOOKUP($Z45,'[1]CNPJ Oi Fat'!$K$3:$K$32,1,0),"")</f>
        <v/>
      </c>
      <c r="AF45" s="23" t="str">
        <f>IFERROR(VLOOKUP(Z45,'[1]End Logística Oi'!$D$3:$D$29,1,0),"")</f>
        <v/>
      </c>
      <c r="AG45" s="23" t="str">
        <f>IFERROR(VLOOKUP(Z45,'[1]End Logística Oi'!$J$3:$J$29,1,0),"")</f>
        <v/>
      </c>
      <c r="AI45" s="23" t="s">
        <v>55</v>
      </c>
      <c r="AJ45" s="23" t="s">
        <v>55</v>
      </c>
      <c r="AK45" s="23" t="e">
        <v>#N/A</v>
      </c>
    </row>
    <row r="46" spans="1:37" s="23" customFormat="1" ht="15" hidden="1" customHeight="1" x14ac:dyDescent="0.25">
      <c r="A46" s="19">
        <v>44</v>
      </c>
      <c r="B46" s="19" t="s">
        <v>95</v>
      </c>
      <c r="C46" s="19" t="s">
        <v>366</v>
      </c>
      <c r="D46" s="19" t="s">
        <v>367</v>
      </c>
      <c r="E46" s="19"/>
      <c r="F46" s="19" t="s">
        <v>369</v>
      </c>
      <c r="G46" s="19" t="s">
        <v>375</v>
      </c>
      <c r="H46" s="19" t="s">
        <v>376</v>
      </c>
      <c r="I46" s="20">
        <v>39328</v>
      </c>
      <c r="J46" s="20"/>
      <c r="K46" s="19" t="s">
        <v>45</v>
      </c>
      <c r="L46" s="19" t="s">
        <v>90</v>
      </c>
      <c r="M46" s="20"/>
      <c r="N46" s="19"/>
      <c r="O46" s="19" t="s">
        <v>90</v>
      </c>
      <c r="P46" s="19">
        <v>129243007</v>
      </c>
      <c r="Q46" s="19"/>
      <c r="R46" s="19"/>
      <c r="S46" s="19" t="s">
        <v>45</v>
      </c>
      <c r="T46" s="19" t="s">
        <v>377</v>
      </c>
      <c r="U46" s="19" t="s">
        <v>101</v>
      </c>
      <c r="V46" s="19" t="s">
        <v>102</v>
      </c>
      <c r="W46" s="40" t="s">
        <v>103</v>
      </c>
      <c r="X46" s="21"/>
      <c r="Y46" s="22">
        <v>4014081000210</v>
      </c>
      <c r="Z46" s="23">
        <f t="shared" si="1"/>
        <v>44</v>
      </c>
      <c r="AA46" s="24" t="str">
        <f>IFERROR(VLOOKUP($Z46,'[1]End Fat Serviço - PA 15 e 16'!$K$3:$K$31,1,0), "")</f>
        <v/>
      </c>
      <c r="AB46" s="24" t="str">
        <f>IFERROR(VLOOKUP($Z46,'[1]End Fat Material - PA 12'!$K$3:$K$64,1,0), "")</f>
        <v/>
      </c>
      <c r="AC46" s="24" t="str">
        <f>IFERROR(VLOOKUP($Z46,'[1]End CA Lotação'!$L$3:$L$36,1,0), "")</f>
        <v/>
      </c>
      <c r="AD46" s="24" t="str">
        <f>IFERROR(VLOOKUP(Z46,'[1]RH - PARA 21.03'!$M$3:$M$555,1,0),"")</f>
        <v/>
      </c>
      <c r="AE46" s="23" t="str">
        <f>IFERROR(VLOOKUP($Z46,'[1]CNPJ Oi Fat'!$K$3:$K$32,1,0),"")</f>
        <v/>
      </c>
      <c r="AF46" s="23" t="str">
        <f>IFERROR(VLOOKUP(Z46,'[1]End Logística Oi'!$D$3:$D$29,1,0),"")</f>
        <v/>
      </c>
      <c r="AG46" s="23" t="str">
        <f>IFERROR(VLOOKUP(Z46,'[1]End Logística Oi'!$J$3:$J$29,1,0),"")</f>
        <v/>
      </c>
      <c r="AI46" s="23" t="s">
        <v>55</v>
      </c>
      <c r="AJ46" s="23" t="s">
        <v>55</v>
      </c>
      <c r="AK46" s="23" t="e">
        <v>#N/A</v>
      </c>
    </row>
    <row r="47" spans="1:37" s="23" customFormat="1" ht="15" hidden="1" customHeight="1" x14ac:dyDescent="0.25">
      <c r="A47" s="19">
        <v>45</v>
      </c>
      <c r="B47" s="19" t="s">
        <v>95</v>
      </c>
      <c r="C47" s="19" t="s">
        <v>366</v>
      </c>
      <c r="D47" s="19" t="s">
        <v>367</v>
      </c>
      <c r="E47" s="19"/>
      <c r="F47" s="19" t="s">
        <v>369</v>
      </c>
      <c r="G47" s="19" t="s">
        <v>378</v>
      </c>
      <c r="H47" s="19" t="s">
        <v>379</v>
      </c>
      <c r="I47" s="20">
        <v>39328</v>
      </c>
      <c r="J47" s="20"/>
      <c r="K47" s="19" t="s">
        <v>45</v>
      </c>
      <c r="L47" s="19" t="s">
        <v>90</v>
      </c>
      <c r="M47" s="20"/>
      <c r="N47" s="19"/>
      <c r="O47" s="19" t="s">
        <v>90</v>
      </c>
      <c r="P47" s="19">
        <v>129243015</v>
      </c>
      <c r="Q47" s="19"/>
      <c r="R47" s="19"/>
      <c r="S47" s="19" t="s">
        <v>45</v>
      </c>
      <c r="T47" s="19" t="s">
        <v>380</v>
      </c>
      <c r="U47" s="19" t="s">
        <v>49</v>
      </c>
      <c r="V47" s="19" t="s">
        <v>102</v>
      </c>
      <c r="W47" s="40" t="s">
        <v>381</v>
      </c>
      <c r="X47" s="21"/>
      <c r="Y47" s="22">
        <v>4014081000300</v>
      </c>
      <c r="Z47" s="23">
        <f t="shared" si="1"/>
        <v>45</v>
      </c>
      <c r="AA47" s="24" t="str">
        <f>IFERROR(VLOOKUP($Z47,'[1]End Fat Serviço - PA 15 e 16'!$K$3:$K$31,1,0), "")</f>
        <v/>
      </c>
      <c r="AB47" s="24" t="str">
        <f>IFERROR(VLOOKUP($Z47,'[1]End Fat Material - PA 12'!$K$3:$K$64,1,0), "")</f>
        <v/>
      </c>
      <c r="AC47" s="24" t="str">
        <f>IFERROR(VLOOKUP($Z47,'[1]End CA Lotação'!$L$3:$L$36,1,0), "")</f>
        <v/>
      </c>
      <c r="AD47" s="24" t="str">
        <f>IFERROR(VLOOKUP(Z47,'[1]RH - PARA 21.03'!$M$3:$M$555,1,0),"")</f>
        <v/>
      </c>
      <c r="AE47" s="23" t="str">
        <f>IFERROR(VLOOKUP($Z47,'[1]CNPJ Oi Fat'!$K$3:$K$32,1,0),"")</f>
        <v/>
      </c>
      <c r="AF47" s="23" t="str">
        <f>IFERROR(VLOOKUP(Z47,'[1]End Logística Oi'!$D$3:$D$29,1,0),"")</f>
        <v/>
      </c>
      <c r="AG47" s="23" t="str">
        <f>IFERROR(VLOOKUP(Z47,'[1]End Logística Oi'!$J$3:$J$29,1,0),"")</f>
        <v/>
      </c>
      <c r="AI47" s="23" t="s">
        <v>55</v>
      </c>
      <c r="AJ47" s="23" t="s">
        <v>55</v>
      </c>
      <c r="AK47" s="23" t="e">
        <v>#N/A</v>
      </c>
    </row>
    <row r="48" spans="1:37" s="23" customFormat="1" ht="15" hidden="1" customHeight="1" x14ac:dyDescent="0.25">
      <c r="A48" s="19">
        <v>46</v>
      </c>
      <c r="B48" s="19" t="s">
        <v>112</v>
      </c>
      <c r="C48" s="19" t="s">
        <v>366</v>
      </c>
      <c r="D48" s="19" t="s">
        <v>367</v>
      </c>
      <c r="E48" s="19"/>
      <c r="F48" s="19" t="s">
        <v>369</v>
      </c>
      <c r="G48" s="19" t="s">
        <v>382</v>
      </c>
      <c r="H48" s="19" t="s">
        <v>383</v>
      </c>
      <c r="I48" s="20">
        <v>39335</v>
      </c>
      <c r="J48" s="20"/>
      <c r="K48" s="19" t="s">
        <v>45</v>
      </c>
      <c r="L48" s="19" t="s">
        <v>90</v>
      </c>
      <c r="M48" s="20"/>
      <c r="N48" s="19"/>
      <c r="O48" s="19" t="s">
        <v>90</v>
      </c>
      <c r="P48" s="19" t="s">
        <v>384</v>
      </c>
      <c r="Q48" s="19"/>
      <c r="R48" s="19"/>
      <c r="S48" s="19" t="s">
        <v>45</v>
      </c>
      <c r="T48" s="19" t="s">
        <v>385</v>
      </c>
      <c r="U48" s="19" t="s">
        <v>117</v>
      </c>
      <c r="V48" s="19" t="s">
        <v>118</v>
      </c>
      <c r="W48" s="40" t="s">
        <v>119</v>
      </c>
      <c r="X48" s="21"/>
      <c r="Y48" s="22">
        <v>4014081000563</v>
      </c>
      <c r="Z48" s="23">
        <f t="shared" si="1"/>
        <v>46</v>
      </c>
      <c r="AA48" s="24" t="str">
        <f>IFERROR(VLOOKUP($Z48,'[1]End Fat Serviço - PA 15 e 16'!$K$3:$K$31,1,0), "")</f>
        <v/>
      </c>
      <c r="AB48" s="24" t="str">
        <f>IFERROR(VLOOKUP($Z48,'[1]End Fat Material - PA 12'!$K$3:$K$64,1,0), "")</f>
        <v/>
      </c>
      <c r="AC48" s="24" t="str">
        <f>IFERROR(VLOOKUP($Z48,'[1]End CA Lotação'!$L$3:$L$36,1,0), "")</f>
        <v/>
      </c>
      <c r="AD48" s="24" t="str">
        <f>IFERROR(VLOOKUP(Z48,'[1]RH - PARA 21.03'!$M$3:$M$555,1,0),"")</f>
        <v/>
      </c>
      <c r="AE48" s="23" t="str">
        <f>IFERROR(VLOOKUP($Z48,'[1]CNPJ Oi Fat'!$K$3:$K$32,1,0),"")</f>
        <v/>
      </c>
      <c r="AF48" s="23" t="str">
        <f>IFERROR(VLOOKUP(Z48,'[1]End Logística Oi'!$D$3:$D$29,1,0),"")</f>
        <v/>
      </c>
      <c r="AG48" s="23" t="str">
        <f>IFERROR(VLOOKUP(Z48,'[1]End Logística Oi'!$J$3:$J$29,1,0),"")</f>
        <v/>
      </c>
      <c r="AI48" s="23" t="s">
        <v>55</v>
      </c>
      <c r="AJ48" s="23" t="s">
        <v>55</v>
      </c>
      <c r="AK48" s="23" t="e">
        <v>#N/A</v>
      </c>
    </row>
    <row r="49" spans="1:37" s="23" customFormat="1" ht="15" hidden="1" customHeight="1" x14ac:dyDescent="0.25">
      <c r="A49" s="19">
        <v>47</v>
      </c>
      <c r="B49" s="19" t="s">
        <v>139</v>
      </c>
      <c r="C49" s="19" t="s">
        <v>366</v>
      </c>
      <c r="D49" s="19" t="s">
        <v>367</v>
      </c>
      <c r="E49" s="19"/>
      <c r="F49" s="19" t="s">
        <v>369</v>
      </c>
      <c r="G49" s="19" t="s">
        <v>386</v>
      </c>
      <c r="H49" s="19" t="s">
        <v>387</v>
      </c>
      <c r="I49" s="20">
        <v>39329</v>
      </c>
      <c r="J49" s="20"/>
      <c r="K49" s="19" t="s">
        <v>45</v>
      </c>
      <c r="L49" s="19">
        <v>108982238</v>
      </c>
      <c r="M49" s="20">
        <v>44609</v>
      </c>
      <c r="N49" s="19"/>
      <c r="O49" s="19" t="s">
        <v>45</v>
      </c>
      <c r="P49" s="19" t="s">
        <v>388</v>
      </c>
      <c r="Q49" s="19"/>
      <c r="R49" s="19"/>
      <c r="S49" s="19" t="s">
        <v>45</v>
      </c>
      <c r="T49" s="19" t="s">
        <v>389</v>
      </c>
      <c r="U49" s="19" t="s">
        <v>145</v>
      </c>
      <c r="V49" s="19" t="s">
        <v>146</v>
      </c>
      <c r="W49" s="40" t="s">
        <v>374</v>
      </c>
      <c r="X49" s="21"/>
      <c r="Y49" s="22">
        <v>4014081000806</v>
      </c>
      <c r="Z49" s="23">
        <f t="shared" si="1"/>
        <v>47</v>
      </c>
      <c r="AA49" s="24" t="str">
        <f>IFERROR(VLOOKUP($Z49,'[1]End Fat Serviço - PA 15 e 16'!$K$3:$K$31,1,0), "")</f>
        <v/>
      </c>
      <c r="AB49" s="24" t="str">
        <f>IFERROR(VLOOKUP($Z49,'[1]End Fat Material - PA 12'!$K$3:$K$64,1,0), "")</f>
        <v/>
      </c>
      <c r="AC49" s="24" t="str">
        <f>IFERROR(VLOOKUP($Z49,'[1]End CA Lotação'!$L$3:$L$36,1,0), "")</f>
        <v/>
      </c>
      <c r="AD49" s="24" t="str">
        <f>IFERROR(VLOOKUP(Z49,'[1]RH - PARA 21.03'!$M$3:$M$555,1,0),"")</f>
        <v/>
      </c>
      <c r="AE49" s="23" t="str">
        <f>IFERROR(VLOOKUP($Z49,'[1]CNPJ Oi Fat'!$K$3:$K$32,1,0),"")</f>
        <v/>
      </c>
      <c r="AF49" s="23" t="str">
        <f>IFERROR(VLOOKUP(Z49,'[1]End Logística Oi'!$D$3:$D$29,1,0),"")</f>
        <v/>
      </c>
      <c r="AG49" s="23" t="str">
        <f>IFERROR(VLOOKUP(Z49,'[1]End Logística Oi'!$J$3:$J$29,1,0),"")</f>
        <v/>
      </c>
      <c r="AI49" s="23" t="s">
        <v>55</v>
      </c>
      <c r="AJ49" s="23" t="s">
        <v>55</v>
      </c>
      <c r="AK49" s="23" t="e">
        <v>#N/A</v>
      </c>
    </row>
    <row r="50" spans="1:37" s="23" customFormat="1" ht="15" hidden="1" customHeight="1" x14ac:dyDescent="0.25">
      <c r="A50" s="19">
        <v>48</v>
      </c>
      <c r="B50" s="19" t="s">
        <v>230</v>
      </c>
      <c r="C50" s="19" t="s">
        <v>366</v>
      </c>
      <c r="D50" s="19" t="s">
        <v>367</v>
      </c>
      <c r="E50" s="19"/>
      <c r="F50" s="19" t="s">
        <v>369</v>
      </c>
      <c r="G50" s="19" t="s">
        <v>390</v>
      </c>
      <c r="H50" s="19" t="s">
        <v>391</v>
      </c>
      <c r="I50" s="20">
        <v>41332</v>
      </c>
      <c r="J50" s="19"/>
      <c r="K50" s="19" t="s">
        <v>45</v>
      </c>
      <c r="L50" s="19" t="s">
        <v>90</v>
      </c>
      <c r="M50" s="20"/>
      <c r="N50" s="36"/>
      <c r="O50" s="19" t="s">
        <v>90</v>
      </c>
      <c r="P50" s="36" t="s">
        <v>392</v>
      </c>
      <c r="Q50" s="20"/>
      <c r="R50" s="36"/>
      <c r="S50" s="19" t="s">
        <v>45</v>
      </c>
      <c r="T50" s="19" t="s">
        <v>393</v>
      </c>
      <c r="U50" s="19" t="s">
        <v>394</v>
      </c>
      <c r="V50" s="19" t="s">
        <v>235</v>
      </c>
      <c r="W50" s="35" t="s">
        <v>395</v>
      </c>
      <c r="X50" s="21"/>
      <c r="Y50" s="22">
        <v>4014081001373</v>
      </c>
      <c r="Z50" s="23">
        <f t="shared" si="1"/>
        <v>48</v>
      </c>
      <c r="AA50" s="24" t="str">
        <f>IFERROR(VLOOKUP($Z50,'[1]End Fat Serviço - PA 15 e 16'!$K$3:$K$31,1,0), "")</f>
        <v/>
      </c>
      <c r="AB50" s="24" t="str">
        <f>IFERROR(VLOOKUP($Z50,'[1]End Fat Material - PA 12'!$K$3:$K$64,1,0), "")</f>
        <v/>
      </c>
      <c r="AC50" s="24" t="str">
        <f>IFERROR(VLOOKUP($Z50,'[1]End CA Lotação'!$L$3:$L$36,1,0), "")</f>
        <v/>
      </c>
      <c r="AD50" s="24" t="str">
        <f>IFERROR(VLOOKUP(Z50,'[1]RH - PARA 21.03'!$M$3:$M$555,1,0),"")</f>
        <v/>
      </c>
      <c r="AE50" s="23" t="str">
        <f>IFERROR(VLOOKUP($Z50,'[1]CNPJ Oi Fat'!$K$3:$K$32,1,0),"")</f>
        <v/>
      </c>
      <c r="AF50" s="23" t="str">
        <f>IFERROR(VLOOKUP(Z50,'[1]End Logística Oi'!$D$3:$D$29,1,0),"")</f>
        <v/>
      </c>
      <c r="AG50" s="23" t="str">
        <f>IFERROR(VLOOKUP(Z50,'[1]End Logística Oi'!$J$3:$J$29,1,0),"")</f>
        <v/>
      </c>
      <c r="AI50" s="23" t="s">
        <v>55</v>
      </c>
      <c r="AJ50" s="23" t="s">
        <v>55</v>
      </c>
      <c r="AK50" s="23" t="e">
        <v>#N/A</v>
      </c>
    </row>
    <row r="51" spans="1:37" s="23" customFormat="1" ht="15" hidden="1" customHeight="1" x14ac:dyDescent="0.25">
      <c r="A51" s="19">
        <v>49</v>
      </c>
      <c r="B51" s="19" t="s">
        <v>254</v>
      </c>
      <c r="C51" s="19" t="s">
        <v>366</v>
      </c>
      <c r="D51" s="19" t="s">
        <v>396</v>
      </c>
      <c r="E51" s="19" t="s">
        <v>368</v>
      </c>
      <c r="F51" s="19" t="s">
        <v>397</v>
      </c>
      <c r="G51" s="19" t="s">
        <v>398</v>
      </c>
      <c r="H51" s="19" t="s">
        <v>399</v>
      </c>
      <c r="I51" s="20">
        <v>39568</v>
      </c>
      <c r="J51" s="20"/>
      <c r="K51" s="19" t="s">
        <v>45</v>
      </c>
      <c r="L51" s="40">
        <v>128836460119</v>
      </c>
      <c r="M51" s="20">
        <v>40513</v>
      </c>
      <c r="N51" s="19"/>
      <c r="O51" s="19" t="s">
        <v>45</v>
      </c>
      <c r="P51" s="19" t="s">
        <v>400</v>
      </c>
      <c r="Q51" s="20">
        <v>39640</v>
      </c>
      <c r="R51" s="19"/>
      <c r="S51" s="19" t="s">
        <v>45</v>
      </c>
      <c r="T51" s="19" t="s">
        <v>401</v>
      </c>
      <c r="U51" s="19" t="s">
        <v>259</v>
      </c>
      <c r="V51" s="19" t="s">
        <v>260</v>
      </c>
      <c r="W51" s="19" t="s">
        <v>261</v>
      </c>
      <c r="X51" s="21" t="s">
        <v>52</v>
      </c>
      <c r="Y51" s="22">
        <v>9719875000112</v>
      </c>
      <c r="Z51" s="23">
        <f t="shared" si="1"/>
        <v>49</v>
      </c>
      <c r="AA51" s="24" t="str">
        <f>IFERROR(VLOOKUP($Z51,'[1]End Fat Serviço - PA 15 e 16'!$K$3:$K$31,1,0), "")</f>
        <v/>
      </c>
      <c r="AB51" s="24" t="str">
        <f>IFERROR(VLOOKUP($Z51,'[1]End Fat Material - PA 12'!$K$3:$K$64,1,0), "")</f>
        <v/>
      </c>
      <c r="AC51" s="24" t="str">
        <f>IFERROR(VLOOKUP($Z51,'[1]End CA Lotação'!$L$3:$L$36,1,0), "")</f>
        <v/>
      </c>
      <c r="AD51" s="24" t="str">
        <f>IFERROR(VLOOKUP(Z51,'[1]RH - PARA 21.03'!$M$3:$M$555,1,0),"")</f>
        <v/>
      </c>
      <c r="AE51" s="23" t="str">
        <f>IFERROR(VLOOKUP($Z51,'[1]CNPJ Oi Fat'!$K$3:$K$32,1,0),"")</f>
        <v/>
      </c>
      <c r="AF51" s="23" t="str">
        <f>IFERROR(VLOOKUP(Z51,'[1]End Logística Oi'!$D$3:$D$29,1,0),"")</f>
        <v/>
      </c>
      <c r="AG51" s="23" t="str">
        <f>IFERROR(VLOOKUP(Z51,'[1]End Logística Oi'!$J$3:$J$29,1,0),"")</f>
        <v/>
      </c>
      <c r="AI51" s="23" t="s">
        <v>55</v>
      </c>
      <c r="AJ51" s="23" t="s">
        <v>55</v>
      </c>
      <c r="AK51" s="23" t="e">
        <v>#N/A</v>
      </c>
    </row>
    <row r="52" spans="1:37" s="23" customFormat="1" ht="15" hidden="1" customHeight="1" x14ac:dyDescent="0.25">
      <c r="A52" s="19">
        <v>50</v>
      </c>
      <c r="B52" s="19" t="s">
        <v>230</v>
      </c>
      <c r="C52" s="19" t="s">
        <v>402</v>
      </c>
      <c r="D52" s="19" t="s">
        <v>403</v>
      </c>
      <c r="E52" s="19" t="s">
        <v>368</v>
      </c>
      <c r="F52" s="19" t="s">
        <v>404</v>
      </c>
      <c r="G52" s="19" t="s">
        <v>405</v>
      </c>
      <c r="H52" s="19" t="s">
        <v>406</v>
      </c>
      <c r="I52" s="20">
        <v>36917</v>
      </c>
      <c r="J52" s="20"/>
      <c r="K52" s="19" t="s">
        <v>45</v>
      </c>
      <c r="L52" s="19" t="s">
        <v>90</v>
      </c>
      <c r="M52" s="20"/>
      <c r="N52" s="19"/>
      <c r="O52" s="19" t="s">
        <v>90</v>
      </c>
      <c r="P52" s="19">
        <v>2974096</v>
      </c>
      <c r="Q52" s="19"/>
      <c r="R52" s="19"/>
      <c r="S52" s="19"/>
      <c r="T52" s="19" t="s">
        <v>407</v>
      </c>
      <c r="U52" s="19" t="s">
        <v>408</v>
      </c>
      <c r="V52" s="19" t="s">
        <v>235</v>
      </c>
      <c r="W52" s="19" t="s">
        <v>409</v>
      </c>
      <c r="X52" s="42"/>
      <c r="Y52" s="22">
        <v>4256109000145</v>
      </c>
      <c r="Z52" s="23">
        <f t="shared" si="1"/>
        <v>50</v>
      </c>
      <c r="AA52" s="24" t="str">
        <f>IFERROR(VLOOKUP($Z52,'[1]End Fat Serviço - PA 15 e 16'!$K$3:$K$31,1,0), "")</f>
        <v/>
      </c>
      <c r="AB52" s="24" t="str">
        <f>IFERROR(VLOOKUP($Z52,'[1]End Fat Material - PA 12'!$K$3:$K$64,1,0), "")</f>
        <v/>
      </c>
      <c r="AC52" s="24" t="str">
        <f>IFERROR(VLOOKUP($Z52,'[1]End CA Lotação'!$L$3:$L$36,1,0), "")</f>
        <v/>
      </c>
      <c r="AD52" s="24" t="str">
        <f>IFERROR(VLOOKUP(Z52,'[1]RH - PARA 21.03'!$M$3:$M$555,1,0),"")</f>
        <v/>
      </c>
      <c r="AE52" s="23" t="str">
        <f>IFERROR(VLOOKUP($Z52,'[1]CNPJ Oi Fat'!$K$3:$K$32,1,0),"")</f>
        <v/>
      </c>
      <c r="AF52" s="23" t="str">
        <f>IFERROR(VLOOKUP(Z52,'[1]End Logística Oi'!$D$3:$D$29,1,0),"")</f>
        <v/>
      </c>
      <c r="AG52" s="23" t="str">
        <f>IFERROR(VLOOKUP(Z52,'[1]End Logística Oi'!$J$3:$J$29,1,0),"")</f>
        <v/>
      </c>
      <c r="AI52" s="23" t="s">
        <v>55</v>
      </c>
      <c r="AJ52" s="23" t="s">
        <v>55</v>
      </c>
      <c r="AK52" s="23" t="e">
        <v>#N/A</v>
      </c>
    </row>
    <row r="53" spans="1:37" s="23" customFormat="1" ht="15" customHeight="1" x14ac:dyDescent="0.25">
      <c r="A53" s="19">
        <v>51</v>
      </c>
      <c r="B53" s="19" t="s">
        <v>122</v>
      </c>
      <c r="C53" s="19" t="s">
        <v>39</v>
      </c>
      <c r="D53" s="19" t="s">
        <v>410</v>
      </c>
      <c r="E53" s="19" t="s">
        <v>280</v>
      </c>
      <c r="F53" s="19" t="s">
        <v>42</v>
      </c>
      <c r="G53" s="19"/>
      <c r="H53" s="19" t="s">
        <v>411</v>
      </c>
      <c r="I53" s="20">
        <v>42968</v>
      </c>
      <c r="J53" s="20"/>
      <c r="K53" s="19" t="s">
        <v>45</v>
      </c>
      <c r="L53" s="19"/>
      <c r="M53" s="20"/>
      <c r="N53" s="19"/>
      <c r="O53" s="19"/>
      <c r="P53" s="19"/>
      <c r="Q53" s="19"/>
      <c r="R53" s="19"/>
      <c r="S53" s="19"/>
      <c r="T53" s="19" t="s">
        <v>412</v>
      </c>
      <c r="U53" s="19" t="s">
        <v>413</v>
      </c>
      <c r="V53" s="19" t="s">
        <v>414</v>
      </c>
      <c r="W53" s="19" t="s">
        <v>415</v>
      </c>
      <c r="X53" s="21"/>
      <c r="Y53" s="22">
        <v>76535764005455</v>
      </c>
      <c r="Z53" s="23">
        <f t="shared" si="1"/>
        <v>51</v>
      </c>
      <c r="AA53" s="24" t="str">
        <f>IFERROR(VLOOKUP($Z53,'[1]End Fat Serviço - PA 15 e 16'!$K$3:$K$31,1,0), "")</f>
        <v/>
      </c>
      <c r="AB53" s="24" t="str">
        <f>IFERROR(VLOOKUP($Z53,'[1]End Fat Material - PA 12'!$K$3:$K$64,1,0), "")</f>
        <v/>
      </c>
      <c r="AC53" s="24" t="str">
        <f>IFERROR(VLOOKUP($Z53,'[1]End CA Lotação'!$L$3:$L$36,1,0), "")</f>
        <v/>
      </c>
      <c r="AD53" s="24">
        <f>IFERROR(VLOOKUP(Z53,'[1]RH - PARA 21.03'!$M$3:$M$555,1,0),"")</f>
        <v>51</v>
      </c>
      <c r="AE53" s="23" t="str">
        <f>IFERROR(VLOOKUP($Z53,'[1]CNPJ Oi Fat'!$K$3:$K$32,1,0),"")</f>
        <v/>
      </c>
      <c r="AF53" s="23" t="str">
        <f>IFERROR(VLOOKUP(Z53,'[1]End Logística Oi'!$D$3:$D$29,1,0),"")</f>
        <v/>
      </c>
      <c r="AG53" s="23" t="str">
        <f>IFERROR(VLOOKUP(Z53,'[1]End Logística Oi'!$J$3:$J$29,1,0),"")</f>
        <v/>
      </c>
      <c r="AH53" s="23" t="s">
        <v>53</v>
      </c>
      <c r="AI53" s="23" t="s">
        <v>54</v>
      </c>
      <c r="AJ53" s="23" t="s">
        <v>55</v>
      </c>
      <c r="AK53" s="23" t="e">
        <v>#N/A</v>
      </c>
    </row>
    <row r="54" spans="1:37" s="23" customFormat="1" ht="15" hidden="1" customHeight="1" x14ac:dyDescent="0.25">
      <c r="A54" s="19">
        <v>52</v>
      </c>
      <c r="B54" s="19" t="s">
        <v>254</v>
      </c>
      <c r="C54" s="19" t="s">
        <v>366</v>
      </c>
      <c r="D54" s="19" t="s">
        <v>416</v>
      </c>
      <c r="E54" s="19" t="s">
        <v>307</v>
      </c>
      <c r="F54" s="19" t="s">
        <v>417</v>
      </c>
      <c r="G54" s="40">
        <v>35300439112</v>
      </c>
      <c r="H54" s="19" t="s">
        <v>418</v>
      </c>
      <c r="I54" s="20">
        <v>39422</v>
      </c>
      <c r="J54" s="20"/>
      <c r="K54" s="19" t="s">
        <v>45</v>
      </c>
      <c r="L54" s="19" t="s">
        <v>419</v>
      </c>
      <c r="M54" s="20"/>
      <c r="N54" s="19"/>
      <c r="O54" s="19" t="s">
        <v>45</v>
      </c>
      <c r="P54" s="19"/>
      <c r="Q54" s="19"/>
      <c r="R54" s="19"/>
      <c r="S54" s="19"/>
      <c r="T54" s="19" t="s">
        <v>420</v>
      </c>
      <c r="U54" s="19" t="s">
        <v>421</v>
      </c>
      <c r="V54" s="19" t="s">
        <v>422</v>
      </c>
      <c r="W54" s="19" t="s">
        <v>423</v>
      </c>
      <c r="X54" s="21"/>
      <c r="Y54" s="22">
        <v>9311289000134</v>
      </c>
      <c r="Z54" s="23">
        <f t="shared" si="1"/>
        <v>52</v>
      </c>
      <c r="AA54" s="24" t="str">
        <f>IFERROR(VLOOKUP($Z54,'[1]End Fat Serviço - PA 15 e 16'!$K$3:$K$31,1,0), "")</f>
        <v/>
      </c>
      <c r="AB54" s="24" t="str">
        <f>IFERROR(VLOOKUP($Z54,'[1]End Fat Material - PA 12'!$K$3:$K$64,1,0), "")</f>
        <v/>
      </c>
      <c r="AC54" s="24" t="str">
        <f>IFERROR(VLOOKUP($Z54,'[1]End CA Lotação'!$L$3:$L$36,1,0), "")</f>
        <v/>
      </c>
      <c r="AD54" s="24" t="str">
        <f>IFERROR(VLOOKUP(Z54,'[1]RH - PARA 21.03'!$M$3:$M$555,1,0),"")</f>
        <v/>
      </c>
      <c r="AE54" s="23" t="str">
        <f>IFERROR(VLOOKUP($Z54,'[1]CNPJ Oi Fat'!$K$3:$K$32,1,0),"")</f>
        <v/>
      </c>
      <c r="AF54" s="23" t="str">
        <f>IFERROR(VLOOKUP(Z54,'[1]End Logística Oi'!$D$3:$D$29,1,0),"")</f>
        <v/>
      </c>
      <c r="AG54" s="23" t="str">
        <f>IFERROR(VLOOKUP(Z54,'[1]End Logística Oi'!$J$3:$J$29,1,0),"")</f>
        <v/>
      </c>
      <c r="AI54" s="23" t="s">
        <v>55</v>
      </c>
      <c r="AJ54" s="23" t="s">
        <v>55</v>
      </c>
      <c r="AK54" s="23" t="e">
        <v>#N/A</v>
      </c>
    </row>
    <row r="55" spans="1:37" s="23" customFormat="1" ht="15" hidden="1" customHeight="1" x14ac:dyDescent="0.25">
      <c r="A55" s="19">
        <v>53</v>
      </c>
      <c r="B55" s="19" t="s">
        <v>230</v>
      </c>
      <c r="C55" s="19" t="s">
        <v>366</v>
      </c>
      <c r="D55" s="19" t="s">
        <v>424</v>
      </c>
      <c r="E55" s="19" t="s">
        <v>307</v>
      </c>
      <c r="F55" s="19" t="s">
        <v>425</v>
      </c>
      <c r="G55" s="19" t="s">
        <v>426</v>
      </c>
      <c r="H55" s="19" t="s">
        <v>427</v>
      </c>
      <c r="I55" s="20">
        <v>40318</v>
      </c>
      <c r="J55" s="19"/>
      <c r="K55" s="19" t="s">
        <v>45</v>
      </c>
      <c r="L55" s="19" t="s">
        <v>90</v>
      </c>
      <c r="M55" s="20"/>
      <c r="N55" s="36"/>
      <c r="O55" s="19" t="s">
        <v>90</v>
      </c>
      <c r="P55" s="46" t="s">
        <v>428</v>
      </c>
      <c r="Q55" s="36"/>
      <c r="R55" s="36"/>
      <c r="S55" s="19"/>
      <c r="T55" s="19" t="s">
        <v>429</v>
      </c>
      <c r="U55" s="19" t="s">
        <v>49</v>
      </c>
      <c r="V55" s="19" t="s">
        <v>235</v>
      </c>
      <c r="W55" s="35" t="s">
        <v>327</v>
      </c>
      <c r="X55" s="21"/>
      <c r="Y55" s="22">
        <v>11973206000114</v>
      </c>
      <c r="Z55" s="23">
        <f t="shared" si="1"/>
        <v>53</v>
      </c>
      <c r="AA55" s="24" t="str">
        <f>IFERROR(VLOOKUP($Z55,'[1]End Fat Serviço - PA 15 e 16'!$K$3:$K$31,1,0), "")</f>
        <v/>
      </c>
      <c r="AB55" s="24" t="str">
        <f>IFERROR(VLOOKUP($Z55,'[1]End Fat Material - PA 12'!$K$3:$K$64,1,0), "")</f>
        <v/>
      </c>
      <c r="AC55" s="24" t="str">
        <f>IFERROR(VLOOKUP($Z55,'[1]End CA Lotação'!$L$3:$L$36,1,0), "")</f>
        <v/>
      </c>
      <c r="AD55" s="24" t="str">
        <f>IFERROR(VLOOKUP(Z55,'[1]RH - PARA 21.03'!$M$3:$M$555,1,0),"")</f>
        <v/>
      </c>
      <c r="AE55" s="23" t="str">
        <f>IFERROR(VLOOKUP($Z55,'[1]CNPJ Oi Fat'!$K$3:$K$32,1,0),"")</f>
        <v/>
      </c>
      <c r="AF55" s="23" t="str">
        <f>IFERROR(VLOOKUP(Z55,'[1]End Logística Oi'!$D$3:$D$29,1,0),"")</f>
        <v/>
      </c>
      <c r="AG55" s="23" t="str">
        <f>IFERROR(VLOOKUP(Z55,'[1]End Logística Oi'!$J$3:$J$29,1,0),"")</f>
        <v/>
      </c>
      <c r="AI55" s="23" t="s">
        <v>55</v>
      </c>
      <c r="AJ55" s="23" t="s">
        <v>55</v>
      </c>
      <c r="AK55" s="23" t="e">
        <v>#N/A</v>
      </c>
    </row>
    <row r="56" spans="1:37" s="23" customFormat="1" ht="15" customHeight="1" x14ac:dyDescent="0.25">
      <c r="A56" s="19">
        <v>54</v>
      </c>
      <c r="B56" s="19" t="s">
        <v>200</v>
      </c>
      <c r="C56" s="19" t="s">
        <v>39</v>
      </c>
      <c r="D56" s="19" t="s">
        <v>40</v>
      </c>
      <c r="E56" s="19" t="s">
        <v>280</v>
      </c>
      <c r="F56" s="19" t="s">
        <v>42</v>
      </c>
      <c r="G56" s="19">
        <v>43901898673</v>
      </c>
      <c r="H56" s="19" t="s">
        <v>430</v>
      </c>
      <c r="I56" s="20">
        <v>43018</v>
      </c>
      <c r="J56" s="20"/>
      <c r="K56" s="19" t="s">
        <v>45</v>
      </c>
      <c r="L56" s="19" t="s">
        <v>90</v>
      </c>
      <c r="M56" s="20"/>
      <c r="N56" s="19"/>
      <c r="O56" s="19" t="s">
        <v>90</v>
      </c>
      <c r="P56" s="19" t="s">
        <v>431</v>
      </c>
      <c r="Q56" s="20">
        <v>43042</v>
      </c>
      <c r="R56" s="19"/>
      <c r="S56" s="19" t="s">
        <v>45</v>
      </c>
      <c r="T56" s="19" t="s">
        <v>432</v>
      </c>
      <c r="U56" s="19" t="s">
        <v>433</v>
      </c>
      <c r="V56" s="19" t="s">
        <v>205</v>
      </c>
      <c r="W56" s="19" t="s">
        <v>434</v>
      </c>
      <c r="X56" s="47"/>
      <c r="Y56" s="22">
        <v>76535764005889</v>
      </c>
      <c r="Z56" s="23">
        <f t="shared" si="1"/>
        <v>54</v>
      </c>
      <c r="AA56" s="24" t="str">
        <f>IFERROR(VLOOKUP($Z56,'[1]End Fat Serviço - PA 15 e 16'!$K$3:$K$31,1,0), "")</f>
        <v/>
      </c>
      <c r="AB56" s="24" t="str">
        <f>IFERROR(VLOOKUP($Z56,'[1]End Fat Material - PA 12'!$K$3:$K$64,1,0), "")</f>
        <v/>
      </c>
      <c r="AC56" s="24" t="str">
        <f>IFERROR(VLOOKUP($Z56,'[1]End CA Lotação'!$L$3:$L$36,1,0), "")</f>
        <v/>
      </c>
      <c r="AD56" s="24">
        <f>IFERROR(VLOOKUP(Z56,'[1]RH - PARA 21.03'!$M$3:$M$555,1,0),"")</f>
        <v>54</v>
      </c>
      <c r="AE56" s="23" t="str">
        <f>IFERROR(VLOOKUP($Z56,'[1]CNPJ Oi Fat'!$K$3:$K$32,1,0),"")</f>
        <v/>
      </c>
      <c r="AF56" s="23" t="str">
        <f>IFERROR(VLOOKUP(Z56,'[1]End Logística Oi'!$D$3:$D$29,1,0),"")</f>
        <v/>
      </c>
      <c r="AG56" s="23">
        <f>IFERROR(VLOOKUP(Z56,'[1]End Logística Oi'!$J$3:$J$29,1,0),"")</f>
        <v>54</v>
      </c>
      <c r="AH56" s="23" t="s">
        <v>53</v>
      </c>
      <c r="AI56" s="23" t="s">
        <v>54</v>
      </c>
      <c r="AJ56" s="23" t="s">
        <v>55</v>
      </c>
      <c r="AK56" s="23" t="e">
        <v>#N/A</v>
      </c>
    </row>
    <row r="57" spans="1:37" s="23" customFormat="1" ht="15" hidden="1" customHeight="1" x14ac:dyDescent="0.25">
      <c r="A57" s="19">
        <v>55</v>
      </c>
      <c r="B57" s="19" t="s">
        <v>112</v>
      </c>
      <c r="C57" s="19" t="s">
        <v>39</v>
      </c>
      <c r="D57" s="19" t="s">
        <v>40</v>
      </c>
      <c r="E57" s="19"/>
      <c r="F57" s="19" t="s">
        <v>42</v>
      </c>
      <c r="G57" s="19">
        <v>41901737732</v>
      </c>
      <c r="H57" s="19" t="s">
        <v>435</v>
      </c>
      <c r="I57" s="20">
        <v>43269</v>
      </c>
      <c r="J57" s="20"/>
      <c r="K57" s="19" t="s">
        <v>45</v>
      </c>
      <c r="L57" s="19" t="s">
        <v>90</v>
      </c>
      <c r="M57" s="20"/>
      <c r="N57" s="19"/>
      <c r="O57" s="19" t="s">
        <v>90</v>
      </c>
      <c r="P57" s="19">
        <v>2453274</v>
      </c>
      <c r="Q57" s="20">
        <v>43269</v>
      </c>
      <c r="R57" s="19"/>
      <c r="S57" s="19" t="s">
        <v>45</v>
      </c>
      <c r="T57" s="19" t="s">
        <v>436</v>
      </c>
      <c r="U57" s="19" t="s">
        <v>437</v>
      </c>
      <c r="V57" s="19" t="s">
        <v>438</v>
      </c>
      <c r="W57" s="19" t="s">
        <v>439</v>
      </c>
      <c r="X57" s="21"/>
      <c r="Y57" s="22">
        <v>76535764006001</v>
      </c>
      <c r="Z57" s="23">
        <f t="shared" si="1"/>
        <v>55</v>
      </c>
      <c r="AA57" s="24" t="str">
        <f>IFERROR(VLOOKUP($Z57,'[1]End Fat Serviço - PA 15 e 16'!$K$3:$K$31,1,0), "")</f>
        <v/>
      </c>
      <c r="AB57" s="24" t="str">
        <f>IFERROR(VLOOKUP($Z57,'[1]End Fat Material - PA 12'!$K$3:$K$64,1,0), "")</f>
        <v/>
      </c>
      <c r="AC57" s="24" t="str">
        <f>IFERROR(VLOOKUP($Z57,'[1]End CA Lotação'!$L$3:$L$36,1,0), "")</f>
        <v/>
      </c>
      <c r="AD57" s="24" t="str">
        <f>IFERROR(VLOOKUP(Z57,'[1]RH - PARA 21.03'!$M$3:$M$555,1,0),"")</f>
        <v/>
      </c>
      <c r="AE57" s="23" t="str">
        <f>IFERROR(VLOOKUP($Z57,'[1]CNPJ Oi Fat'!$K$3:$K$32,1,0),"")</f>
        <v/>
      </c>
      <c r="AF57" s="23" t="str">
        <f>IFERROR(VLOOKUP(Z57,'[1]End Logística Oi'!$D$3:$D$29,1,0),"")</f>
        <v/>
      </c>
      <c r="AG57" s="23" t="str">
        <f>IFERROR(VLOOKUP(Z57,'[1]End Logística Oi'!$J$3:$J$29,1,0),"")</f>
        <v/>
      </c>
      <c r="AI57" s="23" t="s">
        <v>55</v>
      </c>
      <c r="AJ57" s="23" t="s">
        <v>55</v>
      </c>
      <c r="AK57" s="23" t="e">
        <v>#N/A</v>
      </c>
    </row>
    <row r="58" spans="1:37" s="23" customFormat="1" ht="15" hidden="1" customHeight="1" x14ac:dyDescent="0.25">
      <c r="A58" s="19">
        <v>56</v>
      </c>
      <c r="B58" s="19" t="s">
        <v>95</v>
      </c>
      <c r="C58" s="19" t="s">
        <v>39</v>
      </c>
      <c r="D58" s="19" t="s">
        <v>40</v>
      </c>
      <c r="E58" s="19" t="s">
        <v>440</v>
      </c>
      <c r="F58" s="19" t="s">
        <v>42</v>
      </c>
      <c r="G58" s="19" t="s">
        <v>441</v>
      </c>
      <c r="H58" s="36" t="s">
        <v>442</v>
      </c>
      <c r="I58" s="20">
        <v>43306</v>
      </c>
      <c r="J58" s="19"/>
      <c r="K58" s="19" t="s">
        <v>45</v>
      </c>
      <c r="L58" s="36"/>
      <c r="M58" s="20"/>
      <c r="N58" s="36"/>
      <c r="O58" s="19"/>
      <c r="P58" s="19"/>
      <c r="Q58" s="36"/>
      <c r="R58" s="36"/>
      <c r="S58" s="19"/>
      <c r="T58" s="19" t="s">
        <v>443</v>
      </c>
      <c r="U58" s="19" t="s">
        <v>49</v>
      </c>
      <c r="V58" s="19" t="s">
        <v>444</v>
      </c>
      <c r="W58" s="35" t="s">
        <v>445</v>
      </c>
      <c r="X58" s="21"/>
      <c r="Y58" s="22">
        <v>76535764006184</v>
      </c>
      <c r="Z58" s="23">
        <f t="shared" si="1"/>
        <v>56</v>
      </c>
      <c r="AA58" s="24" t="str">
        <f>IFERROR(VLOOKUP($Z58,'[1]End Fat Serviço - PA 15 e 16'!$K$3:$K$31,1,0), "")</f>
        <v/>
      </c>
      <c r="AB58" s="24" t="str">
        <f>IFERROR(VLOOKUP($Z58,'[1]End Fat Material - PA 12'!$K$3:$K$64,1,0), "")</f>
        <v/>
      </c>
      <c r="AC58" s="24" t="str">
        <f>IFERROR(VLOOKUP($Z58,'[1]End CA Lotação'!$L$3:$L$36,1,0), "")</f>
        <v/>
      </c>
      <c r="AD58" s="24" t="str">
        <f>IFERROR(VLOOKUP(Z58,'[1]RH - PARA 21.03'!$M$3:$M$555,1,0),"")</f>
        <v/>
      </c>
      <c r="AE58" s="23" t="str">
        <f>IFERROR(VLOOKUP($Z58,'[1]CNPJ Oi Fat'!$K$3:$K$32,1,0),"")</f>
        <v/>
      </c>
      <c r="AF58" s="23" t="str">
        <f>IFERROR(VLOOKUP(Z58,'[1]End Logística Oi'!$D$3:$D$29,1,0),"")</f>
        <v/>
      </c>
      <c r="AG58" s="23" t="str">
        <f>IFERROR(VLOOKUP(Z58,'[1]End Logística Oi'!$J$3:$J$29,1,0),"")</f>
        <v/>
      </c>
      <c r="AI58" s="23" t="s">
        <v>55</v>
      </c>
      <c r="AJ58" s="23" t="s">
        <v>55</v>
      </c>
      <c r="AK58" s="23" t="e">
        <v>#N/A</v>
      </c>
    </row>
    <row r="59" spans="1:37" s="23" customFormat="1" ht="15" customHeight="1" x14ac:dyDescent="0.25">
      <c r="A59" s="19">
        <v>57</v>
      </c>
      <c r="B59" s="19" t="s">
        <v>200</v>
      </c>
      <c r="C59" s="19" t="s">
        <v>39</v>
      </c>
      <c r="D59" s="19" t="s">
        <v>40</v>
      </c>
      <c r="E59" s="19" t="s">
        <v>440</v>
      </c>
      <c r="F59" s="19" t="s">
        <v>42</v>
      </c>
      <c r="G59" s="19" t="s">
        <v>446</v>
      </c>
      <c r="H59" s="36" t="s">
        <v>447</v>
      </c>
      <c r="I59" s="20">
        <v>43312</v>
      </c>
      <c r="J59" s="19"/>
      <c r="K59" s="19" t="s">
        <v>45</v>
      </c>
      <c r="L59" s="19" t="s">
        <v>90</v>
      </c>
      <c r="M59" s="20"/>
      <c r="N59" s="36"/>
      <c r="O59" s="19" t="s">
        <v>90</v>
      </c>
      <c r="P59" s="19"/>
      <c r="Q59" s="36"/>
      <c r="R59" s="36"/>
      <c r="S59" s="19"/>
      <c r="T59" s="19" t="s">
        <v>448</v>
      </c>
      <c r="U59" s="19" t="s">
        <v>49</v>
      </c>
      <c r="V59" s="19" t="s">
        <v>449</v>
      </c>
      <c r="W59" s="35" t="s">
        <v>450</v>
      </c>
      <c r="X59" s="21"/>
      <c r="Y59" s="22">
        <v>76535764006265</v>
      </c>
      <c r="Z59" s="23">
        <f t="shared" si="1"/>
        <v>57</v>
      </c>
      <c r="AA59" s="24" t="str">
        <f>IFERROR(VLOOKUP($Z59,'[1]End Fat Serviço - PA 15 e 16'!$K$3:$K$31,1,0), "")</f>
        <v/>
      </c>
      <c r="AB59" s="24" t="str">
        <f>IFERROR(VLOOKUP($Z59,'[1]End Fat Material - PA 12'!$K$3:$K$64,1,0), "")</f>
        <v/>
      </c>
      <c r="AC59" s="24" t="str">
        <f>IFERROR(VLOOKUP($Z59,'[1]End CA Lotação'!$L$3:$L$36,1,0), "")</f>
        <v/>
      </c>
      <c r="AD59" s="24">
        <f>IFERROR(VLOOKUP(Z59,'[1]RH - PARA 21.03'!$M$3:$M$555,1,0),"")</f>
        <v>57</v>
      </c>
      <c r="AE59" s="23" t="str">
        <f>IFERROR(VLOOKUP($Z59,'[1]CNPJ Oi Fat'!$K$3:$K$32,1,0),"")</f>
        <v/>
      </c>
      <c r="AF59" s="23" t="str">
        <f>IFERROR(VLOOKUP(Z59,'[1]End Logística Oi'!$D$3:$D$29,1,0),"")</f>
        <v/>
      </c>
      <c r="AG59" s="23" t="str">
        <f>IFERROR(VLOOKUP(Z59,'[1]End Logística Oi'!$J$3:$J$29,1,0),"")</f>
        <v/>
      </c>
      <c r="AH59" s="23" t="s">
        <v>53</v>
      </c>
      <c r="AI59" s="23" t="s">
        <v>54</v>
      </c>
      <c r="AJ59" s="23" t="s">
        <v>55</v>
      </c>
      <c r="AK59" s="23" t="e">
        <v>#N/A</v>
      </c>
    </row>
    <row r="60" spans="1:37" s="23" customFormat="1" ht="15" customHeight="1" x14ac:dyDescent="0.25">
      <c r="A60" s="19">
        <v>58</v>
      </c>
      <c r="B60" s="19" t="s">
        <v>200</v>
      </c>
      <c r="C60" s="19" t="s">
        <v>39</v>
      </c>
      <c r="D60" s="19" t="s">
        <v>40</v>
      </c>
      <c r="E60" s="19" t="s">
        <v>440</v>
      </c>
      <c r="F60" s="19" t="s">
        <v>42</v>
      </c>
      <c r="G60" s="19" t="s">
        <v>451</v>
      </c>
      <c r="H60" s="36" t="s">
        <v>452</v>
      </c>
      <c r="I60" s="20">
        <v>43312</v>
      </c>
      <c r="J60" s="19"/>
      <c r="K60" s="19" t="s">
        <v>45</v>
      </c>
      <c r="L60" s="19" t="s">
        <v>90</v>
      </c>
      <c r="M60" s="20"/>
      <c r="N60" s="36"/>
      <c r="O60" s="19" t="s">
        <v>90</v>
      </c>
      <c r="P60" s="19"/>
      <c r="Q60" s="36"/>
      <c r="R60" s="36"/>
      <c r="S60" s="19"/>
      <c r="T60" s="19" t="s">
        <v>453</v>
      </c>
      <c r="U60" s="19" t="s">
        <v>454</v>
      </c>
      <c r="V60" s="19" t="s">
        <v>205</v>
      </c>
      <c r="W60" s="35" t="s">
        <v>455</v>
      </c>
      <c r="X60" s="21"/>
      <c r="Y60" s="22">
        <v>76535764006427</v>
      </c>
      <c r="Z60" s="23">
        <f t="shared" si="1"/>
        <v>58</v>
      </c>
      <c r="AA60" s="24" t="str">
        <f>IFERROR(VLOOKUP($Z60,'[1]End Fat Serviço - PA 15 e 16'!$K$3:$K$31,1,0), "")</f>
        <v/>
      </c>
      <c r="AB60" s="24" t="str">
        <f>IFERROR(VLOOKUP($Z60,'[1]End Fat Material - PA 12'!$K$3:$K$64,1,0), "")</f>
        <v/>
      </c>
      <c r="AC60" s="24" t="str">
        <f>IFERROR(VLOOKUP($Z60,'[1]End CA Lotação'!$L$3:$L$36,1,0), "")</f>
        <v/>
      </c>
      <c r="AD60" s="24">
        <f>IFERROR(VLOOKUP(Z60,'[1]RH - PARA 21.03'!$M$3:$M$555,1,0),"")</f>
        <v>58</v>
      </c>
      <c r="AE60" s="23" t="str">
        <f>IFERROR(VLOOKUP($Z60,'[1]CNPJ Oi Fat'!$K$3:$K$32,1,0),"")</f>
        <v/>
      </c>
      <c r="AF60" s="23" t="str">
        <f>IFERROR(VLOOKUP(Z60,'[1]End Logística Oi'!$D$3:$D$29,1,0),"")</f>
        <v/>
      </c>
      <c r="AG60" s="23" t="str">
        <f>IFERROR(VLOOKUP(Z60,'[1]End Logística Oi'!$J$3:$J$29,1,0),"")</f>
        <v/>
      </c>
      <c r="AH60" s="23" t="s">
        <v>53</v>
      </c>
      <c r="AI60" s="23" t="s">
        <v>54</v>
      </c>
      <c r="AJ60" s="23" t="s">
        <v>55</v>
      </c>
      <c r="AK60" s="23" t="e">
        <v>#N/A</v>
      </c>
    </row>
    <row r="61" spans="1:37" s="23" customFormat="1" ht="15" customHeight="1" x14ac:dyDescent="0.25">
      <c r="A61" s="19">
        <v>59</v>
      </c>
      <c r="B61" s="19" t="s">
        <v>200</v>
      </c>
      <c r="C61" s="19" t="s">
        <v>39</v>
      </c>
      <c r="D61" s="19" t="s">
        <v>40</v>
      </c>
      <c r="E61" s="19" t="s">
        <v>440</v>
      </c>
      <c r="F61" s="19" t="s">
        <v>42</v>
      </c>
      <c r="G61" s="19" t="s">
        <v>456</v>
      </c>
      <c r="H61" s="36" t="s">
        <v>457</v>
      </c>
      <c r="I61" s="20">
        <v>43312</v>
      </c>
      <c r="J61" s="19"/>
      <c r="K61" s="19" t="s">
        <v>45</v>
      </c>
      <c r="L61" s="19" t="s">
        <v>90</v>
      </c>
      <c r="M61" s="20"/>
      <c r="N61" s="36"/>
      <c r="O61" s="19" t="s">
        <v>90</v>
      </c>
      <c r="P61" s="19"/>
      <c r="Q61" s="36"/>
      <c r="R61" s="36"/>
      <c r="S61" s="19"/>
      <c r="T61" s="19" t="s">
        <v>458</v>
      </c>
      <c r="U61" s="19" t="s">
        <v>49</v>
      </c>
      <c r="V61" s="19" t="s">
        <v>459</v>
      </c>
      <c r="W61" s="35" t="s">
        <v>460</v>
      </c>
      <c r="X61" s="21"/>
      <c r="Y61" s="22">
        <v>76535764006699</v>
      </c>
      <c r="Z61" s="23">
        <f t="shared" si="1"/>
        <v>59</v>
      </c>
      <c r="AA61" s="24" t="str">
        <f>IFERROR(VLOOKUP($Z61,'[1]End Fat Serviço - PA 15 e 16'!$K$3:$K$31,1,0), "")</f>
        <v/>
      </c>
      <c r="AB61" s="24" t="str">
        <f>IFERROR(VLOOKUP($Z61,'[1]End Fat Material - PA 12'!$K$3:$K$64,1,0), "")</f>
        <v/>
      </c>
      <c r="AC61" s="24" t="str">
        <f>IFERROR(VLOOKUP($Z61,'[1]End CA Lotação'!$L$3:$L$36,1,0), "")</f>
        <v/>
      </c>
      <c r="AD61" s="24">
        <f>IFERROR(VLOOKUP(Z61,'[1]RH - PARA 21.03'!$M$3:$M$555,1,0),"")</f>
        <v>59</v>
      </c>
      <c r="AE61" s="23" t="str">
        <f>IFERROR(VLOOKUP($Z61,'[1]CNPJ Oi Fat'!$K$3:$K$32,1,0),"")</f>
        <v/>
      </c>
      <c r="AF61" s="23" t="str">
        <f>IFERROR(VLOOKUP(Z61,'[1]End Logística Oi'!$D$3:$D$29,1,0),"")</f>
        <v/>
      </c>
      <c r="AG61" s="23" t="str">
        <f>IFERROR(VLOOKUP(Z61,'[1]End Logística Oi'!$J$3:$J$29,1,0),"")</f>
        <v/>
      </c>
      <c r="AH61" s="23" t="s">
        <v>53</v>
      </c>
      <c r="AI61" s="23" t="s">
        <v>54</v>
      </c>
      <c r="AJ61" s="23" t="s">
        <v>55</v>
      </c>
      <c r="AK61" s="23" t="e">
        <v>#N/A</v>
      </c>
    </row>
    <row r="62" spans="1:37" s="23" customFormat="1" ht="15" hidden="1" customHeight="1" x14ac:dyDescent="0.25">
      <c r="A62" s="19">
        <v>60</v>
      </c>
      <c r="B62" s="19" t="s">
        <v>230</v>
      </c>
      <c r="C62" s="19" t="s">
        <v>366</v>
      </c>
      <c r="D62" s="19" t="s">
        <v>461</v>
      </c>
      <c r="E62" s="19"/>
      <c r="F62" s="19" t="s">
        <v>369</v>
      </c>
      <c r="G62" s="19" t="s">
        <v>462</v>
      </c>
      <c r="H62" s="19" t="s">
        <v>463</v>
      </c>
      <c r="I62" s="20">
        <v>43570</v>
      </c>
      <c r="J62" s="20"/>
      <c r="K62" s="19" t="s">
        <v>45</v>
      </c>
      <c r="L62" s="19" t="s">
        <v>90</v>
      </c>
      <c r="M62" s="20"/>
      <c r="N62" s="19"/>
      <c r="O62" s="19" t="s">
        <v>90</v>
      </c>
      <c r="P62" s="19" t="s">
        <v>464</v>
      </c>
      <c r="Q62" s="20">
        <v>43589</v>
      </c>
      <c r="R62" s="19"/>
      <c r="S62" s="19" t="s">
        <v>45</v>
      </c>
      <c r="T62" s="19" t="s">
        <v>465</v>
      </c>
      <c r="U62" s="19" t="s">
        <v>49</v>
      </c>
      <c r="V62" s="19" t="s">
        <v>235</v>
      </c>
      <c r="W62" s="19" t="s">
        <v>466</v>
      </c>
      <c r="X62" s="21"/>
      <c r="Y62" s="22">
        <v>4014081001535</v>
      </c>
      <c r="Z62" s="23">
        <f t="shared" si="1"/>
        <v>60</v>
      </c>
      <c r="AA62" s="24" t="str">
        <f>IFERROR(VLOOKUP($Z62,'[1]End Fat Serviço - PA 15 e 16'!$K$3:$K$31,1,0), "")</f>
        <v/>
      </c>
      <c r="AB62" s="24" t="str">
        <f>IFERROR(VLOOKUP($Z62,'[1]End Fat Material - PA 12'!$K$3:$K$64,1,0), "")</f>
        <v/>
      </c>
      <c r="AC62" s="24" t="str">
        <f>IFERROR(VLOOKUP($Z62,'[1]End CA Lotação'!$L$3:$L$36,1,0), "")</f>
        <v/>
      </c>
      <c r="AD62" s="24" t="str">
        <f>IFERROR(VLOOKUP(Z62,'[1]RH - PARA 21.03'!$M$3:$M$555,1,0),"")</f>
        <v/>
      </c>
      <c r="AE62" s="23" t="str">
        <f>IFERROR(VLOOKUP($Z62,'[1]CNPJ Oi Fat'!$K$3:$K$32,1,0),"")</f>
        <v/>
      </c>
      <c r="AF62" s="23" t="str">
        <f>IFERROR(VLOOKUP(Z62,'[1]End Logística Oi'!$D$3:$D$29,1,0),"")</f>
        <v/>
      </c>
      <c r="AG62" s="23" t="str">
        <f>IFERROR(VLOOKUP(Z62,'[1]End Logística Oi'!$J$3:$J$29,1,0),"")</f>
        <v/>
      </c>
      <c r="AI62" s="23" t="s">
        <v>55</v>
      </c>
      <c r="AJ62" s="23" t="s">
        <v>55</v>
      </c>
      <c r="AK62" s="23" t="e">
        <v>#N/A</v>
      </c>
    </row>
    <row r="63" spans="1:37" s="23" customFormat="1" ht="15" hidden="1" customHeight="1" x14ac:dyDescent="0.25">
      <c r="A63" s="19">
        <v>61</v>
      </c>
      <c r="B63" s="19" t="s">
        <v>230</v>
      </c>
      <c r="C63" s="19" t="s">
        <v>39</v>
      </c>
      <c r="D63" s="19" t="s">
        <v>40</v>
      </c>
      <c r="E63" s="19"/>
      <c r="F63" s="19" t="s">
        <v>467</v>
      </c>
      <c r="G63" s="19">
        <v>33901774950</v>
      </c>
      <c r="H63" s="19" t="s">
        <v>468</v>
      </c>
      <c r="I63" s="20">
        <v>43894</v>
      </c>
      <c r="J63" s="19"/>
      <c r="K63" s="19" t="s">
        <v>45</v>
      </c>
      <c r="L63" s="36" t="s">
        <v>90</v>
      </c>
      <c r="M63" s="20"/>
      <c r="N63" s="36"/>
      <c r="O63" s="19" t="s">
        <v>90</v>
      </c>
      <c r="P63" s="19" t="s">
        <v>469</v>
      </c>
      <c r="Q63" s="36"/>
      <c r="R63" s="36"/>
      <c r="S63" s="19" t="s">
        <v>45</v>
      </c>
      <c r="T63" s="19" t="s">
        <v>470</v>
      </c>
      <c r="U63" s="19" t="s">
        <v>49</v>
      </c>
      <c r="V63" s="19" t="s">
        <v>235</v>
      </c>
      <c r="W63" s="35" t="s">
        <v>471</v>
      </c>
      <c r="X63" s="21"/>
      <c r="Y63" s="22">
        <v>76535764007318</v>
      </c>
      <c r="Z63" s="23">
        <f t="shared" si="1"/>
        <v>61</v>
      </c>
      <c r="AA63" s="24" t="str">
        <f>IFERROR(VLOOKUP($Z63,'[1]End Fat Serviço - PA 15 e 16'!$K$3:$K$31,1,0), "")</f>
        <v/>
      </c>
      <c r="AB63" s="24" t="str">
        <f>IFERROR(VLOOKUP($Z63,'[1]End Fat Material - PA 12'!$K$3:$K$64,1,0), "")</f>
        <v/>
      </c>
      <c r="AC63" s="24" t="str">
        <f>IFERROR(VLOOKUP($Z63,'[1]End CA Lotação'!$L$3:$L$36,1,0), "")</f>
        <v/>
      </c>
      <c r="AD63" s="24" t="str">
        <f>IFERROR(VLOOKUP(Z63,'[1]RH - PARA 21.03'!$M$3:$M$555,1,0),"")</f>
        <v/>
      </c>
      <c r="AE63" s="23" t="str">
        <f>IFERROR(VLOOKUP($Z63,'[1]CNPJ Oi Fat'!$K$3:$K$32,1,0),"")</f>
        <v/>
      </c>
      <c r="AF63" s="23" t="str">
        <f>IFERROR(VLOOKUP(Z63,'[1]End Logística Oi'!$D$3:$D$29,1,0),"")</f>
        <v/>
      </c>
      <c r="AG63" s="23" t="str">
        <f>IFERROR(VLOOKUP(Z63,'[1]End Logística Oi'!$J$3:$J$29,1,0),"")</f>
        <v/>
      </c>
      <c r="AI63" s="23" t="s">
        <v>55</v>
      </c>
      <c r="AJ63" s="23" t="s">
        <v>55</v>
      </c>
      <c r="AK63" s="23" t="e">
        <v>#N/A</v>
      </c>
    </row>
    <row r="64" spans="1:37" s="23" customFormat="1" ht="15" hidden="1" customHeight="1" x14ac:dyDescent="0.25">
      <c r="A64" s="19">
        <v>62</v>
      </c>
      <c r="B64" s="19" t="s">
        <v>85</v>
      </c>
      <c r="C64" s="19" t="s">
        <v>39</v>
      </c>
      <c r="D64" s="26" t="s">
        <v>40</v>
      </c>
      <c r="E64" s="19" t="s">
        <v>280</v>
      </c>
      <c r="F64" s="26" t="s">
        <v>467</v>
      </c>
      <c r="G64" s="19">
        <v>53920009968</v>
      </c>
      <c r="H64" s="19" t="s">
        <v>472</v>
      </c>
      <c r="I64" s="20">
        <v>44061</v>
      </c>
      <c r="J64" s="19"/>
      <c r="K64" s="19" t="s">
        <v>45</v>
      </c>
      <c r="L64" s="36" t="s">
        <v>473</v>
      </c>
      <c r="M64" s="20" t="s">
        <v>473</v>
      </c>
      <c r="N64" s="36"/>
      <c r="O64" s="19" t="s">
        <v>45</v>
      </c>
      <c r="P64" s="19" t="s">
        <v>474</v>
      </c>
      <c r="Q64" s="36"/>
      <c r="R64" s="36"/>
      <c r="S64" s="19" t="s">
        <v>45</v>
      </c>
      <c r="T64" s="48" t="s">
        <v>475</v>
      </c>
      <c r="U64" s="19" t="s">
        <v>476</v>
      </c>
      <c r="V64" s="19" t="s">
        <v>477</v>
      </c>
      <c r="W64" s="35" t="s">
        <v>478</v>
      </c>
      <c r="X64" s="21"/>
      <c r="Y64" s="22">
        <v>76535764022201</v>
      </c>
      <c r="Z64" s="23">
        <f t="shared" si="1"/>
        <v>62</v>
      </c>
      <c r="AA64" s="24" t="str">
        <f>IFERROR(VLOOKUP($Z64,'[1]End Fat Serviço - PA 15 e 16'!$K$3:$K$31,1,0), "")</f>
        <v/>
      </c>
      <c r="AB64" s="24" t="str">
        <f>IFERROR(VLOOKUP($Z64,'[1]End Fat Material - PA 12'!$K$3:$K$64,1,0), "")</f>
        <v/>
      </c>
      <c r="AC64" s="24" t="str">
        <f>IFERROR(VLOOKUP($Z64,'[1]End CA Lotação'!$L$3:$L$36,1,0), "")</f>
        <v/>
      </c>
      <c r="AD64" s="24" t="str">
        <f>IFERROR(VLOOKUP(Z64,'[1]RH - PARA 21.03'!$M$3:$M$555,1,0),"")</f>
        <v/>
      </c>
      <c r="AE64" s="23" t="str">
        <f>IFERROR(VLOOKUP($Z64,'[1]CNPJ Oi Fat'!$K$3:$K$32,1,0),"")</f>
        <v/>
      </c>
      <c r="AF64" s="23" t="str">
        <f>IFERROR(VLOOKUP(Z64,'[1]End Logística Oi'!$D$3:$D$29,1,0),"")</f>
        <v/>
      </c>
      <c r="AG64" s="23" t="str">
        <f>IFERROR(VLOOKUP(Z64,'[1]End Logística Oi'!$J$3:$J$29,1,0),"")</f>
        <v/>
      </c>
      <c r="AI64" s="23" t="s">
        <v>55</v>
      </c>
      <c r="AJ64" s="23" t="s">
        <v>55</v>
      </c>
      <c r="AK64" s="23" t="e">
        <v>#N/A</v>
      </c>
    </row>
    <row r="65" spans="1:37" s="23" customFormat="1" ht="15" hidden="1" customHeight="1" x14ac:dyDescent="0.25">
      <c r="A65" s="19">
        <v>63</v>
      </c>
      <c r="B65" s="19" t="s">
        <v>85</v>
      </c>
      <c r="C65" s="19" t="s">
        <v>39</v>
      </c>
      <c r="D65" s="26" t="s">
        <v>40</v>
      </c>
      <c r="E65" s="19" t="s">
        <v>479</v>
      </c>
      <c r="F65" s="26" t="s">
        <v>467</v>
      </c>
      <c r="G65" s="19">
        <v>53920009950</v>
      </c>
      <c r="H65" s="19" t="s">
        <v>480</v>
      </c>
      <c r="I65" s="20">
        <v>44061</v>
      </c>
      <c r="J65" s="19"/>
      <c r="K65" s="19" t="s">
        <v>45</v>
      </c>
      <c r="L65" s="36" t="s">
        <v>473</v>
      </c>
      <c r="M65" s="20" t="s">
        <v>473</v>
      </c>
      <c r="N65" s="36"/>
      <c r="O65" s="19" t="s">
        <v>45</v>
      </c>
      <c r="P65" s="19" t="s">
        <v>481</v>
      </c>
      <c r="Q65" s="36"/>
      <c r="R65" s="36"/>
      <c r="S65" s="19" t="s">
        <v>45</v>
      </c>
      <c r="T65" s="19" t="s">
        <v>482</v>
      </c>
      <c r="U65" s="19" t="s">
        <v>483</v>
      </c>
      <c r="V65" s="19" t="s">
        <v>477</v>
      </c>
      <c r="W65" s="35" t="s">
        <v>484</v>
      </c>
      <c r="X65" s="21"/>
      <c r="Y65" s="22">
        <v>76535764022112</v>
      </c>
      <c r="Z65" s="23">
        <f t="shared" si="1"/>
        <v>63</v>
      </c>
      <c r="AA65" s="24" t="str">
        <f>IFERROR(VLOOKUP($Z65,'[1]End Fat Serviço - PA 15 e 16'!$K$3:$K$31,1,0), "")</f>
        <v/>
      </c>
      <c r="AB65" s="24" t="str">
        <f>IFERROR(VLOOKUP($Z65,'[1]End Fat Material - PA 12'!$K$3:$K$64,1,0), "")</f>
        <v/>
      </c>
      <c r="AC65" s="24" t="str">
        <f>IFERROR(VLOOKUP($Z65,'[1]End CA Lotação'!$L$3:$L$36,1,0), "")</f>
        <v/>
      </c>
      <c r="AD65" s="24" t="str">
        <f>IFERROR(VLOOKUP(Z65,'[1]RH - PARA 21.03'!$M$3:$M$555,1,0),"")</f>
        <v/>
      </c>
      <c r="AE65" s="23" t="str">
        <f>IFERROR(VLOOKUP($Z65,'[1]CNPJ Oi Fat'!$K$3:$K$32,1,0),"")</f>
        <v/>
      </c>
      <c r="AF65" s="23" t="str">
        <f>IFERROR(VLOOKUP(Z65,'[1]End Logística Oi'!$D$3:$D$29,1,0),"")</f>
        <v/>
      </c>
      <c r="AG65" s="23" t="str">
        <f>IFERROR(VLOOKUP(Z65,'[1]End Logística Oi'!$J$3:$J$29,1,0),"")</f>
        <v/>
      </c>
      <c r="AI65" s="23" t="s">
        <v>55</v>
      </c>
      <c r="AJ65" s="23" t="s">
        <v>55</v>
      </c>
      <c r="AK65" s="23" t="e">
        <v>#N/A</v>
      </c>
    </row>
    <row r="66" spans="1:37" s="23" customFormat="1" ht="15" hidden="1" customHeight="1" x14ac:dyDescent="0.25">
      <c r="A66" s="19">
        <v>64</v>
      </c>
      <c r="B66" s="19" t="s">
        <v>174</v>
      </c>
      <c r="C66" s="27" t="s">
        <v>39</v>
      </c>
      <c r="D66" s="26" t="s">
        <v>40</v>
      </c>
      <c r="E66" s="19" t="s">
        <v>29</v>
      </c>
      <c r="F66" s="26" t="s">
        <v>467</v>
      </c>
      <c r="G66" s="19">
        <v>13920003436</v>
      </c>
      <c r="H66" s="19" t="s">
        <v>485</v>
      </c>
      <c r="I66" s="20">
        <v>44056</v>
      </c>
      <c r="J66" s="19"/>
      <c r="K66" s="19" t="s">
        <v>45</v>
      </c>
      <c r="L66" s="36" t="s">
        <v>473</v>
      </c>
      <c r="M66" s="20" t="s">
        <v>473</v>
      </c>
      <c r="N66" s="36"/>
      <c r="O66" s="19" t="s">
        <v>45</v>
      </c>
      <c r="P66" s="19" t="s">
        <v>486</v>
      </c>
      <c r="Q66" s="20">
        <v>44167</v>
      </c>
      <c r="R66" s="36"/>
      <c r="S66" s="19" t="s">
        <v>45</v>
      </c>
      <c r="T66" s="19" t="s">
        <v>487</v>
      </c>
      <c r="U66" s="19" t="s">
        <v>49</v>
      </c>
      <c r="V66" s="19" t="s">
        <v>488</v>
      </c>
      <c r="W66" s="35" t="s">
        <v>489</v>
      </c>
      <c r="X66" s="21"/>
      <c r="Y66" s="22">
        <v>76535764010025</v>
      </c>
      <c r="Z66" s="23">
        <f t="shared" si="1"/>
        <v>64</v>
      </c>
      <c r="AA66" s="24" t="str">
        <f>IFERROR(VLOOKUP($Z66,'[1]End Fat Serviço - PA 15 e 16'!$K$3:$K$31,1,0), "")</f>
        <v/>
      </c>
      <c r="AB66" s="24" t="str">
        <f>IFERROR(VLOOKUP($Z66,'[1]End Fat Material - PA 12'!$K$3:$K$64,1,0), "")</f>
        <v/>
      </c>
      <c r="AC66" s="24" t="str">
        <f>IFERROR(VLOOKUP($Z66,'[1]End CA Lotação'!$L$3:$L$36,1,0), "")</f>
        <v/>
      </c>
      <c r="AD66" s="24" t="str">
        <f>IFERROR(VLOOKUP(Z66,'[1]RH - PARA 21.03'!$M$3:$M$555,1,0),"")</f>
        <v/>
      </c>
      <c r="AE66" s="23" t="str">
        <f>IFERROR(VLOOKUP($Z66,'[1]CNPJ Oi Fat'!$K$3:$K$32,1,0),"")</f>
        <v/>
      </c>
      <c r="AF66" s="23" t="str">
        <f>IFERROR(VLOOKUP(Z66,'[1]End Logística Oi'!$D$3:$D$29,1,0),"")</f>
        <v/>
      </c>
      <c r="AG66" s="23" t="str">
        <f>IFERROR(VLOOKUP(Z66,'[1]End Logística Oi'!$J$3:$J$29,1,0),"")</f>
        <v/>
      </c>
      <c r="AI66" s="23" t="s">
        <v>55</v>
      </c>
      <c r="AJ66" s="23" t="s">
        <v>55</v>
      </c>
      <c r="AK66" s="23" t="e">
        <v>#N/A</v>
      </c>
    </row>
    <row r="67" spans="1:37" s="23" customFormat="1" ht="15" customHeight="1" x14ac:dyDescent="0.25">
      <c r="A67" s="19">
        <v>65</v>
      </c>
      <c r="B67" s="19" t="s">
        <v>237</v>
      </c>
      <c r="C67" s="27" t="s">
        <v>39</v>
      </c>
      <c r="D67" s="26" t="s">
        <v>40</v>
      </c>
      <c r="E67" s="19" t="s">
        <v>29</v>
      </c>
      <c r="F67" s="26" t="s">
        <v>467</v>
      </c>
      <c r="G67" s="19">
        <v>29902011957</v>
      </c>
      <c r="H67" s="19" t="s">
        <v>490</v>
      </c>
      <c r="I67" s="20">
        <v>44056</v>
      </c>
      <c r="J67" s="19"/>
      <c r="K67" s="19" t="s">
        <v>45</v>
      </c>
      <c r="L67" s="19">
        <v>170049797</v>
      </c>
      <c r="M67" s="20">
        <v>44056</v>
      </c>
      <c r="N67" s="20">
        <v>44103</v>
      </c>
      <c r="O67" s="19" t="s">
        <v>491</v>
      </c>
      <c r="P67" s="49">
        <v>21208</v>
      </c>
      <c r="Q67" s="20">
        <v>44581</v>
      </c>
      <c r="R67" s="36"/>
      <c r="S67" s="19" t="s">
        <v>45</v>
      </c>
      <c r="T67" s="19" t="s">
        <v>492</v>
      </c>
      <c r="U67" s="19" t="s">
        <v>49</v>
      </c>
      <c r="V67" s="19" t="s">
        <v>493</v>
      </c>
      <c r="W67" s="35" t="s">
        <v>494</v>
      </c>
      <c r="X67" s="21"/>
      <c r="Y67" s="22">
        <v>76535764008551</v>
      </c>
      <c r="Z67" s="23">
        <f t="shared" si="1"/>
        <v>65</v>
      </c>
      <c r="AA67" s="24" t="str">
        <f>IFERROR(VLOOKUP($Z67,'[1]End Fat Serviço - PA 15 e 16'!$K$3:$K$31,1,0), "")</f>
        <v/>
      </c>
      <c r="AB67" s="24" t="str">
        <f>IFERROR(VLOOKUP($Z67,'[1]End Fat Material - PA 12'!$K$3:$K$64,1,0), "")</f>
        <v/>
      </c>
      <c r="AC67" s="24" t="str">
        <f>IFERROR(VLOOKUP($Z67,'[1]End CA Lotação'!$L$3:$L$36,1,0), "")</f>
        <v/>
      </c>
      <c r="AD67" s="24">
        <f>IFERROR(VLOOKUP(Z67,'[1]RH - PARA 21.03'!$M$3:$M$555,1,0),"")</f>
        <v>65</v>
      </c>
      <c r="AE67" s="23" t="str">
        <f>IFERROR(VLOOKUP($Z67,'[1]CNPJ Oi Fat'!$K$3:$K$32,1,0),"")</f>
        <v/>
      </c>
      <c r="AF67" s="23" t="str">
        <f>IFERROR(VLOOKUP(Z67,'[1]End Logística Oi'!$D$3:$D$29,1,0),"")</f>
        <v/>
      </c>
      <c r="AG67" s="23" t="str">
        <f>IFERROR(VLOOKUP(Z67,'[1]End Logística Oi'!$J$3:$J$29,1,0),"")</f>
        <v/>
      </c>
      <c r="AI67" s="23" t="s">
        <v>54</v>
      </c>
      <c r="AJ67" s="23" t="s">
        <v>55</v>
      </c>
      <c r="AK67" s="23" t="e">
        <v>#N/A</v>
      </c>
    </row>
    <row r="68" spans="1:37" s="23" customFormat="1" ht="15" customHeight="1" x14ac:dyDescent="0.25">
      <c r="A68" s="19">
        <v>66</v>
      </c>
      <c r="B68" s="19" t="s">
        <v>237</v>
      </c>
      <c r="C68" s="27" t="s">
        <v>39</v>
      </c>
      <c r="D68" s="26" t="s">
        <v>40</v>
      </c>
      <c r="E68" s="19" t="s">
        <v>29</v>
      </c>
      <c r="F68" s="26" t="s">
        <v>467</v>
      </c>
      <c r="G68" s="19">
        <v>29902011922</v>
      </c>
      <c r="H68" s="19" t="s">
        <v>495</v>
      </c>
      <c r="I68" s="20">
        <v>44056</v>
      </c>
      <c r="J68" s="19"/>
      <c r="K68" s="19" t="s">
        <v>45</v>
      </c>
      <c r="L68" s="19">
        <v>170049462</v>
      </c>
      <c r="M68" s="20">
        <v>44056</v>
      </c>
      <c r="N68" s="20">
        <v>44103</v>
      </c>
      <c r="O68" s="19" t="s">
        <v>491</v>
      </c>
      <c r="P68" s="49">
        <v>9674061</v>
      </c>
      <c r="Q68" s="20">
        <v>44260</v>
      </c>
      <c r="R68" s="36"/>
      <c r="S68" s="19" t="s">
        <v>45</v>
      </c>
      <c r="T68" s="19" t="s">
        <v>496</v>
      </c>
      <c r="U68" s="19" t="s">
        <v>49</v>
      </c>
      <c r="V68" s="19" t="s">
        <v>497</v>
      </c>
      <c r="W68" s="35" t="s">
        <v>498</v>
      </c>
      <c r="X68" s="21"/>
      <c r="Y68" s="22">
        <v>76535764007822</v>
      </c>
      <c r="Z68" s="23">
        <f t="shared" si="1"/>
        <v>66</v>
      </c>
      <c r="AA68" s="24" t="str">
        <f>IFERROR(VLOOKUP($Z68,'[1]End Fat Serviço - PA 15 e 16'!$K$3:$K$31,1,0), "")</f>
        <v/>
      </c>
      <c r="AB68" s="24" t="str">
        <f>IFERROR(VLOOKUP($Z68,'[1]End Fat Material - PA 12'!$K$3:$K$64,1,0), "")</f>
        <v/>
      </c>
      <c r="AC68" s="24" t="str">
        <f>IFERROR(VLOOKUP($Z68,'[1]End CA Lotação'!$L$3:$L$36,1,0), "")</f>
        <v/>
      </c>
      <c r="AD68" s="24">
        <f>IFERROR(VLOOKUP(Z68,'[1]RH - PARA 21.03'!$M$3:$M$555,1,0),"")</f>
        <v>66</v>
      </c>
      <c r="AE68" s="23" t="str">
        <f>IFERROR(VLOOKUP($Z68,'[1]CNPJ Oi Fat'!$K$3:$K$32,1,0),"")</f>
        <v/>
      </c>
      <c r="AF68" s="23" t="str">
        <f>IFERROR(VLOOKUP(Z68,'[1]End Logística Oi'!$D$3:$D$29,1,0),"")</f>
        <v/>
      </c>
      <c r="AG68" s="23" t="str">
        <f>IFERROR(VLOOKUP(Z68,'[1]End Logística Oi'!$J$3:$J$29,1,0),"")</f>
        <v/>
      </c>
      <c r="AI68" s="23" t="s">
        <v>54</v>
      </c>
      <c r="AJ68" s="23" t="s">
        <v>55</v>
      </c>
      <c r="AK68" s="23" t="e">
        <v>#N/A</v>
      </c>
    </row>
    <row r="69" spans="1:37" s="23" customFormat="1" ht="15" customHeight="1" x14ac:dyDescent="0.25">
      <c r="A69" s="19">
        <v>67</v>
      </c>
      <c r="B69" s="19" t="s">
        <v>237</v>
      </c>
      <c r="C69" s="27" t="s">
        <v>39</v>
      </c>
      <c r="D69" s="26" t="s">
        <v>40</v>
      </c>
      <c r="E69" s="19" t="s">
        <v>29</v>
      </c>
      <c r="F69" s="26" t="s">
        <v>467</v>
      </c>
      <c r="G69" s="19">
        <v>29902011949</v>
      </c>
      <c r="H69" s="19" t="s">
        <v>499</v>
      </c>
      <c r="I69" s="20">
        <v>44056</v>
      </c>
      <c r="J69" s="19"/>
      <c r="K69" s="19" t="s">
        <v>45</v>
      </c>
      <c r="L69" s="19">
        <v>170049689</v>
      </c>
      <c r="M69" s="20">
        <v>44056</v>
      </c>
      <c r="N69" s="20">
        <v>44103</v>
      </c>
      <c r="O69" s="19" t="s">
        <v>491</v>
      </c>
      <c r="P69" s="49">
        <v>802400</v>
      </c>
      <c r="Q69" s="20">
        <v>44232</v>
      </c>
      <c r="R69" s="36"/>
      <c r="S69" s="19" t="s">
        <v>45</v>
      </c>
      <c r="T69" s="19" t="s">
        <v>500</v>
      </c>
      <c r="U69" s="19" t="s">
        <v>49</v>
      </c>
      <c r="V69" s="19" t="s">
        <v>501</v>
      </c>
      <c r="W69" s="35" t="s">
        <v>502</v>
      </c>
      <c r="X69" s="21"/>
      <c r="Y69" s="22">
        <v>76535764008470</v>
      </c>
      <c r="Z69" s="23">
        <f t="shared" si="1"/>
        <v>67</v>
      </c>
      <c r="AA69" s="24" t="str">
        <f>IFERROR(VLOOKUP($Z69,'[1]End Fat Serviço - PA 15 e 16'!$K$3:$K$31,1,0), "")</f>
        <v/>
      </c>
      <c r="AB69" s="24" t="str">
        <f>IFERROR(VLOOKUP($Z69,'[1]End Fat Material - PA 12'!$K$3:$K$64,1,0), "")</f>
        <v/>
      </c>
      <c r="AC69" s="24" t="str">
        <f>IFERROR(VLOOKUP($Z69,'[1]End CA Lotação'!$L$3:$L$36,1,0), "")</f>
        <v/>
      </c>
      <c r="AD69" s="24">
        <f>IFERROR(VLOOKUP(Z69,'[1]RH - PARA 21.03'!$M$3:$M$555,1,0),"")</f>
        <v>67</v>
      </c>
      <c r="AE69" s="23" t="str">
        <f>IFERROR(VLOOKUP($Z69,'[1]CNPJ Oi Fat'!$K$3:$K$32,1,0),"")</f>
        <v/>
      </c>
      <c r="AF69" s="23" t="str">
        <f>IFERROR(VLOOKUP(Z69,'[1]End Logística Oi'!$D$3:$D$29,1,0),"")</f>
        <v/>
      </c>
      <c r="AG69" s="23" t="str">
        <f>IFERROR(VLOOKUP(Z69,'[1]End Logística Oi'!$J$3:$J$29,1,0),"")</f>
        <v/>
      </c>
      <c r="AI69" s="23" t="s">
        <v>54</v>
      </c>
      <c r="AJ69" s="23" t="s">
        <v>55</v>
      </c>
      <c r="AK69" s="23" t="e">
        <v>#N/A</v>
      </c>
    </row>
    <row r="70" spans="1:37" s="23" customFormat="1" ht="15" customHeight="1" x14ac:dyDescent="0.25">
      <c r="A70" s="19">
        <v>68</v>
      </c>
      <c r="B70" s="19" t="s">
        <v>237</v>
      </c>
      <c r="C70" s="27" t="s">
        <v>39</v>
      </c>
      <c r="D70" s="26" t="s">
        <v>40</v>
      </c>
      <c r="E70" s="19" t="s">
        <v>29</v>
      </c>
      <c r="F70" s="26" t="s">
        <v>467</v>
      </c>
      <c r="G70" s="19">
        <v>29902011914</v>
      </c>
      <c r="H70" s="19" t="s">
        <v>503</v>
      </c>
      <c r="I70" s="20">
        <v>44056</v>
      </c>
      <c r="J70" s="19"/>
      <c r="K70" s="19" t="s">
        <v>45</v>
      </c>
      <c r="L70" s="19">
        <v>170049354</v>
      </c>
      <c r="M70" s="20">
        <v>44056</v>
      </c>
      <c r="N70" s="20">
        <v>44103</v>
      </c>
      <c r="O70" s="19" t="s">
        <v>491</v>
      </c>
      <c r="P70" s="19">
        <v>24930</v>
      </c>
      <c r="Q70" s="20">
        <v>44056</v>
      </c>
      <c r="R70" s="36"/>
      <c r="S70" s="19" t="s">
        <v>45</v>
      </c>
      <c r="T70" s="19" t="s">
        <v>504</v>
      </c>
      <c r="U70" s="19" t="s">
        <v>49</v>
      </c>
      <c r="V70" s="19" t="s">
        <v>505</v>
      </c>
      <c r="W70" s="35" t="s">
        <v>506</v>
      </c>
      <c r="X70" s="21"/>
      <c r="Y70" s="22">
        <v>76535764007660</v>
      </c>
      <c r="Z70" s="23">
        <f t="shared" si="1"/>
        <v>68</v>
      </c>
      <c r="AA70" s="24" t="str">
        <f>IFERROR(VLOOKUP($Z70,'[1]End Fat Serviço - PA 15 e 16'!$K$3:$K$31,1,0), "")</f>
        <v/>
      </c>
      <c r="AB70" s="24" t="str">
        <f>IFERROR(VLOOKUP($Z70,'[1]End Fat Material - PA 12'!$K$3:$K$64,1,0), "")</f>
        <v/>
      </c>
      <c r="AC70" s="24" t="str">
        <f>IFERROR(VLOOKUP($Z70,'[1]End CA Lotação'!$L$3:$L$36,1,0), "")</f>
        <v/>
      </c>
      <c r="AD70" s="24">
        <f>IFERROR(VLOOKUP(Z70,'[1]RH - PARA 21.03'!$M$3:$M$555,1,0),"")</f>
        <v>68</v>
      </c>
      <c r="AE70" s="23" t="str">
        <f>IFERROR(VLOOKUP($Z70,'[1]CNPJ Oi Fat'!$K$3:$K$32,1,0),"")</f>
        <v/>
      </c>
      <c r="AF70" s="23" t="str">
        <f>IFERROR(VLOOKUP(Z70,'[1]End Logística Oi'!$D$3:$D$29,1,0),"")</f>
        <v/>
      </c>
      <c r="AG70" s="23" t="str">
        <f>IFERROR(VLOOKUP(Z70,'[1]End Logística Oi'!$J$3:$J$29,1,0),"")</f>
        <v/>
      </c>
      <c r="AI70" s="23" t="s">
        <v>54</v>
      </c>
      <c r="AJ70" s="23" t="s">
        <v>55</v>
      </c>
      <c r="AK70" s="23" t="e">
        <v>#N/A</v>
      </c>
    </row>
    <row r="71" spans="1:37" s="23" customFormat="1" ht="15" hidden="1" customHeight="1" x14ac:dyDescent="0.25">
      <c r="A71" s="19">
        <v>69</v>
      </c>
      <c r="B71" s="19" t="s">
        <v>237</v>
      </c>
      <c r="C71" s="27" t="s">
        <v>39</v>
      </c>
      <c r="D71" s="26" t="s">
        <v>40</v>
      </c>
      <c r="E71" s="19" t="s">
        <v>29</v>
      </c>
      <c r="F71" s="26" t="s">
        <v>467</v>
      </c>
      <c r="G71" s="19">
        <v>29902011931</v>
      </c>
      <c r="H71" s="19" t="s">
        <v>507</v>
      </c>
      <c r="I71" s="20">
        <v>44056</v>
      </c>
      <c r="J71" s="19"/>
      <c r="K71" s="19" t="s">
        <v>45</v>
      </c>
      <c r="L71" s="19">
        <v>170049570</v>
      </c>
      <c r="M71" s="20">
        <v>44056</v>
      </c>
      <c r="N71" s="20">
        <v>44103</v>
      </c>
      <c r="O71" s="19" t="s">
        <v>491</v>
      </c>
      <c r="P71" s="19" t="s">
        <v>508</v>
      </c>
      <c r="Q71" s="20">
        <v>44231</v>
      </c>
      <c r="R71" s="36"/>
      <c r="S71" s="19" t="s">
        <v>45</v>
      </c>
      <c r="T71" s="19" t="s">
        <v>509</v>
      </c>
      <c r="U71" s="19" t="s">
        <v>49</v>
      </c>
      <c r="V71" s="19" t="s">
        <v>510</v>
      </c>
      <c r="W71" s="35" t="s">
        <v>511</v>
      </c>
      <c r="X71" s="21"/>
      <c r="Y71" s="22">
        <v>76535764008390</v>
      </c>
      <c r="Z71" s="23">
        <f t="shared" si="1"/>
        <v>69</v>
      </c>
      <c r="AA71" s="24" t="str">
        <f>IFERROR(VLOOKUP($Z71,'[1]End Fat Serviço - PA 15 e 16'!$K$3:$K$31,1,0), "")</f>
        <v/>
      </c>
      <c r="AB71" s="24" t="str">
        <f>IFERROR(VLOOKUP($Z71,'[1]End Fat Material - PA 12'!$K$3:$K$64,1,0), "")</f>
        <v/>
      </c>
      <c r="AC71" s="24" t="str">
        <f>IFERROR(VLOOKUP($Z71,'[1]End CA Lotação'!$L$3:$L$36,1,0), "")</f>
        <v/>
      </c>
      <c r="AD71" s="24" t="str">
        <f>IFERROR(VLOOKUP(Z71,'[1]RH - PARA 21.03'!$M$3:$M$555,1,0),"")</f>
        <v/>
      </c>
      <c r="AE71" s="23" t="str">
        <f>IFERROR(VLOOKUP($Z71,'[1]CNPJ Oi Fat'!$K$3:$K$32,1,0),"")</f>
        <v/>
      </c>
      <c r="AF71" s="23" t="str">
        <f>IFERROR(VLOOKUP(Z71,'[1]End Logística Oi'!$D$3:$D$29,1,0),"")</f>
        <v/>
      </c>
      <c r="AG71" s="23" t="str">
        <f>IFERROR(VLOOKUP(Z71,'[1]End Logística Oi'!$J$3:$J$29,1,0),"")</f>
        <v/>
      </c>
      <c r="AI71" s="23" t="s">
        <v>55</v>
      </c>
      <c r="AJ71" s="23" t="s">
        <v>55</v>
      </c>
      <c r="AK71" s="23" t="e">
        <v>#N/A</v>
      </c>
    </row>
    <row r="72" spans="1:37" s="23" customFormat="1" ht="15" customHeight="1" x14ac:dyDescent="0.25">
      <c r="A72" s="19">
        <v>70</v>
      </c>
      <c r="B72" s="19" t="s">
        <v>237</v>
      </c>
      <c r="C72" s="27" t="s">
        <v>39</v>
      </c>
      <c r="D72" s="26" t="s">
        <v>40</v>
      </c>
      <c r="E72" s="19" t="s">
        <v>29</v>
      </c>
      <c r="F72" s="26" t="s">
        <v>467</v>
      </c>
      <c r="G72" s="19">
        <v>29902011965</v>
      </c>
      <c r="H72" s="19" t="s">
        <v>512</v>
      </c>
      <c r="I72" s="20">
        <v>44056</v>
      </c>
      <c r="J72" s="19"/>
      <c r="K72" s="19" t="s">
        <v>45</v>
      </c>
      <c r="L72" s="19">
        <v>170049805</v>
      </c>
      <c r="M72" s="20">
        <v>44056</v>
      </c>
      <c r="N72" s="20">
        <v>44103</v>
      </c>
      <c r="O72" s="19" t="s">
        <v>491</v>
      </c>
      <c r="P72" s="19">
        <v>13053</v>
      </c>
      <c r="Q72" s="20">
        <v>44266</v>
      </c>
      <c r="R72" s="36"/>
      <c r="S72" s="19" t="s">
        <v>45</v>
      </c>
      <c r="T72" s="19" t="s">
        <v>513</v>
      </c>
      <c r="U72" s="19" t="s">
        <v>49</v>
      </c>
      <c r="V72" s="19" t="s">
        <v>514</v>
      </c>
      <c r="W72" s="35" t="s">
        <v>515</v>
      </c>
      <c r="X72" s="21"/>
      <c r="Y72" s="22">
        <v>76535764008802</v>
      </c>
      <c r="Z72" s="23">
        <f t="shared" si="1"/>
        <v>70</v>
      </c>
      <c r="AA72" s="24" t="str">
        <f>IFERROR(VLOOKUP($Z72,'[1]End Fat Serviço - PA 15 e 16'!$K$3:$K$31,1,0), "")</f>
        <v/>
      </c>
      <c r="AB72" s="24" t="str">
        <f>IFERROR(VLOOKUP($Z72,'[1]End Fat Material - PA 12'!$K$3:$K$64,1,0), "")</f>
        <v/>
      </c>
      <c r="AC72" s="24" t="str">
        <f>IFERROR(VLOOKUP($Z72,'[1]End CA Lotação'!$L$3:$L$36,1,0), "")</f>
        <v/>
      </c>
      <c r="AD72" s="24">
        <f>IFERROR(VLOOKUP(Z72,'[1]RH - PARA 21.03'!$M$3:$M$555,1,0),"")</f>
        <v>70</v>
      </c>
      <c r="AE72" s="23" t="str">
        <f>IFERROR(VLOOKUP($Z72,'[1]CNPJ Oi Fat'!$K$3:$K$32,1,0),"")</f>
        <v/>
      </c>
      <c r="AF72" s="23" t="str">
        <f>IFERROR(VLOOKUP(Z72,'[1]End Logística Oi'!$D$3:$D$29,1,0),"")</f>
        <v/>
      </c>
      <c r="AG72" s="23" t="str">
        <f>IFERROR(VLOOKUP(Z72,'[1]End Logística Oi'!$J$3:$J$29,1,0),"")</f>
        <v/>
      </c>
      <c r="AI72" s="23" t="s">
        <v>54</v>
      </c>
      <c r="AJ72" s="23" t="s">
        <v>55</v>
      </c>
      <c r="AK72" s="23" t="e">
        <v>#N/A</v>
      </c>
    </row>
    <row r="73" spans="1:37" s="23" customFormat="1" ht="15" customHeight="1" x14ac:dyDescent="0.25">
      <c r="A73" s="19">
        <v>71</v>
      </c>
      <c r="B73" s="19" t="s">
        <v>130</v>
      </c>
      <c r="C73" s="27" t="s">
        <v>39</v>
      </c>
      <c r="D73" s="26" t="s">
        <v>40</v>
      </c>
      <c r="E73" s="19" t="s">
        <v>29</v>
      </c>
      <c r="F73" s="26" t="s">
        <v>467</v>
      </c>
      <c r="G73" s="19">
        <v>23920005852</v>
      </c>
      <c r="H73" s="19" t="s">
        <v>516</v>
      </c>
      <c r="I73" s="20">
        <v>44056</v>
      </c>
      <c r="J73" s="19"/>
      <c r="K73" s="19" t="s">
        <v>45</v>
      </c>
      <c r="L73" s="36" t="s">
        <v>473</v>
      </c>
      <c r="M73" s="20" t="s">
        <v>473</v>
      </c>
      <c r="N73" s="36"/>
      <c r="O73" s="19" t="s">
        <v>45</v>
      </c>
      <c r="P73" s="19">
        <v>6549097</v>
      </c>
      <c r="Q73" s="36"/>
      <c r="R73" s="36"/>
      <c r="S73" s="19" t="s">
        <v>45</v>
      </c>
      <c r="T73" s="19" t="s">
        <v>517</v>
      </c>
      <c r="U73" s="19" t="s">
        <v>49</v>
      </c>
      <c r="V73" s="19" t="s">
        <v>518</v>
      </c>
      <c r="W73" s="35" t="s">
        <v>519</v>
      </c>
      <c r="X73" s="21"/>
      <c r="Y73" s="22">
        <v>76535764010106</v>
      </c>
      <c r="Z73" s="23">
        <f t="shared" si="1"/>
        <v>71</v>
      </c>
      <c r="AA73" s="24" t="str">
        <f>IFERROR(VLOOKUP($Z73,'[1]End Fat Serviço - PA 15 e 16'!$K$3:$K$31,1,0), "")</f>
        <v/>
      </c>
      <c r="AB73" s="24" t="str">
        <f>IFERROR(VLOOKUP($Z73,'[1]End Fat Material - PA 12'!$K$3:$K$64,1,0), "")</f>
        <v/>
      </c>
      <c r="AC73" s="24" t="str">
        <f>IFERROR(VLOOKUP($Z73,'[1]End CA Lotação'!$L$3:$L$36,1,0), "")</f>
        <v/>
      </c>
      <c r="AD73" s="24">
        <f>IFERROR(VLOOKUP(Z73,'[1]RH - PARA 21.03'!$M$3:$M$555,1,0),"")</f>
        <v>71</v>
      </c>
      <c r="AE73" s="23" t="str">
        <f>IFERROR(VLOOKUP($Z73,'[1]CNPJ Oi Fat'!$K$3:$K$32,1,0),"")</f>
        <v/>
      </c>
      <c r="AF73" s="23" t="str">
        <f>IFERROR(VLOOKUP(Z73,'[1]End Logística Oi'!$D$3:$D$29,1,0),"")</f>
        <v/>
      </c>
      <c r="AG73" s="23" t="str">
        <f>IFERROR(VLOOKUP(Z73,'[1]End Logística Oi'!$J$3:$J$29,1,0),"")</f>
        <v/>
      </c>
      <c r="AI73" s="23" t="s">
        <v>54</v>
      </c>
      <c r="AJ73" s="23" t="s">
        <v>55</v>
      </c>
      <c r="AK73" s="23" t="e">
        <v>#N/A</v>
      </c>
    </row>
    <row r="74" spans="1:37" s="23" customFormat="1" ht="15" hidden="1" customHeight="1" x14ac:dyDescent="0.25">
      <c r="A74" s="19">
        <v>72</v>
      </c>
      <c r="B74" s="19" t="s">
        <v>68</v>
      </c>
      <c r="C74" s="27" t="s">
        <v>39</v>
      </c>
      <c r="D74" s="26" t="s">
        <v>40</v>
      </c>
      <c r="E74" s="19" t="s">
        <v>479</v>
      </c>
      <c r="F74" s="26" t="s">
        <v>467</v>
      </c>
      <c r="G74" s="19">
        <v>31920016516</v>
      </c>
      <c r="H74" s="19" t="s">
        <v>520</v>
      </c>
      <c r="I74" s="20">
        <v>44056</v>
      </c>
      <c r="J74" s="19"/>
      <c r="K74" s="19" t="s">
        <v>45</v>
      </c>
      <c r="L74" s="36" t="s">
        <v>473</v>
      </c>
      <c r="M74" s="20" t="s">
        <v>473</v>
      </c>
      <c r="N74" s="36"/>
      <c r="O74" s="19"/>
      <c r="P74" s="19">
        <v>87983</v>
      </c>
      <c r="Q74" s="36"/>
      <c r="R74" s="36"/>
      <c r="S74" s="19" t="s">
        <v>45</v>
      </c>
      <c r="T74" s="19" t="s">
        <v>521</v>
      </c>
      <c r="U74" s="19" t="s">
        <v>522</v>
      </c>
      <c r="V74" s="19" t="s">
        <v>523</v>
      </c>
      <c r="W74" s="35" t="s">
        <v>524</v>
      </c>
      <c r="X74" s="21"/>
      <c r="Y74" s="22">
        <v>76535764008985</v>
      </c>
      <c r="Z74" s="23">
        <f t="shared" si="1"/>
        <v>72</v>
      </c>
      <c r="AA74" s="24" t="str">
        <f>IFERROR(VLOOKUP($Z74,'[1]End Fat Serviço - PA 15 e 16'!$K$3:$K$31,1,0), "")</f>
        <v/>
      </c>
      <c r="AB74" s="24" t="str">
        <f>IFERROR(VLOOKUP($Z74,'[1]End Fat Material - PA 12'!$K$3:$K$64,1,0), "")</f>
        <v/>
      </c>
      <c r="AC74" s="24" t="str">
        <f>IFERROR(VLOOKUP($Z74,'[1]End CA Lotação'!$L$3:$L$36,1,0), "")</f>
        <v/>
      </c>
      <c r="AD74" s="24" t="str">
        <f>IFERROR(VLOOKUP(Z74,'[1]RH - PARA 21.03'!$M$3:$M$555,1,0),"")</f>
        <v/>
      </c>
      <c r="AE74" s="23" t="str">
        <f>IFERROR(VLOOKUP($Z74,'[1]CNPJ Oi Fat'!$K$3:$K$32,1,0),"")</f>
        <v/>
      </c>
      <c r="AF74" s="23" t="str">
        <f>IFERROR(VLOOKUP(Z74,'[1]End Logística Oi'!$D$3:$D$29,1,0),"")</f>
        <v/>
      </c>
      <c r="AG74" s="23" t="str">
        <f>IFERROR(VLOOKUP(Z74,'[1]End Logística Oi'!$J$3:$J$29,1,0),"")</f>
        <v/>
      </c>
      <c r="AI74" s="23" t="s">
        <v>55</v>
      </c>
      <c r="AJ74" s="23" t="s">
        <v>55</v>
      </c>
      <c r="AK74" s="23" t="e">
        <v>#N/A</v>
      </c>
    </row>
    <row r="75" spans="1:37" s="23" customFormat="1" ht="15" hidden="1" customHeight="1" x14ac:dyDescent="0.25">
      <c r="A75" s="19">
        <v>73</v>
      </c>
      <c r="B75" s="19" t="s">
        <v>68</v>
      </c>
      <c r="C75" s="27" t="s">
        <v>39</v>
      </c>
      <c r="D75" s="26" t="s">
        <v>40</v>
      </c>
      <c r="E75" s="19" t="s">
        <v>29</v>
      </c>
      <c r="F75" s="26" t="s">
        <v>467</v>
      </c>
      <c r="G75" s="19">
        <v>31920016559</v>
      </c>
      <c r="H75" s="19" t="s">
        <v>525</v>
      </c>
      <c r="I75" s="20">
        <v>44056</v>
      </c>
      <c r="J75" s="19"/>
      <c r="K75" s="19" t="s">
        <v>45</v>
      </c>
      <c r="L75" s="36" t="s">
        <v>473</v>
      </c>
      <c r="M75" s="20" t="s">
        <v>473</v>
      </c>
      <c r="N75" s="36"/>
      <c r="O75" s="19"/>
      <c r="P75" s="19">
        <v>3070325684</v>
      </c>
      <c r="Q75" s="36"/>
      <c r="R75" s="36"/>
      <c r="S75" s="19" t="s">
        <v>45</v>
      </c>
      <c r="T75" s="19" t="s">
        <v>526</v>
      </c>
      <c r="U75" s="19" t="s">
        <v>49</v>
      </c>
      <c r="V75" s="19" t="s">
        <v>527</v>
      </c>
      <c r="W75" s="35" t="s">
        <v>528</v>
      </c>
      <c r="X75" s="21"/>
      <c r="Y75" s="22">
        <v>76535764009523</v>
      </c>
      <c r="Z75" s="23">
        <f t="shared" si="1"/>
        <v>73</v>
      </c>
      <c r="AA75" s="24" t="str">
        <f>IFERROR(VLOOKUP($Z75,'[1]End Fat Serviço - PA 15 e 16'!$K$3:$K$31,1,0), "")</f>
        <v/>
      </c>
      <c r="AB75" s="24" t="str">
        <f>IFERROR(VLOOKUP($Z75,'[1]End Fat Material - PA 12'!$K$3:$K$64,1,0), "")</f>
        <v/>
      </c>
      <c r="AC75" s="24" t="str">
        <f>IFERROR(VLOOKUP($Z75,'[1]End CA Lotação'!$L$3:$L$36,1,0), "")</f>
        <v/>
      </c>
      <c r="AD75" s="24" t="str">
        <f>IFERROR(VLOOKUP(Z75,'[1]RH - PARA 21.03'!$M$3:$M$555,1,0),"")</f>
        <v/>
      </c>
      <c r="AE75" s="23" t="str">
        <f>IFERROR(VLOOKUP($Z75,'[1]CNPJ Oi Fat'!$K$3:$K$32,1,0),"")</f>
        <v/>
      </c>
      <c r="AF75" s="23" t="str">
        <f>IFERROR(VLOOKUP(Z75,'[1]End Logística Oi'!$D$3:$D$29,1,0),"")</f>
        <v/>
      </c>
      <c r="AG75" s="23" t="str">
        <f>IFERROR(VLOOKUP(Z75,'[1]End Logística Oi'!$J$3:$J$29,1,0),"")</f>
        <v/>
      </c>
      <c r="AI75" s="23" t="s">
        <v>55</v>
      </c>
      <c r="AJ75" s="23" t="s">
        <v>55</v>
      </c>
      <c r="AK75" s="23" t="e">
        <v>#N/A</v>
      </c>
    </row>
    <row r="76" spans="1:37" s="23" customFormat="1" ht="15" hidden="1" customHeight="1" x14ac:dyDescent="0.25">
      <c r="A76" s="19">
        <v>74</v>
      </c>
      <c r="B76" s="19" t="s">
        <v>68</v>
      </c>
      <c r="C76" s="27" t="s">
        <v>39</v>
      </c>
      <c r="D76" s="26" t="s">
        <v>40</v>
      </c>
      <c r="E76" s="19" t="s">
        <v>29</v>
      </c>
      <c r="F76" s="26" t="s">
        <v>467</v>
      </c>
      <c r="G76" s="19">
        <v>31920016541</v>
      </c>
      <c r="H76" s="19" t="s">
        <v>529</v>
      </c>
      <c r="I76" s="20">
        <v>44056</v>
      </c>
      <c r="J76" s="19"/>
      <c r="K76" s="19" t="s">
        <v>45</v>
      </c>
      <c r="L76" s="36" t="s">
        <v>473</v>
      </c>
      <c r="M76" s="20" t="s">
        <v>473</v>
      </c>
      <c r="N76" s="36"/>
      <c r="O76" s="19"/>
      <c r="P76" s="19">
        <v>87982</v>
      </c>
      <c r="Q76" s="36"/>
      <c r="R76" s="36"/>
      <c r="S76" s="19" t="s">
        <v>45</v>
      </c>
      <c r="T76" s="19" t="s">
        <v>530</v>
      </c>
      <c r="U76" s="19" t="s">
        <v>49</v>
      </c>
      <c r="V76" s="19" t="s">
        <v>523</v>
      </c>
      <c r="W76" s="35" t="s">
        <v>531</v>
      </c>
      <c r="X76" s="21"/>
      <c r="Y76" s="22">
        <v>76535764009280</v>
      </c>
      <c r="Z76" s="23">
        <f t="shared" si="1"/>
        <v>74</v>
      </c>
      <c r="AA76" s="24" t="str">
        <f>IFERROR(VLOOKUP($Z76,'[1]End Fat Serviço - PA 15 e 16'!$K$3:$K$31,1,0), "")</f>
        <v/>
      </c>
      <c r="AB76" s="24" t="str">
        <f>IFERROR(VLOOKUP($Z76,'[1]End Fat Material - PA 12'!$K$3:$K$64,1,0), "")</f>
        <v/>
      </c>
      <c r="AC76" s="24" t="str">
        <f>IFERROR(VLOOKUP($Z76,'[1]End CA Lotação'!$L$3:$L$36,1,0), "")</f>
        <v/>
      </c>
      <c r="AD76" s="24" t="str">
        <f>IFERROR(VLOOKUP(Z76,'[1]RH - PARA 21.03'!$M$3:$M$555,1,0),"")</f>
        <v/>
      </c>
      <c r="AE76" s="23" t="str">
        <f>IFERROR(VLOOKUP($Z76,'[1]CNPJ Oi Fat'!$K$3:$K$32,1,0),"")</f>
        <v/>
      </c>
      <c r="AF76" s="23" t="str">
        <f>IFERROR(VLOOKUP(Z76,'[1]End Logística Oi'!$D$3:$D$29,1,0),"")</f>
        <v/>
      </c>
      <c r="AG76" s="23" t="str">
        <f>IFERROR(VLOOKUP(Z76,'[1]End Logística Oi'!$J$3:$J$29,1,0),"")</f>
        <v/>
      </c>
      <c r="AI76" s="23" t="s">
        <v>55</v>
      </c>
      <c r="AJ76" s="23" t="s">
        <v>55</v>
      </c>
      <c r="AK76" s="23" t="e">
        <v>#N/A</v>
      </c>
    </row>
    <row r="77" spans="1:37" s="23" customFormat="1" ht="15" hidden="1" customHeight="1" x14ac:dyDescent="0.25">
      <c r="A77" s="19">
        <v>75</v>
      </c>
      <c r="B77" s="19" t="s">
        <v>68</v>
      </c>
      <c r="C77" s="27" t="s">
        <v>39</v>
      </c>
      <c r="D77" s="26" t="s">
        <v>40</v>
      </c>
      <c r="E77" s="19" t="s">
        <v>29</v>
      </c>
      <c r="F77" s="26" t="s">
        <v>467</v>
      </c>
      <c r="G77" s="19">
        <v>31920016532</v>
      </c>
      <c r="H77" s="19" t="s">
        <v>532</v>
      </c>
      <c r="I77" s="20">
        <v>44056</v>
      </c>
      <c r="J77" s="19"/>
      <c r="K77" s="19" t="s">
        <v>45</v>
      </c>
      <c r="L77" s="36" t="s">
        <v>473</v>
      </c>
      <c r="M77" s="20" t="s">
        <v>473</v>
      </c>
      <c r="N77" s="36"/>
      <c r="O77" s="19"/>
      <c r="P77" s="19" t="s">
        <v>533</v>
      </c>
      <c r="Q77" s="36"/>
      <c r="R77" s="36"/>
      <c r="S77" s="19" t="s">
        <v>45</v>
      </c>
      <c r="T77" s="19" t="s">
        <v>534</v>
      </c>
      <c r="U77" s="19" t="s">
        <v>535</v>
      </c>
      <c r="V77" s="19" t="s">
        <v>536</v>
      </c>
      <c r="W77" s="35" t="s">
        <v>537</v>
      </c>
      <c r="X77" s="21"/>
      <c r="Y77" s="22">
        <v>76535764009108</v>
      </c>
      <c r="Z77" s="23">
        <f t="shared" si="1"/>
        <v>75</v>
      </c>
      <c r="AA77" s="24" t="str">
        <f>IFERROR(VLOOKUP($Z77,'[1]End Fat Serviço - PA 15 e 16'!$K$3:$K$31,1,0), "")</f>
        <v/>
      </c>
      <c r="AB77" s="24" t="str">
        <f>IFERROR(VLOOKUP($Z77,'[1]End Fat Material - PA 12'!$K$3:$K$64,1,0), "")</f>
        <v/>
      </c>
      <c r="AC77" s="24" t="str">
        <f>IFERROR(VLOOKUP($Z77,'[1]End CA Lotação'!$L$3:$L$36,1,0), "")</f>
        <v/>
      </c>
      <c r="AD77" s="24" t="str">
        <f>IFERROR(VLOOKUP(Z77,'[1]RH - PARA 21.03'!$M$3:$M$555,1,0),"")</f>
        <v/>
      </c>
      <c r="AE77" s="23" t="str">
        <f>IFERROR(VLOOKUP($Z77,'[1]CNPJ Oi Fat'!$K$3:$K$32,1,0),"")</f>
        <v/>
      </c>
      <c r="AF77" s="23" t="str">
        <f>IFERROR(VLOOKUP(Z77,'[1]End Logística Oi'!$D$3:$D$29,1,0),"")</f>
        <v/>
      </c>
      <c r="AG77" s="23" t="str">
        <f>IFERROR(VLOOKUP(Z77,'[1]End Logística Oi'!$J$3:$J$29,1,0),"")</f>
        <v/>
      </c>
      <c r="AI77" s="23" t="s">
        <v>55</v>
      </c>
      <c r="AJ77" s="23" t="s">
        <v>55</v>
      </c>
      <c r="AK77" s="23" t="e">
        <v>#N/A</v>
      </c>
    </row>
    <row r="78" spans="1:37" s="23" customFormat="1" ht="15" hidden="1" customHeight="1" x14ac:dyDescent="0.25">
      <c r="A78" s="19">
        <v>76</v>
      </c>
      <c r="B78" s="19" t="s">
        <v>68</v>
      </c>
      <c r="C78" s="27" t="s">
        <v>39</v>
      </c>
      <c r="D78" s="26" t="s">
        <v>40</v>
      </c>
      <c r="E78" s="19" t="s">
        <v>29</v>
      </c>
      <c r="F78" s="26" t="s">
        <v>467</v>
      </c>
      <c r="G78" s="19">
        <v>31920016524</v>
      </c>
      <c r="H78" s="19" t="s">
        <v>538</v>
      </c>
      <c r="I78" s="20">
        <v>44056</v>
      </c>
      <c r="J78" s="19"/>
      <c r="K78" s="19" t="s">
        <v>45</v>
      </c>
      <c r="L78" s="36" t="s">
        <v>473</v>
      </c>
      <c r="M78" s="20" t="s">
        <v>473</v>
      </c>
      <c r="N78" s="36"/>
      <c r="O78" s="19"/>
      <c r="P78" s="19">
        <v>17090</v>
      </c>
      <c r="Q78" s="36"/>
      <c r="R78" s="36"/>
      <c r="S78" s="19" t="s">
        <v>45</v>
      </c>
      <c r="T78" s="19" t="s">
        <v>539</v>
      </c>
      <c r="U78" s="19" t="s">
        <v>49</v>
      </c>
      <c r="V78" s="19" t="s">
        <v>540</v>
      </c>
      <c r="W78" s="35" t="s">
        <v>541</v>
      </c>
      <c r="X78" s="21"/>
      <c r="Y78" s="22">
        <v>76535764009019</v>
      </c>
      <c r="Z78" s="23">
        <f t="shared" si="1"/>
        <v>76</v>
      </c>
      <c r="AA78" s="24" t="str">
        <f>IFERROR(VLOOKUP($Z78,'[1]End Fat Serviço - PA 15 e 16'!$K$3:$K$31,1,0), "")</f>
        <v/>
      </c>
      <c r="AB78" s="24" t="str">
        <f>IFERROR(VLOOKUP($Z78,'[1]End Fat Material - PA 12'!$K$3:$K$64,1,0), "")</f>
        <v/>
      </c>
      <c r="AC78" s="24" t="str">
        <f>IFERROR(VLOOKUP($Z78,'[1]End CA Lotação'!$L$3:$L$36,1,0), "")</f>
        <v/>
      </c>
      <c r="AD78" s="24" t="str">
        <f>IFERROR(VLOOKUP(Z78,'[1]RH - PARA 21.03'!$M$3:$M$555,1,0),"")</f>
        <v/>
      </c>
      <c r="AE78" s="23" t="str">
        <f>IFERROR(VLOOKUP($Z78,'[1]CNPJ Oi Fat'!$K$3:$K$32,1,0),"")</f>
        <v/>
      </c>
      <c r="AF78" s="23" t="str">
        <f>IFERROR(VLOOKUP(Z78,'[1]End Logística Oi'!$D$3:$D$29,1,0),"")</f>
        <v/>
      </c>
      <c r="AG78" s="23" t="str">
        <f>IFERROR(VLOOKUP(Z78,'[1]End Logística Oi'!$J$3:$J$29,1,0),"")</f>
        <v/>
      </c>
      <c r="AI78" s="23" t="s">
        <v>55</v>
      </c>
      <c r="AJ78" s="23" t="s">
        <v>55</v>
      </c>
      <c r="AK78" s="23" t="e">
        <v>#N/A</v>
      </c>
    </row>
    <row r="79" spans="1:37" s="23" customFormat="1" ht="15" customHeight="1" x14ac:dyDescent="0.25">
      <c r="A79" s="19">
        <v>77</v>
      </c>
      <c r="B79" s="19" t="s">
        <v>56</v>
      </c>
      <c r="C79" s="27" t="s">
        <v>39</v>
      </c>
      <c r="D79" s="26" t="s">
        <v>40</v>
      </c>
      <c r="E79" s="19" t="s">
        <v>29</v>
      </c>
      <c r="F79" s="26" t="s">
        <v>467</v>
      </c>
      <c r="G79" s="19">
        <v>15902008661</v>
      </c>
      <c r="H79" s="19" t="s">
        <v>542</v>
      </c>
      <c r="I79" s="20">
        <v>44056</v>
      </c>
      <c r="J79" s="19"/>
      <c r="K79" s="19" t="s">
        <v>45</v>
      </c>
      <c r="L79" s="36" t="s">
        <v>473</v>
      </c>
      <c r="M79" s="20"/>
      <c r="N79" s="36"/>
      <c r="O79" s="19" t="s">
        <v>45</v>
      </c>
      <c r="P79" s="19">
        <v>341898</v>
      </c>
      <c r="Q79" s="36"/>
      <c r="R79" s="36"/>
      <c r="S79" s="19" t="s">
        <v>45</v>
      </c>
      <c r="T79" s="19" t="s">
        <v>543</v>
      </c>
      <c r="U79" s="19" t="s">
        <v>49</v>
      </c>
      <c r="V79" s="19" t="s">
        <v>544</v>
      </c>
      <c r="W79" s="35" t="s">
        <v>545</v>
      </c>
      <c r="X79" s="21"/>
      <c r="Y79" s="22">
        <v>76535764009604</v>
      </c>
      <c r="Z79" s="23">
        <f t="shared" si="1"/>
        <v>77</v>
      </c>
      <c r="AA79" s="24" t="str">
        <f>IFERROR(VLOOKUP($Z79,'[1]End Fat Serviço - PA 15 e 16'!$K$3:$K$31,1,0), "")</f>
        <v/>
      </c>
      <c r="AB79" s="24" t="str">
        <f>IFERROR(VLOOKUP($Z79,'[1]End Fat Material - PA 12'!$K$3:$K$64,1,0), "")</f>
        <v/>
      </c>
      <c r="AC79" s="24" t="str">
        <f>IFERROR(VLOOKUP($Z79,'[1]End CA Lotação'!$L$3:$L$36,1,0), "")</f>
        <v/>
      </c>
      <c r="AD79" s="24">
        <f>IFERROR(VLOOKUP(Z79,'[1]RH - PARA 21.03'!$M$3:$M$555,1,0),"")</f>
        <v>77</v>
      </c>
      <c r="AE79" s="23" t="str">
        <f>IFERROR(VLOOKUP($Z79,'[1]CNPJ Oi Fat'!$K$3:$K$32,1,0),"")</f>
        <v/>
      </c>
      <c r="AF79" s="23" t="str">
        <f>IFERROR(VLOOKUP(Z79,'[1]End Logística Oi'!$D$3:$D$29,1,0),"")</f>
        <v/>
      </c>
      <c r="AG79" s="23" t="str">
        <f>IFERROR(VLOOKUP(Z79,'[1]End Logística Oi'!$J$3:$J$29,1,0),"")</f>
        <v/>
      </c>
      <c r="AI79" s="23" t="s">
        <v>54</v>
      </c>
      <c r="AJ79" s="23" t="s">
        <v>55</v>
      </c>
      <c r="AK79" s="23" t="e">
        <v>#N/A</v>
      </c>
    </row>
    <row r="80" spans="1:37" s="23" customFormat="1" ht="15" customHeight="1" x14ac:dyDescent="0.25">
      <c r="A80" s="19">
        <v>78</v>
      </c>
      <c r="B80" s="19" t="s">
        <v>56</v>
      </c>
      <c r="C80" s="27" t="s">
        <v>39</v>
      </c>
      <c r="D80" s="26" t="s">
        <v>40</v>
      </c>
      <c r="E80" s="19" t="s">
        <v>29</v>
      </c>
      <c r="F80" s="26" t="s">
        <v>467</v>
      </c>
      <c r="G80" s="19">
        <v>15902008679</v>
      </c>
      <c r="H80" s="19" t="s">
        <v>546</v>
      </c>
      <c r="I80" s="20">
        <v>44056</v>
      </c>
      <c r="J80" s="19"/>
      <c r="K80" s="19" t="s">
        <v>45</v>
      </c>
      <c r="L80" s="36" t="s">
        <v>473</v>
      </c>
      <c r="M80" s="20"/>
      <c r="N80" s="36"/>
      <c r="O80" s="19" t="s">
        <v>45</v>
      </c>
      <c r="P80" s="19">
        <v>410666</v>
      </c>
      <c r="Q80" s="20">
        <v>44056</v>
      </c>
      <c r="R80" s="36"/>
      <c r="S80" s="19" t="s">
        <v>45</v>
      </c>
      <c r="T80" s="19" t="s">
        <v>547</v>
      </c>
      <c r="U80" s="19" t="s">
        <v>548</v>
      </c>
      <c r="V80" s="19" t="s">
        <v>549</v>
      </c>
      <c r="W80" s="35" t="s">
        <v>550</v>
      </c>
      <c r="X80" s="21"/>
      <c r="Y80" s="22">
        <v>76535764009795</v>
      </c>
      <c r="Z80" s="23">
        <f t="shared" si="1"/>
        <v>78</v>
      </c>
      <c r="AA80" s="24" t="str">
        <f>IFERROR(VLOOKUP($Z80,'[1]End Fat Serviço - PA 15 e 16'!$K$3:$K$31,1,0), "")</f>
        <v/>
      </c>
      <c r="AB80" s="24" t="str">
        <f>IFERROR(VLOOKUP($Z80,'[1]End Fat Material - PA 12'!$K$3:$K$64,1,0), "")</f>
        <v/>
      </c>
      <c r="AC80" s="24" t="str">
        <f>IFERROR(VLOOKUP($Z80,'[1]End CA Lotação'!$L$3:$L$36,1,0), "")</f>
        <v/>
      </c>
      <c r="AD80" s="24">
        <f>IFERROR(VLOOKUP(Z80,'[1]RH - PARA 21.03'!$M$3:$M$555,1,0),"")</f>
        <v>78</v>
      </c>
      <c r="AE80" s="23" t="str">
        <f>IFERROR(VLOOKUP($Z80,'[1]CNPJ Oi Fat'!$K$3:$K$32,1,0),"")</f>
        <v/>
      </c>
      <c r="AF80" s="23" t="str">
        <f>IFERROR(VLOOKUP(Z80,'[1]End Logística Oi'!$D$3:$D$29,1,0),"")</f>
        <v/>
      </c>
      <c r="AG80" s="23" t="str">
        <f>IFERROR(VLOOKUP(Z80,'[1]End Logística Oi'!$J$3:$J$29,1,0),"")</f>
        <v/>
      </c>
      <c r="AI80" s="23" t="s">
        <v>54</v>
      </c>
      <c r="AJ80" s="23" t="s">
        <v>55</v>
      </c>
      <c r="AK80" s="23" t="e">
        <v>#N/A</v>
      </c>
    </row>
    <row r="81" spans="1:37" s="23" customFormat="1" ht="15" hidden="1" customHeight="1" x14ac:dyDescent="0.25">
      <c r="A81" s="19">
        <v>79</v>
      </c>
      <c r="B81" s="19" t="s">
        <v>230</v>
      </c>
      <c r="C81" s="27" t="s">
        <v>39</v>
      </c>
      <c r="D81" s="26" t="s">
        <v>40</v>
      </c>
      <c r="E81" s="19" t="s">
        <v>29</v>
      </c>
      <c r="F81" s="26" t="s">
        <v>467</v>
      </c>
      <c r="G81" s="19">
        <v>33901786656</v>
      </c>
      <c r="H81" s="19" t="s">
        <v>551</v>
      </c>
      <c r="I81" s="20">
        <v>44056</v>
      </c>
      <c r="J81" s="19"/>
      <c r="K81" s="19" t="s">
        <v>45</v>
      </c>
      <c r="L81" s="36">
        <v>77685022</v>
      </c>
      <c r="M81" s="20" t="s">
        <v>473</v>
      </c>
      <c r="N81" s="36"/>
      <c r="O81" s="19"/>
      <c r="P81" s="19" t="s">
        <v>552</v>
      </c>
      <c r="Q81" s="36"/>
      <c r="R81" s="36"/>
      <c r="S81" s="19" t="s">
        <v>45</v>
      </c>
      <c r="T81" s="19" t="s">
        <v>553</v>
      </c>
      <c r="U81" s="19" t="s">
        <v>554</v>
      </c>
      <c r="V81" s="19" t="s">
        <v>235</v>
      </c>
      <c r="W81" s="35" t="s">
        <v>555</v>
      </c>
      <c r="X81" s="21"/>
      <c r="Y81" s="22">
        <v>76535764007580</v>
      </c>
      <c r="Z81" s="23">
        <f t="shared" si="1"/>
        <v>79</v>
      </c>
      <c r="AA81" s="24" t="str">
        <f>IFERROR(VLOOKUP($Z81,'[1]End Fat Serviço - PA 15 e 16'!$K$3:$K$31,1,0), "")</f>
        <v/>
      </c>
      <c r="AB81" s="24" t="str">
        <f>IFERROR(VLOOKUP($Z81,'[1]End Fat Material - PA 12'!$K$3:$K$64,1,0), "")</f>
        <v/>
      </c>
      <c r="AC81" s="24" t="str">
        <f>IFERROR(VLOOKUP($Z81,'[1]End CA Lotação'!$L$3:$L$36,1,0), "")</f>
        <v/>
      </c>
      <c r="AD81" s="24" t="str">
        <f>IFERROR(VLOOKUP(Z81,'[1]RH - PARA 21.03'!$M$3:$M$555,1,0),"")</f>
        <v/>
      </c>
      <c r="AE81" s="23" t="str">
        <f>IFERROR(VLOOKUP($Z81,'[1]CNPJ Oi Fat'!$K$3:$K$32,1,0),"")</f>
        <v/>
      </c>
      <c r="AF81" s="23" t="str">
        <f>IFERROR(VLOOKUP(Z81,'[1]End Logística Oi'!$D$3:$D$29,1,0),"")</f>
        <v/>
      </c>
      <c r="AG81" s="23" t="str">
        <f>IFERROR(VLOOKUP(Z81,'[1]End Logística Oi'!$J$3:$J$29,1,0),"")</f>
        <v/>
      </c>
      <c r="AI81" s="23" t="s">
        <v>55</v>
      </c>
      <c r="AJ81" s="23" t="s">
        <v>55</v>
      </c>
      <c r="AK81" s="23" t="e">
        <v>#N/A</v>
      </c>
    </row>
    <row r="82" spans="1:37" s="23" customFormat="1" ht="15" hidden="1" customHeight="1" x14ac:dyDescent="0.25">
      <c r="A82" s="19">
        <v>80</v>
      </c>
      <c r="B82" s="19" t="s">
        <v>230</v>
      </c>
      <c r="C82" s="27" t="s">
        <v>39</v>
      </c>
      <c r="D82" s="26" t="s">
        <v>40</v>
      </c>
      <c r="E82" s="19" t="s">
        <v>29</v>
      </c>
      <c r="F82" s="26" t="s">
        <v>467</v>
      </c>
      <c r="G82" s="19">
        <v>33901786648</v>
      </c>
      <c r="H82" s="19" t="s">
        <v>556</v>
      </c>
      <c r="I82" s="20">
        <v>44056</v>
      </c>
      <c r="J82" s="19"/>
      <c r="K82" s="19" t="s">
        <v>45</v>
      </c>
      <c r="L82" s="36">
        <v>77685022</v>
      </c>
      <c r="M82" s="20" t="s">
        <v>473</v>
      </c>
      <c r="N82" s="36"/>
      <c r="O82" s="19"/>
      <c r="P82" s="19" t="s">
        <v>557</v>
      </c>
      <c r="Q82" s="36"/>
      <c r="R82" s="36"/>
      <c r="S82" s="19" t="s">
        <v>45</v>
      </c>
      <c r="T82" s="19" t="s">
        <v>558</v>
      </c>
      <c r="U82" s="19" t="s">
        <v>332</v>
      </c>
      <c r="V82" s="19" t="s">
        <v>235</v>
      </c>
      <c r="W82" s="35" t="s">
        <v>559</v>
      </c>
      <c r="X82" s="21"/>
      <c r="Y82" s="22">
        <v>76535764007407</v>
      </c>
      <c r="Z82" s="23">
        <f t="shared" si="1"/>
        <v>80</v>
      </c>
      <c r="AA82" s="24" t="str">
        <f>IFERROR(VLOOKUP($Z82,'[1]End Fat Serviço - PA 15 e 16'!$K$3:$K$31,1,0), "")</f>
        <v/>
      </c>
      <c r="AB82" s="24" t="str">
        <f>IFERROR(VLOOKUP($Z82,'[1]End Fat Material - PA 12'!$K$3:$K$64,1,0), "")</f>
        <v/>
      </c>
      <c r="AC82" s="24" t="str">
        <f>IFERROR(VLOOKUP($Z82,'[1]End CA Lotação'!$L$3:$L$36,1,0), "")</f>
        <v/>
      </c>
      <c r="AD82" s="24" t="str">
        <f>IFERROR(VLOOKUP(Z82,'[1]RH - PARA 21.03'!$M$3:$M$555,1,0),"")</f>
        <v/>
      </c>
      <c r="AE82" s="23" t="str">
        <f>IFERROR(VLOOKUP($Z82,'[1]CNPJ Oi Fat'!$K$3:$K$32,1,0),"")</f>
        <v/>
      </c>
      <c r="AF82" s="23" t="str">
        <f>IFERROR(VLOOKUP(Z82,'[1]End Logística Oi'!$D$3:$D$29,1,0),"")</f>
        <v/>
      </c>
      <c r="AG82" s="23" t="str">
        <f>IFERROR(VLOOKUP(Z82,'[1]End Logística Oi'!$J$3:$J$29,1,0),"")</f>
        <v/>
      </c>
      <c r="AI82" s="23" t="s">
        <v>55</v>
      </c>
      <c r="AJ82" s="23" t="s">
        <v>55</v>
      </c>
      <c r="AK82" s="23" t="e">
        <v>#N/A</v>
      </c>
    </row>
    <row r="83" spans="1:37" s="23" customFormat="1" ht="15" customHeight="1" x14ac:dyDescent="0.25">
      <c r="A83" s="19">
        <v>81</v>
      </c>
      <c r="B83" s="19" t="s">
        <v>200</v>
      </c>
      <c r="C83" s="27" t="s">
        <v>39</v>
      </c>
      <c r="D83" s="26" t="s">
        <v>40</v>
      </c>
      <c r="E83" s="19" t="s">
        <v>479</v>
      </c>
      <c r="F83" s="26" t="s">
        <v>467</v>
      </c>
      <c r="G83" s="19">
        <v>43920013819</v>
      </c>
      <c r="H83" s="19" t="s">
        <v>560</v>
      </c>
      <c r="I83" s="20">
        <v>44056</v>
      </c>
      <c r="J83" s="19"/>
      <c r="K83" s="19" t="s">
        <v>45</v>
      </c>
      <c r="L83" s="36" t="s">
        <v>473</v>
      </c>
      <c r="M83" s="20"/>
      <c r="N83" s="36"/>
      <c r="O83" s="19" t="s">
        <v>45</v>
      </c>
      <c r="P83" s="19">
        <v>98524400</v>
      </c>
      <c r="Q83" s="20">
        <v>44306</v>
      </c>
      <c r="R83" s="36"/>
      <c r="S83" s="19" t="s">
        <v>45</v>
      </c>
      <c r="T83" s="19" t="s">
        <v>561</v>
      </c>
      <c r="U83" s="19" t="s">
        <v>562</v>
      </c>
      <c r="V83" s="19" t="s">
        <v>563</v>
      </c>
      <c r="W83" s="35" t="s">
        <v>564</v>
      </c>
      <c r="X83" s="21"/>
      <c r="Y83" s="22">
        <v>76535764010378</v>
      </c>
      <c r="Z83" s="23">
        <f t="shared" si="1"/>
        <v>81</v>
      </c>
      <c r="AA83" s="24" t="str">
        <f>IFERROR(VLOOKUP($Z83,'[1]End Fat Serviço - PA 15 e 16'!$K$3:$K$31,1,0), "")</f>
        <v/>
      </c>
      <c r="AB83" s="24" t="str">
        <f>IFERROR(VLOOKUP($Z83,'[1]End Fat Material - PA 12'!$K$3:$K$64,1,0), "")</f>
        <v/>
      </c>
      <c r="AC83" s="24" t="str">
        <f>IFERROR(VLOOKUP($Z83,'[1]End CA Lotação'!$L$3:$L$36,1,0), "")</f>
        <v/>
      </c>
      <c r="AD83" s="24">
        <f>IFERROR(VLOOKUP(Z83,'[1]RH - PARA 21.03'!$M$3:$M$555,1,0),"")</f>
        <v>81</v>
      </c>
      <c r="AE83" s="23" t="str">
        <f>IFERROR(VLOOKUP($Z83,'[1]CNPJ Oi Fat'!$K$3:$K$32,1,0),"")</f>
        <v/>
      </c>
      <c r="AF83" s="23" t="str">
        <f>IFERROR(VLOOKUP(Z83,'[1]End Logística Oi'!$D$3:$D$29,1,0),"")</f>
        <v/>
      </c>
      <c r="AG83" s="23" t="str">
        <f>IFERROR(VLOOKUP(Z83,'[1]End Logística Oi'!$J$3:$J$29,1,0),"")</f>
        <v/>
      </c>
      <c r="AH83" s="23" t="s">
        <v>53</v>
      </c>
      <c r="AI83" s="23" t="s">
        <v>54</v>
      </c>
      <c r="AJ83" s="23" t="s">
        <v>55</v>
      </c>
      <c r="AK83" s="23" t="e">
        <v>#N/A</v>
      </c>
    </row>
    <row r="84" spans="1:37" s="23" customFormat="1" ht="15" hidden="1" customHeight="1" x14ac:dyDescent="0.25">
      <c r="A84" s="25">
        <v>82</v>
      </c>
      <c r="B84" s="26" t="s">
        <v>222</v>
      </c>
      <c r="C84" s="27" t="s">
        <v>39</v>
      </c>
      <c r="D84" s="26" t="s">
        <v>40</v>
      </c>
      <c r="E84" s="26" t="s">
        <v>479</v>
      </c>
      <c r="F84" s="26" t="s">
        <v>467</v>
      </c>
      <c r="G84" s="28" t="s">
        <v>565</v>
      </c>
      <c r="H84" s="26" t="s">
        <v>566</v>
      </c>
      <c r="I84" s="29">
        <v>44061</v>
      </c>
      <c r="J84" s="30"/>
      <c r="K84" s="19" t="s">
        <v>45</v>
      </c>
      <c r="L84" s="31" t="s">
        <v>567</v>
      </c>
      <c r="M84" s="29">
        <v>44077</v>
      </c>
      <c r="N84" s="32"/>
      <c r="O84" s="31" t="s">
        <v>568</v>
      </c>
      <c r="P84" s="33" t="s">
        <v>569</v>
      </c>
      <c r="Q84" s="29">
        <v>44083</v>
      </c>
      <c r="R84" s="32"/>
      <c r="S84" s="31" t="s">
        <v>45</v>
      </c>
      <c r="T84" s="31" t="s">
        <v>570</v>
      </c>
      <c r="U84" s="31" t="s">
        <v>571</v>
      </c>
      <c r="V84" s="27" t="s">
        <v>572</v>
      </c>
      <c r="W84" s="31" t="s">
        <v>573</v>
      </c>
      <c r="X84" s="21"/>
      <c r="Y84" s="22">
        <v>76535764019405</v>
      </c>
      <c r="Z84" s="23">
        <v>82</v>
      </c>
      <c r="AA84" s="24" t="s">
        <v>65</v>
      </c>
      <c r="AB84" s="24" t="s">
        <v>65</v>
      </c>
      <c r="AC84" s="24" t="s">
        <v>65</v>
      </c>
      <c r="AD84" s="24" t="s">
        <v>65</v>
      </c>
      <c r="AE84" s="23" t="s">
        <v>65</v>
      </c>
      <c r="AF84" s="23" t="s">
        <v>65</v>
      </c>
      <c r="AG84" s="23">
        <v>82</v>
      </c>
      <c r="AH84" s="34" t="s">
        <v>342</v>
      </c>
      <c r="AI84" s="23" t="s">
        <v>55</v>
      </c>
      <c r="AJ84" s="23" t="s">
        <v>55</v>
      </c>
      <c r="AK84" s="23" t="s">
        <v>121</v>
      </c>
    </row>
    <row r="85" spans="1:37" s="23" customFormat="1" ht="15" customHeight="1" x14ac:dyDescent="0.25">
      <c r="A85" s="25">
        <v>83</v>
      </c>
      <c r="B85" s="26" t="s">
        <v>165</v>
      </c>
      <c r="C85" s="27" t="s">
        <v>39</v>
      </c>
      <c r="D85" s="26" t="s">
        <v>40</v>
      </c>
      <c r="E85" s="26" t="s">
        <v>479</v>
      </c>
      <c r="F85" s="26" t="s">
        <v>467</v>
      </c>
      <c r="G85" s="28">
        <v>27905193680</v>
      </c>
      <c r="H85" s="26" t="s">
        <v>574</v>
      </c>
      <c r="I85" s="29">
        <v>44061</v>
      </c>
      <c r="J85" s="30"/>
      <c r="K85" s="19" t="s">
        <v>45</v>
      </c>
      <c r="L85" s="31" t="s">
        <v>168</v>
      </c>
      <c r="M85" s="29">
        <v>44061</v>
      </c>
      <c r="N85" s="32"/>
      <c r="O85" s="31" t="s">
        <v>568</v>
      </c>
      <c r="P85" s="33">
        <v>901473200</v>
      </c>
      <c r="Q85" s="29">
        <v>44061</v>
      </c>
      <c r="R85" s="32"/>
      <c r="S85" s="31" t="s">
        <v>45</v>
      </c>
      <c r="T85" s="31" t="s">
        <v>575</v>
      </c>
      <c r="U85" s="31" t="s">
        <v>576</v>
      </c>
      <c r="V85" s="27" t="s">
        <v>577</v>
      </c>
      <c r="W85" s="31" t="s">
        <v>578</v>
      </c>
      <c r="X85" s="21" t="s">
        <v>55</v>
      </c>
      <c r="Y85" s="22">
        <v>76535764019596</v>
      </c>
      <c r="Z85" s="23">
        <v>83</v>
      </c>
      <c r="AA85" s="24">
        <v>83</v>
      </c>
      <c r="AB85" s="24">
        <v>83</v>
      </c>
      <c r="AC85" s="24">
        <v>83</v>
      </c>
      <c r="AD85" s="24">
        <v>83</v>
      </c>
      <c r="AE85" s="23" t="s">
        <v>65</v>
      </c>
      <c r="AF85" s="23" t="s">
        <v>65</v>
      </c>
      <c r="AG85" s="23">
        <v>83</v>
      </c>
      <c r="AH85" s="34" t="s">
        <v>579</v>
      </c>
      <c r="AI85" s="23" t="s">
        <v>54</v>
      </c>
      <c r="AJ85" s="23" t="s">
        <v>54</v>
      </c>
      <c r="AK85" s="23" t="s">
        <v>67</v>
      </c>
    </row>
    <row r="86" spans="1:37" s="23" customFormat="1" ht="15" hidden="1" customHeight="1" x14ac:dyDescent="0.25">
      <c r="A86" s="25">
        <v>84</v>
      </c>
      <c r="B86" s="26" t="s">
        <v>174</v>
      </c>
      <c r="C86" s="27" t="s">
        <v>39</v>
      </c>
      <c r="D86" s="26" t="s">
        <v>40</v>
      </c>
      <c r="E86" s="26" t="s">
        <v>280</v>
      </c>
      <c r="F86" s="26" t="s">
        <v>467</v>
      </c>
      <c r="G86" s="28">
        <v>13920003525</v>
      </c>
      <c r="H86" s="26" t="s">
        <v>580</v>
      </c>
      <c r="I86" s="29">
        <v>44061</v>
      </c>
      <c r="J86" s="30"/>
      <c r="K86" s="19" t="s">
        <v>45</v>
      </c>
      <c r="L86" s="31" t="s">
        <v>177</v>
      </c>
      <c r="M86" s="29">
        <v>38043</v>
      </c>
      <c r="N86" s="32"/>
      <c r="O86" s="31" t="s">
        <v>568</v>
      </c>
      <c r="P86" s="33">
        <v>10780602</v>
      </c>
      <c r="Q86" s="29">
        <v>44113</v>
      </c>
      <c r="R86" s="32"/>
      <c r="S86" s="31" t="s">
        <v>45</v>
      </c>
      <c r="T86" s="31" t="s">
        <v>581</v>
      </c>
      <c r="U86" s="31" t="s">
        <v>582</v>
      </c>
      <c r="V86" s="27" t="s">
        <v>181</v>
      </c>
      <c r="W86" s="31" t="s">
        <v>583</v>
      </c>
      <c r="X86" s="21"/>
      <c r="Y86" s="22">
        <v>76535764020179</v>
      </c>
      <c r="Z86" s="23">
        <v>84</v>
      </c>
      <c r="AA86" s="24">
        <v>84</v>
      </c>
      <c r="AB86" s="24">
        <v>84</v>
      </c>
      <c r="AC86" s="24">
        <v>84</v>
      </c>
      <c r="AD86" s="24" t="s">
        <v>65</v>
      </c>
      <c r="AE86" s="23" t="s">
        <v>65</v>
      </c>
      <c r="AF86" s="23" t="s">
        <v>65</v>
      </c>
      <c r="AG86" s="23">
        <v>84</v>
      </c>
      <c r="AH86" s="34" t="s">
        <v>584</v>
      </c>
      <c r="AI86" s="23" t="s">
        <v>54</v>
      </c>
      <c r="AJ86" s="23" t="s">
        <v>54</v>
      </c>
      <c r="AK86" s="23" t="s">
        <v>67</v>
      </c>
    </row>
    <row r="87" spans="1:37" s="23" customFormat="1" ht="15" customHeight="1" x14ac:dyDescent="0.25">
      <c r="A87" s="19">
        <v>85</v>
      </c>
      <c r="B87" s="19" t="s">
        <v>174</v>
      </c>
      <c r="C87" s="19" t="s">
        <v>39</v>
      </c>
      <c r="D87" s="26" t="s">
        <v>40</v>
      </c>
      <c r="E87" s="19" t="s">
        <v>29</v>
      </c>
      <c r="F87" s="26" t="s">
        <v>467</v>
      </c>
      <c r="G87" s="19">
        <v>13920003517</v>
      </c>
      <c r="H87" s="19" t="s">
        <v>585</v>
      </c>
      <c r="I87" s="20">
        <v>44061</v>
      </c>
      <c r="J87" s="19"/>
      <c r="K87" s="19" t="s">
        <v>45</v>
      </c>
      <c r="L87" s="36" t="s">
        <v>473</v>
      </c>
      <c r="M87" s="20" t="s">
        <v>473</v>
      </c>
      <c r="N87" s="36"/>
      <c r="O87" s="19" t="s">
        <v>45</v>
      </c>
      <c r="P87" s="19">
        <v>31676</v>
      </c>
      <c r="Q87" s="20">
        <v>44141</v>
      </c>
      <c r="R87" s="36"/>
      <c r="S87" s="19" t="s">
        <v>45</v>
      </c>
      <c r="T87" s="19" t="s">
        <v>586</v>
      </c>
      <c r="U87" s="19" t="s">
        <v>49</v>
      </c>
      <c r="V87" s="19" t="s">
        <v>587</v>
      </c>
      <c r="W87" s="35" t="s">
        <v>588</v>
      </c>
      <c r="X87" s="21"/>
      <c r="Y87" s="22">
        <v>76535764019910</v>
      </c>
      <c r="Z87" s="23">
        <f>A87</f>
        <v>85</v>
      </c>
      <c r="AA87" s="24" t="str">
        <f>IFERROR(VLOOKUP($Z87,'[1]End Fat Serviço - PA 15 e 16'!$K$3:$K$31,1,0), "")</f>
        <v/>
      </c>
      <c r="AB87" s="24" t="str">
        <f>IFERROR(VLOOKUP($Z87,'[1]End Fat Material - PA 12'!$K$3:$K$64,1,0), "")</f>
        <v/>
      </c>
      <c r="AC87" s="24" t="str">
        <f>IFERROR(VLOOKUP($Z87,'[1]End CA Lotação'!$L$3:$L$36,1,0), "")</f>
        <v/>
      </c>
      <c r="AD87" s="24">
        <f>IFERROR(VLOOKUP(Z87,'[1]RH - PARA 21.03'!$M$3:$M$555,1,0),"")</f>
        <v>85</v>
      </c>
      <c r="AE87" s="23" t="str">
        <f>IFERROR(VLOOKUP($Z87,'[1]CNPJ Oi Fat'!$K$3:$K$32,1,0),"")</f>
        <v/>
      </c>
      <c r="AF87" s="23" t="str">
        <f>IFERROR(VLOOKUP(Z87,'[1]End Logística Oi'!$D$3:$D$29,1,0),"")</f>
        <v/>
      </c>
      <c r="AG87" s="23" t="str">
        <f>IFERROR(VLOOKUP(Z87,'[1]End Logística Oi'!$J$3:$J$29,1,0),"")</f>
        <v/>
      </c>
      <c r="AI87" s="23" t="s">
        <v>54</v>
      </c>
      <c r="AJ87" s="23" t="s">
        <v>55</v>
      </c>
      <c r="AK87" s="23" t="e">
        <v>#N/A</v>
      </c>
    </row>
    <row r="88" spans="1:37" s="23" customFormat="1" ht="15" customHeight="1" x14ac:dyDescent="0.25">
      <c r="A88" s="19">
        <v>86</v>
      </c>
      <c r="B88" s="19" t="s">
        <v>174</v>
      </c>
      <c r="C88" s="19" t="s">
        <v>39</v>
      </c>
      <c r="D88" s="26" t="s">
        <v>40</v>
      </c>
      <c r="E88" s="19" t="s">
        <v>29</v>
      </c>
      <c r="F88" s="26" t="s">
        <v>467</v>
      </c>
      <c r="G88" s="19">
        <v>13920003495</v>
      </c>
      <c r="H88" s="19" t="s">
        <v>589</v>
      </c>
      <c r="I88" s="20">
        <v>44061</v>
      </c>
      <c r="J88" s="19"/>
      <c r="K88" s="19" t="s">
        <v>45</v>
      </c>
      <c r="L88" s="36" t="s">
        <v>473</v>
      </c>
      <c r="M88" s="20" t="s">
        <v>473</v>
      </c>
      <c r="N88" s="36"/>
      <c r="O88" s="19" t="s">
        <v>45</v>
      </c>
      <c r="P88" s="19">
        <v>208857</v>
      </c>
      <c r="Q88" s="36"/>
      <c r="R88" s="36"/>
      <c r="S88" s="19" t="s">
        <v>45</v>
      </c>
      <c r="T88" s="19" t="s">
        <v>590</v>
      </c>
      <c r="U88" s="19" t="s">
        <v>49</v>
      </c>
      <c r="V88" s="19" t="s">
        <v>591</v>
      </c>
      <c r="W88" s="35" t="s">
        <v>592</v>
      </c>
      <c r="X88" s="21"/>
      <c r="Y88" s="22">
        <v>76535764019758</v>
      </c>
      <c r="Z88" s="23">
        <f>A88</f>
        <v>86</v>
      </c>
      <c r="AA88" s="24" t="str">
        <f>IFERROR(VLOOKUP($Z88,'[1]End Fat Serviço - PA 15 e 16'!$K$3:$K$31,1,0), "")</f>
        <v/>
      </c>
      <c r="AB88" s="24" t="str">
        <f>IFERROR(VLOOKUP($Z88,'[1]End Fat Material - PA 12'!$K$3:$K$64,1,0), "")</f>
        <v/>
      </c>
      <c r="AC88" s="24" t="str">
        <f>IFERROR(VLOOKUP($Z88,'[1]End CA Lotação'!$L$3:$L$36,1,0), "")</f>
        <v/>
      </c>
      <c r="AD88" s="24">
        <f>IFERROR(VLOOKUP(Z88,'[1]RH - PARA 21.03'!$M$3:$M$555,1,0),"")</f>
        <v>86</v>
      </c>
      <c r="AE88" s="23" t="str">
        <f>IFERROR(VLOOKUP($Z88,'[1]CNPJ Oi Fat'!$K$3:$K$32,1,0),"")</f>
        <v/>
      </c>
      <c r="AF88" s="23" t="str">
        <f>IFERROR(VLOOKUP(Z88,'[1]End Logística Oi'!$D$3:$D$29,1,0),"")</f>
        <v/>
      </c>
      <c r="AG88" s="23" t="str">
        <f>IFERROR(VLOOKUP(Z88,'[1]End Logística Oi'!$J$3:$J$29,1,0),"")</f>
        <v/>
      </c>
      <c r="AI88" s="23" t="s">
        <v>54</v>
      </c>
      <c r="AJ88" s="23" t="s">
        <v>55</v>
      </c>
      <c r="AK88" s="23" t="e">
        <v>#N/A</v>
      </c>
    </row>
    <row r="89" spans="1:37" s="23" customFormat="1" ht="15" hidden="1" customHeight="1" x14ac:dyDescent="0.25">
      <c r="A89" s="19">
        <v>87</v>
      </c>
      <c r="B89" s="19" t="s">
        <v>174</v>
      </c>
      <c r="C89" s="19" t="s">
        <v>39</v>
      </c>
      <c r="D89" s="26" t="s">
        <v>40</v>
      </c>
      <c r="E89" s="19" t="s">
        <v>29</v>
      </c>
      <c r="F89" s="26" t="s">
        <v>467</v>
      </c>
      <c r="G89" s="19">
        <v>13920003509</v>
      </c>
      <c r="H89" s="19" t="s">
        <v>593</v>
      </c>
      <c r="I89" s="20">
        <v>44061</v>
      </c>
      <c r="J89" s="19"/>
      <c r="K89" s="19" t="s">
        <v>45</v>
      </c>
      <c r="L89" s="36" t="s">
        <v>473</v>
      </c>
      <c r="M89" s="20" t="s">
        <v>473</v>
      </c>
      <c r="N89" s="36"/>
      <c r="O89" s="19" t="s">
        <v>45</v>
      </c>
      <c r="P89" s="19">
        <v>1010320055001</v>
      </c>
      <c r="Q89" s="20">
        <v>44124</v>
      </c>
      <c r="R89" s="36"/>
      <c r="S89" s="19" t="s">
        <v>45</v>
      </c>
      <c r="T89" s="19" t="s">
        <v>594</v>
      </c>
      <c r="U89" s="19" t="s">
        <v>49</v>
      </c>
      <c r="V89" s="19" t="s">
        <v>595</v>
      </c>
      <c r="W89" s="35" t="s">
        <v>596</v>
      </c>
      <c r="X89" s="21"/>
      <c r="Y89" s="22">
        <v>76535764019839</v>
      </c>
      <c r="Z89" s="23">
        <f>A89</f>
        <v>87</v>
      </c>
      <c r="AA89" s="24" t="str">
        <f>IFERROR(VLOOKUP($Z89,'[1]End Fat Serviço - PA 15 e 16'!$K$3:$K$31,1,0), "")</f>
        <v/>
      </c>
      <c r="AB89" s="24" t="str">
        <f>IFERROR(VLOOKUP($Z89,'[1]End Fat Material - PA 12'!$K$3:$K$64,1,0), "")</f>
        <v/>
      </c>
      <c r="AC89" s="24" t="str">
        <f>IFERROR(VLOOKUP($Z89,'[1]End CA Lotação'!$L$3:$L$36,1,0), "")</f>
        <v/>
      </c>
      <c r="AD89" s="24" t="str">
        <f>IFERROR(VLOOKUP(Z89,'[1]RH - PARA 21.03'!$M$3:$M$555,1,0),"")</f>
        <v/>
      </c>
      <c r="AE89" s="23" t="str">
        <f>IFERROR(VLOOKUP($Z89,'[1]CNPJ Oi Fat'!$K$3:$K$32,1,0),"")</f>
        <v/>
      </c>
      <c r="AF89" s="23" t="str">
        <f>IFERROR(VLOOKUP(Z89,'[1]End Logística Oi'!$D$3:$D$29,1,0),"")</f>
        <v/>
      </c>
      <c r="AG89" s="23" t="str">
        <f>IFERROR(VLOOKUP(Z89,'[1]End Logística Oi'!$J$3:$J$29,1,0),"")</f>
        <v/>
      </c>
      <c r="AI89" s="23" t="s">
        <v>55</v>
      </c>
      <c r="AJ89" s="23" t="s">
        <v>55</v>
      </c>
      <c r="AK89" s="23" t="e">
        <v>#N/A</v>
      </c>
    </row>
    <row r="90" spans="1:37" s="23" customFormat="1" ht="15" customHeight="1" x14ac:dyDescent="0.25">
      <c r="A90" s="25">
        <v>88</v>
      </c>
      <c r="B90" s="26" t="s">
        <v>156</v>
      </c>
      <c r="C90" s="27" t="s">
        <v>39</v>
      </c>
      <c r="D90" s="26" t="s">
        <v>40</v>
      </c>
      <c r="E90" s="26" t="s">
        <v>479</v>
      </c>
      <c r="F90" s="26" t="s">
        <v>467</v>
      </c>
      <c r="G90" s="28">
        <v>16900145921</v>
      </c>
      <c r="H90" s="26" t="s">
        <v>597</v>
      </c>
      <c r="I90" s="29">
        <v>44061</v>
      </c>
      <c r="J90" s="30"/>
      <c r="K90" s="19" t="s">
        <v>45</v>
      </c>
      <c r="L90" s="31" t="s">
        <v>598</v>
      </c>
      <c r="M90" s="29">
        <v>44117</v>
      </c>
      <c r="N90" s="32"/>
      <c r="O90" s="31" t="s">
        <v>45</v>
      </c>
      <c r="P90" s="33">
        <v>98402931491</v>
      </c>
      <c r="Q90" s="29">
        <v>44061</v>
      </c>
      <c r="R90" s="32"/>
      <c r="S90" s="31" t="s">
        <v>45</v>
      </c>
      <c r="T90" s="31" t="s">
        <v>599</v>
      </c>
      <c r="U90" s="31" t="s">
        <v>600</v>
      </c>
      <c r="V90" s="27" t="s">
        <v>601</v>
      </c>
      <c r="W90" s="31" t="s">
        <v>602</v>
      </c>
      <c r="X90" s="21"/>
      <c r="Y90" s="22">
        <v>76535764021574</v>
      </c>
      <c r="Z90" s="23">
        <v>88</v>
      </c>
      <c r="AA90" s="24">
        <v>88</v>
      </c>
      <c r="AB90" s="24">
        <v>88</v>
      </c>
      <c r="AC90" s="24">
        <v>88</v>
      </c>
      <c r="AD90" s="24">
        <v>88</v>
      </c>
      <c r="AE90" s="23" t="s">
        <v>65</v>
      </c>
      <c r="AF90" s="23" t="s">
        <v>65</v>
      </c>
      <c r="AG90" s="23">
        <v>88</v>
      </c>
      <c r="AH90" s="34" t="s">
        <v>579</v>
      </c>
      <c r="AI90" s="23" t="s">
        <v>54</v>
      </c>
      <c r="AJ90" s="23" t="s">
        <v>54</v>
      </c>
      <c r="AK90" s="23" t="s">
        <v>164</v>
      </c>
    </row>
    <row r="91" spans="1:37" s="23" customFormat="1" ht="15" customHeight="1" x14ac:dyDescent="0.25">
      <c r="A91" s="25">
        <v>89</v>
      </c>
      <c r="B91" s="26" t="s">
        <v>237</v>
      </c>
      <c r="C91" s="27" t="s">
        <v>39</v>
      </c>
      <c r="D91" s="26" t="s">
        <v>40</v>
      </c>
      <c r="E91" s="26" t="s">
        <v>479</v>
      </c>
      <c r="F91" s="26" t="s">
        <v>467</v>
      </c>
      <c r="G91" s="28">
        <v>29902012295</v>
      </c>
      <c r="H91" s="26" t="s">
        <v>603</v>
      </c>
      <c r="I91" s="29">
        <v>44061</v>
      </c>
      <c r="J91" s="30"/>
      <c r="K91" s="19" t="s">
        <v>45</v>
      </c>
      <c r="L91" s="31">
        <v>62909340</v>
      </c>
      <c r="M91" s="29">
        <v>37967</v>
      </c>
      <c r="N91" s="32"/>
      <c r="O91" s="31" t="s">
        <v>568</v>
      </c>
      <c r="P91" s="33" t="s">
        <v>604</v>
      </c>
      <c r="Q91" s="29"/>
      <c r="R91" s="32"/>
      <c r="S91" s="31" t="s">
        <v>605</v>
      </c>
      <c r="T91" s="31" t="s">
        <v>606</v>
      </c>
      <c r="U91" s="31" t="s">
        <v>607</v>
      </c>
      <c r="V91" s="27" t="s">
        <v>608</v>
      </c>
      <c r="W91" s="31" t="s">
        <v>609</v>
      </c>
      <c r="X91" s="21" t="s">
        <v>55</v>
      </c>
      <c r="Y91" s="22">
        <v>76535764020845</v>
      </c>
      <c r="Z91" s="23">
        <v>89</v>
      </c>
      <c r="AA91" s="24" t="s">
        <v>65</v>
      </c>
      <c r="AB91" s="24">
        <v>89</v>
      </c>
      <c r="AC91" s="24">
        <v>89</v>
      </c>
      <c r="AD91" s="24">
        <v>89</v>
      </c>
      <c r="AE91" s="23" t="s">
        <v>65</v>
      </c>
      <c r="AF91" s="23" t="s">
        <v>65</v>
      </c>
      <c r="AG91" s="23" t="s">
        <v>65</v>
      </c>
      <c r="AH91" s="34" t="s">
        <v>610</v>
      </c>
      <c r="AI91" s="23" t="s">
        <v>54</v>
      </c>
      <c r="AJ91" s="23" t="s">
        <v>54</v>
      </c>
      <c r="AK91" s="23" t="s">
        <v>611</v>
      </c>
    </row>
    <row r="92" spans="1:37" s="23" customFormat="1" ht="15" customHeight="1" x14ac:dyDescent="0.25">
      <c r="A92" s="19">
        <v>90</v>
      </c>
      <c r="B92" s="19" t="s">
        <v>237</v>
      </c>
      <c r="C92" s="19" t="s">
        <v>39</v>
      </c>
      <c r="D92" s="26" t="s">
        <v>40</v>
      </c>
      <c r="E92" s="19" t="s">
        <v>29</v>
      </c>
      <c r="F92" s="26" t="s">
        <v>467</v>
      </c>
      <c r="G92" s="19">
        <v>29902012244</v>
      </c>
      <c r="H92" s="19" t="s">
        <v>612</v>
      </c>
      <c r="I92" s="20">
        <v>44061</v>
      </c>
      <c r="J92" s="19"/>
      <c r="K92" s="19" t="s">
        <v>45</v>
      </c>
      <c r="L92" s="19">
        <v>170211073</v>
      </c>
      <c r="M92" s="20">
        <v>44061</v>
      </c>
      <c r="N92" s="20">
        <v>44103</v>
      </c>
      <c r="O92" s="19" t="s">
        <v>491</v>
      </c>
      <c r="P92" s="19" t="s">
        <v>613</v>
      </c>
      <c r="Q92" s="20">
        <v>44061</v>
      </c>
      <c r="R92" s="36"/>
      <c r="S92" s="19" t="s">
        <v>45</v>
      </c>
      <c r="T92" s="19" t="s">
        <v>614</v>
      </c>
      <c r="U92" s="19" t="s">
        <v>615</v>
      </c>
      <c r="V92" s="19" t="s">
        <v>616</v>
      </c>
      <c r="W92" s="35" t="s">
        <v>617</v>
      </c>
      <c r="X92" s="21"/>
      <c r="Y92" s="22">
        <v>76535764020250</v>
      </c>
      <c r="Z92" s="23">
        <f>A92</f>
        <v>90</v>
      </c>
      <c r="AA92" s="24" t="str">
        <f>IFERROR(VLOOKUP($Z92,'[1]End Fat Serviço - PA 15 e 16'!$K$3:$K$31,1,0), "")</f>
        <v/>
      </c>
      <c r="AB92" s="24" t="str">
        <f>IFERROR(VLOOKUP($Z92,'[1]End Fat Material - PA 12'!$K$3:$K$64,1,0), "")</f>
        <v/>
      </c>
      <c r="AC92" s="24" t="str">
        <f>IFERROR(VLOOKUP($Z92,'[1]End CA Lotação'!$L$3:$L$36,1,0), "")</f>
        <v/>
      </c>
      <c r="AD92" s="24">
        <f>IFERROR(VLOOKUP(Z92,'[1]RH - PARA 21.03'!$M$3:$M$555,1,0),"")</f>
        <v>90</v>
      </c>
      <c r="AE92" s="23" t="str">
        <f>IFERROR(VLOOKUP($Z92,'[1]CNPJ Oi Fat'!$K$3:$K$32,1,0),"")</f>
        <v/>
      </c>
      <c r="AF92" s="23" t="str">
        <f>IFERROR(VLOOKUP(Z92,'[1]End Logística Oi'!$D$3:$D$29,1,0),"")</f>
        <v/>
      </c>
      <c r="AG92" s="23" t="str">
        <f>IFERROR(VLOOKUP(Z92,'[1]End Logística Oi'!$J$3:$J$29,1,0),"")</f>
        <v/>
      </c>
      <c r="AI92" s="23" t="s">
        <v>54</v>
      </c>
      <c r="AJ92" s="23" t="s">
        <v>55</v>
      </c>
      <c r="AK92" s="23" t="e">
        <v>#N/A</v>
      </c>
    </row>
    <row r="93" spans="1:37" s="23" customFormat="1" ht="15" hidden="1" customHeight="1" x14ac:dyDescent="0.25">
      <c r="A93" s="19">
        <v>91</v>
      </c>
      <c r="B93" s="19" t="s">
        <v>237</v>
      </c>
      <c r="C93" s="19" t="s">
        <v>39</v>
      </c>
      <c r="D93" s="26" t="s">
        <v>40</v>
      </c>
      <c r="E93" s="19" t="s">
        <v>29</v>
      </c>
      <c r="F93" s="26" t="s">
        <v>467</v>
      </c>
      <c r="G93" s="19">
        <v>29902012279</v>
      </c>
      <c r="H93" s="19" t="s">
        <v>618</v>
      </c>
      <c r="I93" s="20">
        <v>44061</v>
      </c>
      <c r="J93" s="19"/>
      <c r="K93" s="19" t="s">
        <v>45</v>
      </c>
      <c r="L93" s="19">
        <v>170211308</v>
      </c>
      <c r="M93" s="20">
        <v>44061</v>
      </c>
      <c r="N93" s="20">
        <v>44103</v>
      </c>
      <c r="O93" s="19" t="s">
        <v>491</v>
      </c>
      <c r="P93" s="19">
        <v>44506</v>
      </c>
      <c r="Q93" s="20">
        <v>44229</v>
      </c>
      <c r="R93" s="36"/>
      <c r="S93" s="19" t="s">
        <v>45</v>
      </c>
      <c r="T93" s="19" t="s">
        <v>619</v>
      </c>
      <c r="U93" s="19" t="s">
        <v>620</v>
      </c>
      <c r="V93" s="19" t="s">
        <v>621</v>
      </c>
      <c r="W93" s="35" t="s">
        <v>622</v>
      </c>
      <c r="X93" s="21"/>
      <c r="Y93" s="22">
        <v>76535764020500</v>
      </c>
      <c r="Z93" s="23">
        <f>A93</f>
        <v>91</v>
      </c>
      <c r="AA93" s="24" t="str">
        <f>IFERROR(VLOOKUP($Z93,'[1]End Fat Serviço - PA 15 e 16'!$K$3:$K$31,1,0), "")</f>
        <v/>
      </c>
      <c r="AB93" s="24" t="str">
        <f>IFERROR(VLOOKUP($Z93,'[1]End Fat Material - PA 12'!$K$3:$K$64,1,0), "")</f>
        <v/>
      </c>
      <c r="AC93" s="24" t="str">
        <f>IFERROR(VLOOKUP($Z93,'[1]End CA Lotação'!$L$3:$L$36,1,0), "")</f>
        <v/>
      </c>
      <c r="AD93" s="24" t="str">
        <f>IFERROR(VLOOKUP(Z93,'[1]RH - PARA 21.03'!$M$3:$M$555,1,0),"")</f>
        <v/>
      </c>
      <c r="AE93" s="23" t="str">
        <f>IFERROR(VLOOKUP($Z93,'[1]CNPJ Oi Fat'!$K$3:$K$32,1,0),"")</f>
        <v/>
      </c>
      <c r="AF93" s="23" t="str">
        <f>IFERROR(VLOOKUP(Z93,'[1]End Logística Oi'!$D$3:$D$29,1,0),"")</f>
        <v/>
      </c>
      <c r="AG93" s="23" t="str">
        <f>IFERROR(VLOOKUP(Z93,'[1]End Logística Oi'!$J$3:$J$29,1,0),"")</f>
        <v/>
      </c>
      <c r="AI93" s="23" t="s">
        <v>55</v>
      </c>
      <c r="AJ93" s="23" t="s">
        <v>55</v>
      </c>
      <c r="AK93" s="23" t="e">
        <v>#N/A</v>
      </c>
    </row>
    <row r="94" spans="1:37" s="23" customFormat="1" ht="15" customHeight="1" x14ac:dyDescent="0.25">
      <c r="A94" s="19">
        <v>92</v>
      </c>
      <c r="B94" s="19" t="s">
        <v>237</v>
      </c>
      <c r="C94" s="19" t="s">
        <v>39</v>
      </c>
      <c r="D94" s="26" t="s">
        <v>40</v>
      </c>
      <c r="E94" s="19" t="s">
        <v>29</v>
      </c>
      <c r="F94" s="26" t="s">
        <v>467</v>
      </c>
      <c r="G94" s="19">
        <v>29902012287</v>
      </c>
      <c r="H94" s="19" t="s">
        <v>623</v>
      </c>
      <c r="I94" s="20">
        <v>44061</v>
      </c>
      <c r="J94" s="19"/>
      <c r="K94" s="19" t="s">
        <v>45</v>
      </c>
      <c r="L94" s="19">
        <v>170211406</v>
      </c>
      <c r="M94" s="20">
        <v>44061</v>
      </c>
      <c r="N94" s="20">
        <v>44103</v>
      </c>
      <c r="O94" s="19" t="s">
        <v>491</v>
      </c>
      <c r="P94" s="19" t="s">
        <v>604</v>
      </c>
      <c r="Q94" s="36"/>
      <c r="R94" s="36"/>
      <c r="S94" s="19" t="s">
        <v>604</v>
      </c>
      <c r="T94" s="19" t="s">
        <v>624</v>
      </c>
      <c r="U94" s="19" t="s">
        <v>49</v>
      </c>
      <c r="V94" s="19" t="s">
        <v>625</v>
      </c>
      <c r="W94" s="35" t="s">
        <v>626</v>
      </c>
      <c r="X94" s="21"/>
      <c r="Y94" s="22">
        <v>76535764020683</v>
      </c>
      <c r="Z94" s="23">
        <f>A94</f>
        <v>92</v>
      </c>
      <c r="AA94" s="24" t="str">
        <f>IFERROR(VLOOKUP($Z94,'[1]End Fat Serviço - PA 15 e 16'!$K$3:$K$31,1,0), "")</f>
        <v/>
      </c>
      <c r="AB94" s="24" t="str">
        <f>IFERROR(VLOOKUP($Z94,'[1]End Fat Material - PA 12'!$K$3:$K$64,1,0), "")</f>
        <v/>
      </c>
      <c r="AC94" s="24" t="str">
        <f>IFERROR(VLOOKUP($Z94,'[1]End CA Lotação'!$L$3:$L$36,1,0), "")</f>
        <v/>
      </c>
      <c r="AD94" s="24">
        <f>IFERROR(VLOOKUP(Z94,'[1]RH - PARA 21.03'!$M$3:$M$555,1,0),"")</f>
        <v>92</v>
      </c>
      <c r="AE94" s="23" t="str">
        <f>IFERROR(VLOOKUP($Z94,'[1]CNPJ Oi Fat'!$K$3:$K$32,1,0),"")</f>
        <v/>
      </c>
      <c r="AF94" s="23" t="str">
        <f>IFERROR(VLOOKUP(Z94,'[1]End Logística Oi'!$D$3:$D$29,1,0),"")</f>
        <v/>
      </c>
      <c r="AG94" s="23" t="str">
        <f>IFERROR(VLOOKUP(Z94,'[1]End Logística Oi'!$J$3:$J$29,1,0),"")</f>
        <v/>
      </c>
      <c r="AI94" s="23" t="s">
        <v>54</v>
      </c>
      <c r="AJ94" s="23" t="s">
        <v>55</v>
      </c>
      <c r="AK94" s="23" t="e">
        <v>#N/A</v>
      </c>
    </row>
    <row r="95" spans="1:37" s="23" customFormat="1" ht="15" customHeight="1" x14ac:dyDescent="0.25">
      <c r="A95" s="19">
        <v>93</v>
      </c>
      <c r="B95" s="19" t="s">
        <v>237</v>
      </c>
      <c r="C95" s="19" t="s">
        <v>39</v>
      </c>
      <c r="D95" s="26" t="s">
        <v>40</v>
      </c>
      <c r="E95" s="19" t="s">
        <v>29</v>
      </c>
      <c r="F95" s="26" t="s">
        <v>467</v>
      </c>
      <c r="G95" s="19">
        <v>29902012252</v>
      </c>
      <c r="H95" s="19" t="s">
        <v>627</v>
      </c>
      <c r="I95" s="20">
        <v>44061</v>
      </c>
      <c r="J95" s="19"/>
      <c r="K95" s="19" t="s">
        <v>45</v>
      </c>
      <c r="L95" s="19">
        <v>170211181</v>
      </c>
      <c r="M95" s="20">
        <v>44061</v>
      </c>
      <c r="N95" s="20">
        <v>44103</v>
      </c>
      <c r="O95" s="19" t="s">
        <v>491</v>
      </c>
      <c r="P95" s="19">
        <v>712286</v>
      </c>
      <c r="Q95" s="20">
        <v>44607</v>
      </c>
      <c r="R95" s="36"/>
      <c r="S95" s="19" t="s">
        <v>45</v>
      </c>
      <c r="T95" s="19" t="s">
        <v>628</v>
      </c>
      <c r="U95" s="19" t="s">
        <v>49</v>
      </c>
      <c r="V95" s="19" t="s">
        <v>629</v>
      </c>
      <c r="W95" s="35" t="s">
        <v>630</v>
      </c>
      <c r="X95" s="21"/>
      <c r="Y95" s="22">
        <v>76535764020330</v>
      </c>
      <c r="Z95" s="23">
        <f>A95</f>
        <v>93</v>
      </c>
      <c r="AA95" s="24" t="str">
        <f>IFERROR(VLOOKUP($Z95,'[1]End Fat Serviço - PA 15 e 16'!$K$3:$K$31,1,0), "")</f>
        <v/>
      </c>
      <c r="AB95" s="24" t="str">
        <f>IFERROR(VLOOKUP($Z95,'[1]End Fat Material - PA 12'!$K$3:$K$64,1,0), "")</f>
        <v/>
      </c>
      <c r="AC95" s="24" t="str">
        <f>IFERROR(VLOOKUP($Z95,'[1]End CA Lotação'!$L$3:$L$36,1,0), "")</f>
        <v/>
      </c>
      <c r="AD95" s="24">
        <f>IFERROR(VLOOKUP(Z95,'[1]RH - PARA 21.03'!$M$3:$M$555,1,0),"")</f>
        <v>93</v>
      </c>
      <c r="AE95" s="23" t="str">
        <f>IFERROR(VLOOKUP($Z95,'[1]CNPJ Oi Fat'!$K$3:$K$32,1,0),"")</f>
        <v/>
      </c>
      <c r="AF95" s="23" t="str">
        <f>IFERROR(VLOOKUP(Z95,'[1]End Logística Oi'!$D$3:$D$29,1,0),"")</f>
        <v/>
      </c>
      <c r="AG95" s="23" t="str">
        <f>IFERROR(VLOOKUP(Z95,'[1]End Logística Oi'!$J$3:$J$29,1,0),"")</f>
        <v/>
      </c>
      <c r="AI95" s="23" t="s">
        <v>54</v>
      </c>
      <c r="AJ95" s="23" t="s">
        <v>55</v>
      </c>
      <c r="AK95" s="23" t="e">
        <v>#N/A</v>
      </c>
    </row>
    <row r="96" spans="1:37" s="23" customFormat="1" ht="15" hidden="1" customHeight="1" x14ac:dyDescent="0.25">
      <c r="A96" s="19">
        <v>94</v>
      </c>
      <c r="B96" s="19" t="s">
        <v>237</v>
      </c>
      <c r="C96" s="19" t="s">
        <v>39</v>
      </c>
      <c r="D96" s="26" t="s">
        <v>40</v>
      </c>
      <c r="E96" s="19" t="s">
        <v>29</v>
      </c>
      <c r="F96" s="26" t="s">
        <v>467</v>
      </c>
      <c r="G96" s="19">
        <v>29902012261</v>
      </c>
      <c r="H96" s="19" t="s">
        <v>631</v>
      </c>
      <c r="I96" s="20">
        <v>44061</v>
      </c>
      <c r="J96" s="19"/>
      <c r="K96" s="19" t="s">
        <v>45</v>
      </c>
      <c r="L96" s="19">
        <v>170211270</v>
      </c>
      <c r="M96" s="20">
        <v>44061</v>
      </c>
      <c r="N96" s="20">
        <v>44103</v>
      </c>
      <c r="O96" s="19" t="s">
        <v>491</v>
      </c>
      <c r="P96" s="19" t="s">
        <v>604</v>
      </c>
      <c r="Q96" s="36"/>
      <c r="R96" s="36"/>
      <c r="S96" s="19" t="s">
        <v>604</v>
      </c>
      <c r="T96" s="19" t="s">
        <v>632</v>
      </c>
      <c r="U96" s="19" t="s">
        <v>49</v>
      </c>
      <c r="V96" s="19" t="s">
        <v>608</v>
      </c>
      <c r="W96" s="35" t="s">
        <v>633</v>
      </c>
      <c r="X96" s="21"/>
      <c r="Y96" s="22">
        <v>76535764020411</v>
      </c>
      <c r="Z96" s="23">
        <f>A96</f>
        <v>94</v>
      </c>
      <c r="AA96" s="24" t="str">
        <f>IFERROR(VLOOKUP($Z96,'[1]End Fat Serviço - PA 15 e 16'!$K$3:$K$31,1,0), "")</f>
        <v/>
      </c>
      <c r="AB96" s="24" t="str">
        <f>IFERROR(VLOOKUP($Z96,'[1]End Fat Material - PA 12'!$K$3:$K$64,1,0), "")</f>
        <v/>
      </c>
      <c r="AC96" s="24" t="str">
        <f>IFERROR(VLOOKUP($Z96,'[1]End CA Lotação'!$L$3:$L$36,1,0), "")</f>
        <v/>
      </c>
      <c r="AD96" s="24" t="str">
        <f>IFERROR(VLOOKUP(Z96,'[1]RH - PARA 21.03'!$M$3:$M$555,1,0),"")</f>
        <v/>
      </c>
      <c r="AE96" s="23" t="str">
        <f>IFERROR(VLOOKUP($Z96,'[1]CNPJ Oi Fat'!$K$3:$K$32,1,0),"")</f>
        <v/>
      </c>
      <c r="AF96" s="23" t="str">
        <f>IFERROR(VLOOKUP(Z96,'[1]End Logística Oi'!$D$3:$D$29,1,0),"")</f>
        <v/>
      </c>
      <c r="AG96" s="23" t="str">
        <f>IFERROR(VLOOKUP(Z96,'[1]End Logística Oi'!$J$3:$J$29,1,0),"")</f>
        <v/>
      </c>
      <c r="AI96" s="23" t="s">
        <v>55</v>
      </c>
      <c r="AJ96" s="23" t="s">
        <v>55</v>
      </c>
      <c r="AK96" s="23" t="e">
        <v>#N/A</v>
      </c>
    </row>
    <row r="97" spans="1:38" s="23" customFormat="1" ht="15" customHeight="1" x14ac:dyDescent="0.25">
      <c r="A97" s="25">
        <v>95</v>
      </c>
      <c r="B97" s="26" t="s">
        <v>130</v>
      </c>
      <c r="C97" s="27" t="s">
        <v>39</v>
      </c>
      <c r="D97" s="26" t="s">
        <v>40</v>
      </c>
      <c r="E97" s="26" t="s">
        <v>479</v>
      </c>
      <c r="F97" s="26" t="s">
        <v>467</v>
      </c>
      <c r="G97" s="28">
        <v>23920006000</v>
      </c>
      <c r="H97" s="26" t="s">
        <v>634</v>
      </c>
      <c r="I97" s="29">
        <v>44061</v>
      </c>
      <c r="J97" s="30"/>
      <c r="K97" s="19" t="s">
        <v>45</v>
      </c>
      <c r="L97" s="31" t="s">
        <v>133</v>
      </c>
      <c r="M97" s="29">
        <v>37991</v>
      </c>
      <c r="N97" s="32"/>
      <c r="O97" s="31" t="s">
        <v>568</v>
      </c>
      <c r="P97" s="33" t="s">
        <v>635</v>
      </c>
      <c r="Q97" s="29">
        <v>44061</v>
      </c>
      <c r="R97" s="32"/>
      <c r="S97" s="31" t="s">
        <v>45</v>
      </c>
      <c r="T97" s="31" t="s">
        <v>636</v>
      </c>
      <c r="U97" s="31" t="s">
        <v>637</v>
      </c>
      <c r="V97" s="27" t="s">
        <v>137</v>
      </c>
      <c r="W97" s="31" t="s">
        <v>638</v>
      </c>
      <c r="X97" s="21" t="s">
        <v>55</v>
      </c>
      <c r="Y97" s="22">
        <v>76535764021655</v>
      </c>
      <c r="Z97" s="23">
        <v>95</v>
      </c>
      <c r="AA97" s="24">
        <v>95</v>
      </c>
      <c r="AB97" s="24">
        <v>95</v>
      </c>
      <c r="AC97" s="24">
        <v>95</v>
      </c>
      <c r="AD97" s="24">
        <v>95</v>
      </c>
      <c r="AE97" s="23" t="s">
        <v>65</v>
      </c>
      <c r="AF97" s="23" t="s">
        <v>65</v>
      </c>
      <c r="AG97" s="23">
        <v>95</v>
      </c>
      <c r="AH97" s="34" t="s">
        <v>579</v>
      </c>
      <c r="AI97" s="23" t="s">
        <v>54</v>
      </c>
      <c r="AJ97" s="23" t="s">
        <v>54</v>
      </c>
      <c r="AK97" s="23" t="s">
        <v>67</v>
      </c>
    </row>
    <row r="98" spans="1:38" s="23" customFormat="1" ht="15" customHeight="1" x14ac:dyDescent="0.25">
      <c r="A98" s="19">
        <v>96</v>
      </c>
      <c r="B98" s="19" t="s">
        <v>130</v>
      </c>
      <c r="C98" s="19" t="s">
        <v>39</v>
      </c>
      <c r="D98" s="26" t="s">
        <v>40</v>
      </c>
      <c r="E98" s="19" t="s">
        <v>29</v>
      </c>
      <c r="F98" s="26" t="s">
        <v>467</v>
      </c>
      <c r="G98" s="19">
        <v>23920006034</v>
      </c>
      <c r="H98" s="19" t="s">
        <v>639</v>
      </c>
      <c r="I98" s="20">
        <v>44061</v>
      </c>
      <c r="J98" s="19"/>
      <c r="K98" s="19" t="s">
        <v>45</v>
      </c>
      <c r="L98" s="36" t="s">
        <v>473</v>
      </c>
      <c r="M98" s="20" t="s">
        <v>473</v>
      </c>
      <c r="N98" s="36"/>
      <c r="O98" s="19" t="s">
        <v>45</v>
      </c>
      <c r="P98" s="19">
        <v>12960</v>
      </c>
      <c r="Q98" s="20">
        <v>44643</v>
      </c>
      <c r="R98" s="36"/>
      <c r="S98" s="19" t="s">
        <v>45</v>
      </c>
      <c r="T98" s="19" t="s">
        <v>640</v>
      </c>
      <c r="U98" s="19" t="s">
        <v>49</v>
      </c>
      <c r="V98" s="19" t="s">
        <v>641</v>
      </c>
      <c r="W98" s="35" t="s">
        <v>642</v>
      </c>
      <c r="X98" s="21"/>
      <c r="Y98" s="22">
        <v>76535764022031</v>
      </c>
      <c r="Z98" s="23">
        <f>A98</f>
        <v>96</v>
      </c>
      <c r="AA98" s="24" t="str">
        <f>IFERROR(VLOOKUP($Z98,'[1]End Fat Serviço - PA 15 e 16'!$K$3:$K$31,1,0), "")</f>
        <v/>
      </c>
      <c r="AB98" s="24" t="str">
        <f>IFERROR(VLOOKUP($Z98,'[1]End Fat Material - PA 12'!$K$3:$K$64,1,0), "")</f>
        <v/>
      </c>
      <c r="AC98" s="24" t="str">
        <f>IFERROR(VLOOKUP($Z98,'[1]End CA Lotação'!$L$3:$L$36,1,0), "")</f>
        <v/>
      </c>
      <c r="AD98" s="24">
        <f>IFERROR(VLOOKUP(Z98,'[1]RH - PARA 21.03'!$M$3:$M$555,1,0),"")</f>
        <v>96</v>
      </c>
      <c r="AE98" s="23" t="str">
        <f>IFERROR(VLOOKUP($Z98,'[1]CNPJ Oi Fat'!$K$3:$K$32,1,0),"")</f>
        <v/>
      </c>
      <c r="AF98" s="23" t="str">
        <f>IFERROR(VLOOKUP(Z98,'[1]End Logística Oi'!$D$3:$D$29,1,0),"")</f>
        <v/>
      </c>
      <c r="AG98" s="23" t="str">
        <f>IFERROR(VLOOKUP(Z98,'[1]End Logística Oi'!$J$3:$J$29,1,0),"")</f>
        <v/>
      </c>
      <c r="AI98" s="23" t="s">
        <v>54</v>
      </c>
      <c r="AJ98" s="23" t="s">
        <v>55</v>
      </c>
      <c r="AK98" s="23" t="e">
        <v>#N/A</v>
      </c>
    </row>
    <row r="99" spans="1:38" s="23" customFormat="1" ht="15" customHeight="1" x14ac:dyDescent="0.25">
      <c r="A99" s="19">
        <v>97</v>
      </c>
      <c r="B99" s="19" t="s">
        <v>130</v>
      </c>
      <c r="C99" s="19" t="s">
        <v>39</v>
      </c>
      <c r="D99" s="26" t="s">
        <v>40</v>
      </c>
      <c r="E99" s="19" t="s">
        <v>29</v>
      </c>
      <c r="F99" s="26" t="s">
        <v>467</v>
      </c>
      <c r="G99" s="19">
        <v>23920006018</v>
      </c>
      <c r="H99" s="19" t="s">
        <v>643</v>
      </c>
      <c r="I99" s="20">
        <v>44061</v>
      </c>
      <c r="J99" s="19"/>
      <c r="K99" s="19" t="s">
        <v>45</v>
      </c>
      <c r="L99" s="36" t="s">
        <v>473</v>
      </c>
      <c r="M99" s="20" t="s">
        <v>473</v>
      </c>
      <c r="N99" s="36"/>
      <c r="O99" s="19" t="s">
        <v>45</v>
      </c>
      <c r="P99" s="19">
        <v>1566590</v>
      </c>
      <c r="Q99" s="36"/>
      <c r="R99" s="36"/>
      <c r="S99" s="19" t="s">
        <v>45</v>
      </c>
      <c r="T99" s="19" t="s">
        <v>644</v>
      </c>
      <c r="U99" s="19" t="s">
        <v>49</v>
      </c>
      <c r="V99" s="26" t="s">
        <v>645</v>
      </c>
      <c r="W99" s="35" t="s">
        <v>646</v>
      </c>
      <c r="X99" s="21"/>
      <c r="Y99" s="22">
        <v>76535764021736</v>
      </c>
      <c r="Z99" s="23">
        <f>A99</f>
        <v>97</v>
      </c>
      <c r="AA99" s="24" t="str">
        <f>IFERROR(VLOOKUP($Z99,'[1]End Fat Serviço - PA 15 e 16'!$K$3:$K$31,1,0), "")</f>
        <v/>
      </c>
      <c r="AB99" s="24" t="str">
        <f>IFERROR(VLOOKUP($Z99,'[1]End Fat Material - PA 12'!$K$3:$K$64,1,0), "")</f>
        <v/>
      </c>
      <c r="AC99" s="24" t="str">
        <f>IFERROR(VLOOKUP($Z99,'[1]End CA Lotação'!$L$3:$L$36,1,0), "")</f>
        <v/>
      </c>
      <c r="AD99" s="24">
        <f>IFERROR(VLOOKUP(Z99,'[1]RH - PARA 21.03'!$M$3:$M$555,1,0),"")</f>
        <v>97</v>
      </c>
      <c r="AE99" s="23" t="str">
        <f>IFERROR(VLOOKUP($Z99,'[1]CNPJ Oi Fat'!$K$3:$K$32,1,0),"")</f>
        <v/>
      </c>
      <c r="AF99" s="23" t="str">
        <f>IFERROR(VLOOKUP(Z99,'[1]End Logística Oi'!$D$3:$D$29,1,0),"")</f>
        <v/>
      </c>
      <c r="AG99" s="23" t="str">
        <f>IFERROR(VLOOKUP(Z99,'[1]End Logística Oi'!$J$3:$J$29,1,0),"")</f>
        <v/>
      </c>
      <c r="AI99" s="23" t="s">
        <v>54</v>
      </c>
      <c r="AJ99" s="23" t="s">
        <v>55</v>
      </c>
      <c r="AK99" s="23" t="e">
        <v>#N/A</v>
      </c>
    </row>
    <row r="100" spans="1:38" s="23" customFormat="1" ht="15" customHeight="1" x14ac:dyDescent="0.25">
      <c r="A100" s="19">
        <v>98</v>
      </c>
      <c r="B100" s="19" t="s">
        <v>130</v>
      </c>
      <c r="C100" s="19" t="s">
        <v>39</v>
      </c>
      <c r="D100" s="26" t="s">
        <v>40</v>
      </c>
      <c r="E100" s="19" t="s">
        <v>29</v>
      </c>
      <c r="F100" s="26" t="s">
        <v>467</v>
      </c>
      <c r="G100" s="19">
        <v>23920006026</v>
      </c>
      <c r="H100" s="19" t="s">
        <v>647</v>
      </c>
      <c r="I100" s="20">
        <v>44061</v>
      </c>
      <c r="J100" s="19"/>
      <c r="K100" s="19" t="s">
        <v>45</v>
      </c>
      <c r="L100" s="36" t="s">
        <v>473</v>
      </c>
      <c r="M100" s="20" t="s">
        <v>473</v>
      </c>
      <c r="N100" s="36"/>
      <c r="O100" s="19" t="s">
        <v>45</v>
      </c>
      <c r="P100" s="19">
        <v>50920</v>
      </c>
      <c r="Q100" s="36"/>
      <c r="R100" s="36"/>
      <c r="S100" s="19" t="s">
        <v>45</v>
      </c>
      <c r="T100" s="19" t="s">
        <v>648</v>
      </c>
      <c r="U100" s="19" t="s">
        <v>49</v>
      </c>
      <c r="V100" s="19" t="s">
        <v>649</v>
      </c>
      <c r="W100" s="35" t="s">
        <v>650</v>
      </c>
      <c r="X100" s="21"/>
      <c r="Y100" s="22">
        <v>76535764021817</v>
      </c>
      <c r="Z100" s="23">
        <f>A100</f>
        <v>98</v>
      </c>
      <c r="AA100" s="24" t="str">
        <f>IFERROR(VLOOKUP($Z100,'[1]End Fat Serviço - PA 15 e 16'!$K$3:$K$31,1,0), "")</f>
        <v/>
      </c>
      <c r="AB100" s="24" t="str">
        <f>IFERROR(VLOOKUP($Z100,'[1]End Fat Material - PA 12'!$K$3:$K$64,1,0), "")</f>
        <v/>
      </c>
      <c r="AC100" s="24" t="str">
        <f>IFERROR(VLOOKUP($Z100,'[1]End CA Lotação'!$L$3:$L$36,1,0), "")</f>
        <v/>
      </c>
      <c r="AD100" s="24">
        <f>IFERROR(VLOOKUP(Z100,'[1]RH - PARA 21.03'!$M$3:$M$555,1,0),"")</f>
        <v>98</v>
      </c>
      <c r="AE100" s="23" t="str">
        <f>IFERROR(VLOOKUP($Z100,'[1]CNPJ Oi Fat'!$K$3:$K$32,1,0),"")</f>
        <v/>
      </c>
      <c r="AF100" s="23" t="str">
        <f>IFERROR(VLOOKUP(Z100,'[1]End Logística Oi'!$D$3:$D$29,1,0),"")</f>
        <v/>
      </c>
      <c r="AG100" s="23" t="str">
        <f>IFERROR(VLOOKUP(Z100,'[1]End Logística Oi'!$J$3:$J$29,1,0),"")</f>
        <v/>
      </c>
      <c r="AI100" s="23" t="s">
        <v>54</v>
      </c>
      <c r="AJ100" s="23" t="s">
        <v>55</v>
      </c>
      <c r="AK100" s="23" t="e">
        <v>#N/A</v>
      </c>
    </row>
    <row r="101" spans="1:38" s="23" customFormat="1" ht="15" hidden="1" customHeight="1" x14ac:dyDescent="0.25">
      <c r="A101" s="25">
        <v>99</v>
      </c>
      <c r="B101" s="26" t="s">
        <v>271</v>
      </c>
      <c r="C101" s="27" t="s">
        <v>39</v>
      </c>
      <c r="D101" s="26" t="s">
        <v>40</v>
      </c>
      <c r="E101" s="26" t="s">
        <v>479</v>
      </c>
      <c r="F101" s="26" t="s">
        <v>467</v>
      </c>
      <c r="G101" s="28">
        <v>32900796151</v>
      </c>
      <c r="H101" s="26" t="s">
        <v>651</v>
      </c>
      <c r="I101" s="29">
        <v>44061</v>
      </c>
      <c r="J101" s="30"/>
      <c r="K101" s="19" t="s">
        <v>45</v>
      </c>
      <c r="L101" s="31" t="s">
        <v>274</v>
      </c>
      <c r="M101" s="29">
        <v>37985</v>
      </c>
      <c r="N101" s="32"/>
      <c r="O101" s="31" t="s">
        <v>568</v>
      </c>
      <c r="P101" s="33">
        <v>4711839</v>
      </c>
      <c r="Q101" s="29">
        <v>44069</v>
      </c>
      <c r="R101" s="32"/>
      <c r="S101" s="31" t="s">
        <v>45</v>
      </c>
      <c r="T101" s="31" t="s">
        <v>652</v>
      </c>
      <c r="U101" s="31" t="s">
        <v>653</v>
      </c>
      <c r="V101" s="27" t="s">
        <v>74</v>
      </c>
      <c r="W101" s="31" t="s">
        <v>654</v>
      </c>
      <c r="X101" s="21" t="s">
        <v>55</v>
      </c>
      <c r="Y101" s="22">
        <v>76535764022970</v>
      </c>
      <c r="Z101" s="23">
        <v>99</v>
      </c>
      <c r="AA101" s="24" t="s">
        <v>65</v>
      </c>
      <c r="AB101" s="24" t="s">
        <v>65</v>
      </c>
      <c r="AC101" s="24" t="s">
        <v>65</v>
      </c>
      <c r="AD101" s="24" t="s">
        <v>65</v>
      </c>
      <c r="AE101" s="23" t="s">
        <v>65</v>
      </c>
      <c r="AF101" s="23" t="s">
        <v>65</v>
      </c>
      <c r="AG101" s="23">
        <v>99</v>
      </c>
      <c r="AH101" s="34" t="s">
        <v>342</v>
      </c>
      <c r="AI101" s="23" t="s">
        <v>55</v>
      </c>
      <c r="AJ101" s="23" t="s">
        <v>55</v>
      </c>
      <c r="AK101" s="23" t="s">
        <v>67</v>
      </c>
      <c r="AL101" s="23" t="s">
        <v>655</v>
      </c>
    </row>
    <row r="102" spans="1:38" s="23" customFormat="1" ht="15" hidden="1" customHeight="1" x14ac:dyDescent="0.25">
      <c r="A102" s="19">
        <v>100</v>
      </c>
      <c r="B102" s="19" t="s">
        <v>271</v>
      </c>
      <c r="C102" s="19" t="s">
        <v>39</v>
      </c>
      <c r="D102" s="26" t="s">
        <v>40</v>
      </c>
      <c r="E102" s="19" t="s">
        <v>29</v>
      </c>
      <c r="F102" s="26" t="s">
        <v>467</v>
      </c>
      <c r="G102" s="19">
        <v>32900796169</v>
      </c>
      <c r="H102" s="19" t="s">
        <v>656</v>
      </c>
      <c r="I102" s="20">
        <v>44061</v>
      </c>
      <c r="J102" s="19"/>
      <c r="K102" s="19" t="s">
        <v>45</v>
      </c>
      <c r="L102" s="36" t="s">
        <v>473</v>
      </c>
      <c r="M102" s="20" t="s">
        <v>473</v>
      </c>
      <c r="N102" s="36"/>
      <c r="O102" s="19" t="s">
        <v>45</v>
      </c>
      <c r="P102" s="19">
        <v>1276520</v>
      </c>
      <c r="Q102" s="36"/>
      <c r="R102" s="36"/>
      <c r="S102" s="19" t="s">
        <v>45</v>
      </c>
      <c r="T102" s="19" t="s">
        <v>657</v>
      </c>
      <c r="U102" s="19" t="s">
        <v>49</v>
      </c>
      <c r="V102" s="19" t="s">
        <v>658</v>
      </c>
      <c r="W102" s="35" t="s">
        <v>659</v>
      </c>
      <c r="X102" s="21"/>
      <c r="Y102" s="22">
        <v>76535764023003</v>
      </c>
      <c r="Z102" s="23">
        <f t="shared" ref="Z102:Z155" si="2">A102</f>
        <v>100</v>
      </c>
      <c r="AA102" s="24" t="str">
        <f>IFERROR(VLOOKUP($Z102,'[1]End Fat Serviço - PA 15 e 16'!$K$3:$K$31,1,0), "")</f>
        <v/>
      </c>
      <c r="AB102" s="24" t="str">
        <f>IFERROR(VLOOKUP($Z102,'[1]End Fat Material - PA 12'!$K$3:$K$64,1,0), "")</f>
        <v/>
      </c>
      <c r="AC102" s="24" t="str">
        <f>IFERROR(VLOOKUP($Z102,'[1]End CA Lotação'!$L$3:$L$36,1,0), "")</f>
        <v/>
      </c>
      <c r="AD102" s="24" t="str">
        <f>IFERROR(VLOOKUP(Z102,'[1]RH - PARA 21.03'!$M$3:$M$555,1,0),"")</f>
        <v/>
      </c>
      <c r="AE102" s="23" t="str">
        <f>IFERROR(VLOOKUP($Z102,'[1]CNPJ Oi Fat'!$K$3:$K$32,1,0),"")</f>
        <v/>
      </c>
      <c r="AF102" s="23" t="str">
        <f>IFERROR(VLOOKUP(Z102,'[1]End Logística Oi'!$D$3:$D$29,1,0),"")</f>
        <v/>
      </c>
      <c r="AG102" s="23" t="str">
        <f>IFERROR(VLOOKUP(Z102,'[1]End Logística Oi'!$J$3:$J$29,1,0),"")</f>
        <v/>
      </c>
      <c r="AI102" s="23" t="s">
        <v>55</v>
      </c>
      <c r="AJ102" s="23" t="s">
        <v>55</v>
      </c>
      <c r="AK102" s="23" t="e">
        <v>#N/A</v>
      </c>
    </row>
    <row r="103" spans="1:38" s="23" customFormat="1" ht="15" hidden="1" customHeight="1" x14ac:dyDescent="0.25">
      <c r="A103" s="19">
        <v>101</v>
      </c>
      <c r="B103" s="19" t="s">
        <v>271</v>
      </c>
      <c r="C103" s="19" t="s">
        <v>39</v>
      </c>
      <c r="D103" s="26" t="s">
        <v>40</v>
      </c>
      <c r="E103" s="19" t="s">
        <v>29</v>
      </c>
      <c r="F103" s="26" t="s">
        <v>467</v>
      </c>
      <c r="G103" s="19">
        <v>32900796134</v>
      </c>
      <c r="H103" s="19" t="s">
        <v>660</v>
      </c>
      <c r="I103" s="20">
        <v>44061</v>
      </c>
      <c r="J103" s="19"/>
      <c r="K103" s="19" t="s">
        <v>45</v>
      </c>
      <c r="L103" s="36" t="s">
        <v>473</v>
      </c>
      <c r="M103" s="20" t="s">
        <v>473</v>
      </c>
      <c r="N103" s="36"/>
      <c r="O103" s="19" t="s">
        <v>45</v>
      </c>
      <c r="P103" s="19" t="s">
        <v>661</v>
      </c>
      <c r="Q103" s="36"/>
      <c r="R103" s="36"/>
      <c r="S103" s="19" t="s">
        <v>45</v>
      </c>
      <c r="T103" s="19" t="s">
        <v>662</v>
      </c>
      <c r="U103" s="19" t="s">
        <v>663</v>
      </c>
      <c r="V103" s="19" t="s">
        <v>664</v>
      </c>
      <c r="W103" s="35" t="s">
        <v>665</v>
      </c>
      <c r="X103" s="21"/>
      <c r="Y103" s="22">
        <v>76535764022708</v>
      </c>
      <c r="Z103" s="23">
        <f t="shared" si="2"/>
        <v>101</v>
      </c>
      <c r="AA103" s="24" t="str">
        <f>IFERROR(VLOOKUP($Z103,'[1]End Fat Serviço - PA 15 e 16'!$K$3:$K$31,1,0), "")</f>
        <v/>
      </c>
      <c r="AB103" s="24" t="str">
        <f>IFERROR(VLOOKUP($Z103,'[1]End Fat Material - PA 12'!$K$3:$K$64,1,0), "")</f>
        <v/>
      </c>
      <c r="AC103" s="24" t="str">
        <f>IFERROR(VLOOKUP($Z103,'[1]End CA Lotação'!$L$3:$L$36,1,0), "")</f>
        <v/>
      </c>
      <c r="AD103" s="24" t="str">
        <f>IFERROR(VLOOKUP(Z103,'[1]RH - PARA 21.03'!$M$3:$M$555,1,0),"")</f>
        <v/>
      </c>
      <c r="AE103" s="23" t="str">
        <f>IFERROR(VLOOKUP($Z103,'[1]CNPJ Oi Fat'!$K$3:$K$32,1,0),"")</f>
        <v/>
      </c>
      <c r="AF103" s="23" t="str">
        <f>IFERROR(VLOOKUP(Z103,'[1]End Logística Oi'!$D$3:$D$29,1,0),"")</f>
        <v/>
      </c>
      <c r="AG103" s="23" t="str">
        <f>IFERROR(VLOOKUP(Z103,'[1]End Logística Oi'!$J$3:$J$29,1,0),"")</f>
        <v/>
      </c>
      <c r="AI103" s="23" t="s">
        <v>55</v>
      </c>
      <c r="AJ103" s="23" t="s">
        <v>55</v>
      </c>
      <c r="AK103" s="23" t="e">
        <v>#N/A</v>
      </c>
    </row>
    <row r="104" spans="1:38" s="23" customFormat="1" ht="15" hidden="1" customHeight="1" x14ac:dyDescent="0.25">
      <c r="A104" s="19">
        <v>102</v>
      </c>
      <c r="B104" s="19" t="s">
        <v>271</v>
      </c>
      <c r="C104" s="19" t="s">
        <v>39</v>
      </c>
      <c r="D104" s="26" t="s">
        <v>40</v>
      </c>
      <c r="E104" s="19" t="s">
        <v>29</v>
      </c>
      <c r="F104" s="26" t="s">
        <v>467</v>
      </c>
      <c r="G104" s="19">
        <v>32900796096</v>
      </c>
      <c r="H104" s="19" t="s">
        <v>666</v>
      </c>
      <c r="I104" s="20">
        <v>44061</v>
      </c>
      <c r="J104" s="19"/>
      <c r="K104" s="19" t="s">
        <v>45</v>
      </c>
      <c r="L104" s="36" t="s">
        <v>473</v>
      </c>
      <c r="M104" s="20" t="s">
        <v>473</v>
      </c>
      <c r="N104" s="36"/>
      <c r="O104" s="19" t="s">
        <v>45</v>
      </c>
      <c r="P104" s="19">
        <v>54859</v>
      </c>
      <c r="Q104" s="20">
        <v>44119</v>
      </c>
      <c r="R104" s="36"/>
      <c r="S104" s="19" t="s">
        <v>45</v>
      </c>
      <c r="T104" s="19" t="s">
        <v>667</v>
      </c>
      <c r="U104" s="19" t="s">
        <v>668</v>
      </c>
      <c r="V104" s="19" t="s">
        <v>669</v>
      </c>
      <c r="W104" s="35" t="s">
        <v>670</v>
      </c>
      <c r="X104" s="21"/>
      <c r="Y104" s="22">
        <v>76535764022384</v>
      </c>
      <c r="Z104" s="23">
        <f t="shared" si="2"/>
        <v>102</v>
      </c>
      <c r="AA104" s="24" t="str">
        <f>IFERROR(VLOOKUP($Z104,'[1]End Fat Serviço - PA 15 e 16'!$K$3:$K$31,1,0), "")</f>
        <v/>
      </c>
      <c r="AB104" s="24" t="str">
        <f>IFERROR(VLOOKUP($Z104,'[1]End Fat Material - PA 12'!$K$3:$K$64,1,0), "")</f>
        <v/>
      </c>
      <c r="AC104" s="24" t="str">
        <f>IFERROR(VLOOKUP($Z104,'[1]End CA Lotação'!$L$3:$L$36,1,0), "")</f>
        <v/>
      </c>
      <c r="AD104" s="24" t="str">
        <f>IFERROR(VLOOKUP(Z104,'[1]RH - PARA 21.03'!$M$3:$M$555,1,0),"")</f>
        <v/>
      </c>
      <c r="AE104" s="23" t="str">
        <f>IFERROR(VLOOKUP($Z104,'[1]CNPJ Oi Fat'!$K$3:$K$32,1,0),"")</f>
        <v/>
      </c>
      <c r="AF104" s="23" t="str">
        <f>IFERROR(VLOOKUP(Z104,'[1]End Logística Oi'!$D$3:$D$29,1,0),"")</f>
        <v/>
      </c>
      <c r="AG104" s="23" t="str">
        <f>IFERROR(VLOOKUP(Z104,'[1]End Logística Oi'!$J$3:$J$29,1,0),"")</f>
        <v/>
      </c>
      <c r="AI104" s="23" t="s">
        <v>55</v>
      </c>
      <c r="AJ104" s="23" t="s">
        <v>55</v>
      </c>
      <c r="AK104" s="23" t="e">
        <v>#N/A</v>
      </c>
    </row>
    <row r="105" spans="1:38" s="23" customFormat="1" ht="15" hidden="1" customHeight="1" x14ac:dyDescent="0.25">
      <c r="A105" s="19">
        <v>103</v>
      </c>
      <c r="B105" s="19" t="s">
        <v>271</v>
      </c>
      <c r="C105" s="19" t="s">
        <v>39</v>
      </c>
      <c r="D105" s="26" t="s">
        <v>40</v>
      </c>
      <c r="E105" s="19" t="s">
        <v>29</v>
      </c>
      <c r="F105" s="26" t="s">
        <v>467</v>
      </c>
      <c r="G105" s="19">
        <v>32900796118</v>
      </c>
      <c r="H105" s="19" t="s">
        <v>671</v>
      </c>
      <c r="I105" s="20">
        <v>44061</v>
      </c>
      <c r="J105" s="19"/>
      <c r="K105" s="19" t="s">
        <v>45</v>
      </c>
      <c r="L105" s="36" t="s">
        <v>473</v>
      </c>
      <c r="M105" s="20" t="s">
        <v>473</v>
      </c>
      <c r="N105" s="36"/>
      <c r="O105" s="19" t="s">
        <v>45</v>
      </c>
      <c r="P105" s="19">
        <v>33903</v>
      </c>
      <c r="Q105" s="36"/>
      <c r="R105" s="36"/>
      <c r="S105" s="19" t="s">
        <v>45</v>
      </c>
      <c r="T105" s="19" t="s">
        <v>672</v>
      </c>
      <c r="U105" s="19" t="s">
        <v>49</v>
      </c>
      <c r="V105" s="19" t="s">
        <v>673</v>
      </c>
      <c r="W105" s="35" t="s">
        <v>674</v>
      </c>
      <c r="X105" s="21"/>
      <c r="Y105" s="22">
        <v>76535764022546</v>
      </c>
      <c r="Z105" s="23">
        <f t="shared" si="2"/>
        <v>103</v>
      </c>
      <c r="AA105" s="24" t="str">
        <f>IFERROR(VLOOKUP($Z105,'[1]End Fat Serviço - PA 15 e 16'!$K$3:$K$31,1,0), "")</f>
        <v/>
      </c>
      <c r="AB105" s="24" t="str">
        <f>IFERROR(VLOOKUP($Z105,'[1]End Fat Material - PA 12'!$K$3:$K$64,1,0), "")</f>
        <v/>
      </c>
      <c r="AC105" s="24" t="str">
        <f>IFERROR(VLOOKUP($Z105,'[1]End CA Lotação'!$L$3:$L$36,1,0), "")</f>
        <v/>
      </c>
      <c r="AD105" s="24" t="str">
        <f>IFERROR(VLOOKUP(Z105,'[1]RH - PARA 21.03'!$M$3:$M$555,1,0),"")</f>
        <v/>
      </c>
      <c r="AE105" s="23" t="str">
        <f>IFERROR(VLOOKUP($Z105,'[1]CNPJ Oi Fat'!$K$3:$K$32,1,0),"")</f>
        <v/>
      </c>
      <c r="AF105" s="23" t="str">
        <f>IFERROR(VLOOKUP(Z105,'[1]End Logística Oi'!$D$3:$D$29,1,0),"")</f>
        <v/>
      </c>
      <c r="AG105" s="23" t="str">
        <f>IFERROR(VLOOKUP(Z105,'[1]End Logística Oi'!$J$3:$J$29,1,0),"")</f>
        <v/>
      </c>
      <c r="AI105" s="23" t="s">
        <v>55</v>
      </c>
      <c r="AJ105" s="23" t="s">
        <v>55</v>
      </c>
      <c r="AK105" s="23" t="e">
        <v>#N/A</v>
      </c>
    </row>
    <row r="106" spans="1:38" s="23" customFormat="1" ht="15" hidden="1" customHeight="1" x14ac:dyDescent="0.25">
      <c r="A106" s="19">
        <v>104</v>
      </c>
      <c r="B106" s="19" t="s">
        <v>271</v>
      </c>
      <c r="C106" s="19" t="s">
        <v>39</v>
      </c>
      <c r="D106" s="26" t="s">
        <v>40</v>
      </c>
      <c r="E106" s="19" t="s">
        <v>29</v>
      </c>
      <c r="F106" s="26" t="s">
        <v>467</v>
      </c>
      <c r="G106" s="19">
        <v>32900796100</v>
      </c>
      <c r="H106" s="19" t="s">
        <v>675</v>
      </c>
      <c r="I106" s="20">
        <v>44061</v>
      </c>
      <c r="J106" s="19"/>
      <c r="K106" s="19" t="s">
        <v>45</v>
      </c>
      <c r="L106" s="36" t="s">
        <v>473</v>
      </c>
      <c r="M106" s="20" t="s">
        <v>473</v>
      </c>
      <c r="N106" s="36"/>
      <c r="O106" s="19" t="s">
        <v>45</v>
      </c>
      <c r="P106" s="19">
        <v>16702</v>
      </c>
      <c r="Q106" s="36"/>
      <c r="R106" s="36"/>
      <c r="S106" s="19" t="s">
        <v>45</v>
      </c>
      <c r="T106" s="19" t="s">
        <v>676</v>
      </c>
      <c r="U106" s="19" t="s">
        <v>83</v>
      </c>
      <c r="V106" s="19" t="s">
        <v>677</v>
      </c>
      <c r="W106" s="35" t="s">
        <v>678</v>
      </c>
      <c r="X106" s="21"/>
      <c r="Y106" s="22">
        <v>76535764022465</v>
      </c>
      <c r="Z106" s="23">
        <f t="shared" si="2"/>
        <v>104</v>
      </c>
      <c r="AA106" s="24" t="str">
        <f>IFERROR(VLOOKUP($Z106,'[1]End Fat Serviço - PA 15 e 16'!$K$3:$K$31,1,0), "")</f>
        <v/>
      </c>
      <c r="AB106" s="24" t="str">
        <f>IFERROR(VLOOKUP($Z106,'[1]End Fat Material - PA 12'!$K$3:$K$64,1,0), "")</f>
        <v/>
      </c>
      <c r="AC106" s="24" t="str">
        <f>IFERROR(VLOOKUP($Z106,'[1]End CA Lotação'!$L$3:$L$36,1,0), "")</f>
        <v/>
      </c>
      <c r="AD106" s="24" t="str">
        <f>IFERROR(VLOOKUP(Z106,'[1]RH - PARA 21.03'!$M$3:$M$555,1,0),"")</f>
        <v/>
      </c>
      <c r="AE106" s="23" t="str">
        <f>IFERROR(VLOOKUP($Z106,'[1]CNPJ Oi Fat'!$K$3:$K$32,1,0),"")</f>
        <v/>
      </c>
      <c r="AF106" s="23" t="str">
        <f>IFERROR(VLOOKUP(Z106,'[1]End Logística Oi'!$D$3:$D$29,1,0),"")</f>
        <v/>
      </c>
      <c r="AG106" s="23" t="str">
        <f>IFERROR(VLOOKUP(Z106,'[1]End Logística Oi'!$J$3:$J$29,1,0),"")</f>
        <v/>
      </c>
      <c r="AI106" s="23" t="s">
        <v>55</v>
      </c>
      <c r="AJ106" s="23" t="s">
        <v>55</v>
      </c>
      <c r="AK106" s="23" t="e">
        <v>#N/A</v>
      </c>
    </row>
    <row r="107" spans="1:38" s="23" customFormat="1" ht="15" hidden="1" customHeight="1" x14ac:dyDescent="0.25">
      <c r="A107" s="19">
        <v>105</v>
      </c>
      <c r="B107" s="19" t="s">
        <v>271</v>
      </c>
      <c r="C107" s="19" t="s">
        <v>39</v>
      </c>
      <c r="D107" s="26" t="s">
        <v>40</v>
      </c>
      <c r="E107" s="19" t="s">
        <v>29</v>
      </c>
      <c r="F107" s="26" t="s">
        <v>467</v>
      </c>
      <c r="G107" s="19">
        <v>32900796142</v>
      </c>
      <c r="H107" s="19" t="s">
        <v>679</v>
      </c>
      <c r="I107" s="20">
        <v>44061</v>
      </c>
      <c r="J107" s="19"/>
      <c r="K107" s="19" t="s">
        <v>45</v>
      </c>
      <c r="L107" s="36" t="s">
        <v>473</v>
      </c>
      <c r="M107" s="20" t="s">
        <v>473</v>
      </c>
      <c r="N107" s="36"/>
      <c r="O107" s="19" t="s">
        <v>45</v>
      </c>
      <c r="P107" s="19">
        <v>129430</v>
      </c>
      <c r="Q107" s="36"/>
      <c r="R107" s="36"/>
      <c r="S107" s="19" t="s">
        <v>45</v>
      </c>
      <c r="T107" s="19" t="s">
        <v>680</v>
      </c>
      <c r="U107" s="19" t="s">
        <v>681</v>
      </c>
      <c r="V107" s="19" t="s">
        <v>682</v>
      </c>
      <c r="W107" s="35" t="s">
        <v>683</v>
      </c>
      <c r="X107" s="21"/>
      <c r="Y107" s="22">
        <v>76535764022899</v>
      </c>
      <c r="Z107" s="23">
        <f t="shared" si="2"/>
        <v>105</v>
      </c>
      <c r="AA107" s="24" t="str">
        <f>IFERROR(VLOOKUP($Z107,'[1]End Fat Serviço - PA 15 e 16'!$K$3:$K$31,1,0), "")</f>
        <v/>
      </c>
      <c r="AB107" s="24" t="str">
        <f>IFERROR(VLOOKUP($Z107,'[1]End Fat Material - PA 12'!$K$3:$K$64,1,0), "")</f>
        <v/>
      </c>
      <c r="AC107" s="24" t="str">
        <f>IFERROR(VLOOKUP($Z107,'[1]End CA Lotação'!$L$3:$L$36,1,0), "")</f>
        <v/>
      </c>
      <c r="AD107" s="24" t="str">
        <f>IFERROR(VLOOKUP(Z107,'[1]RH - PARA 21.03'!$M$3:$M$555,1,0),"")</f>
        <v/>
      </c>
      <c r="AE107" s="23" t="str">
        <f>IFERROR(VLOOKUP($Z107,'[1]CNPJ Oi Fat'!$K$3:$K$32,1,0),"")</f>
        <v/>
      </c>
      <c r="AF107" s="23" t="str">
        <f>IFERROR(VLOOKUP(Z107,'[1]End Logística Oi'!$D$3:$D$29,1,0),"")</f>
        <v/>
      </c>
      <c r="AG107" s="23" t="str">
        <f>IFERROR(VLOOKUP(Z107,'[1]End Logística Oi'!$J$3:$J$29,1,0),"")</f>
        <v/>
      </c>
      <c r="AI107" s="23" t="s">
        <v>55</v>
      </c>
      <c r="AJ107" s="23" t="s">
        <v>55</v>
      </c>
      <c r="AK107" s="23" t="e">
        <v>#N/A</v>
      </c>
    </row>
    <row r="108" spans="1:38" s="23" customFormat="1" ht="15" customHeight="1" x14ac:dyDescent="0.25">
      <c r="A108" s="19">
        <v>106</v>
      </c>
      <c r="B108" s="19" t="s">
        <v>245</v>
      </c>
      <c r="C108" s="19" t="s">
        <v>39</v>
      </c>
      <c r="D108" s="26" t="s">
        <v>40</v>
      </c>
      <c r="E108" s="19" t="s">
        <v>29</v>
      </c>
      <c r="F108" s="26" t="s">
        <v>467</v>
      </c>
      <c r="G108" s="19">
        <v>21900585835</v>
      </c>
      <c r="H108" s="19" t="s">
        <v>684</v>
      </c>
      <c r="I108" s="20">
        <v>44061</v>
      </c>
      <c r="J108" s="19"/>
      <c r="K108" s="19" t="s">
        <v>45</v>
      </c>
      <c r="L108" s="19" t="s">
        <v>473</v>
      </c>
      <c r="M108" s="20">
        <v>44061</v>
      </c>
      <c r="N108" s="36"/>
      <c r="O108" s="19" t="s">
        <v>45</v>
      </c>
      <c r="P108" s="19">
        <v>902590</v>
      </c>
      <c r="Q108" s="36"/>
      <c r="R108" s="36"/>
      <c r="S108" s="19" t="s">
        <v>45</v>
      </c>
      <c r="T108" s="19" t="s">
        <v>685</v>
      </c>
      <c r="U108" s="19" t="s">
        <v>49</v>
      </c>
      <c r="V108" s="19" t="s">
        <v>686</v>
      </c>
      <c r="W108" s="35" t="s">
        <v>687</v>
      </c>
      <c r="X108" s="21"/>
      <c r="Y108" s="22">
        <v>76535764023275</v>
      </c>
      <c r="Z108" s="23">
        <f t="shared" si="2"/>
        <v>106</v>
      </c>
      <c r="AA108" s="24" t="str">
        <f>IFERROR(VLOOKUP($Z108,'[1]End Fat Serviço - PA 15 e 16'!$K$3:$K$31,1,0), "")</f>
        <v/>
      </c>
      <c r="AB108" s="24" t="str">
        <f>IFERROR(VLOOKUP($Z108,'[1]End Fat Material - PA 12'!$K$3:$K$64,1,0), "")</f>
        <v/>
      </c>
      <c r="AC108" s="24" t="str">
        <f>IFERROR(VLOOKUP($Z108,'[1]End CA Lotação'!$L$3:$L$36,1,0), "")</f>
        <v/>
      </c>
      <c r="AD108" s="24">
        <f>IFERROR(VLOOKUP(Z108,'[1]RH - PARA 21.03'!$M$3:$M$555,1,0),"")</f>
        <v>106</v>
      </c>
      <c r="AE108" s="23" t="str">
        <f>IFERROR(VLOOKUP($Z108,'[1]CNPJ Oi Fat'!$K$3:$K$32,1,0),"")</f>
        <v/>
      </c>
      <c r="AF108" s="23" t="str">
        <f>IFERROR(VLOOKUP(Z108,'[1]End Logística Oi'!$D$3:$D$29,1,0),"")</f>
        <v/>
      </c>
      <c r="AG108" s="23" t="str">
        <f>IFERROR(VLOOKUP(Z108,'[1]End Logística Oi'!$J$3:$J$29,1,0),"")</f>
        <v/>
      </c>
      <c r="AI108" s="23" t="s">
        <v>54</v>
      </c>
      <c r="AJ108" s="23" t="s">
        <v>55</v>
      </c>
      <c r="AK108" s="23" t="e">
        <v>#N/A</v>
      </c>
    </row>
    <row r="109" spans="1:38" s="23" customFormat="1" ht="15" customHeight="1" x14ac:dyDescent="0.25">
      <c r="A109" s="19">
        <v>107</v>
      </c>
      <c r="B109" s="19" t="s">
        <v>245</v>
      </c>
      <c r="C109" s="19" t="s">
        <v>39</v>
      </c>
      <c r="D109" s="26" t="s">
        <v>40</v>
      </c>
      <c r="E109" s="19" t="s">
        <v>29</v>
      </c>
      <c r="F109" s="26" t="s">
        <v>467</v>
      </c>
      <c r="G109" s="19">
        <v>21900585827</v>
      </c>
      <c r="H109" s="19" t="s">
        <v>688</v>
      </c>
      <c r="I109" s="20">
        <v>44061</v>
      </c>
      <c r="J109" s="19"/>
      <c r="K109" s="19" t="s">
        <v>45</v>
      </c>
      <c r="L109" s="36" t="s">
        <v>473</v>
      </c>
      <c r="M109" s="20">
        <v>44061</v>
      </c>
      <c r="N109" s="36"/>
      <c r="O109" s="19" t="s">
        <v>45</v>
      </c>
      <c r="P109" s="19" t="s">
        <v>604</v>
      </c>
      <c r="Q109" s="37"/>
      <c r="R109" s="36"/>
      <c r="S109" s="37" t="s">
        <v>604</v>
      </c>
      <c r="T109" s="19" t="s">
        <v>689</v>
      </c>
      <c r="U109" s="19" t="s">
        <v>49</v>
      </c>
      <c r="V109" s="19" t="s">
        <v>690</v>
      </c>
      <c r="W109" s="35" t="s">
        <v>691</v>
      </c>
      <c r="X109" s="21"/>
      <c r="Y109" s="22">
        <v>76535764023194</v>
      </c>
      <c r="Z109" s="23">
        <f t="shared" si="2"/>
        <v>107</v>
      </c>
      <c r="AA109" s="24" t="str">
        <f>IFERROR(VLOOKUP($Z109,'[1]End Fat Serviço - PA 15 e 16'!$K$3:$K$31,1,0), "")</f>
        <v/>
      </c>
      <c r="AB109" s="24" t="str">
        <f>IFERROR(VLOOKUP($Z109,'[1]End Fat Material - PA 12'!$K$3:$K$64,1,0), "")</f>
        <v/>
      </c>
      <c r="AC109" s="24" t="str">
        <f>IFERROR(VLOOKUP($Z109,'[1]End CA Lotação'!$L$3:$L$36,1,0), "")</f>
        <v/>
      </c>
      <c r="AD109" s="24">
        <f>IFERROR(VLOOKUP(Z109,'[1]RH - PARA 21.03'!$M$3:$M$555,1,0),"")</f>
        <v>107</v>
      </c>
      <c r="AE109" s="23" t="str">
        <f>IFERROR(VLOOKUP($Z109,'[1]CNPJ Oi Fat'!$K$3:$K$32,1,0),"")</f>
        <v/>
      </c>
      <c r="AF109" s="23" t="str">
        <f>IFERROR(VLOOKUP(Z109,'[1]End Logística Oi'!$D$3:$D$29,1,0),"")</f>
        <v/>
      </c>
      <c r="AG109" s="23" t="str">
        <f>IFERROR(VLOOKUP(Z109,'[1]End Logística Oi'!$J$3:$J$29,1,0),"")</f>
        <v/>
      </c>
      <c r="AI109" s="23" t="s">
        <v>54</v>
      </c>
      <c r="AJ109" s="23" t="s">
        <v>55</v>
      </c>
      <c r="AK109" s="23" t="e">
        <v>#N/A</v>
      </c>
    </row>
    <row r="110" spans="1:38" s="23" customFormat="1" ht="15" hidden="1" customHeight="1" x14ac:dyDescent="0.25">
      <c r="A110" s="19">
        <v>108</v>
      </c>
      <c r="B110" s="19" t="s">
        <v>68</v>
      </c>
      <c r="C110" s="19" t="s">
        <v>39</v>
      </c>
      <c r="D110" s="26" t="s">
        <v>40</v>
      </c>
      <c r="E110" s="19" t="s">
        <v>479</v>
      </c>
      <c r="F110" s="26" t="s">
        <v>467</v>
      </c>
      <c r="G110" s="19">
        <v>31920019230</v>
      </c>
      <c r="H110" s="19" t="s">
        <v>692</v>
      </c>
      <c r="I110" s="20">
        <v>44061</v>
      </c>
      <c r="J110" s="19"/>
      <c r="K110" s="19" t="s">
        <v>45</v>
      </c>
      <c r="L110" s="36" t="s">
        <v>473</v>
      </c>
      <c r="M110" s="20" t="s">
        <v>473</v>
      </c>
      <c r="N110" s="36"/>
      <c r="O110" s="19"/>
      <c r="P110" s="19">
        <v>1840740059</v>
      </c>
      <c r="Q110" s="36"/>
      <c r="R110" s="36"/>
      <c r="S110" s="19" t="s">
        <v>45</v>
      </c>
      <c r="T110" s="19" t="s">
        <v>693</v>
      </c>
      <c r="U110" s="19" t="s">
        <v>117</v>
      </c>
      <c r="V110" s="19" t="s">
        <v>75</v>
      </c>
      <c r="W110" s="35" t="s">
        <v>694</v>
      </c>
      <c r="X110" s="21"/>
      <c r="Y110" s="22">
        <v>76535764036172</v>
      </c>
      <c r="Z110" s="23">
        <f t="shared" si="2"/>
        <v>108</v>
      </c>
      <c r="AA110" s="24" t="str">
        <f>IFERROR(VLOOKUP($Z110,'[1]End Fat Serviço - PA 15 e 16'!$K$3:$K$31,1,0), "")</f>
        <v/>
      </c>
      <c r="AB110" s="24" t="str">
        <f>IFERROR(VLOOKUP($Z110,'[1]End Fat Material - PA 12'!$K$3:$K$64,1,0), "")</f>
        <v/>
      </c>
      <c r="AC110" s="24" t="str">
        <f>IFERROR(VLOOKUP($Z110,'[1]End CA Lotação'!$L$3:$L$36,1,0), "")</f>
        <v/>
      </c>
      <c r="AD110" s="24" t="str">
        <f>IFERROR(VLOOKUP(Z110,'[1]RH - PARA 21.03'!$M$3:$M$555,1,0),"")</f>
        <v/>
      </c>
      <c r="AE110" s="23" t="str">
        <f>IFERROR(VLOOKUP($Z110,'[1]CNPJ Oi Fat'!$K$3:$K$32,1,0),"")</f>
        <v/>
      </c>
      <c r="AF110" s="23" t="str">
        <f>IFERROR(VLOOKUP(Z110,'[1]End Logística Oi'!$D$3:$D$29,1,0),"")</f>
        <v/>
      </c>
      <c r="AG110" s="23" t="str">
        <f>IFERROR(VLOOKUP(Z110,'[1]End Logística Oi'!$J$3:$J$29,1,0),"")</f>
        <v/>
      </c>
      <c r="AI110" s="23" t="s">
        <v>55</v>
      </c>
      <c r="AJ110" s="23" t="s">
        <v>55</v>
      </c>
      <c r="AK110" s="23" t="e">
        <v>#N/A</v>
      </c>
    </row>
    <row r="111" spans="1:38" s="23" customFormat="1" ht="15" hidden="1" customHeight="1" x14ac:dyDescent="0.25">
      <c r="A111" s="19">
        <v>109</v>
      </c>
      <c r="B111" s="19" t="s">
        <v>68</v>
      </c>
      <c r="C111" s="19" t="s">
        <v>39</v>
      </c>
      <c r="D111" s="26" t="s">
        <v>40</v>
      </c>
      <c r="E111" s="19" t="s">
        <v>479</v>
      </c>
      <c r="F111" s="26" t="s">
        <v>467</v>
      </c>
      <c r="G111" s="19">
        <v>31920017245</v>
      </c>
      <c r="H111" s="19" t="s">
        <v>695</v>
      </c>
      <c r="I111" s="20">
        <v>44061</v>
      </c>
      <c r="J111" s="19"/>
      <c r="K111" s="19" t="s">
        <v>45</v>
      </c>
      <c r="L111" s="36" t="s">
        <v>473</v>
      </c>
      <c r="M111" s="20" t="s">
        <v>473</v>
      </c>
      <c r="N111" s="36"/>
      <c r="O111" s="19"/>
      <c r="P111" s="19">
        <v>767004</v>
      </c>
      <c r="Q111" s="20">
        <v>44266</v>
      </c>
      <c r="R111" s="36"/>
      <c r="S111" s="19" t="s">
        <v>45</v>
      </c>
      <c r="T111" s="19" t="s">
        <v>696</v>
      </c>
      <c r="U111" s="19" t="s">
        <v>697</v>
      </c>
      <c r="V111" s="19" t="s">
        <v>698</v>
      </c>
      <c r="W111" s="35" t="s">
        <v>699</v>
      </c>
      <c r="X111" s="21"/>
      <c r="Y111" s="22">
        <v>76535764029125</v>
      </c>
      <c r="Z111" s="23">
        <f t="shared" si="2"/>
        <v>109</v>
      </c>
      <c r="AA111" s="24" t="str">
        <f>IFERROR(VLOOKUP($Z111,'[1]End Fat Serviço - PA 15 e 16'!$K$3:$K$31,1,0), "")</f>
        <v/>
      </c>
      <c r="AB111" s="24" t="str">
        <f>IFERROR(VLOOKUP($Z111,'[1]End Fat Material - PA 12'!$K$3:$K$64,1,0), "")</f>
        <v/>
      </c>
      <c r="AC111" s="24" t="str">
        <f>IFERROR(VLOOKUP($Z111,'[1]End CA Lotação'!$L$3:$L$36,1,0), "")</f>
        <v/>
      </c>
      <c r="AD111" s="24" t="str">
        <f>IFERROR(VLOOKUP(Z111,'[1]RH - PARA 21.03'!$M$3:$M$555,1,0),"")</f>
        <v/>
      </c>
      <c r="AE111" s="23" t="str">
        <f>IFERROR(VLOOKUP($Z111,'[1]CNPJ Oi Fat'!$K$3:$K$32,1,0),"")</f>
        <v/>
      </c>
      <c r="AF111" s="23" t="str">
        <f>IFERROR(VLOOKUP(Z111,'[1]End Logística Oi'!$D$3:$D$29,1,0),"")</f>
        <v/>
      </c>
      <c r="AG111" s="23" t="str">
        <f>IFERROR(VLOOKUP(Z111,'[1]End Logística Oi'!$J$3:$J$29,1,0),"")</f>
        <v/>
      </c>
      <c r="AI111" s="23" t="s">
        <v>55</v>
      </c>
      <c r="AJ111" s="23" t="s">
        <v>55</v>
      </c>
      <c r="AK111" s="23" t="e">
        <v>#N/A</v>
      </c>
    </row>
    <row r="112" spans="1:38" s="23" customFormat="1" ht="15" hidden="1" customHeight="1" x14ac:dyDescent="0.25">
      <c r="A112" s="19">
        <v>110</v>
      </c>
      <c r="B112" s="19" t="s">
        <v>68</v>
      </c>
      <c r="C112" s="19" t="s">
        <v>39</v>
      </c>
      <c r="D112" s="26" t="s">
        <v>40</v>
      </c>
      <c r="E112" s="19" t="s">
        <v>700</v>
      </c>
      <c r="F112" s="26" t="s">
        <v>467</v>
      </c>
      <c r="G112" s="19">
        <v>31920017369</v>
      </c>
      <c r="H112" s="19" t="s">
        <v>701</v>
      </c>
      <c r="I112" s="20">
        <v>44061</v>
      </c>
      <c r="J112" s="19"/>
      <c r="K112" s="19" t="s">
        <v>45</v>
      </c>
      <c r="L112" s="36" t="s">
        <v>473</v>
      </c>
      <c r="M112" s="20" t="s">
        <v>473</v>
      </c>
      <c r="N112" s="36"/>
      <c r="O112" s="19"/>
      <c r="P112" s="19" t="s">
        <v>702</v>
      </c>
      <c r="Q112" s="20">
        <v>44239</v>
      </c>
      <c r="R112" s="36"/>
      <c r="S112" s="19" t="s">
        <v>45</v>
      </c>
      <c r="T112" s="19" t="s">
        <v>703</v>
      </c>
      <c r="U112" s="19" t="s">
        <v>704</v>
      </c>
      <c r="V112" s="19" t="s">
        <v>705</v>
      </c>
      <c r="W112" s="35" t="s">
        <v>706</v>
      </c>
      <c r="X112" s="21"/>
      <c r="Y112" s="22">
        <v>76535764030484</v>
      </c>
      <c r="Z112" s="23">
        <f t="shared" si="2"/>
        <v>110</v>
      </c>
      <c r="AA112" s="24" t="str">
        <f>IFERROR(VLOOKUP($Z112,'[1]End Fat Serviço - PA 15 e 16'!$K$3:$K$31,1,0), "")</f>
        <v/>
      </c>
      <c r="AB112" s="24" t="str">
        <f>IFERROR(VLOOKUP($Z112,'[1]End Fat Material - PA 12'!$K$3:$K$64,1,0), "")</f>
        <v/>
      </c>
      <c r="AC112" s="24" t="str">
        <f>IFERROR(VLOOKUP($Z112,'[1]End CA Lotação'!$L$3:$L$36,1,0), "")</f>
        <v/>
      </c>
      <c r="AD112" s="24" t="str">
        <f>IFERROR(VLOOKUP(Z112,'[1]RH - PARA 21.03'!$M$3:$M$555,1,0),"")</f>
        <v/>
      </c>
      <c r="AE112" s="23" t="str">
        <f>IFERROR(VLOOKUP($Z112,'[1]CNPJ Oi Fat'!$K$3:$K$32,1,0),"")</f>
        <v/>
      </c>
      <c r="AF112" s="23" t="str">
        <f>IFERROR(VLOOKUP(Z112,'[1]End Logística Oi'!$D$3:$D$29,1,0),"")</f>
        <v/>
      </c>
      <c r="AG112" s="23" t="str">
        <f>IFERROR(VLOOKUP(Z112,'[1]End Logística Oi'!$J$3:$J$29,1,0),"")</f>
        <v/>
      </c>
      <c r="AI112" s="23" t="s">
        <v>55</v>
      </c>
      <c r="AJ112" s="23" t="s">
        <v>55</v>
      </c>
      <c r="AK112" s="23" t="e">
        <v>#N/A</v>
      </c>
    </row>
    <row r="113" spans="1:37" s="23" customFormat="1" ht="15" hidden="1" customHeight="1" x14ac:dyDescent="0.25">
      <c r="A113" s="19">
        <v>111</v>
      </c>
      <c r="B113" s="19" t="s">
        <v>68</v>
      </c>
      <c r="C113" s="19" t="s">
        <v>39</v>
      </c>
      <c r="D113" s="26" t="s">
        <v>40</v>
      </c>
      <c r="E113" s="19" t="s">
        <v>479</v>
      </c>
      <c r="F113" s="26" t="s">
        <v>467</v>
      </c>
      <c r="G113" s="19">
        <v>31920017407</v>
      </c>
      <c r="H113" s="19" t="s">
        <v>707</v>
      </c>
      <c r="I113" s="20">
        <v>44061</v>
      </c>
      <c r="J113" s="19"/>
      <c r="K113" s="19" t="s">
        <v>45</v>
      </c>
      <c r="L113" s="36" t="s">
        <v>473</v>
      </c>
      <c r="M113" s="20" t="s">
        <v>473</v>
      </c>
      <c r="N113" s="36"/>
      <c r="O113" s="19"/>
      <c r="P113" s="19">
        <v>77468</v>
      </c>
      <c r="Q113" s="36"/>
      <c r="R113" s="36"/>
      <c r="S113" s="19" t="s">
        <v>45</v>
      </c>
      <c r="T113" s="19" t="s">
        <v>708</v>
      </c>
      <c r="U113" s="19" t="s">
        <v>709</v>
      </c>
      <c r="V113" s="19" t="s">
        <v>710</v>
      </c>
      <c r="W113" s="35" t="s">
        <v>711</v>
      </c>
      <c r="X113" s="21"/>
      <c r="Y113" s="22">
        <v>76535764030808</v>
      </c>
      <c r="Z113" s="23">
        <f t="shared" si="2"/>
        <v>111</v>
      </c>
      <c r="AA113" s="24" t="str">
        <f>IFERROR(VLOOKUP($Z113,'[1]End Fat Serviço - PA 15 e 16'!$K$3:$K$31,1,0), "")</f>
        <v/>
      </c>
      <c r="AB113" s="24" t="str">
        <f>IFERROR(VLOOKUP($Z113,'[1]End Fat Material - PA 12'!$K$3:$K$64,1,0), "")</f>
        <v/>
      </c>
      <c r="AC113" s="24" t="str">
        <f>IFERROR(VLOOKUP($Z113,'[1]End CA Lotação'!$L$3:$L$36,1,0), "")</f>
        <v/>
      </c>
      <c r="AD113" s="24" t="str">
        <f>IFERROR(VLOOKUP(Z113,'[1]RH - PARA 21.03'!$M$3:$M$555,1,0),"")</f>
        <v/>
      </c>
      <c r="AE113" s="23" t="str">
        <f>IFERROR(VLOOKUP($Z113,'[1]CNPJ Oi Fat'!$K$3:$K$32,1,0),"")</f>
        <v/>
      </c>
      <c r="AF113" s="23" t="str">
        <f>IFERROR(VLOOKUP(Z113,'[1]End Logística Oi'!$D$3:$D$29,1,0),"")</f>
        <v/>
      </c>
      <c r="AG113" s="23" t="str">
        <f>IFERROR(VLOOKUP(Z113,'[1]End Logística Oi'!$J$3:$J$29,1,0),"")</f>
        <v/>
      </c>
      <c r="AI113" s="23" t="s">
        <v>55</v>
      </c>
      <c r="AJ113" s="23" t="s">
        <v>55</v>
      </c>
      <c r="AK113" s="23" t="e">
        <v>#N/A</v>
      </c>
    </row>
    <row r="114" spans="1:37" s="23" customFormat="1" ht="15" hidden="1" customHeight="1" x14ac:dyDescent="0.25">
      <c r="A114" s="19">
        <v>112</v>
      </c>
      <c r="B114" s="19" t="s">
        <v>68</v>
      </c>
      <c r="C114" s="19" t="s">
        <v>39</v>
      </c>
      <c r="D114" s="26" t="s">
        <v>40</v>
      </c>
      <c r="E114" s="19" t="s">
        <v>479</v>
      </c>
      <c r="F114" s="26" t="s">
        <v>467</v>
      </c>
      <c r="G114" s="19">
        <v>31920019221</v>
      </c>
      <c r="H114" s="19" t="s">
        <v>712</v>
      </c>
      <c r="I114" s="20">
        <v>44061</v>
      </c>
      <c r="J114" s="19"/>
      <c r="K114" s="19" t="s">
        <v>45</v>
      </c>
      <c r="L114" s="36" t="s">
        <v>473</v>
      </c>
      <c r="M114" s="20" t="s">
        <v>473</v>
      </c>
      <c r="N114" s="36"/>
      <c r="O114" s="19"/>
      <c r="P114" s="19" t="s">
        <v>713</v>
      </c>
      <c r="Q114" s="36"/>
      <c r="R114" s="36"/>
      <c r="S114" s="19" t="s">
        <v>45</v>
      </c>
      <c r="T114" s="19" t="s">
        <v>714</v>
      </c>
      <c r="U114" s="19" t="s">
        <v>715</v>
      </c>
      <c r="V114" s="19" t="s">
        <v>716</v>
      </c>
      <c r="W114" s="35" t="s">
        <v>717</v>
      </c>
      <c r="X114" s="21"/>
      <c r="Y114" s="22">
        <v>76535764036091</v>
      </c>
      <c r="Z114" s="23">
        <f t="shared" si="2"/>
        <v>112</v>
      </c>
      <c r="AA114" s="24" t="str">
        <f>IFERROR(VLOOKUP($Z114,'[1]End Fat Serviço - PA 15 e 16'!$K$3:$K$31,1,0), "")</f>
        <v/>
      </c>
      <c r="AB114" s="24" t="str">
        <f>IFERROR(VLOOKUP($Z114,'[1]End Fat Material - PA 12'!$K$3:$K$64,1,0), "")</f>
        <v/>
      </c>
      <c r="AC114" s="24" t="str">
        <f>IFERROR(VLOOKUP($Z114,'[1]End CA Lotação'!$L$3:$L$36,1,0), "")</f>
        <v/>
      </c>
      <c r="AD114" s="24" t="str">
        <f>IFERROR(VLOOKUP(Z114,'[1]RH - PARA 21.03'!$M$3:$M$555,1,0),"")</f>
        <v/>
      </c>
      <c r="AE114" s="23" t="str">
        <f>IFERROR(VLOOKUP($Z114,'[1]CNPJ Oi Fat'!$K$3:$K$32,1,0),"")</f>
        <v/>
      </c>
      <c r="AF114" s="23" t="str">
        <f>IFERROR(VLOOKUP(Z114,'[1]End Logística Oi'!$D$3:$D$29,1,0),"")</f>
        <v/>
      </c>
      <c r="AG114" s="23" t="str">
        <f>IFERROR(VLOOKUP(Z114,'[1]End Logística Oi'!$J$3:$J$29,1,0),"")</f>
        <v/>
      </c>
      <c r="AI114" s="23" t="s">
        <v>55</v>
      </c>
      <c r="AJ114" s="23" t="s">
        <v>55</v>
      </c>
      <c r="AK114" s="23" t="e">
        <v>#N/A</v>
      </c>
    </row>
    <row r="115" spans="1:37" s="23" customFormat="1" ht="15" hidden="1" customHeight="1" x14ac:dyDescent="0.25">
      <c r="A115" s="19">
        <v>113</v>
      </c>
      <c r="B115" s="19" t="s">
        <v>68</v>
      </c>
      <c r="C115" s="19" t="s">
        <v>39</v>
      </c>
      <c r="D115" s="26" t="s">
        <v>40</v>
      </c>
      <c r="E115" s="19" t="s">
        <v>479</v>
      </c>
      <c r="F115" s="26" t="s">
        <v>467</v>
      </c>
      <c r="G115" s="19">
        <v>31920019213</v>
      </c>
      <c r="H115" s="19" t="s">
        <v>718</v>
      </c>
      <c r="I115" s="20">
        <v>44061</v>
      </c>
      <c r="J115" s="19"/>
      <c r="K115" s="19" t="s">
        <v>45</v>
      </c>
      <c r="L115" s="36" t="s">
        <v>473</v>
      </c>
      <c r="M115" s="20" t="s">
        <v>473</v>
      </c>
      <c r="N115" s="36"/>
      <c r="O115" s="19"/>
      <c r="P115" s="19">
        <v>36507</v>
      </c>
      <c r="Q115" s="36"/>
      <c r="R115" s="36"/>
      <c r="S115" s="19" t="s">
        <v>45</v>
      </c>
      <c r="T115" s="19" t="s">
        <v>719</v>
      </c>
      <c r="U115" s="19" t="s">
        <v>720</v>
      </c>
      <c r="V115" s="19" t="s">
        <v>721</v>
      </c>
      <c r="W115" s="35" t="s">
        <v>722</v>
      </c>
      <c r="X115" s="21"/>
      <c r="Y115" s="22">
        <v>76535764035958</v>
      </c>
      <c r="Z115" s="23">
        <f t="shared" si="2"/>
        <v>113</v>
      </c>
      <c r="AA115" s="24" t="str">
        <f>IFERROR(VLOOKUP($Z115,'[1]End Fat Serviço - PA 15 e 16'!$K$3:$K$31,1,0), "")</f>
        <v/>
      </c>
      <c r="AB115" s="24" t="str">
        <f>IFERROR(VLOOKUP($Z115,'[1]End Fat Material - PA 12'!$K$3:$K$64,1,0), "")</f>
        <v/>
      </c>
      <c r="AC115" s="24" t="str">
        <f>IFERROR(VLOOKUP($Z115,'[1]End CA Lotação'!$L$3:$L$36,1,0), "")</f>
        <v/>
      </c>
      <c r="AD115" s="24" t="str">
        <f>IFERROR(VLOOKUP(Z115,'[1]RH - PARA 21.03'!$M$3:$M$555,1,0),"")</f>
        <v/>
      </c>
      <c r="AE115" s="23" t="str">
        <f>IFERROR(VLOOKUP($Z115,'[1]CNPJ Oi Fat'!$K$3:$K$32,1,0),"")</f>
        <v/>
      </c>
      <c r="AF115" s="23" t="str">
        <f>IFERROR(VLOOKUP(Z115,'[1]End Logística Oi'!$D$3:$D$29,1,0),"")</f>
        <v/>
      </c>
      <c r="AG115" s="23" t="str">
        <f>IFERROR(VLOOKUP(Z115,'[1]End Logística Oi'!$J$3:$J$29,1,0),"")</f>
        <v/>
      </c>
      <c r="AI115" s="23" t="s">
        <v>55</v>
      </c>
      <c r="AJ115" s="23" t="s">
        <v>55</v>
      </c>
      <c r="AK115" s="23" t="e">
        <v>#N/A</v>
      </c>
    </row>
    <row r="116" spans="1:37" s="23" customFormat="1" ht="15" hidden="1" customHeight="1" x14ac:dyDescent="0.25">
      <c r="A116" s="19">
        <v>114</v>
      </c>
      <c r="B116" s="19" t="s">
        <v>68</v>
      </c>
      <c r="C116" s="19" t="s">
        <v>39</v>
      </c>
      <c r="D116" s="26" t="s">
        <v>40</v>
      </c>
      <c r="E116" s="19" t="s">
        <v>479</v>
      </c>
      <c r="F116" s="26" t="s">
        <v>467</v>
      </c>
      <c r="G116" s="19">
        <v>31920017253</v>
      </c>
      <c r="H116" s="19" t="s">
        <v>723</v>
      </c>
      <c r="I116" s="20">
        <v>44061</v>
      </c>
      <c r="J116" s="19"/>
      <c r="K116" s="19" t="s">
        <v>45</v>
      </c>
      <c r="L116" s="36" t="s">
        <v>473</v>
      </c>
      <c r="M116" s="20" t="s">
        <v>473</v>
      </c>
      <c r="N116" s="36"/>
      <c r="O116" s="19"/>
      <c r="P116" s="19">
        <v>92917</v>
      </c>
      <c r="Q116" s="20">
        <v>44167</v>
      </c>
      <c r="R116" s="36"/>
      <c r="S116" s="19" t="s">
        <v>45</v>
      </c>
      <c r="T116" s="19" t="s">
        <v>724</v>
      </c>
      <c r="U116" s="19" t="s">
        <v>725</v>
      </c>
      <c r="V116" s="19" t="s">
        <v>726</v>
      </c>
      <c r="W116" s="35" t="s">
        <v>727</v>
      </c>
      <c r="X116" s="21"/>
      <c r="Y116" s="22">
        <v>76535764029206</v>
      </c>
      <c r="Z116" s="23">
        <f t="shared" si="2"/>
        <v>114</v>
      </c>
      <c r="AA116" s="24" t="str">
        <f>IFERROR(VLOOKUP($Z116,'[1]End Fat Serviço - PA 15 e 16'!$K$3:$K$31,1,0), "")</f>
        <v/>
      </c>
      <c r="AB116" s="24" t="str">
        <f>IFERROR(VLOOKUP($Z116,'[1]End Fat Material - PA 12'!$K$3:$K$64,1,0), "")</f>
        <v/>
      </c>
      <c r="AC116" s="24" t="str">
        <f>IFERROR(VLOOKUP($Z116,'[1]End CA Lotação'!$L$3:$L$36,1,0), "")</f>
        <v/>
      </c>
      <c r="AD116" s="24" t="str">
        <f>IFERROR(VLOOKUP(Z116,'[1]RH - PARA 21.03'!$M$3:$M$555,1,0),"")</f>
        <v/>
      </c>
      <c r="AE116" s="23" t="str">
        <f>IFERROR(VLOOKUP($Z116,'[1]CNPJ Oi Fat'!$K$3:$K$32,1,0),"")</f>
        <v/>
      </c>
      <c r="AF116" s="23" t="str">
        <f>IFERROR(VLOOKUP(Z116,'[1]End Logística Oi'!$D$3:$D$29,1,0),"")</f>
        <v/>
      </c>
      <c r="AG116" s="23" t="str">
        <f>IFERROR(VLOOKUP(Z116,'[1]End Logística Oi'!$J$3:$J$29,1,0),"")</f>
        <v/>
      </c>
      <c r="AI116" s="23" t="s">
        <v>55</v>
      </c>
      <c r="AJ116" s="23" t="s">
        <v>55</v>
      </c>
      <c r="AK116" s="23" t="e">
        <v>#N/A</v>
      </c>
    </row>
    <row r="117" spans="1:37" s="23" customFormat="1" ht="15" hidden="1" customHeight="1" x14ac:dyDescent="0.25">
      <c r="A117" s="19">
        <v>115</v>
      </c>
      <c r="B117" s="19" t="s">
        <v>68</v>
      </c>
      <c r="C117" s="19" t="s">
        <v>39</v>
      </c>
      <c r="D117" s="26" t="s">
        <v>40</v>
      </c>
      <c r="E117" s="19" t="s">
        <v>29</v>
      </c>
      <c r="F117" s="26" t="s">
        <v>467</v>
      </c>
      <c r="G117" s="19">
        <v>31920017270</v>
      </c>
      <c r="H117" s="19" t="s">
        <v>728</v>
      </c>
      <c r="I117" s="20">
        <v>44061</v>
      </c>
      <c r="J117" s="19"/>
      <c r="K117" s="19" t="s">
        <v>45</v>
      </c>
      <c r="L117" s="36" t="s">
        <v>473</v>
      </c>
      <c r="M117" s="20" t="s">
        <v>473</v>
      </c>
      <c r="N117" s="36"/>
      <c r="O117" s="19"/>
      <c r="P117" s="19">
        <v>22591</v>
      </c>
      <c r="Q117" s="36"/>
      <c r="R117" s="36"/>
      <c r="S117" s="19" t="s">
        <v>45</v>
      </c>
      <c r="T117" s="19" t="s">
        <v>729</v>
      </c>
      <c r="U117" s="19" t="s">
        <v>49</v>
      </c>
      <c r="V117" s="19" t="s">
        <v>730</v>
      </c>
      <c r="W117" s="35" t="s">
        <v>731</v>
      </c>
      <c r="X117" s="21"/>
      <c r="Y117" s="22">
        <v>76535764029559</v>
      </c>
      <c r="Z117" s="23">
        <f t="shared" si="2"/>
        <v>115</v>
      </c>
      <c r="AA117" s="24" t="str">
        <f>IFERROR(VLOOKUP($Z117,'[1]End Fat Serviço - PA 15 e 16'!$K$3:$K$31,1,0), "")</f>
        <v/>
      </c>
      <c r="AB117" s="24" t="str">
        <f>IFERROR(VLOOKUP($Z117,'[1]End Fat Material - PA 12'!$K$3:$K$64,1,0), "")</f>
        <v/>
      </c>
      <c r="AC117" s="24" t="str">
        <f>IFERROR(VLOOKUP($Z117,'[1]End CA Lotação'!$L$3:$L$36,1,0), "")</f>
        <v/>
      </c>
      <c r="AD117" s="24" t="str">
        <f>IFERROR(VLOOKUP(Z117,'[1]RH - PARA 21.03'!$M$3:$M$555,1,0),"")</f>
        <v/>
      </c>
      <c r="AE117" s="23" t="str">
        <f>IFERROR(VLOOKUP($Z117,'[1]CNPJ Oi Fat'!$K$3:$K$32,1,0),"")</f>
        <v/>
      </c>
      <c r="AF117" s="23" t="str">
        <f>IFERROR(VLOOKUP(Z117,'[1]End Logística Oi'!$D$3:$D$29,1,0),"")</f>
        <v/>
      </c>
      <c r="AG117" s="23" t="str">
        <f>IFERROR(VLOOKUP(Z117,'[1]End Logística Oi'!$J$3:$J$29,1,0),"")</f>
        <v/>
      </c>
      <c r="AI117" s="23" t="s">
        <v>55</v>
      </c>
      <c r="AJ117" s="23" t="s">
        <v>55</v>
      </c>
      <c r="AK117" s="23" t="e">
        <v>#N/A</v>
      </c>
    </row>
    <row r="118" spans="1:37" s="23" customFormat="1" ht="15" hidden="1" customHeight="1" x14ac:dyDescent="0.25">
      <c r="A118" s="19">
        <v>116</v>
      </c>
      <c r="B118" s="19" t="s">
        <v>68</v>
      </c>
      <c r="C118" s="19" t="s">
        <v>39</v>
      </c>
      <c r="D118" s="26" t="s">
        <v>40</v>
      </c>
      <c r="E118" s="19" t="s">
        <v>29</v>
      </c>
      <c r="F118" s="26" t="s">
        <v>467</v>
      </c>
      <c r="G118" s="19">
        <v>31920017164</v>
      </c>
      <c r="H118" s="19" t="s">
        <v>732</v>
      </c>
      <c r="I118" s="20">
        <v>44061</v>
      </c>
      <c r="J118" s="19"/>
      <c r="K118" s="19" t="s">
        <v>45</v>
      </c>
      <c r="L118" s="36" t="s">
        <v>473</v>
      </c>
      <c r="M118" s="20" t="s">
        <v>473</v>
      </c>
      <c r="N118" s="36"/>
      <c r="O118" s="19"/>
      <c r="P118" s="19">
        <v>5344782</v>
      </c>
      <c r="Q118" s="36"/>
      <c r="R118" s="36"/>
      <c r="S118" s="19" t="s">
        <v>45</v>
      </c>
      <c r="T118" s="19" t="s">
        <v>733</v>
      </c>
      <c r="U118" s="19" t="s">
        <v>49</v>
      </c>
      <c r="V118" s="19" t="s">
        <v>734</v>
      </c>
      <c r="W118" s="35" t="s">
        <v>735</v>
      </c>
      <c r="X118" s="21"/>
      <c r="Y118" s="22">
        <v>76535764028315</v>
      </c>
      <c r="Z118" s="23">
        <f t="shared" si="2"/>
        <v>116</v>
      </c>
      <c r="AA118" s="24" t="str">
        <f>IFERROR(VLOOKUP($Z118,'[1]End Fat Serviço - PA 15 e 16'!$K$3:$K$31,1,0), "")</f>
        <v/>
      </c>
      <c r="AB118" s="24" t="str">
        <f>IFERROR(VLOOKUP($Z118,'[1]End Fat Material - PA 12'!$K$3:$K$64,1,0), "")</f>
        <v/>
      </c>
      <c r="AC118" s="24" t="str">
        <f>IFERROR(VLOOKUP($Z118,'[1]End CA Lotação'!$L$3:$L$36,1,0), "")</f>
        <v/>
      </c>
      <c r="AD118" s="24" t="str">
        <f>IFERROR(VLOOKUP(Z118,'[1]RH - PARA 21.03'!$M$3:$M$555,1,0),"")</f>
        <v/>
      </c>
      <c r="AE118" s="23" t="str">
        <f>IFERROR(VLOOKUP($Z118,'[1]CNPJ Oi Fat'!$K$3:$K$32,1,0),"")</f>
        <v/>
      </c>
      <c r="AF118" s="23" t="str">
        <f>IFERROR(VLOOKUP(Z118,'[1]End Logística Oi'!$D$3:$D$29,1,0),"")</f>
        <v/>
      </c>
      <c r="AG118" s="23" t="str">
        <f>IFERROR(VLOOKUP(Z118,'[1]End Logística Oi'!$J$3:$J$29,1,0),"")</f>
        <v/>
      </c>
      <c r="AI118" s="23" t="s">
        <v>55</v>
      </c>
      <c r="AJ118" s="23" t="s">
        <v>55</v>
      </c>
      <c r="AK118" s="23" t="e">
        <v>#N/A</v>
      </c>
    </row>
    <row r="119" spans="1:37" s="23" customFormat="1" ht="15" hidden="1" customHeight="1" x14ac:dyDescent="0.25">
      <c r="A119" s="19">
        <v>117</v>
      </c>
      <c r="B119" s="19" t="s">
        <v>68</v>
      </c>
      <c r="C119" s="19" t="s">
        <v>39</v>
      </c>
      <c r="D119" s="26" t="s">
        <v>40</v>
      </c>
      <c r="E119" s="19" t="s">
        <v>29</v>
      </c>
      <c r="F119" s="26" t="s">
        <v>467</v>
      </c>
      <c r="G119" s="19">
        <v>31920017377</v>
      </c>
      <c r="H119" s="19" t="s">
        <v>736</v>
      </c>
      <c r="I119" s="20">
        <v>44061</v>
      </c>
      <c r="J119" s="19"/>
      <c r="K119" s="19" t="s">
        <v>45</v>
      </c>
      <c r="L119" s="36" t="s">
        <v>473</v>
      </c>
      <c r="M119" s="20" t="s">
        <v>473</v>
      </c>
      <c r="N119" s="36"/>
      <c r="O119" s="19"/>
      <c r="P119" s="19">
        <v>39703131</v>
      </c>
      <c r="Q119" s="36"/>
      <c r="R119" s="36"/>
      <c r="S119" s="19" t="s">
        <v>45</v>
      </c>
      <c r="T119" s="19" t="s">
        <v>737</v>
      </c>
      <c r="U119" s="19" t="s">
        <v>49</v>
      </c>
      <c r="V119" s="19" t="s">
        <v>738</v>
      </c>
      <c r="W119" s="35" t="s">
        <v>739</v>
      </c>
      <c r="X119" s="21"/>
      <c r="Y119" s="22">
        <v>76535764030565</v>
      </c>
      <c r="Z119" s="23">
        <f t="shared" si="2"/>
        <v>117</v>
      </c>
      <c r="AA119" s="24" t="str">
        <f>IFERROR(VLOOKUP($Z119,'[1]End Fat Serviço - PA 15 e 16'!$K$3:$K$31,1,0), "")</f>
        <v/>
      </c>
      <c r="AB119" s="24" t="str">
        <f>IFERROR(VLOOKUP($Z119,'[1]End Fat Material - PA 12'!$K$3:$K$64,1,0), "")</f>
        <v/>
      </c>
      <c r="AC119" s="24" t="str">
        <f>IFERROR(VLOOKUP($Z119,'[1]End CA Lotação'!$L$3:$L$36,1,0), "")</f>
        <v/>
      </c>
      <c r="AD119" s="24" t="str">
        <f>IFERROR(VLOOKUP(Z119,'[1]RH - PARA 21.03'!$M$3:$M$555,1,0),"")</f>
        <v/>
      </c>
      <c r="AE119" s="23" t="str">
        <f>IFERROR(VLOOKUP($Z119,'[1]CNPJ Oi Fat'!$K$3:$K$32,1,0),"")</f>
        <v/>
      </c>
      <c r="AF119" s="23" t="str">
        <f>IFERROR(VLOOKUP(Z119,'[1]End Logística Oi'!$D$3:$D$29,1,0),"")</f>
        <v/>
      </c>
      <c r="AG119" s="23" t="str">
        <f>IFERROR(VLOOKUP(Z119,'[1]End Logística Oi'!$J$3:$J$29,1,0),"")</f>
        <v/>
      </c>
      <c r="AI119" s="23" t="s">
        <v>55</v>
      </c>
      <c r="AJ119" s="23" t="s">
        <v>55</v>
      </c>
      <c r="AK119" s="23" t="e">
        <v>#N/A</v>
      </c>
    </row>
    <row r="120" spans="1:37" s="23" customFormat="1" ht="15" hidden="1" customHeight="1" x14ac:dyDescent="0.25">
      <c r="A120" s="19">
        <v>118</v>
      </c>
      <c r="B120" s="19" t="s">
        <v>68</v>
      </c>
      <c r="C120" s="19" t="s">
        <v>39</v>
      </c>
      <c r="D120" s="26" t="s">
        <v>40</v>
      </c>
      <c r="E120" s="19" t="s">
        <v>29</v>
      </c>
      <c r="F120" s="26" t="s">
        <v>467</v>
      </c>
      <c r="G120" s="19">
        <v>31920017491</v>
      </c>
      <c r="H120" s="19" t="s">
        <v>740</v>
      </c>
      <c r="I120" s="20">
        <v>44061</v>
      </c>
      <c r="J120" s="19"/>
      <c r="K120" s="19" t="s">
        <v>45</v>
      </c>
      <c r="L120" s="36" t="s">
        <v>473</v>
      </c>
      <c r="M120" s="20" t="s">
        <v>473</v>
      </c>
      <c r="N120" s="36"/>
      <c r="O120" s="19"/>
      <c r="P120" s="19">
        <v>1840740040</v>
      </c>
      <c r="Q120" s="36"/>
      <c r="R120" s="36"/>
      <c r="S120" s="19" t="s">
        <v>45</v>
      </c>
      <c r="T120" s="19" t="s">
        <v>741</v>
      </c>
      <c r="U120" s="19" t="s">
        <v>742</v>
      </c>
      <c r="V120" s="19" t="s">
        <v>75</v>
      </c>
      <c r="W120" s="35" t="s">
        <v>743</v>
      </c>
      <c r="X120" s="21"/>
      <c r="Y120" s="22">
        <v>76535764031880</v>
      </c>
      <c r="Z120" s="23">
        <f t="shared" si="2"/>
        <v>118</v>
      </c>
      <c r="AA120" s="24" t="str">
        <f>IFERROR(VLOOKUP($Z120,'[1]End Fat Serviço - PA 15 e 16'!$K$3:$K$31,1,0), "")</f>
        <v/>
      </c>
      <c r="AB120" s="24" t="str">
        <f>IFERROR(VLOOKUP($Z120,'[1]End Fat Material - PA 12'!$K$3:$K$64,1,0), "")</f>
        <v/>
      </c>
      <c r="AC120" s="24" t="str">
        <f>IFERROR(VLOOKUP($Z120,'[1]End CA Lotação'!$L$3:$L$36,1,0), "")</f>
        <v/>
      </c>
      <c r="AD120" s="24" t="str">
        <f>IFERROR(VLOOKUP(Z120,'[1]RH - PARA 21.03'!$M$3:$M$555,1,0),"")</f>
        <v/>
      </c>
      <c r="AE120" s="23" t="str">
        <f>IFERROR(VLOOKUP($Z120,'[1]CNPJ Oi Fat'!$K$3:$K$32,1,0),"")</f>
        <v/>
      </c>
      <c r="AF120" s="23" t="str">
        <f>IFERROR(VLOOKUP(Z120,'[1]End Logística Oi'!$D$3:$D$29,1,0),"")</f>
        <v/>
      </c>
      <c r="AG120" s="23" t="str">
        <f>IFERROR(VLOOKUP(Z120,'[1]End Logística Oi'!$J$3:$J$29,1,0),"")</f>
        <v/>
      </c>
      <c r="AI120" s="23" t="s">
        <v>55</v>
      </c>
      <c r="AJ120" s="23" t="s">
        <v>55</v>
      </c>
      <c r="AK120" s="23" t="e">
        <v>#N/A</v>
      </c>
    </row>
    <row r="121" spans="1:37" s="23" customFormat="1" ht="15" hidden="1" customHeight="1" x14ac:dyDescent="0.25">
      <c r="A121" s="19">
        <v>119</v>
      </c>
      <c r="B121" s="19" t="s">
        <v>68</v>
      </c>
      <c r="C121" s="19" t="s">
        <v>39</v>
      </c>
      <c r="D121" s="26" t="s">
        <v>40</v>
      </c>
      <c r="E121" s="19" t="s">
        <v>29</v>
      </c>
      <c r="F121" s="26" t="s">
        <v>467</v>
      </c>
      <c r="G121" s="19">
        <v>31920017326</v>
      </c>
      <c r="H121" s="19" t="s">
        <v>744</v>
      </c>
      <c r="I121" s="20">
        <v>44061</v>
      </c>
      <c r="J121" s="19"/>
      <c r="K121" s="19" t="s">
        <v>45</v>
      </c>
      <c r="L121" s="36" t="s">
        <v>473</v>
      </c>
      <c r="M121" s="20" t="s">
        <v>473</v>
      </c>
      <c r="N121" s="36"/>
      <c r="O121" s="19"/>
      <c r="P121" s="19">
        <v>189044</v>
      </c>
      <c r="Q121" s="36"/>
      <c r="R121" s="36"/>
      <c r="S121" s="19" t="s">
        <v>45</v>
      </c>
      <c r="T121" s="19" t="s">
        <v>745</v>
      </c>
      <c r="U121" s="26" t="s">
        <v>49</v>
      </c>
      <c r="V121" s="19" t="s">
        <v>746</v>
      </c>
      <c r="W121" s="35" t="s">
        <v>747</v>
      </c>
      <c r="X121" s="21"/>
      <c r="Y121" s="22">
        <v>76535764030050</v>
      </c>
      <c r="Z121" s="23">
        <f t="shared" si="2"/>
        <v>119</v>
      </c>
      <c r="AA121" s="24" t="str">
        <f>IFERROR(VLOOKUP($Z121,'[1]End Fat Serviço - PA 15 e 16'!$K$3:$K$31,1,0), "")</f>
        <v/>
      </c>
      <c r="AB121" s="24" t="str">
        <f>IFERROR(VLOOKUP($Z121,'[1]End Fat Material - PA 12'!$K$3:$K$64,1,0), "")</f>
        <v/>
      </c>
      <c r="AC121" s="24" t="str">
        <f>IFERROR(VLOOKUP($Z121,'[1]End CA Lotação'!$L$3:$L$36,1,0), "")</f>
        <v/>
      </c>
      <c r="AD121" s="24" t="str">
        <f>IFERROR(VLOOKUP(Z121,'[1]RH - PARA 21.03'!$M$3:$M$555,1,0),"")</f>
        <v/>
      </c>
      <c r="AE121" s="23" t="str">
        <f>IFERROR(VLOOKUP($Z121,'[1]CNPJ Oi Fat'!$K$3:$K$32,1,0),"")</f>
        <v/>
      </c>
      <c r="AF121" s="23" t="str">
        <f>IFERROR(VLOOKUP(Z121,'[1]End Logística Oi'!$D$3:$D$29,1,0),"")</f>
        <v/>
      </c>
      <c r="AG121" s="23" t="str">
        <f>IFERROR(VLOOKUP(Z121,'[1]End Logística Oi'!$J$3:$J$29,1,0),"")</f>
        <v/>
      </c>
      <c r="AI121" s="23" t="s">
        <v>55</v>
      </c>
      <c r="AJ121" s="23" t="s">
        <v>55</v>
      </c>
      <c r="AK121" s="23" t="e">
        <v>#N/A</v>
      </c>
    </row>
    <row r="122" spans="1:37" s="23" customFormat="1" ht="15" hidden="1" customHeight="1" x14ac:dyDescent="0.25">
      <c r="A122" s="19">
        <v>120</v>
      </c>
      <c r="B122" s="19" t="s">
        <v>68</v>
      </c>
      <c r="C122" s="19" t="s">
        <v>39</v>
      </c>
      <c r="D122" s="26" t="s">
        <v>40</v>
      </c>
      <c r="E122" s="19" t="s">
        <v>29</v>
      </c>
      <c r="F122" s="26" t="s">
        <v>467</v>
      </c>
      <c r="G122" s="19">
        <v>31920017474</v>
      </c>
      <c r="H122" s="19" t="s">
        <v>748</v>
      </c>
      <c r="I122" s="20">
        <v>44061</v>
      </c>
      <c r="J122" s="19"/>
      <c r="K122" s="19" t="s">
        <v>45</v>
      </c>
      <c r="L122" s="36" t="s">
        <v>473</v>
      </c>
      <c r="M122" s="20" t="s">
        <v>473</v>
      </c>
      <c r="N122" s="36"/>
      <c r="O122" s="19"/>
      <c r="P122" s="19">
        <v>2218900</v>
      </c>
      <c r="Q122" s="36"/>
      <c r="R122" s="36"/>
      <c r="S122" s="19" t="s">
        <v>45</v>
      </c>
      <c r="T122" s="19" t="s">
        <v>749</v>
      </c>
      <c r="U122" s="26" t="s">
        <v>750</v>
      </c>
      <c r="V122" s="19" t="s">
        <v>751</v>
      </c>
      <c r="W122" s="35" t="s">
        <v>752</v>
      </c>
      <c r="X122" s="21"/>
      <c r="Y122" s="22">
        <v>76535764031537</v>
      </c>
      <c r="Z122" s="23">
        <f t="shared" si="2"/>
        <v>120</v>
      </c>
      <c r="AA122" s="24" t="str">
        <f>IFERROR(VLOOKUP($Z122,'[1]End Fat Serviço - PA 15 e 16'!$K$3:$K$31,1,0), "")</f>
        <v/>
      </c>
      <c r="AB122" s="24" t="str">
        <f>IFERROR(VLOOKUP($Z122,'[1]End Fat Material - PA 12'!$K$3:$K$64,1,0), "")</f>
        <v/>
      </c>
      <c r="AC122" s="24" t="str">
        <f>IFERROR(VLOOKUP($Z122,'[1]End CA Lotação'!$L$3:$L$36,1,0), "")</f>
        <v/>
      </c>
      <c r="AD122" s="24" t="str">
        <f>IFERROR(VLOOKUP(Z122,'[1]RH - PARA 21.03'!$M$3:$M$555,1,0),"")</f>
        <v/>
      </c>
      <c r="AE122" s="23" t="str">
        <f>IFERROR(VLOOKUP($Z122,'[1]CNPJ Oi Fat'!$K$3:$K$32,1,0),"")</f>
        <v/>
      </c>
      <c r="AF122" s="23" t="str">
        <f>IFERROR(VLOOKUP(Z122,'[1]End Logística Oi'!$D$3:$D$29,1,0),"")</f>
        <v/>
      </c>
      <c r="AG122" s="23" t="str">
        <f>IFERROR(VLOOKUP(Z122,'[1]End Logística Oi'!$J$3:$J$29,1,0),"")</f>
        <v/>
      </c>
      <c r="AI122" s="23" t="s">
        <v>55</v>
      </c>
      <c r="AJ122" s="23" t="s">
        <v>55</v>
      </c>
      <c r="AK122" s="23" t="e">
        <v>#N/A</v>
      </c>
    </row>
    <row r="123" spans="1:37" s="23" customFormat="1" ht="15" hidden="1" customHeight="1" x14ac:dyDescent="0.25">
      <c r="A123" s="19">
        <v>121</v>
      </c>
      <c r="B123" s="19" t="s">
        <v>68</v>
      </c>
      <c r="C123" s="19" t="s">
        <v>39</v>
      </c>
      <c r="D123" s="26" t="s">
        <v>40</v>
      </c>
      <c r="E123" s="19" t="s">
        <v>29</v>
      </c>
      <c r="F123" s="26" t="s">
        <v>467</v>
      </c>
      <c r="G123" s="19">
        <v>31920019191</v>
      </c>
      <c r="H123" s="19" t="s">
        <v>753</v>
      </c>
      <c r="I123" s="20">
        <v>44061</v>
      </c>
      <c r="J123" s="19"/>
      <c r="K123" s="19" t="s">
        <v>45</v>
      </c>
      <c r="L123" s="36" t="s">
        <v>473</v>
      </c>
      <c r="M123" s="20" t="s">
        <v>473</v>
      </c>
      <c r="N123" s="36"/>
      <c r="O123" s="19"/>
      <c r="P123" s="19" t="s">
        <v>754</v>
      </c>
      <c r="Q123" s="36"/>
      <c r="R123" s="36"/>
      <c r="S123" s="19" t="s">
        <v>45</v>
      </c>
      <c r="T123" s="19" t="s">
        <v>755</v>
      </c>
      <c r="U123" s="19" t="s">
        <v>49</v>
      </c>
      <c r="V123" s="19" t="s">
        <v>716</v>
      </c>
      <c r="W123" s="35" t="s">
        <v>756</v>
      </c>
      <c r="X123" s="21"/>
      <c r="Y123" s="22">
        <v>76535764035796</v>
      </c>
      <c r="Z123" s="23">
        <f t="shared" si="2"/>
        <v>121</v>
      </c>
      <c r="AA123" s="24" t="str">
        <f>IFERROR(VLOOKUP($Z123,'[1]End Fat Serviço - PA 15 e 16'!$K$3:$K$31,1,0), "")</f>
        <v/>
      </c>
      <c r="AB123" s="24" t="str">
        <f>IFERROR(VLOOKUP($Z123,'[1]End Fat Material - PA 12'!$K$3:$K$64,1,0), "")</f>
        <v/>
      </c>
      <c r="AC123" s="24" t="str">
        <f>IFERROR(VLOOKUP($Z123,'[1]End CA Lotação'!$L$3:$L$36,1,0), "")</f>
        <v/>
      </c>
      <c r="AD123" s="24" t="str">
        <f>IFERROR(VLOOKUP(Z123,'[1]RH - PARA 21.03'!$M$3:$M$555,1,0),"")</f>
        <v/>
      </c>
      <c r="AE123" s="23" t="str">
        <f>IFERROR(VLOOKUP($Z123,'[1]CNPJ Oi Fat'!$K$3:$K$32,1,0),"")</f>
        <v/>
      </c>
      <c r="AF123" s="23" t="str">
        <f>IFERROR(VLOOKUP(Z123,'[1]End Logística Oi'!$D$3:$D$29,1,0),"")</f>
        <v/>
      </c>
      <c r="AG123" s="23" t="str">
        <f>IFERROR(VLOOKUP(Z123,'[1]End Logística Oi'!$J$3:$J$29,1,0),"")</f>
        <v/>
      </c>
      <c r="AI123" s="23" t="s">
        <v>55</v>
      </c>
      <c r="AJ123" s="23" t="s">
        <v>55</v>
      </c>
      <c r="AK123" s="23" t="e">
        <v>#N/A</v>
      </c>
    </row>
    <row r="124" spans="1:37" s="23" customFormat="1" ht="15" hidden="1" customHeight="1" x14ac:dyDescent="0.25">
      <c r="A124" s="19">
        <v>122</v>
      </c>
      <c r="B124" s="19" t="s">
        <v>68</v>
      </c>
      <c r="C124" s="19" t="s">
        <v>39</v>
      </c>
      <c r="D124" s="26" t="s">
        <v>40</v>
      </c>
      <c r="E124" s="19" t="s">
        <v>29</v>
      </c>
      <c r="F124" s="26" t="s">
        <v>467</v>
      </c>
      <c r="G124" s="19">
        <v>31920017539</v>
      </c>
      <c r="H124" s="19" t="s">
        <v>757</v>
      </c>
      <c r="I124" s="20">
        <v>44061</v>
      </c>
      <c r="J124" s="19"/>
      <c r="K124" s="19" t="s">
        <v>45</v>
      </c>
      <c r="L124" s="36" t="s">
        <v>473</v>
      </c>
      <c r="M124" s="20" t="s">
        <v>473</v>
      </c>
      <c r="N124" s="36"/>
      <c r="O124" s="19"/>
      <c r="P124" s="19" t="s">
        <v>758</v>
      </c>
      <c r="Q124" s="20">
        <v>44214</v>
      </c>
      <c r="R124" s="36"/>
      <c r="S124" s="19" t="s">
        <v>45</v>
      </c>
      <c r="T124" s="19" t="s">
        <v>759</v>
      </c>
      <c r="U124" s="26" t="s">
        <v>49</v>
      </c>
      <c r="V124" s="19" t="s">
        <v>716</v>
      </c>
      <c r="W124" s="35" t="s">
        <v>760</v>
      </c>
      <c r="X124" s="21"/>
      <c r="Y124" s="22">
        <v>76535764033580</v>
      </c>
      <c r="Z124" s="23">
        <f t="shared" si="2"/>
        <v>122</v>
      </c>
      <c r="AA124" s="24" t="str">
        <f>IFERROR(VLOOKUP($Z124,'[1]End Fat Serviço - PA 15 e 16'!$K$3:$K$31,1,0), "")</f>
        <v/>
      </c>
      <c r="AB124" s="24" t="str">
        <f>IFERROR(VLOOKUP($Z124,'[1]End Fat Material - PA 12'!$K$3:$K$64,1,0), "")</f>
        <v/>
      </c>
      <c r="AC124" s="24" t="str">
        <f>IFERROR(VLOOKUP($Z124,'[1]End CA Lotação'!$L$3:$L$36,1,0), "")</f>
        <v/>
      </c>
      <c r="AD124" s="24" t="str">
        <f>IFERROR(VLOOKUP(Z124,'[1]RH - PARA 21.03'!$M$3:$M$555,1,0),"")</f>
        <v/>
      </c>
      <c r="AE124" s="23" t="str">
        <f>IFERROR(VLOOKUP($Z124,'[1]CNPJ Oi Fat'!$K$3:$K$32,1,0),"")</f>
        <v/>
      </c>
      <c r="AF124" s="23" t="str">
        <f>IFERROR(VLOOKUP(Z124,'[1]End Logística Oi'!$D$3:$D$29,1,0),"")</f>
        <v/>
      </c>
      <c r="AG124" s="23" t="str">
        <f>IFERROR(VLOOKUP(Z124,'[1]End Logística Oi'!$J$3:$J$29,1,0),"")</f>
        <v/>
      </c>
      <c r="AI124" s="23" t="s">
        <v>55</v>
      </c>
      <c r="AJ124" s="23" t="s">
        <v>55</v>
      </c>
      <c r="AK124" s="23" t="e">
        <v>#N/A</v>
      </c>
    </row>
    <row r="125" spans="1:37" s="23" customFormat="1" ht="15" hidden="1" customHeight="1" x14ac:dyDescent="0.25">
      <c r="A125" s="19">
        <v>123</v>
      </c>
      <c r="B125" s="19" t="s">
        <v>68</v>
      </c>
      <c r="C125" s="19" t="s">
        <v>39</v>
      </c>
      <c r="D125" s="26" t="s">
        <v>40</v>
      </c>
      <c r="E125" s="19" t="s">
        <v>29</v>
      </c>
      <c r="F125" s="26" t="s">
        <v>467</v>
      </c>
      <c r="G125" s="19">
        <v>31920019248</v>
      </c>
      <c r="H125" s="19" t="s">
        <v>761</v>
      </c>
      <c r="I125" s="20">
        <v>44061</v>
      </c>
      <c r="J125" s="19"/>
      <c r="K125" s="19" t="s">
        <v>45</v>
      </c>
      <c r="L125" s="36" t="s">
        <v>473</v>
      </c>
      <c r="M125" s="20" t="s">
        <v>473</v>
      </c>
      <c r="N125" s="36"/>
      <c r="O125" s="19"/>
      <c r="P125" s="19">
        <v>72124829</v>
      </c>
      <c r="Q125" s="36"/>
      <c r="R125" s="36"/>
      <c r="S125" s="19" t="s">
        <v>45</v>
      </c>
      <c r="T125" s="19" t="s">
        <v>762</v>
      </c>
      <c r="U125" s="19" t="s">
        <v>763</v>
      </c>
      <c r="V125" s="19" t="s">
        <v>764</v>
      </c>
      <c r="W125" s="35" t="s">
        <v>765</v>
      </c>
      <c r="X125" s="21"/>
      <c r="Y125" s="22">
        <v>76535764036253</v>
      </c>
      <c r="Z125" s="23">
        <f t="shared" si="2"/>
        <v>123</v>
      </c>
      <c r="AA125" s="24" t="str">
        <f>IFERROR(VLOOKUP($Z125,'[1]End Fat Serviço - PA 15 e 16'!$K$3:$K$31,1,0), "")</f>
        <v/>
      </c>
      <c r="AB125" s="24" t="str">
        <f>IFERROR(VLOOKUP($Z125,'[1]End Fat Material - PA 12'!$K$3:$K$64,1,0), "")</f>
        <v/>
      </c>
      <c r="AC125" s="24" t="str">
        <f>IFERROR(VLOOKUP($Z125,'[1]End CA Lotação'!$L$3:$L$36,1,0), "")</f>
        <v/>
      </c>
      <c r="AD125" s="24" t="str">
        <f>IFERROR(VLOOKUP(Z125,'[1]RH - PARA 21.03'!$M$3:$M$555,1,0),"")</f>
        <v/>
      </c>
      <c r="AE125" s="23" t="str">
        <f>IFERROR(VLOOKUP($Z125,'[1]CNPJ Oi Fat'!$K$3:$K$32,1,0),"")</f>
        <v/>
      </c>
      <c r="AF125" s="23" t="str">
        <f>IFERROR(VLOOKUP(Z125,'[1]End Logística Oi'!$D$3:$D$29,1,0),"")</f>
        <v/>
      </c>
      <c r="AG125" s="23" t="str">
        <f>IFERROR(VLOOKUP(Z125,'[1]End Logística Oi'!$J$3:$J$29,1,0),"")</f>
        <v/>
      </c>
      <c r="AI125" s="23" t="s">
        <v>55</v>
      </c>
      <c r="AJ125" s="23" t="s">
        <v>55</v>
      </c>
      <c r="AK125" s="23" t="e">
        <v>#N/A</v>
      </c>
    </row>
    <row r="126" spans="1:37" s="23" customFormat="1" ht="15" hidden="1" customHeight="1" x14ac:dyDescent="0.25">
      <c r="A126" s="19">
        <v>124</v>
      </c>
      <c r="B126" s="19" t="s">
        <v>68</v>
      </c>
      <c r="C126" s="19" t="s">
        <v>39</v>
      </c>
      <c r="D126" s="26" t="s">
        <v>40</v>
      </c>
      <c r="E126" s="19" t="s">
        <v>29</v>
      </c>
      <c r="F126" s="26" t="s">
        <v>467</v>
      </c>
      <c r="G126" s="19">
        <v>31920017342</v>
      </c>
      <c r="H126" s="19" t="s">
        <v>766</v>
      </c>
      <c r="I126" s="20">
        <v>44061</v>
      </c>
      <c r="J126" s="19"/>
      <c r="K126" s="19" t="s">
        <v>45</v>
      </c>
      <c r="L126" s="36" t="s">
        <v>473</v>
      </c>
      <c r="M126" s="20" t="s">
        <v>473</v>
      </c>
      <c r="N126" s="36"/>
      <c r="O126" s="19"/>
      <c r="P126" s="19">
        <v>225442</v>
      </c>
      <c r="Q126" s="36"/>
      <c r="R126" s="36"/>
      <c r="S126" s="19" t="s">
        <v>45</v>
      </c>
      <c r="T126" s="19" t="s">
        <v>767</v>
      </c>
      <c r="U126" s="19" t="s">
        <v>49</v>
      </c>
      <c r="V126" s="19" t="s">
        <v>768</v>
      </c>
      <c r="W126" s="35" t="s">
        <v>769</v>
      </c>
      <c r="X126" s="21"/>
      <c r="Y126" s="22">
        <v>76535764030212</v>
      </c>
      <c r="Z126" s="23">
        <f t="shared" si="2"/>
        <v>124</v>
      </c>
      <c r="AA126" s="24" t="str">
        <f>IFERROR(VLOOKUP($Z126,'[1]End Fat Serviço - PA 15 e 16'!$K$3:$K$31,1,0), "")</f>
        <v/>
      </c>
      <c r="AB126" s="24" t="str">
        <f>IFERROR(VLOOKUP($Z126,'[1]End Fat Material - PA 12'!$K$3:$K$64,1,0), "")</f>
        <v/>
      </c>
      <c r="AC126" s="24" t="str">
        <f>IFERROR(VLOOKUP($Z126,'[1]End CA Lotação'!$L$3:$L$36,1,0), "")</f>
        <v/>
      </c>
      <c r="AD126" s="24" t="str">
        <f>IFERROR(VLOOKUP(Z126,'[1]RH - PARA 21.03'!$M$3:$M$555,1,0),"")</f>
        <v/>
      </c>
      <c r="AE126" s="23" t="str">
        <f>IFERROR(VLOOKUP($Z126,'[1]CNPJ Oi Fat'!$K$3:$K$32,1,0),"")</f>
        <v/>
      </c>
      <c r="AF126" s="23" t="str">
        <f>IFERROR(VLOOKUP(Z126,'[1]End Logística Oi'!$D$3:$D$29,1,0),"")</f>
        <v/>
      </c>
      <c r="AG126" s="23" t="str">
        <f>IFERROR(VLOOKUP(Z126,'[1]End Logística Oi'!$J$3:$J$29,1,0),"")</f>
        <v/>
      </c>
      <c r="AI126" s="23" t="s">
        <v>55</v>
      </c>
      <c r="AJ126" s="23" t="s">
        <v>55</v>
      </c>
      <c r="AK126" s="23" t="e">
        <v>#N/A</v>
      </c>
    </row>
    <row r="127" spans="1:37" s="23" customFormat="1" ht="15" hidden="1" customHeight="1" x14ac:dyDescent="0.25">
      <c r="A127" s="19">
        <v>125</v>
      </c>
      <c r="B127" s="19" t="s">
        <v>68</v>
      </c>
      <c r="C127" s="19" t="s">
        <v>39</v>
      </c>
      <c r="D127" s="26" t="s">
        <v>40</v>
      </c>
      <c r="E127" s="19" t="s">
        <v>29</v>
      </c>
      <c r="F127" s="26" t="s">
        <v>467</v>
      </c>
      <c r="G127" s="19">
        <v>31920019183</v>
      </c>
      <c r="H127" s="19" t="s">
        <v>770</v>
      </c>
      <c r="I127" s="20">
        <v>44061</v>
      </c>
      <c r="J127" s="19"/>
      <c r="K127" s="19" t="s">
        <v>45</v>
      </c>
      <c r="L127" s="36" t="s">
        <v>473</v>
      </c>
      <c r="M127" s="20" t="s">
        <v>473</v>
      </c>
      <c r="N127" s="36"/>
      <c r="O127" s="19"/>
      <c r="P127" s="19">
        <v>11665</v>
      </c>
      <c r="Q127" s="36"/>
      <c r="R127" s="36"/>
      <c r="S127" s="19" t="s">
        <v>45</v>
      </c>
      <c r="T127" s="19" t="s">
        <v>771</v>
      </c>
      <c r="U127" s="19" t="s">
        <v>772</v>
      </c>
      <c r="V127" s="19" t="s">
        <v>773</v>
      </c>
      <c r="W127" s="35" t="s">
        <v>774</v>
      </c>
      <c r="X127" s="21"/>
      <c r="Y127" s="22">
        <v>76535764035605</v>
      </c>
      <c r="Z127" s="23">
        <f t="shared" si="2"/>
        <v>125</v>
      </c>
      <c r="AA127" s="24" t="str">
        <f>IFERROR(VLOOKUP($Z127,'[1]End Fat Serviço - PA 15 e 16'!$K$3:$K$31,1,0), "")</f>
        <v/>
      </c>
      <c r="AB127" s="24" t="str">
        <f>IFERROR(VLOOKUP($Z127,'[1]End Fat Material - PA 12'!$K$3:$K$64,1,0), "")</f>
        <v/>
      </c>
      <c r="AC127" s="24" t="str">
        <f>IFERROR(VLOOKUP($Z127,'[1]End CA Lotação'!$L$3:$L$36,1,0), "")</f>
        <v/>
      </c>
      <c r="AD127" s="24" t="str">
        <f>IFERROR(VLOOKUP(Z127,'[1]RH - PARA 21.03'!$M$3:$M$555,1,0),"")</f>
        <v/>
      </c>
      <c r="AE127" s="23" t="str">
        <f>IFERROR(VLOOKUP($Z127,'[1]CNPJ Oi Fat'!$K$3:$K$32,1,0),"")</f>
        <v/>
      </c>
      <c r="AF127" s="23" t="str">
        <f>IFERROR(VLOOKUP(Z127,'[1]End Logística Oi'!$D$3:$D$29,1,0),"")</f>
        <v/>
      </c>
      <c r="AG127" s="23" t="str">
        <f>IFERROR(VLOOKUP(Z127,'[1]End Logística Oi'!$J$3:$J$29,1,0),"")</f>
        <v/>
      </c>
      <c r="AI127" s="23" t="s">
        <v>55</v>
      </c>
      <c r="AJ127" s="23" t="s">
        <v>55</v>
      </c>
      <c r="AK127" s="23" t="e">
        <v>#N/A</v>
      </c>
    </row>
    <row r="128" spans="1:37" s="23" customFormat="1" ht="15" hidden="1" customHeight="1" x14ac:dyDescent="0.25">
      <c r="A128" s="19">
        <v>126</v>
      </c>
      <c r="B128" s="19" t="s">
        <v>68</v>
      </c>
      <c r="C128" s="19" t="s">
        <v>39</v>
      </c>
      <c r="D128" s="26" t="s">
        <v>40</v>
      </c>
      <c r="E128" s="19" t="s">
        <v>29</v>
      </c>
      <c r="F128" s="26" t="s">
        <v>467</v>
      </c>
      <c r="G128" s="19">
        <v>31920017521</v>
      </c>
      <c r="H128" s="19" t="s">
        <v>775</v>
      </c>
      <c r="I128" s="20">
        <v>44061</v>
      </c>
      <c r="J128" s="19"/>
      <c r="K128" s="19" t="s">
        <v>45</v>
      </c>
      <c r="L128" s="36" t="s">
        <v>473</v>
      </c>
      <c r="M128" s="20" t="s">
        <v>473</v>
      </c>
      <c r="N128" s="36"/>
      <c r="O128" s="19"/>
      <c r="P128" s="19">
        <v>77787</v>
      </c>
      <c r="Q128" s="36"/>
      <c r="R128" s="36"/>
      <c r="S128" s="19" t="s">
        <v>45</v>
      </c>
      <c r="T128" s="19" t="s">
        <v>776</v>
      </c>
      <c r="U128" s="19" t="s">
        <v>49</v>
      </c>
      <c r="V128" s="19" t="s">
        <v>710</v>
      </c>
      <c r="W128" s="35" t="s">
        <v>777</v>
      </c>
      <c r="X128" s="21"/>
      <c r="Y128" s="22">
        <v>76535764033408</v>
      </c>
      <c r="Z128" s="23">
        <f t="shared" si="2"/>
        <v>126</v>
      </c>
      <c r="AA128" s="24" t="str">
        <f>IFERROR(VLOOKUP($Z128,'[1]End Fat Serviço - PA 15 e 16'!$K$3:$K$31,1,0), "")</f>
        <v/>
      </c>
      <c r="AB128" s="24" t="str">
        <f>IFERROR(VLOOKUP($Z128,'[1]End Fat Material - PA 12'!$K$3:$K$64,1,0), "")</f>
        <v/>
      </c>
      <c r="AC128" s="24" t="str">
        <f>IFERROR(VLOOKUP($Z128,'[1]End CA Lotação'!$L$3:$L$36,1,0), "")</f>
        <v/>
      </c>
      <c r="AD128" s="24" t="str">
        <f>IFERROR(VLOOKUP(Z128,'[1]RH - PARA 21.03'!$M$3:$M$555,1,0),"")</f>
        <v/>
      </c>
      <c r="AE128" s="23" t="str">
        <f>IFERROR(VLOOKUP($Z128,'[1]CNPJ Oi Fat'!$K$3:$K$32,1,0),"")</f>
        <v/>
      </c>
      <c r="AF128" s="23" t="str">
        <f>IFERROR(VLOOKUP(Z128,'[1]End Logística Oi'!$D$3:$D$29,1,0),"")</f>
        <v/>
      </c>
      <c r="AG128" s="23" t="str">
        <f>IFERROR(VLOOKUP(Z128,'[1]End Logística Oi'!$J$3:$J$29,1,0),"")</f>
        <v/>
      </c>
      <c r="AI128" s="23" t="s">
        <v>55</v>
      </c>
      <c r="AJ128" s="23" t="s">
        <v>55</v>
      </c>
      <c r="AK128" s="23" t="e">
        <v>#N/A</v>
      </c>
    </row>
    <row r="129" spans="1:37" s="23" customFormat="1" ht="15" hidden="1" customHeight="1" x14ac:dyDescent="0.25">
      <c r="A129" s="19">
        <v>127</v>
      </c>
      <c r="B129" s="19" t="s">
        <v>68</v>
      </c>
      <c r="C129" s="19" t="s">
        <v>39</v>
      </c>
      <c r="D129" s="26" t="s">
        <v>40</v>
      </c>
      <c r="E129" s="19" t="s">
        <v>29</v>
      </c>
      <c r="F129" s="26" t="s">
        <v>467</v>
      </c>
      <c r="G129" s="19">
        <v>31920017482</v>
      </c>
      <c r="H129" s="19" t="s">
        <v>778</v>
      </c>
      <c r="I129" s="20">
        <v>44061</v>
      </c>
      <c r="J129" s="19"/>
      <c r="K129" s="19" t="s">
        <v>45</v>
      </c>
      <c r="L129" s="36" t="s">
        <v>473</v>
      </c>
      <c r="M129" s="20" t="s">
        <v>473</v>
      </c>
      <c r="N129" s="36"/>
      <c r="O129" s="19"/>
      <c r="P129" s="19">
        <v>767002</v>
      </c>
      <c r="Q129" s="20">
        <v>44266</v>
      </c>
      <c r="R129" s="36"/>
      <c r="S129" s="19" t="s">
        <v>45</v>
      </c>
      <c r="T129" s="19" t="s">
        <v>779</v>
      </c>
      <c r="U129" s="19" t="s">
        <v>697</v>
      </c>
      <c r="V129" s="19" t="s">
        <v>698</v>
      </c>
      <c r="W129" s="35" t="s">
        <v>780</v>
      </c>
      <c r="X129" s="21"/>
      <c r="Y129" s="22">
        <v>76535764031707</v>
      </c>
      <c r="Z129" s="23">
        <f t="shared" si="2"/>
        <v>127</v>
      </c>
      <c r="AA129" s="24" t="str">
        <f>IFERROR(VLOOKUP($Z129,'[1]End Fat Serviço - PA 15 e 16'!$K$3:$K$31,1,0), "")</f>
        <v/>
      </c>
      <c r="AB129" s="24" t="str">
        <f>IFERROR(VLOOKUP($Z129,'[1]End Fat Material - PA 12'!$K$3:$K$64,1,0), "")</f>
        <v/>
      </c>
      <c r="AC129" s="24" t="str">
        <f>IFERROR(VLOOKUP($Z129,'[1]End CA Lotação'!$L$3:$L$36,1,0), "")</f>
        <v/>
      </c>
      <c r="AD129" s="24" t="str">
        <f>IFERROR(VLOOKUP(Z129,'[1]RH - PARA 21.03'!$M$3:$M$555,1,0),"")</f>
        <v/>
      </c>
      <c r="AE129" s="23" t="str">
        <f>IFERROR(VLOOKUP($Z129,'[1]CNPJ Oi Fat'!$K$3:$K$32,1,0),"")</f>
        <v/>
      </c>
      <c r="AF129" s="23" t="str">
        <f>IFERROR(VLOOKUP(Z129,'[1]End Logística Oi'!$D$3:$D$29,1,0),"")</f>
        <v/>
      </c>
      <c r="AG129" s="23" t="str">
        <f>IFERROR(VLOOKUP(Z129,'[1]End Logística Oi'!$J$3:$J$29,1,0),"")</f>
        <v/>
      </c>
      <c r="AI129" s="23" t="s">
        <v>55</v>
      </c>
      <c r="AJ129" s="23" t="s">
        <v>55</v>
      </c>
      <c r="AK129" s="23" t="e">
        <v>#N/A</v>
      </c>
    </row>
    <row r="130" spans="1:37" s="23" customFormat="1" ht="15" hidden="1" customHeight="1" x14ac:dyDescent="0.25">
      <c r="A130" s="19">
        <v>128</v>
      </c>
      <c r="B130" s="19" t="s">
        <v>68</v>
      </c>
      <c r="C130" s="19" t="s">
        <v>39</v>
      </c>
      <c r="D130" s="26" t="s">
        <v>40</v>
      </c>
      <c r="E130" s="19" t="s">
        <v>29</v>
      </c>
      <c r="F130" s="26" t="s">
        <v>467</v>
      </c>
      <c r="G130" s="19">
        <v>31920017229</v>
      </c>
      <c r="H130" s="19" t="s">
        <v>781</v>
      </c>
      <c r="I130" s="20">
        <v>44061</v>
      </c>
      <c r="J130" s="19"/>
      <c r="K130" s="19" t="s">
        <v>45</v>
      </c>
      <c r="L130" s="36" t="s">
        <v>473</v>
      </c>
      <c r="M130" s="20" t="s">
        <v>473</v>
      </c>
      <c r="N130" s="36"/>
      <c r="O130" s="19"/>
      <c r="P130" s="19">
        <v>956005</v>
      </c>
      <c r="Q130" s="36"/>
      <c r="R130" s="36"/>
      <c r="S130" s="19" t="s">
        <v>45</v>
      </c>
      <c r="T130" s="19" t="s">
        <v>782</v>
      </c>
      <c r="U130" s="19" t="s">
        <v>49</v>
      </c>
      <c r="V130" s="19" t="s">
        <v>783</v>
      </c>
      <c r="W130" s="35" t="s">
        <v>784</v>
      </c>
      <c r="X130" s="21"/>
      <c r="Y130" s="22">
        <v>76535764028900</v>
      </c>
      <c r="Z130" s="23">
        <f t="shared" si="2"/>
        <v>128</v>
      </c>
      <c r="AA130" s="24" t="str">
        <f>IFERROR(VLOOKUP($Z130,'[1]End Fat Serviço - PA 15 e 16'!$K$3:$K$31,1,0), "")</f>
        <v/>
      </c>
      <c r="AB130" s="24" t="str">
        <f>IFERROR(VLOOKUP($Z130,'[1]End Fat Material - PA 12'!$K$3:$K$64,1,0), "")</f>
        <v/>
      </c>
      <c r="AC130" s="24" t="str">
        <f>IFERROR(VLOOKUP($Z130,'[1]End CA Lotação'!$L$3:$L$36,1,0), "")</f>
        <v/>
      </c>
      <c r="AD130" s="24" t="str">
        <f>IFERROR(VLOOKUP(Z130,'[1]RH - PARA 21.03'!$M$3:$M$555,1,0),"")</f>
        <v/>
      </c>
      <c r="AE130" s="23" t="str">
        <f>IFERROR(VLOOKUP($Z130,'[1]CNPJ Oi Fat'!$K$3:$K$32,1,0),"")</f>
        <v/>
      </c>
      <c r="AF130" s="23" t="str">
        <f>IFERROR(VLOOKUP(Z130,'[1]End Logística Oi'!$D$3:$D$29,1,0),"")</f>
        <v/>
      </c>
      <c r="AG130" s="23" t="str">
        <f>IFERROR(VLOOKUP(Z130,'[1]End Logística Oi'!$J$3:$J$29,1,0),"")</f>
        <v/>
      </c>
      <c r="AI130" s="23" t="s">
        <v>55</v>
      </c>
      <c r="AJ130" s="23" t="s">
        <v>55</v>
      </c>
      <c r="AK130" s="23" t="e">
        <v>#N/A</v>
      </c>
    </row>
    <row r="131" spans="1:37" s="23" customFormat="1" ht="15" hidden="1" customHeight="1" x14ac:dyDescent="0.25">
      <c r="A131" s="19">
        <v>129</v>
      </c>
      <c r="B131" s="19" t="s">
        <v>68</v>
      </c>
      <c r="C131" s="19" t="s">
        <v>39</v>
      </c>
      <c r="D131" s="26" t="s">
        <v>40</v>
      </c>
      <c r="E131" s="19" t="s">
        <v>29</v>
      </c>
      <c r="F131" s="26" t="s">
        <v>467</v>
      </c>
      <c r="G131" s="19">
        <v>31920017199</v>
      </c>
      <c r="H131" s="19" t="s">
        <v>785</v>
      </c>
      <c r="I131" s="20">
        <v>44061</v>
      </c>
      <c r="J131" s="19"/>
      <c r="K131" s="19" t="s">
        <v>45</v>
      </c>
      <c r="L131" s="36" t="s">
        <v>473</v>
      </c>
      <c r="M131" s="20" t="s">
        <v>473</v>
      </c>
      <c r="N131" s="36"/>
      <c r="O131" s="19"/>
      <c r="P131" s="19">
        <v>35821</v>
      </c>
      <c r="Q131" s="36"/>
      <c r="R131" s="36"/>
      <c r="S131" s="19" t="s">
        <v>45</v>
      </c>
      <c r="T131" s="19" t="s">
        <v>786</v>
      </c>
      <c r="U131" s="19" t="s">
        <v>49</v>
      </c>
      <c r="V131" s="19" t="s">
        <v>787</v>
      </c>
      <c r="W131" s="35" t="s">
        <v>788</v>
      </c>
      <c r="X131" s="21"/>
      <c r="Y131" s="22">
        <v>76535764028668</v>
      </c>
      <c r="Z131" s="23">
        <f t="shared" si="2"/>
        <v>129</v>
      </c>
      <c r="AA131" s="24" t="str">
        <f>IFERROR(VLOOKUP($Z131,'[1]End Fat Serviço - PA 15 e 16'!$K$3:$K$31,1,0), "")</f>
        <v/>
      </c>
      <c r="AB131" s="24" t="str">
        <f>IFERROR(VLOOKUP($Z131,'[1]End Fat Material - PA 12'!$K$3:$K$64,1,0), "")</f>
        <v/>
      </c>
      <c r="AC131" s="24" t="str">
        <f>IFERROR(VLOOKUP($Z131,'[1]End CA Lotação'!$L$3:$L$36,1,0), "")</f>
        <v/>
      </c>
      <c r="AD131" s="24" t="str">
        <f>IFERROR(VLOOKUP(Z131,'[1]RH - PARA 21.03'!$M$3:$M$555,1,0),"")</f>
        <v/>
      </c>
      <c r="AE131" s="23" t="str">
        <f>IFERROR(VLOOKUP($Z131,'[1]CNPJ Oi Fat'!$K$3:$K$32,1,0),"")</f>
        <v/>
      </c>
      <c r="AF131" s="23" t="str">
        <f>IFERROR(VLOOKUP(Z131,'[1]End Logística Oi'!$D$3:$D$29,1,0),"")</f>
        <v/>
      </c>
      <c r="AG131" s="23" t="str">
        <f>IFERROR(VLOOKUP(Z131,'[1]End Logística Oi'!$J$3:$J$29,1,0),"")</f>
        <v/>
      </c>
      <c r="AI131" s="23" t="s">
        <v>55</v>
      </c>
      <c r="AJ131" s="23" t="s">
        <v>55</v>
      </c>
      <c r="AK131" s="23" t="e">
        <v>#N/A</v>
      </c>
    </row>
    <row r="132" spans="1:37" s="23" customFormat="1" ht="15" hidden="1" customHeight="1" x14ac:dyDescent="0.25">
      <c r="A132" s="19">
        <v>130</v>
      </c>
      <c r="B132" s="19" t="s">
        <v>68</v>
      </c>
      <c r="C132" s="19" t="s">
        <v>39</v>
      </c>
      <c r="D132" s="26" t="s">
        <v>40</v>
      </c>
      <c r="E132" s="19" t="s">
        <v>29</v>
      </c>
      <c r="F132" s="26" t="s">
        <v>467</v>
      </c>
      <c r="G132" s="19">
        <v>31920017211</v>
      </c>
      <c r="H132" s="19" t="s">
        <v>789</v>
      </c>
      <c r="I132" s="20">
        <v>44061</v>
      </c>
      <c r="J132" s="19"/>
      <c r="K132" s="19" t="s">
        <v>45</v>
      </c>
      <c r="L132" s="36" t="s">
        <v>473</v>
      </c>
      <c r="M132" s="20" t="s">
        <v>473</v>
      </c>
      <c r="N132" s="36"/>
      <c r="O132" s="19"/>
      <c r="P132" s="19">
        <v>25672</v>
      </c>
      <c r="Q132" s="20">
        <v>44251</v>
      </c>
      <c r="R132" s="36"/>
      <c r="S132" s="19" t="s">
        <v>45</v>
      </c>
      <c r="T132" s="19" t="s">
        <v>790</v>
      </c>
      <c r="U132" s="19" t="s">
        <v>791</v>
      </c>
      <c r="V132" s="19" t="s">
        <v>792</v>
      </c>
      <c r="W132" s="35" t="s">
        <v>793</v>
      </c>
      <c r="X132" s="21"/>
      <c r="Y132" s="22">
        <v>76535764028820</v>
      </c>
      <c r="Z132" s="23">
        <f t="shared" si="2"/>
        <v>130</v>
      </c>
      <c r="AA132" s="24" t="str">
        <f>IFERROR(VLOOKUP($Z132,'[1]End Fat Serviço - PA 15 e 16'!$K$3:$K$31,1,0), "")</f>
        <v/>
      </c>
      <c r="AB132" s="24" t="str">
        <f>IFERROR(VLOOKUP($Z132,'[1]End Fat Material - PA 12'!$K$3:$K$64,1,0), "")</f>
        <v/>
      </c>
      <c r="AC132" s="24" t="str">
        <f>IFERROR(VLOOKUP($Z132,'[1]End CA Lotação'!$L$3:$L$36,1,0), "")</f>
        <v/>
      </c>
      <c r="AD132" s="24" t="str">
        <f>IFERROR(VLOOKUP(Z132,'[1]RH - PARA 21.03'!$M$3:$M$555,1,0),"")</f>
        <v/>
      </c>
      <c r="AE132" s="23" t="str">
        <f>IFERROR(VLOOKUP($Z132,'[1]CNPJ Oi Fat'!$K$3:$K$32,1,0),"")</f>
        <v/>
      </c>
      <c r="AF132" s="23" t="str">
        <f>IFERROR(VLOOKUP(Z132,'[1]End Logística Oi'!$D$3:$D$29,1,0),"")</f>
        <v/>
      </c>
      <c r="AG132" s="23" t="str">
        <f>IFERROR(VLOOKUP(Z132,'[1]End Logística Oi'!$J$3:$J$29,1,0),"")</f>
        <v/>
      </c>
      <c r="AI132" s="23" t="s">
        <v>55</v>
      </c>
      <c r="AJ132" s="23" t="s">
        <v>55</v>
      </c>
      <c r="AK132" s="23" t="e">
        <v>#N/A</v>
      </c>
    </row>
    <row r="133" spans="1:37" s="23" customFormat="1" ht="15" hidden="1" customHeight="1" x14ac:dyDescent="0.25">
      <c r="A133" s="19">
        <v>131</v>
      </c>
      <c r="B133" s="19" t="s">
        <v>68</v>
      </c>
      <c r="C133" s="19" t="s">
        <v>39</v>
      </c>
      <c r="D133" s="26" t="s">
        <v>40</v>
      </c>
      <c r="E133" s="19" t="s">
        <v>29</v>
      </c>
      <c r="F133" s="26" t="s">
        <v>467</v>
      </c>
      <c r="G133" s="19">
        <v>31920017415</v>
      </c>
      <c r="H133" s="19" t="s">
        <v>794</v>
      </c>
      <c r="I133" s="20">
        <v>44061</v>
      </c>
      <c r="J133" s="19"/>
      <c r="K133" s="19" t="s">
        <v>45</v>
      </c>
      <c r="L133" s="36" t="s">
        <v>473</v>
      </c>
      <c r="M133" s="20" t="s">
        <v>473</v>
      </c>
      <c r="N133" s="36"/>
      <c r="O133" s="19"/>
      <c r="P133" s="19" t="s">
        <v>795</v>
      </c>
      <c r="Q133" s="36"/>
      <c r="R133" s="36"/>
      <c r="S133" s="19" t="s">
        <v>45</v>
      </c>
      <c r="T133" s="19" t="s">
        <v>796</v>
      </c>
      <c r="U133" s="19" t="s">
        <v>49</v>
      </c>
      <c r="V133" s="19" t="s">
        <v>797</v>
      </c>
      <c r="W133" s="35" t="s">
        <v>798</v>
      </c>
      <c r="X133" s="21"/>
      <c r="Y133" s="22">
        <v>76535764030999</v>
      </c>
      <c r="Z133" s="23">
        <f t="shared" si="2"/>
        <v>131</v>
      </c>
      <c r="AA133" s="24" t="str">
        <f>IFERROR(VLOOKUP($Z133,'[1]End Fat Serviço - PA 15 e 16'!$K$3:$K$31,1,0), "")</f>
        <v/>
      </c>
      <c r="AB133" s="24" t="str">
        <f>IFERROR(VLOOKUP($Z133,'[1]End Fat Material - PA 12'!$K$3:$K$64,1,0), "")</f>
        <v/>
      </c>
      <c r="AC133" s="24" t="str">
        <f>IFERROR(VLOOKUP($Z133,'[1]End CA Lotação'!$L$3:$L$36,1,0), "")</f>
        <v/>
      </c>
      <c r="AD133" s="24" t="str">
        <f>IFERROR(VLOOKUP(Z133,'[1]RH - PARA 21.03'!$M$3:$M$555,1,0),"")</f>
        <v/>
      </c>
      <c r="AE133" s="23" t="str">
        <f>IFERROR(VLOOKUP($Z133,'[1]CNPJ Oi Fat'!$K$3:$K$32,1,0),"")</f>
        <v/>
      </c>
      <c r="AF133" s="23" t="str">
        <f>IFERROR(VLOOKUP(Z133,'[1]End Logística Oi'!$D$3:$D$29,1,0),"")</f>
        <v/>
      </c>
      <c r="AG133" s="23" t="str">
        <f>IFERROR(VLOOKUP(Z133,'[1]End Logística Oi'!$J$3:$J$29,1,0),"")</f>
        <v/>
      </c>
      <c r="AI133" s="23" t="s">
        <v>55</v>
      </c>
      <c r="AJ133" s="23" t="s">
        <v>55</v>
      </c>
      <c r="AK133" s="23" t="e">
        <v>#N/A</v>
      </c>
    </row>
    <row r="134" spans="1:37" s="23" customFormat="1" ht="15" hidden="1" customHeight="1" x14ac:dyDescent="0.25">
      <c r="A134" s="19">
        <v>132</v>
      </c>
      <c r="B134" s="19" t="s">
        <v>68</v>
      </c>
      <c r="C134" s="19" t="s">
        <v>39</v>
      </c>
      <c r="D134" s="26" t="s">
        <v>40</v>
      </c>
      <c r="E134" s="19" t="s">
        <v>29</v>
      </c>
      <c r="F134" s="26" t="s">
        <v>467</v>
      </c>
      <c r="G134" s="19">
        <v>31920017512</v>
      </c>
      <c r="H134" s="19" t="s">
        <v>799</v>
      </c>
      <c r="I134" s="20">
        <v>44061</v>
      </c>
      <c r="J134" s="19"/>
      <c r="K134" s="19" t="s">
        <v>45</v>
      </c>
      <c r="L134" s="36" t="s">
        <v>473</v>
      </c>
      <c r="M134" s="20" t="s">
        <v>473</v>
      </c>
      <c r="N134" s="36"/>
      <c r="O134" s="19"/>
      <c r="P134" s="19">
        <v>82672391</v>
      </c>
      <c r="Q134" s="20">
        <v>44225</v>
      </c>
      <c r="R134" s="36"/>
      <c r="S134" s="19" t="s">
        <v>45</v>
      </c>
      <c r="T134" s="19" t="s">
        <v>800</v>
      </c>
      <c r="U134" s="19" t="s">
        <v>49</v>
      </c>
      <c r="V134" s="19" t="s">
        <v>801</v>
      </c>
      <c r="W134" s="35" t="s">
        <v>802</v>
      </c>
      <c r="X134" s="21"/>
      <c r="Y134" s="22">
        <v>76535764033319</v>
      </c>
      <c r="Z134" s="23">
        <f t="shared" si="2"/>
        <v>132</v>
      </c>
      <c r="AA134" s="24" t="str">
        <f>IFERROR(VLOOKUP($Z134,'[1]End Fat Serviço - PA 15 e 16'!$K$3:$K$31,1,0), "")</f>
        <v/>
      </c>
      <c r="AB134" s="24" t="str">
        <f>IFERROR(VLOOKUP($Z134,'[1]End Fat Material - PA 12'!$K$3:$K$64,1,0), "")</f>
        <v/>
      </c>
      <c r="AC134" s="24" t="str">
        <f>IFERROR(VLOOKUP($Z134,'[1]End CA Lotação'!$L$3:$L$36,1,0), "")</f>
        <v/>
      </c>
      <c r="AD134" s="24" t="str">
        <f>IFERROR(VLOOKUP(Z134,'[1]RH - PARA 21.03'!$M$3:$M$555,1,0),"")</f>
        <v/>
      </c>
      <c r="AE134" s="23" t="str">
        <f>IFERROR(VLOOKUP($Z134,'[1]CNPJ Oi Fat'!$K$3:$K$32,1,0),"")</f>
        <v/>
      </c>
      <c r="AF134" s="23" t="str">
        <f>IFERROR(VLOOKUP(Z134,'[1]End Logística Oi'!$D$3:$D$29,1,0),"")</f>
        <v/>
      </c>
      <c r="AG134" s="23" t="str">
        <f>IFERROR(VLOOKUP(Z134,'[1]End Logística Oi'!$J$3:$J$29,1,0),"")</f>
        <v/>
      </c>
      <c r="AI134" s="23" t="s">
        <v>55</v>
      </c>
      <c r="AJ134" s="23" t="s">
        <v>55</v>
      </c>
      <c r="AK134" s="23" t="e">
        <v>#N/A</v>
      </c>
    </row>
    <row r="135" spans="1:37" s="23" customFormat="1" ht="15" hidden="1" customHeight="1" x14ac:dyDescent="0.25">
      <c r="A135" s="19">
        <v>133</v>
      </c>
      <c r="B135" s="19" t="s">
        <v>68</v>
      </c>
      <c r="C135" s="19" t="s">
        <v>39</v>
      </c>
      <c r="D135" s="26" t="s">
        <v>40</v>
      </c>
      <c r="E135" s="19" t="s">
        <v>29</v>
      </c>
      <c r="F135" s="26" t="s">
        <v>467</v>
      </c>
      <c r="G135" s="19">
        <v>31920017300</v>
      </c>
      <c r="H135" s="19" t="s">
        <v>803</v>
      </c>
      <c r="I135" s="20">
        <v>44061</v>
      </c>
      <c r="J135" s="19"/>
      <c r="K135" s="19" t="s">
        <v>45</v>
      </c>
      <c r="L135" s="36" t="s">
        <v>473</v>
      </c>
      <c r="M135" s="20" t="s">
        <v>473</v>
      </c>
      <c r="N135" s="36"/>
      <c r="O135" s="19"/>
      <c r="P135" s="19">
        <v>20340000</v>
      </c>
      <c r="Q135" s="36"/>
      <c r="R135" s="36"/>
      <c r="S135" s="19" t="s">
        <v>45</v>
      </c>
      <c r="T135" s="19" t="s">
        <v>804</v>
      </c>
      <c r="U135" s="19" t="s">
        <v>49</v>
      </c>
      <c r="V135" s="19" t="s">
        <v>805</v>
      </c>
      <c r="W135" s="35" t="s">
        <v>806</v>
      </c>
      <c r="X135" s="21"/>
      <c r="Y135" s="22">
        <v>76535764029800</v>
      </c>
      <c r="Z135" s="23">
        <f t="shared" si="2"/>
        <v>133</v>
      </c>
      <c r="AA135" s="24" t="str">
        <f>IFERROR(VLOOKUP($Z135,'[1]End Fat Serviço - PA 15 e 16'!$K$3:$K$31,1,0), "")</f>
        <v/>
      </c>
      <c r="AB135" s="24" t="str">
        <f>IFERROR(VLOOKUP($Z135,'[1]End Fat Material - PA 12'!$K$3:$K$64,1,0), "")</f>
        <v/>
      </c>
      <c r="AC135" s="24" t="str">
        <f>IFERROR(VLOOKUP($Z135,'[1]End CA Lotação'!$L$3:$L$36,1,0), "")</f>
        <v/>
      </c>
      <c r="AD135" s="24" t="str">
        <f>IFERROR(VLOOKUP(Z135,'[1]RH - PARA 21.03'!$M$3:$M$555,1,0),"")</f>
        <v/>
      </c>
      <c r="AE135" s="23" t="str">
        <f>IFERROR(VLOOKUP($Z135,'[1]CNPJ Oi Fat'!$K$3:$K$32,1,0),"")</f>
        <v/>
      </c>
      <c r="AF135" s="23" t="str">
        <f>IFERROR(VLOOKUP(Z135,'[1]End Logística Oi'!$D$3:$D$29,1,0),"")</f>
        <v/>
      </c>
      <c r="AG135" s="23" t="str">
        <f>IFERROR(VLOOKUP(Z135,'[1]End Logística Oi'!$J$3:$J$29,1,0),"")</f>
        <v/>
      </c>
      <c r="AI135" s="23" t="s">
        <v>55</v>
      </c>
      <c r="AJ135" s="23" t="s">
        <v>55</v>
      </c>
      <c r="AK135" s="23" t="e">
        <v>#N/A</v>
      </c>
    </row>
    <row r="136" spans="1:37" s="23" customFormat="1" ht="15" hidden="1" customHeight="1" x14ac:dyDescent="0.25">
      <c r="A136" s="19">
        <v>134</v>
      </c>
      <c r="B136" s="19" t="s">
        <v>68</v>
      </c>
      <c r="C136" s="19" t="s">
        <v>39</v>
      </c>
      <c r="D136" s="26" t="s">
        <v>40</v>
      </c>
      <c r="E136" s="19" t="s">
        <v>29</v>
      </c>
      <c r="F136" s="26" t="s">
        <v>467</v>
      </c>
      <c r="G136" s="19">
        <v>31920017288</v>
      </c>
      <c r="H136" s="19" t="s">
        <v>807</v>
      </c>
      <c r="I136" s="20">
        <v>44061</v>
      </c>
      <c r="J136" s="19"/>
      <c r="K136" s="19" t="s">
        <v>45</v>
      </c>
      <c r="L136" s="36" t="s">
        <v>473</v>
      </c>
      <c r="M136" s="20" t="s">
        <v>473</v>
      </c>
      <c r="N136" s="36"/>
      <c r="O136" s="19"/>
      <c r="P136" s="19">
        <v>2259685</v>
      </c>
      <c r="Q136" s="20">
        <v>44235</v>
      </c>
      <c r="R136" s="36"/>
      <c r="S136" s="19" t="s">
        <v>45</v>
      </c>
      <c r="T136" s="19" t="s">
        <v>808</v>
      </c>
      <c r="U136" s="19" t="s">
        <v>809</v>
      </c>
      <c r="V136" s="19" t="s">
        <v>810</v>
      </c>
      <c r="W136" s="35" t="s">
        <v>811</v>
      </c>
      <c r="X136" s="21"/>
      <c r="Y136" s="22">
        <v>76535764029630</v>
      </c>
      <c r="Z136" s="23">
        <f t="shared" si="2"/>
        <v>134</v>
      </c>
      <c r="AA136" s="24" t="str">
        <f>IFERROR(VLOOKUP($Z136,'[1]End Fat Serviço - PA 15 e 16'!$K$3:$K$31,1,0), "")</f>
        <v/>
      </c>
      <c r="AB136" s="24" t="str">
        <f>IFERROR(VLOOKUP($Z136,'[1]End Fat Material - PA 12'!$K$3:$K$64,1,0), "")</f>
        <v/>
      </c>
      <c r="AC136" s="24" t="str">
        <f>IFERROR(VLOOKUP($Z136,'[1]End CA Lotação'!$L$3:$L$36,1,0), "")</f>
        <v/>
      </c>
      <c r="AD136" s="24" t="str">
        <f>IFERROR(VLOOKUP(Z136,'[1]RH - PARA 21.03'!$M$3:$M$555,1,0),"")</f>
        <v/>
      </c>
      <c r="AE136" s="23" t="str">
        <f>IFERROR(VLOOKUP($Z136,'[1]CNPJ Oi Fat'!$K$3:$K$32,1,0),"")</f>
        <v/>
      </c>
      <c r="AF136" s="23" t="str">
        <f>IFERROR(VLOOKUP(Z136,'[1]End Logística Oi'!$D$3:$D$29,1,0),"")</f>
        <v/>
      </c>
      <c r="AG136" s="23" t="str">
        <f>IFERROR(VLOOKUP(Z136,'[1]End Logística Oi'!$J$3:$J$29,1,0),"")</f>
        <v/>
      </c>
      <c r="AI136" s="23" t="s">
        <v>55</v>
      </c>
      <c r="AJ136" s="23" t="s">
        <v>55</v>
      </c>
      <c r="AK136" s="23" t="e">
        <v>#N/A</v>
      </c>
    </row>
    <row r="137" spans="1:37" s="23" customFormat="1" ht="15" hidden="1" customHeight="1" x14ac:dyDescent="0.25">
      <c r="A137" s="19">
        <v>135</v>
      </c>
      <c r="B137" s="19" t="s">
        <v>68</v>
      </c>
      <c r="C137" s="19" t="s">
        <v>39</v>
      </c>
      <c r="D137" s="26" t="s">
        <v>40</v>
      </c>
      <c r="E137" s="19" t="s">
        <v>29</v>
      </c>
      <c r="F137" s="26" t="s">
        <v>467</v>
      </c>
      <c r="G137" s="19">
        <v>31920017598</v>
      </c>
      <c r="H137" s="19" t="s">
        <v>812</v>
      </c>
      <c r="I137" s="20">
        <v>44061</v>
      </c>
      <c r="J137" s="19"/>
      <c r="K137" s="19" t="s">
        <v>45</v>
      </c>
      <c r="L137" s="36" t="s">
        <v>473</v>
      </c>
      <c r="M137" s="20" t="s">
        <v>473</v>
      </c>
      <c r="N137" s="36"/>
      <c r="O137" s="19"/>
      <c r="P137" s="19">
        <v>8599</v>
      </c>
      <c r="Q137" s="36"/>
      <c r="R137" s="36"/>
      <c r="S137" s="19" t="s">
        <v>45</v>
      </c>
      <c r="T137" s="19" t="s">
        <v>813</v>
      </c>
      <c r="U137" s="19" t="s">
        <v>49</v>
      </c>
      <c r="V137" s="19" t="s">
        <v>814</v>
      </c>
      <c r="W137" s="35" t="s">
        <v>815</v>
      </c>
      <c r="X137" s="21"/>
      <c r="Y137" s="22">
        <v>76535764034129</v>
      </c>
      <c r="Z137" s="23">
        <f t="shared" si="2"/>
        <v>135</v>
      </c>
      <c r="AA137" s="24" t="str">
        <f>IFERROR(VLOOKUP($Z137,'[1]End Fat Serviço - PA 15 e 16'!$K$3:$K$31,1,0), "")</f>
        <v/>
      </c>
      <c r="AB137" s="24" t="str">
        <f>IFERROR(VLOOKUP($Z137,'[1]End Fat Material - PA 12'!$K$3:$K$64,1,0), "")</f>
        <v/>
      </c>
      <c r="AC137" s="24" t="str">
        <f>IFERROR(VLOOKUP($Z137,'[1]End CA Lotação'!$L$3:$L$36,1,0), "")</f>
        <v/>
      </c>
      <c r="AD137" s="24" t="str">
        <f>IFERROR(VLOOKUP(Z137,'[1]RH - PARA 21.03'!$M$3:$M$555,1,0),"")</f>
        <v/>
      </c>
      <c r="AE137" s="23" t="str">
        <f>IFERROR(VLOOKUP($Z137,'[1]CNPJ Oi Fat'!$K$3:$K$32,1,0),"")</f>
        <v/>
      </c>
      <c r="AF137" s="23" t="str">
        <f>IFERROR(VLOOKUP(Z137,'[1]End Logística Oi'!$D$3:$D$29,1,0),"")</f>
        <v/>
      </c>
      <c r="AG137" s="23" t="str">
        <f>IFERROR(VLOOKUP(Z137,'[1]End Logística Oi'!$J$3:$J$29,1,0),"")</f>
        <v/>
      </c>
      <c r="AI137" s="23" t="s">
        <v>55</v>
      </c>
      <c r="AJ137" s="23" t="s">
        <v>55</v>
      </c>
      <c r="AK137" s="23" t="e">
        <v>#N/A</v>
      </c>
    </row>
    <row r="138" spans="1:37" s="23" customFormat="1" ht="15" hidden="1" customHeight="1" x14ac:dyDescent="0.25">
      <c r="A138" s="19">
        <v>136</v>
      </c>
      <c r="B138" s="19" t="s">
        <v>68</v>
      </c>
      <c r="C138" s="19" t="s">
        <v>39</v>
      </c>
      <c r="D138" s="26" t="s">
        <v>40</v>
      </c>
      <c r="E138" s="19" t="s">
        <v>29</v>
      </c>
      <c r="F138" s="26" t="s">
        <v>467</v>
      </c>
      <c r="G138" s="19">
        <v>31920017385</v>
      </c>
      <c r="H138" s="19" t="s">
        <v>816</v>
      </c>
      <c r="I138" s="20">
        <v>44061</v>
      </c>
      <c r="J138" s="19"/>
      <c r="K138" s="19" t="s">
        <v>45</v>
      </c>
      <c r="L138" s="36" t="s">
        <v>473</v>
      </c>
      <c r="M138" s="20" t="s">
        <v>473</v>
      </c>
      <c r="N138" s="36"/>
      <c r="O138" s="19"/>
      <c r="P138" s="19" t="s">
        <v>817</v>
      </c>
      <c r="Q138" s="20">
        <v>44228</v>
      </c>
      <c r="R138" s="36"/>
      <c r="S138" s="19" t="s">
        <v>45</v>
      </c>
      <c r="T138" s="19" t="s">
        <v>818</v>
      </c>
      <c r="U138" s="19" t="s">
        <v>49</v>
      </c>
      <c r="V138" s="19" t="s">
        <v>819</v>
      </c>
      <c r="W138" s="35" t="s">
        <v>820</v>
      </c>
      <c r="X138" s="21"/>
      <c r="Y138" s="22">
        <v>76535764030646</v>
      </c>
      <c r="Z138" s="23">
        <f t="shared" si="2"/>
        <v>136</v>
      </c>
      <c r="AA138" s="24" t="str">
        <f>IFERROR(VLOOKUP($Z138,'[1]End Fat Serviço - PA 15 e 16'!$K$3:$K$31,1,0), "")</f>
        <v/>
      </c>
      <c r="AB138" s="24" t="str">
        <f>IFERROR(VLOOKUP($Z138,'[1]End Fat Material - PA 12'!$K$3:$K$64,1,0), "")</f>
        <v/>
      </c>
      <c r="AC138" s="24" t="str">
        <f>IFERROR(VLOOKUP($Z138,'[1]End CA Lotação'!$L$3:$L$36,1,0), "")</f>
        <v/>
      </c>
      <c r="AD138" s="24" t="str">
        <f>IFERROR(VLOOKUP(Z138,'[1]RH - PARA 21.03'!$M$3:$M$555,1,0),"")</f>
        <v/>
      </c>
      <c r="AE138" s="23" t="str">
        <f>IFERROR(VLOOKUP($Z138,'[1]CNPJ Oi Fat'!$K$3:$K$32,1,0),"")</f>
        <v/>
      </c>
      <c r="AF138" s="23" t="str">
        <f>IFERROR(VLOOKUP(Z138,'[1]End Logística Oi'!$D$3:$D$29,1,0),"")</f>
        <v/>
      </c>
      <c r="AG138" s="23" t="str">
        <f>IFERROR(VLOOKUP(Z138,'[1]End Logística Oi'!$J$3:$J$29,1,0),"")</f>
        <v/>
      </c>
      <c r="AI138" s="23" t="s">
        <v>55</v>
      </c>
      <c r="AJ138" s="23" t="s">
        <v>55</v>
      </c>
      <c r="AK138" s="23" t="e">
        <v>#N/A</v>
      </c>
    </row>
    <row r="139" spans="1:37" s="23" customFormat="1" ht="15" hidden="1" customHeight="1" x14ac:dyDescent="0.25">
      <c r="A139" s="19">
        <v>137</v>
      </c>
      <c r="B139" s="19" t="s">
        <v>68</v>
      </c>
      <c r="C139" s="19" t="s">
        <v>39</v>
      </c>
      <c r="D139" s="26" t="s">
        <v>40</v>
      </c>
      <c r="E139" s="19" t="s">
        <v>29</v>
      </c>
      <c r="F139" s="26" t="s">
        <v>467</v>
      </c>
      <c r="G139" s="19">
        <v>31920017580</v>
      </c>
      <c r="H139" s="19" t="s">
        <v>821</v>
      </c>
      <c r="I139" s="20">
        <v>44061</v>
      </c>
      <c r="J139" s="19"/>
      <c r="K139" s="19" t="s">
        <v>45</v>
      </c>
      <c r="L139" s="36" t="s">
        <v>473</v>
      </c>
      <c r="M139" s="20" t="s">
        <v>473</v>
      </c>
      <c r="N139" s="36"/>
      <c r="O139" s="19"/>
      <c r="P139" s="19">
        <v>21520</v>
      </c>
      <c r="Q139" s="36"/>
      <c r="R139" s="36"/>
      <c r="S139" s="19" t="s">
        <v>45</v>
      </c>
      <c r="T139" s="19" t="s">
        <v>822</v>
      </c>
      <c r="U139" s="19" t="s">
        <v>49</v>
      </c>
      <c r="V139" s="19" t="s">
        <v>823</v>
      </c>
      <c r="W139" s="35" t="s">
        <v>824</v>
      </c>
      <c r="X139" s="21"/>
      <c r="Y139" s="22">
        <v>76535764034048</v>
      </c>
      <c r="Z139" s="23">
        <f t="shared" si="2"/>
        <v>137</v>
      </c>
      <c r="AA139" s="24" t="str">
        <f>IFERROR(VLOOKUP($Z139,'[1]End Fat Serviço - PA 15 e 16'!$K$3:$K$31,1,0), "")</f>
        <v/>
      </c>
      <c r="AB139" s="24" t="str">
        <f>IFERROR(VLOOKUP($Z139,'[1]End Fat Material - PA 12'!$K$3:$K$64,1,0), "")</f>
        <v/>
      </c>
      <c r="AC139" s="24" t="str">
        <f>IFERROR(VLOOKUP($Z139,'[1]End CA Lotação'!$L$3:$L$36,1,0), "")</f>
        <v/>
      </c>
      <c r="AD139" s="24" t="str">
        <f>IFERROR(VLOOKUP(Z139,'[1]RH - PARA 21.03'!$M$3:$M$555,1,0),"")</f>
        <v/>
      </c>
      <c r="AE139" s="23" t="str">
        <f>IFERROR(VLOOKUP($Z139,'[1]CNPJ Oi Fat'!$K$3:$K$32,1,0),"")</f>
        <v/>
      </c>
      <c r="AF139" s="23" t="str">
        <f>IFERROR(VLOOKUP(Z139,'[1]End Logística Oi'!$D$3:$D$29,1,0),"")</f>
        <v/>
      </c>
      <c r="AG139" s="23" t="str">
        <f>IFERROR(VLOOKUP(Z139,'[1]End Logística Oi'!$J$3:$J$29,1,0),"")</f>
        <v/>
      </c>
      <c r="AI139" s="23" t="s">
        <v>55</v>
      </c>
      <c r="AJ139" s="23" t="s">
        <v>55</v>
      </c>
      <c r="AK139" s="23" t="e">
        <v>#N/A</v>
      </c>
    </row>
    <row r="140" spans="1:37" s="23" customFormat="1" ht="15" hidden="1" customHeight="1" x14ac:dyDescent="0.25">
      <c r="A140" s="19">
        <v>138</v>
      </c>
      <c r="B140" s="19" t="s">
        <v>68</v>
      </c>
      <c r="C140" s="19" t="s">
        <v>39</v>
      </c>
      <c r="D140" s="26" t="s">
        <v>40</v>
      </c>
      <c r="E140" s="19" t="s">
        <v>29</v>
      </c>
      <c r="F140" s="26" t="s">
        <v>467</v>
      </c>
      <c r="G140" s="19">
        <v>31920017571</v>
      </c>
      <c r="H140" s="19" t="s">
        <v>825</v>
      </c>
      <c r="I140" s="20">
        <v>44061</v>
      </c>
      <c r="J140" s="19"/>
      <c r="K140" s="19" t="s">
        <v>45</v>
      </c>
      <c r="L140" s="36" t="s">
        <v>473</v>
      </c>
      <c r="M140" s="20" t="s">
        <v>473</v>
      </c>
      <c r="N140" s="36"/>
      <c r="O140" s="19"/>
      <c r="P140" s="19" t="s">
        <v>826</v>
      </c>
      <c r="Q140" s="20">
        <v>44293</v>
      </c>
      <c r="R140" s="36"/>
      <c r="S140" s="19" t="s">
        <v>45</v>
      </c>
      <c r="T140" s="19" t="s">
        <v>827</v>
      </c>
      <c r="U140" s="19" t="s">
        <v>49</v>
      </c>
      <c r="V140" s="19" t="s">
        <v>828</v>
      </c>
      <c r="W140" s="35" t="s">
        <v>829</v>
      </c>
      <c r="X140" s="21"/>
      <c r="Y140" s="22">
        <v>76535764033904</v>
      </c>
      <c r="Z140" s="23">
        <f t="shared" si="2"/>
        <v>138</v>
      </c>
      <c r="AA140" s="24" t="str">
        <f>IFERROR(VLOOKUP($Z140,'[1]End Fat Serviço - PA 15 e 16'!$K$3:$K$31,1,0), "")</f>
        <v/>
      </c>
      <c r="AB140" s="24" t="str">
        <f>IFERROR(VLOOKUP($Z140,'[1]End Fat Material - PA 12'!$K$3:$K$64,1,0), "")</f>
        <v/>
      </c>
      <c r="AC140" s="24" t="str">
        <f>IFERROR(VLOOKUP($Z140,'[1]End CA Lotação'!$L$3:$L$36,1,0), "")</f>
        <v/>
      </c>
      <c r="AD140" s="24" t="str">
        <f>IFERROR(VLOOKUP(Z140,'[1]RH - PARA 21.03'!$M$3:$M$555,1,0),"")</f>
        <v/>
      </c>
      <c r="AE140" s="23" t="str">
        <f>IFERROR(VLOOKUP($Z140,'[1]CNPJ Oi Fat'!$K$3:$K$32,1,0),"")</f>
        <v/>
      </c>
      <c r="AF140" s="23" t="str">
        <f>IFERROR(VLOOKUP(Z140,'[1]End Logística Oi'!$D$3:$D$29,1,0),"")</f>
        <v/>
      </c>
      <c r="AG140" s="23" t="str">
        <f>IFERROR(VLOOKUP(Z140,'[1]End Logística Oi'!$J$3:$J$29,1,0),"")</f>
        <v/>
      </c>
      <c r="AI140" s="23" t="s">
        <v>55</v>
      </c>
      <c r="AJ140" s="23" t="s">
        <v>55</v>
      </c>
      <c r="AK140" s="23" t="e">
        <v>#N/A</v>
      </c>
    </row>
    <row r="141" spans="1:37" s="23" customFormat="1" ht="15" hidden="1" customHeight="1" x14ac:dyDescent="0.25">
      <c r="A141" s="19">
        <v>139</v>
      </c>
      <c r="B141" s="19" t="s">
        <v>68</v>
      </c>
      <c r="C141" s="19" t="s">
        <v>39</v>
      </c>
      <c r="D141" s="26" t="s">
        <v>40</v>
      </c>
      <c r="E141" s="19" t="s">
        <v>29</v>
      </c>
      <c r="F141" s="26" t="s">
        <v>467</v>
      </c>
      <c r="G141" s="19">
        <v>31920017563</v>
      </c>
      <c r="H141" s="19" t="s">
        <v>830</v>
      </c>
      <c r="I141" s="20">
        <v>44061</v>
      </c>
      <c r="J141" s="19"/>
      <c r="K141" s="19" t="s">
        <v>45</v>
      </c>
      <c r="L141" s="36" t="s">
        <v>473</v>
      </c>
      <c r="M141" s="20" t="s">
        <v>473</v>
      </c>
      <c r="N141" s="36"/>
      <c r="O141" s="19"/>
      <c r="P141" s="19">
        <v>10019793</v>
      </c>
      <c r="Q141" s="20">
        <v>44209</v>
      </c>
      <c r="R141" s="36"/>
      <c r="S141" s="19" t="s">
        <v>45</v>
      </c>
      <c r="T141" s="19" t="s">
        <v>831</v>
      </c>
      <c r="U141" s="19" t="s">
        <v>49</v>
      </c>
      <c r="V141" s="19" t="s">
        <v>832</v>
      </c>
      <c r="W141" s="35" t="s">
        <v>833</v>
      </c>
      <c r="X141" s="21"/>
      <c r="Y141" s="22">
        <v>76535764033823</v>
      </c>
      <c r="Z141" s="23">
        <f t="shared" si="2"/>
        <v>139</v>
      </c>
      <c r="AA141" s="24" t="str">
        <f>IFERROR(VLOOKUP($Z141,'[1]End Fat Serviço - PA 15 e 16'!$K$3:$K$31,1,0), "")</f>
        <v/>
      </c>
      <c r="AB141" s="24" t="str">
        <f>IFERROR(VLOOKUP($Z141,'[1]End Fat Material - PA 12'!$K$3:$K$64,1,0), "")</f>
        <v/>
      </c>
      <c r="AC141" s="24" t="str">
        <f>IFERROR(VLOOKUP($Z141,'[1]End CA Lotação'!$L$3:$L$36,1,0), "")</f>
        <v/>
      </c>
      <c r="AD141" s="24" t="str">
        <f>IFERROR(VLOOKUP(Z141,'[1]RH - PARA 21.03'!$M$3:$M$555,1,0),"")</f>
        <v/>
      </c>
      <c r="AE141" s="23" t="str">
        <f>IFERROR(VLOOKUP($Z141,'[1]CNPJ Oi Fat'!$K$3:$K$32,1,0),"")</f>
        <v/>
      </c>
      <c r="AF141" s="23" t="str">
        <f>IFERROR(VLOOKUP(Z141,'[1]End Logística Oi'!$D$3:$D$29,1,0),"")</f>
        <v/>
      </c>
      <c r="AG141" s="23" t="str">
        <f>IFERROR(VLOOKUP(Z141,'[1]End Logística Oi'!$J$3:$J$29,1,0),"")</f>
        <v/>
      </c>
      <c r="AI141" s="23" t="s">
        <v>55</v>
      </c>
      <c r="AJ141" s="23" t="s">
        <v>55</v>
      </c>
      <c r="AK141" s="23" t="e">
        <v>#N/A</v>
      </c>
    </row>
    <row r="142" spans="1:37" s="23" customFormat="1" ht="15" hidden="1" customHeight="1" x14ac:dyDescent="0.25">
      <c r="A142" s="19">
        <v>140</v>
      </c>
      <c r="B142" s="19" t="s">
        <v>68</v>
      </c>
      <c r="C142" s="19" t="s">
        <v>39</v>
      </c>
      <c r="D142" s="26" t="s">
        <v>40</v>
      </c>
      <c r="E142" s="19" t="s">
        <v>29</v>
      </c>
      <c r="F142" s="26" t="s">
        <v>467</v>
      </c>
      <c r="G142" s="19">
        <v>31920017351</v>
      </c>
      <c r="H142" s="19" t="s">
        <v>834</v>
      </c>
      <c r="I142" s="20">
        <v>44061</v>
      </c>
      <c r="J142" s="19"/>
      <c r="K142" s="19" t="s">
        <v>45</v>
      </c>
      <c r="L142" s="36" t="s">
        <v>473</v>
      </c>
      <c r="M142" s="20" t="s">
        <v>473</v>
      </c>
      <c r="N142" s="36"/>
      <c r="O142" s="19"/>
      <c r="P142" s="19">
        <v>18327</v>
      </c>
      <c r="Q142" s="36"/>
      <c r="R142" s="36"/>
      <c r="S142" s="19" t="s">
        <v>45</v>
      </c>
      <c r="T142" s="19" t="s">
        <v>835</v>
      </c>
      <c r="U142" s="19" t="s">
        <v>49</v>
      </c>
      <c r="V142" s="19" t="s">
        <v>836</v>
      </c>
      <c r="W142" s="35" t="s">
        <v>837</v>
      </c>
      <c r="X142" s="21"/>
      <c r="Y142" s="22">
        <v>76535764030301</v>
      </c>
      <c r="Z142" s="23">
        <f t="shared" si="2"/>
        <v>140</v>
      </c>
      <c r="AA142" s="24" t="str">
        <f>IFERROR(VLOOKUP($Z142,'[1]End Fat Serviço - PA 15 e 16'!$K$3:$K$31,1,0), "")</f>
        <v/>
      </c>
      <c r="AB142" s="24" t="str">
        <f>IFERROR(VLOOKUP($Z142,'[1]End Fat Material - PA 12'!$K$3:$K$64,1,0), "")</f>
        <v/>
      </c>
      <c r="AC142" s="24" t="str">
        <f>IFERROR(VLOOKUP($Z142,'[1]End CA Lotação'!$L$3:$L$36,1,0), "")</f>
        <v/>
      </c>
      <c r="AD142" s="24" t="str">
        <f>IFERROR(VLOOKUP(Z142,'[1]RH - PARA 21.03'!$M$3:$M$555,1,0),"")</f>
        <v/>
      </c>
      <c r="AE142" s="23" t="str">
        <f>IFERROR(VLOOKUP($Z142,'[1]CNPJ Oi Fat'!$K$3:$K$32,1,0),"")</f>
        <v/>
      </c>
      <c r="AF142" s="23" t="str">
        <f>IFERROR(VLOOKUP(Z142,'[1]End Logística Oi'!$D$3:$D$29,1,0),"")</f>
        <v/>
      </c>
      <c r="AG142" s="23" t="str">
        <f>IFERROR(VLOOKUP(Z142,'[1]End Logística Oi'!$J$3:$J$29,1,0),"")</f>
        <v/>
      </c>
      <c r="AI142" s="23" t="s">
        <v>55</v>
      </c>
      <c r="AJ142" s="23" t="s">
        <v>55</v>
      </c>
      <c r="AK142" s="23" t="e">
        <v>#N/A</v>
      </c>
    </row>
    <row r="143" spans="1:37" s="23" customFormat="1" ht="15" hidden="1" customHeight="1" x14ac:dyDescent="0.25">
      <c r="A143" s="19">
        <v>141</v>
      </c>
      <c r="B143" s="19" t="s">
        <v>68</v>
      </c>
      <c r="C143" s="19" t="s">
        <v>39</v>
      </c>
      <c r="D143" s="26" t="s">
        <v>40</v>
      </c>
      <c r="E143" s="19" t="s">
        <v>29</v>
      </c>
      <c r="F143" s="26" t="s">
        <v>467</v>
      </c>
      <c r="G143" s="19">
        <v>31920017423</v>
      </c>
      <c r="H143" s="19" t="s">
        <v>838</v>
      </c>
      <c r="I143" s="20">
        <v>44061</v>
      </c>
      <c r="J143" s="19"/>
      <c r="K143" s="19" t="s">
        <v>45</v>
      </c>
      <c r="L143" s="36" t="s">
        <v>473</v>
      </c>
      <c r="M143" s="20" t="s">
        <v>473</v>
      </c>
      <c r="N143" s="36"/>
      <c r="O143" s="19"/>
      <c r="P143" s="19">
        <v>26648</v>
      </c>
      <c r="Q143" s="36"/>
      <c r="R143" s="36"/>
      <c r="S143" s="19" t="s">
        <v>45</v>
      </c>
      <c r="T143" s="19" t="s">
        <v>839</v>
      </c>
      <c r="U143" s="19" t="s">
        <v>75</v>
      </c>
      <c r="V143" s="19" t="s">
        <v>840</v>
      </c>
      <c r="W143" s="35" t="s">
        <v>841</v>
      </c>
      <c r="X143" s="21"/>
      <c r="Y143" s="22">
        <v>76535764031022</v>
      </c>
      <c r="Z143" s="23">
        <f t="shared" si="2"/>
        <v>141</v>
      </c>
      <c r="AA143" s="24" t="str">
        <f>IFERROR(VLOOKUP($Z143,'[1]End Fat Serviço - PA 15 e 16'!$K$3:$K$31,1,0), "")</f>
        <v/>
      </c>
      <c r="AB143" s="24" t="str">
        <f>IFERROR(VLOOKUP($Z143,'[1]End Fat Material - PA 12'!$K$3:$K$64,1,0), "")</f>
        <v/>
      </c>
      <c r="AC143" s="24" t="str">
        <f>IFERROR(VLOOKUP($Z143,'[1]End CA Lotação'!$L$3:$L$36,1,0), "")</f>
        <v/>
      </c>
      <c r="AD143" s="24" t="str">
        <f>IFERROR(VLOOKUP(Z143,'[1]RH - PARA 21.03'!$M$3:$M$555,1,0),"")</f>
        <v/>
      </c>
      <c r="AE143" s="23" t="str">
        <f>IFERROR(VLOOKUP($Z143,'[1]CNPJ Oi Fat'!$K$3:$K$32,1,0),"")</f>
        <v/>
      </c>
      <c r="AF143" s="23" t="str">
        <f>IFERROR(VLOOKUP(Z143,'[1]End Logística Oi'!$D$3:$D$29,1,0),"")</f>
        <v/>
      </c>
      <c r="AG143" s="23" t="str">
        <f>IFERROR(VLOOKUP(Z143,'[1]End Logística Oi'!$J$3:$J$29,1,0),"")</f>
        <v/>
      </c>
      <c r="AI143" s="23" t="s">
        <v>55</v>
      </c>
      <c r="AJ143" s="23" t="s">
        <v>55</v>
      </c>
      <c r="AK143" s="23" t="e">
        <v>#N/A</v>
      </c>
    </row>
    <row r="144" spans="1:37" s="23" customFormat="1" ht="15" hidden="1" customHeight="1" x14ac:dyDescent="0.25">
      <c r="A144" s="19">
        <v>142</v>
      </c>
      <c r="B144" s="19" t="s">
        <v>68</v>
      </c>
      <c r="C144" s="19" t="s">
        <v>39</v>
      </c>
      <c r="D144" s="26" t="s">
        <v>40</v>
      </c>
      <c r="E144" s="19" t="s">
        <v>29</v>
      </c>
      <c r="F144" s="26" t="s">
        <v>467</v>
      </c>
      <c r="G144" s="19">
        <v>31920017393</v>
      </c>
      <c r="H144" s="19" t="s">
        <v>842</v>
      </c>
      <c r="I144" s="20">
        <v>44061</v>
      </c>
      <c r="J144" s="19"/>
      <c r="K144" s="19" t="s">
        <v>45</v>
      </c>
      <c r="L144" s="36" t="s">
        <v>473</v>
      </c>
      <c r="M144" s="20" t="s">
        <v>473</v>
      </c>
      <c r="N144" s="36"/>
      <c r="O144" s="19"/>
      <c r="P144" s="19">
        <v>12891</v>
      </c>
      <c r="Q144" s="36"/>
      <c r="R144" s="36"/>
      <c r="S144" s="19" t="s">
        <v>45</v>
      </c>
      <c r="T144" s="19" t="s">
        <v>843</v>
      </c>
      <c r="U144" s="19" t="s">
        <v>844</v>
      </c>
      <c r="V144" s="19" t="s">
        <v>845</v>
      </c>
      <c r="W144" s="35" t="s">
        <v>846</v>
      </c>
      <c r="X144" s="21"/>
      <c r="Y144" s="22">
        <v>76535764030727</v>
      </c>
      <c r="Z144" s="23">
        <f t="shared" si="2"/>
        <v>142</v>
      </c>
      <c r="AA144" s="24" t="str">
        <f>IFERROR(VLOOKUP($Z144,'[1]End Fat Serviço - PA 15 e 16'!$K$3:$K$31,1,0), "")</f>
        <v/>
      </c>
      <c r="AB144" s="24" t="str">
        <f>IFERROR(VLOOKUP($Z144,'[1]End Fat Material - PA 12'!$K$3:$K$64,1,0), "")</f>
        <v/>
      </c>
      <c r="AC144" s="24" t="str">
        <f>IFERROR(VLOOKUP($Z144,'[1]End CA Lotação'!$L$3:$L$36,1,0), "")</f>
        <v/>
      </c>
      <c r="AD144" s="24" t="str">
        <f>IFERROR(VLOOKUP(Z144,'[1]RH - PARA 21.03'!$M$3:$M$555,1,0),"")</f>
        <v/>
      </c>
      <c r="AE144" s="23" t="str">
        <f>IFERROR(VLOOKUP($Z144,'[1]CNPJ Oi Fat'!$K$3:$K$32,1,0),"")</f>
        <v/>
      </c>
      <c r="AF144" s="23" t="str">
        <f>IFERROR(VLOOKUP(Z144,'[1]End Logística Oi'!$D$3:$D$29,1,0),"")</f>
        <v/>
      </c>
      <c r="AG144" s="23" t="str">
        <f>IFERROR(VLOOKUP(Z144,'[1]End Logística Oi'!$J$3:$J$29,1,0),"")</f>
        <v/>
      </c>
      <c r="AI144" s="23" t="s">
        <v>55</v>
      </c>
      <c r="AJ144" s="23" t="s">
        <v>55</v>
      </c>
      <c r="AK144" s="23" t="e">
        <v>#N/A</v>
      </c>
    </row>
    <row r="145" spans="1:37" s="23" customFormat="1" ht="15" hidden="1" customHeight="1" x14ac:dyDescent="0.25">
      <c r="A145" s="19">
        <v>143</v>
      </c>
      <c r="B145" s="19" t="s">
        <v>68</v>
      </c>
      <c r="C145" s="19" t="s">
        <v>39</v>
      </c>
      <c r="D145" s="26" t="s">
        <v>40</v>
      </c>
      <c r="E145" s="19" t="s">
        <v>29</v>
      </c>
      <c r="F145" s="26" t="s">
        <v>467</v>
      </c>
      <c r="G145" s="19">
        <v>31920017237</v>
      </c>
      <c r="H145" s="19" t="s">
        <v>847</v>
      </c>
      <c r="I145" s="20">
        <v>44061</v>
      </c>
      <c r="J145" s="19"/>
      <c r="K145" s="19" t="s">
        <v>45</v>
      </c>
      <c r="L145" s="36" t="s">
        <v>473</v>
      </c>
      <c r="M145" s="20" t="s">
        <v>473</v>
      </c>
      <c r="N145" s="36"/>
      <c r="O145" s="19"/>
      <c r="P145" s="19">
        <v>47902</v>
      </c>
      <c r="Q145" s="36"/>
      <c r="R145" s="36"/>
      <c r="S145" s="19" t="s">
        <v>45</v>
      </c>
      <c r="T145" s="19" t="s">
        <v>848</v>
      </c>
      <c r="U145" s="19" t="s">
        <v>49</v>
      </c>
      <c r="V145" s="19" t="s">
        <v>849</v>
      </c>
      <c r="W145" s="35" t="s">
        <v>850</v>
      </c>
      <c r="X145" s="21"/>
      <c r="Y145" s="22">
        <v>76535764029044</v>
      </c>
      <c r="Z145" s="23">
        <f t="shared" si="2"/>
        <v>143</v>
      </c>
      <c r="AA145" s="24" t="str">
        <f>IFERROR(VLOOKUP($Z145,'[1]End Fat Serviço - PA 15 e 16'!$K$3:$K$31,1,0), "")</f>
        <v/>
      </c>
      <c r="AB145" s="24" t="str">
        <f>IFERROR(VLOOKUP($Z145,'[1]End Fat Material - PA 12'!$K$3:$K$64,1,0), "")</f>
        <v/>
      </c>
      <c r="AC145" s="24" t="str">
        <f>IFERROR(VLOOKUP($Z145,'[1]End CA Lotação'!$L$3:$L$36,1,0), "")</f>
        <v/>
      </c>
      <c r="AD145" s="24" t="str">
        <f>IFERROR(VLOOKUP(Z145,'[1]RH - PARA 21.03'!$M$3:$M$555,1,0),"")</f>
        <v/>
      </c>
      <c r="AE145" s="23" t="str">
        <f>IFERROR(VLOOKUP($Z145,'[1]CNPJ Oi Fat'!$K$3:$K$32,1,0),"")</f>
        <v/>
      </c>
      <c r="AF145" s="23" t="str">
        <f>IFERROR(VLOOKUP(Z145,'[1]End Logística Oi'!$D$3:$D$29,1,0),"")</f>
        <v/>
      </c>
      <c r="AG145" s="23" t="str">
        <f>IFERROR(VLOOKUP(Z145,'[1]End Logística Oi'!$J$3:$J$29,1,0),"")</f>
        <v/>
      </c>
      <c r="AI145" s="23" t="s">
        <v>55</v>
      </c>
      <c r="AJ145" s="23" t="s">
        <v>55</v>
      </c>
      <c r="AK145" s="23" t="e">
        <v>#N/A</v>
      </c>
    </row>
    <row r="146" spans="1:37" s="23" customFormat="1" ht="15" hidden="1" customHeight="1" x14ac:dyDescent="0.25">
      <c r="A146" s="19">
        <v>144</v>
      </c>
      <c r="B146" s="19" t="s">
        <v>68</v>
      </c>
      <c r="C146" s="19" t="s">
        <v>39</v>
      </c>
      <c r="D146" s="26" t="s">
        <v>40</v>
      </c>
      <c r="E146" s="19" t="s">
        <v>29</v>
      </c>
      <c r="F146" s="26" t="s">
        <v>467</v>
      </c>
      <c r="G146" s="19">
        <v>31920017181</v>
      </c>
      <c r="H146" s="19" t="s">
        <v>851</v>
      </c>
      <c r="I146" s="20">
        <v>44061</v>
      </c>
      <c r="J146" s="19"/>
      <c r="K146" s="19" t="s">
        <v>45</v>
      </c>
      <c r="L146" s="36" t="s">
        <v>473</v>
      </c>
      <c r="M146" s="20" t="s">
        <v>473</v>
      </c>
      <c r="N146" s="36"/>
      <c r="O146" s="19"/>
      <c r="P146" s="19">
        <v>92910</v>
      </c>
      <c r="Q146" s="20">
        <v>44161</v>
      </c>
      <c r="R146" s="36"/>
      <c r="S146" s="19" t="s">
        <v>45</v>
      </c>
      <c r="T146" s="19" t="s">
        <v>852</v>
      </c>
      <c r="U146" s="19" t="s">
        <v>49</v>
      </c>
      <c r="V146" s="19" t="s">
        <v>726</v>
      </c>
      <c r="W146" s="35" t="s">
        <v>853</v>
      </c>
      <c r="X146" s="21"/>
      <c r="Y146" s="22">
        <v>76535764028587</v>
      </c>
      <c r="Z146" s="23">
        <f t="shared" si="2"/>
        <v>144</v>
      </c>
      <c r="AA146" s="24" t="str">
        <f>IFERROR(VLOOKUP($Z146,'[1]End Fat Serviço - PA 15 e 16'!$K$3:$K$31,1,0), "")</f>
        <v/>
      </c>
      <c r="AB146" s="24" t="str">
        <f>IFERROR(VLOOKUP($Z146,'[1]End Fat Material - PA 12'!$K$3:$K$64,1,0), "")</f>
        <v/>
      </c>
      <c r="AC146" s="24" t="str">
        <f>IFERROR(VLOOKUP($Z146,'[1]End CA Lotação'!$L$3:$L$36,1,0), "")</f>
        <v/>
      </c>
      <c r="AD146" s="24" t="str">
        <f>IFERROR(VLOOKUP(Z146,'[1]RH - PARA 21.03'!$M$3:$M$555,1,0),"")</f>
        <v/>
      </c>
      <c r="AE146" s="23" t="str">
        <f>IFERROR(VLOOKUP($Z146,'[1]CNPJ Oi Fat'!$K$3:$K$32,1,0),"")</f>
        <v/>
      </c>
      <c r="AF146" s="23" t="str">
        <f>IFERROR(VLOOKUP(Z146,'[1]End Logística Oi'!$D$3:$D$29,1,0),"")</f>
        <v/>
      </c>
      <c r="AG146" s="23" t="str">
        <f>IFERROR(VLOOKUP(Z146,'[1]End Logística Oi'!$J$3:$J$29,1,0),"")</f>
        <v/>
      </c>
      <c r="AI146" s="23" t="s">
        <v>55</v>
      </c>
      <c r="AJ146" s="23" t="s">
        <v>55</v>
      </c>
      <c r="AK146" s="23" t="e">
        <v>#N/A</v>
      </c>
    </row>
    <row r="147" spans="1:37" s="23" customFormat="1" ht="15" hidden="1" customHeight="1" x14ac:dyDescent="0.25">
      <c r="A147" s="19">
        <v>145</v>
      </c>
      <c r="B147" s="19" t="s">
        <v>68</v>
      </c>
      <c r="C147" s="19" t="s">
        <v>39</v>
      </c>
      <c r="D147" s="26" t="s">
        <v>40</v>
      </c>
      <c r="E147" s="19" t="s">
        <v>29</v>
      </c>
      <c r="F147" s="26" t="s">
        <v>467</v>
      </c>
      <c r="G147" s="19">
        <v>31920017172</v>
      </c>
      <c r="H147" s="19" t="s">
        <v>854</v>
      </c>
      <c r="I147" s="20">
        <v>44061</v>
      </c>
      <c r="J147" s="19"/>
      <c r="K147" s="19" t="s">
        <v>45</v>
      </c>
      <c r="L147" s="36" t="s">
        <v>473</v>
      </c>
      <c r="M147" s="20" t="s">
        <v>473</v>
      </c>
      <c r="N147" s="36"/>
      <c r="O147" s="19"/>
      <c r="P147" s="19" t="s">
        <v>855</v>
      </c>
      <c r="Q147" s="36"/>
      <c r="R147" s="36"/>
      <c r="S147" s="19" t="s">
        <v>45</v>
      </c>
      <c r="T147" s="19" t="s">
        <v>856</v>
      </c>
      <c r="U147" s="19" t="s">
        <v>49</v>
      </c>
      <c r="V147" s="19" t="s">
        <v>857</v>
      </c>
      <c r="W147" s="35" t="s">
        <v>858</v>
      </c>
      <c r="X147" s="21"/>
      <c r="Y147" s="22">
        <v>76535764028404</v>
      </c>
      <c r="Z147" s="23">
        <f t="shared" si="2"/>
        <v>145</v>
      </c>
      <c r="AA147" s="24" t="str">
        <f>IFERROR(VLOOKUP($Z147,'[1]End Fat Serviço - PA 15 e 16'!$K$3:$K$31,1,0), "")</f>
        <v/>
      </c>
      <c r="AB147" s="24" t="str">
        <f>IFERROR(VLOOKUP($Z147,'[1]End Fat Material - PA 12'!$K$3:$K$64,1,0), "")</f>
        <v/>
      </c>
      <c r="AC147" s="24" t="str">
        <f>IFERROR(VLOOKUP($Z147,'[1]End CA Lotação'!$L$3:$L$36,1,0), "")</f>
        <v/>
      </c>
      <c r="AD147" s="24" t="str">
        <f>IFERROR(VLOOKUP(Z147,'[1]RH - PARA 21.03'!$M$3:$M$555,1,0),"")</f>
        <v/>
      </c>
      <c r="AE147" s="23" t="str">
        <f>IFERROR(VLOOKUP($Z147,'[1]CNPJ Oi Fat'!$K$3:$K$32,1,0),"")</f>
        <v/>
      </c>
      <c r="AF147" s="23" t="str">
        <f>IFERROR(VLOOKUP(Z147,'[1]End Logística Oi'!$D$3:$D$29,1,0),"")</f>
        <v/>
      </c>
      <c r="AG147" s="23" t="str">
        <f>IFERROR(VLOOKUP(Z147,'[1]End Logística Oi'!$J$3:$J$29,1,0),"")</f>
        <v/>
      </c>
      <c r="AI147" s="23" t="s">
        <v>55</v>
      </c>
      <c r="AJ147" s="23" t="s">
        <v>55</v>
      </c>
      <c r="AK147" s="23" t="e">
        <v>#N/A</v>
      </c>
    </row>
    <row r="148" spans="1:37" s="23" customFormat="1" ht="15" hidden="1" customHeight="1" x14ac:dyDescent="0.25">
      <c r="A148" s="19">
        <v>146</v>
      </c>
      <c r="B148" s="19" t="s">
        <v>68</v>
      </c>
      <c r="C148" s="19" t="s">
        <v>39</v>
      </c>
      <c r="D148" s="26" t="s">
        <v>40</v>
      </c>
      <c r="E148" s="19" t="s">
        <v>29</v>
      </c>
      <c r="F148" s="26" t="s">
        <v>467</v>
      </c>
      <c r="G148" s="19">
        <v>31920017555</v>
      </c>
      <c r="H148" s="19" t="s">
        <v>859</v>
      </c>
      <c r="I148" s="20">
        <v>44061</v>
      </c>
      <c r="J148" s="19"/>
      <c r="K148" s="19" t="s">
        <v>45</v>
      </c>
      <c r="L148" s="36" t="s">
        <v>473</v>
      </c>
      <c r="M148" s="20" t="s">
        <v>473</v>
      </c>
      <c r="N148" s="36"/>
      <c r="O148" s="19"/>
      <c r="P148" s="19" t="s">
        <v>860</v>
      </c>
      <c r="Q148" s="36"/>
      <c r="R148" s="36"/>
      <c r="S148" s="19" t="s">
        <v>45</v>
      </c>
      <c r="T148" s="19" t="s">
        <v>861</v>
      </c>
      <c r="U148" s="19" t="s">
        <v>49</v>
      </c>
      <c r="V148" s="19" t="s">
        <v>862</v>
      </c>
      <c r="W148" s="35" t="s">
        <v>863</v>
      </c>
      <c r="X148" s="21"/>
      <c r="Y148" s="22">
        <v>76535764033742</v>
      </c>
      <c r="Z148" s="23">
        <f t="shared" si="2"/>
        <v>146</v>
      </c>
      <c r="AA148" s="24" t="str">
        <f>IFERROR(VLOOKUP($Z148,'[1]End Fat Serviço - PA 15 e 16'!$K$3:$K$31,1,0), "")</f>
        <v/>
      </c>
      <c r="AB148" s="24" t="str">
        <f>IFERROR(VLOOKUP($Z148,'[1]End Fat Material - PA 12'!$K$3:$K$64,1,0), "")</f>
        <v/>
      </c>
      <c r="AC148" s="24" t="str">
        <f>IFERROR(VLOOKUP($Z148,'[1]End CA Lotação'!$L$3:$L$36,1,0), "")</f>
        <v/>
      </c>
      <c r="AD148" s="24" t="str">
        <f>IFERROR(VLOOKUP(Z148,'[1]RH - PARA 21.03'!$M$3:$M$555,1,0),"")</f>
        <v/>
      </c>
      <c r="AE148" s="23" t="str">
        <f>IFERROR(VLOOKUP($Z148,'[1]CNPJ Oi Fat'!$K$3:$K$32,1,0),"")</f>
        <v/>
      </c>
      <c r="AF148" s="23" t="str">
        <f>IFERROR(VLOOKUP(Z148,'[1]End Logística Oi'!$D$3:$D$29,1,0),"")</f>
        <v/>
      </c>
      <c r="AG148" s="23" t="str">
        <f>IFERROR(VLOOKUP(Z148,'[1]End Logística Oi'!$J$3:$J$29,1,0),"")</f>
        <v/>
      </c>
      <c r="AI148" s="23" t="s">
        <v>55</v>
      </c>
      <c r="AJ148" s="23" t="s">
        <v>55</v>
      </c>
      <c r="AK148" s="23" t="e">
        <v>#N/A</v>
      </c>
    </row>
    <row r="149" spans="1:37" s="23" customFormat="1" ht="15" hidden="1" customHeight="1" x14ac:dyDescent="0.25">
      <c r="A149" s="19">
        <v>147</v>
      </c>
      <c r="B149" s="19" t="s">
        <v>68</v>
      </c>
      <c r="C149" s="19" t="s">
        <v>39</v>
      </c>
      <c r="D149" s="26" t="s">
        <v>40</v>
      </c>
      <c r="E149" s="19" t="s">
        <v>29</v>
      </c>
      <c r="F149" s="26" t="s">
        <v>467</v>
      </c>
      <c r="G149" s="19">
        <v>31920017334</v>
      </c>
      <c r="H149" s="19" t="s">
        <v>864</v>
      </c>
      <c r="I149" s="20">
        <v>44061</v>
      </c>
      <c r="J149" s="19"/>
      <c r="K149" s="19" t="s">
        <v>45</v>
      </c>
      <c r="L149" s="36" t="s">
        <v>473</v>
      </c>
      <c r="M149" s="20" t="s">
        <v>473</v>
      </c>
      <c r="N149" s="36"/>
      <c r="O149" s="19"/>
      <c r="P149" s="19" t="s">
        <v>865</v>
      </c>
      <c r="Q149" s="36"/>
      <c r="R149" s="36"/>
      <c r="S149" s="19" t="s">
        <v>45</v>
      </c>
      <c r="T149" s="19" t="s">
        <v>866</v>
      </c>
      <c r="U149" s="19" t="s">
        <v>49</v>
      </c>
      <c r="V149" s="19" t="s">
        <v>867</v>
      </c>
      <c r="W149" s="35" t="s">
        <v>868</v>
      </c>
      <c r="X149" s="21"/>
      <c r="Y149" s="22">
        <v>76535764030131</v>
      </c>
      <c r="Z149" s="23">
        <f t="shared" si="2"/>
        <v>147</v>
      </c>
      <c r="AA149" s="24" t="str">
        <f>IFERROR(VLOOKUP($Z149,'[1]End Fat Serviço - PA 15 e 16'!$K$3:$K$31,1,0), "")</f>
        <v/>
      </c>
      <c r="AB149" s="24" t="str">
        <f>IFERROR(VLOOKUP($Z149,'[1]End Fat Material - PA 12'!$K$3:$K$64,1,0), "")</f>
        <v/>
      </c>
      <c r="AC149" s="24" t="str">
        <f>IFERROR(VLOOKUP($Z149,'[1]End CA Lotação'!$L$3:$L$36,1,0), "")</f>
        <v/>
      </c>
      <c r="AD149" s="24" t="str">
        <f>IFERROR(VLOOKUP(Z149,'[1]RH - PARA 21.03'!$M$3:$M$555,1,0),"")</f>
        <v/>
      </c>
      <c r="AE149" s="23" t="str">
        <f>IFERROR(VLOOKUP($Z149,'[1]CNPJ Oi Fat'!$K$3:$K$32,1,0),"")</f>
        <v/>
      </c>
      <c r="AF149" s="23" t="str">
        <f>IFERROR(VLOOKUP(Z149,'[1]End Logística Oi'!$D$3:$D$29,1,0),"")</f>
        <v/>
      </c>
      <c r="AG149" s="23" t="str">
        <f>IFERROR(VLOOKUP(Z149,'[1]End Logística Oi'!$J$3:$J$29,1,0),"")</f>
        <v/>
      </c>
      <c r="AI149" s="23" t="s">
        <v>55</v>
      </c>
      <c r="AJ149" s="23" t="s">
        <v>55</v>
      </c>
      <c r="AK149" s="23" t="e">
        <v>#N/A</v>
      </c>
    </row>
    <row r="150" spans="1:37" s="23" customFormat="1" ht="15" hidden="1" customHeight="1" x14ac:dyDescent="0.25">
      <c r="A150" s="19">
        <v>148</v>
      </c>
      <c r="B150" s="19" t="s">
        <v>68</v>
      </c>
      <c r="C150" s="19" t="s">
        <v>39</v>
      </c>
      <c r="D150" s="26" t="s">
        <v>40</v>
      </c>
      <c r="E150" s="19" t="s">
        <v>29</v>
      </c>
      <c r="F150" s="26" t="s">
        <v>467</v>
      </c>
      <c r="G150" s="19">
        <v>31920017504</v>
      </c>
      <c r="H150" s="19" t="s">
        <v>869</v>
      </c>
      <c r="I150" s="20">
        <v>44061</v>
      </c>
      <c r="J150" s="19"/>
      <c r="K150" s="19" t="s">
        <v>45</v>
      </c>
      <c r="L150" s="36" t="s">
        <v>473</v>
      </c>
      <c r="M150" s="20" t="s">
        <v>473</v>
      </c>
      <c r="N150" s="36"/>
      <c r="O150" s="19"/>
      <c r="P150" s="19" t="s">
        <v>870</v>
      </c>
      <c r="Q150" s="20">
        <v>44214</v>
      </c>
      <c r="R150" s="36"/>
      <c r="S150" s="19" t="s">
        <v>45</v>
      </c>
      <c r="T150" s="19" t="s">
        <v>871</v>
      </c>
      <c r="U150" s="19" t="s">
        <v>49</v>
      </c>
      <c r="V150" s="19" t="s">
        <v>872</v>
      </c>
      <c r="W150" s="35" t="s">
        <v>873</v>
      </c>
      <c r="X150" s="21"/>
      <c r="Y150" s="22">
        <v>76535764031960</v>
      </c>
      <c r="Z150" s="23">
        <f t="shared" si="2"/>
        <v>148</v>
      </c>
      <c r="AA150" s="24" t="str">
        <f>IFERROR(VLOOKUP($Z150,'[1]End Fat Serviço - PA 15 e 16'!$K$3:$K$31,1,0), "")</f>
        <v/>
      </c>
      <c r="AB150" s="24" t="str">
        <f>IFERROR(VLOOKUP($Z150,'[1]End Fat Material - PA 12'!$K$3:$K$64,1,0), "")</f>
        <v/>
      </c>
      <c r="AC150" s="24" t="str">
        <f>IFERROR(VLOOKUP($Z150,'[1]End CA Lotação'!$L$3:$L$36,1,0), "")</f>
        <v/>
      </c>
      <c r="AD150" s="24" t="str">
        <f>IFERROR(VLOOKUP(Z150,'[1]RH - PARA 21.03'!$M$3:$M$555,1,0),"")</f>
        <v/>
      </c>
      <c r="AE150" s="23" t="str">
        <f>IFERROR(VLOOKUP($Z150,'[1]CNPJ Oi Fat'!$K$3:$K$32,1,0),"")</f>
        <v/>
      </c>
      <c r="AF150" s="23" t="str">
        <f>IFERROR(VLOOKUP(Z150,'[1]End Logística Oi'!$D$3:$D$29,1,0),"")</f>
        <v/>
      </c>
      <c r="AG150" s="23" t="str">
        <f>IFERROR(VLOOKUP(Z150,'[1]End Logística Oi'!$J$3:$J$29,1,0),"")</f>
        <v/>
      </c>
      <c r="AI150" s="23" t="s">
        <v>55</v>
      </c>
      <c r="AJ150" s="23" t="s">
        <v>55</v>
      </c>
      <c r="AK150" s="23" t="e">
        <v>#N/A</v>
      </c>
    </row>
    <row r="151" spans="1:37" s="23" customFormat="1" ht="15" hidden="1" customHeight="1" x14ac:dyDescent="0.25">
      <c r="A151" s="19">
        <v>149</v>
      </c>
      <c r="B151" s="19" t="s">
        <v>68</v>
      </c>
      <c r="C151" s="19" t="s">
        <v>39</v>
      </c>
      <c r="D151" s="26" t="s">
        <v>40</v>
      </c>
      <c r="E151" s="19" t="s">
        <v>29</v>
      </c>
      <c r="F151" s="26" t="s">
        <v>467</v>
      </c>
      <c r="G151" s="19">
        <v>31920017261</v>
      </c>
      <c r="H151" s="19" t="s">
        <v>874</v>
      </c>
      <c r="I151" s="20">
        <v>44061</v>
      </c>
      <c r="J151" s="19"/>
      <c r="K151" s="19" t="s">
        <v>45</v>
      </c>
      <c r="L151" s="36" t="s">
        <v>473</v>
      </c>
      <c r="M151" s="20" t="s">
        <v>473</v>
      </c>
      <c r="N151" s="36"/>
      <c r="O151" s="19"/>
      <c r="P151" s="19">
        <v>23586</v>
      </c>
      <c r="Q151" s="36"/>
      <c r="R151" s="36"/>
      <c r="S151" s="19" t="s">
        <v>45</v>
      </c>
      <c r="T151" s="19" t="s">
        <v>875</v>
      </c>
      <c r="U151" s="19" t="s">
        <v>49</v>
      </c>
      <c r="V151" s="19" t="s">
        <v>876</v>
      </c>
      <c r="W151" s="35" t="s">
        <v>877</v>
      </c>
      <c r="X151" s="21"/>
      <c r="Y151" s="22">
        <v>76535764029397</v>
      </c>
      <c r="Z151" s="23">
        <f t="shared" si="2"/>
        <v>149</v>
      </c>
      <c r="AA151" s="24" t="str">
        <f>IFERROR(VLOOKUP($Z151,'[1]End Fat Serviço - PA 15 e 16'!$K$3:$K$31,1,0), "")</f>
        <v/>
      </c>
      <c r="AB151" s="24" t="str">
        <f>IFERROR(VLOOKUP($Z151,'[1]End Fat Material - PA 12'!$K$3:$K$64,1,0), "")</f>
        <v/>
      </c>
      <c r="AC151" s="24" t="str">
        <f>IFERROR(VLOOKUP($Z151,'[1]End CA Lotação'!$L$3:$L$36,1,0), "")</f>
        <v/>
      </c>
      <c r="AD151" s="24" t="str">
        <f>IFERROR(VLOOKUP(Z151,'[1]RH - PARA 21.03'!$M$3:$M$555,1,0),"")</f>
        <v/>
      </c>
      <c r="AE151" s="23" t="str">
        <f>IFERROR(VLOOKUP($Z151,'[1]CNPJ Oi Fat'!$K$3:$K$32,1,0),"")</f>
        <v/>
      </c>
      <c r="AF151" s="23" t="str">
        <f>IFERROR(VLOOKUP(Z151,'[1]End Logística Oi'!$D$3:$D$29,1,0),"")</f>
        <v/>
      </c>
      <c r="AG151" s="23" t="str">
        <f>IFERROR(VLOOKUP(Z151,'[1]End Logística Oi'!$J$3:$J$29,1,0),"")</f>
        <v/>
      </c>
      <c r="AI151" s="23" t="s">
        <v>55</v>
      </c>
      <c r="AJ151" s="23" t="s">
        <v>55</v>
      </c>
      <c r="AK151" s="23" t="e">
        <v>#N/A</v>
      </c>
    </row>
    <row r="152" spans="1:37" s="23" customFormat="1" ht="15" hidden="1" customHeight="1" x14ac:dyDescent="0.25">
      <c r="A152" s="19">
        <v>150</v>
      </c>
      <c r="B152" s="19" t="s">
        <v>68</v>
      </c>
      <c r="C152" s="19" t="s">
        <v>39</v>
      </c>
      <c r="D152" s="26" t="s">
        <v>40</v>
      </c>
      <c r="E152" s="19" t="s">
        <v>29</v>
      </c>
      <c r="F152" s="26" t="s">
        <v>467</v>
      </c>
      <c r="G152" s="19">
        <v>31920017431</v>
      </c>
      <c r="H152" s="19" t="s">
        <v>878</v>
      </c>
      <c r="I152" s="20">
        <v>44061</v>
      </c>
      <c r="J152" s="19"/>
      <c r="K152" s="19" t="s">
        <v>45</v>
      </c>
      <c r="L152" s="36" t="s">
        <v>473</v>
      </c>
      <c r="M152" s="20" t="s">
        <v>473</v>
      </c>
      <c r="N152" s="36"/>
      <c r="O152" s="19"/>
      <c r="P152" s="19" t="s">
        <v>879</v>
      </c>
      <c r="Q152" s="36"/>
      <c r="R152" s="36"/>
      <c r="S152" s="19" t="s">
        <v>45</v>
      </c>
      <c r="T152" s="19" t="s">
        <v>880</v>
      </c>
      <c r="U152" s="19" t="s">
        <v>881</v>
      </c>
      <c r="V152" s="19" t="s">
        <v>882</v>
      </c>
      <c r="W152" s="35" t="s">
        <v>883</v>
      </c>
      <c r="X152" s="21"/>
      <c r="Y152" s="22">
        <v>76535764031103</v>
      </c>
      <c r="Z152" s="23">
        <f t="shared" si="2"/>
        <v>150</v>
      </c>
      <c r="AA152" s="24" t="str">
        <f>IFERROR(VLOOKUP($Z152,'[1]End Fat Serviço - PA 15 e 16'!$K$3:$K$31,1,0), "")</f>
        <v/>
      </c>
      <c r="AB152" s="24" t="str">
        <f>IFERROR(VLOOKUP($Z152,'[1]End Fat Material - PA 12'!$K$3:$K$64,1,0), "")</f>
        <v/>
      </c>
      <c r="AC152" s="24" t="str">
        <f>IFERROR(VLOOKUP($Z152,'[1]End CA Lotação'!$L$3:$L$36,1,0), "")</f>
        <v/>
      </c>
      <c r="AD152" s="24" t="str">
        <f>IFERROR(VLOOKUP(Z152,'[1]RH - PARA 21.03'!$M$3:$M$555,1,0),"")</f>
        <v/>
      </c>
      <c r="AE152" s="23" t="str">
        <f>IFERROR(VLOOKUP($Z152,'[1]CNPJ Oi Fat'!$K$3:$K$32,1,0),"")</f>
        <v/>
      </c>
      <c r="AF152" s="23" t="str">
        <f>IFERROR(VLOOKUP(Z152,'[1]End Logística Oi'!$D$3:$D$29,1,0),"")</f>
        <v/>
      </c>
      <c r="AG152" s="23" t="str">
        <f>IFERROR(VLOOKUP(Z152,'[1]End Logística Oi'!$J$3:$J$29,1,0),"")</f>
        <v/>
      </c>
      <c r="AI152" s="23" t="s">
        <v>55</v>
      </c>
      <c r="AJ152" s="23" t="s">
        <v>55</v>
      </c>
      <c r="AK152" s="23" t="e">
        <v>#N/A</v>
      </c>
    </row>
    <row r="153" spans="1:37" s="23" customFormat="1" ht="15" hidden="1" customHeight="1" x14ac:dyDescent="0.25">
      <c r="A153" s="19">
        <v>151</v>
      </c>
      <c r="B153" s="19" t="s">
        <v>68</v>
      </c>
      <c r="C153" s="19" t="s">
        <v>39</v>
      </c>
      <c r="D153" s="26" t="s">
        <v>40</v>
      </c>
      <c r="E153" s="19" t="s">
        <v>29</v>
      </c>
      <c r="F153" s="26" t="s">
        <v>467</v>
      </c>
      <c r="G153" s="19">
        <v>31920017202</v>
      </c>
      <c r="H153" s="19" t="s">
        <v>884</v>
      </c>
      <c r="I153" s="20">
        <v>44061</v>
      </c>
      <c r="J153" s="19"/>
      <c r="K153" s="19" t="s">
        <v>45</v>
      </c>
      <c r="L153" s="36" t="s">
        <v>473</v>
      </c>
      <c r="M153" s="20" t="s">
        <v>473</v>
      </c>
      <c r="N153" s="36"/>
      <c r="O153" s="19"/>
      <c r="P153" s="19" t="s">
        <v>885</v>
      </c>
      <c r="Q153" s="20">
        <v>44609</v>
      </c>
      <c r="R153" s="36"/>
      <c r="S153" s="19" t="s">
        <v>45</v>
      </c>
      <c r="T153" s="19" t="s">
        <v>886</v>
      </c>
      <c r="U153" s="19" t="s">
        <v>49</v>
      </c>
      <c r="V153" s="19" t="s">
        <v>887</v>
      </c>
      <c r="W153" s="35" t="s">
        <v>888</v>
      </c>
      <c r="X153" s="21"/>
      <c r="Y153" s="22">
        <v>76535764028749</v>
      </c>
      <c r="Z153" s="23">
        <f t="shared" si="2"/>
        <v>151</v>
      </c>
      <c r="AA153" s="24" t="str">
        <f>IFERROR(VLOOKUP($Z153,'[1]End Fat Serviço - PA 15 e 16'!$K$3:$K$31,1,0), "")</f>
        <v/>
      </c>
      <c r="AB153" s="24" t="str">
        <f>IFERROR(VLOOKUP($Z153,'[1]End Fat Material - PA 12'!$K$3:$K$64,1,0), "")</f>
        <v/>
      </c>
      <c r="AC153" s="24" t="str">
        <f>IFERROR(VLOOKUP($Z153,'[1]End CA Lotação'!$L$3:$L$36,1,0), "")</f>
        <v/>
      </c>
      <c r="AD153" s="24" t="str">
        <f>IFERROR(VLOOKUP(Z153,'[1]RH - PARA 21.03'!$M$3:$M$555,1,0),"")</f>
        <v/>
      </c>
      <c r="AE153" s="23" t="str">
        <f>IFERROR(VLOOKUP($Z153,'[1]CNPJ Oi Fat'!$K$3:$K$32,1,0),"")</f>
        <v/>
      </c>
      <c r="AF153" s="23" t="str">
        <f>IFERROR(VLOOKUP(Z153,'[1]End Logística Oi'!$D$3:$D$29,1,0),"")</f>
        <v/>
      </c>
      <c r="AG153" s="23" t="str">
        <f>IFERROR(VLOOKUP(Z153,'[1]End Logística Oi'!$J$3:$J$29,1,0),"")</f>
        <v/>
      </c>
      <c r="AI153" s="23" t="s">
        <v>55</v>
      </c>
      <c r="AJ153" s="23" t="s">
        <v>55</v>
      </c>
      <c r="AK153" s="23" t="e">
        <v>#N/A</v>
      </c>
    </row>
    <row r="154" spans="1:37" s="23" customFormat="1" ht="15" hidden="1" customHeight="1" x14ac:dyDescent="0.25">
      <c r="A154" s="19">
        <v>152</v>
      </c>
      <c r="B154" s="19" t="s">
        <v>68</v>
      </c>
      <c r="C154" s="19" t="s">
        <v>39</v>
      </c>
      <c r="D154" s="26" t="s">
        <v>40</v>
      </c>
      <c r="E154" s="19" t="s">
        <v>29</v>
      </c>
      <c r="F154" s="26" t="s">
        <v>467</v>
      </c>
      <c r="G154" s="19">
        <v>31920017318</v>
      </c>
      <c r="H154" s="19" t="s">
        <v>889</v>
      </c>
      <c r="I154" s="20">
        <v>44061</v>
      </c>
      <c r="J154" s="19"/>
      <c r="K154" s="19" t="s">
        <v>45</v>
      </c>
      <c r="L154" s="36" t="s">
        <v>473</v>
      </c>
      <c r="M154" s="20" t="s">
        <v>473</v>
      </c>
      <c r="N154" s="36"/>
      <c r="O154" s="19"/>
      <c r="P154" s="19">
        <v>37031</v>
      </c>
      <c r="Q154" s="20">
        <v>44265</v>
      </c>
      <c r="R154" s="36"/>
      <c r="S154" s="19" t="s">
        <v>45</v>
      </c>
      <c r="T154" s="19" t="s">
        <v>890</v>
      </c>
      <c r="U154" s="19" t="s">
        <v>49</v>
      </c>
      <c r="V154" s="19" t="s">
        <v>721</v>
      </c>
      <c r="W154" s="35" t="s">
        <v>891</v>
      </c>
      <c r="X154" s="21"/>
      <c r="Y154" s="22">
        <v>76535764029982</v>
      </c>
      <c r="Z154" s="23">
        <f t="shared" si="2"/>
        <v>152</v>
      </c>
      <c r="AA154" s="24" t="str">
        <f>IFERROR(VLOOKUP($Z154,'[1]End Fat Serviço - PA 15 e 16'!$K$3:$K$31,1,0), "")</f>
        <v/>
      </c>
      <c r="AB154" s="24" t="str">
        <f>IFERROR(VLOOKUP($Z154,'[1]End Fat Material - PA 12'!$K$3:$K$64,1,0), "")</f>
        <v/>
      </c>
      <c r="AC154" s="24" t="str">
        <f>IFERROR(VLOOKUP($Z154,'[1]End CA Lotação'!$L$3:$L$36,1,0), "")</f>
        <v/>
      </c>
      <c r="AD154" s="24" t="str">
        <f>IFERROR(VLOOKUP(Z154,'[1]RH - PARA 21.03'!$M$3:$M$555,1,0),"")</f>
        <v/>
      </c>
      <c r="AE154" s="23" t="str">
        <f>IFERROR(VLOOKUP($Z154,'[1]CNPJ Oi Fat'!$K$3:$K$32,1,0),"")</f>
        <v/>
      </c>
      <c r="AF154" s="23" t="str">
        <f>IFERROR(VLOOKUP(Z154,'[1]End Logística Oi'!$D$3:$D$29,1,0),"")</f>
        <v/>
      </c>
      <c r="AG154" s="23" t="str">
        <f>IFERROR(VLOOKUP(Z154,'[1]End Logística Oi'!$J$3:$J$29,1,0),"")</f>
        <v/>
      </c>
      <c r="AI154" s="23" t="s">
        <v>55</v>
      </c>
      <c r="AJ154" s="23" t="s">
        <v>55</v>
      </c>
      <c r="AK154" s="23" t="e">
        <v>#N/A</v>
      </c>
    </row>
    <row r="155" spans="1:37" s="23" customFormat="1" ht="15" hidden="1" customHeight="1" x14ac:dyDescent="0.25">
      <c r="A155" s="19">
        <v>153</v>
      </c>
      <c r="B155" s="19" t="s">
        <v>68</v>
      </c>
      <c r="C155" s="19" t="s">
        <v>39</v>
      </c>
      <c r="D155" s="26" t="s">
        <v>40</v>
      </c>
      <c r="E155" s="19" t="s">
        <v>29</v>
      </c>
      <c r="F155" s="26" t="s">
        <v>467</v>
      </c>
      <c r="G155" s="19">
        <v>31920017547</v>
      </c>
      <c r="H155" s="19" t="s">
        <v>892</v>
      </c>
      <c r="I155" s="20">
        <v>44061</v>
      </c>
      <c r="J155" s="19"/>
      <c r="K155" s="19" t="s">
        <v>45</v>
      </c>
      <c r="L155" s="36" t="s">
        <v>473</v>
      </c>
      <c r="M155" s="20" t="s">
        <v>473</v>
      </c>
      <c r="N155" s="36"/>
      <c r="O155" s="19"/>
      <c r="P155" s="19" t="s">
        <v>893</v>
      </c>
      <c r="Q155" s="36"/>
      <c r="R155" s="36"/>
      <c r="S155" s="19" t="s">
        <v>45</v>
      </c>
      <c r="T155" s="19" t="s">
        <v>894</v>
      </c>
      <c r="U155" s="19" t="s">
        <v>49</v>
      </c>
      <c r="V155" s="19" t="s">
        <v>895</v>
      </c>
      <c r="W155" s="35" t="s">
        <v>896</v>
      </c>
      <c r="X155" s="21"/>
      <c r="Y155" s="22">
        <v>76535764033661</v>
      </c>
      <c r="Z155" s="23">
        <f t="shared" si="2"/>
        <v>153</v>
      </c>
      <c r="AA155" s="24" t="str">
        <f>IFERROR(VLOOKUP($Z155,'[1]End Fat Serviço - PA 15 e 16'!$K$3:$K$31,1,0), "")</f>
        <v/>
      </c>
      <c r="AB155" s="24" t="str">
        <f>IFERROR(VLOOKUP($Z155,'[1]End Fat Material - PA 12'!$K$3:$K$64,1,0), "")</f>
        <v/>
      </c>
      <c r="AC155" s="24" t="str">
        <f>IFERROR(VLOOKUP($Z155,'[1]End CA Lotação'!$L$3:$L$36,1,0), "")</f>
        <v/>
      </c>
      <c r="AD155" s="24" t="str">
        <f>IFERROR(VLOOKUP(Z155,'[1]RH - PARA 21.03'!$M$3:$M$555,1,0),"")</f>
        <v/>
      </c>
      <c r="AE155" s="23" t="str">
        <f>IFERROR(VLOOKUP($Z155,'[1]CNPJ Oi Fat'!$K$3:$K$32,1,0),"")</f>
        <v/>
      </c>
      <c r="AF155" s="23" t="str">
        <f>IFERROR(VLOOKUP(Z155,'[1]End Logística Oi'!$D$3:$D$29,1,0),"")</f>
        <v/>
      </c>
      <c r="AG155" s="23" t="str">
        <f>IFERROR(VLOOKUP(Z155,'[1]End Logística Oi'!$J$3:$J$29,1,0),"")</f>
        <v/>
      </c>
      <c r="AI155" s="23" t="s">
        <v>55</v>
      </c>
      <c r="AJ155" s="23" t="s">
        <v>55</v>
      </c>
      <c r="AK155" s="23" t="e">
        <v>#N/A</v>
      </c>
    </row>
    <row r="156" spans="1:37" s="23" customFormat="1" ht="15" hidden="1" customHeight="1" x14ac:dyDescent="0.25">
      <c r="A156" s="25">
        <v>154</v>
      </c>
      <c r="B156" s="26" t="s">
        <v>104</v>
      </c>
      <c r="C156" s="27" t="s">
        <v>39</v>
      </c>
      <c r="D156" s="26" t="s">
        <v>40</v>
      </c>
      <c r="E156" s="26" t="s">
        <v>479</v>
      </c>
      <c r="F156" s="26" t="s">
        <v>467</v>
      </c>
      <c r="G156" s="28">
        <v>51920007866</v>
      </c>
      <c r="H156" s="26" t="s">
        <v>897</v>
      </c>
      <c r="I156" s="29">
        <v>44061</v>
      </c>
      <c r="J156" s="30"/>
      <c r="K156" s="19" t="s">
        <v>45</v>
      </c>
      <c r="L156" s="31" t="s">
        <v>898</v>
      </c>
      <c r="M156" s="29">
        <v>36609</v>
      </c>
      <c r="N156" s="32"/>
      <c r="O156" s="31" t="s">
        <v>336</v>
      </c>
      <c r="P156" s="33">
        <v>191338</v>
      </c>
      <c r="Q156" s="29">
        <v>44077</v>
      </c>
      <c r="R156" s="32"/>
      <c r="S156" s="31" t="s">
        <v>45</v>
      </c>
      <c r="T156" s="31" t="s">
        <v>899</v>
      </c>
      <c r="U156" s="31" t="s">
        <v>900</v>
      </c>
      <c r="V156" s="27" t="s">
        <v>901</v>
      </c>
      <c r="W156" s="31" t="s">
        <v>902</v>
      </c>
      <c r="X156" s="21"/>
      <c r="Y156" s="22">
        <v>76535764023518</v>
      </c>
      <c r="Z156" s="23">
        <v>154</v>
      </c>
      <c r="AA156" s="24" t="s">
        <v>65</v>
      </c>
      <c r="AB156" s="24" t="s">
        <v>65</v>
      </c>
      <c r="AC156" s="24" t="s">
        <v>65</v>
      </c>
      <c r="AD156" s="24" t="s">
        <v>65</v>
      </c>
      <c r="AE156" s="23" t="s">
        <v>65</v>
      </c>
      <c r="AF156" s="23" t="s">
        <v>65</v>
      </c>
      <c r="AG156" s="23">
        <v>154</v>
      </c>
      <c r="AH156" s="34" t="s">
        <v>342</v>
      </c>
      <c r="AI156" s="23" t="s">
        <v>55</v>
      </c>
      <c r="AJ156" s="23" t="s">
        <v>55</v>
      </c>
      <c r="AK156" s="23" t="s">
        <v>121</v>
      </c>
    </row>
    <row r="157" spans="1:37" s="23" customFormat="1" ht="15" customHeight="1" x14ac:dyDescent="0.25">
      <c r="A157" s="25">
        <v>155</v>
      </c>
      <c r="B157" s="26" t="s">
        <v>56</v>
      </c>
      <c r="C157" s="27" t="s">
        <v>39</v>
      </c>
      <c r="D157" s="26" t="s">
        <v>40</v>
      </c>
      <c r="E157" s="26" t="s">
        <v>280</v>
      </c>
      <c r="F157" s="26" t="s">
        <v>467</v>
      </c>
      <c r="G157" s="28">
        <v>15902008806</v>
      </c>
      <c r="H157" s="26" t="s">
        <v>903</v>
      </c>
      <c r="I157" s="29">
        <v>44061</v>
      </c>
      <c r="J157" s="30"/>
      <c r="K157" s="19" t="s">
        <v>45</v>
      </c>
      <c r="L157" s="31" t="s">
        <v>59</v>
      </c>
      <c r="M157" s="29">
        <v>38212</v>
      </c>
      <c r="N157" s="32"/>
      <c r="O157" s="31" t="s">
        <v>336</v>
      </c>
      <c r="P157" s="33" t="s">
        <v>904</v>
      </c>
      <c r="Q157" s="29">
        <v>44061</v>
      </c>
      <c r="R157" s="32"/>
      <c r="S157" s="31" t="s">
        <v>45</v>
      </c>
      <c r="T157" s="31" t="s">
        <v>905</v>
      </c>
      <c r="U157" s="31" t="s">
        <v>49</v>
      </c>
      <c r="V157" s="27" t="s">
        <v>906</v>
      </c>
      <c r="W157" s="31" t="s">
        <v>907</v>
      </c>
      <c r="X157" s="21"/>
      <c r="Y157" s="22">
        <v>76535764023780</v>
      </c>
      <c r="Z157" s="23">
        <v>155</v>
      </c>
      <c r="AA157" s="24">
        <v>155</v>
      </c>
      <c r="AB157" s="24">
        <v>155</v>
      </c>
      <c r="AC157" s="24">
        <v>155</v>
      </c>
      <c r="AD157" s="24">
        <v>155</v>
      </c>
      <c r="AE157" s="23" t="s">
        <v>65</v>
      </c>
      <c r="AF157" s="23" t="s">
        <v>65</v>
      </c>
      <c r="AG157" s="23">
        <v>155</v>
      </c>
      <c r="AH157" s="34" t="s">
        <v>579</v>
      </c>
      <c r="AI157" s="23" t="s">
        <v>54</v>
      </c>
      <c r="AJ157" s="23" t="s">
        <v>54</v>
      </c>
      <c r="AK157" s="23" t="s">
        <v>164</v>
      </c>
    </row>
    <row r="158" spans="1:37" s="23" customFormat="1" ht="15" customHeight="1" x14ac:dyDescent="0.25">
      <c r="A158" s="25">
        <v>156</v>
      </c>
      <c r="B158" s="26" t="s">
        <v>214</v>
      </c>
      <c r="C158" s="27" t="s">
        <v>39</v>
      </c>
      <c r="D158" s="26" t="s">
        <v>40</v>
      </c>
      <c r="E158" s="26" t="s">
        <v>280</v>
      </c>
      <c r="F158" s="26" t="s">
        <v>467</v>
      </c>
      <c r="G158" s="28">
        <v>26902009267</v>
      </c>
      <c r="H158" s="26" t="s">
        <v>908</v>
      </c>
      <c r="I158" s="29">
        <v>44061</v>
      </c>
      <c r="J158" s="30"/>
      <c r="K158" s="19" t="s">
        <v>45</v>
      </c>
      <c r="L158" s="31" t="s">
        <v>217</v>
      </c>
      <c r="M158" s="29">
        <v>38091</v>
      </c>
      <c r="N158" s="32"/>
      <c r="O158" s="31" t="s">
        <v>568</v>
      </c>
      <c r="P158" s="33" t="s">
        <v>909</v>
      </c>
      <c r="Q158" s="29">
        <v>44062</v>
      </c>
      <c r="R158" s="32"/>
      <c r="S158" s="31" t="s">
        <v>45</v>
      </c>
      <c r="T158" s="31" t="s">
        <v>910</v>
      </c>
      <c r="U158" s="31" t="s">
        <v>911</v>
      </c>
      <c r="V158" s="27" t="s">
        <v>912</v>
      </c>
      <c r="W158" s="31" t="s">
        <v>913</v>
      </c>
      <c r="X158" s="21"/>
      <c r="Y158" s="22">
        <v>76535764027777</v>
      </c>
      <c r="Z158" s="23">
        <v>156</v>
      </c>
      <c r="AA158" s="24">
        <v>156</v>
      </c>
      <c r="AB158" s="24">
        <v>156</v>
      </c>
      <c r="AC158" s="24">
        <v>156</v>
      </c>
      <c r="AD158" s="24">
        <v>156</v>
      </c>
      <c r="AE158" s="23" t="s">
        <v>65</v>
      </c>
      <c r="AF158" s="23" t="s">
        <v>65</v>
      </c>
      <c r="AG158" s="23">
        <v>156</v>
      </c>
      <c r="AH158" s="34" t="s">
        <v>579</v>
      </c>
      <c r="AI158" s="23" t="s">
        <v>54</v>
      </c>
      <c r="AJ158" s="23" t="s">
        <v>54</v>
      </c>
      <c r="AK158" s="23" t="s">
        <v>121</v>
      </c>
    </row>
    <row r="159" spans="1:37" s="23" customFormat="1" ht="15" customHeight="1" x14ac:dyDescent="0.25">
      <c r="A159" s="19">
        <v>157</v>
      </c>
      <c r="B159" s="19" t="s">
        <v>214</v>
      </c>
      <c r="C159" s="19" t="s">
        <v>39</v>
      </c>
      <c r="D159" s="26" t="s">
        <v>40</v>
      </c>
      <c r="E159" s="19" t="s">
        <v>914</v>
      </c>
      <c r="F159" s="26" t="s">
        <v>467</v>
      </c>
      <c r="G159" s="19">
        <v>26902009313</v>
      </c>
      <c r="H159" s="19" t="s">
        <v>915</v>
      </c>
      <c r="I159" s="20">
        <v>44061</v>
      </c>
      <c r="J159" s="19"/>
      <c r="K159" s="19" t="s">
        <v>45</v>
      </c>
      <c r="L159" s="36" t="s">
        <v>473</v>
      </c>
      <c r="M159" s="20"/>
      <c r="N159" s="36"/>
      <c r="O159" s="19"/>
      <c r="P159" s="19" t="s">
        <v>916</v>
      </c>
      <c r="Q159" s="36"/>
      <c r="R159" s="36"/>
      <c r="S159" s="19" t="s">
        <v>45</v>
      </c>
      <c r="T159" s="19" t="s">
        <v>917</v>
      </c>
      <c r="U159" s="19" t="s">
        <v>918</v>
      </c>
      <c r="V159" s="19" t="s">
        <v>220</v>
      </c>
      <c r="W159" s="35" t="s">
        <v>919</v>
      </c>
      <c r="X159" s="21"/>
      <c r="Y159" s="22">
        <v>76535764028234</v>
      </c>
      <c r="Z159" s="23">
        <f t="shared" ref="Z159:Z168" si="3">A159</f>
        <v>157</v>
      </c>
      <c r="AA159" s="24" t="str">
        <f>IFERROR(VLOOKUP($Z159,'[1]End Fat Serviço - PA 15 e 16'!$K$3:$K$31,1,0), "")</f>
        <v/>
      </c>
      <c r="AB159" s="24" t="str">
        <f>IFERROR(VLOOKUP($Z159,'[1]End Fat Material - PA 12'!$K$3:$K$64,1,0), "")</f>
        <v/>
      </c>
      <c r="AC159" s="24" t="str">
        <f>IFERROR(VLOOKUP($Z159,'[1]End CA Lotação'!$L$3:$L$36,1,0), "")</f>
        <v/>
      </c>
      <c r="AD159" s="24">
        <f>IFERROR(VLOOKUP(Z159,'[1]RH - PARA 21.03'!$M$3:$M$555,1,0),"")</f>
        <v>157</v>
      </c>
      <c r="AE159" s="23" t="str">
        <f>IFERROR(VLOOKUP($Z159,'[1]CNPJ Oi Fat'!$K$3:$K$32,1,0),"")</f>
        <v/>
      </c>
      <c r="AF159" s="23" t="str">
        <f>IFERROR(VLOOKUP(Z159,'[1]End Logística Oi'!$D$3:$D$29,1,0),"")</f>
        <v/>
      </c>
      <c r="AG159" s="23" t="str">
        <f>IFERROR(VLOOKUP(Z159,'[1]End Logística Oi'!$J$3:$J$29,1,0),"")</f>
        <v/>
      </c>
      <c r="AH159" s="23" t="s">
        <v>53</v>
      </c>
      <c r="AI159" s="23" t="s">
        <v>54</v>
      </c>
      <c r="AJ159" s="23" t="s">
        <v>55</v>
      </c>
      <c r="AK159" s="23" t="e">
        <v>#N/A</v>
      </c>
    </row>
    <row r="160" spans="1:37" s="23" customFormat="1" ht="15" customHeight="1" x14ac:dyDescent="0.25">
      <c r="A160" s="19">
        <v>158</v>
      </c>
      <c r="B160" s="19" t="s">
        <v>214</v>
      </c>
      <c r="C160" s="19" t="s">
        <v>39</v>
      </c>
      <c r="D160" s="26" t="s">
        <v>40</v>
      </c>
      <c r="E160" s="19" t="s">
        <v>29</v>
      </c>
      <c r="F160" s="26" t="s">
        <v>467</v>
      </c>
      <c r="G160" s="19">
        <v>26902009305</v>
      </c>
      <c r="H160" s="19" t="s">
        <v>920</v>
      </c>
      <c r="I160" s="20">
        <v>44061</v>
      </c>
      <c r="J160" s="19"/>
      <c r="K160" s="19" t="s">
        <v>45</v>
      </c>
      <c r="L160" s="36" t="s">
        <v>473</v>
      </c>
      <c r="M160" s="20"/>
      <c r="N160" s="36"/>
      <c r="O160" s="19"/>
      <c r="P160" s="19">
        <v>1260723</v>
      </c>
      <c r="Q160" s="36"/>
      <c r="R160" s="36"/>
      <c r="S160" s="19" t="s">
        <v>45</v>
      </c>
      <c r="T160" s="19" t="s">
        <v>921</v>
      </c>
      <c r="U160" s="19" t="s">
        <v>922</v>
      </c>
      <c r="V160" s="19" t="s">
        <v>923</v>
      </c>
      <c r="W160" s="35" t="s">
        <v>924</v>
      </c>
      <c r="X160" s="21"/>
      <c r="Y160" s="22">
        <v>76535764028153</v>
      </c>
      <c r="Z160" s="23">
        <f t="shared" si="3"/>
        <v>158</v>
      </c>
      <c r="AA160" s="24" t="str">
        <f>IFERROR(VLOOKUP($Z160,'[1]End Fat Serviço - PA 15 e 16'!$K$3:$K$31,1,0), "")</f>
        <v/>
      </c>
      <c r="AB160" s="24" t="str">
        <f>IFERROR(VLOOKUP($Z160,'[1]End Fat Material - PA 12'!$K$3:$K$64,1,0), "")</f>
        <v/>
      </c>
      <c r="AC160" s="24" t="str">
        <f>IFERROR(VLOOKUP($Z160,'[1]End CA Lotação'!$L$3:$L$36,1,0), "")</f>
        <v/>
      </c>
      <c r="AD160" s="24">
        <f>IFERROR(VLOOKUP(Z160,'[1]RH - PARA 21.03'!$M$3:$M$555,1,0),"")</f>
        <v>158</v>
      </c>
      <c r="AE160" s="23" t="str">
        <f>IFERROR(VLOOKUP($Z160,'[1]CNPJ Oi Fat'!$K$3:$K$32,1,0),"")</f>
        <v/>
      </c>
      <c r="AF160" s="23" t="str">
        <f>IFERROR(VLOOKUP(Z160,'[1]End Logística Oi'!$D$3:$D$29,1,0),"")</f>
        <v/>
      </c>
      <c r="AG160" s="23" t="str">
        <f>IFERROR(VLOOKUP(Z160,'[1]End Logística Oi'!$J$3:$J$29,1,0),"")</f>
        <v/>
      </c>
      <c r="AI160" s="23" t="s">
        <v>54</v>
      </c>
      <c r="AJ160" s="23" t="s">
        <v>55</v>
      </c>
      <c r="AK160" s="23" t="e">
        <v>#N/A</v>
      </c>
    </row>
    <row r="161" spans="1:38" s="23" customFormat="1" ht="15" customHeight="1" x14ac:dyDescent="0.25">
      <c r="A161" s="19">
        <v>159</v>
      </c>
      <c r="B161" s="19" t="s">
        <v>214</v>
      </c>
      <c r="C161" s="19" t="s">
        <v>39</v>
      </c>
      <c r="D161" s="26" t="s">
        <v>40</v>
      </c>
      <c r="E161" s="19" t="s">
        <v>29</v>
      </c>
      <c r="F161" s="26" t="s">
        <v>467</v>
      </c>
      <c r="G161" s="19">
        <v>26902009241</v>
      </c>
      <c r="H161" s="19" t="s">
        <v>925</v>
      </c>
      <c r="I161" s="20">
        <v>44061</v>
      </c>
      <c r="J161" s="19"/>
      <c r="K161" s="19" t="s">
        <v>45</v>
      </c>
      <c r="L161" s="36" t="s">
        <v>473</v>
      </c>
      <c r="M161" s="20"/>
      <c r="N161" s="36"/>
      <c r="O161" s="19"/>
      <c r="P161" s="19" t="s">
        <v>604</v>
      </c>
      <c r="Q161" s="36"/>
      <c r="R161" s="36"/>
      <c r="S161" s="19" t="s">
        <v>604</v>
      </c>
      <c r="T161" s="19" t="s">
        <v>926</v>
      </c>
      <c r="U161" s="19" t="s">
        <v>927</v>
      </c>
      <c r="V161" s="19" t="s">
        <v>928</v>
      </c>
      <c r="W161" s="35" t="s">
        <v>929</v>
      </c>
      <c r="X161" s="21"/>
      <c r="Y161" s="22">
        <v>76535764027505</v>
      </c>
      <c r="Z161" s="23">
        <f t="shared" si="3"/>
        <v>159</v>
      </c>
      <c r="AA161" s="24" t="str">
        <f>IFERROR(VLOOKUP($Z161,'[1]End Fat Serviço - PA 15 e 16'!$K$3:$K$31,1,0), "")</f>
        <v/>
      </c>
      <c r="AB161" s="24" t="str">
        <f>IFERROR(VLOOKUP($Z161,'[1]End Fat Material - PA 12'!$K$3:$K$64,1,0), "")</f>
        <v/>
      </c>
      <c r="AC161" s="24" t="str">
        <f>IFERROR(VLOOKUP($Z161,'[1]End CA Lotação'!$L$3:$L$36,1,0), "")</f>
        <v/>
      </c>
      <c r="AD161" s="24">
        <f>IFERROR(VLOOKUP(Z161,'[1]RH - PARA 21.03'!$M$3:$M$555,1,0),"")</f>
        <v>159</v>
      </c>
      <c r="AE161" s="23" t="str">
        <f>IFERROR(VLOOKUP($Z161,'[1]CNPJ Oi Fat'!$K$3:$K$32,1,0),"")</f>
        <v/>
      </c>
      <c r="AF161" s="23" t="str">
        <f>IFERROR(VLOOKUP(Z161,'[1]End Logística Oi'!$D$3:$D$29,1,0),"")</f>
        <v/>
      </c>
      <c r="AG161" s="23" t="str">
        <f>IFERROR(VLOOKUP(Z161,'[1]End Logística Oi'!$J$3:$J$29,1,0),"")</f>
        <v/>
      </c>
      <c r="AI161" s="23" t="s">
        <v>54</v>
      </c>
      <c r="AJ161" s="23" t="s">
        <v>55</v>
      </c>
      <c r="AK161" s="23" t="e">
        <v>#N/A</v>
      </c>
    </row>
    <row r="162" spans="1:38" s="23" customFormat="1" ht="15" customHeight="1" x14ac:dyDescent="0.25">
      <c r="A162" s="19">
        <v>160</v>
      </c>
      <c r="B162" s="19" t="s">
        <v>214</v>
      </c>
      <c r="C162" s="19" t="s">
        <v>39</v>
      </c>
      <c r="D162" s="26" t="s">
        <v>40</v>
      </c>
      <c r="E162" s="19" t="s">
        <v>29</v>
      </c>
      <c r="F162" s="26" t="s">
        <v>467</v>
      </c>
      <c r="G162" s="19">
        <v>26902009291</v>
      </c>
      <c r="H162" s="19" t="s">
        <v>930</v>
      </c>
      <c r="I162" s="20">
        <v>44061</v>
      </c>
      <c r="J162" s="19"/>
      <c r="K162" s="19" t="s">
        <v>45</v>
      </c>
      <c r="L162" s="36" t="s">
        <v>473</v>
      </c>
      <c r="M162" s="20"/>
      <c r="N162" s="36"/>
      <c r="O162" s="19"/>
      <c r="P162" s="19" t="s">
        <v>931</v>
      </c>
      <c r="Q162" s="36"/>
      <c r="R162" s="36"/>
      <c r="S162" s="19" t="s">
        <v>45</v>
      </c>
      <c r="T162" s="19" t="s">
        <v>932</v>
      </c>
      <c r="U162" s="19" t="s">
        <v>844</v>
      </c>
      <c r="V162" s="19" t="s">
        <v>933</v>
      </c>
      <c r="W162" s="35" t="s">
        <v>934</v>
      </c>
      <c r="X162" s="21"/>
      <c r="Y162" s="22">
        <v>76535764028072</v>
      </c>
      <c r="Z162" s="23">
        <f t="shared" si="3"/>
        <v>160</v>
      </c>
      <c r="AA162" s="24" t="str">
        <f>IFERROR(VLOOKUP($Z162,'[1]End Fat Serviço - PA 15 e 16'!$K$3:$K$31,1,0), "")</f>
        <v/>
      </c>
      <c r="AB162" s="24" t="str">
        <f>IFERROR(VLOOKUP($Z162,'[1]End Fat Material - PA 12'!$K$3:$K$64,1,0), "")</f>
        <v/>
      </c>
      <c r="AC162" s="24" t="str">
        <f>IFERROR(VLOOKUP($Z162,'[1]End CA Lotação'!$L$3:$L$36,1,0), "")</f>
        <v/>
      </c>
      <c r="AD162" s="24">
        <f>IFERROR(VLOOKUP(Z162,'[1]RH - PARA 21.03'!$M$3:$M$555,1,0),"")</f>
        <v>160</v>
      </c>
      <c r="AE162" s="23" t="str">
        <f>IFERROR(VLOOKUP($Z162,'[1]CNPJ Oi Fat'!$K$3:$K$32,1,0),"")</f>
        <v/>
      </c>
      <c r="AF162" s="23" t="str">
        <f>IFERROR(VLOOKUP(Z162,'[1]End Logística Oi'!$D$3:$D$29,1,0),"")</f>
        <v/>
      </c>
      <c r="AG162" s="23" t="str">
        <f>IFERROR(VLOOKUP(Z162,'[1]End Logística Oi'!$J$3:$J$29,1,0),"")</f>
        <v/>
      </c>
      <c r="AI162" s="23" t="s">
        <v>54</v>
      </c>
      <c r="AJ162" s="23" t="s">
        <v>55</v>
      </c>
      <c r="AK162" s="23" t="e">
        <v>#N/A</v>
      </c>
    </row>
    <row r="163" spans="1:38" s="23" customFormat="1" ht="15" customHeight="1" x14ac:dyDescent="0.25">
      <c r="A163" s="19">
        <v>161</v>
      </c>
      <c r="B163" s="19" t="s">
        <v>214</v>
      </c>
      <c r="C163" s="19" t="s">
        <v>39</v>
      </c>
      <c r="D163" s="26" t="s">
        <v>40</v>
      </c>
      <c r="E163" s="19" t="s">
        <v>29</v>
      </c>
      <c r="F163" s="26" t="s">
        <v>467</v>
      </c>
      <c r="G163" s="19">
        <v>26902009283</v>
      </c>
      <c r="H163" s="19" t="s">
        <v>935</v>
      </c>
      <c r="I163" s="20">
        <v>44061</v>
      </c>
      <c r="J163" s="19"/>
      <c r="K163" s="19" t="s">
        <v>45</v>
      </c>
      <c r="L163" s="36" t="s">
        <v>473</v>
      </c>
      <c r="M163" s="20"/>
      <c r="N163" s="36"/>
      <c r="O163" s="19"/>
      <c r="P163" s="19">
        <v>68221</v>
      </c>
      <c r="Q163" s="36"/>
      <c r="R163" s="36"/>
      <c r="S163" s="19" t="s">
        <v>45</v>
      </c>
      <c r="T163" s="19" t="s">
        <v>936</v>
      </c>
      <c r="U163" s="19" t="s">
        <v>49</v>
      </c>
      <c r="V163" s="19" t="s">
        <v>937</v>
      </c>
      <c r="W163" s="35" t="s">
        <v>938</v>
      </c>
      <c r="X163" s="21"/>
      <c r="Y163" s="22">
        <v>76535764027939</v>
      </c>
      <c r="Z163" s="23">
        <f t="shared" si="3"/>
        <v>161</v>
      </c>
      <c r="AA163" s="24" t="str">
        <f>IFERROR(VLOOKUP($Z163,'[1]End Fat Serviço - PA 15 e 16'!$K$3:$K$31,1,0), "")</f>
        <v/>
      </c>
      <c r="AB163" s="24" t="str">
        <f>IFERROR(VLOOKUP($Z163,'[1]End Fat Material - PA 12'!$K$3:$K$64,1,0), "")</f>
        <v/>
      </c>
      <c r="AC163" s="24" t="str">
        <f>IFERROR(VLOOKUP($Z163,'[1]End CA Lotação'!$L$3:$L$36,1,0), "")</f>
        <v/>
      </c>
      <c r="AD163" s="24">
        <f>IFERROR(VLOOKUP(Z163,'[1]RH - PARA 21.03'!$M$3:$M$555,1,0),"")</f>
        <v>161</v>
      </c>
      <c r="AE163" s="23" t="str">
        <f>IFERROR(VLOOKUP($Z163,'[1]CNPJ Oi Fat'!$K$3:$K$32,1,0),"")</f>
        <v/>
      </c>
      <c r="AF163" s="23" t="str">
        <f>IFERROR(VLOOKUP(Z163,'[1]End Logística Oi'!$D$3:$D$29,1,0),"")</f>
        <v/>
      </c>
      <c r="AG163" s="23" t="str">
        <f>IFERROR(VLOOKUP(Z163,'[1]End Logística Oi'!$J$3:$J$29,1,0),"")</f>
        <v/>
      </c>
      <c r="AI163" s="23" t="s">
        <v>54</v>
      </c>
      <c r="AJ163" s="23" t="s">
        <v>55</v>
      </c>
      <c r="AK163" s="23" t="e">
        <v>#N/A</v>
      </c>
    </row>
    <row r="164" spans="1:38" s="23" customFormat="1" ht="15" customHeight="1" x14ac:dyDescent="0.25">
      <c r="A164" s="19">
        <v>162</v>
      </c>
      <c r="B164" s="19" t="s">
        <v>214</v>
      </c>
      <c r="C164" s="19" t="s">
        <v>39</v>
      </c>
      <c r="D164" s="26" t="s">
        <v>40</v>
      </c>
      <c r="E164" s="19" t="s">
        <v>29</v>
      </c>
      <c r="F164" s="26" t="s">
        <v>467</v>
      </c>
      <c r="G164" s="19">
        <v>26902009259</v>
      </c>
      <c r="H164" s="19" t="s">
        <v>939</v>
      </c>
      <c r="I164" s="20">
        <v>44061</v>
      </c>
      <c r="J164" s="19"/>
      <c r="K164" s="19" t="s">
        <v>45</v>
      </c>
      <c r="L164" s="36" t="s">
        <v>473</v>
      </c>
      <c r="M164" s="20"/>
      <c r="N164" s="36"/>
      <c r="O164" s="19"/>
      <c r="P164" s="19">
        <v>13128</v>
      </c>
      <c r="Q164" s="36"/>
      <c r="R164" s="36"/>
      <c r="S164" s="19" t="s">
        <v>45</v>
      </c>
      <c r="T164" s="19" t="s">
        <v>940</v>
      </c>
      <c r="U164" s="19" t="s">
        <v>844</v>
      </c>
      <c r="V164" s="19" t="s">
        <v>941</v>
      </c>
      <c r="W164" s="35" t="s">
        <v>942</v>
      </c>
      <c r="X164" s="21"/>
      <c r="Y164" s="22">
        <v>76535764027696</v>
      </c>
      <c r="Z164" s="23">
        <f t="shared" si="3"/>
        <v>162</v>
      </c>
      <c r="AA164" s="24" t="str">
        <f>IFERROR(VLOOKUP($Z164,'[1]End Fat Serviço - PA 15 e 16'!$K$3:$K$31,1,0), "")</f>
        <v/>
      </c>
      <c r="AB164" s="24" t="str">
        <f>IFERROR(VLOOKUP($Z164,'[1]End Fat Material - PA 12'!$K$3:$K$64,1,0), "")</f>
        <v/>
      </c>
      <c r="AC164" s="24" t="str">
        <f>IFERROR(VLOOKUP($Z164,'[1]End CA Lotação'!$L$3:$L$36,1,0), "")</f>
        <v/>
      </c>
      <c r="AD164" s="24">
        <f>IFERROR(VLOOKUP(Z164,'[1]RH - PARA 21.03'!$M$3:$M$555,1,0),"")</f>
        <v>162</v>
      </c>
      <c r="AE164" s="23" t="str">
        <f>IFERROR(VLOOKUP($Z164,'[1]CNPJ Oi Fat'!$K$3:$K$32,1,0),"")</f>
        <v/>
      </c>
      <c r="AF164" s="23" t="str">
        <f>IFERROR(VLOOKUP(Z164,'[1]End Logística Oi'!$D$3:$D$29,1,0),"")</f>
        <v/>
      </c>
      <c r="AG164" s="23" t="str">
        <f>IFERROR(VLOOKUP(Z164,'[1]End Logística Oi'!$J$3:$J$29,1,0),"")</f>
        <v/>
      </c>
      <c r="AI164" s="23" t="s">
        <v>54</v>
      </c>
      <c r="AJ164" s="23" t="s">
        <v>55</v>
      </c>
      <c r="AK164" s="23" t="e">
        <v>#N/A</v>
      </c>
    </row>
    <row r="165" spans="1:38" s="23" customFormat="1" ht="15" customHeight="1" x14ac:dyDescent="0.25">
      <c r="A165" s="19">
        <v>163</v>
      </c>
      <c r="B165" s="19" t="s">
        <v>263</v>
      </c>
      <c r="C165" s="19" t="s">
        <v>39</v>
      </c>
      <c r="D165" s="26" t="s">
        <v>40</v>
      </c>
      <c r="E165" s="19" t="s">
        <v>29</v>
      </c>
      <c r="F165" s="26" t="s">
        <v>467</v>
      </c>
      <c r="G165" s="19">
        <v>22900498291</v>
      </c>
      <c r="H165" s="19" t="s">
        <v>943</v>
      </c>
      <c r="I165" s="20">
        <v>44061</v>
      </c>
      <c r="J165" s="19"/>
      <c r="K165" s="19" t="s">
        <v>45</v>
      </c>
      <c r="L165" s="36" t="s">
        <v>473</v>
      </c>
      <c r="M165" s="20"/>
      <c r="N165" s="20">
        <v>44664</v>
      </c>
      <c r="O165" s="19"/>
      <c r="P165" s="19">
        <v>253671</v>
      </c>
      <c r="Q165" s="20">
        <v>44068</v>
      </c>
      <c r="R165" s="36"/>
      <c r="S165" s="19" t="s">
        <v>45</v>
      </c>
      <c r="T165" s="19" t="s">
        <v>944</v>
      </c>
      <c r="U165" s="19" t="s">
        <v>945</v>
      </c>
      <c r="V165" s="19" t="s">
        <v>946</v>
      </c>
      <c r="W165" s="35" t="s">
        <v>947</v>
      </c>
      <c r="X165" s="21"/>
      <c r="Y165" s="22">
        <v>76535764024670</v>
      </c>
      <c r="Z165" s="23">
        <f t="shared" si="3"/>
        <v>163</v>
      </c>
      <c r="AA165" s="24" t="str">
        <f>IFERROR(VLOOKUP($Z165,'[1]End Fat Serviço - PA 15 e 16'!$K$3:$K$31,1,0), "")</f>
        <v/>
      </c>
      <c r="AB165" s="24" t="str">
        <f>IFERROR(VLOOKUP($Z165,'[1]End Fat Material - PA 12'!$K$3:$K$64,1,0), "")</f>
        <v/>
      </c>
      <c r="AC165" s="24" t="str">
        <f>IFERROR(VLOOKUP($Z165,'[1]End CA Lotação'!$L$3:$L$36,1,0), "")</f>
        <v/>
      </c>
      <c r="AD165" s="24">
        <f>IFERROR(VLOOKUP(Z165,'[1]RH - PARA 21.03'!$M$3:$M$555,1,0),"")</f>
        <v>163</v>
      </c>
      <c r="AE165" s="23" t="str">
        <f>IFERROR(VLOOKUP($Z165,'[1]CNPJ Oi Fat'!$K$3:$K$32,1,0),"")</f>
        <v/>
      </c>
      <c r="AF165" s="23" t="str">
        <f>IFERROR(VLOOKUP(Z165,'[1]End Logística Oi'!$D$3:$D$29,1,0),"")</f>
        <v/>
      </c>
      <c r="AG165" s="23" t="str">
        <f>IFERROR(VLOOKUP(Z165,'[1]End Logística Oi'!$J$3:$J$29,1,0),"")</f>
        <v/>
      </c>
      <c r="AI165" s="23" t="s">
        <v>54</v>
      </c>
      <c r="AJ165" s="23" t="s">
        <v>55</v>
      </c>
      <c r="AK165" s="23" t="e">
        <v>#N/A</v>
      </c>
    </row>
    <row r="166" spans="1:38" s="23" customFormat="1" ht="15" customHeight="1" x14ac:dyDescent="0.25">
      <c r="A166" s="19">
        <v>164</v>
      </c>
      <c r="B166" s="19" t="s">
        <v>263</v>
      </c>
      <c r="C166" s="19" t="s">
        <v>39</v>
      </c>
      <c r="D166" s="26" t="s">
        <v>40</v>
      </c>
      <c r="E166" s="19" t="s">
        <v>29</v>
      </c>
      <c r="F166" s="26" t="s">
        <v>467</v>
      </c>
      <c r="G166" s="19">
        <v>22900498305</v>
      </c>
      <c r="H166" s="19" t="s">
        <v>948</v>
      </c>
      <c r="I166" s="20">
        <v>44061</v>
      </c>
      <c r="J166" s="19"/>
      <c r="K166" s="19" t="s">
        <v>45</v>
      </c>
      <c r="L166" s="36" t="s">
        <v>473</v>
      </c>
      <c r="M166" s="20">
        <v>44070</v>
      </c>
      <c r="N166" s="20">
        <v>44664</v>
      </c>
      <c r="O166" s="19"/>
      <c r="P166" s="19">
        <v>54570</v>
      </c>
      <c r="Q166" s="36"/>
      <c r="R166" s="36"/>
      <c r="S166" s="19" t="s">
        <v>45</v>
      </c>
      <c r="T166" s="19" t="s">
        <v>949</v>
      </c>
      <c r="U166" s="19" t="s">
        <v>950</v>
      </c>
      <c r="V166" s="19" t="s">
        <v>951</v>
      </c>
      <c r="W166" s="35" t="s">
        <v>952</v>
      </c>
      <c r="X166" s="21"/>
      <c r="Y166" s="22">
        <v>76535764024751</v>
      </c>
      <c r="Z166" s="23">
        <f t="shared" si="3"/>
        <v>164</v>
      </c>
      <c r="AA166" s="24" t="str">
        <f>IFERROR(VLOOKUP($Z166,'[1]End Fat Serviço - PA 15 e 16'!$K$3:$K$31,1,0), "")</f>
        <v/>
      </c>
      <c r="AB166" s="24" t="str">
        <f>IFERROR(VLOOKUP($Z166,'[1]End Fat Material - PA 12'!$K$3:$K$64,1,0), "")</f>
        <v/>
      </c>
      <c r="AC166" s="24" t="str">
        <f>IFERROR(VLOOKUP($Z166,'[1]End CA Lotação'!$L$3:$L$36,1,0), "")</f>
        <v/>
      </c>
      <c r="AD166" s="24">
        <f>IFERROR(VLOOKUP(Z166,'[1]RH - PARA 21.03'!$M$3:$M$555,1,0),"")</f>
        <v>164</v>
      </c>
      <c r="AE166" s="23" t="str">
        <f>IFERROR(VLOOKUP($Z166,'[1]CNPJ Oi Fat'!$K$3:$K$32,1,0),"")</f>
        <v/>
      </c>
      <c r="AF166" s="23" t="str">
        <f>IFERROR(VLOOKUP(Z166,'[1]End Logística Oi'!$D$3:$D$29,1,0),"")</f>
        <v/>
      </c>
      <c r="AG166" s="23" t="str">
        <f>IFERROR(VLOOKUP(Z166,'[1]End Logística Oi'!$J$3:$J$29,1,0),"")</f>
        <v/>
      </c>
      <c r="AI166" s="23" t="s">
        <v>54</v>
      </c>
      <c r="AJ166" s="23" t="s">
        <v>55</v>
      </c>
      <c r="AK166" s="23" t="e">
        <v>#N/A</v>
      </c>
    </row>
    <row r="167" spans="1:38" s="23" customFormat="1" ht="15" customHeight="1" x14ac:dyDescent="0.25">
      <c r="A167" s="19">
        <v>165</v>
      </c>
      <c r="B167" s="19" t="s">
        <v>263</v>
      </c>
      <c r="C167" s="19" t="s">
        <v>39</v>
      </c>
      <c r="D167" s="26" t="s">
        <v>40</v>
      </c>
      <c r="E167" s="19" t="s">
        <v>29</v>
      </c>
      <c r="F167" s="26" t="s">
        <v>467</v>
      </c>
      <c r="G167" s="19">
        <v>22900498313</v>
      </c>
      <c r="H167" s="19" t="s">
        <v>953</v>
      </c>
      <c r="I167" s="20">
        <v>44061</v>
      </c>
      <c r="J167" s="19"/>
      <c r="K167" s="19" t="s">
        <v>45</v>
      </c>
      <c r="L167" s="36" t="s">
        <v>473</v>
      </c>
      <c r="M167" s="20"/>
      <c r="N167" s="20">
        <v>44664</v>
      </c>
      <c r="O167" s="19"/>
      <c r="P167" s="19">
        <v>109472</v>
      </c>
      <c r="Q167" s="20">
        <v>44456</v>
      </c>
      <c r="R167" s="36"/>
      <c r="S167" s="19" t="s">
        <v>45</v>
      </c>
      <c r="T167" s="19" t="s">
        <v>954</v>
      </c>
      <c r="U167" s="19" t="s">
        <v>955</v>
      </c>
      <c r="V167" s="19" t="s">
        <v>956</v>
      </c>
      <c r="W167" s="35" t="s">
        <v>957</v>
      </c>
      <c r="X167" s="21"/>
      <c r="Y167" s="22">
        <v>76535764024832</v>
      </c>
      <c r="Z167" s="23">
        <f t="shared" si="3"/>
        <v>165</v>
      </c>
      <c r="AA167" s="24" t="str">
        <f>IFERROR(VLOOKUP($Z167,'[1]End Fat Serviço - PA 15 e 16'!$K$3:$K$31,1,0), "")</f>
        <v/>
      </c>
      <c r="AB167" s="24" t="str">
        <f>IFERROR(VLOOKUP($Z167,'[1]End Fat Material - PA 12'!$K$3:$K$64,1,0), "")</f>
        <v/>
      </c>
      <c r="AC167" s="24" t="str">
        <f>IFERROR(VLOOKUP($Z167,'[1]End CA Lotação'!$L$3:$L$36,1,0), "")</f>
        <v/>
      </c>
      <c r="AD167" s="24">
        <f>IFERROR(VLOOKUP(Z167,'[1]RH - PARA 21.03'!$M$3:$M$555,1,0),"")</f>
        <v>165</v>
      </c>
      <c r="AE167" s="23" t="str">
        <f>IFERROR(VLOOKUP($Z167,'[1]CNPJ Oi Fat'!$K$3:$K$32,1,0),"")</f>
        <v/>
      </c>
      <c r="AF167" s="23" t="str">
        <f>IFERROR(VLOOKUP(Z167,'[1]End Logística Oi'!$D$3:$D$29,1,0),"")</f>
        <v/>
      </c>
      <c r="AG167" s="23" t="str">
        <f>IFERROR(VLOOKUP(Z167,'[1]End Logística Oi'!$J$3:$J$29,1,0),"")</f>
        <v/>
      </c>
      <c r="AI167" s="23" t="s">
        <v>54</v>
      </c>
      <c r="AJ167" s="23" t="s">
        <v>55</v>
      </c>
      <c r="AK167" s="23" t="e">
        <v>#N/A</v>
      </c>
    </row>
    <row r="168" spans="1:38" s="23" customFormat="1" ht="15" customHeight="1" x14ac:dyDescent="0.25">
      <c r="A168" s="19">
        <v>166</v>
      </c>
      <c r="B168" s="19" t="s">
        <v>112</v>
      </c>
      <c r="C168" s="19" t="s">
        <v>39</v>
      </c>
      <c r="D168" s="26" t="s">
        <v>40</v>
      </c>
      <c r="E168" s="19" t="s">
        <v>280</v>
      </c>
      <c r="F168" s="26" t="s">
        <v>467</v>
      </c>
      <c r="G168" s="19">
        <v>41901927108</v>
      </c>
      <c r="H168" s="19" t="s">
        <v>958</v>
      </c>
      <c r="I168" s="20">
        <v>44061</v>
      </c>
      <c r="J168" s="19"/>
      <c r="K168" s="19" t="s">
        <v>45</v>
      </c>
      <c r="L168" s="36" t="s">
        <v>959</v>
      </c>
      <c r="M168" s="20"/>
      <c r="N168" s="20">
        <v>45254</v>
      </c>
      <c r="O168" s="19" t="s">
        <v>491</v>
      </c>
      <c r="P168" s="19" t="s">
        <v>960</v>
      </c>
      <c r="Q168" s="36"/>
      <c r="R168" s="36"/>
      <c r="S168" s="19" t="s">
        <v>45</v>
      </c>
      <c r="T168" s="19" t="s">
        <v>961</v>
      </c>
      <c r="U168" s="19" t="s">
        <v>962</v>
      </c>
      <c r="V168" s="19" t="s">
        <v>118</v>
      </c>
      <c r="W168" s="35" t="s">
        <v>963</v>
      </c>
      <c r="X168" s="21"/>
      <c r="Y168" s="22">
        <v>76535764025995</v>
      </c>
      <c r="Z168" s="23">
        <f t="shared" si="3"/>
        <v>166</v>
      </c>
      <c r="AA168" s="24" t="str">
        <f>IFERROR(VLOOKUP($Z168,'[1]End Fat Serviço - PA 15 e 16'!$K$3:$K$31,1,0), "")</f>
        <v/>
      </c>
      <c r="AB168" s="24" t="str">
        <f>IFERROR(VLOOKUP($Z168,'[1]End Fat Material - PA 12'!$K$3:$K$64,1,0), "")</f>
        <v/>
      </c>
      <c r="AC168" s="24" t="str">
        <f>IFERROR(VLOOKUP($Z168,'[1]End CA Lotação'!$L$3:$L$36,1,0), "")</f>
        <v/>
      </c>
      <c r="AD168" s="24">
        <f>IFERROR(VLOOKUP(Z168,'[1]RH - PARA 21.03'!$M$3:$M$555,1,0),"")</f>
        <v>166</v>
      </c>
      <c r="AE168" s="23" t="str">
        <f>IFERROR(VLOOKUP($Z168,'[1]CNPJ Oi Fat'!$K$3:$K$32,1,0),"")</f>
        <v/>
      </c>
      <c r="AF168" s="23" t="str">
        <f>IFERROR(VLOOKUP(Z168,'[1]End Logística Oi'!$D$3:$D$29,1,0),"")</f>
        <v/>
      </c>
      <c r="AG168" s="23" t="str">
        <f>IFERROR(VLOOKUP(Z168,'[1]End Logística Oi'!$J$3:$J$29,1,0),"")</f>
        <v/>
      </c>
      <c r="AH168" s="23" t="s">
        <v>53</v>
      </c>
      <c r="AI168" s="23" t="s">
        <v>54</v>
      </c>
      <c r="AJ168" s="23" t="s">
        <v>55</v>
      </c>
      <c r="AK168" s="23" t="e">
        <v>#N/A</v>
      </c>
    </row>
    <row r="169" spans="1:38" s="23" customFormat="1" ht="15" customHeight="1" x14ac:dyDescent="0.25">
      <c r="A169" s="25">
        <v>167</v>
      </c>
      <c r="B169" s="26" t="s">
        <v>112</v>
      </c>
      <c r="C169" s="27" t="s">
        <v>39</v>
      </c>
      <c r="D169" s="26" t="s">
        <v>40</v>
      </c>
      <c r="E169" s="26" t="s">
        <v>479</v>
      </c>
      <c r="F169" s="26" t="s">
        <v>467</v>
      </c>
      <c r="G169" s="28">
        <v>41901927094</v>
      </c>
      <c r="H169" s="26" t="s">
        <v>964</v>
      </c>
      <c r="I169" s="29">
        <v>44061</v>
      </c>
      <c r="J169" s="30"/>
      <c r="K169" s="19" t="s">
        <v>45</v>
      </c>
      <c r="L169" s="31" t="s">
        <v>115</v>
      </c>
      <c r="M169" s="29">
        <v>36617</v>
      </c>
      <c r="N169" s="32"/>
      <c r="O169" s="31" t="s">
        <v>965</v>
      </c>
      <c r="P169" s="33">
        <v>630021341</v>
      </c>
      <c r="Q169" s="29">
        <v>44117</v>
      </c>
      <c r="R169" s="32"/>
      <c r="S169" s="31" t="s">
        <v>45</v>
      </c>
      <c r="T169" s="31" t="s">
        <v>966</v>
      </c>
      <c r="U169" s="31" t="s">
        <v>967</v>
      </c>
      <c r="V169" s="27" t="s">
        <v>968</v>
      </c>
      <c r="W169" s="31" t="s">
        <v>969</v>
      </c>
      <c r="X169" s="21"/>
      <c r="Y169" s="22">
        <v>76535764025308</v>
      </c>
      <c r="Z169" s="23">
        <v>167</v>
      </c>
      <c r="AA169" s="24" t="s">
        <v>65</v>
      </c>
      <c r="AB169" s="24">
        <v>167</v>
      </c>
      <c r="AC169" s="24">
        <v>167</v>
      </c>
      <c r="AD169" s="24">
        <v>167</v>
      </c>
      <c r="AE169" s="23" t="s">
        <v>65</v>
      </c>
      <c r="AF169" s="23" t="s">
        <v>65</v>
      </c>
      <c r="AG169" s="23" t="s">
        <v>65</v>
      </c>
      <c r="AH169" s="34" t="s">
        <v>970</v>
      </c>
      <c r="AI169" s="23" t="s">
        <v>54</v>
      </c>
      <c r="AJ169" s="23" t="s">
        <v>54</v>
      </c>
      <c r="AK169" s="23" t="s">
        <v>121</v>
      </c>
    </row>
    <row r="170" spans="1:38" s="23" customFormat="1" ht="15" customHeight="1" x14ac:dyDescent="0.25">
      <c r="A170" s="25">
        <v>168</v>
      </c>
      <c r="B170" s="26" t="s">
        <v>112</v>
      </c>
      <c r="C170" s="27" t="s">
        <v>39</v>
      </c>
      <c r="D170" s="26" t="s">
        <v>40</v>
      </c>
      <c r="E170" s="26" t="s">
        <v>479</v>
      </c>
      <c r="F170" s="26" t="s">
        <v>467</v>
      </c>
      <c r="G170" s="28">
        <v>41901927086</v>
      </c>
      <c r="H170" s="26" t="s">
        <v>971</v>
      </c>
      <c r="I170" s="29">
        <v>44061</v>
      </c>
      <c r="J170" s="30"/>
      <c r="K170" s="19" t="s">
        <v>45</v>
      </c>
      <c r="L170" s="31" t="s">
        <v>115</v>
      </c>
      <c r="M170" s="29">
        <v>36617</v>
      </c>
      <c r="N170" s="32"/>
      <c r="O170" s="31" t="s">
        <v>965</v>
      </c>
      <c r="P170" s="33">
        <v>227150</v>
      </c>
      <c r="Q170" s="29">
        <v>44084</v>
      </c>
      <c r="R170" s="32"/>
      <c r="S170" s="31" t="s">
        <v>45</v>
      </c>
      <c r="T170" s="31" t="s">
        <v>972</v>
      </c>
      <c r="U170" s="31" t="s">
        <v>973</v>
      </c>
      <c r="V170" s="27" t="s">
        <v>974</v>
      </c>
      <c r="W170" s="31" t="s">
        <v>975</v>
      </c>
      <c r="X170" s="21"/>
      <c r="Y170" s="22">
        <v>76535764025138</v>
      </c>
      <c r="Z170" s="23">
        <v>168</v>
      </c>
      <c r="AA170" s="24" t="s">
        <v>65</v>
      </c>
      <c r="AB170" s="24">
        <v>168</v>
      </c>
      <c r="AC170" s="24">
        <v>168</v>
      </c>
      <c r="AD170" s="24">
        <v>168</v>
      </c>
      <c r="AE170" s="23" t="s">
        <v>65</v>
      </c>
      <c r="AF170" s="23" t="s">
        <v>65</v>
      </c>
      <c r="AG170" s="23" t="s">
        <v>65</v>
      </c>
      <c r="AH170" s="34" t="s">
        <v>970</v>
      </c>
      <c r="AI170" s="23" t="s">
        <v>54</v>
      </c>
      <c r="AJ170" s="23" t="s">
        <v>54</v>
      </c>
      <c r="AK170" s="23" t="s">
        <v>121</v>
      </c>
      <c r="AL170" s="23" t="s">
        <v>976</v>
      </c>
    </row>
    <row r="171" spans="1:38" s="23" customFormat="1" ht="15" hidden="1" customHeight="1" x14ac:dyDescent="0.25">
      <c r="A171" s="19">
        <v>169</v>
      </c>
      <c r="B171" s="19" t="s">
        <v>112</v>
      </c>
      <c r="C171" s="19" t="s">
        <v>39</v>
      </c>
      <c r="D171" s="26" t="s">
        <v>40</v>
      </c>
      <c r="E171" s="19" t="s">
        <v>29</v>
      </c>
      <c r="F171" s="26" t="s">
        <v>467</v>
      </c>
      <c r="G171" s="19">
        <v>41901927078</v>
      </c>
      <c r="H171" s="19" t="s">
        <v>977</v>
      </c>
      <c r="I171" s="20">
        <v>44061</v>
      </c>
      <c r="J171" s="19"/>
      <c r="K171" s="19" t="s">
        <v>45</v>
      </c>
      <c r="L171" s="36" t="s">
        <v>473</v>
      </c>
      <c r="M171" s="20"/>
      <c r="N171" s="36"/>
      <c r="O171" s="19"/>
      <c r="P171" s="19" t="s">
        <v>978</v>
      </c>
      <c r="Q171" s="36"/>
      <c r="R171" s="36"/>
      <c r="S171" s="19" t="s">
        <v>45</v>
      </c>
      <c r="T171" s="19" t="s">
        <v>979</v>
      </c>
      <c r="U171" s="19" t="s">
        <v>980</v>
      </c>
      <c r="V171" s="19" t="s">
        <v>118</v>
      </c>
      <c r="W171" s="35" t="s">
        <v>981</v>
      </c>
      <c r="X171" s="21"/>
      <c r="Y171" s="22">
        <v>76535764024913</v>
      </c>
      <c r="Z171" s="23">
        <f>A171</f>
        <v>169</v>
      </c>
      <c r="AA171" s="24" t="str">
        <f>IFERROR(VLOOKUP($Z171,'[1]End Fat Serviço - PA 15 e 16'!$K$3:$K$31,1,0), "")</f>
        <v/>
      </c>
      <c r="AB171" s="24" t="str">
        <f>IFERROR(VLOOKUP($Z171,'[1]End Fat Material - PA 12'!$K$3:$K$64,1,0), "")</f>
        <v/>
      </c>
      <c r="AC171" s="24" t="str">
        <f>IFERROR(VLOOKUP($Z171,'[1]End CA Lotação'!$L$3:$L$36,1,0), "")</f>
        <v/>
      </c>
      <c r="AD171" s="24" t="str">
        <f>IFERROR(VLOOKUP(Z171,'[1]RH - PARA 21.03'!$M$3:$M$555,1,0),"")</f>
        <v/>
      </c>
      <c r="AE171" s="23" t="str">
        <f>IFERROR(VLOOKUP($Z171,'[1]CNPJ Oi Fat'!$K$3:$K$32,1,0),"")</f>
        <v/>
      </c>
      <c r="AF171" s="23" t="str">
        <f>IFERROR(VLOOKUP(Z171,'[1]End Logística Oi'!$D$3:$D$29,1,0),"")</f>
        <v/>
      </c>
      <c r="AG171" s="23" t="str">
        <f>IFERROR(VLOOKUP(Z171,'[1]End Logística Oi'!$J$3:$J$29,1,0),"")</f>
        <v/>
      </c>
      <c r="AI171" s="23" t="s">
        <v>55</v>
      </c>
      <c r="AJ171" s="23" t="s">
        <v>55</v>
      </c>
      <c r="AK171" s="23" t="e">
        <v>#N/A</v>
      </c>
    </row>
    <row r="172" spans="1:38" s="23" customFormat="1" ht="15" customHeight="1" x14ac:dyDescent="0.25">
      <c r="A172" s="19">
        <v>170</v>
      </c>
      <c r="B172" s="19" t="s">
        <v>230</v>
      </c>
      <c r="C172" s="19" t="s">
        <v>39</v>
      </c>
      <c r="D172" s="26" t="s">
        <v>40</v>
      </c>
      <c r="E172" s="19" t="s">
        <v>479</v>
      </c>
      <c r="F172" s="26" t="s">
        <v>467</v>
      </c>
      <c r="G172" s="19">
        <v>33901787318</v>
      </c>
      <c r="H172" s="19" t="s">
        <v>982</v>
      </c>
      <c r="I172" s="20">
        <v>44061</v>
      </c>
      <c r="J172" s="19"/>
      <c r="K172" s="19" t="s">
        <v>45</v>
      </c>
      <c r="L172" s="36">
        <v>77685022</v>
      </c>
      <c r="M172" s="20" t="s">
        <v>473</v>
      </c>
      <c r="N172" s="36"/>
      <c r="O172" s="19"/>
      <c r="P172" s="19" t="s">
        <v>983</v>
      </c>
      <c r="Q172" s="36"/>
      <c r="R172" s="36"/>
      <c r="S172" s="19" t="s">
        <v>45</v>
      </c>
      <c r="T172" s="19" t="s">
        <v>984</v>
      </c>
      <c r="U172" s="19" t="s">
        <v>49</v>
      </c>
      <c r="V172" s="19" t="s">
        <v>235</v>
      </c>
      <c r="W172" s="35" t="s">
        <v>985</v>
      </c>
      <c r="X172" s="21"/>
      <c r="Y172" s="22">
        <v>76535764011501</v>
      </c>
      <c r="Z172" s="23">
        <f>A172</f>
        <v>170</v>
      </c>
      <c r="AA172" s="24" t="str">
        <f>IFERROR(VLOOKUP($Z172,'[1]End Fat Serviço - PA 15 e 16'!$K$3:$K$31,1,0), "")</f>
        <v/>
      </c>
      <c r="AB172" s="24" t="str">
        <f>IFERROR(VLOOKUP($Z172,'[1]End Fat Material - PA 12'!$K$3:$K$64,1,0), "")</f>
        <v/>
      </c>
      <c r="AC172" s="24" t="str">
        <f>IFERROR(VLOOKUP($Z172,'[1]End CA Lotação'!$L$3:$L$36,1,0), "")</f>
        <v/>
      </c>
      <c r="AD172" s="24">
        <f>IFERROR(VLOOKUP(Z172,'[1]RH - PARA 21.03'!$M$3:$M$555,1,0),"")</f>
        <v>170</v>
      </c>
      <c r="AE172" s="23" t="str">
        <f>IFERROR(VLOOKUP($Z172,'[1]CNPJ Oi Fat'!$K$3:$K$32,1,0),"")</f>
        <v/>
      </c>
      <c r="AF172" s="23" t="str">
        <f>IFERROR(VLOOKUP(Z172,'[1]End Logística Oi'!$D$3:$D$29,1,0),"")</f>
        <v/>
      </c>
      <c r="AG172" s="23" t="str">
        <f>IFERROR(VLOOKUP(Z172,'[1]End Logística Oi'!$J$3:$J$29,1,0),"")</f>
        <v/>
      </c>
      <c r="AH172" s="23" t="s">
        <v>53</v>
      </c>
      <c r="AI172" s="23" t="s">
        <v>54</v>
      </c>
      <c r="AJ172" s="23" t="s">
        <v>55</v>
      </c>
      <c r="AK172" s="23" t="e">
        <v>#N/A</v>
      </c>
    </row>
    <row r="173" spans="1:38" s="23" customFormat="1" ht="15" hidden="1" customHeight="1" x14ac:dyDescent="0.25">
      <c r="A173" s="19">
        <v>171</v>
      </c>
      <c r="B173" s="19" t="s">
        <v>230</v>
      </c>
      <c r="C173" s="19" t="s">
        <v>39</v>
      </c>
      <c r="D173" s="26" t="s">
        <v>40</v>
      </c>
      <c r="E173" s="19" t="s">
        <v>280</v>
      </c>
      <c r="F173" s="26" t="s">
        <v>467</v>
      </c>
      <c r="G173" s="19">
        <v>33901787601</v>
      </c>
      <c r="H173" s="19" t="s">
        <v>986</v>
      </c>
      <c r="I173" s="20">
        <v>44061</v>
      </c>
      <c r="J173" s="19"/>
      <c r="K173" s="19" t="s">
        <v>45</v>
      </c>
      <c r="L173" s="36">
        <v>77685022</v>
      </c>
      <c r="M173" s="20" t="s">
        <v>473</v>
      </c>
      <c r="N173" s="36"/>
      <c r="O173" s="19"/>
      <c r="P173" s="19" t="s">
        <v>987</v>
      </c>
      <c r="Q173" s="36"/>
      <c r="R173" s="36"/>
      <c r="S173" s="19" t="s">
        <v>45</v>
      </c>
      <c r="T173" s="19" t="s">
        <v>988</v>
      </c>
      <c r="U173" s="19" t="s">
        <v>339</v>
      </c>
      <c r="V173" s="19" t="s">
        <v>235</v>
      </c>
      <c r="W173" s="35" t="s">
        <v>989</v>
      </c>
      <c r="X173" s="21"/>
      <c r="Y173" s="22">
        <v>76535764018433</v>
      </c>
      <c r="Z173" s="23">
        <f>A173</f>
        <v>171</v>
      </c>
      <c r="AA173" s="24" t="str">
        <f>IFERROR(VLOOKUP($Z173,'[1]End Fat Serviço - PA 15 e 16'!$K$3:$K$31,1,0), "")</f>
        <v/>
      </c>
      <c r="AB173" s="24" t="str">
        <f>IFERROR(VLOOKUP($Z173,'[1]End Fat Material - PA 12'!$K$3:$K$64,1,0), "")</f>
        <v/>
      </c>
      <c r="AC173" s="24" t="str">
        <f>IFERROR(VLOOKUP($Z173,'[1]End CA Lotação'!$L$3:$L$36,1,0), "")</f>
        <v/>
      </c>
      <c r="AD173" s="24" t="str">
        <f>IFERROR(VLOOKUP(Z173,'[1]RH - PARA 21.03'!$M$3:$M$555,1,0),"")</f>
        <v/>
      </c>
      <c r="AE173" s="23" t="str">
        <f>IFERROR(VLOOKUP($Z173,'[1]CNPJ Oi Fat'!$K$3:$K$32,1,0),"")</f>
        <v/>
      </c>
      <c r="AF173" s="23" t="str">
        <f>IFERROR(VLOOKUP(Z173,'[1]End Logística Oi'!$D$3:$D$29,1,0),"")</f>
        <v/>
      </c>
      <c r="AG173" s="23" t="str">
        <f>IFERROR(VLOOKUP(Z173,'[1]End Logística Oi'!$J$3:$J$29,1,0),"")</f>
        <v/>
      </c>
      <c r="AI173" s="23" t="s">
        <v>55</v>
      </c>
      <c r="AJ173" s="23" t="s">
        <v>55</v>
      </c>
      <c r="AK173" s="23" t="e">
        <v>#N/A</v>
      </c>
    </row>
    <row r="174" spans="1:38" s="23" customFormat="1" ht="15" hidden="1" customHeight="1" x14ac:dyDescent="0.25">
      <c r="A174" s="19">
        <v>172</v>
      </c>
      <c r="B174" s="19" t="s">
        <v>230</v>
      </c>
      <c r="C174" s="19" t="s">
        <v>39</v>
      </c>
      <c r="D174" s="26" t="s">
        <v>40</v>
      </c>
      <c r="E174" s="19" t="s">
        <v>700</v>
      </c>
      <c r="F174" s="26" t="s">
        <v>467</v>
      </c>
      <c r="G174" s="19">
        <v>33901787261</v>
      </c>
      <c r="H174" s="19" t="s">
        <v>990</v>
      </c>
      <c r="I174" s="20">
        <v>44061</v>
      </c>
      <c r="J174" s="19"/>
      <c r="K174" s="19" t="s">
        <v>45</v>
      </c>
      <c r="L174" s="36">
        <v>77685022</v>
      </c>
      <c r="M174" s="20" t="s">
        <v>473</v>
      </c>
      <c r="N174" s="36"/>
      <c r="O174" s="19"/>
      <c r="P174" s="19" t="s">
        <v>991</v>
      </c>
      <c r="Q174" s="36"/>
      <c r="R174" s="36"/>
      <c r="S174" s="19" t="s">
        <v>45</v>
      </c>
      <c r="T174" s="19" t="s">
        <v>992</v>
      </c>
      <c r="U174" s="19" t="s">
        <v>993</v>
      </c>
      <c r="V174" s="19" t="s">
        <v>235</v>
      </c>
      <c r="W174" s="35" t="s">
        <v>994</v>
      </c>
      <c r="X174" s="21"/>
      <c r="Y174" s="22">
        <v>76535764010882</v>
      </c>
      <c r="Z174" s="23">
        <f>A174</f>
        <v>172</v>
      </c>
      <c r="AA174" s="24" t="str">
        <f>IFERROR(VLOOKUP($Z174,'[1]End Fat Serviço - PA 15 e 16'!$K$3:$K$31,1,0), "")</f>
        <v/>
      </c>
      <c r="AB174" s="24" t="str">
        <f>IFERROR(VLOOKUP($Z174,'[1]End Fat Material - PA 12'!$K$3:$K$64,1,0), "")</f>
        <v/>
      </c>
      <c r="AC174" s="24" t="str">
        <f>IFERROR(VLOOKUP($Z174,'[1]End CA Lotação'!$L$3:$L$36,1,0), "")</f>
        <v/>
      </c>
      <c r="AD174" s="24" t="str">
        <f>IFERROR(VLOOKUP(Z174,'[1]RH - PARA 21.03'!$M$3:$M$555,1,0),"")</f>
        <v/>
      </c>
      <c r="AE174" s="23" t="str">
        <f>IFERROR(VLOOKUP($Z174,'[1]CNPJ Oi Fat'!$K$3:$K$32,1,0),"")</f>
        <v/>
      </c>
      <c r="AF174" s="23" t="str">
        <f>IFERROR(VLOOKUP(Z174,'[1]End Logística Oi'!$D$3:$D$29,1,0),"")</f>
        <v/>
      </c>
      <c r="AG174" s="23" t="str">
        <f>IFERROR(VLOOKUP(Z174,'[1]End Logística Oi'!$J$3:$J$29,1,0),"")</f>
        <v/>
      </c>
      <c r="AI174" s="23" t="s">
        <v>55</v>
      </c>
      <c r="AJ174" s="23" t="s">
        <v>55</v>
      </c>
      <c r="AK174" s="23" t="e">
        <v>#N/A</v>
      </c>
    </row>
    <row r="175" spans="1:38" s="23" customFormat="1" ht="15" hidden="1" customHeight="1" x14ac:dyDescent="0.25">
      <c r="A175" s="19">
        <v>173</v>
      </c>
      <c r="B175" s="19" t="s">
        <v>230</v>
      </c>
      <c r="C175" s="19" t="s">
        <v>39</v>
      </c>
      <c r="D175" s="26" t="s">
        <v>40</v>
      </c>
      <c r="E175" s="19" t="s">
        <v>479</v>
      </c>
      <c r="F175" s="26" t="s">
        <v>467</v>
      </c>
      <c r="G175" s="19">
        <v>33901787351</v>
      </c>
      <c r="H175" s="19" t="s">
        <v>995</v>
      </c>
      <c r="I175" s="20">
        <v>44061</v>
      </c>
      <c r="J175" s="19"/>
      <c r="K175" s="19" t="s">
        <v>45</v>
      </c>
      <c r="L175" s="36">
        <v>77685022</v>
      </c>
      <c r="M175" s="20" t="s">
        <v>473</v>
      </c>
      <c r="N175" s="36"/>
      <c r="O175" s="19"/>
      <c r="P175" s="19" t="s">
        <v>996</v>
      </c>
      <c r="Q175" s="36"/>
      <c r="R175" s="36"/>
      <c r="S175" s="19" t="s">
        <v>45</v>
      </c>
      <c r="T175" s="19" t="s">
        <v>997</v>
      </c>
      <c r="U175" s="19" t="s">
        <v>102</v>
      </c>
      <c r="V175" s="19" t="s">
        <v>235</v>
      </c>
      <c r="W175" s="35" t="s">
        <v>998</v>
      </c>
      <c r="X175" s="21"/>
      <c r="Y175" s="22">
        <v>76535764012583</v>
      </c>
      <c r="Z175" s="23">
        <f>A175</f>
        <v>173</v>
      </c>
      <c r="AA175" s="24" t="str">
        <f>IFERROR(VLOOKUP($Z175,'[1]End Fat Serviço - PA 15 e 16'!$K$3:$K$31,1,0), "")</f>
        <v/>
      </c>
      <c r="AB175" s="24" t="str">
        <f>IFERROR(VLOOKUP($Z175,'[1]End Fat Material - PA 12'!$K$3:$K$64,1,0), "")</f>
        <v/>
      </c>
      <c r="AC175" s="24" t="str">
        <f>IFERROR(VLOOKUP($Z175,'[1]End CA Lotação'!$L$3:$L$36,1,0), "")</f>
        <v/>
      </c>
      <c r="AD175" s="24" t="str">
        <f>IFERROR(VLOOKUP(Z175,'[1]RH - PARA 21.03'!$M$3:$M$555,1,0),"")</f>
        <v/>
      </c>
      <c r="AE175" s="23" t="str">
        <f>IFERROR(VLOOKUP($Z175,'[1]CNPJ Oi Fat'!$K$3:$K$32,1,0),"")</f>
        <v/>
      </c>
      <c r="AF175" s="23" t="str">
        <f>IFERROR(VLOOKUP(Z175,'[1]End Logística Oi'!$D$3:$D$29,1,0),"")</f>
        <v/>
      </c>
      <c r="AG175" s="23" t="str">
        <f>IFERROR(VLOOKUP(Z175,'[1]End Logística Oi'!$J$3:$J$29,1,0),"")</f>
        <v/>
      </c>
      <c r="AI175" s="23" t="s">
        <v>55</v>
      </c>
      <c r="AJ175" s="23" t="s">
        <v>55</v>
      </c>
      <c r="AK175" s="23" t="e">
        <v>#N/A</v>
      </c>
    </row>
    <row r="176" spans="1:38" s="23" customFormat="1" ht="15" customHeight="1" x14ac:dyDescent="0.25">
      <c r="A176" s="25">
        <v>174</v>
      </c>
      <c r="B176" s="26" t="s">
        <v>230</v>
      </c>
      <c r="C176" s="27" t="s">
        <v>39</v>
      </c>
      <c r="D176" s="26" t="s">
        <v>40</v>
      </c>
      <c r="E176" s="26" t="s">
        <v>479</v>
      </c>
      <c r="F176" s="26" t="s">
        <v>467</v>
      </c>
      <c r="G176" s="28">
        <v>33901787270</v>
      </c>
      <c r="H176" s="26" t="s">
        <v>999</v>
      </c>
      <c r="I176" s="29">
        <v>44061</v>
      </c>
      <c r="J176" s="30"/>
      <c r="K176" s="19" t="s">
        <v>45</v>
      </c>
      <c r="L176" s="31">
        <v>77685022</v>
      </c>
      <c r="M176" s="29">
        <v>38049</v>
      </c>
      <c r="N176" s="32"/>
      <c r="O176" s="31" t="s">
        <v>336</v>
      </c>
      <c r="P176" s="33">
        <v>145802</v>
      </c>
      <c r="Q176" s="29">
        <v>44061</v>
      </c>
      <c r="R176" s="32"/>
      <c r="S176" s="31" t="s">
        <v>45</v>
      </c>
      <c r="T176" s="31" t="s">
        <v>1000</v>
      </c>
      <c r="U176" s="31" t="s">
        <v>1001</v>
      </c>
      <c r="V176" s="27" t="s">
        <v>1002</v>
      </c>
      <c r="W176" s="31" t="s">
        <v>1003</v>
      </c>
      <c r="X176" s="21"/>
      <c r="Y176" s="22">
        <v>76535764011005</v>
      </c>
      <c r="Z176" s="23">
        <v>174</v>
      </c>
      <c r="AA176" s="24" t="s">
        <v>65</v>
      </c>
      <c r="AB176" s="24">
        <v>174</v>
      </c>
      <c r="AC176" s="24">
        <v>174</v>
      </c>
      <c r="AD176" s="24">
        <v>174</v>
      </c>
      <c r="AE176" s="23" t="s">
        <v>65</v>
      </c>
      <c r="AF176" s="23" t="s">
        <v>65</v>
      </c>
      <c r="AG176" s="23" t="s">
        <v>65</v>
      </c>
      <c r="AH176" s="34" t="s">
        <v>970</v>
      </c>
      <c r="AI176" s="23" t="s">
        <v>54</v>
      </c>
      <c r="AJ176" s="23" t="s">
        <v>54</v>
      </c>
      <c r="AK176" s="23" t="s">
        <v>67</v>
      </c>
    </row>
    <row r="177" spans="1:38" s="23" customFormat="1" ht="15" hidden="1" customHeight="1" x14ac:dyDescent="0.25">
      <c r="A177" s="19">
        <v>175</v>
      </c>
      <c r="B177" s="19" t="s">
        <v>230</v>
      </c>
      <c r="C177" s="19" t="s">
        <v>39</v>
      </c>
      <c r="D177" s="26" t="s">
        <v>40</v>
      </c>
      <c r="E177" s="19" t="s">
        <v>479</v>
      </c>
      <c r="F177" s="26" t="s">
        <v>467</v>
      </c>
      <c r="G177" s="19">
        <v>33901787334</v>
      </c>
      <c r="H177" s="19" t="s">
        <v>1004</v>
      </c>
      <c r="I177" s="20">
        <v>44061</v>
      </c>
      <c r="J177" s="19"/>
      <c r="K177" s="19" t="s">
        <v>45</v>
      </c>
      <c r="L177" s="36">
        <v>77685022</v>
      </c>
      <c r="M177" s="20" t="s">
        <v>473</v>
      </c>
      <c r="N177" s="36"/>
      <c r="O177" s="19"/>
      <c r="P177" s="19">
        <v>145801</v>
      </c>
      <c r="Q177" s="36"/>
      <c r="R177" s="36"/>
      <c r="S177" s="19" t="s">
        <v>45</v>
      </c>
      <c r="T177" s="19" t="s">
        <v>1005</v>
      </c>
      <c r="U177" s="19" t="s">
        <v>1006</v>
      </c>
      <c r="V177" s="19" t="s">
        <v>1002</v>
      </c>
      <c r="W177" s="35" t="s">
        <v>1007</v>
      </c>
      <c r="X177" s="21"/>
      <c r="Y177" s="22">
        <v>76535764011854</v>
      </c>
      <c r="Z177" s="23">
        <f>A177</f>
        <v>175</v>
      </c>
      <c r="AA177" s="24" t="str">
        <f>IFERROR(VLOOKUP($Z177,'[1]End Fat Serviço - PA 15 e 16'!$K$3:$K$31,1,0), "")</f>
        <v/>
      </c>
      <c r="AB177" s="24" t="str">
        <f>IFERROR(VLOOKUP($Z177,'[1]End Fat Material - PA 12'!$K$3:$K$64,1,0), "")</f>
        <v/>
      </c>
      <c r="AC177" s="24" t="str">
        <f>IFERROR(VLOOKUP($Z177,'[1]End CA Lotação'!$L$3:$L$36,1,0), "")</f>
        <v/>
      </c>
      <c r="AD177" s="24" t="str">
        <f>IFERROR(VLOOKUP(Z177,'[1]RH - PARA 21.03'!$M$3:$M$555,1,0),"")</f>
        <v/>
      </c>
      <c r="AE177" s="23" t="str">
        <f>IFERROR(VLOOKUP($Z177,'[1]CNPJ Oi Fat'!$K$3:$K$32,1,0),"")</f>
        <v/>
      </c>
      <c r="AF177" s="23" t="str">
        <f>IFERROR(VLOOKUP(Z177,'[1]End Logística Oi'!$D$3:$D$29,1,0),"")</f>
        <v/>
      </c>
      <c r="AG177" s="23" t="str">
        <f>IFERROR(VLOOKUP(Z177,'[1]End Logística Oi'!$J$3:$J$29,1,0),"")</f>
        <v/>
      </c>
      <c r="AI177" s="23" t="s">
        <v>55</v>
      </c>
      <c r="AJ177" s="23" t="s">
        <v>55</v>
      </c>
      <c r="AK177" s="23" t="e">
        <v>#N/A</v>
      </c>
    </row>
    <row r="178" spans="1:38" s="23" customFormat="1" ht="15" hidden="1" customHeight="1" x14ac:dyDescent="0.25">
      <c r="A178" s="19">
        <v>176</v>
      </c>
      <c r="B178" s="19" t="s">
        <v>230</v>
      </c>
      <c r="C178" s="19" t="s">
        <v>39</v>
      </c>
      <c r="D178" s="26" t="s">
        <v>40</v>
      </c>
      <c r="E178" s="19" t="s">
        <v>700</v>
      </c>
      <c r="F178" s="26" t="s">
        <v>467</v>
      </c>
      <c r="G178" s="19">
        <v>33901787342</v>
      </c>
      <c r="H178" s="19" t="s">
        <v>1008</v>
      </c>
      <c r="I178" s="20">
        <v>44061</v>
      </c>
      <c r="J178" s="19"/>
      <c r="K178" s="19" t="s">
        <v>45</v>
      </c>
      <c r="L178" s="36">
        <v>77685022</v>
      </c>
      <c r="M178" s="20" t="s">
        <v>473</v>
      </c>
      <c r="N178" s="36"/>
      <c r="O178" s="19"/>
      <c r="P178" s="19">
        <v>11166323</v>
      </c>
      <c r="Q178" s="20">
        <v>44113</v>
      </c>
      <c r="R178" s="36"/>
      <c r="S178" s="19" t="s">
        <v>45</v>
      </c>
      <c r="T178" s="19" t="s">
        <v>1009</v>
      </c>
      <c r="U178" s="19" t="s">
        <v>1010</v>
      </c>
      <c r="V178" s="19" t="s">
        <v>1011</v>
      </c>
      <c r="W178" s="35" t="s">
        <v>1012</v>
      </c>
      <c r="X178" s="21"/>
      <c r="Y178" s="22">
        <v>76535764012230</v>
      </c>
      <c r="Z178" s="23">
        <f>A178</f>
        <v>176</v>
      </c>
      <c r="AA178" s="24" t="str">
        <f>IFERROR(VLOOKUP($Z178,'[1]End Fat Serviço - PA 15 e 16'!$K$3:$K$31,1,0), "")</f>
        <v/>
      </c>
      <c r="AB178" s="24" t="str">
        <f>IFERROR(VLOOKUP($Z178,'[1]End Fat Material - PA 12'!$K$3:$K$64,1,0), "")</f>
        <v/>
      </c>
      <c r="AC178" s="24" t="str">
        <f>IFERROR(VLOOKUP($Z178,'[1]End CA Lotação'!$L$3:$L$36,1,0), "")</f>
        <v/>
      </c>
      <c r="AD178" s="24" t="str">
        <f>IFERROR(VLOOKUP(Z178,'[1]RH - PARA 21.03'!$M$3:$M$555,1,0),"")</f>
        <v/>
      </c>
      <c r="AE178" s="23" t="str">
        <f>IFERROR(VLOOKUP($Z178,'[1]CNPJ Oi Fat'!$K$3:$K$32,1,0),"")</f>
        <v/>
      </c>
      <c r="AF178" s="23" t="str">
        <f>IFERROR(VLOOKUP(Z178,'[1]End Logística Oi'!$D$3:$D$29,1,0),"")</f>
        <v/>
      </c>
      <c r="AG178" s="23" t="str">
        <f>IFERROR(VLOOKUP(Z178,'[1]End Logística Oi'!$J$3:$J$29,1,0),"")</f>
        <v/>
      </c>
      <c r="AI178" s="23" t="s">
        <v>55</v>
      </c>
      <c r="AJ178" s="23" t="s">
        <v>55</v>
      </c>
      <c r="AK178" s="23" t="e">
        <v>#N/A</v>
      </c>
    </row>
    <row r="179" spans="1:38" s="23" customFormat="1" ht="15" customHeight="1" x14ac:dyDescent="0.25">
      <c r="A179" s="19">
        <v>177</v>
      </c>
      <c r="B179" s="19" t="s">
        <v>230</v>
      </c>
      <c r="C179" s="19" t="s">
        <v>39</v>
      </c>
      <c r="D179" s="26" t="s">
        <v>40</v>
      </c>
      <c r="E179" s="19" t="s">
        <v>479</v>
      </c>
      <c r="F179" s="26" t="s">
        <v>467</v>
      </c>
      <c r="G179" s="19">
        <v>33901787504</v>
      </c>
      <c r="H179" s="19" t="s">
        <v>1013</v>
      </c>
      <c r="I179" s="20">
        <v>44061</v>
      </c>
      <c r="J179" s="19"/>
      <c r="K179" s="19" t="s">
        <v>45</v>
      </c>
      <c r="L179" s="36">
        <v>77685022</v>
      </c>
      <c r="M179" s="20" t="s">
        <v>473</v>
      </c>
      <c r="N179" s="36"/>
      <c r="O179" s="19"/>
      <c r="P179" s="19">
        <v>633062</v>
      </c>
      <c r="Q179" s="36"/>
      <c r="R179" s="36"/>
      <c r="S179" s="19" t="s">
        <v>45</v>
      </c>
      <c r="T179" s="19" t="s">
        <v>1014</v>
      </c>
      <c r="U179" s="19" t="s">
        <v>1015</v>
      </c>
      <c r="V179" s="19" t="s">
        <v>1016</v>
      </c>
      <c r="W179" s="35" t="s">
        <v>1017</v>
      </c>
      <c r="X179" s="21"/>
      <c r="Y179" s="22">
        <v>76535764017208</v>
      </c>
      <c r="Z179" s="23">
        <f>A179</f>
        <v>177</v>
      </c>
      <c r="AA179" s="24" t="str">
        <f>IFERROR(VLOOKUP($Z179,'[1]End Fat Serviço - PA 15 e 16'!$K$3:$K$31,1,0), "")</f>
        <v/>
      </c>
      <c r="AB179" s="24" t="str">
        <f>IFERROR(VLOOKUP($Z179,'[1]End Fat Material - PA 12'!$K$3:$K$64,1,0), "")</f>
        <v/>
      </c>
      <c r="AC179" s="24" t="str">
        <f>IFERROR(VLOOKUP($Z179,'[1]End CA Lotação'!$L$3:$L$36,1,0), "")</f>
        <v/>
      </c>
      <c r="AD179" s="24">
        <f>IFERROR(VLOOKUP(Z179,'[1]RH - PARA 21.03'!$M$3:$M$555,1,0),"")</f>
        <v>177</v>
      </c>
      <c r="AE179" s="23" t="str">
        <f>IFERROR(VLOOKUP($Z179,'[1]CNPJ Oi Fat'!$K$3:$K$32,1,0),"")</f>
        <v/>
      </c>
      <c r="AF179" s="23" t="str">
        <f>IFERROR(VLOOKUP(Z179,'[1]End Logística Oi'!$D$3:$D$29,1,0),"")</f>
        <v/>
      </c>
      <c r="AG179" s="23" t="str">
        <f>IFERROR(VLOOKUP(Z179,'[1]End Logística Oi'!$J$3:$J$29,1,0),"")</f>
        <v/>
      </c>
      <c r="AH179" s="23" t="s">
        <v>53</v>
      </c>
      <c r="AI179" s="23" t="s">
        <v>54</v>
      </c>
      <c r="AJ179" s="23" t="s">
        <v>55</v>
      </c>
      <c r="AK179" s="23" t="e">
        <v>#N/A</v>
      </c>
    </row>
    <row r="180" spans="1:38" s="23" customFormat="1" ht="15" customHeight="1" x14ac:dyDescent="0.25">
      <c r="A180" s="19">
        <v>178</v>
      </c>
      <c r="B180" s="19" t="s">
        <v>230</v>
      </c>
      <c r="C180" s="19" t="s">
        <v>39</v>
      </c>
      <c r="D180" s="26" t="s">
        <v>40</v>
      </c>
      <c r="E180" s="19" t="s">
        <v>280</v>
      </c>
      <c r="F180" s="26" t="s">
        <v>467</v>
      </c>
      <c r="G180" s="19">
        <v>33901787393</v>
      </c>
      <c r="H180" s="19" t="s">
        <v>1018</v>
      </c>
      <c r="I180" s="20">
        <v>44061</v>
      </c>
      <c r="J180" s="19"/>
      <c r="K180" s="19" t="s">
        <v>45</v>
      </c>
      <c r="L180" s="36">
        <v>77685022</v>
      </c>
      <c r="M180" s="20" t="s">
        <v>473</v>
      </c>
      <c r="N180" s="36"/>
      <c r="O180" s="19"/>
      <c r="P180" s="37" t="s">
        <v>1019</v>
      </c>
      <c r="Q180" s="20">
        <v>45230</v>
      </c>
      <c r="R180" s="36"/>
      <c r="S180" s="19" t="s">
        <v>45</v>
      </c>
      <c r="T180" s="19" t="s">
        <v>1020</v>
      </c>
      <c r="U180" s="19" t="s">
        <v>1021</v>
      </c>
      <c r="V180" s="19" t="s">
        <v>1022</v>
      </c>
      <c r="W180" s="35" t="s">
        <v>1023</v>
      </c>
      <c r="X180" s="21"/>
      <c r="Y180" s="22">
        <v>76535764013555</v>
      </c>
      <c r="Z180" s="23">
        <f>A180</f>
        <v>178</v>
      </c>
      <c r="AA180" s="24" t="str">
        <f>IFERROR(VLOOKUP($Z180,'[1]End Fat Serviço - PA 15 e 16'!$K$3:$K$31,1,0), "")</f>
        <v/>
      </c>
      <c r="AB180" s="24" t="str">
        <f>IFERROR(VLOOKUP($Z180,'[1]End Fat Material - PA 12'!$K$3:$K$64,1,0), "")</f>
        <v/>
      </c>
      <c r="AC180" s="24" t="str">
        <f>IFERROR(VLOOKUP($Z180,'[1]End CA Lotação'!$L$3:$L$36,1,0), "")</f>
        <v/>
      </c>
      <c r="AD180" s="24">
        <f>IFERROR(VLOOKUP(Z180,'[1]RH - PARA 21.03'!$M$3:$M$555,1,0),"")</f>
        <v>178</v>
      </c>
      <c r="AE180" s="23" t="str">
        <f>IFERROR(VLOOKUP($Z180,'[1]CNPJ Oi Fat'!$K$3:$K$32,1,0),"")</f>
        <v/>
      </c>
      <c r="AF180" s="23" t="str">
        <f>IFERROR(VLOOKUP(Z180,'[1]End Logística Oi'!$D$3:$D$29,1,0),"")</f>
        <v/>
      </c>
      <c r="AG180" s="23" t="str">
        <f>IFERROR(VLOOKUP(Z180,'[1]End Logística Oi'!$J$3:$J$29,1,0),"")</f>
        <v/>
      </c>
      <c r="AH180" s="23" t="s">
        <v>53</v>
      </c>
      <c r="AI180" s="23" t="s">
        <v>54</v>
      </c>
      <c r="AJ180" s="23" t="s">
        <v>55</v>
      </c>
      <c r="AK180" s="23" t="e">
        <v>#N/A</v>
      </c>
    </row>
    <row r="181" spans="1:38" s="23" customFormat="1" ht="15" hidden="1" customHeight="1" x14ac:dyDescent="0.25">
      <c r="A181" s="19">
        <v>179</v>
      </c>
      <c r="B181" s="19" t="s">
        <v>230</v>
      </c>
      <c r="C181" s="19" t="s">
        <v>39</v>
      </c>
      <c r="D181" s="26" t="s">
        <v>40</v>
      </c>
      <c r="E181" s="19" t="s">
        <v>700</v>
      </c>
      <c r="F181" s="26" t="s">
        <v>467</v>
      </c>
      <c r="G181" s="19">
        <v>33901787326</v>
      </c>
      <c r="H181" s="19" t="s">
        <v>1024</v>
      </c>
      <c r="I181" s="20">
        <v>44061</v>
      </c>
      <c r="J181" s="19"/>
      <c r="K181" s="19" t="s">
        <v>45</v>
      </c>
      <c r="L181" s="36">
        <v>77685022</v>
      </c>
      <c r="M181" s="20" t="s">
        <v>473</v>
      </c>
      <c r="N181" s="36"/>
      <c r="O181" s="19"/>
      <c r="P181" s="19" t="s">
        <v>1025</v>
      </c>
      <c r="Q181" s="36"/>
      <c r="R181" s="36"/>
      <c r="S181" s="19" t="s">
        <v>45</v>
      </c>
      <c r="T181" s="19" t="s">
        <v>1026</v>
      </c>
      <c r="U181" s="19" t="s">
        <v>1027</v>
      </c>
      <c r="V181" s="19" t="s">
        <v>235</v>
      </c>
      <c r="W181" s="35" t="s">
        <v>1028</v>
      </c>
      <c r="X181" s="21"/>
      <c r="Y181" s="22">
        <v>76535764011773</v>
      </c>
      <c r="Z181" s="23">
        <f>A181</f>
        <v>179</v>
      </c>
      <c r="AA181" s="24" t="str">
        <f>IFERROR(VLOOKUP($Z181,'[1]End Fat Serviço - PA 15 e 16'!$K$3:$K$31,1,0), "")</f>
        <v/>
      </c>
      <c r="AB181" s="24" t="str">
        <f>IFERROR(VLOOKUP($Z181,'[1]End Fat Material - PA 12'!$K$3:$K$64,1,0), "")</f>
        <v/>
      </c>
      <c r="AC181" s="24" t="str">
        <f>IFERROR(VLOOKUP($Z181,'[1]End CA Lotação'!$L$3:$L$36,1,0), "")</f>
        <v/>
      </c>
      <c r="AD181" s="24" t="str">
        <f>IFERROR(VLOOKUP(Z181,'[1]RH - PARA 21.03'!$M$3:$M$555,1,0),"")</f>
        <v/>
      </c>
      <c r="AE181" s="23" t="str">
        <f>IFERROR(VLOOKUP($Z181,'[1]CNPJ Oi Fat'!$K$3:$K$32,1,0),"")</f>
        <v/>
      </c>
      <c r="AF181" s="23" t="str">
        <f>IFERROR(VLOOKUP(Z181,'[1]End Logística Oi'!$D$3:$D$29,1,0),"")</f>
        <v/>
      </c>
      <c r="AG181" s="23" t="str">
        <f>IFERROR(VLOOKUP(Z181,'[1]End Logística Oi'!$J$3:$J$29,1,0),"")</f>
        <v/>
      </c>
      <c r="AI181" s="23" t="s">
        <v>55</v>
      </c>
      <c r="AJ181" s="23" t="s">
        <v>55</v>
      </c>
      <c r="AK181" s="23" t="e">
        <v>#N/A</v>
      </c>
    </row>
    <row r="182" spans="1:38" s="23" customFormat="1" ht="15" customHeight="1" x14ac:dyDescent="0.25">
      <c r="A182" s="25">
        <v>180</v>
      </c>
      <c r="B182" s="26" t="s">
        <v>230</v>
      </c>
      <c r="C182" s="27" t="s">
        <v>39</v>
      </c>
      <c r="D182" s="26" t="s">
        <v>40</v>
      </c>
      <c r="E182" s="26" t="s">
        <v>479</v>
      </c>
      <c r="F182" s="26" t="s">
        <v>467</v>
      </c>
      <c r="G182" s="28">
        <v>33901787296</v>
      </c>
      <c r="H182" s="26" t="s">
        <v>1029</v>
      </c>
      <c r="I182" s="29">
        <v>44061</v>
      </c>
      <c r="J182" s="30"/>
      <c r="K182" s="19" t="s">
        <v>45</v>
      </c>
      <c r="L182" s="31">
        <v>77685022</v>
      </c>
      <c r="M182" s="29">
        <v>38049</v>
      </c>
      <c r="N182" s="32"/>
      <c r="O182" s="31" t="s">
        <v>336</v>
      </c>
      <c r="P182" s="33">
        <v>10045520</v>
      </c>
      <c r="Q182" s="29">
        <v>44138</v>
      </c>
      <c r="R182" s="32"/>
      <c r="S182" s="31" t="s">
        <v>45</v>
      </c>
      <c r="T182" s="31" t="s">
        <v>1030</v>
      </c>
      <c r="U182" s="31" t="s">
        <v>49</v>
      </c>
      <c r="V182" s="27" t="s">
        <v>1031</v>
      </c>
      <c r="W182" s="31" t="s">
        <v>1032</v>
      </c>
      <c r="X182" s="21"/>
      <c r="Y182" s="22">
        <v>76535764011269</v>
      </c>
      <c r="Z182" s="23">
        <v>180</v>
      </c>
      <c r="AA182" s="24">
        <v>180</v>
      </c>
      <c r="AB182" s="24">
        <v>180</v>
      </c>
      <c r="AC182" s="24" t="s">
        <v>65</v>
      </c>
      <c r="AD182" s="24">
        <v>180</v>
      </c>
      <c r="AE182" s="23" t="s">
        <v>65</v>
      </c>
      <c r="AF182" s="23" t="s">
        <v>65</v>
      </c>
      <c r="AG182" s="23" t="s">
        <v>65</v>
      </c>
      <c r="AH182" s="34" t="s">
        <v>579</v>
      </c>
      <c r="AI182" s="23" t="s">
        <v>54</v>
      </c>
      <c r="AJ182" s="23" t="s">
        <v>54</v>
      </c>
      <c r="AK182" s="23" t="s">
        <v>67</v>
      </c>
      <c r="AL182" s="1" t="s">
        <v>1033</v>
      </c>
    </row>
    <row r="183" spans="1:38" s="23" customFormat="1" ht="15" customHeight="1" x14ac:dyDescent="0.25">
      <c r="A183" s="19">
        <v>181</v>
      </c>
      <c r="B183" s="19" t="s">
        <v>230</v>
      </c>
      <c r="C183" s="19" t="s">
        <v>39</v>
      </c>
      <c r="D183" s="26" t="s">
        <v>40</v>
      </c>
      <c r="E183" s="19" t="s">
        <v>29</v>
      </c>
      <c r="F183" s="26" t="s">
        <v>467</v>
      </c>
      <c r="G183" s="19">
        <v>33901787407</v>
      </c>
      <c r="H183" s="19" t="s">
        <v>1034</v>
      </c>
      <c r="I183" s="20">
        <v>44061</v>
      </c>
      <c r="J183" s="19"/>
      <c r="K183" s="19" t="s">
        <v>45</v>
      </c>
      <c r="L183" s="36">
        <v>77685022</v>
      </c>
      <c r="M183" s="20" t="s">
        <v>473</v>
      </c>
      <c r="N183" s="36"/>
      <c r="O183" s="19"/>
      <c r="P183" s="19">
        <v>38569</v>
      </c>
      <c r="Q183" s="20">
        <v>44266</v>
      </c>
      <c r="R183" s="36"/>
      <c r="S183" s="19" t="s">
        <v>45</v>
      </c>
      <c r="T183" s="19" t="s">
        <v>1035</v>
      </c>
      <c r="U183" s="19" t="s">
        <v>49</v>
      </c>
      <c r="V183" s="19" t="s">
        <v>1036</v>
      </c>
      <c r="W183" s="35" t="s">
        <v>1037</v>
      </c>
      <c r="X183" s="21"/>
      <c r="Y183" s="22">
        <v>76535764014527</v>
      </c>
      <c r="Z183" s="23">
        <f>A183</f>
        <v>181</v>
      </c>
      <c r="AA183" s="24" t="str">
        <f>IFERROR(VLOOKUP($Z183,'[1]End Fat Serviço - PA 15 e 16'!$K$3:$K$31,1,0), "")</f>
        <v/>
      </c>
      <c r="AB183" s="24" t="str">
        <f>IFERROR(VLOOKUP($Z183,'[1]End Fat Material - PA 12'!$K$3:$K$64,1,0), "")</f>
        <v/>
      </c>
      <c r="AC183" s="24" t="str">
        <f>IFERROR(VLOOKUP($Z183,'[1]End CA Lotação'!$L$3:$L$36,1,0), "")</f>
        <v/>
      </c>
      <c r="AD183" s="24">
        <f>IFERROR(VLOOKUP(Z183,'[1]RH - PARA 21.03'!$M$3:$M$555,1,0),"")</f>
        <v>181</v>
      </c>
      <c r="AE183" s="23" t="str">
        <f>IFERROR(VLOOKUP($Z183,'[1]CNPJ Oi Fat'!$K$3:$K$32,1,0),"")</f>
        <v/>
      </c>
      <c r="AF183" s="23" t="str">
        <f>IFERROR(VLOOKUP(Z183,'[1]End Logística Oi'!$D$3:$D$29,1,0),"")</f>
        <v/>
      </c>
      <c r="AG183" s="23" t="str">
        <f>IFERROR(VLOOKUP(Z183,'[1]End Logística Oi'!$J$3:$J$29,1,0),"")</f>
        <v/>
      </c>
      <c r="AI183" s="23" t="s">
        <v>54</v>
      </c>
      <c r="AJ183" s="23" t="s">
        <v>55</v>
      </c>
      <c r="AK183" s="23" t="e">
        <v>#N/A</v>
      </c>
    </row>
    <row r="184" spans="1:38" s="23" customFormat="1" ht="15" customHeight="1" x14ac:dyDescent="0.25">
      <c r="A184" s="19">
        <v>182</v>
      </c>
      <c r="B184" s="19" t="s">
        <v>230</v>
      </c>
      <c r="C184" s="19" t="s">
        <v>39</v>
      </c>
      <c r="D184" s="26" t="s">
        <v>40</v>
      </c>
      <c r="E184" s="19" t="s">
        <v>29</v>
      </c>
      <c r="F184" s="26" t="s">
        <v>467</v>
      </c>
      <c r="G184" s="19">
        <v>33901787491</v>
      </c>
      <c r="H184" s="19" t="s">
        <v>1038</v>
      </c>
      <c r="I184" s="20">
        <v>44061</v>
      </c>
      <c r="J184" s="19"/>
      <c r="K184" s="19" t="s">
        <v>45</v>
      </c>
      <c r="L184" s="36">
        <v>77685022</v>
      </c>
      <c r="M184" s="20" t="s">
        <v>473</v>
      </c>
      <c r="N184" s="36"/>
      <c r="O184" s="19"/>
      <c r="P184" s="19">
        <v>8000498</v>
      </c>
      <c r="Q184" s="20">
        <v>44308</v>
      </c>
      <c r="R184" s="36"/>
      <c r="S184" s="19" t="s">
        <v>45</v>
      </c>
      <c r="T184" s="19" t="s">
        <v>1039</v>
      </c>
      <c r="U184" s="19" t="s">
        <v>49</v>
      </c>
      <c r="V184" s="19" t="s">
        <v>1040</v>
      </c>
      <c r="W184" s="35" t="s">
        <v>1041</v>
      </c>
      <c r="X184" s="21"/>
      <c r="Y184" s="22">
        <v>76535764017119</v>
      </c>
      <c r="Z184" s="23">
        <f>A184</f>
        <v>182</v>
      </c>
      <c r="AA184" s="24" t="str">
        <f>IFERROR(VLOOKUP($Z184,'[1]End Fat Serviço - PA 15 e 16'!$K$3:$K$31,1,0), "")</f>
        <v/>
      </c>
      <c r="AB184" s="24" t="str">
        <f>IFERROR(VLOOKUP($Z184,'[1]End Fat Material - PA 12'!$K$3:$K$64,1,0), "")</f>
        <v/>
      </c>
      <c r="AC184" s="24" t="str">
        <f>IFERROR(VLOOKUP($Z184,'[1]End CA Lotação'!$L$3:$L$36,1,0), "")</f>
        <v/>
      </c>
      <c r="AD184" s="24">
        <f>IFERROR(VLOOKUP(Z184,'[1]RH - PARA 21.03'!$M$3:$M$555,1,0),"")</f>
        <v>182</v>
      </c>
      <c r="AE184" s="23" t="str">
        <f>IFERROR(VLOOKUP($Z184,'[1]CNPJ Oi Fat'!$K$3:$K$32,1,0),"")</f>
        <v/>
      </c>
      <c r="AF184" s="23" t="str">
        <f>IFERROR(VLOOKUP(Z184,'[1]End Logística Oi'!$D$3:$D$29,1,0),"")</f>
        <v/>
      </c>
      <c r="AG184" s="23" t="str">
        <f>IFERROR(VLOOKUP(Z184,'[1]End Logística Oi'!$J$3:$J$29,1,0),"")</f>
        <v/>
      </c>
      <c r="AI184" s="23" t="s">
        <v>54</v>
      </c>
      <c r="AJ184" s="23" t="s">
        <v>55</v>
      </c>
      <c r="AK184" s="23" t="e">
        <v>#N/A</v>
      </c>
    </row>
    <row r="185" spans="1:38" s="23" customFormat="1" ht="15" customHeight="1" x14ac:dyDescent="0.25">
      <c r="A185" s="19">
        <v>183</v>
      </c>
      <c r="B185" s="19" t="s">
        <v>230</v>
      </c>
      <c r="C185" s="19" t="s">
        <v>39</v>
      </c>
      <c r="D185" s="26" t="s">
        <v>40</v>
      </c>
      <c r="E185" s="19" t="s">
        <v>29</v>
      </c>
      <c r="F185" s="26" t="s">
        <v>467</v>
      </c>
      <c r="G185" s="19">
        <v>33901787512</v>
      </c>
      <c r="H185" s="19" t="s">
        <v>1042</v>
      </c>
      <c r="I185" s="20">
        <v>44061</v>
      </c>
      <c r="J185" s="19"/>
      <c r="K185" s="19" t="s">
        <v>45</v>
      </c>
      <c r="L185" s="36">
        <v>77685022</v>
      </c>
      <c r="M185" s="20" t="s">
        <v>473</v>
      </c>
      <c r="N185" s="36"/>
      <c r="O185" s="19"/>
      <c r="P185" s="19">
        <v>9007698</v>
      </c>
      <c r="Q185" s="36"/>
      <c r="R185" s="36"/>
      <c r="S185" s="19" t="s">
        <v>45</v>
      </c>
      <c r="T185" s="19" t="s">
        <v>1043</v>
      </c>
      <c r="U185" s="19" t="s">
        <v>49</v>
      </c>
      <c r="V185" s="19" t="s">
        <v>1044</v>
      </c>
      <c r="W185" s="35" t="s">
        <v>1045</v>
      </c>
      <c r="X185" s="21"/>
      <c r="Y185" s="22">
        <v>76535764017380</v>
      </c>
      <c r="Z185" s="23">
        <f>A185</f>
        <v>183</v>
      </c>
      <c r="AA185" s="24" t="str">
        <f>IFERROR(VLOOKUP($Z185,'[1]End Fat Serviço - PA 15 e 16'!$K$3:$K$31,1,0), "")</f>
        <v/>
      </c>
      <c r="AB185" s="24" t="str">
        <f>IFERROR(VLOOKUP($Z185,'[1]End Fat Material - PA 12'!$K$3:$K$64,1,0), "")</f>
        <v/>
      </c>
      <c r="AC185" s="24" t="str">
        <f>IFERROR(VLOOKUP($Z185,'[1]End CA Lotação'!$L$3:$L$36,1,0), "")</f>
        <v/>
      </c>
      <c r="AD185" s="24">
        <f>IFERROR(VLOOKUP(Z185,'[1]RH - PARA 21.03'!$M$3:$M$555,1,0),"")</f>
        <v>183</v>
      </c>
      <c r="AE185" s="23" t="str">
        <f>IFERROR(VLOOKUP($Z185,'[1]CNPJ Oi Fat'!$K$3:$K$32,1,0),"")</f>
        <v/>
      </c>
      <c r="AF185" s="23" t="str">
        <f>IFERROR(VLOOKUP(Z185,'[1]End Logística Oi'!$D$3:$D$29,1,0),"")</f>
        <v/>
      </c>
      <c r="AG185" s="23" t="str">
        <f>IFERROR(VLOOKUP(Z185,'[1]End Logística Oi'!$J$3:$J$29,1,0),"")</f>
        <v/>
      </c>
      <c r="AI185" s="23" t="s">
        <v>54</v>
      </c>
      <c r="AJ185" s="23" t="s">
        <v>55</v>
      </c>
      <c r="AK185" s="23" t="e">
        <v>#N/A</v>
      </c>
    </row>
    <row r="186" spans="1:38" s="23" customFormat="1" ht="15" hidden="1" customHeight="1" x14ac:dyDescent="0.25">
      <c r="A186" s="19">
        <v>184</v>
      </c>
      <c r="B186" s="19" t="s">
        <v>230</v>
      </c>
      <c r="C186" s="19" t="s">
        <v>39</v>
      </c>
      <c r="D186" s="26" t="s">
        <v>40</v>
      </c>
      <c r="E186" s="19" t="s">
        <v>29</v>
      </c>
      <c r="F186" s="26" t="s">
        <v>467</v>
      </c>
      <c r="G186" s="19">
        <v>33901787482</v>
      </c>
      <c r="H186" s="19" t="s">
        <v>1046</v>
      </c>
      <c r="I186" s="20">
        <v>44061</v>
      </c>
      <c r="J186" s="19"/>
      <c r="K186" s="19" t="s">
        <v>45</v>
      </c>
      <c r="L186" s="36">
        <v>77685022</v>
      </c>
      <c r="M186" s="20" t="s">
        <v>473</v>
      </c>
      <c r="N186" s="36"/>
      <c r="O186" s="19"/>
      <c r="P186" s="19">
        <v>10045519</v>
      </c>
      <c r="Q186" s="36"/>
      <c r="R186" s="36"/>
      <c r="S186" s="19" t="s">
        <v>45</v>
      </c>
      <c r="T186" s="19" t="s">
        <v>1047</v>
      </c>
      <c r="U186" s="19" t="s">
        <v>49</v>
      </c>
      <c r="V186" s="19" t="s">
        <v>1031</v>
      </c>
      <c r="W186" s="35" t="s">
        <v>1048</v>
      </c>
      <c r="X186" s="21"/>
      <c r="Y186" s="22">
        <v>76535764017038</v>
      </c>
      <c r="Z186" s="23">
        <f>A186</f>
        <v>184</v>
      </c>
      <c r="AA186" s="24" t="str">
        <f>IFERROR(VLOOKUP($Z186,'[1]End Fat Serviço - PA 15 e 16'!$K$3:$K$31,1,0), "")</f>
        <v/>
      </c>
      <c r="AB186" s="24" t="str">
        <f>IFERROR(VLOOKUP($Z186,'[1]End Fat Material - PA 12'!$K$3:$K$64,1,0), "")</f>
        <v/>
      </c>
      <c r="AC186" s="24" t="str">
        <f>IFERROR(VLOOKUP($Z186,'[1]End CA Lotação'!$L$3:$L$36,1,0), "")</f>
        <v/>
      </c>
      <c r="AD186" s="24" t="str">
        <f>IFERROR(VLOOKUP(Z186,'[1]RH - PARA 21.03'!$M$3:$M$555,1,0),"")</f>
        <v/>
      </c>
      <c r="AE186" s="23" t="str">
        <f>IFERROR(VLOOKUP($Z186,'[1]CNPJ Oi Fat'!$K$3:$K$32,1,0),"")</f>
        <v/>
      </c>
      <c r="AF186" s="23" t="str">
        <f>IFERROR(VLOOKUP(Z186,'[1]End Logística Oi'!$D$3:$D$29,1,0),"")</f>
        <v/>
      </c>
      <c r="AG186" s="23" t="str">
        <f>IFERROR(VLOOKUP(Z186,'[1]End Logística Oi'!$J$3:$J$29,1,0),"")</f>
        <v/>
      </c>
      <c r="AI186" s="23" t="s">
        <v>55</v>
      </c>
      <c r="AJ186" s="23" t="s">
        <v>55</v>
      </c>
      <c r="AK186" s="23" t="e">
        <v>#N/A</v>
      </c>
    </row>
    <row r="187" spans="1:38" s="23" customFormat="1" ht="15" hidden="1" customHeight="1" x14ac:dyDescent="0.25">
      <c r="A187" s="25">
        <v>185</v>
      </c>
      <c r="B187" s="26" t="s">
        <v>230</v>
      </c>
      <c r="C187" s="27" t="s">
        <v>39</v>
      </c>
      <c r="D187" s="26" t="s">
        <v>40</v>
      </c>
      <c r="E187" s="26" t="s">
        <v>29</v>
      </c>
      <c r="F187" s="26" t="s">
        <v>467</v>
      </c>
      <c r="G187" s="28">
        <v>33901787369</v>
      </c>
      <c r="H187" s="26" t="s">
        <v>1049</v>
      </c>
      <c r="I187" s="29">
        <v>44061</v>
      </c>
      <c r="J187" s="30"/>
      <c r="K187" s="19" t="s">
        <v>45</v>
      </c>
      <c r="L187" s="31">
        <v>77685022</v>
      </c>
      <c r="M187" s="29">
        <v>38049</v>
      </c>
      <c r="N187" s="32"/>
      <c r="O187" s="31" t="s">
        <v>336</v>
      </c>
      <c r="P187" s="33">
        <v>143959</v>
      </c>
      <c r="Q187" s="29">
        <v>44986</v>
      </c>
      <c r="R187" s="32"/>
      <c r="S187" s="31" t="s">
        <v>45</v>
      </c>
      <c r="T187" s="31" t="s">
        <v>1050</v>
      </c>
      <c r="U187" s="31" t="s">
        <v>49</v>
      </c>
      <c r="V187" s="27" t="s">
        <v>1051</v>
      </c>
      <c r="W187" s="31" t="s">
        <v>1052</v>
      </c>
      <c r="X187" s="21"/>
      <c r="Y187" s="22">
        <v>76535764012826</v>
      </c>
      <c r="Z187" s="23">
        <v>185</v>
      </c>
      <c r="AA187" s="24">
        <v>185</v>
      </c>
      <c r="AB187" s="24">
        <v>185</v>
      </c>
      <c r="AC187" s="24" t="s">
        <v>65</v>
      </c>
      <c r="AD187" s="24" t="s">
        <v>65</v>
      </c>
      <c r="AE187" s="23" t="s">
        <v>65</v>
      </c>
      <c r="AF187" s="23" t="s">
        <v>65</v>
      </c>
      <c r="AG187" s="23" t="s">
        <v>65</v>
      </c>
      <c r="AH187" s="34" t="s">
        <v>1053</v>
      </c>
      <c r="AI187" s="23" t="s">
        <v>54</v>
      </c>
      <c r="AJ187" s="23" t="s">
        <v>54</v>
      </c>
      <c r="AK187" s="23" t="s">
        <v>67</v>
      </c>
    </row>
    <row r="188" spans="1:38" s="23" customFormat="1" ht="15" customHeight="1" x14ac:dyDescent="0.25">
      <c r="A188" s="25">
        <v>186</v>
      </c>
      <c r="B188" s="26" t="s">
        <v>230</v>
      </c>
      <c r="C188" s="27" t="s">
        <v>39</v>
      </c>
      <c r="D188" s="26" t="s">
        <v>40</v>
      </c>
      <c r="E188" s="26" t="s">
        <v>29</v>
      </c>
      <c r="F188" s="26" t="s">
        <v>467</v>
      </c>
      <c r="G188" s="28">
        <v>33901787377</v>
      </c>
      <c r="H188" s="26" t="s">
        <v>1054</v>
      </c>
      <c r="I188" s="29">
        <v>44061</v>
      </c>
      <c r="J188" s="30"/>
      <c r="K188" s="19" t="s">
        <v>45</v>
      </c>
      <c r="L188" s="31">
        <v>77685022</v>
      </c>
      <c r="M188" s="29">
        <v>38049</v>
      </c>
      <c r="N188" s="32"/>
      <c r="O188" s="31" t="s">
        <v>336</v>
      </c>
      <c r="P188" s="33">
        <v>99135241</v>
      </c>
      <c r="Q188" s="29">
        <v>44061</v>
      </c>
      <c r="R188" s="32"/>
      <c r="S188" s="31" t="s">
        <v>45</v>
      </c>
      <c r="T188" s="31" t="s">
        <v>1055</v>
      </c>
      <c r="U188" s="31" t="s">
        <v>1056</v>
      </c>
      <c r="V188" s="27" t="s">
        <v>1057</v>
      </c>
      <c r="W188" s="31" t="s">
        <v>1058</v>
      </c>
      <c r="X188" s="21"/>
      <c r="Y188" s="22">
        <v>76535764013040</v>
      </c>
      <c r="Z188" s="23">
        <v>186</v>
      </c>
      <c r="AA188" s="24">
        <v>186</v>
      </c>
      <c r="AB188" s="24">
        <v>186</v>
      </c>
      <c r="AC188" s="24" t="s">
        <v>65</v>
      </c>
      <c r="AD188" s="24">
        <v>186</v>
      </c>
      <c r="AE188" s="23" t="s">
        <v>65</v>
      </c>
      <c r="AF188" s="23" t="s">
        <v>65</v>
      </c>
      <c r="AG188" s="23" t="s">
        <v>65</v>
      </c>
      <c r="AH188" s="34" t="s">
        <v>1053</v>
      </c>
      <c r="AI188" s="23" t="s">
        <v>54</v>
      </c>
      <c r="AJ188" s="23" t="s">
        <v>54</v>
      </c>
      <c r="AK188" s="23" t="s">
        <v>67</v>
      </c>
    </row>
    <row r="189" spans="1:38" s="23" customFormat="1" ht="15" customHeight="1" x14ac:dyDescent="0.25">
      <c r="A189" s="19">
        <v>187</v>
      </c>
      <c r="B189" s="19" t="s">
        <v>230</v>
      </c>
      <c r="C189" s="19" t="s">
        <v>39</v>
      </c>
      <c r="D189" s="26" t="s">
        <v>40</v>
      </c>
      <c r="E189" s="19" t="s">
        <v>29</v>
      </c>
      <c r="F189" s="26" t="s">
        <v>467</v>
      </c>
      <c r="G189" s="19">
        <v>33901787610</v>
      </c>
      <c r="H189" s="19" t="s">
        <v>1059</v>
      </c>
      <c r="I189" s="20">
        <v>44061</v>
      </c>
      <c r="J189" s="19"/>
      <c r="K189" s="19" t="s">
        <v>45</v>
      </c>
      <c r="L189" s="36">
        <v>77685022</v>
      </c>
      <c r="M189" s="20" t="s">
        <v>473</v>
      </c>
      <c r="N189" s="36"/>
      <c r="O189" s="19"/>
      <c r="P189" s="19" t="s">
        <v>604</v>
      </c>
      <c r="Q189" s="36"/>
      <c r="R189" s="36"/>
      <c r="S189" s="19" t="s">
        <v>1060</v>
      </c>
      <c r="T189" s="19" t="s">
        <v>1061</v>
      </c>
      <c r="U189" s="19" t="s">
        <v>49</v>
      </c>
      <c r="V189" s="19" t="s">
        <v>1062</v>
      </c>
      <c r="W189" s="35" t="s">
        <v>1063</v>
      </c>
      <c r="X189" s="21"/>
      <c r="Y189" s="22">
        <v>76535764018514</v>
      </c>
      <c r="Z189" s="23">
        <f>A189</f>
        <v>187</v>
      </c>
      <c r="AA189" s="24" t="str">
        <f>IFERROR(VLOOKUP($Z189,'[1]End Fat Serviço - PA 15 e 16'!$K$3:$K$31,1,0), "")</f>
        <v/>
      </c>
      <c r="AB189" s="24" t="str">
        <f>IFERROR(VLOOKUP($Z189,'[1]End Fat Material - PA 12'!$K$3:$K$64,1,0), "")</f>
        <v/>
      </c>
      <c r="AC189" s="24" t="str">
        <f>IFERROR(VLOOKUP($Z189,'[1]End CA Lotação'!$L$3:$L$36,1,0), "")</f>
        <v/>
      </c>
      <c r="AD189" s="24">
        <f>IFERROR(VLOOKUP(Z189,'[1]RH - PARA 21.03'!$M$3:$M$555,1,0),"")</f>
        <v>187</v>
      </c>
      <c r="AE189" s="23" t="str">
        <f>IFERROR(VLOOKUP($Z189,'[1]CNPJ Oi Fat'!$K$3:$K$32,1,0),"")</f>
        <v/>
      </c>
      <c r="AF189" s="23" t="str">
        <f>IFERROR(VLOOKUP(Z189,'[1]End Logística Oi'!$D$3:$D$29,1,0),"")</f>
        <v/>
      </c>
      <c r="AG189" s="23" t="str">
        <f>IFERROR(VLOOKUP(Z189,'[1]End Logística Oi'!$J$3:$J$29,1,0),"")</f>
        <v/>
      </c>
      <c r="AI189" s="23" t="s">
        <v>54</v>
      </c>
      <c r="AJ189" s="23" t="s">
        <v>55</v>
      </c>
      <c r="AK189" s="23" t="e">
        <v>#N/A</v>
      </c>
    </row>
    <row r="190" spans="1:38" s="23" customFormat="1" ht="15" customHeight="1" x14ac:dyDescent="0.25">
      <c r="A190" s="19">
        <v>188</v>
      </c>
      <c r="B190" s="19" t="s">
        <v>230</v>
      </c>
      <c r="C190" s="19" t="s">
        <v>39</v>
      </c>
      <c r="D190" s="26" t="s">
        <v>40</v>
      </c>
      <c r="E190" s="19" t="s">
        <v>29</v>
      </c>
      <c r="F190" s="26" t="s">
        <v>467</v>
      </c>
      <c r="G190" s="19">
        <v>33901787431</v>
      </c>
      <c r="H190" s="19" t="s">
        <v>1064</v>
      </c>
      <c r="I190" s="20">
        <v>44061</v>
      </c>
      <c r="J190" s="19"/>
      <c r="K190" s="19" t="s">
        <v>45</v>
      </c>
      <c r="L190" s="36">
        <v>77685022</v>
      </c>
      <c r="M190" s="20" t="s">
        <v>473</v>
      </c>
      <c r="N190" s="36"/>
      <c r="O190" s="19"/>
      <c r="P190" s="19">
        <v>19532350</v>
      </c>
      <c r="Q190" s="36"/>
      <c r="R190" s="36"/>
      <c r="S190" s="19" t="s">
        <v>45</v>
      </c>
      <c r="T190" s="19" t="s">
        <v>1065</v>
      </c>
      <c r="U190" s="19" t="s">
        <v>49</v>
      </c>
      <c r="V190" s="19" t="s">
        <v>1066</v>
      </c>
      <c r="W190" s="35" t="s">
        <v>1067</v>
      </c>
      <c r="X190" s="21"/>
      <c r="Y190" s="22">
        <v>76535764015337</v>
      </c>
      <c r="Z190" s="23">
        <f>A190</f>
        <v>188</v>
      </c>
      <c r="AA190" s="24" t="str">
        <f>IFERROR(VLOOKUP($Z190,'[1]End Fat Serviço - PA 15 e 16'!$K$3:$K$31,1,0), "")</f>
        <v/>
      </c>
      <c r="AB190" s="24" t="str">
        <f>IFERROR(VLOOKUP($Z190,'[1]End Fat Material - PA 12'!$K$3:$K$64,1,0), "")</f>
        <v/>
      </c>
      <c r="AC190" s="24" t="str">
        <f>IFERROR(VLOOKUP($Z190,'[1]End CA Lotação'!$L$3:$L$36,1,0), "")</f>
        <v/>
      </c>
      <c r="AD190" s="24">
        <f>IFERROR(VLOOKUP(Z190,'[1]RH - PARA 21.03'!$M$3:$M$555,1,0),"")</f>
        <v>188</v>
      </c>
      <c r="AE190" s="23" t="str">
        <f>IFERROR(VLOOKUP($Z190,'[1]CNPJ Oi Fat'!$K$3:$K$32,1,0),"")</f>
        <v/>
      </c>
      <c r="AF190" s="23" t="str">
        <f>IFERROR(VLOOKUP(Z190,'[1]End Logística Oi'!$D$3:$D$29,1,0),"")</f>
        <v/>
      </c>
      <c r="AG190" s="23" t="str">
        <f>IFERROR(VLOOKUP(Z190,'[1]End Logística Oi'!$J$3:$J$29,1,0),"")</f>
        <v/>
      </c>
      <c r="AI190" s="23" t="s">
        <v>54</v>
      </c>
      <c r="AJ190" s="23" t="s">
        <v>55</v>
      </c>
      <c r="AK190" s="23" t="e">
        <v>#N/A</v>
      </c>
    </row>
    <row r="191" spans="1:38" s="23" customFormat="1" ht="15" customHeight="1" x14ac:dyDescent="0.25">
      <c r="A191" s="19">
        <v>189</v>
      </c>
      <c r="B191" s="19" t="s">
        <v>230</v>
      </c>
      <c r="C191" s="19" t="s">
        <v>39</v>
      </c>
      <c r="D191" s="26" t="s">
        <v>40</v>
      </c>
      <c r="E191" s="19" t="s">
        <v>29</v>
      </c>
      <c r="F191" s="26" t="s">
        <v>467</v>
      </c>
      <c r="G191" s="19">
        <v>33901787571</v>
      </c>
      <c r="H191" s="19" t="s">
        <v>1068</v>
      </c>
      <c r="I191" s="20">
        <v>44061</v>
      </c>
      <c r="J191" s="19"/>
      <c r="K191" s="19" t="s">
        <v>45</v>
      </c>
      <c r="L191" s="36">
        <v>77685022</v>
      </c>
      <c r="M191" s="20" t="s">
        <v>473</v>
      </c>
      <c r="N191" s="36"/>
      <c r="O191" s="19"/>
      <c r="P191" s="19">
        <v>10913</v>
      </c>
      <c r="Q191" s="20">
        <v>44295</v>
      </c>
      <c r="R191" s="36"/>
      <c r="S191" s="19" t="s">
        <v>45</v>
      </c>
      <c r="T191" s="19" t="s">
        <v>1069</v>
      </c>
      <c r="U191" s="19" t="s">
        <v>1070</v>
      </c>
      <c r="V191" s="19" t="s">
        <v>1071</v>
      </c>
      <c r="W191" s="35" t="s">
        <v>1072</v>
      </c>
      <c r="X191" s="21"/>
      <c r="Y191" s="22">
        <v>76535764018190</v>
      </c>
      <c r="Z191" s="23">
        <f>A191</f>
        <v>189</v>
      </c>
      <c r="AA191" s="24" t="str">
        <f>IFERROR(VLOOKUP($Z191,'[1]End Fat Serviço - PA 15 e 16'!$K$3:$K$31,1,0), "")</f>
        <v/>
      </c>
      <c r="AB191" s="24" t="str">
        <f>IFERROR(VLOOKUP($Z191,'[1]End Fat Material - PA 12'!$K$3:$K$64,1,0), "")</f>
        <v/>
      </c>
      <c r="AC191" s="24" t="str">
        <f>IFERROR(VLOOKUP($Z191,'[1]End CA Lotação'!$L$3:$L$36,1,0), "")</f>
        <v/>
      </c>
      <c r="AD191" s="24">
        <f>IFERROR(VLOOKUP(Z191,'[1]RH - PARA 21.03'!$M$3:$M$555,1,0),"")</f>
        <v>189</v>
      </c>
      <c r="AE191" s="23" t="str">
        <f>IFERROR(VLOOKUP($Z191,'[1]CNPJ Oi Fat'!$K$3:$K$32,1,0),"")</f>
        <v/>
      </c>
      <c r="AF191" s="23" t="str">
        <f>IFERROR(VLOOKUP(Z191,'[1]End Logística Oi'!$D$3:$D$29,1,0),"")</f>
        <v/>
      </c>
      <c r="AG191" s="23" t="str">
        <f>IFERROR(VLOOKUP(Z191,'[1]End Logística Oi'!$J$3:$J$29,1,0),"")</f>
        <v/>
      </c>
      <c r="AI191" s="23" t="s">
        <v>54</v>
      </c>
      <c r="AJ191" s="23" t="s">
        <v>55</v>
      </c>
      <c r="AK191" s="23" t="e">
        <v>#N/A</v>
      </c>
    </row>
    <row r="192" spans="1:38" s="23" customFormat="1" ht="15" customHeight="1" x14ac:dyDescent="0.25">
      <c r="A192" s="19">
        <v>190</v>
      </c>
      <c r="B192" s="19" t="s">
        <v>230</v>
      </c>
      <c r="C192" s="19" t="s">
        <v>39</v>
      </c>
      <c r="D192" s="26" t="s">
        <v>40</v>
      </c>
      <c r="E192" s="19" t="s">
        <v>29</v>
      </c>
      <c r="F192" s="26" t="s">
        <v>467</v>
      </c>
      <c r="G192" s="19">
        <v>33901787458</v>
      </c>
      <c r="H192" s="19" t="s">
        <v>1073</v>
      </c>
      <c r="I192" s="20">
        <v>44061</v>
      </c>
      <c r="J192" s="19"/>
      <c r="K192" s="19" t="s">
        <v>45</v>
      </c>
      <c r="L192" s="36">
        <v>77685022</v>
      </c>
      <c r="M192" s="20" t="s">
        <v>473</v>
      </c>
      <c r="N192" s="36"/>
      <c r="O192" s="19"/>
      <c r="P192" s="19" t="s">
        <v>604</v>
      </c>
      <c r="Q192" s="36"/>
      <c r="R192" s="36"/>
      <c r="S192" s="19" t="s">
        <v>1060</v>
      </c>
      <c r="T192" s="19" t="s">
        <v>1074</v>
      </c>
      <c r="U192" s="19" t="s">
        <v>49</v>
      </c>
      <c r="V192" s="19" t="s">
        <v>1075</v>
      </c>
      <c r="W192" s="35" t="s">
        <v>1076</v>
      </c>
      <c r="X192" s="21"/>
      <c r="Y192" s="22">
        <v>76535764016490</v>
      </c>
      <c r="Z192" s="23">
        <f>A192</f>
        <v>190</v>
      </c>
      <c r="AA192" s="24" t="str">
        <f>IFERROR(VLOOKUP($Z192,'[1]End Fat Serviço - PA 15 e 16'!$K$3:$K$31,1,0), "")</f>
        <v/>
      </c>
      <c r="AB192" s="24" t="str">
        <f>IFERROR(VLOOKUP($Z192,'[1]End Fat Material - PA 12'!$K$3:$K$64,1,0), "")</f>
        <v/>
      </c>
      <c r="AC192" s="24" t="str">
        <f>IFERROR(VLOOKUP($Z192,'[1]End CA Lotação'!$L$3:$L$36,1,0), "")</f>
        <v/>
      </c>
      <c r="AD192" s="24">
        <f>IFERROR(VLOOKUP(Z192,'[1]RH - PARA 21.03'!$M$3:$M$555,1,0),"")</f>
        <v>190</v>
      </c>
      <c r="AE192" s="23" t="str">
        <f>IFERROR(VLOOKUP($Z192,'[1]CNPJ Oi Fat'!$K$3:$K$32,1,0),"")</f>
        <v/>
      </c>
      <c r="AF192" s="23" t="str">
        <f>IFERROR(VLOOKUP(Z192,'[1]End Logística Oi'!$D$3:$D$29,1,0),"")</f>
        <v/>
      </c>
      <c r="AG192" s="23" t="str">
        <f>IFERROR(VLOOKUP(Z192,'[1]End Logística Oi'!$J$3:$J$29,1,0),"")</f>
        <v/>
      </c>
      <c r="AI192" s="23" t="s">
        <v>54</v>
      </c>
      <c r="AJ192" s="23" t="s">
        <v>55</v>
      </c>
      <c r="AK192" s="23" t="e">
        <v>#N/A</v>
      </c>
    </row>
    <row r="193" spans="1:38" s="23" customFormat="1" ht="15" customHeight="1" x14ac:dyDescent="0.25">
      <c r="A193" s="25">
        <v>191</v>
      </c>
      <c r="B193" s="26" t="s">
        <v>230</v>
      </c>
      <c r="C193" s="27" t="s">
        <v>39</v>
      </c>
      <c r="D193" s="26" t="s">
        <v>40</v>
      </c>
      <c r="E193" s="26" t="s">
        <v>29</v>
      </c>
      <c r="F193" s="26" t="s">
        <v>467</v>
      </c>
      <c r="G193" s="28">
        <v>33901787385</v>
      </c>
      <c r="H193" s="26" t="s">
        <v>1077</v>
      </c>
      <c r="I193" s="29">
        <v>44061</v>
      </c>
      <c r="J193" s="30"/>
      <c r="K193" s="19" t="s">
        <v>45</v>
      </c>
      <c r="L193" s="31">
        <v>77685022</v>
      </c>
      <c r="M193" s="29">
        <v>38049</v>
      </c>
      <c r="N193" s="32"/>
      <c r="O193" s="31" t="s">
        <v>336</v>
      </c>
      <c r="P193" s="33">
        <v>3038050</v>
      </c>
      <c r="Q193" s="29">
        <v>44169</v>
      </c>
      <c r="R193" s="32"/>
      <c r="S193" s="31" t="s">
        <v>45</v>
      </c>
      <c r="T193" s="31" t="s">
        <v>1078</v>
      </c>
      <c r="U193" s="31" t="s">
        <v>49</v>
      </c>
      <c r="V193" s="27" t="s">
        <v>1079</v>
      </c>
      <c r="W193" s="31" t="s">
        <v>1080</v>
      </c>
      <c r="X193" s="21"/>
      <c r="Y193" s="22">
        <v>76535764013474</v>
      </c>
      <c r="Z193" s="23">
        <v>191</v>
      </c>
      <c r="AA193" s="24">
        <v>191</v>
      </c>
      <c r="AB193" s="24">
        <v>191</v>
      </c>
      <c r="AC193" s="24" t="s">
        <v>65</v>
      </c>
      <c r="AD193" s="24">
        <v>191</v>
      </c>
      <c r="AE193" s="23" t="s">
        <v>65</v>
      </c>
      <c r="AF193" s="23" t="s">
        <v>65</v>
      </c>
      <c r="AG193" s="23" t="s">
        <v>65</v>
      </c>
      <c r="AH193" s="34" t="s">
        <v>1053</v>
      </c>
      <c r="AI193" s="23" t="s">
        <v>54</v>
      </c>
      <c r="AJ193" s="23" t="s">
        <v>54</v>
      </c>
      <c r="AK193" s="23" t="s">
        <v>67</v>
      </c>
      <c r="AL193" s="23" t="s">
        <v>976</v>
      </c>
    </row>
    <row r="194" spans="1:38" s="23" customFormat="1" ht="15" customHeight="1" x14ac:dyDescent="0.25">
      <c r="A194" s="19">
        <v>192</v>
      </c>
      <c r="B194" s="19" t="s">
        <v>230</v>
      </c>
      <c r="C194" s="19" t="s">
        <v>39</v>
      </c>
      <c r="D194" s="26" t="s">
        <v>40</v>
      </c>
      <c r="E194" s="19" t="s">
        <v>29</v>
      </c>
      <c r="F194" s="26" t="s">
        <v>467</v>
      </c>
      <c r="G194" s="19">
        <v>33901787474</v>
      </c>
      <c r="H194" s="19" t="s">
        <v>1081</v>
      </c>
      <c r="I194" s="20">
        <v>44061</v>
      </c>
      <c r="J194" s="19"/>
      <c r="K194" s="19" t="s">
        <v>45</v>
      </c>
      <c r="L194" s="36">
        <v>77685022</v>
      </c>
      <c r="M194" s="20" t="s">
        <v>473</v>
      </c>
      <c r="N194" s="36"/>
      <c r="O194" s="19"/>
      <c r="P194" s="19" t="s">
        <v>1082</v>
      </c>
      <c r="Q194" s="36"/>
      <c r="R194" s="36"/>
      <c r="S194" s="19" t="s">
        <v>45</v>
      </c>
      <c r="T194" s="19" t="s">
        <v>1083</v>
      </c>
      <c r="U194" s="19" t="s">
        <v>49</v>
      </c>
      <c r="V194" s="19" t="s">
        <v>1084</v>
      </c>
      <c r="W194" s="35" t="s">
        <v>1085</v>
      </c>
      <c r="X194" s="21"/>
      <c r="Y194" s="22">
        <v>76535764016732</v>
      </c>
      <c r="Z194" s="23">
        <f t="shared" ref="Z194:Z208" si="4">A194</f>
        <v>192</v>
      </c>
      <c r="AA194" s="24" t="str">
        <f>IFERROR(VLOOKUP($Z194,'[1]End Fat Serviço - PA 15 e 16'!$K$3:$K$31,1,0), "")</f>
        <v/>
      </c>
      <c r="AB194" s="24" t="str">
        <f>IFERROR(VLOOKUP($Z194,'[1]End Fat Material - PA 12'!$K$3:$K$64,1,0), "")</f>
        <v/>
      </c>
      <c r="AC194" s="24" t="str">
        <f>IFERROR(VLOOKUP($Z194,'[1]End CA Lotação'!$L$3:$L$36,1,0), "")</f>
        <v/>
      </c>
      <c r="AD194" s="24">
        <f>IFERROR(VLOOKUP(Z194,'[1]RH - PARA 21.03'!$M$3:$M$555,1,0),"")</f>
        <v>192</v>
      </c>
      <c r="AE194" s="23" t="str">
        <f>IFERROR(VLOOKUP($Z194,'[1]CNPJ Oi Fat'!$K$3:$K$32,1,0),"")</f>
        <v/>
      </c>
      <c r="AF194" s="23" t="str">
        <f>IFERROR(VLOOKUP(Z194,'[1]End Logística Oi'!$D$3:$D$29,1,0),"")</f>
        <v/>
      </c>
      <c r="AG194" s="23" t="str">
        <f>IFERROR(VLOOKUP(Z194,'[1]End Logística Oi'!$J$3:$J$29,1,0),"")</f>
        <v/>
      </c>
      <c r="AI194" s="23" t="s">
        <v>54</v>
      </c>
      <c r="AJ194" s="23" t="s">
        <v>55</v>
      </c>
      <c r="AK194" s="23" t="e">
        <v>#N/A</v>
      </c>
    </row>
    <row r="195" spans="1:38" s="23" customFormat="1" ht="15" customHeight="1" x14ac:dyDescent="0.25">
      <c r="A195" s="19">
        <v>193</v>
      </c>
      <c r="B195" s="19" t="s">
        <v>230</v>
      </c>
      <c r="C195" s="19" t="s">
        <v>39</v>
      </c>
      <c r="D195" s="26" t="s">
        <v>40</v>
      </c>
      <c r="E195" s="19" t="s">
        <v>29</v>
      </c>
      <c r="F195" s="26" t="s">
        <v>467</v>
      </c>
      <c r="G195" s="19">
        <v>33901787547</v>
      </c>
      <c r="H195" s="19" t="s">
        <v>1086</v>
      </c>
      <c r="I195" s="20">
        <v>44061</v>
      </c>
      <c r="J195" s="19"/>
      <c r="K195" s="19" t="s">
        <v>45</v>
      </c>
      <c r="L195" s="36">
        <v>77685022</v>
      </c>
      <c r="M195" s="20" t="s">
        <v>473</v>
      </c>
      <c r="N195" s="36"/>
      <c r="O195" s="19"/>
      <c r="P195" s="19">
        <v>11166324</v>
      </c>
      <c r="Q195" s="20">
        <v>44113</v>
      </c>
      <c r="R195" s="36"/>
      <c r="S195" s="19" t="s">
        <v>45</v>
      </c>
      <c r="T195" s="19" t="s">
        <v>1087</v>
      </c>
      <c r="U195" s="19" t="s">
        <v>49</v>
      </c>
      <c r="V195" s="19" t="s">
        <v>1011</v>
      </c>
      <c r="W195" s="35" t="s">
        <v>1088</v>
      </c>
      <c r="X195" s="21"/>
      <c r="Y195" s="22">
        <v>76535764017704</v>
      </c>
      <c r="Z195" s="23">
        <f t="shared" si="4"/>
        <v>193</v>
      </c>
      <c r="AA195" s="24" t="str">
        <f>IFERROR(VLOOKUP($Z195,'[1]End Fat Serviço - PA 15 e 16'!$K$3:$K$31,1,0), "")</f>
        <v/>
      </c>
      <c r="AB195" s="24" t="str">
        <f>IFERROR(VLOOKUP($Z195,'[1]End Fat Material - PA 12'!$K$3:$K$64,1,0), "")</f>
        <v/>
      </c>
      <c r="AC195" s="24" t="str">
        <f>IFERROR(VLOOKUP($Z195,'[1]End CA Lotação'!$L$3:$L$36,1,0), "")</f>
        <v/>
      </c>
      <c r="AD195" s="24">
        <f>IFERROR(VLOOKUP(Z195,'[1]RH - PARA 21.03'!$M$3:$M$555,1,0),"")</f>
        <v>193</v>
      </c>
      <c r="AE195" s="23" t="str">
        <f>IFERROR(VLOOKUP($Z195,'[1]CNPJ Oi Fat'!$K$3:$K$32,1,0),"")</f>
        <v/>
      </c>
      <c r="AF195" s="23" t="str">
        <f>IFERROR(VLOOKUP(Z195,'[1]End Logística Oi'!$D$3:$D$29,1,0),"")</f>
        <v/>
      </c>
      <c r="AG195" s="23" t="str">
        <f>IFERROR(VLOOKUP(Z195,'[1]End Logística Oi'!$J$3:$J$29,1,0),"")</f>
        <v/>
      </c>
      <c r="AI195" s="23" t="s">
        <v>54</v>
      </c>
      <c r="AJ195" s="23" t="s">
        <v>55</v>
      </c>
      <c r="AK195" s="23" t="e">
        <v>#N/A</v>
      </c>
    </row>
    <row r="196" spans="1:38" s="23" customFormat="1" ht="15" hidden="1" customHeight="1" x14ac:dyDescent="0.25">
      <c r="A196" s="19">
        <v>194</v>
      </c>
      <c r="B196" s="19" t="s">
        <v>230</v>
      </c>
      <c r="C196" s="19" t="s">
        <v>39</v>
      </c>
      <c r="D196" s="26" t="s">
        <v>40</v>
      </c>
      <c r="E196" s="19" t="s">
        <v>29</v>
      </c>
      <c r="F196" s="26" t="s">
        <v>467</v>
      </c>
      <c r="G196" s="19">
        <v>33901787580</v>
      </c>
      <c r="H196" s="19" t="s">
        <v>1089</v>
      </c>
      <c r="I196" s="20">
        <v>44061</v>
      </c>
      <c r="J196" s="19"/>
      <c r="K196" s="19" t="s">
        <v>45</v>
      </c>
      <c r="L196" s="36">
        <v>77685022</v>
      </c>
      <c r="M196" s="20" t="s">
        <v>473</v>
      </c>
      <c r="N196" s="36"/>
      <c r="O196" s="19"/>
      <c r="P196" s="19" t="s">
        <v>1090</v>
      </c>
      <c r="Q196" s="36"/>
      <c r="R196" s="36"/>
      <c r="S196" s="19" t="s">
        <v>45</v>
      </c>
      <c r="T196" s="19" t="s">
        <v>1091</v>
      </c>
      <c r="U196" s="19" t="s">
        <v>1092</v>
      </c>
      <c r="V196" s="19" t="s">
        <v>235</v>
      </c>
      <c r="W196" s="35" t="s">
        <v>1093</v>
      </c>
      <c r="X196" s="21"/>
      <c r="Y196" s="22">
        <v>76535764018271</v>
      </c>
      <c r="Z196" s="23">
        <f t="shared" si="4"/>
        <v>194</v>
      </c>
      <c r="AA196" s="24" t="str">
        <f>IFERROR(VLOOKUP($Z196,'[1]End Fat Serviço - PA 15 e 16'!$K$3:$K$31,1,0), "")</f>
        <v/>
      </c>
      <c r="AB196" s="24" t="str">
        <f>IFERROR(VLOOKUP($Z196,'[1]End Fat Material - PA 12'!$K$3:$K$64,1,0), "")</f>
        <v/>
      </c>
      <c r="AC196" s="24" t="str">
        <f>IFERROR(VLOOKUP($Z196,'[1]End CA Lotação'!$L$3:$L$36,1,0), "")</f>
        <v/>
      </c>
      <c r="AD196" s="24" t="str">
        <f>IFERROR(VLOOKUP(Z196,'[1]RH - PARA 21.03'!$M$3:$M$555,1,0),"")</f>
        <v/>
      </c>
      <c r="AE196" s="23" t="str">
        <f>IFERROR(VLOOKUP($Z196,'[1]CNPJ Oi Fat'!$K$3:$K$32,1,0),"")</f>
        <v/>
      </c>
      <c r="AF196" s="23" t="str">
        <f>IFERROR(VLOOKUP(Z196,'[1]End Logística Oi'!$D$3:$D$29,1,0),"")</f>
        <v/>
      </c>
      <c r="AG196" s="23" t="str">
        <f>IFERROR(VLOOKUP(Z196,'[1]End Logística Oi'!$J$3:$J$29,1,0),"")</f>
        <v/>
      </c>
      <c r="AI196" s="23" t="s">
        <v>55</v>
      </c>
      <c r="AJ196" s="23" t="s">
        <v>55</v>
      </c>
      <c r="AK196" s="23" t="e">
        <v>#N/A</v>
      </c>
    </row>
    <row r="197" spans="1:38" s="23" customFormat="1" ht="15" hidden="1" customHeight="1" x14ac:dyDescent="0.25">
      <c r="A197" s="19">
        <v>195</v>
      </c>
      <c r="B197" s="19" t="s">
        <v>230</v>
      </c>
      <c r="C197" s="19" t="s">
        <v>39</v>
      </c>
      <c r="D197" s="26" t="s">
        <v>40</v>
      </c>
      <c r="E197" s="19" t="s">
        <v>29</v>
      </c>
      <c r="F197" s="26" t="s">
        <v>467</v>
      </c>
      <c r="G197" s="19">
        <v>33901787636</v>
      </c>
      <c r="H197" s="19" t="s">
        <v>1094</v>
      </c>
      <c r="I197" s="20">
        <v>44061</v>
      </c>
      <c r="J197" s="19"/>
      <c r="K197" s="19" t="s">
        <v>45</v>
      </c>
      <c r="L197" s="36">
        <v>77685022</v>
      </c>
      <c r="M197" s="20" t="s">
        <v>473</v>
      </c>
      <c r="N197" s="36"/>
      <c r="O197" s="19"/>
      <c r="P197" s="19" t="s">
        <v>1095</v>
      </c>
      <c r="Q197" s="36"/>
      <c r="R197" s="36"/>
      <c r="S197" s="19" t="s">
        <v>45</v>
      </c>
      <c r="T197" s="19" t="s">
        <v>1096</v>
      </c>
      <c r="U197" s="19" t="s">
        <v>1097</v>
      </c>
      <c r="V197" s="19" t="s">
        <v>235</v>
      </c>
      <c r="W197" s="35" t="s">
        <v>1098</v>
      </c>
      <c r="X197" s="21"/>
      <c r="Y197" s="22">
        <v>76535764018867</v>
      </c>
      <c r="Z197" s="23">
        <f t="shared" si="4"/>
        <v>195</v>
      </c>
      <c r="AA197" s="24" t="str">
        <f>IFERROR(VLOOKUP($Z197,'[1]End Fat Serviço - PA 15 e 16'!$K$3:$K$31,1,0), "")</f>
        <v/>
      </c>
      <c r="AB197" s="24" t="str">
        <f>IFERROR(VLOOKUP($Z197,'[1]End Fat Material - PA 12'!$K$3:$K$64,1,0), "")</f>
        <v/>
      </c>
      <c r="AC197" s="24" t="str">
        <f>IFERROR(VLOOKUP($Z197,'[1]End CA Lotação'!$L$3:$L$36,1,0), "")</f>
        <v/>
      </c>
      <c r="AD197" s="24" t="str">
        <f>IFERROR(VLOOKUP(Z197,'[1]RH - PARA 21.03'!$M$3:$M$555,1,0),"")</f>
        <v/>
      </c>
      <c r="AE197" s="23" t="str">
        <f>IFERROR(VLOOKUP($Z197,'[1]CNPJ Oi Fat'!$K$3:$K$32,1,0),"")</f>
        <v/>
      </c>
      <c r="AF197" s="23" t="str">
        <f>IFERROR(VLOOKUP(Z197,'[1]End Logística Oi'!$D$3:$D$29,1,0),"")</f>
        <v/>
      </c>
      <c r="AG197" s="23" t="str">
        <f>IFERROR(VLOOKUP(Z197,'[1]End Logística Oi'!$J$3:$J$29,1,0),"")</f>
        <v/>
      </c>
      <c r="AI197" s="23" t="s">
        <v>55</v>
      </c>
      <c r="AJ197" s="23" t="s">
        <v>55</v>
      </c>
      <c r="AK197" s="23" t="e">
        <v>#N/A</v>
      </c>
    </row>
    <row r="198" spans="1:38" s="23" customFormat="1" ht="15" hidden="1" customHeight="1" x14ac:dyDescent="0.25">
      <c r="A198" s="19">
        <v>196</v>
      </c>
      <c r="B198" s="19" t="s">
        <v>230</v>
      </c>
      <c r="C198" s="19" t="s">
        <v>39</v>
      </c>
      <c r="D198" s="26" t="s">
        <v>40</v>
      </c>
      <c r="E198" s="19" t="s">
        <v>29</v>
      </c>
      <c r="F198" s="26" t="s">
        <v>467</v>
      </c>
      <c r="G198" s="19">
        <v>33901787563</v>
      </c>
      <c r="H198" s="19" t="s">
        <v>1099</v>
      </c>
      <c r="I198" s="20">
        <v>44061</v>
      </c>
      <c r="J198" s="19"/>
      <c r="K198" s="19" t="s">
        <v>45</v>
      </c>
      <c r="L198" s="36">
        <v>77685022</v>
      </c>
      <c r="M198" s="20" t="s">
        <v>473</v>
      </c>
      <c r="N198" s="36"/>
      <c r="O198" s="19"/>
      <c r="P198" s="19" t="s">
        <v>1100</v>
      </c>
      <c r="Q198" s="36"/>
      <c r="R198" s="36"/>
      <c r="S198" s="19" t="s">
        <v>45</v>
      </c>
      <c r="T198" s="19" t="s">
        <v>1101</v>
      </c>
      <c r="U198" s="19" t="s">
        <v>102</v>
      </c>
      <c r="V198" s="19" t="s">
        <v>235</v>
      </c>
      <c r="W198" s="35" t="s">
        <v>1102</v>
      </c>
      <c r="X198" s="21"/>
      <c r="Y198" s="22">
        <v>76535764018000</v>
      </c>
      <c r="Z198" s="23">
        <f t="shared" si="4"/>
        <v>196</v>
      </c>
      <c r="AA198" s="24" t="str">
        <f>IFERROR(VLOOKUP($Z198,'[1]End Fat Serviço - PA 15 e 16'!$K$3:$K$31,1,0), "")</f>
        <v/>
      </c>
      <c r="AB198" s="24" t="str">
        <f>IFERROR(VLOOKUP($Z198,'[1]End Fat Material - PA 12'!$K$3:$K$64,1,0), "")</f>
        <v/>
      </c>
      <c r="AC198" s="24" t="str">
        <f>IFERROR(VLOOKUP($Z198,'[1]End CA Lotação'!$L$3:$L$36,1,0), "")</f>
        <v/>
      </c>
      <c r="AD198" s="24" t="str">
        <f>IFERROR(VLOOKUP(Z198,'[1]RH - PARA 21.03'!$M$3:$M$555,1,0),"")</f>
        <v/>
      </c>
      <c r="AE198" s="23" t="str">
        <f>IFERROR(VLOOKUP($Z198,'[1]CNPJ Oi Fat'!$K$3:$K$32,1,0),"")</f>
        <v/>
      </c>
      <c r="AF198" s="23" t="str">
        <f>IFERROR(VLOOKUP(Z198,'[1]End Logística Oi'!$D$3:$D$29,1,0),"")</f>
        <v/>
      </c>
      <c r="AG198" s="23" t="str">
        <f>IFERROR(VLOOKUP(Z198,'[1]End Logística Oi'!$J$3:$J$29,1,0),"")</f>
        <v/>
      </c>
      <c r="AI198" s="23" t="s">
        <v>55</v>
      </c>
      <c r="AJ198" s="23" t="s">
        <v>55</v>
      </c>
      <c r="AK198" s="23" t="e">
        <v>#N/A</v>
      </c>
    </row>
    <row r="199" spans="1:38" s="23" customFormat="1" ht="15" hidden="1" customHeight="1" x14ac:dyDescent="0.25">
      <c r="A199" s="19">
        <v>197</v>
      </c>
      <c r="B199" s="19" t="s">
        <v>230</v>
      </c>
      <c r="C199" s="19" t="s">
        <v>39</v>
      </c>
      <c r="D199" s="26" t="s">
        <v>40</v>
      </c>
      <c r="E199" s="19" t="s">
        <v>29</v>
      </c>
      <c r="F199" s="26" t="s">
        <v>467</v>
      </c>
      <c r="G199" s="19">
        <v>33901787300</v>
      </c>
      <c r="H199" s="19" t="s">
        <v>1103</v>
      </c>
      <c r="I199" s="20">
        <v>44061</v>
      </c>
      <c r="J199" s="19"/>
      <c r="K199" s="19" t="s">
        <v>45</v>
      </c>
      <c r="L199" s="36">
        <v>77685022</v>
      </c>
      <c r="M199" s="20" t="s">
        <v>473</v>
      </c>
      <c r="N199" s="36"/>
      <c r="O199" s="19"/>
      <c r="P199" s="19" t="s">
        <v>1104</v>
      </c>
      <c r="Q199" s="36"/>
      <c r="R199" s="36"/>
      <c r="S199" s="19" t="s">
        <v>45</v>
      </c>
      <c r="T199" s="19" t="s">
        <v>1105</v>
      </c>
      <c r="U199" s="19" t="s">
        <v>1106</v>
      </c>
      <c r="V199" s="19" t="s">
        <v>235</v>
      </c>
      <c r="W199" s="35" t="s">
        <v>1107</v>
      </c>
      <c r="X199" s="21"/>
      <c r="Y199" s="22">
        <v>76535764011340</v>
      </c>
      <c r="Z199" s="23">
        <f t="shared" si="4"/>
        <v>197</v>
      </c>
      <c r="AA199" s="24" t="str">
        <f>IFERROR(VLOOKUP($Z199,'[1]End Fat Serviço - PA 15 e 16'!$K$3:$K$31,1,0), "")</f>
        <v/>
      </c>
      <c r="AB199" s="24" t="str">
        <f>IFERROR(VLOOKUP($Z199,'[1]End Fat Material - PA 12'!$K$3:$K$64,1,0), "")</f>
        <v/>
      </c>
      <c r="AC199" s="24" t="str">
        <f>IFERROR(VLOOKUP($Z199,'[1]End CA Lotação'!$L$3:$L$36,1,0), "")</f>
        <v/>
      </c>
      <c r="AD199" s="24" t="str">
        <f>IFERROR(VLOOKUP(Z199,'[1]RH - PARA 21.03'!$M$3:$M$555,1,0),"")</f>
        <v/>
      </c>
      <c r="AE199" s="23" t="str">
        <f>IFERROR(VLOOKUP($Z199,'[1]CNPJ Oi Fat'!$K$3:$K$32,1,0),"")</f>
        <v/>
      </c>
      <c r="AF199" s="23" t="str">
        <f>IFERROR(VLOOKUP(Z199,'[1]End Logística Oi'!$D$3:$D$29,1,0),"")</f>
        <v/>
      </c>
      <c r="AG199" s="23" t="str">
        <f>IFERROR(VLOOKUP(Z199,'[1]End Logística Oi'!$J$3:$J$29,1,0),"")</f>
        <v/>
      </c>
      <c r="AI199" s="23" t="s">
        <v>55</v>
      </c>
      <c r="AJ199" s="23" t="s">
        <v>55</v>
      </c>
      <c r="AK199" s="23" t="e">
        <v>#N/A</v>
      </c>
    </row>
    <row r="200" spans="1:38" s="23" customFormat="1" ht="15" hidden="1" customHeight="1" x14ac:dyDescent="0.25">
      <c r="A200" s="19">
        <v>198</v>
      </c>
      <c r="B200" s="19" t="s">
        <v>230</v>
      </c>
      <c r="C200" s="19" t="s">
        <v>39</v>
      </c>
      <c r="D200" s="26" t="s">
        <v>40</v>
      </c>
      <c r="E200" s="19" t="s">
        <v>29</v>
      </c>
      <c r="F200" s="26" t="s">
        <v>467</v>
      </c>
      <c r="G200" s="19">
        <v>33901787521</v>
      </c>
      <c r="H200" s="19" t="s">
        <v>1108</v>
      </c>
      <c r="I200" s="20">
        <v>44061</v>
      </c>
      <c r="J200" s="19"/>
      <c r="K200" s="19" t="s">
        <v>45</v>
      </c>
      <c r="L200" s="36">
        <v>77685022</v>
      </c>
      <c r="M200" s="20" t="s">
        <v>473</v>
      </c>
      <c r="N200" s="36"/>
      <c r="O200" s="19"/>
      <c r="P200" s="19" t="s">
        <v>1109</v>
      </c>
      <c r="Q200" s="36"/>
      <c r="R200" s="36"/>
      <c r="S200" s="19" t="s">
        <v>45</v>
      </c>
      <c r="T200" s="19" t="s">
        <v>1110</v>
      </c>
      <c r="U200" s="19" t="s">
        <v>1111</v>
      </c>
      <c r="V200" s="19" t="s">
        <v>235</v>
      </c>
      <c r="W200" s="35" t="s">
        <v>1112</v>
      </c>
      <c r="X200" s="21"/>
      <c r="Y200" s="22">
        <v>76535764017461</v>
      </c>
      <c r="Z200" s="23">
        <f t="shared" si="4"/>
        <v>198</v>
      </c>
      <c r="AA200" s="24" t="str">
        <f>IFERROR(VLOOKUP($Z200,'[1]End Fat Serviço - PA 15 e 16'!$K$3:$K$31,1,0), "")</f>
        <v/>
      </c>
      <c r="AB200" s="24" t="str">
        <f>IFERROR(VLOOKUP($Z200,'[1]End Fat Material - PA 12'!$K$3:$K$64,1,0), "")</f>
        <v/>
      </c>
      <c r="AC200" s="24" t="str">
        <f>IFERROR(VLOOKUP($Z200,'[1]End CA Lotação'!$L$3:$L$36,1,0), "")</f>
        <v/>
      </c>
      <c r="AD200" s="24" t="str">
        <f>IFERROR(VLOOKUP(Z200,'[1]RH - PARA 21.03'!$M$3:$M$555,1,0),"")</f>
        <v/>
      </c>
      <c r="AE200" s="23" t="str">
        <f>IFERROR(VLOOKUP($Z200,'[1]CNPJ Oi Fat'!$K$3:$K$32,1,0),"")</f>
        <v/>
      </c>
      <c r="AF200" s="23" t="str">
        <f>IFERROR(VLOOKUP(Z200,'[1]End Logística Oi'!$D$3:$D$29,1,0),"")</f>
        <v/>
      </c>
      <c r="AG200" s="23" t="str">
        <f>IFERROR(VLOOKUP(Z200,'[1]End Logística Oi'!$J$3:$J$29,1,0),"")</f>
        <v/>
      </c>
      <c r="AI200" s="23" t="s">
        <v>55</v>
      </c>
      <c r="AJ200" s="23" t="s">
        <v>55</v>
      </c>
      <c r="AK200" s="23" t="e">
        <v>#N/A</v>
      </c>
    </row>
    <row r="201" spans="1:38" s="23" customFormat="1" ht="15" hidden="1" customHeight="1" x14ac:dyDescent="0.25">
      <c r="A201" s="19">
        <v>199</v>
      </c>
      <c r="B201" s="19" t="s">
        <v>230</v>
      </c>
      <c r="C201" s="19" t="s">
        <v>39</v>
      </c>
      <c r="D201" s="26" t="s">
        <v>40</v>
      </c>
      <c r="E201" s="19" t="s">
        <v>29</v>
      </c>
      <c r="F201" s="26" t="s">
        <v>467</v>
      </c>
      <c r="G201" s="19">
        <v>33901787423</v>
      </c>
      <c r="H201" s="19" t="s">
        <v>1113</v>
      </c>
      <c r="I201" s="20">
        <v>44061</v>
      </c>
      <c r="J201" s="19"/>
      <c r="K201" s="19" t="s">
        <v>45</v>
      </c>
      <c r="L201" s="36">
        <v>77685022</v>
      </c>
      <c r="M201" s="20" t="s">
        <v>473</v>
      </c>
      <c r="N201" s="36"/>
      <c r="O201" s="19"/>
      <c r="P201" s="19">
        <v>145803</v>
      </c>
      <c r="Q201" s="36"/>
      <c r="R201" s="36"/>
      <c r="S201" s="19" t="s">
        <v>45</v>
      </c>
      <c r="T201" s="19" t="s">
        <v>1114</v>
      </c>
      <c r="U201" s="19" t="s">
        <v>1115</v>
      </c>
      <c r="V201" s="19" t="s">
        <v>1002</v>
      </c>
      <c r="W201" s="35" t="s">
        <v>1116</v>
      </c>
      <c r="X201" s="21"/>
      <c r="Y201" s="22">
        <v>76535764015175</v>
      </c>
      <c r="Z201" s="23">
        <f t="shared" si="4"/>
        <v>199</v>
      </c>
      <c r="AA201" s="24" t="str">
        <f>IFERROR(VLOOKUP($Z201,'[1]End Fat Serviço - PA 15 e 16'!$K$3:$K$31,1,0), "")</f>
        <v/>
      </c>
      <c r="AB201" s="24" t="str">
        <f>IFERROR(VLOOKUP($Z201,'[1]End Fat Material - PA 12'!$K$3:$K$64,1,0), "")</f>
        <v/>
      </c>
      <c r="AC201" s="24" t="str">
        <f>IFERROR(VLOOKUP($Z201,'[1]End CA Lotação'!$L$3:$L$36,1,0), "")</f>
        <v/>
      </c>
      <c r="AD201" s="24" t="str">
        <f>IFERROR(VLOOKUP(Z201,'[1]RH - PARA 21.03'!$M$3:$M$555,1,0),"")</f>
        <v/>
      </c>
      <c r="AE201" s="23" t="str">
        <f>IFERROR(VLOOKUP($Z201,'[1]CNPJ Oi Fat'!$K$3:$K$32,1,0),"")</f>
        <v/>
      </c>
      <c r="AF201" s="23" t="str">
        <f>IFERROR(VLOOKUP(Z201,'[1]End Logística Oi'!$D$3:$D$29,1,0),"")</f>
        <v/>
      </c>
      <c r="AG201" s="23" t="str">
        <f>IFERROR(VLOOKUP(Z201,'[1]End Logística Oi'!$J$3:$J$29,1,0),"")</f>
        <v/>
      </c>
      <c r="AI201" s="23" t="s">
        <v>55</v>
      </c>
      <c r="AJ201" s="23" t="s">
        <v>55</v>
      </c>
      <c r="AK201" s="23" t="e">
        <v>#N/A</v>
      </c>
    </row>
    <row r="202" spans="1:38" s="23" customFormat="1" ht="15" hidden="1" customHeight="1" x14ac:dyDescent="0.25">
      <c r="A202" s="19">
        <v>200</v>
      </c>
      <c r="B202" s="19" t="s">
        <v>230</v>
      </c>
      <c r="C202" s="19" t="s">
        <v>39</v>
      </c>
      <c r="D202" s="26" t="s">
        <v>40</v>
      </c>
      <c r="E202" s="19" t="s">
        <v>29</v>
      </c>
      <c r="F202" s="26" t="s">
        <v>467</v>
      </c>
      <c r="G202" s="19">
        <v>33901787539</v>
      </c>
      <c r="H202" s="19" t="s">
        <v>1117</v>
      </c>
      <c r="I202" s="20">
        <v>44061</v>
      </c>
      <c r="J202" s="19"/>
      <c r="K202" s="19" t="s">
        <v>45</v>
      </c>
      <c r="L202" s="36">
        <v>77685022</v>
      </c>
      <c r="M202" s="20" t="s">
        <v>473</v>
      </c>
      <c r="N202" s="36"/>
      <c r="O202" s="19"/>
      <c r="P202" s="19">
        <v>145804</v>
      </c>
      <c r="Q202" s="36"/>
      <c r="R202" s="36"/>
      <c r="S202" s="19" t="s">
        <v>45</v>
      </c>
      <c r="T202" s="19" t="s">
        <v>1118</v>
      </c>
      <c r="U202" s="19" t="s">
        <v>1119</v>
      </c>
      <c r="V202" s="19" t="s">
        <v>1002</v>
      </c>
      <c r="W202" s="35" t="s">
        <v>1120</v>
      </c>
      <c r="X202" s="21"/>
      <c r="Y202" s="22">
        <v>76535764017623</v>
      </c>
      <c r="Z202" s="23">
        <f t="shared" si="4"/>
        <v>200</v>
      </c>
      <c r="AA202" s="24" t="str">
        <f>IFERROR(VLOOKUP($Z202,'[1]End Fat Serviço - PA 15 e 16'!$K$3:$K$31,1,0), "")</f>
        <v/>
      </c>
      <c r="AB202" s="24" t="str">
        <f>IFERROR(VLOOKUP($Z202,'[1]End Fat Material - PA 12'!$K$3:$K$64,1,0), "")</f>
        <v/>
      </c>
      <c r="AC202" s="24" t="str">
        <f>IFERROR(VLOOKUP($Z202,'[1]End CA Lotação'!$L$3:$L$36,1,0), "")</f>
        <v/>
      </c>
      <c r="AD202" s="24" t="str">
        <f>IFERROR(VLOOKUP(Z202,'[1]RH - PARA 21.03'!$M$3:$M$555,1,0),"")</f>
        <v/>
      </c>
      <c r="AE202" s="23" t="str">
        <f>IFERROR(VLOOKUP($Z202,'[1]CNPJ Oi Fat'!$K$3:$K$32,1,0),"")</f>
        <v/>
      </c>
      <c r="AF202" s="23" t="str">
        <f>IFERROR(VLOOKUP(Z202,'[1]End Logística Oi'!$D$3:$D$29,1,0),"")</f>
        <v/>
      </c>
      <c r="AG202" s="23" t="str">
        <f>IFERROR(VLOOKUP(Z202,'[1]End Logística Oi'!$J$3:$J$29,1,0),"")</f>
        <v/>
      </c>
      <c r="AI202" s="23" t="s">
        <v>55</v>
      </c>
      <c r="AJ202" s="23" t="s">
        <v>55</v>
      </c>
      <c r="AK202" s="23" t="e">
        <v>#N/A</v>
      </c>
    </row>
    <row r="203" spans="1:38" s="23" customFormat="1" ht="15" hidden="1" customHeight="1" x14ac:dyDescent="0.25">
      <c r="A203" s="19">
        <v>201</v>
      </c>
      <c r="B203" s="19" t="s">
        <v>230</v>
      </c>
      <c r="C203" s="19" t="s">
        <v>39</v>
      </c>
      <c r="D203" s="26" t="s">
        <v>40</v>
      </c>
      <c r="E203" s="19" t="s">
        <v>29</v>
      </c>
      <c r="F203" s="26" t="s">
        <v>467</v>
      </c>
      <c r="G203" s="19">
        <v>33901787555</v>
      </c>
      <c r="H203" s="19" t="s">
        <v>1121</v>
      </c>
      <c r="I203" s="20">
        <v>44061</v>
      </c>
      <c r="J203" s="19"/>
      <c r="K203" s="19" t="s">
        <v>45</v>
      </c>
      <c r="L203" s="36">
        <v>77685022</v>
      </c>
      <c r="M203" s="20" t="s">
        <v>473</v>
      </c>
      <c r="N203" s="36"/>
      <c r="O203" s="19"/>
      <c r="P203" s="19">
        <v>56055</v>
      </c>
      <c r="Q203" s="36"/>
      <c r="R203" s="36"/>
      <c r="S203" s="19" t="s">
        <v>45</v>
      </c>
      <c r="T203" s="19" t="s">
        <v>1122</v>
      </c>
      <c r="U203" s="19" t="s">
        <v>1123</v>
      </c>
      <c r="V203" s="19" t="s">
        <v>1124</v>
      </c>
      <c r="W203" s="35" t="s">
        <v>1125</v>
      </c>
      <c r="X203" s="21"/>
      <c r="Y203" s="22">
        <v>76535764017976</v>
      </c>
      <c r="Z203" s="23">
        <f t="shared" si="4"/>
        <v>201</v>
      </c>
      <c r="AA203" s="24" t="str">
        <f>IFERROR(VLOOKUP($Z203,'[1]End Fat Serviço - PA 15 e 16'!$K$3:$K$31,1,0), "")</f>
        <v/>
      </c>
      <c r="AB203" s="24" t="str">
        <f>IFERROR(VLOOKUP($Z203,'[1]End Fat Material - PA 12'!$K$3:$K$64,1,0), "")</f>
        <v/>
      </c>
      <c r="AC203" s="24" t="str">
        <f>IFERROR(VLOOKUP($Z203,'[1]End CA Lotação'!$L$3:$L$36,1,0), "")</f>
        <v/>
      </c>
      <c r="AD203" s="24" t="str">
        <f>IFERROR(VLOOKUP(Z203,'[1]RH - PARA 21.03'!$M$3:$M$555,1,0),"")</f>
        <v/>
      </c>
      <c r="AE203" s="23" t="str">
        <f>IFERROR(VLOOKUP($Z203,'[1]CNPJ Oi Fat'!$K$3:$K$32,1,0),"")</f>
        <v/>
      </c>
      <c r="AF203" s="23" t="str">
        <f>IFERROR(VLOOKUP(Z203,'[1]End Logística Oi'!$D$3:$D$29,1,0),"")</f>
        <v/>
      </c>
      <c r="AG203" s="23" t="str">
        <f>IFERROR(VLOOKUP(Z203,'[1]End Logística Oi'!$J$3:$J$29,1,0),"")</f>
        <v/>
      </c>
      <c r="AI203" s="23" t="s">
        <v>55</v>
      </c>
      <c r="AJ203" s="23" t="s">
        <v>55</v>
      </c>
      <c r="AK203" s="23" t="e">
        <v>#N/A</v>
      </c>
    </row>
    <row r="204" spans="1:38" s="23" customFormat="1" ht="15" customHeight="1" x14ac:dyDescent="0.25">
      <c r="A204" s="19">
        <v>202</v>
      </c>
      <c r="B204" s="19" t="s">
        <v>230</v>
      </c>
      <c r="C204" s="19" t="s">
        <v>39</v>
      </c>
      <c r="D204" s="26" t="s">
        <v>40</v>
      </c>
      <c r="E204" s="19" t="s">
        <v>29</v>
      </c>
      <c r="F204" s="26" t="s">
        <v>467</v>
      </c>
      <c r="G204" s="19">
        <v>33901787628</v>
      </c>
      <c r="H204" s="19" t="s">
        <v>1126</v>
      </c>
      <c r="I204" s="20">
        <v>44061</v>
      </c>
      <c r="J204" s="19"/>
      <c r="K204" s="19" t="s">
        <v>45</v>
      </c>
      <c r="L204" s="36">
        <v>77685022</v>
      </c>
      <c r="M204" s="20" t="s">
        <v>473</v>
      </c>
      <c r="N204" s="36"/>
      <c r="O204" s="19"/>
      <c r="P204" s="19">
        <v>56056</v>
      </c>
      <c r="Q204" s="36"/>
      <c r="R204" s="36"/>
      <c r="S204" s="19" t="s">
        <v>45</v>
      </c>
      <c r="T204" s="19" t="s">
        <v>1127</v>
      </c>
      <c r="U204" s="19" t="s">
        <v>49</v>
      </c>
      <c r="V204" s="19" t="s">
        <v>1124</v>
      </c>
      <c r="W204" s="35" t="s">
        <v>1128</v>
      </c>
      <c r="X204" s="21"/>
      <c r="Y204" s="22">
        <v>76535764018603</v>
      </c>
      <c r="Z204" s="23">
        <f t="shared" si="4"/>
        <v>202</v>
      </c>
      <c r="AA204" s="24" t="str">
        <f>IFERROR(VLOOKUP($Z204,'[1]End Fat Serviço - PA 15 e 16'!$K$3:$K$31,1,0), "")</f>
        <v/>
      </c>
      <c r="AB204" s="24" t="str">
        <f>IFERROR(VLOOKUP($Z204,'[1]End Fat Material - PA 12'!$K$3:$K$64,1,0), "")</f>
        <v/>
      </c>
      <c r="AC204" s="24" t="str">
        <f>IFERROR(VLOOKUP($Z204,'[1]End CA Lotação'!$L$3:$L$36,1,0), "")</f>
        <v/>
      </c>
      <c r="AD204" s="24">
        <f>IFERROR(VLOOKUP(Z204,'[1]RH - PARA 21.03'!$M$3:$M$555,1,0),"")</f>
        <v>202</v>
      </c>
      <c r="AE204" s="23" t="str">
        <f>IFERROR(VLOOKUP($Z204,'[1]CNPJ Oi Fat'!$K$3:$K$32,1,0),"")</f>
        <v/>
      </c>
      <c r="AF204" s="23" t="str">
        <f>IFERROR(VLOOKUP(Z204,'[1]End Logística Oi'!$D$3:$D$29,1,0),"")</f>
        <v/>
      </c>
      <c r="AG204" s="23" t="str">
        <f>IFERROR(VLOOKUP(Z204,'[1]End Logística Oi'!$J$3:$J$29,1,0),"")</f>
        <v/>
      </c>
      <c r="AI204" s="23" t="s">
        <v>54</v>
      </c>
      <c r="AJ204" s="23" t="s">
        <v>55</v>
      </c>
      <c r="AK204" s="23" t="e">
        <v>#N/A</v>
      </c>
    </row>
    <row r="205" spans="1:38" s="23" customFormat="1" ht="15" hidden="1" customHeight="1" x14ac:dyDescent="0.25">
      <c r="A205" s="19">
        <v>203</v>
      </c>
      <c r="B205" s="19" t="s">
        <v>230</v>
      </c>
      <c r="C205" s="19" t="s">
        <v>39</v>
      </c>
      <c r="D205" s="26" t="s">
        <v>40</v>
      </c>
      <c r="E205" s="19" t="s">
        <v>29</v>
      </c>
      <c r="F205" s="26" t="s">
        <v>467</v>
      </c>
      <c r="G205" s="19">
        <v>33901787466</v>
      </c>
      <c r="H205" s="19" t="s">
        <v>1129</v>
      </c>
      <c r="I205" s="20">
        <v>44061</v>
      </c>
      <c r="J205" s="19"/>
      <c r="K205" s="19" t="s">
        <v>45</v>
      </c>
      <c r="L205" s="36">
        <v>77685022</v>
      </c>
      <c r="M205" s="20" t="s">
        <v>473</v>
      </c>
      <c r="N205" s="36"/>
      <c r="O205" s="19"/>
      <c r="P205" s="19">
        <v>80032545</v>
      </c>
      <c r="Q205" s="20">
        <v>44061</v>
      </c>
      <c r="R205" s="36"/>
      <c r="S205" s="19" t="s">
        <v>45</v>
      </c>
      <c r="T205" s="19" t="s">
        <v>1130</v>
      </c>
      <c r="U205" s="19" t="s">
        <v>1131</v>
      </c>
      <c r="V205" s="19" t="s">
        <v>1132</v>
      </c>
      <c r="W205" s="35" t="s">
        <v>1133</v>
      </c>
      <c r="X205" s="21"/>
      <c r="Y205" s="22">
        <v>76535764016570</v>
      </c>
      <c r="Z205" s="23">
        <f t="shared" si="4"/>
        <v>203</v>
      </c>
      <c r="AA205" s="24" t="str">
        <f>IFERROR(VLOOKUP($Z205,'[1]End Fat Serviço - PA 15 e 16'!$K$3:$K$31,1,0), "")</f>
        <v/>
      </c>
      <c r="AB205" s="24" t="str">
        <f>IFERROR(VLOOKUP($Z205,'[1]End Fat Material - PA 12'!$K$3:$K$64,1,0), "")</f>
        <v/>
      </c>
      <c r="AC205" s="24" t="str">
        <f>IFERROR(VLOOKUP($Z205,'[1]End CA Lotação'!$L$3:$L$36,1,0), "")</f>
        <v/>
      </c>
      <c r="AD205" s="24" t="str">
        <f>IFERROR(VLOOKUP(Z205,'[1]RH - PARA 21.03'!$M$3:$M$555,1,0),"")</f>
        <v/>
      </c>
      <c r="AE205" s="23" t="str">
        <f>IFERROR(VLOOKUP($Z205,'[1]CNPJ Oi Fat'!$K$3:$K$32,1,0),"")</f>
        <v/>
      </c>
      <c r="AF205" s="23" t="str">
        <f>IFERROR(VLOOKUP(Z205,'[1]End Logística Oi'!$D$3:$D$29,1,0),"")</f>
        <v/>
      </c>
      <c r="AG205" s="23" t="str">
        <f>IFERROR(VLOOKUP(Z205,'[1]End Logística Oi'!$J$3:$J$29,1,0),"")</f>
        <v/>
      </c>
      <c r="AI205" s="23" t="s">
        <v>55</v>
      </c>
      <c r="AJ205" s="23" t="s">
        <v>55</v>
      </c>
      <c r="AK205" s="23" t="e">
        <v>#N/A</v>
      </c>
    </row>
    <row r="206" spans="1:38" s="23" customFormat="1" ht="15" customHeight="1" x14ac:dyDescent="0.25">
      <c r="A206" s="19">
        <v>204</v>
      </c>
      <c r="B206" s="19" t="s">
        <v>230</v>
      </c>
      <c r="C206" s="19" t="s">
        <v>39</v>
      </c>
      <c r="D206" s="26" t="s">
        <v>40</v>
      </c>
      <c r="E206" s="19" t="s">
        <v>29</v>
      </c>
      <c r="F206" s="26" t="s">
        <v>467</v>
      </c>
      <c r="G206" s="19">
        <v>33901787440</v>
      </c>
      <c r="H206" s="19" t="s">
        <v>1134</v>
      </c>
      <c r="I206" s="20">
        <v>44061</v>
      </c>
      <c r="J206" s="19"/>
      <c r="K206" s="19" t="s">
        <v>45</v>
      </c>
      <c r="L206" s="36">
        <v>77685022</v>
      </c>
      <c r="M206" s="20" t="s">
        <v>473</v>
      </c>
      <c r="N206" s="36"/>
      <c r="O206" s="19"/>
      <c r="P206" s="19">
        <v>80032414</v>
      </c>
      <c r="Q206" s="20">
        <v>44061</v>
      </c>
      <c r="R206" s="36"/>
      <c r="S206" s="19" t="s">
        <v>45</v>
      </c>
      <c r="T206" s="19" t="s">
        <v>1135</v>
      </c>
      <c r="U206" s="19" t="s">
        <v>1136</v>
      </c>
      <c r="V206" s="19" t="s">
        <v>1132</v>
      </c>
      <c r="W206" s="35" t="s">
        <v>1137</v>
      </c>
      <c r="X206" s="21"/>
      <c r="Y206" s="22">
        <v>76535764015922</v>
      </c>
      <c r="Z206" s="23">
        <f t="shared" si="4"/>
        <v>204</v>
      </c>
      <c r="AA206" s="24" t="str">
        <f>IFERROR(VLOOKUP($Z206,'[1]End Fat Serviço - PA 15 e 16'!$K$3:$K$31,1,0), "")</f>
        <v/>
      </c>
      <c r="AB206" s="24" t="str">
        <f>IFERROR(VLOOKUP($Z206,'[1]End Fat Material - PA 12'!$K$3:$K$64,1,0), "")</f>
        <v/>
      </c>
      <c r="AC206" s="24" t="str">
        <f>IFERROR(VLOOKUP($Z206,'[1]End CA Lotação'!$L$3:$L$36,1,0), "")</f>
        <v/>
      </c>
      <c r="AD206" s="24">
        <f>IFERROR(VLOOKUP(Z206,'[1]RH - PARA 21.03'!$M$3:$M$555,1,0),"")</f>
        <v>204</v>
      </c>
      <c r="AE206" s="23" t="str">
        <f>IFERROR(VLOOKUP($Z206,'[1]CNPJ Oi Fat'!$K$3:$K$32,1,0),"")</f>
        <v/>
      </c>
      <c r="AF206" s="23" t="str">
        <f>IFERROR(VLOOKUP(Z206,'[1]End Logística Oi'!$D$3:$D$29,1,0),"")</f>
        <v/>
      </c>
      <c r="AG206" s="23" t="str">
        <f>IFERROR(VLOOKUP(Z206,'[1]End Logística Oi'!$J$3:$J$29,1,0),"")</f>
        <v/>
      </c>
      <c r="AI206" s="23" t="s">
        <v>54</v>
      </c>
      <c r="AJ206" s="23" t="s">
        <v>55</v>
      </c>
      <c r="AK206" s="23" t="e">
        <v>#N/A</v>
      </c>
    </row>
    <row r="207" spans="1:38" s="23" customFormat="1" ht="15" customHeight="1" x14ac:dyDescent="0.25">
      <c r="A207" s="19">
        <v>205</v>
      </c>
      <c r="B207" s="19" t="s">
        <v>230</v>
      </c>
      <c r="C207" s="19" t="s">
        <v>39</v>
      </c>
      <c r="D207" s="26" t="s">
        <v>40</v>
      </c>
      <c r="E207" s="19" t="s">
        <v>29</v>
      </c>
      <c r="F207" s="26" t="s">
        <v>467</v>
      </c>
      <c r="G207" s="19">
        <v>33901787415</v>
      </c>
      <c r="H207" s="19" t="s">
        <v>1138</v>
      </c>
      <c r="I207" s="20">
        <v>44061</v>
      </c>
      <c r="J207" s="19"/>
      <c r="K207" s="19" t="s">
        <v>45</v>
      </c>
      <c r="L207" s="36">
        <v>77685022</v>
      </c>
      <c r="M207" s="20" t="s">
        <v>473</v>
      </c>
      <c r="N207" s="36"/>
      <c r="O207" s="19"/>
      <c r="P207" s="19">
        <v>101021541</v>
      </c>
      <c r="Q207" s="20">
        <v>44252</v>
      </c>
      <c r="R207" s="36"/>
      <c r="S207" s="19" t="s">
        <v>45</v>
      </c>
      <c r="T207" s="19" t="s">
        <v>1139</v>
      </c>
      <c r="U207" s="19" t="s">
        <v>49</v>
      </c>
      <c r="V207" s="19" t="s">
        <v>1140</v>
      </c>
      <c r="W207" s="35" t="s">
        <v>1141</v>
      </c>
      <c r="X207" s="21"/>
      <c r="Y207" s="22">
        <v>76535764014608</v>
      </c>
      <c r="Z207" s="23">
        <f t="shared" si="4"/>
        <v>205</v>
      </c>
      <c r="AA207" s="24" t="str">
        <f>IFERROR(VLOOKUP($Z207,'[1]End Fat Serviço - PA 15 e 16'!$K$3:$K$31,1,0), "")</f>
        <v/>
      </c>
      <c r="AB207" s="24" t="str">
        <f>IFERROR(VLOOKUP($Z207,'[1]End Fat Material - PA 12'!$K$3:$K$64,1,0), "")</f>
        <v/>
      </c>
      <c r="AC207" s="24" t="str">
        <f>IFERROR(VLOOKUP($Z207,'[1]End CA Lotação'!$L$3:$L$36,1,0), "")</f>
        <v/>
      </c>
      <c r="AD207" s="24">
        <f>IFERROR(VLOOKUP(Z207,'[1]RH - PARA 21.03'!$M$3:$M$555,1,0),"")</f>
        <v>205</v>
      </c>
      <c r="AE207" s="23" t="str">
        <f>IFERROR(VLOOKUP($Z207,'[1]CNPJ Oi Fat'!$K$3:$K$32,1,0),"")</f>
        <v/>
      </c>
      <c r="AF207" s="23" t="str">
        <f>IFERROR(VLOOKUP(Z207,'[1]End Logística Oi'!$D$3:$D$29,1,0),"")</f>
        <v/>
      </c>
      <c r="AG207" s="23" t="str">
        <f>IFERROR(VLOOKUP(Z207,'[1]End Logística Oi'!$J$3:$J$29,1,0),"")</f>
        <v/>
      </c>
      <c r="AI207" s="23" t="s">
        <v>54</v>
      </c>
      <c r="AJ207" s="23" t="s">
        <v>55</v>
      </c>
      <c r="AK207" s="23" t="e">
        <v>#N/A</v>
      </c>
    </row>
    <row r="208" spans="1:38" s="23" customFormat="1" ht="15" customHeight="1" x14ac:dyDescent="0.25">
      <c r="A208" s="19">
        <v>206</v>
      </c>
      <c r="B208" s="19" t="s">
        <v>230</v>
      </c>
      <c r="C208" s="19" t="s">
        <v>39</v>
      </c>
      <c r="D208" s="26" t="s">
        <v>40</v>
      </c>
      <c r="E208" s="19" t="s">
        <v>29</v>
      </c>
      <c r="F208" s="26" t="s">
        <v>467</v>
      </c>
      <c r="G208" s="19">
        <v>33901787598</v>
      </c>
      <c r="H208" s="19" t="s">
        <v>1142</v>
      </c>
      <c r="I208" s="20">
        <v>44061</v>
      </c>
      <c r="J208" s="19"/>
      <c r="K208" s="19" t="s">
        <v>45</v>
      </c>
      <c r="L208" s="36">
        <v>77685022</v>
      </c>
      <c r="M208" s="20" t="s">
        <v>473</v>
      </c>
      <c r="N208" s="36"/>
      <c r="O208" s="19"/>
      <c r="P208" s="19" t="s">
        <v>1143</v>
      </c>
      <c r="Q208" s="20">
        <v>44452</v>
      </c>
      <c r="R208" s="36"/>
      <c r="S208" s="19" t="s">
        <v>45</v>
      </c>
      <c r="T208" s="19" t="s">
        <v>1144</v>
      </c>
      <c r="U208" s="19" t="s">
        <v>1145</v>
      </c>
      <c r="V208" s="19" t="s">
        <v>1146</v>
      </c>
      <c r="W208" s="35" t="s">
        <v>1147</v>
      </c>
      <c r="X208" s="21"/>
      <c r="Y208" s="22">
        <v>76535764018352</v>
      </c>
      <c r="Z208" s="23">
        <f t="shared" si="4"/>
        <v>206</v>
      </c>
      <c r="AA208" s="24" t="str">
        <f>IFERROR(VLOOKUP($Z208,'[1]End Fat Serviço - PA 15 e 16'!$K$3:$K$31,1,0), "")</f>
        <v/>
      </c>
      <c r="AB208" s="24" t="str">
        <f>IFERROR(VLOOKUP($Z208,'[1]End Fat Material - PA 12'!$K$3:$K$64,1,0), "")</f>
        <v/>
      </c>
      <c r="AC208" s="24" t="str">
        <f>IFERROR(VLOOKUP($Z208,'[1]End CA Lotação'!$L$3:$L$36,1,0), "")</f>
        <v/>
      </c>
      <c r="AD208" s="24">
        <f>IFERROR(VLOOKUP(Z208,'[1]RH - PARA 21.03'!$M$3:$M$555,1,0),"")</f>
        <v>206</v>
      </c>
      <c r="AE208" s="23" t="str">
        <f>IFERROR(VLOOKUP($Z208,'[1]CNPJ Oi Fat'!$K$3:$K$32,1,0),"")</f>
        <v/>
      </c>
      <c r="AF208" s="23" t="str">
        <f>IFERROR(VLOOKUP(Z208,'[1]End Logística Oi'!$D$3:$D$29,1,0),"")</f>
        <v/>
      </c>
      <c r="AG208" s="23" t="str">
        <f>IFERROR(VLOOKUP(Z208,'[1]End Logística Oi'!$J$3:$J$29,1,0),"")</f>
        <v/>
      </c>
      <c r="AI208" s="23" t="s">
        <v>54</v>
      </c>
      <c r="AJ208" s="23" t="s">
        <v>55</v>
      </c>
      <c r="AK208" s="23" t="e">
        <v>#N/A</v>
      </c>
    </row>
    <row r="209" spans="1:38" s="23" customFormat="1" ht="15" customHeight="1" x14ac:dyDescent="0.25">
      <c r="A209" s="25">
        <v>207</v>
      </c>
      <c r="B209" s="26" t="s">
        <v>183</v>
      </c>
      <c r="C209" s="27" t="s">
        <v>39</v>
      </c>
      <c r="D209" s="26" t="s">
        <v>40</v>
      </c>
      <c r="E209" s="26" t="s">
        <v>479</v>
      </c>
      <c r="F209" s="26" t="s">
        <v>467</v>
      </c>
      <c r="G209" s="28">
        <v>24900444169</v>
      </c>
      <c r="H209" s="26" t="s">
        <v>1148</v>
      </c>
      <c r="I209" s="29">
        <v>44061</v>
      </c>
      <c r="J209" s="30"/>
      <c r="K209" s="19" t="s">
        <v>45</v>
      </c>
      <c r="L209" s="31" t="s">
        <v>1149</v>
      </c>
      <c r="M209" s="29">
        <v>44061</v>
      </c>
      <c r="N209" s="32"/>
      <c r="O209" s="31" t="s">
        <v>45</v>
      </c>
      <c r="P209" s="33" t="s">
        <v>1150</v>
      </c>
      <c r="Q209" s="29">
        <v>44061</v>
      </c>
      <c r="R209" s="32"/>
      <c r="S209" s="31" t="s">
        <v>45</v>
      </c>
      <c r="T209" s="31" t="s">
        <v>1151</v>
      </c>
      <c r="U209" s="31" t="s">
        <v>1152</v>
      </c>
      <c r="V209" s="27" t="s">
        <v>190</v>
      </c>
      <c r="W209" s="31" t="s">
        <v>1153</v>
      </c>
      <c r="X209" s="21"/>
      <c r="Y209" s="22">
        <v>76535764026371</v>
      </c>
      <c r="Z209" s="23">
        <v>207</v>
      </c>
      <c r="AA209" s="24">
        <v>207</v>
      </c>
      <c r="AB209" s="24">
        <v>207</v>
      </c>
      <c r="AC209" s="24">
        <v>207</v>
      </c>
      <c r="AD209" s="24">
        <v>207</v>
      </c>
      <c r="AE209" s="23" t="s">
        <v>65</v>
      </c>
      <c r="AF209" s="23" t="s">
        <v>65</v>
      </c>
      <c r="AG209" s="23">
        <v>207</v>
      </c>
      <c r="AH209" s="34" t="s">
        <v>579</v>
      </c>
      <c r="AI209" s="23" t="s">
        <v>54</v>
      </c>
      <c r="AJ209" s="23" t="s">
        <v>54</v>
      </c>
      <c r="AK209" s="23" t="s">
        <v>121</v>
      </c>
    </row>
    <row r="210" spans="1:38" s="23" customFormat="1" ht="15" customHeight="1" x14ac:dyDescent="0.25">
      <c r="A210" s="19">
        <v>208</v>
      </c>
      <c r="B210" s="19" t="s">
        <v>183</v>
      </c>
      <c r="C210" s="19" t="s">
        <v>39</v>
      </c>
      <c r="D210" s="26" t="s">
        <v>40</v>
      </c>
      <c r="E210" s="19" t="s">
        <v>29</v>
      </c>
      <c r="F210" s="26" t="s">
        <v>467</v>
      </c>
      <c r="G210" s="19">
        <v>24900444142</v>
      </c>
      <c r="H210" s="19" t="s">
        <v>1154</v>
      </c>
      <c r="I210" s="20">
        <v>44061</v>
      </c>
      <c r="J210" s="19"/>
      <c r="K210" s="19" t="s">
        <v>45</v>
      </c>
      <c r="L210" s="36" t="s">
        <v>1155</v>
      </c>
      <c r="M210" s="20">
        <v>44061</v>
      </c>
      <c r="N210" s="36"/>
      <c r="O210" s="19" t="s">
        <v>45</v>
      </c>
      <c r="P210" s="19" t="s">
        <v>1156</v>
      </c>
      <c r="Q210" s="20">
        <v>44090</v>
      </c>
      <c r="R210" s="36"/>
      <c r="S210" s="19" t="s">
        <v>45</v>
      </c>
      <c r="T210" s="19" t="s">
        <v>1157</v>
      </c>
      <c r="U210" s="19" t="s">
        <v>49</v>
      </c>
      <c r="V210" s="19" t="s">
        <v>1158</v>
      </c>
      <c r="W210" s="35" t="s">
        <v>1159</v>
      </c>
      <c r="X210" s="21"/>
      <c r="Y210" s="22">
        <v>76535764026100</v>
      </c>
      <c r="Z210" s="23">
        <f>A210</f>
        <v>208</v>
      </c>
      <c r="AA210" s="24" t="str">
        <f>IFERROR(VLOOKUP($Z210,'[1]End Fat Serviço - PA 15 e 16'!$K$3:$K$31,1,0), "")</f>
        <v/>
      </c>
      <c r="AB210" s="24" t="str">
        <f>IFERROR(VLOOKUP($Z210,'[1]End Fat Material - PA 12'!$K$3:$K$64,1,0), "")</f>
        <v/>
      </c>
      <c r="AC210" s="24" t="str">
        <f>IFERROR(VLOOKUP($Z210,'[1]End CA Lotação'!$L$3:$L$36,1,0), "")</f>
        <v/>
      </c>
      <c r="AD210" s="24">
        <f>IFERROR(VLOOKUP(Z210,'[1]RH - PARA 21.03'!$M$3:$M$555,1,0),"")</f>
        <v>208</v>
      </c>
      <c r="AE210" s="23" t="str">
        <f>IFERROR(VLOOKUP($Z210,'[1]CNPJ Oi Fat'!$K$3:$K$32,1,0),"")</f>
        <v/>
      </c>
      <c r="AF210" s="23" t="str">
        <f>IFERROR(VLOOKUP(Z210,'[1]End Logística Oi'!$D$3:$D$29,1,0),"")</f>
        <v/>
      </c>
      <c r="AG210" s="23" t="str">
        <f>IFERROR(VLOOKUP(Z210,'[1]End Logística Oi'!$J$3:$J$29,1,0),"")</f>
        <v/>
      </c>
      <c r="AI210" s="23" t="s">
        <v>54</v>
      </c>
      <c r="AJ210" s="23" t="s">
        <v>55</v>
      </c>
      <c r="AK210" s="23" t="e">
        <v>#N/A</v>
      </c>
    </row>
    <row r="211" spans="1:38" s="23" customFormat="1" ht="15" customHeight="1" x14ac:dyDescent="0.25">
      <c r="A211" s="19">
        <v>209</v>
      </c>
      <c r="B211" s="19" t="s">
        <v>183</v>
      </c>
      <c r="C211" s="19" t="s">
        <v>39</v>
      </c>
      <c r="D211" s="26" t="s">
        <v>40</v>
      </c>
      <c r="E211" s="19" t="s">
        <v>29</v>
      </c>
      <c r="F211" s="26" t="s">
        <v>467</v>
      </c>
      <c r="G211" s="19">
        <v>24900444151</v>
      </c>
      <c r="H211" s="19" t="s">
        <v>1160</v>
      </c>
      <c r="I211" s="20">
        <v>44061</v>
      </c>
      <c r="J211" s="19"/>
      <c r="K211" s="19" t="s">
        <v>45</v>
      </c>
      <c r="L211" s="36" t="s">
        <v>1161</v>
      </c>
      <c r="M211" s="20">
        <v>44061</v>
      </c>
      <c r="N211" s="36"/>
      <c r="O211" s="19" t="s">
        <v>45</v>
      </c>
      <c r="P211" s="19">
        <v>11158</v>
      </c>
      <c r="Q211" s="36"/>
      <c r="R211" s="36"/>
      <c r="S211" s="19" t="s">
        <v>45</v>
      </c>
      <c r="T211" s="19" t="s">
        <v>1162</v>
      </c>
      <c r="U211" s="19" t="s">
        <v>49</v>
      </c>
      <c r="V211" s="19" t="s">
        <v>1163</v>
      </c>
      <c r="W211" s="35" t="s">
        <v>1164</v>
      </c>
      <c r="X211" s="21"/>
      <c r="Y211" s="22">
        <v>76535764026290</v>
      </c>
      <c r="Z211" s="23">
        <f>A211</f>
        <v>209</v>
      </c>
      <c r="AA211" s="24" t="str">
        <f>IFERROR(VLOOKUP($Z211,'[1]End Fat Serviço - PA 15 e 16'!$K$3:$K$31,1,0), "")</f>
        <v/>
      </c>
      <c r="AB211" s="24" t="str">
        <f>IFERROR(VLOOKUP($Z211,'[1]End Fat Material - PA 12'!$K$3:$K$64,1,0), "")</f>
        <v/>
      </c>
      <c r="AC211" s="24" t="str">
        <f>IFERROR(VLOOKUP($Z211,'[1]End CA Lotação'!$L$3:$L$36,1,0), "")</f>
        <v/>
      </c>
      <c r="AD211" s="24">
        <f>IFERROR(VLOOKUP(Z211,'[1]RH - PARA 21.03'!$M$3:$M$555,1,0),"")</f>
        <v>209</v>
      </c>
      <c r="AE211" s="23" t="str">
        <f>IFERROR(VLOOKUP($Z211,'[1]CNPJ Oi Fat'!$K$3:$K$32,1,0),"")</f>
        <v/>
      </c>
      <c r="AF211" s="23" t="str">
        <f>IFERROR(VLOOKUP(Z211,'[1]End Logística Oi'!$D$3:$D$29,1,0),"")</f>
        <v/>
      </c>
      <c r="AG211" s="23" t="str">
        <f>IFERROR(VLOOKUP(Z211,'[1]End Logística Oi'!$J$3:$J$29,1,0),"")</f>
        <v/>
      </c>
      <c r="AI211" s="23" t="s">
        <v>54</v>
      </c>
      <c r="AJ211" s="23" t="s">
        <v>55</v>
      </c>
      <c r="AK211" s="23" t="e">
        <v>#N/A</v>
      </c>
    </row>
    <row r="212" spans="1:38" s="23" customFormat="1" ht="15" customHeight="1" x14ac:dyDescent="0.25">
      <c r="A212" s="25">
        <v>210</v>
      </c>
      <c r="B212" s="26" t="s">
        <v>77</v>
      </c>
      <c r="C212" s="27" t="s">
        <v>39</v>
      </c>
      <c r="D212" s="26" t="s">
        <v>40</v>
      </c>
      <c r="E212" s="26" t="s">
        <v>479</v>
      </c>
      <c r="F212" s="26" t="s">
        <v>467</v>
      </c>
      <c r="G212" s="28">
        <v>14920001051</v>
      </c>
      <c r="H212" s="26" t="s">
        <v>1165</v>
      </c>
      <c r="I212" s="29">
        <v>44061</v>
      </c>
      <c r="J212" s="30"/>
      <c r="K212" s="19" t="s">
        <v>45</v>
      </c>
      <c r="L212" s="31" t="s">
        <v>1166</v>
      </c>
      <c r="M212" s="29">
        <v>44089</v>
      </c>
      <c r="N212" s="32"/>
      <c r="O212" s="31" t="s">
        <v>45</v>
      </c>
      <c r="P212" s="33" t="s">
        <v>1167</v>
      </c>
      <c r="Q212" s="29">
        <v>44061</v>
      </c>
      <c r="R212" s="32"/>
      <c r="S212" s="31" t="s">
        <v>45</v>
      </c>
      <c r="T212" s="31" t="s">
        <v>1168</v>
      </c>
      <c r="U212" s="31" t="s">
        <v>1169</v>
      </c>
      <c r="V212" s="27" t="s">
        <v>83</v>
      </c>
      <c r="W212" s="31" t="s">
        <v>1170</v>
      </c>
      <c r="X212" s="21"/>
      <c r="Y212" s="22">
        <v>76535764026452</v>
      </c>
      <c r="Z212" s="23">
        <v>210</v>
      </c>
      <c r="AA212" s="24">
        <v>210</v>
      </c>
      <c r="AB212" s="24">
        <v>210</v>
      </c>
      <c r="AC212" s="24">
        <v>210</v>
      </c>
      <c r="AD212" s="24">
        <v>210</v>
      </c>
      <c r="AE212" s="23" t="s">
        <v>65</v>
      </c>
      <c r="AF212" s="23" t="s">
        <v>65</v>
      </c>
      <c r="AG212" s="23">
        <v>210</v>
      </c>
      <c r="AH212" s="34" t="s">
        <v>579</v>
      </c>
      <c r="AI212" s="23" t="s">
        <v>54</v>
      </c>
      <c r="AJ212" s="23" t="s">
        <v>54</v>
      </c>
      <c r="AK212" s="23" t="s">
        <v>67</v>
      </c>
    </row>
    <row r="213" spans="1:38" s="23" customFormat="1" ht="15" customHeight="1" x14ac:dyDescent="0.25">
      <c r="A213" s="25">
        <v>211</v>
      </c>
      <c r="B213" s="26" t="s">
        <v>200</v>
      </c>
      <c r="C213" s="27" t="s">
        <v>39</v>
      </c>
      <c r="D213" s="26" t="s">
        <v>40</v>
      </c>
      <c r="E213" s="26" t="s">
        <v>479</v>
      </c>
      <c r="F213" s="26" t="s">
        <v>467</v>
      </c>
      <c r="G213" s="28">
        <v>43920014157</v>
      </c>
      <c r="H213" s="26" t="s">
        <v>1171</v>
      </c>
      <c r="I213" s="29">
        <v>44061</v>
      </c>
      <c r="J213" s="30"/>
      <c r="K213" s="19" t="s">
        <v>45</v>
      </c>
      <c r="L213" s="31" t="s">
        <v>203</v>
      </c>
      <c r="M213" s="29">
        <v>36951</v>
      </c>
      <c r="N213" s="32"/>
      <c r="O213" s="31" t="s">
        <v>965</v>
      </c>
      <c r="P213" s="33">
        <v>1008913</v>
      </c>
      <c r="Q213" s="29">
        <v>44288</v>
      </c>
      <c r="R213" s="32"/>
      <c r="S213" s="31" t="s">
        <v>45</v>
      </c>
      <c r="T213" s="31" t="s">
        <v>1172</v>
      </c>
      <c r="U213" s="31" t="s">
        <v>1173</v>
      </c>
      <c r="V213" s="27" t="s">
        <v>305</v>
      </c>
      <c r="W213" s="31" t="s">
        <v>1174</v>
      </c>
      <c r="X213" s="21"/>
      <c r="Y213" s="22">
        <v>76535764026614</v>
      </c>
      <c r="Z213" s="23">
        <v>211</v>
      </c>
      <c r="AA213" s="24">
        <v>211</v>
      </c>
      <c r="AB213" s="24">
        <v>211</v>
      </c>
      <c r="AC213" s="24">
        <v>211</v>
      </c>
      <c r="AD213" s="24">
        <v>211</v>
      </c>
      <c r="AE213" s="23" t="s">
        <v>65</v>
      </c>
      <c r="AF213" s="23" t="s">
        <v>65</v>
      </c>
      <c r="AG213" s="23" t="s">
        <v>65</v>
      </c>
      <c r="AH213" s="34" t="s">
        <v>579</v>
      </c>
      <c r="AI213" s="23" t="s">
        <v>54</v>
      </c>
      <c r="AJ213" s="23" t="s">
        <v>54</v>
      </c>
      <c r="AK213" s="23" t="s">
        <v>121</v>
      </c>
      <c r="AL213" s="23" t="s">
        <v>976</v>
      </c>
    </row>
    <row r="214" spans="1:38" s="23" customFormat="1" ht="15" customHeight="1" x14ac:dyDescent="0.25">
      <c r="A214" s="19">
        <v>212</v>
      </c>
      <c r="B214" s="19" t="s">
        <v>200</v>
      </c>
      <c r="C214" s="19" t="s">
        <v>39</v>
      </c>
      <c r="D214" s="26" t="s">
        <v>40</v>
      </c>
      <c r="E214" s="19" t="s">
        <v>479</v>
      </c>
      <c r="F214" s="26" t="s">
        <v>467</v>
      </c>
      <c r="G214" s="19">
        <v>43920014149</v>
      </c>
      <c r="H214" s="19" t="s">
        <v>1175</v>
      </c>
      <c r="I214" s="20">
        <v>44061</v>
      </c>
      <c r="J214" s="19"/>
      <c r="K214" s="19" t="s">
        <v>45</v>
      </c>
      <c r="L214" s="36" t="s">
        <v>473</v>
      </c>
      <c r="M214" s="20"/>
      <c r="N214" s="36"/>
      <c r="O214" s="19" t="s">
        <v>45</v>
      </c>
      <c r="P214" s="19">
        <v>413657</v>
      </c>
      <c r="Q214" s="20">
        <v>44112</v>
      </c>
      <c r="R214" s="36"/>
      <c r="S214" s="19" t="s">
        <v>45</v>
      </c>
      <c r="T214" s="19" t="s">
        <v>1176</v>
      </c>
      <c r="U214" s="19" t="s">
        <v>1177</v>
      </c>
      <c r="V214" s="19" t="s">
        <v>1178</v>
      </c>
      <c r="W214" s="35" t="s">
        <v>1179</v>
      </c>
      <c r="X214" s="21"/>
      <c r="Y214" s="22">
        <v>76535764026533</v>
      </c>
      <c r="Z214" s="23">
        <f>A214</f>
        <v>212</v>
      </c>
      <c r="AA214" s="24" t="str">
        <f>IFERROR(VLOOKUP($Z214,'[1]End Fat Serviço - PA 15 e 16'!$K$3:$K$31,1,0), "")</f>
        <v/>
      </c>
      <c r="AB214" s="24" t="str">
        <f>IFERROR(VLOOKUP($Z214,'[1]End Fat Material - PA 12'!$K$3:$K$64,1,0), "")</f>
        <v/>
      </c>
      <c r="AC214" s="24" t="str">
        <f>IFERROR(VLOOKUP($Z214,'[1]End CA Lotação'!$L$3:$L$36,1,0), "")</f>
        <v/>
      </c>
      <c r="AD214" s="24">
        <f>IFERROR(VLOOKUP(Z214,'[1]RH - PARA 21.03'!$M$3:$M$555,1,0),"")</f>
        <v>212</v>
      </c>
      <c r="AE214" s="23" t="str">
        <f>IFERROR(VLOOKUP($Z214,'[1]CNPJ Oi Fat'!$K$3:$K$32,1,0),"")</f>
        <v/>
      </c>
      <c r="AF214" s="23" t="str">
        <f>IFERROR(VLOOKUP(Z214,'[1]End Logística Oi'!$D$3:$D$29,1,0),"")</f>
        <v/>
      </c>
      <c r="AG214" s="23" t="str">
        <f>IFERROR(VLOOKUP(Z214,'[1]End Logística Oi'!$J$3:$J$29,1,0),"")</f>
        <v/>
      </c>
      <c r="AH214" s="23" t="s">
        <v>53</v>
      </c>
      <c r="AI214" s="23" t="s">
        <v>54</v>
      </c>
      <c r="AJ214" s="23" t="s">
        <v>55</v>
      </c>
      <c r="AK214" s="23" t="e">
        <v>#N/A</v>
      </c>
    </row>
    <row r="215" spans="1:38" s="23" customFormat="1" ht="15" customHeight="1" x14ac:dyDescent="0.25">
      <c r="A215" s="25">
        <v>213</v>
      </c>
      <c r="B215" s="26" t="s">
        <v>122</v>
      </c>
      <c r="C215" s="27" t="s">
        <v>39</v>
      </c>
      <c r="D215" s="26" t="s">
        <v>40</v>
      </c>
      <c r="E215" s="26" t="s">
        <v>479</v>
      </c>
      <c r="F215" s="26" t="s">
        <v>467</v>
      </c>
      <c r="G215" s="28">
        <v>42902034825</v>
      </c>
      <c r="H215" s="26" t="s">
        <v>1180</v>
      </c>
      <c r="I215" s="29">
        <v>44061</v>
      </c>
      <c r="J215" s="30"/>
      <c r="K215" s="19" t="s">
        <v>45</v>
      </c>
      <c r="L215" s="31">
        <v>250427648</v>
      </c>
      <c r="M215" s="29">
        <v>25400</v>
      </c>
      <c r="N215" s="32"/>
      <c r="O215" s="31" t="s">
        <v>965</v>
      </c>
      <c r="P215" s="33">
        <v>142217</v>
      </c>
      <c r="Q215" s="29">
        <v>44173</v>
      </c>
      <c r="R215" s="32"/>
      <c r="S215" s="31" t="s">
        <v>45</v>
      </c>
      <c r="T215" s="31" t="s">
        <v>1181</v>
      </c>
      <c r="U215" s="31" t="s">
        <v>1182</v>
      </c>
      <c r="V215" s="27" t="s">
        <v>1183</v>
      </c>
      <c r="W215" s="31" t="s">
        <v>1184</v>
      </c>
      <c r="X215" s="21"/>
      <c r="Y215" s="22">
        <v>76535764026886</v>
      </c>
      <c r="Z215" s="23">
        <v>213</v>
      </c>
      <c r="AA215" s="24">
        <v>213</v>
      </c>
      <c r="AB215" s="24">
        <v>213</v>
      </c>
      <c r="AC215" s="24">
        <v>213</v>
      </c>
      <c r="AD215" s="24">
        <v>213</v>
      </c>
      <c r="AE215" s="23" t="s">
        <v>65</v>
      </c>
      <c r="AF215" s="23" t="s">
        <v>65</v>
      </c>
      <c r="AG215" s="23">
        <v>213</v>
      </c>
      <c r="AH215" s="34" t="s">
        <v>579</v>
      </c>
      <c r="AI215" s="23" t="s">
        <v>54</v>
      </c>
      <c r="AJ215" s="23" t="s">
        <v>54</v>
      </c>
      <c r="AK215" s="23" t="s">
        <v>121</v>
      </c>
    </row>
    <row r="216" spans="1:38" s="23" customFormat="1" ht="15" customHeight="1" x14ac:dyDescent="0.25">
      <c r="A216" s="19">
        <v>214</v>
      </c>
      <c r="B216" s="19" t="s">
        <v>122</v>
      </c>
      <c r="C216" s="19" t="s">
        <v>39</v>
      </c>
      <c r="D216" s="26" t="s">
        <v>40</v>
      </c>
      <c r="E216" s="19" t="s">
        <v>479</v>
      </c>
      <c r="F216" s="26" t="s">
        <v>467</v>
      </c>
      <c r="G216" s="19">
        <v>42902034817</v>
      </c>
      <c r="H216" s="19" t="s">
        <v>1185</v>
      </c>
      <c r="I216" s="20">
        <v>44061</v>
      </c>
      <c r="J216" s="19"/>
      <c r="K216" s="19" t="s">
        <v>45</v>
      </c>
      <c r="L216" s="36" t="s">
        <v>473</v>
      </c>
      <c r="M216" s="20"/>
      <c r="N216" s="36"/>
      <c r="O216" s="19"/>
      <c r="P216" s="19">
        <v>65017</v>
      </c>
      <c r="Q216" s="20">
        <v>44061</v>
      </c>
      <c r="R216" s="36"/>
      <c r="S216" s="19" t="s">
        <v>45</v>
      </c>
      <c r="T216" s="19" t="s">
        <v>1186</v>
      </c>
      <c r="U216" s="19" t="s">
        <v>1187</v>
      </c>
      <c r="V216" s="19" t="s">
        <v>1188</v>
      </c>
      <c r="W216" s="35" t="s">
        <v>1189</v>
      </c>
      <c r="X216" s="21"/>
      <c r="Y216" s="22">
        <v>76535764026703</v>
      </c>
      <c r="Z216" s="23">
        <f>A216</f>
        <v>214</v>
      </c>
      <c r="AA216" s="24" t="str">
        <f>IFERROR(VLOOKUP($Z216,'[1]End Fat Serviço - PA 15 e 16'!$K$3:$K$31,1,0), "")</f>
        <v/>
      </c>
      <c r="AB216" s="24" t="str">
        <f>IFERROR(VLOOKUP($Z216,'[1]End Fat Material - PA 12'!$K$3:$K$64,1,0), "")</f>
        <v/>
      </c>
      <c r="AC216" s="24" t="str">
        <f>IFERROR(VLOOKUP($Z216,'[1]End CA Lotação'!$L$3:$L$36,1,0), "")</f>
        <v/>
      </c>
      <c r="AD216" s="24">
        <f>IFERROR(VLOOKUP(Z216,'[1]RH - PARA 21.03'!$M$3:$M$555,1,0),"")</f>
        <v>214</v>
      </c>
      <c r="AE216" s="23" t="str">
        <f>IFERROR(VLOOKUP($Z216,'[1]CNPJ Oi Fat'!$K$3:$K$32,1,0),"")</f>
        <v/>
      </c>
      <c r="AF216" s="23" t="str">
        <f>IFERROR(VLOOKUP(Z216,'[1]End Logística Oi'!$D$3:$D$29,1,0),"")</f>
        <v/>
      </c>
      <c r="AG216" s="23" t="str">
        <f>IFERROR(VLOOKUP(Z216,'[1]End Logística Oi'!$J$3:$J$29,1,0),"")</f>
        <v/>
      </c>
      <c r="AH216" s="23" t="s">
        <v>53</v>
      </c>
      <c r="AI216" s="23" t="s">
        <v>54</v>
      </c>
      <c r="AJ216" s="23" t="s">
        <v>55</v>
      </c>
      <c r="AK216" s="23" t="e">
        <v>#N/A</v>
      </c>
    </row>
    <row r="217" spans="1:38" s="23" customFormat="1" ht="15" customHeight="1" x14ac:dyDescent="0.25">
      <c r="A217" s="25">
        <v>215</v>
      </c>
      <c r="B217" s="26" t="s">
        <v>38</v>
      </c>
      <c r="C217" s="27" t="s">
        <v>39</v>
      </c>
      <c r="D217" s="26" t="s">
        <v>40</v>
      </c>
      <c r="E217" s="26" t="s">
        <v>479</v>
      </c>
      <c r="F217" s="26" t="s">
        <v>467</v>
      </c>
      <c r="G217" s="28">
        <v>28900292079</v>
      </c>
      <c r="H217" s="26" t="s">
        <v>1190</v>
      </c>
      <c r="I217" s="29">
        <v>44061</v>
      </c>
      <c r="J217" s="30"/>
      <c r="K217" s="19" t="s">
        <v>45</v>
      </c>
      <c r="L217" s="31" t="s">
        <v>473</v>
      </c>
      <c r="M217" s="29">
        <v>44057</v>
      </c>
      <c r="N217" s="32"/>
      <c r="O217" s="31" t="s">
        <v>568</v>
      </c>
      <c r="P217" s="33" t="s">
        <v>1191</v>
      </c>
      <c r="Q217" s="29">
        <v>44085</v>
      </c>
      <c r="R217" s="32"/>
      <c r="S217" s="31" t="s">
        <v>45</v>
      </c>
      <c r="T217" s="31" t="s">
        <v>1192</v>
      </c>
      <c r="U217" s="31" t="s">
        <v>1193</v>
      </c>
      <c r="V217" s="27" t="s">
        <v>50</v>
      </c>
      <c r="W217" s="31" t="s">
        <v>1194</v>
      </c>
      <c r="X217" s="21"/>
      <c r="Y217" s="22">
        <v>76535764026967</v>
      </c>
      <c r="Z217" s="23">
        <v>215</v>
      </c>
      <c r="AA217" s="24">
        <v>215</v>
      </c>
      <c r="AB217" s="24">
        <v>215</v>
      </c>
      <c r="AC217" s="24">
        <v>215</v>
      </c>
      <c r="AD217" s="24">
        <v>215</v>
      </c>
      <c r="AE217" s="23" t="s">
        <v>65</v>
      </c>
      <c r="AF217" s="23" t="s">
        <v>65</v>
      </c>
      <c r="AG217" s="23">
        <v>215</v>
      </c>
      <c r="AH217" s="34" t="s">
        <v>579</v>
      </c>
      <c r="AI217" s="23" t="s">
        <v>54</v>
      </c>
      <c r="AJ217" s="23" t="s">
        <v>54</v>
      </c>
      <c r="AK217" s="23" t="s">
        <v>121</v>
      </c>
    </row>
    <row r="218" spans="1:38" s="23" customFormat="1" ht="15" customHeight="1" x14ac:dyDescent="0.25">
      <c r="A218" s="19">
        <v>216</v>
      </c>
      <c r="B218" s="19" t="s">
        <v>254</v>
      </c>
      <c r="C218" s="19" t="s">
        <v>39</v>
      </c>
      <c r="D218" s="26" t="s">
        <v>40</v>
      </c>
      <c r="E218" s="19" t="s">
        <v>280</v>
      </c>
      <c r="F218" s="26" t="s">
        <v>467</v>
      </c>
      <c r="G218" s="19">
        <v>35920062121</v>
      </c>
      <c r="H218" s="19" t="s">
        <v>1195</v>
      </c>
      <c r="I218" s="20">
        <v>44061</v>
      </c>
      <c r="J218" s="19"/>
      <c r="K218" s="19" t="s">
        <v>45</v>
      </c>
      <c r="L218" s="36" t="s">
        <v>473</v>
      </c>
      <c r="M218" s="20"/>
      <c r="N218" s="36"/>
      <c r="O218" s="19"/>
      <c r="P218" s="19" t="s">
        <v>1196</v>
      </c>
      <c r="Q218" s="36"/>
      <c r="R218" s="36"/>
      <c r="S218" s="19" t="s">
        <v>45</v>
      </c>
      <c r="T218" s="19" t="s">
        <v>1197</v>
      </c>
      <c r="U218" s="19" t="s">
        <v>1198</v>
      </c>
      <c r="V218" s="19" t="s">
        <v>260</v>
      </c>
      <c r="W218" s="35" t="s">
        <v>1199</v>
      </c>
      <c r="X218" s="21"/>
      <c r="Y218" s="22">
        <v>76535764027009</v>
      </c>
      <c r="Z218" s="23">
        <f t="shared" ref="Z218:Z236" si="5">A218</f>
        <v>216</v>
      </c>
      <c r="AA218" s="24" t="str">
        <f>IFERROR(VLOOKUP($Z218,'[1]End Fat Serviço - PA 15 e 16'!$K$3:$K$31,1,0), "")</f>
        <v/>
      </c>
      <c r="AB218" s="24" t="str">
        <f>IFERROR(VLOOKUP($Z218,'[1]End Fat Material - PA 12'!$K$3:$K$64,1,0), "")</f>
        <v/>
      </c>
      <c r="AC218" s="24" t="str">
        <f>IFERROR(VLOOKUP($Z218,'[1]End CA Lotação'!$L$3:$L$36,1,0), "")</f>
        <v/>
      </c>
      <c r="AD218" s="24">
        <f>IFERROR(VLOOKUP(Z218,'[1]RH - PARA 21.03'!$M$3:$M$555,1,0),"")</f>
        <v>216</v>
      </c>
      <c r="AE218" s="23" t="str">
        <f>IFERROR(VLOOKUP($Z218,'[1]CNPJ Oi Fat'!$K$3:$K$32,1,0),"")</f>
        <v/>
      </c>
      <c r="AF218" s="23" t="str">
        <f>IFERROR(VLOOKUP(Z218,'[1]End Logística Oi'!$D$3:$D$29,1,0),"")</f>
        <v/>
      </c>
      <c r="AG218" s="23" t="str">
        <f>IFERROR(VLOOKUP(Z218,'[1]End Logística Oi'!$J$3:$J$29,1,0),"")</f>
        <v/>
      </c>
      <c r="AH218" s="23" t="s">
        <v>53</v>
      </c>
      <c r="AI218" s="23" t="s">
        <v>54</v>
      </c>
      <c r="AJ218" s="23" t="s">
        <v>55</v>
      </c>
      <c r="AK218" s="23" t="e">
        <v>#N/A</v>
      </c>
    </row>
    <row r="219" spans="1:38" s="23" customFormat="1" ht="15" customHeight="1" x14ac:dyDescent="0.25">
      <c r="A219" s="19">
        <v>217</v>
      </c>
      <c r="B219" s="19" t="s">
        <v>174</v>
      </c>
      <c r="C219" s="19" t="s">
        <v>39</v>
      </c>
      <c r="D219" s="26" t="s">
        <v>40</v>
      </c>
      <c r="E219" s="19" t="s">
        <v>29</v>
      </c>
      <c r="F219" s="26" t="s">
        <v>467</v>
      </c>
      <c r="G219" s="19">
        <v>13920003487</v>
      </c>
      <c r="H219" s="19" t="s">
        <v>1200</v>
      </c>
      <c r="I219" s="20">
        <v>44061</v>
      </c>
      <c r="J219" s="19"/>
      <c r="K219" s="19" t="s">
        <v>45</v>
      </c>
      <c r="L219" s="36" t="s">
        <v>473</v>
      </c>
      <c r="M219" s="20" t="s">
        <v>473</v>
      </c>
      <c r="N219" s="36"/>
      <c r="O219" s="19" t="s">
        <v>45</v>
      </c>
      <c r="P219" s="19">
        <v>3145</v>
      </c>
      <c r="Q219" s="36"/>
      <c r="R219" s="36"/>
      <c r="S219" s="19" t="s">
        <v>45</v>
      </c>
      <c r="T219" s="19" t="s">
        <v>1201</v>
      </c>
      <c r="U219" s="19" t="s">
        <v>49</v>
      </c>
      <c r="V219" s="19" t="s">
        <v>1202</v>
      </c>
      <c r="W219" s="35" t="s">
        <v>1203</v>
      </c>
      <c r="X219" s="21"/>
      <c r="Y219" s="22">
        <v>76535764019677</v>
      </c>
      <c r="Z219" s="23">
        <f t="shared" si="5"/>
        <v>217</v>
      </c>
      <c r="AA219" s="24" t="str">
        <f>IFERROR(VLOOKUP($Z219,'[1]End Fat Serviço - PA 15 e 16'!$K$3:$K$31,1,0), "")</f>
        <v/>
      </c>
      <c r="AB219" s="24" t="str">
        <f>IFERROR(VLOOKUP($Z219,'[1]End Fat Material - PA 12'!$K$3:$K$64,1,0), "")</f>
        <v/>
      </c>
      <c r="AC219" s="24" t="str">
        <f>IFERROR(VLOOKUP($Z219,'[1]End CA Lotação'!$L$3:$L$36,1,0), "")</f>
        <v/>
      </c>
      <c r="AD219" s="24">
        <f>IFERROR(VLOOKUP(Z219,'[1]RH - PARA 21.03'!$M$3:$M$555,1,0),"")</f>
        <v>217</v>
      </c>
      <c r="AE219" s="23" t="str">
        <f>IFERROR(VLOOKUP($Z219,'[1]CNPJ Oi Fat'!$K$3:$K$32,1,0),"")</f>
        <v/>
      </c>
      <c r="AF219" s="23" t="str">
        <f>IFERROR(VLOOKUP(Z219,'[1]End Logística Oi'!$D$3:$D$29,1,0),"")</f>
        <v/>
      </c>
      <c r="AG219" s="23" t="str">
        <f>IFERROR(VLOOKUP(Z219,'[1]End Logística Oi'!$J$3:$J$29,1,0),"")</f>
        <v/>
      </c>
      <c r="AI219" s="23" t="s">
        <v>54</v>
      </c>
      <c r="AJ219" s="23" t="s">
        <v>55</v>
      </c>
      <c r="AK219" s="23" t="e">
        <v>#N/A</v>
      </c>
    </row>
    <row r="220" spans="1:38" s="23" customFormat="1" ht="15" customHeight="1" x14ac:dyDescent="0.25">
      <c r="A220" s="19">
        <v>218</v>
      </c>
      <c r="B220" s="19" t="s">
        <v>237</v>
      </c>
      <c r="C220" s="19" t="s">
        <v>39</v>
      </c>
      <c r="D220" s="26" t="s">
        <v>40</v>
      </c>
      <c r="E220" s="19" t="s">
        <v>29</v>
      </c>
      <c r="F220" s="26" t="s">
        <v>467</v>
      </c>
      <c r="G220" s="19">
        <v>29902012309</v>
      </c>
      <c r="H220" s="19" t="s">
        <v>1204</v>
      </c>
      <c r="I220" s="20">
        <v>44061</v>
      </c>
      <c r="J220" s="19"/>
      <c r="K220" s="19" t="s">
        <v>45</v>
      </c>
      <c r="L220" s="19">
        <v>170211622</v>
      </c>
      <c r="M220" s="20">
        <v>44061</v>
      </c>
      <c r="N220" s="20">
        <v>44103</v>
      </c>
      <c r="O220" s="19" t="s">
        <v>491</v>
      </c>
      <c r="P220" s="19">
        <v>937454</v>
      </c>
      <c r="Q220" s="20">
        <v>44320</v>
      </c>
      <c r="R220" s="36"/>
      <c r="S220" s="19" t="s">
        <v>45</v>
      </c>
      <c r="T220" s="19" t="s">
        <v>1205</v>
      </c>
      <c r="U220" s="19" t="s">
        <v>49</v>
      </c>
      <c r="V220" s="19" t="s">
        <v>1206</v>
      </c>
      <c r="W220" s="35" t="s">
        <v>1207</v>
      </c>
      <c r="X220" s="21"/>
      <c r="Y220" s="22">
        <v>76535764020926</v>
      </c>
      <c r="Z220" s="23">
        <f t="shared" si="5"/>
        <v>218</v>
      </c>
      <c r="AA220" s="24" t="str">
        <f>IFERROR(VLOOKUP($Z220,'[1]End Fat Serviço - PA 15 e 16'!$K$3:$K$31,1,0), "")</f>
        <v/>
      </c>
      <c r="AB220" s="24" t="str">
        <f>IFERROR(VLOOKUP($Z220,'[1]End Fat Material - PA 12'!$K$3:$K$64,1,0), "")</f>
        <v/>
      </c>
      <c r="AC220" s="24" t="str">
        <f>IFERROR(VLOOKUP($Z220,'[1]End CA Lotação'!$L$3:$L$36,1,0), "")</f>
        <v/>
      </c>
      <c r="AD220" s="24">
        <f>IFERROR(VLOOKUP(Z220,'[1]RH - PARA 21.03'!$M$3:$M$555,1,0),"")</f>
        <v>218</v>
      </c>
      <c r="AE220" s="23" t="str">
        <f>IFERROR(VLOOKUP($Z220,'[1]CNPJ Oi Fat'!$K$3:$K$32,1,0),"")</f>
        <v/>
      </c>
      <c r="AF220" s="23" t="str">
        <f>IFERROR(VLOOKUP(Z220,'[1]End Logística Oi'!$D$3:$D$29,1,0),"")</f>
        <v/>
      </c>
      <c r="AG220" s="23" t="str">
        <f>IFERROR(VLOOKUP(Z220,'[1]End Logística Oi'!$J$3:$J$29,1,0),"")</f>
        <v/>
      </c>
      <c r="AI220" s="23" t="s">
        <v>54</v>
      </c>
      <c r="AJ220" s="23" t="s">
        <v>55</v>
      </c>
      <c r="AK220" s="23" t="e">
        <v>#N/A</v>
      </c>
    </row>
    <row r="221" spans="1:38" s="23" customFormat="1" ht="15" customHeight="1" x14ac:dyDescent="0.25">
      <c r="A221" s="19">
        <v>219</v>
      </c>
      <c r="B221" s="19" t="s">
        <v>237</v>
      </c>
      <c r="C221" s="19" t="s">
        <v>39</v>
      </c>
      <c r="D221" s="26" t="s">
        <v>40</v>
      </c>
      <c r="E221" s="19" t="s">
        <v>29</v>
      </c>
      <c r="F221" s="26" t="s">
        <v>467</v>
      </c>
      <c r="G221" s="19">
        <v>29902012333</v>
      </c>
      <c r="H221" s="19" t="s">
        <v>1208</v>
      </c>
      <c r="I221" s="20">
        <v>44061</v>
      </c>
      <c r="J221" s="19"/>
      <c r="K221" s="19" t="s">
        <v>45</v>
      </c>
      <c r="L221" s="19">
        <v>170211957</v>
      </c>
      <c r="M221" s="20">
        <v>44061</v>
      </c>
      <c r="N221" s="20">
        <v>44103</v>
      </c>
      <c r="O221" s="19" t="s">
        <v>491</v>
      </c>
      <c r="P221" s="19" t="s">
        <v>604</v>
      </c>
      <c r="Q221" s="36"/>
      <c r="R221" s="36"/>
      <c r="S221" s="19" t="s">
        <v>604</v>
      </c>
      <c r="T221" s="19" t="s">
        <v>1209</v>
      </c>
      <c r="U221" s="19" t="s">
        <v>1210</v>
      </c>
      <c r="V221" s="19" t="s">
        <v>1211</v>
      </c>
      <c r="W221" s="35" t="s">
        <v>1212</v>
      </c>
      <c r="X221" s="21"/>
      <c r="Y221" s="22">
        <v>76535764021493</v>
      </c>
      <c r="Z221" s="23">
        <f t="shared" si="5"/>
        <v>219</v>
      </c>
      <c r="AA221" s="24" t="str">
        <f>IFERROR(VLOOKUP($Z221,'[1]End Fat Serviço - PA 15 e 16'!$K$3:$K$31,1,0), "")</f>
        <v/>
      </c>
      <c r="AB221" s="24" t="str">
        <f>IFERROR(VLOOKUP($Z221,'[1]End Fat Material - PA 12'!$K$3:$K$64,1,0), "")</f>
        <v/>
      </c>
      <c r="AC221" s="24" t="str">
        <f>IFERROR(VLOOKUP($Z221,'[1]End CA Lotação'!$L$3:$L$36,1,0), "")</f>
        <v/>
      </c>
      <c r="AD221" s="24">
        <f>IFERROR(VLOOKUP(Z221,'[1]RH - PARA 21.03'!$M$3:$M$555,1,0),"")</f>
        <v>219</v>
      </c>
      <c r="AE221" s="23" t="str">
        <f>IFERROR(VLOOKUP($Z221,'[1]CNPJ Oi Fat'!$K$3:$K$32,1,0),"")</f>
        <v/>
      </c>
      <c r="AF221" s="23" t="str">
        <f>IFERROR(VLOOKUP(Z221,'[1]End Logística Oi'!$D$3:$D$29,1,0),"")</f>
        <v/>
      </c>
      <c r="AG221" s="23" t="str">
        <f>IFERROR(VLOOKUP(Z221,'[1]End Logística Oi'!$J$3:$J$29,1,0),"")</f>
        <v/>
      </c>
      <c r="AI221" s="23" t="s">
        <v>54</v>
      </c>
      <c r="AJ221" s="23" t="s">
        <v>55</v>
      </c>
      <c r="AK221" s="23" t="e">
        <v>#N/A</v>
      </c>
    </row>
    <row r="222" spans="1:38" s="23" customFormat="1" ht="15" customHeight="1" x14ac:dyDescent="0.25">
      <c r="A222" s="19">
        <v>220</v>
      </c>
      <c r="B222" s="19" t="s">
        <v>237</v>
      </c>
      <c r="C222" s="19" t="s">
        <v>39</v>
      </c>
      <c r="D222" s="26" t="s">
        <v>40</v>
      </c>
      <c r="E222" s="19" t="s">
        <v>29</v>
      </c>
      <c r="F222" s="26" t="s">
        <v>467</v>
      </c>
      <c r="G222" s="19">
        <v>29902012325</v>
      </c>
      <c r="H222" s="19" t="s">
        <v>1213</v>
      </c>
      <c r="I222" s="20">
        <v>44061</v>
      </c>
      <c r="J222" s="19"/>
      <c r="K222" s="19" t="s">
        <v>45</v>
      </c>
      <c r="L222" s="19">
        <v>170211849</v>
      </c>
      <c r="M222" s="20">
        <v>44061</v>
      </c>
      <c r="N222" s="20">
        <v>44103</v>
      </c>
      <c r="O222" s="19" t="s">
        <v>491</v>
      </c>
      <c r="P222" s="19" t="s">
        <v>1214</v>
      </c>
      <c r="Q222" s="20">
        <v>44361</v>
      </c>
      <c r="R222" s="36"/>
      <c r="S222" s="19" t="s">
        <v>45</v>
      </c>
      <c r="T222" s="19" t="s">
        <v>1215</v>
      </c>
      <c r="U222" s="19" t="s">
        <v>49</v>
      </c>
      <c r="V222" s="19" t="s">
        <v>1216</v>
      </c>
      <c r="W222" s="35" t="s">
        <v>1217</v>
      </c>
      <c r="X222" s="21"/>
      <c r="Y222" s="22">
        <v>76535764021302</v>
      </c>
      <c r="Z222" s="23">
        <f t="shared" si="5"/>
        <v>220</v>
      </c>
      <c r="AA222" s="24" t="str">
        <f>IFERROR(VLOOKUP($Z222,'[1]End Fat Serviço - PA 15 e 16'!$K$3:$K$31,1,0), "")</f>
        <v/>
      </c>
      <c r="AB222" s="24" t="str">
        <f>IFERROR(VLOOKUP($Z222,'[1]End Fat Material - PA 12'!$K$3:$K$64,1,0), "")</f>
        <v/>
      </c>
      <c r="AC222" s="24" t="str">
        <f>IFERROR(VLOOKUP($Z222,'[1]End CA Lotação'!$L$3:$L$36,1,0), "")</f>
        <v/>
      </c>
      <c r="AD222" s="24">
        <f>IFERROR(VLOOKUP(Z222,'[1]RH - PARA 21.03'!$M$3:$M$555,1,0),"")</f>
        <v>220</v>
      </c>
      <c r="AE222" s="23" t="str">
        <f>IFERROR(VLOOKUP($Z222,'[1]CNPJ Oi Fat'!$K$3:$K$32,1,0),"")</f>
        <v/>
      </c>
      <c r="AF222" s="23" t="str">
        <f>IFERROR(VLOOKUP(Z222,'[1]End Logística Oi'!$D$3:$D$29,1,0),"")</f>
        <v/>
      </c>
      <c r="AG222" s="23" t="str">
        <f>IFERROR(VLOOKUP(Z222,'[1]End Logística Oi'!$J$3:$J$29,1,0),"")</f>
        <v/>
      </c>
      <c r="AI222" s="23" t="s">
        <v>54</v>
      </c>
      <c r="AJ222" s="23" t="s">
        <v>55</v>
      </c>
      <c r="AK222" s="23" t="e">
        <v>#N/A</v>
      </c>
    </row>
    <row r="223" spans="1:38" s="23" customFormat="1" ht="15" customHeight="1" x14ac:dyDescent="0.25">
      <c r="A223" s="19">
        <v>221</v>
      </c>
      <c r="B223" s="19" t="s">
        <v>245</v>
      </c>
      <c r="C223" s="19" t="s">
        <v>39</v>
      </c>
      <c r="D223" s="26" t="s">
        <v>40</v>
      </c>
      <c r="E223" s="19" t="s">
        <v>29</v>
      </c>
      <c r="F223" s="26" t="s">
        <v>467</v>
      </c>
      <c r="G223" s="19">
        <v>21900585843</v>
      </c>
      <c r="H223" s="19" t="s">
        <v>1218</v>
      </c>
      <c r="I223" s="20">
        <v>44061</v>
      </c>
      <c r="J223" s="19"/>
      <c r="K223" s="19" t="s">
        <v>45</v>
      </c>
      <c r="L223" s="36" t="s">
        <v>473</v>
      </c>
      <c r="M223" s="20">
        <v>44061</v>
      </c>
      <c r="N223" s="36"/>
      <c r="O223" s="19" t="s">
        <v>45</v>
      </c>
      <c r="P223" s="19" t="s">
        <v>604</v>
      </c>
      <c r="Q223" s="37"/>
      <c r="R223" s="36"/>
      <c r="S223" s="37" t="s">
        <v>604</v>
      </c>
      <c r="T223" s="19" t="s">
        <v>1219</v>
      </c>
      <c r="U223" s="19" t="s">
        <v>49</v>
      </c>
      <c r="V223" s="19" t="s">
        <v>1220</v>
      </c>
      <c r="W223" s="35" t="s">
        <v>1221</v>
      </c>
      <c r="X223" s="21"/>
      <c r="Y223" s="22">
        <v>76535764023356</v>
      </c>
      <c r="Z223" s="23">
        <f t="shared" si="5"/>
        <v>221</v>
      </c>
      <c r="AA223" s="24" t="str">
        <f>IFERROR(VLOOKUP($Z223,'[1]End Fat Serviço - PA 15 e 16'!$K$3:$K$31,1,0), "")</f>
        <v/>
      </c>
      <c r="AB223" s="24" t="str">
        <f>IFERROR(VLOOKUP($Z223,'[1]End Fat Material - PA 12'!$K$3:$K$64,1,0), "")</f>
        <v/>
      </c>
      <c r="AC223" s="24" t="str">
        <f>IFERROR(VLOOKUP($Z223,'[1]End CA Lotação'!$L$3:$L$36,1,0), "")</f>
        <v/>
      </c>
      <c r="AD223" s="24">
        <f>IFERROR(VLOOKUP(Z223,'[1]RH - PARA 21.03'!$M$3:$M$555,1,0),"")</f>
        <v>221</v>
      </c>
      <c r="AE223" s="23" t="str">
        <f>IFERROR(VLOOKUP($Z223,'[1]CNPJ Oi Fat'!$K$3:$K$32,1,0),"")</f>
        <v/>
      </c>
      <c r="AF223" s="23" t="str">
        <f>IFERROR(VLOOKUP(Z223,'[1]End Logística Oi'!$D$3:$D$29,1,0),"")</f>
        <v/>
      </c>
      <c r="AG223" s="23" t="str">
        <f>IFERROR(VLOOKUP(Z223,'[1]End Logística Oi'!$J$3:$J$29,1,0),"")</f>
        <v/>
      </c>
      <c r="AI223" s="23" t="s">
        <v>54</v>
      </c>
      <c r="AJ223" s="23" t="s">
        <v>55</v>
      </c>
      <c r="AK223" s="23" t="e">
        <v>#N/A</v>
      </c>
    </row>
    <row r="224" spans="1:38" s="23" customFormat="1" ht="15" customHeight="1" x14ac:dyDescent="0.25">
      <c r="A224" s="19">
        <v>222</v>
      </c>
      <c r="B224" s="19" t="s">
        <v>245</v>
      </c>
      <c r="C224" s="19" t="s">
        <v>39</v>
      </c>
      <c r="D224" s="26" t="s">
        <v>40</v>
      </c>
      <c r="E224" s="19" t="s">
        <v>29</v>
      </c>
      <c r="F224" s="26" t="s">
        <v>467</v>
      </c>
      <c r="G224" s="19">
        <v>21900585851</v>
      </c>
      <c r="H224" s="50" t="s">
        <v>1222</v>
      </c>
      <c r="I224" s="20">
        <v>44061</v>
      </c>
      <c r="J224" s="19"/>
      <c r="K224" s="19" t="s">
        <v>45</v>
      </c>
      <c r="L224" s="50" t="s">
        <v>473</v>
      </c>
      <c r="M224" s="20">
        <v>44061</v>
      </c>
      <c r="N224" s="36"/>
      <c r="O224" s="19" t="s">
        <v>45</v>
      </c>
      <c r="P224" s="19" t="s">
        <v>1223</v>
      </c>
      <c r="Q224" s="37" t="s">
        <v>419</v>
      </c>
      <c r="R224" s="36"/>
      <c r="S224" s="37" t="s">
        <v>45</v>
      </c>
      <c r="T224" s="19" t="s">
        <v>1224</v>
      </c>
      <c r="U224" s="19" t="s">
        <v>49</v>
      </c>
      <c r="V224" s="19" t="s">
        <v>1225</v>
      </c>
      <c r="W224" s="35" t="s">
        <v>1226</v>
      </c>
      <c r="X224" s="21"/>
      <c r="Y224" s="22">
        <v>76535764023437</v>
      </c>
      <c r="Z224" s="23">
        <f t="shared" si="5"/>
        <v>222</v>
      </c>
      <c r="AA224" s="24" t="str">
        <f>IFERROR(VLOOKUP($Z224,'[1]End Fat Serviço - PA 15 e 16'!$K$3:$K$31,1,0), "")</f>
        <v/>
      </c>
      <c r="AB224" s="24" t="str">
        <f>IFERROR(VLOOKUP($Z224,'[1]End Fat Material - PA 12'!$K$3:$K$64,1,0), "")</f>
        <v/>
      </c>
      <c r="AC224" s="24" t="str">
        <f>IFERROR(VLOOKUP($Z224,'[1]End CA Lotação'!$L$3:$L$36,1,0), "")</f>
        <v/>
      </c>
      <c r="AD224" s="24">
        <f>IFERROR(VLOOKUP(Z224,'[1]RH - PARA 21.03'!$M$3:$M$555,1,0),"")</f>
        <v>222</v>
      </c>
      <c r="AE224" s="23" t="str">
        <f>IFERROR(VLOOKUP($Z224,'[1]CNPJ Oi Fat'!$K$3:$K$32,1,0),"")</f>
        <v/>
      </c>
      <c r="AF224" s="23" t="str">
        <f>IFERROR(VLOOKUP(Z224,'[1]End Logística Oi'!$D$3:$D$29,1,0),"")</f>
        <v/>
      </c>
      <c r="AG224" s="23" t="str">
        <f>IFERROR(VLOOKUP(Z224,'[1]End Logística Oi'!$J$3:$J$29,1,0),"")</f>
        <v/>
      </c>
      <c r="AI224" s="23" t="s">
        <v>54</v>
      </c>
      <c r="AJ224" s="23" t="s">
        <v>55</v>
      </c>
      <c r="AK224" s="23" t="e">
        <v>#N/A</v>
      </c>
    </row>
    <row r="225" spans="1:37" s="23" customFormat="1" ht="15" hidden="1" customHeight="1" x14ac:dyDescent="0.25">
      <c r="A225" s="19">
        <v>223</v>
      </c>
      <c r="B225" s="19" t="s">
        <v>68</v>
      </c>
      <c r="C225" s="19" t="s">
        <v>39</v>
      </c>
      <c r="D225" s="26" t="s">
        <v>40</v>
      </c>
      <c r="E225" s="19" t="s">
        <v>29</v>
      </c>
      <c r="F225" s="26" t="s">
        <v>467</v>
      </c>
      <c r="G225" s="19">
        <v>31920017466</v>
      </c>
      <c r="H225" s="19" t="s">
        <v>1227</v>
      </c>
      <c r="I225" s="20">
        <v>44061</v>
      </c>
      <c r="J225" s="19"/>
      <c r="K225" s="19" t="s">
        <v>45</v>
      </c>
      <c r="L225" s="36" t="s">
        <v>473</v>
      </c>
      <c r="M225" s="20" t="s">
        <v>473</v>
      </c>
      <c r="N225" s="36"/>
      <c r="O225" s="19"/>
      <c r="P225" s="19">
        <v>56568</v>
      </c>
      <c r="Q225" s="36"/>
      <c r="R225" s="36"/>
      <c r="S225" s="19" t="s">
        <v>45</v>
      </c>
      <c r="T225" s="19" t="s">
        <v>1228</v>
      </c>
      <c r="U225" s="19" t="s">
        <v>49</v>
      </c>
      <c r="V225" s="19" t="s">
        <v>1229</v>
      </c>
      <c r="W225" s="35" t="s">
        <v>1230</v>
      </c>
      <c r="X225" s="21"/>
      <c r="Y225" s="22">
        <v>76535764031456</v>
      </c>
      <c r="Z225" s="23">
        <f t="shared" si="5"/>
        <v>223</v>
      </c>
      <c r="AA225" s="24" t="str">
        <f>IFERROR(VLOOKUP($Z225,'[1]End Fat Serviço - PA 15 e 16'!$K$3:$K$31,1,0), "")</f>
        <v/>
      </c>
      <c r="AB225" s="24" t="str">
        <f>IFERROR(VLOOKUP($Z225,'[1]End Fat Material - PA 12'!$K$3:$K$64,1,0), "")</f>
        <v/>
      </c>
      <c r="AC225" s="24" t="str">
        <f>IFERROR(VLOOKUP($Z225,'[1]End CA Lotação'!$L$3:$L$36,1,0), "")</f>
        <v/>
      </c>
      <c r="AD225" s="24" t="str">
        <f>IFERROR(VLOOKUP(Z225,'[1]RH - PARA 21.03'!$M$3:$M$555,1,0),"")</f>
        <v/>
      </c>
      <c r="AE225" s="23" t="str">
        <f>IFERROR(VLOOKUP($Z225,'[1]CNPJ Oi Fat'!$K$3:$K$32,1,0),"")</f>
        <v/>
      </c>
      <c r="AF225" s="23" t="str">
        <f>IFERROR(VLOOKUP(Z225,'[1]End Logística Oi'!$D$3:$D$29,1,0),"")</f>
        <v/>
      </c>
      <c r="AG225" s="23" t="str">
        <f>IFERROR(VLOOKUP(Z225,'[1]End Logística Oi'!$J$3:$J$29,1,0),"")</f>
        <v/>
      </c>
      <c r="AI225" s="23" t="s">
        <v>55</v>
      </c>
      <c r="AJ225" s="23" t="s">
        <v>55</v>
      </c>
      <c r="AK225" s="23" t="e">
        <v>#N/A</v>
      </c>
    </row>
    <row r="226" spans="1:37" s="23" customFormat="1" ht="15" hidden="1" customHeight="1" x14ac:dyDescent="0.25">
      <c r="A226" s="19">
        <v>224</v>
      </c>
      <c r="B226" s="19" t="s">
        <v>68</v>
      </c>
      <c r="C226" s="19" t="s">
        <v>39</v>
      </c>
      <c r="D226" s="26" t="s">
        <v>40</v>
      </c>
      <c r="E226" s="19" t="s">
        <v>29</v>
      </c>
      <c r="F226" s="26" t="s">
        <v>467</v>
      </c>
      <c r="G226" s="19">
        <v>31920017458</v>
      </c>
      <c r="H226" s="19" t="s">
        <v>1231</v>
      </c>
      <c r="I226" s="20">
        <v>44061</v>
      </c>
      <c r="J226" s="19"/>
      <c r="K226" s="19" t="s">
        <v>45</v>
      </c>
      <c r="L226" s="36" t="s">
        <v>473</v>
      </c>
      <c r="M226" s="20" t="s">
        <v>473</v>
      </c>
      <c r="N226" s="36"/>
      <c r="O226" s="19"/>
      <c r="P226" s="19" t="s">
        <v>1232</v>
      </c>
      <c r="Q226" s="36"/>
      <c r="R226" s="36"/>
      <c r="S226" s="19" t="s">
        <v>45</v>
      </c>
      <c r="T226" s="19" t="s">
        <v>1233</v>
      </c>
      <c r="U226" s="19" t="s">
        <v>49</v>
      </c>
      <c r="V226" s="19" t="s">
        <v>1234</v>
      </c>
      <c r="W226" s="35" t="s">
        <v>1235</v>
      </c>
      <c r="X226" s="21"/>
      <c r="Y226" s="22">
        <v>76535764031375</v>
      </c>
      <c r="Z226" s="23">
        <f t="shared" si="5"/>
        <v>224</v>
      </c>
      <c r="AA226" s="24" t="str">
        <f>IFERROR(VLOOKUP($Z226,'[1]End Fat Serviço - PA 15 e 16'!$K$3:$K$31,1,0), "")</f>
        <v/>
      </c>
      <c r="AB226" s="24" t="str">
        <f>IFERROR(VLOOKUP($Z226,'[1]End Fat Material - PA 12'!$K$3:$K$64,1,0), "")</f>
        <v/>
      </c>
      <c r="AC226" s="24" t="str">
        <f>IFERROR(VLOOKUP($Z226,'[1]End CA Lotação'!$L$3:$L$36,1,0), "")</f>
        <v/>
      </c>
      <c r="AD226" s="24" t="str">
        <f>IFERROR(VLOOKUP(Z226,'[1]RH - PARA 21.03'!$M$3:$M$555,1,0),"")</f>
        <v/>
      </c>
      <c r="AE226" s="23" t="str">
        <f>IFERROR(VLOOKUP($Z226,'[1]CNPJ Oi Fat'!$K$3:$K$32,1,0),"")</f>
        <v/>
      </c>
      <c r="AF226" s="23" t="str">
        <f>IFERROR(VLOOKUP(Z226,'[1]End Logística Oi'!$D$3:$D$29,1,0),"")</f>
        <v/>
      </c>
      <c r="AG226" s="23" t="str">
        <f>IFERROR(VLOOKUP(Z226,'[1]End Logística Oi'!$J$3:$J$29,1,0),"")</f>
        <v/>
      </c>
      <c r="AI226" s="23" t="s">
        <v>55</v>
      </c>
      <c r="AJ226" s="23" t="s">
        <v>55</v>
      </c>
      <c r="AK226" s="23" t="e">
        <v>#N/A</v>
      </c>
    </row>
    <row r="227" spans="1:37" s="23" customFormat="1" ht="15" hidden="1" customHeight="1" x14ac:dyDescent="0.25">
      <c r="A227" s="19">
        <v>225</v>
      </c>
      <c r="B227" s="19" t="s">
        <v>68</v>
      </c>
      <c r="C227" s="19" t="s">
        <v>39</v>
      </c>
      <c r="D227" s="26" t="s">
        <v>40</v>
      </c>
      <c r="E227" s="19" t="s">
        <v>29</v>
      </c>
      <c r="F227" s="26" t="s">
        <v>467</v>
      </c>
      <c r="G227" s="19">
        <v>31920017440</v>
      </c>
      <c r="H227" s="19" t="s">
        <v>1236</v>
      </c>
      <c r="I227" s="20">
        <v>44061</v>
      </c>
      <c r="J227" s="19"/>
      <c r="K227" s="19" t="s">
        <v>45</v>
      </c>
      <c r="L227" s="36" t="s">
        <v>473</v>
      </c>
      <c r="M227" s="20" t="s">
        <v>473</v>
      </c>
      <c r="N227" s="36"/>
      <c r="O227" s="19"/>
      <c r="P227" s="19">
        <v>76018393</v>
      </c>
      <c r="Q227" s="36"/>
      <c r="R227" s="36"/>
      <c r="S227" s="19" t="s">
        <v>45</v>
      </c>
      <c r="T227" s="19" t="s">
        <v>1237</v>
      </c>
      <c r="U227" s="19" t="s">
        <v>49</v>
      </c>
      <c r="V227" s="19" t="s">
        <v>1238</v>
      </c>
      <c r="W227" s="35" t="s">
        <v>1239</v>
      </c>
      <c r="X227" s="21"/>
      <c r="Y227" s="22">
        <v>76535764031294</v>
      </c>
      <c r="Z227" s="23">
        <f t="shared" si="5"/>
        <v>225</v>
      </c>
      <c r="AA227" s="24" t="str">
        <f>IFERROR(VLOOKUP($Z227,'[1]End Fat Serviço - PA 15 e 16'!$K$3:$K$31,1,0), "")</f>
        <v/>
      </c>
      <c r="AB227" s="24" t="str">
        <f>IFERROR(VLOOKUP($Z227,'[1]End Fat Material - PA 12'!$K$3:$K$64,1,0), "")</f>
        <v/>
      </c>
      <c r="AC227" s="24" t="str">
        <f>IFERROR(VLOOKUP($Z227,'[1]End CA Lotação'!$L$3:$L$36,1,0), "")</f>
        <v/>
      </c>
      <c r="AD227" s="24" t="str">
        <f>IFERROR(VLOOKUP(Z227,'[1]RH - PARA 21.03'!$M$3:$M$555,1,0),"")</f>
        <v/>
      </c>
      <c r="AE227" s="23" t="str">
        <f>IFERROR(VLOOKUP($Z227,'[1]CNPJ Oi Fat'!$K$3:$K$32,1,0),"")</f>
        <v/>
      </c>
      <c r="AF227" s="23" t="str">
        <f>IFERROR(VLOOKUP(Z227,'[1]End Logística Oi'!$D$3:$D$29,1,0),"")</f>
        <v/>
      </c>
      <c r="AG227" s="23" t="str">
        <f>IFERROR(VLOOKUP(Z227,'[1]End Logística Oi'!$J$3:$J$29,1,0),"")</f>
        <v/>
      </c>
      <c r="AI227" s="23" t="s">
        <v>55</v>
      </c>
      <c r="AJ227" s="23" t="s">
        <v>55</v>
      </c>
      <c r="AK227" s="23" t="e">
        <v>#N/A</v>
      </c>
    </row>
    <row r="228" spans="1:37" s="23" customFormat="1" ht="15" customHeight="1" x14ac:dyDescent="0.25">
      <c r="A228" s="19">
        <v>226</v>
      </c>
      <c r="B228" s="19" t="s">
        <v>56</v>
      </c>
      <c r="C228" s="19" t="s">
        <v>39</v>
      </c>
      <c r="D228" s="26" t="s">
        <v>40</v>
      </c>
      <c r="E228" s="19" t="s">
        <v>29</v>
      </c>
      <c r="F228" s="26" t="s">
        <v>467</v>
      </c>
      <c r="G228" s="19">
        <v>15902008822</v>
      </c>
      <c r="H228" s="19" t="s">
        <v>1240</v>
      </c>
      <c r="I228" s="20">
        <v>44061</v>
      </c>
      <c r="J228" s="19"/>
      <c r="K228" s="19" t="s">
        <v>45</v>
      </c>
      <c r="L228" s="36" t="s">
        <v>473</v>
      </c>
      <c r="M228" s="20"/>
      <c r="N228" s="36"/>
      <c r="O228" s="19" t="s">
        <v>45</v>
      </c>
      <c r="P228" s="19">
        <v>8059399</v>
      </c>
      <c r="Q228" s="36"/>
      <c r="R228" s="36"/>
      <c r="S228" s="19" t="s">
        <v>45</v>
      </c>
      <c r="T228" s="19" t="s">
        <v>1241</v>
      </c>
      <c r="U228" s="19" t="s">
        <v>454</v>
      </c>
      <c r="V228" s="19" t="s">
        <v>1242</v>
      </c>
      <c r="W228" s="35" t="s">
        <v>1243</v>
      </c>
      <c r="X228" s="21"/>
      <c r="Y228" s="22">
        <v>76535764023941</v>
      </c>
      <c r="Z228" s="23">
        <f t="shared" si="5"/>
        <v>226</v>
      </c>
      <c r="AA228" s="24" t="str">
        <f>IFERROR(VLOOKUP($Z228,'[1]End Fat Serviço - PA 15 e 16'!$K$3:$K$31,1,0), "")</f>
        <v/>
      </c>
      <c r="AB228" s="24" t="str">
        <f>IFERROR(VLOOKUP($Z228,'[1]End Fat Material - PA 12'!$K$3:$K$64,1,0), "")</f>
        <v/>
      </c>
      <c r="AC228" s="24" t="str">
        <f>IFERROR(VLOOKUP($Z228,'[1]End CA Lotação'!$L$3:$L$36,1,0), "")</f>
        <v/>
      </c>
      <c r="AD228" s="24">
        <f>IFERROR(VLOOKUP(Z228,'[1]RH - PARA 21.03'!$M$3:$M$555,1,0),"")</f>
        <v>226</v>
      </c>
      <c r="AE228" s="23" t="str">
        <f>IFERROR(VLOOKUP($Z228,'[1]CNPJ Oi Fat'!$K$3:$K$32,1,0),"")</f>
        <v/>
      </c>
      <c r="AF228" s="23" t="str">
        <f>IFERROR(VLOOKUP(Z228,'[1]End Logística Oi'!$D$3:$D$29,1,0),"")</f>
        <v/>
      </c>
      <c r="AG228" s="23" t="str">
        <f>IFERROR(VLOOKUP(Z228,'[1]End Logística Oi'!$J$3:$J$29,1,0),"")</f>
        <v/>
      </c>
      <c r="AI228" s="23" t="s">
        <v>54</v>
      </c>
      <c r="AJ228" s="23" t="s">
        <v>55</v>
      </c>
      <c r="AK228" s="23" t="e">
        <v>#N/A</v>
      </c>
    </row>
    <row r="229" spans="1:37" s="23" customFormat="1" ht="15" customHeight="1" x14ac:dyDescent="0.25">
      <c r="A229" s="19">
        <v>227</v>
      </c>
      <c r="B229" s="19" t="s">
        <v>56</v>
      </c>
      <c r="C229" s="19" t="s">
        <v>39</v>
      </c>
      <c r="D229" s="26" t="s">
        <v>40</v>
      </c>
      <c r="E229" s="19" t="s">
        <v>29</v>
      </c>
      <c r="F229" s="26" t="s">
        <v>467</v>
      </c>
      <c r="G229" s="19">
        <v>15902008831</v>
      </c>
      <c r="H229" s="19" t="s">
        <v>1244</v>
      </c>
      <c r="I229" s="20">
        <v>44061</v>
      </c>
      <c r="J229" s="19"/>
      <c r="K229" s="19" t="s">
        <v>45</v>
      </c>
      <c r="L229" s="36" t="s">
        <v>473</v>
      </c>
      <c r="M229" s="20"/>
      <c r="N229" s="36"/>
      <c r="O229" s="19" t="s">
        <v>45</v>
      </c>
      <c r="P229" s="19">
        <v>13599</v>
      </c>
      <c r="Q229" s="20">
        <v>44420</v>
      </c>
      <c r="R229" s="36"/>
      <c r="S229" s="19" t="s">
        <v>45</v>
      </c>
      <c r="T229" s="19" t="s">
        <v>1245</v>
      </c>
      <c r="U229" s="19" t="s">
        <v>49</v>
      </c>
      <c r="V229" s="19" t="s">
        <v>1246</v>
      </c>
      <c r="W229" s="35" t="s">
        <v>1247</v>
      </c>
      <c r="X229" s="21"/>
      <c r="Y229" s="22">
        <v>76535764024085</v>
      </c>
      <c r="Z229" s="23">
        <f t="shared" si="5"/>
        <v>227</v>
      </c>
      <c r="AA229" s="24" t="str">
        <f>IFERROR(VLOOKUP($Z229,'[1]End Fat Serviço - PA 15 e 16'!$K$3:$K$31,1,0), "")</f>
        <v/>
      </c>
      <c r="AB229" s="24" t="str">
        <f>IFERROR(VLOOKUP($Z229,'[1]End Fat Material - PA 12'!$K$3:$K$64,1,0), "")</f>
        <v/>
      </c>
      <c r="AC229" s="24" t="str">
        <f>IFERROR(VLOOKUP($Z229,'[1]End CA Lotação'!$L$3:$L$36,1,0), "")</f>
        <v/>
      </c>
      <c r="AD229" s="24">
        <f>IFERROR(VLOOKUP(Z229,'[1]RH - PARA 21.03'!$M$3:$M$555,1,0),"")</f>
        <v>227</v>
      </c>
      <c r="AE229" s="23" t="str">
        <f>IFERROR(VLOOKUP($Z229,'[1]CNPJ Oi Fat'!$K$3:$K$32,1,0),"")</f>
        <v/>
      </c>
      <c r="AF229" s="23" t="str">
        <f>IFERROR(VLOOKUP(Z229,'[1]End Logística Oi'!$D$3:$D$29,1,0),"")</f>
        <v/>
      </c>
      <c r="AG229" s="23" t="str">
        <f>IFERROR(VLOOKUP(Z229,'[1]End Logística Oi'!$J$3:$J$29,1,0),"")</f>
        <v/>
      </c>
      <c r="AI229" s="23" t="s">
        <v>54</v>
      </c>
      <c r="AJ229" s="23" t="s">
        <v>55</v>
      </c>
      <c r="AK229" s="23" t="e">
        <v>#N/A</v>
      </c>
    </row>
    <row r="230" spans="1:37" s="23" customFormat="1" ht="15" customHeight="1" x14ac:dyDescent="0.25">
      <c r="A230" s="19">
        <v>228</v>
      </c>
      <c r="B230" s="19" t="s">
        <v>56</v>
      </c>
      <c r="C230" s="19" t="s">
        <v>39</v>
      </c>
      <c r="D230" s="26" t="s">
        <v>40</v>
      </c>
      <c r="E230" s="19" t="s">
        <v>29</v>
      </c>
      <c r="F230" s="26" t="s">
        <v>467</v>
      </c>
      <c r="G230" s="19">
        <v>15902008814</v>
      </c>
      <c r="H230" s="19" t="s">
        <v>1248</v>
      </c>
      <c r="I230" s="20">
        <v>44061</v>
      </c>
      <c r="J230" s="19"/>
      <c r="K230" s="19" t="s">
        <v>45</v>
      </c>
      <c r="L230" s="36" t="s">
        <v>473</v>
      </c>
      <c r="M230" s="20"/>
      <c r="N230" s="36"/>
      <c r="O230" s="19" t="s">
        <v>45</v>
      </c>
      <c r="P230" s="19">
        <v>301018758</v>
      </c>
      <c r="Q230" s="36"/>
      <c r="R230" s="36"/>
      <c r="S230" s="19" t="s">
        <v>45</v>
      </c>
      <c r="T230" s="19" t="s">
        <v>1249</v>
      </c>
      <c r="U230" s="19" t="s">
        <v>1250</v>
      </c>
      <c r="V230" s="19" t="s">
        <v>1251</v>
      </c>
      <c r="W230" s="35" t="s">
        <v>1252</v>
      </c>
      <c r="X230" s="21"/>
      <c r="Y230" s="22">
        <v>76535764023860</v>
      </c>
      <c r="Z230" s="23">
        <f t="shared" si="5"/>
        <v>228</v>
      </c>
      <c r="AA230" s="24" t="str">
        <f>IFERROR(VLOOKUP($Z230,'[1]End Fat Serviço - PA 15 e 16'!$K$3:$K$31,1,0), "")</f>
        <v/>
      </c>
      <c r="AB230" s="24" t="str">
        <f>IFERROR(VLOOKUP($Z230,'[1]End Fat Material - PA 12'!$K$3:$K$64,1,0), "")</f>
        <v/>
      </c>
      <c r="AC230" s="24" t="str">
        <f>IFERROR(VLOOKUP($Z230,'[1]End CA Lotação'!$L$3:$L$36,1,0), "")</f>
        <v/>
      </c>
      <c r="AD230" s="24">
        <f>IFERROR(VLOOKUP(Z230,'[1]RH - PARA 21.03'!$M$3:$M$555,1,0),"")</f>
        <v>228</v>
      </c>
      <c r="AE230" s="23" t="str">
        <f>IFERROR(VLOOKUP($Z230,'[1]CNPJ Oi Fat'!$K$3:$K$32,1,0),"")</f>
        <v/>
      </c>
      <c r="AF230" s="23" t="str">
        <f>IFERROR(VLOOKUP(Z230,'[1]End Logística Oi'!$D$3:$D$29,1,0),"")</f>
        <v/>
      </c>
      <c r="AG230" s="23" t="str">
        <f>IFERROR(VLOOKUP(Z230,'[1]End Logística Oi'!$J$3:$J$29,1,0),"")</f>
        <v/>
      </c>
      <c r="AI230" s="23" t="s">
        <v>54</v>
      </c>
      <c r="AJ230" s="23" t="s">
        <v>55</v>
      </c>
      <c r="AK230" s="23" t="e">
        <v>#N/A</v>
      </c>
    </row>
    <row r="231" spans="1:37" s="23" customFormat="1" ht="15" customHeight="1" x14ac:dyDescent="0.25">
      <c r="A231" s="19">
        <v>229</v>
      </c>
      <c r="B231" s="19" t="s">
        <v>56</v>
      </c>
      <c r="C231" s="19" t="s">
        <v>39</v>
      </c>
      <c r="D231" s="26" t="s">
        <v>40</v>
      </c>
      <c r="E231" s="19" t="s">
        <v>29</v>
      </c>
      <c r="F231" s="26" t="s">
        <v>467</v>
      </c>
      <c r="G231" s="19">
        <v>15902008857</v>
      </c>
      <c r="H231" s="19" t="s">
        <v>1253</v>
      </c>
      <c r="I231" s="20">
        <v>44061</v>
      </c>
      <c r="J231" s="19"/>
      <c r="K231" s="19" t="s">
        <v>45</v>
      </c>
      <c r="L231" s="36" t="s">
        <v>473</v>
      </c>
      <c r="M231" s="20"/>
      <c r="N231" s="36"/>
      <c r="O231" s="19"/>
      <c r="P231" s="19">
        <v>42994</v>
      </c>
      <c r="Q231" s="20">
        <v>44062</v>
      </c>
      <c r="R231" s="36"/>
      <c r="S231" s="19" t="s">
        <v>45</v>
      </c>
      <c r="T231" s="19" t="s">
        <v>1254</v>
      </c>
      <c r="U231" s="19" t="s">
        <v>1255</v>
      </c>
      <c r="V231" s="19" t="s">
        <v>1256</v>
      </c>
      <c r="W231" s="35" t="s">
        <v>1257</v>
      </c>
      <c r="X231" s="21"/>
      <c r="Y231" s="22">
        <v>76535764024409</v>
      </c>
      <c r="Z231" s="23">
        <f t="shared" si="5"/>
        <v>229</v>
      </c>
      <c r="AA231" s="24" t="str">
        <f>IFERROR(VLOOKUP($Z231,'[1]End Fat Serviço - PA 15 e 16'!$K$3:$K$31,1,0), "")</f>
        <v/>
      </c>
      <c r="AB231" s="24" t="str">
        <f>IFERROR(VLOOKUP($Z231,'[1]End Fat Material - PA 12'!$K$3:$K$64,1,0), "")</f>
        <v/>
      </c>
      <c r="AC231" s="24" t="str">
        <f>IFERROR(VLOOKUP($Z231,'[1]End CA Lotação'!$L$3:$L$36,1,0), "")</f>
        <v/>
      </c>
      <c r="AD231" s="24">
        <f>IFERROR(VLOOKUP(Z231,'[1]RH - PARA 21.03'!$M$3:$M$555,1,0),"")</f>
        <v>229</v>
      </c>
      <c r="AE231" s="23" t="str">
        <f>IFERROR(VLOOKUP($Z231,'[1]CNPJ Oi Fat'!$K$3:$K$32,1,0),"")</f>
        <v/>
      </c>
      <c r="AF231" s="23" t="str">
        <f>IFERROR(VLOOKUP(Z231,'[1]End Logística Oi'!$D$3:$D$29,1,0),"")</f>
        <v/>
      </c>
      <c r="AG231" s="23" t="str">
        <f>IFERROR(VLOOKUP(Z231,'[1]End Logística Oi'!$J$3:$J$29,1,0),"")</f>
        <v/>
      </c>
      <c r="AI231" s="23" t="s">
        <v>54</v>
      </c>
      <c r="AJ231" s="23" t="s">
        <v>55</v>
      </c>
      <c r="AK231" s="23" t="e">
        <v>#N/A</v>
      </c>
    </row>
    <row r="232" spans="1:37" s="23" customFormat="1" ht="15" customHeight="1" x14ac:dyDescent="0.25">
      <c r="A232" s="19">
        <v>230</v>
      </c>
      <c r="B232" s="19" t="s">
        <v>56</v>
      </c>
      <c r="C232" s="19" t="s">
        <v>39</v>
      </c>
      <c r="D232" s="26" t="s">
        <v>40</v>
      </c>
      <c r="E232" s="19" t="s">
        <v>29</v>
      </c>
      <c r="F232" s="26" t="s">
        <v>467</v>
      </c>
      <c r="G232" s="19">
        <v>15902008849</v>
      </c>
      <c r="H232" s="19" t="s">
        <v>1258</v>
      </c>
      <c r="I232" s="20">
        <v>44061</v>
      </c>
      <c r="J232" s="19"/>
      <c r="K232" s="19" t="s">
        <v>45</v>
      </c>
      <c r="L232" s="36" t="s">
        <v>473</v>
      </c>
      <c r="M232" s="20"/>
      <c r="N232" s="36"/>
      <c r="O232" s="19" t="s">
        <v>45</v>
      </c>
      <c r="P232" s="19">
        <v>5460283</v>
      </c>
      <c r="Q232" s="36"/>
      <c r="R232" s="36"/>
      <c r="S232" s="19" t="s">
        <v>45</v>
      </c>
      <c r="T232" s="19" t="s">
        <v>1259</v>
      </c>
      <c r="U232" s="19" t="s">
        <v>1260</v>
      </c>
      <c r="V232" s="19" t="s">
        <v>1261</v>
      </c>
      <c r="W232" s="35" t="s">
        <v>1262</v>
      </c>
      <c r="X232" s="21"/>
      <c r="Y232" s="22">
        <v>76535764024166</v>
      </c>
      <c r="Z232" s="23">
        <f t="shared" si="5"/>
        <v>230</v>
      </c>
      <c r="AA232" s="24" t="str">
        <f>IFERROR(VLOOKUP($Z232,'[1]End Fat Serviço - PA 15 e 16'!$K$3:$K$31,1,0), "")</f>
        <v/>
      </c>
      <c r="AB232" s="24" t="str">
        <f>IFERROR(VLOOKUP($Z232,'[1]End Fat Material - PA 12'!$K$3:$K$64,1,0), "")</f>
        <v/>
      </c>
      <c r="AC232" s="24" t="str">
        <f>IFERROR(VLOOKUP($Z232,'[1]End CA Lotação'!$L$3:$L$36,1,0), "")</f>
        <v/>
      </c>
      <c r="AD232" s="24">
        <f>IFERROR(VLOOKUP(Z232,'[1]RH - PARA 21.03'!$M$3:$M$555,1,0),"")</f>
        <v>230</v>
      </c>
      <c r="AE232" s="23" t="str">
        <f>IFERROR(VLOOKUP($Z232,'[1]CNPJ Oi Fat'!$K$3:$K$32,1,0),"")</f>
        <v/>
      </c>
      <c r="AF232" s="23" t="str">
        <f>IFERROR(VLOOKUP(Z232,'[1]End Logística Oi'!$D$3:$D$29,1,0),"")</f>
        <v/>
      </c>
      <c r="AG232" s="23" t="str">
        <f>IFERROR(VLOOKUP(Z232,'[1]End Logística Oi'!$J$3:$J$29,1,0),"")</f>
        <v/>
      </c>
      <c r="AI232" s="23" t="s">
        <v>54</v>
      </c>
      <c r="AJ232" s="23" t="s">
        <v>55</v>
      </c>
      <c r="AK232" s="23" t="e">
        <v>#N/A</v>
      </c>
    </row>
    <row r="233" spans="1:37" s="23" customFormat="1" ht="15" hidden="1" customHeight="1" x14ac:dyDescent="0.25">
      <c r="A233" s="19">
        <v>231</v>
      </c>
      <c r="B233" s="19" t="s">
        <v>148</v>
      </c>
      <c r="C233" s="19" t="s">
        <v>39</v>
      </c>
      <c r="D233" s="26" t="s">
        <v>40</v>
      </c>
      <c r="E233" s="19" t="s">
        <v>29</v>
      </c>
      <c r="F233" s="26" t="s">
        <v>467</v>
      </c>
      <c r="G233" s="19">
        <v>25900442779</v>
      </c>
      <c r="H233" s="19" t="s">
        <v>1263</v>
      </c>
      <c r="I233" s="20">
        <v>44061</v>
      </c>
      <c r="J233" s="19"/>
      <c r="K233" s="19" t="s">
        <v>45</v>
      </c>
      <c r="L233" s="36"/>
      <c r="M233" s="20"/>
      <c r="N233" s="36"/>
      <c r="O233" s="19"/>
      <c r="P233" s="19">
        <v>680823</v>
      </c>
      <c r="Q233" s="36"/>
      <c r="R233" s="36"/>
      <c r="S233" s="19" t="s">
        <v>45</v>
      </c>
      <c r="T233" s="19" t="s">
        <v>1264</v>
      </c>
      <c r="U233" s="19" t="s">
        <v>49</v>
      </c>
      <c r="V233" s="19" t="s">
        <v>1265</v>
      </c>
      <c r="W233" s="35" t="s">
        <v>1266</v>
      </c>
      <c r="X233" s="21"/>
      <c r="Y233" s="22">
        <v>76535764027262</v>
      </c>
      <c r="Z233" s="23">
        <f t="shared" si="5"/>
        <v>231</v>
      </c>
      <c r="AA233" s="24" t="str">
        <f>IFERROR(VLOOKUP($Z233,'[1]End Fat Serviço - PA 15 e 16'!$K$3:$K$31,1,0), "")</f>
        <v/>
      </c>
      <c r="AB233" s="24" t="str">
        <f>IFERROR(VLOOKUP($Z233,'[1]End Fat Material - PA 12'!$K$3:$K$64,1,0), "")</f>
        <v/>
      </c>
      <c r="AC233" s="24" t="str">
        <f>IFERROR(VLOOKUP($Z233,'[1]End CA Lotação'!$L$3:$L$36,1,0), "")</f>
        <v/>
      </c>
      <c r="AD233" s="24" t="str">
        <f>IFERROR(VLOOKUP(Z233,'[1]RH - PARA 21.03'!$M$3:$M$555,1,0),"")</f>
        <v/>
      </c>
      <c r="AE233" s="23" t="str">
        <f>IFERROR(VLOOKUP($Z233,'[1]CNPJ Oi Fat'!$K$3:$K$32,1,0),"")</f>
        <v/>
      </c>
      <c r="AF233" s="23" t="str">
        <f>IFERROR(VLOOKUP(Z233,'[1]End Logística Oi'!$D$3:$D$29,1,0),"")</f>
        <v/>
      </c>
      <c r="AG233" s="23" t="str">
        <f>IFERROR(VLOOKUP(Z233,'[1]End Logística Oi'!$J$3:$J$29,1,0),"")</f>
        <v/>
      </c>
      <c r="AI233" s="23" t="s">
        <v>55</v>
      </c>
      <c r="AJ233" s="23" t="s">
        <v>55</v>
      </c>
      <c r="AK233" s="23" t="e">
        <v>#N/A</v>
      </c>
    </row>
    <row r="234" spans="1:37" s="23" customFormat="1" ht="15" customHeight="1" x14ac:dyDescent="0.25">
      <c r="A234" s="19">
        <v>232</v>
      </c>
      <c r="B234" s="19" t="s">
        <v>148</v>
      </c>
      <c r="C234" s="19" t="s">
        <v>39</v>
      </c>
      <c r="D234" s="26" t="s">
        <v>40</v>
      </c>
      <c r="E234" s="19" t="s">
        <v>29</v>
      </c>
      <c r="F234" s="26" t="s">
        <v>467</v>
      </c>
      <c r="G234" s="19">
        <v>25900442761</v>
      </c>
      <c r="H234" s="19" t="s">
        <v>1267</v>
      </c>
      <c r="I234" s="20">
        <v>44061</v>
      </c>
      <c r="J234" s="19"/>
      <c r="K234" s="19" t="s">
        <v>45</v>
      </c>
      <c r="L234" s="36"/>
      <c r="M234" s="20"/>
      <c r="N234" s="36"/>
      <c r="O234" s="19"/>
      <c r="P234" s="19">
        <v>1581201</v>
      </c>
      <c r="Q234" s="36"/>
      <c r="R234" s="36"/>
      <c r="S234" s="19" t="s">
        <v>45</v>
      </c>
      <c r="T234" s="19" t="s">
        <v>1268</v>
      </c>
      <c r="U234" s="19" t="s">
        <v>49</v>
      </c>
      <c r="V234" s="19" t="s">
        <v>154</v>
      </c>
      <c r="W234" s="35" t="s">
        <v>1269</v>
      </c>
      <c r="X234" s="21"/>
      <c r="Y234" s="22">
        <v>76535764027181</v>
      </c>
      <c r="Z234" s="23">
        <f t="shared" si="5"/>
        <v>232</v>
      </c>
      <c r="AA234" s="24" t="str">
        <f>IFERROR(VLOOKUP($Z234,'[1]End Fat Serviço - PA 15 e 16'!$K$3:$K$31,1,0), "")</f>
        <v/>
      </c>
      <c r="AB234" s="24" t="str">
        <f>IFERROR(VLOOKUP($Z234,'[1]End Fat Material - PA 12'!$K$3:$K$64,1,0), "")</f>
        <v/>
      </c>
      <c r="AC234" s="24" t="str">
        <f>IFERROR(VLOOKUP($Z234,'[1]End CA Lotação'!$L$3:$L$36,1,0), "")</f>
        <v/>
      </c>
      <c r="AD234" s="24">
        <f>IFERROR(VLOOKUP(Z234,'[1]RH - PARA 21.03'!$M$3:$M$555,1,0),"")</f>
        <v>232</v>
      </c>
      <c r="AE234" s="23" t="str">
        <f>IFERROR(VLOOKUP($Z234,'[1]CNPJ Oi Fat'!$K$3:$K$32,1,0),"")</f>
        <v/>
      </c>
      <c r="AF234" s="23" t="str">
        <f>IFERROR(VLOOKUP(Z234,'[1]End Logística Oi'!$D$3:$D$29,1,0),"")</f>
        <v/>
      </c>
      <c r="AG234" s="23" t="str">
        <f>IFERROR(VLOOKUP(Z234,'[1]End Logística Oi'!$J$3:$J$29,1,0),"")</f>
        <v/>
      </c>
      <c r="AI234" s="23" t="s">
        <v>54</v>
      </c>
      <c r="AJ234" s="23" t="s">
        <v>55</v>
      </c>
      <c r="AK234" s="23" t="e">
        <v>#N/A</v>
      </c>
    </row>
    <row r="235" spans="1:37" s="23" customFormat="1" ht="15" hidden="1" customHeight="1" x14ac:dyDescent="0.25">
      <c r="A235" s="19">
        <v>233</v>
      </c>
      <c r="B235" s="19" t="s">
        <v>148</v>
      </c>
      <c r="C235" s="19" t="s">
        <v>39</v>
      </c>
      <c r="D235" s="26" t="s">
        <v>40</v>
      </c>
      <c r="E235" s="19" t="s">
        <v>29</v>
      </c>
      <c r="F235" s="26" t="s">
        <v>467</v>
      </c>
      <c r="G235" s="19">
        <v>25900442787</v>
      </c>
      <c r="H235" s="19" t="s">
        <v>1270</v>
      </c>
      <c r="I235" s="20">
        <v>44061</v>
      </c>
      <c r="J235" s="19"/>
      <c r="K235" s="19" t="s">
        <v>45</v>
      </c>
      <c r="L235" s="36" t="s">
        <v>1271</v>
      </c>
      <c r="M235" s="20">
        <v>44062</v>
      </c>
      <c r="N235" s="36"/>
      <c r="O235" s="19" t="s">
        <v>45</v>
      </c>
      <c r="P235" s="19">
        <v>5043212</v>
      </c>
      <c r="Q235" s="20">
        <v>44329</v>
      </c>
      <c r="R235" s="36"/>
      <c r="S235" s="19" t="s">
        <v>45</v>
      </c>
      <c r="T235" s="19" t="s">
        <v>1272</v>
      </c>
      <c r="U235" s="19" t="s">
        <v>49</v>
      </c>
      <c r="V235" s="19" t="s">
        <v>1273</v>
      </c>
      <c r="W235" s="35" t="s">
        <v>1274</v>
      </c>
      <c r="X235" s="21"/>
      <c r="Y235" s="22">
        <v>76535764027343</v>
      </c>
      <c r="Z235" s="23">
        <f t="shared" si="5"/>
        <v>233</v>
      </c>
      <c r="AA235" s="24" t="str">
        <f>IFERROR(VLOOKUP($Z235,'[1]End Fat Serviço - PA 15 e 16'!$K$3:$K$31,1,0), "")</f>
        <v/>
      </c>
      <c r="AB235" s="24" t="str">
        <f>IFERROR(VLOOKUP($Z235,'[1]End Fat Material - PA 12'!$K$3:$K$64,1,0), "")</f>
        <v/>
      </c>
      <c r="AC235" s="24" t="str">
        <f>IFERROR(VLOOKUP($Z235,'[1]End CA Lotação'!$L$3:$L$36,1,0), "")</f>
        <v/>
      </c>
      <c r="AD235" s="24" t="str">
        <f>IFERROR(VLOOKUP(Z235,'[1]RH - PARA 21.03'!$M$3:$M$555,1,0),"")</f>
        <v/>
      </c>
      <c r="AE235" s="23" t="str">
        <f>IFERROR(VLOOKUP($Z235,'[1]CNPJ Oi Fat'!$K$3:$K$32,1,0),"")</f>
        <v/>
      </c>
      <c r="AF235" s="23" t="str">
        <f>IFERROR(VLOOKUP(Z235,'[1]End Logística Oi'!$D$3:$D$29,1,0),"")</f>
        <v/>
      </c>
      <c r="AG235" s="23" t="str">
        <f>IFERROR(VLOOKUP(Z235,'[1]End Logística Oi'!$J$3:$J$29,1,0),"")</f>
        <v/>
      </c>
      <c r="AI235" s="23" t="s">
        <v>55</v>
      </c>
      <c r="AJ235" s="23" t="s">
        <v>55</v>
      </c>
      <c r="AK235" s="23" t="e">
        <v>#N/A</v>
      </c>
    </row>
    <row r="236" spans="1:37" s="23" customFormat="1" ht="15" customHeight="1" x14ac:dyDescent="0.25">
      <c r="A236" s="19">
        <v>234</v>
      </c>
      <c r="B236" s="19" t="s">
        <v>214</v>
      </c>
      <c r="C236" s="19" t="s">
        <v>39</v>
      </c>
      <c r="D236" s="26" t="s">
        <v>40</v>
      </c>
      <c r="E236" s="19" t="s">
        <v>29</v>
      </c>
      <c r="F236" s="26" t="s">
        <v>467</v>
      </c>
      <c r="G236" s="19">
        <v>26902009232</v>
      </c>
      <c r="H236" s="19" t="s">
        <v>1275</v>
      </c>
      <c r="I236" s="20">
        <v>44061</v>
      </c>
      <c r="J236" s="19"/>
      <c r="K236" s="19" t="s">
        <v>45</v>
      </c>
      <c r="L236" s="36" t="s">
        <v>473</v>
      </c>
      <c r="M236" s="20"/>
      <c r="N236" s="36"/>
      <c r="O236" s="19"/>
      <c r="P236" s="19">
        <v>90613742</v>
      </c>
      <c r="Q236" s="20">
        <v>44061</v>
      </c>
      <c r="R236" s="36"/>
      <c r="S236" s="19" t="s">
        <v>45</v>
      </c>
      <c r="T236" s="19" t="s">
        <v>1276</v>
      </c>
      <c r="U236" s="19" t="s">
        <v>1277</v>
      </c>
      <c r="V236" s="19" t="s">
        <v>1278</v>
      </c>
      <c r="W236" s="35" t="s">
        <v>1279</v>
      </c>
      <c r="X236" s="21"/>
      <c r="Y236" s="22">
        <v>76535764027424</v>
      </c>
      <c r="Z236" s="23">
        <f t="shared" si="5"/>
        <v>234</v>
      </c>
      <c r="AA236" s="24" t="str">
        <f>IFERROR(VLOOKUP($Z236,'[1]End Fat Serviço - PA 15 e 16'!$K$3:$K$31,1,0), "")</f>
        <v/>
      </c>
      <c r="AB236" s="24" t="str">
        <f>IFERROR(VLOOKUP($Z236,'[1]End Fat Material - PA 12'!$K$3:$K$64,1,0), "")</f>
        <v/>
      </c>
      <c r="AC236" s="24" t="str">
        <f>IFERROR(VLOOKUP($Z236,'[1]End CA Lotação'!$L$3:$L$36,1,0), "")</f>
        <v/>
      </c>
      <c r="AD236" s="24">
        <f>IFERROR(VLOOKUP(Z236,'[1]RH - PARA 21.03'!$M$3:$M$555,1,0),"")</f>
        <v>234</v>
      </c>
      <c r="AE236" s="23" t="str">
        <f>IFERROR(VLOOKUP($Z236,'[1]CNPJ Oi Fat'!$K$3:$K$32,1,0),"")</f>
        <v/>
      </c>
      <c r="AF236" s="23" t="str">
        <f>IFERROR(VLOOKUP(Z236,'[1]End Logística Oi'!$D$3:$D$29,1,0),"")</f>
        <v/>
      </c>
      <c r="AG236" s="23" t="str">
        <f>IFERROR(VLOOKUP(Z236,'[1]End Logística Oi'!$J$3:$J$29,1,0),"")</f>
        <v/>
      </c>
      <c r="AI236" s="23" t="s">
        <v>54</v>
      </c>
      <c r="AJ236" s="23" t="s">
        <v>55</v>
      </c>
      <c r="AK236" s="23" t="e">
        <v>#N/A</v>
      </c>
    </row>
    <row r="237" spans="1:37" s="23" customFormat="1" ht="15" customHeight="1" x14ac:dyDescent="0.25">
      <c r="A237" s="25">
        <v>235</v>
      </c>
      <c r="B237" s="26" t="s">
        <v>230</v>
      </c>
      <c r="C237" s="27" t="s">
        <v>39</v>
      </c>
      <c r="D237" s="26" t="s">
        <v>40</v>
      </c>
      <c r="E237" s="26" t="s">
        <v>29</v>
      </c>
      <c r="F237" s="26" t="s">
        <v>467</v>
      </c>
      <c r="G237" s="28">
        <v>33901787679</v>
      </c>
      <c r="H237" s="26" t="s">
        <v>1280</v>
      </c>
      <c r="I237" s="29">
        <v>44061</v>
      </c>
      <c r="J237" s="30"/>
      <c r="K237" s="19" t="s">
        <v>45</v>
      </c>
      <c r="L237" s="31">
        <v>77685022</v>
      </c>
      <c r="M237" s="29">
        <v>38049</v>
      </c>
      <c r="N237" s="32"/>
      <c r="O237" s="31" t="s">
        <v>336</v>
      </c>
      <c r="P237" s="33" t="s">
        <v>1281</v>
      </c>
      <c r="Q237" s="29">
        <v>44061</v>
      </c>
      <c r="R237" s="32"/>
      <c r="S237" s="31" t="s">
        <v>45</v>
      </c>
      <c r="T237" s="31" t="s">
        <v>1282</v>
      </c>
      <c r="U237" s="31" t="s">
        <v>49</v>
      </c>
      <c r="V237" s="27" t="s">
        <v>1016</v>
      </c>
      <c r="W237" s="31" t="s">
        <v>1283</v>
      </c>
      <c r="X237" s="21"/>
      <c r="Y237" s="22">
        <v>76535764019243</v>
      </c>
      <c r="Z237" s="23">
        <v>235</v>
      </c>
      <c r="AA237" s="24">
        <v>235</v>
      </c>
      <c r="AB237" s="24">
        <v>235</v>
      </c>
      <c r="AC237" s="24">
        <v>235</v>
      </c>
      <c r="AD237" s="24">
        <v>235</v>
      </c>
      <c r="AE237" s="23" t="s">
        <v>65</v>
      </c>
      <c r="AF237" s="23" t="s">
        <v>65</v>
      </c>
      <c r="AG237" s="23" t="s">
        <v>65</v>
      </c>
      <c r="AH237" s="34" t="s">
        <v>357</v>
      </c>
      <c r="AI237" s="23" t="s">
        <v>54</v>
      </c>
      <c r="AJ237" s="23" t="s">
        <v>54</v>
      </c>
      <c r="AK237" s="23" t="s">
        <v>67</v>
      </c>
    </row>
    <row r="238" spans="1:37" s="23" customFormat="1" ht="15" hidden="1" customHeight="1" x14ac:dyDescent="0.25">
      <c r="A238" s="19">
        <v>236</v>
      </c>
      <c r="B238" s="19" t="s">
        <v>230</v>
      </c>
      <c r="C238" s="19" t="s">
        <v>39</v>
      </c>
      <c r="D238" s="26" t="s">
        <v>40</v>
      </c>
      <c r="E238" s="19" t="s">
        <v>29</v>
      </c>
      <c r="F238" s="26" t="s">
        <v>467</v>
      </c>
      <c r="G238" s="19">
        <v>33901787644</v>
      </c>
      <c r="H238" s="19" t="s">
        <v>1284</v>
      </c>
      <c r="I238" s="20">
        <v>44061</v>
      </c>
      <c r="J238" s="19"/>
      <c r="K238" s="19" t="s">
        <v>45</v>
      </c>
      <c r="L238" s="36">
        <v>77685022</v>
      </c>
      <c r="M238" s="20" t="s">
        <v>473</v>
      </c>
      <c r="N238" s="36"/>
      <c r="O238" s="19"/>
      <c r="P238" s="19" t="s">
        <v>1285</v>
      </c>
      <c r="Q238" s="36"/>
      <c r="R238" s="36"/>
      <c r="S238" s="19" t="s">
        <v>45</v>
      </c>
      <c r="T238" s="19" t="s">
        <v>1286</v>
      </c>
      <c r="U238" s="19" t="s">
        <v>1287</v>
      </c>
      <c r="V238" s="19" t="s">
        <v>235</v>
      </c>
      <c r="W238" s="35" t="s">
        <v>1288</v>
      </c>
      <c r="X238" s="21"/>
      <c r="Y238" s="22">
        <v>76535764018948</v>
      </c>
      <c r="Z238" s="23">
        <f t="shared" ref="Z238:Z248" si="6">A238</f>
        <v>236</v>
      </c>
      <c r="AA238" s="24" t="str">
        <f>IFERROR(VLOOKUP($Z238,'[1]End Fat Serviço - PA 15 e 16'!$K$3:$K$31,1,0), "")</f>
        <v/>
      </c>
      <c r="AB238" s="24" t="str">
        <f>IFERROR(VLOOKUP($Z238,'[1]End Fat Material - PA 12'!$K$3:$K$64,1,0), "")</f>
        <v/>
      </c>
      <c r="AC238" s="24" t="str">
        <f>IFERROR(VLOOKUP($Z238,'[1]End CA Lotação'!$L$3:$L$36,1,0), "")</f>
        <v/>
      </c>
      <c r="AD238" s="24" t="str">
        <f>IFERROR(VLOOKUP(Z238,'[1]RH - PARA 21.03'!$M$3:$M$555,1,0),"")</f>
        <v/>
      </c>
      <c r="AE238" s="23" t="str">
        <f>IFERROR(VLOOKUP($Z238,'[1]CNPJ Oi Fat'!$K$3:$K$32,1,0),"")</f>
        <v/>
      </c>
      <c r="AF238" s="23" t="str">
        <f>IFERROR(VLOOKUP(Z238,'[1]End Logística Oi'!$D$3:$D$29,1,0),"")</f>
        <v/>
      </c>
      <c r="AG238" s="23" t="str">
        <f>IFERROR(VLOOKUP(Z238,'[1]End Logística Oi'!$J$3:$J$29,1,0),"")</f>
        <v/>
      </c>
      <c r="AI238" s="23" t="s">
        <v>55</v>
      </c>
      <c r="AJ238" s="23" t="s">
        <v>55</v>
      </c>
      <c r="AK238" s="23" t="e">
        <v>#N/A</v>
      </c>
    </row>
    <row r="239" spans="1:37" s="23" customFormat="1" ht="15" hidden="1" customHeight="1" x14ac:dyDescent="0.25">
      <c r="A239" s="19">
        <v>237</v>
      </c>
      <c r="B239" s="19" t="s">
        <v>230</v>
      </c>
      <c r="C239" s="19" t="s">
        <v>39</v>
      </c>
      <c r="D239" s="26" t="s">
        <v>40</v>
      </c>
      <c r="E239" s="19" t="s">
        <v>29</v>
      </c>
      <c r="F239" s="26" t="s">
        <v>467</v>
      </c>
      <c r="G239" s="19">
        <v>33901787661</v>
      </c>
      <c r="H239" s="19" t="s">
        <v>1289</v>
      </c>
      <c r="I239" s="20">
        <v>44061</v>
      </c>
      <c r="J239" s="19"/>
      <c r="K239" s="19" t="s">
        <v>45</v>
      </c>
      <c r="L239" s="36">
        <v>77685022</v>
      </c>
      <c r="M239" s="20" t="s">
        <v>473</v>
      </c>
      <c r="N239" s="36"/>
      <c r="O239" s="19"/>
      <c r="P239" s="19" t="s">
        <v>1290</v>
      </c>
      <c r="Q239" s="36"/>
      <c r="R239" s="36"/>
      <c r="S239" s="19" t="s">
        <v>45</v>
      </c>
      <c r="T239" s="19" t="s">
        <v>1291</v>
      </c>
      <c r="U239" s="19" t="s">
        <v>1292</v>
      </c>
      <c r="V239" s="19" t="s">
        <v>235</v>
      </c>
      <c r="W239" s="35" t="s">
        <v>1293</v>
      </c>
      <c r="X239" s="21"/>
      <c r="Y239" s="22">
        <v>76535764019162</v>
      </c>
      <c r="Z239" s="23">
        <f t="shared" si="6"/>
        <v>237</v>
      </c>
      <c r="AA239" s="24" t="str">
        <f>IFERROR(VLOOKUP($Z239,'[1]End Fat Serviço - PA 15 e 16'!$K$3:$K$31,1,0), "")</f>
        <v/>
      </c>
      <c r="AB239" s="24" t="str">
        <f>IFERROR(VLOOKUP($Z239,'[1]End Fat Material - PA 12'!$K$3:$K$64,1,0), "")</f>
        <v/>
      </c>
      <c r="AC239" s="24" t="str">
        <f>IFERROR(VLOOKUP($Z239,'[1]End CA Lotação'!$L$3:$L$36,1,0), "")</f>
        <v/>
      </c>
      <c r="AD239" s="24" t="str">
        <f>IFERROR(VLOOKUP(Z239,'[1]RH - PARA 21.03'!$M$3:$M$555,1,0),"")</f>
        <v/>
      </c>
      <c r="AE239" s="23" t="str">
        <f>IFERROR(VLOOKUP($Z239,'[1]CNPJ Oi Fat'!$K$3:$K$32,1,0),"")</f>
        <v/>
      </c>
      <c r="AF239" s="23" t="str">
        <f>IFERROR(VLOOKUP(Z239,'[1]End Logística Oi'!$D$3:$D$29,1,0),"")</f>
        <v/>
      </c>
      <c r="AG239" s="23" t="str">
        <f>IFERROR(VLOOKUP(Z239,'[1]End Logística Oi'!$J$3:$J$29,1,0),"")</f>
        <v/>
      </c>
      <c r="AI239" s="23" t="s">
        <v>55</v>
      </c>
      <c r="AJ239" s="23" t="s">
        <v>55</v>
      </c>
      <c r="AK239" s="23" t="e">
        <v>#N/A</v>
      </c>
    </row>
    <row r="240" spans="1:37" s="23" customFormat="1" ht="15" hidden="1" customHeight="1" x14ac:dyDescent="0.25">
      <c r="A240" s="19">
        <v>238</v>
      </c>
      <c r="B240" s="19" t="s">
        <v>230</v>
      </c>
      <c r="C240" s="19" t="s">
        <v>39</v>
      </c>
      <c r="D240" s="26" t="s">
        <v>40</v>
      </c>
      <c r="E240" s="19" t="s">
        <v>29</v>
      </c>
      <c r="F240" s="26" t="s">
        <v>467</v>
      </c>
      <c r="G240" s="19">
        <v>33901787652</v>
      </c>
      <c r="H240" s="19" t="s">
        <v>1294</v>
      </c>
      <c r="I240" s="20">
        <v>44061</v>
      </c>
      <c r="J240" s="19"/>
      <c r="K240" s="19" t="s">
        <v>45</v>
      </c>
      <c r="L240" s="36">
        <v>77685022</v>
      </c>
      <c r="M240" s="20" t="s">
        <v>473</v>
      </c>
      <c r="N240" s="36"/>
      <c r="O240" s="19"/>
      <c r="P240" s="19" t="s">
        <v>1295</v>
      </c>
      <c r="Q240" s="36"/>
      <c r="R240" s="36"/>
      <c r="S240" s="19" t="s">
        <v>45</v>
      </c>
      <c r="T240" s="19" t="s">
        <v>1296</v>
      </c>
      <c r="U240" s="19" t="s">
        <v>1297</v>
      </c>
      <c r="V240" s="19" t="s">
        <v>235</v>
      </c>
      <c r="W240" s="35" t="s">
        <v>1298</v>
      </c>
      <c r="X240" s="21"/>
      <c r="Y240" s="22">
        <v>76535764019081</v>
      </c>
      <c r="Z240" s="23">
        <f t="shared" si="6"/>
        <v>238</v>
      </c>
      <c r="AA240" s="24" t="str">
        <f>IFERROR(VLOOKUP($Z240,'[1]End Fat Serviço - PA 15 e 16'!$K$3:$K$31,1,0), "")</f>
        <v/>
      </c>
      <c r="AB240" s="24" t="str">
        <f>IFERROR(VLOOKUP($Z240,'[1]End Fat Material - PA 12'!$K$3:$K$64,1,0), "")</f>
        <v/>
      </c>
      <c r="AC240" s="24" t="str">
        <f>IFERROR(VLOOKUP($Z240,'[1]End CA Lotação'!$L$3:$L$36,1,0), "")</f>
        <v/>
      </c>
      <c r="AD240" s="24" t="str">
        <f>IFERROR(VLOOKUP(Z240,'[1]RH - PARA 21.03'!$M$3:$M$555,1,0),"")</f>
        <v/>
      </c>
      <c r="AE240" s="23" t="str">
        <f>IFERROR(VLOOKUP($Z240,'[1]CNPJ Oi Fat'!$K$3:$K$32,1,0),"")</f>
        <v/>
      </c>
      <c r="AF240" s="23" t="str">
        <f>IFERROR(VLOOKUP(Z240,'[1]End Logística Oi'!$D$3:$D$29,1,0),"")</f>
        <v/>
      </c>
      <c r="AG240" s="23" t="str">
        <f>IFERROR(VLOOKUP(Z240,'[1]End Logística Oi'!$J$3:$J$29,1,0),"")</f>
        <v/>
      </c>
      <c r="AI240" s="23" t="s">
        <v>55</v>
      </c>
      <c r="AJ240" s="23" t="s">
        <v>55</v>
      </c>
      <c r="AK240" s="23" t="e">
        <v>#N/A</v>
      </c>
    </row>
    <row r="241" spans="1:38" s="23" customFormat="1" ht="15" customHeight="1" x14ac:dyDescent="0.25">
      <c r="A241" s="19">
        <v>239</v>
      </c>
      <c r="B241" s="19" t="s">
        <v>165</v>
      </c>
      <c r="C241" s="19" t="s">
        <v>39</v>
      </c>
      <c r="D241" s="19" t="s">
        <v>40</v>
      </c>
      <c r="E241" s="19" t="s">
        <v>29</v>
      </c>
      <c r="F241" s="26" t="s">
        <v>467</v>
      </c>
      <c r="G241" s="19">
        <v>27905193876</v>
      </c>
      <c r="H241" s="19" t="s">
        <v>1299</v>
      </c>
      <c r="I241" s="20">
        <v>44071</v>
      </c>
      <c r="J241" s="19"/>
      <c r="K241" s="19" t="s">
        <v>45</v>
      </c>
      <c r="L241" s="36" t="s">
        <v>1300</v>
      </c>
      <c r="M241" s="20">
        <v>44071</v>
      </c>
      <c r="N241" s="36"/>
      <c r="O241" s="19" t="s">
        <v>1301</v>
      </c>
      <c r="P241" s="19">
        <v>156668</v>
      </c>
      <c r="Q241" s="36"/>
      <c r="R241" s="36"/>
      <c r="S241" s="19" t="s">
        <v>45</v>
      </c>
      <c r="T241" s="19" t="s">
        <v>1302</v>
      </c>
      <c r="U241" s="19" t="s">
        <v>49</v>
      </c>
      <c r="V241" s="19" t="s">
        <v>1303</v>
      </c>
      <c r="W241" s="35" t="s">
        <v>1304</v>
      </c>
      <c r="X241" s="21"/>
      <c r="Y241" s="22">
        <v>76535764034803</v>
      </c>
      <c r="Z241" s="23">
        <f t="shared" si="6"/>
        <v>239</v>
      </c>
      <c r="AA241" s="24" t="str">
        <f>IFERROR(VLOOKUP($Z241,'[1]End Fat Serviço - PA 15 e 16'!$K$3:$K$31,1,0), "")</f>
        <v/>
      </c>
      <c r="AB241" s="24" t="str">
        <f>IFERROR(VLOOKUP($Z241,'[1]End Fat Material - PA 12'!$K$3:$K$64,1,0), "")</f>
        <v/>
      </c>
      <c r="AC241" s="24" t="str">
        <f>IFERROR(VLOOKUP($Z241,'[1]End CA Lotação'!$L$3:$L$36,1,0), "")</f>
        <v/>
      </c>
      <c r="AD241" s="24">
        <f>IFERROR(VLOOKUP(Z241,'[1]RH - PARA 21.03'!$M$3:$M$555,1,0),"")</f>
        <v>239</v>
      </c>
      <c r="AE241" s="23" t="str">
        <f>IFERROR(VLOOKUP($Z241,'[1]CNPJ Oi Fat'!$K$3:$K$32,1,0),"")</f>
        <v/>
      </c>
      <c r="AF241" s="23" t="str">
        <f>IFERROR(VLOOKUP(Z241,'[1]End Logística Oi'!$D$3:$D$29,1,0),"")</f>
        <v/>
      </c>
      <c r="AG241" s="23" t="str">
        <f>IFERROR(VLOOKUP(Z241,'[1]End Logística Oi'!$J$3:$J$29,1,0),"")</f>
        <v/>
      </c>
      <c r="AI241" s="23" t="s">
        <v>54</v>
      </c>
      <c r="AJ241" s="23" t="s">
        <v>55</v>
      </c>
      <c r="AK241" s="23" t="e">
        <v>#N/A</v>
      </c>
    </row>
    <row r="242" spans="1:38" s="23" customFormat="1" ht="15" customHeight="1" x14ac:dyDescent="0.25">
      <c r="A242" s="19">
        <v>240</v>
      </c>
      <c r="B242" s="19" t="s">
        <v>237</v>
      </c>
      <c r="C242" s="19" t="s">
        <v>39</v>
      </c>
      <c r="D242" s="19" t="s">
        <v>40</v>
      </c>
      <c r="E242" s="19" t="s">
        <v>29</v>
      </c>
      <c r="F242" s="26" t="s">
        <v>467</v>
      </c>
      <c r="G242" s="19">
        <v>29902012848</v>
      </c>
      <c r="H242" s="19" t="s">
        <v>1305</v>
      </c>
      <c r="I242" s="20">
        <v>44071</v>
      </c>
      <c r="J242" s="19"/>
      <c r="K242" s="19" t="s">
        <v>45</v>
      </c>
      <c r="L242" s="19">
        <v>170647116</v>
      </c>
      <c r="M242" s="20">
        <v>44072</v>
      </c>
      <c r="N242" s="20">
        <v>44103</v>
      </c>
      <c r="O242" s="19" t="s">
        <v>491</v>
      </c>
      <c r="P242" s="19">
        <v>4126626</v>
      </c>
      <c r="Q242" s="20">
        <v>44312</v>
      </c>
      <c r="R242" s="36"/>
      <c r="S242" s="19" t="s">
        <v>45</v>
      </c>
      <c r="T242" s="19" t="s">
        <v>1306</v>
      </c>
      <c r="U242" s="19" t="s">
        <v>49</v>
      </c>
      <c r="V242" s="19" t="s">
        <v>1307</v>
      </c>
      <c r="W242" s="35" t="s">
        <v>1308</v>
      </c>
      <c r="X242" s="21"/>
      <c r="Y242" s="22">
        <v>76535764034714</v>
      </c>
      <c r="Z242" s="23">
        <f t="shared" si="6"/>
        <v>240</v>
      </c>
      <c r="AA242" s="24" t="str">
        <f>IFERROR(VLOOKUP($Z242,'[1]End Fat Serviço - PA 15 e 16'!$K$3:$K$31,1,0), "")</f>
        <v/>
      </c>
      <c r="AB242" s="24" t="str">
        <f>IFERROR(VLOOKUP($Z242,'[1]End Fat Material - PA 12'!$K$3:$K$64,1,0), "")</f>
        <v/>
      </c>
      <c r="AC242" s="24" t="str">
        <f>IFERROR(VLOOKUP($Z242,'[1]End CA Lotação'!$L$3:$L$36,1,0), "")</f>
        <v/>
      </c>
      <c r="AD242" s="24">
        <f>IFERROR(VLOOKUP(Z242,'[1]RH - PARA 21.03'!$M$3:$M$555,1,0),"")</f>
        <v>240</v>
      </c>
      <c r="AE242" s="23" t="str">
        <f>IFERROR(VLOOKUP($Z242,'[1]CNPJ Oi Fat'!$K$3:$K$32,1,0),"")</f>
        <v/>
      </c>
      <c r="AF242" s="23" t="str">
        <f>IFERROR(VLOOKUP(Z242,'[1]End Logística Oi'!$D$3:$D$29,1,0),"")</f>
        <v/>
      </c>
      <c r="AG242" s="23" t="str">
        <f>IFERROR(VLOOKUP(Z242,'[1]End Logística Oi'!$J$3:$J$29,1,0),"")</f>
        <v/>
      </c>
      <c r="AI242" s="23" t="s">
        <v>54</v>
      </c>
      <c r="AJ242" s="23" t="s">
        <v>55</v>
      </c>
      <c r="AK242" s="23" t="e">
        <v>#N/A</v>
      </c>
    </row>
    <row r="243" spans="1:38" s="23" customFormat="1" ht="15" customHeight="1" x14ac:dyDescent="0.25">
      <c r="A243" s="19">
        <v>241</v>
      </c>
      <c r="B243" s="19" t="s">
        <v>237</v>
      </c>
      <c r="C243" s="19" t="s">
        <v>39</v>
      </c>
      <c r="D243" s="19" t="s">
        <v>40</v>
      </c>
      <c r="E243" s="19" t="s">
        <v>29</v>
      </c>
      <c r="F243" s="26" t="s">
        <v>467</v>
      </c>
      <c r="G243" s="19">
        <v>29902012830</v>
      </c>
      <c r="H243" s="19" t="s">
        <v>1309</v>
      </c>
      <c r="I243" s="20">
        <v>44071</v>
      </c>
      <c r="J243" s="19"/>
      <c r="K243" s="19" t="s">
        <v>45</v>
      </c>
      <c r="L243" s="19">
        <v>170647008</v>
      </c>
      <c r="M243" s="20">
        <v>44072</v>
      </c>
      <c r="N243" s="20">
        <v>44103</v>
      </c>
      <c r="O243" s="19" t="s">
        <v>491</v>
      </c>
      <c r="P243" s="19" t="s">
        <v>604</v>
      </c>
      <c r="Q243" s="36"/>
      <c r="R243" s="36"/>
      <c r="S243" s="19" t="s">
        <v>604</v>
      </c>
      <c r="T243" s="19" t="s">
        <v>1310</v>
      </c>
      <c r="U243" s="19" t="s">
        <v>49</v>
      </c>
      <c r="V243" s="19" t="s">
        <v>1311</v>
      </c>
      <c r="W243" s="35" t="s">
        <v>1312</v>
      </c>
      <c r="X243" s="21"/>
      <c r="Y243" s="22">
        <v>76535764034633</v>
      </c>
      <c r="Z243" s="23">
        <f t="shared" si="6"/>
        <v>241</v>
      </c>
      <c r="AA243" s="24" t="str">
        <f>IFERROR(VLOOKUP($Z243,'[1]End Fat Serviço - PA 15 e 16'!$K$3:$K$31,1,0), "")</f>
        <v/>
      </c>
      <c r="AB243" s="24" t="str">
        <f>IFERROR(VLOOKUP($Z243,'[1]End Fat Material - PA 12'!$K$3:$K$64,1,0), "")</f>
        <v/>
      </c>
      <c r="AC243" s="24" t="str">
        <f>IFERROR(VLOOKUP($Z243,'[1]End CA Lotação'!$L$3:$L$36,1,0), "")</f>
        <v/>
      </c>
      <c r="AD243" s="24">
        <f>IFERROR(VLOOKUP(Z243,'[1]RH - PARA 21.03'!$M$3:$M$555,1,0),"")</f>
        <v>241</v>
      </c>
      <c r="AE243" s="23" t="str">
        <f>IFERROR(VLOOKUP($Z243,'[1]CNPJ Oi Fat'!$K$3:$K$32,1,0),"")</f>
        <v/>
      </c>
      <c r="AF243" s="23" t="str">
        <f>IFERROR(VLOOKUP(Z243,'[1]End Logística Oi'!$D$3:$D$29,1,0),"")</f>
        <v/>
      </c>
      <c r="AG243" s="23" t="str">
        <f>IFERROR(VLOOKUP(Z243,'[1]End Logística Oi'!$J$3:$J$29,1,0),"")</f>
        <v/>
      </c>
      <c r="AI243" s="23" t="s">
        <v>54</v>
      </c>
      <c r="AJ243" s="23" t="s">
        <v>55</v>
      </c>
      <c r="AK243" s="23" t="e">
        <v>#N/A</v>
      </c>
    </row>
    <row r="244" spans="1:38" s="23" customFormat="1" ht="15" customHeight="1" x14ac:dyDescent="0.25">
      <c r="A244" s="19">
        <v>242</v>
      </c>
      <c r="B244" s="19" t="s">
        <v>237</v>
      </c>
      <c r="C244" s="19" t="s">
        <v>39</v>
      </c>
      <c r="D244" s="19" t="s">
        <v>40</v>
      </c>
      <c r="E244" s="19" t="s">
        <v>29</v>
      </c>
      <c r="F244" s="26" t="s">
        <v>467</v>
      </c>
      <c r="G244" s="19">
        <v>29902012805</v>
      </c>
      <c r="H244" s="19" t="s">
        <v>1313</v>
      </c>
      <c r="I244" s="20">
        <v>44071</v>
      </c>
      <c r="J244" s="19"/>
      <c r="K244" s="19" t="s">
        <v>45</v>
      </c>
      <c r="L244" s="19">
        <v>170646758</v>
      </c>
      <c r="M244" s="20">
        <v>44072</v>
      </c>
      <c r="N244" s="20">
        <v>44103</v>
      </c>
      <c r="O244" s="19" t="s">
        <v>491</v>
      </c>
      <c r="P244" s="19">
        <v>1590002531</v>
      </c>
      <c r="Q244" s="20">
        <v>44315</v>
      </c>
      <c r="R244" s="36"/>
      <c r="S244" s="19" t="s">
        <v>45</v>
      </c>
      <c r="T244" s="19" t="s">
        <v>1314</v>
      </c>
      <c r="U244" s="19" t="s">
        <v>49</v>
      </c>
      <c r="V244" s="19" t="s">
        <v>1315</v>
      </c>
      <c r="W244" s="35" t="s">
        <v>1316</v>
      </c>
      <c r="X244" s="21"/>
      <c r="Y244" s="22">
        <v>76535764034390</v>
      </c>
      <c r="Z244" s="23">
        <f t="shared" si="6"/>
        <v>242</v>
      </c>
      <c r="AA244" s="24" t="str">
        <f>IFERROR(VLOOKUP($Z244,'[1]End Fat Serviço - PA 15 e 16'!$K$3:$K$31,1,0), "")</f>
        <v/>
      </c>
      <c r="AB244" s="24" t="str">
        <f>IFERROR(VLOOKUP($Z244,'[1]End Fat Material - PA 12'!$K$3:$K$64,1,0), "")</f>
        <v/>
      </c>
      <c r="AC244" s="24" t="str">
        <f>IFERROR(VLOOKUP($Z244,'[1]End CA Lotação'!$L$3:$L$36,1,0), "")</f>
        <v/>
      </c>
      <c r="AD244" s="24">
        <f>IFERROR(VLOOKUP(Z244,'[1]RH - PARA 21.03'!$M$3:$M$555,1,0),"")</f>
        <v>242</v>
      </c>
      <c r="AE244" s="23" t="str">
        <f>IFERROR(VLOOKUP($Z244,'[1]CNPJ Oi Fat'!$K$3:$K$32,1,0),"")</f>
        <v/>
      </c>
      <c r="AF244" s="23" t="str">
        <f>IFERROR(VLOOKUP(Z244,'[1]End Logística Oi'!$D$3:$D$29,1,0),"")</f>
        <v/>
      </c>
      <c r="AG244" s="23" t="str">
        <f>IFERROR(VLOOKUP(Z244,'[1]End Logística Oi'!$J$3:$J$29,1,0),"")</f>
        <v/>
      </c>
      <c r="AI244" s="23" t="s">
        <v>54</v>
      </c>
      <c r="AJ244" s="23" t="s">
        <v>55</v>
      </c>
      <c r="AK244" s="23" t="e">
        <v>#N/A</v>
      </c>
    </row>
    <row r="245" spans="1:38" s="23" customFormat="1" ht="15" customHeight="1" x14ac:dyDescent="0.25">
      <c r="A245" s="19">
        <v>243</v>
      </c>
      <c r="B245" s="19" t="s">
        <v>237</v>
      </c>
      <c r="C245" s="19" t="s">
        <v>39</v>
      </c>
      <c r="D245" s="19" t="s">
        <v>40</v>
      </c>
      <c r="E245" s="19" t="s">
        <v>29</v>
      </c>
      <c r="F245" s="26" t="s">
        <v>467</v>
      </c>
      <c r="G245" s="19">
        <v>29902012813</v>
      </c>
      <c r="H245" s="19" t="s">
        <v>1317</v>
      </c>
      <c r="I245" s="20">
        <v>44071</v>
      </c>
      <c r="J245" s="19"/>
      <c r="K245" s="19" t="s">
        <v>45</v>
      </c>
      <c r="L245" s="19">
        <v>170646866</v>
      </c>
      <c r="M245" s="20">
        <v>44072</v>
      </c>
      <c r="N245" s="20">
        <v>44103</v>
      </c>
      <c r="O245" s="19" t="s">
        <v>491</v>
      </c>
      <c r="P245" s="19" t="s">
        <v>604</v>
      </c>
      <c r="Q245" s="36"/>
      <c r="R245" s="36"/>
      <c r="S245" s="19" t="s">
        <v>604</v>
      </c>
      <c r="T245" s="19" t="s">
        <v>1318</v>
      </c>
      <c r="U245" s="19" t="s">
        <v>49</v>
      </c>
      <c r="V245" s="19" t="s">
        <v>1319</v>
      </c>
      <c r="W245" s="35" t="s">
        <v>1320</v>
      </c>
      <c r="X245" s="21"/>
      <c r="Y245" s="22">
        <v>76535764034471</v>
      </c>
      <c r="Z245" s="23">
        <f t="shared" si="6"/>
        <v>243</v>
      </c>
      <c r="AA245" s="24" t="str">
        <f>IFERROR(VLOOKUP($Z245,'[1]End Fat Serviço - PA 15 e 16'!$K$3:$K$31,1,0), "")</f>
        <v/>
      </c>
      <c r="AB245" s="24" t="str">
        <f>IFERROR(VLOOKUP($Z245,'[1]End Fat Material - PA 12'!$K$3:$K$64,1,0), "")</f>
        <v/>
      </c>
      <c r="AC245" s="24" t="str">
        <f>IFERROR(VLOOKUP($Z245,'[1]End CA Lotação'!$L$3:$L$36,1,0), "")</f>
        <v/>
      </c>
      <c r="AD245" s="24">
        <f>IFERROR(VLOOKUP(Z245,'[1]RH - PARA 21.03'!$M$3:$M$555,1,0),"")</f>
        <v>243</v>
      </c>
      <c r="AE245" s="23" t="str">
        <f>IFERROR(VLOOKUP($Z245,'[1]CNPJ Oi Fat'!$K$3:$K$32,1,0),"")</f>
        <v/>
      </c>
      <c r="AF245" s="23" t="str">
        <f>IFERROR(VLOOKUP(Z245,'[1]End Logística Oi'!$D$3:$D$29,1,0),"")</f>
        <v/>
      </c>
      <c r="AG245" s="23" t="str">
        <f>IFERROR(VLOOKUP(Z245,'[1]End Logística Oi'!$J$3:$J$29,1,0),"")</f>
        <v/>
      </c>
      <c r="AI245" s="23" t="s">
        <v>54</v>
      </c>
      <c r="AJ245" s="23" t="s">
        <v>55</v>
      </c>
      <c r="AK245" s="23" t="e">
        <v>#N/A</v>
      </c>
    </row>
    <row r="246" spans="1:38" s="23" customFormat="1" ht="15" hidden="1" customHeight="1" x14ac:dyDescent="0.25">
      <c r="A246" s="19">
        <v>244</v>
      </c>
      <c r="B246" s="19" t="s">
        <v>237</v>
      </c>
      <c r="C246" s="19" t="s">
        <v>39</v>
      </c>
      <c r="D246" s="19" t="s">
        <v>40</v>
      </c>
      <c r="E246" s="19" t="s">
        <v>29</v>
      </c>
      <c r="F246" s="26" t="s">
        <v>467</v>
      </c>
      <c r="G246" s="19">
        <v>29902012821</v>
      </c>
      <c r="H246" s="19" t="s">
        <v>1321</v>
      </c>
      <c r="I246" s="20">
        <v>44071</v>
      </c>
      <c r="J246" s="19"/>
      <c r="K246" s="19" t="s">
        <v>45</v>
      </c>
      <c r="L246" s="19">
        <v>170646974</v>
      </c>
      <c r="M246" s="20">
        <v>44072</v>
      </c>
      <c r="N246" s="20">
        <v>44103</v>
      </c>
      <c r="O246" s="19" t="s">
        <v>491</v>
      </c>
      <c r="P246" s="19" t="s">
        <v>604</v>
      </c>
      <c r="Q246" s="36"/>
      <c r="R246" s="36"/>
      <c r="S246" s="19" t="s">
        <v>604</v>
      </c>
      <c r="T246" s="19" t="s">
        <v>1322</v>
      </c>
      <c r="U246" s="19" t="s">
        <v>49</v>
      </c>
      <c r="V246" s="19" t="s">
        <v>1323</v>
      </c>
      <c r="W246" s="35" t="s">
        <v>1324</v>
      </c>
      <c r="X246" s="21"/>
      <c r="Y246" s="22">
        <v>76535764034552</v>
      </c>
      <c r="Z246" s="23">
        <f t="shared" si="6"/>
        <v>244</v>
      </c>
      <c r="AA246" s="24" t="str">
        <f>IFERROR(VLOOKUP($Z246,'[1]End Fat Serviço - PA 15 e 16'!$K$3:$K$31,1,0), "")</f>
        <v/>
      </c>
      <c r="AB246" s="24" t="str">
        <f>IFERROR(VLOOKUP($Z246,'[1]End Fat Material - PA 12'!$K$3:$K$64,1,0), "")</f>
        <v/>
      </c>
      <c r="AC246" s="24" t="str">
        <f>IFERROR(VLOOKUP($Z246,'[1]End CA Lotação'!$L$3:$L$36,1,0), "")</f>
        <v/>
      </c>
      <c r="AD246" s="24" t="str">
        <f>IFERROR(VLOOKUP(Z246,'[1]RH - PARA 21.03'!$M$3:$M$555,1,0),"")</f>
        <v/>
      </c>
      <c r="AE246" s="23" t="str">
        <f>IFERROR(VLOOKUP($Z246,'[1]CNPJ Oi Fat'!$K$3:$K$32,1,0),"")</f>
        <v/>
      </c>
      <c r="AF246" s="23" t="str">
        <f>IFERROR(VLOOKUP(Z246,'[1]End Logística Oi'!$D$3:$D$29,1,0),"")</f>
        <v/>
      </c>
      <c r="AG246" s="23" t="str">
        <f>IFERROR(VLOOKUP(Z246,'[1]End Logística Oi'!$J$3:$J$29,1,0),"")</f>
        <v/>
      </c>
      <c r="AI246" s="23" t="s">
        <v>55</v>
      </c>
      <c r="AJ246" s="23" t="s">
        <v>55</v>
      </c>
      <c r="AK246" s="23" t="e">
        <v>#N/A</v>
      </c>
    </row>
    <row r="247" spans="1:38" s="23" customFormat="1" ht="15" customHeight="1" x14ac:dyDescent="0.25">
      <c r="A247" s="19">
        <v>245</v>
      </c>
      <c r="B247" s="19" t="s">
        <v>245</v>
      </c>
      <c r="C247" s="19" t="s">
        <v>39</v>
      </c>
      <c r="D247" s="19" t="s">
        <v>40</v>
      </c>
      <c r="E247" s="19" t="s">
        <v>29</v>
      </c>
      <c r="F247" s="26" t="s">
        <v>467</v>
      </c>
      <c r="G247" s="19">
        <v>21900586017</v>
      </c>
      <c r="H247" s="19" t="s">
        <v>1325</v>
      </c>
      <c r="I247" s="20">
        <v>44071</v>
      </c>
      <c r="J247" s="19"/>
      <c r="K247" s="19" t="s">
        <v>45</v>
      </c>
      <c r="L247" s="36" t="s">
        <v>473</v>
      </c>
      <c r="M247" s="20">
        <v>44074</v>
      </c>
      <c r="N247" s="36"/>
      <c r="O247" s="19" t="s">
        <v>45</v>
      </c>
      <c r="P247" s="19">
        <v>428459024</v>
      </c>
      <c r="Q247" s="51">
        <v>44071</v>
      </c>
      <c r="R247" s="36"/>
      <c r="S247" s="37" t="s">
        <v>45</v>
      </c>
      <c r="T247" s="19" t="s">
        <v>1326</v>
      </c>
      <c r="U247" s="19" t="s">
        <v>1327</v>
      </c>
      <c r="V247" s="19" t="s">
        <v>1328</v>
      </c>
      <c r="W247" s="35" t="s">
        <v>1329</v>
      </c>
      <c r="X247" s="21"/>
      <c r="Y247" s="22">
        <v>76535764034986</v>
      </c>
      <c r="Z247" s="23">
        <f t="shared" si="6"/>
        <v>245</v>
      </c>
      <c r="AA247" s="24" t="str">
        <f>IFERROR(VLOOKUP($Z247,'[1]End Fat Serviço - PA 15 e 16'!$K$3:$K$31,1,0), "")</f>
        <v/>
      </c>
      <c r="AB247" s="24" t="str">
        <f>IFERROR(VLOOKUP($Z247,'[1]End Fat Material - PA 12'!$K$3:$K$64,1,0), "")</f>
        <v/>
      </c>
      <c r="AC247" s="24" t="str">
        <f>IFERROR(VLOOKUP($Z247,'[1]End CA Lotação'!$L$3:$L$36,1,0), "")</f>
        <v/>
      </c>
      <c r="AD247" s="24">
        <f>IFERROR(VLOOKUP(Z247,'[1]RH - PARA 21.03'!$M$3:$M$555,1,0),"")</f>
        <v>245</v>
      </c>
      <c r="AE247" s="23" t="str">
        <f>IFERROR(VLOOKUP($Z247,'[1]CNPJ Oi Fat'!$K$3:$K$32,1,0),"")</f>
        <v/>
      </c>
      <c r="AF247" s="23" t="str">
        <f>IFERROR(VLOOKUP(Z247,'[1]End Logística Oi'!$D$3:$D$29,1,0),"")</f>
        <v/>
      </c>
      <c r="AG247" s="23" t="str">
        <f>IFERROR(VLOOKUP(Z247,'[1]End Logística Oi'!$J$3:$J$29,1,0),"")</f>
        <v/>
      </c>
      <c r="AI247" s="23" t="s">
        <v>54</v>
      </c>
      <c r="AJ247" s="23" t="s">
        <v>55</v>
      </c>
      <c r="AK247" s="23" t="e">
        <v>#N/A</v>
      </c>
    </row>
    <row r="248" spans="1:38" s="23" customFormat="1" ht="15" customHeight="1" x14ac:dyDescent="0.25">
      <c r="A248" s="19">
        <v>246</v>
      </c>
      <c r="B248" s="19" t="s">
        <v>245</v>
      </c>
      <c r="C248" s="19" t="s">
        <v>39</v>
      </c>
      <c r="D248" s="19" t="s">
        <v>40</v>
      </c>
      <c r="E248" s="19" t="s">
        <v>29</v>
      </c>
      <c r="F248" s="26" t="s">
        <v>467</v>
      </c>
      <c r="G248" s="19">
        <v>21900586009</v>
      </c>
      <c r="H248" s="19" t="s">
        <v>1330</v>
      </c>
      <c r="I248" s="20">
        <v>44071</v>
      </c>
      <c r="J248" s="19"/>
      <c r="K248" s="19" t="s">
        <v>45</v>
      </c>
      <c r="L248" s="36" t="s">
        <v>473</v>
      </c>
      <c r="M248" s="20">
        <v>44074</v>
      </c>
      <c r="N248" s="36"/>
      <c r="O248" s="19" t="s">
        <v>45</v>
      </c>
      <c r="P248" s="19">
        <v>2491</v>
      </c>
      <c r="Q248" s="51">
        <v>43876</v>
      </c>
      <c r="R248" s="36"/>
      <c r="S248" s="37" t="s">
        <v>45</v>
      </c>
      <c r="T248" s="19" t="s">
        <v>1331</v>
      </c>
      <c r="U248" s="19" t="s">
        <v>1332</v>
      </c>
      <c r="V248" s="19" t="s">
        <v>1333</v>
      </c>
      <c r="W248" s="35" t="s">
        <v>1334</v>
      </c>
      <c r="X248" s="21"/>
      <c r="Y248" s="22">
        <v>76535764034200</v>
      </c>
      <c r="Z248" s="23">
        <f t="shared" si="6"/>
        <v>246</v>
      </c>
      <c r="AA248" s="24" t="str">
        <f>IFERROR(VLOOKUP($Z248,'[1]End Fat Serviço - PA 15 e 16'!$K$3:$K$31,1,0), "")</f>
        <v/>
      </c>
      <c r="AB248" s="24" t="str">
        <f>IFERROR(VLOOKUP($Z248,'[1]End Fat Material - PA 12'!$K$3:$K$64,1,0), "")</f>
        <v/>
      </c>
      <c r="AC248" s="24" t="str">
        <f>IFERROR(VLOOKUP($Z248,'[1]End CA Lotação'!$L$3:$L$36,1,0), "")</f>
        <v/>
      </c>
      <c r="AD248" s="24">
        <f>IFERROR(VLOOKUP(Z248,'[1]RH - PARA 21.03'!$M$3:$M$555,1,0),"")</f>
        <v>246</v>
      </c>
      <c r="AE248" s="23" t="str">
        <f>IFERROR(VLOOKUP($Z248,'[1]CNPJ Oi Fat'!$K$3:$K$32,1,0),"")</f>
        <v/>
      </c>
      <c r="AF248" s="23" t="str">
        <f>IFERROR(VLOOKUP(Z248,'[1]End Logística Oi'!$D$3:$D$29,1,0),"")</f>
        <v/>
      </c>
      <c r="AG248" s="23" t="str">
        <f>IFERROR(VLOOKUP(Z248,'[1]End Logística Oi'!$J$3:$J$29,1,0),"")</f>
        <v/>
      </c>
      <c r="AI248" s="23" t="s">
        <v>54</v>
      </c>
      <c r="AJ248" s="23" t="s">
        <v>55</v>
      </c>
      <c r="AK248" s="23" t="e">
        <v>#N/A</v>
      </c>
    </row>
    <row r="249" spans="1:38" s="23" customFormat="1" ht="15" customHeight="1" x14ac:dyDescent="0.25">
      <c r="A249" s="25">
        <v>247</v>
      </c>
      <c r="B249" s="26" t="s">
        <v>245</v>
      </c>
      <c r="C249" s="27" t="s">
        <v>39</v>
      </c>
      <c r="D249" s="26" t="s">
        <v>40</v>
      </c>
      <c r="E249" s="26" t="s">
        <v>479</v>
      </c>
      <c r="F249" s="26" t="s">
        <v>467</v>
      </c>
      <c r="G249" s="28">
        <v>21900586041</v>
      </c>
      <c r="H249" s="26" t="s">
        <v>1335</v>
      </c>
      <c r="I249" s="29">
        <v>44074</v>
      </c>
      <c r="J249" s="30"/>
      <c r="K249" s="19" t="s">
        <v>45</v>
      </c>
      <c r="L249" s="31" t="s">
        <v>473</v>
      </c>
      <c r="M249" s="29">
        <v>44074</v>
      </c>
      <c r="N249" s="32"/>
      <c r="O249" s="31" t="s">
        <v>1336</v>
      </c>
      <c r="P249" s="33">
        <v>98270956</v>
      </c>
      <c r="Q249" s="29">
        <v>44074</v>
      </c>
      <c r="R249" s="32"/>
      <c r="S249" s="31" t="s">
        <v>45</v>
      </c>
      <c r="T249" s="31" t="s">
        <v>1337</v>
      </c>
      <c r="U249" s="31" t="s">
        <v>1338</v>
      </c>
      <c r="V249" s="27" t="s">
        <v>1339</v>
      </c>
      <c r="W249" s="31" t="s">
        <v>1340</v>
      </c>
      <c r="X249" s="21"/>
      <c r="Y249" s="22">
        <v>76535764035443</v>
      </c>
      <c r="Z249" s="23">
        <v>247</v>
      </c>
      <c r="AA249" s="24">
        <v>247</v>
      </c>
      <c r="AB249" s="24">
        <v>247</v>
      </c>
      <c r="AC249" s="24">
        <v>247</v>
      </c>
      <c r="AD249" s="24">
        <v>247</v>
      </c>
      <c r="AE249" s="23" t="s">
        <v>65</v>
      </c>
      <c r="AF249" s="23" t="s">
        <v>65</v>
      </c>
      <c r="AG249" s="23" t="s">
        <v>65</v>
      </c>
      <c r="AH249" s="34" t="s">
        <v>579</v>
      </c>
      <c r="AI249" s="23" t="s">
        <v>54</v>
      </c>
      <c r="AJ249" s="23" t="s">
        <v>54</v>
      </c>
      <c r="AK249" s="23" t="s">
        <v>121</v>
      </c>
    </row>
    <row r="250" spans="1:38" s="23" customFormat="1" ht="15" customHeight="1" x14ac:dyDescent="0.25">
      <c r="A250" s="25">
        <v>248</v>
      </c>
      <c r="B250" s="26" t="s">
        <v>230</v>
      </c>
      <c r="C250" s="27" t="s">
        <v>39</v>
      </c>
      <c r="D250" s="26" t="s">
        <v>40</v>
      </c>
      <c r="E250" s="26" t="s">
        <v>479</v>
      </c>
      <c r="F250" s="26" t="s">
        <v>467</v>
      </c>
      <c r="G250" s="28">
        <v>33901789817</v>
      </c>
      <c r="H250" s="26" t="s">
        <v>1341</v>
      </c>
      <c r="I250" s="29">
        <v>44074</v>
      </c>
      <c r="J250" s="30"/>
      <c r="K250" s="19" t="s">
        <v>45</v>
      </c>
      <c r="L250" s="31">
        <v>77685022</v>
      </c>
      <c r="M250" s="29">
        <v>38049</v>
      </c>
      <c r="N250" s="32"/>
      <c r="O250" s="31" t="s">
        <v>336</v>
      </c>
      <c r="P250" s="33">
        <v>614962</v>
      </c>
      <c r="Q250" s="29">
        <v>44169</v>
      </c>
      <c r="R250" s="32"/>
      <c r="S250" s="31" t="s">
        <v>45</v>
      </c>
      <c r="T250" s="31" t="s">
        <v>1342</v>
      </c>
      <c r="U250" s="31" t="s">
        <v>1343</v>
      </c>
      <c r="V250" s="27" t="s">
        <v>1344</v>
      </c>
      <c r="W250" s="31" t="s">
        <v>1345</v>
      </c>
      <c r="X250" s="21"/>
      <c r="Y250" s="22">
        <v>76535764035109</v>
      </c>
      <c r="Z250" s="23">
        <v>248</v>
      </c>
      <c r="AA250" s="24">
        <v>248</v>
      </c>
      <c r="AB250" s="24">
        <v>248</v>
      </c>
      <c r="AC250" s="24">
        <v>248</v>
      </c>
      <c r="AD250" s="24">
        <v>248</v>
      </c>
      <c r="AE250" s="23" t="s">
        <v>65</v>
      </c>
      <c r="AF250" s="23" t="s">
        <v>65</v>
      </c>
      <c r="AG250" s="23" t="s">
        <v>65</v>
      </c>
      <c r="AH250" s="34" t="s">
        <v>579</v>
      </c>
      <c r="AI250" s="23" t="s">
        <v>54</v>
      </c>
      <c r="AJ250" s="23" t="s">
        <v>54</v>
      </c>
      <c r="AK250" s="23" t="s">
        <v>67</v>
      </c>
      <c r="AL250" s="1" t="s">
        <v>1346</v>
      </c>
    </row>
    <row r="251" spans="1:38" s="23" customFormat="1" ht="15" hidden="1" customHeight="1" x14ac:dyDescent="0.25">
      <c r="A251" s="19">
        <v>249</v>
      </c>
      <c r="B251" s="19" t="s">
        <v>192</v>
      </c>
      <c r="C251" s="19" t="s">
        <v>39</v>
      </c>
      <c r="D251" s="19" t="s">
        <v>40</v>
      </c>
      <c r="E251" s="19" t="s">
        <v>479</v>
      </c>
      <c r="F251" s="26" t="s">
        <v>467</v>
      </c>
      <c r="G251" s="19">
        <v>17900388425</v>
      </c>
      <c r="H251" s="19" t="s">
        <v>1347</v>
      </c>
      <c r="I251" s="20">
        <v>44074</v>
      </c>
      <c r="J251" s="19"/>
      <c r="K251" s="19" t="s">
        <v>45</v>
      </c>
      <c r="L251" s="36" t="s">
        <v>1348</v>
      </c>
      <c r="M251" s="20" t="s">
        <v>473</v>
      </c>
      <c r="N251" s="20">
        <v>44657</v>
      </c>
      <c r="O251" s="19" t="s">
        <v>491</v>
      </c>
      <c r="P251" s="19">
        <v>2421017</v>
      </c>
      <c r="Q251" s="36"/>
      <c r="R251" s="36"/>
      <c r="S251" s="19" t="s">
        <v>45</v>
      </c>
      <c r="T251" s="19" t="s">
        <v>1349</v>
      </c>
      <c r="U251" s="19" t="s">
        <v>1350</v>
      </c>
      <c r="V251" s="19" t="s">
        <v>198</v>
      </c>
      <c r="W251" s="35" t="s">
        <v>1351</v>
      </c>
      <c r="X251" s="21"/>
      <c r="Y251" s="22">
        <v>76535764035281</v>
      </c>
      <c r="Z251" s="23">
        <f t="shared" ref="Z251:Z270" si="7">A251</f>
        <v>249</v>
      </c>
      <c r="AA251" s="24" t="str">
        <f>IFERROR(VLOOKUP($Z251,'[1]End Fat Serviço - PA 15 e 16'!$K$3:$K$31,1,0), "")</f>
        <v/>
      </c>
      <c r="AB251" s="24" t="str">
        <f>IFERROR(VLOOKUP($Z251,'[1]End Fat Material - PA 12'!$K$3:$K$64,1,0), "")</f>
        <v/>
      </c>
      <c r="AC251" s="24" t="str">
        <f>IFERROR(VLOOKUP($Z251,'[1]End CA Lotação'!$L$3:$L$36,1,0), "")</f>
        <v/>
      </c>
      <c r="AD251" s="24" t="str">
        <f>IFERROR(VLOOKUP(Z251,'[1]RH - PARA 21.03'!$M$3:$M$555,1,0),"")</f>
        <v/>
      </c>
      <c r="AE251" s="23" t="str">
        <f>IFERROR(VLOOKUP($Z251,'[1]CNPJ Oi Fat'!$K$3:$K$32,1,0),"")</f>
        <v/>
      </c>
      <c r="AF251" s="23" t="str">
        <f>IFERROR(VLOOKUP(Z251,'[1]End Logística Oi'!$D$3:$D$29,1,0),"")</f>
        <v/>
      </c>
      <c r="AG251" s="23" t="str">
        <f>IFERROR(VLOOKUP(Z251,'[1]End Logística Oi'!$J$3:$J$29,1,0),"")</f>
        <v/>
      </c>
      <c r="AI251" s="23" t="s">
        <v>55</v>
      </c>
      <c r="AJ251" s="23" t="s">
        <v>55</v>
      </c>
      <c r="AK251" s="23" t="e">
        <v>#N/A</v>
      </c>
    </row>
    <row r="252" spans="1:38" s="23" customFormat="1" ht="15" customHeight="1" x14ac:dyDescent="0.25">
      <c r="A252" s="19">
        <v>250</v>
      </c>
      <c r="B252" s="19" t="s">
        <v>237</v>
      </c>
      <c r="C252" s="19" t="s">
        <v>39</v>
      </c>
      <c r="D252" s="19" t="s">
        <v>40</v>
      </c>
      <c r="E252" s="19" t="s">
        <v>29</v>
      </c>
      <c r="F252" s="26" t="s">
        <v>467</v>
      </c>
      <c r="G252" s="19">
        <v>29902012899</v>
      </c>
      <c r="H252" s="19" t="s">
        <v>1352</v>
      </c>
      <c r="I252" s="20">
        <v>44074</v>
      </c>
      <c r="J252" s="19"/>
      <c r="K252" s="19" t="s">
        <v>45</v>
      </c>
      <c r="L252" s="19">
        <v>170723100</v>
      </c>
      <c r="M252" s="20">
        <v>44075</v>
      </c>
      <c r="N252" s="20">
        <v>44103</v>
      </c>
      <c r="O252" s="19" t="s">
        <v>491</v>
      </c>
      <c r="P252" s="19">
        <v>5471830</v>
      </c>
      <c r="Q252" s="20">
        <v>44265</v>
      </c>
      <c r="R252" s="36"/>
      <c r="S252" s="19" t="s">
        <v>45</v>
      </c>
      <c r="T252" s="19" t="s">
        <v>1353</v>
      </c>
      <c r="U252" s="19" t="s">
        <v>1354</v>
      </c>
      <c r="V252" s="19" t="s">
        <v>1355</v>
      </c>
      <c r="W252" s="35" t="s">
        <v>1356</v>
      </c>
      <c r="X252" s="21"/>
      <c r="Y252" s="22">
        <v>76535764035524</v>
      </c>
      <c r="Z252" s="23">
        <f t="shared" si="7"/>
        <v>250</v>
      </c>
      <c r="AA252" s="24" t="str">
        <f>IFERROR(VLOOKUP($Z252,'[1]End Fat Serviço - PA 15 e 16'!$K$3:$K$31,1,0), "")</f>
        <v/>
      </c>
      <c r="AB252" s="24" t="str">
        <f>IFERROR(VLOOKUP($Z252,'[1]End Fat Material - PA 12'!$K$3:$K$64,1,0), "")</f>
        <v/>
      </c>
      <c r="AC252" s="24" t="str">
        <f>IFERROR(VLOOKUP($Z252,'[1]End CA Lotação'!$L$3:$L$36,1,0), "")</f>
        <v/>
      </c>
      <c r="AD252" s="24">
        <f>IFERROR(VLOOKUP(Z252,'[1]RH - PARA 21.03'!$M$3:$M$555,1,0),"")</f>
        <v>250</v>
      </c>
      <c r="AE252" s="23" t="str">
        <f>IFERROR(VLOOKUP($Z252,'[1]CNPJ Oi Fat'!$K$3:$K$32,1,0),"")</f>
        <v/>
      </c>
      <c r="AF252" s="23" t="str">
        <f>IFERROR(VLOOKUP(Z252,'[1]End Logística Oi'!$D$3:$D$29,1,0),"")</f>
        <v/>
      </c>
      <c r="AG252" s="23" t="str">
        <f>IFERROR(VLOOKUP(Z252,'[1]End Logística Oi'!$J$3:$J$29,1,0),"")</f>
        <v/>
      </c>
      <c r="AI252" s="23" t="s">
        <v>54</v>
      </c>
      <c r="AJ252" s="23" t="s">
        <v>55</v>
      </c>
      <c r="AK252" s="23" t="e">
        <v>#N/A</v>
      </c>
    </row>
    <row r="253" spans="1:38" s="23" customFormat="1" ht="15" customHeight="1" x14ac:dyDescent="0.25">
      <c r="A253" s="19">
        <v>251</v>
      </c>
      <c r="B253" s="19" t="s">
        <v>237</v>
      </c>
      <c r="C253" s="19" t="s">
        <v>39</v>
      </c>
      <c r="D253" s="19" t="s">
        <v>40</v>
      </c>
      <c r="E253" s="19" t="s">
        <v>29</v>
      </c>
      <c r="F253" s="26" t="s">
        <v>467</v>
      </c>
      <c r="G253" s="19">
        <v>29902013691</v>
      </c>
      <c r="H253" s="19" t="s">
        <v>1357</v>
      </c>
      <c r="I253" s="20">
        <v>44091</v>
      </c>
      <c r="J253" s="19"/>
      <c r="K253" s="19" t="s">
        <v>45</v>
      </c>
      <c r="L253" s="36">
        <v>170049354</v>
      </c>
      <c r="M253" s="20" t="s">
        <v>473</v>
      </c>
      <c r="N253" s="20">
        <v>44103</v>
      </c>
      <c r="O253" s="19" t="s">
        <v>491</v>
      </c>
      <c r="P253" s="19">
        <v>9432</v>
      </c>
      <c r="Q253" s="20">
        <v>44091</v>
      </c>
      <c r="R253" s="36"/>
      <c r="S253" s="19" t="s">
        <v>45</v>
      </c>
      <c r="T253" s="19" t="s">
        <v>1358</v>
      </c>
      <c r="U253" s="19" t="s">
        <v>49</v>
      </c>
      <c r="V253" s="19" t="s">
        <v>1359</v>
      </c>
      <c r="W253" s="35" t="s">
        <v>1360</v>
      </c>
      <c r="X253" s="21"/>
      <c r="Y253" s="22">
        <v>76535764036334</v>
      </c>
      <c r="Z253" s="23">
        <f t="shared" si="7"/>
        <v>251</v>
      </c>
      <c r="AA253" s="24" t="str">
        <f>IFERROR(VLOOKUP($Z253,'[1]End Fat Serviço - PA 15 e 16'!$K$3:$K$31,1,0), "")</f>
        <v/>
      </c>
      <c r="AB253" s="24" t="str">
        <f>IFERROR(VLOOKUP($Z253,'[1]End Fat Material - PA 12'!$K$3:$K$64,1,0), "")</f>
        <v/>
      </c>
      <c r="AC253" s="24" t="str">
        <f>IFERROR(VLOOKUP($Z253,'[1]End CA Lotação'!$L$3:$L$36,1,0), "")</f>
        <v/>
      </c>
      <c r="AD253" s="24">
        <f>IFERROR(VLOOKUP(Z253,'[1]RH - PARA 21.03'!$M$3:$M$555,1,0),"")</f>
        <v>251</v>
      </c>
      <c r="AE253" s="23" t="str">
        <f>IFERROR(VLOOKUP($Z253,'[1]CNPJ Oi Fat'!$K$3:$K$32,1,0),"")</f>
        <v/>
      </c>
      <c r="AF253" s="23" t="str">
        <f>IFERROR(VLOOKUP(Z253,'[1]End Logística Oi'!$D$3:$D$29,1,0),"")</f>
        <v/>
      </c>
      <c r="AG253" s="23" t="str">
        <f>IFERROR(VLOOKUP(Z253,'[1]End Logística Oi'!$J$3:$J$29,1,0),"")</f>
        <v/>
      </c>
      <c r="AI253" s="23" t="s">
        <v>54</v>
      </c>
      <c r="AJ253" s="23" t="s">
        <v>55</v>
      </c>
      <c r="AK253" s="23" t="e">
        <v>#N/A</v>
      </c>
    </row>
    <row r="254" spans="1:38" s="23" customFormat="1" ht="15" customHeight="1" x14ac:dyDescent="0.25">
      <c r="A254" s="19">
        <v>252</v>
      </c>
      <c r="B254" s="19" t="s">
        <v>237</v>
      </c>
      <c r="C254" s="19" t="s">
        <v>39</v>
      </c>
      <c r="D254" s="19" t="s">
        <v>40</v>
      </c>
      <c r="E254" s="19" t="s">
        <v>29</v>
      </c>
      <c r="F254" s="26" t="s">
        <v>467</v>
      </c>
      <c r="G254" s="19">
        <v>29902013704</v>
      </c>
      <c r="H254" s="19" t="s">
        <v>1361</v>
      </c>
      <c r="I254" s="20">
        <v>44091</v>
      </c>
      <c r="J254" s="19"/>
      <c r="K254" s="19" t="s">
        <v>45</v>
      </c>
      <c r="L254" s="36">
        <v>170049354</v>
      </c>
      <c r="M254" s="20" t="s">
        <v>473</v>
      </c>
      <c r="N254" s="20">
        <v>44103</v>
      </c>
      <c r="O254" s="19" t="s">
        <v>491</v>
      </c>
      <c r="P254" s="19" t="s">
        <v>604</v>
      </c>
      <c r="Q254" s="36"/>
      <c r="R254" s="36"/>
      <c r="S254" s="19" t="s">
        <v>604</v>
      </c>
      <c r="T254" s="19" t="s">
        <v>1362</v>
      </c>
      <c r="U254" s="19" t="s">
        <v>1363</v>
      </c>
      <c r="V254" s="19" t="s">
        <v>1364</v>
      </c>
      <c r="W254" s="35" t="s">
        <v>1365</v>
      </c>
      <c r="X254" s="21"/>
      <c r="Y254" s="22">
        <v>76535764036415</v>
      </c>
      <c r="Z254" s="23">
        <f t="shared" si="7"/>
        <v>252</v>
      </c>
      <c r="AA254" s="24" t="str">
        <f>IFERROR(VLOOKUP($Z254,'[1]End Fat Serviço - PA 15 e 16'!$K$3:$K$31,1,0), "")</f>
        <v/>
      </c>
      <c r="AB254" s="24" t="str">
        <f>IFERROR(VLOOKUP($Z254,'[1]End Fat Material - PA 12'!$K$3:$K$64,1,0), "")</f>
        <v/>
      </c>
      <c r="AC254" s="24" t="str">
        <f>IFERROR(VLOOKUP($Z254,'[1]End CA Lotação'!$L$3:$L$36,1,0), "")</f>
        <v/>
      </c>
      <c r="AD254" s="24">
        <f>IFERROR(VLOOKUP(Z254,'[1]RH - PARA 21.03'!$M$3:$M$555,1,0),"")</f>
        <v>252</v>
      </c>
      <c r="AE254" s="23" t="str">
        <f>IFERROR(VLOOKUP($Z254,'[1]CNPJ Oi Fat'!$K$3:$K$32,1,0),"")</f>
        <v/>
      </c>
      <c r="AF254" s="23" t="str">
        <f>IFERROR(VLOOKUP(Z254,'[1]End Logística Oi'!$D$3:$D$29,1,0),"")</f>
        <v/>
      </c>
      <c r="AG254" s="23" t="str">
        <f>IFERROR(VLOOKUP(Z254,'[1]End Logística Oi'!$J$3:$J$29,1,0),"")</f>
        <v/>
      </c>
      <c r="AI254" s="23" t="s">
        <v>54</v>
      </c>
      <c r="AJ254" s="23" t="s">
        <v>55</v>
      </c>
      <c r="AK254" s="23" t="e">
        <v>#N/A</v>
      </c>
    </row>
    <row r="255" spans="1:38" s="23" customFormat="1" ht="15" hidden="1" customHeight="1" x14ac:dyDescent="0.25">
      <c r="A255" s="19">
        <v>253</v>
      </c>
      <c r="B255" s="19" t="s">
        <v>174</v>
      </c>
      <c r="C255" s="19" t="s">
        <v>39</v>
      </c>
      <c r="D255" s="19" t="s">
        <v>40</v>
      </c>
      <c r="E255" s="19" t="s">
        <v>29</v>
      </c>
      <c r="F255" s="26" t="s">
        <v>467</v>
      </c>
      <c r="G255" s="19">
        <v>13920004009</v>
      </c>
      <c r="H255" s="19" t="s">
        <v>1366</v>
      </c>
      <c r="I255" s="20">
        <v>44102</v>
      </c>
      <c r="J255" s="19"/>
      <c r="K255" s="19" t="s">
        <v>45</v>
      </c>
      <c r="L255" s="36" t="s">
        <v>473</v>
      </c>
      <c r="M255" s="20" t="s">
        <v>473</v>
      </c>
      <c r="N255" s="36"/>
      <c r="O255" s="19" t="s">
        <v>45</v>
      </c>
      <c r="P255" s="19">
        <v>200585</v>
      </c>
      <c r="Q255" s="20">
        <v>44131</v>
      </c>
      <c r="R255" s="36"/>
      <c r="S255" s="19" t="s">
        <v>45</v>
      </c>
      <c r="T255" s="19" t="s">
        <v>1367</v>
      </c>
      <c r="U255" s="19" t="s">
        <v>49</v>
      </c>
      <c r="V255" s="19" t="s">
        <v>1368</v>
      </c>
      <c r="W255" s="35" t="s">
        <v>1369</v>
      </c>
      <c r="X255" s="21"/>
      <c r="Y255" s="22">
        <v>76535764036504</v>
      </c>
      <c r="Z255" s="23">
        <f t="shared" si="7"/>
        <v>253</v>
      </c>
      <c r="AA255" s="24" t="str">
        <f>IFERROR(VLOOKUP($Z255,'[1]End Fat Serviço - PA 15 e 16'!$K$3:$K$31,1,0), "")</f>
        <v/>
      </c>
      <c r="AB255" s="24" t="str">
        <f>IFERROR(VLOOKUP($Z255,'[1]End Fat Material - PA 12'!$K$3:$K$64,1,0), "")</f>
        <v/>
      </c>
      <c r="AC255" s="24" t="str">
        <f>IFERROR(VLOOKUP($Z255,'[1]End CA Lotação'!$L$3:$L$36,1,0), "")</f>
        <v/>
      </c>
      <c r="AD255" s="24" t="str">
        <f>IFERROR(VLOOKUP(Z255,'[1]RH - PARA 21.03'!$M$3:$M$555,1,0),"")</f>
        <v/>
      </c>
      <c r="AE255" s="23" t="str">
        <f>IFERROR(VLOOKUP($Z255,'[1]CNPJ Oi Fat'!$K$3:$K$32,1,0),"")</f>
        <v/>
      </c>
      <c r="AF255" s="23" t="str">
        <f>IFERROR(VLOOKUP(Z255,'[1]End Logística Oi'!$D$3:$D$29,1,0),"")</f>
        <v/>
      </c>
      <c r="AG255" s="23" t="str">
        <f>IFERROR(VLOOKUP(Z255,'[1]End Logística Oi'!$J$3:$J$29,1,0),"")</f>
        <v/>
      </c>
      <c r="AI255" s="23" t="s">
        <v>55</v>
      </c>
      <c r="AJ255" s="23" t="s">
        <v>55</v>
      </c>
      <c r="AK255" s="23" t="e">
        <v>#N/A</v>
      </c>
    </row>
    <row r="256" spans="1:38" s="23" customFormat="1" ht="15" customHeight="1" x14ac:dyDescent="0.25">
      <c r="A256" s="19">
        <v>254</v>
      </c>
      <c r="B256" s="19" t="s">
        <v>230</v>
      </c>
      <c r="C256" s="19" t="s">
        <v>39</v>
      </c>
      <c r="D256" s="19" t="s">
        <v>40</v>
      </c>
      <c r="E256" s="19" t="s">
        <v>29</v>
      </c>
      <c r="F256" s="19" t="s">
        <v>467</v>
      </c>
      <c r="G256" s="19" t="s">
        <v>1370</v>
      </c>
      <c r="H256" s="19" t="s">
        <v>1371</v>
      </c>
      <c r="I256" s="20">
        <v>44138</v>
      </c>
      <c r="J256" s="19"/>
      <c r="K256" s="19" t="s">
        <v>45</v>
      </c>
      <c r="L256" s="36">
        <v>77685022</v>
      </c>
      <c r="M256" s="20" t="s">
        <v>473</v>
      </c>
      <c r="N256" s="36"/>
      <c r="O256" s="19"/>
      <c r="P256" s="19">
        <v>41458</v>
      </c>
      <c r="Q256" s="20"/>
      <c r="R256" s="36"/>
      <c r="S256" s="19" t="s">
        <v>45</v>
      </c>
      <c r="T256" s="19" t="s">
        <v>1372</v>
      </c>
      <c r="U256" s="19" t="s">
        <v>49</v>
      </c>
      <c r="V256" s="19" t="s">
        <v>1373</v>
      </c>
      <c r="W256" s="35" t="s">
        <v>1374</v>
      </c>
      <c r="X256" s="21"/>
      <c r="Y256" s="22">
        <v>76535764036687</v>
      </c>
      <c r="Z256" s="23">
        <f t="shared" si="7"/>
        <v>254</v>
      </c>
      <c r="AA256" s="24" t="str">
        <f>IFERROR(VLOOKUP($Z256,'[1]End Fat Serviço - PA 15 e 16'!$K$3:$K$31,1,0), "")</f>
        <v/>
      </c>
      <c r="AB256" s="24" t="str">
        <f>IFERROR(VLOOKUP($Z256,'[1]End Fat Material - PA 12'!$K$3:$K$64,1,0), "")</f>
        <v/>
      </c>
      <c r="AC256" s="24" t="str">
        <f>IFERROR(VLOOKUP($Z256,'[1]End CA Lotação'!$L$3:$L$36,1,0), "")</f>
        <v/>
      </c>
      <c r="AD256" s="24">
        <f>IFERROR(VLOOKUP(Z256,'[1]RH - PARA 21.03'!$M$3:$M$555,1,0),"")</f>
        <v>254</v>
      </c>
      <c r="AE256" s="23" t="str">
        <f>IFERROR(VLOOKUP($Z256,'[1]CNPJ Oi Fat'!$K$3:$K$32,1,0),"")</f>
        <v/>
      </c>
      <c r="AF256" s="23" t="str">
        <f>IFERROR(VLOOKUP(Z256,'[1]End Logística Oi'!$D$3:$D$29,1,0),"")</f>
        <v/>
      </c>
      <c r="AG256" s="23" t="str">
        <f>IFERROR(VLOOKUP(Z256,'[1]End Logística Oi'!$J$3:$J$29,1,0),"")</f>
        <v/>
      </c>
      <c r="AI256" s="23" t="s">
        <v>54</v>
      </c>
      <c r="AJ256" s="23" t="s">
        <v>55</v>
      </c>
      <c r="AK256" s="23" t="e">
        <v>#N/A</v>
      </c>
    </row>
    <row r="257" spans="1:38" s="23" customFormat="1" ht="15" hidden="1" customHeight="1" x14ac:dyDescent="0.25">
      <c r="A257" s="19">
        <v>255</v>
      </c>
      <c r="B257" s="19" t="s">
        <v>207</v>
      </c>
      <c r="C257" s="19" t="s">
        <v>39</v>
      </c>
      <c r="D257" s="19" t="s">
        <v>40</v>
      </c>
      <c r="E257" s="19"/>
      <c r="F257" s="19" t="s">
        <v>467</v>
      </c>
      <c r="G257" s="19"/>
      <c r="H257" s="19" t="s">
        <v>1375</v>
      </c>
      <c r="I257" s="20">
        <v>43410</v>
      </c>
      <c r="J257" s="19"/>
      <c r="K257" s="19" t="s">
        <v>45</v>
      </c>
      <c r="L257" s="36"/>
      <c r="M257" s="20"/>
      <c r="N257" s="36"/>
      <c r="O257" s="19"/>
      <c r="P257" s="19"/>
      <c r="Q257" s="20"/>
      <c r="R257" s="36"/>
      <c r="S257" s="19"/>
      <c r="T257" s="19" t="s">
        <v>1376</v>
      </c>
      <c r="U257" s="19" t="s">
        <v>49</v>
      </c>
      <c r="V257" s="19" t="s">
        <v>1377</v>
      </c>
      <c r="W257" s="35" t="s">
        <v>1378</v>
      </c>
      <c r="X257" s="21"/>
      <c r="Y257" s="22">
        <v>76535764006850</v>
      </c>
      <c r="Z257" s="23">
        <f t="shared" si="7"/>
        <v>255</v>
      </c>
      <c r="AA257" s="24" t="str">
        <f>IFERROR(VLOOKUP($Z257,'[1]End Fat Serviço - PA 15 e 16'!$K$3:$K$31,1,0), "")</f>
        <v/>
      </c>
      <c r="AB257" s="24" t="str">
        <f>IFERROR(VLOOKUP($Z257,'[1]End Fat Material - PA 12'!$K$3:$K$64,1,0), "")</f>
        <v/>
      </c>
      <c r="AC257" s="24" t="str">
        <f>IFERROR(VLOOKUP($Z257,'[1]End CA Lotação'!$L$3:$L$36,1,0), "")</f>
        <v/>
      </c>
      <c r="AD257" s="24" t="str">
        <f>IFERROR(VLOOKUP(Z257,'[1]RH - PARA 21.03'!$M$3:$M$555,1,0),"")</f>
        <v/>
      </c>
      <c r="AE257" s="23" t="str">
        <f>IFERROR(VLOOKUP($Z257,'[1]CNPJ Oi Fat'!$K$3:$K$32,1,0),"")</f>
        <v/>
      </c>
      <c r="AF257" s="23" t="str">
        <f>IFERROR(VLOOKUP(Z257,'[1]End Logística Oi'!$D$3:$D$29,1,0),"")</f>
        <v/>
      </c>
      <c r="AG257" s="23" t="str">
        <f>IFERROR(VLOOKUP(Z257,'[1]End Logística Oi'!$J$3:$J$29,1,0),"")</f>
        <v/>
      </c>
      <c r="AI257" s="23" t="s">
        <v>55</v>
      </c>
      <c r="AJ257" s="23" t="s">
        <v>55</v>
      </c>
      <c r="AK257" s="23" t="e">
        <v>#N/A</v>
      </c>
    </row>
    <row r="258" spans="1:38" s="23" customFormat="1" ht="15" hidden="1" customHeight="1" x14ac:dyDescent="0.25">
      <c r="A258" s="19">
        <v>256</v>
      </c>
      <c r="B258" s="19" t="s">
        <v>112</v>
      </c>
      <c r="C258" s="19" t="s">
        <v>39</v>
      </c>
      <c r="D258" s="19" t="s">
        <v>40</v>
      </c>
      <c r="E258" s="19" t="s">
        <v>29</v>
      </c>
      <c r="F258" s="19" t="s">
        <v>467</v>
      </c>
      <c r="G258" s="19" t="s">
        <v>1379</v>
      </c>
      <c r="H258" s="19" t="s">
        <v>1380</v>
      </c>
      <c r="I258" s="20">
        <v>44334</v>
      </c>
      <c r="J258" s="19"/>
      <c r="K258" s="19" t="s">
        <v>45</v>
      </c>
      <c r="L258" s="36"/>
      <c r="M258" s="20"/>
      <c r="N258" s="20"/>
      <c r="O258" s="19"/>
      <c r="P258" s="19">
        <v>630025750</v>
      </c>
      <c r="Q258" s="20">
        <v>44540</v>
      </c>
      <c r="R258" s="36"/>
      <c r="S258" s="19" t="s">
        <v>45</v>
      </c>
      <c r="T258" s="19" t="s">
        <v>1381</v>
      </c>
      <c r="U258" s="19" t="s">
        <v>49</v>
      </c>
      <c r="V258" s="19" t="s">
        <v>968</v>
      </c>
      <c r="W258" s="35" t="s">
        <v>1382</v>
      </c>
      <c r="X258" s="21"/>
      <c r="Y258" s="22">
        <v>76535764037144</v>
      </c>
      <c r="Z258" s="23">
        <f t="shared" si="7"/>
        <v>256</v>
      </c>
      <c r="AA258" s="24" t="str">
        <f>IFERROR(VLOOKUP($Z258,'[1]End Fat Serviço - PA 15 e 16'!$K$3:$K$31,1,0), "")</f>
        <v/>
      </c>
      <c r="AB258" s="24" t="str">
        <f>IFERROR(VLOOKUP($Z258,'[1]End Fat Material - PA 12'!$K$3:$K$64,1,0), "")</f>
        <v/>
      </c>
      <c r="AC258" s="24" t="str">
        <f>IFERROR(VLOOKUP($Z258,'[1]End CA Lotação'!$L$3:$L$36,1,0), "")</f>
        <v/>
      </c>
      <c r="AD258" s="24" t="str">
        <f>IFERROR(VLOOKUP(Z258,'[1]RH - PARA 21.03'!$M$3:$M$555,1,0),"")</f>
        <v/>
      </c>
      <c r="AE258" s="23" t="str">
        <f>IFERROR(VLOOKUP($Z258,'[1]CNPJ Oi Fat'!$K$3:$K$32,1,0),"")</f>
        <v/>
      </c>
      <c r="AF258" s="23" t="str">
        <f>IFERROR(VLOOKUP(Z258,'[1]End Logística Oi'!$D$3:$D$29,1,0),"")</f>
        <v/>
      </c>
      <c r="AG258" s="23" t="str">
        <f>IFERROR(VLOOKUP(Z258,'[1]End Logística Oi'!$J$3:$J$29,1,0),"")</f>
        <v/>
      </c>
      <c r="AI258" s="23" t="s">
        <v>55</v>
      </c>
      <c r="AJ258" s="23" t="s">
        <v>55</v>
      </c>
      <c r="AK258" s="23" t="e">
        <v>#N/A</v>
      </c>
    </row>
    <row r="259" spans="1:38" s="23" customFormat="1" ht="15" customHeight="1" x14ac:dyDescent="0.25">
      <c r="A259" s="19">
        <v>257</v>
      </c>
      <c r="B259" s="19" t="s">
        <v>112</v>
      </c>
      <c r="C259" s="19" t="s">
        <v>39</v>
      </c>
      <c r="D259" s="19" t="s">
        <v>40</v>
      </c>
      <c r="E259" s="19" t="s">
        <v>29</v>
      </c>
      <c r="F259" s="19" t="s">
        <v>467</v>
      </c>
      <c r="G259" s="19" t="s">
        <v>1383</v>
      </c>
      <c r="H259" s="19" t="s">
        <v>1384</v>
      </c>
      <c r="I259" s="20">
        <v>44334</v>
      </c>
      <c r="J259" s="19"/>
      <c r="K259" s="19" t="s">
        <v>45</v>
      </c>
      <c r="L259" s="36"/>
      <c r="M259" s="20"/>
      <c r="N259" s="20"/>
      <c r="O259" s="19"/>
      <c r="P259" s="19">
        <v>24109</v>
      </c>
      <c r="Q259" s="20">
        <v>44428</v>
      </c>
      <c r="R259" s="36"/>
      <c r="S259" s="19" t="s">
        <v>45</v>
      </c>
      <c r="T259" s="19" t="s">
        <v>1385</v>
      </c>
      <c r="U259" s="19" t="s">
        <v>49</v>
      </c>
      <c r="V259" s="19" t="s">
        <v>1386</v>
      </c>
      <c r="W259" s="35" t="s">
        <v>1387</v>
      </c>
      <c r="X259" s="21"/>
      <c r="Y259" s="22">
        <v>76535764036768</v>
      </c>
      <c r="Z259" s="23">
        <f t="shared" si="7"/>
        <v>257</v>
      </c>
      <c r="AA259" s="24" t="str">
        <f>IFERROR(VLOOKUP($Z259,'[1]End Fat Serviço - PA 15 e 16'!$K$3:$K$31,1,0), "")</f>
        <v/>
      </c>
      <c r="AB259" s="24" t="str">
        <f>IFERROR(VLOOKUP($Z259,'[1]End Fat Material - PA 12'!$K$3:$K$64,1,0), "")</f>
        <v/>
      </c>
      <c r="AC259" s="24" t="str">
        <f>IFERROR(VLOOKUP($Z259,'[1]End CA Lotação'!$L$3:$L$36,1,0), "")</f>
        <v/>
      </c>
      <c r="AD259" s="24">
        <f>IFERROR(VLOOKUP(Z259,'[1]RH - PARA 21.03'!$M$3:$M$555,1,0),"")</f>
        <v>257</v>
      </c>
      <c r="AE259" s="23" t="str">
        <f>IFERROR(VLOOKUP($Z259,'[1]CNPJ Oi Fat'!$K$3:$K$32,1,0),"")</f>
        <v/>
      </c>
      <c r="AF259" s="23" t="str">
        <f>IFERROR(VLOOKUP(Z259,'[1]End Logística Oi'!$D$3:$D$29,1,0),"")</f>
        <v/>
      </c>
      <c r="AG259" s="23" t="str">
        <f>IFERROR(VLOOKUP(Z259,'[1]End Logística Oi'!$J$3:$J$29,1,0),"")</f>
        <v/>
      </c>
      <c r="AI259" s="23" t="s">
        <v>54</v>
      </c>
      <c r="AJ259" s="23" t="s">
        <v>55</v>
      </c>
      <c r="AK259" s="23" t="e">
        <v>#N/A</v>
      </c>
    </row>
    <row r="260" spans="1:38" s="23" customFormat="1" ht="15" customHeight="1" x14ac:dyDescent="0.25">
      <c r="A260" s="19">
        <v>258</v>
      </c>
      <c r="B260" s="19" t="s">
        <v>112</v>
      </c>
      <c r="C260" s="19" t="s">
        <v>39</v>
      </c>
      <c r="D260" s="19" t="s">
        <v>40</v>
      </c>
      <c r="E260" s="19" t="s">
        <v>29</v>
      </c>
      <c r="F260" s="19" t="s">
        <v>467</v>
      </c>
      <c r="G260" s="19" t="s">
        <v>1388</v>
      </c>
      <c r="H260" s="19" t="s">
        <v>1389</v>
      </c>
      <c r="I260" s="20">
        <v>44334</v>
      </c>
      <c r="J260" s="19"/>
      <c r="K260" s="19" t="s">
        <v>45</v>
      </c>
      <c r="L260" s="36"/>
      <c r="M260" s="20"/>
      <c r="N260" s="20"/>
      <c r="O260" s="19"/>
      <c r="P260" s="19">
        <v>2906368</v>
      </c>
      <c r="Q260" s="20">
        <v>44382</v>
      </c>
      <c r="R260" s="36"/>
      <c r="S260" s="19" t="s">
        <v>45</v>
      </c>
      <c r="T260" s="19" t="s">
        <v>1390</v>
      </c>
      <c r="U260" s="19" t="s">
        <v>49</v>
      </c>
      <c r="V260" s="19" t="s">
        <v>438</v>
      </c>
      <c r="W260" s="35" t="s">
        <v>1391</v>
      </c>
      <c r="X260" s="21"/>
      <c r="Y260" s="22">
        <v>76535764037063</v>
      </c>
      <c r="Z260" s="23">
        <f t="shared" si="7"/>
        <v>258</v>
      </c>
      <c r="AA260" s="24" t="str">
        <f>IFERROR(VLOOKUP($Z260,'[1]End Fat Serviço - PA 15 e 16'!$K$3:$K$31,1,0), "")</f>
        <v/>
      </c>
      <c r="AB260" s="24" t="str">
        <f>IFERROR(VLOOKUP($Z260,'[1]End Fat Material - PA 12'!$K$3:$K$64,1,0), "")</f>
        <v/>
      </c>
      <c r="AC260" s="24" t="str">
        <f>IFERROR(VLOOKUP($Z260,'[1]End CA Lotação'!$L$3:$L$36,1,0), "")</f>
        <v/>
      </c>
      <c r="AD260" s="24">
        <f>IFERROR(VLOOKUP(Z260,'[1]RH - PARA 21.03'!$M$3:$M$555,1,0),"")</f>
        <v>258</v>
      </c>
      <c r="AE260" s="23" t="str">
        <f>IFERROR(VLOOKUP($Z260,'[1]CNPJ Oi Fat'!$K$3:$K$32,1,0),"")</f>
        <v/>
      </c>
      <c r="AF260" s="23" t="str">
        <f>IFERROR(VLOOKUP(Z260,'[1]End Logística Oi'!$D$3:$D$29,1,0),"")</f>
        <v/>
      </c>
      <c r="AG260" s="23" t="str">
        <f>IFERROR(VLOOKUP(Z260,'[1]End Logística Oi'!$J$3:$J$29,1,0),"")</f>
        <v/>
      </c>
      <c r="AI260" s="23" t="s">
        <v>54</v>
      </c>
      <c r="AJ260" s="23" t="s">
        <v>55</v>
      </c>
      <c r="AK260" s="23" t="e">
        <v>#N/A</v>
      </c>
    </row>
    <row r="261" spans="1:38" s="23" customFormat="1" ht="15" hidden="1" customHeight="1" x14ac:dyDescent="0.25">
      <c r="A261" s="19">
        <v>259</v>
      </c>
      <c r="B261" s="19" t="s">
        <v>112</v>
      </c>
      <c r="C261" s="19" t="s">
        <v>39</v>
      </c>
      <c r="D261" s="19" t="s">
        <v>40</v>
      </c>
      <c r="E261" s="19" t="s">
        <v>29</v>
      </c>
      <c r="F261" s="19" t="s">
        <v>467</v>
      </c>
      <c r="G261" s="19" t="s">
        <v>1392</v>
      </c>
      <c r="H261" s="19" t="s">
        <v>1393</v>
      </c>
      <c r="I261" s="20">
        <v>44334</v>
      </c>
      <c r="J261" s="19"/>
      <c r="K261" s="19" t="s">
        <v>45</v>
      </c>
      <c r="L261" s="36"/>
      <c r="M261" s="20"/>
      <c r="N261" s="20"/>
      <c r="O261" s="19"/>
      <c r="P261" s="19">
        <v>242919</v>
      </c>
      <c r="Q261" s="20"/>
      <c r="R261" s="36"/>
      <c r="S261" s="19" t="s">
        <v>45</v>
      </c>
      <c r="T261" s="19" t="s">
        <v>1394</v>
      </c>
      <c r="U261" s="19" t="s">
        <v>1395</v>
      </c>
      <c r="V261" s="19" t="s">
        <v>974</v>
      </c>
      <c r="W261" s="35" t="s">
        <v>1396</v>
      </c>
      <c r="X261" s="21"/>
      <c r="Y261" s="22">
        <v>76535764036849</v>
      </c>
      <c r="Z261" s="23">
        <f t="shared" si="7"/>
        <v>259</v>
      </c>
      <c r="AA261" s="24" t="str">
        <f>IFERROR(VLOOKUP($Z261,'[1]End Fat Serviço - PA 15 e 16'!$K$3:$K$31,1,0), "")</f>
        <v/>
      </c>
      <c r="AB261" s="24" t="str">
        <f>IFERROR(VLOOKUP($Z261,'[1]End Fat Material - PA 12'!$K$3:$K$64,1,0), "")</f>
        <v/>
      </c>
      <c r="AC261" s="24" t="str">
        <f>IFERROR(VLOOKUP($Z261,'[1]End CA Lotação'!$L$3:$L$36,1,0), "")</f>
        <v/>
      </c>
      <c r="AD261" s="24" t="str">
        <f>IFERROR(VLOOKUP(Z261,'[1]RH - PARA 21.03'!$M$3:$M$555,1,0),"")</f>
        <v/>
      </c>
      <c r="AE261" s="23" t="str">
        <f>IFERROR(VLOOKUP($Z261,'[1]CNPJ Oi Fat'!$K$3:$K$32,1,0),"")</f>
        <v/>
      </c>
      <c r="AF261" s="23" t="str">
        <f>IFERROR(VLOOKUP(Z261,'[1]End Logística Oi'!$D$3:$D$29,1,0),"")</f>
        <v/>
      </c>
      <c r="AG261" s="23" t="str">
        <f>IFERROR(VLOOKUP(Z261,'[1]End Logística Oi'!$J$3:$J$29,1,0),"")</f>
        <v/>
      </c>
      <c r="AI261" s="23" t="s">
        <v>55</v>
      </c>
      <c r="AJ261" s="23" t="s">
        <v>55</v>
      </c>
      <c r="AK261" s="23" t="e">
        <v>#N/A</v>
      </c>
    </row>
    <row r="262" spans="1:38" s="23" customFormat="1" ht="15" customHeight="1" x14ac:dyDescent="0.25">
      <c r="A262" s="19">
        <v>260</v>
      </c>
      <c r="B262" s="19" t="s">
        <v>112</v>
      </c>
      <c r="C262" s="19" t="s">
        <v>39</v>
      </c>
      <c r="D262" s="19" t="s">
        <v>40</v>
      </c>
      <c r="E262" s="19" t="s">
        <v>29</v>
      </c>
      <c r="F262" s="19" t="s">
        <v>467</v>
      </c>
      <c r="G262" s="19" t="s">
        <v>1397</v>
      </c>
      <c r="H262" s="19" t="s">
        <v>1398</v>
      </c>
      <c r="I262" s="20">
        <v>44334</v>
      </c>
      <c r="J262" s="19"/>
      <c r="K262" s="19" t="s">
        <v>45</v>
      </c>
      <c r="L262" s="36"/>
      <c r="M262" s="20"/>
      <c r="N262" s="20"/>
      <c r="O262" s="19"/>
      <c r="P262" s="19">
        <v>162322</v>
      </c>
      <c r="Q262" s="20"/>
      <c r="R262" s="36"/>
      <c r="S262" s="19" t="s">
        <v>45</v>
      </c>
      <c r="T262" s="19" t="s">
        <v>1399</v>
      </c>
      <c r="U262" s="19" t="s">
        <v>49</v>
      </c>
      <c r="V262" s="19" t="s">
        <v>1400</v>
      </c>
      <c r="W262" s="35" t="s">
        <v>1401</v>
      </c>
      <c r="X262" s="21"/>
      <c r="Y262" s="22">
        <v>76535764036920</v>
      </c>
      <c r="Z262" s="23">
        <f t="shared" si="7"/>
        <v>260</v>
      </c>
      <c r="AA262" s="24" t="str">
        <f>IFERROR(VLOOKUP($Z262,'[1]End Fat Serviço - PA 15 e 16'!$K$3:$K$31,1,0), "")</f>
        <v/>
      </c>
      <c r="AB262" s="24" t="str">
        <f>IFERROR(VLOOKUP($Z262,'[1]End Fat Material - PA 12'!$K$3:$K$64,1,0), "")</f>
        <v/>
      </c>
      <c r="AC262" s="24" t="str">
        <f>IFERROR(VLOOKUP($Z262,'[1]End CA Lotação'!$L$3:$L$36,1,0), "")</f>
        <v/>
      </c>
      <c r="AD262" s="24">
        <f>IFERROR(VLOOKUP(Z262,'[1]RH - PARA 21.03'!$M$3:$M$555,1,0),"")</f>
        <v>260</v>
      </c>
      <c r="AE262" s="23" t="str">
        <f>IFERROR(VLOOKUP($Z262,'[1]CNPJ Oi Fat'!$K$3:$K$32,1,0),"")</f>
        <v/>
      </c>
      <c r="AF262" s="23" t="str">
        <f>IFERROR(VLOOKUP(Z262,'[1]End Logística Oi'!$D$3:$D$29,1,0),"")</f>
        <v/>
      </c>
      <c r="AG262" s="23" t="str">
        <f>IFERROR(VLOOKUP(Z262,'[1]End Logística Oi'!$J$3:$J$29,1,0),"")</f>
        <v/>
      </c>
      <c r="AI262" s="23" t="s">
        <v>54</v>
      </c>
      <c r="AJ262" s="23" t="s">
        <v>55</v>
      </c>
      <c r="AK262" s="23" t="e">
        <v>#N/A</v>
      </c>
    </row>
    <row r="263" spans="1:38" s="23" customFormat="1" ht="15" hidden="1" customHeight="1" x14ac:dyDescent="0.25">
      <c r="A263" s="19">
        <v>261</v>
      </c>
      <c r="B263" s="19" t="s">
        <v>230</v>
      </c>
      <c r="C263" s="19" t="s">
        <v>39</v>
      </c>
      <c r="D263" s="19" t="s">
        <v>40</v>
      </c>
      <c r="E263" s="19" t="s">
        <v>29</v>
      </c>
      <c r="F263" s="19" t="s">
        <v>467</v>
      </c>
      <c r="G263" s="19" t="s">
        <v>1402</v>
      </c>
      <c r="H263" s="19" t="s">
        <v>1403</v>
      </c>
      <c r="I263" s="20">
        <v>44334</v>
      </c>
      <c r="J263" s="19"/>
      <c r="K263" s="19" t="s">
        <v>45</v>
      </c>
      <c r="L263" s="36"/>
      <c r="M263" s="20"/>
      <c r="N263" s="20"/>
      <c r="O263" s="19"/>
      <c r="P263" s="19" t="s">
        <v>1404</v>
      </c>
      <c r="Q263" s="20">
        <v>44334</v>
      </c>
      <c r="R263" s="36"/>
      <c r="S263" s="19" t="s">
        <v>45</v>
      </c>
      <c r="T263" s="19" t="s">
        <v>1405</v>
      </c>
      <c r="U263" s="19" t="s">
        <v>1406</v>
      </c>
      <c r="V263" s="19" t="s">
        <v>235</v>
      </c>
      <c r="W263" s="35" t="s">
        <v>1407</v>
      </c>
      <c r="X263" s="21"/>
      <c r="Y263" s="22">
        <v>76535764038388</v>
      </c>
      <c r="Z263" s="23">
        <f t="shared" si="7"/>
        <v>261</v>
      </c>
      <c r="AA263" s="24" t="str">
        <f>IFERROR(VLOOKUP($Z263,'[1]End Fat Serviço - PA 15 e 16'!$K$3:$K$31,1,0), "")</f>
        <v/>
      </c>
      <c r="AB263" s="24" t="str">
        <f>IFERROR(VLOOKUP($Z263,'[1]End Fat Material - PA 12'!$K$3:$K$64,1,0), "")</f>
        <v/>
      </c>
      <c r="AC263" s="24" t="str">
        <f>IFERROR(VLOOKUP($Z263,'[1]End CA Lotação'!$L$3:$L$36,1,0), "")</f>
        <v/>
      </c>
      <c r="AD263" s="24" t="str">
        <f>IFERROR(VLOOKUP(Z263,'[1]RH - PARA 21.03'!$M$3:$M$555,1,0),"")</f>
        <v/>
      </c>
      <c r="AE263" s="23" t="str">
        <f>IFERROR(VLOOKUP($Z263,'[1]CNPJ Oi Fat'!$K$3:$K$32,1,0),"")</f>
        <v/>
      </c>
      <c r="AF263" s="23" t="str">
        <f>IFERROR(VLOOKUP(Z263,'[1]End Logística Oi'!$D$3:$D$29,1,0),"")</f>
        <v/>
      </c>
      <c r="AG263" s="23" t="str">
        <f>IFERROR(VLOOKUP(Z263,'[1]End Logística Oi'!$J$3:$J$29,1,0),"")</f>
        <v/>
      </c>
      <c r="AI263" s="23" t="s">
        <v>55</v>
      </c>
      <c r="AJ263" s="23" t="s">
        <v>55</v>
      </c>
      <c r="AK263" s="23" t="e">
        <v>#N/A</v>
      </c>
    </row>
    <row r="264" spans="1:38" s="23" customFormat="1" ht="15" customHeight="1" x14ac:dyDescent="0.25">
      <c r="A264" s="19">
        <v>262</v>
      </c>
      <c r="B264" s="19" t="s">
        <v>200</v>
      </c>
      <c r="C264" s="19" t="s">
        <v>39</v>
      </c>
      <c r="D264" s="19" t="s">
        <v>40</v>
      </c>
      <c r="E264" s="19" t="s">
        <v>29</v>
      </c>
      <c r="F264" s="19" t="s">
        <v>467</v>
      </c>
      <c r="G264" s="19" t="s">
        <v>1408</v>
      </c>
      <c r="H264" s="19" t="s">
        <v>1409</v>
      </c>
      <c r="I264" s="20">
        <v>44334</v>
      </c>
      <c r="J264" s="19"/>
      <c r="K264" s="19" t="s">
        <v>45</v>
      </c>
      <c r="L264" s="36" t="s">
        <v>473</v>
      </c>
      <c r="M264" s="20" t="s">
        <v>473</v>
      </c>
      <c r="N264" s="20"/>
      <c r="O264" s="19" t="s">
        <v>45</v>
      </c>
      <c r="P264" s="19">
        <v>42702</v>
      </c>
      <c r="Q264" s="20"/>
      <c r="R264" s="36"/>
      <c r="S264" s="19" t="s">
        <v>45</v>
      </c>
      <c r="T264" s="19" t="s">
        <v>1410</v>
      </c>
      <c r="U264" s="19" t="s">
        <v>49</v>
      </c>
      <c r="V264" s="19" t="s">
        <v>1411</v>
      </c>
      <c r="W264" s="35" t="s">
        <v>1412</v>
      </c>
      <c r="X264" s="21"/>
      <c r="Y264" s="22">
        <v>76535764037225</v>
      </c>
      <c r="Z264" s="23">
        <f t="shared" si="7"/>
        <v>262</v>
      </c>
      <c r="AA264" s="24" t="str">
        <f>IFERROR(VLOOKUP($Z264,'[1]End Fat Serviço - PA 15 e 16'!$K$3:$K$31,1,0), "")</f>
        <v/>
      </c>
      <c r="AB264" s="24" t="str">
        <f>IFERROR(VLOOKUP($Z264,'[1]End Fat Material - PA 12'!$K$3:$K$64,1,0), "")</f>
        <v/>
      </c>
      <c r="AC264" s="24" t="str">
        <f>IFERROR(VLOOKUP($Z264,'[1]End CA Lotação'!$L$3:$L$36,1,0), "")</f>
        <v/>
      </c>
      <c r="AD264" s="24">
        <f>IFERROR(VLOOKUP(Z264,'[1]RH - PARA 21.03'!$M$3:$M$555,1,0),"")</f>
        <v>262</v>
      </c>
      <c r="AE264" s="23" t="str">
        <f>IFERROR(VLOOKUP($Z264,'[1]CNPJ Oi Fat'!$K$3:$K$32,1,0),"")</f>
        <v/>
      </c>
      <c r="AF264" s="23" t="str">
        <f>IFERROR(VLOOKUP(Z264,'[1]End Logística Oi'!$D$3:$D$29,1,0),"")</f>
        <v/>
      </c>
      <c r="AG264" s="23" t="str">
        <f>IFERROR(VLOOKUP(Z264,'[1]End Logística Oi'!$J$3:$J$29,1,0),"")</f>
        <v/>
      </c>
      <c r="AI264" s="23" t="s">
        <v>54</v>
      </c>
      <c r="AJ264" s="23" t="s">
        <v>55</v>
      </c>
      <c r="AK264" s="23" t="e">
        <v>#N/A</v>
      </c>
    </row>
    <row r="265" spans="1:38" s="23" customFormat="1" ht="15" customHeight="1" x14ac:dyDescent="0.25">
      <c r="A265" s="19">
        <v>263</v>
      </c>
      <c r="B265" s="19" t="s">
        <v>200</v>
      </c>
      <c r="C265" s="19" t="s">
        <v>39</v>
      </c>
      <c r="D265" s="19" t="s">
        <v>40</v>
      </c>
      <c r="E265" s="19" t="s">
        <v>29</v>
      </c>
      <c r="F265" s="19" t="s">
        <v>467</v>
      </c>
      <c r="G265" s="19" t="s">
        <v>1413</v>
      </c>
      <c r="H265" s="19" t="s">
        <v>1414</v>
      </c>
      <c r="I265" s="20">
        <v>44334</v>
      </c>
      <c r="J265" s="19"/>
      <c r="K265" s="19" t="s">
        <v>45</v>
      </c>
      <c r="L265" s="36"/>
      <c r="M265" s="20"/>
      <c r="N265" s="20"/>
      <c r="O265" s="19"/>
      <c r="P265" s="19">
        <v>108330</v>
      </c>
      <c r="Q265" s="20"/>
      <c r="R265" s="36"/>
      <c r="S265" s="19" t="s">
        <v>45</v>
      </c>
      <c r="T265" s="19" t="s">
        <v>1415</v>
      </c>
      <c r="U265" s="19" t="s">
        <v>49</v>
      </c>
      <c r="V265" s="19" t="s">
        <v>1416</v>
      </c>
      <c r="W265" s="35" t="s">
        <v>1417</v>
      </c>
      <c r="X265" s="21"/>
      <c r="Y265" s="22">
        <v>76535764037306</v>
      </c>
      <c r="Z265" s="23">
        <f t="shared" si="7"/>
        <v>263</v>
      </c>
      <c r="AA265" s="24" t="str">
        <f>IFERROR(VLOOKUP($Z265,'[1]End Fat Serviço - PA 15 e 16'!$K$3:$K$31,1,0), "")</f>
        <v/>
      </c>
      <c r="AB265" s="24" t="str">
        <f>IFERROR(VLOOKUP($Z265,'[1]End Fat Material - PA 12'!$K$3:$K$64,1,0), "")</f>
        <v/>
      </c>
      <c r="AC265" s="24" t="str">
        <f>IFERROR(VLOOKUP($Z265,'[1]End CA Lotação'!$L$3:$L$36,1,0), "")</f>
        <v/>
      </c>
      <c r="AD265" s="24">
        <f>IFERROR(VLOOKUP(Z265,'[1]RH - PARA 21.03'!$M$3:$M$555,1,0),"")</f>
        <v>263</v>
      </c>
      <c r="AE265" s="23" t="str">
        <f>IFERROR(VLOOKUP($Z265,'[1]CNPJ Oi Fat'!$K$3:$K$32,1,0),"")</f>
        <v/>
      </c>
      <c r="AF265" s="23" t="str">
        <f>IFERROR(VLOOKUP(Z265,'[1]End Logística Oi'!$D$3:$D$29,1,0),"")</f>
        <v/>
      </c>
      <c r="AG265" s="23" t="str">
        <f>IFERROR(VLOOKUP(Z265,'[1]End Logística Oi'!$J$3:$J$29,1,0),"")</f>
        <v/>
      </c>
      <c r="AI265" s="23" t="s">
        <v>54</v>
      </c>
      <c r="AJ265" s="23" t="s">
        <v>55</v>
      </c>
      <c r="AK265" s="23" t="e">
        <v>#N/A</v>
      </c>
    </row>
    <row r="266" spans="1:38" s="23" customFormat="1" ht="15" customHeight="1" x14ac:dyDescent="0.25">
      <c r="A266" s="19">
        <v>264</v>
      </c>
      <c r="B266" s="19" t="s">
        <v>200</v>
      </c>
      <c r="C266" s="19" t="s">
        <v>39</v>
      </c>
      <c r="D266" s="19" t="s">
        <v>40</v>
      </c>
      <c r="E266" s="19" t="s">
        <v>29</v>
      </c>
      <c r="F266" s="19" t="s">
        <v>467</v>
      </c>
      <c r="G266" s="19" t="s">
        <v>1418</v>
      </c>
      <c r="H266" s="19" t="s">
        <v>1419</v>
      </c>
      <c r="I266" s="20">
        <v>44334</v>
      </c>
      <c r="J266" s="19"/>
      <c r="K266" s="19" t="s">
        <v>45</v>
      </c>
      <c r="L266" s="36" t="s">
        <v>473</v>
      </c>
      <c r="M266" s="20" t="s">
        <v>473</v>
      </c>
      <c r="N266" s="20"/>
      <c r="O266" s="19" t="s">
        <v>45</v>
      </c>
      <c r="P266" s="19">
        <v>98627690</v>
      </c>
      <c r="Q266" s="20"/>
      <c r="R266" s="36"/>
      <c r="S266" s="19" t="s">
        <v>45</v>
      </c>
      <c r="T266" s="19" t="s">
        <v>1420</v>
      </c>
      <c r="U266" s="19" t="s">
        <v>49</v>
      </c>
      <c r="V266" s="19" t="s">
        <v>1421</v>
      </c>
      <c r="W266" s="35" t="s">
        <v>1422</v>
      </c>
      <c r="X266" s="21"/>
      <c r="Y266" s="22">
        <v>76535764037578</v>
      </c>
      <c r="Z266" s="23">
        <f t="shared" si="7"/>
        <v>264</v>
      </c>
      <c r="AA266" s="24" t="str">
        <f>IFERROR(VLOOKUP($Z266,'[1]End Fat Serviço - PA 15 e 16'!$K$3:$K$31,1,0), "")</f>
        <v/>
      </c>
      <c r="AB266" s="24" t="str">
        <f>IFERROR(VLOOKUP($Z266,'[1]End Fat Material - PA 12'!$K$3:$K$64,1,0), "")</f>
        <v/>
      </c>
      <c r="AC266" s="24" t="str">
        <f>IFERROR(VLOOKUP($Z266,'[1]End CA Lotação'!$L$3:$L$36,1,0), "")</f>
        <v/>
      </c>
      <c r="AD266" s="24">
        <f>IFERROR(VLOOKUP(Z266,'[1]RH - PARA 21.03'!$M$3:$M$555,1,0),"")</f>
        <v>264</v>
      </c>
      <c r="AE266" s="23" t="str">
        <f>IFERROR(VLOOKUP($Z266,'[1]CNPJ Oi Fat'!$K$3:$K$32,1,0),"")</f>
        <v/>
      </c>
      <c r="AF266" s="23" t="str">
        <f>IFERROR(VLOOKUP(Z266,'[1]End Logística Oi'!$D$3:$D$29,1,0),"")</f>
        <v/>
      </c>
      <c r="AG266" s="23" t="str">
        <f>IFERROR(VLOOKUP(Z266,'[1]End Logística Oi'!$J$3:$J$29,1,0),"")</f>
        <v/>
      </c>
      <c r="AI266" s="23" t="s">
        <v>54</v>
      </c>
      <c r="AJ266" s="23" t="s">
        <v>55</v>
      </c>
      <c r="AK266" s="23" t="e">
        <v>#N/A</v>
      </c>
    </row>
    <row r="267" spans="1:38" s="23" customFormat="1" ht="15" customHeight="1" x14ac:dyDescent="0.25">
      <c r="A267" s="19">
        <v>265</v>
      </c>
      <c r="B267" s="19" t="s">
        <v>200</v>
      </c>
      <c r="C267" s="19" t="s">
        <v>39</v>
      </c>
      <c r="D267" s="19" t="s">
        <v>40</v>
      </c>
      <c r="E267" s="19" t="s">
        <v>29</v>
      </c>
      <c r="F267" s="19" t="s">
        <v>467</v>
      </c>
      <c r="G267" s="19" t="s">
        <v>1423</v>
      </c>
      <c r="H267" s="19" t="s">
        <v>1424</v>
      </c>
      <c r="I267" s="20">
        <v>44334</v>
      </c>
      <c r="J267" s="19"/>
      <c r="K267" s="19" t="s">
        <v>45</v>
      </c>
      <c r="L267" s="36"/>
      <c r="M267" s="20"/>
      <c r="N267" s="20"/>
      <c r="O267" s="19"/>
      <c r="P267" s="19">
        <v>210273</v>
      </c>
      <c r="Q267" s="20"/>
      <c r="R267" s="36"/>
      <c r="S267" s="19" t="s">
        <v>45</v>
      </c>
      <c r="T267" s="19" t="s">
        <v>1425</v>
      </c>
      <c r="U267" s="19" t="s">
        <v>1426</v>
      </c>
      <c r="V267" s="19" t="s">
        <v>1427</v>
      </c>
      <c r="W267" s="35" t="s">
        <v>1428</v>
      </c>
      <c r="X267" s="21"/>
      <c r="Y267" s="22">
        <v>76535764037497</v>
      </c>
      <c r="Z267" s="23">
        <f t="shared" si="7"/>
        <v>265</v>
      </c>
      <c r="AA267" s="24" t="str">
        <f>IFERROR(VLOOKUP($Z267,'[1]End Fat Serviço - PA 15 e 16'!$K$3:$K$31,1,0), "")</f>
        <v/>
      </c>
      <c r="AB267" s="24" t="str">
        <f>IFERROR(VLOOKUP($Z267,'[1]End Fat Material - PA 12'!$K$3:$K$64,1,0), "")</f>
        <v/>
      </c>
      <c r="AC267" s="24" t="str">
        <f>IFERROR(VLOOKUP($Z267,'[1]End CA Lotação'!$L$3:$L$36,1,0), "")</f>
        <v/>
      </c>
      <c r="AD267" s="24">
        <f>IFERROR(VLOOKUP(Z267,'[1]RH - PARA 21.03'!$M$3:$M$555,1,0),"")</f>
        <v>265</v>
      </c>
      <c r="AE267" s="23" t="str">
        <f>IFERROR(VLOOKUP($Z267,'[1]CNPJ Oi Fat'!$K$3:$K$32,1,0),"")</f>
        <v/>
      </c>
      <c r="AF267" s="23" t="str">
        <f>IFERROR(VLOOKUP(Z267,'[1]End Logística Oi'!$D$3:$D$29,1,0),"")</f>
        <v/>
      </c>
      <c r="AG267" s="23" t="str">
        <f>IFERROR(VLOOKUP(Z267,'[1]End Logística Oi'!$J$3:$J$29,1,0),"")</f>
        <v/>
      </c>
      <c r="AI267" s="23" t="s">
        <v>54</v>
      </c>
      <c r="AJ267" s="23" t="s">
        <v>55</v>
      </c>
      <c r="AK267" s="23" t="e">
        <v>#N/A</v>
      </c>
    </row>
    <row r="268" spans="1:38" s="23" customFormat="1" ht="15" customHeight="1" x14ac:dyDescent="0.25">
      <c r="A268" s="19">
        <v>266</v>
      </c>
      <c r="B268" s="19" t="s">
        <v>122</v>
      </c>
      <c r="C268" s="19" t="s">
        <v>39</v>
      </c>
      <c r="D268" s="19" t="s">
        <v>40</v>
      </c>
      <c r="E268" s="19" t="s">
        <v>29</v>
      </c>
      <c r="F268" s="19" t="s">
        <v>467</v>
      </c>
      <c r="G268" s="19" t="s">
        <v>1429</v>
      </c>
      <c r="H268" s="19" t="s">
        <v>1430</v>
      </c>
      <c r="I268" s="20">
        <v>44334</v>
      </c>
      <c r="J268" s="19"/>
      <c r="K268" s="19" t="s">
        <v>45</v>
      </c>
      <c r="L268" s="36"/>
      <c r="M268" s="20"/>
      <c r="N268" s="20"/>
      <c r="O268" s="19"/>
      <c r="P268" s="19"/>
      <c r="Q268" s="20"/>
      <c r="R268" s="36"/>
      <c r="S268" s="19"/>
      <c r="T268" s="19" t="s">
        <v>1431</v>
      </c>
      <c r="U268" s="19" t="s">
        <v>49</v>
      </c>
      <c r="V268" s="19" t="s">
        <v>1432</v>
      </c>
      <c r="W268" s="35" t="s">
        <v>1433</v>
      </c>
      <c r="X268" s="21"/>
      <c r="Y268" s="22">
        <v>76535764037730</v>
      </c>
      <c r="Z268" s="23">
        <f t="shared" si="7"/>
        <v>266</v>
      </c>
      <c r="AA268" s="24" t="str">
        <f>IFERROR(VLOOKUP($Z268,'[1]End Fat Serviço - PA 15 e 16'!$K$3:$K$31,1,0), "")</f>
        <v/>
      </c>
      <c r="AB268" s="24" t="str">
        <f>IFERROR(VLOOKUP($Z268,'[1]End Fat Material - PA 12'!$K$3:$K$64,1,0), "")</f>
        <v/>
      </c>
      <c r="AC268" s="24" t="str">
        <f>IFERROR(VLOOKUP($Z268,'[1]End CA Lotação'!$L$3:$L$36,1,0), "")</f>
        <v/>
      </c>
      <c r="AD268" s="24">
        <f>IFERROR(VLOOKUP(Z268,'[1]RH - PARA 21.03'!$M$3:$M$555,1,0),"")</f>
        <v>266</v>
      </c>
      <c r="AE268" s="23" t="str">
        <f>IFERROR(VLOOKUP($Z268,'[1]CNPJ Oi Fat'!$K$3:$K$32,1,0),"")</f>
        <v/>
      </c>
      <c r="AF268" s="23" t="str">
        <f>IFERROR(VLOOKUP(Z268,'[1]End Logística Oi'!$D$3:$D$29,1,0),"")</f>
        <v/>
      </c>
      <c r="AG268" s="23" t="str">
        <f>IFERROR(VLOOKUP(Z268,'[1]End Logística Oi'!$J$3:$J$29,1,0),"")</f>
        <v/>
      </c>
      <c r="AI268" s="23" t="s">
        <v>54</v>
      </c>
      <c r="AJ268" s="23" t="s">
        <v>55</v>
      </c>
      <c r="AK268" s="23" t="e">
        <v>#N/A</v>
      </c>
    </row>
    <row r="269" spans="1:38" s="23" customFormat="1" ht="15" customHeight="1" x14ac:dyDescent="0.25">
      <c r="A269" s="19">
        <v>267</v>
      </c>
      <c r="B269" s="19" t="s">
        <v>122</v>
      </c>
      <c r="C269" s="19" t="s">
        <v>39</v>
      </c>
      <c r="D269" s="19" t="s">
        <v>40</v>
      </c>
      <c r="E269" s="19" t="s">
        <v>29</v>
      </c>
      <c r="F269" s="19" t="s">
        <v>467</v>
      </c>
      <c r="G269" s="19" t="s">
        <v>1434</v>
      </c>
      <c r="H269" s="19" t="s">
        <v>1435</v>
      </c>
      <c r="I269" s="20">
        <v>44334</v>
      </c>
      <c r="J269" s="19"/>
      <c r="K269" s="19" t="s">
        <v>45</v>
      </c>
      <c r="L269" s="36" t="s">
        <v>473</v>
      </c>
      <c r="M269" s="20" t="s">
        <v>473</v>
      </c>
      <c r="N269" s="20"/>
      <c r="O269" s="19" t="s">
        <v>45</v>
      </c>
      <c r="P269" s="19">
        <v>336091</v>
      </c>
      <c r="Q269" s="20">
        <v>44701</v>
      </c>
      <c r="R269" s="36"/>
      <c r="S269" s="19" t="s">
        <v>45</v>
      </c>
      <c r="T269" s="19" t="s">
        <v>1436</v>
      </c>
      <c r="U269" s="19" t="s">
        <v>49</v>
      </c>
      <c r="V269" s="19" t="s">
        <v>1437</v>
      </c>
      <c r="W269" s="35" t="s">
        <v>1438</v>
      </c>
      <c r="X269" s="21"/>
      <c r="Y269" s="22">
        <v>76535764037810</v>
      </c>
      <c r="Z269" s="23">
        <f t="shared" si="7"/>
        <v>267</v>
      </c>
      <c r="AA269" s="24" t="str">
        <f>IFERROR(VLOOKUP($Z269,'[1]End Fat Serviço - PA 15 e 16'!$K$3:$K$31,1,0), "")</f>
        <v/>
      </c>
      <c r="AB269" s="24" t="str">
        <f>IFERROR(VLOOKUP($Z269,'[1]End Fat Material - PA 12'!$K$3:$K$64,1,0), "")</f>
        <v/>
      </c>
      <c r="AC269" s="24" t="str">
        <f>IFERROR(VLOOKUP($Z269,'[1]End CA Lotação'!$L$3:$L$36,1,0), "")</f>
        <v/>
      </c>
      <c r="AD269" s="24">
        <f>IFERROR(VLOOKUP(Z269,'[1]RH - PARA 21.03'!$M$3:$M$555,1,0),"")</f>
        <v>267</v>
      </c>
      <c r="AE269" s="23" t="str">
        <f>IFERROR(VLOOKUP($Z269,'[1]CNPJ Oi Fat'!$K$3:$K$32,1,0),"")</f>
        <v/>
      </c>
      <c r="AF269" s="23" t="str">
        <f>IFERROR(VLOOKUP(Z269,'[1]End Logística Oi'!$D$3:$D$29,1,0),"")</f>
        <v/>
      </c>
      <c r="AG269" s="23" t="str">
        <f>IFERROR(VLOOKUP(Z269,'[1]End Logística Oi'!$J$3:$J$29,1,0),"")</f>
        <v/>
      </c>
      <c r="AI269" s="23" t="s">
        <v>54</v>
      </c>
      <c r="AJ269" s="23" t="s">
        <v>55</v>
      </c>
      <c r="AK269" s="23" t="e">
        <v>#N/A</v>
      </c>
    </row>
    <row r="270" spans="1:38" s="23" customFormat="1" ht="15" hidden="1" customHeight="1" x14ac:dyDescent="0.25">
      <c r="A270" s="19">
        <v>268</v>
      </c>
      <c r="B270" s="19" t="s">
        <v>122</v>
      </c>
      <c r="C270" s="19" t="s">
        <v>39</v>
      </c>
      <c r="D270" s="19" t="s">
        <v>40</v>
      </c>
      <c r="E270" s="19" t="s">
        <v>29</v>
      </c>
      <c r="F270" s="19" t="s">
        <v>467</v>
      </c>
      <c r="G270" s="19" t="s">
        <v>1439</v>
      </c>
      <c r="H270" s="19" t="s">
        <v>1440</v>
      </c>
      <c r="I270" s="20">
        <v>44334</v>
      </c>
      <c r="J270" s="19"/>
      <c r="K270" s="19" t="s">
        <v>45</v>
      </c>
      <c r="L270" s="36"/>
      <c r="M270" s="20"/>
      <c r="N270" s="20"/>
      <c r="O270" s="19"/>
      <c r="P270" s="19"/>
      <c r="Q270" s="20"/>
      <c r="R270" s="36"/>
      <c r="S270" s="19"/>
      <c r="T270" s="19" t="s">
        <v>1441</v>
      </c>
      <c r="U270" s="19" t="s">
        <v>49</v>
      </c>
      <c r="V270" s="19" t="s">
        <v>1188</v>
      </c>
      <c r="W270" s="35" t="s">
        <v>1442</v>
      </c>
      <c r="X270" s="21"/>
      <c r="Y270" s="22">
        <v>76535764037900</v>
      </c>
      <c r="Z270" s="23">
        <f t="shared" si="7"/>
        <v>268</v>
      </c>
      <c r="AA270" s="24" t="str">
        <f>IFERROR(VLOOKUP($Z270,'[1]End Fat Serviço - PA 15 e 16'!$K$3:$K$31,1,0), "")</f>
        <v/>
      </c>
      <c r="AB270" s="24" t="str">
        <f>IFERROR(VLOOKUP($Z270,'[1]End Fat Material - PA 12'!$K$3:$K$64,1,0), "")</f>
        <v/>
      </c>
      <c r="AC270" s="24" t="str">
        <f>IFERROR(VLOOKUP($Z270,'[1]End CA Lotação'!$L$3:$L$36,1,0), "")</f>
        <v/>
      </c>
      <c r="AD270" s="24" t="str">
        <f>IFERROR(VLOOKUP(Z270,'[1]RH - PARA 21.03'!$M$3:$M$555,1,0),"")</f>
        <v/>
      </c>
      <c r="AE270" s="23" t="str">
        <f>IFERROR(VLOOKUP($Z270,'[1]CNPJ Oi Fat'!$K$3:$K$32,1,0),"")</f>
        <v/>
      </c>
      <c r="AF270" s="23" t="str">
        <f>IFERROR(VLOOKUP(Z270,'[1]End Logística Oi'!$D$3:$D$29,1,0),"")</f>
        <v/>
      </c>
      <c r="AG270" s="23" t="str">
        <f>IFERROR(VLOOKUP(Z270,'[1]End Logística Oi'!$J$3:$J$29,1,0),"")</f>
        <v/>
      </c>
      <c r="AI270" s="23" t="s">
        <v>55</v>
      </c>
      <c r="AJ270" s="23" t="s">
        <v>55</v>
      </c>
      <c r="AK270" s="23" t="e">
        <v>#N/A</v>
      </c>
    </row>
    <row r="271" spans="1:38" s="34" customFormat="1" ht="15" customHeight="1" x14ac:dyDescent="0.25">
      <c r="A271" s="25">
        <v>269</v>
      </c>
      <c r="B271" s="26" t="s">
        <v>122</v>
      </c>
      <c r="C271" s="27" t="s">
        <v>39</v>
      </c>
      <c r="D271" s="26" t="s">
        <v>40</v>
      </c>
      <c r="E271" s="26" t="s">
        <v>29</v>
      </c>
      <c r="F271" s="26" t="s">
        <v>467</v>
      </c>
      <c r="G271" s="28" t="s">
        <v>1443</v>
      </c>
      <c r="H271" s="26" t="s">
        <v>1444</v>
      </c>
      <c r="I271" s="29">
        <v>44334</v>
      </c>
      <c r="J271" s="30"/>
      <c r="K271" s="19" t="s">
        <v>45</v>
      </c>
      <c r="L271" s="31">
        <v>250427648</v>
      </c>
      <c r="M271" s="29">
        <v>25400</v>
      </c>
      <c r="N271" s="32"/>
      <c r="O271" s="31" t="s">
        <v>965</v>
      </c>
      <c r="P271" s="33">
        <v>1815701</v>
      </c>
      <c r="Q271" s="29">
        <v>44334</v>
      </c>
      <c r="R271" s="32"/>
      <c r="S271" s="31" t="s">
        <v>45</v>
      </c>
      <c r="T271" s="31" t="s">
        <v>1445</v>
      </c>
      <c r="U271" s="31" t="s">
        <v>49</v>
      </c>
      <c r="V271" s="27" t="s">
        <v>1446</v>
      </c>
      <c r="W271" s="31" t="s">
        <v>1447</v>
      </c>
      <c r="X271" s="21"/>
      <c r="Y271" s="22">
        <v>76535764038035</v>
      </c>
      <c r="Z271" s="23">
        <v>269</v>
      </c>
      <c r="AA271" s="24">
        <v>269</v>
      </c>
      <c r="AB271" s="24">
        <v>269</v>
      </c>
      <c r="AC271" s="24" t="s">
        <v>65</v>
      </c>
      <c r="AD271" s="52">
        <v>269</v>
      </c>
      <c r="AE271" s="23" t="s">
        <v>65</v>
      </c>
      <c r="AF271" s="23" t="s">
        <v>65</v>
      </c>
      <c r="AG271" s="23" t="s">
        <v>65</v>
      </c>
      <c r="AH271" s="34" t="s">
        <v>1053</v>
      </c>
      <c r="AI271" s="23" t="s">
        <v>54</v>
      </c>
      <c r="AJ271" s="23" t="s">
        <v>54</v>
      </c>
      <c r="AK271" s="23" t="s">
        <v>121</v>
      </c>
      <c r="AL271" s="23" t="s">
        <v>1448</v>
      </c>
    </row>
    <row r="272" spans="1:38" s="34" customFormat="1" ht="15" hidden="1" customHeight="1" x14ac:dyDescent="0.25">
      <c r="A272" s="19">
        <v>270</v>
      </c>
      <c r="B272" s="19" t="s">
        <v>122</v>
      </c>
      <c r="C272" s="19" t="s">
        <v>39</v>
      </c>
      <c r="D272" s="19" t="s">
        <v>40</v>
      </c>
      <c r="E272" s="19" t="s">
        <v>29</v>
      </c>
      <c r="F272" s="19" t="s">
        <v>467</v>
      </c>
      <c r="G272" s="19" t="s">
        <v>1449</v>
      </c>
      <c r="H272" s="19" t="s">
        <v>1450</v>
      </c>
      <c r="I272" s="20">
        <v>44334</v>
      </c>
      <c r="J272" s="19"/>
      <c r="K272" s="19" t="s">
        <v>45</v>
      </c>
      <c r="L272" s="36"/>
      <c r="M272" s="20"/>
      <c r="N272" s="20"/>
      <c r="O272" s="19"/>
      <c r="P272" s="19"/>
      <c r="Q272" s="20"/>
      <c r="R272" s="36"/>
      <c r="S272" s="19"/>
      <c r="T272" s="19" t="s">
        <v>1451</v>
      </c>
      <c r="U272" s="19" t="s">
        <v>1452</v>
      </c>
      <c r="V272" s="19" t="s">
        <v>1183</v>
      </c>
      <c r="W272" s="35" t="s">
        <v>1453</v>
      </c>
      <c r="X272" s="21"/>
      <c r="Y272" s="22">
        <v>76535764037659</v>
      </c>
      <c r="Z272" s="23">
        <f>A272</f>
        <v>270</v>
      </c>
      <c r="AA272" s="24" t="str">
        <f>IFERROR(VLOOKUP($Z272,'[1]End Fat Serviço - PA 15 e 16'!$K$3:$K$31,1,0), "")</f>
        <v/>
      </c>
      <c r="AB272" s="24" t="str">
        <f>IFERROR(VLOOKUP($Z272,'[1]End Fat Material - PA 12'!$K$3:$K$64,1,0), "")</f>
        <v/>
      </c>
      <c r="AC272" s="24" t="str">
        <f>IFERROR(VLOOKUP($Z272,'[1]End CA Lotação'!$L$3:$L$36,1,0), "")</f>
        <v/>
      </c>
      <c r="AD272" s="24" t="str">
        <f>IFERROR(VLOOKUP(Z272,'[1]RH - PARA 21.03'!$M$3:$M$555,1,0),"")</f>
        <v/>
      </c>
      <c r="AE272" s="23" t="str">
        <f>IFERROR(VLOOKUP($Z272,'[1]CNPJ Oi Fat'!$K$3:$K$32,1,0),"")</f>
        <v/>
      </c>
      <c r="AF272" s="23" t="str">
        <f>IFERROR(VLOOKUP(Z272,'[1]End Logística Oi'!$D$3:$D$29,1,0),"")</f>
        <v/>
      </c>
      <c r="AG272" s="23" t="str">
        <f>IFERROR(VLOOKUP(Z272,'[1]End Logística Oi'!$J$3:$J$29,1,0),"")</f>
        <v/>
      </c>
      <c r="AH272" s="23"/>
      <c r="AI272" s="23" t="s">
        <v>55</v>
      </c>
      <c r="AJ272" s="23" t="s">
        <v>55</v>
      </c>
      <c r="AK272" s="23" t="e">
        <v>#N/A</v>
      </c>
    </row>
    <row r="273" spans="1:37" s="34" customFormat="1" ht="15" hidden="1" customHeight="1" x14ac:dyDescent="0.25">
      <c r="A273" s="19">
        <v>271</v>
      </c>
      <c r="B273" s="19" t="s">
        <v>122</v>
      </c>
      <c r="C273" s="19" t="s">
        <v>39</v>
      </c>
      <c r="D273" s="19" t="s">
        <v>40</v>
      </c>
      <c r="E273" s="19" t="s">
        <v>29</v>
      </c>
      <c r="F273" s="19" t="s">
        <v>467</v>
      </c>
      <c r="G273" s="19" t="s">
        <v>1454</v>
      </c>
      <c r="H273" s="19" t="s">
        <v>1455</v>
      </c>
      <c r="I273" s="20">
        <v>44334</v>
      </c>
      <c r="J273" s="19"/>
      <c r="K273" s="19" t="s">
        <v>45</v>
      </c>
      <c r="L273" s="36"/>
      <c r="M273" s="20"/>
      <c r="N273" s="20"/>
      <c r="O273" s="19"/>
      <c r="P273" s="19"/>
      <c r="Q273" s="20"/>
      <c r="R273" s="36"/>
      <c r="S273" s="19"/>
      <c r="T273" s="19" t="s">
        <v>1456</v>
      </c>
      <c r="U273" s="19" t="s">
        <v>49</v>
      </c>
      <c r="V273" s="19" t="s">
        <v>1457</v>
      </c>
      <c r="W273" s="35" t="s">
        <v>1458</v>
      </c>
      <c r="X273" s="21"/>
      <c r="Y273" s="22">
        <v>76535764038116</v>
      </c>
      <c r="Z273" s="23">
        <f>A273</f>
        <v>271</v>
      </c>
      <c r="AA273" s="24" t="str">
        <f>IFERROR(VLOOKUP($Z273,'[1]End Fat Serviço - PA 15 e 16'!$K$3:$K$31,1,0), "")</f>
        <v/>
      </c>
      <c r="AB273" s="24" t="str">
        <f>IFERROR(VLOOKUP($Z273,'[1]End Fat Material - PA 12'!$K$3:$K$64,1,0), "")</f>
        <v/>
      </c>
      <c r="AC273" s="24" t="str">
        <f>IFERROR(VLOOKUP($Z273,'[1]End CA Lotação'!$L$3:$L$36,1,0), "")</f>
        <v/>
      </c>
      <c r="AD273" s="24" t="str">
        <f>IFERROR(VLOOKUP(Z273,'[1]RH - PARA 21.03'!$M$3:$M$555,1,0),"")</f>
        <v/>
      </c>
      <c r="AE273" s="23" t="str">
        <f>IFERROR(VLOOKUP($Z273,'[1]CNPJ Oi Fat'!$K$3:$K$32,1,0),"")</f>
        <v/>
      </c>
      <c r="AF273" s="23" t="str">
        <f>IFERROR(VLOOKUP(Z273,'[1]End Logística Oi'!$D$3:$D$29,1,0),"")</f>
        <v/>
      </c>
      <c r="AG273" s="23" t="str">
        <f>IFERROR(VLOOKUP(Z273,'[1]End Logística Oi'!$J$3:$J$29,1,0),"")</f>
        <v/>
      </c>
      <c r="AH273" s="23"/>
      <c r="AI273" s="23" t="s">
        <v>55</v>
      </c>
      <c r="AJ273" s="23" t="s">
        <v>55</v>
      </c>
      <c r="AK273" s="23" t="e">
        <v>#N/A</v>
      </c>
    </row>
    <row r="274" spans="1:37" s="34" customFormat="1" ht="15" customHeight="1" x14ac:dyDescent="0.25">
      <c r="A274" s="19">
        <v>272</v>
      </c>
      <c r="B274" s="19" t="s">
        <v>122</v>
      </c>
      <c r="C274" s="19" t="s">
        <v>39</v>
      </c>
      <c r="D274" s="19" t="s">
        <v>40</v>
      </c>
      <c r="E274" s="19" t="s">
        <v>29</v>
      </c>
      <c r="F274" s="19" t="s">
        <v>467</v>
      </c>
      <c r="G274" s="19" t="s">
        <v>1459</v>
      </c>
      <c r="H274" s="19" t="s">
        <v>1460</v>
      </c>
      <c r="I274" s="20">
        <v>44334</v>
      </c>
      <c r="J274" s="19"/>
      <c r="K274" s="19" t="s">
        <v>45</v>
      </c>
      <c r="L274" s="36"/>
      <c r="M274" s="20"/>
      <c r="N274" s="20"/>
      <c r="O274" s="19"/>
      <c r="P274" s="19"/>
      <c r="Q274" s="20"/>
      <c r="R274" s="36"/>
      <c r="S274" s="19"/>
      <c r="T274" s="19" t="s">
        <v>1461</v>
      </c>
      <c r="U274" s="19" t="s">
        <v>1462</v>
      </c>
      <c r="V274" s="19" t="s">
        <v>1463</v>
      </c>
      <c r="W274" s="35" t="s">
        <v>1464</v>
      </c>
      <c r="X274" s="21"/>
      <c r="Y274" s="22">
        <v>76535764038205</v>
      </c>
      <c r="Z274" s="23">
        <f>A274</f>
        <v>272</v>
      </c>
      <c r="AA274" s="24" t="str">
        <f>IFERROR(VLOOKUP($Z274,'[1]End Fat Serviço - PA 15 e 16'!$K$3:$K$31,1,0), "")</f>
        <v/>
      </c>
      <c r="AB274" s="24" t="str">
        <f>IFERROR(VLOOKUP($Z274,'[1]End Fat Material - PA 12'!$K$3:$K$64,1,0), "")</f>
        <v/>
      </c>
      <c r="AC274" s="24" t="str">
        <f>IFERROR(VLOOKUP($Z274,'[1]End CA Lotação'!$L$3:$L$36,1,0), "")</f>
        <v/>
      </c>
      <c r="AD274" s="24">
        <f>IFERROR(VLOOKUP(Z274,'[1]RH - PARA 21.03'!$M$3:$M$555,1,0),"")</f>
        <v>272</v>
      </c>
      <c r="AE274" s="23" t="str">
        <f>IFERROR(VLOOKUP($Z274,'[1]CNPJ Oi Fat'!$K$3:$K$32,1,0),"")</f>
        <v/>
      </c>
      <c r="AF274" s="23" t="str">
        <f>IFERROR(VLOOKUP(Z274,'[1]End Logística Oi'!$D$3:$D$29,1,0),"")</f>
        <v/>
      </c>
      <c r="AG274" s="23" t="str">
        <f>IFERROR(VLOOKUP(Z274,'[1]End Logística Oi'!$J$3:$J$29,1,0),"")</f>
        <v/>
      </c>
      <c r="AH274" s="23"/>
      <c r="AI274" s="23" t="s">
        <v>54</v>
      </c>
      <c r="AJ274" s="23" t="s">
        <v>55</v>
      </c>
      <c r="AK274" s="23" t="e">
        <v>#N/A</v>
      </c>
    </row>
    <row r="275" spans="1:37" s="34" customFormat="1" ht="15" customHeight="1" x14ac:dyDescent="0.25">
      <c r="A275" s="25">
        <v>273</v>
      </c>
      <c r="B275" s="26" t="s">
        <v>237</v>
      </c>
      <c r="C275" s="27" t="s">
        <v>39</v>
      </c>
      <c r="D275" s="26" t="s">
        <v>40</v>
      </c>
      <c r="E275" s="26" t="s">
        <v>280</v>
      </c>
      <c r="F275" s="26" t="s">
        <v>467</v>
      </c>
      <c r="G275" s="28" t="s">
        <v>1465</v>
      </c>
      <c r="H275" s="26" t="s">
        <v>1466</v>
      </c>
      <c r="I275" s="29">
        <v>44440</v>
      </c>
      <c r="J275" s="30"/>
      <c r="K275" s="19" t="s">
        <v>45</v>
      </c>
      <c r="L275" s="31">
        <v>62909340</v>
      </c>
      <c r="M275" s="29">
        <v>37967</v>
      </c>
      <c r="N275" s="32"/>
      <c r="O275" s="31" t="s">
        <v>568</v>
      </c>
      <c r="P275" s="33">
        <v>20498</v>
      </c>
      <c r="Q275" s="29">
        <v>44440</v>
      </c>
      <c r="R275" s="32"/>
      <c r="S275" s="31" t="s">
        <v>45</v>
      </c>
      <c r="T275" s="31" t="s">
        <v>1467</v>
      </c>
      <c r="U275" s="31" t="s">
        <v>1468</v>
      </c>
      <c r="V275" s="27" t="s">
        <v>1469</v>
      </c>
      <c r="W275" s="31" t="s">
        <v>1470</v>
      </c>
      <c r="X275" s="21" t="s">
        <v>55</v>
      </c>
      <c r="Y275" s="22">
        <v>76535764039864</v>
      </c>
      <c r="Z275" s="23">
        <v>273</v>
      </c>
      <c r="AA275" s="24" t="s">
        <v>65</v>
      </c>
      <c r="AB275" s="24">
        <v>273</v>
      </c>
      <c r="AC275" s="24">
        <v>273</v>
      </c>
      <c r="AD275" s="24">
        <v>273</v>
      </c>
      <c r="AE275" s="23" t="s">
        <v>65</v>
      </c>
      <c r="AF275" s="23" t="s">
        <v>65</v>
      </c>
      <c r="AG275" s="23">
        <v>273</v>
      </c>
      <c r="AH275" s="34" t="s">
        <v>970</v>
      </c>
      <c r="AI275" s="23" t="s">
        <v>54</v>
      </c>
      <c r="AJ275" s="23" t="s">
        <v>54</v>
      </c>
      <c r="AK275" s="23" t="s">
        <v>67</v>
      </c>
    </row>
    <row r="276" spans="1:37" s="34" customFormat="1" ht="15" hidden="1" customHeight="1" x14ac:dyDescent="0.25">
      <c r="A276" s="19">
        <v>274</v>
      </c>
      <c r="B276" s="19" t="s">
        <v>38</v>
      </c>
      <c r="C276" s="19" t="s">
        <v>366</v>
      </c>
      <c r="D276" s="19" t="s">
        <v>367</v>
      </c>
      <c r="E276" s="19"/>
      <c r="F276" s="19" t="s">
        <v>369</v>
      </c>
      <c r="G276" s="19">
        <v>28900296091</v>
      </c>
      <c r="H276" s="53" t="s">
        <v>1471</v>
      </c>
      <c r="I276" s="20">
        <v>44439</v>
      </c>
      <c r="J276" s="19"/>
      <c r="K276" s="19" t="s">
        <v>45</v>
      </c>
      <c r="L276" s="36" t="s">
        <v>90</v>
      </c>
      <c r="M276" s="20"/>
      <c r="N276" s="20"/>
      <c r="O276" s="19" t="s">
        <v>90</v>
      </c>
      <c r="P276" s="36" t="s">
        <v>1472</v>
      </c>
      <c r="Q276" s="20">
        <v>44448</v>
      </c>
      <c r="R276" s="36"/>
      <c r="S276" s="19" t="s">
        <v>45</v>
      </c>
      <c r="T276" s="19" t="s">
        <v>1473</v>
      </c>
      <c r="U276" s="19" t="s">
        <v>49</v>
      </c>
      <c r="V276" s="35" t="s">
        <v>50</v>
      </c>
      <c r="W276" s="35" t="s">
        <v>51</v>
      </c>
      <c r="X276" s="21"/>
      <c r="Y276" s="22">
        <v>4014081001969</v>
      </c>
      <c r="Z276" s="23">
        <f t="shared" ref="Z276:Z339" si="8">A276</f>
        <v>274</v>
      </c>
      <c r="AA276" s="24" t="str">
        <f>IFERROR(VLOOKUP($Z276,'[1]End Fat Serviço - PA 15 e 16'!$K$3:$K$31,1,0), "")</f>
        <v/>
      </c>
      <c r="AB276" s="24" t="str">
        <f>IFERROR(VLOOKUP($Z276,'[1]End Fat Material - PA 12'!$K$3:$K$64,1,0), "")</f>
        <v/>
      </c>
      <c r="AC276" s="24" t="str">
        <f>IFERROR(VLOOKUP($Z276,'[1]End CA Lotação'!$L$3:$L$36,1,0), "")</f>
        <v/>
      </c>
      <c r="AD276" s="24" t="str">
        <f>IFERROR(VLOOKUP(Z276,'[1]RH - PARA 21.03'!$M$3:$M$555,1,0),"")</f>
        <v/>
      </c>
      <c r="AE276" s="23" t="str">
        <f>IFERROR(VLOOKUP($Z276,'[1]CNPJ Oi Fat'!$K$3:$K$32,1,0),"")</f>
        <v/>
      </c>
      <c r="AF276" s="23" t="str">
        <f>IFERROR(VLOOKUP(Z276,'[1]End Logística Oi'!$D$3:$D$29,1,0),"")</f>
        <v/>
      </c>
      <c r="AG276" s="23" t="str">
        <f>IFERROR(VLOOKUP(Z276,'[1]End Logística Oi'!$J$3:$J$29,1,0),"")</f>
        <v/>
      </c>
      <c r="AH276" s="23"/>
      <c r="AI276" s="23" t="s">
        <v>55</v>
      </c>
      <c r="AJ276" s="23" t="s">
        <v>55</v>
      </c>
      <c r="AK276" s="23" t="e">
        <v>#N/A</v>
      </c>
    </row>
    <row r="277" spans="1:37" s="34" customFormat="1" ht="15" hidden="1" customHeight="1" x14ac:dyDescent="0.25">
      <c r="A277" s="19">
        <v>275</v>
      </c>
      <c r="B277" s="19" t="s">
        <v>222</v>
      </c>
      <c r="C277" s="27" t="s">
        <v>366</v>
      </c>
      <c r="D277" s="26" t="s">
        <v>396</v>
      </c>
      <c r="E277" s="19" t="s">
        <v>41</v>
      </c>
      <c r="F277" s="19" t="s">
        <v>397</v>
      </c>
      <c r="G277" s="19">
        <v>12920002986</v>
      </c>
      <c r="H277" s="19" t="s">
        <v>1474</v>
      </c>
      <c r="I277" s="20">
        <v>44579</v>
      </c>
      <c r="J277" s="54"/>
      <c r="K277" s="19" t="s">
        <v>45</v>
      </c>
      <c r="L277" s="36" t="s">
        <v>1475</v>
      </c>
      <c r="M277" s="20">
        <v>44603</v>
      </c>
      <c r="N277" s="55"/>
      <c r="O277" s="36" t="s">
        <v>45</v>
      </c>
      <c r="P277" s="56" t="s">
        <v>1476</v>
      </c>
      <c r="Q277" s="20">
        <v>44614</v>
      </c>
      <c r="R277" s="55"/>
      <c r="S277" s="36" t="s">
        <v>45</v>
      </c>
      <c r="T277" s="36" t="s">
        <v>1477</v>
      </c>
      <c r="U277" s="36" t="s">
        <v>49</v>
      </c>
      <c r="V277" s="36" t="s">
        <v>228</v>
      </c>
      <c r="W277" s="36" t="s">
        <v>229</v>
      </c>
      <c r="X277" s="21" t="s">
        <v>52</v>
      </c>
      <c r="Y277" s="22">
        <v>9719875000201</v>
      </c>
      <c r="Z277" s="23">
        <f t="shared" si="8"/>
        <v>275</v>
      </c>
      <c r="AA277" s="24" t="str">
        <f>IFERROR(VLOOKUP($Z277,'[1]End Fat Serviço - PA 15 e 16'!$K$3:$K$31,1,0), "")</f>
        <v/>
      </c>
      <c r="AB277" s="24" t="str">
        <f>IFERROR(VLOOKUP($Z277,'[1]End Fat Material - PA 12'!$K$3:$K$64,1,0), "")</f>
        <v/>
      </c>
      <c r="AC277" s="24" t="str">
        <f>IFERROR(VLOOKUP($Z277,'[1]End CA Lotação'!$L$3:$L$36,1,0), "")</f>
        <v/>
      </c>
      <c r="AD277" s="24" t="str">
        <f>IFERROR(VLOOKUP(Z277,'[1]RH - PARA 21.03'!$M$3:$M$555,1,0),"")</f>
        <v/>
      </c>
      <c r="AE277" s="23" t="str">
        <f>IFERROR(VLOOKUP($Z277,'[1]CNPJ Oi Fat'!$K$3:$K$32,1,0),"")</f>
        <v/>
      </c>
      <c r="AF277" s="23" t="str">
        <f>IFERROR(VLOOKUP(Z277,'[1]End Logística Oi'!$D$3:$D$29,1,0),"")</f>
        <v/>
      </c>
      <c r="AG277" s="23" t="str">
        <f>IFERROR(VLOOKUP(Z277,'[1]End Logística Oi'!$J$3:$J$29,1,0),"")</f>
        <v/>
      </c>
      <c r="AH277" s="23"/>
      <c r="AI277" s="23" t="s">
        <v>55</v>
      </c>
      <c r="AJ277" s="23" t="s">
        <v>55</v>
      </c>
      <c r="AK277" s="23" t="e">
        <v>#N/A</v>
      </c>
    </row>
    <row r="278" spans="1:37" s="34" customFormat="1" ht="15" hidden="1" customHeight="1" x14ac:dyDescent="0.25">
      <c r="A278" s="19">
        <v>276</v>
      </c>
      <c r="B278" s="19" t="s">
        <v>165</v>
      </c>
      <c r="C278" s="27" t="s">
        <v>366</v>
      </c>
      <c r="D278" s="26" t="s">
        <v>396</v>
      </c>
      <c r="E278" s="19" t="s">
        <v>41</v>
      </c>
      <c r="F278" s="19" t="s">
        <v>397</v>
      </c>
      <c r="G278" s="19">
        <v>27905201780</v>
      </c>
      <c r="H278" s="19" t="s">
        <v>1478</v>
      </c>
      <c r="I278" s="20">
        <v>44579</v>
      </c>
      <c r="J278" s="54"/>
      <c r="K278" s="19" t="s">
        <v>45</v>
      </c>
      <c r="L278" s="36" t="s">
        <v>1479</v>
      </c>
      <c r="M278" s="20">
        <v>44579</v>
      </c>
      <c r="N278" s="55"/>
      <c r="O278" s="36" t="s">
        <v>45</v>
      </c>
      <c r="P278" s="36">
        <v>901614394</v>
      </c>
      <c r="Q278" s="20">
        <v>44579</v>
      </c>
      <c r="R278" s="55"/>
      <c r="S278" s="36" t="s">
        <v>45</v>
      </c>
      <c r="T278" s="36" t="s">
        <v>1480</v>
      </c>
      <c r="U278" s="36" t="s">
        <v>1481</v>
      </c>
      <c r="V278" s="36" t="s">
        <v>172</v>
      </c>
      <c r="W278" s="36" t="s">
        <v>1482</v>
      </c>
      <c r="X278" s="21" t="s">
        <v>52</v>
      </c>
      <c r="Y278" s="22">
        <v>9719875000384</v>
      </c>
      <c r="Z278" s="23">
        <f t="shared" si="8"/>
        <v>276</v>
      </c>
      <c r="AA278" s="24" t="str">
        <f>IFERROR(VLOOKUP($Z278,'[1]End Fat Serviço - PA 15 e 16'!$K$3:$K$31,1,0), "")</f>
        <v/>
      </c>
      <c r="AB278" s="24" t="str">
        <f>IFERROR(VLOOKUP($Z278,'[1]End Fat Material - PA 12'!$K$3:$K$64,1,0), "")</f>
        <v/>
      </c>
      <c r="AC278" s="24" t="str">
        <f>IFERROR(VLOOKUP($Z278,'[1]End CA Lotação'!$L$3:$L$36,1,0), "")</f>
        <v/>
      </c>
      <c r="AD278" s="24" t="str">
        <f>IFERROR(VLOOKUP(Z278,'[1]RH - PARA 21.03'!$M$3:$M$555,1,0),"")</f>
        <v/>
      </c>
      <c r="AE278" s="23" t="str">
        <f>IFERROR(VLOOKUP($Z278,'[1]CNPJ Oi Fat'!$K$3:$K$32,1,0),"")</f>
        <v/>
      </c>
      <c r="AF278" s="23" t="str">
        <f>IFERROR(VLOOKUP(Z278,'[1]End Logística Oi'!$D$3:$D$29,1,0),"")</f>
        <v/>
      </c>
      <c r="AG278" s="23" t="str">
        <f>IFERROR(VLOOKUP(Z278,'[1]End Logística Oi'!$J$3:$J$29,1,0),"")</f>
        <v/>
      </c>
      <c r="AH278" s="23"/>
      <c r="AI278" s="23" t="s">
        <v>55</v>
      </c>
      <c r="AJ278" s="23" t="s">
        <v>55</v>
      </c>
      <c r="AK278" s="23" t="e">
        <v>#N/A</v>
      </c>
    </row>
    <row r="279" spans="1:37" s="34" customFormat="1" ht="15" hidden="1" customHeight="1" x14ac:dyDescent="0.25">
      <c r="A279" s="19">
        <v>277</v>
      </c>
      <c r="B279" s="19" t="s">
        <v>174</v>
      </c>
      <c r="C279" s="27" t="s">
        <v>366</v>
      </c>
      <c r="D279" s="26" t="s">
        <v>396</v>
      </c>
      <c r="E279" s="19" t="s">
        <v>41</v>
      </c>
      <c r="F279" s="19" t="s">
        <v>397</v>
      </c>
      <c r="G279" s="19">
        <v>13920009906</v>
      </c>
      <c r="H279" s="19" t="s">
        <v>1483</v>
      </c>
      <c r="I279" s="20">
        <v>44579</v>
      </c>
      <c r="J279" s="54"/>
      <c r="K279" s="19" t="s">
        <v>45</v>
      </c>
      <c r="L279" s="36" t="s">
        <v>1484</v>
      </c>
      <c r="M279" s="20">
        <v>44595</v>
      </c>
      <c r="N279" s="55"/>
      <c r="O279" s="36" t="s">
        <v>45</v>
      </c>
      <c r="P279" s="36">
        <v>52984301</v>
      </c>
      <c r="Q279" s="20">
        <v>44579</v>
      </c>
      <c r="R279" s="55"/>
      <c r="S279" s="36" t="s">
        <v>45</v>
      </c>
      <c r="T279" s="36" t="s">
        <v>1485</v>
      </c>
      <c r="U279" s="36" t="s">
        <v>1486</v>
      </c>
      <c r="V279" s="36" t="s">
        <v>181</v>
      </c>
      <c r="W279" s="36" t="s">
        <v>182</v>
      </c>
      <c r="X279" s="21" t="s">
        <v>52</v>
      </c>
      <c r="Y279" s="22">
        <v>9719875000465</v>
      </c>
      <c r="Z279" s="23">
        <f t="shared" si="8"/>
        <v>277</v>
      </c>
      <c r="AA279" s="24" t="str">
        <f>IFERROR(VLOOKUP($Z279,'[1]End Fat Serviço - PA 15 e 16'!$K$3:$K$31,1,0), "")</f>
        <v/>
      </c>
      <c r="AB279" s="24" t="str">
        <f>IFERROR(VLOOKUP($Z279,'[1]End Fat Material - PA 12'!$K$3:$K$64,1,0), "")</f>
        <v/>
      </c>
      <c r="AC279" s="24" t="str">
        <f>IFERROR(VLOOKUP($Z279,'[1]End CA Lotação'!$L$3:$L$36,1,0), "")</f>
        <v/>
      </c>
      <c r="AD279" s="24" t="str">
        <f>IFERROR(VLOOKUP(Z279,'[1]RH - PARA 21.03'!$M$3:$M$555,1,0),"")</f>
        <v/>
      </c>
      <c r="AE279" s="23" t="str">
        <f>IFERROR(VLOOKUP($Z279,'[1]CNPJ Oi Fat'!$K$3:$K$32,1,0),"")</f>
        <v/>
      </c>
      <c r="AF279" s="23" t="str">
        <f>IFERROR(VLOOKUP(Z279,'[1]End Logística Oi'!$D$3:$D$29,1,0),"")</f>
        <v/>
      </c>
      <c r="AG279" s="23" t="str">
        <f>IFERROR(VLOOKUP(Z279,'[1]End Logística Oi'!$J$3:$J$29,1,0),"")</f>
        <v/>
      </c>
      <c r="AH279" s="23"/>
      <c r="AI279" s="23" t="s">
        <v>55</v>
      </c>
      <c r="AJ279" s="23" t="s">
        <v>55</v>
      </c>
      <c r="AK279" s="23" t="e">
        <v>#N/A</v>
      </c>
    </row>
    <row r="280" spans="1:37" s="34" customFormat="1" ht="15" hidden="1" customHeight="1" x14ac:dyDescent="0.25">
      <c r="A280" s="19">
        <v>278</v>
      </c>
      <c r="B280" s="19" t="s">
        <v>156</v>
      </c>
      <c r="C280" s="27" t="s">
        <v>366</v>
      </c>
      <c r="D280" s="26" t="s">
        <v>396</v>
      </c>
      <c r="E280" s="19" t="s">
        <v>41</v>
      </c>
      <c r="F280" s="19" t="s">
        <v>397</v>
      </c>
      <c r="G280" s="19">
        <v>16900147567</v>
      </c>
      <c r="H280" s="19" t="s">
        <v>1487</v>
      </c>
      <c r="I280" s="20">
        <v>44579</v>
      </c>
      <c r="J280" s="54"/>
      <c r="K280" s="19" t="s">
        <v>45</v>
      </c>
      <c r="L280" s="36" t="s">
        <v>1488</v>
      </c>
      <c r="M280" s="20">
        <v>44637</v>
      </c>
      <c r="N280" s="55"/>
      <c r="O280" s="36" t="s">
        <v>45</v>
      </c>
      <c r="P280" s="56" t="s">
        <v>1489</v>
      </c>
      <c r="Q280" s="20">
        <v>44627</v>
      </c>
      <c r="R280" s="55"/>
      <c r="S280" s="36" t="s">
        <v>45</v>
      </c>
      <c r="T280" s="36" t="s">
        <v>1490</v>
      </c>
      <c r="U280" s="36" t="s">
        <v>161</v>
      </c>
      <c r="V280" s="36" t="s">
        <v>162</v>
      </c>
      <c r="W280" s="36" t="s">
        <v>163</v>
      </c>
      <c r="X280" s="21" t="s">
        <v>52</v>
      </c>
      <c r="Y280" s="22">
        <v>9719875000546</v>
      </c>
      <c r="Z280" s="23">
        <f t="shared" si="8"/>
        <v>278</v>
      </c>
      <c r="AA280" s="24" t="str">
        <f>IFERROR(VLOOKUP($Z280,'[1]End Fat Serviço - PA 15 e 16'!$K$3:$K$31,1,0), "")</f>
        <v/>
      </c>
      <c r="AB280" s="24" t="str">
        <f>IFERROR(VLOOKUP($Z280,'[1]End Fat Material - PA 12'!$K$3:$K$64,1,0), "")</f>
        <v/>
      </c>
      <c r="AC280" s="24" t="str">
        <f>IFERROR(VLOOKUP($Z280,'[1]End CA Lotação'!$L$3:$L$36,1,0), "")</f>
        <v/>
      </c>
      <c r="AD280" s="24" t="str">
        <f>IFERROR(VLOOKUP(Z280,'[1]RH - PARA 21.03'!$M$3:$M$555,1,0),"")</f>
        <v/>
      </c>
      <c r="AE280" s="23" t="str">
        <f>IFERROR(VLOOKUP($Z280,'[1]CNPJ Oi Fat'!$K$3:$K$32,1,0),"")</f>
        <v/>
      </c>
      <c r="AF280" s="23" t="str">
        <f>IFERROR(VLOOKUP(Z280,'[1]End Logística Oi'!$D$3:$D$29,1,0),"")</f>
        <v/>
      </c>
      <c r="AG280" s="23" t="str">
        <f>IFERROR(VLOOKUP(Z280,'[1]End Logística Oi'!$J$3:$J$29,1,0),"")</f>
        <v/>
      </c>
      <c r="AH280" s="23"/>
      <c r="AI280" s="23" t="s">
        <v>55</v>
      </c>
      <c r="AJ280" s="23" t="s">
        <v>55</v>
      </c>
      <c r="AK280" s="23" t="e">
        <v>#N/A</v>
      </c>
    </row>
    <row r="281" spans="1:37" s="34" customFormat="1" ht="15" hidden="1" customHeight="1" x14ac:dyDescent="0.25">
      <c r="A281" s="19">
        <v>279</v>
      </c>
      <c r="B281" s="19" t="s">
        <v>237</v>
      </c>
      <c r="C281" s="27" t="s">
        <v>366</v>
      </c>
      <c r="D281" s="26" t="s">
        <v>396</v>
      </c>
      <c r="E281" s="19" t="s">
        <v>41</v>
      </c>
      <c r="F281" s="19" t="s">
        <v>397</v>
      </c>
      <c r="G281" s="19">
        <v>29902039088</v>
      </c>
      <c r="H281" s="19" t="s">
        <v>1491</v>
      </c>
      <c r="I281" s="20">
        <v>44579</v>
      </c>
      <c r="J281" s="54"/>
      <c r="K281" s="19" t="s">
        <v>45</v>
      </c>
      <c r="L281" s="36">
        <v>189692500</v>
      </c>
      <c r="M281" s="20">
        <v>44580</v>
      </c>
      <c r="N281" s="55"/>
      <c r="O281" s="36" t="s">
        <v>45</v>
      </c>
      <c r="P281" s="36" t="s">
        <v>1492</v>
      </c>
      <c r="Q281" s="20">
        <v>44580</v>
      </c>
      <c r="R281" s="55"/>
      <c r="S281" s="36" t="s">
        <v>45</v>
      </c>
      <c r="T281" s="36" t="s">
        <v>1493</v>
      </c>
      <c r="U281" s="36" t="s">
        <v>242</v>
      </c>
      <c r="V281" s="36" t="s">
        <v>243</v>
      </c>
      <c r="W281" s="36" t="s">
        <v>244</v>
      </c>
      <c r="X281" s="21" t="s">
        <v>52</v>
      </c>
      <c r="Y281" s="22">
        <v>9719875000627</v>
      </c>
      <c r="Z281" s="23">
        <f t="shared" si="8"/>
        <v>279</v>
      </c>
      <c r="AA281" s="24" t="str">
        <f>IFERROR(VLOOKUP($Z281,'[1]End Fat Serviço - PA 15 e 16'!$K$3:$K$31,1,0), "")</f>
        <v/>
      </c>
      <c r="AB281" s="24" t="str">
        <f>IFERROR(VLOOKUP($Z281,'[1]End Fat Material - PA 12'!$K$3:$K$64,1,0), "")</f>
        <v/>
      </c>
      <c r="AC281" s="24" t="str">
        <f>IFERROR(VLOOKUP($Z281,'[1]End CA Lotação'!$L$3:$L$36,1,0), "")</f>
        <v/>
      </c>
      <c r="AD281" s="24" t="str">
        <f>IFERROR(VLOOKUP(Z281,'[1]RH - PARA 21.03'!$M$3:$M$555,1,0),"")</f>
        <v/>
      </c>
      <c r="AE281" s="23" t="str">
        <f>IFERROR(VLOOKUP($Z281,'[1]CNPJ Oi Fat'!$K$3:$K$32,1,0),"")</f>
        <v/>
      </c>
      <c r="AF281" s="23" t="str">
        <f>IFERROR(VLOOKUP(Z281,'[1]End Logística Oi'!$D$3:$D$29,1,0),"")</f>
        <v/>
      </c>
      <c r="AG281" s="23" t="str">
        <f>IFERROR(VLOOKUP(Z281,'[1]End Logística Oi'!$J$3:$J$29,1,0),"")</f>
        <v/>
      </c>
      <c r="AH281" s="23"/>
      <c r="AI281" s="23" t="s">
        <v>55</v>
      </c>
      <c r="AJ281" s="23" t="s">
        <v>55</v>
      </c>
      <c r="AK281" s="23" t="e">
        <v>#N/A</v>
      </c>
    </row>
    <row r="282" spans="1:37" s="34" customFormat="1" ht="15" hidden="1" customHeight="1" x14ac:dyDescent="0.25">
      <c r="A282" s="19">
        <v>280</v>
      </c>
      <c r="B282" s="19" t="s">
        <v>130</v>
      </c>
      <c r="C282" s="27" t="s">
        <v>366</v>
      </c>
      <c r="D282" s="26" t="s">
        <v>396</v>
      </c>
      <c r="E282" s="19" t="s">
        <v>41</v>
      </c>
      <c r="F282" s="19" t="s">
        <v>397</v>
      </c>
      <c r="G282" s="19">
        <v>23920019870</v>
      </c>
      <c r="H282" s="19" t="s">
        <v>1494</v>
      </c>
      <c r="I282" s="20">
        <v>44579</v>
      </c>
      <c r="J282" s="54"/>
      <c r="K282" s="19" t="s">
        <v>45</v>
      </c>
      <c r="L282" s="36" t="s">
        <v>1495</v>
      </c>
      <c r="M282" s="20">
        <v>44652</v>
      </c>
      <c r="N282" s="55"/>
      <c r="O282" s="36" t="s">
        <v>45</v>
      </c>
      <c r="P282" s="36" t="s">
        <v>1496</v>
      </c>
      <c r="Q282" s="20">
        <v>44579</v>
      </c>
      <c r="R282" s="55"/>
      <c r="S282" s="36" t="s">
        <v>45</v>
      </c>
      <c r="T282" s="36" t="s">
        <v>1497</v>
      </c>
      <c r="U282" s="36" t="s">
        <v>136</v>
      </c>
      <c r="V282" s="36" t="s">
        <v>137</v>
      </c>
      <c r="W282" s="36" t="s">
        <v>138</v>
      </c>
      <c r="X282" s="21" t="s">
        <v>52</v>
      </c>
      <c r="Y282" s="22">
        <v>9719875000708</v>
      </c>
      <c r="Z282" s="23">
        <f t="shared" si="8"/>
        <v>280</v>
      </c>
      <c r="AA282" s="24" t="str">
        <f>IFERROR(VLOOKUP($Z282,'[1]End Fat Serviço - PA 15 e 16'!$K$3:$K$31,1,0), "")</f>
        <v/>
      </c>
      <c r="AB282" s="24" t="str">
        <f>IFERROR(VLOOKUP($Z282,'[1]End Fat Material - PA 12'!$K$3:$K$64,1,0), "")</f>
        <v/>
      </c>
      <c r="AC282" s="24" t="str">
        <f>IFERROR(VLOOKUP($Z282,'[1]End CA Lotação'!$L$3:$L$36,1,0), "")</f>
        <v/>
      </c>
      <c r="AD282" s="24" t="str">
        <f>IFERROR(VLOOKUP(Z282,'[1]RH - PARA 21.03'!$M$3:$M$555,1,0),"")</f>
        <v/>
      </c>
      <c r="AE282" s="23" t="str">
        <f>IFERROR(VLOOKUP($Z282,'[1]CNPJ Oi Fat'!$K$3:$K$32,1,0),"")</f>
        <v/>
      </c>
      <c r="AF282" s="23" t="str">
        <f>IFERROR(VLOOKUP(Z282,'[1]End Logística Oi'!$D$3:$D$29,1,0),"")</f>
        <v/>
      </c>
      <c r="AG282" s="23" t="str">
        <f>IFERROR(VLOOKUP(Z282,'[1]End Logística Oi'!$J$3:$J$29,1,0),"")</f>
        <v/>
      </c>
      <c r="AH282" s="23"/>
      <c r="AI282" s="23" t="s">
        <v>55</v>
      </c>
      <c r="AJ282" s="23" t="s">
        <v>55</v>
      </c>
      <c r="AK282" s="23" t="e">
        <v>#N/A</v>
      </c>
    </row>
    <row r="283" spans="1:37" s="34" customFormat="1" ht="15" hidden="1" customHeight="1" x14ac:dyDescent="0.25">
      <c r="A283" s="19">
        <v>281</v>
      </c>
      <c r="B283" s="19" t="s">
        <v>85</v>
      </c>
      <c r="C283" s="27" t="s">
        <v>366</v>
      </c>
      <c r="D283" s="26" t="s">
        <v>396</v>
      </c>
      <c r="E283" s="19" t="s">
        <v>41</v>
      </c>
      <c r="F283" s="19" t="s">
        <v>397</v>
      </c>
      <c r="G283" s="19">
        <v>53920020937</v>
      </c>
      <c r="H283" s="19" t="s">
        <v>1498</v>
      </c>
      <c r="I283" s="20">
        <v>44579</v>
      </c>
      <c r="J283" s="54"/>
      <c r="K283" s="19" t="s">
        <v>45</v>
      </c>
      <c r="L283" s="36" t="s">
        <v>1499</v>
      </c>
      <c r="M283" s="20">
        <v>44579</v>
      </c>
      <c r="N283" s="55"/>
      <c r="O283" s="36" t="s">
        <v>45</v>
      </c>
      <c r="P283" s="36" t="s">
        <v>1499</v>
      </c>
      <c r="Q283" s="20">
        <v>44579</v>
      </c>
      <c r="R283" s="55"/>
      <c r="S283" s="36" t="s">
        <v>45</v>
      </c>
      <c r="T283" s="36" t="s">
        <v>1500</v>
      </c>
      <c r="U283" s="36" t="s">
        <v>290</v>
      </c>
      <c r="V283" s="36" t="s">
        <v>477</v>
      </c>
      <c r="W283" s="36" t="s">
        <v>291</v>
      </c>
      <c r="X283" s="21" t="s">
        <v>52</v>
      </c>
      <c r="Y283" s="22">
        <v>9719875000899</v>
      </c>
      <c r="Z283" s="23">
        <f t="shared" si="8"/>
        <v>281</v>
      </c>
      <c r="AA283" s="24" t="str">
        <f>IFERROR(VLOOKUP($Z283,'[1]End Fat Serviço - PA 15 e 16'!$K$3:$K$31,1,0), "")</f>
        <v/>
      </c>
      <c r="AB283" s="24" t="str">
        <f>IFERROR(VLOOKUP($Z283,'[1]End Fat Material - PA 12'!$K$3:$K$64,1,0), "")</f>
        <v/>
      </c>
      <c r="AC283" s="24" t="str">
        <f>IFERROR(VLOOKUP($Z283,'[1]End CA Lotação'!$L$3:$L$36,1,0), "")</f>
        <v/>
      </c>
      <c r="AD283" s="24" t="str">
        <f>IFERROR(VLOOKUP(Z283,'[1]RH - PARA 21.03'!$M$3:$M$555,1,0),"")</f>
        <v/>
      </c>
      <c r="AE283" s="23" t="str">
        <f>IFERROR(VLOOKUP($Z283,'[1]CNPJ Oi Fat'!$K$3:$K$32,1,0),"")</f>
        <v/>
      </c>
      <c r="AF283" s="23" t="str">
        <f>IFERROR(VLOOKUP(Z283,'[1]End Logística Oi'!$D$3:$D$29,1,0),"")</f>
        <v/>
      </c>
      <c r="AG283" s="23" t="str">
        <f>IFERROR(VLOOKUP(Z283,'[1]End Logística Oi'!$J$3:$J$29,1,0),"")</f>
        <v/>
      </c>
      <c r="AH283" s="23"/>
      <c r="AI283" s="23" t="s">
        <v>55</v>
      </c>
      <c r="AJ283" s="23" t="s">
        <v>55</v>
      </c>
      <c r="AK283" s="23" t="e">
        <v>#N/A</v>
      </c>
    </row>
    <row r="284" spans="1:37" s="34" customFormat="1" ht="15" hidden="1" customHeight="1" x14ac:dyDescent="0.25">
      <c r="A284" s="19">
        <v>282</v>
      </c>
      <c r="B284" s="19" t="s">
        <v>271</v>
      </c>
      <c r="C284" s="27" t="s">
        <v>366</v>
      </c>
      <c r="D284" s="26" t="s">
        <v>396</v>
      </c>
      <c r="E284" s="19" t="s">
        <v>41</v>
      </c>
      <c r="F284" s="19" t="s">
        <v>397</v>
      </c>
      <c r="G284" s="19">
        <v>32900756302</v>
      </c>
      <c r="H284" s="19" t="s">
        <v>1501</v>
      </c>
      <c r="I284" s="20">
        <v>44579</v>
      </c>
      <c r="J284" s="54"/>
      <c r="K284" s="19" t="s">
        <v>45</v>
      </c>
      <c r="L284" s="36" t="s">
        <v>1502</v>
      </c>
      <c r="M284" s="20">
        <v>44595</v>
      </c>
      <c r="N284" s="55"/>
      <c r="O284" s="36" t="s">
        <v>45</v>
      </c>
      <c r="P284" s="36">
        <v>1296458</v>
      </c>
      <c r="Q284" s="20">
        <v>44579</v>
      </c>
      <c r="R284" s="55"/>
      <c r="S284" s="36" t="s">
        <v>45</v>
      </c>
      <c r="T284" s="36" t="s">
        <v>1503</v>
      </c>
      <c r="U284" s="36" t="s">
        <v>49</v>
      </c>
      <c r="V284" s="36" t="s">
        <v>278</v>
      </c>
      <c r="W284" s="36" t="s">
        <v>659</v>
      </c>
      <c r="X284" s="21" t="s">
        <v>52</v>
      </c>
      <c r="Y284" s="22">
        <v>9719875000970</v>
      </c>
      <c r="Z284" s="23">
        <f t="shared" si="8"/>
        <v>282</v>
      </c>
      <c r="AA284" s="24" t="str">
        <f>IFERROR(VLOOKUP($Z284,'[1]End Fat Serviço - PA 15 e 16'!$K$3:$K$31,1,0), "")</f>
        <v/>
      </c>
      <c r="AB284" s="24" t="str">
        <f>IFERROR(VLOOKUP($Z284,'[1]End Fat Material - PA 12'!$K$3:$K$64,1,0), "")</f>
        <v/>
      </c>
      <c r="AC284" s="24" t="str">
        <f>IFERROR(VLOOKUP($Z284,'[1]End CA Lotação'!$L$3:$L$36,1,0), "")</f>
        <v/>
      </c>
      <c r="AD284" s="24" t="str">
        <f>IFERROR(VLOOKUP(Z284,'[1]RH - PARA 21.03'!$M$3:$M$555,1,0),"")</f>
        <v/>
      </c>
      <c r="AE284" s="23" t="str">
        <f>IFERROR(VLOOKUP($Z284,'[1]CNPJ Oi Fat'!$K$3:$K$32,1,0),"")</f>
        <v/>
      </c>
      <c r="AF284" s="23" t="str">
        <f>IFERROR(VLOOKUP(Z284,'[1]End Logística Oi'!$D$3:$D$29,1,0),"")</f>
        <v/>
      </c>
      <c r="AG284" s="23" t="str">
        <f>IFERROR(VLOOKUP(Z284,'[1]End Logística Oi'!$J$3:$J$29,1,0),"")</f>
        <v/>
      </c>
      <c r="AH284" s="23"/>
      <c r="AI284" s="23" t="s">
        <v>55</v>
      </c>
      <c r="AJ284" s="23" t="s">
        <v>55</v>
      </c>
      <c r="AK284" s="23" t="e">
        <v>#N/A</v>
      </c>
    </row>
    <row r="285" spans="1:37" s="34" customFormat="1" ht="15" hidden="1" customHeight="1" x14ac:dyDescent="0.25">
      <c r="A285" s="19">
        <v>283</v>
      </c>
      <c r="B285" s="19" t="s">
        <v>139</v>
      </c>
      <c r="C285" s="27" t="s">
        <v>366</v>
      </c>
      <c r="D285" s="26" t="s">
        <v>396</v>
      </c>
      <c r="E285" s="19" t="s">
        <v>41</v>
      </c>
      <c r="F285" s="19" t="s">
        <v>397</v>
      </c>
      <c r="G285" s="19">
        <v>52901630961</v>
      </c>
      <c r="H285" s="19" t="s">
        <v>1504</v>
      </c>
      <c r="I285" s="20">
        <v>44579</v>
      </c>
      <c r="J285" s="54"/>
      <c r="K285" s="19" t="s">
        <v>45</v>
      </c>
      <c r="L285" s="36" t="s">
        <v>1505</v>
      </c>
      <c r="M285" s="20">
        <v>44579</v>
      </c>
      <c r="N285" s="55"/>
      <c r="O285" s="36" t="s">
        <v>45</v>
      </c>
      <c r="P285" s="36">
        <v>5606837</v>
      </c>
      <c r="Q285" s="20">
        <v>44606</v>
      </c>
      <c r="R285" s="55"/>
      <c r="S285" s="36" t="s">
        <v>45</v>
      </c>
      <c r="T285" s="36" t="s">
        <v>1506</v>
      </c>
      <c r="U285" s="36" t="s">
        <v>1507</v>
      </c>
      <c r="V285" s="36" t="s">
        <v>146</v>
      </c>
      <c r="W285" s="36" t="s">
        <v>1508</v>
      </c>
      <c r="X285" s="21" t="s">
        <v>52</v>
      </c>
      <c r="Y285" s="22">
        <v>9719875001003</v>
      </c>
      <c r="Z285" s="23">
        <f t="shared" si="8"/>
        <v>283</v>
      </c>
      <c r="AA285" s="24" t="str">
        <f>IFERROR(VLOOKUP($Z285,'[1]End Fat Serviço - PA 15 e 16'!$K$3:$K$31,1,0), "")</f>
        <v/>
      </c>
      <c r="AB285" s="24" t="str">
        <f>IFERROR(VLOOKUP($Z285,'[1]End Fat Material - PA 12'!$K$3:$K$64,1,0), "")</f>
        <v/>
      </c>
      <c r="AC285" s="24" t="str">
        <f>IFERROR(VLOOKUP($Z285,'[1]End CA Lotação'!$L$3:$L$36,1,0), "")</f>
        <v/>
      </c>
      <c r="AD285" s="24" t="str">
        <f>IFERROR(VLOOKUP(Z285,'[1]RH - PARA 21.03'!$M$3:$M$555,1,0),"")</f>
        <v/>
      </c>
      <c r="AE285" s="23" t="str">
        <f>IFERROR(VLOOKUP($Z285,'[1]CNPJ Oi Fat'!$K$3:$K$32,1,0),"")</f>
        <v/>
      </c>
      <c r="AF285" s="23" t="str">
        <f>IFERROR(VLOOKUP(Z285,'[1]End Logística Oi'!$D$3:$D$29,1,0),"")</f>
        <v/>
      </c>
      <c r="AG285" s="23" t="str">
        <f>IFERROR(VLOOKUP(Z285,'[1]End Logística Oi'!$J$3:$J$29,1,0),"")</f>
        <v/>
      </c>
      <c r="AH285" s="23"/>
      <c r="AI285" s="23" t="s">
        <v>55</v>
      </c>
      <c r="AJ285" s="23" t="s">
        <v>55</v>
      </c>
      <c r="AK285" s="23" t="e">
        <v>#N/A</v>
      </c>
    </row>
    <row r="286" spans="1:37" s="34" customFormat="1" ht="15" hidden="1" customHeight="1" x14ac:dyDescent="0.25">
      <c r="A286" s="19">
        <v>284</v>
      </c>
      <c r="B286" s="19" t="s">
        <v>245</v>
      </c>
      <c r="C286" s="27" t="s">
        <v>366</v>
      </c>
      <c r="D286" s="26" t="s">
        <v>396</v>
      </c>
      <c r="E286" s="19" t="s">
        <v>41</v>
      </c>
      <c r="F286" s="19" t="s">
        <v>397</v>
      </c>
      <c r="G286" s="19">
        <v>21900596632</v>
      </c>
      <c r="H286" s="19" t="s">
        <v>1509</v>
      </c>
      <c r="I286" s="20">
        <v>44579</v>
      </c>
      <c r="J286" s="54"/>
      <c r="K286" s="19" t="s">
        <v>45</v>
      </c>
      <c r="L286" s="36" t="s">
        <v>1510</v>
      </c>
      <c r="M286" s="20">
        <v>44579</v>
      </c>
      <c r="N286" s="55"/>
      <c r="O286" s="36" t="s">
        <v>45</v>
      </c>
      <c r="P286" s="36">
        <v>3682408551</v>
      </c>
      <c r="Q286" s="20">
        <v>44600</v>
      </c>
      <c r="R286" s="55"/>
      <c r="S286" s="36" t="s">
        <v>45</v>
      </c>
      <c r="T286" s="36" t="s">
        <v>1511</v>
      </c>
      <c r="U286" s="36" t="s">
        <v>251</v>
      </c>
      <c r="V286" s="36" t="s">
        <v>1339</v>
      </c>
      <c r="W286" s="36" t="s">
        <v>253</v>
      </c>
      <c r="X286" s="21" t="s">
        <v>52</v>
      </c>
      <c r="Y286" s="22">
        <v>9719875001194</v>
      </c>
      <c r="Z286" s="23">
        <f t="shared" si="8"/>
        <v>284</v>
      </c>
      <c r="AA286" s="24" t="str">
        <f>IFERROR(VLOOKUP($Z286,'[1]End Fat Serviço - PA 15 e 16'!$K$3:$K$31,1,0), "")</f>
        <v/>
      </c>
      <c r="AB286" s="24" t="str">
        <f>IFERROR(VLOOKUP($Z286,'[1]End Fat Material - PA 12'!$K$3:$K$64,1,0), "")</f>
        <v/>
      </c>
      <c r="AC286" s="24" t="str">
        <f>IFERROR(VLOOKUP($Z286,'[1]End CA Lotação'!$L$3:$L$36,1,0), "")</f>
        <v/>
      </c>
      <c r="AD286" s="24" t="str">
        <f>IFERROR(VLOOKUP(Z286,'[1]RH - PARA 21.03'!$M$3:$M$555,1,0),"")</f>
        <v/>
      </c>
      <c r="AE286" s="23" t="str">
        <f>IFERROR(VLOOKUP($Z286,'[1]CNPJ Oi Fat'!$K$3:$K$32,1,0),"")</f>
        <v/>
      </c>
      <c r="AF286" s="23" t="str">
        <f>IFERROR(VLOOKUP(Z286,'[1]End Logística Oi'!$D$3:$D$29,1,0),"")</f>
        <v/>
      </c>
      <c r="AG286" s="23" t="str">
        <f>IFERROR(VLOOKUP(Z286,'[1]End Logística Oi'!$J$3:$J$29,1,0),"")</f>
        <v/>
      </c>
      <c r="AH286" s="23"/>
      <c r="AI286" s="23" t="s">
        <v>55</v>
      </c>
      <c r="AJ286" s="23" t="s">
        <v>55</v>
      </c>
      <c r="AK286" s="23" t="e">
        <v>#N/A</v>
      </c>
    </row>
    <row r="287" spans="1:37" s="34" customFormat="1" ht="15" hidden="1" customHeight="1" x14ac:dyDescent="0.25">
      <c r="A287" s="19">
        <v>285</v>
      </c>
      <c r="B287" s="19" t="s">
        <v>68</v>
      </c>
      <c r="C287" s="27" t="s">
        <v>366</v>
      </c>
      <c r="D287" s="26" t="s">
        <v>396</v>
      </c>
      <c r="E287" s="19" t="s">
        <v>41</v>
      </c>
      <c r="F287" s="19" t="s">
        <v>397</v>
      </c>
      <c r="G287" s="19">
        <v>31920067447</v>
      </c>
      <c r="H287" s="19" t="s">
        <v>1512</v>
      </c>
      <c r="I287" s="20">
        <v>44579</v>
      </c>
      <c r="J287" s="54"/>
      <c r="K287" s="19" t="s">
        <v>45</v>
      </c>
      <c r="L287" s="36" t="s">
        <v>1513</v>
      </c>
      <c r="M287" s="20">
        <v>44579</v>
      </c>
      <c r="N287" s="36"/>
      <c r="O287" s="36" t="s">
        <v>45</v>
      </c>
      <c r="P287" s="36">
        <v>13615690019</v>
      </c>
      <c r="Q287" s="20">
        <v>44579</v>
      </c>
      <c r="R287" s="55"/>
      <c r="S287" s="36" t="s">
        <v>45</v>
      </c>
      <c r="T287" s="36" t="s">
        <v>1514</v>
      </c>
      <c r="U287" s="36" t="s">
        <v>1515</v>
      </c>
      <c r="V287" s="36" t="s">
        <v>75</v>
      </c>
      <c r="W287" s="36" t="s">
        <v>76</v>
      </c>
      <c r="X287" s="21" t="s">
        <v>52</v>
      </c>
      <c r="Y287" s="22">
        <v>9719875001275</v>
      </c>
      <c r="Z287" s="23">
        <f t="shared" si="8"/>
        <v>285</v>
      </c>
      <c r="AA287" s="24" t="str">
        <f>IFERROR(VLOOKUP($Z287,'[1]End Fat Serviço - PA 15 e 16'!$K$3:$K$31,1,0), "")</f>
        <v/>
      </c>
      <c r="AB287" s="24" t="str">
        <f>IFERROR(VLOOKUP($Z287,'[1]End Fat Material - PA 12'!$K$3:$K$64,1,0), "")</f>
        <v/>
      </c>
      <c r="AC287" s="24" t="str">
        <f>IFERROR(VLOOKUP($Z287,'[1]End CA Lotação'!$L$3:$L$36,1,0), "")</f>
        <v/>
      </c>
      <c r="AD287" s="24" t="str">
        <f>IFERROR(VLOOKUP(Z287,'[1]RH - PARA 21.03'!$M$3:$M$555,1,0),"")</f>
        <v/>
      </c>
      <c r="AE287" s="23" t="str">
        <f>IFERROR(VLOOKUP($Z287,'[1]CNPJ Oi Fat'!$K$3:$K$32,1,0),"")</f>
        <v/>
      </c>
      <c r="AF287" s="23" t="str">
        <f>IFERROR(VLOOKUP(Z287,'[1]End Logística Oi'!$D$3:$D$29,1,0),"")</f>
        <v/>
      </c>
      <c r="AG287" s="23" t="str">
        <f>IFERROR(VLOOKUP(Z287,'[1]End Logística Oi'!$J$3:$J$29,1,0),"")</f>
        <v/>
      </c>
      <c r="AH287" s="23"/>
      <c r="AI287" s="23" t="s">
        <v>55</v>
      </c>
      <c r="AJ287" s="23" t="s">
        <v>55</v>
      </c>
      <c r="AK287" s="23" t="e">
        <v>#N/A</v>
      </c>
    </row>
    <row r="288" spans="1:37" s="34" customFormat="1" ht="15" hidden="1" customHeight="1" x14ac:dyDescent="0.25">
      <c r="A288" s="19">
        <v>286</v>
      </c>
      <c r="B288" s="19" t="s">
        <v>95</v>
      </c>
      <c r="C288" s="27" t="s">
        <v>366</v>
      </c>
      <c r="D288" s="26" t="s">
        <v>396</v>
      </c>
      <c r="E288" s="19" t="s">
        <v>41</v>
      </c>
      <c r="F288" s="19" t="s">
        <v>397</v>
      </c>
      <c r="G288" s="19">
        <v>54920060042</v>
      </c>
      <c r="H288" s="19" t="s">
        <v>1516</v>
      </c>
      <c r="I288" s="20">
        <v>44579</v>
      </c>
      <c r="J288" s="54"/>
      <c r="K288" s="19" t="s">
        <v>45</v>
      </c>
      <c r="L288" s="36" t="s">
        <v>1517</v>
      </c>
      <c r="M288" s="20">
        <v>44635</v>
      </c>
      <c r="N288" s="36"/>
      <c r="O288" s="36" t="s">
        <v>45</v>
      </c>
      <c r="P288" s="36" t="s">
        <v>1518</v>
      </c>
      <c r="Q288" s="20">
        <v>44580</v>
      </c>
      <c r="R288" s="55"/>
      <c r="S288" s="36" t="s">
        <v>45</v>
      </c>
      <c r="T288" s="36" t="s">
        <v>100</v>
      </c>
      <c r="U288" s="36" t="s">
        <v>101</v>
      </c>
      <c r="V288" s="36" t="s">
        <v>102</v>
      </c>
      <c r="W288" s="36" t="s">
        <v>103</v>
      </c>
      <c r="X288" s="21" t="s">
        <v>52</v>
      </c>
      <c r="Y288" s="22">
        <v>9719875001356</v>
      </c>
      <c r="Z288" s="23">
        <f t="shared" si="8"/>
        <v>286</v>
      </c>
      <c r="AA288" s="24" t="str">
        <f>IFERROR(VLOOKUP($Z288,'[1]End Fat Serviço - PA 15 e 16'!$K$3:$K$31,1,0), "")</f>
        <v/>
      </c>
      <c r="AB288" s="24" t="str">
        <f>IFERROR(VLOOKUP($Z288,'[1]End Fat Material - PA 12'!$K$3:$K$64,1,0), "")</f>
        <v/>
      </c>
      <c r="AC288" s="24" t="str">
        <f>IFERROR(VLOOKUP($Z288,'[1]End CA Lotação'!$L$3:$L$36,1,0), "")</f>
        <v/>
      </c>
      <c r="AD288" s="24" t="str">
        <f>IFERROR(VLOOKUP(Z288,'[1]RH - PARA 21.03'!$M$3:$M$555,1,0),"")</f>
        <v/>
      </c>
      <c r="AE288" s="23" t="str">
        <f>IFERROR(VLOOKUP($Z288,'[1]CNPJ Oi Fat'!$K$3:$K$32,1,0),"")</f>
        <v/>
      </c>
      <c r="AF288" s="23" t="str">
        <f>IFERROR(VLOOKUP(Z288,'[1]End Logística Oi'!$D$3:$D$29,1,0),"")</f>
        <v/>
      </c>
      <c r="AG288" s="23" t="str">
        <f>IFERROR(VLOOKUP(Z288,'[1]End Logística Oi'!$J$3:$J$29,1,0),"")</f>
        <v/>
      </c>
      <c r="AH288" s="23"/>
      <c r="AI288" s="23" t="s">
        <v>55</v>
      </c>
      <c r="AJ288" s="23" t="s">
        <v>55</v>
      </c>
      <c r="AK288" s="23" t="e">
        <v>#N/A</v>
      </c>
    </row>
    <row r="289" spans="1:37" s="34" customFormat="1" ht="15" hidden="1" customHeight="1" x14ac:dyDescent="0.25">
      <c r="A289" s="19">
        <v>287</v>
      </c>
      <c r="B289" s="19" t="s">
        <v>104</v>
      </c>
      <c r="C289" s="27" t="s">
        <v>366</v>
      </c>
      <c r="D289" s="26" t="s">
        <v>396</v>
      </c>
      <c r="E289" s="19" t="s">
        <v>41</v>
      </c>
      <c r="F289" s="19" t="s">
        <v>397</v>
      </c>
      <c r="G289" s="19">
        <v>51920023403</v>
      </c>
      <c r="H289" s="19" t="s">
        <v>1519</v>
      </c>
      <c r="I289" s="20">
        <v>44579</v>
      </c>
      <c r="J289" s="54"/>
      <c r="K289" s="19" t="s">
        <v>45</v>
      </c>
      <c r="L289" s="36" t="s">
        <v>1520</v>
      </c>
      <c r="M289" s="20">
        <v>44579</v>
      </c>
      <c r="N289" s="55"/>
      <c r="O289" s="36" t="s">
        <v>45</v>
      </c>
      <c r="P289" s="36">
        <v>220951</v>
      </c>
      <c r="Q289" s="20">
        <v>44585</v>
      </c>
      <c r="R289" s="55"/>
      <c r="S289" s="36" t="s">
        <v>45</v>
      </c>
      <c r="T289" s="36" t="s">
        <v>1521</v>
      </c>
      <c r="U289" s="36" t="s">
        <v>1522</v>
      </c>
      <c r="V289" s="36" t="s">
        <v>110</v>
      </c>
      <c r="W289" s="36" t="s">
        <v>111</v>
      </c>
      <c r="X289" s="21" t="s">
        <v>52</v>
      </c>
      <c r="Y289" s="22">
        <v>9719875001437</v>
      </c>
      <c r="Z289" s="23">
        <f t="shared" si="8"/>
        <v>287</v>
      </c>
      <c r="AA289" s="24" t="str">
        <f>IFERROR(VLOOKUP($Z289,'[1]End Fat Serviço - PA 15 e 16'!$K$3:$K$31,1,0), "")</f>
        <v/>
      </c>
      <c r="AB289" s="24" t="str">
        <f>IFERROR(VLOOKUP($Z289,'[1]End Fat Material - PA 12'!$K$3:$K$64,1,0), "")</f>
        <v/>
      </c>
      <c r="AC289" s="24" t="str">
        <f>IFERROR(VLOOKUP($Z289,'[1]End CA Lotação'!$L$3:$L$36,1,0), "")</f>
        <v/>
      </c>
      <c r="AD289" s="24" t="str">
        <f>IFERROR(VLOOKUP(Z289,'[1]RH - PARA 21.03'!$M$3:$M$555,1,0),"")</f>
        <v/>
      </c>
      <c r="AE289" s="23" t="str">
        <f>IFERROR(VLOOKUP($Z289,'[1]CNPJ Oi Fat'!$K$3:$K$32,1,0),"")</f>
        <v/>
      </c>
      <c r="AF289" s="23" t="str">
        <f>IFERROR(VLOOKUP(Z289,'[1]End Logística Oi'!$D$3:$D$29,1,0),"")</f>
        <v/>
      </c>
      <c r="AG289" s="23" t="str">
        <f>IFERROR(VLOOKUP(Z289,'[1]End Logística Oi'!$J$3:$J$29,1,0),"")</f>
        <v/>
      </c>
      <c r="AH289" s="23"/>
      <c r="AI289" s="23" t="s">
        <v>55</v>
      </c>
      <c r="AJ289" s="23" t="s">
        <v>55</v>
      </c>
      <c r="AK289" s="23" t="e">
        <v>#N/A</v>
      </c>
    </row>
    <row r="290" spans="1:37" s="34" customFormat="1" ht="15" hidden="1" customHeight="1" x14ac:dyDescent="0.25">
      <c r="A290" s="19">
        <v>288</v>
      </c>
      <c r="B290" s="19" t="s">
        <v>56</v>
      </c>
      <c r="C290" s="27" t="s">
        <v>366</v>
      </c>
      <c r="D290" s="26" t="s">
        <v>396</v>
      </c>
      <c r="E290" s="19" t="s">
        <v>41</v>
      </c>
      <c r="F290" s="19" t="s">
        <v>397</v>
      </c>
      <c r="G290" s="19">
        <v>15902026171</v>
      </c>
      <c r="H290" s="19" t="s">
        <v>1523</v>
      </c>
      <c r="I290" s="20">
        <v>44579</v>
      </c>
      <c r="J290" s="54"/>
      <c r="K290" s="19" t="s">
        <v>45</v>
      </c>
      <c r="L290" s="36" t="s">
        <v>1524</v>
      </c>
      <c r="M290" s="36" t="s">
        <v>1525</v>
      </c>
      <c r="N290" s="55"/>
      <c r="O290" s="36" t="s">
        <v>45</v>
      </c>
      <c r="P290" s="36" t="s">
        <v>1526</v>
      </c>
      <c r="Q290" s="20">
        <v>44642</v>
      </c>
      <c r="R290" s="55"/>
      <c r="S290" s="36" t="s">
        <v>45</v>
      </c>
      <c r="T290" s="36" t="s">
        <v>1527</v>
      </c>
      <c r="U290" s="36" t="s">
        <v>242</v>
      </c>
      <c r="V290" s="36" t="s">
        <v>63</v>
      </c>
      <c r="W290" s="36" t="s">
        <v>1528</v>
      </c>
      <c r="X290" s="21" t="s">
        <v>52</v>
      </c>
      <c r="Y290" s="22">
        <v>9719875001518</v>
      </c>
      <c r="Z290" s="23">
        <f t="shared" si="8"/>
        <v>288</v>
      </c>
      <c r="AA290" s="24" t="str">
        <f>IFERROR(VLOOKUP($Z290,'[1]End Fat Serviço - PA 15 e 16'!$K$3:$K$31,1,0), "")</f>
        <v/>
      </c>
      <c r="AB290" s="24" t="str">
        <f>IFERROR(VLOOKUP($Z290,'[1]End Fat Material - PA 12'!$K$3:$K$64,1,0), "")</f>
        <v/>
      </c>
      <c r="AC290" s="24" t="str">
        <f>IFERROR(VLOOKUP($Z290,'[1]End CA Lotação'!$L$3:$L$36,1,0), "")</f>
        <v/>
      </c>
      <c r="AD290" s="24" t="str">
        <f>IFERROR(VLOOKUP(Z290,'[1]RH - PARA 21.03'!$M$3:$M$555,1,0),"")</f>
        <v/>
      </c>
      <c r="AE290" s="23" t="str">
        <f>IFERROR(VLOOKUP($Z290,'[1]CNPJ Oi Fat'!$K$3:$K$32,1,0),"")</f>
        <v/>
      </c>
      <c r="AF290" s="23" t="str">
        <f>IFERROR(VLOOKUP(Z290,'[1]End Logística Oi'!$D$3:$D$29,1,0),"")</f>
        <v/>
      </c>
      <c r="AG290" s="23" t="str">
        <f>IFERROR(VLOOKUP(Z290,'[1]End Logística Oi'!$J$3:$J$29,1,0),"")</f>
        <v/>
      </c>
      <c r="AH290" s="23"/>
      <c r="AI290" s="23" t="s">
        <v>55</v>
      </c>
      <c r="AJ290" s="23" t="s">
        <v>55</v>
      </c>
      <c r="AK290" s="23" t="e">
        <v>#N/A</v>
      </c>
    </row>
    <row r="291" spans="1:37" s="34" customFormat="1" ht="15" hidden="1" customHeight="1" x14ac:dyDescent="0.25">
      <c r="A291" s="19">
        <v>289</v>
      </c>
      <c r="B291" s="19" t="s">
        <v>148</v>
      </c>
      <c r="C291" s="27" t="s">
        <v>366</v>
      </c>
      <c r="D291" s="26" t="s">
        <v>396</v>
      </c>
      <c r="E291" s="19" t="s">
        <v>41</v>
      </c>
      <c r="F291" s="19" t="s">
        <v>397</v>
      </c>
      <c r="G291" s="19">
        <v>25900451247</v>
      </c>
      <c r="H291" s="19" t="s">
        <v>1529</v>
      </c>
      <c r="I291" s="20">
        <v>44579</v>
      </c>
      <c r="J291" s="54"/>
      <c r="K291" s="19" t="s">
        <v>45</v>
      </c>
      <c r="L291" s="40" t="s">
        <v>1530</v>
      </c>
      <c r="M291" s="20">
        <v>44579</v>
      </c>
      <c r="N291" s="55"/>
      <c r="O291" s="36" t="s">
        <v>45</v>
      </c>
      <c r="P291" s="36" t="s">
        <v>1531</v>
      </c>
      <c r="Q291" s="20">
        <v>44579</v>
      </c>
      <c r="R291" s="55"/>
      <c r="S291" s="36" t="s">
        <v>45</v>
      </c>
      <c r="T291" s="36" t="s">
        <v>1532</v>
      </c>
      <c r="U291" s="36" t="s">
        <v>1533</v>
      </c>
      <c r="V291" s="36" t="s">
        <v>154</v>
      </c>
      <c r="W291" s="36" t="s">
        <v>155</v>
      </c>
      <c r="X291" s="21" t="s">
        <v>52</v>
      </c>
      <c r="Y291" s="22">
        <v>9719875001607</v>
      </c>
      <c r="Z291" s="23">
        <f t="shared" si="8"/>
        <v>289</v>
      </c>
      <c r="AA291" s="24" t="str">
        <f>IFERROR(VLOOKUP($Z291,'[1]End Fat Serviço - PA 15 e 16'!$K$3:$K$31,1,0), "")</f>
        <v/>
      </c>
      <c r="AB291" s="24" t="str">
        <f>IFERROR(VLOOKUP($Z291,'[1]End Fat Material - PA 12'!$K$3:$K$64,1,0), "")</f>
        <v/>
      </c>
      <c r="AC291" s="24" t="str">
        <f>IFERROR(VLOOKUP($Z291,'[1]End CA Lotação'!$L$3:$L$36,1,0), "")</f>
        <v/>
      </c>
      <c r="AD291" s="24" t="str">
        <f>IFERROR(VLOOKUP(Z291,'[1]RH - PARA 21.03'!$M$3:$M$555,1,0),"")</f>
        <v/>
      </c>
      <c r="AE291" s="23" t="str">
        <f>IFERROR(VLOOKUP($Z291,'[1]CNPJ Oi Fat'!$K$3:$K$32,1,0),"")</f>
        <v/>
      </c>
      <c r="AF291" s="23" t="str">
        <f>IFERROR(VLOOKUP(Z291,'[1]End Logística Oi'!$D$3:$D$29,1,0),"")</f>
        <v/>
      </c>
      <c r="AG291" s="23" t="str">
        <f>IFERROR(VLOOKUP(Z291,'[1]End Logística Oi'!$J$3:$J$29,1,0),"")</f>
        <v/>
      </c>
      <c r="AH291" s="23"/>
      <c r="AI291" s="23" t="s">
        <v>55</v>
      </c>
      <c r="AJ291" s="23" t="s">
        <v>55</v>
      </c>
      <c r="AK291" s="23" t="e">
        <v>#N/A</v>
      </c>
    </row>
    <row r="292" spans="1:37" s="34" customFormat="1" ht="15" hidden="1" customHeight="1" x14ac:dyDescent="0.25">
      <c r="A292" s="19">
        <v>290</v>
      </c>
      <c r="B292" s="19" t="s">
        <v>214</v>
      </c>
      <c r="C292" s="27" t="s">
        <v>366</v>
      </c>
      <c r="D292" s="26" t="s">
        <v>396</v>
      </c>
      <c r="E292" s="19" t="s">
        <v>41</v>
      </c>
      <c r="F292" s="19" t="s">
        <v>397</v>
      </c>
      <c r="G292" s="19">
        <v>26902028679</v>
      </c>
      <c r="H292" s="19" t="s">
        <v>1534</v>
      </c>
      <c r="I292" s="20">
        <v>44579</v>
      </c>
      <c r="J292" s="54"/>
      <c r="K292" s="19" t="s">
        <v>45</v>
      </c>
      <c r="L292" s="36" t="s">
        <v>1535</v>
      </c>
      <c r="M292" s="20">
        <v>44590</v>
      </c>
      <c r="N292" s="55"/>
      <c r="O292" s="36" t="s">
        <v>45</v>
      </c>
      <c r="P292" s="36" t="s">
        <v>1536</v>
      </c>
      <c r="Q292" s="20">
        <v>44601</v>
      </c>
      <c r="R292" s="55"/>
      <c r="S292" s="36" t="s">
        <v>45</v>
      </c>
      <c r="T292" s="36" t="s">
        <v>1537</v>
      </c>
      <c r="U292" s="36" t="s">
        <v>83</v>
      </c>
      <c r="V292" s="36" t="s">
        <v>220</v>
      </c>
      <c r="W292" s="36" t="s">
        <v>1538</v>
      </c>
      <c r="X292" s="21" t="s">
        <v>52</v>
      </c>
      <c r="Y292" s="22">
        <v>9719875001780</v>
      </c>
      <c r="Z292" s="23">
        <f t="shared" si="8"/>
        <v>290</v>
      </c>
      <c r="AA292" s="24" t="str">
        <f>IFERROR(VLOOKUP($Z292,'[1]End Fat Serviço - PA 15 e 16'!$K$3:$K$31,1,0), "")</f>
        <v/>
      </c>
      <c r="AB292" s="24" t="str">
        <f>IFERROR(VLOOKUP($Z292,'[1]End Fat Material - PA 12'!$K$3:$K$64,1,0), "")</f>
        <v/>
      </c>
      <c r="AC292" s="24" t="str">
        <f>IFERROR(VLOOKUP($Z292,'[1]End CA Lotação'!$L$3:$L$36,1,0), "")</f>
        <v/>
      </c>
      <c r="AD292" s="24" t="str">
        <f>IFERROR(VLOOKUP(Z292,'[1]RH - PARA 21.03'!$M$3:$M$555,1,0),"")</f>
        <v/>
      </c>
      <c r="AE292" s="23" t="str">
        <f>IFERROR(VLOOKUP($Z292,'[1]CNPJ Oi Fat'!$K$3:$K$32,1,0),"")</f>
        <v/>
      </c>
      <c r="AF292" s="23" t="str">
        <f>IFERROR(VLOOKUP(Z292,'[1]End Logística Oi'!$D$3:$D$29,1,0),"")</f>
        <v/>
      </c>
      <c r="AG292" s="23" t="str">
        <f>IFERROR(VLOOKUP(Z292,'[1]End Logística Oi'!$J$3:$J$29,1,0),"")</f>
        <v/>
      </c>
      <c r="AH292" s="23"/>
      <c r="AI292" s="23" t="s">
        <v>55</v>
      </c>
      <c r="AJ292" s="23" t="s">
        <v>55</v>
      </c>
      <c r="AK292" s="23" t="e">
        <v>#N/A</v>
      </c>
    </row>
    <row r="293" spans="1:37" s="34" customFormat="1" ht="15" hidden="1" customHeight="1" x14ac:dyDescent="0.25">
      <c r="A293" s="19">
        <v>291</v>
      </c>
      <c r="B293" s="19" t="s">
        <v>1539</v>
      </c>
      <c r="C293" s="27" t="s">
        <v>366</v>
      </c>
      <c r="D293" s="26" t="s">
        <v>396</v>
      </c>
      <c r="E293" s="19" t="s">
        <v>41</v>
      </c>
      <c r="F293" s="19" t="s">
        <v>397</v>
      </c>
      <c r="G293" s="19">
        <v>22900444795</v>
      </c>
      <c r="H293" s="19" t="s">
        <v>1540</v>
      </c>
      <c r="I293" s="20">
        <v>44579</v>
      </c>
      <c r="J293" s="54"/>
      <c r="K293" s="19" t="s">
        <v>45</v>
      </c>
      <c r="L293" s="19">
        <v>197098657</v>
      </c>
      <c r="M293" s="20">
        <v>44600</v>
      </c>
      <c r="N293" s="55"/>
      <c r="O293" s="36" t="s">
        <v>45</v>
      </c>
      <c r="P293" s="36" t="s">
        <v>1541</v>
      </c>
      <c r="Q293" s="20">
        <v>44579</v>
      </c>
      <c r="R293" s="55"/>
      <c r="S293" s="36" t="s">
        <v>45</v>
      </c>
      <c r="T293" s="36" t="s">
        <v>1542</v>
      </c>
      <c r="U293" s="36" t="s">
        <v>49</v>
      </c>
      <c r="V293" s="36" t="s">
        <v>269</v>
      </c>
      <c r="W293" s="36" t="s">
        <v>1543</v>
      </c>
      <c r="X293" s="21" t="s">
        <v>52</v>
      </c>
      <c r="Y293" s="22">
        <v>9719875001860</v>
      </c>
      <c r="Z293" s="23">
        <f t="shared" si="8"/>
        <v>291</v>
      </c>
      <c r="AA293" s="24" t="str">
        <f>IFERROR(VLOOKUP($Z293,'[1]End Fat Serviço - PA 15 e 16'!$K$3:$K$31,1,0), "")</f>
        <v/>
      </c>
      <c r="AB293" s="24" t="str">
        <f>IFERROR(VLOOKUP($Z293,'[1]End Fat Material - PA 12'!$K$3:$K$64,1,0), "")</f>
        <v/>
      </c>
      <c r="AC293" s="24" t="str">
        <f>IFERROR(VLOOKUP($Z293,'[1]End CA Lotação'!$L$3:$L$36,1,0), "")</f>
        <v/>
      </c>
      <c r="AD293" s="24" t="str">
        <f>IFERROR(VLOOKUP(Z293,'[1]RH - PARA 21.03'!$M$3:$M$555,1,0),"")</f>
        <v/>
      </c>
      <c r="AE293" s="23" t="str">
        <f>IFERROR(VLOOKUP($Z293,'[1]CNPJ Oi Fat'!$K$3:$K$32,1,0),"")</f>
        <v/>
      </c>
      <c r="AF293" s="23" t="str">
        <f>IFERROR(VLOOKUP(Z293,'[1]End Logística Oi'!$D$3:$D$29,1,0),"")</f>
        <v/>
      </c>
      <c r="AG293" s="23" t="str">
        <f>IFERROR(VLOOKUP(Z293,'[1]End Logística Oi'!$J$3:$J$29,1,0),"")</f>
        <v/>
      </c>
      <c r="AH293" s="23"/>
      <c r="AI293" s="23" t="s">
        <v>55</v>
      </c>
      <c r="AJ293" s="23" t="s">
        <v>55</v>
      </c>
      <c r="AK293" s="23" t="e">
        <v>#N/A</v>
      </c>
    </row>
    <row r="294" spans="1:37" s="34" customFormat="1" ht="15" hidden="1" customHeight="1" x14ac:dyDescent="0.25">
      <c r="A294" s="19">
        <v>292</v>
      </c>
      <c r="B294" s="19" t="s">
        <v>112</v>
      </c>
      <c r="C294" s="27" t="s">
        <v>366</v>
      </c>
      <c r="D294" s="26" t="s">
        <v>396</v>
      </c>
      <c r="E294" s="19" t="s">
        <v>41</v>
      </c>
      <c r="F294" s="19" t="s">
        <v>397</v>
      </c>
      <c r="G294" s="19">
        <v>41901971948</v>
      </c>
      <c r="H294" s="19" t="s">
        <v>1544</v>
      </c>
      <c r="I294" s="20">
        <v>44579</v>
      </c>
      <c r="J294" s="54"/>
      <c r="K294" s="19" t="s">
        <v>45</v>
      </c>
      <c r="L294" s="36" t="s">
        <v>1545</v>
      </c>
      <c r="M294" s="20">
        <v>44635</v>
      </c>
      <c r="N294" s="55"/>
      <c r="O294" s="36" t="s">
        <v>45</v>
      </c>
      <c r="P294" s="36" t="s">
        <v>1546</v>
      </c>
      <c r="Q294" s="20">
        <v>44579</v>
      </c>
      <c r="R294" s="55"/>
      <c r="S294" s="36" t="s">
        <v>45</v>
      </c>
      <c r="T294" s="36" t="s">
        <v>1547</v>
      </c>
      <c r="U294" s="36" t="s">
        <v>117</v>
      </c>
      <c r="V294" s="36" t="s">
        <v>118</v>
      </c>
      <c r="W294" s="36" t="s">
        <v>981</v>
      </c>
      <c r="X294" s="21" t="s">
        <v>52</v>
      </c>
      <c r="Y294" s="22">
        <v>9719875001941</v>
      </c>
      <c r="Z294" s="23">
        <f t="shared" si="8"/>
        <v>292</v>
      </c>
      <c r="AA294" s="24" t="str">
        <f>IFERROR(VLOOKUP($Z294,'[1]End Fat Serviço - PA 15 e 16'!$K$3:$K$31,1,0), "")</f>
        <v/>
      </c>
      <c r="AB294" s="24" t="str">
        <f>IFERROR(VLOOKUP($Z294,'[1]End Fat Material - PA 12'!$K$3:$K$64,1,0), "")</f>
        <v/>
      </c>
      <c r="AC294" s="24" t="str">
        <f>IFERROR(VLOOKUP($Z294,'[1]End CA Lotação'!$L$3:$L$36,1,0), "")</f>
        <v/>
      </c>
      <c r="AD294" s="24" t="str">
        <f>IFERROR(VLOOKUP(Z294,'[1]RH - PARA 21.03'!$M$3:$M$555,1,0),"")</f>
        <v/>
      </c>
      <c r="AE294" s="23" t="str">
        <f>IFERROR(VLOOKUP($Z294,'[1]CNPJ Oi Fat'!$K$3:$K$32,1,0),"")</f>
        <v/>
      </c>
      <c r="AF294" s="23" t="str">
        <f>IFERROR(VLOOKUP(Z294,'[1]End Logística Oi'!$D$3:$D$29,1,0),"")</f>
        <v/>
      </c>
      <c r="AG294" s="23" t="str">
        <f>IFERROR(VLOOKUP(Z294,'[1]End Logística Oi'!$J$3:$J$29,1,0),"")</f>
        <v/>
      </c>
      <c r="AH294" s="23"/>
      <c r="AI294" s="23" t="s">
        <v>55</v>
      </c>
      <c r="AJ294" s="23" t="s">
        <v>55</v>
      </c>
      <c r="AK294" s="23" t="e">
        <v>#N/A</v>
      </c>
    </row>
    <row r="295" spans="1:37" s="34" customFormat="1" ht="15" hidden="1" customHeight="1" x14ac:dyDescent="0.25">
      <c r="A295" s="19">
        <v>293</v>
      </c>
      <c r="B295" s="19" t="s">
        <v>230</v>
      </c>
      <c r="C295" s="27" t="s">
        <v>366</v>
      </c>
      <c r="D295" s="26" t="s">
        <v>396</v>
      </c>
      <c r="E295" s="19" t="s">
        <v>41</v>
      </c>
      <c r="F295" s="19" t="s">
        <v>397</v>
      </c>
      <c r="G295" s="19">
        <v>33901600081</v>
      </c>
      <c r="H295" s="19" t="s">
        <v>1548</v>
      </c>
      <c r="I295" s="20">
        <v>44579</v>
      </c>
      <c r="J295" s="54"/>
      <c r="K295" s="19" t="s">
        <v>45</v>
      </c>
      <c r="L295" s="40">
        <v>12355793</v>
      </c>
      <c r="M295" s="20">
        <v>44588</v>
      </c>
      <c r="N295" s="55"/>
      <c r="O295" s="36" t="s">
        <v>45</v>
      </c>
      <c r="P295" s="36" t="s">
        <v>1549</v>
      </c>
      <c r="Q295" s="20">
        <v>44585</v>
      </c>
      <c r="R295" s="55"/>
      <c r="S295" s="36" t="s">
        <v>45</v>
      </c>
      <c r="T295" s="36" t="s">
        <v>1550</v>
      </c>
      <c r="U295" s="36" t="s">
        <v>49</v>
      </c>
      <c r="V295" s="36" t="s">
        <v>235</v>
      </c>
      <c r="W295" s="36" t="s">
        <v>1551</v>
      </c>
      <c r="X295" s="21" t="s">
        <v>52</v>
      </c>
      <c r="Y295" s="22">
        <v>9719875002085</v>
      </c>
      <c r="Z295" s="23">
        <f t="shared" si="8"/>
        <v>293</v>
      </c>
      <c r="AA295" s="24" t="str">
        <f>IFERROR(VLOOKUP($Z295,'[1]End Fat Serviço - PA 15 e 16'!$K$3:$K$31,1,0), "")</f>
        <v/>
      </c>
      <c r="AB295" s="24" t="str">
        <f>IFERROR(VLOOKUP($Z295,'[1]End Fat Material - PA 12'!$K$3:$K$64,1,0), "")</f>
        <v/>
      </c>
      <c r="AC295" s="24" t="str">
        <f>IFERROR(VLOOKUP($Z295,'[1]End CA Lotação'!$L$3:$L$36,1,0), "")</f>
        <v/>
      </c>
      <c r="AD295" s="24" t="str">
        <f>IFERROR(VLOOKUP(Z295,'[1]RH - PARA 21.03'!$M$3:$M$555,1,0),"")</f>
        <v/>
      </c>
      <c r="AE295" s="23" t="str">
        <f>IFERROR(VLOOKUP($Z295,'[1]CNPJ Oi Fat'!$K$3:$K$32,1,0),"")</f>
        <v/>
      </c>
      <c r="AF295" s="23" t="str">
        <f>IFERROR(VLOOKUP(Z295,'[1]End Logística Oi'!$D$3:$D$29,1,0),"")</f>
        <v/>
      </c>
      <c r="AG295" s="23" t="str">
        <f>IFERROR(VLOOKUP(Z295,'[1]End Logística Oi'!$J$3:$J$29,1,0),"")</f>
        <v/>
      </c>
      <c r="AH295" s="23"/>
      <c r="AI295" s="23" t="s">
        <v>55</v>
      </c>
      <c r="AJ295" s="23" t="s">
        <v>55</v>
      </c>
      <c r="AK295" s="23" t="e">
        <v>#N/A</v>
      </c>
    </row>
    <row r="296" spans="1:37" s="34" customFormat="1" ht="15" hidden="1" customHeight="1" x14ac:dyDescent="0.25">
      <c r="A296" s="19">
        <v>294</v>
      </c>
      <c r="B296" s="19" t="s">
        <v>183</v>
      </c>
      <c r="C296" s="27" t="s">
        <v>366</v>
      </c>
      <c r="D296" s="26" t="s">
        <v>396</v>
      </c>
      <c r="E296" s="19" t="s">
        <v>41</v>
      </c>
      <c r="F296" s="19" t="s">
        <v>397</v>
      </c>
      <c r="G296" s="19">
        <v>24900451866</v>
      </c>
      <c r="H296" s="19" t="s">
        <v>1552</v>
      </c>
      <c r="I296" s="20">
        <v>44579</v>
      </c>
      <c r="J296" s="54"/>
      <c r="K296" s="19" t="s">
        <v>45</v>
      </c>
      <c r="L296" s="36" t="s">
        <v>1553</v>
      </c>
      <c r="M296" s="20">
        <v>44606</v>
      </c>
      <c r="N296" s="55"/>
      <c r="O296" s="36" t="s">
        <v>45</v>
      </c>
      <c r="P296" s="36">
        <v>2240143</v>
      </c>
      <c r="Q296" s="20">
        <v>44579</v>
      </c>
      <c r="R296" s="55"/>
      <c r="S296" s="36" t="s">
        <v>45</v>
      </c>
      <c r="T296" s="36" t="s">
        <v>1554</v>
      </c>
      <c r="U296" s="36" t="s">
        <v>189</v>
      </c>
      <c r="V296" s="36" t="s">
        <v>190</v>
      </c>
      <c r="W296" s="36" t="s">
        <v>1555</v>
      </c>
      <c r="X296" s="21" t="s">
        <v>52</v>
      </c>
      <c r="Y296" s="22">
        <v>9719875002166</v>
      </c>
      <c r="Z296" s="23">
        <f t="shared" si="8"/>
        <v>294</v>
      </c>
      <c r="AA296" s="24" t="str">
        <f>IFERROR(VLOOKUP($Z296,'[1]End Fat Serviço - PA 15 e 16'!$K$3:$K$31,1,0), "")</f>
        <v/>
      </c>
      <c r="AB296" s="24" t="str">
        <f>IFERROR(VLOOKUP($Z296,'[1]End Fat Material - PA 12'!$K$3:$K$64,1,0), "")</f>
        <v/>
      </c>
      <c r="AC296" s="24" t="str">
        <f>IFERROR(VLOOKUP($Z296,'[1]End CA Lotação'!$L$3:$L$36,1,0), "")</f>
        <v/>
      </c>
      <c r="AD296" s="24" t="str">
        <f>IFERROR(VLOOKUP(Z296,'[1]RH - PARA 21.03'!$M$3:$M$555,1,0),"")</f>
        <v/>
      </c>
      <c r="AE296" s="23" t="str">
        <f>IFERROR(VLOOKUP($Z296,'[1]CNPJ Oi Fat'!$K$3:$K$32,1,0),"")</f>
        <v/>
      </c>
      <c r="AF296" s="23" t="str">
        <f>IFERROR(VLOOKUP(Z296,'[1]End Logística Oi'!$D$3:$D$29,1,0),"")</f>
        <v/>
      </c>
      <c r="AG296" s="23" t="str">
        <f>IFERROR(VLOOKUP(Z296,'[1]End Logística Oi'!$J$3:$J$29,1,0),"")</f>
        <v/>
      </c>
      <c r="AH296" s="23"/>
      <c r="AI296" s="23" t="s">
        <v>55</v>
      </c>
      <c r="AJ296" s="23" t="s">
        <v>55</v>
      </c>
      <c r="AK296" s="23" t="e">
        <v>#N/A</v>
      </c>
    </row>
    <row r="297" spans="1:37" s="34" customFormat="1" ht="15" hidden="1" customHeight="1" x14ac:dyDescent="0.25">
      <c r="A297" s="19">
        <v>295</v>
      </c>
      <c r="B297" s="19" t="s">
        <v>207</v>
      </c>
      <c r="C297" s="27" t="s">
        <v>366</v>
      </c>
      <c r="D297" s="26" t="s">
        <v>396</v>
      </c>
      <c r="E297" s="19" t="s">
        <v>41</v>
      </c>
      <c r="F297" s="19" t="s">
        <v>397</v>
      </c>
      <c r="G297" s="19">
        <v>11900298226</v>
      </c>
      <c r="H297" s="19" t="s">
        <v>1556</v>
      </c>
      <c r="I297" s="20">
        <v>44579</v>
      </c>
      <c r="J297" s="54"/>
      <c r="K297" s="19" t="s">
        <v>45</v>
      </c>
      <c r="L297" s="36">
        <v>6231691</v>
      </c>
      <c r="M297" s="20">
        <v>44589</v>
      </c>
      <c r="N297" s="55"/>
      <c r="O297" s="36" t="s">
        <v>45</v>
      </c>
      <c r="P297" s="36">
        <v>14265830</v>
      </c>
      <c r="Q297" s="20">
        <v>44593</v>
      </c>
      <c r="R297" s="55"/>
      <c r="S297" s="36" t="s">
        <v>45</v>
      </c>
      <c r="T297" s="36" t="s">
        <v>1557</v>
      </c>
      <c r="U297" s="36" t="s">
        <v>49</v>
      </c>
      <c r="V297" s="36" t="s">
        <v>212</v>
      </c>
      <c r="W297" s="36" t="s">
        <v>213</v>
      </c>
      <c r="X297" s="21" t="s">
        <v>52</v>
      </c>
      <c r="Y297" s="22">
        <v>9719875002247</v>
      </c>
      <c r="Z297" s="23">
        <f t="shared" si="8"/>
        <v>295</v>
      </c>
      <c r="AA297" s="24" t="str">
        <f>IFERROR(VLOOKUP($Z297,'[1]End Fat Serviço - PA 15 e 16'!$K$3:$K$31,1,0), "")</f>
        <v/>
      </c>
      <c r="AB297" s="24" t="str">
        <f>IFERROR(VLOOKUP($Z297,'[1]End Fat Material - PA 12'!$K$3:$K$64,1,0), "")</f>
        <v/>
      </c>
      <c r="AC297" s="24" t="str">
        <f>IFERROR(VLOOKUP($Z297,'[1]End CA Lotação'!$L$3:$L$36,1,0), "")</f>
        <v/>
      </c>
      <c r="AD297" s="24" t="str">
        <f>IFERROR(VLOOKUP(Z297,'[1]RH - PARA 21.03'!$M$3:$M$555,1,0),"")</f>
        <v/>
      </c>
      <c r="AE297" s="23" t="str">
        <f>IFERROR(VLOOKUP($Z297,'[1]CNPJ Oi Fat'!$K$3:$K$32,1,0),"")</f>
        <v/>
      </c>
      <c r="AF297" s="23" t="str">
        <f>IFERROR(VLOOKUP(Z297,'[1]End Logística Oi'!$D$3:$D$29,1,0),"")</f>
        <v/>
      </c>
      <c r="AG297" s="23" t="str">
        <f>IFERROR(VLOOKUP(Z297,'[1]End Logística Oi'!$J$3:$J$29,1,0),"")</f>
        <v/>
      </c>
      <c r="AH297" s="23"/>
      <c r="AI297" s="23" t="s">
        <v>55</v>
      </c>
      <c r="AJ297" s="23" t="s">
        <v>55</v>
      </c>
      <c r="AK297" s="23" t="e">
        <v>#N/A</v>
      </c>
    </row>
    <row r="298" spans="1:37" s="34" customFormat="1" ht="15" hidden="1" customHeight="1" x14ac:dyDescent="0.25">
      <c r="A298" s="19">
        <v>296</v>
      </c>
      <c r="B298" s="19" t="s">
        <v>77</v>
      </c>
      <c r="C298" s="27" t="s">
        <v>366</v>
      </c>
      <c r="D298" s="26" t="s">
        <v>396</v>
      </c>
      <c r="E298" s="19" t="s">
        <v>41</v>
      </c>
      <c r="F298" s="19" t="s">
        <v>397</v>
      </c>
      <c r="G298" s="19">
        <v>14920003291</v>
      </c>
      <c r="H298" s="19" t="s">
        <v>1558</v>
      </c>
      <c r="I298" s="20">
        <v>44579</v>
      </c>
      <c r="J298" s="54"/>
      <c r="K298" s="19" t="s">
        <v>45</v>
      </c>
      <c r="L298" s="36" t="s">
        <v>1559</v>
      </c>
      <c r="M298" s="20">
        <v>44645</v>
      </c>
      <c r="N298" s="55"/>
      <c r="O298" s="36" t="s">
        <v>45</v>
      </c>
      <c r="P298" s="36" t="s">
        <v>1560</v>
      </c>
      <c r="Q298" s="20">
        <v>44579</v>
      </c>
      <c r="R298" s="55"/>
      <c r="S298" s="36" t="s">
        <v>45</v>
      </c>
      <c r="T298" s="36" t="s">
        <v>1561</v>
      </c>
      <c r="U298" s="36" t="s">
        <v>49</v>
      </c>
      <c r="V298" s="36" t="s">
        <v>83</v>
      </c>
      <c r="W298" s="36" t="s">
        <v>84</v>
      </c>
      <c r="X298" s="21" t="s">
        <v>52</v>
      </c>
      <c r="Y298" s="22">
        <v>9719875002328</v>
      </c>
      <c r="Z298" s="23">
        <f t="shared" si="8"/>
        <v>296</v>
      </c>
      <c r="AA298" s="24" t="str">
        <f>IFERROR(VLOOKUP($Z298,'[1]End Fat Serviço - PA 15 e 16'!$K$3:$K$31,1,0), "")</f>
        <v/>
      </c>
      <c r="AB298" s="24" t="str">
        <f>IFERROR(VLOOKUP($Z298,'[1]End Fat Material - PA 12'!$K$3:$K$64,1,0), "")</f>
        <v/>
      </c>
      <c r="AC298" s="24" t="str">
        <f>IFERROR(VLOOKUP($Z298,'[1]End CA Lotação'!$L$3:$L$36,1,0), "")</f>
        <v/>
      </c>
      <c r="AD298" s="24" t="str">
        <f>IFERROR(VLOOKUP(Z298,'[1]RH - PARA 21.03'!$M$3:$M$555,1,0),"")</f>
        <v/>
      </c>
      <c r="AE298" s="23" t="str">
        <f>IFERROR(VLOOKUP($Z298,'[1]CNPJ Oi Fat'!$K$3:$K$32,1,0),"")</f>
        <v/>
      </c>
      <c r="AF298" s="23" t="str">
        <f>IFERROR(VLOOKUP(Z298,'[1]End Logística Oi'!$D$3:$D$29,1,0),"")</f>
        <v/>
      </c>
      <c r="AG298" s="23" t="str">
        <f>IFERROR(VLOOKUP(Z298,'[1]End Logística Oi'!$J$3:$J$29,1,0),"")</f>
        <v/>
      </c>
      <c r="AH298" s="23"/>
      <c r="AI298" s="23" t="s">
        <v>55</v>
      </c>
      <c r="AJ298" s="23" t="s">
        <v>55</v>
      </c>
      <c r="AK298" s="23" t="e">
        <v>#N/A</v>
      </c>
    </row>
    <row r="299" spans="1:37" s="34" customFormat="1" ht="15" hidden="1" customHeight="1" x14ac:dyDescent="0.25">
      <c r="A299" s="19">
        <v>297</v>
      </c>
      <c r="B299" s="19" t="s">
        <v>200</v>
      </c>
      <c r="C299" s="27" t="s">
        <v>366</v>
      </c>
      <c r="D299" s="26" t="s">
        <v>396</v>
      </c>
      <c r="E299" s="19" t="s">
        <v>41</v>
      </c>
      <c r="F299" s="19" t="s">
        <v>397</v>
      </c>
      <c r="G299" s="19">
        <v>43920038218</v>
      </c>
      <c r="H299" s="19" t="s">
        <v>1562</v>
      </c>
      <c r="I299" s="20">
        <v>44579</v>
      </c>
      <c r="J299" s="54"/>
      <c r="K299" s="19" t="s">
        <v>45</v>
      </c>
      <c r="L299" s="20" t="s">
        <v>1563</v>
      </c>
      <c r="M299" s="20">
        <v>44601</v>
      </c>
      <c r="N299" s="55"/>
      <c r="O299" s="36" t="s">
        <v>45</v>
      </c>
      <c r="P299" s="36" t="s">
        <v>1564</v>
      </c>
      <c r="Q299" s="20">
        <v>44603</v>
      </c>
      <c r="R299" s="55"/>
      <c r="S299" s="36" t="s">
        <v>45</v>
      </c>
      <c r="T299" s="36" t="s">
        <v>1565</v>
      </c>
      <c r="U299" s="36" t="s">
        <v>1566</v>
      </c>
      <c r="V299" s="36" t="s">
        <v>205</v>
      </c>
      <c r="W299" s="36" t="s">
        <v>1567</v>
      </c>
      <c r="X299" s="21" t="s">
        <v>52</v>
      </c>
      <c r="Y299" s="22">
        <v>9719875002409</v>
      </c>
      <c r="Z299" s="23">
        <f t="shared" si="8"/>
        <v>297</v>
      </c>
      <c r="AA299" s="24" t="str">
        <f>IFERROR(VLOOKUP($Z299,'[1]End Fat Serviço - PA 15 e 16'!$K$3:$K$31,1,0), "")</f>
        <v/>
      </c>
      <c r="AB299" s="24" t="str">
        <f>IFERROR(VLOOKUP($Z299,'[1]End Fat Material - PA 12'!$K$3:$K$64,1,0), "")</f>
        <v/>
      </c>
      <c r="AC299" s="24" t="str">
        <f>IFERROR(VLOOKUP($Z299,'[1]End CA Lotação'!$L$3:$L$36,1,0), "")</f>
        <v/>
      </c>
      <c r="AD299" s="24" t="str">
        <f>IFERROR(VLOOKUP(Z299,'[1]RH - PARA 21.03'!$M$3:$M$555,1,0),"")</f>
        <v/>
      </c>
      <c r="AE299" s="23" t="str">
        <f>IFERROR(VLOOKUP($Z299,'[1]CNPJ Oi Fat'!$K$3:$K$32,1,0),"")</f>
        <v/>
      </c>
      <c r="AF299" s="23" t="str">
        <f>IFERROR(VLOOKUP(Z299,'[1]End Logística Oi'!$D$3:$D$29,1,0),"")</f>
        <v/>
      </c>
      <c r="AG299" s="23" t="str">
        <f>IFERROR(VLOOKUP(Z299,'[1]End Logística Oi'!$J$3:$J$29,1,0),"")</f>
        <v/>
      </c>
      <c r="AH299" s="23"/>
      <c r="AI299" s="23" t="s">
        <v>55</v>
      </c>
      <c r="AJ299" s="23" t="s">
        <v>55</v>
      </c>
      <c r="AK299" s="23" t="e">
        <v>#N/A</v>
      </c>
    </row>
    <row r="300" spans="1:37" s="34" customFormat="1" ht="15" hidden="1" customHeight="1" x14ac:dyDescent="0.25">
      <c r="A300" s="19">
        <v>298</v>
      </c>
      <c r="B300" s="19" t="s">
        <v>122</v>
      </c>
      <c r="C300" s="27" t="s">
        <v>366</v>
      </c>
      <c r="D300" s="26" t="s">
        <v>396</v>
      </c>
      <c r="E300" s="19" t="s">
        <v>41</v>
      </c>
      <c r="F300" s="35" t="s">
        <v>397</v>
      </c>
      <c r="G300" s="19">
        <v>42902076994</v>
      </c>
      <c r="H300" s="26" t="s">
        <v>1568</v>
      </c>
      <c r="I300" s="20">
        <v>44579</v>
      </c>
      <c r="J300" s="19"/>
      <c r="K300" s="19" t="s">
        <v>45</v>
      </c>
      <c r="L300" s="20" t="s">
        <v>1569</v>
      </c>
      <c r="M300" s="20">
        <v>44586</v>
      </c>
      <c r="N300" s="19"/>
      <c r="O300" s="36" t="s">
        <v>45</v>
      </c>
      <c r="P300" s="36" t="s">
        <v>1570</v>
      </c>
      <c r="Q300" s="20">
        <v>44579</v>
      </c>
      <c r="R300" s="36"/>
      <c r="S300" s="36" t="s">
        <v>45</v>
      </c>
      <c r="T300" s="36" t="s">
        <v>1571</v>
      </c>
      <c r="U300" s="36" t="s">
        <v>127</v>
      </c>
      <c r="V300" s="36" t="s">
        <v>1572</v>
      </c>
      <c r="W300" s="36" t="s">
        <v>129</v>
      </c>
      <c r="X300" s="21" t="s">
        <v>52</v>
      </c>
      <c r="Y300" s="22">
        <v>9719875002590</v>
      </c>
      <c r="Z300" s="23">
        <f t="shared" si="8"/>
        <v>298</v>
      </c>
      <c r="AA300" s="24" t="str">
        <f>IFERROR(VLOOKUP($Z300,'[1]End Fat Serviço - PA 15 e 16'!$K$3:$K$31,1,0), "")</f>
        <v/>
      </c>
      <c r="AB300" s="24" t="str">
        <f>IFERROR(VLOOKUP($Z300,'[1]End Fat Material - PA 12'!$K$3:$K$64,1,0), "")</f>
        <v/>
      </c>
      <c r="AC300" s="24" t="str">
        <f>IFERROR(VLOOKUP($Z300,'[1]End CA Lotação'!$L$3:$L$36,1,0), "")</f>
        <v/>
      </c>
      <c r="AD300" s="24" t="str">
        <f>IFERROR(VLOOKUP(Z300,'[1]RH - PARA 21.03'!$M$3:$M$555,1,0),"")</f>
        <v/>
      </c>
      <c r="AE300" s="23" t="str">
        <f>IFERROR(VLOOKUP($Z300,'[1]CNPJ Oi Fat'!$K$3:$K$32,1,0),"")</f>
        <v/>
      </c>
      <c r="AF300" s="23" t="str">
        <f>IFERROR(VLOOKUP(Z300,'[1]End Logística Oi'!$D$3:$D$29,1,0),"")</f>
        <v/>
      </c>
      <c r="AG300" s="23" t="str">
        <f>IFERROR(VLOOKUP(Z300,'[1]End Logística Oi'!$J$3:$J$29,1,0),"")</f>
        <v/>
      </c>
      <c r="AH300" s="23"/>
      <c r="AI300" s="23" t="s">
        <v>55</v>
      </c>
      <c r="AJ300" s="23" t="s">
        <v>55</v>
      </c>
      <c r="AK300" s="23" t="e">
        <v>#N/A</v>
      </c>
    </row>
    <row r="301" spans="1:37" s="34" customFormat="1" ht="15" hidden="1" customHeight="1" x14ac:dyDescent="0.25">
      <c r="A301" s="19">
        <v>299</v>
      </c>
      <c r="B301" s="19" t="s">
        <v>38</v>
      </c>
      <c r="C301" s="27" t="s">
        <v>366</v>
      </c>
      <c r="D301" s="26" t="s">
        <v>396</v>
      </c>
      <c r="E301" s="19" t="s">
        <v>41</v>
      </c>
      <c r="F301" s="19" t="s">
        <v>397</v>
      </c>
      <c r="G301" s="19">
        <v>28900297186</v>
      </c>
      <c r="H301" s="19" t="s">
        <v>1573</v>
      </c>
      <c r="I301" s="20">
        <v>44579</v>
      </c>
      <c r="J301" s="54"/>
      <c r="K301" s="19" t="s">
        <v>45</v>
      </c>
      <c r="L301" s="36" t="s">
        <v>1574</v>
      </c>
      <c r="M301" s="20">
        <v>44579</v>
      </c>
      <c r="N301" s="55"/>
      <c r="O301" s="36" t="s">
        <v>45</v>
      </c>
      <c r="P301" s="36" t="s">
        <v>1575</v>
      </c>
      <c r="Q301" s="20">
        <v>44586</v>
      </c>
      <c r="R301" s="55"/>
      <c r="S301" s="36" t="s">
        <v>45</v>
      </c>
      <c r="T301" s="36" t="s">
        <v>1576</v>
      </c>
      <c r="U301" s="36" t="s">
        <v>49</v>
      </c>
      <c r="V301" s="36" t="s">
        <v>50</v>
      </c>
      <c r="W301" s="36" t="s">
        <v>51</v>
      </c>
      <c r="X301" s="21" t="s">
        <v>52</v>
      </c>
      <c r="Y301" s="22">
        <v>9719875002670</v>
      </c>
      <c r="Z301" s="23">
        <f t="shared" si="8"/>
        <v>299</v>
      </c>
      <c r="AA301" s="24" t="str">
        <f>IFERROR(VLOOKUP($Z301,'[1]End Fat Serviço - PA 15 e 16'!$K$3:$K$31,1,0), "")</f>
        <v/>
      </c>
      <c r="AB301" s="24" t="str">
        <f>IFERROR(VLOOKUP($Z301,'[1]End Fat Material - PA 12'!$K$3:$K$64,1,0), "")</f>
        <v/>
      </c>
      <c r="AC301" s="24" t="str">
        <f>IFERROR(VLOOKUP($Z301,'[1]End CA Lotação'!$L$3:$L$36,1,0), "")</f>
        <v/>
      </c>
      <c r="AD301" s="24" t="str">
        <f>IFERROR(VLOOKUP(Z301,'[1]RH - PARA 21.03'!$M$3:$M$555,1,0),"")</f>
        <v/>
      </c>
      <c r="AE301" s="23" t="str">
        <f>IFERROR(VLOOKUP($Z301,'[1]CNPJ Oi Fat'!$K$3:$K$32,1,0),"")</f>
        <v/>
      </c>
      <c r="AF301" s="23" t="str">
        <f>IFERROR(VLOOKUP(Z301,'[1]End Logística Oi'!$D$3:$D$29,1,0),"")</f>
        <v/>
      </c>
      <c r="AG301" s="23" t="str">
        <f>IFERROR(VLOOKUP(Z301,'[1]End Logística Oi'!$J$3:$J$29,1,0),"")</f>
        <v/>
      </c>
      <c r="AH301" s="23"/>
      <c r="AI301" s="23" t="s">
        <v>55</v>
      </c>
      <c r="AJ301" s="23" t="s">
        <v>55</v>
      </c>
      <c r="AK301" s="23" t="e">
        <v>#N/A</v>
      </c>
    </row>
    <row r="302" spans="1:37" s="34" customFormat="1" ht="15" hidden="1" customHeight="1" x14ac:dyDescent="0.25">
      <c r="A302" s="19">
        <v>300</v>
      </c>
      <c r="B302" s="19" t="s">
        <v>192</v>
      </c>
      <c r="C302" s="27" t="s">
        <v>366</v>
      </c>
      <c r="D302" s="26" t="s">
        <v>396</v>
      </c>
      <c r="E302" s="19" t="s">
        <v>41</v>
      </c>
      <c r="F302" s="19" t="s">
        <v>397</v>
      </c>
      <c r="G302" s="19">
        <v>17900394956</v>
      </c>
      <c r="H302" s="19" t="s">
        <v>1577</v>
      </c>
      <c r="I302" s="20">
        <v>44579</v>
      </c>
      <c r="J302" s="54"/>
      <c r="K302" s="19" t="s">
        <v>45</v>
      </c>
      <c r="L302" s="36" t="s">
        <v>1578</v>
      </c>
      <c r="M302" s="20">
        <v>44607</v>
      </c>
      <c r="N302" s="55"/>
      <c r="O302" s="36" t="s">
        <v>45</v>
      </c>
      <c r="P302" s="36">
        <v>2430407</v>
      </c>
      <c r="Q302" s="20">
        <v>44606</v>
      </c>
      <c r="R302" s="55"/>
      <c r="S302" s="36" t="s">
        <v>45</v>
      </c>
      <c r="T302" s="36" t="s">
        <v>1579</v>
      </c>
      <c r="U302" s="36" t="s">
        <v>197</v>
      </c>
      <c r="V302" s="36" t="s">
        <v>1580</v>
      </c>
      <c r="W302" s="36" t="s">
        <v>199</v>
      </c>
      <c r="X302" s="21" t="s">
        <v>52</v>
      </c>
      <c r="Y302" s="22">
        <v>9719875002751</v>
      </c>
      <c r="Z302" s="23">
        <f t="shared" si="8"/>
        <v>300</v>
      </c>
      <c r="AA302" s="24" t="str">
        <f>IFERROR(VLOOKUP($Z302,'[1]End Fat Serviço - PA 15 e 16'!$K$3:$K$31,1,0), "")</f>
        <v/>
      </c>
      <c r="AB302" s="24" t="str">
        <f>IFERROR(VLOOKUP($Z302,'[1]End Fat Material - PA 12'!$K$3:$K$64,1,0), "")</f>
        <v/>
      </c>
      <c r="AC302" s="24" t="str">
        <f>IFERROR(VLOOKUP($Z302,'[1]End CA Lotação'!$L$3:$L$36,1,0), "")</f>
        <v/>
      </c>
      <c r="AD302" s="24" t="str">
        <f>IFERROR(VLOOKUP(Z302,'[1]RH - PARA 21.03'!$M$3:$M$555,1,0),"")</f>
        <v/>
      </c>
      <c r="AE302" s="23" t="str">
        <f>IFERROR(VLOOKUP($Z302,'[1]CNPJ Oi Fat'!$K$3:$K$32,1,0),"")</f>
        <v/>
      </c>
      <c r="AF302" s="23" t="str">
        <f>IFERROR(VLOOKUP(Z302,'[1]End Logística Oi'!$D$3:$D$29,1,0),"")</f>
        <v/>
      </c>
      <c r="AG302" s="23" t="str">
        <f>IFERROR(VLOOKUP(Z302,'[1]End Logística Oi'!$J$3:$J$29,1,0),"")</f>
        <v/>
      </c>
      <c r="AH302" s="23"/>
      <c r="AI302" s="23" t="s">
        <v>55</v>
      </c>
      <c r="AJ302" s="23" t="s">
        <v>55</v>
      </c>
      <c r="AK302" s="23" t="e">
        <v>#N/A</v>
      </c>
    </row>
    <row r="303" spans="1:37" s="34" customFormat="1" ht="15" hidden="1" customHeight="1" x14ac:dyDescent="0.25">
      <c r="A303" s="19">
        <v>301</v>
      </c>
      <c r="B303" s="19" t="s">
        <v>165</v>
      </c>
      <c r="C303" s="27" t="s">
        <v>39</v>
      </c>
      <c r="D303" s="26" t="s">
        <v>40</v>
      </c>
      <c r="E303" s="19" t="s">
        <v>1581</v>
      </c>
      <c r="F303" s="26" t="s">
        <v>1582</v>
      </c>
      <c r="G303" s="19">
        <v>27905202034</v>
      </c>
      <c r="H303" s="19" t="s">
        <v>1583</v>
      </c>
      <c r="I303" s="20">
        <v>44606</v>
      </c>
      <c r="J303" s="54"/>
      <c r="K303" s="19" t="s">
        <v>45</v>
      </c>
      <c r="L303" s="36" t="s">
        <v>1584</v>
      </c>
      <c r="M303" s="20">
        <v>44608</v>
      </c>
      <c r="N303" s="55"/>
      <c r="O303" s="36" t="s">
        <v>45</v>
      </c>
      <c r="P303" s="56" t="s">
        <v>1585</v>
      </c>
      <c r="Q303" s="20">
        <v>44606</v>
      </c>
      <c r="R303" s="55"/>
      <c r="S303" s="36" t="s">
        <v>45</v>
      </c>
      <c r="T303" s="36" t="s">
        <v>1586</v>
      </c>
      <c r="U303" s="36" t="s">
        <v>1587</v>
      </c>
      <c r="V303" s="36" t="s">
        <v>172</v>
      </c>
      <c r="W303" s="36" t="s">
        <v>1588</v>
      </c>
      <c r="X303" s="21"/>
      <c r="Y303" s="22">
        <v>76535764039945</v>
      </c>
      <c r="Z303" s="23">
        <f t="shared" si="8"/>
        <v>301</v>
      </c>
      <c r="AA303" s="24" t="str">
        <f>IFERROR(VLOOKUP($Z303,'[1]End Fat Serviço - PA 15 e 16'!$K$3:$K$31,1,0), "")</f>
        <v/>
      </c>
      <c r="AB303" s="24" t="str">
        <f>IFERROR(VLOOKUP($Z303,'[1]End Fat Material - PA 12'!$K$3:$K$64,1,0), "")</f>
        <v/>
      </c>
      <c r="AC303" s="24" t="str">
        <f>IFERROR(VLOOKUP($Z303,'[1]End CA Lotação'!$L$3:$L$36,1,0), "")</f>
        <v/>
      </c>
      <c r="AD303" s="24" t="str">
        <f>IFERROR(VLOOKUP(Z303,'[1]RH - PARA 21.03'!$M$3:$M$555,1,0),"")</f>
        <v/>
      </c>
      <c r="AE303" s="23" t="str">
        <f>IFERROR(VLOOKUP($Z303,'[1]CNPJ Oi Fat'!$K$3:$K$32,1,0),"")</f>
        <v/>
      </c>
      <c r="AF303" s="23" t="str">
        <f>IFERROR(VLOOKUP(Z303,'[1]End Logística Oi'!$D$3:$D$29,1,0),"")</f>
        <v/>
      </c>
      <c r="AG303" s="23" t="str">
        <f>IFERROR(VLOOKUP(Z303,'[1]End Logística Oi'!$J$3:$J$29,1,0),"")</f>
        <v/>
      </c>
      <c r="AH303" s="23"/>
      <c r="AI303" s="23" t="s">
        <v>55</v>
      </c>
      <c r="AJ303" s="23" t="s">
        <v>55</v>
      </c>
      <c r="AK303" s="23" t="e">
        <v>#N/A</v>
      </c>
    </row>
    <row r="304" spans="1:37" s="34" customFormat="1" ht="15" customHeight="1" x14ac:dyDescent="0.25">
      <c r="A304" s="19">
        <v>302</v>
      </c>
      <c r="B304" s="19" t="s">
        <v>174</v>
      </c>
      <c r="C304" s="27" t="s">
        <v>39</v>
      </c>
      <c r="D304" s="26" t="s">
        <v>40</v>
      </c>
      <c r="E304" s="19" t="s">
        <v>1581</v>
      </c>
      <c r="F304" s="26" t="s">
        <v>1582</v>
      </c>
      <c r="G304" s="19">
        <v>13920010149</v>
      </c>
      <c r="H304" s="19" t="s">
        <v>1589</v>
      </c>
      <c r="I304" s="20">
        <v>44606</v>
      </c>
      <c r="J304" s="54"/>
      <c r="K304" s="19" t="s">
        <v>45</v>
      </c>
      <c r="L304" s="36" t="s">
        <v>604</v>
      </c>
      <c r="M304" s="20" t="s">
        <v>604</v>
      </c>
      <c r="N304" s="55"/>
      <c r="O304" s="36" t="s">
        <v>604</v>
      </c>
      <c r="P304" s="36">
        <v>10780604</v>
      </c>
      <c r="Q304" s="20">
        <v>44606</v>
      </c>
      <c r="R304" s="55"/>
      <c r="S304" s="36" t="s">
        <v>45</v>
      </c>
      <c r="T304" s="36" t="s">
        <v>1590</v>
      </c>
      <c r="U304" s="36" t="s">
        <v>49</v>
      </c>
      <c r="V304" s="36" t="s">
        <v>181</v>
      </c>
      <c r="W304" s="36" t="s">
        <v>1591</v>
      </c>
      <c r="X304" s="21"/>
      <c r="Y304" s="22">
        <v>76535764040013</v>
      </c>
      <c r="Z304" s="23">
        <f t="shared" si="8"/>
        <v>302</v>
      </c>
      <c r="AA304" s="24" t="str">
        <f>IFERROR(VLOOKUP($Z304,'[1]End Fat Serviço - PA 15 e 16'!$K$3:$K$31,1,0), "")</f>
        <v/>
      </c>
      <c r="AB304" s="24" t="str">
        <f>IFERROR(VLOOKUP($Z304,'[1]End Fat Material - PA 12'!$K$3:$K$64,1,0), "")</f>
        <v/>
      </c>
      <c r="AC304" s="24" t="str">
        <f>IFERROR(VLOOKUP($Z304,'[1]End CA Lotação'!$L$3:$L$36,1,0), "")</f>
        <v/>
      </c>
      <c r="AD304" s="24">
        <f>IFERROR(VLOOKUP(Z304,'[1]RH - PARA 21.03'!$M$3:$M$555,1,0),"")</f>
        <v>302</v>
      </c>
      <c r="AE304" s="23" t="str">
        <f>IFERROR(VLOOKUP($Z304,'[1]CNPJ Oi Fat'!$K$3:$K$32,1,0),"")</f>
        <v/>
      </c>
      <c r="AF304" s="23" t="str">
        <f>IFERROR(VLOOKUP(Z304,'[1]End Logística Oi'!$D$3:$D$29,1,0),"")</f>
        <v/>
      </c>
      <c r="AG304" s="23" t="str">
        <f>IFERROR(VLOOKUP(Z304,'[1]End Logística Oi'!$J$3:$J$29,1,0),"")</f>
        <v/>
      </c>
      <c r="AH304" s="23" t="s">
        <v>53</v>
      </c>
      <c r="AI304" s="23" t="s">
        <v>54</v>
      </c>
      <c r="AJ304" s="23" t="s">
        <v>55</v>
      </c>
      <c r="AK304" s="23" t="e">
        <v>#N/A</v>
      </c>
    </row>
    <row r="305" spans="1:37" s="34" customFormat="1" ht="15" hidden="1" customHeight="1" x14ac:dyDescent="0.25">
      <c r="A305" s="19">
        <v>303</v>
      </c>
      <c r="B305" s="19" t="s">
        <v>68</v>
      </c>
      <c r="C305" s="27" t="s">
        <v>39</v>
      </c>
      <c r="D305" s="26" t="s">
        <v>40</v>
      </c>
      <c r="E305" s="19" t="s">
        <v>280</v>
      </c>
      <c r="F305" s="26" t="s">
        <v>1582</v>
      </c>
      <c r="G305" s="19">
        <v>31920072718</v>
      </c>
      <c r="H305" s="19" t="s">
        <v>1592</v>
      </c>
      <c r="I305" s="20">
        <v>44643</v>
      </c>
      <c r="J305" s="54"/>
      <c r="K305" s="19" t="s">
        <v>45</v>
      </c>
      <c r="L305" s="36" t="s">
        <v>604</v>
      </c>
      <c r="M305" s="20" t="s">
        <v>604</v>
      </c>
      <c r="N305" s="55"/>
      <c r="O305" s="36" t="s">
        <v>604</v>
      </c>
      <c r="P305" s="56" t="s">
        <v>1593</v>
      </c>
      <c r="Q305" s="20">
        <v>44589</v>
      </c>
      <c r="R305" s="55"/>
      <c r="S305" s="19" t="s">
        <v>45</v>
      </c>
      <c r="T305" s="31" t="s">
        <v>1594</v>
      </c>
      <c r="U305" s="36" t="s">
        <v>1595</v>
      </c>
      <c r="V305" s="36" t="s">
        <v>1596</v>
      </c>
      <c r="W305" s="36" t="s">
        <v>1597</v>
      </c>
      <c r="X305" s="57"/>
      <c r="Y305" s="22">
        <v>76535764040285</v>
      </c>
      <c r="Z305" s="23">
        <f t="shared" si="8"/>
        <v>303</v>
      </c>
      <c r="AA305" s="24" t="str">
        <f>IFERROR(VLOOKUP($Z305,'[1]End Fat Serviço - PA 15 e 16'!$K$3:$K$31,1,0), "")</f>
        <v/>
      </c>
      <c r="AB305" s="24" t="str">
        <f>IFERROR(VLOOKUP($Z305,'[1]End Fat Material - PA 12'!$K$3:$K$64,1,0), "")</f>
        <v/>
      </c>
      <c r="AC305" s="24" t="str">
        <f>IFERROR(VLOOKUP($Z305,'[1]End CA Lotação'!$L$3:$L$36,1,0), "")</f>
        <v/>
      </c>
      <c r="AD305" s="24" t="str">
        <f>IFERROR(VLOOKUP(Z305,'[1]RH - PARA 21.03'!$M$3:$M$555,1,0),"")</f>
        <v/>
      </c>
      <c r="AE305" s="23" t="str">
        <f>IFERROR(VLOOKUP($Z305,'[1]CNPJ Oi Fat'!$K$3:$K$32,1,0),"")</f>
        <v/>
      </c>
      <c r="AF305" s="23" t="str">
        <f>IFERROR(VLOOKUP(Z305,'[1]End Logística Oi'!$D$3:$D$29,1,0),"")</f>
        <v/>
      </c>
      <c r="AG305" s="23" t="str">
        <f>IFERROR(VLOOKUP(Z305,'[1]End Logística Oi'!$J$3:$J$29,1,0),"")</f>
        <v/>
      </c>
      <c r="AH305" s="23"/>
      <c r="AI305" s="23" t="s">
        <v>55</v>
      </c>
      <c r="AJ305" s="23" t="s">
        <v>55</v>
      </c>
      <c r="AK305" s="23" t="e">
        <v>#N/A</v>
      </c>
    </row>
    <row r="306" spans="1:37" s="34" customFormat="1" ht="15" customHeight="1" x14ac:dyDescent="0.25">
      <c r="A306" s="19">
        <v>304</v>
      </c>
      <c r="B306" s="19" t="s">
        <v>112</v>
      </c>
      <c r="C306" s="27" t="s">
        <v>39</v>
      </c>
      <c r="D306" s="26" t="s">
        <v>40</v>
      </c>
      <c r="E306" s="19" t="s">
        <v>1581</v>
      </c>
      <c r="F306" s="26" t="s">
        <v>1582</v>
      </c>
      <c r="G306" s="19">
        <v>41901974980</v>
      </c>
      <c r="H306" s="19" t="s">
        <v>1598</v>
      </c>
      <c r="I306" s="20">
        <v>44643</v>
      </c>
      <c r="J306" s="54"/>
      <c r="K306" s="19" t="s">
        <v>45</v>
      </c>
      <c r="L306" s="36" t="s">
        <v>473</v>
      </c>
      <c r="M306" s="20" t="s">
        <v>473</v>
      </c>
      <c r="N306" s="55"/>
      <c r="O306" s="36" t="s">
        <v>45</v>
      </c>
      <c r="P306" s="36" t="s">
        <v>1599</v>
      </c>
      <c r="Q306" s="20">
        <v>44643</v>
      </c>
      <c r="R306" s="55"/>
      <c r="S306" s="36" t="s">
        <v>45</v>
      </c>
      <c r="T306" s="31" t="s">
        <v>1600</v>
      </c>
      <c r="U306" s="31" t="s">
        <v>1601</v>
      </c>
      <c r="V306" s="36" t="s">
        <v>118</v>
      </c>
      <c r="W306" s="36" t="s">
        <v>1602</v>
      </c>
      <c r="X306" s="57"/>
      <c r="Y306" s="22">
        <v>76535764040102</v>
      </c>
      <c r="Z306" s="23">
        <f t="shared" si="8"/>
        <v>304</v>
      </c>
      <c r="AA306" s="24" t="str">
        <f>IFERROR(VLOOKUP($Z306,'[1]End Fat Serviço - PA 15 e 16'!$K$3:$K$31,1,0), "")</f>
        <v/>
      </c>
      <c r="AB306" s="24" t="str">
        <f>IFERROR(VLOOKUP($Z306,'[1]End Fat Material - PA 12'!$K$3:$K$64,1,0), "")</f>
        <v/>
      </c>
      <c r="AC306" s="24" t="str">
        <f>IFERROR(VLOOKUP($Z306,'[1]End CA Lotação'!$L$3:$L$36,1,0), "")</f>
        <v/>
      </c>
      <c r="AD306" s="24">
        <f>IFERROR(VLOOKUP(Z306,'[1]RH - PARA 21.03'!$M$3:$M$555,1,0),"")</f>
        <v>304</v>
      </c>
      <c r="AE306" s="23" t="str">
        <f>IFERROR(VLOOKUP($Z306,'[1]CNPJ Oi Fat'!$K$3:$K$32,1,0),"")</f>
        <v/>
      </c>
      <c r="AF306" s="23" t="str">
        <f>IFERROR(VLOOKUP(Z306,'[1]End Logística Oi'!$D$3:$D$29,1,0),"")</f>
        <v/>
      </c>
      <c r="AG306" s="23" t="str">
        <f>IFERROR(VLOOKUP(Z306,'[1]End Logística Oi'!$J$3:$J$29,1,0),"")</f>
        <v/>
      </c>
      <c r="AH306" s="23" t="s">
        <v>53</v>
      </c>
      <c r="AI306" s="23" t="s">
        <v>54</v>
      </c>
      <c r="AJ306" s="23" t="s">
        <v>55</v>
      </c>
      <c r="AK306" s="23" t="e">
        <v>#N/A</v>
      </c>
    </row>
    <row r="307" spans="1:37" s="34" customFormat="1" ht="15" hidden="1" customHeight="1" x14ac:dyDescent="0.25">
      <c r="A307" s="19">
        <v>305</v>
      </c>
      <c r="B307" s="19" t="s">
        <v>68</v>
      </c>
      <c r="C307" s="27" t="s">
        <v>39</v>
      </c>
      <c r="D307" s="26" t="s">
        <v>40</v>
      </c>
      <c r="E307" s="19" t="s">
        <v>29</v>
      </c>
      <c r="F307" s="26" t="s">
        <v>1582</v>
      </c>
      <c r="G307" s="19">
        <v>31920074851</v>
      </c>
      <c r="H307" s="19" t="s">
        <v>1603</v>
      </c>
      <c r="I307" s="20">
        <v>44669</v>
      </c>
      <c r="J307" s="54"/>
      <c r="K307" s="19" t="s">
        <v>45</v>
      </c>
      <c r="L307" s="36" t="s">
        <v>604</v>
      </c>
      <c r="M307" s="20" t="s">
        <v>604</v>
      </c>
      <c r="N307" s="55"/>
      <c r="O307" s="36" t="s">
        <v>604</v>
      </c>
      <c r="P307" s="36">
        <v>46330</v>
      </c>
      <c r="Q307" s="20">
        <v>44669</v>
      </c>
      <c r="R307" s="55"/>
      <c r="S307" s="36" t="s">
        <v>45</v>
      </c>
      <c r="T307" s="31" t="s">
        <v>1604</v>
      </c>
      <c r="U307" s="31" t="s">
        <v>1605</v>
      </c>
      <c r="V307" s="36" t="s">
        <v>1606</v>
      </c>
      <c r="W307" s="36" t="s">
        <v>1607</v>
      </c>
      <c r="X307" s="57"/>
      <c r="Y307" s="22">
        <v>76535764040366</v>
      </c>
      <c r="Z307" s="23">
        <f t="shared" si="8"/>
        <v>305</v>
      </c>
      <c r="AA307" s="24" t="str">
        <f>IFERROR(VLOOKUP($Z307,'[1]End Fat Serviço - PA 15 e 16'!$K$3:$K$31,1,0), "")</f>
        <v/>
      </c>
      <c r="AB307" s="24" t="str">
        <f>IFERROR(VLOOKUP($Z307,'[1]End Fat Material - PA 12'!$K$3:$K$64,1,0), "")</f>
        <v/>
      </c>
      <c r="AC307" s="24" t="str">
        <f>IFERROR(VLOOKUP($Z307,'[1]End CA Lotação'!$L$3:$L$36,1,0), "")</f>
        <v/>
      </c>
      <c r="AD307" s="24" t="str">
        <f>IFERROR(VLOOKUP(Z307,'[1]RH - PARA 21.03'!$M$3:$M$555,1,0),"")</f>
        <v/>
      </c>
      <c r="AE307" s="23" t="str">
        <f>IFERROR(VLOOKUP($Z307,'[1]CNPJ Oi Fat'!$K$3:$K$32,1,0),"")</f>
        <v/>
      </c>
      <c r="AF307" s="23" t="str">
        <f>IFERROR(VLOOKUP(Z307,'[1]End Logística Oi'!$D$3:$D$29,1,0),"")</f>
        <v/>
      </c>
      <c r="AG307" s="23" t="str">
        <f>IFERROR(VLOOKUP(Z307,'[1]End Logística Oi'!$J$3:$J$29,1,0),"")</f>
        <v/>
      </c>
      <c r="AH307" s="23"/>
      <c r="AI307" s="23" t="s">
        <v>55</v>
      </c>
      <c r="AJ307" s="23" t="s">
        <v>55</v>
      </c>
      <c r="AK307" s="23" t="e">
        <v>#N/A</v>
      </c>
    </row>
    <row r="308" spans="1:37" s="34" customFormat="1" ht="15" hidden="1" customHeight="1" x14ac:dyDescent="0.25">
      <c r="A308" s="26">
        <v>306</v>
      </c>
      <c r="B308" s="26" t="s">
        <v>130</v>
      </c>
      <c r="C308" s="27" t="s">
        <v>366</v>
      </c>
      <c r="D308" s="26" t="s">
        <v>367</v>
      </c>
      <c r="E308" s="26"/>
      <c r="F308" s="26" t="s">
        <v>369</v>
      </c>
      <c r="G308" s="19" t="s">
        <v>1608</v>
      </c>
      <c r="H308" s="26" t="s">
        <v>1609</v>
      </c>
      <c r="I308" s="29">
        <v>45169</v>
      </c>
      <c r="J308" s="54"/>
      <c r="K308" s="19" t="s">
        <v>45</v>
      </c>
      <c r="L308" s="31" t="s">
        <v>90</v>
      </c>
      <c r="M308" s="20" t="s">
        <v>90</v>
      </c>
      <c r="N308" s="55"/>
      <c r="O308" s="36" t="s">
        <v>90</v>
      </c>
      <c r="P308" s="31" t="s">
        <v>1610</v>
      </c>
      <c r="Q308" s="29">
        <v>45169</v>
      </c>
      <c r="R308" s="55"/>
      <c r="S308" s="31" t="s">
        <v>45</v>
      </c>
      <c r="T308" s="31" t="s">
        <v>1611</v>
      </c>
      <c r="U308" s="31" t="s">
        <v>1612</v>
      </c>
      <c r="V308" s="27" t="s">
        <v>137</v>
      </c>
      <c r="W308" s="31" t="s">
        <v>1613</v>
      </c>
      <c r="X308" s="57"/>
      <c r="Y308" s="22">
        <v>4014081002000</v>
      </c>
      <c r="Z308" s="23">
        <f t="shared" si="8"/>
        <v>306</v>
      </c>
      <c r="AA308" s="24" t="str">
        <f>IFERROR(VLOOKUP($Z308,'[1]End Fat Serviço - PA 15 e 16'!$K$3:$K$31,1,0), "")</f>
        <v/>
      </c>
      <c r="AB308" s="24" t="str">
        <f>IFERROR(VLOOKUP($Z308,'[1]End Fat Material - PA 12'!$K$3:$K$64,1,0), "")</f>
        <v/>
      </c>
      <c r="AC308" s="24" t="str">
        <f>IFERROR(VLOOKUP($Z308,'[1]End CA Lotação'!$L$3:$L$36,1,0), "")</f>
        <v/>
      </c>
      <c r="AD308" s="24" t="str">
        <f>IFERROR(VLOOKUP(Z308,'[1]RH - PARA 21.03'!$M$3:$M$555,1,0),"")</f>
        <v/>
      </c>
      <c r="AE308" s="23" t="str">
        <f>IFERROR(VLOOKUP($Z308,'[1]CNPJ Oi Fat'!$K$3:$K$32,1,0),"")</f>
        <v/>
      </c>
      <c r="AF308" s="23" t="str">
        <f>IFERROR(VLOOKUP(Z308,'[1]End Logística Oi'!$D$3:$D$29,1,0),"")</f>
        <v/>
      </c>
      <c r="AG308" s="23" t="str">
        <f>IFERROR(VLOOKUP(Z308,'[1]End Logística Oi'!$J$3:$J$29,1,0),"")</f>
        <v/>
      </c>
      <c r="AH308" s="23"/>
      <c r="AI308" s="23" t="s">
        <v>55</v>
      </c>
      <c r="AJ308" s="23" t="s">
        <v>55</v>
      </c>
      <c r="AK308" s="23" t="e">
        <v>#N/A</v>
      </c>
    </row>
    <row r="309" spans="1:37" s="34" customFormat="1" ht="15" hidden="1" customHeight="1" x14ac:dyDescent="0.25">
      <c r="A309" s="26">
        <v>307</v>
      </c>
      <c r="B309" s="26" t="s">
        <v>85</v>
      </c>
      <c r="C309" s="27" t="s">
        <v>366</v>
      </c>
      <c r="D309" s="26" t="s">
        <v>367</v>
      </c>
      <c r="E309" s="26"/>
      <c r="F309" s="26" t="s">
        <v>369</v>
      </c>
      <c r="G309" s="26">
        <v>53920033516</v>
      </c>
      <c r="H309" s="26" t="s">
        <v>1614</v>
      </c>
      <c r="I309" s="29">
        <v>45181</v>
      </c>
      <c r="J309" s="54"/>
      <c r="K309" s="19" t="s">
        <v>45</v>
      </c>
      <c r="L309" s="31" t="s">
        <v>1615</v>
      </c>
      <c r="M309" s="20">
        <v>45181</v>
      </c>
      <c r="N309" s="55"/>
      <c r="O309" s="36" t="s">
        <v>45</v>
      </c>
      <c r="P309" s="31" t="s">
        <v>90</v>
      </c>
      <c r="Q309" s="20" t="s">
        <v>90</v>
      </c>
      <c r="R309" s="55"/>
      <c r="S309" s="31" t="s">
        <v>90</v>
      </c>
      <c r="T309" s="31" t="s">
        <v>1616</v>
      </c>
      <c r="U309" s="31" t="s">
        <v>1617</v>
      </c>
      <c r="V309" s="27" t="s">
        <v>477</v>
      </c>
      <c r="W309" s="31" t="s">
        <v>1618</v>
      </c>
      <c r="X309" s="57"/>
      <c r="Y309" s="22">
        <v>4014081002183</v>
      </c>
      <c r="Z309" s="23">
        <f t="shared" si="8"/>
        <v>307</v>
      </c>
      <c r="AA309" s="24" t="str">
        <f>IFERROR(VLOOKUP($Z309,'[1]End Fat Serviço - PA 15 e 16'!$K$3:$K$31,1,0), "")</f>
        <v/>
      </c>
      <c r="AB309" s="24" t="str">
        <f>IFERROR(VLOOKUP($Z309,'[1]End Fat Material - PA 12'!$K$3:$K$64,1,0), "")</f>
        <v/>
      </c>
      <c r="AC309" s="24" t="str">
        <f>IFERROR(VLOOKUP($Z309,'[1]End CA Lotação'!$L$3:$L$36,1,0), "")</f>
        <v/>
      </c>
      <c r="AD309" s="24" t="str">
        <f>IFERROR(VLOOKUP(Z309,'[1]RH - PARA 21.03'!$M$3:$M$555,1,0),"")</f>
        <v/>
      </c>
      <c r="AE309" s="23" t="str">
        <f>IFERROR(VLOOKUP($Z309,'[1]CNPJ Oi Fat'!$K$3:$K$32,1,0),"")</f>
        <v/>
      </c>
      <c r="AF309" s="23" t="str">
        <f>IFERROR(VLOOKUP(Z309,'[1]End Logística Oi'!$D$3:$D$29,1,0),"")</f>
        <v/>
      </c>
      <c r="AG309" s="23" t="str">
        <f>IFERROR(VLOOKUP(Z309,'[1]End Logística Oi'!$J$3:$J$29,1,0),"")</f>
        <v/>
      </c>
      <c r="AH309" s="23"/>
      <c r="AI309" s="23" t="s">
        <v>55</v>
      </c>
      <c r="AJ309" s="23" t="s">
        <v>55</v>
      </c>
      <c r="AK309" s="23" t="e">
        <v>#N/A</v>
      </c>
    </row>
    <row r="310" spans="1:37" s="34" customFormat="1" ht="15" hidden="1" customHeight="1" x14ac:dyDescent="0.25">
      <c r="A310" s="26">
        <v>308</v>
      </c>
      <c r="B310" s="26" t="s">
        <v>245</v>
      </c>
      <c r="C310" s="27" t="s">
        <v>366</v>
      </c>
      <c r="D310" s="26" t="s">
        <v>367</v>
      </c>
      <c r="E310" s="26"/>
      <c r="F310" s="26" t="s">
        <v>369</v>
      </c>
      <c r="G310" s="26">
        <v>21900611411</v>
      </c>
      <c r="H310" s="26" t="s">
        <v>1619</v>
      </c>
      <c r="I310" s="29">
        <v>45274</v>
      </c>
      <c r="J310" s="54"/>
      <c r="K310" s="19" t="s">
        <v>45</v>
      </c>
      <c r="L310" s="31" t="s">
        <v>90</v>
      </c>
      <c r="M310" s="20" t="s">
        <v>90</v>
      </c>
      <c r="N310" s="55"/>
      <c r="O310" s="36" t="s">
        <v>90</v>
      </c>
      <c r="P310" s="31">
        <v>3682444690</v>
      </c>
      <c r="Q310" s="29">
        <v>45274</v>
      </c>
      <c r="R310" s="55"/>
      <c r="S310" s="31" t="s">
        <v>45</v>
      </c>
      <c r="T310" s="31" t="s">
        <v>1620</v>
      </c>
      <c r="U310" s="31" t="s">
        <v>251</v>
      </c>
      <c r="V310" s="27" t="s">
        <v>1621</v>
      </c>
      <c r="W310" s="31" t="s">
        <v>253</v>
      </c>
      <c r="X310" s="57"/>
      <c r="Y310" s="22">
        <v>4014081002264</v>
      </c>
      <c r="Z310" s="23">
        <f t="shared" si="8"/>
        <v>308</v>
      </c>
      <c r="AA310" s="24" t="str">
        <f>IFERROR(VLOOKUP($Z310,'[1]End Fat Serviço - PA 15 e 16'!$K$3:$K$31,1,0), "")</f>
        <v/>
      </c>
      <c r="AB310" s="24" t="str">
        <f>IFERROR(VLOOKUP($Z310,'[1]End Fat Material - PA 12'!$K$3:$K$64,1,0), "")</f>
        <v/>
      </c>
      <c r="AC310" s="24" t="str">
        <f>IFERROR(VLOOKUP($Z310,'[1]End CA Lotação'!$L$3:$L$36,1,0), "")</f>
        <v/>
      </c>
      <c r="AD310" s="24" t="str">
        <f>IFERROR(VLOOKUP(Z310,'[1]RH - PARA 21.03'!$M$3:$M$555,1,0),"")</f>
        <v/>
      </c>
      <c r="AE310" s="23" t="str">
        <f>IFERROR(VLOOKUP($Z310,'[1]CNPJ Oi Fat'!$K$3:$K$32,1,0),"")</f>
        <v/>
      </c>
      <c r="AF310" s="23" t="str">
        <f>IFERROR(VLOOKUP(Z310,'[1]End Logística Oi'!$D$3:$D$29,1,0),"")</f>
        <v/>
      </c>
      <c r="AG310" s="23" t="str">
        <f>IFERROR(VLOOKUP(Z310,'[1]End Logística Oi'!$J$3:$J$29,1,0),"")</f>
        <v/>
      </c>
      <c r="AI310" s="23" t="s">
        <v>55</v>
      </c>
      <c r="AJ310" s="23" t="s">
        <v>55</v>
      </c>
      <c r="AK310" s="23" t="e">
        <v>#N/A</v>
      </c>
    </row>
    <row r="311" spans="1:37" s="34" customFormat="1" ht="15" hidden="1" customHeight="1" x14ac:dyDescent="0.25">
      <c r="A311" s="26">
        <v>309</v>
      </c>
      <c r="B311" s="26" t="s">
        <v>183</v>
      </c>
      <c r="C311" s="27" t="s">
        <v>366</v>
      </c>
      <c r="D311" s="26" t="s">
        <v>367</v>
      </c>
      <c r="E311" s="26"/>
      <c r="F311" s="26" t="s">
        <v>369</v>
      </c>
      <c r="G311" s="26">
        <v>24900463198</v>
      </c>
      <c r="H311" s="26" t="s">
        <v>1622</v>
      </c>
      <c r="I311" s="29">
        <v>45351</v>
      </c>
      <c r="J311" s="54"/>
      <c r="K311" s="19" t="s">
        <v>45</v>
      </c>
      <c r="L311" s="31" t="s">
        <v>90</v>
      </c>
      <c r="M311" s="20" t="s">
        <v>90</v>
      </c>
      <c r="N311" s="55"/>
      <c r="O311" s="36" t="s">
        <v>90</v>
      </c>
      <c r="P311" s="31">
        <v>2283562</v>
      </c>
      <c r="Q311" s="29">
        <v>45351</v>
      </c>
      <c r="R311" s="55"/>
      <c r="S311" s="31" t="s">
        <v>45</v>
      </c>
      <c r="T311" s="31" t="s">
        <v>1623</v>
      </c>
      <c r="U311" s="31" t="s">
        <v>189</v>
      </c>
      <c r="V311" s="27" t="s">
        <v>190</v>
      </c>
      <c r="W311" s="31" t="s">
        <v>1624</v>
      </c>
      <c r="X311" s="57"/>
      <c r="Y311" s="22">
        <v>4014081002345</v>
      </c>
      <c r="Z311" s="23">
        <f t="shared" si="8"/>
        <v>309</v>
      </c>
      <c r="AA311" s="24" t="str">
        <f>IFERROR(VLOOKUP($Z311,'[1]End Fat Serviço - PA 15 e 16'!$K$3:$K$31,1,0), "")</f>
        <v/>
      </c>
      <c r="AB311" s="24" t="str">
        <f>IFERROR(VLOOKUP($Z311,'[1]End Fat Material - PA 12'!$K$3:$K$64,1,0), "")</f>
        <v/>
      </c>
      <c r="AC311" s="24" t="str">
        <f>IFERROR(VLOOKUP($Z311,'[1]End CA Lotação'!$L$3:$L$36,1,0), "")</f>
        <v/>
      </c>
      <c r="AD311" s="24" t="str">
        <f>IFERROR(VLOOKUP(Z311,'[1]RH - PARA 21.03'!$M$3:$M$555,1,0),"")</f>
        <v/>
      </c>
      <c r="AE311" s="23" t="str">
        <f>IFERROR(VLOOKUP($Z311,'[1]CNPJ Oi Fat'!$K$3:$K$32,1,0),"")</f>
        <v/>
      </c>
      <c r="AF311" s="23" t="str">
        <f>IFERROR(VLOOKUP(Z311,'[1]End Logística Oi'!$D$3:$D$29,1,0),"")</f>
        <v/>
      </c>
      <c r="AG311" s="23" t="str">
        <f>IFERROR(VLOOKUP(Z311,'[1]End Logística Oi'!$J$3:$J$29,1,0),"")</f>
        <v/>
      </c>
      <c r="AI311" s="23" t="s">
        <v>55</v>
      </c>
      <c r="AJ311" s="23" t="s">
        <v>55</v>
      </c>
      <c r="AK311" s="23" t="e">
        <v>#N/A</v>
      </c>
    </row>
    <row r="312" spans="1:37" s="34" customFormat="1" ht="15" customHeight="1" x14ac:dyDescent="0.25">
      <c r="A312" s="26">
        <v>310</v>
      </c>
      <c r="B312" s="26" t="s">
        <v>230</v>
      </c>
      <c r="C312" s="27" t="s">
        <v>39</v>
      </c>
      <c r="D312" s="26" t="s">
        <v>40</v>
      </c>
      <c r="E312" s="26" t="s">
        <v>1625</v>
      </c>
      <c r="F312" s="26" t="s">
        <v>467</v>
      </c>
      <c r="G312" s="26">
        <v>33901946416</v>
      </c>
      <c r="H312" s="26" t="s">
        <v>1626</v>
      </c>
      <c r="I312" s="29">
        <v>45399</v>
      </c>
      <c r="J312" s="54"/>
      <c r="K312" s="19" t="s">
        <v>45</v>
      </c>
      <c r="L312" s="31">
        <v>14601759</v>
      </c>
      <c r="M312" s="29">
        <v>45399</v>
      </c>
      <c r="N312" s="29">
        <v>45439</v>
      </c>
      <c r="O312" s="36" t="s">
        <v>491</v>
      </c>
      <c r="P312" s="31">
        <v>29390</v>
      </c>
      <c r="Q312" s="29">
        <v>45520</v>
      </c>
      <c r="R312" s="55"/>
      <c r="S312" s="31" t="s">
        <v>45</v>
      </c>
      <c r="T312" s="31" t="s">
        <v>1627</v>
      </c>
      <c r="U312" s="31" t="s">
        <v>1628</v>
      </c>
      <c r="V312" s="27" t="s">
        <v>1629</v>
      </c>
      <c r="W312" s="31" t="s">
        <v>1630</v>
      </c>
      <c r="X312" s="57"/>
      <c r="Y312" s="22">
        <v>76535764040447</v>
      </c>
      <c r="Z312" s="23">
        <f t="shared" si="8"/>
        <v>310</v>
      </c>
      <c r="AA312" s="24" t="str">
        <f>IFERROR(VLOOKUP($Z312,'[1]End Fat Serviço - PA 15 e 16'!$K$3:$K$31,1,0), "")</f>
        <v/>
      </c>
      <c r="AB312" s="24" t="str">
        <f>IFERROR(VLOOKUP($Z312,'[1]End Fat Material - PA 12'!$K$3:$K$64,1,0), "")</f>
        <v/>
      </c>
      <c r="AC312" s="24" t="str">
        <f>IFERROR(VLOOKUP($Z312,'[1]End CA Lotação'!$L$3:$L$36,1,0), "")</f>
        <v/>
      </c>
      <c r="AD312" s="24">
        <f>IFERROR(VLOOKUP(Z312,'[1]RH - PARA 21.03'!$M$3:$M$555,1,0),"")</f>
        <v>310</v>
      </c>
      <c r="AE312" s="23" t="str">
        <f>IFERROR(VLOOKUP($Z312,'[1]CNPJ Oi Fat'!$K$3:$K$32,1,0),"")</f>
        <v/>
      </c>
      <c r="AF312" s="23" t="str">
        <f>IFERROR(VLOOKUP(Z312,'[1]End Logística Oi'!$D$3:$D$29,1,0),"")</f>
        <v/>
      </c>
      <c r="AG312" s="23" t="str">
        <f>IFERROR(VLOOKUP(Z312,'[1]End Logística Oi'!$J$3:$J$29,1,0),"")</f>
        <v/>
      </c>
      <c r="AH312" s="34" t="s">
        <v>53</v>
      </c>
      <c r="AI312" s="23" t="s">
        <v>54</v>
      </c>
      <c r="AJ312" s="23" t="s">
        <v>55</v>
      </c>
      <c r="AK312" s="23" t="e">
        <v>#N/A</v>
      </c>
    </row>
    <row r="313" spans="1:37" s="34" customFormat="1" ht="15" hidden="1" customHeight="1" x14ac:dyDescent="0.25">
      <c r="A313" s="26">
        <v>311</v>
      </c>
      <c r="B313" s="26" t="s">
        <v>230</v>
      </c>
      <c r="C313" s="27" t="s">
        <v>366</v>
      </c>
      <c r="D313" s="26" t="s">
        <v>1631</v>
      </c>
      <c r="E313" s="26" t="s">
        <v>307</v>
      </c>
      <c r="F313" s="26" t="s">
        <v>1632</v>
      </c>
      <c r="G313" s="28" t="s">
        <v>1633</v>
      </c>
      <c r="H313" s="26" t="s">
        <v>1634</v>
      </c>
      <c r="I313" s="29">
        <v>45350</v>
      </c>
      <c r="J313" s="30"/>
      <c r="K313" s="19" t="s">
        <v>45</v>
      </c>
      <c r="L313" s="31">
        <v>14675540</v>
      </c>
      <c r="M313" s="29">
        <v>45428</v>
      </c>
      <c r="N313" s="32"/>
      <c r="O313" s="36" t="s">
        <v>45</v>
      </c>
      <c r="P313" s="31" t="s">
        <v>1635</v>
      </c>
      <c r="Q313" s="29">
        <v>45350</v>
      </c>
      <c r="R313" s="32"/>
      <c r="S313" s="31" t="s">
        <v>45</v>
      </c>
      <c r="T313" s="31" t="s">
        <v>1636</v>
      </c>
      <c r="U313" s="31" t="s">
        <v>355</v>
      </c>
      <c r="V313" s="27" t="s">
        <v>235</v>
      </c>
      <c r="W313" s="31" t="s">
        <v>356</v>
      </c>
      <c r="X313" s="21" t="s">
        <v>52</v>
      </c>
      <c r="Y313" s="22">
        <v>54104224000172</v>
      </c>
      <c r="Z313" s="23">
        <f t="shared" si="8"/>
        <v>311</v>
      </c>
      <c r="AA313" s="24" t="str">
        <f>IFERROR(VLOOKUP($Z313,'[1]End Fat Serviço - PA 15 e 16'!$K$3:$K$31,1,0), "")</f>
        <v/>
      </c>
      <c r="AB313" s="24" t="str">
        <f>IFERROR(VLOOKUP($Z313,'[1]End Fat Material - PA 12'!$K$3:$K$64,1,0), "")</f>
        <v/>
      </c>
      <c r="AC313" s="24" t="str">
        <f>IFERROR(VLOOKUP($Z313,'[1]End CA Lotação'!$L$3:$L$36,1,0), "")</f>
        <v/>
      </c>
      <c r="AD313" s="24" t="str">
        <f>IFERROR(VLOOKUP(Z313,'[1]RH - PARA 21.03'!$M$3:$M$555,1,0),"")</f>
        <v/>
      </c>
      <c r="AE313" s="23" t="str">
        <f>IFERROR(VLOOKUP($Z313,'[1]CNPJ Oi Fat'!$K$3:$K$32,1,0),"")</f>
        <v/>
      </c>
      <c r="AF313" s="23" t="str">
        <f>IFERROR(VLOOKUP(Z313,'[1]End Logística Oi'!$D$3:$D$29,1,0),"")</f>
        <v/>
      </c>
      <c r="AG313" s="23" t="str">
        <f>IFERROR(VLOOKUP(Z313,'[1]End Logística Oi'!$J$3:$J$29,1,0),"")</f>
        <v/>
      </c>
      <c r="AI313" s="23" t="s">
        <v>55</v>
      </c>
      <c r="AJ313" s="23" t="s">
        <v>55</v>
      </c>
      <c r="AK313" s="23" t="e">
        <v>#N/A</v>
      </c>
    </row>
    <row r="314" spans="1:37" s="34" customFormat="1" ht="15" hidden="1" customHeight="1" x14ac:dyDescent="0.25">
      <c r="A314" s="26">
        <v>312</v>
      </c>
      <c r="B314" s="26" t="s">
        <v>230</v>
      </c>
      <c r="C314" s="27" t="s">
        <v>366</v>
      </c>
      <c r="D314" s="19" t="s">
        <v>1637</v>
      </c>
      <c r="E314" s="26" t="s">
        <v>307</v>
      </c>
      <c r="F314" s="26" t="s">
        <v>1638</v>
      </c>
      <c r="G314" s="58" t="s">
        <v>1639</v>
      </c>
      <c r="H314" s="26" t="s">
        <v>1640</v>
      </c>
      <c r="I314" s="29">
        <v>45300</v>
      </c>
      <c r="J314" s="30"/>
      <c r="K314" s="19" t="s">
        <v>45</v>
      </c>
      <c r="L314" s="31">
        <v>14680667</v>
      </c>
      <c r="M314" s="29">
        <v>45429</v>
      </c>
      <c r="N314" s="32"/>
      <c r="O314" s="36" t="s">
        <v>45</v>
      </c>
      <c r="P314" s="31" t="s">
        <v>1641</v>
      </c>
      <c r="Q314" s="29">
        <v>45300</v>
      </c>
      <c r="R314" s="32"/>
      <c r="S314" s="31" t="s">
        <v>45</v>
      </c>
      <c r="T314" s="31" t="s">
        <v>1642</v>
      </c>
      <c r="U314" s="31" t="s">
        <v>355</v>
      </c>
      <c r="V314" s="27" t="s">
        <v>235</v>
      </c>
      <c r="W314" s="31" t="s">
        <v>356</v>
      </c>
      <c r="X314" s="21" t="s">
        <v>52</v>
      </c>
      <c r="Y314" s="22">
        <v>53420538000111</v>
      </c>
      <c r="Z314" s="23">
        <f t="shared" si="8"/>
        <v>312</v>
      </c>
      <c r="AA314" s="24" t="str">
        <f>IFERROR(VLOOKUP($Z314,'[1]End Fat Serviço - PA 15 e 16'!$K$3:$K$31,1,0), "")</f>
        <v/>
      </c>
      <c r="AB314" s="24" t="str">
        <f>IFERROR(VLOOKUP($Z314,'[1]End Fat Material - PA 12'!$K$3:$K$64,1,0), "")</f>
        <v/>
      </c>
      <c r="AC314" s="24" t="str">
        <f>IFERROR(VLOOKUP($Z314,'[1]End CA Lotação'!$L$3:$L$36,1,0), "")</f>
        <v/>
      </c>
      <c r="AD314" s="24" t="str">
        <f>IFERROR(VLOOKUP(Z314,'[1]RH - PARA 21.03'!$M$3:$M$555,1,0),"")</f>
        <v/>
      </c>
      <c r="AE314" s="23" t="str">
        <f>IFERROR(VLOOKUP($Z314,'[1]CNPJ Oi Fat'!$K$3:$K$32,1,0),"")</f>
        <v/>
      </c>
      <c r="AF314" s="23" t="str">
        <f>IFERROR(VLOOKUP(Z314,'[1]End Logística Oi'!$D$3:$D$29,1,0),"")</f>
        <v/>
      </c>
      <c r="AG314" s="23" t="str">
        <f>IFERROR(VLOOKUP(Z314,'[1]End Logística Oi'!$J$3:$J$29,1,0),"")</f>
        <v/>
      </c>
      <c r="AI314" s="23" t="s">
        <v>55</v>
      </c>
      <c r="AJ314" s="23" t="s">
        <v>55</v>
      </c>
      <c r="AK314" s="23" t="e">
        <v>#N/A</v>
      </c>
    </row>
    <row r="315" spans="1:37" s="34" customFormat="1" ht="15" hidden="1" customHeight="1" x14ac:dyDescent="0.25">
      <c r="A315" s="26">
        <v>313</v>
      </c>
      <c r="B315" s="26" t="s">
        <v>230</v>
      </c>
      <c r="C315" s="27" t="s">
        <v>366</v>
      </c>
      <c r="D315" s="26" t="s">
        <v>1631</v>
      </c>
      <c r="E315" s="26" t="s">
        <v>307</v>
      </c>
      <c r="F315" s="26" t="s">
        <v>1643</v>
      </c>
      <c r="G315" s="28" t="s">
        <v>1644</v>
      </c>
      <c r="H315" s="26" t="s">
        <v>1645</v>
      </c>
      <c r="I315" s="29">
        <v>45260</v>
      </c>
      <c r="J315" s="30"/>
      <c r="K315" s="19" t="s">
        <v>45</v>
      </c>
      <c r="L315" s="31">
        <v>14679740</v>
      </c>
      <c r="M315" s="29">
        <v>45428</v>
      </c>
      <c r="N315" s="32"/>
      <c r="O315" s="36" t="s">
        <v>45</v>
      </c>
      <c r="P315" s="31" t="s">
        <v>1646</v>
      </c>
      <c r="Q315" s="29">
        <v>45261</v>
      </c>
      <c r="R315" s="32"/>
      <c r="S315" s="31" t="s">
        <v>45</v>
      </c>
      <c r="T315" s="31" t="s">
        <v>1647</v>
      </c>
      <c r="U315" s="31" t="s">
        <v>355</v>
      </c>
      <c r="V315" s="27" t="s">
        <v>235</v>
      </c>
      <c r="W315" s="31" t="s">
        <v>356</v>
      </c>
      <c r="X315" s="21" t="s">
        <v>52</v>
      </c>
      <c r="Y315" s="22">
        <v>53059901000115</v>
      </c>
      <c r="Z315" s="23">
        <f t="shared" si="8"/>
        <v>313</v>
      </c>
      <c r="AA315" s="24" t="str">
        <f>IFERROR(VLOOKUP($Z315,'[1]End Fat Serviço - PA 15 e 16'!$K$3:$K$31,1,0), "")</f>
        <v/>
      </c>
      <c r="AB315" s="24" t="str">
        <f>IFERROR(VLOOKUP($Z315,'[1]End Fat Material - PA 12'!$K$3:$K$64,1,0), "")</f>
        <v/>
      </c>
      <c r="AC315" s="24" t="str">
        <f>IFERROR(VLOOKUP($Z315,'[1]End CA Lotação'!$L$3:$L$36,1,0), "")</f>
        <v/>
      </c>
      <c r="AD315" s="24" t="str">
        <f>IFERROR(VLOOKUP(Z315,'[1]RH - PARA 21.03'!$M$3:$M$555,1,0),"")</f>
        <v/>
      </c>
      <c r="AE315" s="23" t="str">
        <f>IFERROR(VLOOKUP($Z315,'[1]CNPJ Oi Fat'!$K$3:$K$32,1,0),"")</f>
        <v/>
      </c>
      <c r="AF315" s="23" t="str">
        <f>IFERROR(VLOOKUP(Z315,'[1]End Logística Oi'!$D$3:$D$29,1,0),"")</f>
        <v/>
      </c>
      <c r="AG315" s="23" t="str">
        <f>IFERROR(VLOOKUP(Z315,'[1]End Logística Oi'!$J$3:$J$29,1,0),"")</f>
        <v/>
      </c>
      <c r="AI315" s="23" t="s">
        <v>55</v>
      </c>
      <c r="AJ315" s="23" t="s">
        <v>55</v>
      </c>
      <c r="AK315" s="23" t="e">
        <v>#N/A</v>
      </c>
    </row>
    <row r="316" spans="1:37" s="34" customFormat="1" ht="15" hidden="1" customHeight="1" x14ac:dyDescent="0.25">
      <c r="A316" s="26">
        <v>314</v>
      </c>
      <c r="B316" s="26" t="s">
        <v>230</v>
      </c>
      <c r="C316" s="27" t="s">
        <v>366</v>
      </c>
      <c r="D316" s="26" t="s">
        <v>1631</v>
      </c>
      <c r="E316" s="26" t="s">
        <v>307</v>
      </c>
      <c r="F316" s="26" t="s">
        <v>1648</v>
      </c>
      <c r="G316" s="28" t="s">
        <v>1649</v>
      </c>
      <c r="H316" s="26" t="s">
        <v>1650</v>
      </c>
      <c r="I316" s="29">
        <v>45300</v>
      </c>
      <c r="J316" s="30"/>
      <c r="K316" s="19" t="s">
        <v>45</v>
      </c>
      <c r="L316" s="31">
        <v>14673377</v>
      </c>
      <c r="M316" s="29">
        <v>45427</v>
      </c>
      <c r="N316" s="32"/>
      <c r="O316" s="36" t="s">
        <v>45</v>
      </c>
      <c r="P316" s="31" t="s">
        <v>1651</v>
      </c>
      <c r="Q316" s="29">
        <v>45300</v>
      </c>
      <c r="R316" s="32"/>
      <c r="S316" s="31" t="s">
        <v>45</v>
      </c>
      <c r="T316" s="31" t="s">
        <v>1652</v>
      </c>
      <c r="U316" s="31" t="s">
        <v>355</v>
      </c>
      <c r="V316" s="27" t="s">
        <v>235</v>
      </c>
      <c r="W316" s="31" t="s">
        <v>356</v>
      </c>
      <c r="X316" s="21" t="s">
        <v>52</v>
      </c>
      <c r="Y316" s="22">
        <v>53420963000100</v>
      </c>
      <c r="Z316" s="23">
        <f t="shared" si="8"/>
        <v>314</v>
      </c>
      <c r="AA316" s="24" t="str">
        <f>IFERROR(VLOOKUP($Z316,'[1]End Fat Serviço - PA 15 e 16'!$K$3:$K$31,1,0), "")</f>
        <v/>
      </c>
      <c r="AB316" s="24" t="str">
        <f>IFERROR(VLOOKUP($Z316,'[1]End Fat Material - PA 12'!$K$3:$K$64,1,0), "")</f>
        <v/>
      </c>
      <c r="AC316" s="24" t="str">
        <f>IFERROR(VLOOKUP($Z316,'[1]End CA Lotação'!$L$3:$L$36,1,0), "")</f>
        <v/>
      </c>
      <c r="AD316" s="24" t="str">
        <f>IFERROR(VLOOKUP(Z316,'[1]RH - PARA 21.03'!$M$3:$M$555,1,0),"")</f>
        <v/>
      </c>
      <c r="AE316" s="23" t="str">
        <f>IFERROR(VLOOKUP($Z316,'[1]CNPJ Oi Fat'!$K$3:$K$32,1,0),"")</f>
        <v/>
      </c>
      <c r="AF316" s="23" t="str">
        <f>IFERROR(VLOOKUP(Z316,'[1]End Logística Oi'!$D$3:$D$29,1,0),"")</f>
        <v/>
      </c>
      <c r="AG316" s="23" t="str">
        <f>IFERROR(VLOOKUP(Z316,'[1]End Logística Oi'!$J$3:$J$29,1,0),"")</f>
        <v/>
      </c>
      <c r="AI316" s="23" t="s">
        <v>55</v>
      </c>
      <c r="AJ316" s="23" t="s">
        <v>55</v>
      </c>
      <c r="AK316" s="23" t="e">
        <v>#N/A</v>
      </c>
    </row>
    <row r="317" spans="1:37" s="34" customFormat="1" ht="15" hidden="1" customHeight="1" x14ac:dyDescent="0.25">
      <c r="A317" s="26">
        <v>315</v>
      </c>
      <c r="B317" s="26" t="s">
        <v>230</v>
      </c>
      <c r="C317" s="27" t="s">
        <v>366</v>
      </c>
      <c r="D317" s="26" t="s">
        <v>1631</v>
      </c>
      <c r="E317" s="26" t="s">
        <v>307</v>
      </c>
      <c r="F317" s="26" t="s">
        <v>1653</v>
      </c>
      <c r="G317" s="28" t="s">
        <v>1654</v>
      </c>
      <c r="H317" s="26" t="s">
        <v>1655</v>
      </c>
      <c r="I317" s="29">
        <v>45300</v>
      </c>
      <c r="J317" s="30"/>
      <c r="K317" s="19" t="s">
        <v>45</v>
      </c>
      <c r="L317" s="31">
        <v>14674187</v>
      </c>
      <c r="M317" s="29">
        <v>45427</v>
      </c>
      <c r="N317" s="32"/>
      <c r="O317" s="36" t="s">
        <v>45</v>
      </c>
      <c r="P317" s="31" t="s">
        <v>1656</v>
      </c>
      <c r="Q317" s="29">
        <v>45300</v>
      </c>
      <c r="R317" s="32"/>
      <c r="S317" s="31" t="s">
        <v>45</v>
      </c>
      <c r="T317" s="31" t="s">
        <v>1657</v>
      </c>
      <c r="U317" s="31" t="s">
        <v>355</v>
      </c>
      <c r="V317" s="27" t="s">
        <v>235</v>
      </c>
      <c r="W317" s="31" t="s">
        <v>356</v>
      </c>
      <c r="X317" s="21" t="s">
        <v>52</v>
      </c>
      <c r="Y317" s="22">
        <v>53420564000140</v>
      </c>
      <c r="Z317" s="23">
        <f t="shared" si="8"/>
        <v>315</v>
      </c>
      <c r="AA317" s="24" t="str">
        <f>IFERROR(VLOOKUP($Z317,'[1]End Fat Serviço - PA 15 e 16'!$K$3:$K$31,1,0), "")</f>
        <v/>
      </c>
      <c r="AB317" s="24" t="str">
        <f>IFERROR(VLOOKUP($Z317,'[1]End Fat Material - PA 12'!$K$3:$K$64,1,0), "")</f>
        <v/>
      </c>
      <c r="AC317" s="24" t="str">
        <f>IFERROR(VLOOKUP($Z317,'[1]End CA Lotação'!$L$3:$L$36,1,0), "")</f>
        <v/>
      </c>
      <c r="AD317" s="24" t="str">
        <f>IFERROR(VLOOKUP(Z317,'[1]RH - PARA 21.03'!$M$3:$M$555,1,0),"")</f>
        <v/>
      </c>
      <c r="AE317" s="23" t="str">
        <f>IFERROR(VLOOKUP($Z317,'[1]CNPJ Oi Fat'!$K$3:$K$32,1,0),"")</f>
        <v/>
      </c>
      <c r="AF317" s="23" t="str">
        <f>IFERROR(VLOOKUP(Z317,'[1]End Logística Oi'!$D$3:$D$29,1,0),"")</f>
        <v/>
      </c>
      <c r="AG317" s="23" t="str">
        <f>IFERROR(VLOOKUP(Z317,'[1]End Logística Oi'!$J$3:$J$29,1,0),"")</f>
        <v/>
      </c>
      <c r="AI317" s="23" t="s">
        <v>55</v>
      </c>
      <c r="AJ317" s="23" t="s">
        <v>55</v>
      </c>
      <c r="AK317" s="23" t="e">
        <v>#N/A</v>
      </c>
    </row>
    <row r="318" spans="1:37" s="34" customFormat="1" ht="15" hidden="1" customHeight="1" x14ac:dyDescent="0.25">
      <c r="A318" s="26">
        <v>316</v>
      </c>
      <c r="B318" s="26" t="s">
        <v>222</v>
      </c>
      <c r="C318" s="27" t="s">
        <v>366</v>
      </c>
      <c r="D318" s="26" t="s">
        <v>1631</v>
      </c>
      <c r="E318" s="26" t="s">
        <v>41</v>
      </c>
      <c r="F318" s="26" t="s">
        <v>1638</v>
      </c>
      <c r="G318" s="28">
        <v>12920005861</v>
      </c>
      <c r="H318" s="26" t="s">
        <v>1658</v>
      </c>
      <c r="I318" s="29">
        <v>45468</v>
      </c>
      <c r="J318" s="30"/>
      <c r="K318" s="19" t="s">
        <v>45</v>
      </c>
      <c r="L318" s="31" t="s">
        <v>1659</v>
      </c>
      <c r="M318" s="29">
        <v>45468</v>
      </c>
      <c r="N318" s="32"/>
      <c r="O318" s="36" t="s">
        <v>45</v>
      </c>
      <c r="P318" s="31">
        <v>53420538000200</v>
      </c>
      <c r="Q318" s="29">
        <v>45481</v>
      </c>
      <c r="R318" s="32"/>
      <c r="S318" s="31" t="s">
        <v>45</v>
      </c>
      <c r="T318" s="31" t="s">
        <v>1660</v>
      </c>
      <c r="U318" s="31" t="s">
        <v>49</v>
      </c>
      <c r="V318" s="27" t="s">
        <v>228</v>
      </c>
      <c r="W318" s="31" t="s">
        <v>229</v>
      </c>
      <c r="X318" s="21" t="s">
        <v>52</v>
      </c>
      <c r="Y318" s="22">
        <v>53420538000200</v>
      </c>
      <c r="Z318" s="23">
        <f t="shared" si="8"/>
        <v>316</v>
      </c>
      <c r="AA318" s="24" t="str">
        <f>IFERROR(VLOOKUP($Z318,'[1]End Fat Serviço - PA 15 e 16'!$K$3:$K$31,1,0), "")</f>
        <v/>
      </c>
      <c r="AB318" s="24" t="str">
        <f>IFERROR(VLOOKUP($Z318,'[1]End Fat Material - PA 12'!$K$3:$K$64,1,0), "")</f>
        <v/>
      </c>
      <c r="AC318" s="24" t="str">
        <f>IFERROR(VLOOKUP($Z318,'[1]End CA Lotação'!$L$3:$L$36,1,0), "")</f>
        <v/>
      </c>
      <c r="AD318" s="24" t="str">
        <f>IFERROR(VLOOKUP(Z318,'[1]RH - PARA 21.03'!$M$3:$M$555,1,0),"")</f>
        <v/>
      </c>
      <c r="AE318" s="23" t="str">
        <f>IFERROR(VLOOKUP($Z318,'[1]CNPJ Oi Fat'!$K$3:$K$32,1,0),"")</f>
        <v/>
      </c>
      <c r="AF318" s="23" t="str">
        <f>IFERROR(VLOOKUP(Z318,'[1]End Logística Oi'!$D$3:$D$29,1,0),"")</f>
        <v/>
      </c>
      <c r="AG318" s="23" t="str">
        <f>IFERROR(VLOOKUP(Z318,'[1]End Logística Oi'!$J$3:$J$29,1,0),"")</f>
        <v/>
      </c>
      <c r="AI318" s="23" t="s">
        <v>55</v>
      </c>
      <c r="AJ318" s="23" t="s">
        <v>55</v>
      </c>
      <c r="AK318" s="23" t="e">
        <v>#N/A</v>
      </c>
    </row>
    <row r="319" spans="1:37" s="34" customFormat="1" ht="15" hidden="1" customHeight="1" x14ac:dyDescent="0.25">
      <c r="A319" s="26">
        <v>317</v>
      </c>
      <c r="B319" s="26" t="s">
        <v>207</v>
      </c>
      <c r="C319" s="27" t="s">
        <v>366</v>
      </c>
      <c r="D319" s="26" t="s">
        <v>1661</v>
      </c>
      <c r="E319" s="26" t="s">
        <v>41</v>
      </c>
      <c r="F319" s="26" t="s">
        <v>1638</v>
      </c>
      <c r="G319" s="28">
        <v>11900258640</v>
      </c>
      <c r="H319" s="26" t="s">
        <v>1662</v>
      </c>
      <c r="I319" s="29">
        <v>45468</v>
      </c>
      <c r="J319" s="30"/>
      <c r="K319" s="19" t="s">
        <v>45</v>
      </c>
      <c r="L319" s="31">
        <v>7017642</v>
      </c>
      <c r="M319" s="29">
        <v>45468</v>
      </c>
      <c r="N319" s="32"/>
      <c r="O319" s="36" t="s">
        <v>45</v>
      </c>
      <c r="P319" s="31">
        <v>42365244</v>
      </c>
      <c r="Q319" s="29">
        <v>45471</v>
      </c>
      <c r="R319" s="32"/>
      <c r="S319" s="31" t="s">
        <v>45</v>
      </c>
      <c r="T319" s="31" t="s">
        <v>1663</v>
      </c>
      <c r="U319" s="31" t="s">
        <v>49</v>
      </c>
      <c r="V319" s="27" t="s">
        <v>212</v>
      </c>
      <c r="W319" s="31" t="s">
        <v>1664</v>
      </c>
      <c r="X319" s="21" t="s">
        <v>52</v>
      </c>
      <c r="Y319" s="22">
        <v>53420538000383</v>
      </c>
      <c r="Z319" s="23">
        <f t="shared" si="8"/>
        <v>317</v>
      </c>
      <c r="AA319" s="24" t="str">
        <f>IFERROR(VLOOKUP($Z319,'[1]End Fat Serviço - PA 15 e 16'!$K$3:$K$31,1,0), "")</f>
        <v/>
      </c>
      <c r="AB319" s="24" t="str">
        <f>IFERROR(VLOOKUP($Z319,'[1]End Fat Material - PA 12'!$K$3:$K$64,1,0), "")</f>
        <v/>
      </c>
      <c r="AC319" s="24" t="str">
        <f>IFERROR(VLOOKUP($Z319,'[1]End CA Lotação'!$L$3:$L$36,1,0), "")</f>
        <v/>
      </c>
      <c r="AD319" s="24" t="str">
        <f>IFERROR(VLOOKUP(Z319,'[1]RH - PARA 21.03'!$M$3:$M$555,1,0),"")</f>
        <v/>
      </c>
      <c r="AE319" s="23" t="str">
        <f>IFERROR(VLOOKUP($Z319,'[1]CNPJ Oi Fat'!$K$3:$K$32,1,0),"")</f>
        <v/>
      </c>
      <c r="AF319" s="23" t="str">
        <f>IFERROR(VLOOKUP(Z319,'[1]End Logística Oi'!$D$3:$D$29,1,0),"")</f>
        <v/>
      </c>
      <c r="AG319" s="23" t="str">
        <f>IFERROR(VLOOKUP(Z319,'[1]End Logística Oi'!$J$3:$J$29,1,0),"")</f>
        <v/>
      </c>
      <c r="AI319" s="23" t="s">
        <v>55</v>
      </c>
      <c r="AJ319" s="23" t="s">
        <v>55</v>
      </c>
      <c r="AK319" s="23" t="e">
        <v>#N/A</v>
      </c>
    </row>
    <row r="320" spans="1:37" s="34" customFormat="1" ht="15" hidden="1" customHeight="1" x14ac:dyDescent="0.25">
      <c r="A320" s="26">
        <v>318</v>
      </c>
      <c r="B320" s="26" t="s">
        <v>271</v>
      </c>
      <c r="C320" s="27" t="s">
        <v>366</v>
      </c>
      <c r="D320" s="26" t="s">
        <v>1631</v>
      </c>
      <c r="E320" s="26" t="s">
        <v>41</v>
      </c>
      <c r="F320" s="26" t="s">
        <v>1648</v>
      </c>
      <c r="G320" s="28">
        <v>32900713999</v>
      </c>
      <c r="H320" s="26" t="s">
        <v>1665</v>
      </c>
      <c r="I320" s="29">
        <v>45467</v>
      </c>
      <c r="J320" s="30"/>
      <c r="K320" s="19" t="s">
        <v>45</v>
      </c>
      <c r="L320" s="31" t="s">
        <v>1666</v>
      </c>
      <c r="M320" s="29">
        <v>45469</v>
      </c>
      <c r="N320" s="32"/>
      <c r="O320" s="36" t="s">
        <v>45</v>
      </c>
      <c r="P320" s="31" t="s">
        <v>1667</v>
      </c>
      <c r="Q320" s="29">
        <v>45467</v>
      </c>
      <c r="R320" s="32"/>
      <c r="S320" s="31" t="s">
        <v>45</v>
      </c>
      <c r="T320" s="31" t="s">
        <v>1668</v>
      </c>
      <c r="U320" s="31" t="s">
        <v>49</v>
      </c>
      <c r="V320" s="27" t="s">
        <v>278</v>
      </c>
      <c r="W320" s="31" t="s">
        <v>1669</v>
      </c>
      <c r="X320" s="21" t="s">
        <v>52</v>
      </c>
      <c r="Y320" s="22">
        <v>53420963000291</v>
      </c>
      <c r="Z320" s="23">
        <f t="shared" si="8"/>
        <v>318</v>
      </c>
      <c r="AA320" s="24" t="str">
        <f>IFERROR(VLOOKUP($Z320,'[1]End Fat Serviço - PA 15 e 16'!$K$3:$K$31,1,0), "")</f>
        <v/>
      </c>
      <c r="AB320" s="24" t="str">
        <f>IFERROR(VLOOKUP($Z320,'[1]End Fat Material - PA 12'!$K$3:$K$64,1,0), "")</f>
        <v/>
      </c>
      <c r="AC320" s="24" t="str">
        <f>IFERROR(VLOOKUP($Z320,'[1]End CA Lotação'!$L$3:$L$36,1,0), "")</f>
        <v/>
      </c>
      <c r="AD320" s="24" t="str">
        <f>IFERROR(VLOOKUP(Z320,'[1]RH - PARA 21.03'!$M$3:$M$555,1,0),"")</f>
        <v/>
      </c>
      <c r="AE320" s="23" t="str">
        <f>IFERROR(VLOOKUP($Z320,'[1]CNPJ Oi Fat'!$K$3:$K$32,1,0),"")</f>
        <v/>
      </c>
      <c r="AF320" s="23" t="str">
        <f>IFERROR(VLOOKUP(Z320,'[1]End Logística Oi'!$D$3:$D$29,1,0),"")</f>
        <v/>
      </c>
      <c r="AG320" s="23" t="str">
        <f>IFERROR(VLOOKUP(Z320,'[1]End Logística Oi'!$J$3:$J$29,1,0),"")</f>
        <v/>
      </c>
      <c r="AI320" s="23" t="s">
        <v>55</v>
      </c>
      <c r="AJ320" s="23" t="s">
        <v>55</v>
      </c>
      <c r="AK320" s="23" t="e">
        <v>#N/A</v>
      </c>
    </row>
    <row r="321" spans="1:37" s="34" customFormat="1" ht="15" hidden="1" customHeight="1" x14ac:dyDescent="0.25">
      <c r="A321" s="26">
        <v>319</v>
      </c>
      <c r="B321" s="26" t="s">
        <v>139</v>
      </c>
      <c r="C321" s="27" t="s">
        <v>366</v>
      </c>
      <c r="D321" s="26" t="s">
        <v>1631</v>
      </c>
      <c r="E321" s="26" t="s">
        <v>41</v>
      </c>
      <c r="F321" s="26" t="s">
        <v>1632</v>
      </c>
      <c r="G321" s="28">
        <v>52901715096</v>
      </c>
      <c r="H321" s="26" t="s">
        <v>1670</v>
      </c>
      <c r="I321" s="29">
        <v>45468</v>
      </c>
      <c r="J321" s="30"/>
      <c r="K321" s="19" t="s">
        <v>45</v>
      </c>
      <c r="L321" s="31" t="s">
        <v>1671</v>
      </c>
      <c r="M321" s="29">
        <v>45474</v>
      </c>
      <c r="N321" s="32"/>
      <c r="O321" s="36" t="s">
        <v>45</v>
      </c>
      <c r="P321" s="31">
        <v>6673643</v>
      </c>
      <c r="Q321" s="29">
        <v>45511</v>
      </c>
      <c r="R321" s="32"/>
      <c r="S321" s="31" t="s">
        <v>45</v>
      </c>
      <c r="T321" s="31" t="s">
        <v>1672</v>
      </c>
      <c r="U321" s="31" t="s">
        <v>1673</v>
      </c>
      <c r="V321" s="27" t="s">
        <v>146</v>
      </c>
      <c r="W321" s="31" t="s">
        <v>1674</v>
      </c>
      <c r="X321" s="21" t="s">
        <v>52</v>
      </c>
      <c r="Y321" s="22">
        <v>54104224000253</v>
      </c>
      <c r="Z321" s="23">
        <f t="shared" si="8"/>
        <v>319</v>
      </c>
      <c r="AA321" s="24" t="str">
        <f>IFERROR(VLOOKUP($Z321,'[1]End Fat Serviço - PA 15 e 16'!$K$3:$K$31,1,0), "")</f>
        <v/>
      </c>
      <c r="AB321" s="24" t="str">
        <f>IFERROR(VLOOKUP($Z321,'[1]End Fat Material - PA 12'!$K$3:$K$64,1,0), "")</f>
        <v/>
      </c>
      <c r="AC321" s="24" t="str">
        <f>IFERROR(VLOOKUP($Z321,'[1]End CA Lotação'!$L$3:$L$36,1,0), "")</f>
        <v/>
      </c>
      <c r="AD321" s="24" t="str">
        <f>IFERROR(VLOOKUP(Z321,'[1]RH - PARA 21.03'!$M$3:$M$555,1,0),"")</f>
        <v/>
      </c>
      <c r="AE321" s="23" t="str">
        <f>IFERROR(VLOOKUP($Z321,'[1]CNPJ Oi Fat'!$K$3:$K$32,1,0),"")</f>
        <v/>
      </c>
      <c r="AF321" s="23" t="str">
        <f>IFERROR(VLOOKUP(Z321,'[1]End Logística Oi'!$D$3:$D$29,1,0),"")</f>
        <v/>
      </c>
      <c r="AG321" s="23" t="str">
        <f>IFERROR(VLOOKUP(Z321,'[1]End Logística Oi'!$J$3:$J$29,1,0),"")</f>
        <v/>
      </c>
      <c r="AI321" s="23" t="s">
        <v>55</v>
      </c>
      <c r="AJ321" s="23" t="s">
        <v>55</v>
      </c>
      <c r="AK321" s="23" t="e">
        <v>#N/A</v>
      </c>
    </row>
    <row r="322" spans="1:37" s="34" customFormat="1" ht="15" hidden="1" customHeight="1" x14ac:dyDescent="0.25">
      <c r="A322" s="26">
        <v>320</v>
      </c>
      <c r="B322" s="26" t="s">
        <v>68</v>
      </c>
      <c r="C322" s="27" t="s">
        <v>366</v>
      </c>
      <c r="D322" s="26" t="s">
        <v>1631</v>
      </c>
      <c r="E322" s="26" t="s">
        <v>41</v>
      </c>
      <c r="F322" s="26" t="s">
        <v>1632</v>
      </c>
      <c r="G322" s="28">
        <v>31920147335</v>
      </c>
      <c r="H322" s="26" t="s">
        <v>1675</v>
      </c>
      <c r="I322" s="29">
        <v>45468</v>
      </c>
      <c r="J322" s="30"/>
      <c r="K322" s="19" t="s">
        <v>45</v>
      </c>
      <c r="L322" s="31">
        <v>49256120003</v>
      </c>
      <c r="M322" s="29">
        <v>45468</v>
      </c>
      <c r="N322" s="32"/>
      <c r="O322" s="36" t="s">
        <v>45</v>
      </c>
      <c r="P322" s="31">
        <v>15707200014</v>
      </c>
      <c r="Q322" s="29">
        <v>45468</v>
      </c>
      <c r="R322" s="32"/>
      <c r="S322" s="31" t="s">
        <v>45</v>
      </c>
      <c r="T322" s="31" t="s">
        <v>1676</v>
      </c>
      <c r="U322" s="31" t="s">
        <v>1515</v>
      </c>
      <c r="V322" s="27" t="s">
        <v>75</v>
      </c>
      <c r="W322" s="31" t="s">
        <v>76</v>
      </c>
      <c r="X322" s="21" t="s">
        <v>52</v>
      </c>
      <c r="Y322" s="22">
        <v>54104224000334</v>
      </c>
      <c r="Z322" s="23">
        <f t="shared" si="8"/>
        <v>320</v>
      </c>
      <c r="AA322" s="24" t="str">
        <f>IFERROR(VLOOKUP($Z322,'[1]End Fat Serviço - PA 15 e 16'!$K$3:$K$31,1,0), "")</f>
        <v/>
      </c>
      <c r="AB322" s="24" t="str">
        <f>IFERROR(VLOOKUP($Z322,'[1]End Fat Material - PA 12'!$K$3:$K$64,1,0), "")</f>
        <v/>
      </c>
      <c r="AC322" s="24" t="str">
        <f>IFERROR(VLOOKUP($Z322,'[1]End CA Lotação'!$L$3:$L$36,1,0), "")</f>
        <v/>
      </c>
      <c r="AD322" s="24" t="str">
        <f>IFERROR(VLOOKUP(Z322,'[1]RH - PARA 21.03'!$M$3:$M$555,1,0),"")</f>
        <v/>
      </c>
      <c r="AE322" s="23" t="str">
        <f>IFERROR(VLOOKUP($Z322,'[1]CNPJ Oi Fat'!$K$3:$K$32,1,0),"")</f>
        <v/>
      </c>
      <c r="AF322" s="23" t="str">
        <f>IFERROR(VLOOKUP(Z322,'[1]End Logística Oi'!$D$3:$D$29,1,0),"")</f>
        <v/>
      </c>
      <c r="AG322" s="23" t="str">
        <f>IFERROR(VLOOKUP(Z322,'[1]End Logística Oi'!$J$3:$J$29,1,0),"")</f>
        <v/>
      </c>
      <c r="AI322" s="23" t="s">
        <v>55</v>
      </c>
      <c r="AJ322" s="23" t="s">
        <v>55</v>
      </c>
      <c r="AK322" s="23" t="e">
        <v>#N/A</v>
      </c>
    </row>
    <row r="323" spans="1:37" s="34" customFormat="1" ht="15" hidden="1" customHeight="1" x14ac:dyDescent="0.25">
      <c r="A323" s="26">
        <v>321</v>
      </c>
      <c r="B323" s="26" t="s">
        <v>112</v>
      </c>
      <c r="C323" s="27" t="s">
        <v>366</v>
      </c>
      <c r="D323" s="26" t="s">
        <v>1631</v>
      </c>
      <c r="E323" s="26" t="s">
        <v>41</v>
      </c>
      <c r="F323" s="26" t="s">
        <v>1643</v>
      </c>
      <c r="G323" s="28">
        <v>41902021226</v>
      </c>
      <c r="H323" s="26" t="s">
        <v>1677</v>
      </c>
      <c r="I323" s="29">
        <v>45468</v>
      </c>
      <c r="J323" s="30"/>
      <c r="K323" s="19" t="s">
        <v>45</v>
      </c>
      <c r="L323" s="31" t="s">
        <v>1678</v>
      </c>
      <c r="M323" s="29">
        <v>45505</v>
      </c>
      <c r="N323" s="32"/>
      <c r="O323" s="36" t="s">
        <v>45</v>
      </c>
      <c r="P323" s="31" t="s">
        <v>1679</v>
      </c>
      <c r="Q323" s="29">
        <v>45474</v>
      </c>
      <c r="R323" s="32"/>
      <c r="S323" s="31" t="s">
        <v>45</v>
      </c>
      <c r="T323" s="31" t="s">
        <v>1680</v>
      </c>
      <c r="U323" s="31" t="s">
        <v>49</v>
      </c>
      <c r="V323" s="27" t="s">
        <v>118</v>
      </c>
      <c r="W323" s="31" t="s">
        <v>1681</v>
      </c>
      <c r="X323" s="21" t="s">
        <v>52</v>
      </c>
      <c r="Y323" s="22">
        <v>53059901000204</v>
      </c>
      <c r="Z323" s="23">
        <f t="shared" si="8"/>
        <v>321</v>
      </c>
      <c r="AA323" s="24" t="str">
        <f>IFERROR(VLOOKUP($Z323,'[1]End Fat Serviço - PA 15 e 16'!$K$3:$K$31,1,0), "")</f>
        <v/>
      </c>
      <c r="AB323" s="24" t="str">
        <f>IFERROR(VLOOKUP($Z323,'[1]End Fat Material - PA 12'!$K$3:$K$64,1,0), "")</f>
        <v/>
      </c>
      <c r="AC323" s="24" t="str">
        <f>IFERROR(VLOOKUP($Z323,'[1]End CA Lotação'!$L$3:$L$36,1,0), "")</f>
        <v/>
      </c>
      <c r="AD323" s="24" t="str">
        <f>IFERROR(VLOOKUP(Z323,'[1]RH - PARA 21.03'!$M$3:$M$555,1,0),"")</f>
        <v/>
      </c>
      <c r="AE323" s="23" t="str">
        <f>IFERROR(VLOOKUP($Z323,'[1]CNPJ Oi Fat'!$K$3:$K$32,1,0),"")</f>
        <v/>
      </c>
      <c r="AF323" s="23" t="str">
        <f>IFERROR(VLOOKUP(Z323,'[1]End Logística Oi'!$D$3:$D$29,1,0),"")</f>
        <v/>
      </c>
      <c r="AG323" s="23" t="str">
        <f>IFERROR(VLOOKUP(Z323,'[1]End Logística Oi'!$J$3:$J$29,1,0),"")</f>
        <v/>
      </c>
      <c r="AI323" s="23" t="s">
        <v>55</v>
      </c>
      <c r="AJ323" s="23" t="s">
        <v>55</v>
      </c>
      <c r="AK323" s="23" t="e">
        <v>#N/A</v>
      </c>
    </row>
    <row r="324" spans="1:37" s="34" customFormat="1" ht="15" hidden="1" customHeight="1" x14ac:dyDescent="0.25">
      <c r="A324" s="26">
        <v>322</v>
      </c>
      <c r="B324" s="26" t="s">
        <v>122</v>
      </c>
      <c r="C324" s="27" t="s">
        <v>366</v>
      </c>
      <c r="D324" s="26" t="s">
        <v>1631</v>
      </c>
      <c r="E324" s="26" t="s">
        <v>41</v>
      </c>
      <c r="F324" s="26" t="s">
        <v>1643</v>
      </c>
      <c r="G324" s="28">
        <v>42902155053</v>
      </c>
      <c r="H324" s="26" t="s">
        <v>1682</v>
      </c>
      <c r="I324" s="29">
        <v>45468</v>
      </c>
      <c r="J324" s="30"/>
      <c r="K324" s="19" t="s">
        <v>45</v>
      </c>
      <c r="L324" s="31">
        <v>263003248</v>
      </c>
      <c r="M324" s="29">
        <v>45468</v>
      </c>
      <c r="N324" s="32"/>
      <c r="O324" s="36" t="s">
        <v>45</v>
      </c>
      <c r="P324" s="31">
        <v>8234795</v>
      </c>
      <c r="Q324" s="29">
        <v>45468</v>
      </c>
      <c r="R324" s="32"/>
      <c r="S324" s="31" t="s">
        <v>45</v>
      </c>
      <c r="T324" s="31" t="s">
        <v>1683</v>
      </c>
      <c r="U324" s="31" t="s">
        <v>1684</v>
      </c>
      <c r="V324" s="27" t="s">
        <v>1685</v>
      </c>
      <c r="W324" s="31" t="s">
        <v>1686</v>
      </c>
      <c r="X324" s="21" t="s">
        <v>52</v>
      </c>
      <c r="Y324" s="22">
        <v>53059901000387</v>
      </c>
      <c r="Z324" s="23">
        <f t="shared" si="8"/>
        <v>322</v>
      </c>
      <c r="AA324" s="24" t="str">
        <f>IFERROR(VLOOKUP($Z324,'[1]End Fat Serviço - PA 15 e 16'!$K$3:$K$31,1,0), "")</f>
        <v/>
      </c>
      <c r="AB324" s="24" t="str">
        <f>IFERROR(VLOOKUP($Z324,'[1]End Fat Material - PA 12'!$K$3:$K$64,1,0), "")</f>
        <v/>
      </c>
      <c r="AC324" s="24" t="str">
        <f>IFERROR(VLOOKUP($Z324,'[1]End CA Lotação'!$L$3:$L$36,1,0), "")</f>
        <v/>
      </c>
      <c r="AD324" s="24" t="str">
        <f>IFERROR(VLOOKUP(Z324,'[1]RH - PARA 21.03'!$M$3:$M$555,1,0),"")</f>
        <v/>
      </c>
      <c r="AE324" s="23" t="str">
        <f>IFERROR(VLOOKUP($Z324,'[1]CNPJ Oi Fat'!$K$3:$K$32,1,0),"")</f>
        <v/>
      </c>
      <c r="AF324" s="23" t="str">
        <f>IFERROR(VLOOKUP(Z324,'[1]End Logística Oi'!$D$3:$D$29,1,0),"")</f>
        <v/>
      </c>
      <c r="AG324" s="23" t="str">
        <f>IFERROR(VLOOKUP(Z324,'[1]End Logística Oi'!$J$3:$J$29,1,0),"")</f>
        <v/>
      </c>
      <c r="AI324" s="23" t="s">
        <v>55</v>
      </c>
      <c r="AJ324" s="23" t="s">
        <v>55</v>
      </c>
      <c r="AK324" s="23" t="e">
        <v>#N/A</v>
      </c>
    </row>
    <row r="325" spans="1:37" s="34" customFormat="1" ht="15" hidden="1" customHeight="1" x14ac:dyDescent="0.25">
      <c r="A325" s="26">
        <v>323</v>
      </c>
      <c r="B325" s="26" t="s">
        <v>237</v>
      </c>
      <c r="C325" s="27" t="s">
        <v>366</v>
      </c>
      <c r="D325" s="26" t="s">
        <v>1631</v>
      </c>
      <c r="E325" s="26" t="s">
        <v>41</v>
      </c>
      <c r="F325" s="26" t="s">
        <v>1653</v>
      </c>
      <c r="G325" s="28">
        <v>29902083036</v>
      </c>
      <c r="H325" s="26" t="s">
        <v>1687</v>
      </c>
      <c r="I325" s="29">
        <v>45467</v>
      </c>
      <c r="J325" s="30"/>
      <c r="K325" s="19" t="s">
        <v>45</v>
      </c>
      <c r="L325" s="31">
        <v>219946612</v>
      </c>
      <c r="M325" s="29">
        <v>45476</v>
      </c>
      <c r="N325" s="32"/>
      <c r="O325" s="36" t="s">
        <v>45</v>
      </c>
      <c r="P325" s="31" t="s">
        <v>1688</v>
      </c>
      <c r="Q325" s="29">
        <v>45467</v>
      </c>
      <c r="R325" s="32"/>
      <c r="S325" s="31" t="s">
        <v>45</v>
      </c>
      <c r="T325" s="31" t="s">
        <v>1689</v>
      </c>
      <c r="U325" s="31" t="s">
        <v>1690</v>
      </c>
      <c r="V325" s="27" t="s">
        <v>243</v>
      </c>
      <c r="W325" s="31" t="s">
        <v>1691</v>
      </c>
      <c r="X325" s="21" t="s">
        <v>52</v>
      </c>
      <c r="Y325" s="22">
        <v>53420564000220</v>
      </c>
      <c r="Z325" s="23">
        <f t="shared" si="8"/>
        <v>323</v>
      </c>
      <c r="AA325" s="24" t="str">
        <f>IFERROR(VLOOKUP($Z325,'[1]End Fat Serviço - PA 15 e 16'!$K$3:$K$31,1,0), "")</f>
        <v/>
      </c>
      <c r="AB325" s="24" t="str">
        <f>IFERROR(VLOOKUP($Z325,'[1]End Fat Material - PA 12'!$K$3:$K$64,1,0), "")</f>
        <v/>
      </c>
      <c r="AC325" s="24" t="str">
        <f>IFERROR(VLOOKUP($Z325,'[1]End CA Lotação'!$L$3:$L$36,1,0), "")</f>
        <v/>
      </c>
      <c r="AD325" s="24" t="str">
        <f>IFERROR(VLOOKUP(Z325,'[1]RH - PARA 21.03'!$M$3:$M$555,1,0),"")</f>
        <v/>
      </c>
      <c r="AE325" s="23" t="str">
        <f>IFERROR(VLOOKUP($Z325,'[1]CNPJ Oi Fat'!$K$3:$K$32,1,0),"")</f>
        <v/>
      </c>
      <c r="AF325" s="23" t="str">
        <f>IFERROR(VLOOKUP(Z325,'[1]End Logística Oi'!$D$3:$D$29,1,0),"")</f>
        <v/>
      </c>
      <c r="AG325" s="23" t="str">
        <f>IFERROR(VLOOKUP(Z325,'[1]End Logística Oi'!$J$3:$J$29,1,0),"")</f>
        <v/>
      </c>
      <c r="AI325" s="23" t="s">
        <v>55</v>
      </c>
      <c r="AJ325" s="23" t="s">
        <v>55</v>
      </c>
      <c r="AK325" s="23" t="e">
        <v>#N/A</v>
      </c>
    </row>
    <row r="326" spans="1:37" s="34" customFormat="1" ht="15" hidden="1" customHeight="1" x14ac:dyDescent="0.25">
      <c r="A326" s="26">
        <v>324</v>
      </c>
      <c r="B326" s="26" t="s">
        <v>130</v>
      </c>
      <c r="C326" s="27" t="s">
        <v>366</v>
      </c>
      <c r="D326" s="26" t="s">
        <v>1631</v>
      </c>
      <c r="E326" s="26" t="s">
        <v>41</v>
      </c>
      <c r="F326" s="26" t="s">
        <v>1653</v>
      </c>
      <c r="G326" s="28">
        <v>23920040810</v>
      </c>
      <c r="H326" s="26" t="s">
        <v>1692</v>
      </c>
      <c r="I326" s="29">
        <v>45467</v>
      </c>
      <c r="J326" s="30"/>
      <c r="K326" s="19" t="s">
        <v>45</v>
      </c>
      <c r="L326" s="31" t="s">
        <v>1693</v>
      </c>
      <c r="M326" s="29">
        <v>45469</v>
      </c>
      <c r="N326" s="32"/>
      <c r="O326" s="36" t="s">
        <v>45</v>
      </c>
      <c r="P326" s="31" t="s">
        <v>1694</v>
      </c>
      <c r="Q326" s="29">
        <v>45467</v>
      </c>
      <c r="R326" s="32"/>
      <c r="S326" s="31" t="s">
        <v>45</v>
      </c>
      <c r="T326" s="31" t="s">
        <v>1695</v>
      </c>
      <c r="U326" s="31" t="s">
        <v>49</v>
      </c>
      <c r="V326" s="27" t="s">
        <v>137</v>
      </c>
      <c r="W326" s="31" t="s">
        <v>1696</v>
      </c>
      <c r="X326" s="21" t="s">
        <v>52</v>
      </c>
      <c r="Y326" s="22">
        <v>53420564000301</v>
      </c>
      <c r="Z326" s="23">
        <f t="shared" si="8"/>
        <v>324</v>
      </c>
      <c r="AA326" s="24" t="str">
        <f>IFERROR(VLOOKUP($Z326,'[1]End Fat Serviço - PA 15 e 16'!$K$3:$K$31,1,0), "")</f>
        <v/>
      </c>
      <c r="AB326" s="24" t="str">
        <f>IFERROR(VLOOKUP($Z326,'[1]End Fat Material - PA 12'!$K$3:$K$64,1,0), "")</f>
        <v/>
      </c>
      <c r="AC326" s="24" t="str">
        <f>IFERROR(VLOOKUP($Z326,'[1]End CA Lotação'!$L$3:$L$36,1,0), "")</f>
        <v/>
      </c>
      <c r="AD326" s="24" t="str">
        <f>IFERROR(VLOOKUP(Z326,'[1]RH - PARA 21.03'!$M$3:$M$555,1,0),"")</f>
        <v/>
      </c>
      <c r="AE326" s="23" t="str">
        <f>IFERROR(VLOOKUP($Z326,'[1]CNPJ Oi Fat'!$K$3:$K$32,1,0),"")</f>
        <v/>
      </c>
      <c r="AF326" s="23" t="str">
        <f>IFERROR(VLOOKUP(Z326,'[1]End Logística Oi'!$D$3:$D$29,1,0),"")</f>
        <v/>
      </c>
      <c r="AG326" s="23" t="str">
        <f>IFERROR(VLOOKUP(Z326,'[1]End Logística Oi'!$J$3:$J$29,1,0),"")</f>
        <v/>
      </c>
      <c r="AI326" s="23" t="s">
        <v>55</v>
      </c>
      <c r="AJ326" s="23" t="s">
        <v>55</v>
      </c>
      <c r="AK326" s="23" t="e">
        <v>#N/A</v>
      </c>
    </row>
    <row r="327" spans="1:37" s="34" customFormat="1" ht="15" hidden="1" customHeight="1" x14ac:dyDescent="0.25">
      <c r="A327" s="26">
        <v>325</v>
      </c>
      <c r="B327" s="26" t="s">
        <v>245</v>
      </c>
      <c r="C327" s="27" t="s">
        <v>366</v>
      </c>
      <c r="D327" s="26" t="s">
        <v>1631</v>
      </c>
      <c r="E327" s="26" t="s">
        <v>41</v>
      </c>
      <c r="F327" s="26" t="s">
        <v>1653</v>
      </c>
      <c r="G327" s="28">
        <v>21900615262</v>
      </c>
      <c r="H327" s="26" t="s">
        <v>1697</v>
      </c>
      <c r="I327" s="29">
        <v>45467</v>
      </c>
      <c r="J327" s="30"/>
      <c r="K327" s="19" t="s">
        <v>45</v>
      </c>
      <c r="L327" s="31">
        <v>128609338</v>
      </c>
      <c r="M327" s="29">
        <v>45467</v>
      </c>
      <c r="N327" s="32"/>
      <c r="O327" s="36" t="s">
        <v>45</v>
      </c>
      <c r="P327" s="31">
        <v>3682455071</v>
      </c>
      <c r="Q327" s="29">
        <v>45467</v>
      </c>
      <c r="R327" s="32"/>
      <c r="S327" s="31" t="s">
        <v>45</v>
      </c>
      <c r="T327" s="31" t="s">
        <v>1620</v>
      </c>
      <c r="U327" s="31" t="s">
        <v>251</v>
      </c>
      <c r="V327" s="27" t="s">
        <v>1339</v>
      </c>
      <c r="W327" s="31" t="s">
        <v>253</v>
      </c>
      <c r="X327" s="21" t="s">
        <v>52</v>
      </c>
      <c r="Y327" s="22">
        <v>53420564000492</v>
      </c>
      <c r="Z327" s="23">
        <f t="shared" si="8"/>
        <v>325</v>
      </c>
      <c r="AA327" s="24" t="str">
        <f>IFERROR(VLOOKUP($Z327,'[1]End Fat Serviço - PA 15 e 16'!$K$3:$K$31,1,0), "")</f>
        <v/>
      </c>
      <c r="AB327" s="24" t="str">
        <f>IFERROR(VLOOKUP($Z327,'[1]End Fat Material - PA 12'!$K$3:$K$64,1,0), "")</f>
        <v/>
      </c>
      <c r="AC327" s="24" t="str">
        <f>IFERROR(VLOOKUP($Z327,'[1]End CA Lotação'!$L$3:$L$36,1,0), "")</f>
        <v/>
      </c>
      <c r="AD327" s="24" t="str">
        <f>IFERROR(VLOOKUP(Z327,'[1]RH - PARA 21.03'!$M$3:$M$555,1,0),"")</f>
        <v/>
      </c>
      <c r="AE327" s="23" t="str">
        <f>IFERROR(VLOOKUP($Z327,'[1]CNPJ Oi Fat'!$K$3:$K$32,1,0),"")</f>
        <v/>
      </c>
      <c r="AF327" s="23" t="str">
        <f>IFERROR(VLOOKUP(Z327,'[1]End Logística Oi'!$D$3:$D$29,1,0),"")</f>
        <v/>
      </c>
      <c r="AG327" s="23" t="str">
        <f>IFERROR(VLOOKUP(Z327,'[1]End Logística Oi'!$J$3:$J$29,1,0),"")</f>
        <v/>
      </c>
      <c r="AI327" s="23" t="s">
        <v>55</v>
      </c>
      <c r="AJ327" s="23" t="s">
        <v>55</v>
      </c>
      <c r="AK327" s="23" t="e">
        <v>#N/A</v>
      </c>
    </row>
    <row r="328" spans="1:37" s="34" customFormat="1" ht="15" hidden="1" customHeight="1" x14ac:dyDescent="0.25">
      <c r="A328" s="26">
        <v>326</v>
      </c>
      <c r="B328" s="26" t="s">
        <v>139</v>
      </c>
      <c r="C328" s="27" t="s">
        <v>366</v>
      </c>
      <c r="D328" s="26" t="s">
        <v>1631</v>
      </c>
      <c r="E328" s="26" t="s">
        <v>41</v>
      </c>
      <c r="F328" s="26" t="s">
        <v>1643</v>
      </c>
      <c r="G328" s="28">
        <v>52901715592</v>
      </c>
      <c r="H328" s="26" t="s">
        <v>1698</v>
      </c>
      <c r="I328" s="29">
        <v>45475</v>
      </c>
      <c r="J328" s="30"/>
      <c r="K328" s="19" t="s">
        <v>45</v>
      </c>
      <c r="L328" s="31" t="s">
        <v>1699</v>
      </c>
      <c r="M328" s="29">
        <v>45475</v>
      </c>
      <c r="N328" s="32"/>
      <c r="O328" s="36" t="s">
        <v>45</v>
      </c>
      <c r="P328" s="31">
        <v>6646115</v>
      </c>
      <c r="Q328" s="29">
        <v>45484</v>
      </c>
      <c r="R328" s="32"/>
      <c r="S328" s="31" t="s">
        <v>45</v>
      </c>
      <c r="T328" s="31" t="s">
        <v>1700</v>
      </c>
      <c r="U328" s="31" t="s">
        <v>1673</v>
      </c>
      <c r="V328" s="27" t="s">
        <v>146</v>
      </c>
      <c r="W328" s="31" t="s">
        <v>1674</v>
      </c>
      <c r="X328" s="21" t="s">
        <v>52</v>
      </c>
      <c r="Y328" s="22">
        <v>53059901000468</v>
      </c>
      <c r="Z328" s="23">
        <f t="shared" si="8"/>
        <v>326</v>
      </c>
      <c r="AA328" s="24" t="str">
        <f>IFERROR(VLOOKUP($Z328,'[1]End Fat Serviço - PA 15 e 16'!$K$3:$K$31,1,0), "")</f>
        <v/>
      </c>
      <c r="AB328" s="24" t="str">
        <f>IFERROR(VLOOKUP($Z328,'[1]End Fat Material - PA 12'!$K$3:$K$64,1,0), "")</f>
        <v/>
      </c>
      <c r="AC328" s="24" t="str">
        <f>IFERROR(VLOOKUP($Z328,'[1]End CA Lotação'!$L$3:$L$36,1,0), "")</f>
        <v/>
      </c>
      <c r="AD328" s="24" t="str">
        <f>IFERROR(VLOOKUP(Z328,'[1]RH - PARA 21.03'!$M$3:$M$555,1,0),"")</f>
        <v/>
      </c>
      <c r="AE328" s="23" t="str">
        <f>IFERROR(VLOOKUP($Z328,'[1]CNPJ Oi Fat'!$K$3:$K$32,1,0),"")</f>
        <v/>
      </c>
      <c r="AF328" s="23" t="str">
        <f>IFERROR(VLOOKUP(Z328,'[1]End Logística Oi'!$D$3:$D$29,1,0),"")</f>
        <v/>
      </c>
      <c r="AG328" s="23" t="str">
        <f>IFERROR(VLOOKUP(Z328,'[1]End Logística Oi'!$J$3:$J$29,1,0),"")</f>
        <v/>
      </c>
      <c r="AI328" s="23" t="s">
        <v>55</v>
      </c>
      <c r="AJ328" s="23" t="s">
        <v>55</v>
      </c>
      <c r="AK328" s="23" t="e">
        <v>#N/A</v>
      </c>
    </row>
    <row r="329" spans="1:37" s="34" customFormat="1" ht="15" hidden="1" customHeight="1" x14ac:dyDescent="0.25">
      <c r="A329" s="26">
        <v>327</v>
      </c>
      <c r="B329" s="26" t="s">
        <v>139</v>
      </c>
      <c r="C329" s="27" t="s">
        <v>366</v>
      </c>
      <c r="D329" s="26" t="s">
        <v>1631</v>
      </c>
      <c r="E329" s="26" t="s">
        <v>41</v>
      </c>
      <c r="F329" s="26" t="s">
        <v>1648</v>
      </c>
      <c r="G329" s="28">
        <v>52901715606</v>
      </c>
      <c r="H329" s="26" t="s">
        <v>1701</v>
      </c>
      <c r="I329" s="29">
        <v>45475</v>
      </c>
      <c r="J329" s="30"/>
      <c r="K329" s="19" t="s">
        <v>45</v>
      </c>
      <c r="L329" s="31" t="s">
        <v>1702</v>
      </c>
      <c r="M329" s="29">
        <v>45475</v>
      </c>
      <c r="N329" s="32"/>
      <c r="O329" s="36" t="s">
        <v>45</v>
      </c>
      <c r="P329" s="31">
        <v>6646085</v>
      </c>
      <c r="Q329" s="29">
        <v>45484</v>
      </c>
      <c r="R329" s="32"/>
      <c r="S329" s="31" t="s">
        <v>45</v>
      </c>
      <c r="T329" s="31" t="s">
        <v>1703</v>
      </c>
      <c r="U329" s="31" t="s">
        <v>1673</v>
      </c>
      <c r="V329" s="27" t="s">
        <v>146</v>
      </c>
      <c r="W329" s="31" t="s">
        <v>1674</v>
      </c>
      <c r="X329" s="21" t="s">
        <v>52</v>
      </c>
      <c r="Y329" s="22">
        <v>53420963000372</v>
      </c>
      <c r="Z329" s="23">
        <f t="shared" si="8"/>
        <v>327</v>
      </c>
      <c r="AA329" s="24" t="str">
        <f>IFERROR(VLOOKUP($Z329,'[1]End Fat Serviço - PA 15 e 16'!$K$3:$K$31,1,0), "")</f>
        <v/>
      </c>
      <c r="AB329" s="24" t="str">
        <f>IFERROR(VLOOKUP($Z329,'[1]End Fat Material - PA 12'!$K$3:$K$64,1,0), "")</f>
        <v/>
      </c>
      <c r="AC329" s="24" t="str">
        <f>IFERROR(VLOOKUP($Z329,'[1]End CA Lotação'!$L$3:$L$36,1,0), "")</f>
        <v/>
      </c>
      <c r="AD329" s="24" t="str">
        <f>IFERROR(VLOOKUP(Z329,'[1]RH - PARA 21.03'!$M$3:$M$555,1,0),"")</f>
        <v/>
      </c>
      <c r="AE329" s="23" t="str">
        <f>IFERROR(VLOOKUP($Z329,'[1]CNPJ Oi Fat'!$K$3:$K$32,1,0),"")</f>
        <v/>
      </c>
      <c r="AF329" s="23" t="str">
        <f>IFERROR(VLOOKUP(Z329,'[1]End Logística Oi'!$D$3:$D$29,1,0),"")</f>
        <v/>
      </c>
      <c r="AG329" s="23" t="str">
        <f>IFERROR(VLOOKUP(Z329,'[1]End Logística Oi'!$J$3:$J$29,1,0),"")</f>
        <v/>
      </c>
      <c r="AI329" s="23" t="s">
        <v>55</v>
      </c>
      <c r="AJ329" s="23" t="s">
        <v>55</v>
      </c>
      <c r="AK329" s="23" t="e">
        <v>#N/A</v>
      </c>
    </row>
    <row r="330" spans="1:37" s="34" customFormat="1" ht="15" hidden="1" customHeight="1" x14ac:dyDescent="0.25">
      <c r="A330" s="26">
        <v>328</v>
      </c>
      <c r="B330" s="26" t="s">
        <v>1539</v>
      </c>
      <c r="C330" s="27" t="s">
        <v>366</v>
      </c>
      <c r="D330" s="26" t="s">
        <v>1631</v>
      </c>
      <c r="E330" s="26" t="s">
        <v>41</v>
      </c>
      <c r="F330" s="26" t="s">
        <v>1653</v>
      </c>
      <c r="G330" s="28">
        <v>22900456327</v>
      </c>
      <c r="H330" s="26" t="s">
        <v>1704</v>
      </c>
      <c r="I330" s="29">
        <v>45490</v>
      </c>
      <c r="J330" s="30"/>
      <c r="K330" s="19" t="s">
        <v>45</v>
      </c>
      <c r="L330" s="31">
        <v>197668283</v>
      </c>
      <c r="M330" s="29">
        <v>45496</v>
      </c>
      <c r="N330" s="32"/>
      <c r="O330" s="36" t="s">
        <v>45</v>
      </c>
      <c r="P330" s="31" t="s">
        <v>1705</v>
      </c>
      <c r="Q330" s="29">
        <v>45490</v>
      </c>
      <c r="R330" s="32"/>
      <c r="S330" s="31" t="s">
        <v>45</v>
      </c>
      <c r="T330" s="31" t="s">
        <v>1706</v>
      </c>
      <c r="U330" s="31" t="s">
        <v>49</v>
      </c>
      <c r="V330" s="27" t="s">
        <v>269</v>
      </c>
      <c r="W330" s="31" t="s">
        <v>1707</v>
      </c>
      <c r="X330" s="21" t="s">
        <v>52</v>
      </c>
      <c r="Y330" s="22">
        <v>53420564000654</v>
      </c>
      <c r="Z330" s="23">
        <f t="shared" si="8"/>
        <v>328</v>
      </c>
      <c r="AA330" s="24" t="str">
        <f>IFERROR(VLOOKUP($Z330,'[1]End Fat Serviço - PA 15 e 16'!$K$3:$K$31,1,0), "")</f>
        <v/>
      </c>
      <c r="AB330" s="24" t="str">
        <f>IFERROR(VLOOKUP($Z330,'[1]End Fat Material - PA 12'!$K$3:$K$64,1,0), "")</f>
        <v/>
      </c>
      <c r="AC330" s="24" t="str">
        <f>IFERROR(VLOOKUP($Z330,'[1]End CA Lotação'!$L$3:$L$36,1,0), "")</f>
        <v/>
      </c>
      <c r="AD330" s="24" t="str">
        <f>IFERROR(VLOOKUP(Z330,'[1]RH - PARA 21.03'!$M$3:$M$555,1,0),"")</f>
        <v/>
      </c>
      <c r="AE330" s="23" t="str">
        <f>IFERROR(VLOOKUP($Z330,'[1]CNPJ Oi Fat'!$K$3:$K$32,1,0),"")</f>
        <v/>
      </c>
      <c r="AF330" s="23" t="str">
        <f>IFERROR(VLOOKUP(Z330,'[1]End Logística Oi'!$D$3:$D$29,1,0),"")</f>
        <v/>
      </c>
      <c r="AG330" s="23" t="str">
        <f>IFERROR(VLOOKUP(Z330,'[1]End Logística Oi'!$J$3:$J$29,1,0),"")</f>
        <v/>
      </c>
      <c r="AI330" s="23" t="s">
        <v>55</v>
      </c>
      <c r="AJ330" s="23" t="s">
        <v>55</v>
      </c>
      <c r="AK330" s="23" t="e">
        <v>#N/A</v>
      </c>
    </row>
    <row r="331" spans="1:37" s="34" customFormat="1" ht="15" hidden="1" customHeight="1" x14ac:dyDescent="0.25">
      <c r="A331" s="26">
        <v>329</v>
      </c>
      <c r="B331" s="26" t="s">
        <v>200</v>
      </c>
      <c r="C331" s="27" t="s">
        <v>366</v>
      </c>
      <c r="D331" s="26" t="s">
        <v>1631</v>
      </c>
      <c r="E331" s="26" t="s">
        <v>41</v>
      </c>
      <c r="F331" s="26" t="s">
        <v>1653</v>
      </c>
      <c r="G331" s="28">
        <v>43920073960</v>
      </c>
      <c r="H331" s="26" t="s">
        <v>1708</v>
      </c>
      <c r="I331" s="29">
        <v>45496</v>
      </c>
      <c r="J331" s="30"/>
      <c r="K331" s="19" t="s">
        <v>45</v>
      </c>
      <c r="L331" s="31" t="s">
        <v>1709</v>
      </c>
      <c r="M331" s="29">
        <v>45499</v>
      </c>
      <c r="N331" s="32"/>
      <c r="O331" s="36" t="s">
        <v>45</v>
      </c>
      <c r="P331" s="31" t="s">
        <v>1710</v>
      </c>
      <c r="Q331" s="29">
        <v>45503</v>
      </c>
      <c r="R331" s="32"/>
      <c r="S331" s="36" t="s">
        <v>45</v>
      </c>
      <c r="T331" s="31" t="s">
        <v>1711</v>
      </c>
      <c r="U331" s="31" t="s">
        <v>1712</v>
      </c>
      <c r="V331" s="27" t="s">
        <v>205</v>
      </c>
      <c r="W331" s="31" t="s">
        <v>1713</v>
      </c>
      <c r="X331" s="21" t="s">
        <v>52</v>
      </c>
      <c r="Y331" s="22">
        <v>53420564000735</v>
      </c>
      <c r="Z331" s="23">
        <f t="shared" si="8"/>
        <v>329</v>
      </c>
      <c r="AA331" s="24" t="str">
        <f>IFERROR(VLOOKUP($Z331,'[1]End Fat Serviço - PA 15 e 16'!$K$3:$K$31,1,0), "")</f>
        <v/>
      </c>
      <c r="AB331" s="24" t="str">
        <f>IFERROR(VLOOKUP($Z331,'[1]End Fat Material - PA 12'!$K$3:$K$64,1,0), "")</f>
        <v/>
      </c>
      <c r="AC331" s="24" t="str">
        <f>IFERROR(VLOOKUP($Z331,'[1]End CA Lotação'!$L$3:$L$36,1,0), "")</f>
        <v/>
      </c>
      <c r="AD331" s="24" t="str">
        <f>IFERROR(VLOOKUP(Z331,'[1]RH - PARA 21.03'!$M$3:$M$555,1,0),"")</f>
        <v/>
      </c>
      <c r="AE331" s="23" t="str">
        <f>IFERROR(VLOOKUP($Z331,'[1]CNPJ Oi Fat'!$K$3:$K$32,1,0),"")</f>
        <v/>
      </c>
      <c r="AF331" s="23" t="str">
        <f>IFERROR(VLOOKUP(Z331,'[1]End Logística Oi'!$D$3:$D$29,1,0),"")</f>
        <v/>
      </c>
      <c r="AG331" s="23" t="str">
        <f>IFERROR(VLOOKUP(Z331,'[1]End Logística Oi'!$J$3:$J$29,1,0),"")</f>
        <v/>
      </c>
      <c r="AI331" s="23" t="s">
        <v>55</v>
      </c>
      <c r="AJ331" s="23" t="s">
        <v>55</v>
      </c>
      <c r="AK331" s="23" t="e">
        <v>#N/A</v>
      </c>
    </row>
    <row r="332" spans="1:37" s="34" customFormat="1" ht="15" hidden="1" customHeight="1" x14ac:dyDescent="0.25">
      <c r="A332" s="26">
        <v>330</v>
      </c>
      <c r="B332" s="26" t="s">
        <v>56</v>
      </c>
      <c r="C332" s="27" t="s">
        <v>366</v>
      </c>
      <c r="D332" s="26" t="s">
        <v>1631</v>
      </c>
      <c r="E332" s="26" t="s">
        <v>41</v>
      </c>
      <c r="F332" s="26" t="s">
        <v>1653</v>
      </c>
      <c r="G332" s="28">
        <v>15902055014</v>
      </c>
      <c r="H332" s="26" t="s">
        <v>1714</v>
      </c>
      <c r="I332" s="29">
        <v>45496</v>
      </c>
      <c r="J332" s="30"/>
      <c r="K332" s="19" t="s">
        <v>45</v>
      </c>
      <c r="L332" s="31" t="s">
        <v>1715</v>
      </c>
      <c r="M332" s="29">
        <v>45524</v>
      </c>
      <c r="N332" s="32"/>
      <c r="O332" s="19" t="s">
        <v>45</v>
      </c>
      <c r="P332" s="31" t="s">
        <v>1716</v>
      </c>
      <c r="Q332" s="29">
        <v>45496</v>
      </c>
      <c r="R332" s="32"/>
      <c r="S332" s="36" t="s">
        <v>45</v>
      </c>
      <c r="T332" s="31" t="s">
        <v>1717</v>
      </c>
      <c r="U332" s="31" t="s">
        <v>242</v>
      </c>
      <c r="V332" s="27" t="s">
        <v>1718</v>
      </c>
      <c r="W332" s="31" t="s">
        <v>1528</v>
      </c>
      <c r="X332" s="21" t="s">
        <v>52</v>
      </c>
      <c r="Y332" s="22">
        <v>53420564000816</v>
      </c>
      <c r="Z332" s="23">
        <f t="shared" si="8"/>
        <v>330</v>
      </c>
      <c r="AA332" s="24" t="str">
        <f>IFERROR(VLOOKUP($Z332,'[1]End Fat Serviço - PA 15 e 16'!$K$3:$K$31,1,0), "")</f>
        <v/>
      </c>
      <c r="AB332" s="24" t="str">
        <f>IFERROR(VLOOKUP($Z332,'[1]End Fat Material - PA 12'!$K$3:$K$64,1,0), "")</f>
        <v/>
      </c>
      <c r="AC332" s="24" t="str">
        <f>IFERROR(VLOOKUP($Z332,'[1]End CA Lotação'!$L$3:$L$36,1,0), "")</f>
        <v/>
      </c>
      <c r="AD332" s="24" t="str">
        <f>IFERROR(VLOOKUP(Z332,'[1]RH - PARA 21.03'!$M$3:$M$555,1,0),"")</f>
        <v/>
      </c>
      <c r="AE332" s="23" t="str">
        <f>IFERROR(VLOOKUP($Z332,'[1]CNPJ Oi Fat'!$K$3:$K$32,1,0),"")</f>
        <v/>
      </c>
      <c r="AF332" s="23" t="str">
        <f>IFERROR(VLOOKUP(Z332,'[1]End Logística Oi'!$D$3:$D$29,1,0),"")</f>
        <v/>
      </c>
      <c r="AG332" s="23" t="str">
        <f>IFERROR(VLOOKUP(Z332,'[1]End Logística Oi'!$J$3:$J$29,1,0),"")</f>
        <v/>
      </c>
      <c r="AI332" s="23" t="s">
        <v>55</v>
      </c>
      <c r="AJ332" s="23" t="s">
        <v>55</v>
      </c>
      <c r="AK332" s="23" t="e">
        <v>#N/A</v>
      </c>
    </row>
    <row r="333" spans="1:37" s="34" customFormat="1" ht="15" hidden="1" customHeight="1" x14ac:dyDescent="0.25">
      <c r="A333" s="26">
        <v>331</v>
      </c>
      <c r="B333" s="26" t="s">
        <v>192</v>
      </c>
      <c r="C333" s="27" t="s">
        <v>366</v>
      </c>
      <c r="D333" s="26" t="s">
        <v>1631</v>
      </c>
      <c r="E333" s="26" t="s">
        <v>41</v>
      </c>
      <c r="F333" s="26" t="s">
        <v>1653</v>
      </c>
      <c r="G333" s="28">
        <v>17900409694</v>
      </c>
      <c r="H333" s="26" t="s">
        <v>1719</v>
      </c>
      <c r="I333" s="29">
        <v>45498</v>
      </c>
      <c r="J333" s="30"/>
      <c r="K333" s="19" t="s">
        <v>45</v>
      </c>
      <c r="L333" s="31" t="s">
        <v>1720</v>
      </c>
      <c r="M333" s="29">
        <v>45583</v>
      </c>
      <c r="N333" s="32"/>
      <c r="O333" s="36" t="s">
        <v>45</v>
      </c>
      <c r="P333" s="31">
        <v>2464310</v>
      </c>
      <c r="Q333" s="29">
        <v>45498</v>
      </c>
      <c r="R333" s="32"/>
      <c r="S333" s="36" t="s">
        <v>45</v>
      </c>
      <c r="T333" s="31" t="s">
        <v>1721</v>
      </c>
      <c r="U333" s="31" t="s">
        <v>197</v>
      </c>
      <c r="V333" s="27" t="s">
        <v>198</v>
      </c>
      <c r="W333" s="31" t="s">
        <v>199</v>
      </c>
      <c r="X333" s="21" t="s">
        <v>52</v>
      </c>
      <c r="Y333" s="22">
        <v>53420564000905</v>
      </c>
      <c r="Z333" s="23">
        <f t="shared" si="8"/>
        <v>331</v>
      </c>
      <c r="AA333" s="24" t="str">
        <f>IFERROR(VLOOKUP($Z333,'[1]End Fat Serviço - PA 15 e 16'!$K$3:$K$31,1,0), "")</f>
        <v/>
      </c>
      <c r="AB333" s="24" t="str">
        <f>IFERROR(VLOOKUP($Z333,'[1]End Fat Material - PA 12'!$K$3:$K$64,1,0), "")</f>
        <v/>
      </c>
      <c r="AC333" s="24" t="str">
        <f>IFERROR(VLOOKUP($Z333,'[1]End CA Lotação'!$L$3:$L$36,1,0), "")</f>
        <v/>
      </c>
      <c r="AD333" s="24" t="str">
        <f>IFERROR(VLOOKUP(Z333,'[1]RH - PARA 21.03'!$M$3:$M$555,1,0),"")</f>
        <v/>
      </c>
      <c r="AE333" s="23" t="str">
        <f>IFERROR(VLOOKUP($Z333,'[1]CNPJ Oi Fat'!$K$3:$K$32,1,0),"")</f>
        <v/>
      </c>
      <c r="AF333" s="23" t="str">
        <f>IFERROR(VLOOKUP(Z333,'[1]End Logística Oi'!$D$3:$D$29,1,0),"")</f>
        <v/>
      </c>
      <c r="AG333" s="23" t="str">
        <f>IFERROR(VLOOKUP(Z333,'[1]End Logística Oi'!$J$3:$J$29,1,0),"")</f>
        <v/>
      </c>
      <c r="AI333" s="23" t="s">
        <v>55</v>
      </c>
      <c r="AJ333" s="23" t="s">
        <v>55</v>
      </c>
      <c r="AK333" s="23" t="e">
        <v>#N/A</v>
      </c>
    </row>
    <row r="334" spans="1:37" s="34" customFormat="1" ht="15" hidden="1" customHeight="1" x14ac:dyDescent="0.25">
      <c r="A334" s="26">
        <v>332</v>
      </c>
      <c r="B334" s="26" t="s">
        <v>68</v>
      </c>
      <c r="C334" s="27" t="s">
        <v>366</v>
      </c>
      <c r="D334" s="26" t="s">
        <v>1631</v>
      </c>
      <c r="E334" s="26" t="s">
        <v>41</v>
      </c>
      <c r="F334" s="26" t="s">
        <v>1653</v>
      </c>
      <c r="G334" s="28">
        <v>31920150859</v>
      </c>
      <c r="H334" s="26" t="s">
        <v>1722</v>
      </c>
      <c r="I334" s="29">
        <v>45498</v>
      </c>
      <c r="J334" s="30"/>
      <c r="K334" s="19" t="s">
        <v>45</v>
      </c>
      <c r="L334" s="31">
        <v>49522090018</v>
      </c>
      <c r="M334" s="29">
        <v>45498</v>
      </c>
      <c r="N334" s="32"/>
      <c r="O334" s="36" t="s">
        <v>45</v>
      </c>
      <c r="P334" s="31">
        <v>15790810016</v>
      </c>
      <c r="Q334" s="29">
        <v>45498</v>
      </c>
      <c r="R334" s="32"/>
      <c r="S334" s="36" t="s">
        <v>45</v>
      </c>
      <c r="T334" s="31" t="s">
        <v>1723</v>
      </c>
      <c r="U334" s="31" t="s">
        <v>1515</v>
      </c>
      <c r="V334" s="27" t="s">
        <v>75</v>
      </c>
      <c r="W334" s="31" t="s">
        <v>76</v>
      </c>
      <c r="X334" s="21" t="s">
        <v>52</v>
      </c>
      <c r="Y334" s="22">
        <v>53420564001030</v>
      </c>
      <c r="Z334" s="23">
        <f t="shared" si="8"/>
        <v>332</v>
      </c>
      <c r="AA334" s="24" t="str">
        <f>IFERROR(VLOOKUP($Z334,'[1]End Fat Serviço - PA 15 e 16'!$K$3:$K$31,1,0), "")</f>
        <v/>
      </c>
      <c r="AB334" s="24" t="str">
        <f>IFERROR(VLOOKUP($Z334,'[1]End Fat Material - PA 12'!$K$3:$K$64,1,0), "")</f>
        <v/>
      </c>
      <c r="AC334" s="24" t="str">
        <f>IFERROR(VLOOKUP($Z334,'[1]End CA Lotação'!$L$3:$L$36,1,0), "")</f>
        <v/>
      </c>
      <c r="AD334" s="24" t="str">
        <f>IFERROR(VLOOKUP(Z334,'[1]RH - PARA 21.03'!$M$3:$M$555,1,0),"")</f>
        <v/>
      </c>
      <c r="AE334" s="23" t="str">
        <f>IFERROR(VLOOKUP($Z334,'[1]CNPJ Oi Fat'!$K$3:$K$32,1,0),"")</f>
        <v/>
      </c>
      <c r="AF334" s="23" t="str">
        <f>IFERROR(VLOOKUP(Z334,'[1]End Logística Oi'!$D$3:$D$29,1,0),"")</f>
        <v/>
      </c>
      <c r="AG334" s="23" t="str">
        <f>IFERROR(VLOOKUP(Z334,'[1]End Logística Oi'!$J$3:$J$29,1,0),"")</f>
        <v/>
      </c>
      <c r="AI334" s="23" t="s">
        <v>55</v>
      </c>
      <c r="AJ334" s="23" t="s">
        <v>55</v>
      </c>
      <c r="AK334" s="23" t="e">
        <v>#N/A</v>
      </c>
    </row>
    <row r="335" spans="1:37" s="34" customFormat="1" ht="15" hidden="1" customHeight="1" x14ac:dyDescent="0.25">
      <c r="A335" s="26">
        <v>333</v>
      </c>
      <c r="B335" s="26" t="s">
        <v>122</v>
      </c>
      <c r="C335" s="27" t="s">
        <v>366</v>
      </c>
      <c r="D335" s="26" t="s">
        <v>1631</v>
      </c>
      <c r="E335" s="26" t="s">
        <v>41</v>
      </c>
      <c r="F335" s="26" t="s">
        <v>1653</v>
      </c>
      <c r="G335" s="28">
        <v>42902158419</v>
      </c>
      <c r="H335" s="26" t="s">
        <v>1724</v>
      </c>
      <c r="I335" s="29">
        <v>45498</v>
      </c>
      <c r="J335" s="30"/>
      <c r="K335" s="19" t="s">
        <v>45</v>
      </c>
      <c r="L335" s="31">
        <v>263059430</v>
      </c>
      <c r="M335" s="29">
        <v>45498</v>
      </c>
      <c r="N335" s="32"/>
      <c r="O335" s="36" t="s">
        <v>45</v>
      </c>
      <c r="P335" s="31">
        <v>8238058</v>
      </c>
      <c r="Q335" s="29">
        <v>45498</v>
      </c>
      <c r="R335" s="32"/>
      <c r="S335" s="36" t="s">
        <v>45</v>
      </c>
      <c r="T335" s="31" t="s">
        <v>1725</v>
      </c>
      <c r="U335" s="31" t="s">
        <v>1684</v>
      </c>
      <c r="V335" s="27" t="s">
        <v>1685</v>
      </c>
      <c r="W335" s="31" t="s">
        <v>1686</v>
      </c>
      <c r="X335" s="21" t="s">
        <v>52</v>
      </c>
      <c r="Y335" s="22">
        <v>53420564001111</v>
      </c>
      <c r="Z335" s="23">
        <f t="shared" si="8"/>
        <v>333</v>
      </c>
      <c r="AA335" s="24" t="str">
        <f>IFERROR(VLOOKUP($Z335,'[1]End Fat Serviço - PA 15 e 16'!$K$3:$K$31,1,0), "")</f>
        <v/>
      </c>
      <c r="AB335" s="24" t="str">
        <f>IFERROR(VLOOKUP($Z335,'[1]End Fat Material - PA 12'!$K$3:$K$64,1,0), "")</f>
        <v/>
      </c>
      <c r="AC335" s="24" t="str">
        <f>IFERROR(VLOOKUP($Z335,'[1]End CA Lotação'!$L$3:$L$36,1,0), "")</f>
        <v/>
      </c>
      <c r="AD335" s="24" t="str">
        <f>IFERROR(VLOOKUP(Z335,'[1]RH - PARA 21.03'!$M$3:$M$555,1,0),"")</f>
        <v/>
      </c>
      <c r="AE335" s="23" t="str">
        <f>IFERROR(VLOOKUP($Z335,'[1]CNPJ Oi Fat'!$K$3:$K$32,1,0),"")</f>
        <v/>
      </c>
      <c r="AF335" s="23" t="str">
        <f>IFERROR(VLOOKUP(Z335,'[1]End Logística Oi'!$D$3:$D$29,1,0),"")</f>
        <v/>
      </c>
      <c r="AG335" s="23" t="str">
        <f>IFERROR(VLOOKUP(Z335,'[1]End Logística Oi'!$J$3:$J$29,1,0),"")</f>
        <v/>
      </c>
      <c r="AI335" s="23" t="s">
        <v>55</v>
      </c>
      <c r="AJ335" s="23" t="s">
        <v>55</v>
      </c>
      <c r="AK335" s="23" t="e">
        <v>#N/A</v>
      </c>
    </row>
    <row r="336" spans="1:37" s="34" customFormat="1" ht="15" hidden="1" customHeight="1" x14ac:dyDescent="0.25">
      <c r="A336" s="26">
        <v>334</v>
      </c>
      <c r="B336" s="26" t="s">
        <v>207</v>
      </c>
      <c r="C336" s="27" t="s">
        <v>366</v>
      </c>
      <c r="D336" s="26" t="s">
        <v>1631</v>
      </c>
      <c r="E336" s="26" t="s">
        <v>41</v>
      </c>
      <c r="F336" s="26" t="s">
        <v>1653</v>
      </c>
      <c r="G336" s="28">
        <v>11900259182</v>
      </c>
      <c r="H336" s="26" t="s">
        <v>1726</v>
      </c>
      <c r="I336" s="29">
        <v>45498</v>
      </c>
      <c r="J336" s="30"/>
      <c r="K336" s="19" t="s">
        <v>45</v>
      </c>
      <c r="L336" s="33" t="s">
        <v>1727</v>
      </c>
      <c r="M336" s="29">
        <v>45498</v>
      </c>
      <c r="N336" s="32"/>
      <c r="O336" s="36" t="s">
        <v>45</v>
      </c>
      <c r="P336" s="31">
        <v>42365613</v>
      </c>
      <c r="Q336" s="29">
        <v>45502</v>
      </c>
      <c r="R336" s="32"/>
      <c r="S336" s="36" t="s">
        <v>45</v>
      </c>
      <c r="T336" s="31" t="s">
        <v>1728</v>
      </c>
      <c r="U336" s="31" t="s">
        <v>49</v>
      </c>
      <c r="V336" s="27" t="s">
        <v>212</v>
      </c>
      <c r="W336" s="31" t="s">
        <v>1664</v>
      </c>
      <c r="X336" s="21" t="s">
        <v>52</v>
      </c>
      <c r="Y336" s="22">
        <v>53420564001200</v>
      </c>
      <c r="Z336" s="23">
        <f t="shared" si="8"/>
        <v>334</v>
      </c>
      <c r="AA336" s="24" t="str">
        <f>IFERROR(VLOOKUP($Z336,'[1]End Fat Serviço - PA 15 e 16'!$K$3:$K$31,1,0), "")</f>
        <v/>
      </c>
      <c r="AB336" s="24" t="str">
        <f>IFERROR(VLOOKUP($Z336,'[1]End Fat Material - PA 12'!$K$3:$K$64,1,0), "")</f>
        <v/>
      </c>
      <c r="AC336" s="24" t="str">
        <f>IFERROR(VLOOKUP($Z336,'[1]End CA Lotação'!$L$3:$L$36,1,0), "")</f>
        <v/>
      </c>
      <c r="AD336" s="24" t="str">
        <f>IFERROR(VLOOKUP(Z336,'[1]RH - PARA 21.03'!$M$3:$M$555,1,0),"")</f>
        <v/>
      </c>
      <c r="AE336" s="23" t="str">
        <f>IFERROR(VLOOKUP($Z336,'[1]CNPJ Oi Fat'!$K$3:$K$32,1,0),"")</f>
        <v/>
      </c>
      <c r="AF336" s="23" t="str">
        <f>IFERROR(VLOOKUP(Z336,'[1]End Logística Oi'!$D$3:$D$29,1,0),"")</f>
        <v/>
      </c>
      <c r="AG336" s="23" t="str">
        <f>IFERROR(VLOOKUP(Z336,'[1]End Logística Oi'!$J$3:$J$29,1,0),"")</f>
        <v/>
      </c>
      <c r="AI336" s="23" t="s">
        <v>55</v>
      </c>
      <c r="AJ336" s="23" t="s">
        <v>55</v>
      </c>
      <c r="AK336" s="23" t="e">
        <v>#N/A</v>
      </c>
    </row>
    <row r="337" spans="1:37" s="34" customFormat="1" ht="15" hidden="1" customHeight="1" x14ac:dyDescent="0.25">
      <c r="A337" s="26">
        <v>335</v>
      </c>
      <c r="B337" s="26" t="s">
        <v>222</v>
      </c>
      <c r="C337" s="27" t="s">
        <v>366</v>
      </c>
      <c r="D337" s="26" t="s">
        <v>1631</v>
      </c>
      <c r="E337" s="26" t="s">
        <v>41</v>
      </c>
      <c r="F337" s="26" t="s">
        <v>1653</v>
      </c>
      <c r="G337" s="28">
        <v>12920006078</v>
      </c>
      <c r="H337" s="26" t="s">
        <v>1729</v>
      </c>
      <c r="I337" s="29">
        <v>45498</v>
      </c>
      <c r="J337" s="30"/>
      <c r="K337" s="19" t="s">
        <v>45</v>
      </c>
      <c r="L337" s="31" t="s">
        <v>1730</v>
      </c>
      <c r="M337" s="29">
        <v>45498</v>
      </c>
      <c r="N337" s="32"/>
      <c r="O337" s="36" t="s">
        <v>45</v>
      </c>
      <c r="P337" s="31">
        <v>53420564001383</v>
      </c>
      <c r="Q337" s="29">
        <v>45503</v>
      </c>
      <c r="R337" s="32"/>
      <c r="S337" s="36" t="s">
        <v>45</v>
      </c>
      <c r="T337" s="31" t="s">
        <v>1731</v>
      </c>
      <c r="U337" s="31" t="s">
        <v>49</v>
      </c>
      <c r="V337" s="27" t="s">
        <v>228</v>
      </c>
      <c r="W337" s="31" t="s">
        <v>229</v>
      </c>
      <c r="X337" s="21" t="s">
        <v>52</v>
      </c>
      <c r="Y337" s="22">
        <v>53420564001383</v>
      </c>
      <c r="Z337" s="23">
        <f t="shared" si="8"/>
        <v>335</v>
      </c>
      <c r="AA337" s="24" t="str">
        <f>IFERROR(VLOOKUP($Z337,'[1]End Fat Serviço - PA 15 e 16'!$K$3:$K$31,1,0), "")</f>
        <v/>
      </c>
      <c r="AB337" s="24" t="str">
        <f>IFERROR(VLOOKUP($Z337,'[1]End Fat Material - PA 12'!$K$3:$K$64,1,0), "")</f>
        <v/>
      </c>
      <c r="AC337" s="24" t="str">
        <f>IFERROR(VLOOKUP($Z337,'[1]End CA Lotação'!$L$3:$L$36,1,0), "")</f>
        <v/>
      </c>
      <c r="AD337" s="24" t="str">
        <f>IFERROR(VLOOKUP(Z337,'[1]RH - PARA 21.03'!$M$3:$M$555,1,0),"")</f>
        <v/>
      </c>
      <c r="AE337" s="23" t="str">
        <f>IFERROR(VLOOKUP($Z337,'[1]CNPJ Oi Fat'!$K$3:$K$32,1,0),"")</f>
        <v/>
      </c>
      <c r="AF337" s="23" t="str">
        <f>IFERROR(VLOOKUP(Z337,'[1]End Logística Oi'!$D$3:$D$29,1,0),"")</f>
        <v/>
      </c>
      <c r="AG337" s="23" t="str">
        <f>IFERROR(VLOOKUP(Z337,'[1]End Logística Oi'!$J$3:$J$29,1,0),"")</f>
        <v/>
      </c>
      <c r="AI337" s="23" t="s">
        <v>55</v>
      </c>
      <c r="AJ337" s="23" t="s">
        <v>55</v>
      </c>
      <c r="AK337" s="23" t="e">
        <v>#N/A</v>
      </c>
    </row>
    <row r="338" spans="1:37" s="34" customFormat="1" ht="15" hidden="1" customHeight="1" x14ac:dyDescent="0.25">
      <c r="A338" s="26">
        <v>336</v>
      </c>
      <c r="B338" s="26" t="s">
        <v>112</v>
      </c>
      <c r="C338" s="27" t="s">
        <v>366</v>
      </c>
      <c r="D338" s="26" t="s">
        <v>1631</v>
      </c>
      <c r="E338" s="26" t="s">
        <v>41</v>
      </c>
      <c r="F338" s="26" t="s">
        <v>1653</v>
      </c>
      <c r="G338" s="28">
        <v>41902023512</v>
      </c>
      <c r="H338" s="26" t="s">
        <v>1732</v>
      </c>
      <c r="I338" s="29">
        <v>45498</v>
      </c>
      <c r="J338" s="30"/>
      <c r="K338" s="19" t="s">
        <v>45</v>
      </c>
      <c r="L338" s="31" t="s">
        <v>1733</v>
      </c>
      <c r="M338" s="29">
        <v>45586</v>
      </c>
      <c r="N338" s="32"/>
      <c r="O338" s="36" t="s">
        <v>45</v>
      </c>
      <c r="P338" s="31" t="s">
        <v>1734</v>
      </c>
      <c r="Q338" s="29">
        <v>45538</v>
      </c>
      <c r="R338" s="32"/>
      <c r="S338" s="36" t="s">
        <v>45</v>
      </c>
      <c r="T338" s="31" t="s">
        <v>1680</v>
      </c>
      <c r="U338" s="31" t="s">
        <v>49</v>
      </c>
      <c r="V338" s="27" t="s">
        <v>118</v>
      </c>
      <c r="W338" s="31" t="s">
        <v>1681</v>
      </c>
      <c r="X338" s="21" t="s">
        <v>52</v>
      </c>
      <c r="Y338" s="22">
        <v>53420564001464</v>
      </c>
      <c r="Z338" s="23">
        <f t="shared" si="8"/>
        <v>336</v>
      </c>
      <c r="AA338" s="24" t="str">
        <f>IFERROR(VLOOKUP($Z338,'[1]End Fat Serviço - PA 15 e 16'!$K$3:$K$31,1,0), "")</f>
        <v/>
      </c>
      <c r="AB338" s="24" t="str">
        <f>IFERROR(VLOOKUP($Z338,'[1]End Fat Material - PA 12'!$K$3:$K$64,1,0), "")</f>
        <v/>
      </c>
      <c r="AC338" s="24" t="str">
        <f>IFERROR(VLOOKUP($Z338,'[1]End CA Lotação'!$L$3:$L$36,1,0), "")</f>
        <v/>
      </c>
      <c r="AD338" s="24" t="str">
        <f>IFERROR(VLOOKUP(Z338,'[1]RH - PARA 21.03'!$M$3:$M$555,1,0),"")</f>
        <v/>
      </c>
      <c r="AE338" s="23" t="str">
        <f>IFERROR(VLOOKUP($Z338,'[1]CNPJ Oi Fat'!$K$3:$K$32,1,0),"")</f>
        <v/>
      </c>
      <c r="AF338" s="23" t="str">
        <f>IFERROR(VLOOKUP(Z338,'[1]End Logística Oi'!$D$3:$D$29,1,0),"")</f>
        <v/>
      </c>
      <c r="AG338" s="23" t="str">
        <f>IFERROR(VLOOKUP(Z338,'[1]End Logística Oi'!$J$3:$J$29,1,0),"")</f>
        <v/>
      </c>
      <c r="AI338" s="23" t="s">
        <v>55</v>
      </c>
      <c r="AJ338" s="23" t="s">
        <v>55</v>
      </c>
      <c r="AK338" s="23" t="e">
        <v>#N/A</v>
      </c>
    </row>
    <row r="339" spans="1:37" s="34" customFormat="1" ht="15" hidden="1" customHeight="1" x14ac:dyDescent="0.25">
      <c r="A339" s="26">
        <v>337</v>
      </c>
      <c r="B339" s="26" t="s">
        <v>271</v>
      </c>
      <c r="C339" s="27" t="s">
        <v>366</v>
      </c>
      <c r="D339" s="26" t="s">
        <v>1631</v>
      </c>
      <c r="E339" s="26" t="s">
        <v>41</v>
      </c>
      <c r="F339" s="26" t="s">
        <v>1653</v>
      </c>
      <c r="G339" s="28" t="s">
        <v>1735</v>
      </c>
      <c r="H339" s="26" t="s">
        <v>1736</v>
      </c>
      <c r="I339" s="29">
        <v>45502</v>
      </c>
      <c r="J339" s="30"/>
      <c r="K339" s="19" t="s">
        <v>45</v>
      </c>
      <c r="L339" s="31" t="s">
        <v>1737</v>
      </c>
      <c r="M339" s="29">
        <v>45506</v>
      </c>
      <c r="N339" s="32"/>
      <c r="O339" s="36" t="s">
        <v>45</v>
      </c>
      <c r="P339" s="31" t="s">
        <v>1738</v>
      </c>
      <c r="Q339" s="29">
        <v>45502</v>
      </c>
      <c r="R339" s="32"/>
      <c r="S339" s="36" t="s">
        <v>45</v>
      </c>
      <c r="T339" s="31" t="s">
        <v>1739</v>
      </c>
      <c r="U339" s="31" t="s">
        <v>49</v>
      </c>
      <c r="V339" s="27" t="s">
        <v>278</v>
      </c>
      <c r="W339" s="31" t="s">
        <v>1669</v>
      </c>
      <c r="X339" s="21" t="s">
        <v>52</v>
      </c>
      <c r="Y339" s="22">
        <v>53420564001545</v>
      </c>
      <c r="Z339" s="23">
        <f t="shared" si="8"/>
        <v>337</v>
      </c>
      <c r="AA339" s="24" t="str">
        <f>IFERROR(VLOOKUP($Z339,'[1]End Fat Serviço - PA 15 e 16'!$K$3:$K$31,1,0), "")</f>
        <v/>
      </c>
      <c r="AB339" s="24" t="str">
        <f>IFERROR(VLOOKUP($Z339,'[1]End Fat Material - PA 12'!$K$3:$K$64,1,0), "")</f>
        <v/>
      </c>
      <c r="AC339" s="24" t="str">
        <f>IFERROR(VLOOKUP($Z339,'[1]End CA Lotação'!$L$3:$L$36,1,0), "")</f>
        <v/>
      </c>
      <c r="AD339" s="24" t="str">
        <f>IFERROR(VLOOKUP(Z339,'[1]RH - PARA 21.03'!$M$3:$M$555,1,0),"")</f>
        <v/>
      </c>
      <c r="AE339" s="23" t="str">
        <f>IFERROR(VLOOKUP($Z339,'[1]CNPJ Oi Fat'!$K$3:$K$32,1,0),"")</f>
        <v/>
      </c>
      <c r="AF339" s="23" t="str">
        <f>IFERROR(VLOOKUP(Z339,'[1]End Logística Oi'!$D$3:$D$29,1,0),"")</f>
        <v/>
      </c>
      <c r="AG339" s="23" t="str">
        <f>IFERROR(VLOOKUP(Z339,'[1]End Logística Oi'!$J$3:$J$29,1,0),"")</f>
        <v/>
      </c>
      <c r="AI339" s="23" t="s">
        <v>55</v>
      </c>
      <c r="AJ339" s="23" t="s">
        <v>55</v>
      </c>
      <c r="AK339" s="23" t="e">
        <v>#N/A</v>
      </c>
    </row>
    <row r="340" spans="1:37" s="34" customFormat="1" ht="15" hidden="1" customHeight="1" x14ac:dyDescent="0.25">
      <c r="A340" s="26">
        <v>338</v>
      </c>
      <c r="B340" s="26" t="s">
        <v>1539</v>
      </c>
      <c r="C340" s="27" t="s">
        <v>366</v>
      </c>
      <c r="D340" s="26" t="s">
        <v>367</v>
      </c>
      <c r="E340" s="26"/>
      <c r="F340" s="26" t="s">
        <v>369</v>
      </c>
      <c r="G340" s="28">
        <v>22900456386</v>
      </c>
      <c r="H340" s="26" t="s">
        <v>1740</v>
      </c>
      <c r="I340" s="29">
        <v>45491</v>
      </c>
      <c r="J340" s="30"/>
      <c r="K340" s="19" t="s">
        <v>45</v>
      </c>
      <c r="L340" s="31" t="s">
        <v>90</v>
      </c>
      <c r="M340" s="29" t="s">
        <v>90</v>
      </c>
      <c r="N340" s="32"/>
      <c r="O340" s="36" t="s">
        <v>90</v>
      </c>
      <c r="P340" s="31" t="s">
        <v>1741</v>
      </c>
      <c r="Q340" s="29">
        <v>45491</v>
      </c>
      <c r="R340" s="32"/>
      <c r="S340" s="36" t="s">
        <v>45</v>
      </c>
      <c r="T340" s="31" t="s">
        <v>1742</v>
      </c>
      <c r="U340" s="31" t="s">
        <v>49</v>
      </c>
      <c r="V340" s="27" t="s">
        <v>269</v>
      </c>
      <c r="W340" s="31" t="s">
        <v>1707</v>
      </c>
      <c r="X340" s="21"/>
      <c r="Y340" s="22">
        <v>4014081002426</v>
      </c>
      <c r="Z340" s="23">
        <f t="shared" ref="Z340:Z380" si="9">A340</f>
        <v>338</v>
      </c>
      <c r="AA340" s="24" t="str">
        <f>IFERROR(VLOOKUP($Z340,'[1]End Fat Serviço - PA 15 e 16'!$K$3:$K$31,1,0), "")</f>
        <v/>
      </c>
      <c r="AB340" s="24" t="str">
        <f>IFERROR(VLOOKUP($Z340,'[1]End Fat Material - PA 12'!$K$3:$K$64,1,0), "")</f>
        <v/>
      </c>
      <c r="AC340" s="24" t="str">
        <f>IFERROR(VLOOKUP($Z340,'[1]End CA Lotação'!$L$3:$L$36,1,0), "")</f>
        <v/>
      </c>
      <c r="AD340" s="24" t="str">
        <f>IFERROR(VLOOKUP(Z340,'[1]RH - PARA 21.03'!$M$3:$M$555,1,0),"")</f>
        <v/>
      </c>
      <c r="AE340" s="23" t="str">
        <f>IFERROR(VLOOKUP($Z340,'[1]CNPJ Oi Fat'!$K$3:$K$32,1,0),"")</f>
        <v/>
      </c>
      <c r="AF340" s="23" t="str">
        <f>IFERROR(VLOOKUP(Z340,'[1]End Logística Oi'!$D$3:$D$29,1,0),"")</f>
        <v/>
      </c>
      <c r="AG340" s="23" t="str">
        <f>IFERROR(VLOOKUP(Z340,'[1]End Logística Oi'!$J$3:$J$29,1,0),"")</f>
        <v/>
      </c>
      <c r="AI340" s="23" t="s">
        <v>55</v>
      </c>
      <c r="AJ340" s="23" t="s">
        <v>55</v>
      </c>
      <c r="AK340" s="23" t="e">
        <v>#N/A</v>
      </c>
    </row>
    <row r="341" spans="1:37" s="34" customFormat="1" ht="15" hidden="1" customHeight="1" x14ac:dyDescent="0.25">
      <c r="A341" s="26">
        <v>339</v>
      </c>
      <c r="B341" s="26" t="s">
        <v>104</v>
      </c>
      <c r="C341" s="27" t="s">
        <v>366</v>
      </c>
      <c r="D341" s="26" t="s">
        <v>1631</v>
      </c>
      <c r="E341" s="26" t="s">
        <v>41</v>
      </c>
      <c r="F341" s="26" t="s">
        <v>1653</v>
      </c>
      <c r="G341" s="28">
        <v>51920057634</v>
      </c>
      <c r="H341" s="26" t="s">
        <v>1743</v>
      </c>
      <c r="I341" s="29">
        <v>45518</v>
      </c>
      <c r="J341" s="30"/>
      <c r="K341" s="19" t="s">
        <v>45</v>
      </c>
      <c r="L341" s="31" t="s">
        <v>1744</v>
      </c>
      <c r="M341" s="29">
        <v>45518</v>
      </c>
      <c r="N341" s="32"/>
      <c r="O341" s="36" t="s">
        <v>45</v>
      </c>
      <c r="P341" s="31">
        <v>1691689</v>
      </c>
      <c r="Q341" s="29">
        <v>45518</v>
      </c>
      <c r="R341" s="32"/>
      <c r="S341" s="36" t="s">
        <v>45</v>
      </c>
      <c r="T341" s="31" t="s">
        <v>1745</v>
      </c>
      <c r="U341" s="31" t="s">
        <v>1746</v>
      </c>
      <c r="V341" s="27" t="s">
        <v>110</v>
      </c>
      <c r="W341" s="31" t="s">
        <v>1747</v>
      </c>
      <c r="X341" s="21" t="s">
        <v>52</v>
      </c>
      <c r="Y341" s="22">
        <v>53420564001626</v>
      </c>
      <c r="Z341" s="23">
        <f t="shared" si="9"/>
        <v>339</v>
      </c>
      <c r="AA341" s="24" t="str">
        <f>IFERROR(VLOOKUP($Z341,'[1]End Fat Serviço - PA 15 e 16'!$K$3:$K$31,1,0), "")</f>
        <v/>
      </c>
      <c r="AB341" s="24" t="str">
        <f>IFERROR(VLOOKUP($Z341,'[1]End Fat Material - PA 12'!$K$3:$K$64,1,0), "")</f>
        <v/>
      </c>
      <c r="AC341" s="24" t="str">
        <f>IFERROR(VLOOKUP($Z341,'[1]End CA Lotação'!$L$3:$L$36,1,0), "")</f>
        <v/>
      </c>
      <c r="AD341" s="24" t="str">
        <f>IFERROR(VLOOKUP(Z341,'[1]RH - PARA 21.03'!$M$3:$M$555,1,0),"")</f>
        <v/>
      </c>
      <c r="AE341" s="23" t="str">
        <f>IFERROR(VLOOKUP($Z341,'[1]CNPJ Oi Fat'!$K$3:$K$32,1,0),"")</f>
        <v/>
      </c>
      <c r="AF341" s="23" t="str">
        <f>IFERROR(VLOOKUP(Z341,'[1]End Logística Oi'!$D$3:$D$29,1,0),"")</f>
        <v/>
      </c>
      <c r="AG341" s="23" t="str">
        <f>IFERROR(VLOOKUP(Z341,'[1]End Logística Oi'!$J$3:$J$29,1,0),"")</f>
        <v/>
      </c>
      <c r="AI341" s="23" t="s">
        <v>55</v>
      </c>
      <c r="AJ341" s="23" t="s">
        <v>55</v>
      </c>
      <c r="AK341" s="23" t="e">
        <v>#N/A</v>
      </c>
    </row>
    <row r="342" spans="1:37" s="34" customFormat="1" ht="15" hidden="1" customHeight="1" x14ac:dyDescent="0.25">
      <c r="A342" s="26">
        <v>340</v>
      </c>
      <c r="B342" s="26" t="s">
        <v>214</v>
      </c>
      <c r="C342" s="27" t="s">
        <v>366</v>
      </c>
      <c r="D342" s="26" t="s">
        <v>1631</v>
      </c>
      <c r="E342" s="26" t="s">
        <v>41</v>
      </c>
      <c r="F342" s="26" t="s">
        <v>1653</v>
      </c>
      <c r="G342" s="28">
        <v>26902064462</v>
      </c>
      <c r="H342" s="26" t="s">
        <v>1748</v>
      </c>
      <c r="I342" s="29">
        <v>45518</v>
      </c>
      <c r="J342" s="30"/>
      <c r="K342" s="19" t="s">
        <v>45</v>
      </c>
      <c r="L342" s="31" t="s">
        <v>1749</v>
      </c>
      <c r="M342" s="29">
        <v>45518</v>
      </c>
      <c r="N342" s="32"/>
      <c r="O342" s="36" t="s">
        <v>45</v>
      </c>
      <c r="P342" s="31" t="s">
        <v>1750</v>
      </c>
      <c r="Q342" s="29">
        <v>45540</v>
      </c>
      <c r="R342" s="32"/>
      <c r="S342" s="36" t="s">
        <v>45</v>
      </c>
      <c r="T342" s="31" t="s">
        <v>1751</v>
      </c>
      <c r="U342" s="31" t="s">
        <v>918</v>
      </c>
      <c r="V342" s="27" t="s">
        <v>220</v>
      </c>
      <c r="W342" s="31" t="s">
        <v>1752</v>
      </c>
      <c r="X342" s="21" t="s">
        <v>52</v>
      </c>
      <c r="Y342" s="22">
        <v>53420564001707</v>
      </c>
      <c r="Z342" s="23">
        <f t="shared" si="9"/>
        <v>340</v>
      </c>
      <c r="AA342" s="24" t="str">
        <f>IFERROR(VLOOKUP($Z342,'[1]End Fat Serviço - PA 15 e 16'!$K$3:$K$31,1,0), "")</f>
        <v/>
      </c>
      <c r="AB342" s="24" t="str">
        <f>IFERROR(VLOOKUP($Z342,'[1]End Fat Material - PA 12'!$K$3:$K$64,1,0), "")</f>
        <v/>
      </c>
      <c r="AC342" s="24" t="str">
        <f>IFERROR(VLOOKUP($Z342,'[1]End CA Lotação'!$L$3:$L$36,1,0), "")</f>
        <v/>
      </c>
      <c r="AD342" s="24" t="str">
        <f>IFERROR(VLOOKUP(Z342,'[1]RH - PARA 21.03'!$M$3:$M$555,1,0),"")</f>
        <v/>
      </c>
      <c r="AE342" s="23" t="str">
        <f>IFERROR(VLOOKUP($Z342,'[1]CNPJ Oi Fat'!$K$3:$K$32,1,0),"")</f>
        <v/>
      </c>
      <c r="AF342" s="23" t="str">
        <f>IFERROR(VLOOKUP(Z342,'[1]End Logística Oi'!$D$3:$D$29,1,0),"")</f>
        <v/>
      </c>
      <c r="AG342" s="23" t="str">
        <f>IFERROR(VLOOKUP(Z342,'[1]End Logística Oi'!$J$3:$J$29,1,0),"")</f>
        <v/>
      </c>
      <c r="AI342" s="23" t="s">
        <v>55</v>
      </c>
      <c r="AJ342" s="23" t="s">
        <v>55</v>
      </c>
      <c r="AK342" s="23" t="e">
        <v>#N/A</v>
      </c>
    </row>
    <row r="343" spans="1:37" s="34" customFormat="1" ht="15" hidden="1" customHeight="1" x14ac:dyDescent="0.25">
      <c r="A343" s="26">
        <v>341</v>
      </c>
      <c r="B343" s="26" t="s">
        <v>254</v>
      </c>
      <c r="C343" s="27" t="s">
        <v>366</v>
      </c>
      <c r="D343" s="26" t="s">
        <v>1631</v>
      </c>
      <c r="E343" s="26" t="s">
        <v>41</v>
      </c>
      <c r="F343" s="26" t="s">
        <v>1653</v>
      </c>
      <c r="G343" s="28">
        <v>35920299147</v>
      </c>
      <c r="H343" s="26" t="s">
        <v>1753</v>
      </c>
      <c r="I343" s="29">
        <v>45518</v>
      </c>
      <c r="J343" s="30"/>
      <c r="K343" s="19" t="s">
        <v>45</v>
      </c>
      <c r="L343" s="33" t="s">
        <v>1754</v>
      </c>
      <c r="M343" s="29">
        <v>45518</v>
      </c>
      <c r="N343" s="32"/>
      <c r="O343" s="36" t="s">
        <v>45</v>
      </c>
      <c r="P343" s="31" t="s">
        <v>1755</v>
      </c>
      <c r="Q343" s="29">
        <v>45584</v>
      </c>
      <c r="R343" s="32"/>
      <c r="S343" s="36" t="s">
        <v>45</v>
      </c>
      <c r="T343" s="31" t="s">
        <v>1756</v>
      </c>
      <c r="U343" s="31" t="s">
        <v>1757</v>
      </c>
      <c r="V343" s="27" t="s">
        <v>260</v>
      </c>
      <c r="W343" s="31" t="s">
        <v>1758</v>
      </c>
      <c r="X343" s="21" t="s">
        <v>52</v>
      </c>
      <c r="Y343" s="22">
        <v>53420564001898</v>
      </c>
      <c r="Z343" s="23">
        <f t="shared" si="9"/>
        <v>341</v>
      </c>
      <c r="AA343" s="24" t="str">
        <f>IFERROR(VLOOKUP($Z343,'[1]End Fat Serviço - PA 15 e 16'!$K$3:$K$31,1,0), "")</f>
        <v/>
      </c>
      <c r="AB343" s="24" t="str">
        <f>IFERROR(VLOOKUP($Z343,'[1]End Fat Material - PA 12'!$K$3:$K$64,1,0), "")</f>
        <v/>
      </c>
      <c r="AC343" s="24" t="str">
        <f>IFERROR(VLOOKUP($Z343,'[1]End CA Lotação'!$L$3:$L$36,1,0), "")</f>
        <v/>
      </c>
      <c r="AD343" s="24" t="str">
        <f>IFERROR(VLOOKUP(Z343,'[1]RH - PARA 21.03'!$M$3:$M$555,1,0),"")</f>
        <v/>
      </c>
      <c r="AE343" s="23" t="str">
        <f>IFERROR(VLOOKUP($Z343,'[1]CNPJ Oi Fat'!$K$3:$K$32,1,0),"")</f>
        <v/>
      </c>
      <c r="AF343" s="23" t="str">
        <f>IFERROR(VLOOKUP(Z343,'[1]End Logística Oi'!$D$3:$D$29,1,0),"")</f>
        <v/>
      </c>
      <c r="AG343" s="23" t="str">
        <f>IFERROR(VLOOKUP(Z343,'[1]End Logística Oi'!$J$3:$J$29,1,0),"")</f>
        <v/>
      </c>
      <c r="AI343" s="23" t="s">
        <v>55</v>
      </c>
      <c r="AJ343" s="23" t="s">
        <v>55</v>
      </c>
      <c r="AK343" s="23" t="e">
        <v>#N/A</v>
      </c>
    </row>
    <row r="344" spans="1:37" s="34" customFormat="1" ht="15" hidden="1" customHeight="1" x14ac:dyDescent="0.25">
      <c r="A344" s="26">
        <v>342</v>
      </c>
      <c r="B344" s="26" t="s">
        <v>165</v>
      </c>
      <c r="C344" s="27" t="s">
        <v>366</v>
      </c>
      <c r="D344" s="26" t="s">
        <v>1631</v>
      </c>
      <c r="E344" s="26" t="s">
        <v>41</v>
      </c>
      <c r="F344" s="26" t="s">
        <v>1653</v>
      </c>
      <c r="G344" s="28">
        <v>27905214521</v>
      </c>
      <c r="H344" s="26" t="s">
        <v>1759</v>
      </c>
      <c r="I344" s="29">
        <v>45518</v>
      </c>
      <c r="J344" s="30"/>
      <c r="K344" s="19" t="s">
        <v>45</v>
      </c>
      <c r="L344" s="31" t="s">
        <v>1760</v>
      </c>
      <c r="M344" s="29">
        <v>45518</v>
      </c>
      <c r="N344" s="32"/>
      <c r="O344" s="36" t="s">
        <v>45</v>
      </c>
      <c r="P344" s="33" t="s">
        <v>1761</v>
      </c>
      <c r="Q344" s="29">
        <v>45518</v>
      </c>
      <c r="R344" s="32"/>
      <c r="S344" s="36" t="s">
        <v>45</v>
      </c>
      <c r="T344" s="31" t="s">
        <v>1762</v>
      </c>
      <c r="U344" s="31" t="s">
        <v>1763</v>
      </c>
      <c r="V344" s="27" t="s">
        <v>172</v>
      </c>
      <c r="W344" s="31" t="s">
        <v>1764</v>
      </c>
      <c r="X344" s="21" t="s">
        <v>52</v>
      </c>
      <c r="Y344" s="22">
        <v>53420564001979</v>
      </c>
      <c r="Z344" s="23">
        <f t="shared" si="9"/>
        <v>342</v>
      </c>
      <c r="AA344" s="24" t="str">
        <f>IFERROR(VLOOKUP($Z344,'[1]End Fat Serviço - PA 15 e 16'!$K$3:$K$31,1,0), "")</f>
        <v/>
      </c>
      <c r="AB344" s="24" t="str">
        <f>IFERROR(VLOOKUP($Z344,'[1]End Fat Material - PA 12'!$K$3:$K$64,1,0), "")</f>
        <v/>
      </c>
      <c r="AC344" s="24" t="str">
        <f>IFERROR(VLOOKUP($Z344,'[1]End CA Lotação'!$L$3:$L$36,1,0), "")</f>
        <v/>
      </c>
      <c r="AD344" s="24" t="str">
        <f>IFERROR(VLOOKUP(Z344,'[1]RH - PARA 21.03'!$M$3:$M$555,1,0),"")</f>
        <v/>
      </c>
      <c r="AE344" s="23" t="str">
        <f>IFERROR(VLOOKUP($Z344,'[1]CNPJ Oi Fat'!$K$3:$K$32,1,0),"")</f>
        <v/>
      </c>
      <c r="AF344" s="23" t="str">
        <f>IFERROR(VLOOKUP(Z344,'[1]End Logística Oi'!$D$3:$D$29,1,0),"")</f>
        <v/>
      </c>
      <c r="AG344" s="23" t="str">
        <f>IFERROR(VLOOKUP(Z344,'[1]End Logística Oi'!$J$3:$J$29,1,0),"")</f>
        <v/>
      </c>
      <c r="AI344" s="23" t="s">
        <v>55</v>
      </c>
      <c r="AJ344" s="23" t="s">
        <v>55</v>
      </c>
      <c r="AK344" s="23" t="e">
        <v>#N/A</v>
      </c>
    </row>
    <row r="345" spans="1:37" s="34" customFormat="1" ht="15" hidden="1" customHeight="1" x14ac:dyDescent="0.25">
      <c r="A345" s="26">
        <v>343</v>
      </c>
      <c r="B345" s="26" t="s">
        <v>183</v>
      </c>
      <c r="C345" s="27" t="s">
        <v>366</v>
      </c>
      <c r="D345" s="26" t="s">
        <v>1631</v>
      </c>
      <c r="E345" s="26" t="s">
        <v>41</v>
      </c>
      <c r="F345" s="26" t="s">
        <v>1653</v>
      </c>
      <c r="G345" s="28">
        <v>24900465972</v>
      </c>
      <c r="H345" s="26" t="s">
        <v>1765</v>
      </c>
      <c r="I345" s="29">
        <v>45518</v>
      </c>
      <c r="J345" s="30"/>
      <c r="K345" s="19" t="s">
        <v>45</v>
      </c>
      <c r="L345" s="31" t="s">
        <v>1766</v>
      </c>
      <c r="M345" s="29">
        <v>45518</v>
      </c>
      <c r="N345" s="32"/>
      <c r="O345" s="36" t="s">
        <v>45</v>
      </c>
      <c r="P345" s="33">
        <v>2293519</v>
      </c>
      <c r="Q345" s="29">
        <v>45518</v>
      </c>
      <c r="R345" s="32"/>
      <c r="S345" s="36" t="s">
        <v>45</v>
      </c>
      <c r="T345" s="31" t="s">
        <v>1767</v>
      </c>
      <c r="U345" s="31" t="s">
        <v>1152</v>
      </c>
      <c r="V345" s="27" t="s">
        <v>190</v>
      </c>
      <c r="W345" s="31" t="s">
        <v>1768</v>
      </c>
      <c r="X345" s="21" t="s">
        <v>52</v>
      </c>
      <c r="Y345" s="22">
        <v>53420564002002</v>
      </c>
      <c r="Z345" s="23">
        <f t="shared" si="9"/>
        <v>343</v>
      </c>
      <c r="AA345" s="24" t="str">
        <f>IFERROR(VLOOKUP($Z345,'[1]End Fat Serviço - PA 15 e 16'!$K$3:$K$31,1,0), "")</f>
        <v/>
      </c>
      <c r="AB345" s="24" t="str">
        <f>IFERROR(VLOOKUP($Z345,'[1]End Fat Material - PA 12'!$K$3:$K$64,1,0), "")</f>
        <v/>
      </c>
      <c r="AC345" s="24" t="str">
        <f>IFERROR(VLOOKUP($Z345,'[1]End CA Lotação'!$L$3:$L$36,1,0), "")</f>
        <v/>
      </c>
      <c r="AD345" s="24" t="str">
        <f>IFERROR(VLOOKUP(Z345,'[1]RH - PARA 21.03'!$M$3:$M$555,1,0),"")</f>
        <v/>
      </c>
      <c r="AE345" s="23" t="str">
        <f>IFERROR(VLOOKUP($Z345,'[1]CNPJ Oi Fat'!$K$3:$K$32,1,0),"")</f>
        <v/>
      </c>
      <c r="AF345" s="23" t="str">
        <f>IFERROR(VLOOKUP(Z345,'[1]End Logística Oi'!$D$3:$D$29,1,0),"")</f>
        <v/>
      </c>
      <c r="AG345" s="23" t="str">
        <f>IFERROR(VLOOKUP(Z345,'[1]End Logística Oi'!$J$3:$J$29,1,0),"")</f>
        <v/>
      </c>
      <c r="AI345" s="23" t="s">
        <v>55</v>
      </c>
      <c r="AJ345" s="23" t="s">
        <v>55</v>
      </c>
      <c r="AK345" s="23" t="e">
        <v>#N/A</v>
      </c>
    </row>
    <row r="346" spans="1:37" s="34" customFormat="1" ht="15" hidden="1" customHeight="1" x14ac:dyDescent="0.25">
      <c r="A346" s="26">
        <v>344</v>
      </c>
      <c r="B346" s="26" t="s">
        <v>156</v>
      </c>
      <c r="C346" s="27" t="s">
        <v>366</v>
      </c>
      <c r="D346" s="26" t="s">
        <v>1631</v>
      </c>
      <c r="E346" s="26" t="s">
        <v>41</v>
      </c>
      <c r="F346" s="26" t="s">
        <v>1653</v>
      </c>
      <c r="G346" s="28">
        <v>16920000871</v>
      </c>
      <c r="H346" s="26" t="s">
        <v>1769</v>
      </c>
      <c r="I346" s="29">
        <v>45518</v>
      </c>
      <c r="J346" s="30"/>
      <c r="K346" s="19" t="s">
        <v>45</v>
      </c>
      <c r="L346" s="29" t="s">
        <v>1770</v>
      </c>
      <c r="M346" s="29">
        <v>45546</v>
      </c>
      <c r="N346" s="32"/>
      <c r="O346" s="36" t="s">
        <v>45</v>
      </c>
      <c r="P346" s="31">
        <v>143996269</v>
      </c>
      <c r="Q346" s="29">
        <v>45518</v>
      </c>
      <c r="R346" s="32"/>
      <c r="S346" s="36" t="s">
        <v>45</v>
      </c>
      <c r="T346" s="31" t="s">
        <v>1771</v>
      </c>
      <c r="U346" s="31" t="s">
        <v>1772</v>
      </c>
      <c r="V346" s="27" t="s">
        <v>162</v>
      </c>
      <c r="W346" s="31" t="s">
        <v>1773</v>
      </c>
      <c r="X346" s="21" t="s">
        <v>52</v>
      </c>
      <c r="Y346" s="22">
        <v>53420564002193</v>
      </c>
      <c r="Z346" s="23">
        <f t="shared" si="9"/>
        <v>344</v>
      </c>
      <c r="AA346" s="24" t="str">
        <f>IFERROR(VLOOKUP($Z346,'[1]End Fat Serviço - PA 15 e 16'!$K$3:$K$31,1,0), "")</f>
        <v/>
      </c>
      <c r="AB346" s="24" t="str">
        <f>IFERROR(VLOOKUP($Z346,'[1]End Fat Material - PA 12'!$K$3:$K$64,1,0), "")</f>
        <v/>
      </c>
      <c r="AC346" s="24" t="str">
        <f>IFERROR(VLOOKUP($Z346,'[1]End CA Lotação'!$L$3:$L$36,1,0), "")</f>
        <v/>
      </c>
      <c r="AD346" s="24" t="str">
        <f>IFERROR(VLOOKUP(Z346,'[1]RH - PARA 21.03'!$M$3:$M$555,1,0),"")</f>
        <v/>
      </c>
      <c r="AE346" s="23" t="str">
        <f>IFERROR(VLOOKUP($Z346,'[1]CNPJ Oi Fat'!$K$3:$K$32,1,0),"")</f>
        <v/>
      </c>
      <c r="AF346" s="23" t="str">
        <f>IFERROR(VLOOKUP(Z346,'[1]End Logística Oi'!$D$3:$D$29,1,0),"")</f>
        <v/>
      </c>
      <c r="AG346" s="23" t="str">
        <f>IFERROR(VLOOKUP(Z346,'[1]End Logística Oi'!$J$3:$J$29,1,0),"")</f>
        <v/>
      </c>
      <c r="AI346" s="23" t="s">
        <v>55</v>
      </c>
      <c r="AJ346" s="23" t="s">
        <v>55</v>
      </c>
      <c r="AK346" s="23" t="e">
        <v>#N/A</v>
      </c>
    </row>
    <row r="347" spans="1:37" s="34" customFormat="1" ht="15" hidden="1" customHeight="1" x14ac:dyDescent="0.25">
      <c r="A347" s="26">
        <v>345</v>
      </c>
      <c r="B347" s="26" t="s">
        <v>77</v>
      </c>
      <c r="C347" s="27" t="s">
        <v>366</v>
      </c>
      <c r="D347" s="26" t="s">
        <v>1631</v>
      </c>
      <c r="E347" s="26" t="s">
        <v>41</v>
      </c>
      <c r="F347" s="26" t="s">
        <v>1653</v>
      </c>
      <c r="G347" s="28">
        <v>14920007831</v>
      </c>
      <c r="H347" s="26" t="s">
        <v>1774</v>
      </c>
      <c r="I347" s="29">
        <v>45519</v>
      </c>
      <c r="J347" s="30"/>
      <c r="K347" s="19" t="s">
        <v>45</v>
      </c>
      <c r="L347" s="29" t="s">
        <v>1775</v>
      </c>
      <c r="M347" s="29">
        <v>45618</v>
      </c>
      <c r="N347" s="32"/>
      <c r="O347" s="36" t="s">
        <v>45</v>
      </c>
      <c r="P347" s="31" t="s">
        <v>1776</v>
      </c>
      <c r="Q347" s="29">
        <v>45548</v>
      </c>
      <c r="R347" s="32"/>
      <c r="S347" s="36" t="s">
        <v>45</v>
      </c>
      <c r="T347" s="31" t="s">
        <v>1777</v>
      </c>
      <c r="U347" s="31" t="s">
        <v>1778</v>
      </c>
      <c r="V347" s="27" t="s">
        <v>83</v>
      </c>
      <c r="W347" s="31" t="s">
        <v>1779</v>
      </c>
      <c r="X347" s="21" t="s">
        <v>52</v>
      </c>
      <c r="Y347" s="22">
        <v>53420564002274</v>
      </c>
      <c r="Z347" s="23">
        <f t="shared" si="9"/>
        <v>345</v>
      </c>
      <c r="AA347" s="24" t="str">
        <f>IFERROR(VLOOKUP($Z347,'[1]End Fat Serviço - PA 15 e 16'!$K$3:$K$31,1,0), "")</f>
        <v/>
      </c>
      <c r="AB347" s="24" t="str">
        <f>IFERROR(VLOOKUP($Z347,'[1]End Fat Material - PA 12'!$K$3:$K$64,1,0), "")</f>
        <v/>
      </c>
      <c r="AC347" s="24" t="str">
        <f>IFERROR(VLOOKUP($Z347,'[1]End CA Lotação'!$L$3:$L$36,1,0), "")</f>
        <v/>
      </c>
      <c r="AD347" s="24" t="str">
        <f>IFERROR(VLOOKUP(Z347,'[1]RH - PARA 21.03'!$M$3:$M$555,1,0),"")</f>
        <v/>
      </c>
      <c r="AE347" s="23" t="str">
        <f>IFERROR(VLOOKUP($Z347,'[1]CNPJ Oi Fat'!$K$3:$K$32,1,0),"")</f>
        <v/>
      </c>
      <c r="AF347" s="23" t="str">
        <f>IFERROR(VLOOKUP(Z347,'[1]End Logística Oi'!$D$3:$D$29,1,0),"")</f>
        <v/>
      </c>
      <c r="AG347" s="23" t="str">
        <f>IFERROR(VLOOKUP(Z347,'[1]End Logística Oi'!$J$3:$J$29,1,0),"")</f>
        <v/>
      </c>
      <c r="AI347" s="23" t="s">
        <v>55</v>
      </c>
      <c r="AJ347" s="23" t="s">
        <v>55</v>
      </c>
      <c r="AK347" s="23" t="e">
        <v>#N/A</v>
      </c>
    </row>
    <row r="348" spans="1:37" s="34" customFormat="1" ht="15" hidden="1" customHeight="1" x14ac:dyDescent="0.25">
      <c r="A348" s="26">
        <v>346</v>
      </c>
      <c r="B348" s="26" t="s">
        <v>271</v>
      </c>
      <c r="C348" s="27" t="s">
        <v>366</v>
      </c>
      <c r="D348" s="26" t="s">
        <v>1780</v>
      </c>
      <c r="E348" s="26" t="s">
        <v>41</v>
      </c>
      <c r="F348" s="26" t="s">
        <v>1638</v>
      </c>
      <c r="G348" s="28">
        <v>32900717480</v>
      </c>
      <c r="H348" s="26" t="s">
        <v>1781</v>
      </c>
      <c r="I348" s="29">
        <v>45527</v>
      </c>
      <c r="J348" s="30"/>
      <c r="K348" s="19" t="s">
        <v>45</v>
      </c>
      <c r="L348" s="31" t="s">
        <v>1782</v>
      </c>
      <c r="M348" s="29">
        <v>45537</v>
      </c>
      <c r="N348" s="32"/>
      <c r="O348" s="31" t="s">
        <v>45</v>
      </c>
      <c r="P348" s="31" t="s">
        <v>1783</v>
      </c>
      <c r="Q348" s="29">
        <v>45527</v>
      </c>
      <c r="R348" s="32"/>
      <c r="S348" s="31" t="s">
        <v>45</v>
      </c>
      <c r="T348" s="36" t="s">
        <v>1784</v>
      </c>
      <c r="U348" s="31" t="s">
        <v>49</v>
      </c>
      <c r="V348" s="27" t="s">
        <v>658</v>
      </c>
      <c r="W348" s="31" t="s">
        <v>1669</v>
      </c>
      <c r="X348" s="21" t="s">
        <v>52</v>
      </c>
      <c r="Y348" s="22">
        <v>53420538000545</v>
      </c>
      <c r="Z348" s="23">
        <f t="shared" si="9"/>
        <v>346</v>
      </c>
      <c r="AA348" s="24" t="str">
        <f>IFERROR(VLOOKUP($Z348,'[1]End Fat Serviço - PA 15 e 16'!$K$3:$K$31,1,0), "")</f>
        <v/>
      </c>
      <c r="AB348" s="24" t="str">
        <f>IFERROR(VLOOKUP($Z348,'[1]End Fat Material - PA 12'!$K$3:$K$64,1,0), "")</f>
        <v/>
      </c>
      <c r="AC348" s="24" t="str">
        <f>IFERROR(VLOOKUP($Z348,'[1]End CA Lotação'!$L$3:$L$36,1,0), "")</f>
        <v/>
      </c>
      <c r="AD348" s="24" t="str">
        <f>IFERROR(VLOOKUP(Z348,'[1]RH - PARA 21.03'!$M$3:$M$555,1,0),"")</f>
        <v/>
      </c>
      <c r="AE348" s="23" t="str">
        <f>IFERROR(VLOOKUP($Z348,'[1]CNPJ Oi Fat'!$K$3:$K$32,1,0),"")</f>
        <v/>
      </c>
      <c r="AF348" s="23" t="str">
        <f>IFERROR(VLOOKUP(Z348,'[1]End Logística Oi'!$D$3:$D$29,1,0),"")</f>
        <v/>
      </c>
      <c r="AG348" s="23" t="str">
        <f>IFERROR(VLOOKUP(Z348,'[1]End Logística Oi'!$J$3:$J$29,1,0),"")</f>
        <v/>
      </c>
      <c r="AI348" s="23" t="s">
        <v>55</v>
      </c>
      <c r="AJ348" s="23" t="s">
        <v>55</v>
      </c>
      <c r="AK348" s="23" t="e">
        <v>#N/A</v>
      </c>
    </row>
    <row r="349" spans="1:37" s="34" customFormat="1" ht="15" hidden="1" customHeight="1" x14ac:dyDescent="0.25">
      <c r="A349" s="26">
        <v>347</v>
      </c>
      <c r="B349" s="26" t="s">
        <v>245</v>
      </c>
      <c r="C349" s="27" t="s">
        <v>366</v>
      </c>
      <c r="D349" s="26" t="s">
        <v>1780</v>
      </c>
      <c r="E349" s="26" t="s">
        <v>41</v>
      </c>
      <c r="F349" s="26" t="s">
        <v>1638</v>
      </c>
      <c r="G349" s="28">
        <v>21900616625</v>
      </c>
      <c r="H349" s="26" t="s">
        <v>1785</v>
      </c>
      <c r="I349" s="29">
        <v>45527</v>
      </c>
      <c r="J349" s="30"/>
      <c r="K349" s="19" t="s">
        <v>45</v>
      </c>
      <c r="L349" s="31" t="s">
        <v>1786</v>
      </c>
      <c r="M349" s="29">
        <v>45527</v>
      </c>
      <c r="N349" s="32"/>
      <c r="O349" s="31" t="s">
        <v>45</v>
      </c>
      <c r="P349" s="31">
        <v>3682458383</v>
      </c>
      <c r="Q349" s="29">
        <v>45527</v>
      </c>
      <c r="R349" s="32"/>
      <c r="S349" s="31" t="s">
        <v>45</v>
      </c>
      <c r="T349" s="36" t="s">
        <v>1787</v>
      </c>
      <c r="U349" s="31" t="s">
        <v>251</v>
      </c>
      <c r="V349" s="27" t="s">
        <v>1339</v>
      </c>
      <c r="W349" s="31" t="s">
        <v>253</v>
      </c>
      <c r="X349" s="21" t="s">
        <v>52</v>
      </c>
      <c r="Y349" s="22">
        <v>53420538000626</v>
      </c>
      <c r="Z349" s="23">
        <f t="shared" si="9"/>
        <v>347</v>
      </c>
      <c r="AA349" s="24" t="str">
        <f>IFERROR(VLOOKUP($Z349,'[1]End Fat Serviço - PA 15 e 16'!$K$3:$K$31,1,0), "")</f>
        <v/>
      </c>
      <c r="AB349" s="24" t="str">
        <f>IFERROR(VLOOKUP($Z349,'[1]End Fat Material - PA 12'!$K$3:$K$64,1,0), "")</f>
        <v/>
      </c>
      <c r="AC349" s="24" t="str">
        <f>IFERROR(VLOOKUP($Z349,'[1]End CA Lotação'!$L$3:$L$36,1,0), "")</f>
        <v/>
      </c>
      <c r="AD349" s="24" t="str">
        <f>IFERROR(VLOOKUP(Z349,'[1]RH - PARA 21.03'!$M$3:$M$555,1,0),"")</f>
        <v/>
      </c>
      <c r="AE349" s="23" t="str">
        <f>IFERROR(VLOOKUP($Z349,'[1]CNPJ Oi Fat'!$K$3:$K$32,1,0),"")</f>
        <v/>
      </c>
      <c r="AF349" s="23" t="str">
        <f>IFERROR(VLOOKUP(Z349,'[1]End Logística Oi'!$D$3:$D$29,1,0),"")</f>
        <v/>
      </c>
      <c r="AG349" s="23" t="str">
        <f>IFERROR(VLOOKUP(Z349,'[1]End Logística Oi'!$J$3:$J$29,1,0),"")</f>
        <v/>
      </c>
      <c r="AI349" s="23" t="s">
        <v>55</v>
      </c>
      <c r="AJ349" s="23" t="s">
        <v>55</v>
      </c>
      <c r="AK349" s="23" t="e">
        <v>#N/A</v>
      </c>
    </row>
    <row r="350" spans="1:37" s="34" customFormat="1" ht="15" hidden="1" customHeight="1" x14ac:dyDescent="0.25">
      <c r="A350" s="26">
        <v>348</v>
      </c>
      <c r="B350" s="26" t="s">
        <v>68</v>
      </c>
      <c r="C350" s="27" t="s">
        <v>366</v>
      </c>
      <c r="D350" s="26" t="s">
        <v>1780</v>
      </c>
      <c r="E350" s="26" t="s">
        <v>41</v>
      </c>
      <c r="F350" s="26" t="s">
        <v>1638</v>
      </c>
      <c r="G350" s="28">
        <v>31920153904</v>
      </c>
      <c r="H350" s="26" t="s">
        <v>1788</v>
      </c>
      <c r="I350" s="29">
        <v>45527</v>
      </c>
      <c r="J350" s="30"/>
      <c r="K350" s="19" t="s">
        <v>45</v>
      </c>
      <c r="L350" s="31" t="s">
        <v>1789</v>
      </c>
      <c r="M350" s="29">
        <v>45573</v>
      </c>
      <c r="N350" s="32"/>
      <c r="O350" s="31" t="s">
        <v>45</v>
      </c>
      <c r="P350" s="31">
        <v>15868600014</v>
      </c>
      <c r="Q350" s="29">
        <v>45527</v>
      </c>
      <c r="R350" s="32"/>
      <c r="S350" s="31" t="s">
        <v>45</v>
      </c>
      <c r="T350" s="36" t="s">
        <v>1790</v>
      </c>
      <c r="U350" s="31" t="s">
        <v>1515</v>
      </c>
      <c r="V350" s="27" t="s">
        <v>75</v>
      </c>
      <c r="W350" s="31" t="s">
        <v>76</v>
      </c>
      <c r="X350" s="21" t="s">
        <v>52</v>
      </c>
      <c r="Y350" s="22">
        <v>53420538000707</v>
      </c>
      <c r="Z350" s="23">
        <f t="shared" si="9"/>
        <v>348</v>
      </c>
      <c r="AA350" s="24" t="str">
        <f>IFERROR(VLOOKUP($Z350,'[1]End Fat Serviço - PA 15 e 16'!$K$3:$K$31,1,0), "")</f>
        <v/>
      </c>
      <c r="AB350" s="24" t="str">
        <f>IFERROR(VLOOKUP($Z350,'[1]End Fat Material - PA 12'!$K$3:$K$64,1,0), "")</f>
        <v/>
      </c>
      <c r="AC350" s="24" t="str">
        <f>IFERROR(VLOOKUP($Z350,'[1]End CA Lotação'!$L$3:$L$36,1,0), "")</f>
        <v/>
      </c>
      <c r="AD350" s="24" t="str">
        <f>IFERROR(VLOOKUP(Z350,'[1]RH - PARA 21.03'!$M$3:$M$555,1,0),"")</f>
        <v/>
      </c>
      <c r="AE350" s="23" t="str">
        <f>IFERROR(VLOOKUP($Z350,'[1]CNPJ Oi Fat'!$K$3:$K$32,1,0),"")</f>
        <v/>
      </c>
      <c r="AF350" s="23" t="str">
        <f>IFERROR(VLOOKUP(Z350,'[1]End Logística Oi'!$D$3:$D$29,1,0),"")</f>
        <v/>
      </c>
      <c r="AG350" s="23" t="str">
        <f>IFERROR(VLOOKUP(Z350,'[1]End Logística Oi'!$J$3:$J$29,1,0),"")</f>
        <v/>
      </c>
      <c r="AI350" s="23" t="s">
        <v>55</v>
      </c>
      <c r="AJ350" s="23" t="s">
        <v>55</v>
      </c>
      <c r="AK350" s="23" t="e">
        <v>#N/A</v>
      </c>
    </row>
    <row r="351" spans="1:37" s="34" customFormat="1" ht="15" hidden="1" customHeight="1" x14ac:dyDescent="0.25">
      <c r="A351" s="26">
        <v>349</v>
      </c>
      <c r="B351" s="26" t="s">
        <v>263</v>
      </c>
      <c r="C351" s="27" t="s">
        <v>366</v>
      </c>
      <c r="D351" s="26" t="s">
        <v>1780</v>
      </c>
      <c r="E351" s="26" t="s">
        <v>41</v>
      </c>
      <c r="F351" s="26" t="s">
        <v>1638</v>
      </c>
      <c r="G351" s="28">
        <v>22900456874</v>
      </c>
      <c r="H351" s="26" t="s">
        <v>1791</v>
      </c>
      <c r="I351" s="29">
        <v>45527</v>
      </c>
      <c r="J351" s="30"/>
      <c r="K351" s="19" t="s">
        <v>45</v>
      </c>
      <c r="L351" s="31" t="s">
        <v>1792</v>
      </c>
      <c r="M351" s="29">
        <v>45544</v>
      </c>
      <c r="N351" s="32"/>
      <c r="O351" s="31" t="s">
        <v>45</v>
      </c>
      <c r="P351" s="31" t="s">
        <v>1793</v>
      </c>
      <c r="Q351" s="29">
        <v>45527</v>
      </c>
      <c r="R351" s="32"/>
      <c r="S351" s="31" t="s">
        <v>45</v>
      </c>
      <c r="T351" s="36" t="s">
        <v>1794</v>
      </c>
      <c r="U351" s="31" t="s">
        <v>49</v>
      </c>
      <c r="V351" s="27" t="s">
        <v>269</v>
      </c>
      <c r="W351" s="31" t="s">
        <v>1707</v>
      </c>
      <c r="X351" s="21" t="s">
        <v>52</v>
      </c>
      <c r="Y351" s="22">
        <v>53420538000898</v>
      </c>
      <c r="Z351" s="23">
        <f t="shared" si="9"/>
        <v>349</v>
      </c>
      <c r="AA351" s="24" t="str">
        <f>IFERROR(VLOOKUP($Z351,'[1]End Fat Serviço - PA 15 e 16'!$K$3:$K$31,1,0), "")</f>
        <v/>
      </c>
      <c r="AB351" s="24" t="str">
        <f>IFERROR(VLOOKUP($Z351,'[1]End Fat Material - PA 12'!$K$3:$K$64,1,0), "")</f>
        <v/>
      </c>
      <c r="AC351" s="24" t="str">
        <f>IFERROR(VLOOKUP($Z351,'[1]End CA Lotação'!$L$3:$L$36,1,0), "")</f>
        <v/>
      </c>
      <c r="AD351" s="24" t="str">
        <f>IFERROR(VLOOKUP(Z351,'[1]RH - PARA 21.03'!$M$3:$M$555,1,0),"")</f>
        <v/>
      </c>
      <c r="AE351" s="23" t="str">
        <f>IFERROR(VLOOKUP($Z351,'[1]CNPJ Oi Fat'!$K$3:$K$32,1,0),"")</f>
        <v/>
      </c>
      <c r="AF351" s="23" t="str">
        <f>IFERROR(VLOOKUP(Z351,'[1]End Logística Oi'!$D$3:$D$29,1,0),"")</f>
        <v/>
      </c>
      <c r="AG351" s="23" t="str">
        <f>IFERROR(VLOOKUP(Z351,'[1]End Logística Oi'!$J$3:$J$29,1,0),"")</f>
        <v/>
      </c>
      <c r="AI351" s="23" t="s">
        <v>55</v>
      </c>
      <c r="AJ351" s="23" t="s">
        <v>55</v>
      </c>
      <c r="AK351" s="23" t="e">
        <v>#N/A</v>
      </c>
    </row>
    <row r="352" spans="1:37" s="34" customFormat="1" ht="15" hidden="1" customHeight="1" x14ac:dyDescent="0.25">
      <c r="A352" s="26">
        <v>350</v>
      </c>
      <c r="B352" s="26" t="s">
        <v>122</v>
      </c>
      <c r="C352" s="27" t="s">
        <v>366</v>
      </c>
      <c r="D352" s="26" t="s">
        <v>1780</v>
      </c>
      <c r="E352" s="26" t="s">
        <v>41</v>
      </c>
      <c r="F352" s="26" t="s">
        <v>1638</v>
      </c>
      <c r="G352" s="28">
        <v>42902161479</v>
      </c>
      <c r="H352" s="26" t="s">
        <v>1795</v>
      </c>
      <c r="I352" s="29">
        <v>45527</v>
      </c>
      <c r="J352" s="30"/>
      <c r="K352" s="19" t="s">
        <v>45</v>
      </c>
      <c r="L352" s="31">
        <v>263114503</v>
      </c>
      <c r="M352" s="29">
        <v>45527</v>
      </c>
      <c r="N352" s="32"/>
      <c r="O352" s="36" t="s">
        <v>45</v>
      </c>
      <c r="P352" s="31">
        <v>8241134</v>
      </c>
      <c r="Q352" s="29">
        <v>45527</v>
      </c>
      <c r="R352" s="32"/>
      <c r="S352" s="36" t="s">
        <v>45</v>
      </c>
      <c r="T352" s="36" t="s">
        <v>1796</v>
      </c>
      <c r="U352" s="31" t="s">
        <v>1684</v>
      </c>
      <c r="V352" s="27" t="s">
        <v>1572</v>
      </c>
      <c r="W352" s="31" t="s">
        <v>1686</v>
      </c>
      <c r="X352" s="21" t="s">
        <v>52</v>
      </c>
      <c r="Y352" s="22">
        <v>53420538000979</v>
      </c>
      <c r="Z352" s="23">
        <f t="shared" si="9"/>
        <v>350</v>
      </c>
      <c r="AA352" s="24" t="str">
        <f>IFERROR(VLOOKUP($Z352,'[1]End Fat Serviço - PA 15 e 16'!$K$3:$K$31,1,0), "")</f>
        <v/>
      </c>
      <c r="AB352" s="24" t="str">
        <f>IFERROR(VLOOKUP($Z352,'[1]End Fat Material - PA 12'!$K$3:$K$64,1,0), "")</f>
        <v/>
      </c>
      <c r="AC352" s="24" t="str">
        <f>IFERROR(VLOOKUP($Z352,'[1]End CA Lotação'!$L$3:$L$36,1,0), "")</f>
        <v/>
      </c>
      <c r="AD352" s="24" t="str">
        <f>IFERROR(VLOOKUP(Z352,'[1]RH - PARA 21.03'!$M$3:$M$555,1,0),"")</f>
        <v/>
      </c>
      <c r="AE352" s="23" t="str">
        <f>IFERROR(VLOOKUP($Z352,'[1]CNPJ Oi Fat'!$K$3:$K$32,1,0),"")</f>
        <v/>
      </c>
      <c r="AF352" s="23" t="str">
        <f>IFERROR(VLOOKUP(Z352,'[1]End Logística Oi'!$D$3:$D$29,1,0),"")</f>
        <v/>
      </c>
      <c r="AG352" s="23" t="str">
        <f>IFERROR(VLOOKUP(Z352,'[1]End Logística Oi'!$J$3:$J$29,1,0),"")</f>
        <v/>
      </c>
      <c r="AI352" s="23" t="s">
        <v>55</v>
      </c>
      <c r="AJ352" s="23" t="s">
        <v>55</v>
      </c>
      <c r="AK352" s="23" t="e">
        <v>#N/A</v>
      </c>
    </row>
    <row r="353" spans="1:37" s="34" customFormat="1" ht="15" hidden="1" customHeight="1" x14ac:dyDescent="0.25">
      <c r="A353" s="26">
        <v>351</v>
      </c>
      <c r="B353" s="26" t="s">
        <v>192</v>
      </c>
      <c r="C353" s="27" t="s">
        <v>366</v>
      </c>
      <c r="D353" s="26" t="s">
        <v>1780</v>
      </c>
      <c r="E353" s="26" t="s">
        <v>41</v>
      </c>
      <c r="F353" s="26" t="s">
        <v>1638</v>
      </c>
      <c r="G353" s="28">
        <v>17900410226</v>
      </c>
      <c r="H353" s="26" t="s">
        <v>1797</v>
      </c>
      <c r="I353" s="29">
        <v>45527</v>
      </c>
      <c r="J353" s="30"/>
      <c r="K353" s="19" t="s">
        <v>45</v>
      </c>
      <c r="L353" s="31" t="s">
        <v>1798</v>
      </c>
      <c r="M353" s="29">
        <v>45587</v>
      </c>
      <c r="N353" s="32"/>
      <c r="O353" s="31" t="s">
        <v>45</v>
      </c>
      <c r="P353" s="31">
        <v>2465370</v>
      </c>
      <c r="Q353" s="29">
        <v>45530</v>
      </c>
      <c r="R353" s="32"/>
      <c r="S353" s="31" t="s">
        <v>45</v>
      </c>
      <c r="T353" s="36" t="s">
        <v>1799</v>
      </c>
      <c r="U353" s="31" t="s">
        <v>197</v>
      </c>
      <c r="V353" s="27" t="s">
        <v>198</v>
      </c>
      <c r="W353" s="31" t="s">
        <v>199</v>
      </c>
      <c r="X353" s="21" t="s">
        <v>52</v>
      </c>
      <c r="Y353" s="22">
        <v>53420538001002</v>
      </c>
      <c r="Z353" s="23">
        <f t="shared" si="9"/>
        <v>351</v>
      </c>
      <c r="AA353" s="24" t="str">
        <f>IFERROR(VLOOKUP($Z353,'[1]End Fat Serviço - PA 15 e 16'!$K$3:$K$31,1,0), "")</f>
        <v/>
      </c>
      <c r="AB353" s="24" t="str">
        <f>IFERROR(VLOOKUP($Z353,'[1]End Fat Material - PA 12'!$K$3:$K$64,1,0), "")</f>
        <v/>
      </c>
      <c r="AC353" s="24" t="str">
        <f>IFERROR(VLOOKUP($Z353,'[1]End CA Lotação'!$L$3:$L$36,1,0), "")</f>
        <v/>
      </c>
      <c r="AD353" s="24" t="str">
        <f>IFERROR(VLOOKUP(Z353,'[1]RH - PARA 21.03'!$M$3:$M$555,1,0),"")</f>
        <v/>
      </c>
      <c r="AE353" s="23" t="str">
        <f>IFERROR(VLOOKUP($Z353,'[1]CNPJ Oi Fat'!$K$3:$K$32,1,0),"")</f>
        <v/>
      </c>
      <c r="AF353" s="23" t="str">
        <f>IFERROR(VLOOKUP(Z353,'[1]End Logística Oi'!$D$3:$D$29,1,0),"")</f>
        <v/>
      </c>
      <c r="AG353" s="23" t="str">
        <f>IFERROR(VLOOKUP(Z353,'[1]End Logística Oi'!$J$3:$J$29,1,0),"")</f>
        <v/>
      </c>
      <c r="AI353" s="23" t="s">
        <v>55</v>
      </c>
      <c r="AJ353" s="23" t="s">
        <v>55</v>
      </c>
      <c r="AK353" s="23" t="e">
        <v>#N/A</v>
      </c>
    </row>
    <row r="354" spans="1:37" s="34" customFormat="1" ht="15" hidden="1" customHeight="1" x14ac:dyDescent="0.25">
      <c r="A354" s="26">
        <v>352</v>
      </c>
      <c r="B354" s="26" t="s">
        <v>95</v>
      </c>
      <c r="C354" s="27" t="s">
        <v>366</v>
      </c>
      <c r="D354" s="26" t="s">
        <v>1631</v>
      </c>
      <c r="E354" s="26" t="s">
        <v>41</v>
      </c>
      <c r="F354" s="26" t="s">
        <v>1653</v>
      </c>
      <c r="G354" s="28" t="s">
        <v>1800</v>
      </c>
      <c r="H354" s="26" t="s">
        <v>1801</v>
      </c>
      <c r="I354" s="29">
        <v>45530</v>
      </c>
      <c r="J354" s="30"/>
      <c r="K354" s="19" t="s">
        <v>45</v>
      </c>
      <c r="L354" s="31" t="s">
        <v>1802</v>
      </c>
      <c r="M354" s="29">
        <v>45562</v>
      </c>
      <c r="N354" s="32"/>
      <c r="O354" s="31" t="s">
        <v>45</v>
      </c>
      <c r="P354" s="31" t="s">
        <v>1803</v>
      </c>
      <c r="Q354" s="29">
        <v>45530</v>
      </c>
      <c r="R354" s="32"/>
      <c r="S354" s="31" t="s">
        <v>45</v>
      </c>
      <c r="T354" s="36" t="s">
        <v>1804</v>
      </c>
      <c r="U354" s="31" t="s">
        <v>1805</v>
      </c>
      <c r="V354" s="27" t="s">
        <v>102</v>
      </c>
      <c r="W354" s="31" t="s">
        <v>1806</v>
      </c>
      <c r="X354" s="21" t="s">
        <v>52</v>
      </c>
      <c r="Y354" s="22">
        <v>53420564002436</v>
      </c>
      <c r="Z354" s="23">
        <f t="shared" si="9"/>
        <v>352</v>
      </c>
      <c r="AA354" s="24" t="str">
        <f>IFERROR(VLOOKUP($Z354,'[1]End Fat Serviço - PA 15 e 16'!$K$3:$K$31,1,0), "")</f>
        <v/>
      </c>
      <c r="AB354" s="24" t="str">
        <f>IFERROR(VLOOKUP($Z354,'[1]End Fat Material - PA 12'!$K$3:$K$64,1,0), "")</f>
        <v/>
      </c>
      <c r="AC354" s="24" t="str">
        <f>IFERROR(VLOOKUP($Z354,'[1]End CA Lotação'!$L$3:$L$36,1,0), "")</f>
        <v/>
      </c>
      <c r="AD354" s="24" t="str">
        <f>IFERROR(VLOOKUP(Z354,'[1]RH - PARA 21.03'!$M$3:$M$555,1,0),"")</f>
        <v/>
      </c>
      <c r="AE354" s="23" t="str">
        <f>IFERROR(VLOOKUP($Z354,'[1]CNPJ Oi Fat'!$K$3:$K$32,1,0),"")</f>
        <v/>
      </c>
      <c r="AF354" s="23" t="str">
        <f>IFERROR(VLOOKUP(Z354,'[1]End Logística Oi'!$D$3:$D$29,1,0),"")</f>
        <v/>
      </c>
      <c r="AG354" s="23" t="str">
        <f>IFERROR(VLOOKUP(Z354,'[1]End Logística Oi'!$J$3:$J$29,1,0),"")</f>
        <v/>
      </c>
      <c r="AI354" s="23" t="s">
        <v>55</v>
      </c>
      <c r="AJ354" s="23" t="s">
        <v>55</v>
      </c>
      <c r="AK354" s="23" t="e">
        <v>#N/A</v>
      </c>
    </row>
    <row r="355" spans="1:37" s="34" customFormat="1" ht="15" hidden="1" customHeight="1" x14ac:dyDescent="0.25">
      <c r="A355" s="26">
        <v>353</v>
      </c>
      <c r="B355" s="26" t="s">
        <v>38</v>
      </c>
      <c r="C355" s="27" t="s">
        <v>366</v>
      </c>
      <c r="D355" s="26" t="s">
        <v>1631</v>
      </c>
      <c r="E355" s="26" t="s">
        <v>41</v>
      </c>
      <c r="F355" s="26" t="s">
        <v>1653</v>
      </c>
      <c r="G355" s="28" t="s">
        <v>1807</v>
      </c>
      <c r="H355" s="26" t="s">
        <v>1808</v>
      </c>
      <c r="I355" s="29">
        <v>45530</v>
      </c>
      <c r="J355" s="30"/>
      <c r="K355" s="19" t="s">
        <v>45</v>
      </c>
      <c r="L355" s="31" t="s">
        <v>1809</v>
      </c>
      <c r="M355" s="29">
        <v>45530</v>
      </c>
      <c r="N355" s="32"/>
      <c r="O355" s="36" t="s">
        <v>45</v>
      </c>
      <c r="P355" s="31" t="s">
        <v>1810</v>
      </c>
      <c r="Q355" s="29">
        <v>45530</v>
      </c>
      <c r="R355" s="32"/>
      <c r="S355" s="31" t="s">
        <v>45</v>
      </c>
      <c r="T355" s="36" t="s">
        <v>1811</v>
      </c>
      <c r="U355" s="31" t="s">
        <v>1812</v>
      </c>
      <c r="V355" s="27" t="s">
        <v>50</v>
      </c>
      <c r="W355" s="31" t="s">
        <v>1813</v>
      </c>
      <c r="X355" s="21" t="s">
        <v>52</v>
      </c>
      <c r="Y355" s="22">
        <v>53420564002517</v>
      </c>
      <c r="Z355" s="23">
        <f t="shared" si="9"/>
        <v>353</v>
      </c>
      <c r="AA355" s="24" t="str">
        <f>IFERROR(VLOOKUP($Z355,'[1]End Fat Serviço - PA 15 e 16'!$K$3:$K$31,1,0), "")</f>
        <v/>
      </c>
      <c r="AB355" s="24" t="str">
        <f>IFERROR(VLOOKUP($Z355,'[1]End Fat Material - PA 12'!$K$3:$K$64,1,0), "")</f>
        <v/>
      </c>
      <c r="AC355" s="24" t="str">
        <f>IFERROR(VLOOKUP($Z355,'[1]End CA Lotação'!$L$3:$L$36,1,0), "")</f>
        <v/>
      </c>
      <c r="AD355" s="24" t="str">
        <f>IFERROR(VLOOKUP(Z355,'[1]RH - PARA 21.03'!$M$3:$M$555,1,0),"")</f>
        <v/>
      </c>
      <c r="AE355" s="23" t="str">
        <f>IFERROR(VLOOKUP($Z355,'[1]CNPJ Oi Fat'!$K$3:$K$32,1,0),"")</f>
        <v/>
      </c>
      <c r="AF355" s="23" t="str">
        <f>IFERROR(VLOOKUP(Z355,'[1]End Logística Oi'!$D$3:$D$29,1,0),"")</f>
        <v/>
      </c>
      <c r="AG355" s="23" t="str">
        <f>IFERROR(VLOOKUP(Z355,'[1]End Logística Oi'!$J$3:$J$29,1,0),"")</f>
        <v/>
      </c>
      <c r="AI355" s="23" t="s">
        <v>55</v>
      </c>
      <c r="AJ355" s="23" t="s">
        <v>55</v>
      </c>
      <c r="AK355" s="23" t="e">
        <v>#N/A</v>
      </c>
    </row>
    <row r="356" spans="1:37" s="34" customFormat="1" ht="15" hidden="1" customHeight="1" x14ac:dyDescent="0.25">
      <c r="A356" s="26">
        <v>354</v>
      </c>
      <c r="B356" s="26" t="s">
        <v>77</v>
      </c>
      <c r="C356" s="27" t="s">
        <v>366</v>
      </c>
      <c r="D356" s="26" t="s">
        <v>1780</v>
      </c>
      <c r="E356" s="26" t="s">
        <v>41</v>
      </c>
      <c r="F356" s="26" t="s">
        <v>1638</v>
      </c>
      <c r="G356" s="28">
        <v>14920007912</v>
      </c>
      <c r="H356" s="26" t="s">
        <v>1814</v>
      </c>
      <c r="I356" s="29">
        <v>45537</v>
      </c>
      <c r="J356" s="30"/>
      <c r="K356" s="19" t="s">
        <v>45</v>
      </c>
      <c r="L356" s="31" t="s">
        <v>1815</v>
      </c>
      <c r="M356" s="29" t="s">
        <v>90</v>
      </c>
      <c r="N356" s="32"/>
      <c r="O356" s="31" t="s">
        <v>1815</v>
      </c>
      <c r="P356" s="31" t="s">
        <v>1816</v>
      </c>
      <c r="Q356" s="29">
        <v>45538</v>
      </c>
      <c r="R356" s="32"/>
      <c r="S356" s="31" t="s">
        <v>45</v>
      </c>
      <c r="T356" s="36" t="s">
        <v>1817</v>
      </c>
      <c r="U356" s="31" t="s">
        <v>1778</v>
      </c>
      <c r="V356" s="27" t="s">
        <v>83</v>
      </c>
      <c r="W356" s="31" t="s">
        <v>1779</v>
      </c>
      <c r="X356" s="21" t="s">
        <v>52</v>
      </c>
      <c r="Y356" s="22">
        <v>53420538001355</v>
      </c>
      <c r="Z356" s="23">
        <f t="shared" si="9"/>
        <v>354</v>
      </c>
      <c r="AA356" s="24" t="str">
        <f>IFERROR(VLOOKUP($Z356,'[1]End Fat Serviço - PA 15 e 16'!$K$3:$K$31,1,0), "")</f>
        <v/>
      </c>
      <c r="AB356" s="24" t="str">
        <f>IFERROR(VLOOKUP($Z356,'[1]End Fat Material - PA 12'!$K$3:$K$64,1,0), "")</f>
        <v/>
      </c>
      <c r="AC356" s="24" t="str">
        <f>IFERROR(VLOOKUP($Z356,'[1]End CA Lotação'!$L$3:$L$36,1,0), "")</f>
        <v/>
      </c>
      <c r="AD356" s="24" t="str">
        <f>IFERROR(VLOOKUP(Z356,'[1]RH - PARA 21.03'!$M$3:$M$555,1,0),"")</f>
        <v/>
      </c>
      <c r="AE356" s="23" t="str">
        <f>IFERROR(VLOOKUP($Z356,'[1]CNPJ Oi Fat'!$K$3:$K$32,1,0),"")</f>
        <v/>
      </c>
      <c r="AF356" s="23" t="str">
        <f>IFERROR(VLOOKUP(Z356,'[1]End Logística Oi'!$D$3:$D$29,1,0),"")</f>
        <v/>
      </c>
      <c r="AG356" s="23" t="str">
        <f>IFERROR(VLOOKUP(Z356,'[1]End Logística Oi'!$J$3:$J$29,1,0),"")</f>
        <v/>
      </c>
      <c r="AI356" s="23" t="s">
        <v>55</v>
      </c>
      <c r="AJ356" s="23" t="s">
        <v>55</v>
      </c>
      <c r="AK356" s="23" t="e">
        <v>#N/A</v>
      </c>
    </row>
    <row r="357" spans="1:37" s="34" customFormat="1" ht="15" hidden="1" customHeight="1" x14ac:dyDescent="0.25">
      <c r="A357" s="26">
        <v>355</v>
      </c>
      <c r="B357" s="26" t="s">
        <v>38</v>
      </c>
      <c r="C357" s="27" t="s">
        <v>366</v>
      </c>
      <c r="D357" s="26" t="s">
        <v>1780</v>
      </c>
      <c r="E357" s="26" t="s">
        <v>41</v>
      </c>
      <c r="F357" s="26" t="s">
        <v>1638</v>
      </c>
      <c r="G357" s="28">
        <v>28900306541</v>
      </c>
      <c r="H357" s="26" t="s">
        <v>1818</v>
      </c>
      <c r="I357" s="29">
        <v>45537</v>
      </c>
      <c r="J357" s="30"/>
      <c r="K357" s="19" t="s">
        <v>45</v>
      </c>
      <c r="L357" s="31" t="s">
        <v>1819</v>
      </c>
      <c r="M357" s="29">
        <v>45539</v>
      </c>
      <c r="N357" s="32"/>
      <c r="O357" s="36" t="s">
        <v>45</v>
      </c>
      <c r="P357" s="31" t="s">
        <v>1820</v>
      </c>
      <c r="Q357" s="29">
        <v>45537</v>
      </c>
      <c r="R357" s="32"/>
      <c r="S357" s="31" t="s">
        <v>45</v>
      </c>
      <c r="T357" s="36" t="s">
        <v>1811</v>
      </c>
      <c r="U357" s="31" t="s">
        <v>1812</v>
      </c>
      <c r="V357" s="27" t="s">
        <v>50</v>
      </c>
      <c r="W357" s="31" t="s">
        <v>1813</v>
      </c>
      <c r="X357" s="21" t="s">
        <v>52</v>
      </c>
      <c r="Y357" s="22">
        <v>53420538001789</v>
      </c>
      <c r="Z357" s="23">
        <f t="shared" si="9"/>
        <v>355</v>
      </c>
      <c r="AA357" s="24" t="str">
        <f>IFERROR(VLOOKUP($Z357,'[1]End Fat Serviço - PA 15 e 16'!$K$3:$K$31,1,0), "")</f>
        <v/>
      </c>
      <c r="AB357" s="24" t="str">
        <f>IFERROR(VLOOKUP($Z357,'[1]End Fat Material - PA 12'!$K$3:$K$64,1,0), "")</f>
        <v/>
      </c>
      <c r="AC357" s="24" t="str">
        <f>IFERROR(VLOOKUP($Z357,'[1]End CA Lotação'!$L$3:$L$36,1,0), "")</f>
        <v/>
      </c>
      <c r="AD357" s="24" t="str">
        <f>IFERROR(VLOOKUP(Z357,'[1]RH - PARA 21.03'!$M$3:$M$555,1,0),"")</f>
        <v/>
      </c>
      <c r="AE357" s="23" t="str">
        <f>IFERROR(VLOOKUP($Z357,'[1]CNPJ Oi Fat'!$K$3:$K$32,1,0),"")</f>
        <v/>
      </c>
      <c r="AF357" s="23" t="str">
        <f>IFERROR(VLOOKUP(Z357,'[1]End Logística Oi'!$D$3:$D$29,1,0),"")</f>
        <v/>
      </c>
      <c r="AG357" s="23" t="str">
        <f>IFERROR(VLOOKUP(Z357,'[1]End Logística Oi'!$J$3:$J$29,1,0),"")</f>
        <v/>
      </c>
      <c r="AI357" s="23" t="s">
        <v>55</v>
      </c>
      <c r="AJ357" s="23" t="s">
        <v>55</v>
      </c>
      <c r="AK357" s="23" t="e">
        <v>#N/A</v>
      </c>
    </row>
    <row r="358" spans="1:37" s="34" customFormat="1" ht="15" hidden="1" customHeight="1" x14ac:dyDescent="0.25">
      <c r="A358" s="26">
        <v>356</v>
      </c>
      <c r="B358" s="26" t="s">
        <v>95</v>
      </c>
      <c r="C358" s="27" t="s">
        <v>366</v>
      </c>
      <c r="D358" s="26" t="s">
        <v>1780</v>
      </c>
      <c r="E358" s="26" t="s">
        <v>41</v>
      </c>
      <c r="F358" s="26" t="s">
        <v>1638</v>
      </c>
      <c r="G358" s="28">
        <v>54920089253</v>
      </c>
      <c r="H358" s="26" t="s">
        <v>1821</v>
      </c>
      <c r="I358" s="29">
        <v>45537</v>
      </c>
      <c r="J358" s="30"/>
      <c r="K358" s="19" t="s">
        <v>45</v>
      </c>
      <c r="L358" s="31" t="s">
        <v>1822</v>
      </c>
      <c r="M358" s="29">
        <v>45562</v>
      </c>
      <c r="N358" s="32"/>
      <c r="O358" s="36" t="s">
        <v>45</v>
      </c>
      <c r="P358" s="31" t="s">
        <v>1823</v>
      </c>
      <c r="Q358" s="29">
        <v>45541</v>
      </c>
      <c r="R358" s="32"/>
      <c r="S358" s="31" t="s">
        <v>45</v>
      </c>
      <c r="T358" s="36" t="s">
        <v>1824</v>
      </c>
      <c r="U358" s="31" t="s">
        <v>1805</v>
      </c>
      <c r="V358" s="27" t="s">
        <v>102</v>
      </c>
      <c r="W358" s="31" t="s">
        <v>1806</v>
      </c>
      <c r="X358" s="21" t="s">
        <v>52</v>
      </c>
      <c r="Y358" s="22">
        <v>53420538001606</v>
      </c>
      <c r="Z358" s="23">
        <f t="shared" si="9"/>
        <v>356</v>
      </c>
      <c r="AA358" s="24" t="str">
        <f>IFERROR(VLOOKUP($Z358,'[1]End Fat Serviço - PA 15 e 16'!$K$3:$K$31,1,0), "")</f>
        <v/>
      </c>
      <c r="AB358" s="24" t="str">
        <f>IFERROR(VLOOKUP($Z358,'[1]End Fat Material - PA 12'!$K$3:$K$64,1,0), "")</f>
        <v/>
      </c>
      <c r="AC358" s="24" t="str">
        <f>IFERROR(VLOOKUP($Z358,'[1]End CA Lotação'!$L$3:$L$36,1,0), "")</f>
        <v/>
      </c>
      <c r="AD358" s="24" t="str">
        <f>IFERROR(VLOOKUP(Z358,'[1]RH - PARA 21.03'!$M$3:$M$555,1,0),"")</f>
        <v/>
      </c>
      <c r="AE358" s="23" t="str">
        <f>IFERROR(VLOOKUP($Z358,'[1]CNPJ Oi Fat'!$K$3:$K$32,1,0),"")</f>
        <v/>
      </c>
      <c r="AF358" s="23" t="str">
        <f>IFERROR(VLOOKUP(Z358,'[1]End Logística Oi'!$D$3:$D$29,1,0),"")</f>
        <v/>
      </c>
      <c r="AG358" s="23" t="str">
        <f>IFERROR(VLOOKUP(Z358,'[1]End Logística Oi'!$J$3:$J$29,1,0),"")</f>
        <v/>
      </c>
      <c r="AI358" s="23" t="s">
        <v>55</v>
      </c>
      <c r="AJ358" s="23" t="s">
        <v>55</v>
      </c>
      <c r="AK358" s="23" t="e">
        <v>#N/A</v>
      </c>
    </row>
    <row r="359" spans="1:37" s="34" customFormat="1" ht="15" hidden="1" customHeight="1" x14ac:dyDescent="0.25">
      <c r="A359" s="26">
        <v>357</v>
      </c>
      <c r="B359" s="26" t="s">
        <v>200</v>
      </c>
      <c r="C359" s="27" t="s">
        <v>366</v>
      </c>
      <c r="D359" s="26" t="s">
        <v>1780</v>
      </c>
      <c r="E359" s="26" t="s">
        <v>41</v>
      </c>
      <c r="F359" s="26" t="s">
        <v>1638</v>
      </c>
      <c r="G359" s="28">
        <v>43920075342</v>
      </c>
      <c r="H359" s="26" t="s">
        <v>1825</v>
      </c>
      <c r="I359" s="29">
        <v>45537</v>
      </c>
      <c r="J359" s="30"/>
      <c r="K359" s="19" t="s">
        <v>45</v>
      </c>
      <c r="L359" s="31" t="s">
        <v>1815</v>
      </c>
      <c r="M359" s="29" t="s">
        <v>90</v>
      </c>
      <c r="N359" s="32"/>
      <c r="O359" s="31" t="s">
        <v>1815</v>
      </c>
      <c r="P359" s="31" t="s">
        <v>1826</v>
      </c>
      <c r="Q359" s="29">
        <v>45544</v>
      </c>
      <c r="R359" s="32"/>
      <c r="S359" s="31" t="s">
        <v>45</v>
      </c>
      <c r="T359" s="36" t="s">
        <v>1827</v>
      </c>
      <c r="U359" s="31" t="s">
        <v>1712</v>
      </c>
      <c r="V359" s="27" t="s">
        <v>205</v>
      </c>
      <c r="W359" s="31" t="s">
        <v>1828</v>
      </c>
      <c r="X359" s="21" t="s">
        <v>52</v>
      </c>
      <c r="Y359" s="22">
        <v>53420538001517</v>
      </c>
      <c r="Z359" s="23">
        <f t="shared" si="9"/>
        <v>357</v>
      </c>
      <c r="AA359" s="24" t="str">
        <f>IFERROR(VLOOKUP($Z359,'[1]End Fat Serviço - PA 15 e 16'!$K$3:$K$31,1,0), "")</f>
        <v/>
      </c>
      <c r="AB359" s="24" t="str">
        <f>IFERROR(VLOOKUP($Z359,'[1]End Fat Material - PA 12'!$K$3:$K$64,1,0), "")</f>
        <v/>
      </c>
      <c r="AC359" s="24" t="str">
        <f>IFERROR(VLOOKUP($Z359,'[1]End CA Lotação'!$L$3:$L$36,1,0), "")</f>
        <v/>
      </c>
      <c r="AD359" s="24" t="str">
        <f>IFERROR(VLOOKUP(Z359,'[1]RH - PARA 21.03'!$M$3:$M$555,1,0),"")</f>
        <v/>
      </c>
      <c r="AE359" s="23" t="str">
        <f>IFERROR(VLOOKUP($Z359,'[1]CNPJ Oi Fat'!$K$3:$K$32,1,0),"")</f>
        <v/>
      </c>
      <c r="AF359" s="23" t="str">
        <f>IFERROR(VLOOKUP(Z359,'[1]End Logística Oi'!$D$3:$D$29,1,0),"")</f>
        <v/>
      </c>
      <c r="AG359" s="23" t="str">
        <f>IFERROR(VLOOKUP(Z359,'[1]End Logística Oi'!$J$3:$J$29,1,0),"")</f>
        <v/>
      </c>
      <c r="AI359" s="23" t="s">
        <v>55</v>
      </c>
      <c r="AJ359" s="23" t="s">
        <v>55</v>
      </c>
      <c r="AK359" s="23" t="e">
        <v>#N/A</v>
      </c>
    </row>
    <row r="360" spans="1:37" s="34" customFormat="1" ht="15" hidden="1" customHeight="1" x14ac:dyDescent="0.25">
      <c r="A360" s="26">
        <v>358</v>
      </c>
      <c r="B360" s="26" t="s">
        <v>165</v>
      </c>
      <c r="C360" s="27" t="s">
        <v>366</v>
      </c>
      <c r="D360" s="26" t="s">
        <v>1780</v>
      </c>
      <c r="E360" s="26" t="s">
        <v>41</v>
      </c>
      <c r="F360" s="26" t="s">
        <v>1638</v>
      </c>
      <c r="G360" s="28">
        <v>27905214806</v>
      </c>
      <c r="H360" s="26" t="s">
        <v>1829</v>
      </c>
      <c r="I360" s="29">
        <v>45537</v>
      </c>
      <c r="J360" s="30"/>
      <c r="K360" s="19" t="s">
        <v>45</v>
      </c>
      <c r="L360" s="31" t="s">
        <v>1815</v>
      </c>
      <c r="M360" s="29" t="s">
        <v>90</v>
      </c>
      <c r="N360" s="32"/>
      <c r="O360" s="36" t="s">
        <v>1815</v>
      </c>
      <c r="P360" s="33" t="s">
        <v>1830</v>
      </c>
      <c r="Q360" s="29">
        <v>45537</v>
      </c>
      <c r="R360" s="32"/>
      <c r="S360" s="31" t="s">
        <v>45</v>
      </c>
      <c r="T360" s="36" t="s">
        <v>1831</v>
      </c>
      <c r="U360" s="31" t="s">
        <v>1763</v>
      </c>
      <c r="V360" s="27" t="s">
        <v>172</v>
      </c>
      <c r="W360" s="31" t="s">
        <v>1764</v>
      </c>
      <c r="X360" s="21" t="s">
        <v>52</v>
      </c>
      <c r="Y360" s="22">
        <v>53420538001193</v>
      </c>
      <c r="Z360" s="23">
        <f t="shared" si="9"/>
        <v>358</v>
      </c>
      <c r="AA360" s="24" t="str">
        <f>IFERROR(VLOOKUP($Z360,'[1]End Fat Serviço - PA 15 e 16'!$K$3:$K$31,1,0), "")</f>
        <v/>
      </c>
      <c r="AB360" s="24" t="str">
        <f>IFERROR(VLOOKUP($Z360,'[1]End Fat Material - PA 12'!$K$3:$K$64,1,0), "")</f>
        <v/>
      </c>
      <c r="AC360" s="24" t="str">
        <f>IFERROR(VLOOKUP($Z360,'[1]End CA Lotação'!$L$3:$L$36,1,0), "")</f>
        <v/>
      </c>
      <c r="AD360" s="24" t="str">
        <f>IFERROR(VLOOKUP(Z360,'[1]RH - PARA 21.03'!$M$3:$M$555,1,0),"")</f>
        <v/>
      </c>
      <c r="AE360" s="23" t="str">
        <f>IFERROR(VLOOKUP($Z360,'[1]CNPJ Oi Fat'!$K$3:$K$32,1,0),"")</f>
        <v/>
      </c>
      <c r="AF360" s="23" t="str">
        <f>IFERROR(VLOOKUP(Z360,'[1]End Logística Oi'!$D$3:$D$29,1,0),"")</f>
        <v/>
      </c>
      <c r="AG360" s="23" t="str">
        <f>IFERROR(VLOOKUP(Z360,'[1]End Logística Oi'!$J$3:$J$29,1,0),"")</f>
        <v/>
      </c>
      <c r="AI360" s="23" t="s">
        <v>55</v>
      </c>
      <c r="AJ360" s="23" t="s">
        <v>55</v>
      </c>
      <c r="AK360" s="23" t="e">
        <v>#N/A</v>
      </c>
    </row>
    <row r="361" spans="1:37" s="34" customFormat="1" ht="15" hidden="1" customHeight="1" x14ac:dyDescent="0.25">
      <c r="A361" s="26">
        <v>359</v>
      </c>
      <c r="B361" s="26" t="s">
        <v>156</v>
      </c>
      <c r="C361" s="27" t="s">
        <v>366</v>
      </c>
      <c r="D361" s="26" t="s">
        <v>1780</v>
      </c>
      <c r="E361" s="26" t="s">
        <v>41</v>
      </c>
      <c r="F361" s="26" t="s">
        <v>1638</v>
      </c>
      <c r="G361" s="28">
        <v>16920000961</v>
      </c>
      <c r="H361" s="26" t="s">
        <v>1832</v>
      </c>
      <c r="I361" s="29">
        <v>45537</v>
      </c>
      <c r="J361" s="30"/>
      <c r="K361" s="19" t="s">
        <v>45</v>
      </c>
      <c r="L361" s="31" t="s">
        <v>1833</v>
      </c>
      <c r="M361" s="29">
        <v>45575</v>
      </c>
      <c r="N361" s="32"/>
      <c r="O361" s="36" t="s">
        <v>45</v>
      </c>
      <c r="P361" s="31">
        <v>143997925</v>
      </c>
      <c r="Q361" s="29">
        <v>45537</v>
      </c>
      <c r="R361" s="32"/>
      <c r="S361" s="31" t="s">
        <v>45</v>
      </c>
      <c r="T361" s="36" t="s">
        <v>1834</v>
      </c>
      <c r="U361" s="31" t="s">
        <v>1772</v>
      </c>
      <c r="V361" s="27" t="s">
        <v>162</v>
      </c>
      <c r="W361" s="31" t="s">
        <v>1773</v>
      </c>
      <c r="X361" s="21" t="s">
        <v>52</v>
      </c>
      <c r="Y361" s="22">
        <v>53420538001274</v>
      </c>
      <c r="Z361" s="23">
        <f t="shared" si="9"/>
        <v>359</v>
      </c>
      <c r="AA361" s="24" t="str">
        <f>IFERROR(VLOOKUP($Z361,'[1]End Fat Serviço - PA 15 e 16'!$K$3:$K$31,1,0), "")</f>
        <v/>
      </c>
      <c r="AB361" s="24" t="str">
        <f>IFERROR(VLOOKUP($Z361,'[1]End Fat Material - PA 12'!$K$3:$K$64,1,0), "")</f>
        <v/>
      </c>
      <c r="AC361" s="24" t="str">
        <f>IFERROR(VLOOKUP($Z361,'[1]End CA Lotação'!$L$3:$L$36,1,0), "")</f>
        <v/>
      </c>
      <c r="AD361" s="24" t="str">
        <f>IFERROR(VLOOKUP(Z361,'[1]RH - PARA 21.03'!$M$3:$M$555,1,0),"")</f>
        <v/>
      </c>
      <c r="AE361" s="23" t="str">
        <f>IFERROR(VLOOKUP($Z361,'[1]CNPJ Oi Fat'!$K$3:$K$32,1,0),"")</f>
        <v/>
      </c>
      <c r="AF361" s="23" t="str">
        <f>IFERROR(VLOOKUP(Z361,'[1]End Logística Oi'!$D$3:$D$29,1,0),"")</f>
        <v/>
      </c>
      <c r="AG361" s="23" t="str">
        <f>IFERROR(VLOOKUP(Z361,'[1]End Logística Oi'!$J$3:$J$29,1,0),"")</f>
        <v/>
      </c>
      <c r="AI361" s="23" t="s">
        <v>55</v>
      </c>
      <c r="AJ361" s="23" t="s">
        <v>55</v>
      </c>
      <c r="AK361" s="23" t="e">
        <v>#N/A</v>
      </c>
    </row>
    <row r="362" spans="1:37" s="34" customFormat="1" ht="15" hidden="1" customHeight="1" x14ac:dyDescent="0.25">
      <c r="A362" s="26">
        <v>360</v>
      </c>
      <c r="B362" s="26" t="s">
        <v>130</v>
      </c>
      <c r="C362" s="27" t="s">
        <v>366</v>
      </c>
      <c r="D362" s="26" t="s">
        <v>1780</v>
      </c>
      <c r="E362" s="26" t="s">
        <v>41</v>
      </c>
      <c r="F362" s="26" t="s">
        <v>1638</v>
      </c>
      <c r="G362" s="28">
        <v>23920042847</v>
      </c>
      <c r="H362" s="26" t="s">
        <v>1835</v>
      </c>
      <c r="I362" s="29">
        <v>45537</v>
      </c>
      <c r="J362" s="30"/>
      <c r="K362" s="19" t="s">
        <v>45</v>
      </c>
      <c r="L362" s="31" t="s">
        <v>1815</v>
      </c>
      <c r="M362" s="29" t="s">
        <v>90</v>
      </c>
      <c r="N362" s="32"/>
      <c r="O362" s="31" t="s">
        <v>1815</v>
      </c>
      <c r="P362" s="31" t="s">
        <v>1836</v>
      </c>
      <c r="Q362" s="29">
        <v>45537</v>
      </c>
      <c r="R362" s="32"/>
      <c r="S362" s="31" t="s">
        <v>45</v>
      </c>
      <c r="T362" s="36" t="s">
        <v>1837</v>
      </c>
      <c r="U362" s="31" t="s">
        <v>49</v>
      </c>
      <c r="V362" s="27" t="s">
        <v>137</v>
      </c>
      <c r="W362" s="31" t="s">
        <v>1696</v>
      </c>
      <c r="X362" s="21" t="s">
        <v>52</v>
      </c>
      <c r="Y362" s="22">
        <v>53420538001436</v>
      </c>
      <c r="Z362" s="23">
        <f t="shared" si="9"/>
        <v>360</v>
      </c>
      <c r="AA362" s="24" t="str">
        <f>IFERROR(VLOOKUP($Z362,'[1]End Fat Serviço - PA 15 e 16'!$K$3:$K$31,1,0), "")</f>
        <v/>
      </c>
      <c r="AB362" s="24" t="str">
        <f>IFERROR(VLOOKUP($Z362,'[1]End Fat Material - PA 12'!$K$3:$K$64,1,0), "")</f>
        <v/>
      </c>
      <c r="AC362" s="24" t="str">
        <f>IFERROR(VLOOKUP($Z362,'[1]End CA Lotação'!$L$3:$L$36,1,0), "")</f>
        <v/>
      </c>
      <c r="AD362" s="24" t="str">
        <f>IFERROR(VLOOKUP(Z362,'[1]RH - PARA 21.03'!$M$3:$M$555,1,0),"")</f>
        <v/>
      </c>
      <c r="AE362" s="23" t="str">
        <f>IFERROR(VLOOKUP($Z362,'[1]CNPJ Oi Fat'!$K$3:$K$32,1,0),"")</f>
        <v/>
      </c>
      <c r="AF362" s="23" t="str">
        <f>IFERROR(VLOOKUP(Z362,'[1]End Logística Oi'!$D$3:$D$29,1,0),"")</f>
        <v/>
      </c>
      <c r="AG362" s="23" t="str">
        <f>IFERROR(VLOOKUP(Z362,'[1]End Logística Oi'!$J$3:$J$29,1,0),"")</f>
        <v/>
      </c>
      <c r="AI362" s="23" t="s">
        <v>55</v>
      </c>
      <c r="AJ362" s="23" t="s">
        <v>55</v>
      </c>
      <c r="AK362" s="23" t="e">
        <v>#N/A</v>
      </c>
    </row>
    <row r="363" spans="1:37" s="34" customFormat="1" ht="15" hidden="1" customHeight="1" x14ac:dyDescent="0.25">
      <c r="A363" s="26">
        <v>361</v>
      </c>
      <c r="B363" s="26" t="s">
        <v>56</v>
      </c>
      <c r="C363" s="27" t="s">
        <v>366</v>
      </c>
      <c r="D363" s="26" t="s">
        <v>1780</v>
      </c>
      <c r="E363" s="26" t="s">
        <v>41</v>
      </c>
      <c r="F363" s="26" t="s">
        <v>1638</v>
      </c>
      <c r="G363" s="28">
        <v>15902056541</v>
      </c>
      <c r="H363" s="26" t="s">
        <v>1838</v>
      </c>
      <c r="I363" s="29">
        <v>45540</v>
      </c>
      <c r="J363" s="30"/>
      <c r="K363" s="19" t="s">
        <v>45</v>
      </c>
      <c r="L363" s="31" t="s">
        <v>1815</v>
      </c>
      <c r="M363" s="29" t="s">
        <v>90</v>
      </c>
      <c r="N363" s="32"/>
      <c r="O363" s="31" t="s">
        <v>1815</v>
      </c>
      <c r="P363" s="31" t="s">
        <v>1839</v>
      </c>
      <c r="Q363" s="29">
        <v>45540</v>
      </c>
      <c r="R363" s="32"/>
      <c r="S363" s="31" t="s">
        <v>45</v>
      </c>
      <c r="T363" s="36" t="s">
        <v>1840</v>
      </c>
      <c r="U363" s="31" t="s">
        <v>242</v>
      </c>
      <c r="V363" s="27" t="s">
        <v>1718</v>
      </c>
      <c r="W363" s="31" t="s">
        <v>1528</v>
      </c>
      <c r="X363" s="21" t="s">
        <v>52</v>
      </c>
      <c r="Y363" s="22">
        <v>53420538001940</v>
      </c>
      <c r="Z363" s="23">
        <f t="shared" si="9"/>
        <v>361</v>
      </c>
      <c r="AA363" s="24" t="str">
        <f>IFERROR(VLOOKUP($Z363,'[1]End Fat Serviço - PA 15 e 16'!$K$3:$K$31,1,0), "")</f>
        <v/>
      </c>
      <c r="AB363" s="24" t="str">
        <f>IFERROR(VLOOKUP($Z363,'[1]End Fat Material - PA 12'!$K$3:$K$64,1,0), "")</f>
        <v/>
      </c>
      <c r="AC363" s="24" t="str">
        <f>IFERROR(VLOOKUP($Z363,'[1]End CA Lotação'!$L$3:$L$36,1,0), "")</f>
        <v/>
      </c>
      <c r="AD363" s="24" t="str">
        <f>IFERROR(VLOOKUP(Z363,'[1]RH - PARA 21.03'!$M$3:$M$555,1,0),"")</f>
        <v/>
      </c>
      <c r="AE363" s="23" t="str">
        <f>IFERROR(VLOOKUP($Z363,'[1]CNPJ Oi Fat'!$K$3:$K$32,1,0),"")</f>
        <v/>
      </c>
      <c r="AF363" s="23" t="str">
        <f>IFERROR(VLOOKUP(Z363,'[1]End Logística Oi'!$D$3:$D$29,1,0),"")</f>
        <v/>
      </c>
      <c r="AG363" s="23" t="str">
        <f>IFERROR(VLOOKUP(Z363,'[1]End Logística Oi'!$J$3:$J$29,1,0),"")</f>
        <v/>
      </c>
      <c r="AI363" s="23" t="s">
        <v>55</v>
      </c>
      <c r="AJ363" s="23" t="s">
        <v>55</v>
      </c>
      <c r="AK363" s="23" t="e">
        <v>#N/A</v>
      </c>
    </row>
    <row r="364" spans="1:37" s="34" customFormat="1" ht="15" hidden="1" customHeight="1" x14ac:dyDescent="0.25">
      <c r="A364" s="26">
        <v>362</v>
      </c>
      <c r="B364" s="26" t="s">
        <v>112</v>
      </c>
      <c r="C364" s="27" t="s">
        <v>366</v>
      </c>
      <c r="D364" s="26" t="s">
        <v>1780</v>
      </c>
      <c r="E364" s="26" t="s">
        <v>41</v>
      </c>
      <c r="F364" s="26" t="s">
        <v>1638</v>
      </c>
      <c r="G364" s="28">
        <v>41902026091</v>
      </c>
      <c r="H364" s="26" t="s">
        <v>1841</v>
      </c>
      <c r="I364" s="29">
        <v>45540</v>
      </c>
      <c r="J364" s="30"/>
      <c r="K364" s="19" t="s">
        <v>45</v>
      </c>
      <c r="L364" s="31" t="s">
        <v>1842</v>
      </c>
      <c r="M364" s="29">
        <v>45540</v>
      </c>
      <c r="N364" s="32"/>
      <c r="O364" s="36" t="s">
        <v>45</v>
      </c>
      <c r="P364" s="31" t="s">
        <v>1843</v>
      </c>
      <c r="Q364" s="29">
        <v>45540</v>
      </c>
      <c r="R364" s="32"/>
      <c r="S364" s="31" t="s">
        <v>45</v>
      </c>
      <c r="T364" s="36" t="s">
        <v>1680</v>
      </c>
      <c r="U364" s="31" t="s">
        <v>49</v>
      </c>
      <c r="V364" s="27" t="s">
        <v>118</v>
      </c>
      <c r="W364" s="31" t="s">
        <v>1681</v>
      </c>
      <c r="X364" s="21" t="s">
        <v>52</v>
      </c>
      <c r="Y364" s="22">
        <v>53420538001860</v>
      </c>
      <c r="Z364" s="23">
        <f t="shared" si="9"/>
        <v>362</v>
      </c>
      <c r="AA364" s="24" t="str">
        <f>IFERROR(VLOOKUP($Z364,'[1]End Fat Serviço - PA 15 e 16'!$K$3:$K$31,1,0), "")</f>
        <v/>
      </c>
      <c r="AB364" s="24" t="str">
        <f>IFERROR(VLOOKUP($Z364,'[1]End Fat Material - PA 12'!$K$3:$K$64,1,0), "")</f>
        <v/>
      </c>
      <c r="AC364" s="24" t="str">
        <f>IFERROR(VLOOKUP($Z364,'[1]End CA Lotação'!$L$3:$L$36,1,0), "")</f>
        <v/>
      </c>
      <c r="AD364" s="24" t="str">
        <f>IFERROR(VLOOKUP(Z364,'[1]RH - PARA 21.03'!$M$3:$M$555,1,0),"")</f>
        <v/>
      </c>
      <c r="AE364" s="23" t="str">
        <f>IFERROR(VLOOKUP($Z364,'[1]CNPJ Oi Fat'!$K$3:$K$32,1,0),"")</f>
        <v/>
      </c>
      <c r="AF364" s="23" t="str">
        <f>IFERROR(VLOOKUP(Z364,'[1]End Logística Oi'!$D$3:$D$29,1,0),"")</f>
        <v/>
      </c>
      <c r="AG364" s="23" t="str">
        <f>IFERROR(VLOOKUP(Z364,'[1]End Logística Oi'!$J$3:$J$29,1,0),"")</f>
        <v/>
      </c>
      <c r="AI364" s="23" t="s">
        <v>55</v>
      </c>
      <c r="AJ364" s="23" t="s">
        <v>55</v>
      </c>
      <c r="AK364" s="23" t="e">
        <v>#N/A</v>
      </c>
    </row>
    <row r="365" spans="1:37" s="34" customFormat="1" ht="15" hidden="1" customHeight="1" x14ac:dyDescent="0.25">
      <c r="A365" s="26">
        <v>363</v>
      </c>
      <c r="B365" s="26" t="s">
        <v>174</v>
      </c>
      <c r="C365" s="27" t="s">
        <v>366</v>
      </c>
      <c r="D365" s="26" t="s">
        <v>1631</v>
      </c>
      <c r="E365" s="26" t="s">
        <v>41</v>
      </c>
      <c r="F365" s="26" t="s">
        <v>1653</v>
      </c>
      <c r="G365" s="28">
        <v>13920021817</v>
      </c>
      <c r="H365" s="26" t="s">
        <v>1844</v>
      </c>
      <c r="I365" s="29">
        <v>45540</v>
      </c>
      <c r="J365" s="30"/>
      <c r="K365" s="19" t="s">
        <v>45</v>
      </c>
      <c r="L365" s="31" t="s">
        <v>1845</v>
      </c>
      <c r="M365" s="29">
        <v>45546</v>
      </c>
      <c r="N365" s="32"/>
      <c r="O365" s="36" t="s">
        <v>45</v>
      </c>
      <c r="P365" s="31">
        <v>637334001</v>
      </c>
      <c r="Q365" s="29">
        <v>45540</v>
      </c>
      <c r="R365" s="32"/>
      <c r="S365" s="31" t="s">
        <v>45</v>
      </c>
      <c r="T365" s="59" t="s">
        <v>1846</v>
      </c>
      <c r="U365" s="31" t="s">
        <v>1847</v>
      </c>
      <c r="V365" s="27" t="s">
        <v>181</v>
      </c>
      <c r="W365" s="31" t="s">
        <v>1848</v>
      </c>
      <c r="X365" s="21" t="s">
        <v>52</v>
      </c>
      <c r="Y365" s="22">
        <v>53420564002606</v>
      </c>
      <c r="Z365" s="23">
        <f t="shared" si="9"/>
        <v>363</v>
      </c>
      <c r="AA365" s="24" t="str">
        <f>IFERROR(VLOOKUP($Z365,'[1]End Fat Serviço - PA 15 e 16'!$K$3:$K$31,1,0), "")</f>
        <v/>
      </c>
      <c r="AB365" s="24" t="str">
        <f>IFERROR(VLOOKUP($Z365,'[1]End Fat Material - PA 12'!$K$3:$K$64,1,0), "")</f>
        <v/>
      </c>
      <c r="AC365" s="24" t="str">
        <f>IFERROR(VLOOKUP($Z365,'[1]End CA Lotação'!$L$3:$L$36,1,0), "")</f>
        <v/>
      </c>
      <c r="AD365" s="24" t="str">
        <f>IFERROR(VLOOKUP(Z365,'[1]RH - PARA 21.03'!$M$3:$M$555,1,0),"")</f>
        <v/>
      </c>
      <c r="AE365" s="23" t="str">
        <f>IFERROR(VLOOKUP($Z365,'[1]CNPJ Oi Fat'!$K$3:$K$32,1,0),"")</f>
        <v/>
      </c>
      <c r="AF365" s="23" t="str">
        <f>IFERROR(VLOOKUP(Z365,'[1]End Logística Oi'!$D$3:$D$29,1,0),"")</f>
        <v/>
      </c>
      <c r="AG365" s="23" t="str">
        <f>IFERROR(VLOOKUP(Z365,'[1]End Logística Oi'!$J$3:$J$29,1,0),"")</f>
        <v/>
      </c>
      <c r="AI365" s="23" t="s">
        <v>55</v>
      </c>
      <c r="AJ365" s="23" t="s">
        <v>55</v>
      </c>
      <c r="AK365" s="23" t="e">
        <v>#N/A</v>
      </c>
    </row>
    <row r="366" spans="1:37" s="34" customFormat="1" ht="15" hidden="1" customHeight="1" x14ac:dyDescent="0.25">
      <c r="A366" s="26">
        <v>364</v>
      </c>
      <c r="B366" s="26" t="s">
        <v>254</v>
      </c>
      <c r="C366" s="27" t="s">
        <v>366</v>
      </c>
      <c r="D366" s="26" t="s">
        <v>367</v>
      </c>
      <c r="E366" s="26"/>
      <c r="F366" s="26" t="s">
        <v>369</v>
      </c>
      <c r="G366" s="28">
        <v>53300007586</v>
      </c>
      <c r="H366" s="26" t="s">
        <v>1849</v>
      </c>
      <c r="I366" s="29">
        <v>45546</v>
      </c>
      <c r="J366" s="30"/>
      <c r="K366" s="19" t="s">
        <v>45</v>
      </c>
      <c r="L366" s="31" t="s">
        <v>604</v>
      </c>
      <c r="M366" s="29" t="s">
        <v>604</v>
      </c>
      <c r="N366" s="32"/>
      <c r="O366" s="36" t="s">
        <v>604</v>
      </c>
      <c r="P366" s="31" t="s">
        <v>1850</v>
      </c>
      <c r="Q366" s="29">
        <v>45547</v>
      </c>
      <c r="R366" s="32"/>
      <c r="S366" s="31" t="s">
        <v>45</v>
      </c>
      <c r="T366" s="36" t="s">
        <v>1851</v>
      </c>
      <c r="U366" s="31" t="s">
        <v>1852</v>
      </c>
      <c r="V366" s="27" t="s">
        <v>260</v>
      </c>
      <c r="W366" s="31" t="s">
        <v>1853</v>
      </c>
      <c r="X366" s="21"/>
      <c r="Y366" s="22">
        <v>4014081002507</v>
      </c>
      <c r="Z366" s="23">
        <f t="shared" si="9"/>
        <v>364</v>
      </c>
      <c r="AA366" s="24" t="str">
        <f>IFERROR(VLOOKUP($Z366,'[1]End Fat Serviço - PA 15 e 16'!$K$3:$K$31,1,0), "")</f>
        <v/>
      </c>
      <c r="AB366" s="24" t="str">
        <f>IFERROR(VLOOKUP($Z366,'[1]End Fat Material - PA 12'!$K$3:$K$64,1,0), "")</f>
        <v/>
      </c>
      <c r="AC366" s="24" t="str">
        <f>IFERROR(VLOOKUP($Z366,'[1]End CA Lotação'!$L$3:$L$36,1,0), "")</f>
        <v/>
      </c>
      <c r="AD366" s="24" t="str">
        <f>IFERROR(VLOOKUP(Z366,'[1]RH - PARA 21.03'!$M$3:$M$555,1,0),"")</f>
        <v/>
      </c>
      <c r="AE366" s="23" t="str">
        <f>IFERROR(VLOOKUP($Z366,'[1]CNPJ Oi Fat'!$K$3:$K$32,1,0),"")</f>
        <v/>
      </c>
      <c r="AF366" s="23" t="str">
        <f>IFERROR(VLOOKUP(Z366,'[1]End Logística Oi'!$D$3:$D$29,1,0),"")</f>
        <v/>
      </c>
      <c r="AG366" s="23" t="str">
        <f>IFERROR(VLOOKUP(Z366,'[1]End Logística Oi'!$J$3:$J$29,1,0),"")</f>
        <v/>
      </c>
      <c r="AI366" s="23" t="s">
        <v>55</v>
      </c>
      <c r="AJ366" s="23" t="s">
        <v>55</v>
      </c>
      <c r="AK366" s="23" t="e">
        <v>#N/A</v>
      </c>
    </row>
    <row r="367" spans="1:37" s="34" customFormat="1" ht="15" hidden="1" customHeight="1" x14ac:dyDescent="0.25">
      <c r="A367" s="26">
        <v>365</v>
      </c>
      <c r="B367" s="26" t="s">
        <v>148</v>
      </c>
      <c r="C367" s="27" t="s">
        <v>366</v>
      </c>
      <c r="D367" s="26" t="s">
        <v>1631</v>
      </c>
      <c r="E367" s="26" t="s">
        <v>41</v>
      </c>
      <c r="F367" s="26" t="s">
        <v>1653</v>
      </c>
      <c r="G367" s="28">
        <v>25900467844</v>
      </c>
      <c r="H367" s="26" t="s">
        <v>1854</v>
      </c>
      <c r="I367" s="29">
        <v>45551</v>
      </c>
      <c r="J367" s="30"/>
      <c r="K367" s="19" t="s">
        <v>45</v>
      </c>
      <c r="L367" s="31" t="s">
        <v>1855</v>
      </c>
      <c r="M367" s="29">
        <v>45551</v>
      </c>
      <c r="N367" s="32"/>
      <c r="O367" s="36" t="s">
        <v>45</v>
      </c>
      <c r="P367" s="31">
        <v>11891380</v>
      </c>
      <c r="Q367" s="29">
        <v>45561</v>
      </c>
      <c r="R367" s="32"/>
      <c r="S367" s="31" t="s">
        <v>45</v>
      </c>
      <c r="T367" s="36" t="s">
        <v>1856</v>
      </c>
      <c r="U367" s="31" t="s">
        <v>49</v>
      </c>
      <c r="V367" s="27" t="s">
        <v>1857</v>
      </c>
      <c r="W367" s="31" t="s">
        <v>1266</v>
      </c>
      <c r="X367" s="21" t="s">
        <v>52</v>
      </c>
      <c r="Y367" s="22">
        <v>53420564002789</v>
      </c>
      <c r="Z367" s="23">
        <f t="shared" si="9"/>
        <v>365</v>
      </c>
      <c r="AA367" s="24" t="str">
        <f>IFERROR(VLOOKUP($Z367,'[1]End Fat Serviço - PA 15 e 16'!$K$3:$K$31,1,0), "")</f>
        <v/>
      </c>
      <c r="AB367" s="24" t="str">
        <f>IFERROR(VLOOKUP($Z367,'[1]End Fat Material - PA 12'!$K$3:$K$64,1,0), "")</f>
        <v/>
      </c>
      <c r="AC367" s="24" t="str">
        <f>IFERROR(VLOOKUP($Z367,'[1]End CA Lotação'!$L$3:$L$36,1,0), "")</f>
        <v/>
      </c>
      <c r="AD367" s="24" t="str">
        <f>IFERROR(VLOOKUP(Z367,'[1]RH - PARA 21.03'!$M$3:$M$555,1,0),"")</f>
        <v/>
      </c>
      <c r="AE367" s="23" t="str">
        <f>IFERROR(VLOOKUP($Z367,'[1]CNPJ Oi Fat'!$K$3:$K$32,1,0),"")</f>
        <v/>
      </c>
      <c r="AF367" s="23" t="str">
        <f>IFERROR(VLOOKUP(Z367,'[1]End Logística Oi'!$D$3:$D$29,1,0),"")</f>
        <v/>
      </c>
      <c r="AG367" s="23" t="str">
        <f>IFERROR(VLOOKUP(Z367,'[1]End Logística Oi'!$J$3:$J$29,1,0),"")</f>
        <v/>
      </c>
      <c r="AI367" s="23" t="s">
        <v>55</v>
      </c>
      <c r="AJ367" s="23" t="s">
        <v>55</v>
      </c>
      <c r="AK367" s="23" t="e">
        <v>#N/A</v>
      </c>
    </row>
    <row r="368" spans="1:37" s="34" customFormat="1" ht="15" hidden="1" customHeight="1" x14ac:dyDescent="0.25">
      <c r="A368" s="26">
        <v>366</v>
      </c>
      <c r="B368" s="26" t="s">
        <v>237</v>
      </c>
      <c r="C368" s="27" t="s">
        <v>366</v>
      </c>
      <c r="D368" s="26" t="s">
        <v>1780</v>
      </c>
      <c r="E368" s="26" t="s">
        <v>41</v>
      </c>
      <c r="F368" s="26" t="s">
        <v>1638</v>
      </c>
      <c r="G368" s="28">
        <v>29902087856</v>
      </c>
      <c r="H368" s="26" t="s">
        <v>1858</v>
      </c>
      <c r="I368" s="29">
        <v>45551</v>
      </c>
      <c r="J368" s="30"/>
      <c r="K368" s="19" t="s">
        <v>45</v>
      </c>
      <c r="L368" s="31">
        <v>222511340</v>
      </c>
      <c r="M368" s="29">
        <v>45551</v>
      </c>
      <c r="N368" s="32"/>
      <c r="O368" s="36" t="s">
        <v>45</v>
      </c>
      <c r="P368" s="31" t="s">
        <v>1859</v>
      </c>
      <c r="Q368" s="29">
        <v>45551</v>
      </c>
      <c r="R368" s="32"/>
      <c r="S368" s="31" t="s">
        <v>45</v>
      </c>
      <c r="T368" s="59" t="s">
        <v>1860</v>
      </c>
      <c r="U368" s="31" t="s">
        <v>1690</v>
      </c>
      <c r="V368" s="27" t="s">
        <v>243</v>
      </c>
      <c r="W368" s="31" t="s">
        <v>1691</v>
      </c>
      <c r="X368" s="21" t="s">
        <v>52</v>
      </c>
      <c r="Y368" s="22">
        <v>53420538002084</v>
      </c>
      <c r="Z368" s="23">
        <f t="shared" si="9"/>
        <v>366</v>
      </c>
      <c r="AA368" s="24" t="str">
        <f>IFERROR(VLOOKUP($Z368,'[1]End Fat Serviço - PA 15 e 16'!$K$3:$K$31,1,0), "")</f>
        <v/>
      </c>
      <c r="AB368" s="24" t="str">
        <f>IFERROR(VLOOKUP($Z368,'[1]End Fat Material - PA 12'!$K$3:$K$64,1,0), "")</f>
        <v/>
      </c>
      <c r="AC368" s="24" t="str">
        <f>IFERROR(VLOOKUP($Z368,'[1]End CA Lotação'!$L$3:$L$36,1,0), "")</f>
        <v/>
      </c>
      <c r="AD368" s="24" t="str">
        <f>IFERROR(VLOOKUP(Z368,'[1]RH - PARA 21.03'!$M$3:$M$555,1,0),"")</f>
        <v/>
      </c>
      <c r="AE368" s="23" t="str">
        <f>IFERROR(VLOOKUP($Z368,'[1]CNPJ Oi Fat'!$K$3:$K$32,1,0),"")</f>
        <v/>
      </c>
      <c r="AF368" s="23" t="str">
        <f>IFERROR(VLOOKUP(Z368,'[1]End Logística Oi'!$D$3:$D$29,1,0),"")</f>
        <v/>
      </c>
      <c r="AG368" s="23" t="str">
        <f>IFERROR(VLOOKUP(Z368,'[1]End Logística Oi'!$J$3:$J$29,1,0),"")</f>
        <v/>
      </c>
      <c r="AI368" s="23" t="s">
        <v>55</v>
      </c>
      <c r="AJ368" s="23" t="s">
        <v>55</v>
      </c>
      <c r="AK368" s="23" t="e">
        <v>#N/A</v>
      </c>
    </row>
    <row r="369" spans="1:37" s="34" customFormat="1" ht="15" hidden="1" customHeight="1" x14ac:dyDescent="0.25">
      <c r="A369" s="26">
        <v>367</v>
      </c>
      <c r="B369" s="26" t="s">
        <v>214</v>
      </c>
      <c r="C369" s="27" t="s">
        <v>366</v>
      </c>
      <c r="D369" s="26" t="s">
        <v>1780</v>
      </c>
      <c r="E369" s="26" t="s">
        <v>41</v>
      </c>
      <c r="F369" s="26" t="s">
        <v>1638</v>
      </c>
      <c r="G369" s="28">
        <v>26902065761</v>
      </c>
      <c r="H369" s="26" t="s">
        <v>1861</v>
      </c>
      <c r="I369" s="29">
        <v>45551</v>
      </c>
      <c r="J369" s="30"/>
      <c r="K369" s="19" t="s">
        <v>45</v>
      </c>
      <c r="L369" s="31" t="s">
        <v>1815</v>
      </c>
      <c r="M369" s="29" t="s">
        <v>90</v>
      </c>
      <c r="N369" s="32"/>
      <c r="O369" s="31" t="s">
        <v>1815</v>
      </c>
      <c r="P369" s="31" t="s">
        <v>1862</v>
      </c>
      <c r="Q369" s="29">
        <v>45560</v>
      </c>
      <c r="R369" s="32"/>
      <c r="S369" s="31" t="s">
        <v>45</v>
      </c>
      <c r="T369" s="31" t="s">
        <v>1751</v>
      </c>
      <c r="U369" s="31" t="s">
        <v>918</v>
      </c>
      <c r="V369" s="27" t="s">
        <v>220</v>
      </c>
      <c r="W369" s="31" t="s">
        <v>1752</v>
      </c>
      <c r="X369" s="21" t="s">
        <v>52</v>
      </c>
      <c r="Y369" s="22">
        <v>53420538002165</v>
      </c>
      <c r="Z369" s="23">
        <f t="shared" si="9"/>
        <v>367</v>
      </c>
      <c r="AA369" s="24" t="str">
        <f>IFERROR(VLOOKUP($Z369,'[1]End Fat Serviço - PA 15 e 16'!$K$3:$K$31,1,0), "")</f>
        <v/>
      </c>
      <c r="AB369" s="24" t="str">
        <f>IFERROR(VLOOKUP($Z369,'[1]End Fat Material - PA 12'!$K$3:$K$64,1,0), "")</f>
        <v/>
      </c>
      <c r="AC369" s="24" t="str">
        <f>IFERROR(VLOOKUP($Z369,'[1]End CA Lotação'!$L$3:$L$36,1,0), "")</f>
        <v/>
      </c>
      <c r="AD369" s="24" t="str">
        <f>IFERROR(VLOOKUP(Z369,'[1]RH - PARA 21.03'!$M$3:$M$555,1,0),"")</f>
        <v/>
      </c>
      <c r="AE369" s="23" t="str">
        <f>IFERROR(VLOOKUP($Z369,'[1]CNPJ Oi Fat'!$K$3:$K$32,1,0),"")</f>
        <v/>
      </c>
      <c r="AF369" s="23" t="str">
        <f>IFERROR(VLOOKUP(Z369,'[1]End Logística Oi'!$D$3:$D$29,1,0),"")</f>
        <v/>
      </c>
      <c r="AG369" s="23" t="str">
        <f>IFERROR(VLOOKUP(Z369,'[1]End Logística Oi'!$J$3:$J$29,1,0),"")</f>
        <v/>
      </c>
      <c r="AI369" s="23" t="s">
        <v>55</v>
      </c>
      <c r="AJ369" s="23" t="s">
        <v>55</v>
      </c>
      <c r="AK369" s="23" t="e">
        <v>#N/A</v>
      </c>
    </row>
    <row r="370" spans="1:37" s="34" customFormat="1" ht="15" hidden="1" customHeight="1" x14ac:dyDescent="0.25">
      <c r="A370" s="26">
        <v>368</v>
      </c>
      <c r="B370" s="26" t="s">
        <v>183</v>
      </c>
      <c r="C370" s="27" t="s">
        <v>366</v>
      </c>
      <c r="D370" s="26" t="s">
        <v>1780</v>
      </c>
      <c r="E370" s="26" t="s">
        <v>41</v>
      </c>
      <c r="F370" s="26" t="s">
        <v>1638</v>
      </c>
      <c r="G370" s="28">
        <v>24900466618</v>
      </c>
      <c r="H370" s="26" t="s">
        <v>1863</v>
      </c>
      <c r="I370" s="29">
        <v>45551</v>
      </c>
      <c r="J370" s="30"/>
      <c r="K370" s="19" t="s">
        <v>45</v>
      </c>
      <c r="L370" s="31" t="s">
        <v>1864</v>
      </c>
      <c r="M370" s="29">
        <v>45551</v>
      </c>
      <c r="N370" s="32"/>
      <c r="O370" s="36" t="s">
        <v>45</v>
      </c>
      <c r="P370" s="31">
        <v>2295374</v>
      </c>
      <c r="Q370" s="29">
        <v>45551</v>
      </c>
      <c r="R370" s="32"/>
      <c r="S370" s="31" t="s">
        <v>45</v>
      </c>
      <c r="T370" s="59" t="s">
        <v>1767</v>
      </c>
      <c r="U370" s="31" t="s">
        <v>1152</v>
      </c>
      <c r="V370" s="27" t="s">
        <v>190</v>
      </c>
      <c r="W370" s="31" t="s">
        <v>1768</v>
      </c>
      <c r="X370" s="21" t="s">
        <v>52</v>
      </c>
      <c r="Y370" s="22">
        <v>53420538002246</v>
      </c>
      <c r="Z370" s="23">
        <f t="shared" si="9"/>
        <v>368</v>
      </c>
      <c r="AA370" s="24" t="str">
        <f>IFERROR(VLOOKUP($Z370,'[1]End Fat Serviço - PA 15 e 16'!$K$3:$K$31,1,0), "")</f>
        <v/>
      </c>
      <c r="AB370" s="24" t="str">
        <f>IFERROR(VLOOKUP($Z370,'[1]End Fat Material - PA 12'!$K$3:$K$64,1,0), "")</f>
        <v/>
      </c>
      <c r="AC370" s="24" t="str">
        <f>IFERROR(VLOOKUP($Z370,'[1]End CA Lotação'!$L$3:$L$36,1,0), "")</f>
        <v/>
      </c>
      <c r="AD370" s="24" t="str">
        <f>IFERROR(VLOOKUP(Z370,'[1]RH - PARA 21.03'!$M$3:$M$555,1,0),"")</f>
        <v/>
      </c>
      <c r="AE370" s="23" t="str">
        <f>IFERROR(VLOOKUP($Z370,'[1]CNPJ Oi Fat'!$K$3:$K$32,1,0),"")</f>
        <v/>
      </c>
      <c r="AF370" s="23" t="str">
        <f>IFERROR(VLOOKUP(Z370,'[1]End Logística Oi'!$D$3:$D$29,1,0),"")</f>
        <v/>
      </c>
      <c r="AG370" s="23" t="str">
        <f>IFERROR(VLOOKUP(Z370,'[1]End Logística Oi'!$J$3:$J$29,1,0),"")</f>
        <v/>
      </c>
      <c r="AI370" s="23" t="s">
        <v>55</v>
      </c>
      <c r="AJ370" s="23" t="s">
        <v>55</v>
      </c>
      <c r="AK370" s="23" t="e">
        <v>#N/A</v>
      </c>
    </row>
    <row r="371" spans="1:37" s="34" customFormat="1" ht="15" hidden="1" customHeight="1" x14ac:dyDescent="0.25">
      <c r="A371" s="26">
        <v>369</v>
      </c>
      <c r="B371" s="26" t="s">
        <v>254</v>
      </c>
      <c r="C371" s="27" t="s">
        <v>366</v>
      </c>
      <c r="D371" s="26" t="s">
        <v>1780</v>
      </c>
      <c r="E371" s="26" t="s">
        <v>41</v>
      </c>
      <c r="F371" s="26" t="s">
        <v>1638</v>
      </c>
      <c r="G371" s="28">
        <v>35920304671</v>
      </c>
      <c r="H371" s="26" t="s">
        <v>1865</v>
      </c>
      <c r="I371" s="29">
        <v>45551</v>
      </c>
      <c r="J371" s="30"/>
      <c r="K371" s="19" t="s">
        <v>45</v>
      </c>
      <c r="L371" s="31">
        <v>151404448113</v>
      </c>
      <c r="M371" s="29">
        <v>45594</v>
      </c>
      <c r="N371" s="32"/>
      <c r="O371" s="36" t="s">
        <v>45</v>
      </c>
      <c r="P371" s="31" t="s">
        <v>1866</v>
      </c>
      <c r="Q371" s="29">
        <v>45584</v>
      </c>
      <c r="R371" s="32"/>
      <c r="S371" s="31" t="s">
        <v>45</v>
      </c>
      <c r="T371" s="36" t="s">
        <v>1867</v>
      </c>
      <c r="U371" s="31" t="s">
        <v>1757</v>
      </c>
      <c r="V371" s="27" t="s">
        <v>260</v>
      </c>
      <c r="W371" s="31" t="s">
        <v>1758</v>
      </c>
      <c r="X371" s="21" t="s">
        <v>52</v>
      </c>
      <c r="Y371" s="22">
        <v>53420538002327</v>
      </c>
      <c r="Z371" s="23">
        <f t="shared" si="9"/>
        <v>369</v>
      </c>
      <c r="AA371" s="24" t="str">
        <f>IFERROR(VLOOKUP($Z371,'[1]End Fat Serviço - PA 15 e 16'!$K$3:$K$31,1,0), "")</f>
        <v/>
      </c>
      <c r="AB371" s="24" t="str">
        <f>IFERROR(VLOOKUP($Z371,'[1]End Fat Material - PA 12'!$K$3:$K$64,1,0), "")</f>
        <v/>
      </c>
      <c r="AC371" s="24" t="str">
        <f>IFERROR(VLOOKUP($Z371,'[1]End CA Lotação'!$L$3:$L$36,1,0), "")</f>
        <v/>
      </c>
      <c r="AD371" s="24" t="str">
        <f>IFERROR(VLOOKUP(Z371,'[1]RH - PARA 21.03'!$M$3:$M$555,1,0),"")</f>
        <v/>
      </c>
      <c r="AE371" s="23" t="str">
        <f>IFERROR(VLOOKUP($Z371,'[1]CNPJ Oi Fat'!$K$3:$K$32,1,0),"")</f>
        <v/>
      </c>
      <c r="AF371" s="23" t="str">
        <f>IFERROR(VLOOKUP(Z371,'[1]End Logística Oi'!$D$3:$D$29,1,0),"")</f>
        <v/>
      </c>
      <c r="AG371" s="23" t="str">
        <f>IFERROR(VLOOKUP(Z371,'[1]End Logística Oi'!$J$3:$J$29,1,0),"")</f>
        <v/>
      </c>
      <c r="AH371" s="23" t="s">
        <v>55</v>
      </c>
      <c r="AI371" s="23" t="s">
        <v>55</v>
      </c>
      <c r="AJ371" s="23" t="s">
        <v>55</v>
      </c>
      <c r="AK371" s="23" t="e">
        <v>#N/A</v>
      </c>
    </row>
    <row r="372" spans="1:37" s="34" customFormat="1" ht="15" hidden="1" customHeight="1" x14ac:dyDescent="0.25">
      <c r="A372" s="26">
        <v>370</v>
      </c>
      <c r="B372" s="26" t="s">
        <v>148</v>
      </c>
      <c r="C372" s="27" t="s">
        <v>366</v>
      </c>
      <c r="D372" s="26" t="s">
        <v>1780</v>
      </c>
      <c r="E372" s="26" t="s">
        <v>41</v>
      </c>
      <c r="F372" s="26" t="s">
        <v>1638</v>
      </c>
      <c r="G372" s="28">
        <v>25900467933</v>
      </c>
      <c r="H372" s="26" t="s">
        <v>1868</v>
      </c>
      <c r="I372" s="29">
        <v>45554</v>
      </c>
      <c r="J372" s="30"/>
      <c r="K372" s="19" t="s">
        <v>45</v>
      </c>
      <c r="L372" s="31" t="s">
        <v>1815</v>
      </c>
      <c r="M372" s="29" t="s">
        <v>90</v>
      </c>
      <c r="N372" s="32"/>
      <c r="O372" s="36" t="s">
        <v>1815</v>
      </c>
      <c r="P372" s="31">
        <v>11891471</v>
      </c>
      <c r="Q372" s="29">
        <v>45580</v>
      </c>
      <c r="R372" s="32"/>
      <c r="S372" s="31" t="s">
        <v>45</v>
      </c>
      <c r="T372" s="36" t="s">
        <v>1869</v>
      </c>
      <c r="U372" s="31" t="s">
        <v>49</v>
      </c>
      <c r="V372" s="27" t="s">
        <v>1857</v>
      </c>
      <c r="W372" s="31" t="s">
        <v>1266</v>
      </c>
      <c r="X372" s="21" t="s">
        <v>52</v>
      </c>
      <c r="Y372" s="22">
        <v>53420538002599</v>
      </c>
      <c r="Z372" s="23">
        <f t="shared" si="9"/>
        <v>370</v>
      </c>
      <c r="AA372" s="24" t="str">
        <f>IFERROR(VLOOKUP($Z372,'[1]End Fat Serviço - PA 15 e 16'!$K$3:$K$31,1,0), "")</f>
        <v/>
      </c>
      <c r="AB372" s="24" t="str">
        <f>IFERROR(VLOOKUP($Z372,'[1]End Fat Material - PA 12'!$K$3:$K$64,1,0), "")</f>
        <v/>
      </c>
      <c r="AC372" s="24" t="str">
        <f>IFERROR(VLOOKUP($Z372,'[1]End CA Lotação'!$L$3:$L$36,1,0), "")</f>
        <v/>
      </c>
      <c r="AD372" s="24" t="str">
        <f>IFERROR(VLOOKUP(Z372,'[1]RH - PARA 21.03'!$M$3:$M$555,1,0),"")</f>
        <v/>
      </c>
      <c r="AE372" s="23" t="str">
        <f>IFERROR(VLOOKUP($Z372,'[1]CNPJ Oi Fat'!$K$3:$K$32,1,0),"")</f>
        <v/>
      </c>
      <c r="AF372" s="23" t="str">
        <f>IFERROR(VLOOKUP(Z372,'[1]End Logística Oi'!$D$3:$D$29,1,0),"")</f>
        <v/>
      </c>
      <c r="AG372" s="23" t="str">
        <f>IFERROR(VLOOKUP(Z372,'[1]End Logística Oi'!$J$3:$J$29,1,0),"")</f>
        <v/>
      </c>
      <c r="AI372" s="23" t="s">
        <v>55</v>
      </c>
      <c r="AJ372" s="23" t="s">
        <v>55</v>
      </c>
      <c r="AK372" s="23" t="e">
        <v>#N/A</v>
      </c>
    </row>
    <row r="373" spans="1:37" s="34" customFormat="1" ht="15" hidden="1" customHeight="1" x14ac:dyDescent="0.25">
      <c r="A373" s="26">
        <v>371</v>
      </c>
      <c r="B373" s="26" t="s">
        <v>104</v>
      </c>
      <c r="C373" s="27" t="s">
        <v>366</v>
      </c>
      <c r="D373" s="26" t="s">
        <v>1661</v>
      </c>
      <c r="E373" s="26" t="s">
        <v>41</v>
      </c>
      <c r="F373" s="26" t="s">
        <v>1638</v>
      </c>
      <c r="G373" s="28">
        <v>51920059220</v>
      </c>
      <c r="H373" s="26" t="s">
        <v>1870</v>
      </c>
      <c r="I373" s="29">
        <v>45558</v>
      </c>
      <c r="J373" s="30"/>
      <c r="K373" s="19" t="s">
        <v>45</v>
      </c>
      <c r="L373" s="31" t="s">
        <v>1815</v>
      </c>
      <c r="M373" s="29" t="s">
        <v>90</v>
      </c>
      <c r="N373" s="32"/>
      <c r="O373" s="31" t="s">
        <v>1815</v>
      </c>
      <c r="P373" s="31">
        <v>293394</v>
      </c>
      <c r="Q373" s="29">
        <v>45558</v>
      </c>
      <c r="R373" s="32"/>
      <c r="S373" s="31" t="s">
        <v>45</v>
      </c>
      <c r="T373" s="31" t="s">
        <v>1871</v>
      </c>
      <c r="U373" s="31" t="s">
        <v>1872</v>
      </c>
      <c r="V373" s="27" t="s">
        <v>110</v>
      </c>
      <c r="W373" s="31" t="s">
        <v>1873</v>
      </c>
      <c r="X373" s="21" t="s">
        <v>52</v>
      </c>
      <c r="Y373" s="22">
        <v>53420538002670</v>
      </c>
      <c r="Z373" s="23">
        <f t="shared" si="9"/>
        <v>371</v>
      </c>
      <c r="AA373" s="24" t="str">
        <f>IFERROR(VLOOKUP($Z373,'[1]End Fat Serviço - PA 15 e 16'!$K$3:$K$31,1,0), "")</f>
        <v/>
      </c>
      <c r="AB373" s="24" t="str">
        <f>IFERROR(VLOOKUP($Z373,'[1]End Fat Material - PA 12'!$K$3:$K$64,1,0), "")</f>
        <v/>
      </c>
      <c r="AC373" s="24" t="str">
        <f>IFERROR(VLOOKUP($Z373,'[1]End CA Lotação'!$L$3:$L$36,1,0), "")</f>
        <v/>
      </c>
      <c r="AD373" s="24" t="str">
        <f>IFERROR(VLOOKUP(Z373,'[1]RH - PARA 21.03'!$M$3:$M$555,1,0),"")</f>
        <v/>
      </c>
      <c r="AE373" s="23" t="str">
        <f>IFERROR(VLOOKUP($Z373,'[1]CNPJ Oi Fat'!$K$3:$K$32,1,0),"")</f>
        <v/>
      </c>
      <c r="AF373" s="23" t="str">
        <f>IFERROR(VLOOKUP(Z373,'[1]End Logística Oi'!$D$3:$D$29,1,0),"")</f>
        <v/>
      </c>
      <c r="AG373" s="23" t="str">
        <f>IFERROR(VLOOKUP(Z373,'[1]End Logística Oi'!$J$3:$J$29,1,0),"")</f>
        <v/>
      </c>
      <c r="AI373" s="23" t="s">
        <v>55</v>
      </c>
      <c r="AJ373" s="23" t="s">
        <v>55</v>
      </c>
      <c r="AK373" s="23" t="e">
        <v>#N/A</v>
      </c>
    </row>
    <row r="374" spans="1:37" s="34" customFormat="1" ht="15" hidden="1" customHeight="1" x14ac:dyDescent="0.25">
      <c r="A374" s="26">
        <v>372</v>
      </c>
      <c r="B374" s="26" t="s">
        <v>139</v>
      </c>
      <c r="C374" s="27" t="s">
        <v>366</v>
      </c>
      <c r="D374" s="26" t="s">
        <v>1661</v>
      </c>
      <c r="E374" s="26" t="s">
        <v>41</v>
      </c>
      <c r="F374" s="26" t="s">
        <v>1638</v>
      </c>
      <c r="G374" s="28">
        <v>52901721568</v>
      </c>
      <c r="H374" s="26" t="s">
        <v>1874</v>
      </c>
      <c r="I374" s="29">
        <v>45572</v>
      </c>
      <c r="J374" s="30"/>
      <c r="K374" s="19" t="s">
        <v>45</v>
      </c>
      <c r="L374" s="31" t="s">
        <v>1815</v>
      </c>
      <c r="M374" s="29" t="s">
        <v>90</v>
      </c>
      <c r="N374" s="32"/>
      <c r="O374" s="31" t="s">
        <v>1815</v>
      </c>
      <c r="P374" s="31">
        <v>6770185</v>
      </c>
      <c r="Q374" s="29">
        <v>45572</v>
      </c>
      <c r="R374" s="32"/>
      <c r="S374" s="31" t="s">
        <v>45</v>
      </c>
      <c r="T374" s="31" t="s">
        <v>1875</v>
      </c>
      <c r="U374" s="31" t="s">
        <v>1876</v>
      </c>
      <c r="V374" s="27" t="s">
        <v>146</v>
      </c>
      <c r="W374" s="31" t="s">
        <v>1877</v>
      </c>
      <c r="X374" s="21" t="s">
        <v>52</v>
      </c>
      <c r="Y374" s="22">
        <v>53420538002750</v>
      </c>
      <c r="Z374" s="23">
        <f t="shared" si="9"/>
        <v>372</v>
      </c>
      <c r="AA374" s="24" t="str">
        <f>IFERROR(VLOOKUP($Z374,'[1]End Fat Serviço - PA 15 e 16'!$K$3:$K$31,1,0), "")</f>
        <v/>
      </c>
      <c r="AB374" s="24" t="str">
        <f>IFERROR(VLOOKUP($Z374,'[1]End Fat Material - PA 12'!$K$3:$K$64,1,0), "")</f>
        <v/>
      </c>
      <c r="AC374" s="24" t="str">
        <f>IFERROR(VLOOKUP($Z374,'[1]End CA Lotação'!$L$3:$L$36,1,0), "")</f>
        <v/>
      </c>
      <c r="AD374" s="24" t="str">
        <f>IFERROR(VLOOKUP(Z374,'[1]RH - PARA 21.03'!$M$3:$M$555,1,0),"")</f>
        <v/>
      </c>
      <c r="AE374" s="23" t="str">
        <f>IFERROR(VLOOKUP($Z374,'[1]CNPJ Oi Fat'!$K$3:$K$32,1,0),"")</f>
        <v/>
      </c>
      <c r="AF374" s="23" t="str">
        <f>IFERROR(VLOOKUP(Z374,'[1]End Logística Oi'!$D$3:$D$29,1,0),"")</f>
        <v/>
      </c>
      <c r="AG374" s="23" t="str">
        <f>IFERROR(VLOOKUP(Z374,'[1]End Logística Oi'!$J$3:$J$29,1,0),"")</f>
        <v/>
      </c>
      <c r="AI374" s="23" t="s">
        <v>55</v>
      </c>
      <c r="AJ374" s="23" t="s">
        <v>55</v>
      </c>
      <c r="AK374" s="23" t="e">
        <v>#N/A</v>
      </c>
    </row>
    <row r="375" spans="1:37" s="34" customFormat="1" ht="15" hidden="1" customHeight="1" x14ac:dyDescent="0.25">
      <c r="A375" s="26">
        <v>373</v>
      </c>
      <c r="B375" s="26" t="s">
        <v>139</v>
      </c>
      <c r="C375" s="27" t="s">
        <v>366</v>
      </c>
      <c r="D375" s="26" t="s">
        <v>1631</v>
      </c>
      <c r="E375" s="26" t="s">
        <v>41</v>
      </c>
      <c r="F375" s="26" t="s">
        <v>1653</v>
      </c>
      <c r="G375" s="28">
        <v>52901721657</v>
      </c>
      <c r="H375" s="26" t="s">
        <v>1878</v>
      </c>
      <c r="I375" s="29">
        <v>45573</v>
      </c>
      <c r="J375" s="30"/>
      <c r="K375" s="19" t="s">
        <v>45</v>
      </c>
      <c r="L375" s="31" t="s">
        <v>1879</v>
      </c>
      <c r="M375" s="29">
        <v>45573</v>
      </c>
      <c r="N375" s="32"/>
      <c r="O375" s="31" t="s">
        <v>45</v>
      </c>
      <c r="P375" s="31">
        <v>6772595</v>
      </c>
      <c r="Q375" s="29">
        <v>45573</v>
      </c>
      <c r="R375" s="32"/>
      <c r="S375" s="31" t="s">
        <v>45</v>
      </c>
      <c r="T375" s="31" t="s">
        <v>1880</v>
      </c>
      <c r="U375" s="31" t="s">
        <v>1876</v>
      </c>
      <c r="V375" s="27" t="s">
        <v>146</v>
      </c>
      <c r="W375" s="31" t="s">
        <v>1877</v>
      </c>
      <c r="X375" s="21" t="s">
        <v>52</v>
      </c>
      <c r="Y375" s="22">
        <v>53420564002860</v>
      </c>
      <c r="Z375" s="23">
        <f t="shared" si="9"/>
        <v>373</v>
      </c>
      <c r="AA375" s="24" t="str">
        <f>IFERROR(VLOOKUP($Z375,'[1]End Fat Serviço - PA 15 e 16'!$K$3:$K$31,1,0), "")</f>
        <v/>
      </c>
      <c r="AB375" s="24" t="str">
        <f>IFERROR(VLOOKUP($Z375,'[1]End Fat Material - PA 12'!$K$3:$K$64,1,0), "")</f>
        <v/>
      </c>
      <c r="AC375" s="24" t="str">
        <f>IFERROR(VLOOKUP($Z375,'[1]End CA Lotação'!$L$3:$L$36,1,0), "")</f>
        <v/>
      </c>
      <c r="AD375" s="24" t="str">
        <f>IFERROR(VLOOKUP(Z375,'[1]RH - PARA 21.03'!$M$3:$M$555,1,0),"")</f>
        <v/>
      </c>
      <c r="AE375" s="23" t="str">
        <f>IFERROR(VLOOKUP($Z375,'[1]CNPJ Oi Fat'!$K$3:$K$32,1,0),"")</f>
        <v/>
      </c>
      <c r="AF375" s="23" t="str">
        <f>IFERROR(VLOOKUP(Z375,'[1]End Logística Oi'!$D$3:$D$29,1,0),"")</f>
        <v/>
      </c>
      <c r="AG375" s="23" t="str">
        <f>IFERROR(VLOOKUP(Z375,'[1]End Logística Oi'!$J$3:$J$29,1,0),"")</f>
        <v/>
      </c>
      <c r="AI375" s="23" t="s">
        <v>55</v>
      </c>
      <c r="AJ375" s="23" t="s">
        <v>55</v>
      </c>
      <c r="AK375" s="23" t="e">
        <v>#N/A</v>
      </c>
    </row>
    <row r="376" spans="1:37" s="34" customFormat="1" ht="15" hidden="1" customHeight="1" x14ac:dyDescent="0.25">
      <c r="A376" s="26">
        <v>374</v>
      </c>
      <c r="B376" s="26" t="s">
        <v>174</v>
      </c>
      <c r="C376" s="27" t="s">
        <v>366</v>
      </c>
      <c r="D376" s="26" t="s">
        <v>1661</v>
      </c>
      <c r="E376" s="26" t="s">
        <v>41</v>
      </c>
      <c r="F376" s="26" t="s">
        <v>1638</v>
      </c>
      <c r="G376" s="28">
        <v>13920022490</v>
      </c>
      <c r="H376" s="26" t="s">
        <v>1881</v>
      </c>
      <c r="I376" s="29">
        <v>45579</v>
      </c>
      <c r="J376" s="30"/>
      <c r="K376" s="19" t="s">
        <v>45</v>
      </c>
      <c r="L376" s="31" t="s">
        <v>1815</v>
      </c>
      <c r="M376" s="29" t="s">
        <v>90</v>
      </c>
      <c r="N376" s="32"/>
      <c r="O376" s="31" t="s">
        <v>1815</v>
      </c>
      <c r="P376" s="31">
        <v>641613001</v>
      </c>
      <c r="Q376" s="29">
        <v>45579</v>
      </c>
      <c r="R376" s="32"/>
      <c r="S376" s="31" t="s">
        <v>45</v>
      </c>
      <c r="T376" s="31" t="s">
        <v>1882</v>
      </c>
      <c r="U376" s="31" t="s">
        <v>1883</v>
      </c>
      <c r="V376" s="27" t="s">
        <v>181</v>
      </c>
      <c r="W376" s="31" t="s">
        <v>1884</v>
      </c>
      <c r="X376" s="21" t="s">
        <v>52</v>
      </c>
      <c r="Y376" s="22">
        <v>53420538002831</v>
      </c>
      <c r="Z376" s="23">
        <f t="shared" si="9"/>
        <v>374</v>
      </c>
      <c r="AA376" s="24" t="str">
        <f>IFERROR(VLOOKUP($Z376,'[1]End Fat Serviço - PA 15 e 16'!$K$3:$K$31,1,0), "")</f>
        <v/>
      </c>
      <c r="AB376" s="24" t="str">
        <f>IFERROR(VLOOKUP($Z376,'[1]End Fat Material - PA 12'!$K$3:$K$64,1,0), "")</f>
        <v/>
      </c>
      <c r="AC376" s="24" t="str">
        <f>IFERROR(VLOOKUP($Z376,'[1]End CA Lotação'!$L$3:$L$36,1,0), "")</f>
        <v/>
      </c>
      <c r="AD376" s="24" t="str">
        <f>IFERROR(VLOOKUP(Z376,'[1]RH - PARA 21.03'!$M$3:$M$555,1,0),"")</f>
        <v/>
      </c>
      <c r="AE376" s="23" t="str">
        <f>IFERROR(VLOOKUP($Z376,'[1]CNPJ Oi Fat'!$K$3:$K$32,1,0),"")</f>
        <v/>
      </c>
      <c r="AF376" s="23" t="str">
        <f>IFERROR(VLOOKUP(Z376,'[1]End Logística Oi'!$D$3:$D$29,1,0),"")</f>
        <v/>
      </c>
      <c r="AG376" s="23" t="str">
        <f>IFERROR(VLOOKUP(Z376,'[1]End Logística Oi'!$J$3:$J$29,1,0),"")</f>
        <v/>
      </c>
      <c r="AI376" s="23" t="s">
        <v>55</v>
      </c>
      <c r="AJ376" s="23" t="s">
        <v>55</v>
      </c>
      <c r="AK376" s="23" t="e">
        <v>#N/A</v>
      </c>
    </row>
    <row r="377" spans="1:37" s="34" customFormat="1" ht="15" hidden="1" customHeight="1" x14ac:dyDescent="0.25">
      <c r="A377" s="26">
        <v>375</v>
      </c>
      <c r="B377" s="26" t="s">
        <v>85</v>
      </c>
      <c r="C377" s="27" t="s">
        <v>366</v>
      </c>
      <c r="D377" s="26" t="s">
        <v>1631</v>
      </c>
      <c r="E377" s="26" t="s">
        <v>41</v>
      </c>
      <c r="F377" s="26" t="s">
        <v>1653</v>
      </c>
      <c r="G377" s="28">
        <v>53920042710</v>
      </c>
      <c r="H377" s="26" t="s">
        <v>1885</v>
      </c>
      <c r="I377" s="29">
        <v>45582</v>
      </c>
      <c r="J377" s="30"/>
      <c r="K377" s="19" t="s">
        <v>45</v>
      </c>
      <c r="L377" s="33" t="s">
        <v>1886</v>
      </c>
      <c r="M377" s="29">
        <v>45582</v>
      </c>
      <c r="N377" s="32"/>
      <c r="O377" s="31" t="s">
        <v>45</v>
      </c>
      <c r="P377" s="33" t="s">
        <v>1886</v>
      </c>
      <c r="Q377" s="29">
        <v>45582</v>
      </c>
      <c r="R377" s="32"/>
      <c r="S377" s="31" t="s">
        <v>45</v>
      </c>
      <c r="T377" s="31" t="s">
        <v>1887</v>
      </c>
      <c r="U377" s="31" t="s">
        <v>290</v>
      </c>
      <c r="V377" s="27" t="s">
        <v>477</v>
      </c>
      <c r="W377" s="31" t="s">
        <v>291</v>
      </c>
      <c r="X377" s="21" t="s">
        <v>52</v>
      </c>
      <c r="Y377" s="22">
        <v>53420564002940</v>
      </c>
      <c r="Z377" s="23">
        <f t="shared" si="9"/>
        <v>375</v>
      </c>
      <c r="AA377" s="24" t="str">
        <f>IFERROR(VLOOKUP($Z377,'[1]End Fat Serviço - PA 15 e 16'!$K$3:$K$31,1,0), "")</f>
        <v/>
      </c>
      <c r="AB377" s="24" t="str">
        <f>IFERROR(VLOOKUP($Z377,'[1]End Fat Material - PA 12'!$K$3:$K$64,1,0), "")</f>
        <v/>
      </c>
      <c r="AC377" s="24" t="str">
        <f>IFERROR(VLOOKUP($Z377,'[1]End CA Lotação'!$L$3:$L$36,1,0), "")</f>
        <v/>
      </c>
      <c r="AD377" s="24" t="str">
        <f>IFERROR(VLOOKUP(Z377,'[1]RH - PARA 21.03'!$M$3:$M$555,1,0),"")</f>
        <v/>
      </c>
      <c r="AE377" s="23" t="str">
        <f>IFERROR(VLOOKUP($Z377,'[1]CNPJ Oi Fat'!$K$3:$K$32,1,0),"")</f>
        <v/>
      </c>
      <c r="AF377" s="23" t="str">
        <f>IFERROR(VLOOKUP(Z377,'[1]End Logística Oi'!$D$3:$D$29,1,0),"")</f>
        <v/>
      </c>
      <c r="AG377" s="23" t="str">
        <f>IFERROR(VLOOKUP(Z377,'[1]End Logística Oi'!$J$3:$J$29,1,0),"")</f>
        <v/>
      </c>
      <c r="AI377" s="23" t="s">
        <v>55</v>
      </c>
      <c r="AJ377" s="23" t="s">
        <v>55</v>
      </c>
      <c r="AK377" s="23" t="e">
        <v>#N/A</v>
      </c>
    </row>
    <row r="378" spans="1:37" s="34" customFormat="1" ht="15" hidden="1" customHeight="1" x14ac:dyDescent="0.25">
      <c r="A378" s="26">
        <v>376</v>
      </c>
      <c r="B378" s="26" t="s">
        <v>85</v>
      </c>
      <c r="C378" s="27" t="s">
        <v>366</v>
      </c>
      <c r="D378" s="26" t="s">
        <v>1661</v>
      </c>
      <c r="E378" s="26" t="s">
        <v>41</v>
      </c>
      <c r="F378" s="26" t="s">
        <v>1638</v>
      </c>
      <c r="G378" s="28">
        <v>53920042728</v>
      </c>
      <c r="H378" s="26" t="s">
        <v>1888</v>
      </c>
      <c r="I378" s="29">
        <v>45582</v>
      </c>
      <c r="J378" s="30"/>
      <c r="K378" s="19" t="s">
        <v>45</v>
      </c>
      <c r="L378" s="31" t="s">
        <v>1815</v>
      </c>
      <c r="M378" s="31" t="s">
        <v>90</v>
      </c>
      <c r="N378" s="32"/>
      <c r="O378" s="31" t="s">
        <v>1815</v>
      </c>
      <c r="P378" s="33" t="s">
        <v>1889</v>
      </c>
      <c r="Q378" s="29">
        <v>45582</v>
      </c>
      <c r="R378" s="32"/>
      <c r="S378" s="31" t="s">
        <v>45</v>
      </c>
      <c r="T378" s="31" t="s">
        <v>1890</v>
      </c>
      <c r="U378" s="31" t="s">
        <v>290</v>
      </c>
      <c r="V378" s="27" t="s">
        <v>477</v>
      </c>
      <c r="W378" s="31" t="s">
        <v>291</v>
      </c>
      <c r="X378" s="21" t="s">
        <v>52</v>
      </c>
      <c r="Y378" s="22">
        <v>53420538002912</v>
      </c>
      <c r="Z378" s="23">
        <f t="shared" si="9"/>
        <v>376</v>
      </c>
      <c r="AA378" s="24" t="str">
        <f>IFERROR(VLOOKUP($Z378,'[1]End Fat Serviço - PA 15 e 16'!$K$3:$K$31,1,0), "")</f>
        <v/>
      </c>
      <c r="AB378" s="24" t="str">
        <f>IFERROR(VLOOKUP($Z378,'[1]End Fat Material - PA 12'!$K$3:$K$64,1,0), "")</f>
        <v/>
      </c>
      <c r="AC378" s="24" t="str">
        <f>IFERROR(VLOOKUP($Z378,'[1]End CA Lotação'!$L$3:$L$36,1,0), "")</f>
        <v/>
      </c>
      <c r="AD378" s="24" t="str">
        <f>IFERROR(VLOOKUP(Z378,'[1]RH - PARA 21.03'!$M$3:$M$555,1,0),"")</f>
        <v/>
      </c>
      <c r="AE378" s="23" t="str">
        <f>IFERROR(VLOOKUP($Z378,'[1]CNPJ Oi Fat'!$K$3:$K$32,1,0),"")</f>
        <v/>
      </c>
      <c r="AF378" s="23" t="str">
        <f>IFERROR(VLOOKUP(Z378,'[1]End Logística Oi'!$D$3:$D$29,1,0),"")</f>
        <v/>
      </c>
      <c r="AG378" s="23" t="str">
        <f>IFERROR(VLOOKUP(Z378,'[1]End Logística Oi'!$J$3:$J$29,1,0),"")</f>
        <v/>
      </c>
      <c r="AI378" s="23" t="s">
        <v>55</v>
      </c>
      <c r="AJ378" s="23" t="s">
        <v>55</v>
      </c>
      <c r="AK378" s="23" t="e">
        <v>#N/A</v>
      </c>
    </row>
    <row r="379" spans="1:37" s="34" customFormat="1" ht="15" hidden="1" customHeight="1" x14ac:dyDescent="0.25">
      <c r="A379" s="26">
        <v>377</v>
      </c>
      <c r="B379" s="26" t="s">
        <v>77</v>
      </c>
      <c r="C379" s="27" t="s">
        <v>366</v>
      </c>
      <c r="D379" s="26" t="s">
        <v>1631</v>
      </c>
      <c r="E379" s="26" t="s">
        <v>41</v>
      </c>
      <c r="F379" s="26" t="s">
        <v>1653</v>
      </c>
      <c r="G379" s="28">
        <v>14920008200</v>
      </c>
      <c r="H379" s="26" t="s">
        <v>1891</v>
      </c>
      <c r="I379" s="29">
        <v>45607</v>
      </c>
      <c r="J379" s="30"/>
      <c r="K379" s="19" t="s">
        <v>45</v>
      </c>
      <c r="L379" s="31" t="s">
        <v>1892</v>
      </c>
      <c r="M379" s="29">
        <v>45623</v>
      </c>
      <c r="N379" s="32"/>
      <c r="O379" s="31" t="s">
        <v>45</v>
      </c>
      <c r="P379" s="33" t="s">
        <v>1893</v>
      </c>
      <c r="Q379" s="29">
        <v>45607</v>
      </c>
      <c r="R379" s="32"/>
      <c r="S379" s="31" t="s">
        <v>45</v>
      </c>
      <c r="T379" s="31" t="s">
        <v>1894</v>
      </c>
      <c r="U379" s="31" t="s">
        <v>1169</v>
      </c>
      <c r="V379" s="27" t="s">
        <v>83</v>
      </c>
      <c r="W379" s="31" t="s">
        <v>1170</v>
      </c>
      <c r="X379" s="21" t="s">
        <v>52</v>
      </c>
      <c r="Y379" s="22">
        <v>53420564003084</v>
      </c>
      <c r="Z379" s="23">
        <f t="shared" si="9"/>
        <v>377</v>
      </c>
      <c r="AA379" s="24" t="str">
        <f>IFERROR(VLOOKUP($Z379,'[1]End Fat Serviço - PA 15 e 16'!$K$3:$K$31,1,0), "")</f>
        <v/>
      </c>
      <c r="AB379" s="24" t="str">
        <f>IFERROR(VLOOKUP($Z379,'[1]End Fat Material - PA 12'!$K$3:$K$64,1,0), "")</f>
        <v/>
      </c>
      <c r="AC379" s="24" t="str">
        <f>IFERROR(VLOOKUP($Z379,'[1]End CA Lotação'!$L$3:$L$36,1,0), "")</f>
        <v/>
      </c>
      <c r="AD379" s="24" t="str">
        <f>IFERROR(VLOOKUP(Z379,'[1]RH - PARA 21.03'!$M$3:$M$555,1,0),"")</f>
        <v/>
      </c>
      <c r="AE379" s="23" t="str">
        <f>IFERROR(VLOOKUP($Z379,'[1]CNPJ Oi Fat'!$K$3:$K$32,1,0),"")</f>
        <v/>
      </c>
      <c r="AF379" s="23" t="str">
        <f>IFERROR(VLOOKUP(Z379,'[1]End Logística Oi'!$D$3:$D$29,1,0),"")</f>
        <v/>
      </c>
      <c r="AG379" s="23" t="str">
        <f>IFERROR(VLOOKUP(Z379,'[1]End Logística Oi'!$J$3:$J$29,1,0),"")</f>
        <v/>
      </c>
      <c r="AI379" s="23" t="s">
        <v>55</v>
      </c>
      <c r="AJ379" s="23" t="s">
        <v>55</v>
      </c>
      <c r="AK379" s="23" t="e">
        <v>#N/A</v>
      </c>
    </row>
    <row r="380" spans="1:37" s="34" customFormat="1" ht="15" hidden="1" customHeight="1" x14ac:dyDescent="0.25">
      <c r="A380" s="26">
        <v>378</v>
      </c>
      <c r="B380" s="26" t="s">
        <v>230</v>
      </c>
      <c r="C380" s="27" t="s">
        <v>366</v>
      </c>
      <c r="D380" s="26" t="s">
        <v>1895</v>
      </c>
      <c r="E380" s="26" t="s">
        <v>307</v>
      </c>
      <c r="F380" s="26" t="s">
        <v>1896</v>
      </c>
      <c r="G380" s="60">
        <v>33300355987</v>
      </c>
      <c r="H380" s="26" t="s">
        <v>1897</v>
      </c>
      <c r="I380" s="29">
        <v>45352</v>
      </c>
      <c r="J380" s="30"/>
      <c r="K380" s="19" t="s">
        <v>45</v>
      </c>
      <c r="L380" s="31" t="s">
        <v>1898</v>
      </c>
      <c r="M380" s="29">
        <v>45652</v>
      </c>
      <c r="N380" s="32"/>
      <c r="O380" s="31" t="s">
        <v>45</v>
      </c>
      <c r="P380" s="33" t="s">
        <v>1899</v>
      </c>
      <c r="Q380" s="29">
        <v>45355</v>
      </c>
      <c r="R380" s="32"/>
      <c r="S380" s="31" t="s">
        <v>45</v>
      </c>
      <c r="T380" s="31" t="s">
        <v>1900</v>
      </c>
      <c r="U380" s="31" t="s">
        <v>355</v>
      </c>
      <c r="V380" s="27" t="s">
        <v>235</v>
      </c>
      <c r="W380" s="31" t="s">
        <v>356</v>
      </c>
      <c r="X380" s="21"/>
      <c r="Y380" s="22">
        <v>54144419000146</v>
      </c>
      <c r="Z380" s="23">
        <f t="shared" si="9"/>
        <v>378</v>
      </c>
      <c r="AA380" s="24" t="str">
        <f>IFERROR(VLOOKUP($Z380,'[1]End Fat Serviço - PA 15 e 16'!$K$3:$K$31,1,0), "")</f>
        <v/>
      </c>
      <c r="AB380" s="24" t="str">
        <f>IFERROR(VLOOKUP($Z380,'[1]End Fat Material - PA 12'!$K$3:$K$64,1,0), "")</f>
        <v/>
      </c>
      <c r="AC380" s="24" t="str">
        <f>IFERROR(VLOOKUP($Z380,'[1]End CA Lotação'!$L$3:$L$36,1,0), "")</f>
        <v/>
      </c>
      <c r="AD380" s="24" t="str">
        <f>IFERROR(VLOOKUP(Z380,'[1]RH - PARA 21.03'!$M$3:$M$555,1,0),"")</f>
        <v/>
      </c>
      <c r="AE380" s="23" t="str">
        <f>IFERROR(VLOOKUP($Z380,'[1]CNPJ Oi Fat'!$K$3:$K$32,1,0),"")</f>
        <v/>
      </c>
      <c r="AF380" s="23" t="str">
        <f>IFERROR(VLOOKUP(Z380,'[1]End Logística Oi'!$D$3:$D$29,1,0),"")</f>
        <v/>
      </c>
      <c r="AG380" s="23" t="str">
        <f>IFERROR(VLOOKUP(Z380,'[1]End Logística Oi'!$J$3:$J$29,1,0),"")</f>
        <v/>
      </c>
      <c r="AI380" s="23" t="s">
        <v>55</v>
      </c>
      <c r="AJ380" s="23" t="s">
        <v>55</v>
      </c>
      <c r="AK380" s="23" t="e">
        <v>#N/A</v>
      </c>
    </row>
  </sheetData>
  <autoFilter ref="A2:AL380">
    <filterColumn colId="29">
      <customFilters>
        <customFilter operator="notEqual" val=" "/>
      </customFilters>
    </filterColumn>
  </autoFilter>
  <pageMargins left="0.51181102362204722" right="0.51181102362204722" top="0.78740157480314965" bottom="0.78740157480314965" header="0.31496062992125984" footer="0.31496062992125984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CNPJ Consolidado Oi 08.04</vt:lpstr>
      <vt:lpstr>'CNPJ Consolidado Oi 08.04'!Area_de_impressao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Charlene Santino Da Silva</dc:creator>
  <cp:lastModifiedBy>Charlene Santino Da Silva</cp:lastModifiedBy>
  <dcterms:created xsi:type="dcterms:W3CDTF">2025-05-06T13:44:44Z</dcterms:created>
  <dcterms:modified xsi:type="dcterms:W3CDTF">2025-05-06T13:45:37Z</dcterms:modified>
</cp:coreProperties>
</file>